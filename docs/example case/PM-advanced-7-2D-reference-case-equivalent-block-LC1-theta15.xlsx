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Geometry" state="visible" r:id="rId5"/>
    <sheet sheetId="3" name="Block_Clip" state="visible" r:id="rId6"/>
    <sheet sheetId="4" name="Block" state="visible" r:id="rId7"/>
    <sheet sheetId="5" name="Steel" state="visible" r:id="rId8"/>
    <sheet sheetId="6" name="PM_Angle" state="visible" r:id="rId9"/>
    <sheet sheetId="7" name="MxMy_FixedP" state="visible" r:id="rId10"/>
    <sheet sheetId="8" name="PM_Theta" state="visible" r:id="rId11"/>
    <sheet sheetId="9" name="Equilibrium" state="visible" r:id="rId12"/>
    <sheet sheetId="10" name="Design_Check" state="visible" r:id="rId13"/>
  </sheets>
  <definedNames>
    <definedName name="fck">Input!$C$14</definedName>
    <definedName name="alpha">Input!$C$15</definedName>
    <definedName name="sig_blk">Input!$C$16</definedName>
    <definedName name="beta_1">Input!$C$17</definedName>
    <definedName name="ecu">Input!$C$18</definedName>
    <definedName name="Es">Input!$C$23</definedName>
    <definedName name="fy_char">Input!$C$24</definedName>
    <definedName name="gamma_s">Input!$C$25</definedName>
    <definedName name="fy">Input!$C$26</definedName>
    <definedName name="epsy">Input!$C$27</definedName>
    <definedName name="phi_c">Input!$C$33</definedName>
    <definedName name="phi_t">Input!$C$34</definedName>
    <definedName name="ept_lim">Input!$C$35</definedName>
    <definedName name="cap_r">Input!$C$36</definedName>
    <definedName name="theta">Input!$C$40</definedName>
    <definedName name="u_max">Input!$C$41</definedName>
    <definedName name="d_theta">Input!$C$42</definedName>
    <definedName name="blk_tol">Input!$C$43</definedName>
    <definedName name="xc">Input!$C$44</definedName>
    <definedName name="yc">Input!$C$45</definedName>
    <definedName name="Pu">Input!$C$53</definedName>
    <definedName name="Mux">Input!$C$54</definedName>
    <definedName name="Muy">Input!$C$55</definedName>
    <definedName name="theta_L">Input!$C$57</definedName>
    <definedName name="Mu">Input!$C$58</definedName>
    <definedName name="Geom_Area">Geometry!$G$35</definedName>
    <definedName name="Bar_No">Geometry!$B$39:$B$56</definedName>
    <definedName name="Bar_X">Geometry!$E$39:$E$56</definedName>
    <definedName name="Bar_Y">Geometry!$F$39:$F$56</definedName>
    <definedName name="Bar_As">Geometry!$G$39:$G$56</definedName>
    <definedName name="Bar_U">Geometry!$H$39:$H$56</definedName>
    <definedName name="Blk_St">Block!$B$6:$B$40</definedName>
    <definedName name="Blk_c">Block!$C$6:$C$40</definedName>
    <definedName name="Blk_Cc">Block!$J$6:$J$40</definedName>
    <definedName name="Blk_Mcx">Block!$K$6:$K$40</definedName>
    <definedName name="Blk_Mcy">Block!$L$6:$L$40</definedName>
    <definedName name="Stl_St">Steel!$B$6:$B$635</definedName>
    <definedName name="Stl_Ept">Steel!$H$6:$H$635</definedName>
    <definedName name="Stl_F">Steel!$M$6:$M$635</definedName>
    <definedName name="Stl_Mx">Steel!$N$6:$N$635</definedName>
    <definedName name="Stl_My">Steel!$O$6:$O$635</definedName>
  </definedNames>
  <calcPr calcId="171027" fullCalcOnLoad="1"/>
</workbook>
</file>

<file path=xl/sharedStrings.xml><?xml version="1.0" encoding="utf-8"?>
<sst xmlns="http://schemas.openxmlformats.org/spreadsheetml/2006/main" count="940" uniqueCount="304">
  <si>
    <t>EQUIVALENT RECTANGULAR STRESS BLOCK — SECTION CALCULATION</t>
  </si>
  <si>
    <t>Project</t>
  </si>
  <si>
    <t>PM-advanced (7) 2D reference case</t>
  </si>
  <si>
    <t>Every shaded cell drives live formulas on the other sheets. Only the clipped-polygon geometry and the sampled surface grid are engine values; the ledger, φ, contour and residual are formulas.</t>
  </si>
  <si>
    <t>Section</t>
  </si>
  <si>
    <t>PM-advanced (7) 2D — 1500x1200 chamfered section, two voids</t>
  </si>
  <si>
    <t>Generated</t>
  </si>
  <si>
    <t>2026-08-04 23:05:32</t>
  </si>
  <si>
    <t>Calculation profile</t>
  </si>
  <si>
    <t>profile</t>
  </si>
  <si>
    <t>KDS 14 20 20 — Equivalent rectangular block</t>
  </si>
  <si>
    <t/>
  </si>
  <si>
    <t>method equivalent-rectangular-block</t>
  </si>
  <si>
    <t>resistance profile</t>
  </si>
  <si>
    <t>KDS 2024 current set · resistance: KDS 14 20 10:2021 + KDS 14 20 20:2022</t>
  </si>
  <si>
    <t>2024 partial-revision framework (effective 2025-01-05)</t>
  </si>
  <si>
    <t>verification status</t>
  </si>
  <si>
    <t>draft</t>
  </si>
  <si>
    <t>not an engineering approval; see docs/00-README §4</t>
  </si>
  <si>
    <t>modified from defaults</t>
  </si>
  <si>
    <t>no</t>
  </si>
  <si>
    <t>Concrete — equivalent block</t>
  </si>
  <si>
    <t>standard</t>
  </si>
  <si>
    <t>KDS</t>
  </si>
  <si>
    <t>KDS C30 (workbook Input)</t>
  </si>
  <si>
    <t>fck</t>
  </si>
  <si>
    <t>MPa</t>
  </si>
  <si>
    <t>characteristic/input strength</t>
  </si>
  <si>
    <t>α (σblock/fck)</t>
  </si>
  <si>
    <t>-</t>
  </si>
  <si>
    <t>resolved by the code adapter; KDS writes it as η·0.85, ACI as 0.85</t>
  </si>
  <si>
    <t>σblock = α·fck</t>
  </si>
  <si>
    <t>β1</t>
  </si>
  <si>
    <t>block depth a = β1·c</t>
  </si>
  <si>
    <t>εcu</t>
  </si>
  <si>
    <t>extreme compression fibre strain</t>
  </si>
  <si>
    <t>displaced concrete deducted</t>
  </si>
  <si>
    <t>yes</t>
  </si>
  <si>
    <t>bars inside the block carry σs − σblock</t>
  </si>
  <si>
    <t>Reinforcement</t>
  </si>
  <si>
    <t>SD400 (workbook Input)</t>
  </si>
  <si>
    <t>Es</t>
  </si>
  <si>
    <t>fy (characteristic)</t>
  </si>
  <si>
    <t>γs</t>
  </si>
  <si>
    <t>not applied by this material family</t>
  </si>
  <si>
    <t>fy (model)</t>
  </si>
  <si>
    <t>εy = fy/Es</t>
  </si>
  <si>
    <t>εu (declared)</t>
  </si>
  <si>
    <t>not declared</t>
  </si>
  <si>
    <t>rupture is not enforced</t>
  </si>
  <si>
    <t>law</t>
  </si>
  <si>
    <t>Elastic – perfectly plastic: fs = clamp(Es·ε, −fy, +fy)</t>
  </si>
  <si>
    <t>Strength reduction and axial cap</t>
  </si>
  <si>
    <t>transverse reinforcement</t>
  </si>
  <si>
    <t>other</t>
  </si>
  <si>
    <t>selects the compression-controlled φ and the cap ratio</t>
  </si>
  <si>
    <t>φ compression (active)</t>
  </si>
  <si>
    <t>φ tension</t>
  </si>
  <si>
    <t>εt,limit</t>
  </si>
  <si>
    <t>fixed 0.005 at or below fy = 400 MPa, else 2.5·εy</t>
  </si>
  <si>
    <t>axial cap ratio</t>
  </si>
  <si>
    <t>axial cap applied</t>
  </si>
  <si>
    <t>clips the design surface at cap ratio × the factored compression pole</t>
  </si>
  <si>
    <t>Analysis</t>
  </si>
  <si>
    <t>θ (block-normal direction)</t>
  </si>
  <si>
    <t>deg</t>
  </si>
  <si>
    <t>audited direction; snapped from the requested 15.0000° to the nearest sampled direction</t>
  </si>
  <si>
    <t>u_max (compression edge)</t>
  </si>
  <si>
    <t>mm</t>
  </si>
  <si>
    <t>max of n·(x,y) over the outer boundary at θ; an engine value because it needs the polygon</t>
  </si>
  <si>
    <t>Dθ (projected depth)</t>
  </si>
  <si>
    <t>block-boundary tolerance</t>
  </si>
  <si>
    <t>the kernel's own 1e-10 · characteristic length; a bar within it counts as inside the block</t>
  </si>
  <si>
    <t>xc</t>
  </si>
  <si>
    <t>analysis origin = net concrete centroid</t>
  </si>
  <si>
    <t>yc</t>
  </si>
  <si>
    <t>all X, Y below are measured from it</t>
  </si>
  <si>
    <t>stations at θ</t>
  </si>
  <si>
    <t>baseline depth schedule plus solved bar/code events</t>
  </si>
  <si>
    <t>sampled directions</t>
  </si>
  <si>
    <t>seed 24</t>
  </si>
  <si>
    <t>direction interpolation error</t>
  </si>
  <si>
    <t>within the requested tolerance</t>
  </si>
  <si>
    <t>station interpolation error</t>
  </si>
  <si>
    <t>surface closed</t>
  </si>
  <si>
    <t>0 boundary edges</t>
  </si>
  <si>
    <t>Demand (factored ULS)</t>
  </si>
  <si>
    <t>Pu</t>
  </si>
  <si>
    <t>kN</t>
  </si>
  <si>
    <t>ULS-1 workbook Newton demand (on the 15 deg surface)</t>
  </si>
  <si>
    <t>Mux</t>
  </si>
  <si>
    <t>kN·m</t>
  </si>
  <si>
    <t>Muy</t>
  </si>
  <si>
    <t>θ_L (demand direction)</t>
  </si>
  <si>
    <t>atan2 of the demand moment vector. Used only to query the finished surface. It is not the block-normal direction θ above.</t>
  </si>
  <si>
    <t>Mu resultant</t>
  </si>
  <si>
    <t>Sign convention used by this workbook</t>
  </si>
  <si>
    <t>Mx</t>
  </si>
  <si>
    <t>+Σ F·(y−yc)</t>
  </si>
  <si>
    <t>My</t>
  </si>
  <si>
    <t>+Σ F·(x−xc)</t>
  </si>
  <si>
    <t>Project-wide convention used by both stress-strain and equivalent-block mechanics. Positive force eccentricity along +x produces +My.</t>
  </si>
  <si>
    <t>What is a formula and what is an engine value</t>
  </si>
  <si>
    <t>Geometry vertices, bar schedule</t>
  </si>
  <si>
    <t>engine value</t>
  </si>
  <si>
    <t>input data</t>
  </si>
  <si>
    <t>Clipped block polygon (Block_Clip)</t>
  </si>
  <si>
    <t>half-plane clipping of a multiply connected polygon is not a spreadsheet operation</t>
  </si>
  <si>
    <t>Block area and first moments</t>
  </si>
  <si>
    <t>formula</t>
  </si>
  <si>
    <t>shoelace over the clipped polygon, reconciled against the value the ledger uses</t>
  </si>
  <si>
    <t>u_max, Dθ</t>
  </si>
  <si>
    <t>support extremum over the boundary at θ</t>
  </si>
  <si>
    <t>Station depths c</t>
  </si>
  <si>
    <t>solved so a bar sits exactly at a code/rupture strain</t>
  </si>
  <si>
    <t>Strain, stress, force, moment ledger</t>
  </si>
  <si>
    <t>the audit trail a reviewer follows term by term</t>
  </si>
  <si>
    <t>φ and design resultants</t>
  </si>
  <si>
    <t>the transition rule is algebra over εt, εy and the named φ factors</t>
  </si>
  <si>
    <t>92 x station surface grid (MxMy_FixedP)</t>
  </si>
  <si>
    <t>avoids re-solving every state in the sheet; two sentinels flag a stale import</t>
  </si>
  <si>
    <t>Contour, ray query, plane cut</t>
  </si>
  <si>
    <t>this is the logic under audit, so it stays visible</t>
  </si>
  <si>
    <t>Converged capacity-ray state (Equilibrium)</t>
  </si>
  <si>
    <t>bracketed scalar solve on the design-surface boundary; the workbook verifies the state instead of re-deriving it</t>
  </si>
  <si>
    <t>Capacity-state residual</t>
  </si>
  <si>
    <t>the workbook proves the stored state balances the scaled demand ray at capacity</t>
  </si>
  <si>
    <t>SECTION GEOMETRY ABOUT THE ANALYSIS ORIGIN</t>
  </si>
  <si>
    <t>Ring vertices are input data. Area and first moments are recomputed here by the shoelace formula so the origin used by every other sheet is verifiable.</t>
  </si>
  <si>
    <t>#</t>
  </si>
  <si>
    <t>solid</t>
  </si>
  <si>
    <t>ring</t>
  </si>
  <si>
    <t>X (mm)</t>
  </si>
  <si>
    <t>Y (mm)</t>
  </si>
  <si>
    <t>X·Ynext − Xnext·Y</t>
  </si>
  <si>
    <t>(X+Xnext)·cross</t>
  </si>
  <si>
    <t>(Y+Ynext)·cross</t>
  </si>
  <si>
    <t>outer</t>
  </si>
  <si>
    <t>ring total</t>
  </si>
  <si>
    <t>signed area, Sx, Sy of this ring</t>
  </si>
  <si>
    <t>hole 1</t>
  </si>
  <si>
    <t>subtracted as a hole</t>
  </si>
  <si>
    <t>hole 2</t>
  </si>
  <si>
    <t>NET</t>
  </si>
  <si>
    <t>Reinforcement schedule</t>
  </si>
  <si>
    <t>id</t>
  </si>
  <si>
    <t>Ø (mm)</t>
  </si>
  <si>
    <t>As (mm²)</t>
  </si>
  <si>
    <t>n·(X,Y) (mm)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</si>
  <si>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</si>
  <si>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</si>
  <si>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</si>
  <si>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</si>
  <si>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</si>
  <si>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</si>
  <si>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</si>
  <si>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</si>
  <si>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</si>
  <si>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</si>
  <si>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</si>
  <si>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</si>
  <si>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</si>
  <si>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</si>
  <si>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</si>
  <si>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</si>
  <si>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</si>
  <si>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</si>
  <si>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ΣAs</t>
  </si>
  <si>
    <t>n·(X,Y) is the bar projection on the block normal, computed from the absolute coordinates the kernel uses.</t>
  </si>
  <si>
    <t>CLIPPED COMPRESSION POLYGON, u ≥ u_max − β1·c</t>
  </si>
  <si>
    <t>The clipping itself is an engine value. Its area and first moments are recomputed here by shoelace so the numbers the Block ledger multiplies by σblock are independently verifiable.</t>
  </si>
  <si>
    <t>station</t>
  </si>
  <si>
    <t>sign</t>
  </si>
  <si>
    <t>cross</t>
  </si>
  <si>
    <t>(X+Xn)·cross</t>
  </si>
  <si>
    <t>(Y+Yn)·cross</t>
  </si>
  <si>
    <t>ring Σ</t>
  </si>
  <si>
    <t>station Σ</t>
  </si>
  <si>
    <t>CONCRETE BLOCK LEDGER AT θ</t>
  </si>
  <si>
    <t>One row per neutral-axis state at the audited direction. Cc, Mcx and Mcy are formulas over σblock and the clipped moments recomputed on Block_Clip, so changing fck or α on Input propagates through the whole ledger.</t>
  </si>
  <si>
    <t>st</t>
  </si>
  <si>
    <t>c (mm)</t>
  </si>
  <si>
    <t>a = β1·c</t>
  </si>
  <si>
    <t>A_blk (mm²)</t>
  </si>
  <si>
    <t>Sx (mm³)</t>
  </si>
  <si>
    <t>Sy (mm³)</t>
  </si>
  <si>
    <t>x̄ (mm)</t>
  </si>
  <si>
    <t>ȳ (mm)</t>
  </si>
  <si>
    <t>Cc (kN)</t>
  </si>
  <si>
    <t>Mcx (kN·m)</t>
  </si>
  <si>
    <t>Mcy (kN·m)</t>
  </si>
  <si>
    <t>A engine (mm²)</t>
  </si>
  <si>
    <t>shoelace vs engine</t>
  </si>
  <si>
    <t>Array comparison; on older Excel builds confirm with Ctrl+Shift+Enter.</t>
  </si>
  <si>
    <t>REINFORCEMENT LEDGER — EVERY BAR AT EVERY STATION</t>
  </si>
  <si>
    <t>ε = εcu·(1 − depth/c) with depth measured from the compression edge along the block normal. A bar inside the block carries σs − σblock, because the block already counted the concrete it displaces.</t>
  </si>
  <si>
    <t>bar</t>
  </si>
  <si>
    <t>u (mm)</t>
  </si>
  <si>
    <t>depth (mm)</t>
  </si>
  <si>
    <t>ε</t>
  </si>
  <si>
    <t>εt</t>
  </si>
  <si>
    <t>σs (MPa)</t>
  </si>
  <si>
    <t>in block</t>
  </si>
  <si>
    <t>σdisp</t>
  </si>
  <si>
    <t>σnet</t>
  </si>
  <si>
    <t>F (kN)</t>
  </si>
  <si>
    <t>Mx (kN·m)</t>
  </si>
  <si>
    <t>My (kN·m)</t>
  </si>
  <si>
    <t>NOMINAL AND DESIGN RESULTANTS AT θ</t>
  </si>
  <si>
    <t>P = Cc + ΣFs. φ interpolates linearly between φc at εy and φt at εt,limit on the controlling (most tensile) bar — the same rule the adapter applies, written out. The engine columns are the solver's own design resultants; the Δ column is the reconciliation.</t>
  </si>
  <si>
    <t>ΣFs (kN)</t>
  </si>
  <si>
    <t>Pn (kN)</t>
  </si>
  <si>
    <t>Mnx (kN·m)</t>
  </si>
  <si>
    <t>Mny (kN·m)</t>
  </si>
  <si>
    <t>εt,ctrl</t>
  </si>
  <si>
    <t>φ</t>
  </si>
  <si>
    <t>class</t>
  </si>
  <si>
    <t>φPn (kN)</t>
  </si>
  <si>
    <t>φMnx (kN·m)</t>
  </si>
  <si>
    <t>φMny (kN·m)</t>
  </si>
  <si>
    <t>engine φPn</t>
  </si>
  <si>
    <t>Δ (kN)</t>
  </si>
  <si>
    <t>worst |Δ|</t>
  </si>
  <si>
    <t>DESIGN SURFACE AT P = Pu, AND THE DEMAND-RAY QUERY</t>
  </si>
  <si>
    <t>The grid is the solver's design surface, sampled direction by direction. Everything after it — the P-interval bracket, the linear interpolation to Pu, and the ray query at θ_L — is a formula, because that logic is what a reviewer needs to see.</t>
  </si>
  <si>
    <t>dir</t>
  </si>
  <si>
    <t>θ (deg)</t>
  </si>
  <si>
    <t>row</t>
  </si>
  <si>
    <t>P (kN)</t>
  </si>
  <si>
    <t>P next</t>
  </si>
  <si>
    <t>Mx next</t>
  </si>
  <si>
    <t>My next</t>
  </si>
  <si>
    <t>brackets Pu</t>
  </si>
  <si>
    <t>t</t>
  </si>
  <si>
    <t>Mx @ Pu</t>
  </si>
  <si>
    <t>My @ Pu</t>
  </si>
  <si>
    <t>Demand-ray query at θ_L</t>
  </si>
  <si>
    <t>contour crossings at Pu</t>
  </si>
  <si>
    <t>number of grid edges the P = Pu plane cuts</t>
  </si>
  <si>
    <t>M(θ) on the contour</t>
  </si>
  <si>
    <t>mean radius of the contour points within 6° of the demand direction</t>
  </si>
  <si>
    <t>Mu demand</t>
  </si>
  <si>
    <t>from Input</t>
  </si>
  <si>
    <t>fixed-P utilization</t>
  </si>
  <si>
    <t>Mu / M(θ) — a diagnostic, not the governing check</t>
  </si>
  <si>
    <t>engine M(θ) on the triangulated surface</t>
  </si>
  <si>
    <t>no intersection</t>
  </si>
  <si>
    <t>The engine cuts a triangulated surface; this sheet can only interpolate the sampled grid it carries. Both readings are reported instead of pretending they are identical.</t>
  </si>
  <si>
    <t>VERTICAL P–Mθ SECTION THROUGH THE DEMAND DIRECTION</t>
  </si>
  <si>
    <t>A true plane cut of the design surface at θ_L, produced by the same slicer the Results plot uses. Mθ is the signed projection of (Mx, My) onto the demand direction, so a pole sits at Mθ = 0.</t>
  </si>
  <si>
    <t>path</t>
  </si>
  <si>
    <t>Mθ (kN·m)</t>
  </si>
  <si>
    <t>CONVERGED EQUIVALENT-BLOCK CAPACITY STATE ON THE DEMAND RAY</t>
  </si>
  <si>
    <t>θ* (block normal)</t>
  </si>
  <si>
    <t>solved direction; not the demand moment direction</t>
  </si>
  <si>
    <t>c*</t>
  </si>
  <si>
    <t>solved neutral-axis depth</t>
  </si>
  <si>
    <t>a* = β1·c*</t>
  </si>
  <si>
    <t>A_blk*</t>
  </si>
  <si>
    <t>mm²</t>
  </si>
  <si>
    <t>exact clipping at the solved state</t>
  </si>
  <si>
    <t>Cc*</t>
  </si>
  <si>
    <t>ΣFs*</t>
  </si>
  <si>
    <t>Pn*</t>
  </si>
  <si>
    <t>Mnx*</t>
  </si>
  <si>
    <t>Mny*</t>
  </si>
  <si>
    <t>controlling bar 1</t>
  </si>
  <si>
    <t>φ*</t>
  </si>
  <si>
    <t>compression-controlled</t>
  </si>
  <si>
    <t>utilization (governing ray)</t>
  </si>
  <si>
    <t>factored demand against the design surface</t>
  </si>
  <si>
    <t>capacity load factor λ</t>
  </si>
  <si>
    <t>boundary capacity = λ × factored demand; utilization = 1/λ</t>
  </si>
  <si>
    <t>axial cap governed</t>
  </si>
  <si>
    <t>Residual against the scaled demand ray at capacity</t>
  </si>
  <si>
    <t>P capacity residual</t>
  </si>
  <si>
    <t>Mx capacity residual</t>
  </si>
  <si>
    <t>My capacity residual</t>
  </si>
  <si>
    <t>relative residual</t>
  </si>
  <si>
    <t>A general demand does not lie on the design surface. The proportional solver scales it by λ to the boundary; this residual verifies that boundary state. It is not an independent check of the surface.</t>
  </si>
  <si>
    <t>GOVERNING DESIGN-RESISTANCE CHECK</t>
  </si>
  <si>
    <t>The design surface is authoritative for acceptance. Nominal resultants stay available for audit and are never compared directly with factored ULS demand.</t>
  </si>
  <si>
    <t>calculation profile</t>
  </si>
  <si>
    <t>kds-2024-current-set-global-strength-reduction</t>
  </si>
  <si>
    <t>preview status only; not an engineering approval</t>
  </si>
  <si>
    <t>resistance format</t>
  </si>
  <si>
    <t>global resultant factor</t>
  </si>
  <si>
    <t>one φ scales the complete P-Mx-My resultant</t>
  </si>
  <si>
    <t>axial cap</t>
  </si>
  <si>
    <t>0.8 × factored compression pole</t>
  </si>
  <si>
    <t>demand basis</t>
  </si>
  <si>
    <t>factoredULS</t>
  </si>
  <si>
    <t>the governing check accepts factored ULS only</t>
  </si>
  <si>
    <t>Factored ULS assessment</t>
  </si>
  <si>
    <t>governing utilization</t>
  </si>
  <si>
    <t>proportional 3D ray against the design surface</t>
  </si>
  <si>
    <t>n/a</t>
  </si>
  <si>
    <t>secondary diagnostic at constant axial force</t>
  </si>
  <si>
    <t>solver converged</t>
  </si>
  <si>
    <t>strain admissible</t>
  </si>
  <si>
    <t>message</t>
  </si>
  <si>
    <t>Factored ULS demand checked by the equivalent-block proportional-ray solver.</t>
  </si>
  <si>
    <t>verdict</t>
  </si>
  <si>
    <t>Preview output. It is not an accepted design result and must not be released as a design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</si>
</sst>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00"/>
    <numFmt numFmtId="165" formatCode="0.000000"/>
    <numFmt numFmtId="166" formatCode="#,##0.0000"/>
    <numFmt numFmtId="167" formatCode="#,##0.0"/>
    <numFmt numFmtId="168" formatCode="0.0000000"/>
    <numFmt numFmtId="169" formatCode="0.0000"/>
    <numFmt numFmtId="170" formatCode="0.000E+00"/>
  </numFmts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6B7280"/>
    </font>
    <font>
      <b/>
      <color rgb="FF1F3864"/>
      <sz val="11"/>
    </font>
    <font>
      <b/>
    </font>
    <font>
      <b/>
      <color rgb="FF92400E"/>
    </font>
    <font>
      <color rgb="FF1F3864"/>
    </font>
    <font>
      <b/>
      <sz val="10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5"/>
      </patternFill>
    </fill>
    <fill>
      <patternFill patternType="solid">
        <fgColor rgb="FFFFF3CD"/>
      </patternFill>
    </fill>
    <fill>
      <patternFill patternType="solid">
        <fgColor rgb="FFEFEFEF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 style="hair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/>
    <xf numFmtId="0" fontId="0" fillId="4" borderId="1" xfId="0" applyFill="1" applyBorder="1" applyAlignment="1">
      <alignment horizontal="left"/>
    </xf>
    <xf numFmtId="164" fontId="0" fillId="4" borderId="1" xfId="0" applyNumberFormat="1" applyFill="1" applyBorder="1"/>
    <xf numFmtId="165" fontId="0" fillId="4" borderId="1" xfId="0" applyNumberFormat="1" applyFill="1" applyBorder="1"/>
    <xf numFmtId="166" fontId="4" fillId="0" borderId="0" xfId="0" applyNumberFormat="1" applyFont="1"/>
    <xf numFmtId="4" fontId="0" fillId="0" borderId="0" xfId="0" applyNumberFormat="1"/>
    <xf numFmtId="0" fontId="5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6" borderId="2" xfId="0" applyFont="1" applyFill="1" applyBorder="1" applyAlignment="1">
      <alignment horizontal="center" vertical="center" wrapText="1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2" fillId="0" borderId="0" xfId="0" applyFont="1"/>
    <xf numFmtId="167" fontId="4" fillId="0" borderId="0" xfId="0" applyNumberFormat="1" applyFont="1"/>
    <xf numFmtId="166" fontId="0" fillId="0" borderId="0" xfId="0" applyNumberFormat="1"/>
    <xf numFmtId="164" fontId="0" fillId="5" borderId="0" xfId="0" applyNumberFormat="1" applyFill="1"/>
    <xf numFmtId="165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5" borderId="0" xfId="0" applyFill="1"/>
    <xf numFmtId="166" fontId="0" fillId="5" borderId="0" xfId="0" applyNumberFormat="1" applyFill="1"/>
    <xf numFmtId="17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20" customWidth="1"/>
    <col min="4" max="4" width="10" customWidth="1"/>
    <col min="5" max="5" width="66" customWidth="1"/>
  </cols>
  <sheetData>
    <row r="1" ht="22" customHeight="1" spans="2:5" x14ac:dyDescent="0.25">
      <c r="B1" s="1" t="s">
        <v>0</v>
      </c>
      <c r="C1" s="1"/>
      <c r="D1" s="1"/>
      <c r="E1" s="1"/>
    </row>
    <row r="2" spans="2:5" x14ac:dyDescent="0.25">
      <c r="B2" t="s">
        <v>1</v>
      </c>
      <c r="C2" t="s">
        <v>2</v>
      </c>
      <c r="E2" s="2" t="s">
        <v>3</v>
      </c>
    </row>
    <row r="3" spans="2:5" x14ac:dyDescent="0.25">
      <c r="B3" t="s">
        <v>4</v>
      </c>
      <c r="C3" t="s">
        <v>5</v>
      </c>
      <c r="E3" s="2"/>
    </row>
    <row r="4" spans="2:5" x14ac:dyDescent="0.25">
      <c r="B4" t="s">
        <v>6</v>
      </c>
      <c r="C4" t="s">
        <v>7</v>
      </c>
      <c r="E4" s="2"/>
    </row>
    <row r="6" spans="2:5" x14ac:dyDescent="0.25">
      <c r="B6" s="3" t="s">
        <v>8</v>
      </c>
      <c r="C6" s="3"/>
      <c r="D6" s="3"/>
      <c r="E6" s="3"/>
    </row>
    <row r="7" spans="2:5" x14ac:dyDescent="0.25">
      <c r="B7" t="s">
        <v>9</v>
      </c>
      <c r="C7" s="4" t="s">
        <v>10</v>
      </c>
      <c r="D7" t="s">
        <v>11</v>
      </c>
      <c r="E7" s="2" t="s">
        <v>12</v>
      </c>
    </row>
    <row r="8" spans="2:5" x14ac:dyDescent="0.25">
      <c r="B8" t="s">
        <v>13</v>
      </c>
      <c r="C8" s="4" t="s">
        <v>14</v>
      </c>
      <c r="D8" t="s">
        <v>11</v>
      </c>
      <c r="E8" s="2" t="s">
        <v>15</v>
      </c>
    </row>
    <row r="9" spans="2:5" x14ac:dyDescent="0.25">
      <c r="B9" t="s">
        <v>16</v>
      </c>
      <c r="C9" s="4" t="s">
        <v>17</v>
      </c>
      <c r="D9" t="s">
        <v>11</v>
      </c>
      <c r="E9" s="2" t="s">
        <v>18</v>
      </c>
    </row>
    <row r="10" spans="2:4" x14ac:dyDescent="0.25">
      <c r="B10" t="s">
        <v>19</v>
      </c>
      <c r="C10" s="4" t="s">
        <v>20</v>
      </c>
      <c r="D10" t="s">
        <v>11</v>
      </c>
    </row>
    <row r="12" spans="2:5" x14ac:dyDescent="0.25">
      <c r="B12" s="3" t="s">
        <v>21</v>
      </c>
      <c r="C12" s="3"/>
      <c r="D12" s="3"/>
      <c r="E12" s="3"/>
    </row>
    <row r="13" spans="2:5" x14ac:dyDescent="0.25">
      <c r="B13" t="s">
        <v>22</v>
      </c>
      <c r="C13" s="4" t="s">
        <v>23</v>
      </c>
      <c r="D13" t="s">
        <v>11</v>
      </c>
      <c r="E13" s="2" t="s">
        <v>24</v>
      </c>
    </row>
    <row r="14" spans="2:5" x14ac:dyDescent="0.25">
      <c r="B14" t="s">
        <v>25</v>
      </c>
      <c r="C14" s="5">
        <v>30</v>
      </c>
      <c r="D14" t="s">
        <v>26</v>
      </c>
      <c r="E14" s="2" t="s">
        <v>27</v>
      </c>
    </row>
    <row r="15" spans="2:5" x14ac:dyDescent="0.25">
      <c r="B15" t="s">
        <v>28</v>
      </c>
      <c r="C15" s="5">
        <v>0.85</v>
      </c>
      <c r="D15" t="s">
        <v>29</v>
      </c>
      <c r="E15" s="2" t="s">
        <v>30</v>
      </c>
    </row>
    <row r="16" spans="2:4" x14ac:dyDescent="0.25">
      <c r="B16" t="s">
        <v>31</v>
      </c>
      <c r="C16" s="5">
        <f>alpha*fck</f>
        <v>25.5</v>
      </c>
      <c r="D16" t="s">
        <v>26</v>
      </c>
    </row>
    <row r="17" spans="2:5" x14ac:dyDescent="0.25">
      <c r="B17" t="s">
        <v>32</v>
      </c>
      <c r="C17" s="5">
        <v>0.8</v>
      </c>
      <c r="D17" t="s">
        <v>29</v>
      </c>
      <c r="E17" s="2" t="s">
        <v>33</v>
      </c>
    </row>
    <row r="18" spans="2:5" x14ac:dyDescent="0.25">
      <c r="B18" t="s">
        <v>34</v>
      </c>
      <c r="C18" s="6">
        <v>0.0033</v>
      </c>
      <c r="D18" t="s">
        <v>29</v>
      </c>
      <c r="E18" s="2" t="s">
        <v>35</v>
      </c>
    </row>
    <row r="19" spans="2:5" x14ac:dyDescent="0.25">
      <c r="B19" t="s">
        <v>36</v>
      </c>
      <c r="C19" s="4" t="s">
        <v>37</v>
      </c>
      <c r="D19" t="s">
        <v>11</v>
      </c>
      <c r="E19" s="2" t="s">
        <v>38</v>
      </c>
    </row>
    <row r="21" spans="2:5" x14ac:dyDescent="0.25">
      <c r="B21" s="3" t="s">
        <v>39</v>
      </c>
      <c r="C21" s="3"/>
      <c r="D21" s="3"/>
      <c r="E21" s="3"/>
    </row>
    <row r="22" spans="2:5" x14ac:dyDescent="0.25">
      <c r="B22" t="s">
        <v>22</v>
      </c>
      <c r="C22" s="4" t="s">
        <v>23</v>
      </c>
      <c r="D22" t="s">
        <v>11</v>
      </c>
      <c r="E22" s="2" t="s">
        <v>40</v>
      </c>
    </row>
    <row r="23" spans="2:4" x14ac:dyDescent="0.25">
      <c r="B23" t="s">
        <v>41</v>
      </c>
      <c r="C23" s="5">
        <v>200000</v>
      </c>
      <c r="D23" t="s">
        <v>26</v>
      </c>
    </row>
    <row r="24" spans="2:4" x14ac:dyDescent="0.25">
      <c r="B24" t="s">
        <v>42</v>
      </c>
      <c r="C24" s="5">
        <v>400</v>
      </c>
      <c r="D24" t="s">
        <v>26</v>
      </c>
    </row>
    <row r="25" spans="2:5" x14ac:dyDescent="0.25">
      <c r="B25" t="s">
        <v>43</v>
      </c>
      <c r="C25" s="5">
        <v>1</v>
      </c>
      <c r="D25" t="s">
        <v>29</v>
      </c>
      <c r="E25" s="2" t="s">
        <v>44</v>
      </c>
    </row>
    <row r="26" spans="2:4" x14ac:dyDescent="0.25">
      <c r="B26" t="s">
        <v>45</v>
      </c>
      <c r="C26" s="5">
        <f>fy_char</f>
        <v>400</v>
      </c>
      <c r="D26" t="s">
        <v>26</v>
      </c>
    </row>
    <row r="27" spans="2:4" x14ac:dyDescent="0.25">
      <c r="B27" t="s">
        <v>46</v>
      </c>
      <c r="C27" s="6">
        <f>fy/Es</f>
        <v>0.002</v>
      </c>
      <c r="D27" t="s">
        <v>29</v>
      </c>
    </row>
    <row r="28" spans="2:5" x14ac:dyDescent="0.25">
      <c r="B28" t="s">
        <v>47</v>
      </c>
      <c r="C28" s="4" t="s">
        <v>48</v>
      </c>
      <c r="D28" t="s">
        <v>29</v>
      </c>
      <c r="E28" s="2" t="s">
        <v>49</v>
      </c>
    </row>
    <row r="29" spans="2:4" x14ac:dyDescent="0.25">
      <c r="B29" t="s">
        <v>50</v>
      </c>
      <c r="C29" s="4" t="s">
        <v>51</v>
      </c>
      <c r="D29" t="s">
        <v>11</v>
      </c>
    </row>
    <row r="31" spans="2:5" x14ac:dyDescent="0.25">
      <c r="B31" s="3" t="s">
        <v>52</v>
      </c>
      <c r="C31" s="3"/>
      <c r="D31" s="3"/>
      <c r="E31" s="3"/>
    </row>
    <row r="32" spans="2:5" x14ac:dyDescent="0.25">
      <c r="B32" t="s">
        <v>53</v>
      </c>
      <c r="C32" s="4" t="s">
        <v>54</v>
      </c>
      <c r="D32" t="s">
        <v>11</v>
      </c>
      <c r="E32" s="2" t="s">
        <v>55</v>
      </c>
    </row>
    <row r="33" spans="2:4" x14ac:dyDescent="0.25">
      <c r="B33" t="s">
        <v>56</v>
      </c>
      <c r="C33" s="5">
        <v>0.65</v>
      </c>
      <c r="D33" t="s">
        <v>29</v>
      </c>
    </row>
    <row r="34" spans="2:4" x14ac:dyDescent="0.25">
      <c r="B34" t="s">
        <v>57</v>
      </c>
      <c r="C34" s="5">
        <v>0.85</v>
      </c>
      <c r="D34" t="s">
        <v>29</v>
      </c>
    </row>
    <row r="35" spans="2:5" x14ac:dyDescent="0.25">
      <c r="B35" t="s">
        <v>58</v>
      </c>
      <c r="C35" s="6">
        <v>0.005</v>
      </c>
      <c r="D35" t="s">
        <v>29</v>
      </c>
      <c r="E35" s="2" t="s">
        <v>59</v>
      </c>
    </row>
    <row r="36" spans="2:4" x14ac:dyDescent="0.25">
      <c r="B36" t="s">
        <v>60</v>
      </c>
      <c r="C36" s="5">
        <v>0.8</v>
      </c>
      <c r="D36" t="s">
        <v>29</v>
      </c>
    </row>
    <row r="37" spans="2:5" x14ac:dyDescent="0.25">
      <c r="B37" t="s">
        <v>61</v>
      </c>
      <c r="C37" s="4" t="s">
        <v>37</v>
      </c>
      <c r="D37" t="s">
        <v>11</v>
      </c>
      <c r="E37" s="2" t="s">
        <v>62</v>
      </c>
    </row>
    <row r="39" spans="2:5" x14ac:dyDescent="0.25">
      <c r="B39" s="3" t="s">
        <v>63</v>
      </c>
      <c r="C39" s="3"/>
      <c r="D39" s="3"/>
      <c r="E39" s="3"/>
    </row>
    <row r="40" spans="2:5" x14ac:dyDescent="0.25">
      <c r="B40" t="s">
        <v>64</v>
      </c>
      <c r="C40" s="5">
        <v>14.999999999999982</v>
      </c>
      <c r="D40" t="s">
        <v>65</v>
      </c>
      <c r="E40" s="2" t="s">
        <v>66</v>
      </c>
    </row>
    <row r="41" spans="2:5" x14ac:dyDescent="0.25">
      <c r="B41" t="s">
        <v>67</v>
      </c>
      <c r="C41" s="5">
        <v>827.9719877578094</v>
      </c>
      <c r="D41" t="s">
        <v>68</v>
      </c>
      <c r="E41" s="2" t="s">
        <v>69</v>
      </c>
    </row>
    <row r="42" spans="2:4" x14ac:dyDescent="0.25">
      <c r="B42" t="s">
        <v>70</v>
      </c>
      <c r="C42" s="5">
        <v>1655.9439755156188</v>
      </c>
      <c r="D42" t="s">
        <v>68</v>
      </c>
    </row>
    <row r="43" spans="2:5" x14ac:dyDescent="0.25">
      <c r="B43" t="s">
        <v>71</v>
      </c>
      <c r="C43" s="6">
        <v>1.5e-7</v>
      </c>
      <c r="D43" t="s">
        <v>68</v>
      </c>
      <c r="E43" s="2" t="s">
        <v>72</v>
      </c>
    </row>
    <row r="44" spans="2:5" x14ac:dyDescent="0.25">
      <c r="B44" t="s">
        <v>73</v>
      </c>
      <c r="C44" s="5">
        <v>0</v>
      </c>
      <c r="D44" t="s">
        <v>68</v>
      </c>
      <c r="E44" s="2" t="s">
        <v>74</v>
      </c>
    </row>
    <row r="45" spans="2:5" x14ac:dyDescent="0.25">
      <c r="B45" t="s">
        <v>75</v>
      </c>
      <c r="C45" s="5">
        <v>0</v>
      </c>
      <c r="D45" t="s">
        <v>68</v>
      </c>
      <c r="E45" s="2" t="s">
        <v>76</v>
      </c>
    </row>
    <row r="46" spans="2:5" x14ac:dyDescent="0.25">
      <c r="B46" t="s">
        <v>77</v>
      </c>
      <c r="C46" s="5">
        <v>35</v>
      </c>
      <c r="D46" t="s">
        <v>29</v>
      </c>
      <c r="E46" s="2" t="s">
        <v>78</v>
      </c>
    </row>
    <row r="47" spans="2:5" x14ac:dyDescent="0.25">
      <c r="B47" t="s">
        <v>79</v>
      </c>
      <c r="C47" s="5">
        <v>92</v>
      </c>
      <c r="D47" t="s">
        <v>29</v>
      </c>
      <c r="E47" s="2" t="s">
        <v>80</v>
      </c>
    </row>
    <row r="48" spans="2:5" x14ac:dyDescent="0.25">
      <c r="B48" t="s">
        <v>81</v>
      </c>
      <c r="C48" s="6">
        <v>0.007275975627996106</v>
      </c>
      <c r="D48" t="s">
        <v>29</v>
      </c>
      <c r="E48" s="2" t="s">
        <v>82</v>
      </c>
    </row>
    <row r="49" spans="2:5" x14ac:dyDescent="0.25">
      <c r="B49" t="s">
        <v>83</v>
      </c>
      <c r="C49" s="6">
        <v>0.0071886009699584025</v>
      </c>
      <c r="D49" t="s">
        <v>29</v>
      </c>
      <c r="E49" s="2" t="s">
        <v>82</v>
      </c>
    </row>
    <row r="50" spans="2:5" x14ac:dyDescent="0.25">
      <c r="B50" t="s">
        <v>84</v>
      </c>
      <c r="C50" s="4" t="s">
        <v>37</v>
      </c>
      <c r="D50" t="s">
        <v>11</v>
      </c>
      <c r="E50" s="2" t="s">
        <v>85</v>
      </c>
    </row>
    <row r="52" spans="2:5" x14ac:dyDescent="0.25">
      <c r="B52" s="3" t="s">
        <v>86</v>
      </c>
      <c r="C52" s="3"/>
      <c r="D52" s="3"/>
      <c r="E52" s="3"/>
    </row>
    <row r="53" spans="2:5" x14ac:dyDescent="0.25">
      <c r="B53" t="s">
        <v>87</v>
      </c>
      <c r="C53" s="5">
        <v>24942.922102452183</v>
      </c>
      <c r="D53" t="s">
        <v>88</v>
      </c>
      <c r="E53" s="2" t="s">
        <v>89</v>
      </c>
    </row>
    <row r="54" spans="2:4" x14ac:dyDescent="0.25">
      <c r="B54" t="s">
        <v>90</v>
      </c>
      <c r="C54" s="5">
        <v>3714.165943842699</v>
      </c>
      <c r="D54" t="s">
        <v>91</v>
      </c>
    </row>
    <row r="55" spans="2:4" x14ac:dyDescent="0.25">
      <c r="B55" t="s">
        <v>92</v>
      </c>
      <c r="C55" s="5">
        <v>1431.7807276950741</v>
      </c>
      <c r="D55" t="s">
        <v>91</v>
      </c>
    </row>
    <row r="57" spans="2:5" x14ac:dyDescent="0.25">
      <c r="B57" t="s">
        <v>93</v>
      </c>
      <c r="C57" s="7">
        <f>IF(AND(Mux=0,Muy=0),0,DEGREES(ATAN2(Mux,Muy)))</f>
      </c>
      <c r="D57" t="s">
        <v>65</v>
      </c>
      <c r="E57" s="2" t="s">
        <v>94</v>
      </c>
    </row>
    <row r="58" spans="2:4" x14ac:dyDescent="0.25">
      <c r="B58" t="s">
        <v>95</v>
      </c>
      <c r="C58" s="8">
        <f>SQRT(Mux^2+Muy^2)</f>
      </c>
      <c r="D58" t="s">
        <v>91</v>
      </c>
    </row>
    <row r="60" spans="2:5" x14ac:dyDescent="0.25">
      <c r="B60" s="3" t="s">
        <v>96</v>
      </c>
      <c r="C60" s="3"/>
      <c r="D60" s="3"/>
      <c r="E60" s="3"/>
    </row>
    <row r="61" spans="2:3" x14ac:dyDescent="0.25">
      <c r="B61" t="s">
        <v>97</v>
      </c>
      <c r="C61" t="s">
        <v>98</v>
      </c>
    </row>
    <row r="62" spans="2:5" x14ac:dyDescent="0.25">
      <c r="B62" t="s">
        <v>99</v>
      </c>
      <c r="C62" t="s">
        <v>100</v>
      </c>
      <c r="E62" s="2" t="s">
        <v>101</v>
      </c>
    </row>
    <row r="64" spans="2:5" x14ac:dyDescent="0.25">
      <c r="B64" s="3" t="s">
        <v>102</v>
      </c>
      <c r="C64" s="3"/>
      <c r="D64" s="3"/>
      <c r="E64" s="3"/>
    </row>
    <row r="65" spans="2:5" x14ac:dyDescent="0.25">
      <c r="B65" t="s">
        <v>103</v>
      </c>
      <c r="C65" s="9" t="s">
        <v>104</v>
      </c>
      <c r="E65" s="2" t="s">
        <v>105</v>
      </c>
    </row>
    <row r="66" spans="2:5" x14ac:dyDescent="0.25">
      <c r="B66" t="s">
        <v>106</v>
      </c>
      <c r="C66" s="9" t="s">
        <v>104</v>
      </c>
      <c r="E66" s="2" t="s">
        <v>107</v>
      </c>
    </row>
    <row r="67" spans="2:5" x14ac:dyDescent="0.25">
      <c r="B67" t="s">
        <v>108</v>
      </c>
      <c r="C67" s="10" t="s">
        <v>109</v>
      </c>
      <c r="E67" s="2" t="s">
        <v>110</v>
      </c>
    </row>
    <row r="68" spans="2:5" x14ac:dyDescent="0.25">
      <c r="B68" t="s">
        <v>111</v>
      </c>
      <c r="C68" s="9" t="s">
        <v>104</v>
      </c>
      <c r="E68" s="2" t="s">
        <v>112</v>
      </c>
    </row>
    <row r="69" spans="2:5" x14ac:dyDescent="0.25">
      <c r="B69" t="s">
        <v>113</v>
      </c>
      <c r="C69" s="9" t="s">
        <v>104</v>
      </c>
      <c r="E69" s="2" t="s">
        <v>114</v>
      </c>
    </row>
    <row r="70" spans="2:5" x14ac:dyDescent="0.25">
      <c r="B70" t="s">
        <v>115</v>
      </c>
      <c r="C70" s="10" t="s">
        <v>109</v>
      </c>
      <c r="E70" s="2" t="s">
        <v>116</v>
      </c>
    </row>
    <row r="71" spans="2:5" x14ac:dyDescent="0.25">
      <c r="B71" t="s">
        <v>117</v>
      </c>
      <c r="C71" s="10" t="s">
        <v>109</v>
      </c>
      <c r="E71" s="2" t="s">
        <v>118</v>
      </c>
    </row>
    <row r="72" spans="2:5" x14ac:dyDescent="0.25">
      <c r="B72" t="s">
        <v>119</v>
      </c>
      <c r="C72" s="9" t="s">
        <v>104</v>
      </c>
      <c r="E72" s="2" t="s">
        <v>120</v>
      </c>
    </row>
    <row r="73" spans="2:5" x14ac:dyDescent="0.25">
      <c r="B73" t="s">
        <v>121</v>
      </c>
      <c r="C73" s="10" t="s">
        <v>109</v>
      </c>
      <c r="E73" s="2" t="s">
        <v>122</v>
      </c>
    </row>
    <row r="74" spans="2:5" x14ac:dyDescent="0.25">
      <c r="B74" t="s">
        <v>123</v>
      </c>
      <c r="C74" s="9" t="s">
        <v>104</v>
      </c>
      <c r="E74" s="2" t="s">
        <v>124</v>
      </c>
    </row>
    <row r="75" spans="2:5" x14ac:dyDescent="0.25">
      <c r="B75" t="s">
        <v>125</v>
      </c>
      <c r="C75" s="10" t="s">
        <v>109</v>
      </c>
      <c r="E75" s="2" t="s">
        <v>126</v>
      </c>
    </row>
  </sheetData>
  <mergeCells count="10">
    <mergeCell ref="B1:E1"/>
    <mergeCell ref="E2:E4"/>
    <mergeCell ref="B6:E6"/>
    <mergeCell ref="B12:E12"/>
    <mergeCell ref="B21:E21"/>
    <mergeCell ref="B31:E31"/>
    <mergeCell ref="B39:E39"/>
    <mergeCell ref="B52:E52"/>
    <mergeCell ref="B60:E60"/>
    <mergeCell ref="B64:E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4" width="8" customWidth="1"/>
    <col min="5" max="6" width="14" customWidth="1"/>
    <col min="7" max="9" width="16" customWidth="1"/>
    <col min="10" max="10" width="40" customWidth="1"/>
  </cols>
  <sheetData>
    <row r="1" ht="22" customHeight="1" spans="2:9" x14ac:dyDescent="0.25">
      <c r="B1" s="1" t="s">
        <v>127</v>
      </c>
      <c r="C1" s="1"/>
      <c r="D1" s="1"/>
      <c r="E1" s="1"/>
      <c r="F1" s="1"/>
      <c r="G1" s="1"/>
      <c r="H1" s="1"/>
      <c r="I1" s="1"/>
    </row>
    <row r="2" spans="2:10" x14ac:dyDescent="0.25">
      <c r="B2" s="2" t="s">
        <v>128</v>
      </c>
      <c r="C2" s="2"/>
      <c r="D2" s="2"/>
      <c r="E2" s="2"/>
      <c r="F2" s="2"/>
      <c r="G2" s="2"/>
      <c r="H2" s="2"/>
      <c r="I2" s="2"/>
      <c r="J2" s="2"/>
    </row>
    <row r="4" ht="28" customHeight="1" spans="2:9" x14ac:dyDescent="0.25">
      <c r="B4" s="11" t="s">
        <v>129</v>
      </c>
      <c r="C4" s="11" t="s">
        <v>130</v>
      </c>
      <c r="D4" s="11" t="s">
        <v>131</v>
      </c>
      <c r="E4" s="11" t="s">
        <v>132</v>
      </c>
      <c r="F4" s="11" t="s">
        <v>133</v>
      </c>
      <c r="G4" s="11" t="s">
        <v>134</v>
      </c>
      <c r="H4" s="11" t="s">
        <v>135</v>
      </c>
      <c r="I4" s="11" t="s">
        <v>136</v>
      </c>
    </row>
    <row r="5" spans="2:9" x14ac:dyDescent="0.25">
      <c r="B5">
        <v>1</v>
      </c>
      <c r="C5">
        <v>1</v>
      </c>
      <c r="D5" t="s">
        <v>137</v>
      </c>
      <c r="E5" s="12">
        <v>-550</v>
      </c>
      <c r="F5" s="12">
        <v>600</v>
      </c>
      <c r="G5" s="12">
        <f>E5*F6-E6*F5</f>
      </c>
      <c r="H5" s="12">
        <f>(E5+E6)*G5</f>
      </c>
      <c r="I5" s="12">
        <f>(F5+F6)*G5</f>
      </c>
    </row>
    <row r="6" spans="2:9" x14ac:dyDescent="0.25">
      <c r="B6">
        <v>2</v>
      </c>
      <c r="C6">
        <v>1</v>
      </c>
      <c r="D6" t="s">
        <v>137</v>
      </c>
      <c r="E6" s="12">
        <v>550</v>
      </c>
      <c r="F6" s="12">
        <v>600</v>
      </c>
      <c r="G6" s="12">
        <f>E6*F7-E7*F6</f>
      </c>
      <c r="H6" s="12">
        <f>(E6+E7)*G6</f>
      </c>
      <c r="I6" s="12">
        <f>(F6+F7)*G6</f>
      </c>
    </row>
    <row r="7" spans="2:9" x14ac:dyDescent="0.25">
      <c r="B7">
        <v>3</v>
      </c>
      <c r="C7">
        <v>1</v>
      </c>
      <c r="D7" t="s">
        <v>137</v>
      </c>
      <c r="E7" s="12">
        <v>750</v>
      </c>
      <c r="F7" s="12">
        <v>400</v>
      </c>
      <c r="G7" s="12">
        <f>E7*F8-E8*F7</f>
      </c>
      <c r="H7" s="12">
        <f>(E7+E8)*G7</f>
      </c>
      <c r="I7" s="12">
        <f>(F7+F8)*G7</f>
      </c>
    </row>
    <row r="8" spans="2:9" x14ac:dyDescent="0.25">
      <c r="B8">
        <v>4</v>
      </c>
      <c r="C8">
        <v>1</v>
      </c>
      <c r="D8" t="s">
        <v>137</v>
      </c>
      <c r="E8" s="12">
        <v>750</v>
      </c>
      <c r="F8" s="12">
        <v>-400</v>
      </c>
      <c r="G8" s="12">
        <f>E8*F9-E9*F8</f>
      </c>
      <c r="H8" s="12">
        <f>(E8+E9)*G8</f>
      </c>
      <c r="I8" s="12">
        <f>(F8+F9)*G8</f>
      </c>
    </row>
    <row r="9" spans="2:9" x14ac:dyDescent="0.25">
      <c r="B9">
        <v>5</v>
      </c>
      <c r="C9">
        <v>1</v>
      </c>
      <c r="D9" t="s">
        <v>137</v>
      </c>
      <c r="E9" s="12">
        <v>550</v>
      </c>
      <c r="F9" s="12">
        <v>-600</v>
      </c>
      <c r="G9" s="12">
        <f>E9*F10-E10*F9</f>
      </c>
      <c r="H9" s="12">
        <f>(E9+E10)*G9</f>
      </c>
      <c r="I9" s="12">
        <f>(F9+F10)*G9</f>
      </c>
    </row>
    <row r="10" spans="2:9" x14ac:dyDescent="0.25">
      <c r="B10">
        <v>6</v>
      </c>
      <c r="C10">
        <v>1</v>
      </c>
      <c r="D10" t="s">
        <v>137</v>
      </c>
      <c r="E10" s="12">
        <v>-550</v>
      </c>
      <c r="F10" s="12">
        <v>-600</v>
      </c>
      <c r="G10" s="12">
        <f>E10*F11-E11*F10</f>
      </c>
      <c r="H10" s="12">
        <f>(E10+E11)*G10</f>
      </c>
      <c r="I10" s="12">
        <f>(F10+F11)*G10</f>
      </c>
    </row>
    <row r="11" spans="2:9" x14ac:dyDescent="0.25">
      <c r="B11">
        <v>7</v>
      </c>
      <c r="C11">
        <v>1</v>
      </c>
      <c r="D11" t="s">
        <v>137</v>
      </c>
      <c r="E11" s="12">
        <v>-750</v>
      </c>
      <c r="F11" s="12">
        <v>-400</v>
      </c>
      <c r="G11" s="12">
        <f>E11*F12-E12*F11</f>
      </c>
      <c r="H11" s="12">
        <f>(E11+E12)*G11</f>
      </c>
      <c r="I11" s="12">
        <f>(F11+F12)*G11</f>
      </c>
    </row>
    <row r="12" spans="2:9" x14ac:dyDescent="0.25">
      <c r="B12">
        <v>8</v>
      </c>
      <c r="C12">
        <v>1</v>
      </c>
      <c r="D12" t="s">
        <v>137</v>
      </c>
      <c r="E12" s="12">
        <v>-750</v>
      </c>
      <c r="F12" s="12">
        <v>400</v>
      </c>
      <c r="G12" s="12">
        <f>E12*F5-E5*F12</f>
      </c>
      <c r="H12" s="12">
        <f>(E12+E5)*G12</f>
      </c>
      <c r="I12" s="12">
        <f>(F12+F5)*G12</f>
      </c>
    </row>
    <row r="13" spans="4:10" x14ac:dyDescent="0.25">
      <c r="D13" s="13" t="s">
        <v>138</v>
      </c>
      <c r="G13" s="14">
        <f>SUM(G5:G12)/2</f>
      </c>
      <c r="H13" s="14">
        <f>SUM(H5:H12)/6</f>
      </c>
      <c r="I13" s="14">
        <f>SUM(I5:I12)/6</f>
      </c>
      <c r="J13" s="15" t="s">
        <v>139</v>
      </c>
    </row>
    <row r="15" spans="2:9" x14ac:dyDescent="0.25">
      <c r="B15">
        <v>1</v>
      </c>
      <c r="C15">
        <v>1</v>
      </c>
      <c r="D15" t="s">
        <v>140</v>
      </c>
      <c r="E15" s="12">
        <v>-450</v>
      </c>
      <c r="F15" s="12">
        <v>400</v>
      </c>
      <c r="G15" s="12">
        <f>E15*F16-E16*F15</f>
      </c>
      <c r="H15" s="12">
        <f>(E15+E16)*G15</f>
      </c>
      <c r="I15" s="12">
        <f>(F15+F16)*G15</f>
      </c>
    </row>
    <row r="16" spans="2:9" x14ac:dyDescent="0.25">
      <c r="B16">
        <v>2</v>
      </c>
      <c r="C16">
        <v>1</v>
      </c>
      <c r="D16" t="s">
        <v>140</v>
      </c>
      <c r="E16" s="12">
        <v>-250</v>
      </c>
      <c r="F16" s="12">
        <v>400</v>
      </c>
      <c r="G16" s="12">
        <f>E16*F17-E17*F16</f>
      </c>
      <c r="H16" s="12">
        <f>(E16+E17)*G16</f>
      </c>
      <c r="I16" s="12">
        <f>(F16+F17)*G16</f>
      </c>
    </row>
    <row r="17" spans="2:9" x14ac:dyDescent="0.25">
      <c r="B17">
        <v>3</v>
      </c>
      <c r="C17">
        <v>1</v>
      </c>
      <c r="D17" t="s">
        <v>140</v>
      </c>
      <c r="E17" s="12">
        <v>-150</v>
      </c>
      <c r="F17" s="12">
        <v>300</v>
      </c>
      <c r="G17" s="12">
        <f>E17*F18-E18*F17</f>
      </c>
      <c r="H17" s="12">
        <f>(E17+E18)*G17</f>
      </c>
      <c r="I17" s="12">
        <f>(F17+F18)*G17</f>
      </c>
    </row>
    <row r="18" spans="2:9" x14ac:dyDescent="0.25">
      <c r="B18">
        <v>4</v>
      </c>
      <c r="C18">
        <v>1</v>
      </c>
      <c r="D18" t="s">
        <v>140</v>
      </c>
      <c r="E18" s="12">
        <v>-150</v>
      </c>
      <c r="F18" s="12">
        <v>-300</v>
      </c>
      <c r="G18" s="12">
        <f>E18*F19-E19*F18</f>
      </c>
      <c r="H18" s="12">
        <f>(E18+E19)*G18</f>
      </c>
      <c r="I18" s="12">
        <f>(F18+F19)*G18</f>
      </c>
    </row>
    <row r="19" spans="2:9" x14ac:dyDescent="0.25">
      <c r="B19">
        <v>5</v>
      </c>
      <c r="C19">
        <v>1</v>
      </c>
      <c r="D19" t="s">
        <v>140</v>
      </c>
      <c r="E19" s="12">
        <v>-250</v>
      </c>
      <c r="F19" s="12">
        <v>-400</v>
      </c>
      <c r="G19" s="12">
        <f>E19*F20-E20*F19</f>
      </c>
      <c r="H19" s="12">
        <f>(E19+E20)*G19</f>
      </c>
      <c r="I19" s="12">
        <f>(F19+F20)*G19</f>
      </c>
    </row>
    <row r="20" spans="2:9" x14ac:dyDescent="0.25">
      <c r="B20">
        <v>6</v>
      </c>
      <c r="C20">
        <v>1</v>
      </c>
      <c r="D20" t="s">
        <v>140</v>
      </c>
      <c r="E20" s="12">
        <v>-450</v>
      </c>
      <c r="F20" s="12">
        <v>-400</v>
      </c>
      <c r="G20" s="12">
        <f>E20*F21-E21*F20</f>
      </c>
      <c r="H20" s="12">
        <f>(E20+E21)*G20</f>
      </c>
      <c r="I20" s="12">
        <f>(F20+F21)*G20</f>
      </c>
    </row>
    <row r="21" spans="2:9" x14ac:dyDescent="0.25">
      <c r="B21">
        <v>7</v>
      </c>
      <c r="C21">
        <v>1</v>
      </c>
      <c r="D21" t="s">
        <v>140</v>
      </c>
      <c r="E21" s="12">
        <v>-550</v>
      </c>
      <c r="F21" s="12">
        <v>-300</v>
      </c>
      <c r="G21" s="12">
        <f>E21*F22-E22*F21</f>
      </c>
      <c r="H21" s="12">
        <f>(E21+E22)*G21</f>
      </c>
      <c r="I21" s="12">
        <f>(F21+F22)*G21</f>
      </c>
    </row>
    <row r="22" spans="2:9" x14ac:dyDescent="0.25">
      <c r="B22">
        <v>8</v>
      </c>
      <c r="C22">
        <v>1</v>
      </c>
      <c r="D22" t="s">
        <v>140</v>
      </c>
      <c r="E22" s="12">
        <v>-550</v>
      </c>
      <c r="F22" s="12">
        <v>300</v>
      </c>
      <c r="G22" s="12">
        <f>E22*F15-E15*F22</f>
      </c>
      <c r="H22" s="12">
        <f>(E22+E15)*G22</f>
      </c>
      <c r="I22" s="12">
        <f>(F22+F15)*G22</f>
      </c>
    </row>
    <row r="23" spans="4:10" x14ac:dyDescent="0.25">
      <c r="D23" s="13" t="s">
        <v>138</v>
      </c>
      <c r="G23" s="14">
        <f>SUM(G15:G22)/2</f>
      </c>
      <c r="H23" s="14">
        <f>SUM(H15:H22)/6</f>
      </c>
      <c r="I23" s="14">
        <f>SUM(I15:I22)/6</f>
      </c>
      <c r="J23" s="15" t="s">
        <v>141</v>
      </c>
    </row>
    <row r="25" spans="2:9" x14ac:dyDescent="0.25">
      <c r="B25">
        <v>1</v>
      </c>
      <c r="C25">
        <v>1</v>
      </c>
      <c r="D25" t="s">
        <v>142</v>
      </c>
      <c r="E25" s="12">
        <v>250</v>
      </c>
      <c r="F25" s="12">
        <v>400</v>
      </c>
      <c r="G25" s="12">
        <f>E25*F26-E26*F25</f>
      </c>
      <c r="H25" s="12">
        <f>(E25+E26)*G25</f>
      </c>
      <c r="I25" s="12">
        <f>(F25+F26)*G25</f>
      </c>
    </row>
    <row r="26" spans="2:9" x14ac:dyDescent="0.25">
      <c r="B26">
        <v>2</v>
      </c>
      <c r="C26">
        <v>1</v>
      </c>
      <c r="D26" t="s">
        <v>142</v>
      </c>
      <c r="E26" s="12">
        <v>450</v>
      </c>
      <c r="F26" s="12">
        <v>400</v>
      </c>
      <c r="G26" s="12">
        <f>E26*F27-E27*F26</f>
      </c>
      <c r="H26" s="12">
        <f>(E26+E27)*G26</f>
      </c>
      <c r="I26" s="12">
        <f>(F26+F27)*G26</f>
      </c>
    </row>
    <row r="27" spans="2:9" x14ac:dyDescent="0.25">
      <c r="B27">
        <v>3</v>
      </c>
      <c r="C27">
        <v>1</v>
      </c>
      <c r="D27" t="s">
        <v>142</v>
      </c>
      <c r="E27" s="12">
        <v>550</v>
      </c>
      <c r="F27" s="12">
        <v>300</v>
      </c>
      <c r="G27" s="12">
        <f>E27*F28-E28*F27</f>
      </c>
      <c r="H27" s="12">
        <f>(E27+E28)*G27</f>
      </c>
      <c r="I27" s="12">
        <f>(F27+F28)*G27</f>
      </c>
    </row>
    <row r="28" spans="2:9" x14ac:dyDescent="0.25">
      <c r="B28">
        <v>4</v>
      </c>
      <c r="C28">
        <v>1</v>
      </c>
      <c r="D28" t="s">
        <v>142</v>
      </c>
      <c r="E28" s="12">
        <v>550</v>
      </c>
      <c r="F28" s="12">
        <v>-300</v>
      </c>
      <c r="G28" s="12">
        <f>E28*F29-E29*F28</f>
      </c>
      <c r="H28" s="12">
        <f>(E28+E29)*G28</f>
      </c>
      <c r="I28" s="12">
        <f>(F28+F29)*G28</f>
      </c>
    </row>
    <row r="29" spans="2:9" x14ac:dyDescent="0.25">
      <c r="B29">
        <v>5</v>
      </c>
      <c r="C29">
        <v>1</v>
      </c>
      <c r="D29" t="s">
        <v>142</v>
      </c>
      <c r="E29" s="12">
        <v>450</v>
      </c>
      <c r="F29" s="12">
        <v>-400</v>
      </c>
      <c r="G29" s="12">
        <f>E29*F30-E30*F29</f>
      </c>
      <c r="H29" s="12">
        <f>(E29+E30)*G29</f>
      </c>
      <c r="I29" s="12">
        <f>(F29+F30)*G29</f>
      </c>
    </row>
    <row r="30" spans="2:9" x14ac:dyDescent="0.25">
      <c r="B30">
        <v>6</v>
      </c>
      <c r="C30">
        <v>1</v>
      </c>
      <c r="D30" t="s">
        <v>142</v>
      </c>
      <c r="E30" s="12">
        <v>250</v>
      </c>
      <c r="F30" s="12">
        <v>-400</v>
      </c>
      <c r="G30" s="12">
        <f>E30*F31-E31*F30</f>
      </c>
      <c r="H30" s="12">
        <f>(E30+E31)*G30</f>
      </c>
      <c r="I30" s="12">
        <f>(F30+F31)*G30</f>
      </c>
    </row>
    <row r="31" spans="2:9" x14ac:dyDescent="0.25">
      <c r="B31">
        <v>7</v>
      </c>
      <c r="C31">
        <v>1</v>
      </c>
      <c r="D31" t="s">
        <v>142</v>
      </c>
      <c r="E31" s="12">
        <v>150</v>
      </c>
      <c r="F31" s="12">
        <v>-300</v>
      </c>
      <c r="G31" s="12">
        <f>E31*F32-E32*F31</f>
      </c>
      <c r="H31" s="12">
        <f>(E31+E32)*G31</f>
      </c>
      <c r="I31" s="12">
        <f>(F31+F32)*G31</f>
      </c>
    </row>
    <row r="32" spans="2:9" x14ac:dyDescent="0.25">
      <c r="B32">
        <v>8</v>
      </c>
      <c r="C32">
        <v>1</v>
      </c>
      <c r="D32" t="s">
        <v>142</v>
      </c>
      <c r="E32" s="12">
        <v>150</v>
      </c>
      <c r="F32" s="12">
        <v>300</v>
      </c>
      <c r="G32" s="12">
        <f>E32*F25-E25*F32</f>
      </c>
      <c r="H32" s="12">
        <f>(E32+E25)*G32</f>
      </c>
      <c r="I32" s="12">
        <f>(F32+F25)*G32</f>
      </c>
    </row>
    <row r="33" spans="4:10" x14ac:dyDescent="0.25">
      <c r="D33" s="13" t="s">
        <v>138</v>
      </c>
      <c r="G33" s="14">
        <f>SUM(G25:G32)/2</f>
      </c>
      <c r="H33" s="14">
        <f>SUM(H25:H32)/6</f>
      </c>
      <c r="I33" s="14">
        <f>SUM(I25:I32)/6</f>
      </c>
      <c r="J33" s="15" t="s">
        <v>141</v>
      </c>
    </row>
    <row r="35" spans="4:10" x14ac:dyDescent="0.25">
      <c r="D35" s="13" t="s">
        <v>143</v>
      </c>
      <c r="G35" s="14">
        <f>ABS(G13)-ABS(G23)-ABS(G33)</f>
      </c>
      <c r="H35" s="14">
        <f>SIGN(G13)*H13-SIGN(G23)*H23-SIGN(G33)*H33</f>
      </c>
      <c r="I35" s="14">
        <f>SIGN(G13)*I13-SIGN(G23)*I23-SIGN(G33)*I33</f>
      </c>
      <c r="J35" s="15">
        <f>IF(ABS(H35)+ABS(I35)&lt;=0.000001*ABS(G35)*1500.000000,"OK - the origin is the net centroid","CHECK - first moments about the origin are not zero")</f>
      </c>
    </row>
    <row r="37" spans="2:9" x14ac:dyDescent="0.25">
      <c r="B37" s="3" t="s">
        <v>144</v>
      </c>
      <c r="C37" s="3"/>
      <c r="D37" s="3"/>
      <c r="E37" s="3"/>
      <c r="F37" s="3"/>
      <c r="G37" s="3"/>
      <c r="H37" s="3"/>
      <c r="I37" s="3"/>
    </row>
    <row r="38" ht="28" customHeight="1" spans="2:8" x14ac:dyDescent="0.25">
      <c r="B38" s="11" t="s">
        <v>129</v>
      </c>
      <c r="C38" s="11" t="s">
        <v>145</v>
      </c>
      <c r="D38" s="11" t="s">
        <v>146</v>
      </c>
      <c r="E38" s="11" t="s">
        <v>132</v>
      </c>
      <c r="F38" s="11" t="s">
        <v>133</v>
      </c>
      <c r="G38" s="11" t="s">
        <v>147</v>
      </c>
      <c r="H38" s="11" t="s">
        <v>148</v>
      </c>
    </row>
    <row r="39" spans="2:8" x14ac:dyDescent="0.25">
      <c r="B39">
        <v>1</v>
      </c>
      <c r="C39" t="s">
        <v>149</v>
      </c>
      <c r="D39">
        <v>32</v>
      </c>
      <c r="E39" s="12">
        <v>-400</v>
      </c>
      <c r="F39" s="12">
        <v>530</v>
      </c>
      <c r="G39" s="12">
        <f>PI()*D39^2/4</f>
      </c>
      <c r="H39" s="12">
        <f>COS(RADIANS(theta))*(E39+xc)+SIN(RADIANS(theta))*(F39+yc)</f>
      </c>
    </row>
    <row r="40" spans="2:8" x14ac:dyDescent="0.25">
      <c r="B40">
        <v>2</v>
      </c>
      <c r="C40" t="s">
        <v>150</v>
      </c>
      <c r="D40">
        <v>32</v>
      </c>
      <c r="E40" s="12">
        <v>-200</v>
      </c>
      <c r="F40" s="12">
        <v>530</v>
      </c>
      <c r="G40" s="12">
        <f>PI()*D40^2/4</f>
      </c>
      <c r="H40" s="12">
        <f>COS(RADIANS(theta))*(E40+xc)+SIN(RADIANS(theta))*(F40+yc)</f>
      </c>
    </row>
    <row r="41" spans="2:8" x14ac:dyDescent="0.25">
      <c r="B41">
        <v>3</v>
      </c>
      <c r="C41" t="s">
        <v>151</v>
      </c>
      <c r="D41">
        <v>32</v>
      </c>
      <c r="E41" s="12">
        <v>0</v>
      </c>
      <c r="F41" s="12">
        <v>530</v>
      </c>
      <c r="G41" s="12">
        <f>PI()*D41^2/4</f>
      </c>
      <c r="H41" s="12">
        <f>COS(RADIANS(theta))*(E41+xc)+SIN(RADIANS(theta))*(F41+yc)</f>
      </c>
    </row>
    <row r="42" spans="2:8" x14ac:dyDescent="0.25">
      <c r="B42">
        <v>4</v>
      </c>
      <c r="C42" t="s">
        <v>152</v>
      </c>
      <c r="D42">
        <v>32</v>
      </c>
      <c r="E42" s="12">
        <v>200</v>
      </c>
      <c r="F42" s="12">
        <v>530</v>
      </c>
      <c r="G42" s="12">
        <f>PI()*D42^2/4</f>
      </c>
      <c r="H42" s="12">
        <f>COS(RADIANS(theta))*(E42+xc)+SIN(RADIANS(theta))*(F42+yc)</f>
      </c>
    </row>
    <row r="43" spans="2:8" x14ac:dyDescent="0.25">
      <c r="B43">
        <v>5</v>
      </c>
      <c r="C43" t="s">
        <v>153</v>
      </c>
      <c r="D43">
        <v>32</v>
      </c>
      <c r="E43" s="12">
        <v>400</v>
      </c>
      <c r="F43" s="12">
        <v>530</v>
      </c>
      <c r="G43" s="12">
        <f>PI()*D43^2/4</f>
      </c>
      <c r="H43" s="12">
        <f>COS(RADIANS(theta))*(E43+xc)+SIN(RADIANS(theta))*(F43+yc)</f>
      </c>
    </row>
    <row r="44" spans="2:8" x14ac:dyDescent="0.25">
      <c r="B44">
        <v>6</v>
      </c>
      <c r="C44" t="s">
        <v>154</v>
      </c>
      <c r="D44">
        <v>32</v>
      </c>
      <c r="E44" s="12">
        <v>-400</v>
      </c>
      <c r="F44" s="12">
        <v>-530</v>
      </c>
      <c r="G44" s="12">
        <f>PI()*D44^2/4</f>
      </c>
      <c r="H44" s="12">
        <f>COS(RADIANS(theta))*(E44+xc)+SIN(RADIANS(theta))*(F44+yc)</f>
      </c>
    </row>
    <row r="45" spans="2:8" x14ac:dyDescent="0.25">
      <c r="B45">
        <v>7</v>
      </c>
      <c r="C45" t="s">
        <v>155</v>
      </c>
      <c r="D45">
        <v>32</v>
      </c>
      <c r="E45" s="12">
        <v>-200</v>
      </c>
      <c r="F45" s="12">
        <v>-530</v>
      </c>
      <c r="G45" s="12">
        <f>PI()*D45^2/4</f>
      </c>
      <c r="H45" s="12">
        <f>COS(RADIANS(theta))*(E45+xc)+SIN(RADIANS(theta))*(F45+yc)</f>
      </c>
    </row>
    <row r="46" spans="2:8" x14ac:dyDescent="0.25">
      <c r="B46">
        <v>8</v>
      </c>
      <c r="C46" t="s">
        <v>156</v>
      </c>
      <c r="D46">
        <v>32</v>
      </c>
      <c r="E46" s="12">
        <v>0</v>
      </c>
      <c r="F46" s="12">
        <v>-530</v>
      </c>
      <c r="G46" s="12">
        <f>PI()*D46^2/4</f>
      </c>
      <c r="H46" s="12">
        <f>COS(RADIANS(theta))*(E46+xc)+SIN(RADIANS(theta))*(F46+yc)</f>
      </c>
    </row>
    <row r="47" spans="2:8" x14ac:dyDescent="0.25">
      <c r="B47">
        <v>9</v>
      </c>
      <c r="C47" t="s">
        <v>157</v>
      </c>
      <c r="D47">
        <v>32</v>
      </c>
      <c r="E47" s="12">
        <v>200</v>
      </c>
      <c r="F47" s="12">
        <v>-530</v>
      </c>
      <c r="G47" s="12">
        <f>PI()*D47^2/4</f>
      </c>
      <c r="H47" s="12">
        <f>COS(RADIANS(theta))*(E47+xc)+SIN(RADIANS(theta))*(F47+yc)</f>
      </c>
    </row>
    <row r="48" spans="2:8" x14ac:dyDescent="0.25">
      <c r="B48">
        <v>10</v>
      </c>
      <c r="C48" t="s">
        <v>158</v>
      </c>
      <c r="D48">
        <v>32</v>
      </c>
      <c r="E48" s="12">
        <v>400</v>
      </c>
      <c r="F48" s="12">
        <v>-530</v>
      </c>
      <c r="G48" s="12">
        <f>PI()*D48^2/4</f>
      </c>
      <c r="H48" s="12">
        <f>COS(RADIANS(theta))*(E48+xc)+SIN(RADIANS(theta))*(F48+yc)</f>
      </c>
    </row>
    <row r="49" spans="2:8" x14ac:dyDescent="0.25">
      <c r="B49">
        <v>11</v>
      </c>
      <c r="C49" t="s">
        <v>159</v>
      </c>
      <c r="D49">
        <v>32</v>
      </c>
      <c r="E49" s="12">
        <v>-680</v>
      </c>
      <c r="F49" s="12">
        <v>300</v>
      </c>
      <c r="G49" s="12">
        <f>PI()*D49^2/4</f>
      </c>
      <c r="H49" s="12">
        <f>COS(RADIANS(theta))*(E49+xc)+SIN(RADIANS(theta))*(F49+yc)</f>
      </c>
    </row>
    <row r="50" spans="2:8" x14ac:dyDescent="0.25">
      <c r="B50">
        <v>12</v>
      </c>
      <c r="C50" t="s">
        <v>160</v>
      </c>
      <c r="D50">
        <v>32</v>
      </c>
      <c r="E50" s="12">
        <v>-680</v>
      </c>
      <c r="F50" s="12">
        <v>100</v>
      </c>
      <c r="G50" s="12">
        <f>PI()*D50^2/4</f>
      </c>
      <c r="H50" s="12">
        <f>COS(RADIANS(theta))*(E50+xc)+SIN(RADIANS(theta))*(F50+yc)</f>
      </c>
    </row>
    <row r="51" spans="2:8" x14ac:dyDescent="0.25">
      <c r="B51">
        <v>13</v>
      </c>
      <c r="C51" t="s">
        <v>161</v>
      </c>
      <c r="D51">
        <v>32</v>
      </c>
      <c r="E51" s="12">
        <v>-680</v>
      </c>
      <c r="F51" s="12">
        <v>-100</v>
      </c>
      <c r="G51" s="12">
        <f>PI()*D51^2/4</f>
      </c>
      <c r="H51" s="12">
        <f>COS(RADIANS(theta))*(E51+xc)+SIN(RADIANS(theta))*(F51+yc)</f>
      </c>
    </row>
    <row r="52" spans="2:8" x14ac:dyDescent="0.25">
      <c r="B52">
        <v>14</v>
      </c>
      <c r="C52" t="s">
        <v>162</v>
      </c>
      <c r="D52">
        <v>32</v>
      </c>
      <c r="E52" s="12">
        <v>-680</v>
      </c>
      <c r="F52" s="12">
        <v>-300</v>
      </c>
      <c r="G52" s="12">
        <f>PI()*D52^2/4</f>
      </c>
      <c r="H52" s="12">
        <f>COS(RADIANS(theta))*(E52+xc)+SIN(RADIANS(theta))*(F52+yc)</f>
      </c>
    </row>
    <row r="53" spans="2:8" x14ac:dyDescent="0.25">
      <c r="B53">
        <v>15</v>
      </c>
      <c r="C53" t="s">
        <v>163</v>
      </c>
      <c r="D53">
        <v>32</v>
      </c>
      <c r="E53" s="12">
        <v>680</v>
      </c>
      <c r="F53" s="12">
        <v>300</v>
      </c>
      <c r="G53" s="12">
        <f>PI()*D53^2/4</f>
      </c>
      <c r="H53" s="12">
        <f>COS(RADIANS(theta))*(E53+xc)+SIN(RADIANS(theta))*(F53+yc)</f>
      </c>
    </row>
    <row r="54" spans="2:8" x14ac:dyDescent="0.25">
      <c r="B54">
        <v>16</v>
      </c>
      <c r="C54" t="s">
        <v>164</v>
      </c>
      <c r="D54">
        <v>32</v>
      </c>
      <c r="E54" s="12">
        <v>680</v>
      </c>
      <c r="F54" s="12">
        <v>100</v>
      </c>
      <c r="G54" s="12">
        <f>PI()*D54^2/4</f>
      </c>
      <c r="H54" s="12">
        <f>COS(RADIANS(theta))*(E54+xc)+SIN(RADIANS(theta))*(F54+yc)</f>
      </c>
    </row>
    <row r="55" spans="2:8" x14ac:dyDescent="0.25">
      <c r="B55">
        <v>17</v>
      </c>
      <c r="C55" t="s">
        <v>165</v>
      </c>
      <c r="D55">
        <v>32</v>
      </c>
      <c r="E55" s="12">
        <v>680</v>
      </c>
      <c r="F55" s="12">
        <v>-100</v>
      </c>
      <c r="G55" s="12">
        <f>PI()*D55^2/4</f>
      </c>
      <c r="H55" s="12">
        <f>COS(RADIANS(theta))*(E55+xc)+SIN(RADIANS(theta))*(F55+yc)</f>
      </c>
    </row>
    <row r="56" spans="2:8" x14ac:dyDescent="0.25">
      <c r="B56">
        <v>18</v>
      </c>
      <c r="C56" t="s">
        <v>166</v>
      </c>
      <c r="D56">
        <v>32</v>
      </c>
      <c r="E56" s="12">
        <v>680</v>
      </c>
      <c r="F56" s="12">
        <v>-300</v>
      </c>
      <c r="G56" s="12">
        <f>PI()*D56^2/4</f>
      </c>
      <c r="H56" s="12">
        <f>COS(RADIANS(theta))*(E56+xc)+SIN(RADIANS(theta))*(F56+yc)</f>
      </c>
    </row>
    <row r="57" spans="3:10" x14ac:dyDescent="0.25">
      <c r="C57" s="13" t="s">
        <v>167</v>
      </c>
      <c r="G57" s="16">
        <f>SUM(G39:G56)</f>
      </c>
      <c r="J57" s="2" t="s">
        <v>168</v>
      </c>
    </row>
  </sheetData>
  <mergeCells count="3">
    <mergeCell ref="B1:I1"/>
    <mergeCell ref="B2:J2"/>
    <mergeCell ref="B37:I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" customWidth="1"/>
    <col min="3" max="4" width="8" customWidth="1"/>
    <col min="5" max="6" width="14" customWidth="1"/>
    <col min="7" max="9" width="18" customWidth="1"/>
  </cols>
  <sheetData>
    <row r="1" ht="22" customHeight="1" spans="2:9" x14ac:dyDescent="0.25">
      <c r="B1" s="1" t="s">
        <v>169</v>
      </c>
      <c r="C1" s="1"/>
      <c r="D1" s="1"/>
      <c r="E1" s="1"/>
      <c r="F1" s="1"/>
      <c r="G1" s="1"/>
      <c r="H1" s="1"/>
      <c r="I1" s="1"/>
    </row>
    <row r="2" spans="2:9" x14ac:dyDescent="0.25">
      <c r="B2" s="2" t="s">
        <v>170</v>
      </c>
      <c r="C2" s="2"/>
      <c r="D2" s="2"/>
      <c r="E2" s="2"/>
      <c r="F2" s="2"/>
      <c r="G2" s="2"/>
      <c r="H2" s="2"/>
      <c r="I2" s="2"/>
    </row>
    <row r="4" ht="28" customHeight="1" spans="2:9" x14ac:dyDescent="0.25">
      <c r="B4" s="11" t="s">
        <v>171</v>
      </c>
      <c r="C4" s="11" t="s">
        <v>131</v>
      </c>
      <c r="D4" s="11" t="s">
        <v>172</v>
      </c>
      <c r="E4" s="11" t="s">
        <v>132</v>
      </c>
      <c r="F4" s="11" t="s">
        <v>133</v>
      </c>
      <c r="G4" s="11" t="s">
        <v>173</v>
      </c>
      <c r="H4" s="11" t="s">
        <v>174</v>
      </c>
      <c r="I4" s="11" t="s">
        <v>175</v>
      </c>
    </row>
    <row r="5" spans="2:9" x14ac:dyDescent="0.25">
      <c r="B5">
        <v>1</v>
      </c>
      <c r="C5" t="s">
        <v>137</v>
      </c>
      <c r="D5">
        <v>1</v>
      </c>
      <c r="E5" s="17">
        <v>-353.5382907247961</v>
      </c>
      <c r="F5" s="17">
        <v>-600</v>
      </c>
      <c r="G5">
        <f>E5*F6-E6*F5</f>
      </c>
      <c r="H5">
        <f>(E5+E6)*G5</f>
      </c>
      <c r="I5">
        <f>(F5+F6)*G5</f>
      </c>
    </row>
    <row r="6" spans="2:9" x14ac:dyDescent="0.25">
      <c r="B6">
        <v>1</v>
      </c>
      <c r="C6" t="s">
        <v>137</v>
      </c>
      <c r="D6">
        <v>1</v>
      </c>
      <c r="E6" s="17">
        <v>550</v>
      </c>
      <c r="F6" s="17">
        <v>-600</v>
      </c>
      <c r="G6">
        <f>E6*F7-E7*F6</f>
      </c>
      <c r="H6">
        <f>(E6+E7)*G6</f>
      </c>
      <c r="I6">
        <f>(F6+F7)*G6</f>
      </c>
    </row>
    <row r="7" spans="2:9" x14ac:dyDescent="0.25">
      <c r="B7">
        <v>1</v>
      </c>
      <c r="C7" t="s">
        <v>137</v>
      </c>
      <c r="D7">
        <v>1</v>
      </c>
      <c r="E7" s="17">
        <v>750</v>
      </c>
      <c r="F7" s="17">
        <v>-400</v>
      </c>
      <c r="G7">
        <f>E7*F8-E8*F7</f>
      </c>
      <c r="H7">
        <f>(E7+E8)*G7</f>
      </c>
      <c r="I7">
        <f>(F7+F8)*G7</f>
      </c>
    </row>
    <row r="8" spans="2:9" x14ac:dyDescent="0.25">
      <c r="B8">
        <v>1</v>
      </c>
      <c r="C8" t="s">
        <v>137</v>
      </c>
      <c r="D8">
        <v>1</v>
      </c>
      <c r="E8" s="17">
        <v>750</v>
      </c>
      <c r="F8" s="17">
        <v>400</v>
      </c>
      <c r="G8">
        <f>E8*F9-E9*F8</f>
      </c>
      <c r="H8">
        <f>(E8+E9)*G8</f>
      </c>
      <c r="I8">
        <f>(F8+F9)*G8</f>
      </c>
    </row>
    <row r="9" spans="2:9" x14ac:dyDescent="0.25">
      <c r="B9">
        <v>1</v>
      </c>
      <c r="C9" t="s">
        <v>137</v>
      </c>
      <c r="D9">
        <v>1</v>
      </c>
      <c r="E9" s="17">
        <v>550</v>
      </c>
      <c r="F9" s="17">
        <v>600</v>
      </c>
      <c r="G9">
        <f>E9*F10-E10*F9</f>
      </c>
      <c r="H9">
        <f>(E9+E10)*G9</f>
      </c>
      <c r="I9">
        <f>(F9+F10)*G9</f>
      </c>
    </row>
    <row r="10" spans="2:9" x14ac:dyDescent="0.25">
      <c r="B10">
        <v>1</v>
      </c>
      <c r="C10" t="s">
        <v>137</v>
      </c>
      <c r="D10">
        <v>1</v>
      </c>
      <c r="E10" s="17">
        <v>-550</v>
      </c>
      <c r="F10" s="17">
        <v>600</v>
      </c>
      <c r="G10">
        <f>E10*F11-E11*F10</f>
      </c>
      <c r="H10">
        <f>(E10+E11)*G10</f>
      </c>
      <c r="I10">
        <f>(F10+F11)*G10</f>
      </c>
    </row>
    <row r="11" spans="2:9" x14ac:dyDescent="0.25">
      <c r="B11">
        <v>1</v>
      </c>
      <c r="C11" t="s">
        <v>137</v>
      </c>
      <c r="D11">
        <v>1</v>
      </c>
      <c r="E11" s="17">
        <v>-648.6453734808758</v>
      </c>
      <c r="F11" s="17">
        <v>501.3546265191241</v>
      </c>
      <c r="G11">
        <f>E11*F5-E5*F11</f>
      </c>
      <c r="H11">
        <f>(E11+E5)*G11</f>
      </c>
      <c r="I11">
        <f>(F11+F5)*G11</f>
      </c>
    </row>
    <row r="12" spans="2:9" x14ac:dyDescent="0.25">
      <c r="B12">
        <v>1</v>
      </c>
      <c r="C12" t="s">
        <v>176</v>
      </c>
      <c r="G12" s="13">
        <f>D5*ABS(SUM(G5:G11)/2)</f>
      </c>
      <c r="H12" s="13">
        <f>D5*SIGN(SUM(G5:G11))*SUM(H5:H11)/6</f>
      </c>
      <c r="I12" s="13">
        <f>D5*SIGN(SUM(G5:G11))*SUM(I5:I11)/6</f>
      </c>
    </row>
    <row r="13" spans="2:9" x14ac:dyDescent="0.25">
      <c r="B13">
        <v>1</v>
      </c>
      <c r="C13" t="s">
        <v>140</v>
      </c>
      <c r="D13">
        <v>-1</v>
      </c>
      <c r="E13" s="17">
        <v>-450</v>
      </c>
      <c r="F13" s="17">
        <v>400</v>
      </c>
      <c r="G13">
        <f>E13*F14-E14*F13</f>
      </c>
      <c r="H13">
        <f>(E13+E14)*G13</f>
      </c>
      <c r="I13">
        <f>(F13+F14)*G13</f>
      </c>
    </row>
    <row r="14" spans="2:9" x14ac:dyDescent="0.25">
      <c r="B14">
        <v>1</v>
      </c>
      <c r="C14" t="s">
        <v>140</v>
      </c>
      <c r="D14">
        <v>-1</v>
      </c>
      <c r="E14" s="17">
        <v>-250</v>
      </c>
      <c r="F14" s="17">
        <v>400</v>
      </c>
      <c r="G14">
        <f>E14*F15-E15*F14</f>
      </c>
      <c r="H14">
        <f>(E14+E15)*G14</f>
      </c>
      <c r="I14">
        <f>(F14+F15)*G14</f>
      </c>
    </row>
    <row r="15" spans="2:9" x14ac:dyDescent="0.25">
      <c r="B15">
        <v>1</v>
      </c>
      <c r="C15" t="s">
        <v>140</v>
      </c>
      <c r="D15">
        <v>-1</v>
      </c>
      <c r="E15" s="17">
        <v>-150</v>
      </c>
      <c r="F15" s="17">
        <v>300</v>
      </c>
      <c r="G15">
        <f>E15*F16-E16*F15</f>
      </c>
      <c r="H15">
        <f>(E15+E16)*G15</f>
      </c>
      <c r="I15">
        <f>(F15+F16)*G15</f>
      </c>
    </row>
    <row r="16" spans="2:9" x14ac:dyDescent="0.25">
      <c r="B16">
        <v>1</v>
      </c>
      <c r="C16" t="s">
        <v>140</v>
      </c>
      <c r="D16">
        <v>-1</v>
      </c>
      <c r="E16" s="17">
        <v>-150</v>
      </c>
      <c r="F16" s="17">
        <v>-300</v>
      </c>
      <c r="G16">
        <f>E16*F17-E17*F16</f>
      </c>
      <c r="H16">
        <f>(E16+E17)*G16</f>
      </c>
      <c r="I16">
        <f>(F16+F17)*G16</f>
      </c>
    </row>
    <row r="17" spans="2:9" x14ac:dyDescent="0.25">
      <c r="B17">
        <v>1</v>
      </c>
      <c r="C17" t="s">
        <v>140</v>
      </c>
      <c r="D17">
        <v>-1</v>
      </c>
      <c r="E17" s="17">
        <v>-250</v>
      </c>
      <c r="F17" s="17">
        <v>-400</v>
      </c>
      <c r="G17">
        <f>E17*F18-E18*F17</f>
      </c>
      <c r="H17">
        <f>(E17+E18)*G17</f>
      </c>
      <c r="I17">
        <f>(F17+F18)*G17</f>
      </c>
    </row>
    <row r="18" spans="2:9" x14ac:dyDescent="0.25">
      <c r="B18">
        <v>1</v>
      </c>
      <c r="C18" t="s">
        <v>140</v>
      </c>
      <c r="D18">
        <v>-1</v>
      </c>
      <c r="E18" s="17">
        <v>-407.1281292110207</v>
      </c>
      <c r="F18" s="17">
        <v>-400</v>
      </c>
      <c r="G18">
        <f>E18*F19-E19*F18</f>
      </c>
      <c r="H18">
        <f>(E18+E19)*G18</f>
      </c>
      <c r="I18">
        <f>(F18+F19)*G18</f>
      </c>
    </row>
    <row r="19" spans="2:9" x14ac:dyDescent="0.25">
      <c r="B19">
        <v>1</v>
      </c>
      <c r="C19" t="s">
        <v>140</v>
      </c>
      <c r="D19">
        <v>-1</v>
      </c>
      <c r="E19" s="17">
        <v>-550</v>
      </c>
      <c r="F19" s="17">
        <v>133.20508075688736</v>
      </c>
      <c r="G19">
        <f>E19*F20-E20*F19</f>
      </c>
      <c r="H19">
        <f>(E19+E20)*G19</f>
      </c>
      <c r="I19">
        <f>(F19+F20)*G19</f>
      </c>
    </row>
    <row r="20" spans="2:9" x14ac:dyDescent="0.25">
      <c r="B20">
        <v>1</v>
      </c>
      <c r="C20" t="s">
        <v>140</v>
      </c>
      <c r="D20">
        <v>-1</v>
      </c>
      <c r="E20" s="17">
        <v>-550</v>
      </c>
      <c r="F20" s="17">
        <v>300</v>
      </c>
      <c r="G20">
        <f>E20*F13-E13*F20</f>
      </c>
      <c r="H20">
        <f>(E20+E13)*G20</f>
      </c>
      <c r="I20">
        <f>(F20+F13)*G20</f>
      </c>
    </row>
    <row r="21" spans="2:9" x14ac:dyDescent="0.25">
      <c r="B21">
        <v>1</v>
      </c>
      <c r="C21" t="s">
        <v>176</v>
      </c>
      <c r="G21" s="13">
        <f>D13*ABS(SUM(G13:G20)/2)</f>
      </c>
      <c r="H21" s="13">
        <f>D13*SIGN(SUM(G13:G20))*SUM(H13:H20)/6</f>
      </c>
      <c r="I21" s="13">
        <f>D13*SIGN(SUM(G13:G20))*SUM(I13:I20)/6</f>
      </c>
    </row>
    <row r="22" spans="2:9" x14ac:dyDescent="0.25">
      <c r="B22">
        <v>1</v>
      </c>
      <c r="C22" t="s">
        <v>142</v>
      </c>
      <c r="D22">
        <v>-1</v>
      </c>
      <c r="E22" s="17">
        <v>250</v>
      </c>
      <c r="F22" s="17">
        <v>400</v>
      </c>
      <c r="G22">
        <f>E22*F23-E23*F22</f>
      </c>
      <c r="H22">
        <f>(E22+E23)*G22</f>
      </c>
      <c r="I22">
        <f>(F22+F23)*G22</f>
      </c>
    </row>
    <row r="23" spans="2:9" x14ac:dyDescent="0.25">
      <c r="B23">
        <v>1</v>
      </c>
      <c r="C23" t="s">
        <v>142</v>
      </c>
      <c r="D23">
        <v>-1</v>
      </c>
      <c r="E23" s="17">
        <v>450</v>
      </c>
      <c r="F23" s="17">
        <v>400</v>
      </c>
      <c r="G23">
        <f>E23*F24-E24*F23</f>
      </c>
      <c r="H23">
        <f>(E23+E24)*G23</f>
      </c>
      <c r="I23">
        <f>(F23+F24)*G23</f>
      </c>
    </row>
    <row r="24" spans="2:9" x14ac:dyDescent="0.25">
      <c r="B24">
        <v>1</v>
      </c>
      <c r="C24" t="s">
        <v>142</v>
      </c>
      <c r="D24">
        <v>-1</v>
      </c>
      <c r="E24" s="17">
        <v>550</v>
      </c>
      <c r="F24" s="17">
        <v>300</v>
      </c>
      <c r="G24">
        <f>E24*F25-E25*F24</f>
      </c>
      <c r="H24">
        <f>(E24+E25)*G24</f>
      </c>
      <c r="I24">
        <f>(F24+F25)*G24</f>
      </c>
    </row>
    <row r="25" spans="2:9" x14ac:dyDescent="0.25">
      <c r="B25">
        <v>1</v>
      </c>
      <c r="C25" t="s">
        <v>142</v>
      </c>
      <c r="D25">
        <v>-1</v>
      </c>
      <c r="E25" s="17">
        <v>550</v>
      </c>
      <c r="F25" s="17">
        <v>-300</v>
      </c>
      <c r="G25">
        <f>E25*F26-E26*F25</f>
      </c>
      <c r="H25">
        <f>(E25+E26)*G25</f>
      </c>
      <c r="I25">
        <f>(F25+F26)*G25</f>
      </c>
    </row>
    <row r="26" spans="2:9" x14ac:dyDescent="0.25">
      <c r="B26">
        <v>1</v>
      </c>
      <c r="C26" t="s">
        <v>142</v>
      </c>
      <c r="D26">
        <v>-1</v>
      </c>
      <c r="E26" s="17">
        <v>450</v>
      </c>
      <c r="F26" s="17">
        <v>-400</v>
      </c>
      <c r="G26">
        <f>E26*F27-E27*F26</f>
      </c>
      <c r="H26">
        <f>(E26+E27)*G26</f>
      </c>
      <c r="I26">
        <f>(F26+F27)*G26</f>
      </c>
    </row>
    <row r="27" spans="2:9" x14ac:dyDescent="0.25">
      <c r="B27">
        <v>1</v>
      </c>
      <c r="C27" t="s">
        <v>142</v>
      </c>
      <c r="D27">
        <v>-1</v>
      </c>
      <c r="E27" s="17">
        <v>250</v>
      </c>
      <c r="F27" s="17">
        <v>-400</v>
      </c>
      <c r="G27">
        <f>E27*F28-E28*F27</f>
      </c>
      <c r="H27">
        <f>(E27+E28)*G27</f>
      </c>
      <c r="I27">
        <f>(F27+F28)*G27</f>
      </c>
    </row>
    <row r="28" spans="2:9" x14ac:dyDescent="0.25">
      <c r="B28">
        <v>1</v>
      </c>
      <c r="C28" t="s">
        <v>142</v>
      </c>
      <c r="D28">
        <v>-1</v>
      </c>
      <c r="E28" s="17">
        <v>150</v>
      </c>
      <c r="F28" s="17">
        <v>-300</v>
      </c>
      <c r="G28">
        <f>E28*F29-E29*F28</f>
      </c>
      <c r="H28">
        <f>(E28+E29)*G28</f>
      </c>
      <c r="I28">
        <f>(F28+F29)*G28</f>
      </c>
    </row>
    <row r="29" spans="2:9" x14ac:dyDescent="0.25">
      <c r="B29">
        <v>1</v>
      </c>
      <c r="C29" t="s">
        <v>142</v>
      </c>
      <c r="D29">
        <v>-1</v>
      </c>
      <c r="E29" s="17">
        <v>150</v>
      </c>
      <c r="F29" s="17">
        <v>300</v>
      </c>
      <c r="G29">
        <f>E29*F22-E22*F29</f>
      </c>
      <c r="H29">
        <f>(E29+E22)*G29</f>
      </c>
      <c r="I29">
        <f>(F29+F22)*G29</f>
      </c>
    </row>
    <row r="30" spans="2:9" x14ac:dyDescent="0.25">
      <c r="B30">
        <v>1</v>
      </c>
      <c r="C30" t="s">
        <v>176</v>
      </c>
      <c r="G30" s="13">
        <f>D22*ABS(SUM(G22:G29)/2)</f>
      </c>
      <c r="H30" s="13">
        <f>D22*SIGN(SUM(G22:G29))*SUM(H22:H29)/6</f>
      </c>
      <c r="I30" s="13">
        <f>D22*SIGN(SUM(G22:G29))*SUM(I22:I29)/6</f>
      </c>
    </row>
    <row r="31" spans="2:9" x14ac:dyDescent="0.25">
      <c r="B31">
        <v>1</v>
      </c>
      <c r="C31" s="13" t="s">
        <v>177</v>
      </c>
      <c r="G31" s="14">
        <f>G12+G21+G30</f>
      </c>
      <c r="H31" s="14">
        <f>H12+H21+H30</f>
      </c>
      <c r="I31" s="14">
        <f>I12+I21+I30</f>
      </c>
    </row>
    <row r="33" spans="2:9" x14ac:dyDescent="0.25">
      <c r="B33">
        <v>2</v>
      </c>
      <c r="C33" t="s">
        <v>137</v>
      </c>
      <c r="D33">
        <v>1</v>
      </c>
      <c r="E33" s="17">
        <v>-260.1278092331662</v>
      </c>
      <c r="F33" s="17">
        <v>-600</v>
      </c>
      <c r="G33">
        <f>E33*F34-E34*F33</f>
      </c>
      <c r="H33">
        <f>(E33+E34)*G33</f>
      </c>
      <c r="I33">
        <f>(F33+F34)*G33</f>
      </c>
    </row>
    <row r="34" spans="2:9" x14ac:dyDescent="0.25">
      <c r="B34">
        <v>2</v>
      </c>
      <c r="C34" t="s">
        <v>137</v>
      </c>
      <c r="D34">
        <v>1</v>
      </c>
      <c r="E34" s="17">
        <v>550</v>
      </c>
      <c r="F34" s="17">
        <v>-600</v>
      </c>
      <c r="G34">
        <f>E34*F35-E35*F34</f>
      </c>
      <c r="H34">
        <f>(E34+E35)*G34</f>
      </c>
      <c r="I34">
        <f>(F34+F35)*G34</f>
      </c>
    </row>
    <row r="35" spans="2:9" x14ac:dyDescent="0.25">
      <c r="B35">
        <v>2</v>
      </c>
      <c r="C35" t="s">
        <v>137</v>
      </c>
      <c r="D35">
        <v>1</v>
      </c>
      <c r="E35" s="17">
        <v>750</v>
      </c>
      <c r="F35" s="17">
        <v>-400</v>
      </c>
      <c r="G35">
        <f>E35*F36-E36*F35</f>
      </c>
      <c r="H35">
        <f>(E35+E36)*G35</f>
      </c>
      <c r="I35">
        <f>(F35+F36)*G35</f>
      </c>
    </row>
    <row r="36" spans="2:9" x14ac:dyDescent="0.25">
      <c r="B36">
        <v>2</v>
      </c>
      <c r="C36" t="s">
        <v>137</v>
      </c>
      <c r="D36">
        <v>1</v>
      </c>
      <c r="E36" s="17">
        <v>750</v>
      </c>
      <c r="F36" s="17">
        <v>400</v>
      </c>
      <c r="G36">
        <f>E36*F37-E37*F36</f>
      </c>
      <c r="H36">
        <f>(E36+E37)*G36</f>
      </c>
      <c r="I36">
        <f>(F36+F37)*G36</f>
      </c>
    </row>
    <row r="37" spans="2:9" x14ac:dyDescent="0.25">
      <c r="B37">
        <v>2</v>
      </c>
      <c r="C37" t="s">
        <v>137</v>
      </c>
      <c r="D37">
        <v>1</v>
      </c>
      <c r="E37" s="17">
        <v>550</v>
      </c>
      <c r="F37" s="17">
        <v>600</v>
      </c>
      <c r="G37">
        <f>E37*F38-E38*F37</f>
      </c>
      <c r="H37">
        <f>(E37+E38)*G37</f>
      </c>
      <c r="I37">
        <f>(F37+F38)*G37</f>
      </c>
    </row>
    <row r="38" spans="2:9" x14ac:dyDescent="0.25">
      <c r="B38">
        <v>2</v>
      </c>
      <c r="C38" t="s">
        <v>137</v>
      </c>
      <c r="D38">
        <v>1</v>
      </c>
      <c r="E38" s="17">
        <v>-550</v>
      </c>
      <c r="F38" s="17">
        <v>600</v>
      </c>
      <c r="G38">
        <f>E38*F39-E39*F38</f>
      </c>
      <c r="H38">
        <f>(E38+E39)*G38</f>
      </c>
      <c r="I38">
        <f>(F38+F39)*G38</f>
      </c>
    </row>
    <row r="39" spans="2:9" x14ac:dyDescent="0.25">
      <c r="B39">
        <v>2</v>
      </c>
      <c r="C39" t="s">
        <v>137</v>
      </c>
      <c r="D39">
        <v>1</v>
      </c>
      <c r="E39" s="17">
        <v>-574.9748494178983</v>
      </c>
      <c r="F39" s="17">
        <v>575.0251505821017</v>
      </c>
      <c r="G39">
        <f>E39*F33-E33*F39</f>
      </c>
      <c r="H39">
        <f>(E39+E33)*G39</f>
      </c>
      <c r="I39">
        <f>(F39+F33)*G39</f>
      </c>
    </row>
    <row r="40" spans="2:9" x14ac:dyDescent="0.25">
      <c r="B40">
        <v>2</v>
      </c>
      <c r="C40" t="s">
        <v>176</v>
      </c>
      <c r="G40" s="13">
        <f>D33*ABS(SUM(G33:G39)/2)</f>
      </c>
      <c r="H40" s="13">
        <f>D33*SIGN(SUM(G33:G39))*SUM(H33:H39)/6</f>
      </c>
      <c r="I40" s="13">
        <f>D33*SIGN(SUM(G33:G39))*SUM(I33:I39)/6</f>
      </c>
    </row>
    <row r="41" spans="2:9" x14ac:dyDescent="0.25">
      <c r="B41">
        <v>2</v>
      </c>
      <c r="C41" t="s">
        <v>140</v>
      </c>
      <c r="D41">
        <v>-1</v>
      </c>
      <c r="E41" s="17">
        <v>-450</v>
      </c>
      <c r="F41" s="17">
        <v>400</v>
      </c>
      <c r="G41">
        <f>E41*F42-E42*F41</f>
      </c>
      <c r="H41">
        <f>(E41+E42)*G41</f>
      </c>
      <c r="I41">
        <f>(F41+F42)*G41</f>
      </c>
    </row>
    <row r="42" spans="2:9" x14ac:dyDescent="0.25">
      <c r="B42">
        <v>2</v>
      </c>
      <c r="C42" t="s">
        <v>140</v>
      </c>
      <c r="D42">
        <v>-1</v>
      </c>
      <c r="E42" s="17">
        <v>-250</v>
      </c>
      <c r="F42" s="17">
        <v>400</v>
      </c>
      <c r="G42">
        <f>E42*F43-E43*F42</f>
      </c>
      <c r="H42">
        <f>(E42+E43)*G42</f>
      </c>
      <c r="I42">
        <f>(F42+F43)*G42</f>
      </c>
    </row>
    <row r="43" spans="2:9" x14ac:dyDescent="0.25">
      <c r="B43">
        <v>2</v>
      </c>
      <c r="C43" t="s">
        <v>140</v>
      </c>
      <c r="D43">
        <v>-1</v>
      </c>
      <c r="E43" s="17">
        <v>-150</v>
      </c>
      <c r="F43" s="17">
        <v>300</v>
      </c>
      <c r="G43">
        <f>E43*F44-E44*F43</f>
      </c>
      <c r="H43">
        <f>(E43+E44)*G43</f>
      </c>
      <c r="I43">
        <f>(F43+F44)*G43</f>
      </c>
    </row>
    <row r="44" spans="2:9" x14ac:dyDescent="0.25">
      <c r="B44">
        <v>2</v>
      </c>
      <c r="C44" t="s">
        <v>140</v>
      </c>
      <c r="D44">
        <v>-1</v>
      </c>
      <c r="E44" s="17">
        <v>-150</v>
      </c>
      <c r="F44" s="17">
        <v>-300</v>
      </c>
      <c r="G44">
        <f>E44*F45-E45*F44</f>
      </c>
      <c r="H44">
        <f>(E44+E45)*G44</f>
      </c>
      <c r="I44">
        <f>(F44+F45)*G44</f>
      </c>
    </row>
    <row r="45" spans="2:9" x14ac:dyDescent="0.25">
      <c r="B45">
        <v>2</v>
      </c>
      <c r="C45" t="s">
        <v>140</v>
      </c>
      <c r="D45">
        <v>-1</v>
      </c>
      <c r="E45" s="17">
        <v>-250</v>
      </c>
      <c r="F45" s="17">
        <v>-400</v>
      </c>
      <c r="G45">
        <f>E45*F46-E46*F45</f>
      </c>
      <c r="H45">
        <f>(E45+E46)*G45</f>
      </c>
      <c r="I45">
        <f>(F45+F46)*G45</f>
      </c>
    </row>
    <row r="46" spans="2:9" x14ac:dyDescent="0.25">
      <c r="B46">
        <v>2</v>
      </c>
      <c r="C46" t="s">
        <v>140</v>
      </c>
      <c r="D46">
        <v>-1</v>
      </c>
      <c r="E46" s="17">
        <v>-313.7176477193907</v>
      </c>
      <c r="F46" s="17">
        <v>-400</v>
      </c>
      <c r="G46">
        <f>E46*F47-E47*F46</f>
      </c>
      <c r="H46">
        <f>(E46+E47)*G46</f>
      </c>
      <c r="I46">
        <f>(F46+F47)*G46</f>
      </c>
    </row>
    <row r="47" spans="2:9" x14ac:dyDescent="0.25">
      <c r="B47">
        <v>2</v>
      </c>
      <c r="C47" t="s">
        <v>140</v>
      </c>
      <c r="D47">
        <v>-1</v>
      </c>
      <c r="E47" s="17">
        <v>-511.5773897963423</v>
      </c>
      <c r="F47" s="17">
        <v>338.4226102036577</v>
      </c>
      <c r="G47">
        <f>E47*F41-E41*F47</f>
      </c>
      <c r="H47">
        <f>(E47+E41)*G47</f>
      </c>
      <c r="I47">
        <f>(F47+F41)*G47</f>
      </c>
    </row>
    <row r="48" spans="2:9" x14ac:dyDescent="0.25">
      <c r="B48">
        <v>2</v>
      </c>
      <c r="C48" t="s">
        <v>176</v>
      </c>
      <c r="G48" s="13">
        <f>D41*ABS(SUM(G41:G47)/2)</f>
      </c>
      <c r="H48" s="13">
        <f>D41*SIGN(SUM(G41:G47))*SUM(H41:H47)/6</f>
      </c>
      <c r="I48" s="13">
        <f>D41*SIGN(SUM(G41:G47))*SUM(I41:I47)/6</f>
      </c>
    </row>
    <row r="49" spans="2:9" x14ac:dyDescent="0.25">
      <c r="B49">
        <v>2</v>
      </c>
      <c r="C49" t="s">
        <v>142</v>
      </c>
      <c r="D49">
        <v>-1</v>
      </c>
      <c r="E49" s="17">
        <v>250</v>
      </c>
      <c r="F49" s="17">
        <v>400</v>
      </c>
      <c r="G49">
        <f>E49*F50-E50*F49</f>
      </c>
      <c r="H49">
        <f>(E49+E50)*G49</f>
      </c>
      <c r="I49">
        <f>(F49+F50)*G49</f>
      </c>
    </row>
    <row r="50" spans="2:9" x14ac:dyDescent="0.25">
      <c r="B50">
        <v>2</v>
      </c>
      <c r="C50" t="s">
        <v>142</v>
      </c>
      <c r="D50">
        <v>-1</v>
      </c>
      <c r="E50" s="17">
        <v>450</v>
      </c>
      <c r="F50" s="17">
        <v>400</v>
      </c>
      <c r="G50">
        <f>E50*F51-E51*F50</f>
      </c>
      <c r="H50">
        <f>(E50+E51)*G50</f>
      </c>
      <c r="I50">
        <f>(F50+F51)*G50</f>
      </c>
    </row>
    <row r="51" spans="2:9" x14ac:dyDescent="0.25">
      <c r="B51">
        <v>2</v>
      </c>
      <c r="C51" t="s">
        <v>142</v>
      </c>
      <c r="D51">
        <v>-1</v>
      </c>
      <c r="E51" s="17">
        <v>550</v>
      </c>
      <c r="F51" s="17">
        <v>300</v>
      </c>
      <c r="G51">
        <f>E51*F52-E52*F51</f>
      </c>
      <c r="H51">
        <f>(E51+E52)*G51</f>
      </c>
      <c r="I51">
        <f>(F51+F52)*G51</f>
      </c>
    </row>
    <row r="52" spans="2:9" x14ac:dyDescent="0.25">
      <c r="B52">
        <v>2</v>
      </c>
      <c r="C52" t="s">
        <v>142</v>
      </c>
      <c r="D52">
        <v>-1</v>
      </c>
      <c r="E52" s="17">
        <v>550</v>
      </c>
      <c r="F52" s="17">
        <v>-300</v>
      </c>
      <c r="G52">
        <f>E52*F53-E53*F52</f>
      </c>
      <c r="H52">
        <f>(E52+E53)*G52</f>
      </c>
      <c r="I52">
        <f>(F52+F53)*G52</f>
      </c>
    </row>
    <row r="53" spans="2:9" x14ac:dyDescent="0.25">
      <c r="B53">
        <v>2</v>
      </c>
      <c r="C53" t="s">
        <v>142</v>
      </c>
      <c r="D53">
        <v>-1</v>
      </c>
      <c r="E53" s="17">
        <v>450</v>
      </c>
      <c r="F53" s="17">
        <v>-400</v>
      </c>
      <c r="G53">
        <f>E53*F54-E54*F53</f>
      </c>
      <c r="H53">
        <f>(E53+E54)*G53</f>
      </c>
      <c r="I53">
        <f>(F53+F54)*G53</f>
      </c>
    </row>
    <row r="54" spans="2:9" x14ac:dyDescent="0.25">
      <c r="B54">
        <v>2</v>
      </c>
      <c r="C54" t="s">
        <v>142</v>
      </c>
      <c r="D54">
        <v>-1</v>
      </c>
      <c r="E54" s="17">
        <v>250</v>
      </c>
      <c r="F54" s="17">
        <v>-400</v>
      </c>
      <c r="G54">
        <f>E54*F55-E55*F54</f>
      </c>
      <c r="H54">
        <f>(E54+E55)*G54</f>
      </c>
      <c r="I54">
        <f>(F54+F55)*G54</f>
      </c>
    </row>
    <row r="55" spans="2:9" x14ac:dyDescent="0.25">
      <c r="B55">
        <v>2</v>
      </c>
      <c r="C55" t="s">
        <v>142</v>
      </c>
      <c r="D55">
        <v>-1</v>
      </c>
      <c r="E55" s="17">
        <v>150</v>
      </c>
      <c r="F55" s="17">
        <v>-300</v>
      </c>
      <c r="G55">
        <f>E55*F56-E56*F55</f>
      </c>
      <c r="H55">
        <f>(E55+E56)*G55</f>
      </c>
      <c r="I55">
        <f>(F55+F56)*G55</f>
      </c>
    </row>
    <row r="56" spans="2:9" x14ac:dyDescent="0.25">
      <c r="B56">
        <v>2</v>
      </c>
      <c r="C56" t="s">
        <v>142</v>
      </c>
      <c r="D56">
        <v>-1</v>
      </c>
      <c r="E56" s="17">
        <v>150</v>
      </c>
      <c r="F56" s="17">
        <v>300</v>
      </c>
      <c r="G56">
        <f>E56*F49-E49*F56</f>
      </c>
      <c r="H56">
        <f>(E56+E49)*G56</f>
      </c>
      <c r="I56">
        <f>(F56+F49)*G56</f>
      </c>
    </row>
    <row r="57" spans="2:9" x14ac:dyDescent="0.25">
      <c r="B57">
        <v>2</v>
      </c>
      <c r="C57" t="s">
        <v>176</v>
      </c>
      <c r="G57" s="13">
        <f>D49*ABS(SUM(G49:G56)/2)</f>
      </c>
      <c r="H57" s="13">
        <f>D49*SIGN(SUM(G49:G56))*SUM(H49:H56)/6</f>
      </c>
      <c r="I57" s="13">
        <f>D49*SIGN(SUM(G49:G56))*SUM(I49:I56)/6</f>
      </c>
    </row>
    <row r="58" spans="2:9" x14ac:dyDescent="0.25">
      <c r="B58">
        <v>2</v>
      </c>
      <c r="C58" s="13" t="s">
        <v>177</v>
      </c>
      <c r="G58" s="14">
        <f>G40+G48+G57</f>
      </c>
      <c r="H58" s="14">
        <f>H40+H48+H57</f>
      </c>
      <c r="I58" s="14">
        <f>I40+I48+I57</f>
      </c>
    </row>
    <row r="60" spans="2:9" x14ac:dyDescent="0.25">
      <c r="B60">
        <v>3</v>
      </c>
      <c r="C60" t="s">
        <v>137</v>
      </c>
      <c r="D60">
        <v>1</v>
      </c>
      <c r="E60" s="17">
        <v>-173.0794113621754</v>
      </c>
      <c r="F60" s="17">
        <v>-600</v>
      </c>
      <c r="G60">
        <f>E60*F61-E61*F60</f>
      </c>
      <c r="H60">
        <f>(E60+E61)*G60</f>
      </c>
      <c r="I60">
        <f>(F60+F61)*G60</f>
      </c>
    </row>
    <row r="61" spans="2:9" x14ac:dyDescent="0.25">
      <c r="B61">
        <v>3</v>
      </c>
      <c r="C61" t="s">
        <v>137</v>
      </c>
      <c r="D61">
        <v>1</v>
      </c>
      <c r="E61" s="17">
        <v>550</v>
      </c>
      <c r="F61" s="17">
        <v>-600</v>
      </c>
      <c r="G61">
        <f>E61*F62-E62*F61</f>
      </c>
      <c r="H61">
        <f>(E61+E62)*G61</f>
      </c>
      <c r="I61">
        <f>(F61+F62)*G61</f>
      </c>
    </row>
    <row r="62" spans="2:9" x14ac:dyDescent="0.25">
      <c r="B62">
        <v>3</v>
      </c>
      <c r="C62" t="s">
        <v>137</v>
      </c>
      <c r="D62">
        <v>1</v>
      </c>
      <c r="E62" s="17">
        <v>750</v>
      </c>
      <c r="F62" s="17">
        <v>-400</v>
      </c>
      <c r="G62">
        <f>E62*F63-E63*F62</f>
      </c>
      <c r="H62">
        <f>(E62+E63)*G62</f>
      </c>
      <c r="I62">
        <f>(F62+F63)*G62</f>
      </c>
    </row>
    <row r="63" spans="2:9" x14ac:dyDescent="0.25">
      <c r="B63">
        <v>3</v>
      </c>
      <c r="C63" t="s">
        <v>137</v>
      </c>
      <c r="D63">
        <v>1</v>
      </c>
      <c r="E63" s="17">
        <v>750</v>
      </c>
      <c r="F63" s="17">
        <v>400</v>
      </c>
      <c r="G63">
        <f>E63*F64-E64*F63</f>
      </c>
      <c r="H63">
        <f>(E63+E64)*G63</f>
      </c>
      <c r="I63">
        <f>(F63+F64)*G63</f>
      </c>
    </row>
    <row r="64" spans="2:9" x14ac:dyDescent="0.25">
      <c r="B64">
        <v>3</v>
      </c>
      <c r="C64" t="s">
        <v>137</v>
      </c>
      <c r="D64">
        <v>1</v>
      </c>
      <c r="E64" s="17">
        <v>550</v>
      </c>
      <c r="F64" s="17">
        <v>600</v>
      </c>
      <c r="G64">
        <f>E64*F65-E65*F64</f>
      </c>
      <c r="H64">
        <f>(E64+E65)*G64</f>
      </c>
      <c r="I64">
        <f>(F64+F65)*G64</f>
      </c>
    </row>
    <row r="65" spans="2:9" x14ac:dyDescent="0.25">
      <c r="B65">
        <v>3</v>
      </c>
      <c r="C65" t="s">
        <v>137</v>
      </c>
      <c r="D65">
        <v>1</v>
      </c>
      <c r="E65" s="17">
        <v>-494.61844227952224</v>
      </c>
      <c r="F65" s="17">
        <v>600</v>
      </c>
      <c r="G65">
        <f>E65*F60-E60*F65</f>
      </c>
      <c r="H65">
        <f>(E65+E60)*G65</f>
      </c>
      <c r="I65">
        <f>(F65+F60)*G65</f>
      </c>
    </row>
    <row r="66" spans="2:9" x14ac:dyDescent="0.25">
      <c r="B66">
        <v>3</v>
      </c>
      <c r="C66" t="s">
        <v>176</v>
      </c>
      <c r="G66" s="13">
        <f>D60*ABS(SUM(G60:G65)/2)</f>
      </c>
      <c r="H66" s="13">
        <f>D60*SIGN(SUM(G60:G65))*SUM(H60:H65)/6</f>
      </c>
      <c r="I66" s="13">
        <f>D60*SIGN(SUM(G60:G65))*SUM(I60:I65)/6</f>
      </c>
    </row>
    <row r="67" spans="2:9" x14ac:dyDescent="0.25">
      <c r="B67">
        <v>3</v>
      </c>
      <c r="C67" t="s">
        <v>140</v>
      </c>
      <c r="D67">
        <v>-1</v>
      </c>
      <c r="E67" s="17">
        <v>-441.0286037932978</v>
      </c>
      <c r="F67" s="17">
        <v>400</v>
      </c>
      <c r="G67">
        <f>E67*F68-E68*F67</f>
      </c>
      <c r="H67">
        <f>(E67+E68)*G67</f>
      </c>
      <c r="I67">
        <f>(F67+F68)*G67</f>
      </c>
    </row>
    <row r="68" spans="2:9" x14ac:dyDescent="0.25">
      <c r="B68">
        <v>3</v>
      </c>
      <c r="C68" t="s">
        <v>140</v>
      </c>
      <c r="D68">
        <v>-1</v>
      </c>
      <c r="E68" s="17">
        <v>-250</v>
      </c>
      <c r="F68" s="17">
        <v>400</v>
      </c>
      <c r="G68">
        <f>E68*F69-E69*F68</f>
      </c>
      <c r="H68">
        <f>(E68+E69)*G68</f>
      </c>
      <c r="I68">
        <f>(F68+F69)*G68</f>
      </c>
    </row>
    <row r="69" spans="2:9" x14ac:dyDescent="0.25">
      <c r="B69">
        <v>3</v>
      </c>
      <c r="C69" t="s">
        <v>140</v>
      </c>
      <c r="D69">
        <v>-1</v>
      </c>
      <c r="E69" s="17">
        <v>-150</v>
      </c>
      <c r="F69" s="17">
        <v>300</v>
      </c>
      <c r="G69">
        <f>E69*F70-E70*F69</f>
      </c>
      <c r="H69">
        <f>(E69+E70)*G69</f>
      </c>
      <c r="I69">
        <f>(F69+F70)*G69</f>
      </c>
    </row>
    <row r="70" spans="2:9" x14ac:dyDescent="0.25">
      <c r="B70">
        <v>3</v>
      </c>
      <c r="C70" t="s">
        <v>140</v>
      </c>
      <c r="D70">
        <v>-1</v>
      </c>
      <c r="E70" s="17">
        <v>-150</v>
      </c>
      <c r="F70" s="17">
        <v>-300</v>
      </c>
      <c r="G70">
        <f>E70*F71-E71*F70</f>
      </c>
      <c r="H70">
        <f>(E70+E71)*G70</f>
      </c>
      <c r="I70">
        <f>(F70+F71)*G70</f>
      </c>
    </row>
    <row r="71" spans="2:9" x14ac:dyDescent="0.25">
      <c r="B71">
        <v>3</v>
      </c>
      <c r="C71" t="s">
        <v>140</v>
      </c>
      <c r="D71">
        <v>-1</v>
      </c>
      <c r="E71" s="17">
        <v>-231.5996174839888</v>
      </c>
      <c r="F71" s="17">
        <v>-381.5996174839888</v>
      </c>
      <c r="G71">
        <f>E71*F67-E67*F71</f>
      </c>
      <c r="H71">
        <f>(E71+E67)*G71</f>
      </c>
      <c r="I71">
        <f>(F71+F67)*G71</f>
      </c>
    </row>
    <row r="72" spans="2:9" x14ac:dyDescent="0.25">
      <c r="B72">
        <v>3</v>
      </c>
      <c r="C72" t="s">
        <v>176</v>
      </c>
      <c r="G72" s="13">
        <f>D67*ABS(SUM(G67:G71)/2)</f>
      </c>
      <c r="H72" s="13">
        <f>D67*SIGN(SUM(G67:G71))*SUM(H67:H71)/6</f>
      </c>
      <c r="I72" s="13">
        <f>D67*SIGN(SUM(G67:G71))*SUM(I67:I71)/6</f>
      </c>
    </row>
    <row r="73" spans="2:9" x14ac:dyDescent="0.25">
      <c r="B73">
        <v>3</v>
      </c>
      <c r="C73" t="s">
        <v>142</v>
      </c>
      <c r="D73">
        <v>-1</v>
      </c>
      <c r="E73" s="17">
        <v>250</v>
      </c>
      <c r="F73" s="17">
        <v>400</v>
      </c>
      <c r="G73">
        <f>E73*F74-E74*F73</f>
      </c>
      <c r="H73">
        <f>(E73+E74)*G73</f>
      </c>
      <c r="I73">
        <f>(F73+F74)*G73</f>
      </c>
    </row>
    <row r="74" spans="2:9" x14ac:dyDescent="0.25">
      <c r="B74">
        <v>3</v>
      </c>
      <c r="C74" t="s">
        <v>142</v>
      </c>
      <c r="D74">
        <v>-1</v>
      </c>
      <c r="E74" s="17">
        <v>450</v>
      </c>
      <c r="F74" s="17">
        <v>400</v>
      </c>
      <c r="G74">
        <f>E74*F75-E75*F74</f>
      </c>
      <c r="H74">
        <f>(E74+E75)*G74</f>
      </c>
      <c r="I74">
        <f>(F74+F75)*G74</f>
      </c>
    </row>
    <row r="75" spans="2:9" x14ac:dyDescent="0.25">
      <c r="B75">
        <v>3</v>
      </c>
      <c r="C75" t="s">
        <v>142</v>
      </c>
      <c r="D75">
        <v>-1</v>
      </c>
      <c r="E75" s="17">
        <v>550</v>
      </c>
      <c r="F75" s="17">
        <v>300</v>
      </c>
      <c r="G75">
        <f>E75*F76-E76*F75</f>
      </c>
      <c r="H75">
        <f>(E75+E76)*G75</f>
      </c>
      <c r="I75">
        <f>(F75+F76)*G75</f>
      </c>
    </row>
    <row r="76" spans="2:9" x14ac:dyDescent="0.25">
      <c r="B76">
        <v>3</v>
      </c>
      <c r="C76" t="s">
        <v>142</v>
      </c>
      <c r="D76">
        <v>-1</v>
      </c>
      <c r="E76" s="17">
        <v>550</v>
      </c>
      <c r="F76" s="17">
        <v>-300</v>
      </c>
      <c r="G76">
        <f>E76*F77-E77*F76</f>
      </c>
      <c r="H76">
        <f>(E76+E77)*G76</f>
      </c>
      <c r="I76">
        <f>(F76+F77)*G76</f>
      </c>
    </row>
    <row r="77" spans="2:9" x14ac:dyDescent="0.25">
      <c r="B77">
        <v>3</v>
      </c>
      <c r="C77" t="s">
        <v>142</v>
      </c>
      <c r="D77">
        <v>-1</v>
      </c>
      <c r="E77" s="17">
        <v>450</v>
      </c>
      <c r="F77" s="17">
        <v>-400</v>
      </c>
      <c r="G77">
        <f>E77*F78-E78*F77</f>
      </c>
      <c r="H77">
        <f>(E77+E78)*G77</f>
      </c>
      <c r="I77">
        <f>(F77+F78)*G77</f>
      </c>
    </row>
    <row r="78" spans="2:9" x14ac:dyDescent="0.25">
      <c r="B78">
        <v>3</v>
      </c>
      <c r="C78" t="s">
        <v>142</v>
      </c>
      <c r="D78">
        <v>-1</v>
      </c>
      <c r="E78" s="17">
        <v>250</v>
      </c>
      <c r="F78" s="17">
        <v>-400</v>
      </c>
      <c r="G78">
        <f>E78*F79-E79*F78</f>
      </c>
      <c r="H78">
        <f>(E78+E79)*G78</f>
      </c>
      <c r="I78">
        <f>(F78+F79)*G78</f>
      </c>
    </row>
    <row r="79" spans="2:9" x14ac:dyDescent="0.25">
      <c r="B79">
        <v>3</v>
      </c>
      <c r="C79" t="s">
        <v>142</v>
      </c>
      <c r="D79">
        <v>-1</v>
      </c>
      <c r="E79" s="17">
        <v>150</v>
      </c>
      <c r="F79" s="17">
        <v>-300</v>
      </c>
      <c r="G79">
        <f>E79*F80-E80*F79</f>
      </c>
      <c r="H79">
        <f>(E79+E80)*G79</f>
      </c>
      <c r="I79">
        <f>(F79+F80)*G79</f>
      </c>
    </row>
    <row r="80" spans="2:9" x14ac:dyDescent="0.25">
      <c r="B80">
        <v>3</v>
      </c>
      <c r="C80" t="s">
        <v>142</v>
      </c>
      <c r="D80">
        <v>-1</v>
      </c>
      <c r="E80" s="17">
        <v>150</v>
      </c>
      <c r="F80" s="17">
        <v>300</v>
      </c>
      <c r="G80">
        <f>E80*F73-E73*F80</f>
      </c>
      <c r="H80">
        <f>(E80+E73)*G80</f>
      </c>
      <c r="I80">
        <f>(F80+F73)*G80</f>
      </c>
    </row>
    <row r="81" spans="2:9" x14ac:dyDescent="0.25">
      <c r="B81">
        <v>3</v>
      </c>
      <c r="C81" t="s">
        <v>176</v>
      </c>
      <c r="G81" s="13">
        <f>D73*ABS(SUM(G73:G80)/2)</f>
      </c>
      <c r="H81" s="13">
        <f>D73*SIGN(SUM(G73:G80))*SUM(H73:H80)/6</f>
      </c>
      <c r="I81" s="13">
        <f>D73*SIGN(SUM(G73:G80))*SUM(I73:I80)/6</f>
      </c>
    </row>
    <row r="82" spans="2:9" x14ac:dyDescent="0.25">
      <c r="B82">
        <v>3</v>
      </c>
      <c r="C82" s="13" t="s">
        <v>177</v>
      </c>
      <c r="G82" s="14">
        <f>G66+G72+G81</f>
      </c>
      <c r="H82" s="14">
        <f>H66+H72+H81</f>
      </c>
      <c r="I82" s="14">
        <f>I66+I72+I81</f>
      </c>
    </row>
    <row r="84" spans="2:9" x14ac:dyDescent="0.25">
      <c r="B84">
        <v>4</v>
      </c>
      <c r="C84" t="s">
        <v>137</v>
      </c>
      <c r="D84">
        <v>1</v>
      </c>
      <c r="E84" s="17">
        <v>-34.58771324667566</v>
      </c>
      <c r="F84" s="17">
        <v>-600</v>
      </c>
      <c r="G84">
        <f>E84*F85-E85*F84</f>
      </c>
      <c r="H84">
        <f>(E84+E85)*G84</f>
      </c>
      <c r="I84">
        <f>(F84+F85)*G84</f>
      </c>
    </row>
    <row r="85" spans="2:9" x14ac:dyDescent="0.25">
      <c r="B85">
        <v>4</v>
      </c>
      <c r="C85" t="s">
        <v>137</v>
      </c>
      <c r="D85">
        <v>1</v>
      </c>
      <c r="E85" s="17">
        <v>550</v>
      </c>
      <c r="F85" s="17">
        <v>-600</v>
      </c>
      <c r="G85">
        <f>E85*F86-E86*F85</f>
      </c>
      <c r="H85">
        <f>(E85+E86)*G85</f>
      </c>
      <c r="I85">
        <f>(F85+F86)*G85</f>
      </c>
    </row>
    <row r="86" spans="2:9" x14ac:dyDescent="0.25">
      <c r="B86">
        <v>4</v>
      </c>
      <c r="C86" t="s">
        <v>137</v>
      </c>
      <c r="D86">
        <v>1</v>
      </c>
      <c r="E86" s="17">
        <v>750</v>
      </c>
      <c r="F86" s="17">
        <v>-400</v>
      </c>
      <c r="G86">
        <f>E86*F87-E87*F86</f>
      </c>
      <c r="H86">
        <f>(E86+E87)*G86</f>
      </c>
      <c r="I86">
        <f>(F86+F87)*G86</f>
      </c>
    </row>
    <row r="87" spans="2:9" x14ac:dyDescent="0.25">
      <c r="B87">
        <v>4</v>
      </c>
      <c r="C87" t="s">
        <v>137</v>
      </c>
      <c r="D87">
        <v>1</v>
      </c>
      <c r="E87" s="17">
        <v>750</v>
      </c>
      <c r="F87" s="17">
        <v>400</v>
      </c>
      <c r="G87">
        <f>E87*F88-E88*F87</f>
      </c>
      <c r="H87">
        <f>(E87+E88)*G87</f>
      </c>
      <c r="I87">
        <f>(F87+F88)*G87</f>
      </c>
    </row>
    <row r="88" spans="2:9" x14ac:dyDescent="0.25">
      <c r="B88">
        <v>4</v>
      </c>
      <c r="C88" t="s">
        <v>137</v>
      </c>
      <c r="D88">
        <v>1</v>
      </c>
      <c r="E88" s="17">
        <v>550</v>
      </c>
      <c r="F88" s="17">
        <v>600</v>
      </c>
      <c r="G88">
        <f>E88*F89-E89*F88</f>
      </c>
      <c r="H88">
        <f>(E88+E89)*G88</f>
      </c>
      <c r="I88">
        <f>(F88+F89)*G88</f>
      </c>
    </row>
    <row r="89" spans="2:9" x14ac:dyDescent="0.25">
      <c r="B89">
        <v>4</v>
      </c>
      <c r="C89" t="s">
        <v>137</v>
      </c>
      <c r="D89">
        <v>1</v>
      </c>
      <c r="E89" s="17">
        <v>-356.1267441640226</v>
      </c>
      <c r="F89" s="17">
        <v>600</v>
      </c>
      <c r="G89">
        <f>E89*F84-E84*F89</f>
      </c>
      <c r="H89">
        <f>(E89+E84)*G89</f>
      </c>
      <c r="I89">
        <f>(F89+F84)*G89</f>
      </c>
    </row>
    <row r="90" spans="2:9" x14ac:dyDescent="0.25">
      <c r="B90">
        <v>4</v>
      </c>
      <c r="C90" t="s">
        <v>176</v>
      </c>
      <c r="G90" s="13">
        <f>D84*ABS(SUM(G84:G89)/2)</f>
      </c>
      <c r="H90" s="13">
        <f>D84*SIGN(SUM(G84:G89))*SUM(H84:H89)/6</f>
      </c>
      <c r="I90" s="13">
        <f>D84*SIGN(SUM(G84:G89))*SUM(I84:I89)/6</f>
      </c>
    </row>
    <row r="91" spans="2:9" x14ac:dyDescent="0.25">
      <c r="B91">
        <v>4</v>
      </c>
      <c r="C91" t="s">
        <v>140</v>
      </c>
      <c r="D91">
        <v>-1</v>
      </c>
      <c r="E91" s="17">
        <v>-302.53690567779813</v>
      </c>
      <c r="F91" s="17">
        <v>400</v>
      </c>
      <c r="G91">
        <f>E91*F92-E92*F91</f>
      </c>
      <c r="H91">
        <f>(E91+E92)*G91</f>
      </c>
      <c r="I91">
        <f>(F91+F92)*G91</f>
      </c>
    </row>
    <row r="92" spans="2:9" x14ac:dyDescent="0.25">
      <c r="B92">
        <v>4</v>
      </c>
      <c r="C92" t="s">
        <v>140</v>
      </c>
      <c r="D92">
        <v>-1</v>
      </c>
      <c r="E92" s="17">
        <v>-250</v>
      </c>
      <c r="F92" s="17">
        <v>400</v>
      </c>
      <c r="G92">
        <f>E92*F93-E93*F92</f>
      </c>
      <c r="H92">
        <f>(E92+E93)*G92</f>
      </c>
      <c r="I92">
        <f>(F92+F93)*G92</f>
      </c>
    </row>
    <row r="93" spans="2:9" x14ac:dyDescent="0.25">
      <c r="B93">
        <v>4</v>
      </c>
      <c r="C93" t="s">
        <v>140</v>
      </c>
      <c r="D93">
        <v>-1</v>
      </c>
      <c r="E93" s="17">
        <v>-150</v>
      </c>
      <c r="F93" s="17">
        <v>300</v>
      </c>
      <c r="G93">
        <f>E93*F94-E94*F93</f>
      </c>
      <c r="H93">
        <f>(E93+E94)*G93</f>
      </c>
      <c r="I93">
        <f>(F93+F94)*G93</f>
      </c>
    </row>
    <row r="94" spans="2:9" x14ac:dyDescent="0.25">
      <c r="B94">
        <v>4</v>
      </c>
      <c r="C94" t="s">
        <v>140</v>
      </c>
      <c r="D94">
        <v>-1</v>
      </c>
      <c r="E94" s="17">
        <v>-150</v>
      </c>
      <c r="F94" s="17">
        <v>-169.27548201888465</v>
      </c>
      <c r="G94">
        <f>E94*F91-E91*F94</f>
      </c>
      <c r="H94">
        <f>(E94+E91)*G94</f>
      </c>
      <c r="I94">
        <f>(F94+F91)*G94</f>
      </c>
    </row>
    <row r="95" spans="2:9" x14ac:dyDescent="0.25">
      <c r="B95">
        <v>4</v>
      </c>
      <c r="C95" t="s">
        <v>176</v>
      </c>
      <c r="G95" s="13">
        <f>D91*ABS(SUM(G91:G94)/2)</f>
      </c>
      <c r="H95" s="13">
        <f>D91*SIGN(SUM(G91:G94))*SUM(H91:H94)/6</f>
      </c>
      <c r="I95" s="13">
        <f>D91*SIGN(SUM(G91:G94))*SUM(I91:I94)/6</f>
      </c>
    </row>
    <row r="96" spans="2:9" x14ac:dyDescent="0.25">
      <c r="B96">
        <v>4</v>
      </c>
      <c r="C96" t="s">
        <v>142</v>
      </c>
      <c r="D96">
        <v>-1</v>
      </c>
      <c r="E96" s="17">
        <v>250</v>
      </c>
      <c r="F96" s="17">
        <v>400</v>
      </c>
      <c r="G96">
        <f>E96*F97-E97*F96</f>
      </c>
      <c r="H96">
        <f>(E96+E97)*G96</f>
      </c>
      <c r="I96">
        <f>(F96+F97)*G96</f>
      </c>
    </row>
    <row r="97" spans="2:9" x14ac:dyDescent="0.25">
      <c r="B97">
        <v>4</v>
      </c>
      <c r="C97" t="s">
        <v>142</v>
      </c>
      <c r="D97">
        <v>-1</v>
      </c>
      <c r="E97" s="17">
        <v>450</v>
      </c>
      <c r="F97" s="17">
        <v>400</v>
      </c>
      <c r="G97">
        <f>E97*F98-E98*F97</f>
      </c>
      <c r="H97">
        <f>(E97+E98)*G97</f>
      </c>
      <c r="I97">
        <f>(F97+F98)*G97</f>
      </c>
    </row>
    <row r="98" spans="2:9" x14ac:dyDescent="0.25">
      <c r="B98">
        <v>4</v>
      </c>
      <c r="C98" t="s">
        <v>142</v>
      </c>
      <c r="D98">
        <v>-1</v>
      </c>
      <c r="E98" s="17">
        <v>550</v>
      </c>
      <c r="F98" s="17">
        <v>300</v>
      </c>
      <c r="G98">
        <f>E98*F99-E99*F98</f>
      </c>
      <c r="H98">
        <f>(E98+E99)*G98</f>
      </c>
      <c r="I98">
        <f>(F98+F99)*G98</f>
      </c>
    </row>
    <row r="99" spans="2:9" x14ac:dyDescent="0.25">
      <c r="B99">
        <v>4</v>
      </c>
      <c r="C99" t="s">
        <v>142</v>
      </c>
      <c r="D99">
        <v>-1</v>
      </c>
      <c r="E99" s="17">
        <v>550</v>
      </c>
      <c r="F99" s="17">
        <v>-300</v>
      </c>
      <c r="G99">
        <f>E99*F100-E100*F99</f>
      </c>
      <c r="H99">
        <f>(E99+E100)*G99</f>
      </c>
      <c r="I99">
        <f>(F99+F100)*G99</f>
      </c>
    </row>
    <row r="100" spans="2:9" x14ac:dyDescent="0.25">
      <c r="B100">
        <v>4</v>
      </c>
      <c r="C100" t="s">
        <v>142</v>
      </c>
      <c r="D100">
        <v>-1</v>
      </c>
      <c r="E100" s="17">
        <v>450</v>
      </c>
      <c r="F100" s="17">
        <v>-400</v>
      </c>
      <c r="G100">
        <f>E100*F101-E101*F100</f>
      </c>
      <c r="H100">
        <f>(E100+E101)*G100</f>
      </c>
      <c r="I100">
        <f>(F100+F101)*G100</f>
      </c>
    </row>
    <row r="101" spans="2:9" x14ac:dyDescent="0.25">
      <c r="B101">
        <v>4</v>
      </c>
      <c r="C101" t="s">
        <v>142</v>
      </c>
      <c r="D101">
        <v>-1</v>
      </c>
      <c r="E101" s="17">
        <v>250</v>
      </c>
      <c r="F101" s="17">
        <v>-400</v>
      </c>
      <c r="G101">
        <f>E101*F102-E102*F101</f>
      </c>
      <c r="H101">
        <f>(E101+E102)*G101</f>
      </c>
      <c r="I101">
        <f>(F101+F102)*G101</f>
      </c>
    </row>
    <row r="102" spans="2:9" x14ac:dyDescent="0.25">
      <c r="B102">
        <v>4</v>
      </c>
      <c r="C102" t="s">
        <v>142</v>
      </c>
      <c r="D102">
        <v>-1</v>
      </c>
      <c r="E102" s="17">
        <v>150</v>
      </c>
      <c r="F102" s="17">
        <v>-300</v>
      </c>
      <c r="G102">
        <f>E102*F103-E103*F102</f>
      </c>
      <c r="H102">
        <f>(E102+E103)*G102</f>
      </c>
      <c r="I102">
        <f>(F102+F103)*G102</f>
      </c>
    </row>
    <row r="103" spans="2:9" x14ac:dyDescent="0.25">
      <c r="B103">
        <v>4</v>
      </c>
      <c r="C103" t="s">
        <v>142</v>
      </c>
      <c r="D103">
        <v>-1</v>
      </c>
      <c r="E103" s="17">
        <v>150</v>
      </c>
      <c r="F103" s="17">
        <v>300</v>
      </c>
      <c r="G103">
        <f>E103*F96-E96*F103</f>
      </c>
      <c r="H103">
        <f>(E103+E96)*G103</f>
      </c>
      <c r="I103">
        <f>(F103+F96)*G103</f>
      </c>
    </row>
    <row r="104" spans="2:9" x14ac:dyDescent="0.25">
      <c r="B104">
        <v>4</v>
      </c>
      <c r="C104" t="s">
        <v>176</v>
      </c>
      <c r="G104" s="13">
        <f>D96*ABS(SUM(G96:G103)/2)</f>
      </c>
      <c r="H104" s="13">
        <f>D96*SIGN(SUM(G96:G103))*SUM(H96:H103)/6</f>
      </c>
      <c r="I104" s="13">
        <f>D96*SIGN(SUM(G96:G103))*SUM(I96:I103)/6</f>
      </c>
    </row>
    <row r="105" spans="2:9" x14ac:dyDescent="0.25">
      <c r="B105">
        <v>4</v>
      </c>
      <c r="C105" s="13" t="s">
        <v>177</v>
      </c>
      <c r="G105" s="14">
        <f>G90+G95+G104</f>
      </c>
      <c r="H105" s="14">
        <f>H90+H95+H104</f>
      </c>
      <c r="I105" s="14">
        <f>I90+I95+I104</f>
      </c>
    </row>
    <row r="107" spans="2:9" x14ac:dyDescent="0.25">
      <c r="B107">
        <v>5</v>
      </c>
      <c r="C107" t="s">
        <v>137</v>
      </c>
      <c r="D107">
        <v>1</v>
      </c>
      <c r="E107" s="17">
        <v>75.05154776142842</v>
      </c>
      <c r="F107" s="17">
        <v>-600</v>
      </c>
      <c r="G107">
        <f>E107*F108-E108*F107</f>
      </c>
      <c r="H107">
        <f>(E107+E108)*G107</f>
      </c>
      <c r="I107">
        <f>(F107+F108)*G107</f>
      </c>
    </row>
    <row r="108" spans="2:9" x14ac:dyDescent="0.25">
      <c r="B108">
        <v>5</v>
      </c>
      <c r="C108" t="s">
        <v>137</v>
      </c>
      <c r="D108">
        <v>1</v>
      </c>
      <c r="E108" s="17">
        <v>550</v>
      </c>
      <c r="F108" s="17">
        <v>-600</v>
      </c>
      <c r="G108">
        <f>E108*F109-E109*F108</f>
      </c>
      <c r="H108">
        <f>(E108+E109)*G108</f>
      </c>
      <c r="I108">
        <f>(F108+F109)*G108</f>
      </c>
    </row>
    <row r="109" spans="2:9" x14ac:dyDescent="0.25">
      <c r="B109">
        <v>5</v>
      </c>
      <c r="C109" t="s">
        <v>137</v>
      </c>
      <c r="D109">
        <v>1</v>
      </c>
      <c r="E109" s="17">
        <v>750</v>
      </c>
      <c r="F109" s="17">
        <v>-400</v>
      </c>
      <c r="G109">
        <f>E109*F110-E110*F109</f>
      </c>
      <c r="H109">
        <f>(E109+E110)*G109</f>
      </c>
      <c r="I109">
        <f>(F109+F110)*G109</f>
      </c>
    </row>
    <row r="110" spans="2:9" x14ac:dyDescent="0.25">
      <c r="B110">
        <v>5</v>
      </c>
      <c r="C110" t="s">
        <v>137</v>
      </c>
      <c r="D110">
        <v>1</v>
      </c>
      <c r="E110" s="17">
        <v>750</v>
      </c>
      <c r="F110" s="17">
        <v>400</v>
      </c>
      <c r="G110">
        <f>E110*F111-E111*F110</f>
      </c>
      <c r="H110">
        <f>(E110+E111)*G110</f>
      </c>
      <c r="I110">
        <f>(F110+F111)*G110</f>
      </c>
    </row>
    <row r="111" spans="2:9" x14ac:dyDescent="0.25">
      <c r="B111">
        <v>5</v>
      </c>
      <c r="C111" t="s">
        <v>137</v>
      </c>
      <c r="D111">
        <v>1</v>
      </c>
      <c r="E111" s="17">
        <v>550</v>
      </c>
      <c r="F111" s="17">
        <v>600</v>
      </c>
      <c r="G111">
        <f>E111*F112-E112*F111</f>
      </c>
      <c r="H111">
        <f>(E111+E112)*G111</f>
      </c>
      <c r="I111">
        <f>(F111+F112)*G111</f>
      </c>
    </row>
    <row r="112" spans="2:9" x14ac:dyDescent="0.25">
      <c r="B112">
        <v>5</v>
      </c>
      <c r="C112" t="s">
        <v>137</v>
      </c>
      <c r="D112">
        <v>1</v>
      </c>
      <c r="E112" s="17">
        <v>-246.48748315591854</v>
      </c>
      <c r="F112" s="17">
        <v>600</v>
      </c>
      <c r="G112">
        <f>E112*F107-E107*F112</f>
      </c>
      <c r="H112">
        <f>(E112+E107)*G112</f>
      </c>
      <c r="I112">
        <f>(F112+F107)*G112</f>
      </c>
    </row>
    <row r="113" spans="2:9" x14ac:dyDescent="0.25">
      <c r="B113">
        <v>5</v>
      </c>
      <c r="C113" t="s">
        <v>176</v>
      </c>
      <c r="G113" s="13">
        <f>D107*ABS(SUM(G107:G112)/2)</f>
      </c>
      <c r="H113" s="13">
        <f>D107*SIGN(SUM(G107:G112))*SUM(H107:H112)/6</f>
      </c>
      <c r="I113" s="13">
        <f>D107*SIGN(SUM(G107:G112))*SUM(I107:I112)/6</f>
      </c>
    </row>
    <row r="114" spans="2:9" x14ac:dyDescent="0.25">
      <c r="B114">
        <v>5</v>
      </c>
      <c r="C114" t="s">
        <v>140</v>
      </c>
      <c r="D114">
        <v>-1</v>
      </c>
      <c r="E114" s="17">
        <v>-171.99673200287634</v>
      </c>
      <c r="F114" s="17">
        <v>321.99673200287634</v>
      </c>
      <c r="G114">
        <f>E114*F115-E115*F114</f>
      </c>
      <c r="H114">
        <f>(E114+E115)*G114</f>
      </c>
      <c r="I114">
        <f>(F114+F115)*G114</f>
      </c>
    </row>
    <row r="115" spans="2:9" x14ac:dyDescent="0.25">
      <c r="B115">
        <v>5</v>
      </c>
      <c r="C115" t="s">
        <v>140</v>
      </c>
      <c r="D115">
        <v>-1</v>
      </c>
      <c r="E115" s="17">
        <v>-150</v>
      </c>
      <c r="F115" s="17">
        <v>300</v>
      </c>
      <c r="G115">
        <f>E115*F116-E116*F115</f>
      </c>
      <c r="H115">
        <f>(E115+E116)*G115</f>
      </c>
      <c r="I115">
        <f>(F115+F116)*G115</f>
      </c>
    </row>
    <row r="116" spans="2:9" x14ac:dyDescent="0.25">
      <c r="B116">
        <v>5</v>
      </c>
      <c r="C116" t="s">
        <v>140</v>
      </c>
      <c r="D116">
        <v>-1</v>
      </c>
      <c r="E116" s="17">
        <v>-150</v>
      </c>
      <c r="F116" s="17">
        <v>239.90381056766543</v>
      </c>
      <c r="G116">
        <f>E116*F114-E114*F116</f>
      </c>
      <c r="H116">
        <f>(E116+E114)*G116</f>
      </c>
      <c r="I116">
        <f>(F116+F114)*G116</f>
      </c>
    </row>
    <row r="117" spans="2:9" x14ac:dyDescent="0.25">
      <c r="B117">
        <v>5</v>
      </c>
      <c r="C117" t="s">
        <v>176</v>
      </c>
      <c r="G117" s="13">
        <f>D114*ABS(SUM(G114:G116)/2)</f>
      </c>
      <c r="H117" s="13">
        <f>D114*SIGN(SUM(G114:G116))*SUM(H114:H116)/6</f>
      </c>
      <c r="I117" s="13">
        <f>D114*SIGN(SUM(G114:G116))*SUM(I114:I116)/6</f>
      </c>
    </row>
    <row r="118" spans="2:9" x14ac:dyDescent="0.25">
      <c r="B118">
        <v>5</v>
      </c>
      <c r="C118" t="s">
        <v>142</v>
      </c>
      <c r="D118">
        <v>-1</v>
      </c>
      <c r="E118" s="17">
        <v>250</v>
      </c>
      <c r="F118" s="17">
        <v>400</v>
      </c>
      <c r="G118">
        <f>E118*F119-E119*F118</f>
      </c>
      <c r="H118">
        <f>(E118+E119)*G118</f>
      </c>
      <c r="I118">
        <f>(F118+F119)*G118</f>
      </c>
    </row>
    <row r="119" spans="2:9" x14ac:dyDescent="0.25">
      <c r="B119">
        <v>5</v>
      </c>
      <c r="C119" t="s">
        <v>142</v>
      </c>
      <c r="D119">
        <v>-1</v>
      </c>
      <c r="E119" s="17">
        <v>450</v>
      </c>
      <c r="F119" s="17">
        <v>400</v>
      </c>
      <c r="G119">
        <f>E119*F120-E120*F119</f>
      </c>
      <c r="H119">
        <f>(E119+E120)*G119</f>
      </c>
      <c r="I119">
        <f>(F119+F120)*G119</f>
      </c>
    </row>
    <row r="120" spans="2:9" x14ac:dyDescent="0.25">
      <c r="B120">
        <v>5</v>
      </c>
      <c r="C120" t="s">
        <v>142</v>
      </c>
      <c r="D120">
        <v>-1</v>
      </c>
      <c r="E120" s="17">
        <v>550</v>
      </c>
      <c r="F120" s="17">
        <v>300</v>
      </c>
      <c r="G120">
        <f>E120*F121-E121*F120</f>
      </c>
      <c r="H120">
        <f>(E120+E121)*G120</f>
      </c>
      <c r="I120">
        <f>(F120+F121)*G120</f>
      </c>
    </row>
    <row r="121" spans="2:9" x14ac:dyDescent="0.25">
      <c r="B121">
        <v>5</v>
      </c>
      <c r="C121" t="s">
        <v>142</v>
      </c>
      <c r="D121">
        <v>-1</v>
      </c>
      <c r="E121" s="17">
        <v>550</v>
      </c>
      <c r="F121" s="17">
        <v>-300</v>
      </c>
      <c r="G121">
        <f>E121*F122-E122*F121</f>
      </c>
      <c r="H121">
        <f>(E121+E122)*G121</f>
      </c>
      <c r="I121">
        <f>(F121+F122)*G121</f>
      </c>
    </row>
    <row r="122" spans="2:9" x14ac:dyDescent="0.25">
      <c r="B122">
        <v>5</v>
      </c>
      <c r="C122" t="s">
        <v>142</v>
      </c>
      <c r="D122">
        <v>-1</v>
      </c>
      <c r="E122" s="17">
        <v>450</v>
      </c>
      <c r="F122" s="17">
        <v>-400</v>
      </c>
      <c r="G122">
        <f>E122*F123-E123*F122</f>
      </c>
      <c r="H122">
        <f>(E122+E123)*G122</f>
      </c>
      <c r="I122">
        <f>(F122+F123)*G122</f>
      </c>
    </row>
    <row r="123" spans="2:9" x14ac:dyDescent="0.25">
      <c r="B123">
        <v>5</v>
      </c>
      <c r="C123" t="s">
        <v>142</v>
      </c>
      <c r="D123">
        <v>-1</v>
      </c>
      <c r="E123" s="17">
        <v>250</v>
      </c>
      <c r="F123" s="17">
        <v>-400</v>
      </c>
      <c r="G123">
        <f>E123*F124-E124*F123</f>
      </c>
      <c r="H123">
        <f>(E123+E124)*G123</f>
      </c>
      <c r="I123">
        <f>(F123+F124)*G123</f>
      </c>
    </row>
    <row r="124" spans="2:9" x14ac:dyDescent="0.25">
      <c r="B124">
        <v>5</v>
      </c>
      <c r="C124" t="s">
        <v>142</v>
      </c>
      <c r="D124">
        <v>-1</v>
      </c>
      <c r="E124" s="17">
        <v>150</v>
      </c>
      <c r="F124" s="17">
        <v>-300</v>
      </c>
      <c r="G124">
        <f>E124*F125-E125*F124</f>
      </c>
      <c r="H124">
        <f>(E124+E125)*G124</f>
      </c>
      <c r="I124">
        <f>(F124+F125)*G124</f>
      </c>
    </row>
    <row r="125" spans="2:9" x14ac:dyDescent="0.25">
      <c r="B125">
        <v>5</v>
      </c>
      <c r="C125" t="s">
        <v>142</v>
      </c>
      <c r="D125">
        <v>-1</v>
      </c>
      <c r="E125" s="17">
        <v>150</v>
      </c>
      <c r="F125" s="17">
        <v>300</v>
      </c>
      <c r="G125">
        <f>E125*F118-E118*F125</f>
      </c>
      <c r="H125">
        <f>(E125+E118)*G125</f>
      </c>
      <c r="I125">
        <f>(F125+F118)*G125</f>
      </c>
    </row>
    <row r="126" spans="2:9" x14ac:dyDescent="0.25">
      <c r="B126">
        <v>5</v>
      </c>
      <c r="C126" t="s">
        <v>176</v>
      </c>
      <c r="G126" s="13">
        <f>D118*ABS(SUM(G118:G125)/2)</f>
      </c>
      <c r="H126" s="13">
        <f>D118*SIGN(SUM(G118:G125))*SUM(H118:H125)/6</f>
      </c>
      <c r="I126" s="13">
        <f>D118*SIGN(SUM(G118:G125))*SUM(I118:I125)/6</f>
      </c>
    </row>
    <row r="127" spans="2:9" x14ac:dyDescent="0.25">
      <c r="B127">
        <v>5</v>
      </c>
      <c r="C127" s="13" t="s">
        <v>177</v>
      </c>
      <c r="G127" s="14">
        <f>G113+G117+G126</f>
      </c>
      <c r="H127" s="14">
        <f>H113+H117+H126</f>
      </c>
      <c r="I127" s="14">
        <f>I113+I117+I126</f>
      </c>
    </row>
    <row r="129" spans="2:9" x14ac:dyDescent="0.25">
      <c r="B129">
        <v>6</v>
      </c>
      <c r="C129" t="s">
        <v>137</v>
      </c>
      <c r="D129">
        <v>1</v>
      </c>
      <c r="E129" s="17">
        <v>164.0041557491353</v>
      </c>
      <c r="F129" s="17">
        <v>-600</v>
      </c>
      <c r="G129">
        <f>E129*F130-E130*F129</f>
      </c>
      <c r="H129">
        <f>(E129+E130)*G129</f>
      </c>
      <c r="I129">
        <f>(F129+F130)*G129</f>
      </c>
    </row>
    <row r="130" spans="2:9" x14ac:dyDescent="0.25">
      <c r="B130">
        <v>6</v>
      </c>
      <c r="C130" t="s">
        <v>137</v>
      </c>
      <c r="D130">
        <v>1</v>
      </c>
      <c r="E130" s="17">
        <v>550</v>
      </c>
      <c r="F130" s="17">
        <v>-600</v>
      </c>
      <c r="G130">
        <f>E130*F131-E131*F130</f>
      </c>
      <c r="H130">
        <f>(E130+E131)*G130</f>
      </c>
      <c r="I130">
        <f>(F130+F131)*G130</f>
      </c>
    </row>
    <row r="131" spans="2:9" x14ac:dyDescent="0.25">
      <c r="B131">
        <v>6</v>
      </c>
      <c r="C131" t="s">
        <v>137</v>
      </c>
      <c r="D131">
        <v>1</v>
      </c>
      <c r="E131" s="17">
        <v>750</v>
      </c>
      <c r="F131" s="17">
        <v>-400</v>
      </c>
      <c r="G131">
        <f>E131*F132-E132*F131</f>
      </c>
      <c r="H131">
        <f>(E131+E132)*G131</f>
      </c>
      <c r="I131">
        <f>(F131+F132)*G131</f>
      </c>
    </row>
    <row r="132" spans="2:9" x14ac:dyDescent="0.25">
      <c r="B132">
        <v>6</v>
      </c>
      <c r="C132" t="s">
        <v>137</v>
      </c>
      <c r="D132">
        <v>1</v>
      </c>
      <c r="E132" s="17">
        <v>750</v>
      </c>
      <c r="F132" s="17">
        <v>400</v>
      </c>
      <c r="G132">
        <f>E132*F133-E133*F132</f>
      </c>
      <c r="H132">
        <f>(E132+E133)*G132</f>
      </c>
      <c r="I132">
        <f>(F132+F133)*G132</f>
      </c>
    </row>
    <row r="133" spans="2:9" x14ac:dyDescent="0.25">
      <c r="B133">
        <v>6</v>
      </c>
      <c r="C133" t="s">
        <v>137</v>
      </c>
      <c r="D133">
        <v>1</v>
      </c>
      <c r="E133" s="17">
        <v>550</v>
      </c>
      <c r="F133" s="17">
        <v>600</v>
      </c>
      <c r="G133">
        <f>E133*F134-E134*F133</f>
      </c>
      <c r="H133">
        <f>(E133+E134)*G133</f>
      </c>
      <c r="I133">
        <f>(F133+F134)*G133</f>
      </c>
    </row>
    <row r="134" spans="2:9" x14ac:dyDescent="0.25">
      <c r="B134">
        <v>6</v>
      </c>
      <c r="C134" t="s">
        <v>137</v>
      </c>
      <c r="D134">
        <v>1</v>
      </c>
      <c r="E134" s="17">
        <v>-157.53487516821167</v>
      </c>
      <c r="F134" s="17">
        <v>600</v>
      </c>
      <c r="G134">
        <f>E134*F129-E129*F134</f>
      </c>
      <c r="H134">
        <f>(E134+E129)*G134</f>
      </c>
      <c r="I134">
        <f>(F134+F129)*G134</f>
      </c>
    </row>
    <row r="135" spans="2:9" x14ac:dyDescent="0.25">
      <c r="B135">
        <v>6</v>
      </c>
      <c r="C135" t="s">
        <v>176</v>
      </c>
      <c r="G135" s="13">
        <f>D129*ABS(SUM(G129:G134)/2)</f>
      </c>
      <c r="H135" s="13">
        <f>D129*SIGN(SUM(G129:G134))*SUM(H129:H134)/6</f>
      </c>
      <c r="I135" s="13">
        <f>D129*SIGN(SUM(G129:G134))*SUM(I129:I134)/6</f>
      </c>
    </row>
    <row r="136" spans="2:9" x14ac:dyDescent="0.25">
      <c r="B136">
        <v>6</v>
      </c>
      <c r="C136" t="s">
        <v>140</v>
      </c>
      <c r="D136">
        <v>-1</v>
      </c>
      <c r="E136" s="17">
        <v>250</v>
      </c>
      <c r="F136" s="17">
        <v>400</v>
      </c>
      <c r="G136">
        <f>E136*F137-E137*F136</f>
      </c>
      <c r="H136">
        <f>(E136+E137)*G136</f>
      </c>
      <c r="I136">
        <f>(F136+F137)*G136</f>
      </c>
    </row>
    <row r="137" spans="2:9" x14ac:dyDescent="0.25">
      <c r="B137">
        <v>6</v>
      </c>
      <c r="C137" t="s">
        <v>140</v>
      </c>
      <c r="D137">
        <v>-1</v>
      </c>
      <c r="E137" s="17">
        <v>450</v>
      </c>
      <c r="F137" s="17">
        <v>400</v>
      </c>
      <c r="G137">
        <f>E137*F138-E138*F137</f>
      </c>
      <c r="H137">
        <f>(E137+E138)*G137</f>
      </c>
      <c r="I137">
        <f>(F137+F138)*G137</f>
      </c>
    </row>
    <row r="138" spans="2:9" x14ac:dyDescent="0.25">
      <c r="B138">
        <v>6</v>
      </c>
      <c r="C138" t="s">
        <v>140</v>
      </c>
      <c r="D138">
        <v>-1</v>
      </c>
      <c r="E138" s="17">
        <v>550</v>
      </c>
      <c r="F138" s="17">
        <v>300</v>
      </c>
      <c r="G138">
        <f>E138*F139-E139*F138</f>
      </c>
      <c r="H138">
        <f>(E138+E139)*G138</f>
      </c>
      <c r="I138">
        <f>(F138+F139)*G138</f>
      </c>
    </row>
    <row r="139" spans="2:9" x14ac:dyDescent="0.25">
      <c r="B139">
        <v>6</v>
      </c>
      <c r="C139" t="s">
        <v>140</v>
      </c>
      <c r="D139">
        <v>-1</v>
      </c>
      <c r="E139" s="17">
        <v>550</v>
      </c>
      <c r="F139" s="17">
        <v>-300</v>
      </c>
      <c r="G139">
        <f>E139*F140-E140*F139</f>
      </c>
      <c r="H139">
        <f>(E139+E140)*G139</f>
      </c>
      <c r="I139">
        <f>(F139+F140)*G139</f>
      </c>
    </row>
    <row r="140" spans="2:9" x14ac:dyDescent="0.25">
      <c r="B140">
        <v>6</v>
      </c>
      <c r="C140" t="s">
        <v>140</v>
      </c>
      <c r="D140">
        <v>-1</v>
      </c>
      <c r="E140" s="17">
        <v>450</v>
      </c>
      <c r="F140" s="17">
        <v>-400</v>
      </c>
      <c r="G140">
        <f>E140*F141-E141*F140</f>
      </c>
      <c r="H140">
        <f>(E140+E141)*G140</f>
      </c>
      <c r="I140">
        <f>(F140+F141)*G140</f>
      </c>
    </row>
    <row r="141" spans="2:9" x14ac:dyDescent="0.25">
      <c r="B141">
        <v>6</v>
      </c>
      <c r="C141" t="s">
        <v>140</v>
      </c>
      <c r="D141">
        <v>-1</v>
      </c>
      <c r="E141" s="17">
        <v>250</v>
      </c>
      <c r="F141" s="17">
        <v>-400</v>
      </c>
      <c r="G141">
        <f>E141*F142-E142*F141</f>
      </c>
      <c r="H141">
        <f>(E141+E142)*G141</f>
      </c>
      <c r="I141">
        <f>(F141+F142)*G141</f>
      </c>
    </row>
    <row r="142" spans="2:9" x14ac:dyDescent="0.25">
      <c r="B142">
        <v>6</v>
      </c>
      <c r="C142" t="s">
        <v>140</v>
      </c>
      <c r="D142">
        <v>-1</v>
      </c>
      <c r="E142" s="17">
        <v>150</v>
      </c>
      <c r="F142" s="17">
        <v>-300</v>
      </c>
      <c r="G142">
        <f>E142*F143-E143*F142</f>
      </c>
      <c r="H142">
        <f>(E142+E143)*G142</f>
      </c>
      <c r="I142">
        <f>(F142+F143)*G142</f>
      </c>
    </row>
    <row r="143" spans="2:9" x14ac:dyDescent="0.25">
      <c r="B143">
        <v>6</v>
      </c>
      <c r="C143" t="s">
        <v>140</v>
      </c>
      <c r="D143">
        <v>-1</v>
      </c>
      <c r="E143" s="17">
        <v>150</v>
      </c>
      <c r="F143" s="17">
        <v>300</v>
      </c>
      <c r="G143">
        <f>E143*F136-E136*F143</f>
      </c>
      <c r="H143">
        <f>(E143+E136)*G143</f>
      </c>
      <c r="I143">
        <f>(F143+F136)*G143</f>
      </c>
    </row>
    <row r="144" spans="2:9" x14ac:dyDescent="0.25">
      <c r="B144">
        <v>6</v>
      </c>
      <c r="C144" t="s">
        <v>176</v>
      </c>
      <c r="G144" s="13">
        <f>D136*ABS(SUM(G136:G143)/2)</f>
      </c>
      <c r="H144" s="13">
        <f>D136*SIGN(SUM(G136:G143))*SUM(H136:H143)/6</f>
      </c>
      <c r="I144" s="13">
        <f>D136*SIGN(SUM(G136:G143))*SUM(I136:I143)/6</f>
      </c>
    </row>
    <row r="145" spans="2:9" x14ac:dyDescent="0.25">
      <c r="B145">
        <v>6</v>
      </c>
      <c r="C145" s="13" t="s">
        <v>177</v>
      </c>
      <c r="G145" s="14">
        <f>G135+G144</f>
      </c>
      <c r="H145" s="14">
        <f>H135+H144</f>
      </c>
      <c r="I145" s="14">
        <f>I135+I144</f>
      </c>
    </row>
    <row r="147" spans="2:9" x14ac:dyDescent="0.25">
      <c r="B147">
        <v>7</v>
      </c>
      <c r="C147" t="s">
        <v>137</v>
      </c>
      <c r="D147">
        <v>1</v>
      </c>
      <c r="E147" s="17">
        <v>212.2189834475912</v>
      </c>
      <c r="F147" s="17">
        <v>-600</v>
      </c>
      <c r="G147">
        <f>E147*F148-E148*F147</f>
      </c>
      <c r="H147">
        <f>(E147+E148)*G147</f>
      </c>
      <c r="I147">
        <f>(F147+F148)*G147</f>
      </c>
    </row>
    <row r="148" spans="2:9" x14ac:dyDescent="0.25">
      <c r="B148">
        <v>7</v>
      </c>
      <c r="C148" t="s">
        <v>137</v>
      </c>
      <c r="D148">
        <v>1</v>
      </c>
      <c r="E148" s="17">
        <v>550</v>
      </c>
      <c r="F148" s="17">
        <v>-600</v>
      </c>
      <c r="G148">
        <f>E148*F149-E149*F148</f>
      </c>
      <c r="H148">
        <f>(E148+E149)*G148</f>
      </c>
      <c r="I148">
        <f>(F148+F149)*G148</f>
      </c>
    </row>
    <row r="149" spans="2:9" x14ac:dyDescent="0.25">
      <c r="B149">
        <v>7</v>
      </c>
      <c r="C149" t="s">
        <v>137</v>
      </c>
      <c r="D149">
        <v>1</v>
      </c>
      <c r="E149" s="17">
        <v>750</v>
      </c>
      <c r="F149" s="17">
        <v>-400</v>
      </c>
      <c r="G149">
        <f>E149*F150-E150*F149</f>
      </c>
      <c r="H149">
        <f>(E149+E150)*G149</f>
      </c>
      <c r="I149">
        <f>(F149+F150)*G149</f>
      </c>
    </row>
    <row r="150" spans="2:9" x14ac:dyDescent="0.25">
      <c r="B150">
        <v>7</v>
      </c>
      <c r="C150" t="s">
        <v>137</v>
      </c>
      <c r="D150">
        <v>1</v>
      </c>
      <c r="E150" s="17">
        <v>750</v>
      </c>
      <c r="F150" s="17">
        <v>400</v>
      </c>
      <c r="G150">
        <f>E150*F151-E151*F150</f>
      </c>
      <c r="H150">
        <f>(E150+E151)*G150</f>
      </c>
      <c r="I150">
        <f>(F150+F151)*G150</f>
      </c>
    </row>
    <row r="151" spans="2:9" x14ac:dyDescent="0.25">
      <c r="B151">
        <v>7</v>
      </c>
      <c r="C151" t="s">
        <v>137</v>
      </c>
      <c r="D151">
        <v>1</v>
      </c>
      <c r="E151" s="17">
        <v>550</v>
      </c>
      <c r="F151" s="17">
        <v>600</v>
      </c>
      <c r="G151">
        <f>E151*F152-E152*F151</f>
      </c>
      <c r="H151">
        <f>(E151+E152)*G151</f>
      </c>
      <c r="I151">
        <f>(F151+F152)*G151</f>
      </c>
    </row>
    <row r="152" spans="2:9" x14ac:dyDescent="0.25">
      <c r="B152">
        <v>7</v>
      </c>
      <c r="C152" t="s">
        <v>137</v>
      </c>
      <c r="D152">
        <v>1</v>
      </c>
      <c r="E152" s="17">
        <v>-109.32004746975576</v>
      </c>
      <c r="F152" s="17">
        <v>600</v>
      </c>
      <c r="G152">
        <f>E152*F147-E147*F152</f>
      </c>
      <c r="H152">
        <f>(E152+E147)*G152</f>
      </c>
      <c r="I152">
        <f>(F152+F147)*G152</f>
      </c>
    </row>
    <row r="153" spans="2:9" x14ac:dyDescent="0.25">
      <c r="B153">
        <v>7</v>
      </c>
      <c r="C153" t="s">
        <v>176</v>
      </c>
      <c r="G153" s="13">
        <f>D147*ABS(SUM(G147:G152)/2)</f>
      </c>
      <c r="H153" s="13">
        <f>D147*SIGN(SUM(G147:G152))*SUM(H147:H152)/6</f>
      </c>
      <c r="I153" s="13">
        <f>D147*SIGN(SUM(G147:G152))*SUM(I147:I152)/6</f>
      </c>
    </row>
    <row r="154" spans="2:9" x14ac:dyDescent="0.25">
      <c r="B154">
        <v>7</v>
      </c>
      <c r="C154" t="s">
        <v>140</v>
      </c>
      <c r="D154">
        <v>-1</v>
      </c>
      <c r="E154" s="17">
        <v>250</v>
      </c>
      <c r="F154" s="17">
        <v>400</v>
      </c>
      <c r="G154">
        <f>E154*F155-E155*F154</f>
      </c>
      <c r="H154">
        <f>(E154+E155)*G154</f>
      </c>
      <c r="I154">
        <f>(F154+F155)*G154</f>
      </c>
    </row>
    <row r="155" spans="2:9" x14ac:dyDescent="0.25">
      <c r="B155">
        <v>7</v>
      </c>
      <c r="C155" t="s">
        <v>140</v>
      </c>
      <c r="D155">
        <v>-1</v>
      </c>
      <c r="E155" s="17">
        <v>450</v>
      </c>
      <c r="F155" s="17">
        <v>400</v>
      </c>
      <c r="G155">
        <f>E155*F156-E156*F155</f>
      </c>
      <c r="H155">
        <f>(E155+E156)*G155</f>
      </c>
      <c r="I155">
        <f>(F155+F156)*G155</f>
      </c>
    </row>
    <row r="156" spans="2:9" x14ac:dyDescent="0.25">
      <c r="B156">
        <v>7</v>
      </c>
      <c r="C156" t="s">
        <v>140</v>
      </c>
      <c r="D156">
        <v>-1</v>
      </c>
      <c r="E156" s="17">
        <v>550</v>
      </c>
      <c r="F156" s="17">
        <v>300</v>
      </c>
      <c r="G156">
        <f>E156*F157-E157*F156</f>
      </c>
      <c r="H156">
        <f>(E156+E157)*G156</f>
      </c>
      <c r="I156">
        <f>(F156+F157)*G156</f>
      </c>
    </row>
    <row r="157" spans="2:9" x14ac:dyDescent="0.25">
      <c r="B157">
        <v>7</v>
      </c>
      <c r="C157" t="s">
        <v>140</v>
      </c>
      <c r="D157">
        <v>-1</v>
      </c>
      <c r="E157" s="17">
        <v>550</v>
      </c>
      <c r="F157" s="17">
        <v>-300</v>
      </c>
      <c r="G157">
        <f>E157*F158-E158*F157</f>
      </c>
      <c r="H157">
        <f>(E157+E158)*G157</f>
      </c>
      <c r="I157">
        <f>(F157+F158)*G157</f>
      </c>
    </row>
    <row r="158" spans="2:9" x14ac:dyDescent="0.25">
      <c r="B158">
        <v>7</v>
      </c>
      <c r="C158" t="s">
        <v>140</v>
      </c>
      <c r="D158">
        <v>-1</v>
      </c>
      <c r="E158" s="17">
        <v>450</v>
      </c>
      <c r="F158" s="17">
        <v>-400</v>
      </c>
      <c r="G158">
        <f>E158*F159-E159*F158</f>
      </c>
      <c r="H158">
        <f>(E158+E159)*G158</f>
      </c>
      <c r="I158">
        <f>(F158+F159)*G158</f>
      </c>
    </row>
    <row r="159" spans="2:9" x14ac:dyDescent="0.25">
      <c r="B159">
        <v>7</v>
      </c>
      <c r="C159" t="s">
        <v>140</v>
      </c>
      <c r="D159">
        <v>-1</v>
      </c>
      <c r="E159" s="17">
        <v>250</v>
      </c>
      <c r="F159" s="17">
        <v>-400</v>
      </c>
      <c r="G159">
        <f>E159*F160-E160*F159</f>
      </c>
      <c r="H159">
        <f>(E159+E160)*G159</f>
      </c>
      <c r="I159">
        <f>(F159+F160)*G159</f>
      </c>
    </row>
    <row r="160" spans="2:9" x14ac:dyDescent="0.25">
      <c r="B160">
        <v>7</v>
      </c>
      <c r="C160" t="s">
        <v>140</v>
      </c>
      <c r="D160">
        <v>-1</v>
      </c>
      <c r="E160" s="17">
        <v>150</v>
      </c>
      <c r="F160" s="17">
        <v>-300</v>
      </c>
      <c r="G160">
        <f>E160*F161-E161*F160</f>
      </c>
      <c r="H160">
        <f>(E160+E161)*G160</f>
      </c>
      <c r="I160">
        <f>(F160+F161)*G160</f>
      </c>
    </row>
    <row r="161" spans="2:9" x14ac:dyDescent="0.25">
      <c r="B161">
        <v>7</v>
      </c>
      <c r="C161" t="s">
        <v>140</v>
      </c>
      <c r="D161">
        <v>-1</v>
      </c>
      <c r="E161" s="17">
        <v>150</v>
      </c>
      <c r="F161" s="17">
        <v>300</v>
      </c>
      <c r="G161">
        <f>E161*F154-E154*F161</f>
      </c>
      <c r="H161">
        <f>(E161+E154)*G161</f>
      </c>
      <c r="I161">
        <f>(F161+F154)*G161</f>
      </c>
    </row>
    <row r="162" spans="2:9" x14ac:dyDescent="0.25">
      <c r="B162">
        <v>7</v>
      </c>
      <c r="C162" t="s">
        <v>176</v>
      </c>
      <c r="G162" s="13">
        <f>D154*ABS(SUM(G154:G161)/2)</f>
      </c>
      <c r="H162" s="13">
        <f>D154*SIGN(SUM(G154:G161))*SUM(H154:H161)/6</f>
      </c>
      <c r="I162" s="13">
        <f>D154*SIGN(SUM(G154:G161))*SUM(I154:I161)/6</f>
      </c>
    </row>
    <row r="163" spans="2:9" x14ac:dyDescent="0.25">
      <c r="B163">
        <v>7</v>
      </c>
      <c r="C163" s="13" t="s">
        <v>177</v>
      </c>
      <c r="G163" s="14">
        <f>G153+G162</f>
      </c>
      <c r="H163" s="14">
        <f>H153+H162</f>
      </c>
      <c r="I163" s="14">
        <f>I153+I162</f>
      </c>
    </row>
    <row r="165" spans="2:9" x14ac:dyDescent="0.25">
      <c r="B165">
        <v>8</v>
      </c>
      <c r="C165" t="s">
        <v>137</v>
      </c>
      <c r="D165">
        <v>1</v>
      </c>
      <c r="E165" s="17">
        <v>237.62010718723764</v>
      </c>
      <c r="F165" s="17">
        <v>-600</v>
      </c>
      <c r="G165">
        <f>E165*F166-E166*F165</f>
      </c>
      <c r="H165">
        <f>(E165+E166)*G165</f>
      </c>
      <c r="I165">
        <f>(F165+F166)*G165</f>
      </c>
    </row>
    <row r="166" spans="2:9" x14ac:dyDescent="0.25">
      <c r="B166">
        <v>8</v>
      </c>
      <c r="C166" t="s">
        <v>137</v>
      </c>
      <c r="D166">
        <v>1</v>
      </c>
      <c r="E166" s="17">
        <v>550</v>
      </c>
      <c r="F166" s="17">
        <v>-600</v>
      </c>
      <c r="G166">
        <f>E166*F167-E167*F166</f>
      </c>
      <c r="H166">
        <f>(E166+E167)*G166</f>
      </c>
      <c r="I166">
        <f>(F166+F167)*G166</f>
      </c>
    </row>
    <row r="167" spans="2:9" x14ac:dyDescent="0.25">
      <c r="B167">
        <v>8</v>
      </c>
      <c r="C167" t="s">
        <v>137</v>
      </c>
      <c r="D167">
        <v>1</v>
      </c>
      <c r="E167" s="17">
        <v>750</v>
      </c>
      <c r="F167" s="17">
        <v>-400</v>
      </c>
      <c r="G167">
        <f>E167*F168-E168*F167</f>
      </c>
      <c r="H167">
        <f>(E167+E168)*G167</f>
      </c>
      <c r="I167">
        <f>(F167+F168)*G167</f>
      </c>
    </row>
    <row r="168" spans="2:9" x14ac:dyDescent="0.25">
      <c r="B168">
        <v>8</v>
      </c>
      <c r="C168" t="s">
        <v>137</v>
      </c>
      <c r="D168">
        <v>1</v>
      </c>
      <c r="E168" s="17">
        <v>750</v>
      </c>
      <c r="F168" s="17">
        <v>400</v>
      </c>
      <c r="G168">
        <f>E168*F169-E169*F168</f>
      </c>
      <c r="H168">
        <f>(E168+E169)*G168</f>
      </c>
      <c r="I168">
        <f>(F168+F169)*G168</f>
      </c>
    </row>
    <row r="169" spans="2:9" x14ac:dyDescent="0.25">
      <c r="B169">
        <v>8</v>
      </c>
      <c r="C169" t="s">
        <v>137</v>
      </c>
      <c r="D169">
        <v>1</v>
      </c>
      <c r="E169" s="17">
        <v>550</v>
      </c>
      <c r="F169" s="17">
        <v>600</v>
      </c>
      <c r="G169">
        <f>E169*F170-E170*F169</f>
      </c>
      <c r="H169">
        <f>(E169+E170)*G169</f>
      </c>
      <c r="I169">
        <f>(F169+F170)*G169</f>
      </c>
    </row>
    <row r="170" spans="2:9" x14ac:dyDescent="0.25">
      <c r="B170">
        <v>8</v>
      </c>
      <c r="C170" t="s">
        <v>137</v>
      </c>
      <c r="D170">
        <v>1</v>
      </c>
      <c r="E170" s="17">
        <v>-83.91892373010921</v>
      </c>
      <c r="F170" s="17">
        <v>600</v>
      </c>
      <c r="G170">
        <f>E170*F165-E165*F170</f>
      </c>
      <c r="H170">
        <f>(E170+E165)*G170</f>
      </c>
      <c r="I170">
        <f>(F170+F165)*G170</f>
      </c>
    </row>
    <row r="171" spans="2:9" x14ac:dyDescent="0.25">
      <c r="B171">
        <v>8</v>
      </c>
      <c r="C171" t="s">
        <v>176</v>
      </c>
      <c r="G171" s="13">
        <f>D165*ABS(SUM(G165:G170)/2)</f>
      </c>
      <c r="H171" s="13">
        <f>D165*SIGN(SUM(G165:G170))*SUM(H165:H170)/6</f>
      </c>
      <c r="I171" s="13">
        <f>D165*SIGN(SUM(G165:G170))*SUM(I165:I170)/6</f>
      </c>
    </row>
    <row r="172" spans="2:9" x14ac:dyDescent="0.25">
      <c r="B172">
        <v>8</v>
      </c>
      <c r="C172" t="s">
        <v>140</v>
      </c>
      <c r="D172">
        <v>-1</v>
      </c>
      <c r="E172" s="17">
        <v>250</v>
      </c>
      <c r="F172" s="17">
        <v>400</v>
      </c>
      <c r="G172">
        <f>E172*F173-E173*F172</f>
      </c>
      <c r="H172">
        <f>(E172+E173)*G172</f>
      </c>
      <c r="I172">
        <f>(F172+F173)*G172</f>
      </c>
    </row>
    <row r="173" spans="2:9" x14ac:dyDescent="0.25">
      <c r="B173">
        <v>8</v>
      </c>
      <c r="C173" t="s">
        <v>140</v>
      </c>
      <c r="D173">
        <v>-1</v>
      </c>
      <c r="E173" s="17">
        <v>450</v>
      </c>
      <c r="F173" s="17">
        <v>400</v>
      </c>
      <c r="G173">
        <f>E173*F174-E174*F173</f>
      </c>
      <c r="H173">
        <f>(E173+E174)*G173</f>
      </c>
      <c r="I173">
        <f>(F173+F174)*G173</f>
      </c>
    </row>
    <row r="174" spans="2:9" x14ac:dyDescent="0.25">
      <c r="B174">
        <v>8</v>
      </c>
      <c r="C174" t="s">
        <v>140</v>
      </c>
      <c r="D174">
        <v>-1</v>
      </c>
      <c r="E174" s="17">
        <v>550</v>
      </c>
      <c r="F174" s="17">
        <v>300</v>
      </c>
      <c r="G174">
        <f>E174*F175-E175*F174</f>
      </c>
      <c r="H174">
        <f>(E174+E175)*G174</f>
      </c>
      <c r="I174">
        <f>(F174+F175)*G174</f>
      </c>
    </row>
    <row r="175" spans="2:9" x14ac:dyDescent="0.25">
      <c r="B175">
        <v>8</v>
      </c>
      <c r="C175" t="s">
        <v>140</v>
      </c>
      <c r="D175">
        <v>-1</v>
      </c>
      <c r="E175" s="17">
        <v>550</v>
      </c>
      <c r="F175" s="17">
        <v>-300</v>
      </c>
      <c r="G175">
        <f>E175*F176-E176*F175</f>
      </c>
      <c r="H175">
        <f>(E175+E176)*G175</f>
      </c>
      <c r="I175">
        <f>(F175+F176)*G175</f>
      </c>
    </row>
    <row r="176" spans="2:9" x14ac:dyDescent="0.25">
      <c r="B176">
        <v>8</v>
      </c>
      <c r="C176" t="s">
        <v>140</v>
      </c>
      <c r="D176">
        <v>-1</v>
      </c>
      <c r="E176" s="17">
        <v>450</v>
      </c>
      <c r="F176" s="17">
        <v>-400</v>
      </c>
      <c r="G176">
        <f>E176*F177-E177*F176</f>
      </c>
      <c r="H176">
        <f>(E176+E177)*G176</f>
      </c>
      <c r="I176">
        <f>(F176+F177)*G176</f>
      </c>
    </row>
    <row r="177" spans="2:9" x14ac:dyDescent="0.25">
      <c r="B177">
        <v>8</v>
      </c>
      <c r="C177" t="s">
        <v>140</v>
      </c>
      <c r="D177">
        <v>-1</v>
      </c>
      <c r="E177" s="17">
        <v>250</v>
      </c>
      <c r="F177" s="17">
        <v>-400</v>
      </c>
      <c r="G177">
        <f>E177*F178-E178*F177</f>
      </c>
      <c r="H177">
        <f>(E177+E178)*G177</f>
      </c>
      <c r="I177">
        <f>(F177+F178)*G177</f>
      </c>
    </row>
    <row r="178" spans="2:9" x14ac:dyDescent="0.25">
      <c r="B178">
        <v>8</v>
      </c>
      <c r="C178" t="s">
        <v>140</v>
      </c>
      <c r="D178">
        <v>-1</v>
      </c>
      <c r="E178" s="17">
        <v>159.8836711647507</v>
      </c>
      <c r="F178" s="17">
        <v>-309.8836711647507</v>
      </c>
      <c r="G178">
        <f>E178*F179-E179*F178</f>
      </c>
      <c r="H178">
        <f>(E178+E179)*G178</f>
      </c>
      <c r="I178">
        <f>(F178+F179)*G178</f>
      </c>
    </row>
    <row r="179" spans="2:9" x14ac:dyDescent="0.25">
      <c r="B179">
        <v>8</v>
      </c>
      <c r="C179" t="s">
        <v>140</v>
      </c>
      <c r="D179">
        <v>-1</v>
      </c>
      <c r="E179" s="17">
        <v>150</v>
      </c>
      <c r="F179" s="17">
        <v>-272.9973082125976</v>
      </c>
      <c r="G179">
        <f>E179*F180-E180*F179</f>
      </c>
      <c r="H179">
        <f>(E179+E180)*G179</f>
      </c>
      <c r="I179">
        <f>(F179+F180)*G179</f>
      </c>
    </row>
    <row r="180" spans="2:9" x14ac:dyDescent="0.25">
      <c r="B180">
        <v>8</v>
      </c>
      <c r="C180" t="s">
        <v>140</v>
      </c>
      <c r="D180">
        <v>-1</v>
      </c>
      <c r="E180" s="17">
        <v>150</v>
      </c>
      <c r="F180" s="17">
        <v>300</v>
      </c>
      <c r="G180">
        <f>E180*F172-E172*F180</f>
      </c>
      <c r="H180">
        <f>(E180+E172)*G180</f>
      </c>
      <c r="I180">
        <f>(F180+F172)*G180</f>
      </c>
    </row>
    <row r="181" spans="2:9" x14ac:dyDescent="0.25">
      <c r="B181">
        <v>8</v>
      </c>
      <c r="C181" t="s">
        <v>176</v>
      </c>
      <c r="G181" s="13">
        <f>D172*ABS(SUM(G172:G180)/2)</f>
      </c>
      <c r="H181" s="13">
        <f>D172*SIGN(SUM(G172:G180))*SUM(H172:H180)/6</f>
      </c>
      <c r="I181" s="13">
        <f>D172*SIGN(SUM(G172:G180))*SUM(I172:I180)/6</f>
      </c>
    </row>
    <row r="182" spans="2:9" x14ac:dyDescent="0.25">
      <c r="B182">
        <v>8</v>
      </c>
      <c r="C182" s="13" t="s">
        <v>177</v>
      </c>
      <c r="G182" s="14">
        <f>G171+G181</f>
      </c>
      <c r="H182" s="14">
        <f>H171+H181</f>
      </c>
      <c r="I182" s="14">
        <f>I171+I181</f>
      </c>
    </row>
    <row r="184" spans="2:9" x14ac:dyDescent="0.25">
      <c r="B184">
        <v>9</v>
      </c>
      <c r="C184" t="s">
        <v>137</v>
      </c>
      <c r="D184">
        <v>1</v>
      </c>
      <c r="E184" s="17">
        <v>265.4610677416573</v>
      </c>
      <c r="F184" s="17">
        <v>-600</v>
      </c>
      <c r="G184">
        <f>E184*F185-E185*F184</f>
      </c>
      <c r="H184">
        <f>(E184+E185)*G184</f>
      </c>
      <c r="I184">
        <f>(F184+F185)*G184</f>
      </c>
    </row>
    <row r="185" spans="2:9" x14ac:dyDescent="0.25">
      <c r="B185">
        <v>9</v>
      </c>
      <c r="C185" t="s">
        <v>137</v>
      </c>
      <c r="D185">
        <v>1</v>
      </c>
      <c r="E185" s="17">
        <v>550</v>
      </c>
      <c r="F185" s="17">
        <v>-600</v>
      </c>
      <c r="G185">
        <f>E185*F186-E186*F185</f>
      </c>
      <c r="H185">
        <f>(E185+E186)*G185</f>
      </c>
      <c r="I185">
        <f>(F185+F186)*G185</f>
      </c>
    </row>
    <row r="186" spans="2:9" x14ac:dyDescent="0.25">
      <c r="B186">
        <v>9</v>
      </c>
      <c r="C186" t="s">
        <v>137</v>
      </c>
      <c r="D186">
        <v>1</v>
      </c>
      <c r="E186" s="17">
        <v>750</v>
      </c>
      <c r="F186" s="17">
        <v>-400</v>
      </c>
      <c r="G186">
        <f>E186*F187-E187*F186</f>
      </c>
      <c r="H186">
        <f>(E186+E187)*G186</f>
      </c>
      <c r="I186">
        <f>(F186+F187)*G186</f>
      </c>
    </row>
    <row r="187" spans="2:9" x14ac:dyDescent="0.25">
      <c r="B187">
        <v>9</v>
      </c>
      <c r="C187" t="s">
        <v>137</v>
      </c>
      <c r="D187">
        <v>1</v>
      </c>
      <c r="E187" s="17">
        <v>750</v>
      </c>
      <c r="F187" s="17">
        <v>400</v>
      </c>
      <c r="G187">
        <f>E187*F188-E188*F187</f>
      </c>
      <c r="H187">
        <f>(E187+E188)*G187</f>
      </c>
      <c r="I187">
        <f>(F187+F188)*G187</f>
      </c>
    </row>
    <row r="188" spans="2:9" x14ac:dyDescent="0.25">
      <c r="B188">
        <v>9</v>
      </c>
      <c r="C188" t="s">
        <v>137</v>
      </c>
      <c r="D188">
        <v>1</v>
      </c>
      <c r="E188" s="17">
        <v>550</v>
      </c>
      <c r="F188" s="17">
        <v>600</v>
      </c>
      <c r="G188">
        <f>E188*F189-E189*F188</f>
      </c>
      <c r="H188">
        <f>(E188+E189)*G188</f>
      </c>
      <c r="I188">
        <f>(F188+F189)*G188</f>
      </c>
    </row>
    <row r="189" spans="2:9" x14ac:dyDescent="0.25">
      <c r="B189">
        <v>9</v>
      </c>
      <c r="C189" t="s">
        <v>137</v>
      </c>
      <c r="D189">
        <v>1</v>
      </c>
      <c r="E189" s="17">
        <v>-56.07796317568966</v>
      </c>
      <c r="F189" s="17">
        <v>600</v>
      </c>
      <c r="G189">
        <f>E189*F184-E184*F189</f>
      </c>
      <c r="H189">
        <f>(E189+E184)*G189</f>
      </c>
      <c r="I189">
        <f>(F189+F184)*G189</f>
      </c>
    </row>
    <row r="190" spans="2:9" x14ac:dyDescent="0.25">
      <c r="B190">
        <v>9</v>
      </c>
      <c r="C190" t="s">
        <v>176</v>
      </c>
      <c r="G190" s="13">
        <f>D184*ABS(SUM(G184:G189)/2)</f>
      </c>
      <c r="H190" s="13">
        <f>D184*SIGN(SUM(G184:G189))*SUM(H184:H189)/6</f>
      </c>
      <c r="I190" s="13">
        <f>D184*SIGN(SUM(G184:G189))*SUM(I184:I189)/6</f>
      </c>
    </row>
    <row r="191" spans="2:9" x14ac:dyDescent="0.25">
      <c r="B191">
        <v>9</v>
      </c>
      <c r="C191" t="s">
        <v>140</v>
      </c>
      <c r="D191">
        <v>-1</v>
      </c>
      <c r="E191" s="17">
        <v>250</v>
      </c>
      <c r="F191" s="17">
        <v>400</v>
      </c>
      <c r="G191">
        <f>E191*F192-E192*F191</f>
      </c>
      <c r="H191">
        <f>(E191+E192)*G191</f>
      </c>
      <c r="I191">
        <f>(F191+F192)*G191</f>
      </c>
    </row>
    <row r="192" spans="2:9" x14ac:dyDescent="0.25">
      <c r="B192">
        <v>9</v>
      </c>
      <c r="C192" t="s">
        <v>140</v>
      </c>
      <c r="D192">
        <v>-1</v>
      </c>
      <c r="E192" s="17">
        <v>450</v>
      </c>
      <c r="F192" s="17">
        <v>400</v>
      </c>
      <c r="G192">
        <f>E192*F193-E193*F192</f>
      </c>
      <c r="H192">
        <f>(E192+E193)*G192</f>
      </c>
      <c r="I192">
        <f>(F192+F193)*G192</f>
      </c>
    </row>
    <row r="193" spans="2:9" x14ac:dyDescent="0.25">
      <c r="B193">
        <v>9</v>
      </c>
      <c r="C193" t="s">
        <v>140</v>
      </c>
      <c r="D193">
        <v>-1</v>
      </c>
      <c r="E193" s="17">
        <v>550</v>
      </c>
      <c r="F193" s="17">
        <v>300</v>
      </c>
      <c r="G193">
        <f>E193*F194-E194*F193</f>
      </c>
      <c r="H193">
        <f>(E193+E194)*G193</f>
      </c>
      <c r="I193">
        <f>(F193+F194)*G193</f>
      </c>
    </row>
    <row r="194" spans="2:9" x14ac:dyDescent="0.25">
      <c r="B194">
        <v>9</v>
      </c>
      <c r="C194" t="s">
        <v>140</v>
      </c>
      <c r="D194">
        <v>-1</v>
      </c>
      <c r="E194" s="17">
        <v>550</v>
      </c>
      <c r="F194" s="17">
        <v>-300</v>
      </c>
      <c r="G194">
        <f>E194*F195-E195*F194</f>
      </c>
      <c r="H194">
        <f>(E194+E195)*G194</f>
      </c>
      <c r="I194">
        <f>(F194+F195)*G194</f>
      </c>
    </row>
    <row r="195" spans="2:9" x14ac:dyDescent="0.25">
      <c r="B195">
        <v>9</v>
      </c>
      <c r="C195" t="s">
        <v>140</v>
      </c>
      <c r="D195">
        <v>-1</v>
      </c>
      <c r="E195" s="17">
        <v>450</v>
      </c>
      <c r="F195" s="17">
        <v>-400</v>
      </c>
      <c r="G195">
        <f>E195*F196-E196*F195</f>
      </c>
      <c r="H195">
        <f>(E195+E196)*G195</f>
      </c>
      <c r="I195">
        <f>(F195+F196)*G195</f>
      </c>
    </row>
    <row r="196" spans="2:9" x14ac:dyDescent="0.25">
      <c r="B196">
        <v>9</v>
      </c>
      <c r="C196" t="s">
        <v>140</v>
      </c>
      <c r="D196">
        <v>-1</v>
      </c>
      <c r="E196" s="17">
        <v>250</v>
      </c>
      <c r="F196" s="17">
        <v>-400</v>
      </c>
      <c r="G196">
        <f>E196*F197-E197*F196</f>
      </c>
      <c r="H196">
        <f>(E196+E197)*G196</f>
      </c>
      <c r="I196">
        <f>(F196+F197)*G196</f>
      </c>
    </row>
    <row r="197" spans="2:9" x14ac:dyDescent="0.25">
      <c r="B197">
        <v>9</v>
      </c>
      <c r="C197" t="s">
        <v>140</v>
      </c>
      <c r="D197">
        <v>-1</v>
      </c>
      <c r="E197" s="17">
        <v>197.91513054784824</v>
      </c>
      <c r="F197" s="17">
        <v>-347.9151305478482</v>
      </c>
      <c r="G197">
        <f>E197*F198-E198*F197</f>
      </c>
      <c r="H197">
        <f>(E197+E198)*G197</f>
      </c>
      <c r="I197">
        <f>(F197+F198)*G197</f>
      </c>
    </row>
    <row r="198" spans="2:9" x14ac:dyDescent="0.25">
      <c r="B198">
        <v>9</v>
      </c>
      <c r="C198" t="s">
        <v>140</v>
      </c>
      <c r="D198">
        <v>-1</v>
      </c>
      <c r="E198" s="17">
        <v>150</v>
      </c>
      <c r="F198" s="17">
        <v>-169.09342889198285</v>
      </c>
      <c r="G198">
        <f>E198*F199-E199*F198</f>
      </c>
      <c r="H198">
        <f>(E198+E199)*G198</f>
      </c>
      <c r="I198">
        <f>(F198+F199)*G198</f>
      </c>
    </row>
    <row r="199" spans="2:9" x14ac:dyDescent="0.25">
      <c r="B199">
        <v>9</v>
      </c>
      <c r="C199" t="s">
        <v>140</v>
      </c>
      <c r="D199">
        <v>-1</v>
      </c>
      <c r="E199" s="17">
        <v>150</v>
      </c>
      <c r="F199" s="17">
        <v>300</v>
      </c>
      <c r="G199">
        <f>E199*F191-E191*F199</f>
      </c>
      <c r="H199">
        <f>(E199+E191)*G199</f>
      </c>
      <c r="I199">
        <f>(F199+F191)*G199</f>
      </c>
    </row>
    <row r="200" spans="2:9" x14ac:dyDescent="0.25">
      <c r="B200">
        <v>9</v>
      </c>
      <c r="C200" t="s">
        <v>176</v>
      </c>
      <c r="G200" s="13">
        <f>D191*ABS(SUM(G191:G199)/2)</f>
      </c>
      <c r="H200" s="13">
        <f>D191*SIGN(SUM(G191:G199))*SUM(H191:H199)/6</f>
      </c>
      <c r="I200" s="13">
        <f>D191*SIGN(SUM(G191:G199))*SUM(I191:I199)/6</f>
      </c>
    </row>
    <row r="201" spans="2:9" x14ac:dyDescent="0.25">
      <c r="B201">
        <v>9</v>
      </c>
      <c r="C201" s="13" t="s">
        <v>177</v>
      </c>
      <c r="G201" s="14">
        <f>G190+G200</f>
      </c>
      <c r="H201" s="14">
        <f>H190+H200</f>
      </c>
      <c r="I201" s="14">
        <f>I190+I200</f>
      </c>
    </row>
    <row r="203" spans="2:9" x14ac:dyDescent="0.25">
      <c r="B203">
        <v>10</v>
      </c>
      <c r="C203" t="s">
        <v>137</v>
      </c>
      <c r="D203">
        <v>1</v>
      </c>
      <c r="E203" s="17">
        <v>299.55098696849836</v>
      </c>
      <c r="F203" s="17">
        <v>-600</v>
      </c>
      <c r="G203">
        <f>E203*F204-E204*F203</f>
      </c>
      <c r="H203">
        <f>(E203+E204)*G203</f>
      </c>
      <c r="I203">
        <f>(F203+F204)*G203</f>
      </c>
    </row>
    <row r="204" spans="2:9" x14ac:dyDescent="0.25">
      <c r="B204">
        <v>10</v>
      </c>
      <c r="C204" t="s">
        <v>137</v>
      </c>
      <c r="D204">
        <v>1</v>
      </c>
      <c r="E204" s="17">
        <v>550</v>
      </c>
      <c r="F204" s="17">
        <v>-600</v>
      </c>
      <c r="G204">
        <f>E204*F205-E205*F204</f>
      </c>
      <c r="H204">
        <f>(E204+E205)*G204</f>
      </c>
      <c r="I204">
        <f>(F204+F205)*G204</f>
      </c>
    </row>
    <row r="205" spans="2:9" x14ac:dyDescent="0.25">
      <c r="B205">
        <v>10</v>
      </c>
      <c r="C205" t="s">
        <v>137</v>
      </c>
      <c r="D205">
        <v>1</v>
      </c>
      <c r="E205" s="17">
        <v>750</v>
      </c>
      <c r="F205" s="17">
        <v>-400</v>
      </c>
      <c r="G205">
        <f>E205*F206-E206*F205</f>
      </c>
      <c r="H205">
        <f>(E205+E206)*G205</f>
      </c>
      <c r="I205">
        <f>(F205+F206)*G205</f>
      </c>
    </row>
    <row r="206" spans="2:9" x14ac:dyDescent="0.25">
      <c r="B206">
        <v>10</v>
      </c>
      <c r="C206" t="s">
        <v>137</v>
      </c>
      <c r="D206">
        <v>1</v>
      </c>
      <c r="E206" s="17">
        <v>750</v>
      </c>
      <c r="F206" s="17">
        <v>400</v>
      </c>
      <c r="G206">
        <f>E206*F207-E207*F206</f>
      </c>
      <c r="H206">
        <f>(E206+E207)*G206</f>
      </c>
      <c r="I206">
        <f>(F206+F207)*G206</f>
      </c>
    </row>
    <row r="207" spans="2:9" x14ac:dyDescent="0.25">
      <c r="B207">
        <v>10</v>
      </c>
      <c r="C207" t="s">
        <v>137</v>
      </c>
      <c r="D207">
        <v>1</v>
      </c>
      <c r="E207" s="17">
        <v>550</v>
      </c>
      <c r="F207" s="17">
        <v>600</v>
      </c>
      <c r="G207">
        <f>E207*F208-E208*F207</f>
      </c>
      <c r="H207">
        <f>(E207+E208)*G207</f>
      </c>
      <c r="I207">
        <f>(F207+F208)*G207</f>
      </c>
    </row>
    <row r="208" spans="2:9" x14ac:dyDescent="0.25">
      <c r="B208">
        <v>10</v>
      </c>
      <c r="C208" t="s">
        <v>137</v>
      </c>
      <c r="D208">
        <v>1</v>
      </c>
      <c r="E208" s="17">
        <v>-21.988043948848485</v>
      </c>
      <c r="F208" s="17">
        <v>600</v>
      </c>
      <c r="G208">
        <f>E208*F203-E203*F208</f>
      </c>
      <c r="H208">
        <f>(E208+E203)*G208</f>
      </c>
      <c r="I208">
        <f>(F208+F203)*G208</f>
      </c>
    </row>
    <row r="209" spans="2:9" x14ac:dyDescent="0.25">
      <c r="B209">
        <v>10</v>
      </c>
      <c r="C209" t="s">
        <v>176</v>
      </c>
      <c r="G209" s="13">
        <f>D203*ABS(SUM(G203:G208)/2)</f>
      </c>
      <c r="H209" s="13">
        <f>D203*SIGN(SUM(G203:G208))*SUM(H203:H208)/6</f>
      </c>
      <c r="I209" s="13">
        <f>D203*SIGN(SUM(G203:G208))*SUM(I203:I208)/6</f>
      </c>
    </row>
    <row r="210" spans="2:9" x14ac:dyDescent="0.25">
      <c r="B210">
        <v>10</v>
      </c>
      <c r="C210" t="s">
        <v>140</v>
      </c>
      <c r="D210">
        <v>-1</v>
      </c>
      <c r="E210" s="17">
        <v>250</v>
      </c>
      <c r="F210" s="17">
        <v>400</v>
      </c>
      <c r="G210">
        <f>E210*F211-E211*F210</f>
      </c>
      <c r="H210">
        <f>(E210+E211)*G210</f>
      </c>
      <c r="I210">
        <f>(F210+F211)*G210</f>
      </c>
    </row>
    <row r="211" spans="2:9" x14ac:dyDescent="0.25">
      <c r="B211">
        <v>10</v>
      </c>
      <c r="C211" t="s">
        <v>140</v>
      </c>
      <c r="D211">
        <v>-1</v>
      </c>
      <c r="E211" s="17">
        <v>450</v>
      </c>
      <c r="F211" s="17">
        <v>400</v>
      </c>
      <c r="G211">
        <f>E211*F212-E212*F211</f>
      </c>
      <c r="H211">
        <f>(E211+E212)*G211</f>
      </c>
      <c r="I211">
        <f>(F211+F212)*G211</f>
      </c>
    </row>
    <row r="212" spans="2:9" x14ac:dyDescent="0.25">
      <c r="B212">
        <v>10</v>
      </c>
      <c r="C212" t="s">
        <v>140</v>
      </c>
      <c r="D212">
        <v>-1</v>
      </c>
      <c r="E212" s="17">
        <v>550</v>
      </c>
      <c r="F212" s="17">
        <v>300</v>
      </c>
      <c r="G212">
        <f>E212*F213-E213*F212</f>
      </c>
      <c r="H212">
        <f>(E212+E213)*G212</f>
      </c>
      <c r="I212">
        <f>(F212+F213)*G212</f>
      </c>
    </row>
    <row r="213" spans="2:9" x14ac:dyDescent="0.25">
      <c r="B213">
        <v>10</v>
      </c>
      <c r="C213" t="s">
        <v>140</v>
      </c>
      <c r="D213">
        <v>-1</v>
      </c>
      <c r="E213" s="17">
        <v>550</v>
      </c>
      <c r="F213" s="17">
        <v>-300</v>
      </c>
      <c r="G213">
        <f>E213*F214-E214*F213</f>
      </c>
      <c r="H213">
        <f>(E213+E214)*G213</f>
      </c>
      <c r="I213">
        <f>(F213+F214)*G213</f>
      </c>
    </row>
    <row r="214" spans="2:9" x14ac:dyDescent="0.25">
      <c r="B214">
        <v>10</v>
      </c>
      <c r="C214" t="s">
        <v>140</v>
      </c>
      <c r="D214">
        <v>-1</v>
      </c>
      <c r="E214" s="17">
        <v>450</v>
      </c>
      <c r="F214" s="17">
        <v>-400</v>
      </c>
      <c r="G214">
        <f>E214*F215-E215*F214</f>
      </c>
      <c r="H214">
        <f>(E214+E215)*G214</f>
      </c>
      <c r="I214">
        <f>(F214+F215)*G214</f>
      </c>
    </row>
    <row r="215" spans="2:9" x14ac:dyDescent="0.25">
      <c r="B215">
        <v>10</v>
      </c>
      <c r="C215" t="s">
        <v>140</v>
      </c>
      <c r="D215">
        <v>-1</v>
      </c>
      <c r="E215" s="17">
        <v>250</v>
      </c>
      <c r="F215" s="17">
        <v>-400</v>
      </c>
      <c r="G215">
        <f>E215*F216-E216*F215</f>
      </c>
      <c r="H215">
        <f>(E215+E216)*G215</f>
      </c>
      <c r="I215">
        <f>(F215+F216)*G215</f>
      </c>
    </row>
    <row r="216" spans="2:9" x14ac:dyDescent="0.25">
      <c r="B216">
        <v>10</v>
      </c>
      <c r="C216" t="s">
        <v>140</v>
      </c>
      <c r="D216">
        <v>-1</v>
      </c>
      <c r="E216" s="17">
        <v>244.48282622467286</v>
      </c>
      <c r="F216" s="17">
        <v>-394.48282622467286</v>
      </c>
      <c r="G216">
        <f>E216*F217-E217*F216</f>
      </c>
      <c r="H216">
        <f>(E216+E217)*G216</f>
      </c>
      <c r="I216">
        <f>(F216+F217)*G216</f>
      </c>
    </row>
    <row r="217" spans="2:9" x14ac:dyDescent="0.25">
      <c r="B217">
        <v>10</v>
      </c>
      <c r="C217" t="s">
        <v>140</v>
      </c>
      <c r="D217">
        <v>-1</v>
      </c>
      <c r="E217" s="17">
        <v>150</v>
      </c>
      <c r="F217" s="17">
        <v>-41.868118311492196</v>
      </c>
      <c r="G217">
        <f>E217*F218-E218*F217</f>
      </c>
      <c r="H217">
        <f>(E217+E218)*G217</f>
      </c>
      <c r="I217">
        <f>(F217+F218)*G217</f>
      </c>
    </row>
    <row r="218" spans="2:9" x14ac:dyDescent="0.25">
      <c r="B218">
        <v>10</v>
      </c>
      <c r="C218" t="s">
        <v>140</v>
      </c>
      <c r="D218">
        <v>-1</v>
      </c>
      <c r="E218" s="17">
        <v>150</v>
      </c>
      <c r="F218" s="17">
        <v>300</v>
      </c>
      <c r="G218">
        <f>E218*F210-E210*F218</f>
      </c>
      <c r="H218">
        <f>(E218+E210)*G218</f>
      </c>
      <c r="I218">
        <f>(F218+F210)*G218</f>
      </c>
    </row>
    <row r="219" spans="2:9" x14ac:dyDescent="0.25">
      <c r="B219">
        <v>10</v>
      </c>
      <c r="C219" t="s">
        <v>176</v>
      </c>
      <c r="G219" s="13">
        <f>D210*ABS(SUM(G210:G218)/2)</f>
      </c>
      <c r="H219" s="13">
        <f>D210*SIGN(SUM(G210:G218))*SUM(H210:H218)/6</f>
      </c>
      <c r="I219" s="13">
        <f>D210*SIGN(SUM(G210:G218))*SUM(I210:I218)/6</f>
      </c>
    </row>
    <row r="220" spans="2:9" x14ac:dyDescent="0.25">
      <c r="B220">
        <v>10</v>
      </c>
      <c r="C220" s="13" t="s">
        <v>177</v>
      </c>
      <c r="G220" s="14">
        <f>G209+G219</f>
      </c>
      <c r="H220" s="14">
        <f>H209+H219</f>
      </c>
      <c r="I220" s="14">
        <f>I209+I219</f>
      </c>
    </row>
    <row r="222" spans="2:9" x14ac:dyDescent="0.25">
      <c r="B222">
        <v>11</v>
      </c>
      <c r="C222" t="s">
        <v>137</v>
      </c>
      <c r="D222">
        <v>1</v>
      </c>
      <c r="E222" s="17">
        <v>312.10289365216113</v>
      </c>
      <c r="F222" s="17">
        <v>-600</v>
      </c>
      <c r="G222">
        <f>E222*F223-E223*F222</f>
      </c>
      <c r="H222">
        <f>(E222+E223)*G222</f>
      </c>
      <c r="I222">
        <f>(F222+F223)*G222</f>
      </c>
    </row>
    <row r="223" spans="2:9" x14ac:dyDescent="0.25">
      <c r="B223">
        <v>11</v>
      </c>
      <c r="C223" t="s">
        <v>137</v>
      </c>
      <c r="D223">
        <v>1</v>
      </c>
      <c r="E223" s="17">
        <v>550</v>
      </c>
      <c r="F223" s="17">
        <v>-600</v>
      </c>
      <c r="G223">
        <f>E223*F224-E224*F223</f>
      </c>
      <c r="H223">
        <f>(E223+E224)*G223</f>
      </c>
      <c r="I223">
        <f>(F223+F224)*G223</f>
      </c>
    </row>
    <row r="224" spans="2:9" x14ac:dyDescent="0.25">
      <c r="B224">
        <v>11</v>
      </c>
      <c r="C224" t="s">
        <v>137</v>
      </c>
      <c r="D224">
        <v>1</v>
      </c>
      <c r="E224" s="17">
        <v>750</v>
      </c>
      <c r="F224" s="17">
        <v>-400</v>
      </c>
      <c r="G224">
        <f>E224*F225-E225*F224</f>
      </c>
      <c r="H224">
        <f>(E224+E225)*G224</f>
      </c>
      <c r="I224">
        <f>(F224+F225)*G224</f>
      </c>
    </row>
    <row r="225" spans="2:9" x14ac:dyDescent="0.25">
      <c r="B225">
        <v>11</v>
      </c>
      <c r="C225" t="s">
        <v>137</v>
      </c>
      <c r="D225">
        <v>1</v>
      </c>
      <c r="E225" s="17">
        <v>750</v>
      </c>
      <c r="F225" s="17">
        <v>400</v>
      </c>
      <c r="G225">
        <f>E225*F226-E226*F225</f>
      </c>
      <c r="H225">
        <f>(E225+E226)*G225</f>
      </c>
      <c r="I225">
        <f>(F225+F226)*G225</f>
      </c>
    </row>
    <row r="226" spans="2:9" x14ac:dyDescent="0.25">
      <c r="B226">
        <v>11</v>
      </c>
      <c r="C226" t="s">
        <v>137</v>
      </c>
      <c r="D226">
        <v>1</v>
      </c>
      <c r="E226" s="17">
        <v>550</v>
      </c>
      <c r="F226" s="17">
        <v>600</v>
      </c>
      <c r="G226">
        <f>E226*F227-E227*F226</f>
      </c>
      <c r="H226">
        <f>(E226+E227)*G226</f>
      </c>
      <c r="I226">
        <f>(F226+F227)*G226</f>
      </c>
    </row>
    <row r="227" spans="2:9" x14ac:dyDescent="0.25">
      <c r="B227">
        <v>11</v>
      </c>
      <c r="C227" t="s">
        <v>137</v>
      </c>
      <c r="D227">
        <v>1</v>
      </c>
      <c r="E227" s="17">
        <v>-9.436137265185835</v>
      </c>
      <c r="F227" s="17">
        <v>600</v>
      </c>
      <c r="G227">
        <f>E227*F222-E222*F227</f>
      </c>
      <c r="H227">
        <f>(E227+E222)*G227</f>
      </c>
      <c r="I227">
        <f>(F227+F222)*G227</f>
      </c>
    </row>
    <row r="228" spans="2:9" x14ac:dyDescent="0.25">
      <c r="B228">
        <v>11</v>
      </c>
      <c r="C228" t="s">
        <v>176</v>
      </c>
      <c r="G228" s="13">
        <f>D222*ABS(SUM(G222:G227)/2)</f>
      </c>
      <c r="H228" s="13">
        <f>D222*SIGN(SUM(G222:G227))*SUM(H222:H227)/6</f>
      </c>
      <c r="I228" s="13">
        <f>D222*SIGN(SUM(G222:G227))*SUM(I222:I227)/6</f>
      </c>
    </row>
    <row r="229" spans="2:9" x14ac:dyDescent="0.25">
      <c r="B229">
        <v>11</v>
      </c>
      <c r="C229" t="s">
        <v>140</v>
      </c>
      <c r="D229">
        <v>-1</v>
      </c>
      <c r="E229" s="17">
        <v>250</v>
      </c>
      <c r="F229" s="17">
        <v>400</v>
      </c>
      <c r="G229">
        <f>E229*F230-E230*F229</f>
      </c>
      <c r="H229">
        <f>(E229+E230)*G229</f>
      </c>
      <c r="I229">
        <f>(F229+F230)*G229</f>
      </c>
    </row>
    <row r="230" spans="2:9" x14ac:dyDescent="0.25">
      <c r="B230">
        <v>11</v>
      </c>
      <c r="C230" t="s">
        <v>140</v>
      </c>
      <c r="D230">
        <v>-1</v>
      </c>
      <c r="E230" s="17">
        <v>450</v>
      </c>
      <c r="F230" s="17">
        <v>400</v>
      </c>
      <c r="G230">
        <f>E230*F231-E231*F230</f>
      </c>
      <c r="H230">
        <f>(E230+E231)*G230</f>
      </c>
      <c r="I230">
        <f>(F230+F231)*G230</f>
      </c>
    </row>
    <row r="231" spans="2:9" x14ac:dyDescent="0.25">
      <c r="B231">
        <v>11</v>
      </c>
      <c r="C231" t="s">
        <v>140</v>
      </c>
      <c r="D231">
        <v>-1</v>
      </c>
      <c r="E231" s="17">
        <v>550</v>
      </c>
      <c r="F231" s="17">
        <v>300</v>
      </c>
      <c r="G231">
        <f>E231*F232-E232*F231</f>
      </c>
      <c r="H231">
        <f>(E231+E232)*G231</f>
      </c>
      <c r="I231">
        <f>(F231+F232)*G231</f>
      </c>
    </row>
    <row r="232" spans="2:9" x14ac:dyDescent="0.25">
      <c r="B232">
        <v>11</v>
      </c>
      <c r="C232" t="s">
        <v>140</v>
      </c>
      <c r="D232">
        <v>-1</v>
      </c>
      <c r="E232" s="17">
        <v>550</v>
      </c>
      <c r="F232" s="17">
        <v>-300</v>
      </c>
      <c r="G232">
        <f>E232*F233-E233*F232</f>
      </c>
      <c r="H232">
        <f>(E232+E233)*G232</f>
      </c>
      <c r="I232">
        <f>(F232+F233)*G232</f>
      </c>
    </row>
    <row r="233" spans="2:9" x14ac:dyDescent="0.25">
      <c r="B233">
        <v>11</v>
      </c>
      <c r="C233" t="s">
        <v>140</v>
      </c>
      <c r="D233">
        <v>-1</v>
      </c>
      <c r="E233" s="17">
        <v>450</v>
      </c>
      <c r="F233" s="17">
        <v>-400</v>
      </c>
      <c r="G233">
        <f>E233*F234-E234*F233</f>
      </c>
      <c r="H233">
        <f>(E233+E234)*G233</f>
      </c>
      <c r="I233">
        <f>(F233+F234)*G233</f>
      </c>
    </row>
    <row r="234" spans="2:9" x14ac:dyDescent="0.25">
      <c r="B234">
        <v>11</v>
      </c>
      <c r="C234" t="s">
        <v>140</v>
      </c>
      <c r="D234">
        <v>-1</v>
      </c>
      <c r="E234" s="17">
        <v>258.51305516593663</v>
      </c>
      <c r="F234" s="17">
        <v>-400</v>
      </c>
      <c r="G234">
        <f>E234*F235-E235*F234</f>
      </c>
      <c r="H234">
        <f>(E234+E235)*G234</f>
      </c>
      <c r="I234">
        <f>(F234+F235)*G234</f>
      </c>
    </row>
    <row r="235" spans="2:9" x14ac:dyDescent="0.25">
      <c r="B235">
        <v>11</v>
      </c>
      <c r="C235" t="s">
        <v>140</v>
      </c>
      <c r="D235">
        <v>-1</v>
      </c>
      <c r="E235" s="17">
        <v>150</v>
      </c>
      <c r="F235" s="17">
        <v>4.976235163800368</v>
      </c>
      <c r="G235">
        <f>E235*F236-E236*F235</f>
      </c>
      <c r="H235">
        <f>(E235+E236)*G235</f>
      </c>
      <c r="I235">
        <f>(F235+F236)*G235</f>
      </c>
    </row>
    <row r="236" spans="2:9" x14ac:dyDescent="0.25">
      <c r="B236">
        <v>11</v>
      </c>
      <c r="C236" t="s">
        <v>140</v>
      </c>
      <c r="D236">
        <v>-1</v>
      </c>
      <c r="E236" s="17">
        <v>150</v>
      </c>
      <c r="F236" s="17">
        <v>300</v>
      </c>
      <c r="G236">
        <f>E236*F229-E229*F236</f>
      </c>
      <c r="H236">
        <f>(E236+E229)*G236</f>
      </c>
      <c r="I236">
        <f>(F236+F229)*G236</f>
      </c>
    </row>
    <row r="237" spans="2:9" x14ac:dyDescent="0.25">
      <c r="B237">
        <v>11</v>
      </c>
      <c r="C237" t="s">
        <v>176</v>
      </c>
      <c r="G237" s="13">
        <f>D229*ABS(SUM(G229:G236)/2)</f>
      </c>
      <c r="H237" s="13">
        <f>D229*SIGN(SUM(G229:G236))*SUM(H229:H236)/6</f>
      </c>
      <c r="I237" s="13">
        <f>D229*SIGN(SUM(G229:G236))*SUM(I229:I236)/6</f>
      </c>
    </row>
    <row r="238" spans="2:9" x14ac:dyDescent="0.25">
      <c r="B238">
        <v>11</v>
      </c>
      <c r="C238" s="13" t="s">
        <v>177</v>
      </c>
      <c r="G238" s="14">
        <f>G228+G237</f>
      </c>
      <c r="H238" s="14">
        <f>H228+H237</f>
      </c>
      <c r="I238" s="14">
        <f>I228+I237</f>
      </c>
    </row>
    <row r="240" spans="2:9" x14ac:dyDescent="0.25">
      <c r="B240">
        <v>12</v>
      </c>
      <c r="C240" t="s">
        <v>137</v>
      </c>
      <c r="D240">
        <v>1</v>
      </c>
      <c r="E240" s="17">
        <v>350.5678157513014</v>
      </c>
      <c r="F240" s="17">
        <v>-600</v>
      </c>
      <c r="G240">
        <f>E240*F241-E241*F240</f>
      </c>
      <c r="H240">
        <f>(E240+E241)*G240</f>
      </c>
      <c r="I240">
        <f>(F240+F241)*G240</f>
      </c>
    </row>
    <row r="241" spans="2:9" x14ac:dyDescent="0.25">
      <c r="B241">
        <v>12</v>
      </c>
      <c r="C241" t="s">
        <v>137</v>
      </c>
      <c r="D241">
        <v>1</v>
      </c>
      <c r="E241" s="17">
        <v>550</v>
      </c>
      <c r="F241" s="17">
        <v>-600</v>
      </c>
      <c r="G241">
        <f>E241*F242-E242*F241</f>
      </c>
      <c r="H241">
        <f>(E241+E242)*G241</f>
      </c>
      <c r="I241">
        <f>(F241+F242)*G241</f>
      </c>
    </row>
    <row r="242" spans="2:9" x14ac:dyDescent="0.25">
      <c r="B242">
        <v>12</v>
      </c>
      <c r="C242" t="s">
        <v>137</v>
      </c>
      <c r="D242">
        <v>1</v>
      </c>
      <c r="E242" s="17">
        <v>750</v>
      </c>
      <c r="F242" s="17">
        <v>-400</v>
      </c>
      <c r="G242">
        <f>E242*F243-E243*F242</f>
      </c>
      <c r="H242">
        <f>(E242+E243)*G242</f>
      </c>
      <c r="I242">
        <f>(F242+F243)*G242</f>
      </c>
    </row>
    <row r="243" spans="2:9" x14ac:dyDescent="0.25">
      <c r="B243">
        <v>12</v>
      </c>
      <c r="C243" t="s">
        <v>137</v>
      </c>
      <c r="D243">
        <v>1</v>
      </c>
      <c r="E243" s="17">
        <v>750</v>
      </c>
      <c r="F243" s="17">
        <v>400</v>
      </c>
      <c r="G243">
        <f>E243*F244-E244*F243</f>
      </c>
      <c r="H243">
        <f>(E243+E244)*G243</f>
      </c>
      <c r="I243">
        <f>(F243+F244)*G243</f>
      </c>
    </row>
    <row r="244" spans="2:9" x14ac:dyDescent="0.25">
      <c r="B244">
        <v>12</v>
      </c>
      <c r="C244" t="s">
        <v>137</v>
      </c>
      <c r="D244">
        <v>1</v>
      </c>
      <c r="E244" s="17">
        <v>550</v>
      </c>
      <c r="F244" s="17">
        <v>600</v>
      </c>
      <c r="G244">
        <f>E244*F245-E245*F244</f>
      </c>
      <c r="H244">
        <f>(E244+E245)*G244</f>
      </c>
      <c r="I244">
        <f>(F244+F245)*G244</f>
      </c>
    </row>
    <row r="245" spans="2:9" x14ac:dyDescent="0.25">
      <c r="B245">
        <v>12</v>
      </c>
      <c r="C245" t="s">
        <v>137</v>
      </c>
      <c r="D245">
        <v>1</v>
      </c>
      <c r="E245" s="17">
        <v>29.028784833954546</v>
      </c>
      <c r="F245" s="17">
        <v>600</v>
      </c>
      <c r="G245">
        <f>E245*F240-E240*F245</f>
      </c>
      <c r="H245">
        <f>(E245+E240)*G245</f>
      </c>
      <c r="I245">
        <f>(F245+F240)*G245</f>
      </c>
    </row>
    <row r="246" spans="2:9" x14ac:dyDescent="0.25">
      <c r="B246">
        <v>12</v>
      </c>
      <c r="C246" t="s">
        <v>176</v>
      </c>
      <c r="G246" s="13">
        <f>D240*ABS(SUM(G240:G245)/2)</f>
      </c>
      <c r="H246" s="13">
        <f>D240*SIGN(SUM(G240:G245))*SUM(H240:H245)/6</f>
      </c>
      <c r="I246" s="13">
        <f>D240*SIGN(SUM(G240:G245))*SUM(I240:I245)/6</f>
      </c>
    </row>
    <row r="247" spans="2:9" x14ac:dyDescent="0.25">
      <c r="B247">
        <v>12</v>
      </c>
      <c r="C247" t="s">
        <v>140</v>
      </c>
      <c r="D247">
        <v>-1</v>
      </c>
      <c r="E247" s="17">
        <v>250</v>
      </c>
      <c r="F247" s="17">
        <v>400</v>
      </c>
      <c r="G247">
        <f>E247*F248-E248*F247</f>
      </c>
      <c r="H247">
        <f>(E247+E248)*G247</f>
      </c>
      <c r="I247">
        <f>(F247+F248)*G247</f>
      </c>
    </row>
    <row r="248" spans="2:9" x14ac:dyDescent="0.25">
      <c r="B248">
        <v>12</v>
      </c>
      <c r="C248" t="s">
        <v>140</v>
      </c>
      <c r="D248">
        <v>-1</v>
      </c>
      <c r="E248" s="17">
        <v>450</v>
      </c>
      <c r="F248" s="17">
        <v>400</v>
      </c>
      <c r="G248">
        <f>E248*F249-E249*F248</f>
      </c>
      <c r="H248">
        <f>(E248+E249)*G248</f>
      </c>
      <c r="I248">
        <f>(F248+F249)*G248</f>
      </c>
    </row>
    <row r="249" spans="2:9" x14ac:dyDescent="0.25">
      <c r="B249">
        <v>12</v>
      </c>
      <c r="C249" t="s">
        <v>140</v>
      </c>
      <c r="D249">
        <v>-1</v>
      </c>
      <c r="E249" s="17">
        <v>550</v>
      </c>
      <c r="F249" s="17">
        <v>300</v>
      </c>
      <c r="G249">
        <f>E249*F250-E250*F249</f>
      </c>
      <c r="H249">
        <f>(E249+E250)*G249</f>
      </c>
      <c r="I249">
        <f>(F249+F250)*G249</f>
      </c>
    </row>
    <row r="250" spans="2:9" x14ac:dyDescent="0.25">
      <c r="B250">
        <v>12</v>
      </c>
      <c r="C250" t="s">
        <v>140</v>
      </c>
      <c r="D250">
        <v>-1</v>
      </c>
      <c r="E250" s="17">
        <v>550</v>
      </c>
      <c r="F250" s="17">
        <v>-300</v>
      </c>
      <c r="G250">
        <f>E250*F251-E251*F250</f>
      </c>
      <c r="H250">
        <f>(E250+E251)*G250</f>
      </c>
      <c r="I250">
        <f>(F250+F251)*G250</f>
      </c>
    </row>
    <row r="251" spans="2:9" x14ac:dyDescent="0.25">
      <c r="B251">
        <v>12</v>
      </c>
      <c r="C251" t="s">
        <v>140</v>
      </c>
      <c r="D251">
        <v>-1</v>
      </c>
      <c r="E251" s="17">
        <v>450</v>
      </c>
      <c r="F251" s="17">
        <v>-400</v>
      </c>
      <c r="G251">
        <f>E251*F252-E252*F251</f>
      </c>
      <c r="H251">
        <f>(E251+E252)*G251</f>
      </c>
      <c r="I251">
        <f>(F251+F252)*G251</f>
      </c>
    </row>
    <row r="252" spans="2:9" x14ac:dyDescent="0.25">
      <c r="B252">
        <v>12</v>
      </c>
      <c r="C252" t="s">
        <v>140</v>
      </c>
      <c r="D252">
        <v>-1</v>
      </c>
      <c r="E252" s="17">
        <v>296.977977265077</v>
      </c>
      <c r="F252" s="17">
        <v>-400</v>
      </c>
      <c r="G252">
        <f>E252*F253-E253*F252</f>
      </c>
      <c r="H252">
        <f>(E252+E253)*G252</f>
      </c>
      <c r="I252">
        <f>(F252+F253)*G252</f>
      </c>
    </row>
    <row r="253" spans="2:9" x14ac:dyDescent="0.25">
      <c r="B253">
        <v>12</v>
      </c>
      <c r="C253" t="s">
        <v>140</v>
      </c>
      <c r="D253">
        <v>-1</v>
      </c>
      <c r="E253" s="17">
        <v>150</v>
      </c>
      <c r="F253" s="17">
        <v>148.52927874697122</v>
      </c>
      <c r="G253">
        <f>E253*F254-E254*F253</f>
      </c>
      <c r="H253">
        <f>(E253+E254)*G253</f>
      </c>
      <c r="I253">
        <f>(F253+F254)*G253</f>
      </c>
    </row>
    <row r="254" spans="2:9" x14ac:dyDescent="0.25">
      <c r="B254">
        <v>12</v>
      </c>
      <c r="C254" t="s">
        <v>140</v>
      </c>
      <c r="D254">
        <v>-1</v>
      </c>
      <c r="E254" s="17">
        <v>150</v>
      </c>
      <c r="F254" s="17">
        <v>300</v>
      </c>
      <c r="G254">
        <f>E254*F247-E247*F254</f>
      </c>
      <c r="H254">
        <f>(E254+E247)*G254</f>
      </c>
      <c r="I254">
        <f>(F254+F247)*G254</f>
      </c>
    </row>
    <row r="255" spans="2:9" x14ac:dyDescent="0.25">
      <c r="B255">
        <v>12</v>
      </c>
      <c r="C255" t="s">
        <v>176</v>
      </c>
      <c r="G255" s="13">
        <f>D247*ABS(SUM(G247:G254)/2)</f>
      </c>
      <c r="H255" s="13">
        <f>D247*SIGN(SUM(G247:G254))*SUM(H247:H254)/6</f>
      </c>
      <c r="I255" s="13">
        <f>D247*SIGN(SUM(G247:G254))*SUM(I247:I254)/6</f>
      </c>
    </row>
    <row r="256" spans="2:9" x14ac:dyDescent="0.25">
      <c r="B256">
        <v>12</v>
      </c>
      <c r="C256" s="13" t="s">
        <v>177</v>
      </c>
      <c r="G256" s="14">
        <f>G246+G255</f>
      </c>
      <c r="H256" s="14">
        <f>H246+H255</f>
      </c>
      <c r="I256" s="14">
        <f>I246+I255</f>
      </c>
    </row>
    <row r="258" spans="2:9" x14ac:dyDescent="0.25">
      <c r="B258">
        <v>13</v>
      </c>
      <c r="C258" t="s">
        <v>137</v>
      </c>
      <c r="D258">
        <v>1</v>
      </c>
      <c r="E258" s="17">
        <v>353.3001484447076</v>
      </c>
      <c r="F258" s="17">
        <v>-600</v>
      </c>
      <c r="G258">
        <f>E258*F259-E259*F258</f>
      </c>
      <c r="H258">
        <f>(E258+E259)*G258</f>
      </c>
      <c r="I258">
        <f>(F258+F259)*G258</f>
      </c>
    </row>
    <row r="259" spans="2:9" x14ac:dyDescent="0.25">
      <c r="B259">
        <v>13</v>
      </c>
      <c r="C259" t="s">
        <v>137</v>
      </c>
      <c r="D259">
        <v>1</v>
      </c>
      <c r="E259" s="17">
        <v>550</v>
      </c>
      <c r="F259" s="17">
        <v>-600</v>
      </c>
      <c r="G259">
        <f>E259*F260-E260*F259</f>
      </c>
      <c r="H259">
        <f>(E259+E260)*G259</f>
      </c>
      <c r="I259">
        <f>(F259+F260)*G259</f>
      </c>
    </row>
    <row r="260" spans="2:9" x14ac:dyDescent="0.25">
      <c r="B260">
        <v>13</v>
      </c>
      <c r="C260" t="s">
        <v>137</v>
      </c>
      <c r="D260">
        <v>1</v>
      </c>
      <c r="E260" s="17">
        <v>750</v>
      </c>
      <c r="F260" s="17">
        <v>-400</v>
      </c>
      <c r="G260">
        <f>E260*F261-E261*F260</f>
      </c>
      <c r="H260">
        <f>(E260+E261)*G260</f>
      </c>
      <c r="I260">
        <f>(F260+F261)*G260</f>
      </c>
    </row>
    <row r="261" spans="2:9" x14ac:dyDescent="0.25">
      <c r="B261">
        <v>13</v>
      </c>
      <c r="C261" t="s">
        <v>137</v>
      </c>
      <c r="D261">
        <v>1</v>
      </c>
      <c r="E261" s="17">
        <v>750</v>
      </c>
      <c r="F261" s="17">
        <v>400</v>
      </c>
      <c r="G261">
        <f>E261*F262-E262*F261</f>
      </c>
      <c r="H261">
        <f>(E261+E262)*G261</f>
      </c>
      <c r="I261">
        <f>(F261+F262)*G261</f>
      </c>
    </row>
    <row r="262" spans="2:9" x14ac:dyDescent="0.25">
      <c r="B262">
        <v>13</v>
      </c>
      <c r="C262" t="s">
        <v>137</v>
      </c>
      <c r="D262">
        <v>1</v>
      </c>
      <c r="E262" s="17">
        <v>550</v>
      </c>
      <c r="F262" s="17">
        <v>600</v>
      </c>
      <c r="G262">
        <f>E262*F263-E263*F262</f>
      </c>
      <c r="H262">
        <f>(E262+E263)*G262</f>
      </c>
      <c r="I262">
        <f>(F262+F263)*G262</f>
      </c>
    </row>
    <row r="263" spans="2:9" x14ac:dyDescent="0.25">
      <c r="B263">
        <v>13</v>
      </c>
      <c r="C263" t="s">
        <v>137</v>
      </c>
      <c r="D263">
        <v>1</v>
      </c>
      <c r="E263" s="17">
        <v>31.76111752736074</v>
      </c>
      <c r="F263" s="17">
        <v>600</v>
      </c>
      <c r="G263">
        <f>E263*F258-E258*F263</f>
      </c>
      <c r="H263">
        <f>(E263+E258)*G263</f>
      </c>
      <c r="I263">
        <f>(F263+F258)*G263</f>
      </c>
    </row>
    <row r="264" spans="2:9" x14ac:dyDescent="0.25">
      <c r="B264">
        <v>13</v>
      </c>
      <c r="C264" t="s">
        <v>176</v>
      </c>
      <c r="G264" s="13">
        <f>D258*ABS(SUM(G258:G263)/2)</f>
      </c>
      <c r="H264" s="13">
        <f>D258*SIGN(SUM(G258:G263))*SUM(H258:H263)/6</f>
      </c>
      <c r="I264" s="13">
        <f>D258*SIGN(SUM(G258:G263))*SUM(I258:I263)/6</f>
      </c>
    </row>
    <row r="265" spans="2:9" x14ac:dyDescent="0.25">
      <c r="B265">
        <v>13</v>
      </c>
      <c r="C265" t="s">
        <v>140</v>
      </c>
      <c r="D265">
        <v>-1</v>
      </c>
      <c r="E265" s="17">
        <v>250</v>
      </c>
      <c r="F265" s="17">
        <v>400</v>
      </c>
      <c r="G265">
        <f>E265*F266-E266*F265</f>
      </c>
      <c r="H265">
        <f>(E265+E266)*G265</f>
      </c>
      <c r="I265">
        <f>(F265+F266)*G265</f>
      </c>
    </row>
    <row r="266" spans="2:9" x14ac:dyDescent="0.25">
      <c r="B266">
        <v>13</v>
      </c>
      <c r="C266" t="s">
        <v>140</v>
      </c>
      <c r="D266">
        <v>-1</v>
      </c>
      <c r="E266" s="17">
        <v>450</v>
      </c>
      <c r="F266" s="17">
        <v>400</v>
      </c>
      <c r="G266">
        <f>E266*F267-E267*F266</f>
      </c>
      <c r="H266">
        <f>(E266+E267)*G266</f>
      </c>
      <c r="I266">
        <f>(F266+F267)*G266</f>
      </c>
    </row>
    <row r="267" spans="2:9" x14ac:dyDescent="0.25">
      <c r="B267">
        <v>13</v>
      </c>
      <c r="C267" t="s">
        <v>140</v>
      </c>
      <c r="D267">
        <v>-1</v>
      </c>
      <c r="E267" s="17">
        <v>550</v>
      </c>
      <c r="F267" s="17">
        <v>300</v>
      </c>
      <c r="G267">
        <f>E267*F268-E268*F267</f>
      </c>
      <c r="H267">
        <f>(E267+E268)*G267</f>
      </c>
      <c r="I267">
        <f>(F267+F268)*G267</f>
      </c>
    </row>
    <row r="268" spans="2:9" x14ac:dyDescent="0.25">
      <c r="B268">
        <v>13</v>
      </c>
      <c r="C268" t="s">
        <v>140</v>
      </c>
      <c r="D268">
        <v>-1</v>
      </c>
      <c r="E268" s="17">
        <v>550</v>
      </c>
      <c r="F268" s="17">
        <v>-300</v>
      </c>
      <c r="G268">
        <f>E268*F269-E269*F268</f>
      </c>
      <c r="H268">
        <f>(E268+E269)*G268</f>
      </c>
      <c r="I268">
        <f>(F268+F269)*G268</f>
      </c>
    </row>
    <row r="269" spans="2:9" x14ac:dyDescent="0.25">
      <c r="B269">
        <v>13</v>
      </c>
      <c r="C269" t="s">
        <v>140</v>
      </c>
      <c r="D269">
        <v>-1</v>
      </c>
      <c r="E269" s="17">
        <v>450</v>
      </c>
      <c r="F269" s="17">
        <v>-400</v>
      </c>
      <c r="G269">
        <f>E269*F270-E270*F269</f>
      </c>
      <c r="H269">
        <f>(E269+E270)*G269</f>
      </c>
      <c r="I269">
        <f>(F269+F270)*G269</f>
      </c>
    </row>
    <row r="270" spans="2:9" x14ac:dyDescent="0.25">
      <c r="B270">
        <v>13</v>
      </c>
      <c r="C270" t="s">
        <v>140</v>
      </c>
      <c r="D270">
        <v>-1</v>
      </c>
      <c r="E270" s="17">
        <v>299.7103099584831</v>
      </c>
      <c r="F270" s="17">
        <v>-400</v>
      </c>
      <c r="G270">
        <f>E270*F271-E271*F270</f>
      </c>
      <c r="H270">
        <f>(E270+E271)*G270</f>
      </c>
      <c r="I270">
        <f>(F270+F271)*G270</f>
      </c>
    </row>
    <row r="271" spans="2:9" x14ac:dyDescent="0.25">
      <c r="B271">
        <v>13</v>
      </c>
      <c r="C271" t="s">
        <v>140</v>
      </c>
      <c r="D271">
        <v>-1</v>
      </c>
      <c r="E271" s="17">
        <v>150</v>
      </c>
      <c r="F271" s="17">
        <v>158.72648318194456</v>
      </c>
      <c r="G271">
        <f>E271*F272-E272*F271</f>
      </c>
      <c r="H271">
        <f>(E271+E272)*G271</f>
      </c>
      <c r="I271">
        <f>(F271+F272)*G271</f>
      </c>
    </row>
    <row r="272" spans="2:9" x14ac:dyDescent="0.25">
      <c r="B272">
        <v>13</v>
      </c>
      <c r="C272" t="s">
        <v>140</v>
      </c>
      <c r="D272">
        <v>-1</v>
      </c>
      <c r="E272" s="17">
        <v>150</v>
      </c>
      <c r="F272" s="17">
        <v>300</v>
      </c>
      <c r="G272">
        <f>E272*F265-E265*F272</f>
      </c>
      <c r="H272">
        <f>(E272+E265)*G272</f>
      </c>
      <c r="I272">
        <f>(F272+F265)*G272</f>
      </c>
    </row>
    <row r="273" spans="2:9" x14ac:dyDescent="0.25">
      <c r="B273">
        <v>13</v>
      </c>
      <c r="C273" t="s">
        <v>176</v>
      </c>
      <c r="G273" s="13">
        <f>D265*ABS(SUM(G265:G272)/2)</f>
      </c>
      <c r="H273" s="13">
        <f>D265*SIGN(SUM(G265:G272))*SUM(H265:H272)/6</f>
      </c>
      <c r="I273" s="13">
        <f>D265*SIGN(SUM(G265:G272))*SUM(I265:I272)/6</f>
      </c>
    </row>
    <row r="274" spans="2:9" x14ac:dyDescent="0.25">
      <c r="B274">
        <v>13</v>
      </c>
      <c r="C274" s="13" t="s">
        <v>177</v>
      </c>
      <c r="G274" s="14">
        <f>G264+G273</f>
      </c>
      <c r="H274" s="14">
        <f>H264+H273</f>
      </c>
      <c r="I274" s="14">
        <f>I264+I273</f>
      </c>
    </row>
    <row r="276" spans="2:9" x14ac:dyDescent="0.25">
      <c r="B276">
        <v>14</v>
      </c>
      <c r="C276" t="s">
        <v>137</v>
      </c>
      <c r="D276">
        <v>1</v>
      </c>
      <c r="E276" s="17">
        <v>389.9535883704291</v>
      </c>
      <c r="F276" s="17">
        <v>-600</v>
      </c>
      <c r="G276">
        <f>E276*F277-E277*F276</f>
      </c>
      <c r="H276">
        <f>(E276+E277)*G276</f>
      </c>
      <c r="I276">
        <f>(F276+F277)*G276</f>
      </c>
    </row>
    <row r="277" spans="2:9" x14ac:dyDescent="0.25">
      <c r="B277">
        <v>14</v>
      </c>
      <c r="C277" t="s">
        <v>137</v>
      </c>
      <c r="D277">
        <v>1</v>
      </c>
      <c r="E277" s="17">
        <v>550</v>
      </c>
      <c r="F277" s="17">
        <v>-600</v>
      </c>
      <c r="G277">
        <f>E277*F278-E278*F277</f>
      </c>
      <c r="H277">
        <f>(E277+E278)*G277</f>
      </c>
      <c r="I277">
        <f>(F277+F278)*G277</f>
      </c>
    </row>
    <row r="278" spans="2:9" x14ac:dyDescent="0.25">
      <c r="B278">
        <v>14</v>
      </c>
      <c r="C278" t="s">
        <v>137</v>
      </c>
      <c r="D278">
        <v>1</v>
      </c>
      <c r="E278" s="17">
        <v>750</v>
      </c>
      <c r="F278" s="17">
        <v>-400</v>
      </c>
      <c r="G278">
        <f>E278*F279-E279*F278</f>
      </c>
      <c r="H278">
        <f>(E278+E279)*G278</f>
      </c>
      <c r="I278">
        <f>(F278+F279)*G278</f>
      </c>
    </row>
    <row r="279" spans="2:9" x14ac:dyDescent="0.25">
      <c r="B279">
        <v>14</v>
      </c>
      <c r="C279" t="s">
        <v>137</v>
      </c>
      <c r="D279">
        <v>1</v>
      </c>
      <c r="E279" s="17">
        <v>750</v>
      </c>
      <c r="F279" s="17">
        <v>400</v>
      </c>
      <c r="G279">
        <f>E279*F280-E280*F279</f>
      </c>
      <c r="H279">
        <f>(E279+E280)*G279</f>
      </c>
      <c r="I279">
        <f>(F279+F280)*G279</f>
      </c>
    </row>
    <row r="280" spans="2:9" x14ac:dyDescent="0.25">
      <c r="B280">
        <v>14</v>
      </c>
      <c r="C280" t="s">
        <v>137</v>
      </c>
      <c r="D280">
        <v>1</v>
      </c>
      <c r="E280" s="17">
        <v>550</v>
      </c>
      <c r="F280" s="17">
        <v>600</v>
      </c>
      <c r="G280">
        <f>E280*F281-E281*F280</f>
      </c>
      <c r="H280">
        <f>(E280+E281)*G280</f>
      </c>
      <c r="I280">
        <f>(F280+F281)*G280</f>
      </c>
    </row>
    <row r="281" spans="2:9" x14ac:dyDescent="0.25">
      <c r="B281">
        <v>14</v>
      </c>
      <c r="C281" t="s">
        <v>137</v>
      </c>
      <c r="D281">
        <v>1</v>
      </c>
      <c r="E281" s="17">
        <v>68.41455745308218</v>
      </c>
      <c r="F281" s="17">
        <v>600</v>
      </c>
      <c r="G281">
        <f>E281*F276-E276*F281</f>
      </c>
      <c r="H281">
        <f>(E281+E276)*G281</f>
      </c>
      <c r="I281">
        <f>(F281+F276)*G281</f>
      </c>
    </row>
    <row r="282" spans="2:9" x14ac:dyDescent="0.25">
      <c r="B282">
        <v>14</v>
      </c>
      <c r="C282" t="s">
        <v>176</v>
      </c>
      <c r="G282" s="13">
        <f>D276*ABS(SUM(G276:G281)/2)</f>
      </c>
      <c r="H282" s="13">
        <f>D276*SIGN(SUM(G276:G281))*SUM(H276:H281)/6</f>
      </c>
      <c r="I282" s="13">
        <f>D276*SIGN(SUM(G276:G281))*SUM(I276:I281)/6</f>
      </c>
    </row>
    <row r="283" spans="2:9" x14ac:dyDescent="0.25">
      <c r="B283">
        <v>14</v>
      </c>
      <c r="C283" t="s">
        <v>140</v>
      </c>
      <c r="D283">
        <v>-1</v>
      </c>
      <c r="E283" s="17">
        <v>250</v>
      </c>
      <c r="F283" s="17">
        <v>400</v>
      </c>
      <c r="G283">
        <f>E283*F284-E284*F283</f>
      </c>
      <c r="H283">
        <f>(E283+E284)*G283</f>
      </c>
      <c r="I283">
        <f>(F283+F284)*G283</f>
      </c>
    </row>
    <row r="284" spans="2:9" x14ac:dyDescent="0.25">
      <c r="B284">
        <v>14</v>
      </c>
      <c r="C284" t="s">
        <v>140</v>
      </c>
      <c r="D284">
        <v>-1</v>
      </c>
      <c r="E284" s="17">
        <v>450</v>
      </c>
      <c r="F284" s="17">
        <v>400</v>
      </c>
      <c r="G284">
        <f>E284*F285-E285*F284</f>
      </c>
      <c r="H284">
        <f>(E284+E285)*G284</f>
      </c>
      <c r="I284">
        <f>(F284+F285)*G284</f>
      </c>
    </row>
    <row r="285" spans="2:9" x14ac:dyDescent="0.25">
      <c r="B285">
        <v>14</v>
      </c>
      <c r="C285" t="s">
        <v>140</v>
      </c>
      <c r="D285">
        <v>-1</v>
      </c>
      <c r="E285" s="17">
        <v>550</v>
      </c>
      <c r="F285" s="17">
        <v>300</v>
      </c>
      <c r="G285">
        <f>E285*F286-E286*F285</f>
      </c>
      <c r="H285">
        <f>(E285+E286)*G285</f>
      </c>
      <c r="I285">
        <f>(F285+F286)*G285</f>
      </c>
    </row>
    <row r="286" spans="2:9" x14ac:dyDescent="0.25">
      <c r="B286">
        <v>14</v>
      </c>
      <c r="C286" t="s">
        <v>140</v>
      </c>
      <c r="D286">
        <v>-1</v>
      </c>
      <c r="E286" s="17">
        <v>550</v>
      </c>
      <c r="F286" s="17">
        <v>-300</v>
      </c>
      <c r="G286">
        <f>E286*F287-E287*F286</f>
      </c>
      <c r="H286">
        <f>(E286+E287)*G286</f>
      </c>
      <c r="I286">
        <f>(F286+F287)*G286</f>
      </c>
    </row>
    <row r="287" spans="2:9" x14ac:dyDescent="0.25">
      <c r="B287">
        <v>14</v>
      </c>
      <c r="C287" t="s">
        <v>140</v>
      </c>
      <c r="D287">
        <v>-1</v>
      </c>
      <c r="E287" s="17">
        <v>450</v>
      </c>
      <c r="F287" s="17">
        <v>-400</v>
      </c>
      <c r="G287">
        <f>E287*F288-E288*F287</f>
      </c>
      <c r="H287">
        <f>(E287+E288)*G287</f>
      </c>
      <c r="I287">
        <f>(F287+F288)*G287</f>
      </c>
    </row>
    <row r="288" spans="2:9" x14ac:dyDescent="0.25">
      <c r="B288">
        <v>14</v>
      </c>
      <c r="C288" t="s">
        <v>140</v>
      </c>
      <c r="D288">
        <v>-1</v>
      </c>
      <c r="E288" s="17">
        <v>336.3637498842046</v>
      </c>
      <c r="F288" s="17">
        <v>-400</v>
      </c>
      <c r="G288">
        <f>E288*F289-E289*F288</f>
      </c>
      <c r="H288">
        <f>(E288+E289)*G288</f>
      </c>
      <c r="I288">
        <f>(F288+F289)*G288</f>
      </c>
    </row>
    <row r="289" spans="2:9" x14ac:dyDescent="0.25">
      <c r="B289">
        <v>14</v>
      </c>
      <c r="C289" t="s">
        <v>140</v>
      </c>
      <c r="D289">
        <v>-1</v>
      </c>
      <c r="E289" s="17">
        <v>150</v>
      </c>
      <c r="F289" s="17">
        <v>295.5189832569108</v>
      </c>
      <c r="G289">
        <f>E289*F290-E290*F289</f>
      </c>
      <c r="H289">
        <f>(E289+E290)*G289</f>
      </c>
      <c r="I289">
        <f>(F289+F290)*G289</f>
      </c>
    </row>
    <row r="290" spans="2:9" x14ac:dyDescent="0.25">
      <c r="B290">
        <v>14</v>
      </c>
      <c r="C290" t="s">
        <v>140</v>
      </c>
      <c r="D290">
        <v>-1</v>
      </c>
      <c r="E290" s="17">
        <v>150</v>
      </c>
      <c r="F290" s="17">
        <v>300</v>
      </c>
      <c r="G290">
        <f>E290*F283-E283*F290</f>
      </c>
      <c r="H290">
        <f>(E290+E283)*G290</f>
      </c>
      <c r="I290">
        <f>(F290+F283)*G290</f>
      </c>
    </row>
    <row r="291" spans="2:9" x14ac:dyDescent="0.25">
      <c r="B291">
        <v>14</v>
      </c>
      <c r="C291" t="s">
        <v>176</v>
      </c>
      <c r="G291" s="13">
        <f>D283*ABS(SUM(G283:G290)/2)</f>
      </c>
      <c r="H291" s="13">
        <f>D283*SIGN(SUM(G283:G290))*SUM(H283:H290)/6</f>
      </c>
      <c r="I291" s="13">
        <f>D283*SIGN(SUM(G283:G290))*SUM(I283:I290)/6</f>
      </c>
    </row>
    <row r="292" spans="2:9" x14ac:dyDescent="0.25">
      <c r="B292">
        <v>14</v>
      </c>
      <c r="C292" s="13" t="s">
        <v>177</v>
      </c>
      <c r="G292" s="14">
        <f>G282+G291</f>
      </c>
      <c r="H292" s="14">
        <f>H282+H291</f>
      </c>
      <c r="I292" s="14">
        <f>I282+I291</f>
      </c>
    </row>
    <row r="294" spans="2:9" x14ac:dyDescent="0.25">
      <c r="B294">
        <v>15</v>
      </c>
      <c r="C294" t="s">
        <v>137</v>
      </c>
      <c r="D294">
        <v>1</v>
      </c>
      <c r="E294" s="17">
        <v>397.9617000455702</v>
      </c>
      <c r="F294" s="17">
        <v>-600</v>
      </c>
      <c r="G294">
        <f>E294*F295-E295*F294</f>
      </c>
      <c r="H294">
        <f>(E294+E295)*G294</f>
      </c>
      <c r="I294">
        <f>(F294+F295)*G294</f>
      </c>
    </row>
    <row r="295" spans="2:9" x14ac:dyDescent="0.25">
      <c r="B295">
        <v>15</v>
      </c>
      <c r="C295" t="s">
        <v>137</v>
      </c>
      <c r="D295">
        <v>1</v>
      </c>
      <c r="E295" s="17">
        <v>550</v>
      </c>
      <c r="F295" s="17">
        <v>-600</v>
      </c>
      <c r="G295">
        <f>E295*F296-E296*F295</f>
      </c>
      <c r="H295">
        <f>(E295+E296)*G295</f>
      </c>
      <c r="I295">
        <f>(F295+F296)*G295</f>
      </c>
    </row>
    <row r="296" spans="2:9" x14ac:dyDescent="0.25">
      <c r="B296">
        <v>15</v>
      </c>
      <c r="C296" t="s">
        <v>137</v>
      </c>
      <c r="D296">
        <v>1</v>
      </c>
      <c r="E296" s="17">
        <v>750</v>
      </c>
      <c r="F296" s="17">
        <v>-400</v>
      </c>
      <c r="G296">
        <f>E296*F297-E297*F296</f>
      </c>
      <c r="H296">
        <f>(E296+E297)*G296</f>
      </c>
      <c r="I296">
        <f>(F296+F297)*G296</f>
      </c>
    </row>
    <row r="297" spans="2:9" x14ac:dyDescent="0.25">
      <c r="B297">
        <v>15</v>
      </c>
      <c r="C297" t="s">
        <v>137</v>
      </c>
      <c r="D297">
        <v>1</v>
      </c>
      <c r="E297" s="17">
        <v>750</v>
      </c>
      <c r="F297" s="17">
        <v>400</v>
      </c>
      <c r="G297">
        <f>E297*F298-E298*F297</f>
      </c>
      <c r="H297">
        <f>(E297+E298)*G297</f>
      </c>
      <c r="I297">
        <f>(F297+F298)*G297</f>
      </c>
    </row>
    <row r="298" spans="2:9" x14ac:dyDescent="0.25">
      <c r="B298">
        <v>15</v>
      </c>
      <c r="C298" t="s">
        <v>137</v>
      </c>
      <c r="D298">
        <v>1</v>
      </c>
      <c r="E298" s="17">
        <v>550</v>
      </c>
      <c r="F298" s="17">
        <v>600</v>
      </c>
      <c r="G298">
        <f>E298*F299-E299*F298</f>
      </c>
      <c r="H298">
        <f>(E298+E299)*G298</f>
      </c>
      <c r="I298">
        <f>(F298+F299)*G298</f>
      </c>
    </row>
    <row r="299" spans="2:9" x14ac:dyDescent="0.25">
      <c r="B299">
        <v>15</v>
      </c>
      <c r="C299" t="s">
        <v>137</v>
      </c>
      <c r="D299">
        <v>1</v>
      </c>
      <c r="E299" s="17">
        <v>76.42266912822322</v>
      </c>
      <c r="F299" s="17">
        <v>600</v>
      </c>
      <c r="G299">
        <f>E299*F294-E294*F299</f>
      </c>
      <c r="H299">
        <f>(E299+E294)*G299</f>
      </c>
      <c r="I299">
        <f>(F299+F294)*G299</f>
      </c>
    </row>
    <row r="300" spans="2:9" x14ac:dyDescent="0.25">
      <c r="B300">
        <v>15</v>
      </c>
      <c r="C300" t="s">
        <v>176</v>
      </c>
      <c r="G300" s="13">
        <f>D294*ABS(SUM(G294:G299)/2)</f>
      </c>
      <c r="H300" s="13">
        <f>D294*SIGN(SUM(G294:G299))*SUM(H294:H299)/6</f>
      </c>
      <c r="I300" s="13">
        <f>D294*SIGN(SUM(G294:G299))*SUM(I294:I299)/6</f>
      </c>
    </row>
    <row r="301" spans="2:9" x14ac:dyDescent="0.25">
      <c r="B301">
        <v>15</v>
      </c>
      <c r="C301" t="s">
        <v>140</v>
      </c>
      <c r="D301">
        <v>-1</v>
      </c>
      <c r="E301" s="17">
        <v>250</v>
      </c>
      <c r="F301" s="17">
        <v>400</v>
      </c>
      <c r="G301">
        <f>E301*F302-E302*F301</f>
      </c>
      <c r="H301">
        <f>(E301+E302)*G301</f>
      </c>
      <c r="I301">
        <f>(F301+F302)*G301</f>
      </c>
    </row>
    <row r="302" spans="2:9" x14ac:dyDescent="0.25">
      <c r="B302">
        <v>15</v>
      </c>
      <c r="C302" t="s">
        <v>140</v>
      </c>
      <c r="D302">
        <v>-1</v>
      </c>
      <c r="E302" s="17">
        <v>450</v>
      </c>
      <c r="F302" s="17">
        <v>400</v>
      </c>
      <c r="G302">
        <f>E302*F303-E303*F302</f>
      </c>
      <c r="H302">
        <f>(E302+E303)*G302</f>
      </c>
      <c r="I302">
        <f>(F302+F303)*G302</f>
      </c>
    </row>
    <row r="303" spans="2:9" x14ac:dyDescent="0.25">
      <c r="B303">
        <v>15</v>
      </c>
      <c r="C303" t="s">
        <v>140</v>
      </c>
      <c r="D303">
        <v>-1</v>
      </c>
      <c r="E303" s="17">
        <v>550</v>
      </c>
      <c r="F303" s="17">
        <v>300</v>
      </c>
      <c r="G303">
        <f>E303*F304-E304*F303</f>
      </c>
      <c r="H303">
        <f>(E303+E304)*G303</f>
      </c>
      <c r="I303">
        <f>(F303+F304)*G303</f>
      </c>
    </row>
    <row r="304" spans="2:9" x14ac:dyDescent="0.25">
      <c r="B304">
        <v>15</v>
      </c>
      <c r="C304" t="s">
        <v>140</v>
      </c>
      <c r="D304">
        <v>-1</v>
      </c>
      <c r="E304" s="17">
        <v>550</v>
      </c>
      <c r="F304" s="17">
        <v>-300</v>
      </c>
      <c r="G304">
        <f>E304*F305-E305*F304</f>
      </c>
      <c r="H304">
        <f>(E304+E305)*G304</f>
      </c>
      <c r="I304">
        <f>(F304+F305)*G304</f>
      </c>
    </row>
    <row r="305" spans="2:9" x14ac:dyDescent="0.25">
      <c r="B305">
        <v>15</v>
      </c>
      <c r="C305" t="s">
        <v>140</v>
      </c>
      <c r="D305">
        <v>-1</v>
      </c>
      <c r="E305" s="17">
        <v>450</v>
      </c>
      <c r="F305" s="17">
        <v>-400</v>
      </c>
      <c r="G305">
        <f>E305*F306-E306*F305</f>
      </c>
      <c r="H305">
        <f>(E305+E306)*G305</f>
      </c>
      <c r="I305">
        <f>(F305+F306)*G305</f>
      </c>
    </row>
    <row r="306" spans="2:9" x14ac:dyDescent="0.25">
      <c r="B306">
        <v>15</v>
      </c>
      <c r="C306" t="s">
        <v>140</v>
      </c>
      <c r="D306">
        <v>-1</v>
      </c>
      <c r="E306" s="17">
        <v>344.37186155934563</v>
      </c>
      <c r="F306" s="17">
        <v>-400</v>
      </c>
      <c r="G306">
        <f>E306*F307-E307*F306</f>
      </c>
      <c r="H306">
        <f>(E306+E307)*G306</f>
      </c>
      <c r="I306">
        <f>(F306+F307)*G306</f>
      </c>
    </row>
    <row r="307" spans="2:9" x14ac:dyDescent="0.25">
      <c r="B307">
        <v>15</v>
      </c>
      <c r="C307" t="s">
        <v>140</v>
      </c>
      <c r="D307">
        <v>-1</v>
      </c>
      <c r="E307" s="17">
        <v>155.36884829313044</v>
      </c>
      <c r="F307" s="17">
        <v>305.36884829313044</v>
      </c>
      <c r="G307">
        <f>E307*F301-E301*F307</f>
      </c>
      <c r="H307">
        <f>(E307+E301)*G307</f>
      </c>
      <c r="I307">
        <f>(F307+F301)*G307</f>
      </c>
    </row>
    <row r="308" spans="2:9" x14ac:dyDescent="0.25">
      <c r="B308">
        <v>15</v>
      </c>
      <c r="C308" t="s">
        <v>176</v>
      </c>
      <c r="G308" s="13">
        <f>D301*ABS(SUM(G301:G307)/2)</f>
      </c>
      <c r="H308" s="13">
        <f>D301*SIGN(SUM(G301:G307))*SUM(H301:H307)/6</f>
      </c>
      <c r="I308" s="13">
        <f>D301*SIGN(SUM(G301:G307))*SUM(I301:I307)/6</f>
      </c>
    </row>
    <row r="309" spans="2:9" x14ac:dyDescent="0.25">
      <c r="B309">
        <v>15</v>
      </c>
      <c r="C309" s="13" t="s">
        <v>177</v>
      </c>
      <c r="G309" s="14">
        <f>G300+G308</f>
      </c>
      <c r="H309" s="14">
        <f>H300+H308</f>
      </c>
      <c r="I309" s="14">
        <f>I300+I308</f>
      </c>
    </row>
    <row r="311" spans="2:9" x14ac:dyDescent="0.25">
      <c r="B311">
        <v>16</v>
      </c>
      <c r="C311" t="s">
        <v>137</v>
      </c>
      <c r="D311">
        <v>1</v>
      </c>
      <c r="E311" s="17">
        <v>422.7756582690715</v>
      </c>
      <c r="F311" s="17">
        <v>-600</v>
      </c>
      <c r="G311">
        <f>E311*F312-E312*F311</f>
      </c>
      <c r="H311">
        <f>(E311+E312)*G311</f>
      </c>
      <c r="I311">
        <f>(F311+F312)*G311</f>
      </c>
    </row>
    <row r="312" spans="2:9" x14ac:dyDescent="0.25">
      <c r="B312">
        <v>16</v>
      </c>
      <c r="C312" t="s">
        <v>137</v>
      </c>
      <c r="D312">
        <v>1</v>
      </c>
      <c r="E312" s="17">
        <v>550</v>
      </c>
      <c r="F312" s="17">
        <v>-600</v>
      </c>
      <c r="G312">
        <f>E312*F313-E313*F312</f>
      </c>
      <c r="H312">
        <f>(E312+E313)*G312</f>
      </c>
      <c r="I312">
        <f>(F312+F313)*G312</f>
      </c>
    </row>
    <row r="313" spans="2:9" x14ac:dyDescent="0.25">
      <c r="B313">
        <v>16</v>
      </c>
      <c r="C313" t="s">
        <v>137</v>
      </c>
      <c r="D313">
        <v>1</v>
      </c>
      <c r="E313" s="17">
        <v>750</v>
      </c>
      <c r="F313" s="17">
        <v>-400</v>
      </c>
      <c r="G313">
        <f>E313*F314-E314*F313</f>
      </c>
      <c r="H313">
        <f>(E313+E314)*G313</f>
      </c>
      <c r="I313">
        <f>(F313+F314)*G313</f>
      </c>
    </row>
    <row r="314" spans="2:9" x14ac:dyDescent="0.25">
      <c r="B314">
        <v>16</v>
      </c>
      <c r="C314" t="s">
        <v>137</v>
      </c>
      <c r="D314">
        <v>1</v>
      </c>
      <c r="E314" s="17">
        <v>750</v>
      </c>
      <c r="F314" s="17">
        <v>400</v>
      </c>
      <c r="G314">
        <f>E314*F315-E315*F314</f>
      </c>
      <c r="H314">
        <f>(E314+E315)*G314</f>
      </c>
      <c r="I314">
        <f>(F314+F315)*G314</f>
      </c>
    </row>
    <row r="315" spans="2:9" x14ac:dyDescent="0.25">
      <c r="B315">
        <v>16</v>
      </c>
      <c r="C315" t="s">
        <v>137</v>
      </c>
      <c r="D315">
        <v>1</v>
      </c>
      <c r="E315" s="17">
        <v>550</v>
      </c>
      <c r="F315" s="17">
        <v>600</v>
      </c>
      <c r="G315">
        <f>E315*F316-E316*F315</f>
      </c>
      <c r="H315">
        <f>(E315+E316)*G315</f>
      </c>
      <c r="I315">
        <f>(F315+F316)*G315</f>
      </c>
    </row>
    <row r="316" spans="2:9" x14ac:dyDescent="0.25">
      <c r="B316">
        <v>16</v>
      </c>
      <c r="C316" t="s">
        <v>137</v>
      </c>
      <c r="D316">
        <v>1</v>
      </c>
      <c r="E316" s="17">
        <v>101.23662735172462</v>
      </c>
      <c r="F316" s="17">
        <v>600</v>
      </c>
      <c r="G316">
        <f>E316*F311-E311*F316</f>
      </c>
      <c r="H316">
        <f>(E316+E311)*G316</f>
      </c>
      <c r="I316">
        <f>(F316+F311)*G316</f>
      </c>
    </row>
    <row r="317" spans="2:9" x14ac:dyDescent="0.25">
      <c r="B317">
        <v>16</v>
      </c>
      <c r="C317" t="s">
        <v>176</v>
      </c>
      <c r="G317" s="13">
        <f>D311*ABS(SUM(G311:G316)/2)</f>
      </c>
      <c r="H317" s="13">
        <f>D311*SIGN(SUM(G311:G316))*SUM(H311:H316)/6</f>
      </c>
      <c r="I317" s="13">
        <f>D311*SIGN(SUM(G311:G316))*SUM(I311:I316)/6</f>
      </c>
    </row>
    <row r="318" spans="2:9" x14ac:dyDescent="0.25">
      <c r="B318">
        <v>16</v>
      </c>
      <c r="C318" t="s">
        <v>140</v>
      </c>
      <c r="D318">
        <v>-1</v>
      </c>
      <c r="E318" s="17">
        <v>250</v>
      </c>
      <c r="F318" s="17">
        <v>400</v>
      </c>
      <c r="G318">
        <f>E318*F319-E319*F318</f>
      </c>
      <c r="H318">
        <f>(E318+E319)*G318</f>
      </c>
      <c r="I318">
        <f>(F318+F319)*G318</f>
      </c>
    </row>
    <row r="319" spans="2:9" x14ac:dyDescent="0.25">
      <c r="B319">
        <v>16</v>
      </c>
      <c r="C319" t="s">
        <v>140</v>
      </c>
      <c r="D319">
        <v>-1</v>
      </c>
      <c r="E319" s="17">
        <v>450</v>
      </c>
      <c r="F319" s="17">
        <v>400</v>
      </c>
      <c r="G319">
        <f>E319*F320-E320*F319</f>
      </c>
      <c r="H319">
        <f>(E319+E320)*G319</f>
      </c>
      <c r="I319">
        <f>(F319+F320)*G319</f>
      </c>
    </row>
    <row r="320" spans="2:9" x14ac:dyDescent="0.25">
      <c r="B320">
        <v>16</v>
      </c>
      <c r="C320" t="s">
        <v>140</v>
      </c>
      <c r="D320">
        <v>-1</v>
      </c>
      <c r="E320" s="17">
        <v>550</v>
      </c>
      <c r="F320" s="17">
        <v>300</v>
      </c>
      <c r="G320">
        <f>E320*F321-E321*F320</f>
      </c>
      <c r="H320">
        <f>(E320+E321)*G320</f>
      </c>
      <c r="I320">
        <f>(F320+F321)*G320</f>
      </c>
    </row>
    <row r="321" spans="2:9" x14ac:dyDescent="0.25">
      <c r="B321">
        <v>16</v>
      </c>
      <c r="C321" t="s">
        <v>140</v>
      </c>
      <c r="D321">
        <v>-1</v>
      </c>
      <c r="E321" s="17">
        <v>550</v>
      </c>
      <c r="F321" s="17">
        <v>-300</v>
      </c>
      <c r="G321">
        <f>E321*F322-E322*F321</f>
      </c>
      <c r="H321">
        <f>(E321+E322)*G321</f>
      </c>
      <c r="I321">
        <f>(F321+F322)*G321</f>
      </c>
    </row>
    <row r="322" spans="2:9" x14ac:dyDescent="0.25">
      <c r="B322">
        <v>16</v>
      </c>
      <c r="C322" t="s">
        <v>140</v>
      </c>
      <c r="D322">
        <v>-1</v>
      </c>
      <c r="E322" s="17">
        <v>450</v>
      </c>
      <c r="F322" s="17">
        <v>-400</v>
      </c>
      <c r="G322">
        <f>E322*F323-E323*F322</f>
      </c>
      <c r="H322">
        <f>(E322+E323)*G322</f>
      </c>
      <c r="I322">
        <f>(F322+F323)*G322</f>
      </c>
    </row>
    <row r="323" spans="2:9" x14ac:dyDescent="0.25">
      <c r="B323">
        <v>16</v>
      </c>
      <c r="C323" t="s">
        <v>140</v>
      </c>
      <c r="D323">
        <v>-1</v>
      </c>
      <c r="E323" s="17">
        <v>369.18581978284703</v>
      </c>
      <c r="F323" s="17">
        <v>-400</v>
      </c>
      <c r="G323">
        <f>E323*F324-E324*F323</f>
      </c>
      <c r="H323">
        <f>(E323+E324)*G323</f>
      </c>
      <c r="I323">
        <f>(F323+F324)*G323</f>
      </c>
    </row>
    <row r="324" spans="2:9" x14ac:dyDescent="0.25">
      <c r="B324">
        <v>16</v>
      </c>
      <c r="C324" t="s">
        <v>140</v>
      </c>
      <c r="D324">
        <v>-1</v>
      </c>
      <c r="E324" s="17">
        <v>174.9390001348805</v>
      </c>
      <c r="F324" s="17">
        <v>324.9390001348805</v>
      </c>
      <c r="G324">
        <f>E324*F318-E318*F324</f>
      </c>
      <c r="H324">
        <f>(E324+E318)*G324</f>
      </c>
      <c r="I324">
        <f>(F324+F318)*G324</f>
      </c>
    </row>
    <row r="325" spans="2:9" x14ac:dyDescent="0.25">
      <c r="B325">
        <v>16</v>
      </c>
      <c r="C325" t="s">
        <v>176</v>
      </c>
      <c r="G325" s="13">
        <f>D318*ABS(SUM(G318:G324)/2)</f>
      </c>
      <c r="H325" s="13">
        <f>D318*SIGN(SUM(G318:G324))*SUM(H318:H324)/6</f>
      </c>
      <c r="I325" s="13">
        <f>D318*SIGN(SUM(G318:G324))*SUM(I318:I324)/6</f>
      </c>
    </row>
    <row r="326" spans="2:9" x14ac:dyDescent="0.25">
      <c r="B326">
        <v>16</v>
      </c>
      <c r="C326" s="13" t="s">
        <v>177</v>
      </c>
      <c r="G326" s="14">
        <f>G317+G325</f>
      </c>
      <c r="H326" s="14">
        <f>H317+H325</f>
      </c>
      <c r="I326" s="14">
        <f>I317+I325</f>
      </c>
    </row>
    <row r="328" spans="2:9" x14ac:dyDescent="0.25">
      <c r="B328">
        <v>17</v>
      </c>
      <c r="C328" t="s">
        <v>137</v>
      </c>
      <c r="D328">
        <v>1</v>
      </c>
      <c r="E328" s="17">
        <v>452.33725764798146</v>
      </c>
      <c r="F328" s="17">
        <v>-600</v>
      </c>
      <c r="G328">
        <f>E328*F329-E329*F328</f>
      </c>
      <c r="H328">
        <f>(E328+E329)*G328</f>
      </c>
      <c r="I328">
        <f>(F328+F329)*G328</f>
      </c>
    </row>
    <row r="329" spans="2:9" x14ac:dyDescent="0.25">
      <c r="B329">
        <v>17</v>
      </c>
      <c r="C329" t="s">
        <v>137</v>
      </c>
      <c r="D329">
        <v>1</v>
      </c>
      <c r="E329" s="17">
        <v>550</v>
      </c>
      <c r="F329" s="17">
        <v>-600</v>
      </c>
      <c r="G329">
        <f>E329*F330-E330*F329</f>
      </c>
      <c r="H329">
        <f>(E329+E330)*G329</f>
      </c>
      <c r="I329">
        <f>(F329+F330)*G329</f>
      </c>
    </row>
    <row r="330" spans="2:9" x14ac:dyDescent="0.25">
      <c r="B330">
        <v>17</v>
      </c>
      <c r="C330" t="s">
        <v>137</v>
      </c>
      <c r="D330">
        <v>1</v>
      </c>
      <c r="E330" s="17">
        <v>750</v>
      </c>
      <c r="F330" s="17">
        <v>-400</v>
      </c>
      <c r="G330">
        <f>E330*F331-E331*F330</f>
      </c>
      <c r="H330">
        <f>(E330+E331)*G330</f>
      </c>
      <c r="I330">
        <f>(F330+F331)*G330</f>
      </c>
    </row>
    <row r="331" spans="2:9" x14ac:dyDescent="0.25">
      <c r="B331">
        <v>17</v>
      </c>
      <c r="C331" t="s">
        <v>137</v>
      </c>
      <c r="D331">
        <v>1</v>
      </c>
      <c r="E331" s="17">
        <v>750</v>
      </c>
      <c r="F331" s="17">
        <v>400</v>
      </c>
      <c r="G331">
        <f>E331*F332-E332*F331</f>
      </c>
      <c r="H331">
        <f>(E331+E332)*G331</f>
      </c>
      <c r="I331">
        <f>(F331+F332)*G331</f>
      </c>
    </row>
    <row r="332" spans="2:9" x14ac:dyDescent="0.25">
      <c r="B332">
        <v>17</v>
      </c>
      <c r="C332" t="s">
        <v>137</v>
      </c>
      <c r="D332">
        <v>1</v>
      </c>
      <c r="E332" s="17">
        <v>550</v>
      </c>
      <c r="F332" s="17">
        <v>600</v>
      </c>
      <c r="G332">
        <f>E332*F333-E333*F332</f>
      </c>
      <c r="H332">
        <f>(E332+E333)*G332</f>
      </c>
      <c r="I332">
        <f>(F332+F333)*G332</f>
      </c>
    </row>
    <row r="333" spans="2:9" x14ac:dyDescent="0.25">
      <c r="B333">
        <v>17</v>
      </c>
      <c r="C333" t="s">
        <v>137</v>
      </c>
      <c r="D333">
        <v>1</v>
      </c>
      <c r="E333" s="17">
        <v>130.7982267306345</v>
      </c>
      <c r="F333" s="17">
        <v>600</v>
      </c>
      <c r="G333">
        <f>E333*F328-E328*F333</f>
      </c>
      <c r="H333">
        <f>(E333+E328)*G333</f>
      </c>
      <c r="I333">
        <f>(F333+F328)*G333</f>
      </c>
    </row>
    <row r="334" spans="2:9" x14ac:dyDescent="0.25">
      <c r="B334">
        <v>17</v>
      </c>
      <c r="C334" t="s">
        <v>176</v>
      </c>
      <c r="G334" s="13">
        <f>D328*ABS(SUM(G328:G333)/2)</f>
      </c>
      <c r="H334" s="13">
        <f>D328*SIGN(SUM(G328:G333))*SUM(H328:H333)/6</f>
      </c>
      <c r="I334" s="13">
        <f>D328*SIGN(SUM(G328:G333))*SUM(I328:I333)/6</f>
      </c>
    </row>
    <row r="335" spans="2:9" x14ac:dyDescent="0.25">
      <c r="B335">
        <v>17</v>
      </c>
      <c r="C335" t="s">
        <v>140</v>
      </c>
      <c r="D335">
        <v>-1</v>
      </c>
      <c r="E335" s="17">
        <v>250</v>
      </c>
      <c r="F335" s="17">
        <v>400</v>
      </c>
      <c r="G335">
        <f>E335*F336-E336*F335</f>
      </c>
      <c r="H335">
        <f>(E335+E336)*G335</f>
      </c>
      <c r="I335">
        <f>(F335+F336)*G335</f>
      </c>
    </row>
    <row r="336" spans="2:9" x14ac:dyDescent="0.25">
      <c r="B336">
        <v>17</v>
      </c>
      <c r="C336" t="s">
        <v>140</v>
      </c>
      <c r="D336">
        <v>-1</v>
      </c>
      <c r="E336" s="17">
        <v>450</v>
      </c>
      <c r="F336" s="17">
        <v>400</v>
      </c>
      <c r="G336">
        <f>E336*F337-E337*F336</f>
      </c>
      <c r="H336">
        <f>(E336+E337)*G336</f>
      </c>
      <c r="I336">
        <f>(F336+F337)*G336</f>
      </c>
    </row>
    <row r="337" spans="2:9" x14ac:dyDescent="0.25">
      <c r="B337">
        <v>17</v>
      </c>
      <c r="C337" t="s">
        <v>140</v>
      </c>
      <c r="D337">
        <v>-1</v>
      </c>
      <c r="E337" s="17">
        <v>550</v>
      </c>
      <c r="F337" s="17">
        <v>300</v>
      </c>
      <c r="G337">
        <f>E337*F338-E338*F337</f>
      </c>
      <c r="H337">
        <f>(E337+E338)*G337</f>
      </c>
      <c r="I337">
        <f>(F337+F338)*G337</f>
      </c>
    </row>
    <row r="338" spans="2:9" x14ac:dyDescent="0.25">
      <c r="B338">
        <v>17</v>
      </c>
      <c r="C338" t="s">
        <v>140</v>
      </c>
      <c r="D338">
        <v>-1</v>
      </c>
      <c r="E338" s="17">
        <v>550</v>
      </c>
      <c r="F338" s="17">
        <v>-300</v>
      </c>
      <c r="G338">
        <f>E338*F339-E339*F338</f>
      </c>
      <c r="H338">
        <f>(E338+E339)*G338</f>
      </c>
      <c r="I338">
        <f>(F338+F339)*G338</f>
      </c>
    </row>
    <row r="339" spans="2:9" x14ac:dyDescent="0.25">
      <c r="B339">
        <v>17</v>
      </c>
      <c r="C339" t="s">
        <v>140</v>
      </c>
      <c r="D339">
        <v>-1</v>
      </c>
      <c r="E339" s="17">
        <v>450</v>
      </c>
      <c r="F339" s="17">
        <v>-400</v>
      </c>
      <c r="G339">
        <f>E339*F340-E340*F339</f>
      </c>
      <c r="H339">
        <f>(E339+E340)*G339</f>
      </c>
      <c r="I339">
        <f>(F339+F340)*G339</f>
      </c>
    </row>
    <row r="340" spans="2:9" x14ac:dyDescent="0.25">
      <c r="B340">
        <v>17</v>
      </c>
      <c r="C340" t="s">
        <v>140</v>
      </c>
      <c r="D340">
        <v>-1</v>
      </c>
      <c r="E340" s="17">
        <v>398.7474191617569</v>
      </c>
      <c r="F340" s="17">
        <v>-400</v>
      </c>
      <c r="G340">
        <f>E340*F341-E341*F340</f>
      </c>
      <c r="H340">
        <f>(E340+E341)*G340</f>
      </c>
      <c r="I340">
        <f>(F340+F341)*G340</f>
      </c>
    </row>
    <row r="341" spans="2:9" x14ac:dyDescent="0.25">
      <c r="B341">
        <v>17</v>
      </c>
      <c r="C341" t="s">
        <v>140</v>
      </c>
      <c r="D341">
        <v>-1</v>
      </c>
      <c r="E341" s="17">
        <v>198.25349850388017</v>
      </c>
      <c r="F341" s="17">
        <v>348.25349850388017</v>
      </c>
      <c r="G341">
        <f>E341*F335-E335*F341</f>
      </c>
      <c r="H341">
        <f>(E341+E335)*G341</f>
      </c>
      <c r="I341">
        <f>(F341+F335)*G341</f>
      </c>
    </row>
    <row r="342" spans="2:9" x14ac:dyDescent="0.25">
      <c r="B342">
        <v>17</v>
      </c>
      <c r="C342" t="s">
        <v>176</v>
      </c>
      <c r="G342" s="13">
        <f>D335*ABS(SUM(G335:G341)/2)</f>
      </c>
      <c r="H342" s="13">
        <f>D335*SIGN(SUM(G335:G341))*SUM(H335:H341)/6</f>
      </c>
      <c r="I342" s="13">
        <f>D335*SIGN(SUM(G335:G341))*SUM(I335:I341)/6</f>
      </c>
    </row>
    <row r="343" spans="2:9" x14ac:dyDescent="0.25">
      <c r="B343">
        <v>17</v>
      </c>
      <c r="C343" s="13" t="s">
        <v>177</v>
      </c>
      <c r="G343" s="14">
        <f>G334+G342</f>
      </c>
      <c r="H343" s="14">
        <f>H334+H342</f>
      </c>
      <c r="I343" s="14">
        <f>I334+I342</f>
      </c>
    </row>
    <row r="345" spans="2:9" x14ac:dyDescent="0.25">
      <c r="B345">
        <v>18</v>
      </c>
      <c r="C345" t="s">
        <v>137</v>
      </c>
      <c r="D345">
        <v>1</v>
      </c>
      <c r="E345" s="17">
        <v>472.6589882847933</v>
      </c>
      <c r="F345" s="17">
        <v>-600</v>
      </c>
      <c r="G345">
        <f>E345*F346-E346*F345</f>
      </c>
      <c r="H345">
        <f>(E345+E346)*G345</f>
      </c>
      <c r="I345">
        <f>(F345+F346)*G345</f>
      </c>
    </row>
    <row r="346" spans="2:9" x14ac:dyDescent="0.25">
      <c r="B346">
        <v>18</v>
      </c>
      <c r="C346" t="s">
        <v>137</v>
      </c>
      <c r="D346">
        <v>1</v>
      </c>
      <c r="E346" s="17">
        <v>550</v>
      </c>
      <c r="F346" s="17">
        <v>-600</v>
      </c>
      <c r="G346">
        <f>E346*F347-E347*F346</f>
      </c>
      <c r="H346">
        <f>(E346+E347)*G346</f>
      </c>
      <c r="I346">
        <f>(F346+F347)*G346</f>
      </c>
    </row>
    <row r="347" spans="2:9" x14ac:dyDescent="0.25">
      <c r="B347">
        <v>18</v>
      </c>
      <c r="C347" t="s">
        <v>137</v>
      </c>
      <c r="D347">
        <v>1</v>
      </c>
      <c r="E347" s="17">
        <v>750</v>
      </c>
      <c r="F347" s="17">
        <v>-400</v>
      </c>
      <c r="G347">
        <f>E347*F348-E348*F347</f>
      </c>
      <c r="H347">
        <f>(E347+E348)*G347</f>
      </c>
      <c r="I347">
        <f>(F347+F348)*G347</f>
      </c>
    </row>
    <row r="348" spans="2:9" x14ac:dyDescent="0.25">
      <c r="B348">
        <v>18</v>
      </c>
      <c r="C348" t="s">
        <v>137</v>
      </c>
      <c r="D348">
        <v>1</v>
      </c>
      <c r="E348" s="17">
        <v>750</v>
      </c>
      <c r="F348" s="17">
        <v>400</v>
      </c>
      <c r="G348">
        <f>E348*F349-E349*F348</f>
      </c>
      <c r="H348">
        <f>(E348+E349)*G348</f>
      </c>
      <c r="I348">
        <f>(F348+F349)*G348</f>
      </c>
    </row>
    <row r="349" spans="2:9" x14ac:dyDescent="0.25">
      <c r="B349">
        <v>18</v>
      </c>
      <c r="C349" t="s">
        <v>137</v>
      </c>
      <c r="D349">
        <v>1</v>
      </c>
      <c r="E349" s="17">
        <v>550</v>
      </c>
      <c r="F349" s="17">
        <v>600</v>
      </c>
      <c r="G349">
        <f>E349*F350-E350*F349</f>
      </c>
      <c r="H349">
        <f>(E349+E350)*G349</f>
      </c>
      <c r="I349">
        <f>(F349+F350)*G349</f>
      </c>
    </row>
    <row r="350" spans="2:9" x14ac:dyDescent="0.25">
      <c r="B350">
        <v>18</v>
      </c>
      <c r="C350" t="s">
        <v>137</v>
      </c>
      <c r="D350">
        <v>1</v>
      </c>
      <c r="E350" s="17">
        <v>151.11995736744643</v>
      </c>
      <c r="F350" s="17">
        <v>600</v>
      </c>
      <c r="G350">
        <f>E350*F345-E345*F350</f>
      </c>
      <c r="H350">
        <f>(E350+E345)*G350</f>
      </c>
      <c r="I350">
        <f>(F350+F345)*G350</f>
      </c>
    </row>
    <row r="351" spans="2:9" x14ac:dyDescent="0.25">
      <c r="B351">
        <v>18</v>
      </c>
      <c r="C351" t="s">
        <v>176</v>
      </c>
      <c r="G351" s="13">
        <f>D345*ABS(SUM(G345:G350)/2)</f>
      </c>
      <c r="H351" s="13">
        <f>D345*SIGN(SUM(G345:G350))*SUM(H345:H350)/6</f>
      </c>
      <c r="I351" s="13">
        <f>D345*SIGN(SUM(G345:G350))*SUM(I345:I350)/6</f>
      </c>
    </row>
    <row r="352" spans="2:9" x14ac:dyDescent="0.25">
      <c r="B352">
        <v>18</v>
      </c>
      <c r="C352" t="s">
        <v>140</v>
      </c>
      <c r="D352">
        <v>-1</v>
      </c>
      <c r="E352" s="17">
        <v>250</v>
      </c>
      <c r="F352" s="17">
        <v>400</v>
      </c>
      <c r="G352">
        <f>E352*F353-E353*F352</f>
      </c>
      <c r="H352">
        <f>(E352+E353)*G352</f>
      </c>
      <c r="I352">
        <f>(F352+F353)*G352</f>
      </c>
    </row>
    <row r="353" spans="2:9" x14ac:dyDescent="0.25">
      <c r="B353">
        <v>18</v>
      </c>
      <c r="C353" t="s">
        <v>140</v>
      </c>
      <c r="D353">
        <v>-1</v>
      </c>
      <c r="E353" s="17">
        <v>450</v>
      </c>
      <c r="F353" s="17">
        <v>400</v>
      </c>
      <c r="G353">
        <f>E353*F354-E354*F353</f>
      </c>
      <c r="H353">
        <f>(E353+E354)*G353</f>
      </c>
      <c r="I353">
        <f>(F353+F354)*G353</f>
      </c>
    </row>
    <row r="354" spans="2:9" x14ac:dyDescent="0.25">
      <c r="B354">
        <v>18</v>
      </c>
      <c r="C354" t="s">
        <v>140</v>
      </c>
      <c r="D354">
        <v>-1</v>
      </c>
      <c r="E354" s="17">
        <v>550</v>
      </c>
      <c r="F354" s="17">
        <v>300</v>
      </c>
      <c r="G354">
        <f>E354*F355-E355*F354</f>
      </c>
      <c r="H354">
        <f>(E354+E355)*G354</f>
      </c>
      <c r="I354">
        <f>(F354+F355)*G354</f>
      </c>
    </row>
    <row r="355" spans="2:9" x14ac:dyDescent="0.25">
      <c r="B355">
        <v>18</v>
      </c>
      <c r="C355" t="s">
        <v>140</v>
      </c>
      <c r="D355">
        <v>-1</v>
      </c>
      <c r="E355" s="17">
        <v>550</v>
      </c>
      <c r="F355" s="17">
        <v>-300</v>
      </c>
      <c r="G355">
        <f>E355*F356-E356*F355</f>
      </c>
      <c r="H355">
        <f>(E355+E356)*G355</f>
      </c>
      <c r="I355">
        <f>(F355+F356)*G355</f>
      </c>
    </row>
    <row r="356" spans="2:9" x14ac:dyDescent="0.25">
      <c r="B356">
        <v>18</v>
      </c>
      <c r="C356" t="s">
        <v>140</v>
      </c>
      <c r="D356">
        <v>-1</v>
      </c>
      <c r="E356" s="17">
        <v>450</v>
      </c>
      <c r="F356" s="17">
        <v>-400</v>
      </c>
      <c r="G356">
        <f>E356*F357-E357*F356</f>
      </c>
      <c r="H356">
        <f>(E356+E357)*G356</f>
      </c>
      <c r="I356">
        <f>(F356+F357)*G356</f>
      </c>
    </row>
    <row r="357" spans="2:9" x14ac:dyDescent="0.25">
      <c r="B357">
        <v>18</v>
      </c>
      <c r="C357" t="s">
        <v>140</v>
      </c>
      <c r="D357">
        <v>-1</v>
      </c>
      <c r="E357" s="17">
        <v>419.06914979856884</v>
      </c>
      <c r="F357" s="17">
        <v>-400</v>
      </c>
      <c r="G357">
        <f>E357*F358-E358*F357</f>
      </c>
      <c r="H357">
        <f>(E357+E358)*G357</f>
      </c>
      <c r="I357">
        <f>(F357+F358)*G357</f>
      </c>
    </row>
    <row r="358" spans="2:9" x14ac:dyDescent="0.25">
      <c r="B358">
        <v>18</v>
      </c>
      <c r="C358" t="s">
        <v>140</v>
      </c>
      <c r="D358">
        <v>-1</v>
      </c>
      <c r="E358" s="17">
        <v>214.28074214906732</v>
      </c>
      <c r="F358" s="17">
        <v>364.28074214906735</v>
      </c>
      <c r="G358">
        <f>E358*F352-E352*F358</f>
      </c>
      <c r="H358">
        <f>(E358+E352)*G358</f>
      </c>
      <c r="I358">
        <f>(F358+F352)*G358</f>
      </c>
    </row>
    <row r="359" spans="2:9" x14ac:dyDescent="0.25">
      <c r="B359">
        <v>18</v>
      </c>
      <c r="C359" t="s">
        <v>176</v>
      </c>
      <c r="G359" s="13">
        <f>D352*ABS(SUM(G352:G358)/2)</f>
      </c>
      <c r="H359" s="13">
        <f>D352*SIGN(SUM(G352:G358))*SUM(H352:H358)/6</f>
      </c>
      <c r="I359" s="13">
        <f>D352*SIGN(SUM(G352:G358))*SUM(I352:I358)/6</f>
      </c>
    </row>
    <row r="360" spans="2:9" x14ac:dyDescent="0.25">
      <c r="B360">
        <v>18</v>
      </c>
      <c r="C360" s="13" t="s">
        <v>177</v>
      </c>
      <c r="G360" s="14">
        <f>G351+G359</f>
      </c>
      <c r="H360" s="14">
        <f>H351+H359</f>
      </c>
      <c r="I360" s="14">
        <f>I351+I359</f>
      </c>
    </row>
    <row r="362" spans="2:9" x14ac:dyDescent="0.25">
      <c r="B362">
        <v>19</v>
      </c>
      <c r="C362" t="s">
        <v>137</v>
      </c>
      <c r="D362">
        <v>1</v>
      </c>
      <c r="E362" s="17">
        <v>479.1012293254171</v>
      </c>
      <c r="F362" s="17">
        <v>-600</v>
      </c>
      <c r="G362">
        <f>E362*F363-E363*F362</f>
      </c>
      <c r="H362">
        <f>(E362+E363)*G362</f>
      </c>
      <c r="I362">
        <f>(F362+F363)*G362</f>
      </c>
    </row>
    <row r="363" spans="2:9" x14ac:dyDescent="0.25">
      <c r="B363">
        <v>19</v>
      </c>
      <c r="C363" t="s">
        <v>137</v>
      </c>
      <c r="D363">
        <v>1</v>
      </c>
      <c r="E363" s="17">
        <v>550</v>
      </c>
      <c r="F363" s="17">
        <v>-600</v>
      </c>
      <c r="G363">
        <f>E363*F364-E364*F363</f>
      </c>
      <c r="H363">
        <f>(E363+E364)*G363</f>
      </c>
      <c r="I363">
        <f>(F363+F364)*G363</f>
      </c>
    </row>
    <row r="364" spans="2:9" x14ac:dyDescent="0.25">
      <c r="B364">
        <v>19</v>
      </c>
      <c r="C364" t="s">
        <v>137</v>
      </c>
      <c r="D364">
        <v>1</v>
      </c>
      <c r="E364" s="17">
        <v>750</v>
      </c>
      <c r="F364" s="17">
        <v>-400</v>
      </c>
      <c r="G364">
        <f>E364*F365-E365*F364</f>
      </c>
      <c r="H364">
        <f>(E364+E365)*G364</f>
      </c>
      <c r="I364">
        <f>(F364+F365)*G364</f>
      </c>
    </row>
    <row r="365" spans="2:9" x14ac:dyDescent="0.25">
      <c r="B365">
        <v>19</v>
      </c>
      <c r="C365" t="s">
        <v>137</v>
      </c>
      <c r="D365">
        <v>1</v>
      </c>
      <c r="E365" s="17">
        <v>750</v>
      </c>
      <c r="F365" s="17">
        <v>400</v>
      </c>
      <c r="G365">
        <f>E365*F366-E366*F365</f>
      </c>
      <c r="H365">
        <f>(E365+E366)*G365</f>
      </c>
      <c r="I365">
        <f>(F365+F366)*G365</f>
      </c>
    </row>
    <row r="366" spans="2:9" x14ac:dyDescent="0.25">
      <c r="B366">
        <v>19</v>
      </c>
      <c r="C366" t="s">
        <v>137</v>
      </c>
      <c r="D366">
        <v>1</v>
      </c>
      <c r="E366" s="17">
        <v>550</v>
      </c>
      <c r="F366" s="17">
        <v>600</v>
      </c>
      <c r="G366">
        <f>E366*F367-E367*F366</f>
      </c>
      <c r="H366">
        <f>(E366+E367)*G366</f>
      </c>
      <c r="I366">
        <f>(F366+F367)*G366</f>
      </c>
    </row>
    <row r="367" spans="2:9" x14ac:dyDescent="0.25">
      <c r="B367">
        <v>19</v>
      </c>
      <c r="C367" t="s">
        <v>137</v>
      </c>
      <c r="D367">
        <v>1</v>
      </c>
      <c r="E367" s="17">
        <v>157.56219840807023</v>
      </c>
      <c r="F367" s="17">
        <v>600</v>
      </c>
      <c r="G367">
        <f>E367*F362-E362*F367</f>
      </c>
      <c r="H367">
        <f>(E367+E362)*G367</f>
      </c>
      <c r="I367">
        <f>(F367+F362)*G367</f>
      </c>
    </row>
    <row r="368" spans="2:9" x14ac:dyDescent="0.25">
      <c r="B368">
        <v>19</v>
      </c>
      <c r="C368" t="s">
        <v>176</v>
      </c>
      <c r="G368" s="13">
        <f>D362*ABS(SUM(G362:G367)/2)</f>
      </c>
      <c r="H368" s="13">
        <f>D362*SIGN(SUM(G362:G367))*SUM(H362:H367)/6</f>
      </c>
      <c r="I368" s="13">
        <f>D362*SIGN(SUM(G362:G367))*SUM(I362:I367)/6</f>
      </c>
    </row>
    <row r="369" spans="2:9" x14ac:dyDescent="0.25">
      <c r="B369">
        <v>19</v>
      </c>
      <c r="C369" t="s">
        <v>140</v>
      </c>
      <c r="D369">
        <v>-1</v>
      </c>
      <c r="E369" s="17">
        <v>250</v>
      </c>
      <c r="F369" s="17">
        <v>400</v>
      </c>
      <c r="G369">
        <f>E369*F370-E370*F369</f>
      </c>
      <c r="H369">
        <f>(E369+E370)*G369</f>
      </c>
      <c r="I369">
        <f>(F369+F370)*G369</f>
      </c>
    </row>
    <row r="370" spans="2:9" x14ac:dyDescent="0.25">
      <c r="B370">
        <v>19</v>
      </c>
      <c r="C370" t="s">
        <v>140</v>
      </c>
      <c r="D370">
        <v>-1</v>
      </c>
      <c r="E370" s="17">
        <v>450</v>
      </c>
      <c r="F370" s="17">
        <v>400</v>
      </c>
      <c r="G370">
        <f>E370*F371-E371*F370</f>
      </c>
      <c r="H370">
        <f>(E370+E371)*G370</f>
      </c>
      <c r="I370">
        <f>(F370+F371)*G370</f>
      </c>
    </row>
    <row r="371" spans="2:9" x14ac:dyDescent="0.25">
      <c r="B371">
        <v>19</v>
      </c>
      <c r="C371" t="s">
        <v>140</v>
      </c>
      <c r="D371">
        <v>-1</v>
      </c>
      <c r="E371" s="17">
        <v>550</v>
      </c>
      <c r="F371" s="17">
        <v>300</v>
      </c>
      <c r="G371">
        <f>E371*F372-E372*F371</f>
      </c>
      <c r="H371">
        <f>(E371+E372)*G371</f>
      </c>
      <c r="I371">
        <f>(F371+F372)*G371</f>
      </c>
    </row>
    <row r="372" spans="2:9" x14ac:dyDescent="0.25">
      <c r="B372">
        <v>19</v>
      </c>
      <c r="C372" t="s">
        <v>140</v>
      </c>
      <c r="D372">
        <v>-1</v>
      </c>
      <c r="E372" s="17">
        <v>550</v>
      </c>
      <c r="F372" s="17">
        <v>-300</v>
      </c>
      <c r="G372">
        <f>E372*F373-E373*F372</f>
      </c>
      <c r="H372">
        <f>(E372+E373)*G372</f>
      </c>
      <c r="I372">
        <f>(F372+F373)*G372</f>
      </c>
    </row>
    <row r="373" spans="2:9" x14ac:dyDescent="0.25">
      <c r="B373">
        <v>19</v>
      </c>
      <c r="C373" t="s">
        <v>140</v>
      </c>
      <c r="D373">
        <v>-1</v>
      </c>
      <c r="E373" s="17">
        <v>450</v>
      </c>
      <c r="F373" s="17">
        <v>-400</v>
      </c>
      <c r="G373">
        <f>E373*F374-E374*F373</f>
      </c>
      <c r="H373">
        <f>(E373+E374)*G373</f>
      </c>
      <c r="I373">
        <f>(F373+F374)*G373</f>
      </c>
    </row>
    <row r="374" spans="2:9" x14ac:dyDescent="0.25">
      <c r="B374">
        <v>19</v>
      </c>
      <c r="C374" t="s">
        <v>140</v>
      </c>
      <c r="D374">
        <v>-1</v>
      </c>
      <c r="E374" s="17">
        <v>425.5113908391927</v>
      </c>
      <c r="F374" s="17">
        <v>-400</v>
      </c>
      <c r="G374">
        <f>E374*F375-E375*F374</f>
      </c>
      <c r="H374">
        <f>(E374+E375)*G374</f>
      </c>
      <c r="I374">
        <f>(F374+F375)*G374</f>
      </c>
    </row>
    <row r="375" spans="2:9" x14ac:dyDescent="0.25">
      <c r="B375">
        <v>19</v>
      </c>
      <c r="C375" t="s">
        <v>140</v>
      </c>
      <c r="D375">
        <v>-1</v>
      </c>
      <c r="E375" s="17">
        <v>219.36157746887358</v>
      </c>
      <c r="F375" s="17">
        <v>369.3615774688736</v>
      </c>
      <c r="G375">
        <f>E375*F369-E369*F375</f>
      </c>
      <c r="H375">
        <f>(E375+E369)*G375</f>
      </c>
      <c r="I375">
        <f>(F375+F369)*G375</f>
      </c>
    </row>
    <row r="376" spans="2:9" x14ac:dyDescent="0.25">
      <c r="B376">
        <v>19</v>
      </c>
      <c r="C376" t="s">
        <v>176</v>
      </c>
      <c r="G376" s="13">
        <f>D369*ABS(SUM(G369:G375)/2)</f>
      </c>
      <c r="H376" s="13">
        <f>D369*SIGN(SUM(G369:G375))*SUM(H369:H375)/6</f>
      </c>
      <c r="I376" s="13">
        <f>D369*SIGN(SUM(G369:G375))*SUM(I369:I375)/6</f>
      </c>
    </row>
    <row r="377" spans="2:9" x14ac:dyDescent="0.25">
      <c r="B377">
        <v>19</v>
      </c>
      <c r="C377" s="13" t="s">
        <v>177</v>
      </c>
      <c r="G377" s="14">
        <f>G368+G376</f>
      </c>
      <c r="H377" s="14">
        <f>H368+H376</f>
      </c>
      <c r="I377" s="14">
        <f>I368+I376</f>
      </c>
    </row>
    <row r="379" spans="2:9" x14ac:dyDescent="0.25">
      <c r="B379">
        <v>20</v>
      </c>
      <c r="C379" t="s">
        <v>137</v>
      </c>
      <c r="D379">
        <v>1</v>
      </c>
      <c r="E379" s="17">
        <v>503.4467698271808</v>
      </c>
      <c r="F379" s="17">
        <v>-600</v>
      </c>
      <c r="G379">
        <f>E379*F380-E380*F379</f>
      </c>
      <c r="H379">
        <f>(E379+E380)*G379</f>
      </c>
      <c r="I379">
        <f>(F379+F380)*G379</f>
      </c>
    </row>
    <row r="380" spans="2:9" x14ac:dyDescent="0.25">
      <c r="B380">
        <v>20</v>
      </c>
      <c r="C380" t="s">
        <v>137</v>
      </c>
      <c r="D380">
        <v>1</v>
      </c>
      <c r="E380" s="17">
        <v>550</v>
      </c>
      <c r="F380" s="17">
        <v>-600</v>
      </c>
      <c r="G380">
        <f>E380*F381-E381*F380</f>
      </c>
      <c r="H380">
        <f>(E380+E381)*G380</f>
      </c>
      <c r="I380">
        <f>(F380+F381)*G380</f>
      </c>
    </row>
    <row r="381" spans="2:9" x14ac:dyDescent="0.25">
      <c r="B381">
        <v>20</v>
      </c>
      <c r="C381" t="s">
        <v>137</v>
      </c>
      <c r="D381">
        <v>1</v>
      </c>
      <c r="E381" s="17">
        <v>750</v>
      </c>
      <c r="F381" s="17">
        <v>-400</v>
      </c>
      <c r="G381">
        <f>E381*F382-E382*F381</f>
      </c>
      <c r="H381">
        <f>(E381+E382)*G381</f>
      </c>
      <c r="I381">
        <f>(F381+F382)*G381</f>
      </c>
    </row>
    <row r="382" spans="2:9" x14ac:dyDescent="0.25">
      <c r="B382">
        <v>20</v>
      </c>
      <c r="C382" t="s">
        <v>137</v>
      </c>
      <c r="D382">
        <v>1</v>
      </c>
      <c r="E382" s="17">
        <v>750</v>
      </c>
      <c r="F382" s="17">
        <v>400</v>
      </c>
      <c r="G382">
        <f>E382*F383-E383*F382</f>
      </c>
      <c r="H382">
        <f>(E382+E383)*G382</f>
      </c>
      <c r="I382">
        <f>(F382+F383)*G382</f>
      </c>
    </row>
    <row r="383" spans="2:9" x14ac:dyDescent="0.25">
      <c r="B383">
        <v>20</v>
      </c>
      <c r="C383" t="s">
        <v>137</v>
      </c>
      <c r="D383">
        <v>1</v>
      </c>
      <c r="E383" s="17">
        <v>550</v>
      </c>
      <c r="F383" s="17">
        <v>600</v>
      </c>
      <c r="G383">
        <f>E383*F384-E384*F383</f>
      </c>
      <c r="H383">
        <f>(E383+E384)*G383</f>
      </c>
      <c r="I383">
        <f>(F383+F384)*G383</f>
      </c>
    </row>
    <row r="384" spans="2:9" x14ac:dyDescent="0.25">
      <c r="B384">
        <v>20</v>
      </c>
      <c r="C384" t="s">
        <v>137</v>
      </c>
      <c r="D384">
        <v>1</v>
      </c>
      <c r="E384" s="17">
        <v>181.90773890983394</v>
      </c>
      <c r="F384" s="17">
        <v>600</v>
      </c>
      <c r="G384">
        <f>E384*F379-E379*F384</f>
      </c>
      <c r="H384">
        <f>(E384+E379)*G384</f>
      </c>
      <c r="I384">
        <f>(F384+F379)*G384</f>
      </c>
    </row>
    <row r="385" spans="2:9" x14ac:dyDescent="0.25">
      <c r="B385">
        <v>20</v>
      </c>
      <c r="C385" t="s">
        <v>176</v>
      </c>
      <c r="G385" s="13">
        <f>D379*ABS(SUM(G379:G384)/2)</f>
      </c>
      <c r="H385" s="13">
        <f>D379*SIGN(SUM(G379:G384))*SUM(H379:H384)/6</f>
      </c>
      <c r="I385" s="13">
        <f>D379*SIGN(SUM(G379:G384))*SUM(I379:I384)/6</f>
      </c>
    </row>
    <row r="386" spans="2:9" x14ac:dyDescent="0.25">
      <c r="B386">
        <v>20</v>
      </c>
      <c r="C386" t="s">
        <v>140</v>
      </c>
      <c r="D386">
        <v>-1</v>
      </c>
      <c r="E386" s="17">
        <v>250</v>
      </c>
      <c r="F386" s="17">
        <v>400</v>
      </c>
      <c r="G386">
        <f>E386*F387-E387*F386</f>
      </c>
      <c r="H386">
        <f>(E386+E387)*G386</f>
      </c>
      <c r="I386">
        <f>(F386+F387)*G386</f>
      </c>
    </row>
    <row r="387" spans="2:9" x14ac:dyDescent="0.25">
      <c r="B387">
        <v>20</v>
      </c>
      <c r="C387" t="s">
        <v>140</v>
      </c>
      <c r="D387">
        <v>-1</v>
      </c>
      <c r="E387" s="17">
        <v>450</v>
      </c>
      <c r="F387" s="17">
        <v>400</v>
      </c>
      <c r="G387">
        <f>E387*F388-E388*F387</f>
      </c>
      <c r="H387">
        <f>(E387+E388)*G387</f>
      </c>
      <c r="I387">
        <f>(F387+F388)*G387</f>
      </c>
    </row>
    <row r="388" spans="2:9" x14ac:dyDescent="0.25">
      <c r="B388">
        <v>20</v>
      </c>
      <c r="C388" t="s">
        <v>140</v>
      </c>
      <c r="D388">
        <v>-1</v>
      </c>
      <c r="E388" s="17">
        <v>550</v>
      </c>
      <c r="F388" s="17">
        <v>300</v>
      </c>
      <c r="G388">
        <f>E388*F389-E389*F388</f>
      </c>
      <c r="H388">
        <f>(E388+E389)*G388</f>
      </c>
      <c r="I388">
        <f>(F388+F389)*G388</f>
      </c>
    </row>
    <row r="389" spans="2:9" x14ac:dyDescent="0.25">
      <c r="B389">
        <v>20</v>
      </c>
      <c r="C389" t="s">
        <v>140</v>
      </c>
      <c r="D389">
        <v>-1</v>
      </c>
      <c r="E389" s="17">
        <v>550</v>
      </c>
      <c r="F389" s="17">
        <v>-300</v>
      </c>
      <c r="G389">
        <f>E389*F390-E390*F389</f>
      </c>
      <c r="H389">
        <f>(E389+E390)*G389</f>
      </c>
      <c r="I389">
        <f>(F389+F390)*G389</f>
      </c>
    </row>
    <row r="390" spans="2:9" x14ac:dyDescent="0.25">
      <c r="B390">
        <v>20</v>
      </c>
      <c r="C390" t="s">
        <v>140</v>
      </c>
      <c r="D390">
        <v>-1</v>
      </c>
      <c r="E390" s="17">
        <v>450</v>
      </c>
      <c r="F390" s="17">
        <v>-400</v>
      </c>
      <c r="G390">
        <f>E390*F391-E391*F390</f>
      </c>
      <c r="H390">
        <f>(E390+E391)*G390</f>
      </c>
      <c r="I390">
        <f>(F390+F391)*G390</f>
      </c>
    </row>
    <row r="391" spans="2:9" x14ac:dyDescent="0.25">
      <c r="B391">
        <v>20</v>
      </c>
      <c r="C391" t="s">
        <v>140</v>
      </c>
      <c r="D391">
        <v>-1</v>
      </c>
      <c r="E391" s="17">
        <v>449.85693134095635</v>
      </c>
      <c r="F391" s="17">
        <v>-400</v>
      </c>
      <c r="G391">
        <f>E391*F392-E392*F391</f>
      </c>
      <c r="H391">
        <f>(E391+E392)*G391</f>
      </c>
      <c r="I391">
        <f>(F391+F392)*G391</f>
      </c>
    </row>
    <row r="392" spans="2:9" x14ac:dyDescent="0.25">
      <c r="B392">
        <v>20</v>
      </c>
      <c r="C392" t="s">
        <v>140</v>
      </c>
      <c r="D392">
        <v>-1</v>
      </c>
      <c r="E392" s="17">
        <v>238.56229990088553</v>
      </c>
      <c r="F392" s="17">
        <v>388.56229990088553</v>
      </c>
      <c r="G392">
        <f>E392*F386-E386*F392</f>
      </c>
      <c r="H392">
        <f>(E392+E386)*G392</f>
      </c>
      <c r="I392">
        <f>(F392+F386)*G392</f>
      </c>
    </row>
    <row r="393" spans="2:9" x14ac:dyDescent="0.25">
      <c r="B393">
        <v>20</v>
      </c>
      <c r="C393" t="s">
        <v>176</v>
      </c>
      <c r="G393" s="13">
        <f>D386*ABS(SUM(G386:G392)/2)</f>
      </c>
      <c r="H393" s="13">
        <f>D386*SIGN(SUM(G386:G392))*SUM(H386:H392)/6</f>
      </c>
      <c r="I393" s="13">
        <f>D386*SIGN(SUM(G386:G392))*SUM(I386:I392)/6</f>
      </c>
    </row>
    <row r="394" spans="2:9" x14ac:dyDescent="0.25">
      <c r="B394">
        <v>20</v>
      </c>
      <c r="C394" s="13" t="s">
        <v>177</v>
      </c>
      <c r="G394" s="14">
        <f>G385+G393</f>
      </c>
      <c r="H394" s="14">
        <f>H385+H393</f>
      </c>
      <c r="I394" s="14">
        <f>I385+I393</f>
      </c>
    </row>
    <row r="396" spans="2:9" x14ac:dyDescent="0.25">
      <c r="B396">
        <v>21</v>
      </c>
      <c r="C396" t="s">
        <v>137</v>
      </c>
      <c r="D396">
        <v>1</v>
      </c>
      <c r="E396" s="17">
        <v>509.5965840553981</v>
      </c>
      <c r="F396" s="17">
        <v>-600</v>
      </c>
      <c r="G396">
        <f>E396*F397-E397*F396</f>
      </c>
      <c r="H396">
        <f>(E396+E397)*G396</f>
      </c>
      <c r="I396">
        <f>(F396+F397)*G396</f>
      </c>
    </row>
    <row r="397" spans="2:9" x14ac:dyDescent="0.25">
      <c r="B397">
        <v>21</v>
      </c>
      <c r="C397" t="s">
        <v>137</v>
      </c>
      <c r="D397">
        <v>1</v>
      </c>
      <c r="E397" s="17">
        <v>550</v>
      </c>
      <c r="F397" s="17">
        <v>-600</v>
      </c>
      <c r="G397">
        <f>E397*F398-E398*F397</f>
      </c>
      <c r="H397">
        <f>(E397+E398)*G397</f>
      </c>
      <c r="I397">
        <f>(F397+F398)*G397</f>
      </c>
    </row>
    <row r="398" spans="2:9" x14ac:dyDescent="0.25">
      <c r="B398">
        <v>21</v>
      </c>
      <c r="C398" t="s">
        <v>137</v>
      </c>
      <c r="D398">
        <v>1</v>
      </c>
      <c r="E398" s="17">
        <v>750</v>
      </c>
      <c r="F398" s="17">
        <v>-400</v>
      </c>
      <c r="G398">
        <f>E398*F399-E399*F398</f>
      </c>
      <c r="H398">
        <f>(E398+E399)*G398</f>
      </c>
      <c r="I398">
        <f>(F398+F399)*G398</f>
      </c>
    </row>
    <row r="399" spans="2:9" x14ac:dyDescent="0.25">
      <c r="B399">
        <v>21</v>
      </c>
      <c r="C399" t="s">
        <v>137</v>
      </c>
      <c r="D399">
        <v>1</v>
      </c>
      <c r="E399" s="17">
        <v>750</v>
      </c>
      <c r="F399" s="17">
        <v>400</v>
      </c>
      <c r="G399">
        <f>E399*F400-E400*F399</f>
      </c>
      <c r="H399">
        <f>(E399+E400)*G399</f>
      </c>
      <c r="I399">
        <f>(F399+F400)*G399</f>
      </c>
    </row>
    <row r="400" spans="2:9" x14ac:dyDescent="0.25">
      <c r="B400">
        <v>21</v>
      </c>
      <c r="C400" t="s">
        <v>137</v>
      </c>
      <c r="D400">
        <v>1</v>
      </c>
      <c r="E400" s="17">
        <v>550</v>
      </c>
      <c r="F400" s="17">
        <v>600</v>
      </c>
      <c r="G400">
        <f>E400*F401-E401*F400</f>
      </c>
      <c r="H400">
        <f>(E400+E401)*G400</f>
      </c>
      <c r="I400">
        <f>(F400+F401)*G400</f>
      </c>
    </row>
    <row r="401" spans="2:9" x14ac:dyDescent="0.25">
      <c r="B401">
        <v>21</v>
      </c>
      <c r="C401" t="s">
        <v>137</v>
      </c>
      <c r="D401">
        <v>1</v>
      </c>
      <c r="E401" s="17">
        <v>188.05755313805105</v>
      </c>
      <c r="F401" s="17">
        <v>600</v>
      </c>
      <c r="G401">
        <f>E401*F396-E396*F401</f>
      </c>
      <c r="H401">
        <f>(E401+E396)*G401</f>
      </c>
      <c r="I401">
        <f>(F401+F396)*G401</f>
      </c>
    </row>
    <row r="402" spans="2:9" x14ac:dyDescent="0.25">
      <c r="B402">
        <v>21</v>
      </c>
      <c r="C402" t="s">
        <v>176</v>
      </c>
      <c r="G402" s="13">
        <f>D396*ABS(SUM(G396:G401)/2)</f>
      </c>
      <c r="H402" s="13">
        <f>D396*SIGN(SUM(G396:G401))*SUM(H396:H401)/6</f>
      </c>
      <c r="I402" s="13">
        <f>D396*SIGN(SUM(G396:G401))*SUM(I396:I401)/6</f>
      </c>
    </row>
    <row r="403" spans="2:9" x14ac:dyDescent="0.25">
      <c r="B403">
        <v>21</v>
      </c>
      <c r="C403" t="s">
        <v>140</v>
      </c>
      <c r="D403">
        <v>-1</v>
      </c>
      <c r="E403" s="17">
        <v>250</v>
      </c>
      <c r="F403" s="17">
        <v>400</v>
      </c>
      <c r="G403">
        <f>E403*F404-E404*F403</f>
      </c>
      <c r="H403">
        <f>(E403+E404)*G403</f>
      </c>
      <c r="I403">
        <f>(F403+F404)*G403</f>
      </c>
    </row>
    <row r="404" spans="2:9" x14ac:dyDescent="0.25">
      <c r="B404">
        <v>21</v>
      </c>
      <c r="C404" t="s">
        <v>140</v>
      </c>
      <c r="D404">
        <v>-1</v>
      </c>
      <c r="E404" s="17">
        <v>450</v>
      </c>
      <c r="F404" s="17">
        <v>400</v>
      </c>
      <c r="G404">
        <f>E404*F405-E405*F404</f>
      </c>
      <c r="H404">
        <f>(E404+E405)*G404</f>
      </c>
      <c r="I404">
        <f>(F404+F405)*G404</f>
      </c>
    </row>
    <row r="405" spans="2:9" x14ac:dyDescent="0.25">
      <c r="B405">
        <v>21</v>
      </c>
      <c r="C405" t="s">
        <v>140</v>
      </c>
      <c r="D405">
        <v>-1</v>
      </c>
      <c r="E405" s="17">
        <v>550</v>
      </c>
      <c r="F405" s="17">
        <v>300</v>
      </c>
      <c r="G405">
        <f>E405*F406-E406*F405</f>
      </c>
      <c r="H405">
        <f>(E405+E406)*G405</f>
      </c>
      <c r="I405">
        <f>(F405+F406)*G405</f>
      </c>
    </row>
    <row r="406" spans="2:9" x14ac:dyDescent="0.25">
      <c r="B406">
        <v>21</v>
      </c>
      <c r="C406" t="s">
        <v>140</v>
      </c>
      <c r="D406">
        <v>-1</v>
      </c>
      <c r="E406" s="17">
        <v>550</v>
      </c>
      <c r="F406" s="17">
        <v>-300</v>
      </c>
      <c r="G406">
        <f>E406*F407-E407*F406</f>
      </c>
      <c r="H406">
        <f>(E406+E407)*G406</f>
      </c>
      <c r="I406">
        <f>(F406+F407)*G406</f>
      </c>
    </row>
    <row r="407" spans="2:9" x14ac:dyDescent="0.25">
      <c r="B407">
        <v>21</v>
      </c>
      <c r="C407" t="s">
        <v>140</v>
      </c>
      <c r="D407">
        <v>-1</v>
      </c>
      <c r="E407" s="17">
        <v>454.7373708702447</v>
      </c>
      <c r="F407" s="17">
        <v>-395.2626291297553</v>
      </c>
      <c r="G407">
        <f>E407*F408-E408*F407</f>
      </c>
      <c r="H407">
        <f>(E407+E408)*G407</f>
      </c>
      <c r="I407">
        <f>(F407+F408)*G407</f>
      </c>
    </row>
    <row r="408" spans="2:9" x14ac:dyDescent="0.25">
      <c r="B408">
        <v>21</v>
      </c>
      <c r="C408" t="s">
        <v>140</v>
      </c>
      <c r="D408">
        <v>-1</v>
      </c>
      <c r="E408" s="17">
        <v>243.41250546505773</v>
      </c>
      <c r="F408" s="17">
        <v>393.41250546505773</v>
      </c>
      <c r="G408">
        <f>E408*F403-E403*F408</f>
      </c>
      <c r="H408">
        <f>(E408+E403)*G408</f>
      </c>
      <c r="I408">
        <f>(F408+F403)*G408</f>
      </c>
    </row>
    <row r="409" spans="2:9" x14ac:dyDescent="0.25">
      <c r="B409">
        <v>21</v>
      </c>
      <c r="C409" t="s">
        <v>176</v>
      </c>
      <c r="G409" s="13">
        <f>D403*ABS(SUM(G403:G408)/2)</f>
      </c>
      <c r="H409" s="13">
        <f>D403*SIGN(SUM(G403:G408))*SUM(H403:H408)/6</f>
      </c>
      <c r="I409" s="13">
        <f>D403*SIGN(SUM(G403:G408))*SUM(I403:I408)/6</f>
      </c>
    </row>
    <row r="410" spans="2:9" x14ac:dyDescent="0.25">
      <c r="B410">
        <v>21</v>
      </c>
      <c r="C410" s="13" t="s">
        <v>177</v>
      </c>
      <c r="G410" s="14">
        <f>G402+G409</f>
      </c>
      <c r="H410" s="14">
        <f>H402+H409</f>
      </c>
      <c r="I410" s="14">
        <f>I402+I409</f>
      </c>
    </row>
    <row r="412" spans="2:9" x14ac:dyDescent="0.25">
      <c r="B412">
        <v>22</v>
      </c>
      <c r="C412" t="s">
        <v>137</v>
      </c>
      <c r="D412">
        <v>1</v>
      </c>
      <c r="E412" s="17">
        <v>544.0320516547317</v>
      </c>
      <c r="F412" s="17">
        <v>-600</v>
      </c>
      <c r="G412">
        <f>E412*F413-E413*F412</f>
      </c>
      <c r="H412">
        <f>(E412+E413)*G412</f>
      </c>
      <c r="I412">
        <f>(F412+F413)*G412</f>
      </c>
    </row>
    <row r="413" spans="2:9" x14ac:dyDescent="0.25">
      <c r="B413">
        <v>22</v>
      </c>
      <c r="C413" t="s">
        <v>137</v>
      </c>
      <c r="D413">
        <v>1</v>
      </c>
      <c r="E413" s="17">
        <v>550</v>
      </c>
      <c r="F413" s="17">
        <v>-600</v>
      </c>
      <c r="G413">
        <f>E413*F414-E414*F413</f>
      </c>
      <c r="H413">
        <f>(E413+E414)*G413</f>
      </c>
      <c r="I413">
        <f>(F413+F414)*G413</f>
      </c>
    </row>
    <row r="414" spans="2:9" x14ac:dyDescent="0.25">
      <c r="B414">
        <v>22</v>
      </c>
      <c r="C414" t="s">
        <v>137</v>
      </c>
      <c r="D414">
        <v>1</v>
      </c>
      <c r="E414" s="17">
        <v>750</v>
      </c>
      <c r="F414" s="17">
        <v>-400</v>
      </c>
      <c r="G414">
        <f>E414*F415-E415*F414</f>
      </c>
      <c r="H414">
        <f>(E414+E415)*G414</f>
      </c>
      <c r="I414">
        <f>(F414+F415)*G414</f>
      </c>
    </row>
    <row r="415" spans="2:9" x14ac:dyDescent="0.25">
      <c r="B415">
        <v>22</v>
      </c>
      <c r="C415" t="s">
        <v>137</v>
      </c>
      <c r="D415">
        <v>1</v>
      </c>
      <c r="E415" s="17">
        <v>750</v>
      </c>
      <c r="F415" s="17">
        <v>400</v>
      </c>
      <c r="G415">
        <f>E415*F416-E416*F415</f>
      </c>
      <c r="H415">
        <f>(E415+E416)*G415</f>
      </c>
      <c r="I415">
        <f>(F415+F416)*G415</f>
      </c>
    </row>
    <row r="416" spans="2:9" x14ac:dyDescent="0.25">
      <c r="B416">
        <v>22</v>
      </c>
      <c r="C416" t="s">
        <v>137</v>
      </c>
      <c r="D416">
        <v>1</v>
      </c>
      <c r="E416" s="17">
        <v>550</v>
      </c>
      <c r="F416" s="17">
        <v>600</v>
      </c>
      <c r="G416">
        <f>E416*F417-E417*F416</f>
      </c>
      <c r="H416">
        <f>(E416+E417)*G416</f>
      </c>
      <c r="I416">
        <f>(F416+F417)*G416</f>
      </c>
    </row>
    <row r="417" spans="2:9" x14ac:dyDescent="0.25">
      <c r="B417">
        <v>22</v>
      </c>
      <c r="C417" t="s">
        <v>137</v>
      </c>
      <c r="D417">
        <v>1</v>
      </c>
      <c r="E417" s="17">
        <v>222.4930207373847</v>
      </c>
      <c r="F417" s="17">
        <v>600</v>
      </c>
      <c r="G417">
        <f>E417*F412-E412*F417</f>
      </c>
      <c r="H417">
        <f>(E417+E412)*G417</f>
      </c>
      <c r="I417">
        <f>(F417+F412)*G417</f>
      </c>
    </row>
    <row r="418" spans="2:9" x14ac:dyDescent="0.25">
      <c r="B418">
        <v>22</v>
      </c>
      <c r="C418" t="s">
        <v>176</v>
      </c>
      <c r="G418" s="13">
        <f>D412*ABS(SUM(G412:G417)/2)</f>
      </c>
      <c r="H418" s="13">
        <f>D412*SIGN(SUM(G412:G417))*SUM(H412:H417)/6</f>
      </c>
      <c r="I418" s="13">
        <f>D412*SIGN(SUM(G412:G417))*SUM(I412:I417)/6</f>
      </c>
    </row>
    <row r="419" spans="2:9" x14ac:dyDescent="0.25">
      <c r="B419">
        <v>22</v>
      </c>
      <c r="C419" t="s">
        <v>140</v>
      </c>
      <c r="D419">
        <v>-1</v>
      </c>
      <c r="E419" s="17">
        <v>276.08285922360926</v>
      </c>
      <c r="F419" s="17">
        <v>400</v>
      </c>
      <c r="G419">
        <f>E419*F420-E420*F419</f>
      </c>
      <c r="H419">
        <f>(E419+E420)*G419</f>
      </c>
      <c r="I419">
        <f>(F419+F420)*G419</f>
      </c>
    </row>
    <row r="420" spans="2:9" x14ac:dyDescent="0.25">
      <c r="B420">
        <v>22</v>
      </c>
      <c r="C420" t="s">
        <v>140</v>
      </c>
      <c r="D420">
        <v>-1</v>
      </c>
      <c r="E420" s="17">
        <v>450</v>
      </c>
      <c r="F420" s="17">
        <v>400</v>
      </c>
      <c r="G420">
        <f>E420*F421-E421*F420</f>
      </c>
      <c r="H420">
        <f>(E420+E421)*G420</f>
      </c>
      <c r="I420">
        <f>(F420+F421)*G420</f>
      </c>
    </row>
    <row r="421" spans="2:9" x14ac:dyDescent="0.25">
      <c r="B421">
        <v>22</v>
      </c>
      <c r="C421" t="s">
        <v>140</v>
      </c>
      <c r="D421">
        <v>-1</v>
      </c>
      <c r="E421" s="17">
        <v>550</v>
      </c>
      <c r="F421" s="17">
        <v>300</v>
      </c>
      <c r="G421">
        <f>E421*F422-E422*F421</f>
      </c>
      <c r="H421">
        <f>(E421+E422)*G421</f>
      </c>
      <c r="I421">
        <f>(F421+F422)*G421</f>
      </c>
    </row>
    <row r="422" spans="2:9" x14ac:dyDescent="0.25">
      <c r="B422">
        <v>22</v>
      </c>
      <c r="C422" t="s">
        <v>140</v>
      </c>
      <c r="D422">
        <v>-1</v>
      </c>
      <c r="E422" s="17">
        <v>550</v>
      </c>
      <c r="F422" s="17">
        <v>-300</v>
      </c>
      <c r="G422">
        <f>E422*F423-E423*F422</f>
      </c>
      <c r="H422">
        <f>(E422+E423)*G422</f>
      </c>
      <c r="I422">
        <f>(F422+F423)*G422</f>
      </c>
    </row>
    <row r="423" spans="2:9" x14ac:dyDescent="0.25">
      <c r="B423">
        <v>22</v>
      </c>
      <c r="C423" t="s">
        <v>140</v>
      </c>
      <c r="D423">
        <v>-1</v>
      </c>
      <c r="E423" s="17">
        <v>481.8957679139845</v>
      </c>
      <c r="F423" s="17">
        <v>-368.1042320860155</v>
      </c>
      <c r="G423">
        <f>E423*F419-E419*F423</f>
      </c>
      <c r="H423">
        <f>(E423+E419)*G423</f>
      </c>
      <c r="I423">
        <f>(F423+F419)*G423</f>
      </c>
    </row>
    <row r="424" spans="2:9" x14ac:dyDescent="0.25">
      <c r="B424">
        <v>22</v>
      </c>
      <c r="C424" t="s">
        <v>176</v>
      </c>
      <c r="G424" s="13">
        <f>D419*ABS(SUM(G419:G423)/2)</f>
      </c>
      <c r="H424" s="13">
        <f>D419*SIGN(SUM(G419:G423))*SUM(H419:H423)/6</f>
      </c>
      <c r="I424" s="13">
        <f>D419*SIGN(SUM(G419:G423))*SUM(I419:I423)/6</f>
      </c>
    </row>
    <row r="425" spans="2:9" x14ac:dyDescent="0.25">
      <c r="B425">
        <v>22</v>
      </c>
      <c r="C425" s="13" t="s">
        <v>177</v>
      </c>
      <c r="G425" s="14">
        <f>G418+G424</f>
      </c>
      <c r="H425" s="14">
        <f>H418+H424</f>
      </c>
      <c r="I425" s="14">
        <f>I418+I424</f>
      </c>
    </row>
    <row r="427" spans="2:9" x14ac:dyDescent="0.25">
      <c r="B427">
        <v>23</v>
      </c>
      <c r="C427" t="s">
        <v>137</v>
      </c>
      <c r="D427">
        <v>1</v>
      </c>
      <c r="E427" s="17">
        <v>588.5532581823703</v>
      </c>
      <c r="F427" s="17">
        <v>-561.4467418176297</v>
      </c>
      <c r="G427">
        <f>E427*F428-E428*F427</f>
      </c>
      <c r="H427">
        <f>(E427+E428)*G427</f>
      </c>
      <c r="I427">
        <f>(F427+F428)*G427</f>
      </c>
    </row>
    <row r="428" spans="2:9" x14ac:dyDescent="0.25">
      <c r="B428">
        <v>23</v>
      </c>
      <c r="C428" t="s">
        <v>137</v>
      </c>
      <c r="D428">
        <v>1</v>
      </c>
      <c r="E428" s="17">
        <v>750</v>
      </c>
      <c r="F428" s="17">
        <v>-400</v>
      </c>
      <c r="G428">
        <f>E428*F429-E429*F428</f>
      </c>
      <c r="H428">
        <f>(E428+E429)*G428</f>
      </c>
      <c r="I428">
        <f>(F428+F429)*G428</f>
      </c>
    </row>
    <row r="429" spans="2:9" x14ac:dyDescent="0.25">
      <c r="B429">
        <v>23</v>
      </c>
      <c r="C429" t="s">
        <v>137</v>
      </c>
      <c r="D429">
        <v>1</v>
      </c>
      <c r="E429" s="17">
        <v>750</v>
      </c>
      <c r="F429" s="17">
        <v>400</v>
      </c>
      <c r="G429">
        <f>E429*F430-E430*F429</f>
      </c>
      <c r="H429">
        <f>(E429+E430)*G429</f>
      </c>
      <c r="I429">
        <f>(F429+F430)*G429</f>
      </c>
    </row>
    <row r="430" spans="2:9" x14ac:dyDescent="0.25">
      <c r="B430">
        <v>23</v>
      </c>
      <c r="C430" t="s">
        <v>137</v>
      </c>
      <c r="D430">
        <v>1</v>
      </c>
      <c r="E430" s="17">
        <v>550</v>
      </c>
      <c r="F430" s="17">
        <v>600</v>
      </c>
      <c r="G430">
        <f>E430*F431-E431*F430</f>
      </c>
      <c r="H430">
        <f>(E430+E431)*G430</f>
      </c>
      <c r="I430">
        <f>(F430+F431)*G430</f>
      </c>
    </row>
    <row r="431" spans="2:9" x14ac:dyDescent="0.25">
      <c r="B431">
        <v>23</v>
      </c>
      <c r="C431" t="s">
        <v>137</v>
      </c>
      <c r="D431">
        <v>1</v>
      </c>
      <c r="E431" s="17">
        <v>277.3445416605781</v>
      </c>
      <c r="F431" s="17">
        <v>600</v>
      </c>
      <c r="G431">
        <f>E431*F427-E427*F431</f>
      </c>
      <c r="H431">
        <f>(E431+E427)*G431</f>
      </c>
      <c r="I431">
        <f>(F431+F427)*G431</f>
      </c>
    </row>
    <row r="432" spans="2:9" x14ac:dyDescent="0.25">
      <c r="B432">
        <v>23</v>
      </c>
      <c r="C432" t="s">
        <v>176</v>
      </c>
      <c r="G432" s="13">
        <f>D427*ABS(SUM(G427:G431)/2)</f>
      </c>
      <c r="H432" s="13">
        <f>D427*SIGN(SUM(G427:G431))*SUM(H427:H431)/6</f>
      </c>
      <c r="I432" s="13">
        <f>D427*SIGN(SUM(G427:G431))*SUM(I427:I431)/6</f>
      </c>
    </row>
    <row r="433" spans="2:9" x14ac:dyDescent="0.25">
      <c r="B433">
        <v>23</v>
      </c>
      <c r="C433" t="s">
        <v>140</v>
      </c>
      <c r="D433">
        <v>-1</v>
      </c>
      <c r="E433" s="17">
        <v>330.9343801468026</v>
      </c>
      <c r="F433" s="17">
        <v>400</v>
      </c>
      <c r="G433">
        <f>E433*F434-E434*F433</f>
      </c>
      <c r="H433">
        <f>(E433+E434)*G433</f>
      </c>
      <c r="I433">
        <f>(F433+F434)*G433</f>
      </c>
    </row>
    <row r="434" spans="2:9" x14ac:dyDescent="0.25">
      <c r="B434">
        <v>23</v>
      </c>
      <c r="C434" t="s">
        <v>140</v>
      </c>
      <c r="D434">
        <v>-1</v>
      </c>
      <c r="E434" s="17">
        <v>450</v>
      </c>
      <c r="F434" s="17">
        <v>400</v>
      </c>
      <c r="G434">
        <f>E434*F435-E435*F434</f>
      </c>
      <c r="H434">
        <f>(E434+E435)*G434</f>
      </c>
      <c r="I434">
        <f>(F434+F435)*G434</f>
      </c>
    </row>
    <row r="435" spans="2:9" x14ac:dyDescent="0.25">
      <c r="B435">
        <v>23</v>
      </c>
      <c r="C435" t="s">
        <v>140</v>
      </c>
      <c r="D435">
        <v>-1</v>
      </c>
      <c r="E435" s="17">
        <v>550</v>
      </c>
      <c r="F435" s="17">
        <v>300</v>
      </c>
      <c r="G435">
        <f>E435*F436-E436*F435</f>
      </c>
      <c r="H435">
        <f>(E435+E436)*G435</f>
      </c>
      <c r="I435">
        <f>(F435+F436)*G435</f>
      </c>
    </row>
    <row r="436" spans="2:9" x14ac:dyDescent="0.25">
      <c r="B436">
        <v>23</v>
      </c>
      <c r="C436" t="s">
        <v>140</v>
      </c>
      <c r="D436">
        <v>-1</v>
      </c>
      <c r="E436" s="17">
        <v>550</v>
      </c>
      <c r="F436" s="17">
        <v>-300</v>
      </c>
      <c r="G436">
        <f>E436*F437-E437*F436</f>
      </c>
      <c r="H436">
        <f>(E436+E437)*G436</f>
      </c>
      <c r="I436">
        <f>(F436+F437)*G436</f>
      </c>
    </row>
    <row r="437" spans="2:9" x14ac:dyDescent="0.25">
      <c r="B437">
        <v>23</v>
      </c>
      <c r="C437" t="s">
        <v>140</v>
      </c>
      <c r="D437">
        <v>-1</v>
      </c>
      <c r="E437" s="17">
        <v>525.1557985608142</v>
      </c>
      <c r="F437" s="17">
        <v>-324.8442014391857</v>
      </c>
      <c r="G437">
        <f>E437*F433-E433*F437</f>
      </c>
      <c r="H437">
        <f>(E437+E433)*G437</f>
      </c>
      <c r="I437">
        <f>(F437+F433)*G437</f>
      </c>
    </row>
    <row r="438" spans="2:9" x14ac:dyDescent="0.25">
      <c r="B438">
        <v>23</v>
      </c>
      <c r="C438" t="s">
        <v>176</v>
      </c>
      <c r="G438" s="13">
        <f>D433*ABS(SUM(G433:G437)/2)</f>
      </c>
      <c r="H438" s="13">
        <f>D433*SIGN(SUM(G433:G437))*SUM(H433:H437)/6</f>
      </c>
      <c r="I438" s="13">
        <f>D433*SIGN(SUM(G433:G437))*SUM(I433:I437)/6</f>
      </c>
    </row>
    <row r="439" spans="2:9" x14ac:dyDescent="0.25">
      <c r="B439">
        <v>23</v>
      </c>
      <c r="C439" s="13" t="s">
        <v>177</v>
      </c>
      <c r="G439" s="14">
        <f>G432+G438</f>
      </c>
      <c r="H439" s="14">
        <f>H432+H438</f>
      </c>
      <c r="I439" s="14">
        <f>I432+I438</f>
      </c>
    </row>
    <row r="441" spans="2:9" x14ac:dyDescent="0.25">
      <c r="B441">
        <v>24</v>
      </c>
      <c r="C441" t="s">
        <v>137</v>
      </c>
      <c r="D441">
        <v>1</v>
      </c>
      <c r="E441" s="17">
        <v>622.8381787364968</v>
      </c>
      <c r="F441" s="17">
        <v>-527.1618212635032</v>
      </c>
      <c r="G441">
        <f>E441*F442-E442*F441</f>
      </c>
      <c r="H441">
        <f>(E441+E442)*G441</f>
      </c>
      <c r="I441">
        <f>(F441+F442)*G441</f>
      </c>
    </row>
    <row r="442" spans="2:9" x14ac:dyDescent="0.25">
      <c r="B442">
        <v>24</v>
      </c>
      <c r="C442" t="s">
        <v>137</v>
      </c>
      <c r="D442">
        <v>1</v>
      </c>
      <c r="E442" s="17">
        <v>750</v>
      </c>
      <c r="F442" s="17">
        <v>-400</v>
      </c>
      <c r="G442">
        <f>E442*F443-E443*F442</f>
      </c>
      <c r="H442">
        <f>(E442+E443)*G442</f>
      </c>
      <c r="I442">
        <f>(F442+F443)*G442</f>
      </c>
    </row>
    <row r="443" spans="2:9" x14ac:dyDescent="0.25">
      <c r="B443">
        <v>24</v>
      </c>
      <c r="C443" t="s">
        <v>137</v>
      </c>
      <c r="D443">
        <v>1</v>
      </c>
      <c r="E443" s="17">
        <v>750</v>
      </c>
      <c r="F443" s="17">
        <v>400</v>
      </c>
      <c r="G443">
        <f>E443*F444-E444*F443</f>
      </c>
      <c r="H443">
        <f>(E443+E444)*G443</f>
      </c>
      <c r="I443">
        <f>(F443+F444)*G443</f>
      </c>
    </row>
    <row r="444" spans="2:9" x14ac:dyDescent="0.25">
      <c r="B444">
        <v>24</v>
      </c>
      <c r="C444" t="s">
        <v>137</v>
      </c>
      <c r="D444">
        <v>1</v>
      </c>
      <c r="E444" s="17">
        <v>550</v>
      </c>
      <c r="F444" s="17">
        <v>600</v>
      </c>
      <c r="G444">
        <f>E444*F445-E445*F444</f>
      </c>
      <c r="H444">
        <f>(E444+E445)*G444</f>
      </c>
      <c r="I444">
        <f>(F444+F445)*G444</f>
      </c>
    </row>
    <row r="445" spans="2:9" x14ac:dyDescent="0.25">
      <c r="B445">
        <v>24</v>
      </c>
      <c r="C445" t="s">
        <v>137</v>
      </c>
      <c r="D445">
        <v>1</v>
      </c>
      <c r="E445" s="17">
        <v>320.816078989748</v>
      </c>
      <c r="F445" s="17">
        <v>600</v>
      </c>
      <c r="G445">
        <f>E445*F441-E441*F445</f>
      </c>
      <c r="H445">
        <f>(E445+E441)*G445</f>
      </c>
      <c r="I445">
        <f>(F445+F441)*G445</f>
      </c>
    </row>
    <row r="446" spans="2:9" x14ac:dyDescent="0.25">
      <c r="B446">
        <v>24</v>
      </c>
      <c r="C446" t="s">
        <v>176</v>
      </c>
      <c r="G446" s="13">
        <f>D441*ABS(SUM(G441:G445)/2)</f>
      </c>
      <c r="H446" s="13">
        <f>D441*SIGN(SUM(G441:G445))*SUM(H441:H445)/6</f>
      </c>
      <c r="I446" s="13">
        <f>D441*SIGN(SUM(G441:G445))*SUM(I441:I445)/6</f>
      </c>
    </row>
    <row r="447" spans="2:9" x14ac:dyDescent="0.25">
      <c r="B447">
        <v>24</v>
      </c>
      <c r="C447" t="s">
        <v>140</v>
      </c>
      <c r="D447">
        <v>-1</v>
      </c>
      <c r="E447" s="17">
        <v>374.4059174759725</v>
      </c>
      <c r="F447" s="17">
        <v>400</v>
      </c>
      <c r="G447">
        <f>E447*F448-E448*F447</f>
      </c>
      <c r="H447">
        <f>(E447+E448)*G447</f>
      </c>
      <c r="I447">
        <f>(F447+F448)*G447</f>
      </c>
    </row>
    <row r="448" spans="2:9" x14ac:dyDescent="0.25">
      <c r="B448">
        <v>24</v>
      </c>
      <c r="C448" t="s">
        <v>140</v>
      </c>
      <c r="D448">
        <v>-1</v>
      </c>
      <c r="E448" s="17">
        <v>450</v>
      </c>
      <c r="F448" s="17">
        <v>400</v>
      </c>
      <c r="G448">
        <f>E448*F449-E449*F448</f>
      </c>
      <c r="H448">
        <f>(E448+E449)*G448</f>
      </c>
      <c r="I448">
        <f>(F448+F449)*G448</f>
      </c>
    </row>
    <row r="449" spans="2:9" x14ac:dyDescent="0.25">
      <c r="B449">
        <v>24</v>
      </c>
      <c r="C449" t="s">
        <v>140</v>
      </c>
      <c r="D449">
        <v>-1</v>
      </c>
      <c r="E449" s="17">
        <v>550</v>
      </c>
      <c r="F449" s="17">
        <v>300</v>
      </c>
      <c r="G449">
        <f>E449*F450-E450*F449</f>
      </c>
      <c r="H449">
        <f>(E449+E450)*G449</f>
      </c>
      <c r="I449">
        <f>(F449+F450)*G449</f>
      </c>
    </row>
    <row r="450" spans="2:9" x14ac:dyDescent="0.25">
      <c r="B450">
        <v>24</v>
      </c>
      <c r="C450" t="s">
        <v>140</v>
      </c>
      <c r="D450">
        <v>-1</v>
      </c>
      <c r="E450" s="17">
        <v>550</v>
      </c>
      <c r="F450" s="17">
        <v>-255.32603748811368</v>
      </c>
      <c r="G450">
        <f>E450*F447-E447*F450</f>
      </c>
      <c r="H450">
        <f>(E450+E447)*G450</f>
      </c>
      <c r="I450">
        <f>(F450+F447)*G450</f>
      </c>
    </row>
    <row r="451" spans="2:9" x14ac:dyDescent="0.25">
      <c r="B451">
        <v>24</v>
      </c>
      <c r="C451" t="s">
        <v>176</v>
      </c>
      <c r="G451" s="13">
        <f>D447*ABS(SUM(G447:G450)/2)</f>
      </c>
      <c r="H451" s="13">
        <f>D447*SIGN(SUM(G447:G450))*SUM(H447:H450)/6</f>
      </c>
      <c r="I451" s="13">
        <f>D447*SIGN(SUM(G447:G450))*SUM(I447:I450)/6</f>
      </c>
    </row>
    <row r="452" spans="2:9" x14ac:dyDescent="0.25">
      <c r="B452">
        <v>24</v>
      </c>
      <c r="C452" s="13" t="s">
        <v>177</v>
      </c>
      <c r="G452" s="14">
        <f>G446+G451</f>
      </c>
      <c r="H452" s="14">
        <f>H446+H451</f>
      </c>
      <c r="I452" s="14">
        <f>I446+I451</f>
      </c>
    </row>
    <row r="454" spans="2:9" x14ac:dyDescent="0.25">
      <c r="B454">
        <v>25</v>
      </c>
      <c r="C454" t="s">
        <v>137</v>
      </c>
      <c r="D454">
        <v>1</v>
      </c>
      <c r="E454" s="17">
        <v>650.6785653518778</v>
      </c>
      <c r="F454" s="17">
        <v>-499.3214346481223</v>
      </c>
      <c r="G454">
        <f>E454*F455-E455*F454</f>
      </c>
      <c r="H454">
        <f>(E454+E455)*G454</f>
      </c>
      <c r="I454">
        <f>(F454+F455)*G454</f>
      </c>
    </row>
    <row r="455" spans="2:9" x14ac:dyDescent="0.25">
      <c r="B455">
        <v>25</v>
      </c>
      <c r="C455" t="s">
        <v>137</v>
      </c>
      <c r="D455">
        <v>1</v>
      </c>
      <c r="E455" s="17">
        <v>750</v>
      </c>
      <c r="F455" s="17">
        <v>-400</v>
      </c>
      <c r="G455">
        <f>E455*F456-E456*F455</f>
      </c>
      <c r="H455">
        <f>(E455+E456)*G455</f>
      </c>
      <c r="I455">
        <f>(F455+F456)*G455</f>
      </c>
    </row>
    <row r="456" spans="2:9" x14ac:dyDescent="0.25">
      <c r="B456">
        <v>25</v>
      </c>
      <c r="C456" t="s">
        <v>137</v>
      </c>
      <c r="D456">
        <v>1</v>
      </c>
      <c r="E456" s="17">
        <v>750</v>
      </c>
      <c r="F456" s="17">
        <v>400</v>
      </c>
      <c r="G456">
        <f>E456*F457-E457*F456</f>
      </c>
      <c r="H456">
        <f>(E456+E457)*G456</f>
      </c>
      <c r="I456">
        <f>(F456+F457)*G456</f>
      </c>
    </row>
    <row r="457" spans="2:9" x14ac:dyDescent="0.25">
      <c r="B457">
        <v>25</v>
      </c>
      <c r="C457" t="s">
        <v>137</v>
      </c>
      <c r="D457">
        <v>1</v>
      </c>
      <c r="E457" s="17">
        <v>550</v>
      </c>
      <c r="F457" s="17">
        <v>600</v>
      </c>
      <c r="G457">
        <f>E457*F458-E458*F457</f>
      </c>
      <c r="H457">
        <f>(E457+E458)*G457</f>
      </c>
      <c r="I457">
        <f>(F457+F458)*G457</f>
      </c>
    </row>
    <row r="458" spans="2:9" x14ac:dyDescent="0.25">
      <c r="B458">
        <v>25</v>
      </c>
      <c r="C458" t="s">
        <v>137</v>
      </c>
      <c r="D458">
        <v>1</v>
      </c>
      <c r="E458" s="17">
        <v>356.11627471569045</v>
      </c>
      <c r="F458" s="17">
        <v>600</v>
      </c>
      <c r="G458">
        <f>E458*F454-E454*F458</f>
      </c>
      <c r="H458">
        <f>(E458+E454)*G458</f>
      </c>
      <c r="I458">
        <f>(F458+F454)*G458</f>
      </c>
    </row>
    <row r="459" spans="2:9" x14ac:dyDescent="0.25">
      <c r="B459">
        <v>25</v>
      </c>
      <c r="C459" t="s">
        <v>176</v>
      </c>
      <c r="G459" s="13">
        <f>D454*ABS(SUM(G454:G458)/2)</f>
      </c>
      <c r="H459" s="13">
        <f>D454*SIGN(SUM(G454:G458))*SUM(H454:H458)/6</f>
      </c>
      <c r="I459" s="13">
        <f>D454*SIGN(SUM(G454:G458))*SUM(I454:I458)/6</f>
      </c>
    </row>
    <row r="460" spans="2:9" x14ac:dyDescent="0.25">
      <c r="B460">
        <v>25</v>
      </c>
      <c r="C460" t="s">
        <v>140</v>
      </c>
      <c r="D460">
        <v>-1</v>
      </c>
      <c r="E460" s="17">
        <v>409.70611320191495</v>
      </c>
      <c r="F460" s="17">
        <v>400</v>
      </c>
      <c r="G460">
        <f>E460*F461-E461*F460</f>
      </c>
      <c r="H460">
        <f>(E460+E461)*G460</f>
      </c>
      <c r="I460">
        <f>(F460+F461)*G460</f>
      </c>
    </row>
    <row r="461" spans="2:9" x14ac:dyDescent="0.25">
      <c r="B461">
        <v>25</v>
      </c>
      <c r="C461" t="s">
        <v>140</v>
      </c>
      <c r="D461">
        <v>-1</v>
      </c>
      <c r="E461" s="17">
        <v>450</v>
      </c>
      <c r="F461" s="17">
        <v>400</v>
      </c>
      <c r="G461">
        <f>E461*F462-E462*F461</f>
      </c>
      <c r="H461">
        <f>(E461+E462)*G461</f>
      </c>
      <c r="I461">
        <f>(F461+F462)*G461</f>
      </c>
    </row>
    <row r="462" spans="2:9" x14ac:dyDescent="0.25">
      <c r="B462">
        <v>25</v>
      </c>
      <c r="C462" t="s">
        <v>140</v>
      </c>
      <c r="D462">
        <v>-1</v>
      </c>
      <c r="E462" s="17">
        <v>550</v>
      </c>
      <c r="F462" s="17">
        <v>300</v>
      </c>
      <c r="G462">
        <f>E462*F463-E463*F462</f>
      </c>
      <c r="H462">
        <f>(E462+E463)*G462</f>
      </c>
      <c r="I462">
        <f>(F462+F463)*G462</f>
      </c>
    </row>
    <row r="463" spans="2:9" x14ac:dyDescent="0.25">
      <c r="B463">
        <v>25</v>
      </c>
      <c r="C463" t="s">
        <v>140</v>
      </c>
      <c r="D463">
        <v>-1</v>
      </c>
      <c r="E463" s="17">
        <v>550</v>
      </c>
      <c r="F463" s="17">
        <v>-123.58391352177057</v>
      </c>
      <c r="G463">
        <f>E463*F460-E460*F463</f>
      </c>
      <c r="H463">
        <f>(E463+E460)*G463</f>
      </c>
      <c r="I463">
        <f>(F463+F460)*G463</f>
      </c>
    </row>
    <row r="464" spans="2:9" x14ac:dyDescent="0.25">
      <c r="B464">
        <v>25</v>
      </c>
      <c r="C464" t="s">
        <v>176</v>
      </c>
      <c r="G464" s="13">
        <f>D460*ABS(SUM(G460:G463)/2)</f>
      </c>
      <c r="H464" s="13">
        <f>D460*SIGN(SUM(G460:G463))*SUM(H460:H463)/6</f>
      </c>
      <c r="I464" s="13">
        <f>D460*SIGN(SUM(G460:G463))*SUM(I460:I463)/6</f>
      </c>
    </row>
    <row r="465" spans="2:9" x14ac:dyDescent="0.25">
      <c r="B465">
        <v>25</v>
      </c>
      <c r="C465" s="13" t="s">
        <v>177</v>
      </c>
      <c r="G465" s="14">
        <f>G459+G464</f>
      </c>
      <c r="H465" s="14">
        <f>H459+H464</f>
      </c>
      <c r="I465" s="14">
        <f>I459+I464</f>
      </c>
    </row>
    <row r="467" spans="2:9" x14ac:dyDescent="0.25">
      <c r="B467">
        <v>26</v>
      </c>
      <c r="C467" t="s">
        <v>137</v>
      </c>
      <c r="D467">
        <v>1</v>
      </c>
      <c r="E467" s="17">
        <v>693.1439651892624</v>
      </c>
      <c r="F467" s="17">
        <v>-456.8560348107375</v>
      </c>
      <c r="G467">
        <f>E467*F468-E468*F467</f>
      </c>
      <c r="H467">
        <f>(E467+E468)*G467</f>
      </c>
      <c r="I467">
        <f>(F467+F468)*G467</f>
      </c>
    </row>
    <row r="468" spans="2:9" x14ac:dyDescent="0.25">
      <c r="B468">
        <v>26</v>
      </c>
      <c r="C468" t="s">
        <v>137</v>
      </c>
      <c r="D468">
        <v>1</v>
      </c>
      <c r="E468" s="17">
        <v>750</v>
      </c>
      <c r="F468" s="17">
        <v>-400</v>
      </c>
      <c r="G468">
        <f>E468*F469-E469*F468</f>
      </c>
      <c r="H468">
        <f>(E468+E469)*G468</f>
      </c>
      <c r="I468">
        <f>(F468+F469)*G468</f>
      </c>
    </row>
    <row r="469" spans="2:9" x14ac:dyDescent="0.25">
      <c r="B469">
        <v>26</v>
      </c>
      <c r="C469" t="s">
        <v>137</v>
      </c>
      <c r="D469">
        <v>1</v>
      </c>
      <c r="E469" s="17">
        <v>750</v>
      </c>
      <c r="F469" s="17">
        <v>400</v>
      </c>
      <c r="G469">
        <f>E469*F470-E470*F469</f>
      </c>
      <c r="H469">
        <f>(E469+E470)*G469</f>
      </c>
      <c r="I469">
        <f>(F469+F470)*G469</f>
      </c>
    </row>
    <row r="470" spans="2:9" x14ac:dyDescent="0.25">
      <c r="B470">
        <v>26</v>
      </c>
      <c r="C470" t="s">
        <v>137</v>
      </c>
      <c r="D470">
        <v>1</v>
      </c>
      <c r="E470" s="17">
        <v>550</v>
      </c>
      <c r="F470" s="17">
        <v>600</v>
      </c>
      <c r="G470">
        <f>E470*F471-E471*F470</f>
      </c>
      <c r="H470">
        <f>(E470+E471)*G470</f>
      </c>
      <c r="I470">
        <f>(F470+F471)*G470</f>
      </c>
    </row>
    <row r="471" spans="2:9" x14ac:dyDescent="0.25">
      <c r="B471">
        <v>26</v>
      </c>
      <c r="C471" t="s">
        <v>137</v>
      </c>
      <c r="D471">
        <v>1</v>
      </c>
      <c r="E471" s="17">
        <v>409.9602441457671</v>
      </c>
      <c r="F471" s="17">
        <v>600</v>
      </c>
      <c r="G471">
        <f>E471*F467-E467*F471</f>
      </c>
      <c r="H471">
        <f>(E471+E467)*G471</f>
      </c>
      <c r="I471">
        <f>(F471+F467)*G471</f>
      </c>
    </row>
    <row r="472" spans="2:9" x14ac:dyDescent="0.25">
      <c r="B472">
        <v>26</v>
      </c>
      <c r="C472" t="s">
        <v>176</v>
      </c>
      <c r="G472" s="13">
        <f>D467*ABS(SUM(G467:G471)/2)</f>
      </c>
      <c r="H472" s="13">
        <f>D467*SIGN(SUM(G467:G471))*SUM(H467:H471)/6</f>
      </c>
      <c r="I472" s="13">
        <f>D467*SIGN(SUM(G467:G471))*SUM(I467:I471)/6</f>
      </c>
    </row>
    <row r="473" spans="2:9" x14ac:dyDescent="0.25">
      <c r="B473">
        <v>26</v>
      </c>
      <c r="C473" t="s">
        <v>140</v>
      </c>
      <c r="D473">
        <v>-1</v>
      </c>
      <c r="E473" s="17">
        <v>468.5097570986789</v>
      </c>
      <c r="F473" s="17">
        <v>381.4902429013211</v>
      </c>
      <c r="G473">
        <f>E473*F474-E474*F473</f>
      </c>
      <c r="H473">
        <f>(E473+E474)*G473</f>
      </c>
      <c r="I473">
        <f>(F473+F474)*G473</f>
      </c>
    </row>
    <row r="474" spans="2:9" x14ac:dyDescent="0.25">
      <c r="B474">
        <v>26</v>
      </c>
      <c r="C474" t="s">
        <v>140</v>
      </c>
      <c r="D474">
        <v>-1</v>
      </c>
      <c r="E474" s="17">
        <v>550</v>
      </c>
      <c r="F474" s="17">
        <v>300</v>
      </c>
      <c r="G474">
        <f>E474*F475-E475*F474</f>
      </c>
      <c r="H474">
        <f>(E474+E475)*G474</f>
      </c>
      <c r="I474">
        <f>(F474+F475)*G474</f>
      </c>
    </row>
    <row r="475" spans="2:9" x14ac:dyDescent="0.25">
      <c r="B475">
        <v>26</v>
      </c>
      <c r="C475" t="s">
        <v>140</v>
      </c>
      <c r="D475">
        <v>-1</v>
      </c>
      <c r="E475" s="17">
        <v>550</v>
      </c>
      <c r="F475" s="17">
        <v>77.36451607246138</v>
      </c>
      <c r="G475">
        <f>E475*F473-E473*F475</f>
      </c>
      <c r="H475">
        <f>(E475+E473)*G475</f>
      </c>
      <c r="I475">
        <f>(F475+F473)*G475</f>
      </c>
    </row>
    <row r="476" spans="2:9" x14ac:dyDescent="0.25">
      <c r="B476">
        <v>26</v>
      </c>
      <c r="C476" t="s">
        <v>176</v>
      </c>
      <c r="G476" s="13">
        <f>D473*ABS(SUM(G473:G475)/2)</f>
      </c>
      <c r="H476" s="13">
        <f>D473*SIGN(SUM(G473:G475))*SUM(H473:H475)/6</f>
      </c>
      <c r="I476" s="13">
        <f>D473*SIGN(SUM(G473:G475))*SUM(I473:I475)/6</f>
      </c>
    </row>
    <row r="477" spans="2:9" x14ac:dyDescent="0.25">
      <c r="B477">
        <v>26</v>
      </c>
      <c r="C477" s="13" t="s">
        <v>177</v>
      </c>
      <c r="G477" s="14">
        <f>G472+G476</f>
      </c>
      <c r="H477" s="14">
        <f>H472+H476</f>
      </c>
      <c r="I477" s="14">
        <f>I472+I476</f>
      </c>
    </row>
    <row r="479" spans="2:9" x14ac:dyDescent="0.25">
      <c r="B479">
        <v>27</v>
      </c>
      <c r="C479" t="s">
        <v>137</v>
      </c>
      <c r="D479">
        <v>1</v>
      </c>
      <c r="E479" s="17">
        <v>724.0067967650667</v>
      </c>
      <c r="F479" s="17">
        <v>-425.9932032349333</v>
      </c>
      <c r="G479">
        <f>E479*F480-E480*F479</f>
      </c>
      <c r="H479">
        <f>(E479+E480)*G479</f>
      </c>
      <c r="I479">
        <f>(F479+F480)*G479</f>
      </c>
    </row>
    <row r="480" spans="2:9" x14ac:dyDescent="0.25">
      <c r="B480">
        <v>27</v>
      </c>
      <c r="C480" t="s">
        <v>137</v>
      </c>
      <c r="D480">
        <v>1</v>
      </c>
      <c r="E480" s="17">
        <v>750</v>
      </c>
      <c r="F480" s="17">
        <v>-400</v>
      </c>
      <c r="G480">
        <f>E480*F481-E481*F480</f>
      </c>
      <c r="H480">
        <f>(E480+E481)*G480</f>
      </c>
      <c r="I480">
        <f>(F480+F481)*G480</f>
      </c>
    </row>
    <row r="481" spans="2:9" x14ac:dyDescent="0.25">
      <c r="B481">
        <v>27</v>
      </c>
      <c r="C481" t="s">
        <v>137</v>
      </c>
      <c r="D481">
        <v>1</v>
      </c>
      <c r="E481" s="17">
        <v>750</v>
      </c>
      <c r="F481" s="17">
        <v>400</v>
      </c>
      <c r="G481">
        <f>E481*F482-E482*F481</f>
      </c>
      <c r="H481">
        <f>(E481+E482)*G481</f>
      </c>
      <c r="I481">
        <f>(F481+F482)*G481</f>
      </c>
    </row>
    <row r="482" spans="2:9" x14ac:dyDescent="0.25">
      <c r="B482">
        <v>27</v>
      </c>
      <c r="C482" t="s">
        <v>137</v>
      </c>
      <c r="D482">
        <v>1</v>
      </c>
      <c r="E482" s="17">
        <v>550</v>
      </c>
      <c r="F482" s="17">
        <v>600</v>
      </c>
      <c r="G482">
        <f>E482*F483-E483*F482</f>
      </c>
      <c r="H482">
        <f>(E482+E483)*G482</f>
      </c>
      <c r="I482">
        <f>(F482+F483)*G482</f>
      </c>
    </row>
    <row r="483" spans="2:9" x14ac:dyDescent="0.25">
      <c r="B483">
        <v>27</v>
      </c>
      <c r="C483" t="s">
        <v>137</v>
      </c>
      <c r="D483">
        <v>1</v>
      </c>
      <c r="E483" s="17">
        <v>449.0927465184459</v>
      </c>
      <c r="F483" s="17">
        <v>600</v>
      </c>
      <c r="G483">
        <f>E483*F479-E479*F483</f>
      </c>
      <c r="H483">
        <f>(E483+E479)*G483</f>
      </c>
      <c r="I483">
        <f>(F483+F479)*G483</f>
      </c>
    </row>
    <row r="484" spans="2:9" x14ac:dyDescent="0.25">
      <c r="B484">
        <v>27</v>
      </c>
      <c r="C484" t="s">
        <v>176</v>
      </c>
      <c r="G484" s="13">
        <f>D479*ABS(SUM(G479:G483)/2)</f>
      </c>
      <c r="H484" s="13">
        <f>D479*SIGN(SUM(G479:G483))*SUM(H479:H483)/6</f>
      </c>
      <c r="I484" s="13">
        <f>D479*SIGN(SUM(G479:G483))*SUM(I479:I483)/6</f>
      </c>
    </row>
    <row r="485" spans="2:9" x14ac:dyDescent="0.25">
      <c r="B485">
        <v>27</v>
      </c>
      <c r="C485" t="s">
        <v>140</v>
      </c>
      <c r="D485">
        <v>-1</v>
      </c>
      <c r="E485" s="17">
        <v>521.9657494534129</v>
      </c>
      <c r="F485" s="17">
        <v>328.03425054658715</v>
      </c>
      <c r="G485">
        <f>E485*F486-E486*F485</f>
      </c>
      <c r="H485">
        <f>(E485+E486)*G485</f>
      </c>
      <c r="I485">
        <f>(F485+F486)*G485</f>
      </c>
    </row>
    <row r="486" spans="2:9" x14ac:dyDescent="0.25">
      <c r="B486">
        <v>27</v>
      </c>
      <c r="C486" t="s">
        <v>140</v>
      </c>
      <c r="D486">
        <v>-1</v>
      </c>
      <c r="E486" s="17">
        <v>550</v>
      </c>
      <c r="F486" s="17">
        <v>300</v>
      </c>
      <c r="G486">
        <f>E486*F487-E487*F486</f>
      </c>
      <c r="H486">
        <f>(E486+E487)*G486</f>
      </c>
      <c r="I486">
        <f>(F486+F487)*G486</f>
      </c>
    </row>
    <row r="487" spans="2:9" x14ac:dyDescent="0.25">
      <c r="B487">
        <v>27</v>
      </c>
      <c r="C487" t="s">
        <v>140</v>
      </c>
      <c r="D487">
        <v>-1</v>
      </c>
      <c r="E487" s="17">
        <v>550</v>
      </c>
      <c r="F487" s="17">
        <v>223.40900315460829</v>
      </c>
      <c r="G487">
        <f>E487*F485-E485*F487</f>
      </c>
      <c r="H487">
        <f>(E487+E485)*G487</f>
      </c>
      <c r="I487">
        <f>(F487+F485)*G487</f>
      </c>
    </row>
    <row r="488" spans="2:9" x14ac:dyDescent="0.25">
      <c r="B488">
        <v>27</v>
      </c>
      <c r="C488" t="s">
        <v>176</v>
      </c>
      <c r="G488" s="13">
        <f>D485*ABS(SUM(G485:G487)/2)</f>
      </c>
      <c r="H488" s="13">
        <f>D485*SIGN(SUM(G485:G487))*SUM(H485:H487)/6</f>
      </c>
      <c r="I488" s="13">
        <f>D485*SIGN(SUM(G485:G487))*SUM(I485:I487)/6</f>
      </c>
    </row>
    <row r="489" spans="2:9" x14ac:dyDescent="0.25">
      <c r="B489">
        <v>27</v>
      </c>
      <c r="C489" s="13" t="s">
        <v>177</v>
      </c>
      <c r="G489" s="14">
        <f>G484+G488</f>
      </c>
      <c r="H489" s="14">
        <f>H484+H488</f>
      </c>
      <c r="I489" s="14">
        <f>I484+I488</f>
      </c>
    </row>
    <row r="491" spans="2:9" x14ac:dyDescent="0.25">
      <c r="B491">
        <v>28</v>
      </c>
      <c r="C491" t="s">
        <v>137</v>
      </c>
      <c r="D491">
        <v>1</v>
      </c>
      <c r="E491" s="17">
        <v>747.4506784428411</v>
      </c>
      <c r="F491" s="17">
        <v>-402.5493215571589</v>
      </c>
      <c r="G491">
        <f>E491*F492-E492*F491</f>
      </c>
      <c r="H491">
        <f>(E491+E492)*G491</f>
      </c>
      <c r="I491">
        <f>(F491+F492)*G491</f>
      </c>
    </row>
    <row r="492" spans="2:9" x14ac:dyDescent="0.25">
      <c r="B492">
        <v>28</v>
      </c>
      <c r="C492" t="s">
        <v>137</v>
      </c>
      <c r="D492">
        <v>1</v>
      </c>
      <c r="E492" s="17">
        <v>750</v>
      </c>
      <c r="F492" s="17">
        <v>-400</v>
      </c>
      <c r="G492">
        <f>E492*F493-E493*F492</f>
      </c>
      <c r="H492">
        <f>(E492+E493)*G492</f>
      </c>
      <c r="I492">
        <f>(F492+F493)*G492</f>
      </c>
    </row>
    <row r="493" spans="2:9" x14ac:dyDescent="0.25">
      <c r="B493">
        <v>28</v>
      </c>
      <c r="C493" t="s">
        <v>137</v>
      </c>
      <c r="D493">
        <v>1</v>
      </c>
      <c r="E493" s="17">
        <v>750</v>
      </c>
      <c r="F493" s="17">
        <v>400</v>
      </c>
      <c r="G493">
        <f>E493*F494-E494*F493</f>
      </c>
      <c r="H493">
        <f>(E493+E494)*G493</f>
      </c>
      <c r="I493">
        <f>(F493+F494)*G493</f>
      </c>
    </row>
    <row r="494" spans="2:9" x14ac:dyDescent="0.25">
      <c r="B494">
        <v>28</v>
      </c>
      <c r="C494" t="s">
        <v>137</v>
      </c>
      <c r="D494">
        <v>1</v>
      </c>
      <c r="E494" s="17">
        <v>550</v>
      </c>
      <c r="F494" s="17">
        <v>600</v>
      </c>
      <c r="G494">
        <f>E494*F495-E495*F494</f>
      </c>
      <c r="H494">
        <f>(E494+E495)*G494</f>
      </c>
      <c r="I494">
        <f>(F494+F495)*G494</f>
      </c>
    </row>
    <row r="495" spans="2:9" x14ac:dyDescent="0.25">
      <c r="B495">
        <v>28</v>
      </c>
      <c r="C495" t="s">
        <v>137</v>
      </c>
      <c r="D495">
        <v>1</v>
      </c>
      <c r="E495" s="17">
        <v>478.81839735923074</v>
      </c>
      <c r="F495" s="17">
        <v>600</v>
      </c>
      <c r="G495">
        <f>E495*F491-E491*F495</f>
      </c>
      <c r="H495">
        <f>(E495+E491)*G495</f>
      </c>
      <c r="I495">
        <f>(F495+F491)*G495</f>
      </c>
    </row>
    <row r="496" spans="2:9" x14ac:dyDescent="0.25">
      <c r="B496">
        <v>28</v>
      </c>
      <c r="C496" t="s">
        <v>176</v>
      </c>
      <c r="G496" s="13">
        <f>D491*ABS(SUM(G491:G495)/2)</f>
      </c>
      <c r="H496" s="13">
        <f>D491*SIGN(SUM(G491:G495))*SUM(H491:H495)/6</f>
      </c>
      <c r="I496" s="13">
        <f>D491*SIGN(SUM(G491:G495))*SUM(I491:I495)/6</f>
      </c>
    </row>
    <row r="497" spans="2:9" x14ac:dyDescent="0.25">
      <c r="B497">
        <v>28</v>
      </c>
      <c r="C497" s="13" t="s">
        <v>177</v>
      </c>
      <c r="G497" s="14">
        <f>G496</f>
      </c>
      <c r="H497" s="14">
        <f>H496</f>
      </c>
      <c r="I497" s="14">
        <f>I496</f>
      </c>
    </row>
    <row r="499" spans="2:9" x14ac:dyDescent="0.25">
      <c r="B499">
        <v>29</v>
      </c>
      <c r="C499" t="s">
        <v>137</v>
      </c>
      <c r="D499">
        <v>1</v>
      </c>
      <c r="E499" s="17">
        <v>750</v>
      </c>
      <c r="F499" s="17">
        <v>-324.93224025634265</v>
      </c>
      <c r="G499">
        <f>E499*F500-E500*F499</f>
      </c>
      <c r="H499">
        <f>(E499+E500)*G499</f>
      </c>
      <c r="I499">
        <f>(F499+F500)*G499</f>
      </c>
    </row>
    <row r="500" spans="2:9" x14ac:dyDescent="0.25">
      <c r="B500">
        <v>29</v>
      </c>
      <c r="C500" t="s">
        <v>137</v>
      </c>
      <c r="D500">
        <v>1</v>
      </c>
      <c r="E500" s="17">
        <v>750</v>
      </c>
      <c r="F500" s="17">
        <v>400</v>
      </c>
      <c r="G500">
        <f>E500*F501-E501*F500</f>
      </c>
      <c r="H500">
        <f>(E500+E501)*G500</f>
      </c>
      <c r="I500">
        <f>(F500+F501)*G500</f>
      </c>
    </row>
    <row r="501" spans="2:9" x14ac:dyDescent="0.25">
      <c r="B501">
        <v>29</v>
      </c>
      <c r="C501" t="s">
        <v>137</v>
      </c>
      <c r="D501">
        <v>1</v>
      </c>
      <c r="E501" s="17">
        <v>550</v>
      </c>
      <c r="F501" s="17">
        <v>600</v>
      </c>
      <c r="G501">
        <f>E501*F502-E502*F501</f>
      </c>
      <c r="H501">
        <f>(E501+E502)*G501</f>
      </c>
      <c r="I501">
        <f>(F501+F502)*G501</f>
      </c>
    </row>
    <row r="502" spans="2:9" x14ac:dyDescent="0.25">
      <c r="B502">
        <v>29</v>
      </c>
      <c r="C502" t="s">
        <v>137</v>
      </c>
      <c r="D502">
        <v>1</v>
      </c>
      <c r="E502" s="17">
        <v>502.1651531698041</v>
      </c>
      <c r="F502" s="17">
        <v>600</v>
      </c>
      <c r="G502">
        <f>E502*F499-E499*F502</f>
      </c>
      <c r="H502">
        <f>(E502+E499)*G502</f>
      </c>
      <c r="I502">
        <f>(F502+F499)*G502</f>
      </c>
    </row>
    <row r="503" spans="2:9" x14ac:dyDescent="0.25">
      <c r="B503">
        <v>29</v>
      </c>
      <c r="C503" t="s">
        <v>176</v>
      </c>
      <c r="G503" s="13">
        <f>D499*ABS(SUM(G499:G502)/2)</f>
      </c>
      <c r="H503" s="13">
        <f>D499*SIGN(SUM(G499:G502))*SUM(H499:H502)/6</f>
      </c>
      <c r="I503" s="13">
        <f>D499*SIGN(SUM(G499:G502))*SUM(I499:I502)/6</f>
      </c>
    </row>
    <row r="504" spans="2:9" x14ac:dyDescent="0.25">
      <c r="B504">
        <v>29</v>
      </c>
      <c r="C504" s="13" t="s">
        <v>177</v>
      </c>
      <c r="G504" s="14">
        <f>G503</f>
      </c>
      <c r="H504" s="14">
        <f>H503</f>
      </c>
      <c r="I504" s="14">
        <f>I503</f>
      </c>
    </row>
    <row r="506" spans="2:9" x14ac:dyDescent="0.25">
      <c r="B506">
        <v>30</v>
      </c>
      <c r="C506" t="s">
        <v>137</v>
      </c>
      <c r="D506">
        <v>1</v>
      </c>
      <c r="E506" s="17">
        <v>750</v>
      </c>
      <c r="F506" s="17">
        <v>-196.8523391509817</v>
      </c>
      <c r="G506">
        <f>E506*F507-E507*F506</f>
      </c>
      <c r="H506">
        <f>(E506+E507)*G506</f>
      </c>
      <c r="I506">
        <f>(F506+F507)*G506</f>
      </c>
    </row>
    <row r="507" spans="2:9" x14ac:dyDescent="0.25">
      <c r="B507">
        <v>30</v>
      </c>
      <c r="C507" t="s">
        <v>137</v>
      </c>
      <c r="D507">
        <v>1</v>
      </c>
      <c r="E507" s="17">
        <v>750</v>
      </c>
      <c r="F507" s="17">
        <v>400</v>
      </c>
      <c r="G507">
        <f>E507*F508-E508*F507</f>
      </c>
      <c r="H507">
        <f>(E507+E508)*G507</f>
      </c>
      <c r="I507">
        <f>(F507+F508)*G507</f>
      </c>
    </row>
    <row r="508" spans="2:9" x14ac:dyDescent="0.25">
      <c r="B508">
        <v>30</v>
      </c>
      <c r="C508" t="s">
        <v>137</v>
      </c>
      <c r="D508">
        <v>1</v>
      </c>
      <c r="E508" s="17">
        <v>550</v>
      </c>
      <c r="F508" s="17">
        <v>600</v>
      </c>
      <c r="G508">
        <f>E508*F509-E509*F508</f>
      </c>
      <c r="H508">
        <f>(E508+E509)*G508</f>
      </c>
      <c r="I508">
        <f>(F508+F509)*G508</f>
      </c>
    </row>
    <row r="509" spans="2:9" x14ac:dyDescent="0.25">
      <c r="B509">
        <v>30</v>
      </c>
      <c r="C509" t="s">
        <v>137</v>
      </c>
      <c r="D509">
        <v>1</v>
      </c>
      <c r="E509" s="17">
        <v>536.4840592376436</v>
      </c>
      <c r="F509" s="17">
        <v>600</v>
      </c>
      <c r="G509">
        <f>E509*F506-E506*F509</f>
      </c>
      <c r="H509">
        <f>(E509+E506)*G509</f>
      </c>
      <c r="I509">
        <f>(F509+F506)*G509</f>
      </c>
    </row>
    <row r="510" spans="2:9" x14ac:dyDescent="0.25">
      <c r="B510">
        <v>30</v>
      </c>
      <c r="C510" t="s">
        <v>176</v>
      </c>
      <c r="G510" s="13">
        <f>D506*ABS(SUM(G506:G509)/2)</f>
      </c>
      <c r="H510" s="13">
        <f>D506*SIGN(SUM(G506:G509))*SUM(H506:H509)/6</f>
      </c>
      <c r="I510" s="13">
        <f>D506*SIGN(SUM(G506:G509))*SUM(I506:I509)/6</f>
      </c>
    </row>
    <row r="511" spans="2:9" x14ac:dyDescent="0.25">
      <c r="B511">
        <v>30</v>
      </c>
      <c r="C511" s="13" t="s">
        <v>177</v>
      </c>
      <c r="G511" s="14">
        <f>G510</f>
      </c>
      <c r="H511" s="14">
        <f>H510</f>
      </c>
      <c r="I511" s="14">
        <f>I510</f>
      </c>
    </row>
    <row r="513" spans="2:9" x14ac:dyDescent="0.25">
      <c r="B513">
        <v>31</v>
      </c>
      <c r="C513" t="s">
        <v>137</v>
      </c>
      <c r="D513">
        <v>1</v>
      </c>
      <c r="E513" s="17">
        <v>750</v>
      </c>
      <c r="F513" s="17">
        <v>-107.23487080999314</v>
      </c>
      <c r="G513">
        <f>E513*F514-E514*F513</f>
      </c>
      <c r="H513">
        <f>(E513+E514)*G513</f>
      </c>
      <c r="I513">
        <f>(F513+F514)*G513</f>
      </c>
    </row>
    <row r="514" spans="2:9" x14ac:dyDescent="0.25">
      <c r="B514">
        <v>31</v>
      </c>
      <c r="C514" t="s">
        <v>137</v>
      </c>
      <c r="D514">
        <v>1</v>
      </c>
      <c r="E514" s="17">
        <v>750</v>
      </c>
      <c r="F514" s="17">
        <v>400</v>
      </c>
      <c r="G514">
        <f>E514*F515-E515*F514</f>
      </c>
      <c r="H514">
        <f>(E514+E515)*G514</f>
      </c>
      <c r="I514">
        <f>(F514+F515)*G514</f>
      </c>
    </row>
    <row r="515" spans="2:9" x14ac:dyDescent="0.25">
      <c r="B515">
        <v>31</v>
      </c>
      <c r="C515" t="s">
        <v>137</v>
      </c>
      <c r="D515">
        <v>1</v>
      </c>
      <c r="E515" s="17">
        <v>564.3391515982249</v>
      </c>
      <c r="F515" s="17">
        <v>585.6608484017751</v>
      </c>
      <c r="G515">
        <f>E515*F513-E513*F515</f>
      </c>
      <c r="H515">
        <f>(E515+E513)*G515</f>
      </c>
      <c r="I515">
        <f>(F515+F513)*G515</f>
      </c>
    </row>
    <row r="516" spans="2:9" x14ac:dyDescent="0.25">
      <c r="B516">
        <v>31</v>
      </c>
      <c r="C516" t="s">
        <v>176</v>
      </c>
      <c r="G516" s="13">
        <f>D513*ABS(SUM(G513:G515)/2)</f>
      </c>
      <c r="H516" s="13">
        <f>D513*SIGN(SUM(G513:G515))*SUM(H513:H515)/6</f>
      </c>
      <c r="I516" s="13">
        <f>D513*SIGN(SUM(G513:G515))*SUM(I513:I515)/6</f>
      </c>
    </row>
    <row r="517" spans="2:9" x14ac:dyDescent="0.25">
      <c r="B517">
        <v>31</v>
      </c>
      <c r="C517" s="13" t="s">
        <v>177</v>
      </c>
      <c r="G517" s="14">
        <f>G516</f>
      </c>
      <c r="H517" s="14">
        <f>H516</f>
      </c>
      <c r="I517" s="14">
        <f>I516</f>
      </c>
    </row>
    <row r="519" spans="2:9" x14ac:dyDescent="0.25">
      <c r="B519">
        <v>32</v>
      </c>
      <c r="C519" t="s">
        <v>137</v>
      </c>
      <c r="D519">
        <v>1</v>
      </c>
      <c r="E519" s="17">
        <v>750</v>
      </c>
      <c r="F519" s="17">
        <v>9.909441155363197</v>
      </c>
      <c r="G519">
        <f>E519*F520-E520*F519</f>
      </c>
      <c r="H519">
        <f>(E519+E520)*G519</f>
      </c>
      <c r="I519">
        <f>(F519+F520)*G519</f>
      </c>
    </row>
    <row r="520" spans="2:9" x14ac:dyDescent="0.25">
      <c r="B520">
        <v>32</v>
      </c>
      <c r="C520" t="s">
        <v>137</v>
      </c>
      <c r="D520">
        <v>1</v>
      </c>
      <c r="E520" s="17">
        <v>750</v>
      </c>
      <c r="F520" s="17">
        <v>400</v>
      </c>
      <c r="G520">
        <f>E520*F521-E521*F520</f>
      </c>
      <c r="H520">
        <f>(E520+E521)*G520</f>
      </c>
      <c r="I520">
        <f>(F520+F521)*G520</f>
      </c>
    </row>
    <row r="521" spans="2:9" x14ac:dyDescent="0.25">
      <c r="B521">
        <v>32</v>
      </c>
      <c r="C521" t="s">
        <v>137</v>
      </c>
      <c r="D521">
        <v>1</v>
      </c>
      <c r="E521" s="17">
        <v>607.2169456863946</v>
      </c>
      <c r="F521" s="17">
        <v>542.7830543136054</v>
      </c>
      <c r="G521">
        <f>E521*F519-E519*F521</f>
      </c>
      <c r="H521">
        <f>(E521+E519)*G521</f>
      </c>
      <c r="I521">
        <f>(F521+F519)*G521</f>
      </c>
    </row>
    <row r="522" spans="2:9" x14ac:dyDescent="0.25">
      <c r="B522">
        <v>32</v>
      </c>
      <c r="C522" t="s">
        <v>176</v>
      </c>
      <c r="G522" s="13">
        <f>D519*ABS(SUM(G519:G521)/2)</f>
      </c>
      <c r="H522" s="13">
        <f>D519*SIGN(SUM(G519:G521))*SUM(H519:H521)/6</f>
      </c>
      <c r="I522" s="13">
        <f>D519*SIGN(SUM(G519:G521))*SUM(I519:I521)/6</f>
      </c>
    </row>
    <row r="523" spans="2:9" x14ac:dyDescent="0.25">
      <c r="B523">
        <v>32</v>
      </c>
      <c r="C523" s="13" t="s">
        <v>177</v>
      </c>
      <c r="G523" s="14">
        <f>G522</f>
      </c>
      <c r="H523" s="14">
        <f>H522</f>
      </c>
      <c r="I523" s="14">
        <f>I522</f>
      </c>
    </row>
    <row r="525" spans="2:9" x14ac:dyDescent="0.25">
      <c r="B525">
        <v>33</v>
      </c>
      <c r="C525" t="s">
        <v>137</v>
      </c>
      <c r="D525">
        <v>1</v>
      </c>
      <c r="E525" s="17">
        <v>750</v>
      </c>
      <c r="F525" s="17">
        <v>83.09716326505105</v>
      </c>
      <c r="G525">
        <f>E525*F526-E526*F525</f>
      </c>
      <c r="H525">
        <f>(E525+E526)*G525</f>
      </c>
      <c r="I525">
        <f>(F525+F526)*G525</f>
      </c>
    </row>
    <row r="526" spans="2:9" x14ac:dyDescent="0.25">
      <c r="B526">
        <v>33</v>
      </c>
      <c r="C526" t="s">
        <v>137</v>
      </c>
      <c r="D526">
        <v>1</v>
      </c>
      <c r="E526" s="17">
        <v>750</v>
      </c>
      <c r="F526" s="17">
        <v>400</v>
      </c>
      <c r="G526">
        <f>E526*F527-E527*F526</f>
      </c>
      <c r="H526">
        <f>(E526+E527)*G526</f>
      </c>
      <c r="I526">
        <f>(F526+F527)*G526</f>
      </c>
    </row>
    <row r="527" spans="2:9" x14ac:dyDescent="0.25">
      <c r="B527">
        <v>33</v>
      </c>
      <c r="C527" t="s">
        <v>137</v>
      </c>
      <c r="D527">
        <v>1</v>
      </c>
      <c r="E527" s="17">
        <v>634.0055112236564</v>
      </c>
      <c r="F527" s="17">
        <v>515.9944887763436</v>
      </c>
      <c r="G527">
        <f>E527*F525-E525*F527</f>
      </c>
      <c r="H527">
        <f>(E527+E525)*G527</f>
      </c>
      <c r="I527">
        <f>(F527+F525)*G527</f>
      </c>
    </row>
    <row r="528" spans="2:9" x14ac:dyDescent="0.25">
      <c r="B528">
        <v>33</v>
      </c>
      <c r="C528" t="s">
        <v>176</v>
      </c>
      <c r="G528" s="13">
        <f>D525*ABS(SUM(G525:G527)/2)</f>
      </c>
      <c r="H528" s="13">
        <f>D525*SIGN(SUM(G525:G527))*SUM(H525:H527)/6</f>
      </c>
      <c r="I528" s="13">
        <f>D525*SIGN(SUM(G525:G527))*SUM(I525:I527)/6</f>
      </c>
    </row>
    <row r="529" spans="2:9" x14ac:dyDescent="0.25">
      <c r="B529">
        <v>33</v>
      </c>
      <c r="C529" s="13" t="s">
        <v>177</v>
      </c>
      <c r="G529" s="14">
        <f>G528</f>
      </c>
      <c r="H529" s="14">
        <f>H528</f>
      </c>
      <c r="I529" s="14">
        <f>I528</f>
      </c>
    </row>
    <row r="531" spans="2:9" x14ac:dyDescent="0.25">
      <c r="B531">
        <v>34</v>
      </c>
      <c r="C531" t="s">
        <v>137</v>
      </c>
      <c r="D531">
        <v>1</v>
      </c>
      <c r="E531" s="17">
        <v>750</v>
      </c>
      <c r="F531" s="17">
        <v>184.27942275896828</v>
      </c>
      <c r="G531">
        <f>E531*F532-E532*F531</f>
      </c>
      <c r="H531">
        <f>(E531+E532)*G531</f>
      </c>
      <c r="I531">
        <f>(F531+F532)*G531</f>
      </c>
    </row>
    <row r="532" spans="2:9" x14ac:dyDescent="0.25">
      <c r="B532">
        <v>34</v>
      </c>
      <c r="C532" t="s">
        <v>137</v>
      </c>
      <c r="D532">
        <v>1</v>
      </c>
      <c r="E532" s="17">
        <v>750</v>
      </c>
      <c r="F532" s="17">
        <v>400</v>
      </c>
      <c r="G532">
        <f>E532*F533-E533*F532</f>
      </c>
      <c r="H532">
        <f>(E532+E533)*G532</f>
      </c>
      <c r="I532">
        <f>(F532+F533)*G532</f>
      </c>
    </row>
    <row r="533" spans="2:9" x14ac:dyDescent="0.25">
      <c r="B533">
        <v>34</v>
      </c>
      <c r="C533" t="s">
        <v>137</v>
      </c>
      <c r="D533">
        <v>1</v>
      </c>
      <c r="E533" s="17">
        <v>671.0407886107392</v>
      </c>
      <c r="F533" s="17">
        <v>478.9592113892607</v>
      </c>
      <c r="G533">
        <f>E533*F531-E531*F533</f>
      </c>
      <c r="H533">
        <f>(E533+E531)*G533</f>
      </c>
      <c r="I533">
        <f>(F533+F531)*G533</f>
      </c>
    </row>
    <row r="534" spans="2:9" x14ac:dyDescent="0.25">
      <c r="B534">
        <v>34</v>
      </c>
      <c r="C534" t="s">
        <v>176</v>
      </c>
      <c r="G534" s="13">
        <f>D531*ABS(SUM(G531:G533)/2)</f>
      </c>
      <c r="H534" s="13">
        <f>D531*SIGN(SUM(G531:G533))*SUM(H531:H533)/6</f>
      </c>
      <c r="I534" s="13">
        <f>D531*SIGN(SUM(G531:G533))*SUM(I531:I533)/6</f>
      </c>
    </row>
    <row r="535" spans="2:9" x14ac:dyDescent="0.25">
      <c r="B535">
        <v>34</v>
      </c>
      <c r="C535" s="13" t="s">
        <v>177</v>
      </c>
      <c r="G535" s="14">
        <f>G534</f>
      </c>
      <c r="H535" s="14">
        <f>H534</f>
      </c>
      <c r="I535" s="14">
        <f>I534</f>
      </c>
    </row>
    <row r="537" spans="2:9" x14ac:dyDescent="0.25">
      <c r="B537">
        <v>35</v>
      </c>
      <c r="C537" t="s">
        <v>137</v>
      </c>
      <c r="D537">
        <v>1</v>
      </c>
      <c r="E537" s="17">
        <v>750</v>
      </c>
      <c r="F537" s="17">
        <v>236.48672606028288</v>
      </c>
      <c r="G537">
        <f>E537*F538-E538*F537</f>
      </c>
      <c r="H537">
        <f>(E537+E538)*G537</f>
      </c>
      <c r="I537">
        <f>(F537+F538)*G537</f>
      </c>
    </row>
    <row r="538" spans="2:9" x14ac:dyDescent="0.25">
      <c r="B538">
        <v>35</v>
      </c>
      <c r="C538" t="s">
        <v>137</v>
      </c>
      <c r="D538">
        <v>1</v>
      </c>
      <c r="E538" s="17">
        <v>750</v>
      </c>
      <c r="F538" s="17">
        <v>400</v>
      </c>
      <c r="G538">
        <f>E538*F539-E539*F538</f>
      </c>
      <c r="H538">
        <f>(E538+E539)*G538</f>
      </c>
      <c r="I538">
        <f>(F538+F539)*G538</f>
      </c>
    </row>
    <row r="539" spans="2:9" x14ac:dyDescent="0.25">
      <c r="B539">
        <v>35</v>
      </c>
      <c r="C539" t="s">
        <v>137</v>
      </c>
      <c r="D539">
        <v>1</v>
      </c>
      <c r="E539" s="17">
        <v>690.1499878820996</v>
      </c>
      <c r="F539" s="17">
        <v>459.8500121179004</v>
      </c>
      <c r="G539">
        <f>E539*F537-E537*F539</f>
      </c>
      <c r="H539">
        <f>(E539+E537)*G539</f>
      </c>
      <c r="I539">
        <f>(F539+F537)*G539</f>
      </c>
    </row>
    <row r="540" spans="2:9" x14ac:dyDescent="0.25">
      <c r="B540">
        <v>35</v>
      </c>
      <c r="C540" t="s">
        <v>176</v>
      </c>
      <c r="G540" s="13">
        <f>D537*ABS(SUM(G537:G539)/2)</f>
      </c>
      <c r="H540" s="13">
        <f>D537*SIGN(SUM(G537:G539))*SUM(H537:H539)/6</f>
      </c>
      <c r="I540" s="13">
        <f>D537*SIGN(SUM(G537:G539))*SUM(I537:I539)/6</f>
      </c>
    </row>
    <row r="541" spans="2:9" x14ac:dyDescent="0.25">
      <c r="B541">
        <v>35</v>
      </c>
      <c r="C541" s="13" t="s">
        <v>177</v>
      </c>
      <c r="G541" s="14">
        <f>G540</f>
      </c>
      <c r="H541" s="14">
        <f>H540</f>
      </c>
      <c r="I541" s="14">
        <f>I540</f>
      </c>
    </row>
  </sheetData>
  <mergeCells count="2">
    <mergeCell ref="B1:I1"/>
    <mergeCell ref="B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8" customWidth="1"/>
    <col min="3" max="4" width="14" customWidth="1"/>
    <col min="5" max="12" width="16" customWidth="1"/>
    <col min="13" max="13" width="18" customWidth="1"/>
  </cols>
  <sheetData>
    <row r="1" ht="22" customHeight="1" spans="2:12" x14ac:dyDescent="0.25">
      <c r="B1" s="1" t="s">
        <v>178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2:13" x14ac:dyDescent="0.25">
      <c r="B2" s="2" t="s">
        <v>179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28" customHeight="1" spans="2:13" x14ac:dyDescent="0.25">
      <c r="B5" s="11" t="s">
        <v>180</v>
      </c>
      <c r="C5" s="11" t="s">
        <v>181</v>
      </c>
      <c r="D5" s="11" t="s">
        <v>182</v>
      </c>
      <c r="E5" s="11" t="s">
        <v>183</v>
      </c>
      <c r="F5" s="11" t="s">
        <v>184</v>
      </c>
      <c r="G5" s="11" t="s">
        <v>185</v>
      </c>
      <c r="H5" s="11" t="s">
        <v>186</v>
      </c>
      <c r="I5" s="11" t="s">
        <v>187</v>
      </c>
      <c r="J5" s="11" t="s">
        <v>188</v>
      </c>
      <c r="K5" s="11" t="s">
        <v>189</v>
      </c>
      <c r="L5" s="11" t="s">
        <v>190</v>
      </c>
      <c r="M5" s="11" t="s">
        <v>191</v>
      </c>
    </row>
    <row r="6" spans="2:13" x14ac:dyDescent="0.25">
      <c r="B6">
        <v>1</v>
      </c>
      <c r="C6" s="17">
        <v>1655.943975515619</v>
      </c>
      <c r="D6" s="12">
        <f>beta_1*C6</f>
      </c>
      <c r="E6" s="12">
        <f>Block_Clip!G31</f>
      </c>
      <c r="F6" s="12">
        <f>Block_Clip!H31</f>
      </c>
      <c r="G6" s="12">
        <f>Block_Clip!I31</f>
      </c>
      <c r="H6" s="12">
        <f>IF(E6=0,0,F6/E6)</f>
      </c>
      <c r="I6" s="12">
        <f>IF(E6=0,0,G6/E6)</f>
      </c>
      <c r="J6" s="12">
        <f>sig_blk*E6/1000</f>
      </c>
      <c r="K6" s="12">
        <f>sig_blk*(G6-yc*E6)/1000000</f>
      </c>
      <c r="L6" s="12">
        <f>sig_blk*(F6-xc*E6)/1000000</f>
      </c>
      <c r="M6" s="18">
        <v>904090.221567438</v>
      </c>
    </row>
    <row r="7" spans="2:13" x14ac:dyDescent="0.25">
      <c r="B7">
        <v>2</v>
      </c>
      <c r="C7" s="17">
        <v>1543.159479867041</v>
      </c>
      <c r="D7" s="12">
        <f>beta_1*C7</f>
      </c>
      <c r="E7" s="12">
        <f>Block_Clip!G58</f>
      </c>
      <c r="F7" s="12">
        <f>Block_Clip!H58</f>
      </c>
      <c r="G7" s="12">
        <f>Block_Clip!I58</f>
      </c>
      <c r="H7" s="12">
        <f>IF(E7=0,0,F7/E7)</f>
      </c>
      <c r="I7" s="12">
        <f>IF(E7=0,0,G7/E7)</f>
      </c>
      <c r="J7" s="12">
        <f>sig_blk*E7/1000</f>
      </c>
      <c r="K7" s="12">
        <f>sig_blk*(G7-yc*E7)/1000000</f>
      </c>
      <c r="L7" s="12">
        <f>sig_blk*(F7-xc*E7)/1000000</f>
      </c>
      <c r="M7" s="18">
        <v>860367.3815773919</v>
      </c>
    </row>
    <row r="8" spans="2:13" x14ac:dyDescent="0.25">
      <c r="B8">
        <v>3</v>
      </c>
      <c r="C8" s="17">
        <v>1438.0566103161955</v>
      </c>
      <c r="D8" s="12">
        <f>beta_1*C8</f>
      </c>
      <c r="E8" s="12">
        <f>Block_Clip!G82</f>
      </c>
      <c r="F8" s="12">
        <f>Block_Clip!H82</f>
      </c>
      <c r="G8" s="12">
        <f>Block_Clip!I82</f>
      </c>
      <c r="H8" s="12">
        <f>IF(E8=0,0,F8/E8)</f>
      </c>
      <c r="I8" s="12">
        <f>IF(E8=0,0,G8/E8)</f>
      </c>
      <c r="J8" s="12">
        <f>sig_blk*E8/1000</f>
      </c>
      <c r="K8" s="12">
        <f>sig_blk*(G8-yc*E8)/1000000</f>
      </c>
      <c r="L8" s="12">
        <f>sig_blk*(F8-xc*E8)/1000000</f>
      </c>
      <c r="M8" s="18">
        <v>823324.9233647522</v>
      </c>
    </row>
    <row r="9" spans="2:13" x14ac:dyDescent="0.25">
      <c r="B9">
        <v>4</v>
      </c>
      <c r="C9" s="17">
        <v>1270.8407253957078</v>
      </c>
      <c r="D9" s="12">
        <f>beta_1*C9</f>
      </c>
      <c r="E9" s="12">
        <f>Block_Clip!G105</f>
      </c>
      <c r="F9" s="12">
        <f>Block_Clip!H105</f>
      </c>
      <c r="G9" s="12">
        <f>Block_Clip!I105</f>
      </c>
      <c r="H9" s="12">
        <f>IF(E9=0,0,F9/E9)</f>
      </c>
      <c r="I9" s="12">
        <f>IF(E9=0,0,G9/E9)</f>
      </c>
      <c r="J9" s="12">
        <f>sig_blk*E9/1000</f>
      </c>
      <c r="K9" s="12">
        <f>sig_blk*(G9-yc*E9)/1000000</f>
      </c>
      <c r="L9" s="12">
        <f>sig_blk*(F9-xc*E9)/1000000</f>
      </c>
      <c r="M9" s="18">
        <v>756010.9141937201</v>
      </c>
    </row>
    <row r="10" spans="2:13" x14ac:dyDescent="0.25">
      <c r="B10">
        <v>5</v>
      </c>
      <c r="C10" s="17">
        <v>1138.461483166988</v>
      </c>
      <c r="D10" s="12">
        <f>beta_1*C10</f>
      </c>
      <c r="E10" s="12">
        <f>Block_Clip!G127</f>
      </c>
      <c r="F10" s="12">
        <f>Block_Clip!H127</f>
      </c>
      <c r="G10" s="12">
        <f>Block_Clip!I127</f>
      </c>
      <c r="H10" s="12">
        <f>IF(E10=0,0,F10/E10)</f>
      </c>
      <c r="I10" s="12">
        <f>IF(E10=0,0,G10/E10)</f>
      </c>
      <c r="J10" s="12">
        <f>sig_blk*E10/1000</f>
      </c>
      <c r="K10" s="12">
        <f>sig_blk*(G10-yc*E10)/1000000</f>
      </c>
      <c r="L10" s="12">
        <f>sig_blk*(F10-xc*E10)/1000000</f>
      </c>
      <c r="M10" s="18">
        <v>662200.6013500254</v>
      </c>
    </row>
    <row r="11" spans="2:13" x14ac:dyDescent="0.25">
      <c r="B11">
        <v>6</v>
      </c>
      <c r="C11" s="17">
        <v>1031.0594564531214</v>
      </c>
      <c r="D11" s="12">
        <f>beta_1*C11</f>
      </c>
      <c r="E11" s="12">
        <f>Block_Clip!G145</f>
      </c>
      <c r="F11" s="12">
        <f>Block_Clip!H145</f>
      </c>
      <c r="G11" s="12">
        <f>Block_Clip!I145</f>
      </c>
      <c r="H11" s="12">
        <f>IF(E11=0,0,F11/E11)</f>
      </c>
      <c r="I11" s="12">
        <f>IF(E11=0,0,G11/E11)</f>
      </c>
      <c r="J11" s="12">
        <f>sig_blk*E11/1000</f>
      </c>
      <c r="K11" s="12">
        <f>sig_blk*(G11-yc*E11)/1000000</f>
      </c>
      <c r="L11" s="12">
        <f>sig_blk*(F11-xc*E11)/1000000</f>
      </c>
      <c r="M11" s="18">
        <v>556118.4316514458</v>
      </c>
    </row>
    <row r="12" spans="2:13" x14ac:dyDescent="0.25">
      <c r="B12">
        <v>7</v>
      </c>
      <c r="C12" s="17">
        <v>972.8445223481012</v>
      </c>
      <c r="D12" s="12">
        <f>beta_1*C12</f>
      </c>
      <c r="E12" s="12">
        <f>Block_Clip!G163</f>
      </c>
      <c r="F12" s="12">
        <f>Block_Clip!H163</f>
      </c>
      <c r="G12" s="12">
        <f>Block_Clip!I163</f>
      </c>
      <c r="H12" s="12">
        <f>IF(E12=0,0,F12/E12)</f>
      </c>
      <c r="I12" s="12">
        <f>IF(E12=0,0,G12/E12)</f>
      </c>
      <c r="J12" s="12">
        <f>sig_blk*E12/1000</f>
      </c>
      <c r="K12" s="12">
        <f>sig_blk*(G12-yc*E12)/1000000</f>
      </c>
      <c r="L12" s="12">
        <f>sig_blk*(F12-xc*E12)/1000000</f>
      </c>
      <c r="M12" s="18">
        <v>498260.63841329864</v>
      </c>
    </row>
    <row r="13" spans="2:13" x14ac:dyDescent="0.25">
      <c r="B13">
        <v>8</v>
      </c>
      <c r="C13" s="17">
        <v>942.1750205519902</v>
      </c>
      <c r="D13" s="12">
        <f>beta_1*C13</f>
      </c>
      <c r="E13" s="12">
        <f>Block_Clip!G182</f>
      </c>
      <c r="F13" s="12">
        <f>Block_Clip!H182</f>
      </c>
      <c r="G13" s="12">
        <f>Block_Clip!I182</f>
      </c>
      <c r="H13" s="12">
        <f>IF(E13=0,0,F13/E13)</f>
      </c>
      <c r="I13" s="12">
        <f>IF(E13=0,0,G13/E13)</f>
      </c>
      <c r="J13" s="12">
        <f>sig_blk*E13/1000</f>
      </c>
      <c r="K13" s="12">
        <f>sig_blk*(G13-yc*E13)/1000000</f>
      </c>
      <c r="L13" s="12">
        <f>sig_blk*(F13-xc*E13)/1000000</f>
      </c>
      <c r="M13" s="18">
        <v>467912.7327888178</v>
      </c>
    </row>
    <row r="14" spans="2:13" x14ac:dyDescent="0.25">
      <c r="B14">
        <v>9</v>
      </c>
      <c r="C14" s="17">
        <v>908.5596420167288</v>
      </c>
      <c r="D14" s="12">
        <f>beta_1*C14</f>
      </c>
      <c r="E14" s="12">
        <f>Block_Clip!G201</f>
      </c>
      <c r="F14" s="12">
        <f>Block_Clip!H201</f>
      </c>
      <c r="G14" s="12">
        <f>Block_Clip!I201</f>
      </c>
      <c r="H14" s="12">
        <f>IF(E14=0,0,F14/E14)</f>
      </c>
      <c r="I14" s="12">
        <f>IF(E14=0,0,G14/E14)</f>
      </c>
      <c r="J14" s="12">
        <f>sig_blk*E14/1000</f>
      </c>
      <c r="K14" s="12">
        <f>sig_blk*(G14-yc*E14)/1000000</f>
      </c>
      <c r="L14" s="12">
        <f>sig_blk*(F14-xc*E14)/1000000</f>
      </c>
      <c r="M14" s="18">
        <v>437506.3399825252</v>
      </c>
    </row>
    <row r="15" spans="2:13" x14ac:dyDescent="0.25">
      <c r="B15">
        <v>10</v>
      </c>
      <c r="C15" s="17">
        <v>867.3992252700862</v>
      </c>
      <c r="D15" s="12">
        <f>beta_1*C15</f>
      </c>
      <c r="E15" s="12">
        <f>Block_Clip!G220</f>
      </c>
      <c r="F15" s="12">
        <f>Block_Clip!H220</f>
      </c>
      <c r="G15" s="12">
        <f>Block_Clip!I220</f>
      </c>
      <c r="H15" s="12">
        <f>IF(E15=0,0,F15/E15)</f>
      </c>
      <c r="I15" s="12">
        <f>IF(E15=0,0,G15/E15)</f>
      </c>
      <c r="J15" s="12">
        <f>sig_blk*E15/1000</f>
      </c>
      <c r="K15" s="12">
        <f>sig_blk*(G15-yc*E15)/1000000</f>
      </c>
      <c r="L15" s="12">
        <f>sig_blk*(F15-xc*E15)/1000000</f>
      </c>
      <c r="M15" s="18">
        <v>405656.7490485215</v>
      </c>
    </row>
    <row r="16" spans="2:13" x14ac:dyDescent="0.25">
      <c r="B16">
        <v>11</v>
      </c>
      <c r="C16" s="17">
        <v>852.2439617264358</v>
      </c>
      <c r="D16" s="12">
        <f>beta_1*C16</f>
      </c>
      <c r="E16" s="12">
        <f>Block_Clip!G238</f>
      </c>
      <c r="F16" s="12">
        <f>Block_Clip!H238</f>
      </c>
      <c r="G16" s="12">
        <f>Block_Clip!I238</f>
      </c>
      <c r="H16" s="12">
        <f>IF(E16=0,0,F16/E16)</f>
      </c>
      <c r="I16" s="12">
        <f>IF(E16=0,0,G16/E16)</f>
      </c>
      <c r="J16" s="12">
        <f>sig_blk*E16/1000</f>
      </c>
      <c r="K16" s="12">
        <f>sig_blk*(G16-yc*E16)/1000000</f>
      </c>
      <c r="L16" s="12">
        <f>sig_blk*(F16-xc*E16)/1000000</f>
      </c>
      <c r="M16" s="18">
        <v>395372.55044142617</v>
      </c>
    </row>
    <row r="17" spans="2:13" x14ac:dyDescent="0.25">
      <c r="B17">
        <v>12</v>
      </c>
      <c r="C17" s="17">
        <v>805.8011346492399</v>
      </c>
      <c r="D17" s="12">
        <f>beta_1*C17</f>
      </c>
      <c r="E17" s="12">
        <f>Block_Clip!G256</f>
      </c>
      <c r="F17" s="12">
        <f>Block_Clip!H256</f>
      </c>
      <c r="G17" s="12">
        <f>Block_Clip!I256</f>
      </c>
      <c r="H17" s="12">
        <f>IF(E17=0,0,F17/E17)</f>
      </c>
      <c r="I17" s="12">
        <f>IF(E17=0,0,G17/E17)</f>
      </c>
      <c r="J17" s="12">
        <f>sig_blk*E17/1000</f>
      </c>
      <c r="K17" s="12">
        <f>sig_blk*(G17-yc*E17)/1000000</f>
      </c>
      <c r="L17" s="12">
        <f>sig_blk*(F17-xc*E17)/1000000</f>
      </c>
      <c r="M17" s="18">
        <v>367552.9015792972</v>
      </c>
    </row>
    <row r="18" spans="2:13" x14ac:dyDescent="0.25">
      <c r="B18">
        <v>13</v>
      </c>
      <c r="C18" s="17">
        <v>802.5020962560212</v>
      </c>
      <c r="D18" s="12">
        <f>beta_1*C18</f>
      </c>
      <c r="E18" s="12">
        <f>Block_Clip!G274</f>
      </c>
      <c r="F18" s="12">
        <f>Block_Clip!H274</f>
      </c>
      <c r="G18" s="12">
        <f>Block_Clip!I274</f>
      </c>
      <c r="H18" s="12">
        <f>IF(E18=0,0,F18/E18)</f>
      </c>
      <c r="I18" s="12">
        <f>IF(E18=0,0,G18/E18)</f>
      </c>
      <c r="J18" s="12">
        <f>sig_blk*E18/1000</f>
      </c>
      <c r="K18" s="12">
        <f>sig_blk*(G18-yc*E18)/1000000</f>
      </c>
      <c r="L18" s="12">
        <f>sig_blk*(F18-xc*E18)/1000000</f>
      </c>
      <c r="M18" s="18">
        <v>365786.79790635005</v>
      </c>
    </row>
    <row r="19" spans="2:13" x14ac:dyDescent="0.25">
      <c r="B19">
        <v>14</v>
      </c>
      <c r="C19" s="17">
        <v>758.2464659477847</v>
      </c>
      <c r="D19" s="12">
        <f>beta_1*C19</f>
      </c>
      <c r="E19" s="12">
        <f>Block_Clip!G292</f>
      </c>
      <c r="F19" s="12">
        <f>Block_Clip!H292</f>
      </c>
      <c r="G19" s="12">
        <f>Block_Clip!I292</f>
      </c>
      <c r="H19" s="12">
        <f>IF(E19=0,0,F19/E19)</f>
      </c>
      <c r="I19" s="12">
        <f>IF(E19=0,0,G19/E19)</f>
      </c>
      <c r="J19" s="12">
        <f>sig_blk*E19/1000</f>
      </c>
      <c r="K19" s="12">
        <f>sig_blk*(G19-yc*E19)/1000000</f>
      </c>
      <c r="L19" s="12">
        <f>sig_blk*(F19-xc*E19)/1000000</f>
      </c>
      <c r="M19" s="18">
        <v>344788.8754235968</v>
      </c>
    </row>
    <row r="20" spans="2:13" x14ac:dyDescent="0.25">
      <c r="B20">
        <v>15</v>
      </c>
      <c r="C20" s="17">
        <v>748.5774135892525</v>
      </c>
      <c r="D20" s="12">
        <f>beta_1*C20</f>
      </c>
      <c r="E20" s="12">
        <f>Block_Clip!G309</f>
      </c>
      <c r="F20" s="12">
        <f>Block_Clip!H309</f>
      </c>
      <c r="G20" s="12">
        <f>Block_Clip!I309</f>
      </c>
      <c r="H20" s="12">
        <f>IF(E20=0,0,F20/E20)</f>
      </c>
      <c r="I20" s="12">
        <f>IF(E20=0,0,G20/E20)</f>
      </c>
      <c r="J20" s="12">
        <f>sig_blk*E20/1000</f>
      </c>
      <c r="K20" s="12">
        <f>sig_blk*(G20-yc*E20)/1000000</f>
      </c>
      <c r="L20" s="12">
        <f>sig_blk*(F20-xc*E20)/1000000</f>
      </c>
      <c r="M20" s="18">
        <v>340800.4034626733</v>
      </c>
    </row>
    <row r="21" spans="2:13" x14ac:dyDescent="0.25">
      <c r="B21">
        <v>16</v>
      </c>
      <c r="C21" s="17">
        <v>718.61685971358</v>
      </c>
      <c r="D21" s="12">
        <f>beta_1*C21</f>
      </c>
      <c r="E21" s="12">
        <f>Block_Clip!G326</f>
      </c>
      <c r="F21" s="12">
        <f>Block_Clip!H326</f>
      </c>
      <c r="G21" s="12">
        <f>Block_Clip!I326</f>
      </c>
      <c r="H21" s="12">
        <f>IF(E21=0,0,F21/E21)</f>
      </c>
      <c r="I21" s="12">
        <f>IF(E21=0,0,G21/E21)</f>
      </c>
      <c r="J21" s="12">
        <f>sig_blk*E21/1000</f>
      </c>
      <c r="K21" s="12">
        <f>sig_blk*(G21-yc*E21)/1000000</f>
      </c>
      <c r="L21" s="12">
        <f>sig_blk*(F21-xc*E21)/1000000</f>
      </c>
      <c r="M21" s="18">
        <v>328769.4531932912</v>
      </c>
    </row>
    <row r="22" spans="2:13" x14ac:dyDescent="0.25">
      <c r="B22">
        <v>17</v>
      </c>
      <c r="C22" s="17">
        <v>682.9239693304551</v>
      </c>
      <c r="D22" s="12">
        <f>beta_1*C22</f>
      </c>
      <c r="E22" s="12">
        <f>Block_Clip!G343</f>
      </c>
      <c r="F22" s="12">
        <f>Block_Clip!H343</f>
      </c>
      <c r="G22" s="12">
        <f>Block_Clip!I343</f>
      </c>
      <c r="H22" s="12">
        <f>IF(E22=0,0,F22/E22)</f>
      </c>
      <c r="I22" s="12">
        <f>IF(E22=0,0,G22/E22)</f>
      </c>
      <c r="J22" s="12">
        <f>sig_blk*E22/1000</f>
      </c>
      <c r="K22" s="12">
        <f>sig_blk*(G22-yc*E22)/1000000</f>
      </c>
      <c r="L22" s="12">
        <f>sig_blk*(F22-xc*E22)/1000000</f>
      </c>
      <c r="M22" s="18">
        <v>315070.49716498633</v>
      </c>
    </row>
    <row r="23" spans="2:13" x14ac:dyDescent="0.25">
      <c r="B23">
        <v>18</v>
      </c>
      <c r="C23" s="17">
        <v>658.387363759222</v>
      </c>
      <c r="D23" s="12">
        <f>beta_1*C23</f>
      </c>
      <c r="E23" s="12">
        <f>Block_Clip!G360</f>
      </c>
      <c r="F23" s="12">
        <f>Block_Clip!H360</f>
      </c>
      <c r="G23" s="12">
        <f>Block_Clip!I360</f>
      </c>
      <c r="H23" s="12">
        <f>IF(E23=0,0,F23/E23)</f>
      </c>
      <c r="I23" s="12">
        <f>IF(E23=0,0,G23/E23)</f>
      </c>
      <c r="J23" s="12">
        <f>sig_blk*E23/1000</f>
      </c>
      <c r="K23" s="12">
        <f>sig_blk*(G23-yc*E23)/1000000</f>
      </c>
      <c r="L23" s="12">
        <f>sig_blk*(F23-xc*E23)/1000000</f>
      </c>
      <c r="M23" s="18">
        <v>306053.0771095642</v>
      </c>
    </row>
    <row r="24" spans="2:13" x14ac:dyDescent="0.25">
      <c r="B24">
        <v>19</v>
      </c>
      <c r="C24" s="17">
        <v>650.6089550088246</v>
      </c>
      <c r="D24" s="12">
        <f>beta_1*C24</f>
      </c>
      <c r="E24" s="12">
        <f>Block_Clip!G377</f>
      </c>
      <c r="F24" s="12">
        <f>Block_Clip!H377</f>
      </c>
      <c r="G24" s="12">
        <f>Block_Clip!I377</f>
      </c>
      <c r="H24" s="12">
        <f>IF(E24=0,0,F24/E24)</f>
      </c>
      <c r="I24" s="12">
        <f>IF(E24=0,0,G24/E24)</f>
      </c>
      <c r="J24" s="12">
        <f>sig_blk*E24/1000</f>
      </c>
      <c r="K24" s="12">
        <f>sig_blk*(G24-yc*E24)/1000000</f>
      </c>
      <c r="L24" s="12">
        <f>sig_blk*(F24-xc*E24)/1000000</f>
      </c>
      <c r="M24" s="18">
        <v>303262.4346073556</v>
      </c>
    </row>
    <row r="25" spans="2:13" x14ac:dyDescent="0.25">
      <c r="B25">
        <v>20</v>
      </c>
      <c r="C25" s="17">
        <v>621.2139721017995</v>
      </c>
      <c r="D25" s="12">
        <f>beta_1*C25</f>
      </c>
      <c r="E25" s="12">
        <f>Block_Clip!G394</f>
      </c>
      <c r="F25" s="12">
        <f>Block_Clip!H394</f>
      </c>
      <c r="G25" s="12">
        <f>Block_Clip!I394</f>
      </c>
      <c r="H25" s="12">
        <f>IF(E25=0,0,F25/E25)</f>
      </c>
      <c r="I25" s="12">
        <f>IF(E25=0,0,G25/E25)</f>
      </c>
      <c r="J25" s="12">
        <f>sig_blk*E25/1000</f>
      </c>
      <c r="K25" s="12">
        <f>sig_blk*(G25-yc*E25)/1000000</f>
      </c>
      <c r="L25" s="12">
        <f>sig_blk*(F25-xc*E25)/1000000</f>
      </c>
      <c r="M25" s="18">
        <v>293012.0354328243</v>
      </c>
    </row>
    <row r="26" spans="2:13" x14ac:dyDescent="0.25">
      <c r="B26">
        <v>21</v>
      </c>
      <c r="C26" s="17">
        <v>613.788641614406</v>
      </c>
      <c r="D26" s="12">
        <f>beta_1*C26</f>
      </c>
      <c r="E26" s="12">
        <f>Block_Clip!G410</f>
      </c>
      <c r="F26" s="12">
        <f>Block_Clip!H410</f>
      </c>
      <c r="G26" s="12">
        <f>Block_Clip!I410</f>
      </c>
      <c r="H26" s="12">
        <f>IF(E26=0,0,F26/E26)</f>
      </c>
      <c r="I26" s="12">
        <f>IF(E26=0,0,G26/E26)</f>
      </c>
      <c r="J26" s="12">
        <f>sig_blk*E26/1000</f>
      </c>
      <c r="K26" s="12">
        <f>sig_blk*(G26-yc*E26)/1000000</f>
      </c>
      <c r="L26" s="12">
        <f>sig_blk*(F26-xc*E26)/1000000</f>
      </c>
      <c r="M26" s="18">
        <v>290482.4558515817</v>
      </c>
    </row>
    <row r="27" spans="2:13" x14ac:dyDescent="0.25">
      <c r="B27">
        <v>22</v>
      </c>
      <c r="C27" s="17">
        <v>572.2110072462349</v>
      </c>
      <c r="D27" s="12">
        <f>beta_1*C27</f>
      </c>
      <c r="E27" s="12">
        <f>Block_Clip!G425</f>
      </c>
      <c r="F27" s="12">
        <f>Block_Clip!H425</f>
      </c>
      <c r="G27" s="12">
        <f>Block_Clip!I425</f>
      </c>
      <c r="H27" s="12">
        <f>IF(E27=0,0,F27/E27)</f>
      </c>
      <c r="I27" s="12">
        <f>IF(E27=0,0,G27/E27)</f>
      </c>
      <c r="J27" s="12">
        <f>sig_blk*E27/1000</f>
      </c>
      <c r="K27" s="12">
        <f>sig_blk*(G27-yc*E27)/1000000</f>
      </c>
      <c r="L27" s="12">
        <f>sig_blk*(F27-xc*E27)/1000000</f>
      </c>
      <c r="M27" s="18">
        <v>276050.0177990015</v>
      </c>
    </row>
    <row r="28" spans="2:13" x14ac:dyDescent="0.25">
      <c r="B28">
        <v>23</v>
      </c>
      <c r="C28" s="17">
        <v>505.9828814075503</v>
      </c>
      <c r="D28" s="12">
        <f>beta_1*C28</f>
      </c>
      <c r="E28" s="12">
        <f>Block_Clip!G439</f>
      </c>
      <c r="F28" s="12">
        <f>Block_Clip!H439</f>
      </c>
      <c r="G28" s="12">
        <f>Block_Clip!I439</f>
      </c>
      <c r="H28" s="12">
        <f>IF(E28=0,0,F28/E28)</f>
      </c>
      <c r="I28" s="12">
        <f>IF(E28=0,0,G28/E28)</f>
      </c>
      <c r="J28" s="12">
        <f>sig_blk*E28/1000</f>
      </c>
      <c r="K28" s="12">
        <f>sig_blk*(G28-yc*E28)/1000000</f>
      </c>
      <c r="L28" s="12">
        <f>sig_blk*(F28-xc*E28)/1000000</f>
      </c>
      <c r="M28" s="18">
        <v>252115.74930778416</v>
      </c>
    </row>
    <row r="29" spans="2:13" x14ac:dyDescent="0.25">
      <c r="B29">
        <v>24</v>
      </c>
      <c r="C29" s="17">
        <v>453.49503063913215</v>
      </c>
      <c r="D29" s="12">
        <f>beta_1*C29</f>
      </c>
      <c r="E29" s="12">
        <f>Block_Clip!G452</f>
      </c>
      <c r="F29" s="12">
        <f>Block_Clip!H452</f>
      </c>
      <c r="G29" s="12">
        <f>Block_Clip!I452</f>
      </c>
      <c r="H29" s="12">
        <f>IF(E29=0,0,F29/E29)</f>
      </c>
      <c r="I29" s="12">
        <f>IF(E29=0,0,G29/E29)</f>
      </c>
      <c r="J29" s="12">
        <f>sig_blk*E29/1000</f>
      </c>
      <c r="K29" s="12">
        <f>sig_blk*(G29-yc*E29)/1000000</f>
      </c>
      <c r="L29" s="12">
        <f>sig_blk*(F29-xc*E29)/1000000</f>
      </c>
      <c r="M29" s="18">
        <v>232925.08850979927</v>
      </c>
    </row>
    <row r="30" spans="2:13" x14ac:dyDescent="0.25">
      <c r="B30">
        <v>25</v>
      </c>
      <c r="C30" s="17">
        <v>410.8733172331987</v>
      </c>
      <c r="D30" s="12">
        <f>beta_1*C30</f>
      </c>
      <c r="E30" s="12">
        <f>Block_Clip!G465</f>
      </c>
      <c r="F30" s="12">
        <f>Block_Clip!H465</f>
      </c>
      <c r="G30" s="12">
        <f>Block_Clip!I465</f>
      </c>
      <c r="H30" s="12">
        <f>IF(E30=0,0,F30/E30)</f>
      </c>
      <c r="I30" s="12">
        <f>IF(E30=0,0,G30/E30)</f>
      </c>
      <c r="J30" s="12">
        <f>sig_blk*E30/1000</f>
      </c>
      <c r="K30" s="12">
        <f>sig_blk*(G30-yc*E30)/1000000</f>
      </c>
      <c r="L30" s="12">
        <f>sig_blk*(F30-xc*E30)/1000000</f>
      </c>
      <c r="M30" s="18">
        <v>214435.31715964727</v>
      </c>
    </row>
    <row r="31" spans="2:13" x14ac:dyDescent="0.25">
      <c r="B31">
        <v>26</v>
      </c>
      <c r="C31" s="17">
        <v>345.8617164051609</v>
      </c>
      <c r="D31" s="12">
        <f>beta_1*C31</f>
      </c>
      <c r="E31" s="12">
        <f>Block_Clip!G477</f>
      </c>
      <c r="F31" s="12">
        <f>Block_Clip!H477</f>
      </c>
      <c r="G31" s="12">
        <f>Block_Clip!I477</f>
      </c>
      <c r="H31" s="12">
        <f>IF(E31=0,0,F31/E31)</f>
      </c>
      <c r="I31" s="12">
        <f>IF(E31=0,0,G31/E31)</f>
      </c>
      <c r="J31" s="12">
        <f>sig_blk*E31/1000</f>
      </c>
      <c r="K31" s="12">
        <f>sig_blk*(G31-yc*E31)/1000000</f>
      </c>
      <c r="L31" s="12">
        <f>sig_blk*(F31-xc*E31)/1000000</f>
      </c>
      <c r="M31" s="18">
        <v>179043.2415985726</v>
      </c>
    </row>
    <row r="32" spans="2:13" x14ac:dyDescent="0.25">
      <c r="B32">
        <v>27</v>
      </c>
      <c r="C32" s="17">
        <v>298.61284804380017</v>
      </c>
      <c r="D32" s="12">
        <f>beta_1*C32</f>
      </c>
      <c r="E32" s="12">
        <f>Block_Clip!G489</f>
      </c>
      <c r="F32" s="12">
        <f>Block_Clip!H489</f>
      </c>
      <c r="G32" s="12">
        <f>Block_Clip!I489</f>
      </c>
      <c r="H32" s="12">
        <f>IF(E32=0,0,F32/E32)</f>
      </c>
      <c r="I32" s="12">
        <f>IF(E32=0,0,G32/E32)</f>
      </c>
      <c r="J32" s="12">
        <f>sig_blk*E32/1000</f>
      </c>
      <c r="K32" s="12">
        <f>sig_blk*(G32-yc*E32)/1000000</f>
      </c>
      <c r="L32" s="12">
        <f>sig_blk*(F32-xc*E32)/1000000</f>
      </c>
      <c r="M32" s="18">
        <v>146287.4144579612</v>
      </c>
    </row>
    <row r="33" spans="2:13" x14ac:dyDescent="0.25">
      <c r="B33">
        <v>28</v>
      </c>
      <c r="C33" s="17">
        <v>262.7218807308434</v>
      </c>
      <c r="D33" s="12">
        <f>beta_1*C33</f>
      </c>
      <c r="E33" s="12">
        <f>Block_Clip!G497</f>
      </c>
      <c r="F33" s="12">
        <f>Block_Clip!H497</f>
      </c>
      <c r="G33" s="12">
        <f>Block_Clip!I497</f>
      </c>
      <c r="H33" s="12">
        <f>IF(E33=0,0,F33/E33)</f>
      </c>
      <c r="I33" s="12">
        <f>IF(E33=0,0,G33/E33)</f>
      </c>
      <c r="J33" s="12">
        <f>sig_blk*E33/1000</f>
      </c>
      <c r="K33" s="12">
        <f>sig_blk*(G33-yc*E33)/1000000</f>
      </c>
      <c r="L33" s="12">
        <f>sig_blk*(F33-xc*E33)/1000000</f>
      </c>
      <c r="M33" s="18">
        <v>117211.12665172259</v>
      </c>
    </row>
    <row r="34" spans="2:13" x14ac:dyDescent="0.25">
      <c r="B34">
        <v>29</v>
      </c>
      <c r="C34" s="17">
        <v>234.5328377339718</v>
      </c>
      <c r="D34" s="12">
        <f>beta_1*C34</f>
      </c>
      <c r="E34" s="12">
        <f>Block_Clip!G504</f>
      </c>
      <c r="F34" s="12">
        <f>Block_Clip!H504</f>
      </c>
      <c r="G34" s="12">
        <f>Block_Clip!I504</f>
      </c>
      <c r="H34" s="12">
        <f>IF(E34=0,0,F34/E34)</f>
      </c>
      <c r="I34" s="12">
        <f>IF(E34=0,0,G34/E34)</f>
      </c>
      <c r="J34" s="12">
        <f>sig_blk*E34/1000</f>
      </c>
      <c r="K34" s="12">
        <f>sig_blk*(G34-yc*E34)/1000000</f>
      </c>
      <c r="L34" s="12">
        <f>sig_blk*(F34-xc*E34)/1000000</f>
      </c>
      <c r="M34" s="18">
        <v>94615.22004612029</v>
      </c>
    </row>
    <row r="35" spans="2:13" x14ac:dyDescent="0.25">
      <c r="B35">
        <v>30</v>
      </c>
      <c r="C35" s="17">
        <v>193.09594060782837</v>
      </c>
      <c r="D35" s="12">
        <f>beta_1*C35</f>
      </c>
      <c r="E35" s="12">
        <f>Block_Clip!G511</f>
      </c>
      <c r="F35" s="12">
        <f>Block_Clip!H511</f>
      </c>
      <c r="G35" s="12">
        <f>Block_Clip!I511</f>
      </c>
      <c r="H35" s="12">
        <f>IF(E35=0,0,F35/E35)</f>
      </c>
      <c r="I35" s="12">
        <f>IF(E35=0,0,G35/E35)</f>
      </c>
      <c r="J35" s="12">
        <f>sig_blk*E35/1000</f>
      </c>
      <c r="K35" s="12">
        <f>sig_blk*(G35-yc*E35)/1000000</f>
      </c>
      <c r="L35" s="12">
        <f>sig_blk*(F35-xc*E35)/1000000</f>
      </c>
      <c r="M35" s="18">
        <v>65070.33842125308</v>
      </c>
    </row>
    <row r="36" spans="2:13" x14ac:dyDescent="0.25">
      <c r="B36">
        <v>31</v>
      </c>
      <c r="C36" s="17">
        <v>164.10255613217848</v>
      </c>
      <c r="D36" s="12">
        <f>beta_1*C36</f>
      </c>
      <c r="E36" s="12">
        <f>Block_Clip!G517</f>
      </c>
      <c r="F36" s="12">
        <f>Block_Clip!H517</f>
      </c>
      <c r="G36" s="12">
        <f>Block_Clip!I517</f>
      </c>
      <c r="H36" s="12">
        <f>IF(E36=0,0,F36/E36)</f>
      </c>
      <c r="I36" s="12">
        <f>IF(E36=0,0,G36/E36)</f>
      </c>
      <c r="J36" s="12">
        <f>sig_blk*E36/1000</f>
      </c>
      <c r="K36" s="12">
        <f>sig_blk*(G36-yc*E36)/1000000</f>
      </c>
      <c r="L36" s="12">
        <f>sig_blk*(F36-xc*E36)/1000000</f>
      </c>
      <c r="M36" s="18">
        <v>47086.82822677406</v>
      </c>
    </row>
    <row r="37" spans="2:13" x14ac:dyDescent="0.25">
      <c r="B37">
        <v>32</v>
      </c>
      <c r="C37" s="17">
        <v>126.20358242959684</v>
      </c>
      <c r="D37" s="12">
        <f>beta_1*C37</f>
      </c>
      <c r="E37" s="12">
        <f>Block_Clip!G523</f>
      </c>
      <c r="F37" s="12">
        <f>Block_Clip!H523</f>
      </c>
      <c r="G37" s="12">
        <f>Block_Clip!I523</f>
      </c>
      <c r="H37" s="12">
        <f>IF(E37=0,0,F37/E37)</f>
      </c>
      <c r="I37" s="12">
        <f>IF(E37=0,0,G37/E37)</f>
      </c>
      <c r="J37" s="12">
        <f>sig_blk*E37/1000</f>
      </c>
      <c r="K37" s="12">
        <f>sig_blk*(G37-yc*E37)/1000000</f>
      </c>
      <c r="L37" s="12">
        <f>sig_blk*(F37-xc*E37)/1000000</f>
      </c>
      <c r="M37" s="18">
        <v>27849.160725369235</v>
      </c>
    </row>
    <row r="38" spans="2:13" x14ac:dyDescent="0.25">
      <c r="B38">
        <v>33</v>
      </c>
      <c r="C38" s="17">
        <v>102.52561199252425</v>
      </c>
      <c r="D38" s="12">
        <f>beta_1*C38</f>
      </c>
      <c r="E38" s="12">
        <f>Block_Clip!G529</f>
      </c>
      <c r="F38" s="12">
        <f>Block_Clip!H529</f>
      </c>
      <c r="G38" s="12">
        <f>Block_Clip!I529</f>
      </c>
      <c r="H38" s="12">
        <f>IF(E38=0,0,F38/E38)</f>
      </c>
      <c r="I38" s="12">
        <f>IF(E38=0,0,G38/E38)</f>
      </c>
      <c r="J38" s="12">
        <f>sig_blk*E38/1000</f>
      </c>
      <c r="K38" s="12">
        <f>sig_blk*(G38-yc*E38)/1000000</f>
      </c>
      <c r="L38" s="12">
        <f>sig_blk*(F38-xc*E38)/1000000</f>
      </c>
      <c r="M38" s="18">
        <v>18379.491269421735</v>
      </c>
    </row>
    <row r="39" spans="2:13" x14ac:dyDescent="0.25">
      <c r="B39">
        <v>34</v>
      </c>
      <c r="C39" s="17">
        <v>69.79074226311039</v>
      </c>
      <c r="D39" s="12">
        <f>beta_1*C39</f>
      </c>
      <c r="E39" s="12">
        <f>Block_Clip!G535</f>
      </c>
      <c r="F39" s="12">
        <f>Block_Clip!H535</f>
      </c>
      <c r="G39" s="12">
        <f>Block_Clip!I535</f>
      </c>
      <c r="H39" s="12">
        <f>IF(E39=0,0,F39/E39)</f>
      </c>
      <c r="I39" s="12">
        <f>IF(E39=0,0,G39/E39)</f>
      </c>
      <c r="J39" s="12">
        <f>sig_blk*E39/1000</f>
      </c>
      <c r="K39" s="12">
        <f>sig_blk*(G39-yc*E39)/1000000</f>
      </c>
      <c r="L39" s="12">
        <f>sig_blk*(F39-xc*E39)/1000000</f>
      </c>
      <c r="M39" s="18">
        <v>8516.563329693992</v>
      </c>
    </row>
    <row r="40" spans="2:13" x14ac:dyDescent="0.25">
      <c r="B40">
        <v>35</v>
      </c>
      <c r="C40" s="17">
        <v>52.90043677833052</v>
      </c>
      <c r="D40" s="12">
        <f>beta_1*C40</f>
      </c>
      <c r="E40" s="12">
        <f>Block_Clip!G541</f>
      </c>
      <c r="F40" s="12">
        <f>Block_Clip!H541</f>
      </c>
      <c r="G40" s="12">
        <f>Block_Clip!I541</f>
      </c>
      <c r="H40" s="12">
        <f>IF(E40=0,0,F40/E40)</f>
      </c>
      <c r="I40" s="12">
        <f>IF(E40=0,0,G40/E40)</f>
      </c>
      <c r="J40" s="12">
        <f>sig_blk*E40/1000</f>
      </c>
      <c r="K40" s="12">
        <f>sig_blk*(G40-yc*E40)/1000000</f>
      </c>
      <c r="L40" s="12">
        <f>sig_blk*(F40-xc*E40)/1000000</f>
      </c>
      <c r="M40" s="18">
        <v>4893.135713364842</v>
      </c>
    </row>
    <row r="42" spans="2:8" x14ac:dyDescent="0.25">
      <c r="B42" s="13" t="s">
        <v>192</v>
      </c>
      <c r="E42" s="19">
        <f>MAX(ABS(E6:E40-M6:M40))</f>
      </c>
      <c r="F42">
        <f>IF(E42&lt;=0.000001*MAX(M6:M40),"OK - the clipped polygon reproduces the area used by the kernel","CHECK - clipped area disagrees")</f>
      </c>
      <c r="H42" s="2" t="s">
        <v>193</v>
      </c>
    </row>
  </sheetData>
  <mergeCells count="2">
    <mergeCell ref="B1:L1"/>
    <mergeCell ref="B2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635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3" width="8" customWidth="1"/>
    <col min="4" max="8" width="12" customWidth="1"/>
    <col min="9" max="9" width="14" customWidth="1"/>
    <col min="10" max="12" width="12" customWidth="1"/>
    <col min="13" max="15" width="14" customWidth="1"/>
  </cols>
  <sheetData>
    <row r="1" ht="22" customHeight="1" spans="2:14" x14ac:dyDescent="0.25">
      <c r="B1" s="1" t="s">
        <v>194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2:16" x14ac:dyDescent="0.25">
      <c r="B2" s="2" t="s">
        <v>195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ht="28" customHeight="1" spans="2:15" x14ac:dyDescent="0.25">
      <c r="B5" s="11" t="s">
        <v>180</v>
      </c>
      <c r="C5" s="11" t="s">
        <v>196</v>
      </c>
      <c r="D5" s="11" t="s">
        <v>181</v>
      </c>
      <c r="E5" s="11" t="s">
        <v>197</v>
      </c>
      <c r="F5" s="11" t="s">
        <v>198</v>
      </c>
      <c r="G5" s="11" t="s">
        <v>199</v>
      </c>
      <c r="H5" s="11" t="s">
        <v>200</v>
      </c>
      <c r="I5" s="11" t="s">
        <v>201</v>
      </c>
      <c r="J5" s="11" t="s">
        <v>202</v>
      </c>
      <c r="K5" s="11" t="s">
        <v>203</v>
      </c>
      <c r="L5" s="11" t="s">
        <v>204</v>
      </c>
      <c r="M5" s="11" t="s">
        <v>205</v>
      </c>
      <c r="N5" s="11" t="s">
        <v>206</v>
      </c>
      <c r="O5" s="11" t="s">
        <v>207</v>
      </c>
    </row>
    <row r="6" spans="2:15" x14ac:dyDescent="0.25">
      <c r="B6">
        <v>1</v>
      </c>
      <c r="C6">
        <v>1</v>
      </c>
      <c r="D6" s="17">
        <f>INDEX(Blk_c,MATCH(B6,Blk_St,0))</f>
      </c>
      <c r="E6" s="17">
        <f>INDEX(Bar_U,MATCH(C6,Bar_No,0))</f>
      </c>
      <c r="F6" s="17">
        <f>u_max-E6</f>
      </c>
      <c r="G6" s="20">
        <f>ecu*(1-F6/D6)</f>
      </c>
      <c r="H6" s="20">
        <f>MAX(0,-G6)</f>
      </c>
      <c r="I6" s="17">
        <f>MAX(MIN(Es*G6,fy),-fy)</f>
      </c>
      <c r="J6">
        <f>IF(E6&gt;=u_max-beta_1*D6-blk_tol,1,0)</f>
      </c>
      <c r="K6" s="17">
        <f>J6*sig_blk</f>
      </c>
      <c r="L6" s="17">
        <f>I6-K6</f>
      </c>
      <c r="M6" s="17">
        <f>INDEX(Bar_As,MATCH(C6,Bar_No,0))*L6/1000</f>
      </c>
      <c r="N6" s="17">
        <f>M6*INDEX(Bar_Y,MATCH(C6,Bar_No,0))/1000</f>
      </c>
      <c r="O6" s="17">
        <f>M6*INDEX(Bar_X,MATCH(C6,Bar_No,0))/1000</f>
      </c>
    </row>
    <row r="7" spans="2:15" x14ac:dyDescent="0.25">
      <c r="B7">
        <v>1</v>
      </c>
      <c r="C7">
        <v>2</v>
      </c>
      <c r="D7" s="17">
        <f>INDEX(Blk_c,MATCH(B7,Blk_St,0))</f>
      </c>
      <c r="E7" s="17">
        <f>INDEX(Bar_U,MATCH(C7,Bar_No,0))</f>
      </c>
      <c r="F7" s="17">
        <f>u_max-E7</f>
      </c>
      <c r="G7" s="20">
        <f>ecu*(1-F7/D7)</f>
      </c>
      <c r="H7" s="20">
        <f>MAX(0,-G7)</f>
      </c>
      <c r="I7" s="17">
        <f>MAX(MIN(Es*G7,fy),-fy)</f>
      </c>
      <c r="J7">
        <f>IF(E7&gt;=u_max-beta_1*D7-blk_tol,1,0)</f>
      </c>
      <c r="K7" s="17">
        <f>J7*sig_blk</f>
      </c>
      <c r="L7" s="17">
        <f>I7-K7</f>
      </c>
      <c r="M7" s="17">
        <f>INDEX(Bar_As,MATCH(C7,Bar_No,0))*L7/1000</f>
      </c>
      <c r="N7" s="17">
        <f>M7*INDEX(Bar_Y,MATCH(C7,Bar_No,0))/1000</f>
      </c>
      <c r="O7" s="17">
        <f>M7*INDEX(Bar_X,MATCH(C7,Bar_No,0))/1000</f>
      </c>
    </row>
    <row r="8" spans="2:15" x14ac:dyDescent="0.25">
      <c r="B8">
        <v>1</v>
      </c>
      <c r="C8">
        <v>3</v>
      </c>
      <c r="D8" s="17">
        <f>INDEX(Blk_c,MATCH(B8,Blk_St,0))</f>
      </c>
      <c r="E8" s="17">
        <f>INDEX(Bar_U,MATCH(C8,Bar_No,0))</f>
      </c>
      <c r="F8" s="17">
        <f>u_max-E8</f>
      </c>
      <c r="G8" s="20">
        <f>ecu*(1-F8/D8)</f>
      </c>
      <c r="H8" s="20">
        <f>MAX(0,-G8)</f>
      </c>
      <c r="I8" s="17">
        <f>MAX(MIN(Es*G8,fy),-fy)</f>
      </c>
      <c r="J8">
        <f>IF(E8&gt;=u_max-beta_1*D8-blk_tol,1,0)</f>
      </c>
      <c r="K8" s="17">
        <f>J8*sig_blk</f>
      </c>
      <c r="L8" s="17">
        <f>I8-K8</f>
      </c>
      <c r="M8" s="17">
        <f>INDEX(Bar_As,MATCH(C8,Bar_No,0))*L8/1000</f>
      </c>
      <c r="N8" s="17">
        <f>M8*INDEX(Bar_Y,MATCH(C8,Bar_No,0))/1000</f>
      </c>
      <c r="O8" s="17">
        <f>M8*INDEX(Bar_X,MATCH(C8,Bar_No,0))/1000</f>
      </c>
    </row>
    <row r="9" spans="2:15" x14ac:dyDescent="0.25">
      <c r="B9">
        <v>1</v>
      </c>
      <c r="C9">
        <v>4</v>
      </c>
      <c r="D9" s="17">
        <f>INDEX(Blk_c,MATCH(B9,Blk_St,0))</f>
      </c>
      <c r="E9" s="17">
        <f>INDEX(Bar_U,MATCH(C9,Bar_No,0))</f>
      </c>
      <c r="F9" s="17">
        <f>u_max-E9</f>
      </c>
      <c r="G9" s="20">
        <f>ecu*(1-F9/D9)</f>
      </c>
      <c r="H9" s="20">
        <f>MAX(0,-G9)</f>
      </c>
      <c r="I9" s="17">
        <f>MAX(MIN(Es*G9,fy),-fy)</f>
      </c>
      <c r="J9">
        <f>IF(E9&gt;=u_max-beta_1*D9-blk_tol,1,0)</f>
      </c>
      <c r="K9" s="17">
        <f>J9*sig_blk</f>
      </c>
      <c r="L9" s="17">
        <f>I9-K9</f>
      </c>
      <c r="M9" s="17">
        <f>INDEX(Bar_As,MATCH(C9,Bar_No,0))*L9/1000</f>
      </c>
      <c r="N9" s="17">
        <f>M9*INDEX(Bar_Y,MATCH(C9,Bar_No,0))/1000</f>
      </c>
      <c r="O9" s="17">
        <f>M9*INDEX(Bar_X,MATCH(C9,Bar_No,0))/1000</f>
      </c>
    </row>
    <row r="10" spans="2:15" x14ac:dyDescent="0.25">
      <c r="B10">
        <v>1</v>
      </c>
      <c r="C10">
        <v>5</v>
      </c>
      <c r="D10" s="17">
        <f>INDEX(Blk_c,MATCH(B10,Blk_St,0))</f>
      </c>
      <c r="E10" s="17">
        <f>INDEX(Bar_U,MATCH(C10,Bar_No,0))</f>
      </c>
      <c r="F10" s="17">
        <f>u_max-E10</f>
      </c>
      <c r="G10" s="20">
        <f>ecu*(1-F10/D10)</f>
      </c>
      <c r="H10" s="20">
        <f>MAX(0,-G10)</f>
      </c>
      <c r="I10" s="17">
        <f>MAX(MIN(Es*G10,fy),-fy)</f>
      </c>
      <c r="J10">
        <f>IF(E10&gt;=u_max-beta_1*D10-blk_tol,1,0)</f>
      </c>
      <c r="K10" s="17">
        <f>J10*sig_blk</f>
      </c>
      <c r="L10" s="17">
        <f>I10-K10</f>
      </c>
      <c r="M10" s="17">
        <f>INDEX(Bar_As,MATCH(C10,Bar_No,0))*L10/1000</f>
      </c>
      <c r="N10" s="17">
        <f>M10*INDEX(Bar_Y,MATCH(C10,Bar_No,0))/1000</f>
      </c>
      <c r="O10" s="17">
        <f>M10*INDEX(Bar_X,MATCH(C10,Bar_No,0))/1000</f>
      </c>
    </row>
    <row r="11" spans="2:15" x14ac:dyDescent="0.25">
      <c r="B11">
        <v>1</v>
      </c>
      <c r="C11">
        <v>6</v>
      </c>
      <c r="D11" s="17">
        <f>INDEX(Blk_c,MATCH(B11,Blk_St,0))</f>
      </c>
      <c r="E11" s="17">
        <f>INDEX(Bar_U,MATCH(C11,Bar_No,0))</f>
      </c>
      <c r="F11" s="17">
        <f>u_max-E11</f>
      </c>
      <c r="G11" s="20">
        <f>ecu*(1-F11/D11)</f>
      </c>
      <c r="H11" s="20">
        <f>MAX(0,-G11)</f>
      </c>
      <c r="I11" s="17">
        <f>MAX(MIN(Es*G11,fy),-fy)</f>
      </c>
      <c r="J11">
        <f>IF(E11&gt;=u_max-beta_1*D11-blk_tol,1,0)</f>
      </c>
      <c r="K11" s="17">
        <f>J11*sig_blk</f>
      </c>
      <c r="L11" s="17">
        <f>I11-K11</f>
      </c>
      <c r="M11" s="17">
        <f>INDEX(Bar_As,MATCH(C11,Bar_No,0))*L11/1000</f>
      </c>
      <c r="N11" s="17">
        <f>M11*INDEX(Bar_Y,MATCH(C11,Bar_No,0))/1000</f>
      </c>
      <c r="O11" s="17">
        <f>M11*INDEX(Bar_X,MATCH(C11,Bar_No,0))/1000</f>
      </c>
    </row>
    <row r="12" spans="2:15" x14ac:dyDescent="0.25">
      <c r="B12">
        <v>1</v>
      </c>
      <c r="C12">
        <v>7</v>
      </c>
      <c r="D12" s="17">
        <f>INDEX(Blk_c,MATCH(B12,Blk_St,0))</f>
      </c>
      <c r="E12" s="17">
        <f>INDEX(Bar_U,MATCH(C12,Bar_No,0))</f>
      </c>
      <c r="F12" s="17">
        <f>u_max-E12</f>
      </c>
      <c r="G12" s="20">
        <f>ecu*(1-F12/D12)</f>
      </c>
      <c r="H12" s="20">
        <f>MAX(0,-G12)</f>
      </c>
      <c r="I12" s="17">
        <f>MAX(MIN(Es*G12,fy),-fy)</f>
      </c>
      <c r="J12">
        <f>IF(E12&gt;=u_max-beta_1*D12-blk_tol,1,0)</f>
      </c>
      <c r="K12" s="17">
        <f>J12*sig_blk</f>
      </c>
      <c r="L12" s="17">
        <f>I12-K12</f>
      </c>
      <c r="M12" s="17">
        <f>INDEX(Bar_As,MATCH(C12,Bar_No,0))*L12/1000</f>
      </c>
      <c r="N12" s="17">
        <f>M12*INDEX(Bar_Y,MATCH(C12,Bar_No,0))/1000</f>
      </c>
      <c r="O12" s="17">
        <f>M12*INDEX(Bar_X,MATCH(C12,Bar_No,0))/1000</f>
      </c>
    </row>
    <row r="13" spans="2:15" x14ac:dyDescent="0.25">
      <c r="B13">
        <v>1</v>
      </c>
      <c r="C13">
        <v>8</v>
      </c>
      <c r="D13" s="17">
        <f>INDEX(Blk_c,MATCH(B13,Blk_St,0))</f>
      </c>
      <c r="E13" s="17">
        <f>INDEX(Bar_U,MATCH(C13,Bar_No,0))</f>
      </c>
      <c r="F13" s="17">
        <f>u_max-E13</f>
      </c>
      <c r="G13" s="20">
        <f>ecu*(1-F13/D13)</f>
      </c>
      <c r="H13" s="20">
        <f>MAX(0,-G13)</f>
      </c>
      <c r="I13" s="17">
        <f>MAX(MIN(Es*G13,fy),-fy)</f>
      </c>
      <c r="J13">
        <f>IF(E13&gt;=u_max-beta_1*D13-blk_tol,1,0)</f>
      </c>
      <c r="K13" s="17">
        <f>J13*sig_blk</f>
      </c>
      <c r="L13" s="17">
        <f>I13-K13</f>
      </c>
      <c r="M13" s="17">
        <f>INDEX(Bar_As,MATCH(C13,Bar_No,0))*L13/1000</f>
      </c>
      <c r="N13" s="17">
        <f>M13*INDEX(Bar_Y,MATCH(C13,Bar_No,0))/1000</f>
      </c>
      <c r="O13" s="17">
        <f>M13*INDEX(Bar_X,MATCH(C13,Bar_No,0))/1000</f>
      </c>
    </row>
    <row r="14" spans="2:15" x14ac:dyDescent="0.25">
      <c r="B14">
        <v>1</v>
      </c>
      <c r="C14">
        <v>9</v>
      </c>
      <c r="D14" s="17">
        <f>INDEX(Blk_c,MATCH(B14,Blk_St,0))</f>
      </c>
      <c r="E14" s="17">
        <f>INDEX(Bar_U,MATCH(C14,Bar_No,0))</f>
      </c>
      <c r="F14" s="17">
        <f>u_max-E14</f>
      </c>
      <c r="G14" s="20">
        <f>ecu*(1-F14/D14)</f>
      </c>
      <c r="H14" s="20">
        <f>MAX(0,-G14)</f>
      </c>
      <c r="I14" s="17">
        <f>MAX(MIN(Es*G14,fy),-fy)</f>
      </c>
      <c r="J14">
        <f>IF(E14&gt;=u_max-beta_1*D14-blk_tol,1,0)</f>
      </c>
      <c r="K14" s="17">
        <f>J14*sig_blk</f>
      </c>
      <c r="L14" s="17">
        <f>I14-K14</f>
      </c>
      <c r="M14" s="17">
        <f>INDEX(Bar_As,MATCH(C14,Bar_No,0))*L14/1000</f>
      </c>
      <c r="N14" s="17">
        <f>M14*INDEX(Bar_Y,MATCH(C14,Bar_No,0))/1000</f>
      </c>
      <c r="O14" s="17">
        <f>M14*INDEX(Bar_X,MATCH(C14,Bar_No,0))/1000</f>
      </c>
    </row>
    <row r="15" spans="2:15" x14ac:dyDescent="0.25">
      <c r="B15">
        <v>1</v>
      </c>
      <c r="C15">
        <v>10</v>
      </c>
      <c r="D15" s="17">
        <f>INDEX(Blk_c,MATCH(B15,Blk_St,0))</f>
      </c>
      <c r="E15" s="17">
        <f>INDEX(Bar_U,MATCH(C15,Bar_No,0))</f>
      </c>
      <c r="F15" s="17">
        <f>u_max-E15</f>
      </c>
      <c r="G15" s="20">
        <f>ecu*(1-F15/D15)</f>
      </c>
      <c r="H15" s="20">
        <f>MAX(0,-G15)</f>
      </c>
      <c r="I15" s="17">
        <f>MAX(MIN(Es*G15,fy),-fy)</f>
      </c>
      <c r="J15">
        <f>IF(E15&gt;=u_max-beta_1*D15-blk_tol,1,0)</f>
      </c>
      <c r="K15" s="17">
        <f>J15*sig_blk</f>
      </c>
      <c r="L15" s="17">
        <f>I15-K15</f>
      </c>
      <c r="M15" s="17">
        <f>INDEX(Bar_As,MATCH(C15,Bar_No,0))*L15/1000</f>
      </c>
      <c r="N15" s="17">
        <f>M15*INDEX(Bar_Y,MATCH(C15,Bar_No,0))/1000</f>
      </c>
      <c r="O15" s="17">
        <f>M15*INDEX(Bar_X,MATCH(C15,Bar_No,0))/1000</f>
      </c>
    </row>
    <row r="16" spans="2:15" x14ac:dyDescent="0.25">
      <c r="B16">
        <v>1</v>
      </c>
      <c r="C16">
        <v>11</v>
      </c>
      <c r="D16" s="17">
        <f>INDEX(Blk_c,MATCH(B16,Blk_St,0))</f>
      </c>
      <c r="E16" s="17">
        <f>INDEX(Bar_U,MATCH(C16,Bar_No,0))</f>
      </c>
      <c r="F16" s="17">
        <f>u_max-E16</f>
      </c>
      <c r="G16" s="20">
        <f>ecu*(1-F16/D16)</f>
      </c>
      <c r="H16" s="20">
        <f>MAX(0,-G16)</f>
      </c>
      <c r="I16" s="17">
        <f>MAX(MIN(Es*G16,fy),-fy)</f>
      </c>
      <c r="J16">
        <f>IF(E16&gt;=u_max-beta_1*D16-blk_tol,1,0)</f>
      </c>
      <c r="K16" s="17">
        <f>J16*sig_blk</f>
      </c>
      <c r="L16" s="17">
        <f>I16-K16</f>
      </c>
      <c r="M16" s="17">
        <f>INDEX(Bar_As,MATCH(C16,Bar_No,0))*L16/1000</f>
      </c>
      <c r="N16" s="17">
        <f>M16*INDEX(Bar_Y,MATCH(C16,Bar_No,0))/1000</f>
      </c>
      <c r="O16" s="17">
        <f>M16*INDEX(Bar_X,MATCH(C16,Bar_No,0))/1000</f>
      </c>
    </row>
    <row r="17" spans="2:15" x14ac:dyDescent="0.25">
      <c r="B17">
        <v>1</v>
      </c>
      <c r="C17">
        <v>12</v>
      </c>
      <c r="D17" s="17">
        <f>INDEX(Blk_c,MATCH(B17,Blk_St,0))</f>
      </c>
      <c r="E17" s="17">
        <f>INDEX(Bar_U,MATCH(C17,Bar_No,0))</f>
      </c>
      <c r="F17" s="17">
        <f>u_max-E17</f>
      </c>
      <c r="G17" s="20">
        <f>ecu*(1-F17/D17)</f>
      </c>
      <c r="H17" s="20">
        <f>MAX(0,-G17)</f>
      </c>
      <c r="I17" s="17">
        <f>MAX(MIN(Es*G17,fy),-fy)</f>
      </c>
      <c r="J17">
        <f>IF(E17&gt;=u_max-beta_1*D17-blk_tol,1,0)</f>
      </c>
      <c r="K17" s="17">
        <f>J17*sig_blk</f>
      </c>
      <c r="L17" s="17">
        <f>I17-K17</f>
      </c>
      <c r="M17" s="17">
        <f>INDEX(Bar_As,MATCH(C17,Bar_No,0))*L17/1000</f>
      </c>
      <c r="N17" s="17">
        <f>M17*INDEX(Bar_Y,MATCH(C17,Bar_No,0))/1000</f>
      </c>
      <c r="O17" s="17">
        <f>M17*INDEX(Bar_X,MATCH(C17,Bar_No,0))/1000</f>
      </c>
    </row>
    <row r="18" spans="2:15" x14ac:dyDescent="0.25">
      <c r="B18">
        <v>1</v>
      </c>
      <c r="C18">
        <v>13</v>
      </c>
      <c r="D18" s="17">
        <f>INDEX(Blk_c,MATCH(B18,Blk_St,0))</f>
      </c>
      <c r="E18" s="17">
        <f>INDEX(Bar_U,MATCH(C18,Bar_No,0))</f>
      </c>
      <c r="F18" s="17">
        <f>u_max-E18</f>
      </c>
      <c r="G18" s="20">
        <f>ecu*(1-F18/D18)</f>
      </c>
      <c r="H18" s="20">
        <f>MAX(0,-G18)</f>
      </c>
      <c r="I18" s="17">
        <f>MAX(MIN(Es*G18,fy),-fy)</f>
      </c>
      <c r="J18">
        <f>IF(E18&gt;=u_max-beta_1*D18-blk_tol,1,0)</f>
      </c>
      <c r="K18" s="17">
        <f>J18*sig_blk</f>
      </c>
      <c r="L18" s="17">
        <f>I18-K18</f>
      </c>
      <c r="M18" s="17">
        <f>INDEX(Bar_As,MATCH(C18,Bar_No,0))*L18/1000</f>
      </c>
      <c r="N18" s="17">
        <f>M18*INDEX(Bar_Y,MATCH(C18,Bar_No,0))/1000</f>
      </c>
      <c r="O18" s="17">
        <f>M18*INDEX(Bar_X,MATCH(C18,Bar_No,0))/1000</f>
      </c>
    </row>
    <row r="19" spans="2:15" x14ac:dyDescent="0.25">
      <c r="B19">
        <v>1</v>
      </c>
      <c r="C19">
        <v>14</v>
      </c>
      <c r="D19" s="17">
        <f>INDEX(Blk_c,MATCH(B19,Blk_St,0))</f>
      </c>
      <c r="E19" s="17">
        <f>INDEX(Bar_U,MATCH(C19,Bar_No,0))</f>
      </c>
      <c r="F19" s="17">
        <f>u_max-E19</f>
      </c>
      <c r="G19" s="20">
        <f>ecu*(1-F19/D19)</f>
      </c>
      <c r="H19" s="20">
        <f>MAX(0,-G19)</f>
      </c>
      <c r="I19" s="17">
        <f>MAX(MIN(Es*G19,fy),-fy)</f>
      </c>
      <c r="J19">
        <f>IF(E19&gt;=u_max-beta_1*D19-blk_tol,1,0)</f>
      </c>
      <c r="K19" s="17">
        <f>J19*sig_blk</f>
      </c>
      <c r="L19" s="17">
        <f>I19-K19</f>
      </c>
      <c r="M19" s="17">
        <f>INDEX(Bar_As,MATCH(C19,Bar_No,0))*L19/1000</f>
      </c>
      <c r="N19" s="17">
        <f>M19*INDEX(Bar_Y,MATCH(C19,Bar_No,0))/1000</f>
      </c>
      <c r="O19" s="17">
        <f>M19*INDEX(Bar_X,MATCH(C19,Bar_No,0))/1000</f>
      </c>
    </row>
    <row r="20" spans="2:15" x14ac:dyDescent="0.25">
      <c r="B20">
        <v>1</v>
      </c>
      <c r="C20">
        <v>15</v>
      </c>
      <c r="D20" s="17">
        <f>INDEX(Blk_c,MATCH(B20,Blk_St,0))</f>
      </c>
      <c r="E20" s="17">
        <f>INDEX(Bar_U,MATCH(C20,Bar_No,0))</f>
      </c>
      <c r="F20" s="17">
        <f>u_max-E20</f>
      </c>
      <c r="G20" s="20">
        <f>ecu*(1-F20/D20)</f>
      </c>
      <c r="H20" s="20">
        <f>MAX(0,-G20)</f>
      </c>
      <c r="I20" s="17">
        <f>MAX(MIN(Es*G20,fy),-fy)</f>
      </c>
      <c r="J20">
        <f>IF(E20&gt;=u_max-beta_1*D20-blk_tol,1,0)</f>
      </c>
      <c r="K20" s="17">
        <f>J20*sig_blk</f>
      </c>
      <c r="L20" s="17">
        <f>I20-K20</f>
      </c>
      <c r="M20" s="17">
        <f>INDEX(Bar_As,MATCH(C20,Bar_No,0))*L20/1000</f>
      </c>
      <c r="N20" s="17">
        <f>M20*INDEX(Bar_Y,MATCH(C20,Bar_No,0))/1000</f>
      </c>
      <c r="O20" s="17">
        <f>M20*INDEX(Bar_X,MATCH(C20,Bar_No,0))/1000</f>
      </c>
    </row>
    <row r="21" spans="2:15" x14ac:dyDescent="0.25">
      <c r="B21">
        <v>1</v>
      </c>
      <c r="C21">
        <v>16</v>
      </c>
      <c r="D21" s="17">
        <f>INDEX(Blk_c,MATCH(B21,Blk_St,0))</f>
      </c>
      <c r="E21" s="17">
        <f>INDEX(Bar_U,MATCH(C21,Bar_No,0))</f>
      </c>
      <c r="F21" s="17">
        <f>u_max-E21</f>
      </c>
      <c r="G21" s="20">
        <f>ecu*(1-F21/D21)</f>
      </c>
      <c r="H21" s="20">
        <f>MAX(0,-G21)</f>
      </c>
      <c r="I21" s="17">
        <f>MAX(MIN(Es*G21,fy),-fy)</f>
      </c>
      <c r="J21">
        <f>IF(E21&gt;=u_max-beta_1*D21-blk_tol,1,0)</f>
      </c>
      <c r="K21" s="17">
        <f>J21*sig_blk</f>
      </c>
      <c r="L21" s="17">
        <f>I21-K21</f>
      </c>
      <c r="M21" s="17">
        <f>INDEX(Bar_As,MATCH(C21,Bar_No,0))*L21/1000</f>
      </c>
      <c r="N21" s="17">
        <f>M21*INDEX(Bar_Y,MATCH(C21,Bar_No,0))/1000</f>
      </c>
      <c r="O21" s="17">
        <f>M21*INDEX(Bar_X,MATCH(C21,Bar_No,0))/1000</f>
      </c>
    </row>
    <row r="22" spans="2:15" x14ac:dyDescent="0.25">
      <c r="B22">
        <v>1</v>
      </c>
      <c r="C22">
        <v>17</v>
      </c>
      <c r="D22" s="17">
        <f>INDEX(Blk_c,MATCH(B22,Blk_St,0))</f>
      </c>
      <c r="E22" s="17">
        <f>INDEX(Bar_U,MATCH(C22,Bar_No,0))</f>
      </c>
      <c r="F22" s="17">
        <f>u_max-E22</f>
      </c>
      <c r="G22" s="20">
        <f>ecu*(1-F22/D22)</f>
      </c>
      <c r="H22" s="20">
        <f>MAX(0,-G22)</f>
      </c>
      <c r="I22" s="17">
        <f>MAX(MIN(Es*G22,fy),-fy)</f>
      </c>
      <c r="J22">
        <f>IF(E22&gt;=u_max-beta_1*D22-blk_tol,1,0)</f>
      </c>
      <c r="K22" s="17">
        <f>J22*sig_blk</f>
      </c>
      <c r="L22" s="17">
        <f>I22-K22</f>
      </c>
      <c r="M22" s="17">
        <f>INDEX(Bar_As,MATCH(C22,Bar_No,0))*L22/1000</f>
      </c>
      <c r="N22" s="17">
        <f>M22*INDEX(Bar_Y,MATCH(C22,Bar_No,0))/1000</f>
      </c>
      <c r="O22" s="17">
        <f>M22*INDEX(Bar_X,MATCH(C22,Bar_No,0))/1000</f>
      </c>
    </row>
    <row r="23" spans="2:15" x14ac:dyDescent="0.25">
      <c r="B23">
        <v>1</v>
      </c>
      <c r="C23">
        <v>18</v>
      </c>
      <c r="D23" s="17">
        <f>INDEX(Blk_c,MATCH(B23,Blk_St,0))</f>
      </c>
      <c r="E23" s="17">
        <f>INDEX(Bar_U,MATCH(C23,Bar_No,0))</f>
      </c>
      <c r="F23" s="17">
        <f>u_max-E23</f>
      </c>
      <c r="G23" s="20">
        <f>ecu*(1-F23/D23)</f>
      </c>
      <c r="H23" s="20">
        <f>MAX(0,-G23)</f>
      </c>
      <c r="I23" s="17">
        <f>MAX(MIN(Es*G23,fy),-fy)</f>
      </c>
      <c r="J23">
        <f>IF(E23&gt;=u_max-beta_1*D23-blk_tol,1,0)</f>
      </c>
      <c r="K23" s="17">
        <f>J23*sig_blk</f>
      </c>
      <c r="L23" s="17">
        <f>I23-K23</f>
      </c>
      <c r="M23" s="17">
        <f>INDEX(Bar_As,MATCH(C23,Bar_No,0))*L23/1000</f>
      </c>
      <c r="N23" s="17">
        <f>M23*INDEX(Bar_Y,MATCH(C23,Bar_No,0))/1000</f>
      </c>
      <c r="O23" s="17">
        <f>M23*INDEX(Bar_X,MATCH(C23,Bar_No,0))/1000</f>
      </c>
    </row>
    <row r="24" spans="2:15" x14ac:dyDescent="0.25">
      <c r="B24">
        <v>2</v>
      </c>
      <c r="C24">
        <v>1</v>
      </c>
      <c r="D24" s="17">
        <f>INDEX(Blk_c,MATCH(B24,Blk_St,0))</f>
      </c>
      <c r="E24" s="17">
        <f>INDEX(Bar_U,MATCH(C24,Bar_No,0))</f>
      </c>
      <c r="F24" s="17">
        <f>u_max-E24</f>
      </c>
      <c r="G24" s="20">
        <f>ecu*(1-F24/D24)</f>
      </c>
      <c r="H24" s="20">
        <f>MAX(0,-G24)</f>
      </c>
      <c r="I24" s="17">
        <f>MAX(MIN(Es*G24,fy),-fy)</f>
      </c>
      <c r="J24">
        <f>IF(E24&gt;=u_max-beta_1*D24-blk_tol,1,0)</f>
      </c>
      <c r="K24" s="17">
        <f>J24*sig_blk</f>
      </c>
      <c r="L24" s="17">
        <f>I24-K24</f>
      </c>
      <c r="M24" s="17">
        <f>INDEX(Bar_As,MATCH(C24,Bar_No,0))*L24/1000</f>
      </c>
      <c r="N24" s="17">
        <f>M24*INDEX(Bar_Y,MATCH(C24,Bar_No,0))/1000</f>
      </c>
      <c r="O24" s="17">
        <f>M24*INDEX(Bar_X,MATCH(C24,Bar_No,0))/1000</f>
      </c>
    </row>
    <row r="25" spans="2:15" x14ac:dyDescent="0.25">
      <c r="B25">
        <v>2</v>
      </c>
      <c r="C25">
        <v>2</v>
      </c>
      <c r="D25" s="17">
        <f>INDEX(Blk_c,MATCH(B25,Blk_St,0))</f>
      </c>
      <c r="E25" s="17">
        <f>INDEX(Bar_U,MATCH(C25,Bar_No,0))</f>
      </c>
      <c r="F25" s="17">
        <f>u_max-E25</f>
      </c>
      <c r="G25" s="20">
        <f>ecu*(1-F25/D25)</f>
      </c>
      <c r="H25" s="20">
        <f>MAX(0,-G25)</f>
      </c>
      <c r="I25" s="17">
        <f>MAX(MIN(Es*G25,fy),-fy)</f>
      </c>
      <c r="J25">
        <f>IF(E25&gt;=u_max-beta_1*D25-blk_tol,1,0)</f>
      </c>
      <c r="K25" s="17">
        <f>J25*sig_blk</f>
      </c>
      <c r="L25" s="17">
        <f>I25-K25</f>
      </c>
      <c r="M25" s="17">
        <f>INDEX(Bar_As,MATCH(C25,Bar_No,0))*L25/1000</f>
      </c>
      <c r="N25" s="17">
        <f>M25*INDEX(Bar_Y,MATCH(C25,Bar_No,0))/1000</f>
      </c>
      <c r="O25" s="17">
        <f>M25*INDEX(Bar_X,MATCH(C25,Bar_No,0))/1000</f>
      </c>
    </row>
    <row r="26" spans="2:15" x14ac:dyDescent="0.25">
      <c r="B26">
        <v>2</v>
      </c>
      <c r="C26">
        <v>3</v>
      </c>
      <c r="D26" s="17">
        <f>INDEX(Blk_c,MATCH(B26,Blk_St,0))</f>
      </c>
      <c r="E26" s="17">
        <f>INDEX(Bar_U,MATCH(C26,Bar_No,0))</f>
      </c>
      <c r="F26" s="17">
        <f>u_max-E26</f>
      </c>
      <c r="G26" s="20">
        <f>ecu*(1-F26/D26)</f>
      </c>
      <c r="H26" s="20">
        <f>MAX(0,-G26)</f>
      </c>
      <c r="I26" s="17">
        <f>MAX(MIN(Es*G26,fy),-fy)</f>
      </c>
      <c r="J26">
        <f>IF(E26&gt;=u_max-beta_1*D26-blk_tol,1,0)</f>
      </c>
      <c r="K26" s="17">
        <f>J26*sig_blk</f>
      </c>
      <c r="L26" s="17">
        <f>I26-K26</f>
      </c>
      <c r="M26" s="17">
        <f>INDEX(Bar_As,MATCH(C26,Bar_No,0))*L26/1000</f>
      </c>
      <c r="N26" s="17">
        <f>M26*INDEX(Bar_Y,MATCH(C26,Bar_No,0))/1000</f>
      </c>
      <c r="O26" s="17">
        <f>M26*INDEX(Bar_X,MATCH(C26,Bar_No,0))/1000</f>
      </c>
    </row>
    <row r="27" spans="2:15" x14ac:dyDescent="0.25">
      <c r="B27">
        <v>2</v>
      </c>
      <c r="C27">
        <v>4</v>
      </c>
      <c r="D27" s="17">
        <f>INDEX(Blk_c,MATCH(B27,Blk_St,0))</f>
      </c>
      <c r="E27" s="17">
        <f>INDEX(Bar_U,MATCH(C27,Bar_No,0))</f>
      </c>
      <c r="F27" s="17">
        <f>u_max-E27</f>
      </c>
      <c r="G27" s="20">
        <f>ecu*(1-F27/D27)</f>
      </c>
      <c r="H27" s="20">
        <f>MAX(0,-G27)</f>
      </c>
      <c r="I27" s="17">
        <f>MAX(MIN(Es*G27,fy),-fy)</f>
      </c>
      <c r="J27">
        <f>IF(E27&gt;=u_max-beta_1*D27-blk_tol,1,0)</f>
      </c>
      <c r="K27" s="17">
        <f>J27*sig_blk</f>
      </c>
      <c r="L27" s="17">
        <f>I27-K27</f>
      </c>
      <c r="M27" s="17">
        <f>INDEX(Bar_As,MATCH(C27,Bar_No,0))*L27/1000</f>
      </c>
      <c r="N27" s="17">
        <f>M27*INDEX(Bar_Y,MATCH(C27,Bar_No,0))/1000</f>
      </c>
      <c r="O27" s="17">
        <f>M27*INDEX(Bar_X,MATCH(C27,Bar_No,0))/1000</f>
      </c>
    </row>
    <row r="28" spans="2:15" x14ac:dyDescent="0.25">
      <c r="B28">
        <v>2</v>
      </c>
      <c r="C28">
        <v>5</v>
      </c>
      <c r="D28" s="17">
        <f>INDEX(Blk_c,MATCH(B28,Blk_St,0))</f>
      </c>
      <c r="E28" s="17">
        <f>INDEX(Bar_U,MATCH(C28,Bar_No,0))</f>
      </c>
      <c r="F28" s="17">
        <f>u_max-E28</f>
      </c>
      <c r="G28" s="20">
        <f>ecu*(1-F28/D28)</f>
      </c>
      <c r="H28" s="20">
        <f>MAX(0,-G28)</f>
      </c>
      <c r="I28" s="17">
        <f>MAX(MIN(Es*G28,fy),-fy)</f>
      </c>
      <c r="J28">
        <f>IF(E28&gt;=u_max-beta_1*D28-blk_tol,1,0)</f>
      </c>
      <c r="K28" s="17">
        <f>J28*sig_blk</f>
      </c>
      <c r="L28" s="17">
        <f>I28-K28</f>
      </c>
      <c r="M28" s="17">
        <f>INDEX(Bar_As,MATCH(C28,Bar_No,0))*L28/1000</f>
      </c>
      <c r="N28" s="17">
        <f>M28*INDEX(Bar_Y,MATCH(C28,Bar_No,0))/1000</f>
      </c>
      <c r="O28" s="17">
        <f>M28*INDEX(Bar_X,MATCH(C28,Bar_No,0))/1000</f>
      </c>
    </row>
    <row r="29" spans="2:15" x14ac:dyDescent="0.25">
      <c r="B29">
        <v>2</v>
      </c>
      <c r="C29">
        <v>6</v>
      </c>
      <c r="D29" s="17">
        <f>INDEX(Blk_c,MATCH(B29,Blk_St,0))</f>
      </c>
      <c r="E29" s="17">
        <f>INDEX(Bar_U,MATCH(C29,Bar_No,0))</f>
      </c>
      <c r="F29" s="17">
        <f>u_max-E29</f>
      </c>
      <c r="G29" s="20">
        <f>ecu*(1-F29/D29)</f>
      </c>
      <c r="H29" s="20">
        <f>MAX(0,-G29)</f>
      </c>
      <c r="I29" s="17">
        <f>MAX(MIN(Es*G29,fy),-fy)</f>
      </c>
      <c r="J29">
        <f>IF(E29&gt;=u_max-beta_1*D29-blk_tol,1,0)</f>
      </c>
      <c r="K29" s="17">
        <f>J29*sig_blk</f>
      </c>
      <c r="L29" s="17">
        <f>I29-K29</f>
      </c>
      <c r="M29" s="17">
        <f>INDEX(Bar_As,MATCH(C29,Bar_No,0))*L29/1000</f>
      </c>
      <c r="N29" s="17">
        <f>M29*INDEX(Bar_Y,MATCH(C29,Bar_No,0))/1000</f>
      </c>
      <c r="O29" s="17">
        <f>M29*INDEX(Bar_X,MATCH(C29,Bar_No,0))/1000</f>
      </c>
    </row>
    <row r="30" spans="2:15" x14ac:dyDescent="0.25">
      <c r="B30">
        <v>2</v>
      </c>
      <c r="C30">
        <v>7</v>
      </c>
      <c r="D30" s="17">
        <f>INDEX(Blk_c,MATCH(B30,Blk_St,0))</f>
      </c>
      <c r="E30" s="17">
        <f>INDEX(Bar_U,MATCH(C30,Bar_No,0))</f>
      </c>
      <c r="F30" s="17">
        <f>u_max-E30</f>
      </c>
      <c r="G30" s="20">
        <f>ecu*(1-F30/D30)</f>
      </c>
      <c r="H30" s="20">
        <f>MAX(0,-G30)</f>
      </c>
      <c r="I30" s="17">
        <f>MAX(MIN(Es*G30,fy),-fy)</f>
      </c>
      <c r="J30">
        <f>IF(E30&gt;=u_max-beta_1*D30-blk_tol,1,0)</f>
      </c>
      <c r="K30" s="17">
        <f>J30*sig_blk</f>
      </c>
      <c r="L30" s="17">
        <f>I30-K30</f>
      </c>
      <c r="M30" s="17">
        <f>INDEX(Bar_As,MATCH(C30,Bar_No,0))*L30/1000</f>
      </c>
      <c r="N30" s="17">
        <f>M30*INDEX(Bar_Y,MATCH(C30,Bar_No,0))/1000</f>
      </c>
      <c r="O30" s="17">
        <f>M30*INDEX(Bar_X,MATCH(C30,Bar_No,0))/1000</f>
      </c>
    </row>
    <row r="31" spans="2:15" x14ac:dyDescent="0.25">
      <c r="B31">
        <v>2</v>
      </c>
      <c r="C31">
        <v>8</v>
      </c>
      <c r="D31" s="17">
        <f>INDEX(Blk_c,MATCH(B31,Blk_St,0))</f>
      </c>
      <c r="E31" s="17">
        <f>INDEX(Bar_U,MATCH(C31,Bar_No,0))</f>
      </c>
      <c r="F31" s="17">
        <f>u_max-E31</f>
      </c>
      <c r="G31" s="20">
        <f>ecu*(1-F31/D31)</f>
      </c>
      <c r="H31" s="20">
        <f>MAX(0,-G31)</f>
      </c>
      <c r="I31" s="17">
        <f>MAX(MIN(Es*G31,fy),-fy)</f>
      </c>
      <c r="J31">
        <f>IF(E31&gt;=u_max-beta_1*D31-blk_tol,1,0)</f>
      </c>
      <c r="K31" s="17">
        <f>J31*sig_blk</f>
      </c>
      <c r="L31" s="17">
        <f>I31-K31</f>
      </c>
      <c r="M31" s="17">
        <f>INDEX(Bar_As,MATCH(C31,Bar_No,0))*L31/1000</f>
      </c>
      <c r="N31" s="17">
        <f>M31*INDEX(Bar_Y,MATCH(C31,Bar_No,0))/1000</f>
      </c>
      <c r="O31" s="17">
        <f>M31*INDEX(Bar_X,MATCH(C31,Bar_No,0))/1000</f>
      </c>
    </row>
    <row r="32" spans="2:15" x14ac:dyDescent="0.25">
      <c r="B32">
        <v>2</v>
      </c>
      <c r="C32">
        <v>9</v>
      </c>
      <c r="D32" s="17">
        <f>INDEX(Blk_c,MATCH(B32,Blk_St,0))</f>
      </c>
      <c r="E32" s="17">
        <f>INDEX(Bar_U,MATCH(C32,Bar_No,0))</f>
      </c>
      <c r="F32" s="17">
        <f>u_max-E32</f>
      </c>
      <c r="G32" s="20">
        <f>ecu*(1-F32/D32)</f>
      </c>
      <c r="H32" s="20">
        <f>MAX(0,-G32)</f>
      </c>
      <c r="I32" s="17">
        <f>MAX(MIN(Es*G32,fy),-fy)</f>
      </c>
      <c r="J32">
        <f>IF(E32&gt;=u_max-beta_1*D32-blk_tol,1,0)</f>
      </c>
      <c r="K32" s="17">
        <f>J32*sig_blk</f>
      </c>
      <c r="L32" s="17">
        <f>I32-K32</f>
      </c>
      <c r="M32" s="17">
        <f>INDEX(Bar_As,MATCH(C32,Bar_No,0))*L32/1000</f>
      </c>
      <c r="N32" s="17">
        <f>M32*INDEX(Bar_Y,MATCH(C32,Bar_No,0))/1000</f>
      </c>
      <c r="O32" s="17">
        <f>M32*INDEX(Bar_X,MATCH(C32,Bar_No,0))/1000</f>
      </c>
    </row>
    <row r="33" spans="2:15" x14ac:dyDescent="0.25">
      <c r="B33">
        <v>2</v>
      </c>
      <c r="C33">
        <v>10</v>
      </c>
      <c r="D33" s="17">
        <f>INDEX(Blk_c,MATCH(B33,Blk_St,0))</f>
      </c>
      <c r="E33" s="17">
        <f>INDEX(Bar_U,MATCH(C33,Bar_No,0))</f>
      </c>
      <c r="F33" s="17">
        <f>u_max-E33</f>
      </c>
      <c r="G33" s="20">
        <f>ecu*(1-F33/D33)</f>
      </c>
      <c r="H33" s="20">
        <f>MAX(0,-G33)</f>
      </c>
      <c r="I33" s="17">
        <f>MAX(MIN(Es*G33,fy),-fy)</f>
      </c>
      <c r="J33">
        <f>IF(E33&gt;=u_max-beta_1*D33-blk_tol,1,0)</f>
      </c>
      <c r="K33" s="17">
        <f>J33*sig_blk</f>
      </c>
      <c r="L33" s="17">
        <f>I33-K33</f>
      </c>
      <c r="M33" s="17">
        <f>INDEX(Bar_As,MATCH(C33,Bar_No,0))*L33/1000</f>
      </c>
      <c r="N33" s="17">
        <f>M33*INDEX(Bar_Y,MATCH(C33,Bar_No,0))/1000</f>
      </c>
      <c r="O33" s="17">
        <f>M33*INDEX(Bar_X,MATCH(C33,Bar_No,0))/1000</f>
      </c>
    </row>
    <row r="34" spans="2:15" x14ac:dyDescent="0.25">
      <c r="B34">
        <v>2</v>
      </c>
      <c r="C34">
        <v>11</v>
      </c>
      <c r="D34" s="17">
        <f>INDEX(Blk_c,MATCH(B34,Blk_St,0))</f>
      </c>
      <c r="E34" s="17">
        <f>INDEX(Bar_U,MATCH(C34,Bar_No,0))</f>
      </c>
      <c r="F34" s="17">
        <f>u_max-E34</f>
      </c>
      <c r="G34" s="20">
        <f>ecu*(1-F34/D34)</f>
      </c>
      <c r="H34" s="20">
        <f>MAX(0,-G34)</f>
      </c>
      <c r="I34" s="17">
        <f>MAX(MIN(Es*G34,fy),-fy)</f>
      </c>
      <c r="J34">
        <f>IF(E34&gt;=u_max-beta_1*D34-blk_tol,1,0)</f>
      </c>
      <c r="K34" s="17">
        <f>J34*sig_blk</f>
      </c>
      <c r="L34" s="17">
        <f>I34-K34</f>
      </c>
      <c r="M34" s="17">
        <f>INDEX(Bar_As,MATCH(C34,Bar_No,0))*L34/1000</f>
      </c>
      <c r="N34" s="17">
        <f>M34*INDEX(Bar_Y,MATCH(C34,Bar_No,0))/1000</f>
      </c>
      <c r="O34" s="17">
        <f>M34*INDEX(Bar_X,MATCH(C34,Bar_No,0))/1000</f>
      </c>
    </row>
    <row r="35" spans="2:15" x14ac:dyDescent="0.25">
      <c r="B35">
        <v>2</v>
      </c>
      <c r="C35">
        <v>12</v>
      </c>
      <c r="D35" s="17">
        <f>INDEX(Blk_c,MATCH(B35,Blk_St,0))</f>
      </c>
      <c r="E35" s="17">
        <f>INDEX(Bar_U,MATCH(C35,Bar_No,0))</f>
      </c>
      <c r="F35" s="17">
        <f>u_max-E35</f>
      </c>
      <c r="G35" s="20">
        <f>ecu*(1-F35/D35)</f>
      </c>
      <c r="H35" s="20">
        <f>MAX(0,-G35)</f>
      </c>
      <c r="I35" s="17">
        <f>MAX(MIN(Es*G35,fy),-fy)</f>
      </c>
      <c r="J35">
        <f>IF(E35&gt;=u_max-beta_1*D35-blk_tol,1,0)</f>
      </c>
      <c r="K35" s="17">
        <f>J35*sig_blk</f>
      </c>
      <c r="L35" s="17">
        <f>I35-K35</f>
      </c>
      <c r="M35" s="17">
        <f>INDEX(Bar_As,MATCH(C35,Bar_No,0))*L35/1000</f>
      </c>
      <c r="N35" s="17">
        <f>M35*INDEX(Bar_Y,MATCH(C35,Bar_No,0))/1000</f>
      </c>
      <c r="O35" s="17">
        <f>M35*INDEX(Bar_X,MATCH(C35,Bar_No,0))/1000</f>
      </c>
    </row>
    <row r="36" spans="2:15" x14ac:dyDescent="0.25">
      <c r="B36">
        <v>2</v>
      </c>
      <c r="C36">
        <v>13</v>
      </c>
      <c r="D36" s="17">
        <f>INDEX(Blk_c,MATCH(B36,Blk_St,0))</f>
      </c>
      <c r="E36" s="17">
        <f>INDEX(Bar_U,MATCH(C36,Bar_No,0))</f>
      </c>
      <c r="F36" s="17">
        <f>u_max-E36</f>
      </c>
      <c r="G36" s="20">
        <f>ecu*(1-F36/D36)</f>
      </c>
      <c r="H36" s="20">
        <f>MAX(0,-G36)</f>
      </c>
      <c r="I36" s="17">
        <f>MAX(MIN(Es*G36,fy),-fy)</f>
      </c>
      <c r="J36">
        <f>IF(E36&gt;=u_max-beta_1*D36-blk_tol,1,0)</f>
      </c>
      <c r="K36" s="17">
        <f>J36*sig_blk</f>
      </c>
      <c r="L36" s="17">
        <f>I36-K36</f>
      </c>
      <c r="M36" s="17">
        <f>INDEX(Bar_As,MATCH(C36,Bar_No,0))*L36/1000</f>
      </c>
      <c r="N36" s="17">
        <f>M36*INDEX(Bar_Y,MATCH(C36,Bar_No,0))/1000</f>
      </c>
      <c r="O36" s="17">
        <f>M36*INDEX(Bar_X,MATCH(C36,Bar_No,0))/1000</f>
      </c>
    </row>
    <row r="37" spans="2:15" x14ac:dyDescent="0.25">
      <c r="B37">
        <v>2</v>
      </c>
      <c r="C37">
        <v>14</v>
      </c>
      <c r="D37" s="17">
        <f>INDEX(Blk_c,MATCH(B37,Blk_St,0))</f>
      </c>
      <c r="E37" s="17">
        <f>INDEX(Bar_U,MATCH(C37,Bar_No,0))</f>
      </c>
      <c r="F37" s="17">
        <f>u_max-E37</f>
      </c>
      <c r="G37" s="20">
        <f>ecu*(1-F37/D37)</f>
      </c>
      <c r="H37" s="20">
        <f>MAX(0,-G37)</f>
      </c>
      <c r="I37" s="17">
        <f>MAX(MIN(Es*G37,fy),-fy)</f>
      </c>
      <c r="J37">
        <f>IF(E37&gt;=u_max-beta_1*D37-blk_tol,1,0)</f>
      </c>
      <c r="K37" s="17">
        <f>J37*sig_blk</f>
      </c>
      <c r="L37" s="17">
        <f>I37-K37</f>
      </c>
      <c r="M37" s="17">
        <f>INDEX(Bar_As,MATCH(C37,Bar_No,0))*L37/1000</f>
      </c>
      <c r="N37" s="17">
        <f>M37*INDEX(Bar_Y,MATCH(C37,Bar_No,0))/1000</f>
      </c>
      <c r="O37" s="17">
        <f>M37*INDEX(Bar_X,MATCH(C37,Bar_No,0))/1000</f>
      </c>
    </row>
    <row r="38" spans="2:15" x14ac:dyDescent="0.25">
      <c r="B38">
        <v>2</v>
      </c>
      <c r="C38">
        <v>15</v>
      </c>
      <c r="D38" s="17">
        <f>INDEX(Blk_c,MATCH(B38,Blk_St,0))</f>
      </c>
      <c r="E38" s="17">
        <f>INDEX(Bar_U,MATCH(C38,Bar_No,0))</f>
      </c>
      <c r="F38" s="17">
        <f>u_max-E38</f>
      </c>
      <c r="G38" s="20">
        <f>ecu*(1-F38/D38)</f>
      </c>
      <c r="H38" s="20">
        <f>MAX(0,-G38)</f>
      </c>
      <c r="I38" s="17">
        <f>MAX(MIN(Es*G38,fy),-fy)</f>
      </c>
      <c r="J38">
        <f>IF(E38&gt;=u_max-beta_1*D38-blk_tol,1,0)</f>
      </c>
      <c r="K38" s="17">
        <f>J38*sig_blk</f>
      </c>
      <c r="L38" s="17">
        <f>I38-K38</f>
      </c>
      <c r="M38" s="17">
        <f>INDEX(Bar_As,MATCH(C38,Bar_No,0))*L38/1000</f>
      </c>
      <c r="N38" s="17">
        <f>M38*INDEX(Bar_Y,MATCH(C38,Bar_No,0))/1000</f>
      </c>
      <c r="O38" s="17">
        <f>M38*INDEX(Bar_X,MATCH(C38,Bar_No,0))/1000</f>
      </c>
    </row>
    <row r="39" spans="2:15" x14ac:dyDescent="0.25">
      <c r="B39">
        <v>2</v>
      </c>
      <c r="C39">
        <v>16</v>
      </c>
      <c r="D39" s="17">
        <f>INDEX(Blk_c,MATCH(B39,Blk_St,0))</f>
      </c>
      <c r="E39" s="17">
        <f>INDEX(Bar_U,MATCH(C39,Bar_No,0))</f>
      </c>
      <c r="F39" s="17">
        <f>u_max-E39</f>
      </c>
      <c r="G39" s="20">
        <f>ecu*(1-F39/D39)</f>
      </c>
      <c r="H39" s="20">
        <f>MAX(0,-G39)</f>
      </c>
      <c r="I39" s="17">
        <f>MAX(MIN(Es*G39,fy),-fy)</f>
      </c>
      <c r="J39">
        <f>IF(E39&gt;=u_max-beta_1*D39-blk_tol,1,0)</f>
      </c>
      <c r="K39" s="17">
        <f>J39*sig_blk</f>
      </c>
      <c r="L39" s="17">
        <f>I39-K39</f>
      </c>
      <c r="M39" s="17">
        <f>INDEX(Bar_As,MATCH(C39,Bar_No,0))*L39/1000</f>
      </c>
      <c r="N39" s="17">
        <f>M39*INDEX(Bar_Y,MATCH(C39,Bar_No,0))/1000</f>
      </c>
      <c r="O39" s="17">
        <f>M39*INDEX(Bar_X,MATCH(C39,Bar_No,0))/1000</f>
      </c>
    </row>
    <row r="40" spans="2:15" x14ac:dyDescent="0.25">
      <c r="B40">
        <v>2</v>
      </c>
      <c r="C40">
        <v>17</v>
      </c>
      <c r="D40" s="17">
        <f>INDEX(Blk_c,MATCH(B40,Blk_St,0))</f>
      </c>
      <c r="E40" s="17">
        <f>INDEX(Bar_U,MATCH(C40,Bar_No,0))</f>
      </c>
      <c r="F40" s="17">
        <f>u_max-E40</f>
      </c>
      <c r="G40" s="20">
        <f>ecu*(1-F40/D40)</f>
      </c>
      <c r="H40" s="20">
        <f>MAX(0,-G40)</f>
      </c>
      <c r="I40" s="17">
        <f>MAX(MIN(Es*G40,fy),-fy)</f>
      </c>
      <c r="J40">
        <f>IF(E40&gt;=u_max-beta_1*D40-blk_tol,1,0)</f>
      </c>
      <c r="K40" s="17">
        <f>J40*sig_blk</f>
      </c>
      <c r="L40" s="17">
        <f>I40-K40</f>
      </c>
      <c r="M40" s="17">
        <f>INDEX(Bar_As,MATCH(C40,Bar_No,0))*L40/1000</f>
      </c>
      <c r="N40" s="17">
        <f>M40*INDEX(Bar_Y,MATCH(C40,Bar_No,0))/1000</f>
      </c>
      <c r="O40" s="17">
        <f>M40*INDEX(Bar_X,MATCH(C40,Bar_No,0))/1000</f>
      </c>
    </row>
    <row r="41" spans="2:15" x14ac:dyDescent="0.25">
      <c r="B41">
        <v>2</v>
      </c>
      <c r="C41">
        <v>18</v>
      </c>
      <c r="D41" s="17">
        <f>INDEX(Blk_c,MATCH(B41,Blk_St,0))</f>
      </c>
      <c r="E41" s="17">
        <f>INDEX(Bar_U,MATCH(C41,Bar_No,0))</f>
      </c>
      <c r="F41" s="17">
        <f>u_max-E41</f>
      </c>
      <c r="G41" s="20">
        <f>ecu*(1-F41/D41)</f>
      </c>
      <c r="H41" s="20">
        <f>MAX(0,-G41)</f>
      </c>
      <c r="I41" s="17">
        <f>MAX(MIN(Es*G41,fy),-fy)</f>
      </c>
      <c r="J41">
        <f>IF(E41&gt;=u_max-beta_1*D41-blk_tol,1,0)</f>
      </c>
      <c r="K41" s="17">
        <f>J41*sig_blk</f>
      </c>
      <c r="L41" s="17">
        <f>I41-K41</f>
      </c>
      <c r="M41" s="17">
        <f>INDEX(Bar_As,MATCH(C41,Bar_No,0))*L41/1000</f>
      </c>
      <c r="N41" s="17">
        <f>M41*INDEX(Bar_Y,MATCH(C41,Bar_No,0))/1000</f>
      </c>
      <c r="O41" s="17">
        <f>M41*INDEX(Bar_X,MATCH(C41,Bar_No,0))/1000</f>
      </c>
    </row>
    <row r="42" spans="2:15" x14ac:dyDescent="0.25">
      <c r="B42">
        <v>3</v>
      </c>
      <c r="C42">
        <v>1</v>
      </c>
      <c r="D42" s="17">
        <f>INDEX(Blk_c,MATCH(B42,Blk_St,0))</f>
      </c>
      <c r="E42" s="17">
        <f>INDEX(Bar_U,MATCH(C42,Bar_No,0))</f>
      </c>
      <c r="F42" s="17">
        <f>u_max-E42</f>
      </c>
      <c r="G42" s="20">
        <f>ecu*(1-F42/D42)</f>
      </c>
      <c r="H42" s="20">
        <f>MAX(0,-G42)</f>
      </c>
      <c r="I42" s="17">
        <f>MAX(MIN(Es*G42,fy),-fy)</f>
      </c>
      <c r="J42">
        <f>IF(E42&gt;=u_max-beta_1*D42-blk_tol,1,0)</f>
      </c>
      <c r="K42" s="17">
        <f>J42*sig_blk</f>
      </c>
      <c r="L42" s="17">
        <f>I42-K42</f>
      </c>
      <c r="M42" s="17">
        <f>INDEX(Bar_As,MATCH(C42,Bar_No,0))*L42/1000</f>
      </c>
      <c r="N42" s="17">
        <f>M42*INDEX(Bar_Y,MATCH(C42,Bar_No,0))/1000</f>
      </c>
      <c r="O42" s="17">
        <f>M42*INDEX(Bar_X,MATCH(C42,Bar_No,0))/1000</f>
      </c>
    </row>
    <row r="43" spans="2:15" x14ac:dyDescent="0.25">
      <c r="B43">
        <v>3</v>
      </c>
      <c r="C43">
        <v>2</v>
      </c>
      <c r="D43" s="17">
        <f>INDEX(Blk_c,MATCH(B43,Blk_St,0))</f>
      </c>
      <c r="E43" s="17">
        <f>INDEX(Bar_U,MATCH(C43,Bar_No,0))</f>
      </c>
      <c r="F43" s="17">
        <f>u_max-E43</f>
      </c>
      <c r="G43" s="20">
        <f>ecu*(1-F43/D43)</f>
      </c>
      <c r="H43" s="20">
        <f>MAX(0,-G43)</f>
      </c>
      <c r="I43" s="17">
        <f>MAX(MIN(Es*G43,fy),-fy)</f>
      </c>
      <c r="J43">
        <f>IF(E43&gt;=u_max-beta_1*D43-blk_tol,1,0)</f>
      </c>
      <c r="K43" s="17">
        <f>J43*sig_blk</f>
      </c>
      <c r="L43" s="17">
        <f>I43-K43</f>
      </c>
      <c r="M43" s="17">
        <f>INDEX(Bar_As,MATCH(C43,Bar_No,0))*L43/1000</f>
      </c>
      <c r="N43" s="17">
        <f>M43*INDEX(Bar_Y,MATCH(C43,Bar_No,0))/1000</f>
      </c>
      <c r="O43" s="17">
        <f>M43*INDEX(Bar_X,MATCH(C43,Bar_No,0))/1000</f>
      </c>
    </row>
    <row r="44" spans="2:15" x14ac:dyDescent="0.25">
      <c r="B44">
        <v>3</v>
      </c>
      <c r="C44">
        <v>3</v>
      </c>
      <c r="D44" s="17">
        <f>INDEX(Blk_c,MATCH(B44,Blk_St,0))</f>
      </c>
      <c r="E44" s="17">
        <f>INDEX(Bar_U,MATCH(C44,Bar_No,0))</f>
      </c>
      <c r="F44" s="17">
        <f>u_max-E44</f>
      </c>
      <c r="G44" s="20">
        <f>ecu*(1-F44/D44)</f>
      </c>
      <c r="H44" s="20">
        <f>MAX(0,-G44)</f>
      </c>
      <c r="I44" s="17">
        <f>MAX(MIN(Es*G44,fy),-fy)</f>
      </c>
      <c r="J44">
        <f>IF(E44&gt;=u_max-beta_1*D44-blk_tol,1,0)</f>
      </c>
      <c r="K44" s="17">
        <f>J44*sig_blk</f>
      </c>
      <c r="L44" s="17">
        <f>I44-K44</f>
      </c>
      <c r="M44" s="17">
        <f>INDEX(Bar_As,MATCH(C44,Bar_No,0))*L44/1000</f>
      </c>
      <c r="N44" s="17">
        <f>M44*INDEX(Bar_Y,MATCH(C44,Bar_No,0))/1000</f>
      </c>
      <c r="O44" s="17">
        <f>M44*INDEX(Bar_X,MATCH(C44,Bar_No,0))/1000</f>
      </c>
    </row>
    <row r="45" spans="2:15" x14ac:dyDescent="0.25">
      <c r="B45">
        <v>3</v>
      </c>
      <c r="C45">
        <v>4</v>
      </c>
      <c r="D45" s="17">
        <f>INDEX(Blk_c,MATCH(B45,Blk_St,0))</f>
      </c>
      <c r="E45" s="17">
        <f>INDEX(Bar_U,MATCH(C45,Bar_No,0))</f>
      </c>
      <c r="F45" s="17">
        <f>u_max-E45</f>
      </c>
      <c r="G45" s="20">
        <f>ecu*(1-F45/D45)</f>
      </c>
      <c r="H45" s="20">
        <f>MAX(0,-G45)</f>
      </c>
      <c r="I45" s="17">
        <f>MAX(MIN(Es*G45,fy),-fy)</f>
      </c>
      <c r="J45">
        <f>IF(E45&gt;=u_max-beta_1*D45-blk_tol,1,0)</f>
      </c>
      <c r="K45" s="17">
        <f>J45*sig_blk</f>
      </c>
      <c r="L45" s="17">
        <f>I45-K45</f>
      </c>
      <c r="M45" s="17">
        <f>INDEX(Bar_As,MATCH(C45,Bar_No,0))*L45/1000</f>
      </c>
      <c r="N45" s="17">
        <f>M45*INDEX(Bar_Y,MATCH(C45,Bar_No,0))/1000</f>
      </c>
      <c r="O45" s="17">
        <f>M45*INDEX(Bar_X,MATCH(C45,Bar_No,0))/1000</f>
      </c>
    </row>
    <row r="46" spans="2:15" x14ac:dyDescent="0.25">
      <c r="B46">
        <v>3</v>
      </c>
      <c r="C46">
        <v>5</v>
      </c>
      <c r="D46" s="17">
        <f>INDEX(Blk_c,MATCH(B46,Blk_St,0))</f>
      </c>
      <c r="E46" s="17">
        <f>INDEX(Bar_U,MATCH(C46,Bar_No,0))</f>
      </c>
      <c r="F46" s="17">
        <f>u_max-E46</f>
      </c>
      <c r="G46" s="20">
        <f>ecu*(1-F46/D46)</f>
      </c>
      <c r="H46" s="20">
        <f>MAX(0,-G46)</f>
      </c>
      <c r="I46" s="17">
        <f>MAX(MIN(Es*G46,fy),-fy)</f>
      </c>
      <c r="J46">
        <f>IF(E46&gt;=u_max-beta_1*D46-blk_tol,1,0)</f>
      </c>
      <c r="K46" s="17">
        <f>J46*sig_blk</f>
      </c>
      <c r="L46" s="17">
        <f>I46-K46</f>
      </c>
      <c r="M46" s="17">
        <f>INDEX(Bar_As,MATCH(C46,Bar_No,0))*L46/1000</f>
      </c>
      <c r="N46" s="17">
        <f>M46*INDEX(Bar_Y,MATCH(C46,Bar_No,0))/1000</f>
      </c>
      <c r="O46" s="17">
        <f>M46*INDEX(Bar_X,MATCH(C46,Bar_No,0))/1000</f>
      </c>
    </row>
    <row r="47" spans="2:15" x14ac:dyDescent="0.25">
      <c r="B47">
        <v>3</v>
      </c>
      <c r="C47">
        <v>6</v>
      </c>
      <c r="D47" s="17">
        <f>INDEX(Blk_c,MATCH(B47,Blk_St,0))</f>
      </c>
      <c r="E47" s="17">
        <f>INDEX(Bar_U,MATCH(C47,Bar_No,0))</f>
      </c>
      <c r="F47" s="17">
        <f>u_max-E47</f>
      </c>
      <c r="G47" s="20">
        <f>ecu*(1-F47/D47)</f>
      </c>
      <c r="H47" s="20">
        <f>MAX(0,-G47)</f>
      </c>
      <c r="I47" s="17">
        <f>MAX(MIN(Es*G47,fy),-fy)</f>
      </c>
      <c r="J47">
        <f>IF(E47&gt;=u_max-beta_1*D47-blk_tol,1,0)</f>
      </c>
      <c r="K47" s="17">
        <f>J47*sig_blk</f>
      </c>
      <c r="L47" s="17">
        <f>I47-K47</f>
      </c>
      <c r="M47" s="17">
        <f>INDEX(Bar_As,MATCH(C47,Bar_No,0))*L47/1000</f>
      </c>
      <c r="N47" s="17">
        <f>M47*INDEX(Bar_Y,MATCH(C47,Bar_No,0))/1000</f>
      </c>
      <c r="O47" s="17">
        <f>M47*INDEX(Bar_X,MATCH(C47,Bar_No,0))/1000</f>
      </c>
    </row>
    <row r="48" spans="2:15" x14ac:dyDescent="0.25">
      <c r="B48">
        <v>3</v>
      </c>
      <c r="C48">
        <v>7</v>
      </c>
      <c r="D48" s="17">
        <f>INDEX(Blk_c,MATCH(B48,Blk_St,0))</f>
      </c>
      <c r="E48" s="17">
        <f>INDEX(Bar_U,MATCH(C48,Bar_No,0))</f>
      </c>
      <c r="F48" s="17">
        <f>u_max-E48</f>
      </c>
      <c r="G48" s="20">
        <f>ecu*(1-F48/D48)</f>
      </c>
      <c r="H48" s="20">
        <f>MAX(0,-G48)</f>
      </c>
      <c r="I48" s="17">
        <f>MAX(MIN(Es*G48,fy),-fy)</f>
      </c>
      <c r="J48">
        <f>IF(E48&gt;=u_max-beta_1*D48-blk_tol,1,0)</f>
      </c>
      <c r="K48" s="17">
        <f>J48*sig_blk</f>
      </c>
      <c r="L48" s="17">
        <f>I48-K48</f>
      </c>
      <c r="M48" s="17">
        <f>INDEX(Bar_As,MATCH(C48,Bar_No,0))*L48/1000</f>
      </c>
      <c r="N48" s="17">
        <f>M48*INDEX(Bar_Y,MATCH(C48,Bar_No,0))/1000</f>
      </c>
      <c r="O48" s="17">
        <f>M48*INDEX(Bar_X,MATCH(C48,Bar_No,0))/1000</f>
      </c>
    </row>
    <row r="49" spans="2:15" x14ac:dyDescent="0.25">
      <c r="B49">
        <v>3</v>
      </c>
      <c r="C49">
        <v>8</v>
      </c>
      <c r="D49" s="17">
        <f>INDEX(Blk_c,MATCH(B49,Blk_St,0))</f>
      </c>
      <c r="E49" s="17">
        <f>INDEX(Bar_U,MATCH(C49,Bar_No,0))</f>
      </c>
      <c r="F49" s="17">
        <f>u_max-E49</f>
      </c>
      <c r="G49" s="20">
        <f>ecu*(1-F49/D49)</f>
      </c>
      <c r="H49" s="20">
        <f>MAX(0,-G49)</f>
      </c>
      <c r="I49" s="17">
        <f>MAX(MIN(Es*G49,fy),-fy)</f>
      </c>
      <c r="J49">
        <f>IF(E49&gt;=u_max-beta_1*D49-blk_tol,1,0)</f>
      </c>
      <c r="K49" s="17">
        <f>J49*sig_blk</f>
      </c>
      <c r="L49" s="17">
        <f>I49-K49</f>
      </c>
      <c r="M49" s="17">
        <f>INDEX(Bar_As,MATCH(C49,Bar_No,0))*L49/1000</f>
      </c>
      <c r="N49" s="17">
        <f>M49*INDEX(Bar_Y,MATCH(C49,Bar_No,0))/1000</f>
      </c>
      <c r="O49" s="17">
        <f>M49*INDEX(Bar_X,MATCH(C49,Bar_No,0))/1000</f>
      </c>
    </row>
    <row r="50" spans="2:15" x14ac:dyDescent="0.25">
      <c r="B50">
        <v>3</v>
      </c>
      <c r="C50">
        <v>9</v>
      </c>
      <c r="D50" s="17">
        <f>INDEX(Blk_c,MATCH(B50,Blk_St,0))</f>
      </c>
      <c r="E50" s="17">
        <f>INDEX(Bar_U,MATCH(C50,Bar_No,0))</f>
      </c>
      <c r="F50" s="17">
        <f>u_max-E50</f>
      </c>
      <c r="G50" s="20">
        <f>ecu*(1-F50/D50)</f>
      </c>
      <c r="H50" s="20">
        <f>MAX(0,-G50)</f>
      </c>
      <c r="I50" s="17">
        <f>MAX(MIN(Es*G50,fy),-fy)</f>
      </c>
      <c r="J50">
        <f>IF(E50&gt;=u_max-beta_1*D50-blk_tol,1,0)</f>
      </c>
      <c r="K50" s="17">
        <f>J50*sig_blk</f>
      </c>
      <c r="L50" s="17">
        <f>I50-K50</f>
      </c>
      <c r="M50" s="17">
        <f>INDEX(Bar_As,MATCH(C50,Bar_No,0))*L50/1000</f>
      </c>
      <c r="N50" s="17">
        <f>M50*INDEX(Bar_Y,MATCH(C50,Bar_No,0))/1000</f>
      </c>
      <c r="O50" s="17">
        <f>M50*INDEX(Bar_X,MATCH(C50,Bar_No,0))/1000</f>
      </c>
    </row>
    <row r="51" spans="2:15" x14ac:dyDescent="0.25">
      <c r="B51">
        <v>3</v>
      </c>
      <c r="C51">
        <v>10</v>
      </c>
      <c r="D51" s="17">
        <f>INDEX(Blk_c,MATCH(B51,Blk_St,0))</f>
      </c>
      <c r="E51" s="17">
        <f>INDEX(Bar_U,MATCH(C51,Bar_No,0))</f>
      </c>
      <c r="F51" s="17">
        <f>u_max-E51</f>
      </c>
      <c r="G51" s="20">
        <f>ecu*(1-F51/D51)</f>
      </c>
      <c r="H51" s="20">
        <f>MAX(0,-G51)</f>
      </c>
      <c r="I51" s="17">
        <f>MAX(MIN(Es*G51,fy),-fy)</f>
      </c>
      <c r="J51">
        <f>IF(E51&gt;=u_max-beta_1*D51-blk_tol,1,0)</f>
      </c>
      <c r="K51" s="17">
        <f>J51*sig_blk</f>
      </c>
      <c r="L51" s="17">
        <f>I51-K51</f>
      </c>
      <c r="M51" s="17">
        <f>INDEX(Bar_As,MATCH(C51,Bar_No,0))*L51/1000</f>
      </c>
      <c r="N51" s="17">
        <f>M51*INDEX(Bar_Y,MATCH(C51,Bar_No,0))/1000</f>
      </c>
      <c r="O51" s="17">
        <f>M51*INDEX(Bar_X,MATCH(C51,Bar_No,0))/1000</f>
      </c>
    </row>
    <row r="52" spans="2:15" x14ac:dyDescent="0.25">
      <c r="B52">
        <v>3</v>
      </c>
      <c r="C52">
        <v>11</v>
      </c>
      <c r="D52" s="17">
        <f>INDEX(Blk_c,MATCH(B52,Blk_St,0))</f>
      </c>
      <c r="E52" s="17">
        <f>INDEX(Bar_U,MATCH(C52,Bar_No,0))</f>
      </c>
      <c r="F52" s="17">
        <f>u_max-E52</f>
      </c>
      <c r="G52" s="20">
        <f>ecu*(1-F52/D52)</f>
      </c>
      <c r="H52" s="20">
        <f>MAX(0,-G52)</f>
      </c>
      <c r="I52" s="17">
        <f>MAX(MIN(Es*G52,fy),-fy)</f>
      </c>
      <c r="J52">
        <f>IF(E52&gt;=u_max-beta_1*D52-blk_tol,1,0)</f>
      </c>
      <c r="K52" s="17">
        <f>J52*sig_blk</f>
      </c>
      <c r="L52" s="17">
        <f>I52-K52</f>
      </c>
      <c r="M52" s="17">
        <f>INDEX(Bar_As,MATCH(C52,Bar_No,0))*L52/1000</f>
      </c>
      <c r="N52" s="17">
        <f>M52*INDEX(Bar_Y,MATCH(C52,Bar_No,0))/1000</f>
      </c>
      <c r="O52" s="17">
        <f>M52*INDEX(Bar_X,MATCH(C52,Bar_No,0))/1000</f>
      </c>
    </row>
    <row r="53" spans="2:15" x14ac:dyDescent="0.25">
      <c r="B53">
        <v>3</v>
      </c>
      <c r="C53">
        <v>12</v>
      </c>
      <c r="D53" s="17">
        <f>INDEX(Blk_c,MATCH(B53,Blk_St,0))</f>
      </c>
      <c r="E53" s="17">
        <f>INDEX(Bar_U,MATCH(C53,Bar_No,0))</f>
      </c>
      <c r="F53" s="17">
        <f>u_max-E53</f>
      </c>
      <c r="G53" s="20">
        <f>ecu*(1-F53/D53)</f>
      </c>
      <c r="H53" s="20">
        <f>MAX(0,-G53)</f>
      </c>
      <c r="I53" s="17">
        <f>MAX(MIN(Es*G53,fy),-fy)</f>
      </c>
      <c r="J53">
        <f>IF(E53&gt;=u_max-beta_1*D53-blk_tol,1,0)</f>
      </c>
      <c r="K53" s="17">
        <f>J53*sig_blk</f>
      </c>
      <c r="L53" s="17">
        <f>I53-K53</f>
      </c>
      <c r="M53" s="17">
        <f>INDEX(Bar_As,MATCH(C53,Bar_No,0))*L53/1000</f>
      </c>
      <c r="N53" s="17">
        <f>M53*INDEX(Bar_Y,MATCH(C53,Bar_No,0))/1000</f>
      </c>
      <c r="O53" s="17">
        <f>M53*INDEX(Bar_X,MATCH(C53,Bar_No,0))/1000</f>
      </c>
    </row>
    <row r="54" spans="2:15" x14ac:dyDescent="0.25">
      <c r="B54">
        <v>3</v>
      </c>
      <c r="C54">
        <v>13</v>
      </c>
      <c r="D54" s="17">
        <f>INDEX(Blk_c,MATCH(B54,Blk_St,0))</f>
      </c>
      <c r="E54" s="17">
        <f>INDEX(Bar_U,MATCH(C54,Bar_No,0))</f>
      </c>
      <c r="F54" s="17">
        <f>u_max-E54</f>
      </c>
      <c r="G54" s="20">
        <f>ecu*(1-F54/D54)</f>
      </c>
      <c r="H54" s="20">
        <f>MAX(0,-G54)</f>
      </c>
      <c r="I54" s="17">
        <f>MAX(MIN(Es*G54,fy),-fy)</f>
      </c>
      <c r="J54">
        <f>IF(E54&gt;=u_max-beta_1*D54-blk_tol,1,0)</f>
      </c>
      <c r="K54" s="17">
        <f>J54*sig_blk</f>
      </c>
      <c r="L54" s="17">
        <f>I54-K54</f>
      </c>
      <c r="M54" s="17">
        <f>INDEX(Bar_As,MATCH(C54,Bar_No,0))*L54/1000</f>
      </c>
      <c r="N54" s="17">
        <f>M54*INDEX(Bar_Y,MATCH(C54,Bar_No,0))/1000</f>
      </c>
      <c r="O54" s="17">
        <f>M54*INDEX(Bar_X,MATCH(C54,Bar_No,0))/1000</f>
      </c>
    </row>
    <row r="55" spans="2:15" x14ac:dyDescent="0.25">
      <c r="B55">
        <v>3</v>
      </c>
      <c r="C55">
        <v>14</v>
      </c>
      <c r="D55" s="17">
        <f>INDEX(Blk_c,MATCH(B55,Blk_St,0))</f>
      </c>
      <c r="E55" s="17">
        <f>INDEX(Bar_U,MATCH(C55,Bar_No,0))</f>
      </c>
      <c r="F55" s="17">
        <f>u_max-E55</f>
      </c>
      <c r="G55" s="20">
        <f>ecu*(1-F55/D55)</f>
      </c>
      <c r="H55" s="20">
        <f>MAX(0,-G55)</f>
      </c>
      <c r="I55" s="17">
        <f>MAX(MIN(Es*G55,fy),-fy)</f>
      </c>
      <c r="J55">
        <f>IF(E55&gt;=u_max-beta_1*D55-blk_tol,1,0)</f>
      </c>
      <c r="K55" s="17">
        <f>J55*sig_blk</f>
      </c>
      <c r="L55" s="17">
        <f>I55-K55</f>
      </c>
      <c r="M55" s="17">
        <f>INDEX(Bar_As,MATCH(C55,Bar_No,0))*L55/1000</f>
      </c>
      <c r="N55" s="17">
        <f>M55*INDEX(Bar_Y,MATCH(C55,Bar_No,0))/1000</f>
      </c>
      <c r="O55" s="17">
        <f>M55*INDEX(Bar_X,MATCH(C55,Bar_No,0))/1000</f>
      </c>
    </row>
    <row r="56" spans="2:15" x14ac:dyDescent="0.25">
      <c r="B56">
        <v>3</v>
      </c>
      <c r="C56">
        <v>15</v>
      </c>
      <c r="D56" s="17">
        <f>INDEX(Blk_c,MATCH(B56,Blk_St,0))</f>
      </c>
      <c r="E56" s="17">
        <f>INDEX(Bar_U,MATCH(C56,Bar_No,0))</f>
      </c>
      <c r="F56" s="17">
        <f>u_max-E56</f>
      </c>
      <c r="G56" s="20">
        <f>ecu*(1-F56/D56)</f>
      </c>
      <c r="H56" s="20">
        <f>MAX(0,-G56)</f>
      </c>
      <c r="I56" s="17">
        <f>MAX(MIN(Es*G56,fy),-fy)</f>
      </c>
      <c r="J56">
        <f>IF(E56&gt;=u_max-beta_1*D56-blk_tol,1,0)</f>
      </c>
      <c r="K56" s="17">
        <f>J56*sig_blk</f>
      </c>
      <c r="L56" s="17">
        <f>I56-K56</f>
      </c>
      <c r="M56" s="17">
        <f>INDEX(Bar_As,MATCH(C56,Bar_No,0))*L56/1000</f>
      </c>
      <c r="N56" s="17">
        <f>M56*INDEX(Bar_Y,MATCH(C56,Bar_No,0))/1000</f>
      </c>
      <c r="O56" s="17">
        <f>M56*INDEX(Bar_X,MATCH(C56,Bar_No,0))/1000</f>
      </c>
    </row>
    <row r="57" spans="2:15" x14ac:dyDescent="0.25">
      <c r="B57">
        <v>3</v>
      </c>
      <c r="C57">
        <v>16</v>
      </c>
      <c r="D57" s="17">
        <f>INDEX(Blk_c,MATCH(B57,Blk_St,0))</f>
      </c>
      <c r="E57" s="17">
        <f>INDEX(Bar_U,MATCH(C57,Bar_No,0))</f>
      </c>
      <c r="F57" s="17">
        <f>u_max-E57</f>
      </c>
      <c r="G57" s="20">
        <f>ecu*(1-F57/D57)</f>
      </c>
      <c r="H57" s="20">
        <f>MAX(0,-G57)</f>
      </c>
      <c r="I57" s="17">
        <f>MAX(MIN(Es*G57,fy),-fy)</f>
      </c>
      <c r="J57">
        <f>IF(E57&gt;=u_max-beta_1*D57-blk_tol,1,0)</f>
      </c>
      <c r="K57" s="17">
        <f>J57*sig_blk</f>
      </c>
      <c r="L57" s="17">
        <f>I57-K57</f>
      </c>
      <c r="M57" s="17">
        <f>INDEX(Bar_As,MATCH(C57,Bar_No,0))*L57/1000</f>
      </c>
      <c r="N57" s="17">
        <f>M57*INDEX(Bar_Y,MATCH(C57,Bar_No,0))/1000</f>
      </c>
      <c r="O57" s="17">
        <f>M57*INDEX(Bar_X,MATCH(C57,Bar_No,0))/1000</f>
      </c>
    </row>
    <row r="58" spans="2:15" x14ac:dyDescent="0.25">
      <c r="B58">
        <v>3</v>
      </c>
      <c r="C58">
        <v>17</v>
      </c>
      <c r="D58" s="17">
        <f>INDEX(Blk_c,MATCH(B58,Blk_St,0))</f>
      </c>
      <c r="E58" s="17">
        <f>INDEX(Bar_U,MATCH(C58,Bar_No,0))</f>
      </c>
      <c r="F58" s="17">
        <f>u_max-E58</f>
      </c>
      <c r="G58" s="20">
        <f>ecu*(1-F58/D58)</f>
      </c>
      <c r="H58" s="20">
        <f>MAX(0,-G58)</f>
      </c>
      <c r="I58" s="17">
        <f>MAX(MIN(Es*G58,fy),-fy)</f>
      </c>
      <c r="J58">
        <f>IF(E58&gt;=u_max-beta_1*D58-blk_tol,1,0)</f>
      </c>
      <c r="K58" s="17">
        <f>J58*sig_blk</f>
      </c>
      <c r="L58" s="17">
        <f>I58-K58</f>
      </c>
      <c r="M58" s="17">
        <f>INDEX(Bar_As,MATCH(C58,Bar_No,0))*L58/1000</f>
      </c>
      <c r="N58" s="17">
        <f>M58*INDEX(Bar_Y,MATCH(C58,Bar_No,0))/1000</f>
      </c>
      <c r="O58" s="17">
        <f>M58*INDEX(Bar_X,MATCH(C58,Bar_No,0))/1000</f>
      </c>
    </row>
    <row r="59" spans="2:15" x14ac:dyDescent="0.25">
      <c r="B59">
        <v>3</v>
      </c>
      <c r="C59">
        <v>18</v>
      </c>
      <c r="D59" s="17">
        <f>INDEX(Blk_c,MATCH(B59,Blk_St,0))</f>
      </c>
      <c r="E59" s="17">
        <f>INDEX(Bar_U,MATCH(C59,Bar_No,0))</f>
      </c>
      <c r="F59" s="17">
        <f>u_max-E59</f>
      </c>
      <c r="G59" s="20">
        <f>ecu*(1-F59/D59)</f>
      </c>
      <c r="H59" s="20">
        <f>MAX(0,-G59)</f>
      </c>
      <c r="I59" s="17">
        <f>MAX(MIN(Es*G59,fy),-fy)</f>
      </c>
      <c r="J59">
        <f>IF(E59&gt;=u_max-beta_1*D59-blk_tol,1,0)</f>
      </c>
      <c r="K59" s="17">
        <f>J59*sig_blk</f>
      </c>
      <c r="L59" s="17">
        <f>I59-K59</f>
      </c>
      <c r="M59" s="17">
        <f>INDEX(Bar_As,MATCH(C59,Bar_No,0))*L59/1000</f>
      </c>
      <c r="N59" s="17">
        <f>M59*INDEX(Bar_Y,MATCH(C59,Bar_No,0))/1000</f>
      </c>
      <c r="O59" s="17">
        <f>M59*INDEX(Bar_X,MATCH(C59,Bar_No,0))/1000</f>
      </c>
    </row>
    <row r="60" spans="2:15" x14ac:dyDescent="0.25">
      <c r="B60">
        <v>4</v>
      </c>
      <c r="C60">
        <v>1</v>
      </c>
      <c r="D60" s="17">
        <f>INDEX(Blk_c,MATCH(B60,Blk_St,0))</f>
      </c>
      <c r="E60" s="17">
        <f>INDEX(Bar_U,MATCH(C60,Bar_No,0))</f>
      </c>
      <c r="F60" s="17">
        <f>u_max-E60</f>
      </c>
      <c r="G60" s="20">
        <f>ecu*(1-F60/D60)</f>
      </c>
      <c r="H60" s="20">
        <f>MAX(0,-G60)</f>
      </c>
      <c r="I60" s="17">
        <f>MAX(MIN(Es*G60,fy),-fy)</f>
      </c>
      <c r="J60">
        <f>IF(E60&gt;=u_max-beta_1*D60-blk_tol,1,0)</f>
      </c>
      <c r="K60" s="17">
        <f>J60*sig_blk</f>
      </c>
      <c r="L60" s="17">
        <f>I60-K60</f>
      </c>
      <c r="M60" s="17">
        <f>INDEX(Bar_As,MATCH(C60,Bar_No,0))*L60/1000</f>
      </c>
      <c r="N60" s="17">
        <f>M60*INDEX(Bar_Y,MATCH(C60,Bar_No,0))/1000</f>
      </c>
      <c r="O60" s="17">
        <f>M60*INDEX(Bar_X,MATCH(C60,Bar_No,0))/1000</f>
      </c>
    </row>
    <row r="61" spans="2:15" x14ac:dyDescent="0.25">
      <c r="B61">
        <v>4</v>
      </c>
      <c r="C61">
        <v>2</v>
      </c>
      <c r="D61" s="17">
        <f>INDEX(Blk_c,MATCH(B61,Blk_St,0))</f>
      </c>
      <c r="E61" s="17">
        <f>INDEX(Bar_U,MATCH(C61,Bar_No,0))</f>
      </c>
      <c r="F61" s="17">
        <f>u_max-E61</f>
      </c>
      <c r="G61" s="20">
        <f>ecu*(1-F61/D61)</f>
      </c>
      <c r="H61" s="20">
        <f>MAX(0,-G61)</f>
      </c>
      <c r="I61" s="17">
        <f>MAX(MIN(Es*G61,fy),-fy)</f>
      </c>
      <c r="J61">
        <f>IF(E61&gt;=u_max-beta_1*D61-blk_tol,1,0)</f>
      </c>
      <c r="K61" s="17">
        <f>J61*sig_blk</f>
      </c>
      <c r="L61" s="17">
        <f>I61-K61</f>
      </c>
      <c r="M61" s="17">
        <f>INDEX(Bar_As,MATCH(C61,Bar_No,0))*L61/1000</f>
      </c>
      <c r="N61" s="17">
        <f>M61*INDEX(Bar_Y,MATCH(C61,Bar_No,0))/1000</f>
      </c>
      <c r="O61" s="17">
        <f>M61*INDEX(Bar_X,MATCH(C61,Bar_No,0))/1000</f>
      </c>
    </row>
    <row r="62" spans="2:15" x14ac:dyDescent="0.25">
      <c r="B62">
        <v>4</v>
      </c>
      <c r="C62">
        <v>3</v>
      </c>
      <c r="D62" s="17">
        <f>INDEX(Blk_c,MATCH(B62,Blk_St,0))</f>
      </c>
      <c r="E62" s="17">
        <f>INDEX(Bar_U,MATCH(C62,Bar_No,0))</f>
      </c>
      <c r="F62" s="17">
        <f>u_max-E62</f>
      </c>
      <c r="G62" s="20">
        <f>ecu*(1-F62/D62)</f>
      </c>
      <c r="H62" s="20">
        <f>MAX(0,-G62)</f>
      </c>
      <c r="I62" s="17">
        <f>MAX(MIN(Es*G62,fy),-fy)</f>
      </c>
      <c r="J62">
        <f>IF(E62&gt;=u_max-beta_1*D62-blk_tol,1,0)</f>
      </c>
      <c r="K62" s="17">
        <f>J62*sig_blk</f>
      </c>
      <c r="L62" s="17">
        <f>I62-K62</f>
      </c>
      <c r="M62" s="17">
        <f>INDEX(Bar_As,MATCH(C62,Bar_No,0))*L62/1000</f>
      </c>
      <c r="N62" s="17">
        <f>M62*INDEX(Bar_Y,MATCH(C62,Bar_No,0))/1000</f>
      </c>
      <c r="O62" s="17">
        <f>M62*INDEX(Bar_X,MATCH(C62,Bar_No,0))/1000</f>
      </c>
    </row>
    <row r="63" spans="2:15" x14ac:dyDescent="0.25">
      <c r="B63">
        <v>4</v>
      </c>
      <c r="C63">
        <v>4</v>
      </c>
      <c r="D63" s="17">
        <f>INDEX(Blk_c,MATCH(B63,Blk_St,0))</f>
      </c>
      <c r="E63" s="17">
        <f>INDEX(Bar_U,MATCH(C63,Bar_No,0))</f>
      </c>
      <c r="F63" s="17">
        <f>u_max-E63</f>
      </c>
      <c r="G63" s="20">
        <f>ecu*(1-F63/D63)</f>
      </c>
      <c r="H63" s="20">
        <f>MAX(0,-G63)</f>
      </c>
      <c r="I63" s="17">
        <f>MAX(MIN(Es*G63,fy),-fy)</f>
      </c>
      <c r="J63">
        <f>IF(E63&gt;=u_max-beta_1*D63-blk_tol,1,0)</f>
      </c>
      <c r="K63" s="17">
        <f>J63*sig_blk</f>
      </c>
      <c r="L63" s="17">
        <f>I63-K63</f>
      </c>
      <c r="M63" s="17">
        <f>INDEX(Bar_As,MATCH(C63,Bar_No,0))*L63/1000</f>
      </c>
      <c r="N63" s="17">
        <f>M63*INDEX(Bar_Y,MATCH(C63,Bar_No,0))/1000</f>
      </c>
      <c r="O63" s="17">
        <f>M63*INDEX(Bar_X,MATCH(C63,Bar_No,0))/1000</f>
      </c>
    </row>
    <row r="64" spans="2:15" x14ac:dyDescent="0.25">
      <c r="B64">
        <v>4</v>
      </c>
      <c r="C64">
        <v>5</v>
      </c>
      <c r="D64" s="17">
        <f>INDEX(Blk_c,MATCH(B64,Blk_St,0))</f>
      </c>
      <c r="E64" s="17">
        <f>INDEX(Bar_U,MATCH(C64,Bar_No,0))</f>
      </c>
      <c r="F64" s="17">
        <f>u_max-E64</f>
      </c>
      <c r="G64" s="20">
        <f>ecu*(1-F64/D64)</f>
      </c>
      <c r="H64" s="20">
        <f>MAX(0,-G64)</f>
      </c>
      <c r="I64" s="17">
        <f>MAX(MIN(Es*G64,fy),-fy)</f>
      </c>
      <c r="J64">
        <f>IF(E64&gt;=u_max-beta_1*D64-blk_tol,1,0)</f>
      </c>
      <c r="K64" s="17">
        <f>J64*sig_blk</f>
      </c>
      <c r="L64" s="17">
        <f>I64-K64</f>
      </c>
      <c r="M64" s="17">
        <f>INDEX(Bar_As,MATCH(C64,Bar_No,0))*L64/1000</f>
      </c>
      <c r="N64" s="17">
        <f>M64*INDEX(Bar_Y,MATCH(C64,Bar_No,0))/1000</f>
      </c>
      <c r="O64" s="17">
        <f>M64*INDEX(Bar_X,MATCH(C64,Bar_No,0))/1000</f>
      </c>
    </row>
    <row r="65" spans="2:15" x14ac:dyDescent="0.25">
      <c r="B65">
        <v>4</v>
      </c>
      <c r="C65">
        <v>6</v>
      </c>
      <c r="D65" s="17">
        <f>INDEX(Blk_c,MATCH(B65,Blk_St,0))</f>
      </c>
      <c r="E65" s="17">
        <f>INDEX(Bar_U,MATCH(C65,Bar_No,0))</f>
      </c>
      <c r="F65" s="17">
        <f>u_max-E65</f>
      </c>
      <c r="G65" s="20">
        <f>ecu*(1-F65/D65)</f>
      </c>
      <c r="H65" s="20">
        <f>MAX(0,-G65)</f>
      </c>
      <c r="I65" s="17">
        <f>MAX(MIN(Es*G65,fy),-fy)</f>
      </c>
      <c r="J65">
        <f>IF(E65&gt;=u_max-beta_1*D65-blk_tol,1,0)</f>
      </c>
      <c r="K65" s="17">
        <f>J65*sig_blk</f>
      </c>
      <c r="L65" s="17">
        <f>I65-K65</f>
      </c>
      <c r="M65" s="17">
        <f>INDEX(Bar_As,MATCH(C65,Bar_No,0))*L65/1000</f>
      </c>
      <c r="N65" s="17">
        <f>M65*INDEX(Bar_Y,MATCH(C65,Bar_No,0))/1000</f>
      </c>
      <c r="O65" s="17">
        <f>M65*INDEX(Bar_X,MATCH(C65,Bar_No,0))/1000</f>
      </c>
    </row>
    <row r="66" spans="2:15" x14ac:dyDescent="0.25">
      <c r="B66">
        <v>4</v>
      </c>
      <c r="C66">
        <v>7</v>
      </c>
      <c r="D66" s="17">
        <f>INDEX(Blk_c,MATCH(B66,Blk_St,0))</f>
      </c>
      <c r="E66" s="17">
        <f>INDEX(Bar_U,MATCH(C66,Bar_No,0))</f>
      </c>
      <c r="F66" s="17">
        <f>u_max-E66</f>
      </c>
      <c r="G66" s="20">
        <f>ecu*(1-F66/D66)</f>
      </c>
      <c r="H66" s="20">
        <f>MAX(0,-G66)</f>
      </c>
      <c r="I66" s="17">
        <f>MAX(MIN(Es*G66,fy),-fy)</f>
      </c>
      <c r="J66">
        <f>IF(E66&gt;=u_max-beta_1*D66-blk_tol,1,0)</f>
      </c>
      <c r="K66" s="17">
        <f>J66*sig_blk</f>
      </c>
      <c r="L66" s="17">
        <f>I66-K66</f>
      </c>
      <c r="M66" s="17">
        <f>INDEX(Bar_As,MATCH(C66,Bar_No,0))*L66/1000</f>
      </c>
      <c r="N66" s="17">
        <f>M66*INDEX(Bar_Y,MATCH(C66,Bar_No,0))/1000</f>
      </c>
      <c r="O66" s="17">
        <f>M66*INDEX(Bar_X,MATCH(C66,Bar_No,0))/1000</f>
      </c>
    </row>
    <row r="67" spans="2:15" x14ac:dyDescent="0.25">
      <c r="B67">
        <v>4</v>
      </c>
      <c r="C67">
        <v>8</v>
      </c>
      <c r="D67" s="17">
        <f>INDEX(Blk_c,MATCH(B67,Blk_St,0))</f>
      </c>
      <c r="E67" s="17">
        <f>INDEX(Bar_U,MATCH(C67,Bar_No,0))</f>
      </c>
      <c r="F67" s="17">
        <f>u_max-E67</f>
      </c>
      <c r="G67" s="20">
        <f>ecu*(1-F67/D67)</f>
      </c>
      <c r="H67" s="20">
        <f>MAX(0,-G67)</f>
      </c>
      <c r="I67" s="17">
        <f>MAX(MIN(Es*G67,fy),-fy)</f>
      </c>
      <c r="J67">
        <f>IF(E67&gt;=u_max-beta_1*D67-blk_tol,1,0)</f>
      </c>
      <c r="K67" s="17">
        <f>J67*sig_blk</f>
      </c>
      <c r="L67" s="17">
        <f>I67-K67</f>
      </c>
      <c r="M67" s="17">
        <f>INDEX(Bar_As,MATCH(C67,Bar_No,0))*L67/1000</f>
      </c>
      <c r="N67" s="17">
        <f>M67*INDEX(Bar_Y,MATCH(C67,Bar_No,0))/1000</f>
      </c>
      <c r="O67" s="17">
        <f>M67*INDEX(Bar_X,MATCH(C67,Bar_No,0))/1000</f>
      </c>
    </row>
    <row r="68" spans="2:15" x14ac:dyDescent="0.25">
      <c r="B68">
        <v>4</v>
      </c>
      <c r="C68">
        <v>9</v>
      </c>
      <c r="D68" s="17">
        <f>INDEX(Blk_c,MATCH(B68,Blk_St,0))</f>
      </c>
      <c r="E68" s="17">
        <f>INDEX(Bar_U,MATCH(C68,Bar_No,0))</f>
      </c>
      <c r="F68" s="17">
        <f>u_max-E68</f>
      </c>
      <c r="G68" s="20">
        <f>ecu*(1-F68/D68)</f>
      </c>
      <c r="H68" s="20">
        <f>MAX(0,-G68)</f>
      </c>
      <c r="I68" s="17">
        <f>MAX(MIN(Es*G68,fy),-fy)</f>
      </c>
      <c r="J68">
        <f>IF(E68&gt;=u_max-beta_1*D68-blk_tol,1,0)</f>
      </c>
      <c r="K68" s="17">
        <f>J68*sig_blk</f>
      </c>
      <c r="L68" s="17">
        <f>I68-K68</f>
      </c>
      <c r="M68" s="17">
        <f>INDEX(Bar_As,MATCH(C68,Bar_No,0))*L68/1000</f>
      </c>
      <c r="N68" s="17">
        <f>M68*INDEX(Bar_Y,MATCH(C68,Bar_No,0))/1000</f>
      </c>
      <c r="O68" s="17">
        <f>M68*INDEX(Bar_X,MATCH(C68,Bar_No,0))/1000</f>
      </c>
    </row>
    <row r="69" spans="2:15" x14ac:dyDescent="0.25">
      <c r="B69">
        <v>4</v>
      </c>
      <c r="C69">
        <v>10</v>
      </c>
      <c r="D69" s="17">
        <f>INDEX(Blk_c,MATCH(B69,Blk_St,0))</f>
      </c>
      <c r="E69" s="17">
        <f>INDEX(Bar_U,MATCH(C69,Bar_No,0))</f>
      </c>
      <c r="F69" s="17">
        <f>u_max-E69</f>
      </c>
      <c r="G69" s="20">
        <f>ecu*(1-F69/D69)</f>
      </c>
      <c r="H69" s="20">
        <f>MAX(0,-G69)</f>
      </c>
      <c r="I69" s="17">
        <f>MAX(MIN(Es*G69,fy),-fy)</f>
      </c>
      <c r="J69">
        <f>IF(E69&gt;=u_max-beta_1*D69-blk_tol,1,0)</f>
      </c>
      <c r="K69" s="17">
        <f>J69*sig_blk</f>
      </c>
      <c r="L69" s="17">
        <f>I69-K69</f>
      </c>
      <c r="M69" s="17">
        <f>INDEX(Bar_As,MATCH(C69,Bar_No,0))*L69/1000</f>
      </c>
      <c r="N69" s="17">
        <f>M69*INDEX(Bar_Y,MATCH(C69,Bar_No,0))/1000</f>
      </c>
      <c r="O69" s="17">
        <f>M69*INDEX(Bar_X,MATCH(C69,Bar_No,0))/1000</f>
      </c>
    </row>
    <row r="70" spans="2:15" x14ac:dyDescent="0.25">
      <c r="B70">
        <v>4</v>
      </c>
      <c r="C70">
        <v>11</v>
      </c>
      <c r="D70" s="17">
        <f>INDEX(Blk_c,MATCH(B70,Blk_St,0))</f>
      </c>
      <c r="E70" s="17">
        <f>INDEX(Bar_U,MATCH(C70,Bar_No,0))</f>
      </c>
      <c r="F70" s="17">
        <f>u_max-E70</f>
      </c>
      <c r="G70" s="20">
        <f>ecu*(1-F70/D70)</f>
      </c>
      <c r="H70" s="20">
        <f>MAX(0,-G70)</f>
      </c>
      <c r="I70" s="17">
        <f>MAX(MIN(Es*G70,fy),-fy)</f>
      </c>
      <c r="J70">
        <f>IF(E70&gt;=u_max-beta_1*D70-blk_tol,1,0)</f>
      </c>
      <c r="K70" s="17">
        <f>J70*sig_blk</f>
      </c>
      <c r="L70" s="17">
        <f>I70-K70</f>
      </c>
      <c r="M70" s="17">
        <f>INDEX(Bar_As,MATCH(C70,Bar_No,0))*L70/1000</f>
      </c>
      <c r="N70" s="17">
        <f>M70*INDEX(Bar_Y,MATCH(C70,Bar_No,0))/1000</f>
      </c>
      <c r="O70" s="17">
        <f>M70*INDEX(Bar_X,MATCH(C70,Bar_No,0))/1000</f>
      </c>
    </row>
    <row r="71" spans="2:15" x14ac:dyDescent="0.25">
      <c r="B71">
        <v>4</v>
      </c>
      <c r="C71">
        <v>12</v>
      </c>
      <c r="D71" s="17">
        <f>INDEX(Blk_c,MATCH(B71,Blk_St,0))</f>
      </c>
      <c r="E71" s="17">
        <f>INDEX(Bar_U,MATCH(C71,Bar_No,0))</f>
      </c>
      <c r="F71" s="17">
        <f>u_max-E71</f>
      </c>
      <c r="G71" s="20">
        <f>ecu*(1-F71/D71)</f>
      </c>
      <c r="H71" s="20">
        <f>MAX(0,-G71)</f>
      </c>
      <c r="I71" s="17">
        <f>MAX(MIN(Es*G71,fy),-fy)</f>
      </c>
      <c r="J71">
        <f>IF(E71&gt;=u_max-beta_1*D71-blk_tol,1,0)</f>
      </c>
      <c r="K71" s="17">
        <f>J71*sig_blk</f>
      </c>
      <c r="L71" s="17">
        <f>I71-K71</f>
      </c>
      <c r="M71" s="17">
        <f>INDEX(Bar_As,MATCH(C71,Bar_No,0))*L71/1000</f>
      </c>
      <c r="N71" s="17">
        <f>M71*INDEX(Bar_Y,MATCH(C71,Bar_No,0))/1000</f>
      </c>
      <c r="O71" s="17">
        <f>M71*INDEX(Bar_X,MATCH(C71,Bar_No,0))/1000</f>
      </c>
    </row>
    <row r="72" spans="2:15" x14ac:dyDescent="0.25">
      <c r="B72">
        <v>4</v>
      </c>
      <c r="C72">
        <v>13</v>
      </c>
      <c r="D72" s="17">
        <f>INDEX(Blk_c,MATCH(B72,Blk_St,0))</f>
      </c>
      <c r="E72" s="17">
        <f>INDEX(Bar_U,MATCH(C72,Bar_No,0))</f>
      </c>
      <c r="F72" s="17">
        <f>u_max-E72</f>
      </c>
      <c r="G72" s="20">
        <f>ecu*(1-F72/D72)</f>
      </c>
      <c r="H72" s="20">
        <f>MAX(0,-G72)</f>
      </c>
      <c r="I72" s="17">
        <f>MAX(MIN(Es*G72,fy),-fy)</f>
      </c>
      <c r="J72">
        <f>IF(E72&gt;=u_max-beta_1*D72-blk_tol,1,0)</f>
      </c>
      <c r="K72" s="17">
        <f>J72*sig_blk</f>
      </c>
      <c r="L72" s="17">
        <f>I72-K72</f>
      </c>
      <c r="M72" s="17">
        <f>INDEX(Bar_As,MATCH(C72,Bar_No,0))*L72/1000</f>
      </c>
      <c r="N72" s="17">
        <f>M72*INDEX(Bar_Y,MATCH(C72,Bar_No,0))/1000</f>
      </c>
      <c r="O72" s="17">
        <f>M72*INDEX(Bar_X,MATCH(C72,Bar_No,0))/1000</f>
      </c>
    </row>
    <row r="73" spans="2:15" x14ac:dyDescent="0.25">
      <c r="B73">
        <v>4</v>
      </c>
      <c r="C73">
        <v>14</v>
      </c>
      <c r="D73" s="17">
        <f>INDEX(Blk_c,MATCH(B73,Blk_St,0))</f>
      </c>
      <c r="E73" s="17">
        <f>INDEX(Bar_U,MATCH(C73,Bar_No,0))</f>
      </c>
      <c r="F73" s="17">
        <f>u_max-E73</f>
      </c>
      <c r="G73" s="20">
        <f>ecu*(1-F73/D73)</f>
      </c>
      <c r="H73" s="20">
        <f>MAX(0,-G73)</f>
      </c>
      <c r="I73" s="17">
        <f>MAX(MIN(Es*G73,fy),-fy)</f>
      </c>
      <c r="J73">
        <f>IF(E73&gt;=u_max-beta_1*D73-blk_tol,1,0)</f>
      </c>
      <c r="K73" s="17">
        <f>J73*sig_blk</f>
      </c>
      <c r="L73" s="17">
        <f>I73-K73</f>
      </c>
      <c r="M73" s="17">
        <f>INDEX(Bar_As,MATCH(C73,Bar_No,0))*L73/1000</f>
      </c>
      <c r="N73" s="17">
        <f>M73*INDEX(Bar_Y,MATCH(C73,Bar_No,0))/1000</f>
      </c>
      <c r="O73" s="17">
        <f>M73*INDEX(Bar_X,MATCH(C73,Bar_No,0))/1000</f>
      </c>
    </row>
    <row r="74" spans="2:15" x14ac:dyDescent="0.25">
      <c r="B74">
        <v>4</v>
      </c>
      <c r="C74">
        <v>15</v>
      </c>
      <c r="D74" s="17">
        <f>INDEX(Blk_c,MATCH(B74,Blk_St,0))</f>
      </c>
      <c r="E74" s="17">
        <f>INDEX(Bar_U,MATCH(C74,Bar_No,0))</f>
      </c>
      <c r="F74" s="17">
        <f>u_max-E74</f>
      </c>
      <c r="G74" s="20">
        <f>ecu*(1-F74/D74)</f>
      </c>
      <c r="H74" s="20">
        <f>MAX(0,-G74)</f>
      </c>
      <c r="I74" s="17">
        <f>MAX(MIN(Es*G74,fy),-fy)</f>
      </c>
      <c r="J74">
        <f>IF(E74&gt;=u_max-beta_1*D74-blk_tol,1,0)</f>
      </c>
      <c r="K74" s="17">
        <f>J74*sig_blk</f>
      </c>
      <c r="L74" s="17">
        <f>I74-K74</f>
      </c>
      <c r="M74" s="17">
        <f>INDEX(Bar_As,MATCH(C74,Bar_No,0))*L74/1000</f>
      </c>
      <c r="N74" s="17">
        <f>M74*INDEX(Bar_Y,MATCH(C74,Bar_No,0))/1000</f>
      </c>
      <c r="O74" s="17">
        <f>M74*INDEX(Bar_X,MATCH(C74,Bar_No,0))/1000</f>
      </c>
    </row>
    <row r="75" spans="2:15" x14ac:dyDescent="0.25">
      <c r="B75">
        <v>4</v>
      </c>
      <c r="C75">
        <v>16</v>
      </c>
      <c r="D75" s="17">
        <f>INDEX(Blk_c,MATCH(B75,Blk_St,0))</f>
      </c>
      <c r="E75" s="17">
        <f>INDEX(Bar_U,MATCH(C75,Bar_No,0))</f>
      </c>
      <c r="F75" s="17">
        <f>u_max-E75</f>
      </c>
      <c r="G75" s="20">
        <f>ecu*(1-F75/D75)</f>
      </c>
      <c r="H75" s="20">
        <f>MAX(0,-G75)</f>
      </c>
      <c r="I75" s="17">
        <f>MAX(MIN(Es*G75,fy),-fy)</f>
      </c>
      <c r="J75">
        <f>IF(E75&gt;=u_max-beta_1*D75-blk_tol,1,0)</f>
      </c>
      <c r="K75" s="17">
        <f>J75*sig_blk</f>
      </c>
      <c r="L75" s="17">
        <f>I75-K75</f>
      </c>
      <c r="M75" s="17">
        <f>INDEX(Bar_As,MATCH(C75,Bar_No,0))*L75/1000</f>
      </c>
      <c r="N75" s="17">
        <f>M75*INDEX(Bar_Y,MATCH(C75,Bar_No,0))/1000</f>
      </c>
      <c r="O75" s="17">
        <f>M75*INDEX(Bar_X,MATCH(C75,Bar_No,0))/1000</f>
      </c>
    </row>
    <row r="76" spans="2:15" x14ac:dyDescent="0.25">
      <c r="B76">
        <v>4</v>
      </c>
      <c r="C76">
        <v>17</v>
      </c>
      <c r="D76" s="17">
        <f>INDEX(Blk_c,MATCH(B76,Blk_St,0))</f>
      </c>
      <c r="E76" s="17">
        <f>INDEX(Bar_U,MATCH(C76,Bar_No,0))</f>
      </c>
      <c r="F76" s="17">
        <f>u_max-E76</f>
      </c>
      <c r="G76" s="20">
        <f>ecu*(1-F76/D76)</f>
      </c>
      <c r="H76" s="20">
        <f>MAX(0,-G76)</f>
      </c>
      <c r="I76" s="17">
        <f>MAX(MIN(Es*G76,fy),-fy)</f>
      </c>
      <c r="J76">
        <f>IF(E76&gt;=u_max-beta_1*D76-blk_tol,1,0)</f>
      </c>
      <c r="K76" s="17">
        <f>J76*sig_blk</f>
      </c>
      <c r="L76" s="17">
        <f>I76-K76</f>
      </c>
      <c r="M76" s="17">
        <f>INDEX(Bar_As,MATCH(C76,Bar_No,0))*L76/1000</f>
      </c>
      <c r="N76" s="17">
        <f>M76*INDEX(Bar_Y,MATCH(C76,Bar_No,0))/1000</f>
      </c>
      <c r="O76" s="17">
        <f>M76*INDEX(Bar_X,MATCH(C76,Bar_No,0))/1000</f>
      </c>
    </row>
    <row r="77" spans="2:15" x14ac:dyDescent="0.25">
      <c r="B77">
        <v>4</v>
      </c>
      <c r="C77">
        <v>18</v>
      </c>
      <c r="D77" s="17">
        <f>INDEX(Blk_c,MATCH(B77,Blk_St,0))</f>
      </c>
      <c r="E77" s="17">
        <f>INDEX(Bar_U,MATCH(C77,Bar_No,0))</f>
      </c>
      <c r="F77" s="17">
        <f>u_max-E77</f>
      </c>
      <c r="G77" s="20">
        <f>ecu*(1-F77/D77)</f>
      </c>
      <c r="H77" s="20">
        <f>MAX(0,-G77)</f>
      </c>
      <c r="I77" s="17">
        <f>MAX(MIN(Es*G77,fy),-fy)</f>
      </c>
      <c r="J77">
        <f>IF(E77&gt;=u_max-beta_1*D77-blk_tol,1,0)</f>
      </c>
      <c r="K77" s="17">
        <f>J77*sig_blk</f>
      </c>
      <c r="L77" s="17">
        <f>I77-K77</f>
      </c>
      <c r="M77" s="17">
        <f>INDEX(Bar_As,MATCH(C77,Bar_No,0))*L77/1000</f>
      </c>
      <c r="N77" s="17">
        <f>M77*INDEX(Bar_Y,MATCH(C77,Bar_No,0))/1000</f>
      </c>
      <c r="O77" s="17">
        <f>M77*INDEX(Bar_X,MATCH(C77,Bar_No,0))/1000</f>
      </c>
    </row>
    <row r="78" spans="2:15" x14ac:dyDescent="0.25">
      <c r="B78">
        <v>5</v>
      </c>
      <c r="C78">
        <v>1</v>
      </c>
      <c r="D78" s="17">
        <f>INDEX(Blk_c,MATCH(B78,Blk_St,0))</f>
      </c>
      <c r="E78" s="17">
        <f>INDEX(Bar_U,MATCH(C78,Bar_No,0))</f>
      </c>
      <c r="F78" s="17">
        <f>u_max-E78</f>
      </c>
      <c r="G78" s="20">
        <f>ecu*(1-F78/D78)</f>
      </c>
      <c r="H78" s="20">
        <f>MAX(0,-G78)</f>
      </c>
      <c r="I78" s="17">
        <f>MAX(MIN(Es*G78,fy),-fy)</f>
      </c>
      <c r="J78">
        <f>IF(E78&gt;=u_max-beta_1*D78-blk_tol,1,0)</f>
      </c>
      <c r="K78" s="17">
        <f>J78*sig_blk</f>
      </c>
      <c r="L78" s="17">
        <f>I78-K78</f>
      </c>
      <c r="M78" s="17">
        <f>INDEX(Bar_As,MATCH(C78,Bar_No,0))*L78/1000</f>
      </c>
      <c r="N78" s="17">
        <f>M78*INDEX(Bar_Y,MATCH(C78,Bar_No,0))/1000</f>
      </c>
      <c r="O78" s="17">
        <f>M78*INDEX(Bar_X,MATCH(C78,Bar_No,0))/1000</f>
      </c>
    </row>
    <row r="79" spans="2:15" x14ac:dyDescent="0.25">
      <c r="B79">
        <v>5</v>
      </c>
      <c r="C79">
        <v>2</v>
      </c>
      <c r="D79" s="17">
        <f>INDEX(Blk_c,MATCH(B79,Blk_St,0))</f>
      </c>
      <c r="E79" s="17">
        <f>INDEX(Bar_U,MATCH(C79,Bar_No,0))</f>
      </c>
      <c r="F79" s="17">
        <f>u_max-E79</f>
      </c>
      <c r="G79" s="20">
        <f>ecu*(1-F79/D79)</f>
      </c>
      <c r="H79" s="20">
        <f>MAX(0,-G79)</f>
      </c>
      <c r="I79" s="17">
        <f>MAX(MIN(Es*G79,fy),-fy)</f>
      </c>
      <c r="J79">
        <f>IF(E79&gt;=u_max-beta_1*D79-blk_tol,1,0)</f>
      </c>
      <c r="K79" s="17">
        <f>J79*sig_blk</f>
      </c>
      <c r="L79" s="17">
        <f>I79-K79</f>
      </c>
      <c r="M79" s="17">
        <f>INDEX(Bar_As,MATCH(C79,Bar_No,0))*L79/1000</f>
      </c>
      <c r="N79" s="17">
        <f>M79*INDEX(Bar_Y,MATCH(C79,Bar_No,0))/1000</f>
      </c>
      <c r="O79" s="17">
        <f>M79*INDEX(Bar_X,MATCH(C79,Bar_No,0))/1000</f>
      </c>
    </row>
    <row r="80" spans="2:15" x14ac:dyDescent="0.25">
      <c r="B80">
        <v>5</v>
      </c>
      <c r="C80">
        <v>3</v>
      </c>
      <c r="D80" s="17">
        <f>INDEX(Blk_c,MATCH(B80,Blk_St,0))</f>
      </c>
      <c r="E80" s="17">
        <f>INDEX(Bar_U,MATCH(C80,Bar_No,0))</f>
      </c>
      <c r="F80" s="17">
        <f>u_max-E80</f>
      </c>
      <c r="G80" s="20">
        <f>ecu*(1-F80/D80)</f>
      </c>
      <c r="H80" s="20">
        <f>MAX(0,-G80)</f>
      </c>
      <c r="I80" s="17">
        <f>MAX(MIN(Es*G80,fy),-fy)</f>
      </c>
      <c r="J80">
        <f>IF(E80&gt;=u_max-beta_1*D80-blk_tol,1,0)</f>
      </c>
      <c r="K80" s="17">
        <f>J80*sig_blk</f>
      </c>
      <c r="L80" s="17">
        <f>I80-K80</f>
      </c>
      <c r="M80" s="17">
        <f>INDEX(Bar_As,MATCH(C80,Bar_No,0))*L80/1000</f>
      </c>
      <c r="N80" s="17">
        <f>M80*INDEX(Bar_Y,MATCH(C80,Bar_No,0))/1000</f>
      </c>
      <c r="O80" s="17">
        <f>M80*INDEX(Bar_X,MATCH(C80,Bar_No,0))/1000</f>
      </c>
    </row>
    <row r="81" spans="2:15" x14ac:dyDescent="0.25">
      <c r="B81">
        <v>5</v>
      </c>
      <c r="C81">
        <v>4</v>
      </c>
      <c r="D81" s="17">
        <f>INDEX(Blk_c,MATCH(B81,Blk_St,0))</f>
      </c>
      <c r="E81" s="17">
        <f>INDEX(Bar_U,MATCH(C81,Bar_No,0))</f>
      </c>
      <c r="F81" s="17">
        <f>u_max-E81</f>
      </c>
      <c r="G81" s="20">
        <f>ecu*(1-F81/D81)</f>
      </c>
      <c r="H81" s="20">
        <f>MAX(0,-G81)</f>
      </c>
      <c r="I81" s="17">
        <f>MAX(MIN(Es*G81,fy),-fy)</f>
      </c>
      <c r="J81">
        <f>IF(E81&gt;=u_max-beta_1*D81-blk_tol,1,0)</f>
      </c>
      <c r="K81" s="17">
        <f>J81*sig_blk</f>
      </c>
      <c r="L81" s="17">
        <f>I81-K81</f>
      </c>
      <c r="M81" s="17">
        <f>INDEX(Bar_As,MATCH(C81,Bar_No,0))*L81/1000</f>
      </c>
      <c r="N81" s="17">
        <f>M81*INDEX(Bar_Y,MATCH(C81,Bar_No,0))/1000</f>
      </c>
      <c r="O81" s="17">
        <f>M81*INDEX(Bar_X,MATCH(C81,Bar_No,0))/1000</f>
      </c>
    </row>
    <row r="82" spans="2:15" x14ac:dyDescent="0.25">
      <c r="B82">
        <v>5</v>
      </c>
      <c r="C82">
        <v>5</v>
      </c>
      <c r="D82" s="17">
        <f>INDEX(Blk_c,MATCH(B82,Blk_St,0))</f>
      </c>
      <c r="E82" s="17">
        <f>INDEX(Bar_U,MATCH(C82,Bar_No,0))</f>
      </c>
      <c r="F82" s="17">
        <f>u_max-E82</f>
      </c>
      <c r="G82" s="20">
        <f>ecu*(1-F82/D82)</f>
      </c>
      <c r="H82" s="20">
        <f>MAX(0,-G82)</f>
      </c>
      <c r="I82" s="17">
        <f>MAX(MIN(Es*G82,fy),-fy)</f>
      </c>
      <c r="J82">
        <f>IF(E82&gt;=u_max-beta_1*D82-blk_tol,1,0)</f>
      </c>
      <c r="K82" s="17">
        <f>J82*sig_blk</f>
      </c>
      <c r="L82" s="17">
        <f>I82-K82</f>
      </c>
      <c r="M82" s="17">
        <f>INDEX(Bar_As,MATCH(C82,Bar_No,0))*L82/1000</f>
      </c>
      <c r="N82" s="17">
        <f>M82*INDEX(Bar_Y,MATCH(C82,Bar_No,0))/1000</f>
      </c>
      <c r="O82" s="17">
        <f>M82*INDEX(Bar_X,MATCH(C82,Bar_No,0))/1000</f>
      </c>
    </row>
    <row r="83" spans="2:15" x14ac:dyDescent="0.25">
      <c r="B83">
        <v>5</v>
      </c>
      <c r="C83">
        <v>6</v>
      </c>
      <c r="D83" s="17">
        <f>INDEX(Blk_c,MATCH(B83,Blk_St,0))</f>
      </c>
      <c r="E83" s="17">
        <f>INDEX(Bar_U,MATCH(C83,Bar_No,0))</f>
      </c>
      <c r="F83" s="17">
        <f>u_max-E83</f>
      </c>
      <c r="G83" s="20">
        <f>ecu*(1-F83/D83)</f>
      </c>
      <c r="H83" s="20">
        <f>MAX(0,-G83)</f>
      </c>
      <c r="I83" s="17">
        <f>MAX(MIN(Es*G83,fy),-fy)</f>
      </c>
      <c r="J83">
        <f>IF(E83&gt;=u_max-beta_1*D83-blk_tol,1,0)</f>
      </c>
      <c r="K83" s="17">
        <f>J83*sig_blk</f>
      </c>
      <c r="L83" s="17">
        <f>I83-K83</f>
      </c>
      <c r="M83" s="17">
        <f>INDEX(Bar_As,MATCH(C83,Bar_No,0))*L83/1000</f>
      </c>
      <c r="N83" s="17">
        <f>M83*INDEX(Bar_Y,MATCH(C83,Bar_No,0))/1000</f>
      </c>
      <c r="O83" s="17">
        <f>M83*INDEX(Bar_X,MATCH(C83,Bar_No,0))/1000</f>
      </c>
    </row>
    <row r="84" spans="2:15" x14ac:dyDescent="0.25">
      <c r="B84">
        <v>5</v>
      </c>
      <c r="C84">
        <v>7</v>
      </c>
      <c r="D84" s="17">
        <f>INDEX(Blk_c,MATCH(B84,Blk_St,0))</f>
      </c>
      <c r="E84" s="17">
        <f>INDEX(Bar_U,MATCH(C84,Bar_No,0))</f>
      </c>
      <c r="F84" s="17">
        <f>u_max-E84</f>
      </c>
      <c r="G84" s="20">
        <f>ecu*(1-F84/D84)</f>
      </c>
      <c r="H84" s="20">
        <f>MAX(0,-G84)</f>
      </c>
      <c r="I84" s="17">
        <f>MAX(MIN(Es*G84,fy),-fy)</f>
      </c>
      <c r="J84">
        <f>IF(E84&gt;=u_max-beta_1*D84-blk_tol,1,0)</f>
      </c>
      <c r="K84" s="17">
        <f>J84*sig_blk</f>
      </c>
      <c r="L84" s="17">
        <f>I84-K84</f>
      </c>
      <c r="M84" s="17">
        <f>INDEX(Bar_As,MATCH(C84,Bar_No,0))*L84/1000</f>
      </c>
      <c r="N84" s="17">
        <f>M84*INDEX(Bar_Y,MATCH(C84,Bar_No,0))/1000</f>
      </c>
      <c r="O84" s="17">
        <f>M84*INDEX(Bar_X,MATCH(C84,Bar_No,0))/1000</f>
      </c>
    </row>
    <row r="85" spans="2:15" x14ac:dyDescent="0.25">
      <c r="B85">
        <v>5</v>
      </c>
      <c r="C85">
        <v>8</v>
      </c>
      <c r="D85" s="17">
        <f>INDEX(Blk_c,MATCH(B85,Blk_St,0))</f>
      </c>
      <c r="E85" s="17">
        <f>INDEX(Bar_U,MATCH(C85,Bar_No,0))</f>
      </c>
      <c r="F85" s="17">
        <f>u_max-E85</f>
      </c>
      <c r="G85" s="20">
        <f>ecu*(1-F85/D85)</f>
      </c>
      <c r="H85" s="20">
        <f>MAX(0,-G85)</f>
      </c>
      <c r="I85" s="17">
        <f>MAX(MIN(Es*G85,fy),-fy)</f>
      </c>
      <c r="J85">
        <f>IF(E85&gt;=u_max-beta_1*D85-blk_tol,1,0)</f>
      </c>
      <c r="K85" s="17">
        <f>J85*sig_blk</f>
      </c>
      <c r="L85" s="17">
        <f>I85-K85</f>
      </c>
      <c r="M85" s="17">
        <f>INDEX(Bar_As,MATCH(C85,Bar_No,0))*L85/1000</f>
      </c>
      <c r="N85" s="17">
        <f>M85*INDEX(Bar_Y,MATCH(C85,Bar_No,0))/1000</f>
      </c>
      <c r="O85" s="17">
        <f>M85*INDEX(Bar_X,MATCH(C85,Bar_No,0))/1000</f>
      </c>
    </row>
    <row r="86" spans="2:15" x14ac:dyDescent="0.25">
      <c r="B86">
        <v>5</v>
      </c>
      <c r="C86">
        <v>9</v>
      </c>
      <c r="D86" s="17">
        <f>INDEX(Blk_c,MATCH(B86,Blk_St,0))</f>
      </c>
      <c r="E86" s="17">
        <f>INDEX(Bar_U,MATCH(C86,Bar_No,0))</f>
      </c>
      <c r="F86" s="17">
        <f>u_max-E86</f>
      </c>
      <c r="G86" s="20">
        <f>ecu*(1-F86/D86)</f>
      </c>
      <c r="H86" s="20">
        <f>MAX(0,-G86)</f>
      </c>
      <c r="I86" s="17">
        <f>MAX(MIN(Es*G86,fy),-fy)</f>
      </c>
      <c r="J86">
        <f>IF(E86&gt;=u_max-beta_1*D86-blk_tol,1,0)</f>
      </c>
      <c r="K86" s="17">
        <f>J86*sig_blk</f>
      </c>
      <c r="L86" s="17">
        <f>I86-K86</f>
      </c>
      <c r="M86" s="17">
        <f>INDEX(Bar_As,MATCH(C86,Bar_No,0))*L86/1000</f>
      </c>
      <c r="N86" s="17">
        <f>M86*INDEX(Bar_Y,MATCH(C86,Bar_No,0))/1000</f>
      </c>
      <c r="O86" s="17">
        <f>M86*INDEX(Bar_X,MATCH(C86,Bar_No,0))/1000</f>
      </c>
    </row>
    <row r="87" spans="2:15" x14ac:dyDescent="0.25">
      <c r="B87">
        <v>5</v>
      </c>
      <c r="C87">
        <v>10</v>
      </c>
      <c r="D87" s="17">
        <f>INDEX(Blk_c,MATCH(B87,Blk_St,0))</f>
      </c>
      <c r="E87" s="17">
        <f>INDEX(Bar_U,MATCH(C87,Bar_No,0))</f>
      </c>
      <c r="F87" s="17">
        <f>u_max-E87</f>
      </c>
      <c r="G87" s="20">
        <f>ecu*(1-F87/D87)</f>
      </c>
      <c r="H87" s="20">
        <f>MAX(0,-G87)</f>
      </c>
      <c r="I87" s="17">
        <f>MAX(MIN(Es*G87,fy),-fy)</f>
      </c>
      <c r="J87">
        <f>IF(E87&gt;=u_max-beta_1*D87-blk_tol,1,0)</f>
      </c>
      <c r="K87" s="17">
        <f>J87*sig_blk</f>
      </c>
      <c r="L87" s="17">
        <f>I87-K87</f>
      </c>
      <c r="M87" s="17">
        <f>INDEX(Bar_As,MATCH(C87,Bar_No,0))*L87/1000</f>
      </c>
      <c r="N87" s="17">
        <f>M87*INDEX(Bar_Y,MATCH(C87,Bar_No,0))/1000</f>
      </c>
      <c r="O87" s="17">
        <f>M87*INDEX(Bar_X,MATCH(C87,Bar_No,0))/1000</f>
      </c>
    </row>
    <row r="88" spans="2:15" x14ac:dyDescent="0.25">
      <c r="B88">
        <v>5</v>
      </c>
      <c r="C88">
        <v>11</v>
      </c>
      <c r="D88" s="17">
        <f>INDEX(Blk_c,MATCH(B88,Blk_St,0))</f>
      </c>
      <c r="E88" s="17">
        <f>INDEX(Bar_U,MATCH(C88,Bar_No,0))</f>
      </c>
      <c r="F88" s="17">
        <f>u_max-E88</f>
      </c>
      <c r="G88" s="20">
        <f>ecu*(1-F88/D88)</f>
      </c>
      <c r="H88" s="20">
        <f>MAX(0,-G88)</f>
      </c>
      <c r="I88" s="17">
        <f>MAX(MIN(Es*G88,fy),-fy)</f>
      </c>
      <c r="J88">
        <f>IF(E88&gt;=u_max-beta_1*D88-blk_tol,1,0)</f>
      </c>
      <c r="K88" s="17">
        <f>J88*sig_blk</f>
      </c>
      <c r="L88" s="17">
        <f>I88-K88</f>
      </c>
      <c r="M88" s="17">
        <f>INDEX(Bar_As,MATCH(C88,Bar_No,0))*L88/1000</f>
      </c>
      <c r="N88" s="17">
        <f>M88*INDEX(Bar_Y,MATCH(C88,Bar_No,0))/1000</f>
      </c>
      <c r="O88" s="17">
        <f>M88*INDEX(Bar_X,MATCH(C88,Bar_No,0))/1000</f>
      </c>
    </row>
    <row r="89" spans="2:15" x14ac:dyDescent="0.25">
      <c r="B89">
        <v>5</v>
      </c>
      <c r="C89">
        <v>12</v>
      </c>
      <c r="D89" s="17">
        <f>INDEX(Blk_c,MATCH(B89,Blk_St,0))</f>
      </c>
      <c r="E89" s="17">
        <f>INDEX(Bar_U,MATCH(C89,Bar_No,0))</f>
      </c>
      <c r="F89" s="17">
        <f>u_max-E89</f>
      </c>
      <c r="G89" s="20">
        <f>ecu*(1-F89/D89)</f>
      </c>
      <c r="H89" s="20">
        <f>MAX(0,-G89)</f>
      </c>
      <c r="I89" s="17">
        <f>MAX(MIN(Es*G89,fy),-fy)</f>
      </c>
      <c r="J89">
        <f>IF(E89&gt;=u_max-beta_1*D89-blk_tol,1,0)</f>
      </c>
      <c r="K89" s="17">
        <f>J89*sig_blk</f>
      </c>
      <c r="L89" s="17">
        <f>I89-K89</f>
      </c>
      <c r="M89" s="17">
        <f>INDEX(Bar_As,MATCH(C89,Bar_No,0))*L89/1000</f>
      </c>
      <c r="N89" s="17">
        <f>M89*INDEX(Bar_Y,MATCH(C89,Bar_No,0))/1000</f>
      </c>
      <c r="O89" s="17">
        <f>M89*INDEX(Bar_X,MATCH(C89,Bar_No,0))/1000</f>
      </c>
    </row>
    <row r="90" spans="2:15" x14ac:dyDescent="0.25">
      <c r="B90">
        <v>5</v>
      </c>
      <c r="C90">
        <v>13</v>
      </c>
      <c r="D90" s="17">
        <f>INDEX(Blk_c,MATCH(B90,Blk_St,0))</f>
      </c>
      <c r="E90" s="17">
        <f>INDEX(Bar_U,MATCH(C90,Bar_No,0))</f>
      </c>
      <c r="F90" s="17">
        <f>u_max-E90</f>
      </c>
      <c r="G90" s="20">
        <f>ecu*(1-F90/D90)</f>
      </c>
      <c r="H90" s="20">
        <f>MAX(0,-G90)</f>
      </c>
      <c r="I90" s="17">
        <f>MAX(MIN(Es*G90,fy),-fy)</f>
      </c>
      <c r="J90">
        <f>IF(E90&gt;=u_max-beta_1*D90-blk_tol,1,0)</f>
      </c>
      <c r="K90" s="17">
        <f>J90*sig_blk</f>
      </c>
      <c r="L90" s="17">
        <f>I90-K90</f>
      </c>
      <c r="M90" s="17">
        <f>INDEX(Bar_As,MATCH(C90,Bar_No,0))*L90/1000</f>
      </c>
      <c r="N90" s="17">
        <f>M90*INDEX(Bar_Y,MATCH(C90,Bar_No,0))/1000</f>
      </c>
      <c r="O90" s="17">
        <f>M90*INDEX(Bar_X,MATCH(C90,Bar_No,0))/1000</f>
      </c>
    </row>
    <row r="91" spans="2:15" x14ac:dyDescent="0.25">
      <c r="B91">
        <v>5</v>
      </c>
      <c r="C91">
        <v>14</v>
      </c>
      <c r="D91" s="17">
        <f>INDEX(Blk_c,MATCH(B91,Blk_St,0))</f>
      </c>
      <c r="E91" s="17">
        <f>INDEX(Bar_U,MATCH(C91,Bar_No,0))</f>
      </c>
      <c r="F91" s="17">
        <f>u_max-E91</f>
      </c>
      <c r="G91" s="20">
        <f>ecu*(1-F91/D91)</f>
      </c>
      <c r="H91" s="20">
        <f>MAX(0,-G91)</f>
      </c>
      <c r="I91" s="17">
        <f>MAX(MIN(Es*G91,fy),-fy)</f>
      </c>
      <c r="J91">
        <f>IF(E91&gt;=u_max-beta_1*D91-blk_tol,1,0)</f>
      </c>
      <c r="K91" s="17">
        <f>J91*sig_blk</f>
      </c>
      <c r="L91" s="17">
        <f>I91-K91</f>
      </c>
      <c r="M91" s="17">
        <f>INDEX(Bar_As,MATCH(C91,Bar_No,0))*L91/1000</f>
      </c>
      <c r="N91" s="17">
        <f>M91*INDEX(Bar_Y,MATCH(C91,Bar_No,0))/1000</f>
      </c>
      <c r="O91" s="17">
        <f>M91*INDEX(Bar_X,MATCH(C91,Bar_No,0))/1000</f>
      </c>
    </row>
    <row r="92" spans="2:15" x14ac:dyDescent="0.25">
      <c r="B92">
        <v>5</v>
      </c>
      <c r="C92">
        <v>15</v>
      </c>
      <c r="D92" s="17">
        <f>INDEX(Blk_c,MATCH(B92,Blk_St,0))</f>
      </c>
      <c r="E92" s="17">
        <f>INDEX(Bar_U,MATCH(C92,Bar_No,0))</f>
      </c>
      <c r="F92" s="17">
        <f>u_max-E92</f>
      </c>
      <c r="G92" s="20">
        <f>ecu*(1-F92/D92)</f>
      </c>
      <c r="H92" s="20">
        <f>MAX(0,-G92)</f>
      </c>
      <c r="I92" s="17">
        <f>MAX(MIN(Es*G92,fy),-fy)</f>
      </c>
      <c r="J92">
        <f>IF(E92&gt;=u_max-beta_1*D92-blk_tol,1,0)</f>
      </c>
      <c r="K92" s="17">
        <f>J92*sig_blk</f>
      </c>
      <c r="L92" s="17">
        <f>I92-K92</f>
      </c>
      <c r="M92" s="17">
        <f>INDEX(Bar_As,MATCH(C92,Bar_No,0))*L92/1000</f>
      </c>
      <c r="N92" s="17">
        <f>M92*INDEX(Bar_Y,MATCH(C92,Bar_No,0))/1000</f>
      </c>
      <c r="O92" s="17">
        <f>M92*INDEX(Bar_X,MATCH(C92,Bar_No,0))/1000</f>
      </c>
    </row>
    <row r="93" spans="2:15" x14ac:dyDescent="0.25">
      <c r="B93">
        <v>5</v>
      </c>
      <c r="C93">
        <v>16</v>
      </c>
      <c r="D93" s="17">
        <f>INDEX(Blk_c,MATCH(B93,Blk_St,0))</f>
      </c>
      <c r="E93" s="17">
        <f>INDEX(Bar_U,MATCH(C93,Bar_No,0))</f>
      </c>
      <c r="F93" s="17">
        <f>u_max-E93</f>
      </c>
      <c r="G93" s="20">
        <f>ecu*(1-F93/D93)</f>
      </c>
      <c r="H93" s="20">
        <f>MAX(0,-G93)</f>
      </c>
      <c r="I93" s="17">
        <f>MAX(MIN(Es*G93,fy),-fy)</f>
      </c>
      <c r="J93">
        <f>IF(E93&gt;=u_max-beta_1*D93-blk_tol,1,0)</f>
      </c>
      <c r="K93" s="17">
        <f>J93*sig_blk</f>
      </c>
      <c r="L93" s="17">
        <f>I93-K93</f>
      </c>
      <c r="M93" s="17">
        <f>INDEX(Bar_As,MATCH(C93,Bar_No,0))*L93/1000</f>
      </c>
      <c r="N93" s="17">
        <f>M93*INDEX(Bar_Y,MATCH(C93,Bar_No,0))/1000</f>
      </c>
      <c r="O93" s="17">
        <f>M93*INDEX(Bar_X,MATCH(C93,Bar_No,0))/1000</f>
      </c>
    </row>
    <row r="94" spans="2:15" x14ac:dyDescent="0.25">
      <c r="B94">
        <v>5</v>
      </c>
      <c r="C94">
        <v>17</v>
      </c>
      <c r="D94" s="17">
        <f>INDEX(Blk_c,MATCH(B94,Blk_St,0))</f>
      </c>
      <c r="E94" s="17">
        <f>INDEX(Bar_U,MATCH(C94,Bar_No,0))</f>
      </c>
      <c r="F94" s="17">
        <f>u_max-E94</f>
      </c>
      <c r="G94" s="20">
        <f>ecu*(1-F94/D94)</f>
      </c>
      <c r="H94" s="20">
        <f>MAX(0,-G94)</f>
      </c>
      <c r="I94" s="17">
        <f>MAX(MIN(Es*G94,fy),-fy)</f>
      </c>
      <c r="J94">
        <f>IF(E94&gt;=u_max-beta_1*D94-blk_tol,1,0)</f>
      </c>
      <c r="K94" s="17">
        <f>J94*sig_blk</f>
      </c>
      <c r="L94" s="17">
        <f>I94-K94</f>
      </c>
      <c r="M94" s="17">
        <f>INDEX(Bar_As,MATCH(C94,Bar_No,0))*L94/1000</f>
      </c>
      <c r="N94" s="17">
        <f>M94*INDEX(Bar_Y,MATCH(C94,Bar_No,0))/1000</f>
      </c>
      <c r="O94" s="17">
        <f>M94*INDEX(Bar_X,MATCH(C94,Bar_No,0))/1000</f>
      </c>
    </row>
    <row r="95" spans="2:15" x14ac:dyDescent="0.25">
      <c r="B95">
        <v>5</v>
      </c>
      <c r="C95">
        <v>18</v>
      </c>
      <c r="D95" s="17">
        <f>INDEX(Blk_c,MATCH(B95,Blk_St,0))</f>
      </c>
      <c r="E95" s="17">
        <f>INDEX(Bar_U,MATCH(C95,Bar_No,0))</f>
      </c>
      <c r="F95" s="17">
        <f>u_max-E95</f>
      </c>
      <c r="G95" s="20">
        <f>ecu*(1-F95/D95)</f>
      </c>
      <c r="H95" s="20">
        <f>MAX(0,-G95)</f>
      </c>
      <c r="I95" s="17">
        <f>MAX(MIN(Es*G95,fy),-fy)</f>
      </c>
      <c r="J95">
        <f>IF(E95&gt;=u_max-beta_1*D95-blk_tol,1,0)</f>
      </c>
      <c r="K95" s="17">
        <f>J95*sig_blk</f>
      </c>
      <c r="L95" s="17">
        <f>I95-K95</f>
      </c>
      <c r="M95" s="17">
        <f>INDEX(Bar_As,MATCH(C95,Bar_No,0))*L95/1000</f>
      </c>
      <c r="N95" s="17">
        <f>M95*INDEX(Bar_Y,MATCH(C95,Bar_No,0))/1000</f>
      </c>
      <c r="O95" s="17">
        <f>M95*INDEX(Bar_X,MATCH(C95,Bar_No,0))/1000</f>
      </c>
    </row>
    <row r="96" spans="2:15" x14ac:dyDescent="0.25">
      <c r="B96">
        <v>6</v>
      </c>
      <c r="C96">
        <v>1</v>
      </c>
      <c r="D96" s="17">
        <f>INDEX(Blk_c,MATCH(B96,Blk_St,0))</f>
      </c>
      <c r="E96" s="17">
        <f>INDEX(Bar_U,MATCH(C96,Bar_No,0))</f>
      </c>
      <c r="F96" s="17">
        <f>u_max-E96</f>
      </c>
      <c r="G96" s="20">
        <f>ecu*(1-F96/D96)</f>
      </c>
      <c r="H96" s="20">
        <f>MAX(0,-G96)</f>
      </c>
      <c r="I96" s="17">
        <f>MAX(MIN(Es*G96,fy),-fy)</f>
      </c>
      <c r="J96">
        <f>IF(E96&gt;=u_max-beta_1*D96-blk_tol,1,0)</f>
      </c>
      <c r="K96" s="17">
        <f>J96*sig_blk</f>
      </c>
      <c r="L96" s="17">
        <f>I96-K96</f>
      </c>
      <c r="M96" s="17">
        <f>INDEX(Bar_As,MATCH(C96,Bar_No,0))*L96/1000</f>
      </c>
      <c r="N96" s="17">
        <f>M96*INDEX(Bar_Y,MATCH(C96,Bar_No,0))/1000</f>
      </c>
      <c r="O96" s="17">
        <f>M96*INDEX(Bar_X,MATCH(C96,Bar_No,0))/1000</f>
      </c>
    </row>
    <row r="97" spans="2:15" x14ac:dyDescent="0.25">
      <c r="B97">
        <v>6</v>
      </c>
      <c r="C97">
        <v>2</v>
      </c>
      <c r="D97" s="17">
        <f>INDEX(Blk_c,MATCH(B97,Blk_St,0))</f>
      </c>
      <c r="E97" s="17">
        <f>INDEX(Bar_U,MATCH(C97,Bar_No,0))</f>
      </c>
      <c r="F97" s="17">
        <f>u_max-E97</f>
      </c>
      <c r="G97" s="20">
        <f>ecu*(1-F97/D97)</f>
      </c>
      <c r="H97" s="20">
        <f>MAX(0,-G97)</f>
      </c>
      <c r="I97" s="17">
        <f>MAX(MIN(Es*G97,fy),-fy)</f>
      </c>
      <c r="J97">
        <f>IF(E97&gt;=u_max-beta_1*D97-blk_tol,1,0)</f>
      </c>
      <c r="K97" s="17">
        <f>J97*sig_blk</f>
      </c>
      <c r="L97" s="17">
        <f>I97-K97</f>
      </c>
      <c r="M97" s="17">
        <f>INDEX(Bar_As,MATCH(C97,Bar_No,0))*L97/1000</f>
      </c>
      <c r="N97" s="17">
        <f>M97*INDEX(Bar_Y,MATCH(C97,Bar_No,0))/1000</f>
      </c>
      <c r="O97" s="17">
        <f>M97*INDEX(Bar_X,MATCH(C97,Bar_No,0))/1000</f>
      </c>
    </row>
    <row r="98" spans="2:15" x14ac:dyDescent="0.25">
      <c r="B98">
        <v>6</v>
      </c>
      <c r="C98">
        <v>3</v>
      </c>
      <c r="D98" s="17">
        <f>INDEX(Blk_c,MATCH(B98,Blk_St,0))</f>
      </c>
      <c r="E98" s="17">
        <f>INDEX(Bar_U,MATCH(C98,Bar_No,0))</f>
      </c>
      <c r="F98" s="17">
        <f>u_max-E98</f>
      </c>
      <c r="G98" s="20">
        <f>ecu*(1-F98/D98)</f>
      </c>
      <c r="H98" s="20">
        <f>MAX(0,-G98)</f>
      </c>
      <c r="I98" s="17">
        <f>MAX(MIN(Es*G98,fy),-fy)</f>
      </c>
      <c r="J98">
        <f>IF(E98&gt;=u_max-beta_1*D98-blk_tol,1,0)</f>
      </c>
      <c r="K98" s="17">
        <f>J98*sig_blk</f>
      </c>
      <c r="L98" s="17">
        <f>I98-K98</f>
      </c>
      <c r="M98" s="17">
        <f>INDEX(Bar_As,MATCH(C98,Bar_No,0))*L98/1000</f>
      </c>
      <c r="N98" s="17">
        <f>M98*INDEX(Bar_Y,MATCH(C98,Bar_No,0))/1000</f>
      </c>
      <c r="O98" s="17">
        <f>M98*INDEX(Bar_X,MATCH(C98,Bar_No,0))/1000</f>
      </c>
    </row>
    <row r="99" spans="2:15" x14ac:dyDescent="0.25">
      <c r="B99">
        <v>6</v>
      </c>
      <c r="C99">
        <v>4</v>
      </c>
      <c r="D99" s="17">
        <f>INDEX(Blk_c,MATCH(B99,Blk_St,0))</f>
      </c>
      <c r="E99" s="17">
        <f>INDEX(Bar_U,MATCH(C99,Bar_No,0))</f>
      </c>
      <c r="F99" s="17">
        <f>u_max-E99</f>
      </c>
      <c r="G99" s="20">
        <f>ecu*(1-F99/D99)</f>
      </c>
      <c r="H99" s="20">
        <f>MAX(0,-G99)</f>
      </c>
      <c r="I99" s="17">
        <f>MAX(MIN(Es*G99,fy),-fy)</f>
      </c>
      <c r="J99">
        <f>IF(E99&gt;=u_max-beta_1*D99-blk_tol,1,0)</f>
      </c>
      <c r="K99" s="17">
        <f>J99*sig_blk</f>
      </c>
      <c r="L99" s="17">
        <f>I99-K99</f>
      </c>
      <c r="M99" s="17">
        <f>INDEX(Bar_As,MATCH(C99,Bar_No,0))*L99/1000</f>
      </c>
      <c r="N99" s="17">
        <f>M99*INDEX(Bar_Y,MATCH(C99,Bar_No,0))/1000</f>
      </c>
      <c r="O99" s="17">
        <f>M99*INDEX(Bar_X,MATCH(C99,Bar_No,0))/1000</f>
      </c>
    </row>
    <row r="100" spans="2:15" x14ac:dyDescent="0.25">
      <c r="B100">
        <v>6</v>
      </c>
      <c r="C100">
        <v>5</v>
      </c>
      <c r="D100" s="17">
        <f>INDEX(Blk_c,MATCH(B100,Blk_St,0))</f>
      </c>
      <c r="E100" s="17">
        <f>INDEX(Bar_U,MATCH(C100,Bar_No,0))</f>
      </c>
      <c r="F100" s="17">
        <f>u_max-E100</f>
      </c>
      <c r="G100" s="20">
        <f>ecu*(1-F100/D100)</f>
      </c>
      <c r="H100" s="20">
        <f>MAX(0,-G100)</f>
      </c>
      <c r="I100" s="17">
        <f>MAX(MIN(Es*G100,fy),-fy)</f>
      </c>
      <c r="J100">
        <f>IF(E100&gt;=u_max-beta_1*D100-blk_tol,1,0)</f>
      </c>
      <c r="K100" s="17">
        <f>J100*sig_blk</f>
      </c>
      <c r="L100" s="17">
        <f>I100-K100</f>
      </c>
      <c r="M100" s="17">
        <f>INDEX(Bar_As,MATCH(C100,Bar_No,0))*L100/1000</f>
      </c>
      <c r="N100" s="17">
        <f>M100*INDEX(Bar_Y,MATCH(C100,Bar_No,0))/1000</f>
      </c>
      <c r="O100" s="17">
        <f>M100*INDEX(Bar_X,MATCH(C100,Bar_No,0))/1000</f>
      </c>
    </row>
    <row r="101" spans="2:15" x14ac:dyDescent="0.25">
      <c r="B101">
        <v>6</v>
      </c>
      <c r="C101">
        <v>6</v>
      </c>
      <c r="D101" s="17">
        <f>INDEX(Blk_c,MATCH(B101,Blk_St,0))</f>
      </c>
      <c r="E101" s="17">
        <f>INDEX(Bar_U,MATCH(C101,Bar_No,0))</f>
      </c>
      <c r="F101" s="17">
        <f>u_max-E101</f>
      </c>
      <c r="G101" s="20">
        <f>ecu*(1-F101/D101)</f>
      </c>
      <c r="H101" s="20">
        <f>MAX(0,-G101)</f>
      </c>
      <c r="I101" s="17">
        <f>MAX(MIN(Es*G101,fy),-fy)</f>
      </c>
      <c r="J101">
        <f>IF(E101&gt;=u_max-beta_1*D101-blk_tol,1,0)</f>
      </c>
      <c r="K101" s="17">
        <f>J101*sig_blk</f>
      </c>
      <c r="L101" s="17">
        <f>I101-K101</f>
      </c>
      <c r="M101" s="17">
        <f>INDEX(Bar_As,MATCH(C101,Bar_No,0))*L101/1000</f>
      </c>
      <c r="N101" s="17">
        <f>M101*INDEX(Bar_Y,MATCH(C101,Bar_No,0))/1000</f>
      </c>
      <c r="O101" s="17">
        <f>M101*INDEX(Bar_X,MATCH(C101,Bar_No,0))/1000</f>
      </c>
    </row>
    <row r="102" spans="2:15" x14ac:dyDescent="0.25">
      <c r="B102">
        <v>6</v>
      </c>
      <c r="C102">
        <v>7</v>
      </c>
      <c r="D102" s="17">
        <f>INDEX(Blk_c,MATCH(B102,Blk_St,0))</f>
      </c>
      <c r="E102" s="17">
        <f>INDEX(Bar_U,MATCH(C102,Bar_No,0))</f>
      </c>
      <c r="F102" s="17">
        <f>u_max-E102</f>
      </c>
      <c r="G102" s="20">
        <f>ecu*(1-F102/D102)</f>
      </c>
      <c r="H102" s="20">
        <f>MAX(0,-G102)</f>
      </c>
      <c r="I102" s="17">
        <f>MAX(MIN(Es*G102,fy),-fy)</f>
      </c>
      <c r="J102">
        <f>IF(E102&gt;=u_max-beta_1*D102-blk_tol,1,0)</f>
      </c>
      <c r="K102" s="17">
        <f>J102*sig_blk</f>
      </c>
      <c r="L102" s="17">
        <f>I102-K102</f>
      </c>
      <c r="M102" s="17">
        <f>INDEX(Bar_As,MATCH(C102,Bar_No,0))*L102/1000</f>
      </c>
      <c r="N102" s="17">
        <f>M102*INDEX(Bar_Y,MATCH(C102,Bar_No,0))/1000</f>
      </c>
      <c r="O102" s="17">
        <f>M102*INDEX(Bar_X,MATCH(C102,Bar_No,0))/1000</f>
      </c>
    </row>
    <row r="103" spans="2:15" x14ac:dyDescent="0.25">
      <c r="B103">
        <v>6</v>
      </c>
      <c r="C103">
        <v>8</v>
      </c>
      <c r="D103" s="17">
        <f>INDEX(Blk_c,MATCH(B103,Blk_St,0))</f>
      </c>
      <c r="E103" s="17">
        <f>INDEX(Bar_U,MATCH(C103,Bar_No,0))</f>
      </c>
      <c r="F103" s="17">
        <f>u_max-E103</f>
      </c>
      <c r="G103" s="20">
        <f>ecu*(1-F103/D103)</f>
      </c>
      <c r="H103" s="20">
        <f>MAX(0,-G103)</f>
      </c>
      <c r="I103" s="17">
        <f>MAX(MIN(Es*G103,fy),-fy)</f>
      </c>
      <c r="J103">
        <f>IF(E103&gt;=u_max-beta_1*D103-blk_tol,1,0)</f>
      </c>
      <c r="K103" s="17">
        <f>J103*sig_blk</f>
      </c>
      <c r="L103" s="17">
        <f>I103-K103</f>
      </c>
      <c r="M103" s="17">
        <f>INDEX(Bar_As,MATCH(C103,Bar_No,0))*L103/1000</f>
      </c>
      <c r="N103" s="17">
        <f>M103*INDEX(Bar_Y,MATCH(C103,Bar_No,0))/1000</f>
      </c>
      <c r="O103" s="17">
        <f>M103*INDEX(Bar_X,MATCH(C103,Bar_No,0))/1000</f>
      </c>
    </row>
    <row r="104" spans="2:15" x14ac:dyDescent="0.25">
      <c r="B104">
        <v>6</v>
      </c>
      <c r="C104">
        <v>9</v>
      </c>
      <c r="D104" s="17">
        <f>INDEX(Blk_c,MATCH(B104,Blk_St,0))</f>
      </c>
      <c r="E104" s="17">
        <f>INDEX(Bar_U,MATCH(C104,Bar_No,0))</f>
      </c>
      <c r="F104" s="17">
        <f>u_max-E104</f>
      </c>
      <c r="G104" s="20">
        <f>ecu*(1-F104/D104)</f>
      </c>
      <c r="H104" s="20">
        <f>MAX(0,-G104)</f>
      </c>
      <c r="I104" s="17">
        <f>MAX(MIN(Es*G104,fy),-fy)</f>
      </c>
      <c r="J104">
        <f>IF(E104&gt;=u_max-beta_1*D104-blk_tol,1,0)</f>
      </c>
      <c r="K104" s="17">
        <f>J104*sig_blk</f>
      </c>
      <c r="L104" s="17">
        <f>I104-K104</f>
      </c>
      <c r="M104" s="17">
        <f>INDEX(Bar_As,MATCH(C104,Bar_No,0))*L104/1000</f>
      </c>
      <c r="N104" s="17">
        <f>M104*INDEX(Bar_Y,MATCH(C104,Bar_No,0))/1000</f>
      </c>
      <c r="O104" s="17">
        <f>M104*INDEX(Bar_X,MATCH(C104,Bar_No,0))/1000</f>
      </c>
    </row>
    <row r="105" spans="2:15" x14ac:dyDescent="0.25">
      <c r="B105">
        <v>6</v>
      </c>
      <c r="C105">
        <v>10</v>
      </c>
      <c r="D105" s="17">
        <f>INDEX(Blk_c,MATCH(B105,Blk_St,0))</f>
      </c>
      <c r="E105" s="17">
        <f>INDEX(Bar_U,MATCH(C105,Bar_No,0))</f>
      </c>
      <c r="F105" s="17">
        <f>u_max-E105</f>
      </c>
      <c r="G105" s="20">
        <f>ecu*(1-F105/D105)</f>
      </c>
      <c r="H105" s="20">
        <f>MAX(0,-G105)</f>
      </c>
      <c r="I105" s="17">
        <f>MAX(MIN(Es*G105,fy),-fy)</f>
      </c>
      <c r="J105">
        <f>IF(E105&gt;=u_max-beta_1*D105-blk_tol,1,0)</f>
      </c>
      <c r="K105" s="17">
        <f>J105*sig_blk</f>
      </c>
      <c r="L105" s="17">
        <f>I105-K105</f>
      </c>
      <c r="M105" s="17">
        <f>INDEX(Bar_As,MATCH(C105,Bar_No,0))*L105/1000</f>
      </c>
      <c r="N105" s="17">
        <f>M105*INDEX(Bar_Y,MATCH(C105,Bar_No,0))/1000</f>
      </c>
      <c r="O105" s="17">
        <f>M105*INDEX(Bar_X,MATCH(C105,Bar_No,0))/1000</f>
      </c>
    </row>
    <row r="106" spans="2:15" x14ac:dyDescent="0.25">
      <c r="B106">
        <v>6</v>
      </c>
      <c r="C106">
        <v>11</v>
      </c>
      <c r="D106" s="17">
        <f>INDEX(Blk_c,MATCH(B106,Blk_St,0))</f>
      </c>
      <c r="E106" s="17">
        <f>INDEX(Bar_U,MATCH(C106,Bar_No,0))</f>
      </c>
      <c r="F106" s="17">
        <f>u_max-E106</f>
      </c>
      <c r="G106" s="20">
        <f>ecu*(1-F106/D106)</f>
      </c>
      <c r="H106" s="20">
        <f>MAX(0,-G106)</f>
      </c>
      <c r="I106" s="17">
        <f>MAX(MIN(Es*G106,fy),-fy)</f>
      </c>
      <c r="J106">
        <f>IF(E106&gt;=u_max-beta_1*D106-blk_tol,1,0)</f>
      </c>
      <c r="K106" s="17">
        <f>J106*sig_blk</f>
      </c>
      <c r="L106" s="17">
        <f>I106-K106</f>
      </c>
      <c r="M106" s="17">
        <f>INDEX(Bar_As,MATCH(C106,Bar_No,0))*L106/1000</f>
      </c>
      <c r="N106" s="17">
        <f>M106*INDEX(Bar_Y,MATCH(C106,Bar_No,0))/1000</f>
      </c>
      <c r="O106" s="17">
        <f>M106*INDEX(Bar_X,MATCH(C106,Bar_No,0))/1000</f>
      </c>
    </row>
    <row r="107" spans="2:15" x14ac:dyDescent="0.25">
      <c r="B107">
        <v>6</v>
      </c>
      <c r="C107">
        <v>12</v>
      </c>
      <c r="D107" s="17">
        <f>INDEX(Blk_c,MATCH(B107,Blk_St,0))</f>
      </c>
      <c r="E107" s="17">
        <f>INDEX(Bar_U,MATCH(C107,Bar_No,0))</f>
      </c>
      <c r="F107" s="17">
        <f>u_max-E107</f>
      </c>
      <c r="G107" s="20">
        <f>ecu*(1-F107/D107)</f>
      </c>
      <c r="H107" s="20">
        <f>MAX(0,-G107)</f>
      </c>
      <c r="I107" s="17">
        <f>MAX(MIN(Es*G107,fy),-fy)</f>
      </c>
      <c r="J107">
        <f>IF(E107&gt;=u_max-beta_1*D107-blk_tol,1,0)</f>
      </c>
      <c r="K107" s="17">
        <f>J107*sig_blk</f>
      </c>
      <c r="L107" s="17">
        <f>I107-K107</f>
      </c>
      <c r="M107" s="17">
        <f>INDEX(Bar_As,MATCH(C107,Bar_No,0))*L107/1000</f>
      </c>
      <c r="N107" s="17">
        <f>M107*INDEX(Bar_Y,MATCH(C107,Bar_No,0))/1000</f>
      </c>
      <c r="O107" s="17">
        <f>M107*INDEX(Bar_X,MATCH(C107,Bar_No,0))/1000</f>
      </c>
    </row>
    <row r="108" spans="2:15" x14ac:dyDescent="0.25">
      <c r="B108">
        <v>6</v>
      </c>
      <c r="C108">
        <v>13</v>
      </c>
      <c r="D108" s="17">
        <f>INDEX(Blk_c,MATCH(B108,Blk_St,0))</f>
      </c>
      <c r="E108" s="17">
        <f>INDEX(Bar_U,MATCH(C108,Bar_No,0))</f>
      </c>
      <c r="F108" s="17">
        <f>u_max-E108</f>
      </c>
      <c r="G108" s="20">
        <f>ecu*(1-F108/D108)</f>
      </c>
      <c r="H108" s="20">
        <f>MAX(0,-G108)</f>
      </c>
      <c r="I108" s="17">
        <f>MAX(MIN(Es*G108,fy),-fy)</f>
      </c>
      <c r="J108">
        <f>IF(E108&gt;=u_max-beta_1*D108-blk_tol,1,0)</f>
      </c>
      <c r="K108" s="17">
        <f>J108*sig_blk</f>
      </c>
      <c r="L108" s="17">
        <f>I108-K108</f>
      </c>
      <c r="M108" s="17">
        <f>INDEX(Bar_As,MATCH(C108,Bar_No,0))*L108/1000</f>
      </c>
      <c r="N108" s="17">
        <f>M108*INDEX(Bar_Y,MATCH(C108,Bar_No,0))/1000</f>
      </c>
      <c r="O108" s="17">
        <f>M108*INDEX(Bar_X,MATCH(C108,Bar_No,0))/1000</f>
      </c>
    </row>
    <row r="109" spans="2:15" x14ac:dyDescent="0.25">
      <c r="B109">
        <v>6</v>
      </c>
      <c r="C109">
        <v>14</v>
      </c>
      <c r="D109" s="17">
        <f>INDEX(Blk_c,MATCH(B109,Blk_St,0))</f>
      </c>
      <c r="E109" s="17">
        <f>INDEX(Bar_U,MATCH(C109,Bar_No,0))</f>
      </c>
      <c r="F109" s="17">
        <f>u_max-E109</f>
      </c>
      <c r="G109" s="20">
        <f>ecu*(1-F109/D109)</f>
      </c>
      <c r="H109" s="20">
        <f>MAX(0,-G109)</f>
      </c>
      <c r="I109" s="17">
        <f>MAX(MIN(Es*G109,fy),-fy)</f>
      </c>
      <c r="J109">
        <f>IF(E109&gt;=u_max-beta_1*D109-blk_tol,1,0)</f>
      </c>
      <c r="K109" s="17">
        <f>J109*sig_blk</f>
      </c>
      <c r="L109" s="17">
        <f>I109-K109</f>
      </c>
      <c r="M109" s="17">
        <f>INDEX(Bar_As,MATCH(C109,Bar_No,0))*L109/1000</f>
      </c>
      <c r="N109" s="17">
        <f>M109*INDEX(Bar_Y,MATCH(C109,Bar_No,0))/1000</f>
      </c>
      <c r="O109" s="17">
        <f>M109*INDEX(Bar_X,MATCH(C109,Bar_No,0))/1000</f>
      </c>
    </row>
    <row r="110" spans="2:15" x14ac:dyDescent="0.25">
      <c r="B110">
        <v>6</v>
      </c>
      <c r="C110">
        <v>15</v>
      </c>
      <c r="D110" s="17">
        <f>INDEX(Blk_c,MATCH(B110,Blk_St,0))</f>
      </c>
      <c r="E110" s="17">
        <f>INDEX(Bar_U,MATCH(C110,Bar_No,0))</f>
      </c>
      <c r="F110" s="17">
        <f>u_max-E110</f>
      </c>
      <c r="G110" s="20">
        <f>ecu*(1-F110/D110)</f>
      </c>
      <c r="H110" s="20">
        <f>MAX(0,-G110)</f>
      </c>
      <c r="I110" s="17">
        <f>MAX(MIN(Es*G110,fy),-fy)</f>
      </c>
      <c r="J110">
        <f>IF(E110&gt;=u_max-beta_1*D110-blk_tol,1,0)</f>
      </c>
      <c r="K110" s="17">
        <f>J110*sig_blk</f>
      </c>
      <c r="L110" s="17">
        <f>I110-K110</f>
      </c>
      <c r="M110" s="17">
        <f>INDEX(Bar_As,MATCH(C110,Bar_No,0))*L110/1000</f>
      </c>
      <c r="N110" s="17">
        <f>M110*INDEX(Bar_Y,MATCH(C110,Bar_No,0))/1000</f>
      </c>
      <c r="O110" s="17">
        <f>M110*INDEX(Bar_X,MATCH(C110,Bar_No,0))/1000</f>
      </c>
    </row>
    <row r="111" spans="2:15" x14ac:dyDescent="0.25">
      <c r="B111">
        <v>6</v>
      </c>
      <c r="C111">
        <v>16</v>
      </c>
      <c r="D111" s="17">
        <f>INDEX(Blk_c,MATCH(B111,Blk_St,0))</f>
      </c>
      <c r="E111" s="17">
        <f>INDEX(Bar_U,MATCH(C111,Bar_No,0))</f>
      </c>
      <c r="F111" s="17">
        <f>u_max-E111</f>
      </c>
      <c r="G111" s="20">
        <f>ecu*(1-F111/D111)</f>
      </c>
      <c r="H111" s="20">
        <f>MAX(0,-G111)</f>
      </c>
      <c r="I111" s="17">
        <f>MAX(MIN(Es*G111,fy),-fy)</f>
      </c>
      <c r="J111">
        <f>IF(E111&gt;=u_max-beta_1*D111-blk_tol,1,0)</f>
      </c>
      <c r="K111" s="17">
        <f>J111*sig_blk</f>
      </c>
      <c r="L111" s="17">
        <f>I111-K111</f>
      </c>
      <c r="M111" s="17">
        <f>INDEX(Bar_As,MATCH(C111,Bar_No,0))*L111/1000</f>
      </c>
      <c r="N111" s="17">
        <f>M111*INDEX(Bar_Y,MATCH(C111,Bar_No,0))/1000</f>
      </c>
      <c r="O111" s="17">
        <f>M111*INDEX(Bar_X,MATCH(C111,Bar_No,0))/1000</f>
      </c>
    </row>
    <row r="112" spans="2:15" x14ac:dyDescent="0.25">
      <c r="B112">
        <v>6</v>
      </c>
      <c r="C112">
        <v>17</v>
      </c>
      <c r="D112" s="17">
        <f>INDEX(Blk_c,MATCH(B112,Blk_St,0))</f>
      </c>
      <c r="E112" s="17">
        <f>INDEX(Bar_U,MATCH(C112,Bar_No,0))</f>
      </c>
      <c r="F112" s="17">
        <f>u_max-E112</f>
      </c>
      <c r="G112" s="20">
        <f>ecu*(1-F112/D112)</f>
      </c>
      <c r="H112" s="20">
        <f>MAX(0,-G112)</f>
      </c>
      <c r="I112" s="17">
        <f>MAX(MIN(Es*G112,fy),-fy)</f>
      </c>
      <c r="J112">
        <f>IF(E112&gt;=u_max-beta_1*D112-blk_tol,1,0)</f>
      </c>
      <c r="K112" s="17">
        <f>J112*sig_blk</f>
      </c>
      <c r="L112" s="17">
        <f>I112-K112</f>
      </c>
      <c r="M112" s="17">
        <f>INDEX(Bar_As,MATCH(C112,Bar_No,0))*L112/1000</f>
      </c>
      <c r="N112" s="17">
        <f>M112*INDEX(Bar_Y,MATCH(C112,Bar_No,0))/1000</f>
      </c>
      <c r="O112" s="17">
        <f>M112*INDEX(Bar_X,MATCH(C112,Bar_No,0))/1000</f>
      </c>
    </row>
    <row r="113" spans="2:15" x14ac:dyDescent="0.25">
      <c r="B113">
        <v>6</v>
      </c>
      <c r="C113">
        <v>18</v>
      </c>
      <c r="D113" s="17">
        <f>INDEX(Blk_c,MATCH(B113,Blk_St,0))</f>
      </c>
      <c r="E113" s="17">
        <f>INDEX(Bar_U,MATCH(C113,Bar_No,0))</f>
      </c>
      <c r="F113" s="17">
        <f>u_max-E113</f>
      </c>
      <c r="G113" s="20">
        <f>ecu*(1-F113/D113)</f>
      </c>
      <c r="H113" s="20">
        <f>MAX(0,-G113)</f>
      </c>
      <c r="I113" s="17">
        <f>MAX(MIN(Es*G113,fy),-fy)</f>
      </c>
      <c r="J113">
        <f>IF(E113&gt;=u_max-beta_1*D113-blk_tol,1,0)</f>
      </c>
      <c r="K113" s="17">
        <f>J113*sig_blk</f>
      </c>
      <c r="L113" s="17">
        <f>I113-K113</f>
      </c>
      <c r="M113" s="17">
        <f>INDEX(Bar_As,MATCH(C113,Bar_No,0))*L113/1000</f>
      </c>
      <c r="N113" s="17">
        <f>M113*INDEX(Bar_Y,MATCH(C113,Bar_No,0))/1000</f>
      </c>
      <c r="O113" s="17">
        <f>M113*INDEX(Bar_X,MATCH(C113,Bar_No,0))/1000</f>
      </c>
    </row>
    <row r="114" spans="2:15" x14ac:dyDescent="0.25">
      <c r="B114">
        <v>7</v>
      </c>
      <c r="C114">
        <v>1</v>
      </c>
      <c r="D114" s="17">
        <f>INDEX(Blk_c,MATCH(B114,Blk_St,0))</f>
      </c>
      <c r="E114" s="17">
        <f>INDEX(Bar_U,MATCH(C114,Bar_No,0))</f>
      </c>
      <c r="F114" s="17">
        <f>u_max-E114</f>
      </c>
      <c r="G114" s="20">
        <f>ecu*(1-F114/D114)</f>
      </c>
      <c r="H114" s="20">
        <f>MAX(0,-G114)</f>
      </c>
      <c r="I114" s="17">
        <f>MAX(MIN(Es*G114,fy),-fy)</f>
      </c>
      <c r="J114">
        <f>IF(E114&gt;=u_max-beta_1*D114-blk_tol,1,0)</f>
      </c>
      <c r="K114" s="17">
        <f>J114*sig_blk</f>
      </c>
      <c r="L114" s="17">
        <f>I114-K114</f>
      </c>
      <c r="M114" s="17">
        <f>INDEX(Bar_As,MATCH(C114,Bar_No,0))*L114/1000</f>
      </c>
      <c r="N114" s="17">
        <f>M114*INDEX(Bar_Y,MATCH(C114,Bar_No,0))/1000</f>
      </c>
      <c r="O114" s="17">
        <f>M114*INDEX(Bar_X,MATCH(C114,Bar_No,0))/1000</f>
      </c>
    </row>
    <row r="115" spans="2:15" x14ac:dyDescent="0.25">
      <c r="B115">
        <v>7</v>
      </c>
      <c r="C115">
        <v>2</v>
      </c>
      <c r="D115" s="17">
        <f>INDEX(Blk_c,MATCH(B115,Blk_St,0))</f>
      </c>
      <c r="E115" s="17">
        <f>INDEX(Bar_U,MATCH(C115,Bar_No,0))</f>
      </c>
      <c r="F115" s="17">
        <f>u_max-E115</f>
      </c>
      <c r="G115" s="20">
        <f>ecu*(1-F115/D115)</f>
      </c>
      <c r="H115" s="20">
        <f>MAX(0,-G115)</f>
      </c>
      <c r="I115" s="17">
        <f>MAX(MIN(Es*G115,fy),-fy)</f>
      </c>
      <c r="J115">
        <f>IF(E115&gt;=u_max-beta_1*D115-blk_tol,1,0)</f>
      </c>
      <c r="K115" s="17">
        <f>J115*sig_blk</f>
      </c>
      <c r="L115" s="17">
        <f>I115-K115</f>
      </c>
      <c r="M115" s="17">
        <f>INDEX(Bar_As,MATCH(C115,Bar_No,0))*L115/1000</f>
      </c>
      <c r="N115" s="17">
        <f>M115*INDEX(Bar_Y,MATCH(C115,Bar_No,0))/1000</f>
      </c>
      <c r="O115" s="17">
        <f>M115*INDEX(Bar_X,MATCH(C115,Bar_No,0))/1000</f>
      </c>
    </row>
    <row r="116" spans="2:15" x14ac:dyDescent="0.25">
      <c r="B116">
        <v>7</v>
      </c>
      <c r="C116">
        <v>3</v>
      </c>
      <c r="D116" s="17">
        <f>INDEX(Blk_c,MATCH(B116,Blk_St,0))</f>
      </c>
      <c r="E116" s="17">
        <f>INDEX(Bar_U,MATCH(C116,Bar_No,0))</f>
      </c>
      <c r="F116" s="17">
        <f>u_max-E116</f>
      </c>
      <c r="G116" s="20">
        <f>ecu*(1-F116/D116)</f>
      </c>
      <c r="H116" s="20">
        <f>MAX(0,-G116)</f>
      </c>
      <c r="I116" s="17">
        <f>MAX(MIN(Es*G116,fy),-fy)</f>
      </c>
      <c r="J116">
        <f>IF(E116&gt;=u_max-beta_1*D116-blk_tol,1,0)</f>
      </c>
      <c r="K116" s="17">
        <f>J116*sig_blk</f>
      </c>
      <c r="L116" s="17">
        <f>I116-K116</f>
      </c>
      <c r="M116" s="17">
        <f>INDEX(Bar_As,MATCH(C116,Bar_No,0))*L116/1000</f>
      </c>
      <c r="N116" s="17">
        <f>M116*INDEX(Bar_Y,MATCH(C116,Bar_No,0))/1000</f>
      </c>
      <c r="O116" s="17">
        <f>M116*INDEX(Bar_X,MATCH(C116,Bar_No,0))/1000</f>
      </c>
    </row>
    <row r="117" spans="2:15" x14ac:dyDescent="0.25">
      <c r="B117">
        <v>7</v>
      </c>
      <c r="C117">
        <v>4</v>
      </c>
      <c r="D117" s="17">
        <f>INDEX(Blk_c,MATCH(B117,Blk_St,0))</f>
      </c>
      <c r="E117" s="17">
        <f>INDEX(Bar_U,MATCH(C117,Bar_No,0))</f>
      </c>
      <c r="F117" s="17">
        <f>u_max-E117</f>
      </c>
      <c r="G117" s="20">
        <f>ecu*(1-F117/D117)</f>
      </c>
      <c r="H117" s="20">
        <f>MAX(0,-G117)</f>
      </c>
      <c r="I117" s="17">
        <f>MAX(MIN(Es*G117,fy),-fy)</f>
      </c>
      <c r="J117">
        <f>IF(E117&gt;=u_max-beta_1*D117-blk_tol,1,0)</f>
      </c>
      <c r="K117" s="17">
        <f>J117*sig_blk</f>
      </c>
      <c r="L117" s="17">
        <f>I117-K117</f>
      </c>
      <c r="M117" s="17">
        <f>INDEX(Bar_As,MATCH(C117,Bar_No,0))*L117/1000</f>
      </c>
      <c r="N117" s="17">
        <f>M117*INDEX(Bar_Y,MATCH(C117,Bar_No,0))/1000</f>
      </c>
      <c r="O117" s="17">
        <f>M117*INDEX(Bar_X,MATCH(C117,Bar_No,0))/1000</f>
      </c>
    </row>
    <row r="118" spans="2:15" x14ac:dyDescent="0.25">
      <c r="B118">
        <v>7</v>
      </c>
      <c r="C118">
        <v>5</v>
      </c>
      <c r="D118" s="17">
        <f>INDEX(Blk_c,MATCH(B118,Blk_St,0))</f>
      </c>
      <c r="E118" s="17">
        <f>INDEX(Bar_U,MATCH(C118,Bar_No,0))</f>
      </c>
      <c r="F118" s="17">
        <f>u_max-E118</f>
      </c>
      <c r="G118" s="20">
        <f>ecu*(1-F118/D118)</f>
      </c>
      <c r="H118" s="20">
        <f>MAX(0,-G118)</f>
      </c>
      <c r="I118" s="17">
        <f>MAX(MIN(Es*G118,fy),-fy)</f>
      </c>
      <c r="J118">
        <f>IF(E118&gt;=u_max-beta_1*D118-blk_tol,1,0)</f>
      </c>
      <c r="K118" s="17">
        <f>J118*sig_blk</f>
      </c>
      <c r="L118" s="17">
        <f>I118-K118</f>
      </c>
      <c r="M118" s="17">
        <f>INDEX(Bar_As,MATCH(C118,Bar_No,0))*L118/1000</f>
      </c>
      <c r="N118" s="17">
        <f>M118*INDEX(Bar_Y,MATCH(C118,Bar_No,0))/1000</f>
      </c>
      <c r="O118" s="17">
        <f>M118*INDEX(Bar_X,MATCH(C118,Bar_No,0))/1000</f>
      </c>
    </row>
    <row r="119" spans="2:15" x14ac:dyDescent="0.25">
      <c r="B119">
        <v>7</v>
      </c>
      <c r="C119">
        <v>6</v>
      </c>
      <c r="D119" s="17">
        <f>INDEX(Blk_c,MATCH(B119,Blk_St,0))</f>
      </c>
      <c r="E119" s="17">
        <f>INDEX(Bar_U,MATCH(C119,Bar_No,0))</f>
      </c>
      <c r="F119" s="17">
        <f>u_max-E119</f>
      </c>
      <c r="G119" s="20">
        <f>ecu*(1-F119/D119)</f>
      </c>
      <c r="H119" s="20">
        <f>MAX(0,-G119)</f>
      </c>
      <c r="I119" s="17">
        <f>MAX(MIN(Es*G119,fy),-fy)</f>
      </c>
      <c r="J119">
        <f>IF(E119&gt;=u_max-beta_1*D119-blk_tol,1,0)</f>
      </c>
      <c r="K119" s="17">
        <f>J119*sig_blk</f>
      </c>
      <c r="L119" s="17">
        <f>I119-K119</f>
      </c>
      <c r="M119" s="17">
        <f>INDEX(Bar_As,MATCH(C119,Bar_No,0))*L119/1000</f>
      </c>
      <c r="N119" s="17">
        <f>M119*INDEX(Bar_Y,MATCH(C119,Bar_No,0))/1000</f>
      </c>
      <c r="O119" s="17">
        <f>M119*INDEX(Bar_X,MATCH(C119,Bar_No,0))/1000</f>
      </c>
    </row>
    <row r="120" spans="2:15" x14ac:dyDescent="0.25">
      <c r="B120">
        <v>7</v>
      </c>
      <c r="C120">
        <v>7</v>
      </c>
      <c r="D120" s="17">
        <f>INDEX(Blk_c,MATCH(B120,Blk_St,0))</f>
      </c>
      <c r="E120" s="17">
        <f>INDEX(Bar_U,MATCH(C120,Bar_No,0))</f>
      </c>
      <c r="F120" s="17">
        <f>u_max-E120</f>
      </c>
      <c r="G120" s="20">
        <f>ecu*(1-F120/D120)</f>
      </c>
      <c r="H120" s="20">
        <f>MAX(0,-G120)</f>
      </c>
      <c r="I120" s="17">
        <f>MAX(MIN(Es*G120,fy),-fy)</f>
      </c>
      <c r="J120">
        <f>IF(E120&gt;=u_max-beta_1*D120-blk_tol,1,0)</f>
      </c>
      <c r="K120" s="17">
        <f>J120*sig_blk</f>
      </c>
      <c r="L120" s="17">
        <f>I120-K120</f>
      </c>
      <c r="M120" s="17">
        <f>INDEX(Bar_As,MATCH(C120,Bar_No,0))*L120/1000</f>
      </c>
      <c r="N120" s="17">
        <f>M120*INDEX(Bar_Y,MATCH(C120,Bar_No,0))/1000</f>
      </c>
      <c r="O120" s="17">
        <f>M120*INDEX(Bar_X,MATCH(C120,Bar_No,0))/1000</f>
      </c>
    </row>
    <row r="121" spans="2:15" x14ac:dyDescent="0.25">
      <c r="B121">
        <v>7</v>
      </c>
      <c r="C121">
        <v>8</v>
      </c>
      <c r="D121" s="17">
        <f>INDEX(Blk_c,MATCH(B121,Blk_St,0))</f>
      </c>
      <c r="E121" s="17">
        <f>INDEX(Bar_U,MATCH(C121,Bar_No,0))</f>
      </c>
      <c r="F121" s="17">
        <f>u_max-E121</f>
      </c>
      <c r="G121" s="20">
        <f>ecu*(1-F121/D121)</f>
      </c>
      <c r="H121" s="20">
        <f>MAX(0,-G121)</f>
      </c>
      <c r="I121" s="17">
        <f>MAX(MIN(Es*G121,fy),-fy)</f>
      </c>
      <c r="J121">
        <f>IF(E121&gt;=u_max-beta_1*D121-blk_tol,1,0)</f>
      </c>
      <c r="K121" s="17">
        <f>J121*sig_blk</f>
      </c>
      <c r="L121" s="17">
        <f>I121-K121</f>
      </c>
      <c r="M121" s="17">
        <f>INDEX(Bar_As,MATCH(C121,Bar_No,0))*L121/1000</f>
      </c>
      <c r="N121" s="17">
        <f>M121*INDEX(Bar_Y,MATCH(C121,Bar_No,0))/1000</f>
      </c>
      <c r="O121" s="17">
        <f>M121*INDEX(Bar_X,MATCH(C121,Bar_No,0))/1000</f>
      </c>
    </row>
    <row r="122" spans="2:15" x14ac:dyDescent="0.25">
      <c r="B122">
        <v>7</v>
      </c>
      <c r="C122">
        <v>9</v>
      </c>
      <c r="D122" s="17">
        <f>INDEX(Blk_c,MATCH(B122,Blk_St,0))</f>
      </c>
      <c r="E122" s="17">
        <f>INDEX(Bar_U,MATCH(C122,Bar_No,0))</f>
      </c>
      <c r="F122" s="17">
        <f>u_max-E122</f>
      </c>
      <c r="G122" s="20">
        <f>ecu*(1-F122/D122)</f>
      </c>
      <c r="H122" s="20">
        <f>MAX(0,-G122)</f>
      </c>
      <c r="I122" s="17">
        <f>MAX(MIN(Es*G122,fy),-fy)</f>
      </c>
      <c r="J122">
        <f>IF(E122&gt;=u_max-beta_1*D122-blk_tol,1,0)</f>
      </c>
      <c r="K122" s="17">
        <f>J122*sig_blk</f>
      </c>
      <c r="L122" s="17">
        <f>I122-K122</f>
      </c>
      <c r="M122" s="17">
        <f>INDEX(Bar_As,MATCH(C122,Bar_No,0))*L122/1000</f>
      </c>
      <c r="N122" s="17">
        <f>M122*INDEX(Bar_Y,MATCH(C122,Bar_No,0))/1000</f>
      </c>
      <c r="O122" s="17">
        <f>M122*INDEX(Bar_X,MATCH(C122,Bar_No,0))/1000</f>
      </c>
    </row>
    <row r="123" spans="2:15" x14ac:dyDescent="0.25">
      <c r="B123">
        <v>7</v>
      </c>
      <c r="C123">
        <v>10</v>
      </c>
      <c r="D123" s="17">
        <f>INDEX(Blk_c,MATCH(B123,Blk_St,0))</f>
      </c>
      <c r="E123" s="17">
        <f>INDEX(Bar_U,MATCH(C123,Bar_No,0))</f>
      </c>
      <c r="F123" s="17">
        <f>u_max-E123</f>
      </c>
      <c r="G123" s="20">
        <f>ecu*(1-F123/D123)</f>
      </c>
      <c r="H123" s="20">
        <f>MAX(0,-G123)</f>
      </c>
      <c r="I123" s="17">
        <f>MAX(MIN(Es*G123,fy),-fy)</f>
      </c>
      <c r="J123">
        <f>IF(E123&gt;=u_max-beta_1*D123-blk_tol,1,0)</f>
      </c>
      <c r="K123" s="17">
        <f>J123*sig_blk</f>
      </c>
      <c r="L123" s="17">
        <f>I123-K123</f>
      </c>
      <c r="M123" s="17">
        <f>INDEX(Bar_As,MATCH(C123,Bar_No,0))*L123/1000</f>
      </c>
      <c r="N123" s="17">
        <f>M123*INDEX(Bar_Y,MATCH(C123,Bar_No,0))/1000</f>
      </c>
      <c r="O123" s="17">
        <f>M123*INDEX(Bar_X,MATCH(C123,Bar_No,0))/1000</f>
      </c>
    </row>
    <row r="124" spans="2:15" x14ac:dyDescent="0.25">
      <c r="B124">
        <v>7</v>
      </c>
      <c r="C124">
        <v>11</v>
      </c>
      <c r="D124" s="17">
        <f>INDEX(Blk_c,MATCH(B124,Blk_St,0))</f>
      </c>
      <c r="E124" s="17">
        <f>INDEX(Bar_U,MATCH(C124,Bar_No,0))</f>
      </c>
      <c r="F124" s="17">
        <f>u_max-E124</f>
      </c>
      <c r="G124" s="20">
        <f>ecu*(1-F124/D124)</f>
      </c>
      <c r="H124" s="20">
        <f>MAX(0,-G124)</f>
      </c>
      <c r="I124" s="17">
        <f>MAX(MIN(Es*G124,fy),-fy)</f>
      </c>
      <c r="J124">
        <f>IF(E124&gt;=u_max-beta_1*D124-blk_tol,1,0)</f>
      </c>
      <c r="K124" s="17">
        <f>J124*sig_blk</f>
      </c>
      <c r="L124" s="17">
        <f>I124-K124</f>
      </c>
      <c r="M124" s="17">
        <f>INDEX(Bar_As,MATCH(C124,Bar_No,0))*L124/1000</f>
      </c>
      <c r="N124" s="17">
        <f>M124*INDEX(Bar_Y,MATCH(C124,Bar_No,0))/1000</f>
      </c>
      <c r="O124" s="17">
        <f>M124*INDEX(Bar_X,MATCH(C124,Bar_No,0))/1000</f>
      </c>
    </row>
    <row r="125" spans="2:15" x14ac:dyDescent="0.25">
      <c r="B125">
        <v>7</v>
      </c>
      <c r="C125">
        <v>12</v>
      </c>
      <c r="D125" s="17">
        <f>INDEX(Blk_c,MATCH(B125,Blk_St,0))</f>
      </c>
      <c r="E125" s="17">
        <f>INDEX(Bar_U,MATCH(C125,Bar_No,0))</f>
      </c>
      <c r="F125" s="17">
        <f>u_max-E125</f>
      </c>
      <c r="G125" s="20">
        <f>ecu*(1-F125/D125)</f>
      </c>
      <c r="H125" s="20">
        <f>MAX(0,-G125)</f>
      </c>
      <c r="I125" s="17">
        <f>MAX(MIN(Es*G125,fy),-fy)</f>
      </c>
      <c r="J125">
        <f>IF(E125&gt;=u_max-beta_1*D125-blk_tol,1,0)</f>
      </c>
      <c r="K125" s="17">
        <f>J125*sig_blk</f>
      </c>
      <c r="L125" s="17">
        <f>I125-K125</f>
      </c>
      <c r="M125" s="17">
        <f>INDEX(Bar_As,MATCH(C125,Bar_No,0))*L125/1000</f>
      </c>
      <c r="N125" s="17">
        <f>M125*INDEX(Bar_Y,MATCH(C125,Bar_No,0))/1000</f>
      </c>
      <c r="O125" s="17">
        <f>M125*INDEX(Bar_X,MATCH(C125,Bar_No,0))/1000</f>
      </c>
    </row>
    <row r="126" spans="2:15" x14ac:dyDescent="0.25">
      <c r="B126">
        <v>7</v>
      </c>
      <c r="C126">
        <v>13</v>
      </c>
      <c r="D126" s="17">
        <f>INDEX(Blk_c,MATCH(B126,Blk_St,0))</f>
      </c>
      <c r="E126" s="17">
        <f>INDEX(Bar_U,MATCH(C126,Bar_No,0))</f>
      </c>
      <c r="F126" s="17">
        <f>u_max-E126</f>
      </c>
      <c r="G126" s="20">
        <f>ecu*(1-F126/D126)</f>
      </c>
      <c r="H126" s="20">
        <f>MAX(0,-G126)</f>
      </c>
      <c r="I126" s="17">
        <f>MAX(MIN(Es*G126,fy),-fy)</f>
      </c>
      <c r="J126">
        <f>IF(E126&gt;=u_max-beta_1*D126-blk_tol,1,0)</f>
      </c>
      <c r="K126" s="17">
        <f>J126*sig_blk</f>
      </c>
      <c r="L126" s="17">
        <f>I126-K126</f>
      </c>
      <c r="M126" s="17">
        <f>INDEX(Bar_As,MATCH(C126,Bar_No,0))*L126/1000</f>
      </c>
      <c r="N126" s="17">
        <f>M126*INDEX(Bar_Y,MATCH(C126,Bar_No,0))/1000</f>
      </c>
      <c r="O126" s="17">
        <f>M126*INDEX(Bar_X,MATCH(C126,Bar_No,0))/1000</f>
      </c>
    </row>
    <row r="127" spans="2:15" x14ac:dyDescent="0.25">
      <c r="B127">
        <v>7</v>
      </c>
      <c r="C127">
        <v>14</v>
      </c>
      <c r="D127" s="17">
        <f>INDEX(Blk_c,MATCH(B127,Blk_St,0))</f>
      </c>
      <c r="E127" s="17">
        <f>INDEX(Bar_U,MATCH(C127,Bar_No,0))</f>
      </c>
      <c r="F127" s="17">
        <f>u_max-E127</f>
      </c>
      <c r="G127" s="20">
        <f>ecu*(1-F127/D127)</f>
      </c>
      <c r="H127" s="20">
        <f>MAX(0,-G127)</f>
      </c>
      <c r="I127" s="17">
        <f>MAX(MIN(Es*G127,fy),-fy)</f>
      </c>
      <c r="J127">
        <f>IF(E127&gt;=u_max-beta_1*D127-blk_tol,1,0)</f>
      </c>
      <c r="K127" s="17">
        <f>J127*sig_blk</f>
      </c>
      <c r="L127" s="17">
        <f>I127-K127</f>
      </c>
      <c r="M127" s="17">
        <f>INDEX(Bar_As,MATCH(C127,Bar_No,0))*L127/1000</f>
      </c>
      <c r="N127" s="17">
        <f>M127*INDEX(Bar_Y,MATCH(C127,Bar_No,0))/1000</f>
      </c>
      <c r="O127" s="17">
        <f>M127*INDEX(Bar_X,MATCH(C127,Bar_No,0))/1000</f>
      </c>
    </row>
    <row r="128" spans="2:15" x14ac:dyDescent="0.25">
      <c r="B128">
        <v>7</v>
      </c>
      <c r="C128">
        <v>15</v>
      </c>
      <c r="D128" s="17">
        <f>INDEX(Blk_c,MATCH(B128,Blk_St,0))</f>
      </c>
      <c r="E128" s="17">
        <f>INDEX(Bar_U,MATCH(C128,Bar_No,0))</f>
      </c>
      <c r="F128" s="17">
        <f>u_max-E128</f>
      </c>
      <c r="G128" s="20">
        <f>ecu*(1-F128/D128)</f>
      </c>
      <c r="H128" s="20">
        <f>MAX(0,-G128)</f>
      </c>
      <c r="I128" s="17">
        <f>MAX(MIN(Es*G128,fy),-fy)</f>
      </c>
      <c r="J128">
        <f>IF(E128&gt;=u_max-beta_1*D128-blk_tol,1,0)</f>
      </c>
      <c r="K128" s="17">
        <f>J128*sig_blk</f>
      </c>
      <c r="L128" s="17">
        <f>I128-K128</f>
      </c>
      <c r="M128" s="17">
        <f>INDEX(Bar_As,MATCH(C128,Bar_No,0))*L128/1000</f>
      </c>
      <c r="N128" s="17">
        <f>M128*INDEX(Bar_Y,MATCH(C128,Bar_No,0))/1000</f>
      </c>
      <c r="O128" s="17">
        <f>M128*INDEX(Bar_X,MATCH(C128,Bar_No,0))/1000</f>
      </c>
    </row>
    <row r="129" spans="2:15" x14ac:dyDescent="0.25">
      <c r="B129">
        <v>7</v>
      </c>
      <c r="C129">
        <v>16</v>
      </c>
      <c r="D129" s="17">
        <f>INDEX(Blk_c,MATCH(B129,Blk_St,0))</f>
      </c>
      <c r="E129" s="17">
        <f>INDEX(Bar_U,MATCH(C129,Bar_No,0))</f>
      </c>
      <c r="F129" s="17">
        <f>u_max-E129</f>
      </c>
      <c r="G129" s="20">
        <f>ecu*(1-F129/D129)</f>
      </c>
      <c r="H129" s="20">
        <f>MAX(0,-G129)</f>
      </c>
      <c r="I129" s="17">
        <f>MAX(MIN(Es*G129,fy),-fy)</f>
      </c>
      <c r="J129">
        <f>IF(E129&gt;=u_max-beta_1*D129-blk_tol,1,0)</f>
      </c>
      <c r="K129" s="17">
        <f>J129*sig_blk</f>
      </c>
      <c r="L129" s="17">
        <f>I129-K129</f>
      </c>
      <c r="M129" s="17">
        <f>INDEX(Bar_As,MATCH(C129,Bar_No,0))*L129/1000</f>
      </c>
      <c r="N129" s="17">
        <f>M129*INDEX(Bar_Y,MATCH(C129,Bar_No,0))/1000</f>
      </c>
      <c r="O129" s="17">
        <f>M129*INDEX(Bar_X,MATCH(C129,Bar_No,0))/1000</f>
      </c>
    </row>
    <row r="130" spans="2:15" x14ac:dyDescent="0.25">
      <c r="B130">
        <v>7</v>
      </c>
      <c r="C130">
        <v>17</v>
      </c>
      <c r="D130" s="17">
        <f>INDEX(Blk_c,MATCH(B130,Blk_St,0))</f>
      </c>
      <c r="E130" s="17">
        <f>INDEX(Bar_U,MATCH(C130,Bar_No,0))</f>
      </c>
      <c r="F130" s="17">
        <f>u_max-E130</f>
      </c>
      <c r="G130" s="20">
        <f>ecu*(1-F130/D130)</f>
      </c>
      <c r="H130" s="20">
        <f>MAX(0,-G130)</f>
      </c>
      <c r="I130" s="17">
        <f>MAX(MIN(Es*G130,fy),-fy)</f>
      </c>
      <c r="J130">
        <f>IF(E130&gt;=u_max-beta_1*D130-blk_tol,1,0)</f>
      </c>
      <c r="K130" s="17">
        <f>J130*sig_blk</f>
      </c>
      <c r="L130" s="17">
        <f>I130-K130</f>
      </c>
      <c r="M130" s="17">
        <f>INDEX(Bar_As,MATCH(C130,Bar_No,0))*L130/1000</f>
      </c>
      <c r="N130" s="17">
        <f>M130*INDEX(Bar_Y,MATCH(C130,Bar_No,0))/1000</f>
      </c>
      <c r="O130" s="17">
        <f>M130*INDEX(Bar_X,MATCH(C130,Bar_No,0))/1000</f>
      </c>
    </row>
    <row r="131" spans="2:15" x14ac:dyDescent="0.25">
      <c r="B131">
        <v>7</v>
      </c>
      <c r="C131">
        <v>18</v>
      </c>
      <c r="D131" s="17">
        <f>INDEX(Blk_c,MATCH(B131,Blk_St,0))</f>
      </c>
      <c r="E131" s="17">
        <f>INDEX(Bar_U,MATCH(C131,Bar_No,0))</f>
      </c>
      <c r="F131" s="17">
        <f>u_max-E131</f>
      </c>
      <c r="G131" s="20">
        <f>ecu*(1-F131/D131)</f>
      </c>
      <c r="H131" s="20">
        <f>MAX(0,-G131)</f>
      </c>
      <c r="I131" s="17">
        <f>MAX(MIN(Es*G131,fy),-fy)</f>
      </c>
      <c r="J131">
        <f>IF(E131&gt;=u_max-beta_1*D131-blk_tol,1,0)</f>
      </c>
      <c r="K131" s="17">
        <f>J131*sig_blk</f>
      </c>
      <c r="L131" s="17">
        <f>I131-K131</f>
      </c>
      <c r="M131" s="17">
        <f>INDEX(Bar_As,MATCH(C131,Bar_No,0))*L131/1000</f>
      </c>
      <c r="N131" s="17">
        <f>M131*INDEX(Bar_Y,MATCH(C131,Bar_No,0))/1000</f>
      </c>
      <c r="O131" s="17">
        <f>M131*INDEX(Bar_X,MATCH(C131,Bar_No,0))/1000</f>
      </c>
    </row>
    <row r="132" spans="2:15" x14ac:dyDescent="0.25">
      <c r="B132">
        <v>8</v>
      </c>
      <c r="C132">
        <v>1</v>
      </c>
      <c r="D132" s="17">
        <f>INDEX(Blk_c,MATCH(B132,Blk_St,0))</f>
      </c>
      <c r="E132" s="17">
        <f>INDEX(Bar_U,MATCH(C132,Bar_No,0))</f>
      </c>
      <c r="F132" s="17">
        <f>u_max-E132</f>
      </c>
      <c r="G132" s="20">
        <f>ecu*(1-F132/D132)</f>
      </c>
      <c r="H132" s="20">
        <f>MAX(0,-G132)</f>
      </c>
      <c r="I132" s="17">
        <f>MAX(MIN(Es*G132,fy),-fy)</f>
      </c>
      <c r="J132">
        <f>IF(E132&gt;=u_max-beta_1*D132-blk_tol,1,0)</f>
      </c>
      <c r="K132" s="17">
        <f>J132*sig_blk</f>
      </c>
      <c r="L132" s="17">
        <f>I132-K132</f>
      </c>
      <c r="M132" s="17">
        <f>INDEX(Bar_As,MATCH(C132,Bar_No,0))*L132/1000</f>
      </c>
      <c r="N132" s="17">
        <f>M132*INDEX(Bar_Y,MATCH(C132,Bar_No,0))/1000</f>
      </c>
      <c r="O132" s="17">
        <f>M132*INDEX(Bar_X,MATCH(C132,Bar_No,0))/1000</f>
      </c>
    </row>
    <row r="133" spans="2:15" x14ac:dyDescent="0.25">
      <c r="B133">
        <v>8</v>
      </c>
      <c r="C133">
        <v>2</v>
      </c>
      <c r="D133" s="17">
        <f>INDEX(Blk_c,MATCH(B133,Blk_St,0))</f>
      </c>
      <c r="E133" s="17">
        <f>INDEX(Bar_U,MATCH(C133,Bar_No,0))</f>
      </c>
      <c r="F133" s="17">
        <f>u_max-E133</f>
      </c>
      <c r="G133" s="20">
        <f>ecu*(1-F133/D133)</f>
      </c>
      <c r="H133" s="20">
        <f>MAX(0,-G133)</f>
      </c>
      <c r="I133" s="17">
        <f>MAX(MIN(Es*G133,fy),-fy)</f>
      </c>
      <c r="J133">
        <f>IF(E133&gt;=u_max-beta_1*D133-blk_tol,1,0)</f>
      </c>
      <c r="K133" s="17">
        <f>J133*sig_blk</f>
      </c>
      <c r="L133" s="17">
        <f>I133-K133</f>
      </c>
      <c r="M133" s="17">
        <f>INDEX(Bar_As,MATCH(C133,Bar_No,0))*L133/1000</f>
      </c>
      <c r="N133" s="17">
        <f>M133*INDEX(Bar_Y,MATCH(C133,Bar_No,0))/1000</f>
      </c>
      <c r="O133" s="17">
        <f>M133*INDEX(Bar_X,MATCH(C133,Bar_No,0))/1000</f>
      </c>
    </row>
    <row r="134" spans="2:15" x14ac:dyDescent="0.25">
      <c r="B134">
        <v>8</v>
      </c>
      <c r="C134">
        <v>3</v>
      </c>
      <c r="D134" s="17">
        <f>INDEX(Blk_c,MATCH(B134,Blk_St,0))</f>
      </c>
      <c r="E134" s="17">
        <f>INDEX(Bar_U,MATCH(C134,Bar_No,0))</f>
      </c>
      <c r="F134" s="17">
        <f>u_max-E134</f>
      </c>
      <c r="G134" s="20">
        <f>ecu*(1-F134/D134)</f>
      </c>
      <c r="H134" s="20">
        <f>MAX(0,-G134)</f>
      </c>
      <c r="I134" s="17">
        <f>MAX(MIN(Es*G134,fy),-fy)</f>
      </c>
      <c r="J134">
        <f>IF(E134&gt;=u_max-beta_1*D134-blk_tol,1,0)</f>
      </c>
      <c r="K134" s="17">
        <f>J134*sig_blk</f>
      </c>
      <c r="L134" s="17">
        <f>I134-K134</f>
      </c>
      <c r="M134" s="17">
        <f>INDEX(Bar_As,MATCH(C134,Bar_No,0))*L134/1000</f>
      </c>
      <c r="N134" s="17">
        <f>M134*INDEX(Bar_Y,MATCH(C134,Bar_No,0))/1000</f>
      </c>
      <c r="O134" s="17">
        <f>M134*INDEX(Bar_X,MATCH(C134,Bar_No,0))/1000</f>
      </c>
    </row>
    <row r="135" spans="2:15" x14ac:dyDescent="0.25">
      <c r="B135">
        <v>8</v>
      </c>
      <c r="C135">
        <v>4</v>
      </c>
      <c r="D135" s="17">
        <f>INDEX(Blk_c,MATCH(B135,Blk_St,0))</f>
      </c>
      <c r="E135" s="17">
        <f>INDEX(Bar_U,MATCH(C135,Bar_No,0))</f>
      </c>
      <c r="F135" s="17">
        <f>u_max-E135</f>
      </c>
      <c r="G135" s="20">
        <f>ecu*(1-F135/D135)</f>
      </c>
      <c r="H135" s="20">
        <f>MAX(0,-G135)</f>
      </c>
      <c r="I135" s="17">
        <f>MAX(MIN(Es*G135,fy),-fy)</f>
      </c>
      <c r="J135">
        <f>IF(E135&gt;=u_max-beta_1*D135-blk_tol,1,0)</f>
      </c>
      <c r="K135" s="17">
        <f>J135*sig_blk</f>
      </c>
      <c r="L135" s="17">
        <f>I135-K135</f>
      </c>
      <c r="M135" s="17">
        <f>INDEX(Bar_As,MATCH(C135,Bar_No,0))*L135/1000</f>
      </c>
      <c r="N135" s="17">
        <f>M135*INDEX(Bar_Y,MATCH(C135,Bar_No,0))/1000</f>
      </c>
      <c r="O135" s="17">
        <f>M135*INDEX(Bar_X,MATCH(C135,Bar_No,0))/1000</f>
      </c>
    </row>
    <row r="136" spans="2:15" x14ac:dyDescent="0.25">
      <c r="B136">
        <v>8</v>
      </c>
      <c r="C136">
        <v>5</v>
      </c>
      <c r="D136" s="17">
        <f>INDEX(Blk_c,MATCH(B136,Blk_St,0))</f>
      </c>
      <c r="E136" s="17">
        <f>INDEX(Bar_U,MATCH(C136,Bar_No,0))</f>
      </c>
      <c r="F136" s="17">
        <f>u_max-E136</f>
      </c>
      <c r="G136" s="20">
        <f>ecu*(1-F136/D136)</f>
      </c>
      <c r="H136" s="20">
        <f>MAX(0,-G136)</f>
      </c>
      <c r="I136" s="17">
        <f>MAX(MIN(Es*G136,fy),-fy)</f>
      </c>
      <c r="J136">
        <f>IF(E136&gt;=u_max-beta_1*D136-blk_tol,1,0)</f>
      </c>
      <c r="K136" s="17">
        <f>J136*sig_blk</f>
      </c>
      <c r="L136" s="17">
        <f>I136-K136</f>
      </c>
      <c r="M136" s="17">
        <f>INDEX(Bar_As,MATCH(C136,Bar_No,0))*L136/1000</f>
      </c>
      <c r="N136" s="17">
        <f>M136*INDEX(Bar_Y,MATCH(C136,Bar_No,0))/1000</f>
      </c>
      <c r="O136" s="17">
        <f>M136*INDEX(Bar_X,MATCH(C136,Bar_No,0))/1000</f>
      </c>
    </row>
    <row r="137" spans="2:15" x14ac:dyDescent="0.25">
      <c r="B137">
        <v>8</v>
      </c>
      <c r="C137">
        <v>6</v>
      </c>
      <c r="D137" s="17">
        <f>INDEX(Blk_c,MATCH(B137,Blk_St,0))</f>
      </c>
      <c r="E137" s="17">
        <f>INDEX(Bar_U,MATCH(C137,Bar_No,0))</f>
      </c>
      <c r="F137" s="17">
        <f>u_max-E137</f>
      </c>
      <c r="G137" s="20">
        <f>ecu*(1-F137/D137)</f>
      </c>
      <c r="H137" s="20">
        <f>MAX(0,-G137)</f>
      </c>
      <c r="I137" s="17">
        <f>MAX(MIN(Es*G137,fy),-fy)</f>
      </c>
      <c r="J137">
        <f>IF(E137&gt;=u_max-beta_1*D137-blk_tol,1,0)</f>
      </c>
      <c r="K137" s="17">
        <f>J137*sig_blk</f>
      </c>
      <c r="L137" s="17">
        <f>I137-K137</f>
      </c>
      <c r="M137" s="17">
        <f>INDEX(Bar_As,MATCH(C137,Bar_No,0))*L137/1000</f>
      </c>
      <c r="N137" s="17">
        <f>M137*INDEX(Bar_Y,MATCH(C137,Bar_No,0))/1000</f>
      </c>
      <c r="O137" s="17">
        <f>M137*INDEX(Bar_X,MATCH(C137,Bar_No,0))/1000</f>
      </c>
    </row>
    <row r="138" spans="2:15" x14ac:dyDescent="0.25">
      <c r="B138">
        <v>8</v>
      </c>
      <c r="C138">
        <v>7</v>
      </c>
      <c r="D138" s="17">
        <f>INDEX(Blk_c,MATCH(B138,Blk_St,0))</f>
      </c>
      <c r="E138" s="17">
        <f>INDEX(Bar_U,MATCH(C138,Bar_No,0))</f>
      </c>
      <c r="F138" s="17">
        <f>u_max-E138</f>
      </c>
      <c r="G138" s="20">
        <f>ecu*(1-F138/D138)</f>
      </c>
      <c r="H138" s="20">
        <f>MAX(0,-G138)</f>
      </c>
      <c r="I138" s="17">
        <f>MAX(MIN(Es*G138,fy),-fy)</f>
      </c>
      <c r="J138">
        <f>IF(E138&gt;=u_max-beta_1*D138-blk_tol,1,0)</f>
      </c>
      <c r="K138" s="17">
        <f>J138*sig_blk</f>
      </c>
      <c r="L138" s="17">
        <f>I138-K138</f>
      </c>
      <c r="M138" s="17">
        <f>INDEX(Bar_As,MATCH(C138,Bar_No,0))*L138/1000</f>
      </c>
      <c r="N138" s="17">
        <f>M138*INDEX(Bar_Y,MATCH(C138,Bar_No,0))/1000</f>
      </c>
      <c r="O138" s="17">
        <f>M138*INDEX(Bar_X,MATCH(C138,Bar_No,0))/1000</f>
      </c>
    </row>
    <row r="139" spans="2:15" x14ac:dyDescent="0.25">
      <c r="B139">
        <v>8</v>
      </c>
      <c r="C139">
        <v>8</v>
      </c>
      <c r="D139" s="17">
        <f>INDEX(Blk_c,MATCH(B139,Blk_St,0))</f>
      </c>
      <c r="E139" s="17">
        <f>INDEX(Bar_U,MATCH(C139,Bar_No,0))</f>
      </c>
      <c r="F139" s="17">
        <f>u_max-E139</f>
      </c>
      <c r="G139" s="20">
        <f>ecu*(1-F139/D139)</f>
      </c>
      <c r="H139" s="20">
        <f>MAX(0,-G139)</f>
      </c>
      <c r="I139" s="17">
        <f>MAX(MIN(Es*G139,fy),-fy)</f>
      </c>
      <c r="J139">
        <f>IF(E139&gt;=u_max-beta_1*D139-blk_tol,1,0)</f>
      </c>
      <c r="K139" s="17">
        <f>J139*sig_blk</f>
      </c>
      <c r="L139" s="17">
        <f>I139-K139</f>
      </c>
      <c r="M139" s="17">
        <f>INDEX(Bar_As,MATCH(C139,Bar_No,0))*L139/1000</f>
      </c>
      <c r="N139" s="17">
        <f>M139*INDEX(Bar_Y,MATCH(C139,Bar_No,0))/1000</f>
      </c>
      <c r="O139" s="17">
        <f>M139*INDEX(Bar_X,MATCH(C139,Bar_No,0))/1000</f>
      </c>
    </row>
    <row r="140" spans="2:15" x14ac:dyDescent="0.25">
      <c r="B140">
        <v>8</v>
      </c>
      <c r="C140">
        <v>9</v>
      </c>
      <c r="D140" s="17">
        <f>INDEX(Blk_c,MATCH(B140,Blk_St,0))</f>
      </c>
      <c r="E140" s="17">
        <f>INDEX(Bar_U,MATCH(C140,Bar_No,0))</f>
      </c>
      <c r="F140" s="17">
        <f>u_max-E140</f>
      </c>
      <c r="G140" s="20">
        <f>ecu*(1-F140/D140)</f>
      </c>
      <c r="H140" s="20">
        <f>MAX(0,-G140)</f>
      </c>
      <c r="I140" s="17">
        <f>MAX(MIN(Es*G140,fy),-fy)</f>
      </c>
      <c r="J140">
        <f>IF(E140&gt;=u_max-beta_1*D140-blk_tol,1,0)</f>
      </c>
      <c r="K140" s="17">
        <f>J140*sig_blk</f>
      </c>
      <c r="L140" s="17">
        <f>I140-K140</f>
      </c>
      <c r="M140" s="17">
        <f>INDEX(Bar_As,MATCH(C140,Bar_No,0))*L140/1000</f>
      </c>
      <c r="N140" s="17">
        <f>M140*INDEX(Bar_Y,MATCH(C140,Bar_No,0))/1000</f>
      </c>
      <c r="O140" s="17">
        <f>M140*INDEX(Bar_X,MATCH(C140,Bar_No,0))/1000</f>
      </c>
    </row>
    <row r="141" spans="2:15" x14ac:dyDescent="0.25">
      <c r="B141">
        <v>8</v>
      </c>
      <c r="C141">
        <v>10</v>
      </c>
      <c r="D141" s="17">
        <f>INDEX(Blk_c,MATCH(B141,Blk_St,0))</f>
      </c>
      <c r="E141" s="17">
        <f>INDEX(Bar_U,MATCH(C141,Bar_No,0))</f>
      </c>
      <c r="F141" s="17">
        <f>u_max-E141</f>
      </c>
      <c r="G141" s="20">
        <f>ecu*(1-F141/D141)</f>
      </c>
      <c r="H141" s="20">
        <f>MAX(0,-G141)</f>
      </c>
      <c r="I141" s="17">
        <f>MAX(MIN(Es*G141,fy),-fy)</f>
      </c>
      <c r="J141">
        <f>IF(E141&gt;=u_max-beta_1*D141-blk_tol,1,0)</f>
      </c>
      <c r="K141" s="17">
        <f>J141*sig_blk</f>
      </c>
      <c r="L141" s="17">
        <f>I141-K141</f>
      </c>
      <c r="M141" s="17">
        <f>INDEX(Bar_As,MATCH(C141,Bar_No,0))*L141/1000</f>
      </c>
      <c r="N141" s="17">
        <f>M141*INDEX(Bar_Y,MATCH(C141,Bar_No,0))/1000</f>
      </c>
      <c r="O141" s="17">
        <f>M141*INDEX(Bar_X,MATCH(C141,Bar_No,0))/1000</f>
      </c>
    </row>
    <row r="142" spans="2:15" x14ac:dyDescent="0.25">
      <c r="B142">
        <v>8</v>
      </c>
      <c r="C142">
        <v>11</v>
      </c>
      <c r="D142" s="17">
        <f>INDEX(Blk_c,MATCH(B142,Blk_St,0))</f>
      </c>
      <c r="E142" s="17">
        <f>INDEX(Bar_U,MATCH(C142,Bar_No,0))</f>
      </c>
      <c r="F142" s="17">
        <f>u_max-E142</f>
      </c>
      <c r="G142" s="20">
        <f>ecu*(1-F142/D142)</f>
      </c>
      <c r="H142" s="20">
        <f>MAX(0,-G142)</f>
      </c>
      <c r="I142" s="17">
        <f>MAX(MIN(Es*G142,fy),-fy)</f>
      </c>
      <c r="J142">
        <f>IF(E142&gt;=u_max-beta_1*D142-blk_tol,1,0)</f>
      </c>
      <c r="K142" s="17">
        <f>J142*sig_blk</f>
      </c>
      <c r="L142" s="17">
        <f>I142-K142</f>
      </c>
      <c r="M142" s="17">
        <f>INDEX(Bar_As,MATCH(C142,Bar_No,0))*L142/1000</f>
      </c>
      <c r="N142" s="17">
        <f>M142*INDEX(Bar_Y,MATCH(C142,Bar_No,0))/1000</f>
      </c>
      <c r="O142" s="17">
        <f>M142*INDEX(Bar_X,MATCH(C142,Bar_No,0))/1000</f>
      </c>
    </row>
    <row r="143" spans="2:15" x14ac:dyDescent="0.25">
      <c r="B143">
        <v>8</v>
      </c>
      <c r="C143">
        <v>12</v>
      </c>
      <c r="D143" s="17">
        <f>INDEX(Blk_c,MATCH(B143,Blk_St,0))</f>
      </c>
      <c r="E143" s="17">
        <f>INDEX(Bar_U,MATCH(C143,Bar_No,0))</f>
      </c>
      <c r="F143" s="17">
        <f>u_max-E143</f>
      </c>
      <c r="G143" s="20">
        <f>ecu*(1-F143/D143)</f>
      </c>
      <c r="H143" s="20">
        <f>MAX(0,-G143)</f>
      </c>
      <c r="I143" s="17">
        <f>MAX(MIN(Es*G143,fy),-fy)</f>
      </c>
      <c r="J143">
        <f>IF(E143&gt;=u_max-beta_1*D143-blk_tol,1,0)</f>
      </c>
      <c r="K143" s="17">
        <f>J143*sig_blk</f>
      </c>
      <c r="L143" s="17">
        <f>I143-K143</f>
      </c>
      <c r="M143" s="17">
        <f>INDEX(Bar_As,MATCH(C143,Bar_No,0))*L143/1000</f>
      </c>
      <c r="N143" s="17">
        <f>M143*INDEX(Bar_Y,MATCH(C143,Bar_No,0))/1000</f>
      </c>
      <c r="O143" s="17">
        <f>M143*INDEX(Bar_X,MATCH(C143,Bar_No,0))/1000</f>
      </c>
    </row>
    <row r="144" spans="2:15" x14ac:dyDescent="0.25">
      <c r="B144">
        <v>8</v>
      </c>
      <c r="C144">
        <v>13</v>
      </c>
      <c r="D144" s="17">
        <f>INDEX(Blk_c,MATCH(B144,Blk_St,0))</f>
      </c>
      <c r="E144" s="17">
        <f>INDEX(Bar_U,MATCH(C144,Bar_No,0))</f>
      </c>
      <c r="F144" s="17">
        <f>u_max-E144</f>
      </c>
      <c r="G144" s="20">
        <f>ecu*(1-F144/D144)</f>
      </c>
      <c r="H144" s="20">
        <f>MAX(0,-G144)</f>
      </c>
      <c r="I144" s="17">
        <f>MAX(MIN(Es*G144,fy),-fy)</f>
      </c>
      <c r="J144">
        <f>IF(E144&gt;=u_max-beta_1*D144-blk_tol,1,0)</f>
      </c>
      <c r="K144" s="17">
        <f>J144*sig_blk</f>
      </c>
      <c r="L144" s="17">
        <f>I144-K144</f>
      </c>
      <c r="M144" s="17">
        <f>INDEX(Bar_As,MATCH(C144,Bar_No,0))*L144/1000</f>
      </c>
      <c r="N144" s="17">
        <f>M144*INDEX(Bar_Y,MATCH(C144,Bar_No,0))/1000</f>
      </c>
      <c r="O144" s="17">
        <f>M144*INDEX(Bar_X,MATCH(C144,Bar_No,0))/1000</f>
      </c>
    </row>
    <row r="145" spans="2:15" x14ac:dyDescent="0.25">
      <c r="B145">
        <v>8</v>
      </c>
      <c r="C145">
        <v>14</v>
      </c>
      <c r="D145" s="17">
        <f>INDEX(Blk_c,MATCH(B145,Blk_St,0))</f>
      </c>
      <c r="E145" s="17">
        <f>INDEX(Bar_U,MATCH(C145,Bar_No,0))</f>
      </c>
      <c r="F145" s="17">
        <f>u_max-E145</f>
      </c>
      <c r="G145" s="20">
        <f>ecu*(1-F145/D145)</f>
      </c>
      <c r="H145" s="20">
        <f>MAX(0,-G145)</f>
      </c>
      <c r="I145" s="17">
        <f>MAX(MIN(Es*G145,fy),-fy)</f>
      </c>
      <c r="J145">
        <f>IF(E145&gt;=u_max-beta_1*D145-blk_tol,1,0)</f>
      </c>
      <c r="K145" s="17">
        <f>J145*sig_blk</f>
      </c>
      <c r="L145" s="17">
        <f>I145-K145</f>
      </c>
      <c r="M145" s="17">
        <f>INDEX(Bar_As,MATCH(C145,Bar_No,0))*L145/1000</f>
      </c>
      <c r="N145" s="17">
        <f>M145*INDEX(Bar_Y,MATCH(C145,Bar_No,0))/1000</f>
      </c>
      <c r="O145" s="17">
        <f>M145*INDEX(Bar_X,MATCH(C145,Bar_No,0))/1000</f>
      </c>
    </row>
    <row r="146" spans="2:15" x14ac:dyDescent="0.25">
      <c r="B146">
        <v>8</v>
      </c>
      <c r="C146">
        <v>15</v>
      </c>
      <c r="D146" s="17">
        <f>INDEX(Blk_c,MATCH(B146,Blk_St,0))</f>
      </c>
      <c r="E146" s="17">
        <f>INDEX(Bar_U,MATCH(C146,Bar_No,0))</f>
      </c>
      <c r="F146" s="17">
        <f>u_max-E146</f>
      </c>
      <c r="G146" s="20">
        <f>ecu*(1-F146/D146)</f>
      </c>
      <c r="H146" s="20">
        <f>MAX(0,-G146)</f>
      </c>
      <c r="I146" s="17">
        <f>MAX(MIN(Es*G146,fy),-fy)</f>
      </c>
      <c r="J146">
        <f>IF(E146&gt;=u_max-beta_1*D146-blk_tol,1,0)</f>
      </c>
      <c r="K146" s="17">
        <f>J146*sig_blk</f>
      </c>
      <c r="L146" s="17">
        <f>I146-K146</f>
      </c>
      <c r="M146" s="17">
        <f>INDEX(Bar_As,MATCH(C146,Bar_No,0))*L146/1000</f>
      </c>
      <c r="N146" s="17">
        <f>M146*INDEX(Bar_Y,MATCH(C146,Bar_No,0))/1000</f>
      </c>
      <c r="O146" s="17">
        <f>M146*INDEX(Bar_X,MATCH(C146,Bar_No,0))/1000</f>
      </c>
    </row>
    <row r="147" spans="2:15" x14ac:dyDescent="0.25">
      <c r="B147">
        <v>8</v>
      </c>
      <c r="C147">
        <v>16</v>
      </c>
      <c r="D147" s="17">
        <f>INDEX(Blk_c,MATCH(B147,Blk_St,0))</f>
      </c>
      <c r="E147" s="17">
        <f>INDEX(Bar_U,MATCH(C147,Bar_No,0))</f>
      </c>
      <c r="F147" s="17">
        <f>u_max-E147</f>
      </c>
      <c r="G147" s="20">
        <f>ecu*(1-F147/D147)</f>
      </c>
      <c r="H147" s="20">
        <f>MAX(0,-G147)</f>
      </c>
      <c r="I147" s="17">
        <f>MAX(MIN(Es*G147,fy),-fy)</f>
      </c>
      <c r="J147">
        <f>IF(E147&gt;=u_max-beta_1*D147-blk_tol,1,0)</f>
      </c>
      <c r="K147" s="17">
        <f>J147*sig_blk</f>
      </c>
      <c r="L147" s="17">
        <f>I147-K147</f>
      </c>
      <c r="M147" s="17">
        <f>INDEX(Bar_As,MATCH(C147,Bar_No,0))*L147/1000</f>
      </c>
      <c r="N147" s="17">
        <f>M147*INDEX(Bar_Y,MATCH(C147,Bar_No,0))/1000</f>
      </c>
      <c r="O147" s="17">
        <f>M147*INDEX(Bar_X,MATCH(C147,Bar_No,0))/1000</f>
      </c>
    </row>
    <row r="148" spans="2:15" x14ac:dyDescent="0.25">
      <c r="B148">
        <v>8</v>
      </c>
      <c r="C148">
        <v>17</v>
      </c>
      <c r="D148" s="17">
        <f>INDEX(Blk_c,MATCH(B148,Blk_St,0))</f>
      </c>
      <c r="E148" s="17">
        <f>INDEX(Bar_U,MATCH(C148,Bar_No,0))</f>
      </c>
      <c r="F148" s="17">
        <f>u_max-E148</f>
      </c>
      <c r="G148" s="20">
        <f>ecu*(1-F148/D148)</f>
      </c>
      <c r="H148" s="20">
        <f>MAX(0,-G148)</f>
      </c>
      <c r="I148" s="17">
        <f>MAX(MIN(Es*G148,fy),-fy)</f>
      </c>
      <c r="J148">
        <f>IF(E148&gt;=u_max-beta_1*D148-blk_tol,1,0)</f>
      </c>
      <c r="K148" s="17">
        <f>J148*sig_blk</f>
      </c>
      <c r="L148" s="17">
        <f>I148-K148</f>
      </c>
      <c r="M148" s="17">
        <f>INDEX(Bar_As,MATCH(C148,Bar_No,0))*L148/1000</f>
      </c>
      <c r="N148" s="17">
        <f>M148*INDEX(Bar_Y,MATCH(C148,Bar_No,0))/1000</f>
      </c>
      <c r="O148" s="17">
        <f>M148*INDEX(Bar_X,MATCH(C148,Bar_No,0))/1000</f>
      </c>
    </row>
    <row r="149" spans="2:15" x14ac:dyDescent="0.25">
      <c r="B149">
        <v>8</v>
      </c>
      <c r="C149">
        <v>18</v>
      </c>
      <c r="D149" s="17">
        <f>INDEX(Blk_c,MATCH(B149,Blk_St,0))</f>
      </c>
      <c r="E149" s="17">
        <f>INDEX(Bar_U,MATCH(C149,Bar_No,0))</f>
      </c>
      <c r="F149" s="17">
        <f>u_max-E149</f>
      </c>
      <c r="G149" s="20">
        <f>ecu*(1-F149/D149)</f>
      </c>
      <c r="H149" s="20">
        <f>MAX(0,-G149)</f>
      </c>
      <c r="I149" s="17">
        <f>MAX(MIN(Es*G149,fy),-fy)</f>
      </c>
      <c r="J149">
        <f>IF(E149&gt;=u_max-beta_1*D149-blk_tol,1,0)</f>
      </c>
      <c r="K149" s="17">
        <f>J149*sig_blk</f>
      </c>
      <c r="L149" s="17">
        <f>I149-K149</f>
      </c>
      <c r="M149" s="17">
        <f>INDEX(Bar_As,MATCH(C149,Bar_No,0))*L149/1000</f>
      </c>
      <c r="N149" s="17">
        <f>M149*INDEX(Bar_Y,MATCH(C149,Bar_No,0))/1000</f>
      </c>
      <c r="O149" s="17">
        <f>M149*INDEX(Bar_X,MATCH(C149,Bar_No,0))/1000</f>
      </c>
    </row>
    <row r="150" spans="2:15" x14ac:dyDescent="0.25">
      <c r="B150">
        <v>9</v>
      </c>
      <c r="C150">
        <v>1</v>
      </c>
      <c r="D150" s="17">
        <f>INDEX(Blk_c,MATCH(B150,Blk_St,0))</f>
      </c>
      <c r="E150" s="17">
        <f>INDEX(Bar_U,MATCH(C150,Bar_No,0))</f>
      </c>
      <c r="F150" s="17">
        <f>u_max-E150</f>
      </c>
      <c r="G150" s="20">
        <f>ecu*(1-F150/D150)</f>
      </c>
      <c r="H150" s="20">
        <f>MAX(0,-G150)</f>
      </c>
      <c r="I150" s="17">
        <f>MAX(MIN(Es*G150,fy),-fy)</f>
      </c>
      <c r="J150">
        <f>IF(E150&gt;=u_max-beta_1*D150-blk_tol,1,0)</f>
      </c>
      <c r="K150" s="17">
        <f>J150*sig_blk</f>
      </c>
      <c r="L150" s="17">
        <f>I150-K150</f>
      </c>
      <c r="M150" s="17">
        <f>INDEX(Bar_As,MATCH(C150,Bar_No,0))*L150/1000</f>
      </c>
      <c r="N150" s="17">
        <f>M150*INDEX(Bar_Y,MATCH(C150,Bar_No,0))/1000</f>
      </c>
      <c r="O150" s="17">
        <f>M150*INDEX(Bar_X,MATCH(C150,Bar_No,0))/1000</f>
      </c>
    </row>
    <row r="151" spans="2:15" x14ac:dyDescent="0.25">
      <c r="B151">
        <v>9</v>
      </c>
      <c r="C151">
        <v>2</v>
      </c>
      <c r="D151" s="17">
        <f>INDEX(Blk_c,MATCH(B151,Blk_St,0))</f>
      </c>
      <c r="E151" s="17">
        <f>INDEX(Bar_U,MATCH(C151,Bar_No,0))</f>
      </c>
      <c r="F151" s="17">
        <f>u_max-E151</f>
      </c>
      <c r="G151" s="20">
        <f>ecu*(1-F151/D151)</f>
      </c>
      <c r="H151" s="20">
        <f>MAX(0,-G151)</f>
      </c>
      <c r="I151" s="17">
        <f>MAX(MIN(Es*G151,fy),-fy)</f>
      </c>
      <c r="J151">
        <f>IF(E151&gt;=u_max-beta_1*D151-blk_tol,1,0)</f>
      </c>
      <c r="K151" s="17">
        <f>J151*sig_blk</f>
      </c>
      <c r="L151" s="17">
        <f>I151-K151</f>
      </c>
      <c r="M151" s="17">
        <f>INDEX(Bar_As,MATCH(C151,Bar_No,0))*L151/1000</f>
      </c>
      <c r="N151" s="17">
        <f>M151*INDEX(Bar_Y,MATCH(C151,Bar_No,0))/1000</f>
      </c>
      <c r="O151" s="17">
        <f>M151*INDEX(Bar_X,MATCH(C151,Bar_No,0))/1000</f>
      </c>
    </row>
    <row r="152" spans="2:15" x14ac:dyDescent="0.25">
      <c r="B152">
        <v>9</v>
      </c>
      <c r="C152">
        <v>3</v>
      </c>
      <c r="D152" s="17">
        <f>INDEX(Blk_c,MATCH(B152,Blk_St,0))</f>
      </c>
      <c r="E152" s="17">
        <f>INDEX(Bar_U,MATCH(C152,Bar_No,0))</f>
      </c>
      <c r="F152" s="17">
        <f>u_max-E152</f>
      </c>
      <c r="G152" s="20">
        <f>ecu*(1-F152/D152)</f>
      </c>
      <c r="H152" s="20">
        <f>MAX(0,-G152)</f>
      </c>
      <c r="I152" s="17">
        <f>MAX(MIN(Es*G152,fy),-fy)</f>
      </c>
      <c r="J152">
        <f>IF(E152&gt;=u_max-beta_1*D152-blk_tol,1,0)</f>
      </c>
      <c r="K152" s="17">
        <f>J152*sig_blk</f>
      </c>
      <c r="L152" s="17">
        <f>I152-K152</f>
      </c>
      <c r="M152" s="17">
        <f>INDEX(Bar_As,MATCH(C152,Bar_No,0))*L152/1000</f>
      </c>
      <c r="N152" s="17">
        <f>M152*INDEX(Bar_Y,MATCH(C152,Bar_No,0))/1000</f>
      </c>
      <c r="O152" s="17">
        <f>M152*INDEX(Bar_X,MATCH(C152,Bar_No,0))/1000</f>
      </c>
    </row>
    <row r="153" spans="2:15" x14ac:dyDescent="0.25">
      <c r="B153">
        <v>9</v>
      </c>
      <c r="C153">
        <v>4</v>
      </c>
      <c r="D153" s="17">
        <f>INDEX(Blk_c,MATCH(B153,Blk_St,0))</f>
      </c>
      <c r="E153" s="17">
        <f>INDEX(Bar_U,MATCH(C153,Bar_No,0))</f>
      </c>
      <c r="F153" s="17">
        <f>u_max-E153</f>
      </c>
      <c r="G153" s="20">
        <f>ecu*(1-F153/D153)</f>
      </c>
      <c r="H153" s="20">
        <f>MAX(0,-G153)</f>
      </c>
      <c r="I153" s="17">
        <f>MAX(MIN(Es*G153,fy),-fy)</f>
      </c>
      <c r="J153">
        <f>IF(E153&gt;=u_max-beta_1*D153-blk_tol,1,0)</f>
      </c>
      <c r="K153" s="17">
        <f>J153*sig_blk</f>
      </c>
      <c r="L153" s="17">
        <f>I153-K153</f>
      </c>
      <c r="M153" s="17">
        <f>INDEX(Bar_As,MATCH(C153,Bar_No,0))*L153/1000</f>
      </c>
      <c r="N153" s="17">
        <f>M153*INDEX(Bar_Y,MATCH(C153,Bar_No,0))/1000</f>
      </c>
      <c r="O153" s="17">
        <f>M153*INDEX(Bar_X,MATCH(C153,Bar_No,0))/1000</f>
      </c>
    </row>
    <row r="154" spans="2:15" x14ac:dyDescent="0.25">
      <c r="B154">
        <v>9</v>
      </c>
      <c r="C154">
        <v>5</v>
      </c>
      <c r="D154" s="17">
        <f>INDEX(Blk_c,MATCH(B154,Blk_St,0))</f>
      </c>
      <c r="E154" s="17">
        <f>INDEX(Bar_U,MATCH(C154,Bar_No,0))</f>
      </c>
      <c r="F154" s="17">
        <f>u_max-E154</f>
      </c>
      <c r="G154" s="20">
        <f>ecu*(1-F154/D154)</f>
      </c>
      <c r="H154" s="20">
        <f>MAX(0,-G154)</f>
      </c>
      <c r="I154" s="17">
        <f>MAX(MIN(Es*G154,fy),-fy)</f>
      </c>
      <c r="J154">
        <f>IF(E154&gt;=u_max-beta_1*D154-blk_tol,1,0)</f>
      </c>
      <c r="K154" s="17">
        <f>J154*sig_blk</f>
      </c>
      <c r="L154" s="17">
        <f>I154-K154</f>
      </c>
      <c r="M154" s="17">
        <f>INDEX(Bar_As,MATCH(C154,Bar_No,0))*L154/1000</f>
      </c>
      <c r="N154" s="17">
        <f>M154*INDEX(Bar_Y,MATCH(C154,Bar_No,0))/1000</f>
      </c>
      <c r="O154" s="17">
        <f>M154*INDEX(Bar_X,MATCH(C154,Bar_No,0))/1000</f>
      </c>
    </row>
    <row r="155" spans="2:15" x14ac:dyDescent="0.25">
      <c r="B155">
        <v>9</v>
      </c>
      <c r="C155">
        <v>6</v>
      </c>
      <c r="D155" s="17">
        <f>INDEX(Blk_c,MATCH(B155,Blk_St,0))</f>
      </c>
      <c r="E155" s="17">
        <f>INDEX(Bar_U,MATCH(C155,Bar_No,0))</f>
      </c>
      <c r="F155" s="17">
        <f>u_max-E155</f>
      </c>
      <c r="G155" s="20">
        <f>ecu*(1-F155/D155)</f>
      </c>
      <c r="H155" s="20">
        <f>MAX(0,-G155)</f>
      </c>
      <c r="I155" s="17">
        <f>MAX(MIN(Es*G155,fy),-fy)</f>
      </c>
      <c r="J155">
        <f>IF(E155&gt;=u_max-beta_1*D155-blk_tol,1,0)</f>
      </c>
      <c r="K155" s="17">
        <f>J155*sig_blk</f>
      </c>
      <c r="L155" s="17">
        <f>I155-K155</f>
      </c>
      <c r="M155" s="17">
        <f>INDEX(Bar_As,MATCH(C155,Bar_No,0))*L155/1000</f>
      </c>
      <c r="N155" s="17">
        <f>M155*INDEX(Bar_Y,MATCH(C155,Bar_No,0))/1000</f>
      </c>
      <c r="O155" s="17">
        <f>M155*INDEX(Bar_X,MATCH(C155,Bar_No,0))/1000</f>
      </c>
    </row>
    <row r="156" spans="2:15" x14ac:dyDescent="0.25">
      <c r="B156">
        <v>9</v>
      </c>
      <c r="C156">
        <v>7</v>
      </c>
      <c r="D156" s="17">
        <f>INDEX(Blk_c,MATCH(B156,Blk_St,0))</f>
      </c>
      <c r="E156" s="17">
        <f>INDEX(Bar_U,MATCH(C156,Bar_No,0))</f>
      </c>
      <c r="F156" s="17">
        <f>u_max-E156</f>
      </c>
      <c r="G156" s="20">
        <f>ecu*(1-F156/D156)</f>
      </c>
      <c r="H156" s="20">
        <f>MAX(0,-G156)</f>
      </c>
      <c r="I156" s="17">
        <f>MAX(MIN(Es*G156,fy),-fy)</f>
      </c>
      <c r="J156">
        <f>IF(E156&gt;=u_max-beta_1*D156-blk_tol,1,0)</f>
      </c>
      <c r="K156" s="17">
        <f>J156*sig_blk</f>
      </c>
      <c r="L156" s="17">
        <f>I156-K156</f>
      </c>
      <c r="M156" s="17">
        <f>INDEX(Bar_As,MATCH(C156,Bar_No,0))*L156/1000</f>
      </c>
      <c r="N156" s="17">
        <f>M156*INDEX(Bar_Y,MATCH(C156,Bar_No,0))/1000</f>
      </c>
      <c r="O156" s="17">
        <f>M156*INDEX(Bar_X,MATCH(C156,Bar_No,0))/1000</f>
      </c>
    </row>
    <row r="157" spans="2:15" x14ac:dyDescent="0.25">
      <c r="B157">
        <v>9</v>
      </c>
      <c r="C157">
        <v>8</v>
      </c>
      <c r="D157" s="17">
        <f>INDEX(Blk_c,MATCH(B157,Blk_St,0))</f>
      </c>
      <c r="E157" s="17">
        <f>INDEX(Bar_U,MATCH(C157,Bar_No,0))</f>
      </c>
      <c r="F157" s="17">
        <f>u_max-E157</f>
      </c>
      <c r="G157" s="20">
        <f>ecu*(1-F157/D157)</f>
      </c>
      <c r="H157" s="20">
        <f>MAX(0,-G157)</f>
      </c>
      <c r="I157" s="17">
        <f>MAX(MIN(Es*G157,fy),-fy)</f>
      </c>
      <c r="J157">
        <f>IF(E157&gt;=u_max-beta_1*D157-blk_tol,1,0)</f>
      </c>
      <c r="K157" s="17">
        <f>J157*sig_blk</f>
      </c>
      <c r="L157" s="17">
        <f>I157-K157</f>
      </c>
      <c r="M157" s="17">
        <f>INDEX(Bar_As,MATCH(C157,Bar_No,0))*L157/1000</f>
      </c>
      <c r="N157" s="17">
        <f>M157*INDEX(Bar_Y,MATCH(C157,Bar_No,0))/1000</f>
      </c>
      <c r="O157" s="17">
        <f>M157*INDEX(Bar_X,MATCH(C157,Bar_No,0))/1000</f>
      </c>
    </row>
    <row r="158" spans="2:15" x14ac:dyDescent="0.25">
      <c r="B158">
        <v>9</v>
      </c>
      <c r="C158">
        <v>9</v>
      </c>
      <c r="D158" s="17">
        <f>INDEX(Blk_c,MATCH(B158,Blk_St,0))</f>
      </c>
      <c r="E158" s="17">
        <f>INDEX(Bar_U,MATCH(C158,Bar_No,0))</f>
      </c>
      <c r="F158" s="17">
        <f>u_max-E158</f>
      </c>
      <c r="G158" s="20">
        <f>ecu*(1-F158/D158)</f>
      </c>
      <c r="H158" s="20">
        <f>MAX(0,-G158)</f>
      </c>
      <c r="I158" s="17">
        <f>MAX(MIN(Es*G158,fy),-fy)</f>
      </c>
      <c r="J158">
        <f>IF(E158&gt;=u_max-beta_1*D158-blk_tol,1,0)</f>
      </c>
      <c r="K158" s="17">
        <f>J158*sig_blk</f>
      </c>
      <c r="L158" s="17">
        <f>I158-K158</f>
      </c>
      <c r="M158" s="17">
        <f>INDEX(Bar_As,MATCH(C158,Bar_No,0))*L158/1000</f>
      </c>
      <c r="N158" s="17">
        <f>M158*INDEX(Bar_Y,MATCH(C158,Bar_No,0))/1000</f>
      </c>
      <c r="O158" s="17">
        <f>M158*INDEX(Bar_X,MATCH(C158,Bar_No,0))/1000</f>
      </c>
    </row>
    <row r="159" spans="2:15" x14ac:dyDescent="0.25">
      <c r="B159">
        <v>9</v>
      </c>
      <c r="C159">
        <v>10</v>
      </c>
      <c r="D159" s="17">
        <f>INDEX(Blk_c,MATCH(B159,Blk_St,0))</f>
      </c>
      <c r="E159" s="17">
        <f>INDEX(Bar_U,MATCH(C159,Bar_No,0))</f>
      </c>
      <c r="F159" s="17">
        <f>u_max-E159</f>
      </c>
      <c r="G159" s="20">
        <f>ecu*(1-F159/D159)</f>
      </c>
      <c r="H159" s="20">
        <f>MAX(0,-G159)</f>
      </c>
      <c r="I159" s="17">
        <f>MAX(MIN(Es*G159,fy),-fy)</f>
      </c>
      <c r="J159">
        <f>IF(E159&gt;=u_max-beta_1*D159-blk_tol,1,0)</f>
      </c>
      <c r="K159" s="17">
        <f>J159*sig_blk</f>
      </c>
      <c r="L159" s="17">
        <f>I159-K159</f>
      </c>
      <c r="M159" s="17">
        <f>INDEX(Bar_As,MATCH(C159,Bar_No,0))*L159/1000</f>
      </c>
      <c r="N159" s="17">
        <f>M159*INDEX(Bar_Y,MATCH(C159,Bar_No,0))/1000</f>
      </c>
      <c r="O159" s="17">
        <f>M159*INDEX(Bar_X,MATCH(C159,Bar_No,0))/1000</f>
      </c>
    </row>
    <row r="160" spans="2:15" x14ac:dyDescent="0.25">
      <c r="B160">
        <v>9</v>
      </c>
      <c r="C160">
        <v>11</v>
      </c>
      <c r="D160" s="17">
        <f>INDEX(Blk_c,MATCH(B160,Blk_St,0))</f>
      </c>
      <c r="E160" s="17">
        <f>INDEX(Bar_U,MATCH(C160,Bar_No,0))</f>
      </c>
      <c r="F160" s="17">
        <f>u_max-E160</f>
      </c>
      <c r="G160" s="20">
        <f>ecu*(1-F160/D160)</f>
      </c>
      <c r="H160" s="20">
        <f>MAX(0,-G160)</f>
      </c>
      <c r="I160" s="17">
        <f>MAX(MIN(Es*G160,fy),-fy)</f>
      </c>
      <c r="J160">
        <f>IF(E160&gt;=u_max-beta_1*D160-blk_tol,1,0)</f>
      </c>
      <c r="K160" s="17">
        <f>J160*sig_blk</f>
      </c>
      <c r="L160" s="17">
        <f>I160-K160</f>
      </c>
      <c r="M160" s="17">
        <f>INDEX(Bar_As,MATCH(C160,Bar_No,0))*L160/1000</f>
      </c>
      <c r="N160" s="17">
        <f>M160*INDEX(Bar_Y,MATCH(C160,Bar_No,0))/1000</f>
      </c>
      <c r="O160" s="17">
        <f>M160*INDEX(Bar_X,MATCH(C160,Bar_No,0))/1000</f>
      </c>
    </row>
    <row r="161" spans="2:15" x14ac:dyDescent="0.25">
      <c r="B161">
        <v>9</v>
      </c>
      <c r="C161">
        <v>12</v>
      </c>
      <c r="D161" s="17">
        <f>INDEX(Blk_c,MATCH(B161,Blk_St,0))</f>
      </c>
      <c r="E161" s="17">
        <f>INDEX(Bar_U,MATCH(C161,Bar_No,0))</f>
      </c>
      <c r="F161" s="17">
        <f>u_max-E161</f>
      </c>
      <c r="G161" s="20">
        <f>ecu*(1-F161/D161)</f>
      </c>
      <c r="H161" s="20">
        <f>MAX(0,-G161)</f>
      </c>
      <c r="I161" s="17">
        <f>MAX(MIN(Es*G161,fy),-fy)</f>
      </c>
      <c r="J161">
        <f>IF(E161&gt;=u_max-beta_1*D161-blk_tol,1,0)</f>
      </c>
      <c r="K161" s="17">
        <f>J161*sig_blk</f>
      </c>
      <c r="L161" s="17">
        <f>I161-K161</f>
      </c>
      <c r="M161" s="17">
        <f>INDEX(Bar_As,MATCH(C161,Bar_No,0))*L161/1000</f>
      </c>
      <c r="N161" s="17">
        <f>M161*INDEX(Bar_Y,MATCH(C161,Bar_No,0))/1000</f>
      </c>
      <c r="O161" s="17">
        <f>M161*INDEX(Bar_X,MATCH(C161,Bar_No,0))/1000</f>
      </c>
    </row>
    <row r="162" spans="2:15" x14ac:dyDescent="0.25">
      <c r="B162">
        <v>9</v>
      </c>
      <c r="C162">
        <v>13</v>
      </c>
      <c r="D162" s="17">
        <f>INDEX(Blk_c,MATCH(B162,Blk_St,0))</f>
      </c>
      <c r="E162" s="17">
        <f>INDEX(Bar_U,MATCH(C162,Bar_No,0))</f>
      </c>
      <c r="F162" s="17">
        <f>u_max-E162</f>
      </c>
      <c r="G162" s="20">
        <f>ecu*(1-F162/D162)</f>
      </c>
      <c r="H162" s="20">
        <f>MAX(0,-G162)</f>
      </c>
      <c r="I162" s="17">
        <f>MAX(MIN(Es*G162,fy),-fy)</f>
      </c>
      <c r="J162">
        <f>IF(E162&gt;=u_max-beta_1*D162-blk_tol,1,0)</f>
      </c>
      <c r="K162" s="17">
        <f>J162*sig_blk</f>
      </c>
      <c r="L162" s="17">
        <f>I162-K162</f>
      </c>
      <c r="M162" s="17">
        <f>INDEX(Bar_As,MATCH(C162,Bar_No,0))*L162/1000</f>
      </c>
      <c r="N162" s="17">
        <f>M162*INDEX(Bar_Y,MATCH(C162,Bar_No,0))/1000</f>
      </c>
      <c r="O162" s="17">
        <f>M162*INDEX(Bar_X,MATCH(C162,Bar_No,0))/1000</f>
      </c>
    </row>
    <row r="163" spans="2:15" x14ac:dyDescent="0.25">
      <c r="B163">
        <v>9</v>
      </c>
      <c r="C163">
        <v>14</v>
      </c>
      <c r="D163" s="17">
        <f>INDEX(Blk_c,MATCH(B163,Blk_St,0))</f>
      </c>
      <c r="E163" s="17">
        <f>INDEX(Bar_U,MATCH(C163,Bar_No,0))</f>
      </c>
      <c r="F163" s="17">
        <f>u_max-E163</f>
      </c>
      <c r="G163" s="20">
        <f>ecu*(1-F163/D163)</f>
      </c>
      <c r="H163" s="20">
        <f>MAX(0,-G163)</f>
      </c>
      <c r="I163" s="17">
        <f>MAX(MIN(Es*G163,fy),-fy)</f>
      </c>
      <c r="J163">
        <f>IF(E163&gt;=u_max-beta_1*D163-blk_tol,1,0)</f>
      </c>
      <c r="K163" s="17">
        <f>J163*sig_blk</f>
      </c>
      <c r="L163" s="17">
        <f>I163-K163</f>
      </c>
      <c r="M163" s="17">
        <f>INDEX(Bar_As,MATCH(C163,Bar_No,0))*L163/1000</f>
      </c>
      <c r="N163" s="17">
        <f>M163*INDEX(Bar_Y,MATCH(C163,Bar_No,0))/1000</f>
      </c>
      <c r="O163" s="17">
        <f>M163*INDEX(Bar_X,MATCH(C163,Bar_No,0))/1000</f>
      </c>
    </row>
    <row r="164" spans="2:15" x14ac:dyDescent="0.25">
      <c r="B164">
        <v>9</v>
      </c>
      <c r="C164">
        <v>15</v>
      </c>
      <c r="D164" s="17">
        <f>INDEX(Blk_c,MATCH(B164,Blk_St,0))</f>
      </c>
      <c r="E164" s="17">
        <f>INDEX(Bar_U,MATCH(C164,Bar_No,0))</f>
      </c>
      <c r="F164" s="17">
        <f>u_max-E164</f>
      </c>
      <c r="G164" s="20">
        <f>ecu*(1-F164/D164)</f>
      </c>
      <c r="H164" s="20">
        <f>MAX(0,-G164)</f>
      </c>
      <c r="I164" s="17">
        <f>MAX(MIN(Es*G164,fy),-fy)</f>
      </c>
      <c r="J164">
        <f>IF(E164&gt;=u_max-beta_1*D164-blk_tol,1,0)</f>
      </c>
      <c r="K164" s="17">
        <f>J164*sig_blk</f>
      </c>
      <c r="L164" s="17">
        <f>I164-K164</f>
      </c>
      <c r="M164" s="17">
        <f>INDEX(Bar_As,MATCH(C164,Bar_No,0))*L164/1000</f>
      </c>
      <c r="N164" s="17">
        <f>M164*INDEX(Bar_Y,MATCH(C164,Bar_No,0))/1000</f>
      </c>
      <c r="O164" s="17">
        <f>M164*INDEX(Bar_X,MATCH(C164,Bar_No,0))/1000</f>
      </c>
    </row>
    <row r="165" spans="2:15" x14ac:dyDescent="0.25">
      <c r="B165">
        <v>9</v>
      </c>
      <c r="C165">
        <v>16</v>
      </c>
      <c r="D165" s="17">
        <f>INDEX(Blk_c,MATCH(B165,Blk_St,0))</f>
      </c>
      <c r="E165" s="17">
        <f>INDEX(Bar_U,MATCH(C165,Bar_No,0))</f>
      </c>
      <c r="F165" s="17">
        <f>u_max-E165</f>
      </c>
      <c r="G165" s="20">
        <f>ecu*(1-F165/D165)</f>
      </c>
      <c r="H165" s="20">
        <f>MAX(0,-G165)</f>
      </c>
      <c r="I165" s="17">
        <f>MAX(MIN(Es*G165,fy),-fy)</f>
      </c>
      <c r="J165">
        <f>IF(E165&gt;=u_max-beta_1*D165-blk_tol,1,0)</f>
      </c>
      <c r="K165" s="17">
        <f>J165*sig_blk</f>
      </c>
      <c r="L165" s="17">
        <f>I165-K165</f>
      </c>
      <c r="M165" s="17">
        <f>INDEX(Bar_As,MATCH(C165,Bar_No,0))*L165/1000</f>
      </c>
      <c r="N165" s="17">
        <f>M165*INDEX(Bar_Y,MATCH(C165,Bar_No,0))/1000</f>
      </c>
      <c r="O165" s="17">
        <f>M165*INDEX(Bar_X,MATCH(C165,Bar_No,0))/1000</f>
      </c>
    </row>
    <row r="166" spans="2:15" x14ac:dyDescent="0.25">
      <c r="B166">
        <v>9</v>
      </c>
      <c r="C166">
        <v>17</v>
      </c>
      <c r="D166" s="17">
        <f>INDEX(Blk_c,MATCH(B166,Blk_St,0))</f>
      </c>
      <c r="E166" s="17">
        <f>INDEX(Bar_U,MATCH(C166,Bar_No,0))</f>
      </c>
      <c r="F166" s="17">
        <f>u_max-E166</f>
      </c>
      <c r="G166" s="20">
        <f>ecu*(1-F166/D166)</f>
      </c>
      <c r="H166" s="20">
        <f>MAX(0,-G166)</f>
      </c>
      <c r="I166" s="17">
        <f>MAX(MIN(Es*G166,fy),-fy)</f>
      </c>
      <c r="J166">
        <f>IF(E166&gt;=u_max-beta_1*D166-blk_tol,1,0)</f>
      </c>
      <c r="K166" s="17">
        <f>J166*sig_blk</f>
      </c>
      <c r="L166" s="17">
        <f>I166-K166</f>
      </c>
      <c r="M166" s="17">
        <f>INDEX(Bar_As,MATCH(C166,Bar_No,0))*L166/1000</f>
      </c>
      <c r="N166" s="17">
        <f>M166*INDEX(Bar_Y,MATCH(C166,Bar_No,0))/1000</f>
      </c>
      <c r="O166" s="17">
        <f>M166*INDEX(Bar_X,MATCH(C166,Bar_No,0))/1000</f>
      </c>
    </row>
    <row r="167" spans="2:15" x14ac:dyDescent="0.25">
      <c r="B167">
        <v>9</v>
      </c>
      <c r="C167">
        <v>18</v>
      </c>
      <c r="D167" s="17">
        <f>INDEX(Blk_c,MATCH(B167,Blk_St,0))</f>
      </c>
      <c r="E167" s="17">
        <f>INDEX(Bar_U,MATCH(C167,Bar_No,0))</f>
      </c>
      <c r="F167" s="17">
        <f>u_max-E167</f>
      </c>
      <c r="G167" s="20">
        <f>ecu*(1-F167/D167)</f>
      </c>
      <c r="H167" s="20">
        <f>MAX(0,-G167)</f>
      </c>
      <c r="I167" s="17">
        <f>MAX(MIN(Es*G167,fy),-fy)</f>
      </c>
      <c r="J167">
        <f>IF(E167&gt;=u_max-beta_1*D167-blk_tol,1,0)</f>
      </c>
      <c r="K167" s="17">
        <f>J167*sig_blk</f>
      </c>
      <c r="L167" s="17">
        <f>I167-K167</f>
      </c>
      <c r="M167" s="17">
        <f>INDEX(Bar_As,MATCH(C167,Bar_No,0))*L167/1000</f>
      </c>
      <c r="N167" s="17">
        <f>M167*INDEX(Bar_Y,MATCH(C167,Bar_No,0))/1000</f>
      </c>
      <c r="O167" s="17">
        <f>M167*INDEX(Bar_X,MATCH(C167,Bar_No,0))/1000</f>
      </c>
    </row>
    <row r="168" spans="2:15" x14ac:dyDescent="0.25">
      <c r="B168">
        <v>10</v>
      </c>
      <c r="C168">
        <v>1</v>
      </c>
      <c r="D168" s="17">
        <f>INDEX(Blk_c,MATCH(B168,Blk_St,0))</f>
      </c>
      <c r="E168" s="17">
        <f>INDEX(Bar_U,MATCH(C168,Bar_No,0))</f>
      </c>
      <c r="F168" s="17">
        <f>u_max-E168</f>
      </c>
      <c r="G168" s="20">
        <f>ecu*(1-F168/D168)</f>
      </c>
      <c r="H168" s="20">
        <f>MAX(0,-G168)</f>
      </c>
      <c r="I168" s="17">
        <f>MAX(MIN(Es*G168,fy),-fy)</f>
      </c>
      <c r="J168">
        <f>IF(E168&gt;=u_max-beta_1*D168-blk_tol,1,0)</f>
      </c>
      <c r="K168" s="17">
        <f>J168*sig_blk</f>
      </c>
      <c r="L168" s="17">
        <f>I168-K168</f>
      </c>
      <c r="M168" s="17">
        <f>INDEX(Bar_As,MATCH(C168,Bar_No,0))*L168/1000</f>
      </c>
      <c r="N168" s="17">
        <f>M168*INDEX(Bar_Y,MATCH(C168,Bar_No,0))/1000</f>
      </c>
      <c r="O168" s="17">
        <f>M168*INDEX(Bar_X,MATCH(C168,Bar_No,0))/1000</f>
      </c>
    </row>
    <row r="169" spans="2:15" x14ac:dyDescent="0.25">
      <c r="B169">
        <v>10</v>
      </c>
      <c r="C169">
        <v>2</v>
      </c>
      <c r="D169" s="17">
        <f>INDEX(Blk_c,MATCH(B169,Blk_St,0))</f>
      </c>
      <c r="E169" s="17">
        <f>INDEX(Bar_U,MATCH(C169,Bar_No,0))</f>
      </c>
      <c r="F169" s="17">
        <f>u_max-E169</f>
      </c>
      <c r="G169" s="20">
        <f>ecu*(1-F169/D169)</f>
      </c>
      <c r="H169" s="20">
        <f>MAX(0,-G169)</f>
      </c>
      <c r="I169" s="17">
        <f>MAX(MIN(Es*G169,fy),-fy)</f>
      </c>
      <c r="J169">
        <f>IF(E169&gt;=u_max-beta_1*D169-blk_tol,1,0)</f>
      </c>
      <c r="K169" s="17">
        <f>J169*sig_blk</f>
      </c>
      <c r="L169" s="17">
        <f>I169-K169</f>
      </c>
      <c r="M169" s="17">
        <f>INDEX(Bar_As,MATCH(C169,Bar_No,0))*L169/1000</f>
      </c>
      <c r="N169" s="17">
        <f>M169*INDEX(Bar_Y,MATCH(C169,Bar_No,0))/1000</f>
      </c>
      <c r="O169" s="17">
        <f>M169*INDEX(Bar_X,MATCH(C169,Bar_No,0))/1000</f>
      </c>
    </row>
    <row r="170" spans="2:15" x14ac:dyDescent="0.25">
      <c r="B170">
        <v>10</v>
      </c>
      <c r="C170">
        <v>3</v>
      </c>
      <c r="D170" s="17">
        <f>INDEX(Blk_c,MATCH(B170,Blk_St,0))</f>
      </c>
      <c r="E170" s="17">
        <f>INDEX(Bar_U,MATCH(C170,Bar_No,0))</f>
      </c>
      <c r="F170" s="17">
        <f>u_max-E170</f>
      </c>
      <c r="G170" s="20">
        <f>ecu*(1-F170/D170)</f>
      </c>
      <c r="H170" s="20">
        <f>MAX(0,-G170)</f>
      </c>
      <c r="I170" s="17">
        <f>MAX(MIN(Es*G170,fy),-fy)</f>
      </c>
      <c r="J170">
        <f>IF(E170&gt;=u_max-beta_1*D170-blk_tol,1,0)</f>
      </c>
      <c r="K170" s="17">
        <f>J170*sig_blk</f>
      </c>
      <c r="L170" s="17">
        <f>I170-K170</f>
      </c>
      <c r="M170" s="17">
        <f>INDEX(Bar_As,MATCH(C170,Bar_No,0))*L170/1000</f>
      </c>
      <c r="N170" s="17">
        <f>M170*INDEX(Bar_Y,MATCH(C170,Bar_No,0))/1000</f>
      </c>
      <c r="O170" s="17">
        <f>M170*INDEX(Bar_X,MATCH(C170,Bar_No,0))/1000</f>
      </c>
    </row>
    <row r="171" spans="2:15" x14ac:dyDescent="0.25">
      <c r="B171">
        <v>10</v>
      </c>
      <c r="C171">
        <v>4</v>
      </c>
      <c r="D171" s="17">
        <f>INDEX(Blk_c,MATCH(B171,Blk_St,0))</f>
      </c>
      <c r="E171" s="17">
        <f>INDEX(Bar_U,MATCH(C171,Bar_No,0))</f>
      </c>
      <c r="F171" s="17">
        <f>u_max-E171</f>
      </c>
      <c r="G171" s="20">
        <f>ecu*(1-F171/D171)</f>
      </c>
      <c r="H171" s="20">
        <f>MAX(0,-G171)</f>
      </c>
      <c r="I171" s="17">
        <f>MAX(MIN(Es*G171,fy),-fy)</f>
      </c>
      <c r="J171">
        <f>IF(E171&gt;=u_max-beta_1*D171-blk_tol,1,0)</f>
      </c>
      <c r="K171" s="17">
        <f>J171*sig_blk</f>
      </c>
      <c r="L171" s="17">
        <f>I171-K171</f>
      </c>
      <c r="M171" s="17">
        <f>INDEX(Bar_As,MATCH(C171,Bar_No,0))*L171/1000</f>
      </c>
      <c r="N171" s="17">
        <f>M171*INDEX(Bar_Y,MATCH(C171,Bar_No,0))/1000</f>
      </c>
      <c r="O171" s="17">
        <f>M171*INDEX(Bar_X,MATCH(C171,Bar_No,0))/1000</f>
      </c>
    </row>
    <row r="172" spans="2:15" x14ac:dyDescent="0.25">
      <c r="B172">
        <v>10</v>
      </c>
      <c r="C172">
        <v>5</v>
      </c>
      <c r="D172" s="17">
        <f>INDEX(Blk_c,MATCH(B172,Blk_St,0))</f>
      </c>
      <c r="E172" s="17">
        <f>INDEX(Bar_U,MATCH(C172,Bar_No,0))</f>
      </c>
      <c r="F172" s="17">
        <f>u_max-E172</f>
      </c>
      <c r="G172" s="20">
        <f>ecu*(1-F172/D172)</f>
      </c>
      <c r="H172" s="20">
        <f>MAX(0,-G172)</f>
      </c>
      <c r="I172" s="17">
        <f>MAX(MIN(Es*G172,fy),-fy)</f>
      </c>
      <c r="J172">
        <f>IF(E172&gt;=u_max-beta_1*D172-blk_tol,1,0)</f>
      </c>
      <c r="K172" s="17">
        <f>J172*sig_blk</f>
      </c>
      <c r="L172" s="17">
        <f>I172-K172</f>
      </c>
      <c r="M172" s="17">
        <f>INDEX(Bar_As,MATCH(C172,Bar_No,0))*L172/1000</f>
      </c>
      <c r="N172" s="17">
        <f>M172*INDEX(Bar_Y,MATCH(C172,Bar_No,0))/1000</f>
      </c>
      <c r="O172" s="17">
        <f>M172*INDEX(Bar_X,MATCH(C172,Bar_No,0))/1000</f>
      </c>
    </row>
    <row r="173" spans="2:15" x14ac:dyDescent="0.25">
      <c r="B173">
        <v>10</v>
      </c>
      <c r="C173">
        <v>6</v>
      </c>
      <c r="D173" s="17">
        <f>INDEX(Blk_c,MATCH(B173,Blk_St,0))</f>
      </c>
      <c r="E173" s="17">
        <f>INDEX(Bar_U,MATCH(C173,Bar_No,0))</f>
      </c>
      <c r="F173" s="17">
        <f>u_max-E173</f>
      </c>
      <c r="G173" s="20">
        <f>ecu*(1-F173/D173)</f>
      </c>
      <c r="H173" s="20">
        <f>MAX(0,-G173)</f>
      </c>
      <c r="I173" s="17">
        <f>MAX(MIN(Es*G173,fy),-fy)</f>
      </c>
      <c r="J173">
        <f>IF(E173&gt;=u_max-beta_1*D173-blk_tol,1,0)</f>
      </c>
      <c r="K173" s="17">
        <f>J173*sig_blk</f>
      </c>
      <c r="L173" s="17">
        <f>I173-K173</f>
      </c>
      <c r="M173" s="17">
        <f>INDEX(Bar_As,MATCH(C173,Bar_No,0))*L173/1000</f>
      </c>
      <c r="N173" s="17">
        <f>M173*INDEX(Bar_Y,MATCH(C173,Bar_No,0))/1000</f>
      </c>
      <c r="O173" s="17">
        <f>M173*INDEX(Bar_X,MATCH(C173,Bar_No,0))/1000</f>
      </c>
    </row>
    <row r="174" spans="2:15" x14ac:dyDescent="0.25">
      <c r="B174">
        <v>10</v>
      </c>
      <c r="C174">
        <v>7</v>
      </c>
      <c r="D174" s="17">
        <f>INDEX(Blk_c,MATCH(B174,Blk_St,0))</f>
      </c>
      <c r="E174" s="17">
        <f>INDEX(Bar_U,MATCH(C174,Bar_No,0))</f>
      </c>
      <c r="F174" s="17">
        <f>u_max-E174</f>
      </c>
      <c r="G174" s="20">
        <f>ecu*(1-F174/D174)</f>
      </c>
      <c r="H174" s="20">
        <f>MAX(0,-G174)</f>
      </c>
      <c r="I174" s="17">
        <f>MAX(MIN(Es*G174,fy),-fy)</f>
      </c>
      <c r="J174">
        <f>IF(E174&gt;=u_max-beta_1*D174-blk_tol,1,0)</f>
      </c>
      <c r="K174" s="17">
        <f>J174*sig_blk</f>
      </c>
      <c r="L174" s="17">
        <f>I174-K174</f>
      </c>
      <c r="M174" s="17">
        <f>INDEX(Bar_As,MATCH(C174,Bar_No,0))*L174/1000</f>
      </c>
      <c r="N174" s="17">
        <f>M174*INDEX(Bar_Y,MATCH(C174,Bar_No,0))/1000</f>
      </c>
      <c r="O174" s="17">
        <f>M174*INDEX(Bar_X,MATCH(C174,Bar_No,0))/1000</f>
      </c>
    </row>
    <row r="175" spans="2:15" x14ac:dyDescent="0.25">
      <c r="B175">
        <v>10</v>
      </c>
      <c r="C175">
        <v>8</v>
      </c>
      <c r="D175" s="17">
        <f>INDEX(Blk_c,MATCH(B175,Blk_St,0))</f>
      </c>
      <c r="E175" s="17">
        <f>INDEX(Bar_U,MATCH(C175,Bar_No,0))</f>
      </c>
      <c r="F175" s="17">
        <f>u_max-E175</f>
      </c>
      <c r="G175" s="20">
        <f>ecu*(1-F175/D175)</f>
      </c>
      <c r="H175" s="20">
        <f>MAX(0,-G175)</f>
      </c>
      <c r="I175" s="17">
        <f>MAX(MIN(Es*G175,fy),-fy)</f>
      </c>
      <c r="J175">
        <f>IF(E175&gt;=u_max-beta_1*D175-blk_tol,1,0)</f>
      </c>
      <c r="K175" s="17">
        <f>J175*sig_blk</f>
      </c>
      <c r="L175" s="17">
        <f>I175-K175</f>
      </c>
      <c r="M175" s="17">
        <f>INDEX(Bar_As,MATCH(C175,Bar_No,0))*L175/1000</f>
      </c>
      <c r="N175" s="17">
        <f>M175*INDEX(Bar_Y,MATCH(C175,Bar_No,0))/1000</f>
      </c>
      <c r="O175" s="17">
        <f>M175*INDEX(Bar_X,MATCH(C175,Bar_No,0))/1000</f>
      </c>
    </row>
    <row r="176" spans="2:15" x14ac:dyDescent="0.25">
      <c r="B176">
        <v>10</v>
      </c>
      <c r="C176">
        <v>9</v>
      </c>
      <c r="D176" s="17">
        <f>INDEX(Blk_c,MATCH(B176,Blk_St,0))</f>
      </c>
      <c r="E176" s="17">
        <f>INDEX(Bar_U,MATCH(C176,Bar_No,0))</f>
      </c>
      <c r="F176" s="17">
        <f>u_max-E176</f>
      </c>
      <c r="G176" s="20">
        <f>ecu*(1-F176/D176)</f>
      </c>
      <c r="H176" s="20">
        <f>MAX(0,-G176)</f>
      </c>
      <c r="I176" s="17">
        <f>MAX(MIN(Es*G176,fy),-fy)</f>
      </c>
      <c r="J176">
        <f>IF(E176&gt;=u_max-beta_1*D176-blk_tol,1,0)</f>
      </c>
      <c r="K176" s="17">
        <f>J176*sig_blk</f>
      </c>
      <c r="L176" s="17">
        <f>I176-K176</f>
      </c>
      <c r="M176" s="17">
        <f>INDEX(Bar_As,MATCH(C176,Bar_No,0))*L176/1000</f>
      </c>
      <c r="N176" s="17">
        <f>M176*INDEX(Bar_Y,MATCH(C176,Bar_No,0))/1000</f>
      </c>
      <c r="O176" s="17">
        <f>M176*INDEX(Bar_X,MATCH(C176,Bar_No,0))/1000</f>
      </c>
    </row>
    <row r="177" spans="2:15" x14ac:dyDescent="0.25">
      <c r="B177">
        <v>10</v>
      </c>
      <c r="C177">
        <v>10</v>
      </c>
      <c r="D177" s="17">
        <f>INDEX(Blk_c,MATCH(B177,Blk_St,0))</f>
      </c>
      <c r="E177" s="17">
        <f>INDEX(Bar_U,MATCH(C177,Bar_No,0))</f>
      </c>
      <c r="F177" s="17">
        <f>u_max-E177</f>
      </c>
      <c r="G177" s="20">
        <f>ecu*(1-F177/D177)</f>
      </c>
      <c r="H177" s="20">
        <f>MAX(0,-G177)</f>
      </c>
      <c r="I177" s="17">
        <f>MAX(MIN(Es*G177,fy),-fy)</f>
      </c>
      <c r="J177">
        <f>IF(E177&gt;=u_max-beta_1*D177-blk_tol,1,0)</f>
      </c>
      <c r="K177" s="17">
        <f>J177*sig_blk</f>
      </c>
      <c r="L177" s="17">
        <f>I177-K177</f>
      </c>
      <c r="M177" s="17">
        <f>INDEX(Bar_As,MATCH(C177,Bar_No,0))*L177/1000</f>
      </c>
      <c r="N177" s="17">
        <f>M177*INDEX(Bar_Y,MATCH(C177,Bar_No,0))/1000</f>
      </c>
      <c r="O177" s="17">
        <f>M177*INDEX(Bar_X,MATCH(C177,Bar_No,0))/1000</f>
      </c>
    </row>
    <row r="178" spans="2:15" x14ac:dyDescent="0.25">
      <c r="B178">
        <v>10</v>
      </c>
      <c r="C178">
        <v>11</v>
      </c>
      <c r="D178" s="17">
        <f>INDEX(Blk_c,MATCH(B178,Blk_St,0))</f>
      </c>
      <c r="E178" s="17">
        <f>INDEX(Bar_U,MATCH(C178,Bar_No,0))</f>
      </c>
      <c r="F178" s="17">
        <f>u_max-E178</f>
      </c>
      <c r="G178" s="20">
        <f>ecu*(1-F178/D178)</f>
      </c>
      <c r="H178" s="20">
        <f>MAX(0,-G178)</f>
      </c>
      <c r="I178" s="17">
        <f>MAX(MIN(Es*G178,fy),-fy)</f>
      </c>
      <c r="J178">
        <f>IF(E178&gt;=u_max-beta_1*D178-blk_tol,1,0)</f>
      </c>
      <c r="K178" s="17">
        <f>J178*sig_blk</f>
      </c>
      <c r="L178" s="17">
        <f>I178-K178</f>
      </c>
      <c r="M178" s="17">
        <f>INDEX(Bar_As,MATCH(C178,Bar_No,0))*L178/1000</f>
      </c>
      <c r="N178" s="17">
        <f>M178*INDEX(Bar_Y,MATCH(C178,Bar_No,0))/1000</f>
      </c>
      <c r="O178" s="17">
        <f>M178*INDEX(Bar_X,MATCH(C178,Bar_No,0))/1000</f>
      </c>
    </row>
    <row r="179" spans="2:15" x14ac:dyDescent="0.25">
      <c r="B179">
        <v>10</v>
      </c>
      <c r="C179">
        <v>12</v>
      </c>
      <c r="D179" s="17">
        <f>INDEX(Blk_c,MATCH(B179,Blk_St,0))</f>
      </c>
      <c r="E179" s="17">
        <f>INDEX(Bar_U,MATCH(C179,Bar_No,0))</f>
      </c>
      <c r="F179" s="17">
        <f>u_max-E179</f>
      </c>
      <c r="G179" s="20">
        <f>ecu*(1-F179/D179)</f>
      </c>
      <c r="H179" s="20">
        <f>MAX(0,-G179)</f>
      </c>
      <c r="I179" s="17">
        <f>MAX(MIN(Es*G179,fy),-fy)</f>
      </c>
      <c r="J179">
        <f>IF(E179&gt;=u_max-beta_1*D179-blk_tol,1,0)</f>
      </c>
      <c r="K179" s="17">
        <f>J179*sig_blk</f>
      </c>
      <c r="L179" s="17">
        <f>I179-K179</f>
      </c>
      <c r="M179" s="17">
        <f>INDEX(Bar_As,MATCH(C179,Bar_No,0))*L179/1000</f>
      </c>
      <c r="N179" s="17">
        <f>M179*INDEX(Bar_Y,MATCH(C179,Bar_No,0))/1000</f>
      </c>
      <c r="O179" s="17">
        <f>M179*INDEX(Bar_X,MATCH(C179,Bar_No,0))/1000</f>
      </c>
    </row>
    <row r="180" spans="2:15" x14ac:dyDescent="0.25">
      <c r="B180">
        <v>10</v>
      </c>
      <c r="C180">
        <v>13</v>
      </c>
      <c r="D180" s="17">
        <f>INDEX(Blk_c,MATCH(B180,Blk_St,0))</f>
      </c>
      <c r="E180" s="17">
        <f>INDEX(Bar_U,MATCH(C180,Bar_No,0))</f>
      </c>
      <c r="F180" s="17">
        <f>u_max-E180</f>
      </c>
      <c r="G180" s="20">
        <f>ecu*(1-F180/D180)</f>
      </c>
      <c r="H180" s="20">
        <f>MAX(0,-G180)</f>
      </c>
      <c r="I180" s="17">
        <f>MAX(MIN(Es*G180,fy),-fy)</f>
      </c>
      <c r="J180">
        <f>IF(E180&gt;=u_max-beta_1*D180-blk_tol,1,0)</f>
      </c>
      <c r="K180" s="17">
        <f>J180*sig_blk</f>
      </c>
      <c r="L180" s="17">
        <f>I180-K180</f>
      </c>
      <c r="M180" s="17">
        <f>INDEX(Bar_As,MATCH(C180,Bar_No,0))*L180/1000</f>
      </c>
      <c r="N180" s="17">
        <f>M180*INDEX(Bar_Y,MATCH(C180,Bar_No,0))/1000</f>
      </c>
      <c r="O180" s="17">
        <f>M180*INDEX(Bar_X,MATCH(C180,Bar_No,0))/1000</f>
      </c>
    </row>
    <row r="181" spans="2:15" x14ac:dyDescent="0.25">
      <c r="B181">
        <v>10</v>
      </c>
      <c r="C181">
        <v>14</v>
      </c>
      <c r="D181" s="17">
        <f>INDEX(Blk_c,MATCH(B181,Blk_St,0))</f>
      </c>
      <c r="E181" s="17">
        <f>INDEX(Bar_U,MATCH(C181,Bar_No,0))</f>
      </c>
      <c r="F181" s="17">
        <f>u_max-E181</f>
      </c>
      <c r="G181" s="20">
        <f>ecu*(1-F181/D181)</f>
      </c>
      <c r="H181" s="20">
        <f>MAX(0,-G181)</f>
      </c>
      <c r="I181" s="17">
        <f>MAX(MIN(Es*G181,fy),-fy)</f>
      </c>
      <c r="J181">
        <f>IF(E181&gt;=u_max-beta_1*D181-blk_tol,1,0)</f>
      </c>
      <c r="K181" s="17">
        <f>J181*sig_blk</f>
      </c>
      <c r="L181" s="17">
        <f>I181-K181</f>
      </c>
      <c r="M181" s="17">
        <f>INDEX(Bar_As,MATCH(C181,Bar_No,0))*L181/1000</f>
      </c>
      <c r="N181" s="17">
        <f>M181*INDEX(Bar_Y,MATCH(C181,Bar_No,0))/1000</f>
      </c>
      <c r="O181" s="17">
        <f>M181*INDEX(Bar_X,MATCH(C181,Bar_No,0))/1000</f>
      </c>
    </row>
    <row r="182" spans="2:15" x14ac:dyDescent="0.25">
      <c r="B182">
        <v>10</v>
      </c>
      <c r="C182">
        <v>15</v>
      </c>
      <c r="D182" s="17">
        <f>INDEX(Blk_c,MATCH(B182,Blk_St,0))</f>
      </c>
      <c r="E182" s="17">
        <f>INDEX(Bar_U,MATCH(C182,Bar_No,0))</f>
      </c>
      <c r="F182" s="17">
        <f>u_max-E182</f>
      </c>
      <c r="G182" s="20">
        <f>ecu*(1-F182/D182)</f>
      </c>
      <c r="H182" s="20">
        <f>MAX(0,-G182)</f>
      </c>
      <c r="I182" s="17">
        <f>MAX(MIN(Es*G182,fy),-fy)</f>
      </c>
      <c r="J182">
        <f>IF(E182&gt;=u_max-beta_1*D182-blk_tol,1,0)</f>
      </c>
      <c r="K182" s="17">
        <f>J182*sig_blk</f>
      </c>
      <c r="L182" s="17">
        <f>I182-K182</f>
      </c>
      <c r="M182" s="17">
        <f>INDEX(Bar_As,MATCH(C182,Bar_No,0))*L182/1000</f>
      </c>
      <c r="N182" s="17">
        <f>M182*INDEX(Bar_Y,MATCH(C182,Bar_No,0))/1000</f>
      </c>
      <c r="O182" s="17">
        <f>M182*INDEX(Bar_X,MATCH(C182,Bar_No,0))/1000</f>
      </c>
    </row>
    <row r="183" spans="2:15" x14ac:dyDescent="0.25">
      <c r="B183">
        <v>10</v>
      </c>
      <c r="C183">
        <v>16</v>
      </c>
      <c r="D183" s="17">
        <f>INDEX(Blk_c,MATCH(B183,Blk_St,0))</f>
      </c>
      <c r="E183" s="17">
        <f>INDEX(Bar_U,MATCH(C183,Bar_No,0))</f>
      </c>
      <c r="F183" s="17">
        <f>u_max-E183</f>
      </c>
      <c r="G183" s="20">
        <f>ecu*(1-F183/D183)</f>
      </c>
      <c r="H183" s="20">
        <f>MAX(0,-G183)</f>
      </c>
      <c r="I183" s="17">
        <f>MAX(MIN(Es*G183,fy),-fy)</f>
      </c>
      <c r="J183">
        <f>IF(E183&gt;=u_max-beta_1*D183-blk_tol,1,0)</f>
      </c>
      <c r="K183" s="17">
        <f>J183*sig_blk</f>
      </c>
      <c r="L183" s="17">
        <f>I183-K183</f>
      </c>
      <c r="M183" s="17">
        <f>INDEX(Bar_As,MATCH(C183,Bar_No,0))*L183/1000</f>
      </c>
      <c r="N183" s="17">
        <f>M183*INDEX(Bar_Y,MATCH(C183,Bar_No,0))/1000</f>
      </c>
      <c r="O183" s="17">
        <f>M183*INDEX(Bar_X,MATCH(C183,Bar_No,0))/1000</f>
      </c>
    </row>
    <row r="184" spans="2:15" x14ac:dyDescent="0.25">
      <c r="B184">
        <v>10</v>
      </c>
      <c r="C184">
        <v>17</v>
      </c>
      <c r="D184" s="17">
        <f>INDEX(Blk_c,MATCH(B184,Blk_St,0))</f>
      </c>
      <c r="E184" s="17">
        <f>INDEX(Bar_U,MATCH(C184,Bar_No,0))</f>
      </c>
      <c r="F184" s="17">
        <f>u_max-E184</f>
      </c>
      <c r="G184" s="20">
        <f>ecu*(1-F184/D184)</f>
      </c>
      <c r="H184" s="20">
        <f>MAX(0,-G184)</f>
      </c>
      <c r="I184" s="17">
        <f>MAX(MIN(Es*G184,fy),-fy)</f>
      </c>
      <c r="J184">
        <f>IF(E184&gt;=u_max-beta_1*D184-blk_tol,1,0)</f>
      </c>
      <c r="K184" s="17">
        <f>J184*sig_blk</f>
      </c>
      <c r="L184" s="17">
        <f>I184-K184</f>
      </c>
      <c r="M184" s="17">
        <f>INDEX(Bar_As,MATCH(C184,Bar_No,0))*L184/1000</f>
      </c>
      <c r="N184" s="17">
        <f>M184*INDEX(Bar_Y,MATCH(C184,Bar_No,0))/1000</f>
      </c>
      <c r="O184" s="17">
        <f>M184*INDEX(Bar_X,MATCH(C184,Bar_No,0))/1000</f>
      </c>
    </row>
    <row r="185" spans="2:15" x14ac:dyDescent="0.25">
      <c r="B185">
        <v>10</v>
      </c>
      <c r="C185">
        <v>18</v>
      </c>
      <c r="D185" s="17">
        <f>INDEX(Blk_c,MATCH(B185,Blk_St,0))</f>
      </c>
      <c r="E185" s="17">
        <f>INDEX(Bar_U,MATCH(C185,Bar_No,0))</f>
      </c>
      <c r="F185" s="17">
        <f>u_max-E185</f>
      </c>
      <c r="G185" s="20">
        <f>ecu*(1-F185/D185)</f>
      </c>
      <c r="H185" s="20">
        <f>MAX(0,-G185)</f>
      </c>
      <c r="I185" s="17">
        <f>MAX(MIN(Es*G185,fy),-fy)</f>
      </c>
      <c r="J185">
        <f>IF(E185&gt;=u_max-beta_1*D185-blk_tol,1,0)</f>
      </c>
      <c r="K185" s="17">
        <f>J185*sig_blk</f>
      </c>
      <c r="L185" s="17">
        <f>I185-K185</f>
      </c>
      <c r="M185" s="17">
        <f>INDEX(Bar_As,MATCH(C185,Bar_No,0))*L185/1000</f>
      </c>
      <c r="N185" s="17">
        <f>M185*INDEX(Bar_Y,MATCH(C185,Bar_No,0))/1000</f>
      </c>
      <c r="O185" s="17">
        <f>M185*INDEX(Bar_X,MATCH(C185,Bar_No,0))/1000</f>
      </c>
    </row>
    <row r="186" spans="2:15" x14ac:dyDescent="0.25">
      <c r="B186">
        <v>11</v>
      </c>
      <c r="C186">
        <v>1</v>
      </c>
      <c r="D186" s="17">
        <f>INDEX(Blk_c,MATCH(B186,Blk_St,0))</f>
      </c>
      <c r="E186" s="17">
        <f>INDEX(Bar_U,MATCH(C186,Bar_No,0))</f>
      </c>
      <c r="F186" s="17">
        <f>u_max-E186</f>
      </c>
      <c r="G186" s="20">
        <f>ecu*(1-F186/D186)</f>
      </c>
      <c r="H186" s="20">
        <f>MAX(0,-G186)</f>
      </c>
      <c r="I186" s="17">
        <f>MAX(MIN(Es*G186,fy),-fy)</f>
      </c>
      <c r="J186">
        <f>IF(E186&gt;=u_max-beta_1*D186-blk_tol,1,0)</f>
      </c>
      <c r="K186" s="17">
        <f>J186*sig_blk</f>
      </c>
      <c r="L186" s="17">
        <f>I186-K186</f>
      </c>
      <c r="M186" s="17">
        <f>INDEX(Bar_As,MATCH(C186,Bar_No,0))*L186/1000</f>
      </c>
      <c r="N186" s="17">
        <f>M186*INDEX(Bar_Y,MATCH(C186,Bar_No,0))/1000</f>
      </c>
      <c r="O186" s="17">
        <f>M186*INDEX(Bar_X,MATCH(C186,Bar_No,0))/1000</f>
      </c>
    </row>
    <row r="187" spans="2:15" x14ac:dyDescent="0.25">
      <c r="B187">
        <v>11</v>
      </c>
      <c r="C187">
        <v>2</v>
      </c>
      <c r="D187" s="17">
        <f>INDEX(Blk_c,MATCH(B187,Blk_St,0))</f>
      </c>
      <c r="E187" s="17">
        <f>INDEX(Bar_U,MATCH(C187,Bar_No,0))</f>
      </c>
      <c r="F187" s="17">
        <f>u_max-E187</f>
      </c>
      <c r="G187" s="20">
        <f>ecu*(1-F187/D187)</f>
      </c>
      <c r="H187" s="20">
        <f>MAX(0,-G187)</f>
      </c>
      <c r="I187" s="17">
        <f>MAX(MIN(Es*G187,fy),-fy)</f>
      </c>
      <c r="J187">
        <f>IF(E187&gt;=u_max-beta_1*D187-blk_tol,1,0)</f>
      </c>
      <c r="K187" s="17">
        <f>J187*sig_blk</f>
      </c>
      <c r="L187" s="17">
        <f>I187-K187</f>
      </c>
      <c r="M187" s="17">
        <f>INDEX(Bar_As,MATCH(C187,Bar_No,0))*L187/1000</f>
      </c>
      <c r="N187" s="17">
        <f>M187*INDEX(Bar_Y,MATCH(C187,Bar_No,0))/1000</f>
      </c>
      <c r="O187" s="17">
        <f>M187*INDEX(Bar_X,MATCH(C187,Bar_No,0))/1000</f>
      </c>
    </row>
    <row r="188" spans="2:15" x14ac:dyDescent="0.25">
      <c r="B188">
        <v>11</v>
      </c>
      <c r="C188">
        <v>3</v>
      </c>
      <c r="D188" s="17">
        <f>INDEX(Blk_c,MATCH(B188,Blk_St,0))</f>
      </c>
      <c r="E188" s="17">
        <f>INDEX(Bar_U,MATCH(C188,Bar_No,0))</f>
      </c>
      <c r="F188" s="17">
        <f>u_max-E188</f>
      </c>
      <c r="G188" s="20">
        <f>ecu*(1-F188/D188)</f>
      </c>
      <c r="H188" s="20">
        <f>MAX(0,-G188)</f>
      </c>
      <c r="I188" s="17">
        <f>MAX(MIN(Es*G188,fy),-fy)</f>
      </c>
      <c r="J188">
        <f>IF(E188&gt;=u_max-beta_1*D188-blk_tol,1,0)</f>
      </c>
      <c r="K188" s="17">
        <f>J188*sig_blk</f>
      </c>
      <c r="L188" s="17">
        <f>I188-K188</f>
      </c>
      <c r="M188" s="17">
        <f>INDEX(Bar_As,MATCH(C188,Bar_No,0))*L188/1000</f>
      </c>
      <c r="N188" s="17">
        <f>M188*INDEX(Bar_Y,MATCH(C188,Bar_No,0))/1000</f>
      </c>
      <c r="O188" s="17">
        <f>M188*INDEX(Bar_X,MATCH(C188,Bar_No,0))/1000</f>
      </c>
    </row>
    <row r="189" spans="2:15" x14ac:dyDescent="0.25">
      <c r="B189">
        <v>11</v>
      </c>
      <c r="C189">
        <v>4</v>
      </c>
      <c r="D189" s="17">
        <f>INDEX(Blk_c,MATCH(B189,Blk_St,0))</f>
      </c>
      <c r="E189" s="17">
        <f>INDEX(Bar_U,MATCH(C189,Bar_No,0))</f>
      </c>
      <c r="F189" s="17">
        <f>u_max-E189</f>
      </c>
      <c r="G189" s="20">
        <f>ecu*(1-F189/D189)</f>
      </c>
      <c r="H189" s="20">
        <f>MAX(0,-G189)</f>
      </c>
      <c r="I189" s="17">
        <f>MAX(MIN(Es*G189,fy),-fy)</f>
      </c>
      <c r="J189">
        <f>IF(E189&gt;=u_max-beta_1*D189-blk_tol,1,0)</f>
      </c>
      <c r="K189" s="17">
        <f>J189*sig_blk</f>
      </c>
      <c r="L189" s="17">
        <f>I189-K189</f>
      </c>
      <c r="M189" s="17">
        <f>INDEX(Bar_As,MATCH(C189,Bar_No,0))*L189/1000</f>
      </c>
      <c r="N189" s="17">
        <f>M189*INDEX(Bar_Y,MATCH(C189,Bar_No,0))/1000</f>
      </c>
      <c r="O189" s="17">
        <f>M189*INDEX(Bar_X,MATCH(C189,Bar_No,0))/1000</f>
      </c>
    </row>
    <row r="190" spans="2:15" x14ac:dyDescent="0.25">
      <c r="B190">
        <v>11</v>
      </c>
      <c r="C190">
        <v>5</v>
      </c>
      <c r="D190" s="17">
        <f>INDEX(Blk_c,MATCH(B190,Blk_St,0))</f>
      </c>
      <c r="E190" s="17">
        <f>INDEX(Bar_U,MATCH(C190,Bar_No,0))</f>
      </c>
      <c r="F190" s="17">
        <f>u_max-E190</f>
      </c>
      <c r="G190" s="20">
        <f>ecu*(1-F190/D190)</f>
      </c>
      <c r="H190" s="20">
        <f>MAX(0,-G190)</f>
      </c>
      <c r="I190" s="17">
        <f>MAX(MIN(Es*G190,fy),-fy)</f>
      </c>
      <c r="J190">
        <f>IF(E190&gt;=u_max-beta_1*D190-blk_tol,1,0)</f>
      </c>
      <c r="K190" s="17">
        <f>J190*sig_blk</f>
      </c>
      <c r="L190" s="17">
        <f>I190-K190</f>
      </c>
      <c r="M190" s="17">
        <f>INDEX(Bar_As,MATCH(C190,Bar_No,0))*L190/1000</f>
      </c>
      <c r="N190" s="17">
        <f>M190*INDEX(Bar_Y,MATCH(C190,Bar_No,0))/1000</f>
      </c>
      <c r="O190" s="17">
        <f>M190*INDEX(Bar_X,MATCH(C190,Bar_No,0))/1000</f>
      </c>
    </row>
    <row r="191" spans="2:15" x14ac:dyDescent="0.25">
      <c r="B191">
        <v>11</v>
      </c>
      <c r="C191">
        <v>6</v>
      </c>
      <c r="D191" s="17">
        <f>INDEX(Blk_c,MATCH(B191,Blk_St,0))</f>
      </c>
      <c r="E191" s="17">
        <f>INDEX(Bar_U,MATCH(C191,Bar_No,0))</f>
      </c>
      <c r="F191" s="17">
        <f>u_max-E191</f>
      </c>
      <c r="G191" s="20">
        <f>ecu*(1-F191/D191)</f>
      </c>
      <c r="H191" s="20">
        <f>MAX(0,-G191)</f>
      </c>
      <c r="I191" s="17">
        <f>MAX(MIN(Es*G191,fy),-fy)</f>
      </c>
      <c r="J191">
        <f>IF(E191&gt;=u_max-beta_1*D191-blk_tol,1,0)</f>
      </c>
      <c r="K191" s="17">
        <f>J191*sig_blk</f>
      </c>
      <c r="L191" s="17">
        <f>I191-K191</f>
      </c>
      <c r="M191" s="17">
        <f>INDEX(Bar_As,MATCH(C191,Bar_No,0))*L191/1000</f>
      </c>
      <c r="N191" s="17">
        <f>M191*INDEX(Bar_Y,MATCH(C191,Bar_No,0))/1000</f>
      </c>
      <c r="O191" s="17">
        <f>M191*INDEX(Bar_X,MATCH(C191,Bar_No,0))/1000</f>
      </c>
    </row>
    <row r="192" spans="2:15" x14ac:dyDescent="0.25">
      <c r="B192">
        <v>11</v>
      </c>
      <c r="C192">
        <v>7</v>
      </c>
      <c r="D192" s="17">
        <f>INDEX(Blk_c,MATCH(B192,Blk_St,0))</f>
      </c>
      <c r="E192" s="17">
        <f>INDEX(Bar_U,MATCH(C192,Bar_No,0))</f>
      </c>
      <c r="F192" s="17">
        <f>u_max-E192</f>
      </c>
      <c r="G192" s="20">
        <f>ecu*(1-F192/D192)</f>
      </c>
      <c r="H192" s="20">
        <f>MAX(0,-G192)</f>
      </c>
      <c r="I192" s="17">
        <f>MAX(MIN(Es*G192,fy),-fy)</f>
      </c>
      <c r="J192">
        <f>IF(E192&gt;=u_max-beta_1*D192-blk_tol,1,0)</f>
      </c>
      <c r="K192" s="17">
        <f>J192*sig_blk</f>
      </c>
      <c r="L192" s="17">
        <f>I192-K192</f>
      </c>
      <c r="M192" s="17">
        <f>INDEX(Bar_As,MATCH(C192,Bar_No,0))*L192/1000</f>
      </c>
      <c r="N192" s="17">
        <f>M192*INDEX(Bar_Y,MATCH(C192,Bar_No,0))/1000</f>
      </c>
      <c r="O192" s="17">
        <f>M192*INDEX(Bar_X,MATCH(C192,Bar_No,0))/1000</f>
      </c>
    </row>
    <row r="193" spans="2:15" x14ac:dyDescent="0.25">
      <c r="B193">
        <v>11</v>
      </c>
      <c r="C193">
        <v>8</v>
      </c>
      <c r="D193" s="17">
        <f>INDEX(Blk_c,MATCH(B193,Blk_St,0))</f>
      </c>
      <c r="E193" s="17">
        <f>INDEX(Bar_U,MATCH(C193,Bar_No,0))</f>
      </c>
      <c r="F193" s="17">
        <f>u_max-E193</f>
      </c>
      <c r="G193" s="20">
        <f>ecu*(1-F193/D193)</f>
      </c>
      <c r="H193" s="20">
        <f>MAX(0,-G193)</f>
      </c>
      <c r="I193" s="17">
        <f>MAX(MIN(Es*G193,fy),-fy)</f>
      </c>
      <c r="J193">
        <f>IF(E193&gt;=u_max-beta_1*D193-blk_tol,1,0)</f>
      </c>
      <c r="K193" s="17">
        <f>J193*sig_blk</f>
      </c>
      <c r="L193" s="17">
        <f>I193-K193</f>
      </c>
      <c r="M193" s="17">
        <f>INDEX(Bar_As,MATCH(C193,Bar_No,0))*L193/1000</f>
      </c>
      <c r="N193" s="17">
        <f>M193*INDEX(Bar_Y,MATCH(C193,Bar_No,0))/1000</f>
      </c>
      <c r="O193" s="17">
        <f>M193*INDEX(Bar_X,MATCH(C193,Bar_No,0))/1000</f>
      </c>
    </row>
    <row r="194" spans="2:15" x14ac:dyDescent="0.25">
      <c r="B194">
        <v>11</v>
      </c>
      <c r="C194">
        <v>9</v>
      </c>
      <c r="D194" s="17">
        <f>INDEX(Blk_c,MATCH(B194,Blk_St,0))</f>
      </c>
      <c r="E194" s="17">
        <f>INDEX(Bar_U,MATCH(C194,Bar_No,0))</f>
      </c>
      <c r="F194" s="17">
        <f>u_max-E194</f>
      </c>
      <c r="G194" s="20">
        <f>ecu*(1-F194/D194)</f>
      </c>
      <c r="H194" s="20">
        <f>MAX(0,-G194)</f>
      </c>
      <c r="I194" s="17">
        <f>MAX(MIN(Es*G194,fy),-fy)</f>
      </c>
      <c r="J194">
        <f>IF(E194&gt;=u_max-beta_1*D194-blk_tol,1,0)</f>
      </c>
      <c r="K194" s="17">
        <f>J194*sig_blk</f>
      </c>
      <c r="L194" s="17">
        <f>I194-K194</f>
      </c>
      <c r="M194" s="17">
        <f>INDEX(Bar_As,MATCH(C194,Bar_No,0))*L194/1000</f>
      </c>
      <c r="N194" s="17">
        <f>M194*INDEX(Bar_Y,MATCH(C194,Bar_No,0))/1000</f>
      </c>
      <c r="O194" s="17">
        <f>M194*INDEX(Bar_X,MATCH(C194,Bar_No,0))/1000</f>
      </c>
    </row>
    <row r="195" spans="2:15" x14ac:dyDescent="0.25">
      <c r="B195">
        <v>11</v>
      </c>
      <c r="C195">
        <v>10</v>
      </c>
      <c r="D195" s="17">
        <f>INDEX(Blk_c,MATCH(B195,Blk_St,0))</f>
      </c>
      <c r="E195" s="17">
        <f>INDEX(Bar_U,MATCH(C195,Bar_No,0))</f>
      </c>
      <c r="F195" s="17">
        <f>u_max-E195</f>
      </c>
      <c r="G195" s="20">
        <f>ecu*(1-F195/D195)</f>
      </c>
      <c r="H195" s="20">
        <f>MAX(0,-G195)</f>
      </c>
      <c r="I195" s="17">
        <f>MAX(MIN(Es*G195,fy),-fy)</f>
      </c>
      <c r="J195">
        <f>IF(E195&gt;=u_max-beta_1*D195-blk_tol,1,0)</f>
      </c>
      <c r="K195" s="17">
        <f>J195*sig_blk</f>
      </c>
      <c r="L195" s="17">
        <f>I195-K195</f>
      </c>
      <c r="M195" s="17">
        <f>INDEX(Bar_As,MATCH(C195,Bar_No,0))*L195/1000</f>
      </c>
      <c r="N195" s="17">
        <f>M195*INDEX(Bar_Y,MATCH(C195,Bar_No,0))/1000</f>
      </c>
      <c r="O195" s="17">
        <f>M195*INDEX(Bar_X,MATCH(C195,Bar_No,0))/1000</f>
      </c>
    </row>
    <row r="196" spans="2:15" x14ac:dyDescent="0.25">
      <c r="B196">
        <v>11</v>
      </c>
      <c r="C196">
        <v>11</v>
      </c>
      <c r="D196" s="17">
        <f>INDEX(Blk_c,MATCH(B196,Blk_St,0))</f>
      </c>
      <c r="E196" s="17">
        <f>INDEX(Bar_U,MATCH(C196,Bar_No,0))</f>
      </c>
      <c r="F196" s="17">
        <f>u_max-E196</f>
      </c>
      <c r="G196" s="20">
        <f>ecu*(1-F196/D196)</f>
      </c>
      <c r="H196" s="20">
        <f>MAX(0,-G196)</f>
      </c>
      <c r="I196" s="17">
        <f>MAX(MIN(Es*G196,fy),-fy)</f>
      </c>
      <c r="J196">
        <f>IF(E196&gt;=u_max-beta_1*D196-blk_tol,1,0)</f>
      </c>
      <c r="K196" s="17">
        <f>J196*sig_blk</f>
      </c>
      <c r="L196" s="17">
        <f>I196-K196</f>
      </c>
      <c r="M196" s="17">
        <f>INDEX(Bar_As,MATCH(C196,Bar_No,0))*L196/1000</f>
      </c>
      <c r="N196" s="17">
        <f>M196*INDEX(Bar_Y,MATCH(C196,Bar_No,0))/1000</f>
      </c>
      <c r="O196" s="17">
        <f>M196*INDEX(Bar_X,MATCH(C196,Bar_No,0))/1000</f>
      </c>
    </row>
    <row r="197" spans="2:15" x14ac:dyDescent="0.25">
      <c r="B197">
        <v>11</v>
      </c>
      <c r="C197">
        <v>12</v>
      </c>
      <c r="D197" s="17">
        <f>INDEX(Blk_c,MATCH(B197,Blk_St,0))</f>
      </c>
      <c r="E197" s="17">
        <f>INDEX(Bar_U,MATCH(C197,Bar_No,0))</f>
      </c>
      <c r="F197" s="17">
        <f>u_max-E197</f>
      </c>
      <c r="G197" s="20">
        <f>ecu*(1-F197/D197)</f>
      </c>
      <c r="H197" s="20">
        <f>MAX(0,-G197)</f>
      </c>
      <c r="I197" s="17">
        <f>MAX(MIN(Es*G197,fy),-fy)</f>
      </c>
      <c r="J197">
        <f>IF(E197&gt;=u_max-beta_1*D197-blk_tol,1,0)</f>
      </c>
      <c r="K197" s="17">
        <f>J197*sig_blk</f>
      </c>
      <c r="L197" s="17">
        <f>I197-K197</f>
      </c>
      <c r="M197" s="17">
        <f>INDEX(Bar_As,MATCH(C197,Bar_No,0))*L197/1000</f>
      </c>
      <c r="N197" s="17">
        <f>M197*INDEX(Bar_Y,MATCH(C197,Bar_No,0))/1000</f>
      </c>
      <c r="O197" s="17">
        <f>M197*INDEX(Bar_X,MATCH(C197,Bar_No,0))/1000</f>
      </c>
    </row>
    <row r="198" spans="2:15" x14ac:dyDescent="0.25">
      <c r="B198">
        <v>11</v>
      </c>
      <c r="C198">
        <v>13</v>
      </c>
      <c r="D198" s="17">
        <f>INDEX(Blk_c,MATCH(B198,Blk_St,0))</f>
      </c>
      <c r="E198" s="17">
        <f>INDEX(Bar_U,MATCH(C198,Bar_No,0))</f>
      </c>
      <c r="F198" s="17">
        <f>u_max-E198</f>
      </c>
      <c r="G198" s="20">
        <f>ecu*(1-F198/D198)</f>
      </c>
      <c r="H198" s="20">
        <f>MAX(0,-G198)</f>
      </c>
      <c r="I198" s="17">
        <f>MAX(MIN(Es*G198,fy),-fy)</f>
      </c>
      <c r="J198">
        <f>IF(E198&gt;=u_max-beta_1*D198-blk_tol,1,0)</f>
      </c>
      <c r="K198" s="17">
        <f>J198*sig_blk</f>
      </c>
      <c r="L198" s="17">
        <f>I198-K198</f>
      </c>
      <c r="M198" s="17">
        <f>INDEX(Bar_As,MATCH(C198,Bar_No,0))*L198/1000</f>
      </c>
      <c r="N198" s="17">
        <f>M198*INDEX(Bar_Y,MATCH(C198,Bar_No,0))/1000</f>
      </c>
      <c r="O198" s="17">
        <f>M198*INDEX(Bar_X,MATCH(C198,Bar_No,0))/1000</f>
      </c>
    </row>
    <row r="199" spans="2:15" x14ac:dyDescent="0.25">
      <c r="B199">
        <v>11</v>
      </c>
      <c r="C199">
        <v>14</v>
      </c>
      <c r="D199" s="17">
        <f>INDEX(Blk_c,MATCH(B199,Blk_St,0))</f>
      </c>
      <c r="E199" s="17">
        <f>INDEX(Bar_U,MATCH(C199,Bar_No,0))</f>
      </c>
      <c r="F199" s="17">
        <f>u_max-E199</f>
      </c>
      <c r="G199" s="20">
        <f>ecu*(1-F199/D199)</f>
      </c>
      <c r="H199" s="20">
        <f>MAX(0,-G199)</f>
      </c>
      <c r="I199" s="17">
        <f>MAX(MIN(Es*G199,fy),-fy)</f>
      </c>
      <c r="J199">
        <f>IF(E199&gt;=u_max-beta_1*D199-blk_tol,1,0)</f>
      </c>
      <c r="K199" s="17">
        <f>J199*sig_blk</f>
      </c>
      <c r="L199" s="17">
        <f>I199-K199</f>
      </c>
      <c r="M199" s="17">
        <f>INDEX(Bar_As,MATCH(C199,Bar_No,0))*L199/1000</f>
      </c>
      <c r="N199" s="17">
        <f>M199*INDEX(Bar_Y,MATCH(C199,Bar_No,0))/1000</f>
      </c>
      <c r="O199" s="17">
        <f>M199*INDEX(Bar_X,MATCH(C199,Bar_No,0))/1000</f>
      </c>
    </row>
    <row r="200" spans="2:15" x14ac:dyDescent="0.25">
      <c r="B200">
        <v>11</v>
      </c>
      <c r="C200">
        <v>15</v>
      </c>
      <c r="D200" s="17">
        <f>INDEX(Blk_c,MATCH(B200,Blk_St,0))</f>
      </c>
      <c r="E200" s="17">
        <f>INDEX(Bar_U,MATCH(C200,Bar_No,0))</f>
      </c>
      <c r="F200" s="17">
        <f>u_max-E200</f>
      </c>
      <c r="G200" s="20">
        <f>ecu*(1-F200/D200)</f>
      </c>
      <c r="H200" s="20">
        <f>MAX(0,-G200)</f>
      </c>
      <c r="I200" s="17">
        <f>MAX(MIN(Es*G200,fy),-fy)</f>
      </c>
      <c r="J200">
        <f>IF(E200&gt;=u_max-beta_1*D200-blk_tol,1,0)</f>
      </c>
      <c r="K200" s="17">
        <f>J200*sig_blk</f>
      </c>
      <c r="L200" s="17">
        <f>I200-K200</f>
      </c>
      <c r="M200" s="17">
        <f>INDEX(Bar_As,MATCH(C200,Bar_No,0))*L200/1000</f>
      </c>
      <c r="N200" s="17">
        <f>M200*INDEX(Bar_Y,MATCH(C200,Bar_No,0))/1000</f>
      </c>
      <c r="O200" s="17">
        <f>M200*INDEX(Bar_X,MATCH(C200,Bar_No,0))/1000</f>
      </c>
    </row>
    <row r="201" spans="2:15" x14ac:dyDescent="0.25">
      <c r="B201">
        <v>11</v>
      </c>
      <c r="C201">
        <v>16</v>
      </c>
      <c r="D201" s="17">
        <f>INDEX(Blk_c,MATCH(B201,Blk_St,0))</f>
      </c>
      <c r="E201" s="17">
        <f>INDEX(Bar_U,MATCH(C201,Bar_No,0))</f>
      </c>
      <c r="F201" s="17">
        <f>u_max-E201</f>
      </c>
      <c r="G201" s="20">
        <f>ecu*(1-F201/D201)</f>
      </c>
      <c r="H201" s="20">
        <f>MAX(0,-G201)</f>
      </c>
      <c r="I201" s="17">
        <f>MAX(MIN(Es*G201,fy),-fy)</f>
      </c>
      <c r="J201">
        <f>IF(E201&gt;=u_max-beta_1*D201-blk_tol,1,0)</f>
      </c>
      <c r="K201" s="17">
        <f>J201*sig_blk</f>
      </c>
      <c r="L201" s="17">
        <f>I201-K201</f>
      </c>
      <c r="M201" s="17">
        <f>INDEX(Bar_As,MATCH(C201,Bar_No,0))*L201/1000</f>
      </c>
      <c r="N201" s="17">
        <f>M201*INDEX(Bar_Y,MATCH(C201,Bar_No,0))/1000</f>
      </c>
      <c r="O201" s="17">
        <f>M201*INDEX(Bar_X,MATCH(C201,Bar_No,0))/1000</f>
      </c>
    </row>
    <row r="202" spans="2:15" x14ac:dyDescent="0.25">
      <c r="B202">
        <v>11</v>
      </c>
      <c r="C202">
        <v>17</v>
      </c>
      <c r="D202" s="17">
        <f>INDEX(Blk_c,MATCH(B202,Blk_St,0))</f>
      </c>
      <c r="E202" s="17">
        <f>INDEX(Bar_U,MATCH(C202,Bar_No,0))</f>
      </c>
      <c r="F202" s="17">
        <f>u_max-E202</f>
      </c>
      <c r="G202" s="20">
        <f>ecu*(1-F202/D202)</f>
      </c>
      <c r="H202" s="20">
        <f>MAX(0,-G202)</f>
      </c>
      <c r="I202" s="17">
        <f>MAX(MIN(Es*G202,fy),-fy)</f>
      </c>
      <c r="J202">
        <f>IF(E202&gt;=u_max-beta_1*D202-blk_tol,1,0)</f>
      </c>
      <c r="K202" s="17">
        <f>J202*sig_blk</f>
      </c>
      <c r="L202" s="17">
        <f>I202-K202</f>
      </c>
      <c r="M202" s="17">
        <f>INDEX(Bar_As,MATCH(C202,Bar_No,0))*L202/1000</f>
      </c>
      <c r="N202" s="17">
        <f>M202*INDEX(Bar_Y,MATCH(C202,Bar_No,0))/1000</f>
      </c>
      <c r="O202" s="17">
        <f>M202*INDEX(Bar_X,MATCH(C202,Bar_No,0))/1000</f>
      </c>
    </row>
    <row r="203" spans="2:15" x14ac:dyDescent="0.25">
      <c r="B203">
        <v>11</v>
      </c>
      <c r="C203">
        <v>18</v>
      </c>
      <c r="D203" s="17">
        <f>INDEX(Blk_c,MATCH(B203,Blk_St,0))</f>
      </c>
      <c r="E203" s="17">
        <f>INDEX(Bar_U,MATCH(C203,Bar_No,0))</f>
      </c>
      <c r="F203" s="17">
        <f>u_max-E203</f>
      </c>
      <c r="G203" s="20">
        <f>ecu*(1-F203/D203)</f>
      </c>
      <c r="H203" s="20">
        <f>MAX(0,-G203)</f>
      </c>
      <c r="I203" s="17">
        <f>MAX(MIN(Es*G203,fy),-fy)</f>
      </c>
      <c r="J203">
        <f>IF(E203&gt;=u_max-beta_1*D203-blk_tol,1,0)</f>
      </c>
      <c r="K203" s="17">
        <f>J203*sig_blk</f>
      </c>
      <c r="L203" s="17">
        <f>I203-K203</f>
      </c>
      <c r="M203" s="17">
        <f>INDEX(Bar_As,MATCH(C203,Bar_No,0))*L203/1000</f>
      </c>
      <c r="N203" s="17">
        <f>M203*INDEX(Bar_Y,MATCH(C203,Bar_No,0))/1000</f>
      </c>
      <c r="O203" s="17">
        <f>M203*INDEX(Bar_X,MATCH(C203,Bar_No,0))/1000</f>
      </c>
    </row>
    <row r="204" spans="2:15" x14ac:dyDescent="0.25">
      <c r="B204">
        <v>12</v>
      </c>
      <c r="C204">
        <v>1</v>
      </c>
      <c r="D204" s="17">
        <f>INDEX(Blk_c,MATCH(B204,Blk_St,0))</f>
      </c>
      <c r="E204" s="17">
        <f>INDEX(Bar_U,MATCH(C204,Bar_No,0))</f>
      </c>
      <c r="F204" s="17">
        <f>u_max-E204</f>
      </c>
      <c r="G204" s="20">
        <f>ecu*(1-F204/D204)</f>
      </c>
      <c r="H204" s="20">
        <f>MAX(0,-G204)</f>
      </c>
      <c r="I204" s="17">
        <f>MAX(MIN(Es*G204,fy),-fy)</f>
      </c>
      <c r="J204">
        <f>IF(E204&gt;=u_max-beta_1*D204-blk_tol,1,0)</f>
      </c>
      <c r="K204" s="17">
        <f>J204*sig_blk</f>
      </c>
      <c r="L204" s="17">
        <f>I204-K204</f>
      </c>
      <c r="M204" s="17">
        <f>INDEX(Bar_As,MATCH(C204,Bar_No,0))*L204/1000</f>
      </c>
      <c r="N204" s="17">
        <f>M204*INDEX(Bar_Y,MATCH(C204,Bar_No,0))/1000</f>
      </c>
      <c r="O204" s="17">
        <f>M204*INDEX(Bar_X,MATCH(C204,Bar_No,0))/1000</f>
      </c>
    </row>
    <row r="205" spans="2:15" x14ac:dyDescent="0.25">
      <c r="B205">
        <v>12</v>
      </c>
      <c r="C205">
        <v>2</v>
      </c>
      <c r="D205" s="17">
        <f>INDEX(Blk_c,MATCH(B205,Blk_St,0))</f>
      </c>
      <c r="E205" s="17">
        <f>INDEX(Bar_U,MATCH(C205,Bar_No,0))</f>
      </c>
      <c r="F205" s="17">
        <f>u_max-E205</f>
      </c>
      <c r="G205" s="20">
        <f>ecu*(1-F205/D205)</f>
      </c>
      <c r="H205" s="20">
        <f>MAX(0,-G205)</f>
      </c>
      <c r="I205" s="17">
        <f>MAX(MIN(Es*G205,fy),-fy)</f>
      </c>
      <c r="J205">
        <f>IF(E205&gt;=u_max-beta_1*D205-blk_tol,1,0)</f>
      </c>
      <c r="K205" s="17">
        <f>J205*sig_blk</f>
      </c>
      <c r="L205" s="17">
        <f>I205-K205</f>
      </c>
      <c r="M205" s="17">
        <f>INDEX(Bar_As,MATCH(C205,Bar_No,0))*L205/1000</f>
      </c>
      <c r="N205" s="17">
        <f>M205*INDEX(Bar_Y,MATCH(C205,Bar_No,0))/1000</f>
      </c>
      <c r="O205" s="17">
        <f>M205*INDEX(Bar_X,MATCH(C205,Bar_No,0))/1000</f>
      </c>
    </row>
    <row r="206" spans="2:15" x14ac:dyDescent="0.25">
      <c r="B206">
        <v>12</v>
      </c>
      <c r="C206">
        <v>3</v>
      </c>
      <c r="D206" s="17">
        <f>INDEX(Blk_c,MATCH(B206,Blk_St,0))</f>
      </c>
      <c r="E206" s="17">
        <f>INDEX(Bar_U,MATCH(C206,Bar_No,0))</f>
      </c>
      <c r="F206" s="17">
        <f>u_max-E206</f>
      </c>
      <c r="G206" s="20">
        <f>ecu*(1-F206/D206)</f>
      </c>
      <c r="H206" s="20">
        <f>MAX(0,-G206)</f>
      </c>
      <c r="I206" s="17">
        <f>MAX(MIN(Es*G206,fy),-fy)</f>
      </c>
      <c r="J206">
        <f>IF(E206&gt;=u_max-beta_1*D206-blk_tol,1,0)</f>
      </c>
      <c r="K206" s="17">
        <f>J206*sig_blk</f>
      </c>
      <c r="L206" s="17">
        <f>I206-K206</f>
      </c>
      <c r="M206" s="17">
        <f>INDEX(Bar_As,MATCH(C206,Bar_No,0))*L206/1000</f>
      </c>
      <c r="N206" s="17">
        <f>M206*INDEX(Bar_Y,MATCH(C206,Bar_No,0))/1000</f>
      </c>
      <c r="O206" s="17">
        <f>M206*INDEX(Bar_X,MATCH(C206,Bar_No,0))/1000</f>
      </c>
    </row>
    <row r="207" spans="2:15" x14ac:dyDescent="0.25">
      <c r="B207">
        <v>12</v>
      </c>
      <c r="C207">
        <v>4</v>
      </c>
      <c r="D207" s="17">
        <f>INDEX(Blk_c,MATCH(B207,Blk_St,0))</f>
      </c>
      <c r="E207" s="17">
        <f>INDEX(Bar_U,MATCH(C207,Bar_No,0))</f>
      </c>
      <c r="F207" s="17">
        <f>u_max-E207</f>
      </c>
      <c r="G207" s="20">
        <f>ecu*(1-F207/D207)</f>
      </c>
      <c r="H207" s="20">
        <f>MAX(0,-G207)</f>
      </c>
      <c r="I207" s="17">
        <f>MAX(MIN(Es*G207,fy),-fy)</f>
      </c>
      <c r="J207">
        <f>IF(E207&gt;=u_max-beta_1*D207-blk_tol,1,0)</f>
      </c>
      <c r="K207" s="17">
        <f>J207*sig_blk</f>
      </c>
      <c r="L207" s="17">
        <f>I207-K207</f>
      </c>
      <c r="M207" s="17">
        <f>INDEX(Bar_As,MATCH(C207,Bar_No,0))*L207/1000</f>
      </c>
      <c r="N207" s="17">
        <f>M207*INDEX(Bar_Y,MATCH(C207,Bar_No,0))/1000</f>
      </c>
      <c r="O207" s="17">
        <f>M207*INDEX(Bar_X,MATCH(C207,Bar_No,0))/1000</f>
      </c>
    </row>
    <row r="208" spans="2:15" x14ac:dyDescent="0.25">
      <c r="B208">
        <v>12</v>
      </c>
      <c r="C208">
        <v>5</v>
      </c>
      <c r="D208" s="17">
        <f>INDEX(Blk_c,MATCH(B208,Blk_St,0))</f>
      </c>
      <c r="E208" s="17">
        <f>INDEX(Bar_U,MATCH(C208,Bar_No,0))</f>
      </c>
      <c r="F208" s="17">
        <f>u_max-E208</f>
      </c>
      <c r="G208" s="20">
        <f>ecu*(1-F208/D208)</f>
      </c>
      <c r="H208" s="20">
        <f>MAX(0,-G208)</f>
      </c>
      <c r="I208" s="17">
        <f>MAX(MIN(Es*G208,fy),-fy)</f>
      </c>
      <c r="J208">
        <f>IF(E208&gt;=u_max-beta_1*D208-blk_tol,1,0)</f>
      </c>
      <c r="K208" s="17">
        <f>J208*sig_blk</f>
      </c>
      <c r="L208" s="17">
        <f>I208-K208</f>
      </c>
      <c r="M208" s="17">
        <f>INDEX(Bar_As,MATCH(C208,Bar_No,0))*L208/1000</f>
      </c>
      <c r="N208" s="17">
        <f>M208*INDEX(Bar_Y,MATCH(C208,Bar_No,0))/1000</f>
      </c>
      <c r="O208" s="17">
        <f>M208*INDEX(Bar_X,MATCH(C208,Bar_No,0))/1000</f>
      </c>
    </row>
    <row r="209" spans="2:15" x14ac:dyDescent="0.25">
      <c r="B209">
        <v>12</v>
      </c>
      <c r="C209">
        <v>6</v>
      </c>
      <c r="D209" s="17">
        <f>INDEX(Blk_c,MATCH(B209,Blk_St,0))</f>
      </c>
      <c r="E209" s="17">
        <f>INDEX(Bar_U,MATCH(C209,Bar_No,0))</f>
      </c>
      <c r="F209" s="17">
        <f>u_max-E209</f>
      </c>
      <c r="G209" s="20">
        <f>ecu*(1-F209/D209)</f>
      </c>
      <c r="H209" s="20">
        <f>MAX(0,-G209)</f>
      </c>
      <c r="I209" s="17">
        <f>MAX(MIN(Es*G209,fy),-fy)</f>
      </c>
      <c r="J209">
        <f>IF(E209&gt;=u_max-beta_1*D209-blk_tol,1,0)</f>
      </c>
      <c r="K209" s="17">
        <f>J209*sig_blk</f>
      </c>
      <c r="L209" s="17">
        <f>I209-K209</f>
      </c>
      <c r="M209" s="17">
        <f>INDEX(Bar_As,MATCH(C209,Bar_No,0))*L209/1000</f>
      </c>
      <c r="N209" s="17">
        <f>M209*INDEX(Bar_Y,MATCH(C209,Bar_No,0))/1000</f>
      </c>
      <c r="O209" s="17">
        <f>M209*INDEX(Bar_X,MATCH(C209,Bar_No,0))/1000</f>
      </c>
    </row>
    <row r="210" spans="2:15" x14ac:dyDescent="0.25">
      <c r="B210">
        <v>12</v>
      </c>
      <c r="C210">
        <v>7</v>
      </c>
      <c r="D210" s="17">
        <f>INDEX(Blk_c,MATCH(B210,Blk_St,0))</f>
      </c>
      <c r="E210" s="17">
        <f>INDEX(Bar_U,MATCH(C210,Bar_No,0))</f>
      </c>
      <c r="F210" s="17">
        <f>u_max-E210</f>
      </c>
      <c r="G210" s="20">
        <f>ecu*(1-F210/D210)</f>
      </c>
      <c r="H210" s="20">
        <f>MAX(0,-G210)</f>
      </c>
      <c r="I210" s="17">
        <f>MAX(MIN(Es*G210,fy),-fy)</f>
      </c>
      <c r="J210">
        <f>IF(E210&gt;=u_max-beta_1*D210-blk_tol,1,0)</f>
      </c>
      <c r="K210" s="17">
        <f>J210*sig_blk</f>
      </c>
      <c r="L210" s="17">
        <f>I210-K210</f>
      </c>
      <c r="M210" s="17">
        <f>INDEX(Bar_As,MATCH(C210,Bar_No,0))*L210/1000</f>
      </c>
      <c r="N210" s="17">
        <f>M210*INDEX(Bar_Y,MATCH(C210,Bar_No,0))/1000</f>
      </c>
      <c r="O210" s="17">
        <f>M210*INDEX(Bar_X,MATCH(C210,Bar_No,0))/1000</f>
      </c>
    </row>
    <row r="211" spans="2:15" x14ac:dyDescent="0.25">
      <c r="B211">
        <v>12</v>
      </c>
      <c r="C211">
        <v>8</v>
      </c>
      <c r="D211" s="17">
        <f>INDEX(Blk_c,MATCH(B211,Blk_St,0))</f>
      </c>
      <c r="E211" s="17">
        <f>INDEX(Bar_U,MATCH(C211,Bar_No,0))</f>
      </c>
      <c r="F211" s="17">
        <f>u_max-E211</f>
      </c>
      <c r="G211" s="20">
        <f>ecu*(1-F211/D211)</f>
      </c>
      <c r="H211" s="20">
        <f>MAX(0,-G211)</f>
      </c>
      <c r="I211" s="17">
        <f>MAX(MIN(Es*G211,fy),-fy)</f>
      </c>
      <c r="J211">
        <f>IF(E211&gt;=u_max-beta_1*D211-blk_tol,1,0)</f>
      </c>
      <c r="K211" s="17">
        <f>J211*sig_blk</f>
      </c>
      <c r="L211" s="17">
        <f>I211-K211</f>
      </c>
      <c r="M211" s="17">
        <f>INDEX(Bar_As,MATCH(C211,Bar_No,0))*L211/1000</f>
      </c>
      <c r="N211" s="17">
        <f>M211*INDEX(Bar_Y,MATCH(C211,Bar_No,0))/1000</f>
      </c>
      <c r="O211" s="17">
        <f>M211*INDEX(Bar_X,MATCH(C211,Bar_No,0))/1000</f>
      </c>
    </row>
    <row r="212" spans="2:15" x14ac:dyDescent="0.25">
      <c r="B212">
        <v>12</v>
      </c>
      <c r="C212">
        <v>9</v>
      </c>
      <c r="D212" s="17">
        <f>INDEX(Blk_c,MATCH(B212,Blk_St,0))</f>
      </c>
      <c r="E212" s="17">
        <f>INDEX(Bar_U,MATCH(C212,Bar_No,0))</f>
      </c>
      <c r="F212" s="17">
        <f>u_max-E212</f>
      </c>
      <c r="G212" s="20">
        <f>ecu*(1-F212/D212)</f>
      </c>
      <c r="H212" s="20">
        <f>MAX(0,-G212)</f>
      </c>
      <c r="I212" s="17">
        <f>MAX(MIN(Es*G212,fy),-fy)</f>
      </c>
      <c r="J212">
        <f>IF(E212&gt;=u_max-beta_1*D212-blk_tol,1,0)</f>
      </c>
      <c r="K212" s="17">
        <f>J212*sig_blk</f>
      </c>
      <c r="L212" s="17">
        <f>I212-K212</f>
      </c>
      <c r="M212" s="17">
        <f>INDEX(Bar_As,MATCH(C212,Bar_No,0))*L212/1000</f>
      </c>
      <c r="N212" s="17">
        <f>M212*INDEX(Bar_Y,MATCH(C212,Bar_No,0))/1000</f>
      </c>
      <c r="O212" s="17">
        <f>M212*INDEX(Bar_X,MATCH(C212,Bar_No,0))/1000</f>
      </c>
    </row>
    <row r="213" spans="2:15" x14ac:dyDescent="0.25">
      <c r="B213">
        <v>12</v>
      </c>
      <c r="C213">
        <v>10</v>
      </c>
      <c r="D213" s="17">
        <f>INDEX(Blk_c,MATCH(B213,Blk_St,0))</f>
      </c>
      <c r="E213" s="17">
        <f>INDEX(Bar_U,MATCH(C213,Bar_No,0))</f>
      </c>
      <c r="F213" s="17">
        <f>u_max-E213</f>
      </c>
      <c r="G213" s="20">
        <f>ecu*(1-F213/D213)</f>
      </c>
      <c r="H213" s="20">
        <f>MAX(0,-G213)</f>
      </c>
      <c r="I213" s="17">
        <f>MAX(MIN(Es*G213,fy),-fy)</f>
      </c>
      <c r="J213">
        <f>IF(E213&gt;=u_max-beta_1*D213-blk_tol,1,0)</f>
      </c>
      <c r="K213" s="17">
        <f>J213*sig_blk</f>
      </c>
      <c r="L213" s="17">
        <f>I213-K213</f>
      </c>
      <c r="M213" s="17">
        <f>INDEX(Bar_As,MATCH(C213,Bar_No,0))*L213/1000</f>
      </c>
      <c r="N213" s="17">
        <f>M213*INDEX(Bar_Y,MATCH(C213,Bar_No,0))/1000</f>
      </c>
      <c r="O213" s="17">
        <f>M213*INDEX(Bar_X,MATCH(C213,Bar_No,0))/1000</f>
      </c>
    </row>
    <row r="214" spans="2:15" x14ac:dyDescent="0.25">
      <c r="B214">
        <v>12</v>
      </c>
      <c r="C214">
        <v>11</v>
      </c>
      <c r="D214" s="17">
        <f>INDEX(Blk_c,MATCH(B214,Blk_St,0))</f>
      </c>
      <c r="E214" s="17">
        <f>INDEX(Bar_U,MATCH(C214,Bar_No,0))</f>
      </c>
      <c r="F214" s="17">
        <f>u_max-E214</f>
      </c>
      <c r="G214" s="20">
        <f>ecu*(1-F214/D214)</f>
      </c>
      <c r="H214" s="20">
        <f>MAX(0,-G214)</f>
      </c>
      <c r="I214" s="17">
        <f>MAX(MIN(Es*G214,fy),-fy)</f>
      </c>
      <c r="J214">
        <f>IF(E214&gt;=u_max-beta_1*D214-blk_tol,1,0)</f>
      </c>
      <c r="K214" s="17">
        <f>J214*sig_blk</f>
      </c>
      <c r="L214" s="17">
        <f>I214-K214</f>
      </c>
      <c r="M214" s="17">
        <f>INDEX(Bar_As,MATCH(C214,Bar_No,0))*L214/1000</f>
      </c>
      <c r="N214" s="17">
        <f>M214*INDEX(Bar_Y,MATCH(C214,Bar_No,0))/1000</f>
      </c>
      <c r="O214" s="17">
        <f>M214*INDEX(Bar_X,MATCH(C214,Bar_No,0))/1000</f>
      </c>
    </row>
    <row r="215" spans="2:15" x14ac:dyDescent="0.25">
      <c r="B215">
        <v>12</v>
      </c>
      <c r="C215">
        <v>12</v>
      </c>
      <c r="D215" s="17">
        <f>INDEX(Blk_c,MATCH(B215,Blk_St,0))</f>
      </c>
      <c r="E215" s="17">
        <f>INDEX(Bar_U,MATCH(C215,Bar_No,0))</f>
      </c>
      <c r="F215" s="17">
        <f>u_max-E215</f>
      </c>
      <c r="G215" s="20">
        <f>ecu*(1-F215/D215)</f>
      </c>
      <c r="H215" s="20">
        <f>MAX(0,-G215)</f>
      </c>
      <c r="I215" s="17">
        <f>MAX(MIN(Es*G215,fy),-fy)</f>
      </c>
      <c r="J215">
        <f>IF(E215&gt;=u_max-beta_1*D215-blk_tol,1,0)</f>
      </c>
      <c r="K215" s="17">
        <f>J215*sig_blk</f>
      </c>
      <c r="L215" s="17">
        <f>I215-K215</f>
      </c>
      <c r="M215" s="17">
        <f>INDEX(Bar_As,MATCH(C215,Bar_No,0))*L215/1000</f>
      </c>
      <c r="N215" s="17">
        <f>M215*INDEX(Bar_Y,MATCH(C215,Bar_No,0))/1000</f>
      </c>
      <c r="O215" s="17">
        <f>M215*INDEX(Bar_X,MATCH(C215,Bar_No,0))/1000</f>
      </c>
    </row>
    <row r="216" spans="2:15" x14ac:dyDescent="0.25">
      <c r="B216">
        <v>12</v>
      </c>
      <c r="C216">
        <v>13</v>
      </c>
      <c r="D216" s="17">
        <f>INDEX(Blk_c,MATCH(B216,Blk_St,0))</f>
      </c>
      <c r="E216" s="17">
        <f>INDEX(Bar_U,MATCH(C216,Bar_No,0))</f>
      </c>
      <c r="F216" s="17">
        <f>u_max-E216</f>
      </c>
      <c r="G216" s="20">
        <f>ecu*(1-F216/D216)</f>
      </c>
      <c r="H216" s="20">
        <f>MAX(0,-G216)</f>
      </c>
      <c r="I216" s="17">
        <f>MAX(MIN(Es*G216,fy),-fy)</f>
      </c>
      <c r="J216">
        <f>IF(E216&gt;=u_max-beta_1*D216-blk_tol,1,0)</f>
      </c>
      <c r="K216" s="17">
        <f>J216*sig_blk</f>
      </c>
      <c r="L216" s="17">
        <f>I216-K216</f>
      </c>
      <c r="M216" s="17">
        <f>INDEX(Bar_As,MATCH(C216,Bar_No,0))*L216/1000</f>
      </c>
      <c r="N216" s="17">
        <f>M216*INDEX(Bar_Y,MATCH(C216,Bar_No,0))/1000</f>
      </c>
      <c r="O216" s="17">
        <f>M216*INDEX(Bar_X,MATCH(C216,Bar_No,0))/1000</f>
      </c>
    </row>
    <row r="217" spans="2:15" x14ac:dyDescent="0.25">
      <c r="B217">
        <v>12</v>
      </c>
      <c r="C217">
        <v>14</v>
      </c>
      <c r="D217" s="17">
        <f>INDEX(Blk_c,MATCH(B217,Blk_St,0))</f>
      </c>
      <c r="E217" s="17">
        <f>INDEX(Bar_U,MATCH(C217,Bar_No,0))</f>
      </c>
      <c r="F217" s="17">
        <f>u_max-E217</f>
      </c>
      <c r="G217" s="20">
        <f>ecu*(1-F217/D217)</f>
      </c>
      <c r="H217" s="20">
        <f>MAX(0,-G217)</f>
      </c>
      <c r="I217" s="17">
        <f>MAX(MIN(Es*G217,fy),-fy)</f>
      </c>
      <c r="J217">
        <f>IF(E217&gt;=u_max-beta_1*D217-blk_tol,1,0)</f>
      </c>
      <c r="K217" s="17">
        <f>J217*sig_blk</f>
      </c>
      <c r="L217" s="17">
        <f>I217-K217</f>
      </c>
      <c r="M217" s="17">
        <f>INDEX(Bar_As,MATCH(C217,Bar_No,0))*L217/1000</f>
      </c>
      <c r="N217" s="17">
        <f>M217*INDEX(Bar_Y,MATCH(C217,Bar_No,0))/1000</f>
      </c>
      <c r="O217" s="17">
        <f>M217*INDEX(Bar_X,MATCH(C217,Bar_No,0))/1000</f>
      </c>
    </row>
    <row r="218" spans="2:15" x14ac:dyDescent="0.25">
      <c r="B218">
        <v>12</v>
      </c>
      <c r="C218">
        <v>15</v>
      </c>
      <c r="D218" s="17">
        <f>INDEX(Blk_c,MATCH(B218,Blk_St,0))</f>
      </c>
      <c r="E218" s="17">
        <f>INDEX(Bar_U,MATCH(C218,Bar_No,0))</f>
      </c>
      <c r="F218" s="17">
        <f>u_max-E218</f>
      </c>
      <c r="G218" s="20">
        <f>ecu*(1-F218/D218)</f>
      </c>
      <c r="H218" s="20">
        <f>MAX(0,-G218)</f>
      </c>
      <c r="I218" s="17">
        <f>MAX(MIN(Es*G218,fy),-fy)</f>
      </c>
      <c r="J218">
        <f>IF(E218&gt;=u_max-beta_1*D218-blk_tol,1,0)</f>
      </c>
      <c r="K218" s="17">
        <f>J218*sig_blk</f>
      </c>
      <c r="L218" s="17">
        <f>I218-K218</f>
      </c>
      <c r="M218" s="17">
        <f>INDEX(Bar_As,MATCH(C218,Bar_No,0))*L218/1000</f>
      </c>
      <c r="N218" s="17">
        <f>M218*INDEX(Bar_Y,MATCH(C218,Bar_No,0))/1000</f>
      </c>
      <c r="O218" s="17">
        <f>M218*INDEX(Bar_X,MATCH(C218,Bar_No,0))/1000</f>
      </c>
    </row>
    <row r="219" spans="2:15" x14ac:dyDescent="0.25">
      <c r="B219">
        <v>12</v>
      </c>
      <c r="C219">
        <v>16</v>
      </c>
      <c r="D219" s="17">
        <f>INDEX(Blk_c,MATCH(B219,Blk_St,0))</f>
      </c>
      <c r="E219" s="17">
        <f>INDEX(Bar_U,MATCH(C219,Bar_No,0))</f>
      </c>
      <c r="F219" s="17">
        <f>u_max-E219</f>
      </c>
      <c r="G219" s="20">
        <f>ecu*(1-F219/D219)</f>
      </c>
      <c r="H219" s="20">
        <f>MAX(0,-G219)</f>
      </c>
      <c r="I219" s="17">
        <f>MAX(MIN(Es*G219,fy),-fy)</f>
      </c>
      <c r="J219">
        <f>IF(E219&gt;=u_max-beta_1*D219-blk_tol,1,0)</f>
      </c>
      <c r="K219" s="17">
        <f>J219*sig_blk</f>
      </c>
      <c r="L219" s="17">
        <f>I219-K219</f>
      </c>
      <c r="M219" s="17">
        <f>INDEX(Bar_As,MATCH(C219,Bar_No,0))*L219/1000</f>
      </c>
      <c r="N219" s="17">
        <f>M219*INDEX(Bar_Y,MATCH(C219,Bar_No,0))/1000</f>
      </c>
      <c r="O219" s="17">
        <f>M219*INDEX(Bar_X,MATCH(C219,Bar_No,0))/1000</f>
      </c>
    </row>
    <row r="220" spans="2:15" x14ac:dyDescent="0.25">
      <c r="B220">
        <v>12</v>
      </c>
      <c r="C220">
        <v>17</v>
      </c>
      <c r="D220" s="17">
        <f>INDEX(Blk_c,MATCH(B220,Blk_St,0))</f>
      </c>
      <c r="E220" s="17">
        <f>INDEX(Bar_U,MATCH(C220,Bar_No,0))</f>
      </c>
      <c r="F220" s="17">
        <f>u_max-E220</f>
      </c>
      <c r="G220" s="20">
        <f>ecu*(1-F220/D220)</f>
      </c>
      <c r="H220" s="20">
        <f>MAX(0,-G220)</f>
      </c>
      <c r="I220" s="17">
        <f>MAX(MIN(Es*G220,fy),-fy)</f>
      </c>
      <c r="J220">
        <f>IF(E220&gt;=u_max-beta_1*D220-blk_tol,1,0)</f>
      </c>
      <c r="K220" s="17">
        <f>J220*sig_blk</f>
      </c>
      <c r="L220" s="17">
        <f>I220-K220</f>
      </c>
      <c r="M220" s="17">
        <f>INDEX(Bar_As,MATCH(C220,Bar_No,0))*L220/1000</f>
      </c>
      <c r="N220" s="17">
        <f>M220*INDEX(Bar_Y,MATCH(C220,Bar_No,0))/1000</f>
      </c>
      <c r="O220" s="17">
        <f>M220*INDEX(Bar_X,MATCH(C220,Bar_No,0))/1000</f>
      </c>
    </row>
    <row r="221" spans="2:15" x14ac:dyDescent="0.25">
      <c r="B221">
        <v>12</v>
      </c>
      <c r="C221">
        <v>18</v>
      </c>
      <c r="D221" s="17">
        <f>INDEX(Blk_c,MATCH(B221,Blk_St,0))</f>
      </c>
      <c r="E221" s="17">
        <f>INDEX(Bar_U,MATCH(C221,Bar_No,0))</f>
      </c>
      <c r="F221" s="17">
        <f>u_max-E221</f>
      </c>
      <c r="G221" s="20">
        <f>ecu*(1-F221/D221)</f>
      </c>
      <c r="H221" s="20">
        <f>MAX(0,-G221)</f>
      </c>
      <c r="I221" s="17">
        <f>MAX(MIN(Es*G221,fy),-fy)</f>
      </c>
      <c r="J221">
        <f>IF(E221&gt;=u_max-beta_1*D221-blk_tol,1,0)</f>
      </c>
      <c r="K221" s="17">
        <f>J221*sig_blk</f>
      </c>
      <c r="L221" s="17">
        <f>I221-K221</f>
      </c>
      <c r="M221" s="17">
        <f>INDEX(Bar_As,MATCH(C221,Bar_No,0))*L221/1000</f>
      </c>
      <c r="N221" s="17">
        <f>M221*INDEX(Bar_Y,MATCH(C221,Bar_No,0))/1000</f>
      </c>
      <c r="O221" s="17">
        <f>M221*INDEX(Bar_X,MATCH(C221,Bar_No,0))/1000</f>
      </c>
    </row>
    <row r="222" spans="2:15" x14ac:dyDescent="0.25">
      <c r="B222">
        <v>13</v>
      </c>
      <c r="C222">
        <v>1</v>
      </c>
      <c r="D222" s="17">
        <f>INDEX(Blk_c,MATCH(B222,Blk_St,0))</f>
      </c>
      <c r="E222" s="17">
        <f>INDEX(Bar_U,MATCH(C222,Bar_No,0))</f>
      </c>
      <c r="F222" s="17">
        <f>u_max-E222</f>
      </c>
      <c r="G222" s="20">
        <f>ecu*(1-F222/D222)</f>
      </c>
      <c r="H222" s="20">
        <f>MAX(0,-G222)</f>
      </c>
      <c r="I222" s="17">
        <f>MAX(MIN(Es*G222,fy),-fy)</f>
      </c>
      <c r="J222">
        <f>IF(E222&gt;=u_max-beta_1*D222-blk_tol,1,0)</f>
      </c>
      <c r="K222" s="17">
        <f>J222*sig_blk</f>
      </c>
      <c r="L222" s="17">
        <f>I222-K222</f>
      </c>
      <c r="M222" s="17">
        <f>INDEX(Bar_As,MATCH(C222,Bar_No,0))*L222/1000</f>
      </c>
      <c r="N222" s="17">
        <f>M222*INDEX(Bar_Y,MATCH(C222,Bar_No,0))/1000</f>
      </c>
      <c r="O222" s="17">
        <f>M222*INDEX(Bar_X,MATCH(C222,Bar_No,0))/1000</f>
      </c>
    </row>
    <row r="223" spans="2:15" x14ac:dyDescent="0.25">
      <c r="B223">
        <v>13</v>
      </c>
      <c r="C223">
        <v>2</v>
      </c>
      <c r="D223" s="17">
        <f>INDEX(Blk_c,MATCH(B223,Blk_St,0))</f>
      </c>
      <c r="E223" s="17">
        <f>INDEX(Bar_U,MATCH(C223,Bar_No,0))</f>
      </c>
      <c r="F223" s="17">
        <f>u_max-E223</f>
      </c>
      <c r="G223" s="20">
        <f>ecu*(1-F223/D223)</f>
      </c>
      <c r="H223" s="20">
        <f>MAX(0,-G223)</f>
      </c>
      <c r="I223" s="17">
        <f>MAX(MIN(Es*G223,fy),-fy)</f>
      </c>
      <c r="J223">
        <f>IF(E223&gt;=u_max-beta_1*D223-blk_tol,1,0)</f>
      </c>
      <c r="K223" s="17">
        <f>J223*sig_blk</f>
      </c>
      <c r="L223" s="17">
        <f>I223-K223</f>
      </c>
      <c r="M223" s="17">
        <f>INDEX(Bar_As,MATCH(C223,Bar_No,0))*L223/1000</f>
      </c>
      <c r="N223" s="17">
        <f>M223*INDEX(Bar_Y,MATCH(C223,Bar_No,0))/1000</f>
      </c>
      <c r="O223" s="17">
        <f>M223*INDEX(Bar_X,MATCH(C223,Bar_No,0))/1000</f>
      </c>
    </row>
    <row r="224" spans="2:15" x14ac:dyDescent="0.25">
      <c r="B224">
        <v>13</v>
      </c>
      <c r="C224">
        <v>3</v>
      </c>
      <c r="D224" s="17">
        <f>INDEX(Blk_c,MATCH(B224,Blk_St,0))</f>
      </c>
      <c r="E224" s="17">
        <f>INDEX(Bar_U,MATCH(C224,Bar_No,0))</f>
      </c>
      <c r="F224" s="17">
        <f>u_max-E224</f>
      </c>
      <c r="G224" s="20">
        <f>ecu*(1-F224/D224)</f>
      </c>
      <c r="H224" s="20">
        <f>MAX(0,-G224)</f>
      </c>
      <c r="I224" s="17">
        <f>MAX(MIN(Es*G224,fy),-fy)</f>
      </c>
      <c r="J224">
        <f>IF(E224&gt;=u_max-beta_1*D224-blk_tol,1,0)</f>
      </c>
      <c r="K224" s="17">
        <f>J224*sig_blk</f>
      </c>
      <c r="L224" s="17">
        <f>I224-K224</f>
      </c>
      <c r="M224" s="17">
        <f>INDEX(Bar_As,MATCH(C224,Bar_No,0))*L224/1000</f>
      </c>
      <c r="N224" s="17">
        <f>M224*INDEX(Bar_Y,MATCH(C224,Bar_No,0))/1000</f>
      </c>
      <c r="O224" s="17">
        <f>M224*INDEX(Bar_X,MATCH(C224,Bar_No,0))/1000</f>
      </c>
    </row>
    <row r="225" spans="2:15" x14ac:dyDescent="0.25">
      <c r="B225">
        <v>13</v>
      </c>
      <c r="C225">
        <v>4</v>
      </c>
      <c r="D225" s="17">
        <f>INDEX(Blk_c,MATCH(B225,Blk_St,0))</f>
      </c>
      <c r="E225" s="17">
        <f>INDEX(Bar_U,MATCH(C225,Bar_No,0))</f>
      </c>
      <c r="F225" s="17">
        <f>u_max-E225</f>
      </c>
      <c r="G225" s="20">
        <f>ecu*(1-F225/D225)</f>
      </c>
      <c r="H225" s="20">
        <f>MAX(0,-G225)</f>
      </c>
      <c r="I225" s="17">
        <f>MAX(MIN(Es*G225,fy),-fy)</f>
      </c>
      <c r="J225">
        <f>IF(E225&gt;=u_max-beta_1*D225-blk_tol,1,0)</f>
      </c>
      <c r="K225" s="17">
        <f>J225*sig_blk</f>
      </c>
      <c r="L225" s="17">
        <f>I225-K225</f>
      </c>
      <c r="M225" s="17">
        <f>INDEX(Bar_As,MATCH(C225,Bar_No,0))*L225/1000</f>
      </c>
      <c r="N225" s="17">
        <f>M225*INDEX(Bar_Y,MATCH(C225,Bar_No,0))/1000</f>
      </c>
      <c r="O225" s="17">
        <f>M225*INDEX(Bar_X,MATCH(C225,Bar_No,0))/1000</f>
      </c>
    </row>
    <row r="226" spans="2:15" x14ac:dyDescent="0.25">
      <c r="B226">
        <v>13</v>
      </c>
      <c r="C226">
        <v>5</v>
      </c>
      <c r="D226" s="17">
        <f>INDEX(Blk_c,MATCH(B226,Blk_St,0))</f>
      </c>
      <c r="E226" s="17">
        <f>INDEX(Bar_U,MATCH(C226,Bar_No,0))</f>
      </c>
      <c r="F226" s="17">
        <f>u_max-E226</f>
      </c>
      <c r="G226" s="20">
        <f>ecu*(1-F226/D226)</f>
      </c>
      <c r="H226" s="20">
        <f>MAX(0,-G226)</f>
      </c>
      <c r="I226" s="17">
        <f>MAX(MIN(Es*G226,fy),-fy)</f>
      </c>
      <c r="J226">
        <f>IF(E226&gt;=u_max-beta_1*D226-blk_tol,1,0)</f>
      </c>
      <c r="K226" s="17">
        <f>J226*sig_blk</f>
      </c>
      <c r="L226" s="17">
        <f>I226-K226</f>
      </c>
      <c r="M226" s="17">
        <f>INDEX(Bar_As,MATCH(C226,Bar_No,0))*L226/1000</f>
      </c>
      <c r="N226" s="17">
        <f>M226*INDEX(Bar_Y,MATCH(C226,Bar_No,0))/1000</f>
      </c>
      <c r="O226" s="17">
        <f>M226*INDEX(Bar_X,MATCH(C226,Bar_No,0))/1000</f>
      </c>
    </row>
    <row r="227" spans="2:15" x14ac:dyDescent="0.25">
      <c r="B227">
        <v>13</v>
      </c>
      <c r="C227">
        <v>6</v>
      </c>
      <c r="D227" s="17">
        <f>INDEX(Blk_c,MATCH(B227,Blk_St,0))</f>
      </c>
      <c r="E227" s="17">
        <f>INDEX(Bar_U,MATCH(C227,Bar_No,0))</f>
      </c>
      <c r="F227" s="17">
        <f>u_max-E227</f>
      </c>
      <c r="G227" s="20">
        <f>ecu*(1-F227/D227)</f>
      </c>
      <c r="H227" s="20">
        <f>MAX(0,-G227)</f>
      </c>
      <c r="I227" s="17">
        <f>MAX(MIN(Es*G227,fy),-fy)</f>
      </c>
      <c r="J227">
        <f>IF(E227&gt;=u_max-beta_1*D227-blk_tol,1,0)</f>
      </c>
      <c r="K227" s="17">
        <f>J227*sig_blk</f>
      </c>
      <c r="L227" s="17">
        <f>I227-K227</f>
      </c>
      <c r="M227" s="17">
        <f>INDEX(Bar_As,MATCH(C227,Bar_No,0))*L227/1000</f>
      </c>
      <c r="N227" s="17">
        <f>M227*INDEX(Bar_Y,MATCH(C227,Bar_No,0))/1000</f>
      </c>
      <c r="O227" s="17">
        <f>M227*INDEX(Bar_X,MATCH(C227,Bar_No,0))/1000</f>
      </c>
    </row>
    <row r="228" spans="2:15" x14ac:dyDescent="0.25">
      <c r="B228">
        <v>13</v>
      </c>
      <c r="C228">
        <v>7</v>
      </c>
      <c r="D228" s="17">
        <f>INDEX(Blk_c,MATCH(B228,Blk_St,0))</f>
      </c>
      <c r="E228" s="17">
        <f>INDEX(Bar_U,MATCH(C228,Bar_No,0))</f>
      </c>
      <c r="F228" s="17">
        <f>u_max-E228</f>
      </c>
      <c r="G228" s="20">
        <f>ecu*(1-F228/D228)</f>
      </c>
      <c r="H228" s="20">
        <f>MAX(0,-G228)</f>
      </c>
      <c r="I228" s="17">
        <f>MAX(MIN(Es*G228,fy),-fy)</f>
      </c>
      <c r="J228">
        <f>IF(E228&gt;=u_max-beta_1*D228-blk_tol,1,0)</f>
      </c>
      <c r="K228" s="17">
        <f>J228*sig_blk</f>
      </c>
      <c r="L228" s="17">
        <f>I228-K228</f>
      </c>
      <c r="M228" s="17">
        <f>INDEX(Bar_As,MATCH(C228,Bar_No,0))*L228/1000</f>
      </c>
      <c r="N228" s="17">
        <f>M228*INDEX(Bar_Y,MATCH(C228,Bar_No,0))/1000</f>
      </c>
      <c r="O228" s="17">
        <f>M228*INDEX(Bar_X,MATCH(C228,Bar_No,0))/1000</f>
      </c>
    </row>
    <row r="229" spans="2:15" x14ac:dyDescent="0.25">
      <c r="B229">
        <v>13</v>
      </c>
      <c r="C229">
        <v>8</v>
      </c>
      <c r="D229" s="17">
        <f>INDEX(Blk_c,MATCH(B229,Blk_St,0))</f>
      </c>
      <c r="E229" s="17">
        <f>INDEX(Bar_U,MATCH(C229,Bar_No,0))</f>
      </c>
      <c r="F229" s="17">
        <f>u_max-E229</f>
      </c>
      <c r="G229" s="20">
        <f>ecu*(1-F229/D229)</f>
      </c>
      <c r="H229" s="20">
        <f>MAX(0,-G229)</f>
      </c>
      <c r="I229" s="17">
        <f>MAX(MIN(Es*G229,fy),-fy)</f>
      </c>
      <c r="J229">
        <f>IF(E229&gt;=u_max-beta_1*D229-blk_tol,1,0)</f>
      </c>
      <c r="K229" s="17">
        <f>J229*sig_blk</f>
      </c>
      <c r="L229" s="17">
        <f>I229-K229</f>
      </c>
      <c r="M229" s="17">
        <f>INDEX(Bar_As,MATCH(C229,Bar_No,0))*L229/1000</f>
      </c>
      <c r="N229" s="17">
        <f>M229*INDEX(Bar_Y,MATCH(C229,Bar_No,0))/1000</f>
      </c>
      <c r="O229" s="17">
        <f>M229*INDEX(Bar_X,MATCH(C229,Bar_No,0))/1000</f>
      </c>
    </row>
    <row r="230" spans="2:15" x14ac:dyDescent="0.25">
      <c r="B230">
        <v>13</v>
      </c>
      <c r="C230">
        <v>9</v>
      </c>
      <c r="D230" s="17">
        <f>INDEX(Blk_c,MATCH(B230,Blk_St,0))</f>
      </c>
      <c r="E230" s="17">
        <f>INDEX(Bar_U,MATCH(C230,Bar_No,0))</f>
      </c>
      <c r="F230" s="17">
        <f>u_max-E230</f>
      </c>
      <c r="G230" s="20">
        <f>ecu*(1-F230/D230)</f>
      </c>
      <c r="H230" s="20">
        <f>MAX(0,-G230)</f>
      </c>
      <c r="I230" s="17">
        <f>MAX(MIN(Es*G230,fy),-fy)</f>
      </c>
      <c r="J230">
        <f>IF(E230&gt;=u_max-beta_1*D230-blk_tol,1,0)</f>
      </c>
      <c r="K230" s="17">
        <f>J230*sig_blk</f>
      </c>
      <c r="L230" s="17">
        <f>I230-K230</f>
      </c>
      <c r="M230" s="17">
        <f>INDEX(Bar_As,MATCH(C230,Bar_No,0))*L230/1000</f>
      </c>
      <c r="N230" s="17">
        <f>M230*INDEX(Bar_Y,MATCH(C230,Bar_No,0))/1000</f>
      </c>
      <c r="O230" s="17">
        <f>M230*INDEX(Bar_X,MATCH(C230,Bar_No,0))/1000</f>
      </c>
    </row>
    <row r="231" spans="2:15" x14ac:dyDescent="0.25">
      <c r="B231">
        <v>13</v>
      </c>
      <c r="C231">
        <v>10</v>
      </c>
      <c r="D231" s="17">
        <f>INDEX(Blk_c,MATCH(B231,Blk_St,0))</f>
      </c>
      <c r="E231" s="17">
        <f>INDEX(Bar_U,MATCH(C231,Bar_No,0))</f>
      </c>
      <c r="F231" s="17">
        <f>u_max-E231</f>
      </c>
      <c r="G231" s="20">
        <f>ecu*(1-F231/D231)</f>
      </c>
      <c r="H231" s="20">
        <f>MAX(0,-G231)</f>
      </c>
      <c r="I231" s="17">
        <f>MAX(MIN(Es*G231,fy),-fy)</f>
      </c>
      <c r="J231">
        <f>IF(E231&gt;=u_max-beta_1*D231-blk_tol,1,0)</f>
      </c>
      <c r="K231" s="17">
        <f>J231*sig_blk</f>
      </c>
      <c r="L231" s="17">
        <f>I231-K231</f>
      </c>
      <c r="M231" s="17">
        <f>INDEX(Bar_As,MATCH(C231,Bar_No,0))*L231/1000</f>
      </c>
      <c r="N231" s="17">
        <f>M231*INDEX(Bar_Y,MATCH(C231,Bar_No,0))/1000</f>
      </c>
      <c r="O231" s="17">
        <f>M231*INDEX(Bar_X,MATCH(C231,Bar_No,0))/1000</f>
      </c>
    </row>
    <row r="232" spans="2:15" x14ac:dyDescent="0.25">
      <c r="B232">
        <v>13</v>
      </c>
      <c r="C232">
        <v>11</v>
      </c>
      <c r="D232" s="17">
        <f>INDEX(Blk_c,MATCH(B232,Blk_St,0))</f>
      </c>
      <c r="E232" s="17">
        <f>INDEX(Bar_U,MATCH(C232,Bar_No,0))</f>
      </c>
      <c r="F232" s="17">
        <f>u_max-E232</f>
      </c>
      <c r="G232" s="20">
        <f>ecu*(1-F232/D232)</f>
      </c>
      <c r="H232" s="20">
        <f>MAX(0,-G232)</f>
      </c>
      <c r="I232" s="17">
        <f>MAX(MIN(Es*G232,fy),-fy)</f>
      </c>
      <c r="J232">
        <f>IF(E232&gt;=u_max-beta_1*D232-blk_tol,1,0)</f>
      </c>
      <c r="K232" s="17">
        <f>J232*sig_blk</f>
      </c>
      <c r="L232" s="17">
        <f>I232-K232</f>
      </c>
      <c r="M232" s="17">
        <f>INDEX(Bar_As,MATCH(C232,Bar_No,0))*L232/1000</f>
      </c>
      <c r="N232" s="17">
        <f>M232*INDEX(Bar_Y,MATCH(C232,Bar_No,0))/1000</f>
      </c>
      <c r="O232" s="17">
        <f>M232*INDEX(Bar_X,MATCH(C232,Bar_No,0))/1000</f>
      </c>
    </row>
    <row r="233" spans="2:15" x14ac:dyDescent="0.25">
      <c r="B233">
        <v>13</v>
      </c>
      <c r="C233">
        <v>12</v>
      </c>
      <c r="D233" s="17">
        <f>INDEX(Blk_c,MATCH(B233,Blk_St,0))</f>
      </c>
      <c r="E233" s="17">
        <f>INDEX(Bar_U,MATCH(C233,Bar_No,0))</f>
      </c>
      <c r="F233" s="17">
        <f>u_max-E233</f>
      </c>
      <c r="G233" s="20">
        <f>ecu*(1-F233/D233)</f>
      </c>
      <c r="H233" s="20">
        <f>MAX(0,-G233)</f>
      </c>
      <c r="I233" s="17">
        <f>MAX(MIN(Es*G233,fy),-fy)</f>
      </c>
      <c r="J233">
        <f>IF(E233&gt;=u_max-beta_1*D233-blk_tol,1,0)</f>
      </c>
      <c r="K233" s="17">
        <f>J233*sig_blk</f>
      </c>
      <c r="L233" s="17">
        <f>I233-K233</f>
      </c>
      <c r="M233" s="17">
        <f>INDEX(Bar_As,MATCH(C233,Bar_No,0))*L233/1000</f>
      </c>
      <c r="N233" s="17">
        <f>M233*INDEX(Bar_Y,MATCH(C233,Bar_No,0))/1000</f>
      </c>
      <c r="O233" s="17">
        <f>M233*INDEX(Bar_X,MATCH(C233,Bar_No,0))/1000</f>
      </c>
    </row>
    <row r="234" spans="2:15" x14ac:dyDescent="0.25">
      <c r="B234">
        <v>13</v>
      </c>
      <c r="C234">
        <v>13</v>
      </c>
      <c r="D234" s="17">
        <f>INDEX(Blk_c,MATCH(B234,Blk_St,0))</f>
      </c>
      <c r="E234" s="17">
        <f>INDEX(Bar_U,MATCH(C234,Bar_No,0))</f>
      </c>
      <c r="F234" s="17">
        <f>u_max-E234</f>
      </c>
      <c r="G234" s="20">
        <f>ecu*(1-F234/D234)</f>
      </c>
      <c r="H234" s="20">
        <f>MAX(0,-G234)</f>
      </c>
      <c r="I234" s="17">
        <f>MAX(MIN(Es*G234,fy),-fy)</f>
      </c>
      <c r="J234">
        <f>IF(E234&gt;=u_max-beta_1*D234-blk_tol,1,0)</f>
      </c>
      <c r="K234" s="17">
        <f>J234*sig_blk</f>
      </c>
      <c r="L234" s="17">
        <f>I234-K234</f>
      </c>
      <c r="M234" s="17">
        <f>INDEX(Bar_As,MATCH(C234,Bar_No,0))*L234/1000</f>
      </c>
      <c r="N234" s="17">
        <f>M234*INDEX(Bar_Y,MATCH(C234,Bar_No,0))/1000</f>
      </c>
      <c r="O234" s="17">
        <f>M234*INDEX(Bar_X,MATCH(C234,Bar_No,0))/1000</f>
      </c>
    </row>
    <row r="235" spans="2:15" x14ac:dyDescent="0.25">
      <c r="B235">
        <v>13</v>
      </c>
      <c r="C235">
        <v>14</v>
      </c>
      <c r="D235" s="17">
        <f>INDEX(Blk_c,MATCH(B235,Blk_St,0))</f>
      </c>
      <c r="E235" s="17">
        <f>INDEX(Bar_U,MATCH(C235,Bar_No,0))</f>
      </c>
      <c r="F235" s="17">
        <f>u_max-E235</f>
      </c>
      <c r="G235" s="20">
        <f>ecu*(1-F235/D235)</f>
      </c>
      <c r="H235" s="20">
        <f>MAX(0,-G235)</f>
      </c>
      <c r="I235" s="17">
        <f>MAX(MIN(Es*G235,fy),-fy)</f>
      </c>
      <c r="J235">
        <f>IF(E235&gt;=u_max-beta_1*D235-blk_tol,1,0)</f>
      </c>
      <c r="K235" s="17">
        <f>J235*sig_blk</f>
      </c>
      <c r="L235" s="17">
        <f>I235-K235</f>
      </c>
      <c r="M235" s="17">
        <f>INDEX(Bar_As,MATCH(C235,Bar_No,0))*L235/1000</f>
      </c>
      <c r="N235" s="17">
        <f>M235*INDEX(Bar_Y,MATCH(C235,Bar_No,0))/1000</f>
      </c>
      <c r="O235" s="17">
        <f>M235*INDEX(Bar_X,MATCH(C235,Bar_No,0))/1000</f>
      </c>
    </row>
    <row r="236" spans="2:15" x14ac:dyDescent="0.25">
      <c r="B236">
        <v>13</v>
      </c>
      <c r="C236">
        <v>15</v>
      </c>
      <c r="D236" s="17">
        <f>INDEX(Blk_c,MATCH(B236,Blk_St,0))</f>
      </c>
      <c r="E236" s="17">
        <f>INDEX(Bar_U,MATCH(C236,Bar_No,0))</f>
      </c>
      <c r="F236" s="17">
        <f>u_max-E236</f>
      </c>
      <c r="G236" s="20">
        <f>ecu*(1-F236/D236)</f>
      </c>
      <c r="H236" s="20">
        <f>MAX(0,-G236)</f>
      </c>
      <c r="I236" s="17">
        <f>MAX(MIN(Es*G236,fy),-fy)</f>
      </c>
      <c r="J236">
        <f>IF(E236&gt;=u_max-beta_1*D236-blk_tol,1,0)</f>
      </c>
      <c r="K236" s="17">
        <f>J236*sig_blk</f>
      </c>
      <c r="L236" s="17">
        <f>I236-K236</f>
      </c>
      <c r="M236" s="17">
        <f>INDEX(Bar_As,MATCH(C236,Bar_No,0))*L236/1000</f>
      </c>
      <c r="N236" s="17">
        <f>M236*INDEX(Bar_Y,MATCH(C236,Bar_No,0))/1000</f>
      </c>
      <c r="O236" s="17">
        <f>M236*INDEX(Bar_X,MATCH(C236,Bar_No,0))/1000</f>
      </c>
    </row>
    <row r="237" spans="2:15" x14ac:dyDescent="0.25">
      <c r="B237">
        <v>13</v>
      </c>
      <c r="C237">
        <v>16</v>
      </c>
      <c r="D237" s="17">
        <f>INDEX(Blk_c,MATCH(B237,Blk_St,0))</f>
      </c>
      <c r="E237" s="17">
        <f>INDEX(Bar_U,MATCH(C237,Bar_No,0))</f>
      </c>
      <c r="F237" s="17">
        <f>u_max-E237</f>
      </c>
      <c r="G237" s="20">
        <f>ecu*(1-F237/D237)</f>
      </c>
      <c r="H237" s="20">
        <f>MAX(0,-G237)</f>
      </c>
      <c r="I237" s="17">
        <f>MAX(MIN(Es*G237,fy),-fy)</f>
      </c>
      <c r="J237">
        <f>IF(E237&gt;=u_max-beta_1*D237-blk_tol,1,0)</f>
      </c>
      <c r="K237" s="17">
        <f>J237*sig_blk</f>
      </c>
      <c r="L237" s="17">
        <f>I237-K237</f>
      </c>
      <c r="M237" s="17">
        <f>INDEX(Bar_As,MATCH(C237,Bar_No,0))*L237/1000</f>
      </c>
      <c r="N237" s="17">
        <f>M237*INDEX(Bar_Y,MATCH(C237,Bar_No,0))/1000</f>
      </c>
      <c r="O237" s="17">
        <f>M237*INDEX(Bar_X,MATCH(C237,Bar_No,0))/1000</f>
      </c>
    </row>
    <row r="238" spans="2:15" x14ac:dyDescent="0.25">
      <c r="B238">
        <v>13</v>
      </c>
      <c r="C238">
        <v>17</v>
      </c>
      <c r="D238" s="17">
        <f>INDEX(Blk_c,MATCH(B238,Blk_St,0))</f>
      </c>
      <c r="E238" s="17">
        <f>INDEX(Bar_U,MATCH(C238,Bar_No,0))</f>
      </c>
      <c r="F238" s="17">
        <f>u_max-E238</f>
      </c>
      <c r="G238" s="20">
        <f>ecu*(1-F238/D238)</f>
      </c>
      <c r="H238" s="20">
        <f>MAX(0,-G238)</f>
      </c>
      <c r="I238" s="17">
        <f>MAX(MIN(Es*G238,fy),-fy)</f>
      </c>
      <c r="J238">
        <f>IF(E238&gt;=u_max-beta_1*D238-blk_tol,1,0)</f>
      </c>
      <c r="K238" s="17">
        <f>J238*sig_blk</f>
      </c>
      <c r="L238" s="17">
        <f>I238-K238</f>
      </c>
      <c r="M238" s="17">
        <f>INDEX(Bar_As,MATCH(C238,Bar_No,0))*L238/1000</f>
      </c>
      <c r="N238" s="17">
        <f>M238*INDEX(Bar_Y,MATCH(C238,Bar_No,0))/1000</f>
      </c>
      <c r="O238" s="17">
        <f>M238*INDEX(Bar_X,MATCH(C238,Bar_No,0))/1000</f>
      </c>
    </row>
    <row r="239" spans="2:15" x14ac:dyDescent="0.25">
      <c r="B239">
        <v>13</v>
      </c>
      <c r="C239">
        <v>18</v>
      </c>
      <c r="D239" s="17">
        <f>INDEX(Blk_c,MATCH(B239,Blk_St,0))</f>
      </c>
      <c r="E239" s="17">
        <f>INDEX(Bar_U,MATCH(C239,Bar_No,0))</f>
      </c>
      <c r="F239" s="17">
        <f>u_max-E239</f>
      </c>
      <c r="G239" s="20">
        <f>ecu*(1-F239/D239)</f>
      </c>
      <c r="H239" s="20">
        <f>MAX(0,-G239)</f>
      </c>
      <c r="I239" s="17">
        <f>MAX(MIN(Es*G239,fy),-fy)</f>
      </c>
      <c r="J239">
        <f>IF(E239&gt;=u_max-beta_1*D239-blk_tol,1,0)</f>
      </c>
      <c r="K239" s="17">
        <f>J239*sig_blk</f>
      </c>
      <c r="L239" s="17">
        <f>I239-K239</f>
      </c>
      <c r="M239" s="17">
        <f>INDEX(Bar_As,MATCH(C239,Bar_No,0))*L239/1000</f>
      </c>
      <c r="N239" s="17">
        <f>M239*INDEX(Bar_Y,MATCH(C239,Bar_No,0))/1000</f>
      </c>
      <c r="O239" s="17">
        <f>M239*INDEX(Bar_X,MATCH(C239,Bar_No,0))/1000</f>
      </c>
    </row>
    <row r="240" spans="2:15" x14ac:dyDescent="0.25">
      <c r="B240">
        <v>14</v>
      </c>
      <c r="C240">
        <v>1</v>
      </c>
      <c r="D240" s="17">
        <f>INDEX(Blk_c,MATCH(B240,Blk_St,0))</f>
      </c>
      <c r="E240" s="17">
        <f>INDEX(Bar_U,MATCH(C240,Bar_No,0))</f>
      </c>
      <c r="F240" s="17">
        <f>u_max-E240</f>
      </c>
      <c r="G240" s="20">
        <f>ecu*(1-F240/D240)</f>
      </c>
      <c r="H240" s="20">
        <f>MAX(0,-G240)</f>
      </c>
      <c r="I240" s="17">
        <f>MAX(MIN(Es*G240,fy),-fy)</f>
      </c>
      <c r="J240">
        <f>IF(E240&gt;=u_max-beta_1*D240-blk_tol,1,0)</f>
      </c>
      <c r="K240" s="17">
        <f>J240*sig_blk</f>
      </c>
      <c r="L240" s="17">
        <f>I240-K240</f>
      </c>
      <c r="M240" s="17">
        <f>INDEX(Bar_As,MATCH(C240,Bar_No,0))*L240/1000</f>
      </c>
      <c r="N240" s="17">
        <f>M240*INDEX(Bar_Y,MATCH(C240,Bar_No,0))/1000</f>
      </c>
      <c r="O240" s="17">
        <f>M240*INDEX(Bar_X,MATCH(C240,Bar_No,0))/1000</f>
      </c>
    </row>
    <row r="241" spans="2:15" x14ac:dyDescent="0.25">
      <c r="B241">
        <v>14</v>
      </c>
      <c r="C241">
        <v>2</v>
      </c>
      <c r="D241" s="17">
        <f>INDEX(Blk_c,MATCH(B241,Blk_St,0))</f>
      </c>
      <c r="E241" s="17">
        <f>INDEX(Bar_U,MATCH(C241,Bar_No,0))</f>
      </c>
      <c r="F241" s="17">
        <f>u_max-E241</f>
      </c>
      <c r="G241" s="20">
        <f>ecu*(1-F241/D241)</f>
      </c>
      <c r="H241" s="20">
        <f>MAX(0,-G241)</f>
      </c>
      <c r="I241" s="17">
        <f>MAX(MIN(Es*G241,fy),-fy)</f>
      </c>
      <c r="J241">
        <f>IF(E241&gt;=u_max-beta_1*D241-blk_tol,1,0)</f>
      </c>
      <c r="K241" s="17">
        <f>J241*sig_blk</f>
      </c>
      <c r="L241" s="17">
        <f>I241-K241</f>
      </c>
      <c r="M241" s="17">
        <f>INDEX(Bar_As,MATCH(C241,Bar_No,0))*L241/1000</f>
      </c>
      <c r="N241" s="17">
        <f>M241*INDEX(Bar_Y,MATCH(C241,Bar_No,0))/1000</f>
      </c>
      <c r="O241" s="17">
        <f>M241*INDEX(Bar_X,MATCH(C241,Bar_No,0))/1000</f>
      </c>
    </row>
    <row r="242" spans="2:15" x14ac:dyDescent="0.25">
      <c r="B242">
        <v>14</v>
      </c>
      <c r="C242">
        <v>3</v>
      </c>
      <c r="D242" s="17">
        <f>INDEX(Blk_c,MATCH(B242,Blk_St,0))</f>
      </c>
      <c r="E242" s="17">
        <f>INDEX(Bar_U,MATCH(C242,Bar_No,0))</f>
      </c>
      <c r="F242" s="17">
        <f>u_max-E242</f>
      </c>
      <c r="G242" s="20">
        <f>ecu*(1-F242/D242)</f>
      </c>
      <c r="H242" s="20">
        <f>MAX(0,-G242)</f>
      </c>
      <c r="I242" s="17">
        <f>MAX(MIN(Es*G242,fy),-fy)</f>
      </c>
      <c r="J242">
        <f>IF(E242&gt;=u_max-beta_1*D242-blk_tol,1,0)</f>
      </c>
      <c r="K242" s="17">
        <f>J242*sig_blk</f>
      </c>
      <c r="L242" s="17">
        <f>I242-K242</f>
      </c>
      <c r="M242" s="17">
        <f>INDEX(Bar_As,MATCH(C242,Bar_No,0))*L242/1000</f>
      </c>
      <c r="N242" s="17">
        <f>M242*INDEX(Bar_Y,MATCH(C242,Bar_No,0))/1000</f>
      </c>
      <c r="O242" s="17">
        <f>M242*INDEX(Bar_X,MATCH(C242,Bar_No,0))/1000</f>
      </c>
    </row>
    <row r="243" spans="2:15" x14ac:dyDescent="0.25">
      <c r="B243">
        <v>14</v>
      </c>
      <c r="C243">
        <v>4</v>
      </c>
      <c r="D243" s="17">
        <f>INDEX(Blk_c,MATCH(B243,Blk_St,0))</f>
      </c>
      <c r="E243" s="17">
        <f>INDEX(Bar_U,MATCH(C243,Bar_No,0))</f>
      </c>
      <c r="F243" s="17">
        <f>u_max-E243</f>
      </c>
      <c r="G243" s="20">
        <f>ecu*(1-F243/D243)</f>
      </c>
      <c r="H243" s="20">
        <f>MAX(0,-G243)</f>
      </c>
      <c r="I243" s="17">
        <f>MAX(MIN(Es*G243,fy),-fy)</f>
      </c>
      <c r="J243">
        <f>IF(E243&gt;=u_max-beta_1*D243-blk_tol,1,0)</f>
      </c>
      <c r="K243" s="17">
        <f>J243*sig_blk</f>
      </c>
      <c r="L243" s="17">
        <f>I243-K243</f>
      </c>
      <c r="M243" s="17">
        <f>INDEX(Bar_As,MATCH(C243,Bar_No,0))*L243/1000</f>
      </c>
      <c r="N243" s="17">
        <f>M243*INDEX(Bar_Y,MATCH(C243,Bar_No,0))/1000</f>
      </c>
      <c r="O243" s="17">
        <f>M243*INDEX(Bar_X,MATCH(C243,Bar_No,0))/1000</f>
      </c>
    </row>
    <row r="244" spans="2:15" x14ac:dyDescent="0.25">
      <c r="B244">
        <v>14</v>
      </c>
      <c r="C244">
        <v>5</v>
      </c>
      <c r="D244" s="17">
        <f>INDEX(Blk_c,MATCH(B244,Blk_St,0))</f>
      </c>
      <c r="E244" s="17">
        <f>INDEX(Bar_U,MATCH(C244,Bar_No,0))</f>
      </c>
      <c r="F244" s="17">
        <f>u_max-E244</f>
      </c>
      <c r="G244" s="20">
        <f>ecu*(1-F244/D244)</f>
      </c>
      <c r="H244" s="20">
        <f>MAX(0,-G244)</f>
      </c>
      <c r="I244" s="17">
        <f>MAX(MIN(Es*G244,fy),-fy)</f>
      </c>
      <c r="J244">
        <f>IF(E244&gt;=u_max-beta_1*D244-blk_tol,1,0)</f>
      </c>
      <c r="K244" s="17">
        <f>J244*sig_blk</f>
      </c>
      <c r="L244" s="17">
        <f>I244-K244</f>
      </c>
      <c r="M244" s="17">
        <f>INDEX(Bar_As,MATCH(C244,Bar_No,0))*L244/1000</f>
      </c>
      <c r="N244" s="17">
        <f>M244*INDEX(Bar_Y,MATCH(C244,Bar_No,0))/1000</f>
      </c>
      <c r="O244" s="17">
        <f>M244*INDEX(Bar_X,MATCH(C244,Bar_No,0))/1000</f>
      </c>
    </row>
    <row r="245" spans="2:15" x14ac:dyDescent="0.25">
      <c r="B245">
        <v>14</v>
      </c>
      <c r="C245">
        <v>6</v>
      </c>
      <c r="D245" s="17">
        <f>INDEX(Blk_c,MATCH(B245,Blk_St,0))</f>
      </c>
      <c r="E245" s="17">
        <f>INDEX(Bar_U,MATCH(C245,Bar_No,0))</f>
      </c>
      <c r="F245" s="17">
        <f>u_max-E245</f>
      </c>
      <c r="G245" s="20">
        <f>ecu*(1-F245/D245)</f>
      </c>
      <c r="H245" s="20">
        <f>MAX(0,-G245)</f>
      </c>
      <c r="I245" s="17">
        <f>MAX(MIN(Es*G245,fy),-fy)</f>
      </c>
      <c r="J245">
        <f>IF(E245&gt;=u_max-beta_1*D245-blk_tol,1,0)</f>
      </c>
      <c r="K245" s="17">
        <f>J245*sig_blk</f>
      </c>
      <c r="L245" s="17">
        <f>I245-K245</f>
      </c>
      <c r="M245" s="17">
        <f>INDEX(Bar_As,MATCH(C245,Bar_No,0))*L245/1000</f>
      </c>
      <c r="N245" s="17">
        <f>M245*INDEX(Bar_Y,MATCH(C245,Bar_No,0))/1000</f>
      </c>
      <c r="O245" s="17">
        <f>M245*INDEX(Bar_X,MATCH(C245,Bar_No,0))/1000</f>
      </c>
    </row>
    <row r="246" spans="2:15" x14ac:dyDescent="0.25">
      <c r="B246">
        <v>14</v>
      </c>
      <c r="C246">
        <v>7</v>
      </c>
      <c r="D246" s="17">
        <f>INDEX(Blk_c,MATCH(B246,Blk_St,0))</f>
      </c>
      <c r="E246" s="17">
        <f>INDEX(Bar_U,MATCH(C246,Bar_No,0))</f>
      </c>
      <c r="F246" s="17">
        <f>u_max-E246</f>
      </c>
      <c r="G246" s="20">
        <f>ecu*(1-F246/D246)</f>
      </c>
      <c r="H246" s="20">
        <f>MAX(0,-G246)</f>
      </c>
      <c r="I246" s="17">
        <f>MAX(MIN(Es*G246,fy),-fy)</f>
      </c>
      <c r="J246">
        <f>IF(E246&gt;=u_max-beta_1*D246-blk_tol,1,0)</f>
      </c>
      <c r="K246" s="17">
        <f>J246*sig_blk</f>
      </c>
      <c r="L246" s="17">
        <f>I246-K246</f>
      </c>
      <c r="M246" s="17">
        <f>INDEX(Bar_As,MATCH(C246,Bar_No,0))*L246/1000</f>
      </c>
      <c r="N246" s="17">
        <f>M246*INDEX(Bar_Y,MATCH(C246,Bar_No,0))/1000</f>
      </c>
      <c r="O246" s="17">
        <f>M246*INDEX(Bar_X,MATCH(C246,Bar_No,0))/1000</f>
      </c>
    </row>
    <row r="247" spans="2:15" x14ac:dyDescent="0.25">
      <c r="B247">
        <v>14</v>
      </c>
      <c r="C247">
        <v>8</v>
      </c>
      <c r="D247" s="17">
        <f>INDEX(Blk_c,MATCH(B247,Blk_St,0))</f>
      </c>
      <c r="E247" s="17">
        <f>INDEX(Bar_U,MATCH(C247,Bar_No,0))</f>
      </c>
      <c r="F247" s="17">
        <f>u_max-E247</f>
      </c>
      <c r="G247" s="20">
        <f>ecu*(1-F247/D247)</f>
      </c>
      <c r="H247" s="20">
        <f>MAX(0,-G247)</f>
      </c>
      <c r="I247" s="17">
        <f>MAX(MIN(Es*G247,fy),-fy)</f>
      </c>
      <c r="J247">
        <f>IF(E247&gt;=u_max-beta_1*D247-blk_tol,1,0)</f>
      </c>
      <c r="K247" s="17">
        <f>J247*sig_blk</f>
      </c>
      <c r="L247" s="17">
        <f>I247-K247</f>
      </c>
      <c r="M247" s="17">
        <f>INDEX(Bar_As,MATCH(C247,Bar_No,0))*L247/1000</f>
      </c>
      <c r="N247" s="17">
        <f>M247*INDEX(Bar_Y,MATCH(C247,Bar_No,0))/1000</f>
      </c>
      <c r="O247" s="17">
        <f>M247*INDEX(Bar_X,MATCH(C247,Bar_No,0))/1000</f>
      </c>
    </row>
    <row r="248" spans="2:15" x14ac:dyDescent="0.25">
      <c r="B248">
        <v>14</v>
      </c>
      <c r="C248">
        <v>9</v>
      </c>
      <c r="D248" s="17">
        <f>INDEX(Blk_c,MATCH(B248,Blk_St,0))</f>
      </c>
      <c r="E248" s="17">
        <f>INDEX(Bar_U,MATCH(C248,Bar_No,0))</f>
      </c>
      <c r="F248" s="17">
        <f>u_max-E248</f>
      </c>
      <c r="G248" s="20">
        <f>ecu*(1-F248/D248)</f>
      </c>
      <c r="H248" s="20">
        <f>MAX(0,-G248)</f>
      </c>
      <c r="I248" s="17">
        <f>MAX(MIN(Es*G248,fy),-fy)</f>
      </c>
      <c r="J248">
        <f>IF(E248&gt;=u_max-beta_1*D248-blk_tol,1,0)</f>
      </c>
      <c r="K248" s="17">
        <f>J248*sig_blk</f>
      </c>
      <c r="L248" s="17">
        <f>I248-K248</f>
      </c>
      <c r="M248" s="17">
        <f>INDEX(Bar_As,MATCH(C248,Bar_No,0))*L248/1000</f>
      </c>
      <c r="N248" s="17">
        <f>M248*INDEX(Bar_Y,MATCH(C248,Bar_No,0))/1000</f>
      </c>
      <c r="O248" s="17">
        <f>M248*INDEX(Bar_X,MATCH(C248,Bar_No,0))/1000</f>
      </c>
    </row>
    <row r="249" spans="2:15" x14ac:dyDescent="0.25">
      <c r="B249">
        <v>14</v>
      </c>
      <c r="C249">
        <v>10</v>
      </c>
      <c r="D249" s="17">
        <f>INDEX(Blk_c,MATCH(B249,Blk_St,0))</f>
      </c>
      <c r="E249" s="17">
        <f>INDEX(Bar_U,MATCH(C249,Bar_No,0))</f>
      </c>
      <c r="F249" s="17">
        <f>u_max-E249</f>
      </c>
      <c r="G249" s="20">
        <f>ecu*(1-F249/D249)</f>
      </c>
      <c r="H249" s="20">
        <f>MAX(0,-G249)</f>
      </c>
      <c r="I249" s="17">
        <f>MAX(MIN(Es*G249,fy),-fy)</f>
      </c>
      <c r="J249">
        <f>IF(E249&gt;=u_max-beta_1*D249-blk_tol,1,0)</f>
      </c>
      <c r="K249" s="17">
        <f>J249*sig_blk</f>
      </c>
      <c r="L249" s="17">
        <f>I249-K249</f>
      </c>
      <c r="M249" s="17">
        <f>INDEX(Bar_As,MATCH(C249,Bar_No,0))*L249/1000</f>
      </c>
      <c r="N249" s="17">
        <f>M249*INDEX(Bar_Y,MATCH(C249,Bar_No,0))/1000</f>
      </c>
      <c r="O249" s="17">
        <f>M249*INDEX(Bar_X,MATCH(C249,Bar_No,0))/1000</f>
      </c>
    </row>
    <row r="250" spans="2:15" x14ac:dyDescent="0.25">
      <c r="B250">
        <v>14</v>
      </c>
      <c r="C250">
        <v>11</v>
      </c>
      <c r="D250" s="17">
        <f>INDEX(Blk_c,MATCH(B250,Blk_St,0))</f>
      </c>
      <c r="E250" s="17">
        <f>INDEX(Bar_U,MATCH(C250,Bar_No,0))</f>
      </c>
      <c r="F250" s="17">
        <f>u_max-E250</f>
      </c>
      <c r="G250" s="20">
        <f>ecu*(1-F250/D250)</f>
      </c>
      <c r="H250" s="20">
        <f>MAX(0,-G250)</f>
      </c>
      <c r="I250" s="17">
        <f>MAX(MIN(Es*G250,fy),-fy)</f>
      </c>
      <c r="J250">
        <f>IF(E250&gt;=u_max-beta_1*D250-blk_tol,1,0)</f>
      </c>
      <c r="K250" s="17">
        <f>J250*sig_blk</f>
      </c>
      <c r="L250" s="17">
        <f>I250-K250</f>
      </c>
      <c r="M250" s="17">
        <f>INDEX(Bar_As,MATCH(C250,Bar_No,0))*L250/1000</f>
      </c>
      <c r="N250" s="17">
        <f>M250*INDEX(Bar_Y,MATCH(C250,Bar_No,0))/1000</f>
      </c>
      <c r="O250" s="17">
        <f>M250*INDEX(Bar_X,MATCH(C250,Bar_No,0))/1000</f>
      </c>
    </row>
    <row r="251" spans="2:15" x14ac:dyDescent="0.25">
      <c r="B251">
        <v>14</v>
      </c>
      <c r="C251">
        <v>12</v>
      </c>
      <c r="D251" s="17">
        <f>INDEX(Blk_c,MATCH(B251,Blk_St,0))</f>
      </c>
      <c r="E251" s="17">
        <f>INDEX(Bar_U,MATCH(C251,Bar_No,0))</f>
      </c>
      <c r="F251" s="17">
        <f>u_max-E251</f>
      </c>
      <c r="G251" s="20">
        <f>ecu*(1-F251/D251)</f>
      </c>
      <c r="H251" s="20">
        <f>MAX(0,-G251)</f>
      </c>
      <c r="I251" s="17">
        <f>MAX(MIN(Es*G251,fy),-fy)</f>
      </c>
      <c r="J251">
        <f>IF(E251&gt;=u_max-beta_1*D251-blk_tol,1,0)</f>
      </c>
      <c r="K251" s="17">
        <f>J251*sig_blk</f>
      </c>
      <c r="L251" s="17">
        <f>I251-K251</f>
      </c>
      <c r="M251" s="17">
        <f>INDEX(Bar_As,MATCH(C251,Bar_No,0))*L251/1000</f>
      </c>
      <c r="N251" s="17">
        <f>M251*INDEX(Bar_Y,MATCH(C251,Bar_No,0))/1000</f>
      </c>
      <c r="O251" s="17">
        <f>M251*INDEX(Bar_X,MATCH(C251,Bar_No,0))/1000</f>
      </c>
    </row>
    <row r="252" spans="2:15" x14ac:dyDescent="0.25">
      <c r="B252">
        <v>14</v>
      </c>
      <c r="C252">
        <v>13</v>
      </c>
      <c r="D252" s="17">
        <f>INDEX(Blk_c,MATCH(B252,Blk_St,0))</f>
      </c>
      <c r="E252" s="17">
        <f>INDEX(Bar_U,MATCH(C252,Bar_No,0))</f>
      </c>
      <c r="F252" s="17">
        <f>u_max-E252</f>
      </c>
      <c r="G252" s="20">
        <f>ecu*(1-F252/D252)</f>
      </c>
      <c r="H252" s="20">
        <f>MAX(0,-G252)</f>
      </c>
      <c r="I252" s="17">
        <f>MAX(MIN(Es*G252,fy),-fy)</f>
      </c>
      <c r="J252">
        <f>IF(E252&gt;=u_max-beta_1*D252-blk_tol,1,0)</f>
      </c>
      <c r="K252" s="17">
        <f>J252*sig_blk</f>
      </c>
      <c r="L252" s="17">
        <f>I252-K252</f>
      </c>
      <c r="M252" s="17">
        <f>INDEX(Bar_As,MATCH(C252,Bar_No,0))*L252/1000</f>
      </c>
      <c r="N252" s="17">
        <f>M252*INDEX(Bar_Y,MATCH(C252,Bar_No,0))/1000</f>
      </c>
      <c r="O252" s="17">
        <f>M252*INDEX(Bar_X,MATCH(C252,Bar_No,0))/1000</f>
      </c>
    </row>
    <row r="253" spans="2:15" x14ac:dyDescent="0.25">
      <c r="B253">
        <v>14</v>
      </c>
      <c r="C253">
        <v>14</v>
      </c>
      <c r="D253" s="17">
        <f>INDEX(Blk_c,MATCH(B253,Blk_St,0))</f>
      </c>
      <c r="E253" s="17">
        <f>INDEX(Bar_U,MATCH(C253,Bar_No,0))</f>
      </c>
      <c r="F253" s="17">
        <f>u_max-E253</f>
      </c>
      <c r="G253" s="20">
        <f>ecu*(1-F253/D253)</f>
      </c>
      <c r="H253" s="20">
        <f>MAX(0,-G253)</f>
      </c>
      <c r="I253" s="17">
        <f>MAX(MIN(Es*G253,fy),-fy)</f>
      </c>
      <c r="J253">
        <f>IF(E253&gt;=u_max-beta_1*D253-blk_tol,1,0)</f>
      </c>
      <c r="K253" s="17">
        <f>J253*sig_blk</f>
      </c>
      <c r="L253" s="17">
        <f>I253-K253</f>
      </c>
      <c r="M253" s="17">
        <f>INDEX(Bar_As,MATCH(C253,Bar_No,0))*L253/1000</f>
      </c>
      <c r="N253" s="17">
        <f>M253*INDEX(Bar_Y,MATCH(C253,Bar_No,0))/1000</f>
      </c>
      <c r="O253" s="17">
        <f>M253*INDEX(Bar_X,MATCH(C253,Bar_No,0))/1000</f>
      </c>
    </row>
    <row r="254" spans="2:15" x14ac:dyDescent="0.25">
      <c r="B254">
        <v>14</v>
      </c>
      <c r="C254">
        <v>15</v>
      </c>
      <c r="D254" s="17">
        <f>INDEX(Blk_c,MATCH(B254,Blk_St,0))</f>
      </c>
      <c r="E254" s="17">
        <f>INDEX(Bar_U,MATCH(C254,Bar_No,0))</f>
      </c>
      <c r="F254" s="17">
        <f>u_max-E254</f>
      </c>
      <c r="G254" s="20">
        <f>ecu*(1-F254/D254)</f>
      </c>
      <c r="H254" s="20">
        <f>MAX(0,-G254)</f>
      </c>
      <c r="I254" s="17">
        <f>MAX(MIN(Es*G254,fy),-fy)</f>
      </c>
      <c r="J254">
        <f>IF(E254&gt;=u_max-beta_1*D254-blk_tol,1,0)</f>
      </c>
      <c r="K254" s="17">
        <f>J254*sig_blk</f>
      </c>
      <c r="L254" s="17">
        <f>I254-K254</f>
      </c>
      <c r="M254" s="17">
        <f>INDEX(Bar_As,MATCH(C254,Bar_No,0))*L254/1000</f>
      </c>
      <c r="N254" s="17">
        <f>M254*INDEX(Bar_Y,MATCH(C254,Bar_No,0))/1000</f>
      </c>
      <c r="O254" s="17">
        <f>M254*INDEX(Bar_X,MATCH(C254,Bar_No,0))/1000</f>
      </c>
    </row>
    <row r="255" spans="2:15" x14ac:dyDescent="0.25">
      <c r="B255">
        <v>14</v>
      </c>
      <c r="C255">
        <v>16</v>
      </c>
      <c r="D255" s="17">
        <f>INDEX(Blk_c,MATCH(B255,Blk_St,0))</f>
      </c>
      <c r="E255" s="17">
        <f>INDEX(Bar_U,MATCH(C255,Bar_No,0))</f>
      </c>
      <c r="F255" s="17">
        <f>u_max-E255</f>
      </c>
      <c r="G255" s="20">
        <f>ecu*(1-F255/D255)</f>
      </c>
      <c r="H255" s="20">
        <f>MAX(0,-G255)</f>
      </c>
      <c r="I255" s="17">
        <f>MAX(MIN(Es*G255,fy),-fy)</f>
      </c>
      <c r="J255">
        <f>IF(E255&gt;=u_max-beta_1*D255-blk_tol,1,0)</f>
      </c>
      <c r="K255" s="17">
        <f>J255*sig_blk</f>
      </c>
      <c r="L255" s="17">
        <f>I255-K255</f>
      </c>
      <c r="M255" s="17">
        <f>INDEX(Bar_As,MATCH(C255,Bar_No,0))*L255/1000</f>
      </c>
      <c r="N255" s="17">
        <f>M255*INDEX(Bar_Y,MATCH(C255,Bar_No,0))/1000</f>
      </c>
      <c r="O255" s="17">
        <f>M255*INDEX(Bar_X,MATCH(C255,Bar_No,0))/1000</f>
      </c>
    </row>
    <row r="256" spans="2:15" x14ac:dyDescent="0.25">
      <c r="B256">
        <v>14</v>
      </c>
      <c r="C256">
        <v>17</v>
      </c>
      <c r="D256" s="17">
        <f>INDEX(Blk_c,MATCH(B256,Blk_St,0))</f>
      </c>
      <c r="E256" s="17">
        <f>INDEX(Bar_U,MATCH(C256,Bar_No,0))</f>
      </c>
      <c r="F256" s="17">
        <f>u_max-E256</f>
      </c>
      <c r="G256" s="20">
        <f>ecu*(1-F256/D256)</f>
      </c>
      <c r="H256" s="20">
        <f>MAX(0,-G256)</f>
      </c>
      <c r="I256" s="17">
        <f>MAX(MIN(Es*G256,fy),-fy)</f>
      </c>
      <c r="J256">
        <f>IF(E256&gt;=u_max-beta_1*D256-blk_tol,1,0)</f>
      </c>
      <c r="K256" s="17">
        <f>J256*sig_blk</f>
      </c>
      <c r="L256" s="17">
        <f>I256-K256</f>
      </c>
      <c r="M256" s="17">
        <f>INDEX(Bar_As,MATCH(C256,Bar_No,0))*L256/1000</f>
      </c>
      <c r="N256" s="17">
        <f>M256*INDEX(Bar_Y,MATCH(C256,Bar_No,0))/1000</f>
      </c>
      <c r="O256" s="17">
        <f>M256*INDEX(Bar_X,MATCH(C256,Bar_No,0))/1000</f>
      </c>
    </row>
    <row r="257" spans="2:15" x14ac:dyDescent="0.25">
      <c r="B257">
        <v>14</v>
      </c>
      <c r="C257">
        <v>18</v>
      </c>
      <c r="D257" s="17">
        <f>INDEX(Blk_c,MATCH(B257,Blk_St,0))</f>
      </c>
      <c r="E257" s="17">
        <f>INDEX(Bar_U,MATCH(C257,Bar_No,0))</f>
      </c>
      <c r="F257" s="17">
        <f>u_max-E257</f>
      </c>
      <c r="G257" s="20">
        <f>ecu*(1-F257/D257)</f>
      </c>
      <c r="H257" s="20">
        <f>MAX(0,-G257)</f>
      </c>
      <c r="I257" s="17">
        <f>MAX(MIN(Es*G257,fy),-fy)</f>
      </c>
      <c r="J257">
        <f>IF(E257&gt;=u_max-beta_1*D257-blk_tol,1,0)</f>
      </c>
      <c r="K257" s="17">
        <f>J257*sig_blk</f>
      </c>
      <c r="L257" s="17">
        <f>I257-K257</f>
      </c>
      <c r="M257" s="17">
        <f>INDEX(Bar_As,MATCH(C257,Bar_No,0))*L257/1000</f>
      </c>
      <c r="N257" s="17">
        <f>M257*INDEX(Bar_Y,MATCH(C257,Bar_No,0))/1000</f>
      </c>
      <c r="O257" s="17">
        <f>M257*INDEX(Bar_X,MATCH(C257,Bar_No,0))/1000</f>
      </c>
    </row>
    <row r="258" spans="2:15" x14ac:dyDescent="0.25">
      <c r="B258">
        <v>15</v>
      </c>
      <c r="C258">
        <v>1</v>
      </c>
      <c r="D258" s="17">
        <f>INDEX(Blk_c,MATCH(B258,Blk_St,0))</f>
      </c>
      <c r="E258" s="17">
        <f>INDEX(Bar_U,MATCH(C258,Bar_No,0))</f>
      </c>
      <c r="F258" s="17">
        <f>u_max-E258</f>
      </c>
      <c r="G258" s="20">
        <f>ecu*(1-F258/D258)</f>
      </c>
      <c r="H258" s="20">
        <f>MAX(0,-G258)</f>
      </c>
      <c r="I258" s="17">
        <f>MAX(MIN(Es*G258,fy),-fy)</f>
      </c>
      <c r="J258">
        <f>IF(E258&gt;=u_max-beta_1*D258-blk_tol,1,0)</f>
      </c>
      <c r="K258" s="17">
        <f>J258*sig_blk</f>
      </c>
      <c r="L258" s="17">
        <f>I258-K258</f>
      </c>
      <c r="M258" s="17">
        <f>INDEX(Bar_As,MATCH(C258,Bar_No,0))*L258/1000</f>
      </c>
      <c r="N258" s="17">
        <f>M258*INDEX(Bar_Y,MATCH(C258,Bar_No,0))/1000</f>
      </c>
      <c r="O258" s="17">
        <f>M258*INDEX(Bar_X,MATCH(C258,Bar_No,0))/1000</f>
      </c>
    </row>
    <row r="259" spans="2:15" x14ac:dyDescent="0.25">
      <c r="B259">
        <v>15</v>
      </c>
      <c r="C259">
        <v>2</v>
      </c>
      <c r="D259" s="17">
        <f>INDEX(Blk_c,MATCH(B259,Blk_St,0))</f>
      </c>
      <c r="E259" s="17">
        <f>INDEX(Bar_U,MATCH(C259,Bar_No,0))</f>
      </c>
      <c r="F259" s="17">
        <f>u_max-E259</f>
      </c>
      <c r="G259" s="20">
        <f>ecu*(1-F259/D259)</f>
      </c>
      <c r="H259" s="20">
        <f>MAX(0,-G259)</f>
      </c>
      <c r="I259" s="17">
        <f>MAX(MIN(Es*G259,fy),-fy)</f>
      </c>
      <c r="J259">
        <f>IF(E259&gt;=u_max-beta_1*D259-blk_tol,1,0)</f>
      </c>
      <c r="K259" s="17">
        <f>J259*sig_blk</f>
      </c>
      <c r="L259" s="17">
        <f>I259-K259</f>
      </c>
      <c r="M259" s="17">
        <f>INDEX(Bar_As,MATCH(C259,Bar_No,0))*L259/1000</f>
      </c>
      <c r="N259" s="17">
        <f>M259*INDEX(Bar_Y,MATCH(C259,Bar_No,0))/1000</f>
      </c>
      <c r="O259" s="17">
        <f>M259*INDEX(Bar_X,MATCH(C259,Bar_No,0))/1000</f>
      </c>
    </row>
    <row r="260" spans="2:15" x14ac:dyDescent="0.25">
      <c r="B260">
        <v>15</v>
      </c>
      <c r="C260">
        <v>3</v>
      </c>
      <c r="D260" s="17">
        <f>INDEX(Blk_c,MATCH(B260,Blk_St,0))</f>
      </c>
      <c r="E260" s="17">
        <f>INDEX(Bar_U,MATCH(C260,Bar_No,0))</f>
      </c>
      <c r="F260" s="17">
        <f>u_max-E260</f>
      </c>
      <c r="G260" s="20">
        <f>ecu*(1-F260/D260)</f>
      </c>
      <c r="H260" s="20">
        <f>MAX(0,-G260)</f>
      </c>
      <c r="I260" s="17">
        <f>MAX(MIN(Es*G260,fy),-fy)</f>
      </c>
      <c r="J260">
        <f>IF(E260&gt;=u_max-beta_1*D260-blk_tol,1,0)</f>
      </c>
      <c r="K260" s="17">
        <f>J260*sig_blk</f>
      </c>
      <c r="L260" s="17">
        <f>I260-K260</f>
      </c>
      <c r="M260" s="17">
        <f>INDEX(Bar_As,MATCH(C260,Bar_No,0))*L260/1000</f>
      </c>
      <c r="N260" s="17">
        <f>M260*INDEX(Bar_Y,MATCH(C260,Bar_No,0))/1000</f>
      </c>
      <c r="O260" s="17">
        <f>M260*INDEX(Bar_X,MATCH(C260,Bar_No,0))/1000</f>
      </c>
    </row>
    <row r="261" spans="2:15" x14ac:dyDescent="0.25">
      <c r="B261">
        <v>15</v>
      </c>
      <c r="C261">
        <v>4</v>
      </c>
      <c r="D261" s="17">
        <f>INDEX(Blk_c,MATCH(B261,Blk_St,0))</f>
      </c>
      <c r="E261" s="17">
        <f>INDEX(Bar_U,MATCH(C261,Bar_No,0))</f>
      </c>
      <c r="F261" s="17">
        <f>u_max-E261</f>
      </c>
      <c r="G261" s="20">
        <f>ecu*(1-F261/D261)</f>
      </c>
      <c r="H261" s="20">
        <f>MAX(0,-G261)</f>
      </c>
      <c r="I261" s="17">
        <f>MAX(MIN(Es*G261,fy),-fy)</f>
      </c>
      <c r="J261">
        <f>IF(E261&gt;=u_max-beta_1*D261-blk_tol,1,0)</f>
      </c>
      <c r="K261" s="17">
        <f>J261*sig_blk</f>
      </c>
      <c r="L261" s="17">
        <f>I261-K261</f>
      </c>
      <c r="M261" s="17">
        <f>INDEX(Bar_As,MATCH(C261,Bar_No,0))*L261/1000</f>
      </c>
      <c r="N261" s="17">
        <f>M261*INDEX(Bar_Y,MATCH(C261,Bar_No,0))/1000</f>
      </c>
      <c r="O261" s="17">
        <f>M261*INDEX(Bar_X,MATCH(C261,Bar_No,0))/1000</f>
      </c>
    </row>
    <row r="262" spans="2:15" x14ac:dyDescent="0.25">
      <c r="B262">
        <v>15</v>
      </c>
      <c r="C262">
        <v>5</v>
      </c>
      <c r="D262" s="17">
        <f>INDEX(Blk_c,MATCH(B262,Blk_St,0))</f>
      </c>
      <c r="E262" s="17">
        <f>INDEX(Bar_U,MATCH(C262,Bar_No,0))</f>
      </c>
      <c r="F262" s="17">
        <f>u_max-E262</f>
      </c>
      <c r="G262" s="20">
        <f>ecu*(1-F262/D262)</f>
      </c>
      <c r="H262" s="20">
        <f>MAX(0,-G262)</f>
      </c>
      <c r="I262" s="17">
        <f>MAX(MIN(Es*G262,fy),-fy)</f>
      </c>
      <c r="J262">
        <f>IF(E262&gt;=u_max-beta_1*D262-blk_tol,1,0)</f>
      </c>
      <c r="K262" s="17">
        <f>J262*sig_blk</f>
      </c>
      <c r="L262" s="17">
        <f>I262-K262</f>
      </c>
      <c r="M262" s="17">
        <f>INDEX(Bar_As,MATCH(C262,Bar_No,0))*L262/1000</f>
      </c>
      <c r="N262" s="17">
        <f>M262*INDEX(Bar_Y,MATCH(C262,Bar_No,0))/1000</f>
      </c>
      <c r="O262" s="17">
        <f>M262*INDEX(Bar_X,MATCH(C262,Bar_No,0))/1000</f>
      </c>
    </row>
    <row r="263" spans="2:15" x14ac:dyDescent="0.25">
      <c r="B263">
        <v>15</v>
      </c>
      <c r="C263">
        <v>6</v>
      </c>
      <c r="D263" s="17">
        <f>INDEX(Blk_c,MATCH(B263,Blk_St,0))</f>
      </c>
      <c r="E263" s="17">
        <f>INDEX(Bar_U,MATCH(C263,Bar_No,0))</f>
      </c>
      <c r="F263" s="17">
        <f>u_max-E263</f>
      </c>
      <c r="G263" s="20">
        <f>ecu*(1-F263/D263)</f>
      </c>
      <c r="H263" s="20">
        <f>MAX(0,-G263)</f>
      </c>
      <c r="I263" s="17">
        <f>MAX(MIN(Es*G263,fy),-fy)</f>
      </c>
      <c r="J263">
        <f>IF(E263&gt;=u_max-beta_1*D263-blk_tol,1,0)</f>
      </c>
      <c r="K263" s="17">
        <f>J263*sig_blk</f>
      </c>
      <c r="L263" s="17">
        <f>I263-K263</f>
      </c>
      <c r="M263" s="17">
        <f>INDEX(Bar_As,MATCH(C263,Bar_No,0))*L263/1000</f>
      </c>
      <c r="N263" s="17">
        <f>M263*INDEX(Bar_Y,MATCH(C263,Bar_No,0))/1000</f>
      </c>
      <c r="O263" s="17">
        <f>M263*INDEX(Bar_X,MATCH(C263,Bar_No,0))/1000</f>
      </c>
    </row>
    <row r="264" spans="2:15" x14ac:dyDescent="0.25">
      <c r="B264">
        <v>15</v>
      </c>
      <c r="C264">
        <v>7</v>
      </c>
      <c r="D264" s="17">
        <f>INDEX(Blk_c,MATCH(B264,Blk_St,0))</f>
      </c>
      <c r="E264" s="17">
        <f>INDEX(Bar_U,MATCH(C264,Bar_No,0))</f>
      </c>
      <c r="F264" s="17">
        <f>u_max-E264</f>
      </c>
      <c r="G264" s="20">
        <f>ecu*(1-F264/D264)</f>
      </c>
      <c r="H264" s="20">
        <f>MAX(0,-G264)</f>
      </c>
      <c r="I264" s="17">
        <f>MAX(MIN(Es*G264,fy),-fy)</f>
      </c>
      <c r="J264">
        <f>IF(E264&gt;=u_max-beta_1*D264-blk_tol,1,0)</f>
      </c>
      <c r="K264" s="17">
        <f>J264*sig_blk</f>
      </c>
      <c r="L264" s="17">
        <f>I264-K264</f>
      </c>
      <c r="M264" s="17">
        <f>INDEX(Bar_As,MATCH(C264,Bar_No,0))*L264/1000</f>
      </c>
      <c r="N264" s="17">
        <f>M264*INDEX(Bar_Y,MATCH(C264,Bar_No,0))/1000</f>
      </c>
      <c r="O264" s="17">
        <f>M264*INDEX(Bar_X,MATCH(C264,Bar_No,0))/1000</f>
      </c>
    </row>
    <row r="265" spans="2:15" x14ac:dyDescent="0.25">
      <c r="B265">
        <v>15</v>
      </c>
      <c r="C265">
        <v>8</v>
      </c>
      <c r="D265" s="17">
        <f>INDEX(Blk_c,MATCH(B265,Blk_St,0))</f>
      </c>
      <c r="E265" s="17">
        <f>INDEX(Bar_U,MATCH(C265,Bar_No,0))</f>
      </c>
      <c r="F265" s="17">
        <f>u_max-E265</f>
      </c>
      <c r="G265" s="20">
        <f>ecu*(1-F265/D265)</f>
      </c>
      <c r="H265" s="20">
        <f>MAX(0,-G265)</f>
      </c>
      <c r="I265" s="17">
        <f>MAX(MIN(Es*G265,fy),-fy)</f>
      </c>
      <c r="J265">
        <f>IF(E265&gt;=u_max-beta_1*D265-blk_tol,1,0)</f>
      </c>
      <c r="K265" s="17">
        <f>J265*sig_blk</f>
      </c>
      <c r="L265" s="17">
        <f>I265-K265</f>
      </c>
      <c r="M265" s="17">
        <f>INDEX(Bar_As,MATCH(C265,Bar_No,0))*L265/1000</f>
      </c>
      <c r="N265" s="17">
        <f>M265*INDEX(Bar_Y,MATCH(C265,Bar_No,0))/1000</f>
      </c>
      <c r="O265" s="17">
        <f>M265*INDEX(Bar_X,MATCH(C265,Bar_No,0))/1000</f>
      </c>
    </row>
    <row r="266" spans="2:15" x14ac:dyDescent="0.25">
      <c r="B266">
        <v>15</v>
      </c>
      <c r="C266">
        <v>9</v>
      </c>
      <c r="D266" s="17">
        <f>INDEX(Blk_c,MATCH(B266,Blk_St,0))</f>
      </c>
      <c r="E266" s="17">
        <f>INDEX(Bar_U,MATCH(C266,Bar_No,0))</f>
      </c>
      <c r="F266" s="17">
        <f>u_max-E266</f>
      </c>
      <c r="G266" s="20">
        <f>ecu*(1-F266/D266)</f>
      </c>
      <c r="H266" s="20">
        <f>MAX(0,-G266)</f>
      </c>
      <c r="I266" s="17">
        <f>MAX(MIN(Es*G266,fy),-fy)</f>
      </c>
      <c r="J266">
        <f>IF(E266&gt;=u_max-beta_1*D266-blk_tol,1,0)</f>
      </c>
      <c r="K266" s="17">
        <f>J266*sig_blk</f>
      </c>
      <c r="L266" s="17">
        <f>I266-K266</f>
      </c>
      <c r="M266" s="17">
        <f>INDEX(Bar_As,MATCH(C266,Bar_No,0))*L266/1000</f>
      </c>
      <c r="N266" s="17">
        <f>M266*INDEX(Bar_Y,MATCH(C266,Bar_No,0))/1000</f>
      </c>
      <c r="O266" s="17">
        <f>M266*INDEX(Bar_X,MATCH(C266,Bar_No,0))/1000</f>
      </c>
    </row>
    <row r="267" spans="2:15" x14ac:dyDescent="0.25">
      <c r="B267">
        <v>15</v>
      </c>
      <c r="C267">
        <v>10</v>
      </c>
      <c r="D267" s="17">
        <f>INDEX(Blk_c,MATCH(B267,Blk_St,0))</f>
      </c>
      <c r="E267" s="17">
        <f>INDEX(Bar_U,MATCH(C267,Bar_No,0))</f>
      </c>
      <c r="F267" s="17">
        <f>u_max-E267</f>
      </c>
      <c r="G267" s="20">
        <f>ecu*(1-F267/D267)</f>
      </c>
      <c r="H267" s="20">
        <f>MAX(0,-G267)</f>
      </c>
      <c r="I267" s="17">
        <f>MAX(MIN(Es*G267,fy),-fy)</f>
      </c>
      <c r="J267">
        <f>IF(E267&gt;=u_max-beta_1*D267-blk_tol,1,0)</f>
      </c>
      <c r="K267" s="17">
        <f>J267*sig_blk</f>
      </c>
      <c r="L267" s="17">
        <f>I267-K267</f>
      </c>
      <c r="M267" s="17">
        <f>INDEX(Bar_As,MATCH(C267,Bar_No,0))*L267/1000</f>
      </c>
      <c r="N267" s="17">
        <f>M267*INDEX(Bar_Y,MATCH(C267,Bar_No,0))/1000</f>
      </c>
      <c r="O267" s="17">
        <f>M267*INDEX(Bar_X,MATCH(C267,Bar_No,0))/1000</f>
      </c>
    </row>
    <row r="268" spans="2:15" x14ac:dyDescent="0.25">
      <c r="B268">
        <v>15</v>
      </c>
      <c r="C268">
        <v>11</v>
      </c>
      <c r="D268" s="17">
        <f>INDEX(Blk_c,MATCH(B268,Blk_St,0))</f>
      </c>
      <c r="E268" s="17">
        <f>INDEX(Bar_U,MATCH(C268,Bar_No,0))</f>
      </c>
      <c r="F268" s="17">
        <f>u_max-E268</f>
      </c>
      <c r="G268" s="20">
        <f>ecu*(1-F268/D268)</f>
      </c>
      <c r="H268" s="20">
        <f>MAX(0,-G268)</f>
      </c>
      <c r="I268" s="17">
        <f>MAX(MIN(Es*G268,fy),-fy)</f>
      </c>
      <c r="J268">
        <f>IF(E268&gt;=u_max-beta_1*D268-blk_tol,1,0)</f>
      </c>
      <c r="K268" s="17">
        <f>J268*sig_blk</f>
      </c>
      <c r="L268" s="17">
        <f>I268-K268</f>
      </c>
      <c r="M268" s="17">
        <f>INDEX(Bar_As,MATCH(C268,Bar_No,0))*L268/1000</f>
      </c>
      <c r="N268" s="17">
        <f>M268*INDEX(Bar_Y,MATCH(C268,Bar_No,0))/1000</f>
      </c>
      <c r="O268" s="17">
        <f>M268*INDEX(Bar_X,MATCH(C268,Bar_No,0))/1000</f>
      </c>
    </row>
    <row r="269" spans="2:15" x14ac:dyDescent="0.25">
      <c r="B269">
        <v>15</v>
      </c>
      <c r="C269">
        <v>12</v>
      </c>
      <c r="D269" s="17">
        <f>INDEX(Blk_c,MATCH(B269,Blk_St,0))</f>
      </c>
      <c r="E269" s="17">
        <f>INDEX(Bar_U,MATCH(C269,Bar_No,0))</f>
      </c>
      <c r="F269" s="17">
        <f>u_max-E269</f>
      </c>
      <c r="G269" s="20">
        <f>ecu*(1-F269/D269)</f>
      </c>
      <c r="H269" s="20">
        <f>MAX(0,-G269)</f>
      </c>
      <c r="I269" s="17">
        <f>MAX(MIN(Es*G269,fy),-fy)</f>
      </c>
      <c r="J269">
        <f>IF(E269&gt;=u_max-beta_1*D269-blk_tol,1,0)</f>
      </c>
      <c r="K269" s="17">
        <f>J269*sig_blk</f>
      </c>
      <c r="L269" s="17">
        <f>I269-K269</f>
      </c>
      <c r="M269" s="17">
        <f>INDEX(Bar_As,MATCH(C269,Bar_No,0))*L269/1000</f>
      </c>
      <c r="N269" s="17">
        <f>M269*INDEX(Bar_Y,MATCH(C269,Bar_No,0))/1000</f>
      </c>
      <c r="O269" s="17">
        <f>M269*INDEX(Bar_X,MATCH(C269,Bar_No,0))/1000</f>
      </c>
    </row>
    <row r="270" spans="2:15" x14ac:dyDescent="0.25">
      <c r="B270">
        <v>15</v>
      </c>
      <c r="C270">
        <v>13</v>
      </c>
      <c r="D270" s="17">
        <f>INDEX(Blk_c,MATCH(B270,Blk_St,0))</f>
      </c>
      <c r="E270" s="17">
        <f>INDEX(Bar_U,MATCH(C270,Bar_No,0))</f>
      </c>
      <c r="F270" s="17">
        <f>u_max-E270</f>
      </c>
      <c r="G270" s="20">
        <f>ecu*(1-F270/D270)</f>
      </c>
      <c r="H270" s="20">
        <f>MAX(0,-G270)</f>
      </c>
      <c r="I270" s="17">
        <f>MAX(MIN(Es*G270,fy),-fy)</f>
      </c>
      <c r="J270">
        <f>IF(E270&gt;=u_max-beta_1*D270-blk_tol,1,0)</f>
      </c>
      <c r="K270" s="17">
        <f>J270*sig_blk</f>
      </c>
      <c r="L270" s="17">
        <f>I270-K270</f>
      </c>
      <c r="M270" s="17">
        <f>INDEX(Bar_As,MATCH(C270,Bar_No,0))*L270/1000</f>
      </c>
      <c r="N270" s="17">
        <f>M270*INDEX(Bar_Y,MATCH(C270,Bar_No,0))/1000</f>
      </c>
      <c r="O270" s="17">
        <f>M270*INDEX(Bar_X,MATCH(C270,Bar_No,0))/1000</f>
      </c>
    </row>
    <row r="271" spans="2:15" x14ac:dyDescent="0.25">
      <c r="B271">
        <v>15</v>
      </c>
      <c r="C271">
        <v>14</v>
      </c>
      <c r="D271" s="17">
        <f>INDEX(Blk_c,MATCH(B271,Blk_St,0))</f>
      </c>
      <c r="E271" s="17">
        <f>INDEX(Bar_U,MATCH(C271,Bar_No,0))</f>
      </c>
      <c r="F271" s="17">
        <f>u_max-E271</f>
      </c>
      <c r="G271" s="20">
        <f>ecu*(1-F271/D271)</f>
      </c>
      <c r="H271" s="20">
        <f>MAX(0,-G271)</f>
      </c>
      <c r="I271" s="17">
        <f>MAX(MIN(Es*G271,fy),-fy)</f>
      </c>
      <c r="J271">
        <f>IF(E271&gt;=u_max-beta_1*D271-blk_tol,1,0)</f>
      </c>
      <c r="K271" s="17">
        <f>J271*sig_blk</f>
      </c>
      <c r="L271" s="17">
        <f>I271-K271</f>
      </c>
      <c r="M271" s="17">
        <f>INDEX(Bar_As,MATCH(C271,Bar_No,0))*L271/1000</f>
      </c>
      <c r="N271" s="17">
        <f>M271*INDEX(Bar_Y,MATCH(C271,Bar_No,0))/1000</f>
      </c>
      <c r="O271" s="17">
        <f>M271*INDEX(Bar_X,MATCH(C271,Bar_No,0))/1000</f>
      </c>
    </row>
    <row r="272" spans="2:15" x14ac:dyDescent="0.25">
      <c r="B272">
        <v>15</v>
      </c>
      <c r="C272">
        <v>15</v>
      </c>
      <c r="D272" s="17">
        <f>INDEX(Blk_c,MATCH(B272,Blk_St,0))</f>
      </c>
      <c r="E272" s="17">
        <f>INDEX(Bar_U,MATCH(C272,Bar_No,0))</f>
      </c>
      <c r="F272" s="17">
        <f>u_max-E272</f>
      </c>
      <c r="G272" s="20">
        <f>ecu*(1-F272/D272)</f>
      </c>
      <c r="H272" s="20">
        <f>MAX(0,-G272)</f>
      </c>
      <c r="I272" s="17">
        <f>MAX(MIN(Es*G272,fy),-fy)</f>
      </c>
      <c r="J272">
        <f>IF(E272&gt;=u_max-beta_1*D272-blk_tol,1,0)</f>
      </c>
      <c r="K272" s="17">
        <f>J272*sig_blk</f>
      </c>
      <c r="L272" s="17">
        <f>I272-K272</f>
      </c>
      <c r="M272" s="17">
        <f>INDEX(Bar_As,MATCH(C272,Bar_No,0))*L272/1000</f>
      </c>
      <c r="N272" s="17">
        <f>M272*INDEX(Bar_Y,MATCH(C272,Bar_No,0))/1000</f>
      </c>
      <c r="O272" s="17">
        <f>M272*INDEX(Bar_X,MATCH(C272,Bar_No,0))/1000</f>
      </c>
    </row>
    <row r="273" spans="2:15" x14ac:dyDescent="0.25">
      <c r="B273">
        <v>15</v>
      </c>
      <c r="C273">
        <v>16</v>
      </c>
      <c r="D273" s="17">
        <f>INDEX(Blk_c,MATCH(B273,Blk_St,0))</f>
      </c>
      <c r="E273" s="17">
        <f>INDEX(Bar_U,MATCH(C273,Bar_No,0))</f>
      </c>
      <c r="F273" s="17">
        <f>u_max-E273</f>
      </c>
      <c r="G273" s="20">
        <f>ecu*(1-F273/D273)</f>
      </c>
      <c r="H273" s="20">
        <f>MAX(0,-G273)</f>
      </c>
      <c r="I273" s="17">
        <f>MAX(MIN(Es*G273,fy),-fy)</f>
      </c>
      <c r="J273">
        <f>IF(E273&gt;=u_max-beta_1*D273-blk_tol,1,0)</f>
      </c>
      <c r="K273" s="17">
        <f>J273*sig_blk</f>
      </c>
      <c r="L273" s="17">
        <f>I273-K273</f>
      </c>
      <c r="M273" s="17">
        <f>INDEX(Bar_As,MATCH(C273,Bar_No,0))*L273/1000</f>
      </c>
      <c r="N273" s="17">
        <f>M273*INDEX(Bar_Y,MATCH(C273,Bar_No,0))/1000</f>
      </c>
      <c r="O273" s="17">
        <f>M273*INDEX(Bar_X,MATCH(C273,Bar_No,0))/1000</f>
      </c>
    </row>
    <row r="274" spans="2:15" x14ac:dyDescent="0.25">
      <c r="B274">
        <v>15</v>
      </c>
      <c r="C274">
        <v>17</v>
      </c>
      <c r="D274" s="17">
        <f>INDEX(Blk_c,MATCH(B274,Blk_St,0))</f>
      </c>
      <c r="E274" s="17">
        <f>INDEX(Bar_U,MATCH(C274,Bar_No,0))</f>
      </c>
      <c r="F274" s="17">
        <f>u_max-E274</f>
      </c>
      <c r="G274" s="20">
        <f>ecu*(1-F274/D274)</f>
      </c>
      <c r="H274" s="20">
        <f>MAX(0,-G274)</f>
      </c>
      <c r="I274" s="17">
        <f>MAX(MIN(Es*G274,fy),-fy)</f>
      </c>
      <c r="J274">
        <f>IF(E274&gt;=u_max-beta_1*D274-blk_tol,1,0)</f>
      </c>
      <c r="K274" s="17">
        <f>J274*sig_blk</f>
      </c>
      <c r="L274" s="17">
        <f>I274-K274</f>
      </c>
      <c r="M274" s="17">
        <f>INDEX(Bar_As,MATCH(C274,Bar_No,0))*L274/1000</f>
      </c>
      <c r="N274" s="17">
        <f>M274*INDEX(Bar_Y,MATCH(C274,Bar_No,0))/1000</f>
      </c>
      <c r="O274" s="17">
        <f>M274*INDEX(Bar_X,MATCH(C274,Bar_No,0))/1000</f>
      </c>
    </row>
    <row r="275" spans="2:15" x14ac:dyDescent="0.25">
      <c r="B275">
        <v>15</v>
      </c>
      <c r="C275">
        <v>18</v>
      </c>
      <c r="D275" s="17">
        <f>INDEX(Blk_c,MATCH(B275,Blk_St,0))</f>
      </c>
      <c r="E275" s="17">
        <f>INDEX(Bar_U,MATCH(C275,Bar_No,0))</f>
      </c>
      <c r="F275" s="17">
        <f>u_max-E275</f>
      </c>
      <c r="G275" s="20">
        <f>ecu*(1-F275/D275)</f>
      </c>
      <c r="H275" s="20">
        <f>MAX(0,-G275)</f>
      </c>
      <c r="I275" s="17">
        <f>MAX(MIN(Es*G275,fy),-fy)</f>
      </c>
      <c r="J275">
        <f>IF(E275&gt;=u_max-beta_1*D275-blk_tol,1,0)</f>
      </c>
      <c r="K275" s="17">
        <f>J275*sig_blk</f>
      </c>
      <c r="L275" s="17">
        <f>I275-K275</f>
      </c>
      <c r="M275" s="17">
        <f>INDEX(Bar_As,MATCH(C275,Bar_No,0))*L275/1000</f>
      </c>
      <c r="N275" s="17">
        <f>M275*INDEX(Bar_Y,MATCH(C275,Bar_No,0))/1000</f>
      </c>
      <c r="O275" s="17">
        <f>M275*INDEX(Bar_X,MATCH(C275,Bar_No,0))/1000</f>
      </c>
    </row>
    <row r="276" spans="2:15" x14ac:dyDescent="0.25">
      <c r="B276">
        <v>16</v>
      </c>
      <c r="C276">
        <v>1</v>
      </c>
      <c r="D276" s="17">
        <f>INDEX(Blk_c,MATCH(B276,Blk_St,0))</f>
      </c>
      <c r="E276" s="17">
        <f>INDEX(Bar_U,MATCH(C276,Bar_No,0))</f>
      </c>
      <c r="F276" s="17">
        <f>u_max-E276</f>
      </c>
      <c r="G276" s="20">
        <f>ecu*(1-F276/D276)</f>
      </c>
      <c r="H276" s="20">
        <f>MAX(0,-G276)</f>
      </c>
      <c r="I276" s="17">
        <f>MAX(MIN(Es*G276,fy),-fy)</f>
      </c>
      <c r="J276">
        <f>IF(E276&gt;=u_max-beta_1*D276-blk_tol,1,0)</f>
      </c>
      <c r="K276" s="17">
        <f>J276*sig_blk</f>
      </c>
      <c r="L276" s="17">
        <f>I276-K276</f>
      </c>
      <c r="M276" s="17">
        <f>INDEX(Bar_As,MATCH(C276,Bar_No,0))*L276/1000</f>
      </c>
      <c r="N276" s="17">
        <f>M276*INDEX(Bar_Y,MATCH(C276,Bar_No,0))/1000</f>
      </c>
      <c r="O276" s="17">
        <f>M276*INDEX(Bar_X,MATCH(C276,Bar_No,0))/1000</f>
      </c>
    </row>
    <row r="277" spans="2:15" x14ac:dyDescent="0.25">
      <c r="B277">
        <v>16</v>
      </c>
      <c r="C277">
        <v>2</v>
      </c>
      <c r="D277" s="17">
        <f>INDEX(Blk_c,MATCH(B277,Blk_St,0))</f>
      </c>
      <c r="E277" s="17">
        <f>INDEX(Bar_U,MATCH(C277,Bar_No,0))</f>
      </c>
      <c r="F277" s="17">
        <f>u_max-E277</f>
      </c>
      <c r="G277" s="20">
        <f>ecu*(1-F277/D277)</f>
      </c>
      <c r="H277" s="20">
        <f>MAX(0,-G277)</f>
      </c>
      <c r="I277" s="17">
        <f>MAX(MIN(Es*G277,fy),-fy)</f>
      </c>
      <c r="J277">
        <f>IF(E277&gt;=u_max-beta_1*D277-blk_tol,1,0)</f>
      </c>
      <c r="K277" s="17">
        <f>J277*sig_blk</f>
      </c>
      <c r="L277" s="17">
        <f>I277-K277</f>
      </c>
      <c r="M277" s="17">
        <f>INDEX(Bar_As,MATCH(C277,Bar_No,0))*L277/1000</f>
      </c>
      <c r="N277" s="17">
        <f>M277*INDEX(Bar_Y,MATCH(C277,Bar_No,0))/1000</f>
      </c>
      <c r="O277" s="17">
        <f>M277*INDEX(Bar_X,MATCH(C277,Bar_No,0))/1000</f>
      </c>
    </row>
    <row r="278" spans="2:15" x14ac:dyDescent="0.25">
      <c r="B278">
        <v>16</v>
      </c>
      <c r="C278">
        <v>3</v>
      </c>
      <c r="D278" s="17">
        <f>INDEX(Blk_c,MATCH(B278,Blk_St,0))</f>
      </c>
      <c r="E278" s="17">
        <f>INDEX(Bar_U,MATCH(C278,Bar_No,0))</f>
      </c>
      <c r="F278" s="17">
        <f>u_max-E278</f>
      </c>
      <c r="G278" s="20">
        <f>ecu*(1-F278/D278)</f>
      </c>
      <c r="H278" s="20">
        <f>MAX(0,-G278)</f>
      </c>
      <c r="I278" s="17">
        <f>MAX(MIN(Es*G278,fy),-fy)</f>
      </c>
      <c r="J278">
        <f>IF(E278&gt;=u_max-beta_1*D278-blk_tol,1,0)</f>
      </c>
      <c r="K278" s="17">
        <f>J278*sig_blk</f>
      </c>
      <c r="L278" s="17">
        <f>I278-K278</f>
      </c>
      <c r="M278" s="17">
        <f>INDEX(Bar_As,MATCH(C278,Bar_No,0))*L278/1000</f>
      </c>
      <c r="N278" s="17">
        <f>M278*INDEX(Bar_Y,MATCH(C278,Bar_No,0))/1000</f>
      </c>
      <c r="O278" s="17">
        <f>M278*INDEX(Bar_X,MATCH(C278,Bar_No,0))/1000</f>
      </c>
    </row>
    <row r="279" spans="2:15" x14ac:dyDescent="0.25">
      <c r="B279">
        <v>16</v>
      </c>
      <c r="C279">
        <v>4</v>
      </c>
      <c r="D279" s="17">
        <f>INDEX(Blk_c,MATCH(B279,Blk_St,0))</f>
      </c>
      <c r="E279" s="17">
        <f>INDEX(Bar_U,MATCH(C279,Bar_No,0))</f>
      </c>
      <c r="F279" s="17">
        <f>u_max-E279</f>
      </c>
      <c r="G279" s="20">
        <f>ecu*(1-F279/D279)</f>
      </c>
      <c r="H279" s="20">
        <f>MAX(0,-G279)</f>
      </c>
      <c r="I279" s="17">
        <f>MAX(MIN(Es*G279,fy),-fy)</f>
      </c>
      <c r="J279">
        <f>IF(E279&gt;=u_max-beta_1*D279-blk_tol,1,0)</f>
      </c>
      <c r="K279" s="17">
        <f>J279*sig_blk</f>
      </c>
      <c r="L279" s="17">
        <f>I279-K279</f>
      </c>
      <c r="M279" s="17">
        <f>INDEX(Bar_As,MATCH(C279,Bar_No,0))*L279/1000</f>
      </c>
      <c r="N279" s="17">
        <f>M279*INDEX(Bar_Y,MATCH(C279,Bar_No,0))/1000</f>
      </c>
      <c r="O279" s="17">
        <f>M279*INDEX(Bar_X,MATCH(C279,Bar_No,0))/1000</f>
      </c>
    </row>
    <row r="280" spans="2:15" x14ac:dyDescent="0.25">
      <c r="B280">
        <v>16</v>
      </c>
      <c r="C280">
        <v>5</v>
      </c>
      <c r="D280" s="17">
        <f>INDEX(Blk_c,MATCH(B280,Blk_St,0))</f>
      </c>
      <c r="E280" s="17">
        <f>INDEX(Bar_U,MATCH(C280,Bar_No,0))</f>
      </c>
      <c r="F280" s="17">
        <f>u_max-E280</f>
      </c>
      <c r="G280" s="20">
        <f>ecu*(1-F280/D280)</f>
      </c>
      <c r="H280" s="20">
        <f>MAX(0,-G280)</f>
      </c>
      <c r="I280" s="17">
        <f>MAX(MIN(Es*G280,fy),-fy)</f>
      </c>
      <c r="J280">
        <f>IF(E280&gt;=u_max-beta_1*D280-blk_tol,1,0)</f>
      </c>
      <c r="K280" s="17">
        <f>J280*sig_blk</f>
      </c>
      <c r="L280" s="17">
        <f>I280-K280</f>
      </c>
      <c r="M280" s="17">
        <f>INDEX(Bar_As,MATCH(C280,Bar_No,0))*L280/1000</f>
      </c>
      <c r="N280" s="17">
        <f>M280*INDEX(Bar_Y,MATCH(C280,Bar_No,0))/1000</f>
      </c>
      <c r="O280" s="17">
        <f>M280*INDEX(Bar_X,MATCH(C280,Bar_No,0))/1000</f>
      </c>
    </row>
    <row r="281" spans="2:15" x14ac:dyDescent="0.25">
      <c r="B281">
        <v>16</v>
      </c>
      <c r="C281">
        <v>6</v>
      </c>
      <c r="D281" s="17">
        <f>INDEX(Blk_c,MATCH(B281,Blk_St,0))</f>
      </c>
      <c r="E281" s="17">
        <f>INDEX(Bar_U,MATCH(C281,Bar_No,0))</f>
      </c>
      <c r="F281" s="17">
        <f>u_max-E281</f>
      </c>
      <c r="G281" s="20">
        <f>ecu*(1-F281/D281)</f>
      </c>
      <c r="H281" s="20">
        <f>MAX(0,-G281)</f>
      </c>
      <c r="I281" s="17">
        <f>MAX(MIN(Es*G281,fy),-fy)</f>
      </c>
      <c r="J281">
        <f>IF(E281&gt;=u_max-beta_1*D281-blk_tol,1,0)</f>
      </c>
      <c r="K281" s="17">
        <f>J281*sig_blk</f>
      </c>
      <c r="L281" s="17">
        <f>I281-K281</f>
      </c>
      <c r="M281" s="17">
        <f>INDEX(Bar_As,MATCH(C281,Bar_No,0))*L281/1000</f>
      </c>
      <c r="N281" s="17">
        <f>M281*INDEX(Bar_Y,MATCH(C281,Bar_No,0))/1000</f>
      </c>
      <c r="O281" s="17">
        <f>M281*INDEX(Bar_X,MATCH(C281,Bar_No,0))/1000</f>
      </c>
    </row>
    <row r="282" spans="2:15" x14ac:dyDescent="0.25">
      <c r="B282">
        <v>16</v>
      </c>
      <c r="C282">
        <v>7</v>
      </c>
      <c r="D282" s="17">
        <f>INDEX(Blk_c,MATCH(B282,Blk_St,0))</f>
      </c>
      <c r="E282" s="17">
        <f>INDEX(Bar_U,MATCH(C282,Bar_No,0))</f>
      </c>
      <c r="F282" s="17">
        <f>u_max-E282</f>
      </c>
      <c r="G282" s="20">
        <f>ecu*(1-F282/D282)</f>
      </c>
      <c r="H282" s="20">
        <f>MAX(0,-G282)</f>
      </c>
      <c r="I282" s="17">
        <f>MAX(MIN(Es*G282,fy),-fy)</f>
      </c>
      <c r="J282">
        <f>IF(E282&gt;=u_max-beta_1*D282-blk_tol,1,0)</f>
      </c>
      <c r="K282" s="17">
        <f>J282*sig_blk</f>
      </c>
      <c r="L282" s="17">
        <f>I282-K282</f>
      </c>
      <c r="M282" s="17">
        <f>INDEX(Bar_As,MATCH(C282,Bar_No,0))*L282/1000</f>
      </c>
      <c r="N282" s="17">
        <f>M282*INDEX(Bar_Y,MATCH(C282,Bar_No,0))/1000</f>
      </c>
      <c r="O282" s="17">
        <f>M282*INDEX(Bar_X,MATCH(C282,Bar_No,0))/1000</f>
      </c>
    </row>
    <row r="283" spans="2:15" x14ac:dyDescent="0.25">
      <c r="B283">
        <v>16</v>
      </c>
      <c r="C283">
        <v>8</v>
      </c>
      <c r="D283" s="17">
        <f>INDEX(Blk_c,MATCH(B283,Blk_St,0))</f>
      </c>
      <c r="E283" s="17">
        <f>INDEX(Bar_U,MATCH(C283,Bar_No,0))</f>
      </c>
      <c r="F283" s="17">
        <f>u_max-E283</f>
      </c>
      <c r="G283" s="20">
        <f>ecu*(1-F283/D283)</f>
      </c>
      <c r="H283" s="20">
        <f>MAX(0,-G283)</f>
      </c>
      <c r="I283" s="17">
        <f>MAX(MIN(Es*G283,fy),-fy)</f>
      </c>
      <c r="J283">
        <f>IF(E283&gt;=u_max-beta_1*D283-blk_tol,1,0)</f>
      </c>
      <c r="K283" s="17">
        <f>J283*sig_blk</f>
      </c>
      <c r="L283" s="17">
        <f>I283-K283</f>
      </c>
      <c r="M283" s="17">
        <f>INDEX(Bar_As,MATCH(C283,Bar_No,0))*L283/1000</f>
      </c>
      <c r="N283" s="17">
        <f>M283*INDEX(Bar_Y,MATCH(C283,Bar_No,0))/1000</f>
      </c>
      <c r="O283" s="17">
        <f>M283*INDEX(Bar_X,MATCH(C283,Bar_No,0))/1000</f>
      </c>
    </row>
    <row r="284" spans="2:15" x14ac:dyDescent="0.25">
      <c r="B284">
        <v>16</v>
      </c>
      <c r="C284">
        <v>9</v>
      </c>
      <c r="D284" s="17">
        <f>INDEX(Blk_c,MATCH(B284,Blk_St,0))</f>
      </c>
      <c r="E284" s="17">
        <f>INDEX(Bar_U,MATCH(C284,Bar_No,0))</f>
      </c>
      <c r="F284" s="17">
        <f>u_max-E284</f>
      </c>
      <c r="G284" s="20">
        <f>ecu*(1-F284/D284)</f>
      </c>
      <c r="H284" s="20">
        <f>MAX(0,-G284)</f>
      </c>
      <c r="I284" s="17">
        <f>MAX(MIN(Es*G284,fy),-fy)</f>
      </c>
      <c r="J284">
        <f>IF(E284&gt;=u_max-beta_1*D284-blk_tol,1,0)</f>
      </c>
      <c r="K284" s="17">
        <f>J284*sig_blk</f>
      </c>
      <c r="L284" s="17">
        <f>I284-K284</f>
      </c>
      <c r="M284" s="17">
        <f>INDEX(Bar_As,MATCH(C284,Bar_No,0))*L284/1000</f>
      </c>
      <c r="N284" s="17">
        <f>M284*INDEX(Bar_Y,MATCH(C284,Bar_No,0))/1000</f>
      </c>
      <c r="O284" s="17">
        <f>M284*INDEX(Bar_X,MATCH(C284,Bar_No,0))/1000</f>
      </c>
    </row>
    <row r="285" spans="2:15" x14ac:dyDescent="0.25">
      <c r="B285">
        <v>16</v>
      </c>
      <c r="C285">
        <v>10</v>
      </c>
      <c r="D285" s="17">
        <f>INDEX(Blk_c,MATCH(B285,Blk_St,0))</f>
      </c>
      <c r="E285" s="17">
        <f>INDEX(Bar_U,MATCH(C285,Bar_No,0))</f>
      </c>
      <c r="F285" s="17">
        <f>u_max-E285</f>
      </c>
      <c r="G285" s="20">
        <f>ecu*(1-F285/D285)</f>
      </c>
      <c r="H285" s="20">
        <f>MAX(0,-G285)</f>
      </c>
      <c r="I285" s="17">
        <f>MAX(MIN(Es*G285,fy),-fy)</f>
      </c>
      <c r="J285">
        <f>IF(E285&gt;=u_max-beta_1*D285-blk_tol,1,0)</f>
      </c>
      <c r="K285" s="17">
        <f>J285*sig_blk</f>
      </c>
      <c r="L285" s="17">
        <f>I285-K285</f>
      </c>
      <c r="M285" s="17">
        <f>INDEX(Bar_As,MATCH(C285,Bar_No,0))*L285/1000</f>
      </c>
      <c r="N285" s="17">
        <f>M285*INDEX(Bar_Y,MATCH(C285,Bar_No,0))/1000</f>
      </c>
      <c r="O285" s="17">
        <f>M285*INDEX(Bar_X,MATCH(C285,Bar_No,0))/1000</f>
      </c>
    </row>
    <row r="286" spans="2:15" x14ac:dyDescent="0.25">
      <c r="B286">
        <v>16</v>
      </c>
      <c r="C286">
        <v>11</v>
      </c>
      <c r="D286" s="17">
        <f>INDEX(Blk_c,MATCH(B286,Blk_St,0))</f>
      </c>
      <c r="E286" s="17">
        <f>INDEX(Bar_U,MATCH(C286,Bar_No,0))</f>
      </c>
      <c r="F286" s="17">
        <f>u_max-E286</f>
      </c>
      <c r="G286" s="20">
        <f>ecu*(1-F286/D286)</f>
      </c>
      <c r="H286" s="20">
        <f>MAX(0,-G286)</f>
      </c>
      <c r="I286" s="17">
        <f>MAX(MIN(Es*G286,fy),-fy)</f>
      </c>
      <c r="J286">
        <f>IF(E286&gt;=u_max-beta_1*D286-blk_tol,1,0)</f>
      </c>
      <c r="K286" s="17">
        <f>J286*sig_blk</f>
      </c>
      <c r="L286" s="17">
        <f>I286-K286</f>
      </c>
      <c r="M286" s="17">
        <f>INDEX(Bar_As,MATCH(C286,Bar_No,0))*L286/1000</f>
      </c>
      <c r="N286" s="17">
        <f>M286*INDEX(Bar_Y,MATCH(C286,Bar_No,0))/1000</f>
      </c>
      <c r="O286" s="17">
        <f>M286*INDEX(Bar_X,MATCH(C286,Bar_No,0))/1000</f>
      </c>
    </row>
    <row r="287" spans="2:15" x14ac:dyDescent="0.25">
      <c r="B287">
        <v>16</v>
      </c>
      <c r="C287">
        <v>12</v>
      </c>
      <c r="D287" s="17">
        <f>INDEX(Blk_c,MATCH(B287,Blk_St,0))</f>
      </c>
      <c r="E287" s="17">
        <f>INDEX(Bar_U,MATCH(C287,Bar_No,0))</f>
      </c>
      <c r="F287" s="17">
        <f>u_max-E287</f>
      </c>
      <c r="G287" s="20">
        <f>ecu*(1-F287/D287)</f>
      </c>
      <c r="H287" s="20">
        <f>MAX(0,-G287)</f>
      </c>
      <c r="I287" s="17">
        <f>MAX(MIN(Es*G287,fy),-fy)</f>
      </c>
      <c r="J287">
        <f>IF(E287&gt;=u_max-beta_1*D287-blk_tol,1,0)</f>
      </c>
      <c r="K287" s="17">
        <f>J287*sig_blk</f>
      </c>
      <c r="L287" s="17">
        <f>I287-K287</f>
      </c>
      <c r="M287" s="17">
        <f>INDEX(Bar_As,MATCH(C287,Bar_No,0))*L287/1000</f>
      </c>
      <c r="N287" s="17">
        <f>M287*INDEX(Bar_Y,MATCH(C287,Bar_No,0))/1000</f>
      </c>
      <c r="O287" s="17">
        <f>M287*INDEX(Bar_X,MATCH(C287,Bar_No,0))/1000</f>
      </c>
    </row>
    <row r="288" spans="2:15" x14ac:dyDescent="0.25">
      <c r="B288">
        <v>16</v>
      </c>
      <c r="C288">
        <v>13</v>
      </c>
      <c r="D288" s="17">
        <f>INDEX(Blk_c,MATCH(B288,Blk_St,0))</f>
      </c>
      <c r="E288" s="17">
        <f>INDEX(Bar_U,MATCH(C288,Bar_No,0))</f>
      </c>
      <c r="F288" s="17">
        <f>u_max-E288</f>
      </c>
      <c r="G288" s="20">
        <f>ecu*(1-F288/D288)</f>
      </c>
      <c r="H288" s="20">
        <f>MAX(0,-G288)</f>
      </c>
      <c r="I288" s="17">
        <f>MAX(MIN(Es*G288,fy),-fy)</f>
      </c>
      <c r="J288">
        <f>IF(E288&gt;=u_max-beta_1*D288-blk_tol,1,0)</f>
      </c>
      <c r="K288" s="17">
        <f>J288*sig_blk</f>
      </c>
      <c r="L288" s="17">
        <f>I288-K288</f>
      </c>
      <c r="M288" s="17">
        <f>INDEX(Bar_As,MATCH(C288,Bar_No,0))*L288/1000</f>
      </c>
      <c r="N288" s="17">
        <f>M288*INDEX(Bar_Y,MATCH(C288,Bar_No,0))/1000</f>
      </c>
      <c r="O288" s="17">
        <f>M288*INDEX(Bar_X,MATCH(C288,Bar_No,0))/1000</f>
      </c>
    </row>
    <row r="289" spans="2:15" x14ac:dyDescent="0.25">
      <c r="B289">
        <v>16</v>
      </c>
      <c r="C289">
        <v>14</v>
      </c>
      <c r="D289" s="17">
        <f>INDEX(Blk_c,MATCH(B289,Blk_St,0))</f>
      </c>
      <c r="E289" s="17">
        <f>INDEX(Bar_U,MATCH(C289,Bar_No,0))</f>
      </c>
      <c r="F289" s="17">
        <f>u_max-E289</f>
      </c>
      <c r="G289" s="20">
        <f>ecu*(1-F289/D289)</f>
      </c>
      <c r="H289" s="20">
        <f>MAX(0,-G289)</f>
      </c>
      <c r="I289" s="17">
        <f>MAX(MIN(Es*G289,fy),-fy)</f>
      </c>
      <c r="J289">
        <f>IF(E289&gt;=u_max-beta_1*D289-blk_tol,1,0)</f>
      </c>
      <c r="K289" s="17">
        <f>J289*sig_blk</f>
      </c>
      <c r="L289" s="17">
        <f>I289-K289</f>
      </c>
      <c r="M289" s="17">
        <f>INDEX(Bar_As,MATCH(C289,Bar_No,0))*L289/1000</f>
      </c>
      <c r="N289" s="17">
        <f>M289*INDEX(Bar_Y,MATCH(C289,Bar_No,0))/1000</f>
      </c>
      <c r="O289" s="17">
        <f>M289*INDEX(Bar_X,MATCH(C289,Bar_No,0))/1000</f>
      </c>
    </row>
    <row r="290" spans="2:15" x14ac:dyDescent="0.25">
      <c r="B290">
        <v>16</v>
      </c>
      <c r="C290">
        <v>15</v>
      </c>
      <c r="D290" s="17">
        <f>INDEX(Blk_c,MATCH(B290,Blk_St,0))</f>
      </c>
      <c r="E290" s="17">
        <f>INDEX(Bar_U,MATCH(C290,Bar_No,0))</f>
      </c>
      <c r="F290" s="17">
        <f>u_max-E290</f>
      </c>
      <c r="G290" s="20">
        <f>ecu*(1-F290/D290)</f>
      </c>
      <c r="H290" s="20">
        <f>MAX(0,-G290)</f>
      </c>
      <c r="I290" s="17">
        <f>MAX(MIN(Es*G290,fy),-fy)</f>
      </c>
      <c r="J290">
        <f>IF(E290&gt;=u_max-beta_1*D290-blk_tol,1,0)</f>
      </c>
      <c r="K290" s="17">
        <f>J290*sig_blk</f>
      </c>
      <c r="L290" s="17">
        <f>I290-K290</f>
      </c>
      <c r="M290" s="17">
        <f>INDEX(Bar_As,MATCH(C290,Bar_No,0))*L290/1000</f>
      </c>
      <c r="N290" s="17">
        <f>M290*INDEX(Bar_Y,MATCH(C290,Bar_No,0))/1000</f>
      </c>
      <c r="O290" s="17">
        <f>M290*INDEX(Bar_X,MATCH(C290,Bar_No,0))/1000</f>
      </c>
    </row>
    <row r="291" spans="2:15" x14ac:dyDescent="0.25">
      <c r="B291">
        <v>16</v>
      </c>
      <c r="C291">
        <v>16</v>
      </c>
      <c r="D291" s="17">
        <f>INDEX(Blk_c,MATCH(B291,Blk_St,0))</f>
      </c>
      <c r="E291" s="17">
        <f>INDEX(Bar_U,MATCH(C291,Bar_No,0))</f>
      </c>
      <c r="F291" s="17">
        <f>u_max-E291</f>
      </c>
      <c r="G291" s="20">
        <f>ecu*(1-F291/D291)</f>
      </c>
      <c r="H291" s="20">
        <f>MAX(0,-G291)</f>
      </c>
      <c r="I291" s="17">
        <f>MAX(MIN(Es*G291,fy),-fy)</f>
      </c>
      <c r="J291">
        <f>IF(E291&gt;=u_max-beta_1*D291-blk_tol,1,0)</f>
      </c>
      <c r="K291" s="17">
        <f>J291*sig_blk</f>
      </c>
      <c r="L291" s="17">
        <f>I291-K291</f>
      </c>
      <c r="M291" s="17">
        <f>INDEX(Bar_As,MATCH(C291,Bar_No,0))*L291/1000</f>
      </c>
      <c r="N291" s="17">
        <f>M291*INDEX(Bar_Y,MATCH(C291,Bar_No,0))/1000</f>
      </c>
      <c r="O291" s="17">
        <f>M291*INDEX(Bar_X,MATCH(C291,Bar_No,0))/1000</f>
      </c>
    </row>
    <row r="292" spans="2:15" x14ac:dyDescent="0.25">
      <c r="B292">
        <v>16</v>
      </c>
      <c r="C292">
        <v>17</v>
      </c>
      <c r="D292" s="17">
        <f>INDEX(Blk_c,MATCH(B292,Blk_St,0))</f>
      </c>
      <c r="E292" s="17">
        <f>INDEX(Bar_U,MATCH(C292,Bar_No,0))</f>
      </c>
      <c r="F292" s="17">
        <f>u_max-E292</f>
      </c>
      <c r="G292" s="20">
        <f>ecu*(1-F292/D292)</f>
      </c>
      <c r="H292" s="20">
        <f>MAX(0,-G292)</f>
      </c>
      <c r="I292" s="17">
        <f>MAX(MIN(Es*G292,fy),-fy)</f>
      </c>
      <c r="J292">
        <f>IF(E292&gt;=u_max-beta_1*D292-blk_tol,1,0)</f>
      </c>
      <c r="K292" s="17">
        <f>J292*sig_blk</f>
      </c>
      <c r="L292" s="17">
        <f>I292-K292</f>
      </c>
      <c r="M292" s="17">
        <f>INDEX(Bar_As,MATCH(C292,Bar_No,0))*L292/1000</f>
      </c>
      <c r="N292" s="17">
        <f>M292*INDEX(Bar_Y,MATCH(C292,Bar_No,0))/1000</f>
      </c>
      <c r="O292" s="17">
        <f>M292*INDEX(Bar_X,MATCH(C292,Bar_No,0))/1000</f>
      </c>
    </row>
    <row r="293" spans="2:15" x14ac:dyDescent="0.25">
      <c r="B293">
        <v>16</v>
      </c>
      <c r="C293">
        <v>18</v>
      </c>
      <c r="D293" s="17">
        <f>INDEX(Blk_c,MATCH(B293,Blk_St,0))</f>
      </c>
      <c r="E293" s="17">
        <f>INDEX(Bar_U,MATCH(C293,Bar_No,0))</f>
      </c>
      <c r="F293" s="17">
        <f>u_max-E293</f>
      </c>
      <c r="G293" s="20">
        <f>ecu*(1-F293/D293)</f>
      </c>
      <c r="H293" s="20">
        <f>MAX(0,-G293)</f>
      </c>
      <c r="I293" s="17">
        <f>MAX(MIN(Es*G293,fy),-fy)</f>
      </c>
      <c r="J293">
        <f>IF(E293&gt;=u_max-beta_1*D293-blk_tol,1,0)</f>
      </c>
      <c r="K293" s="17">
        <f>J293*sig_blk</f>
      </c>
      <c r="L293" s="17">
        <f>I293-K293</f>
      </c>
      <c r="M293" s="17">
        <f>INDEX(Bar_As,MATCH(C293,Bar_No,0))*L293/1000</f>
      </c>
      <c r="N293" s="17">
        <f>M293*INDEX(Bar_Y,MATCH(C293,Bar_No,0))/1000</f>
      </c>
      <c r="O293" s="17">
        <f>M293*INDEX(Bar_X,MATCH(C293,Bar_No,0))/1000</f>
      </c>
    </row>
    <row r="294" spans="2:15" x14ac:dyDescent="0.25">
      <c r="B294">
        <v>17</v>
      </c>
      <c r="C294">
        <v>1</v>
      </c>
      <c r="D294" s="17">
        <f>INDEX(Blk_c,MATCH(B294,Blk_St,0))</f>
      </c>
      <c r="E294" s="17">
        <f>INDEX(Bar_U,MATCH(C294,Bar_No,0))</f>
      </c>
      <c r="F294" s="17">
        <f>u_max-E294</f>
      </c>
      <c r="G294" s="20">
        <f>ecu*(1-F294/D294)</f>
      </c>
      <c r="H294" s="20">
        <f>MAX(0,-G294)</f>
      </c>
      <c r="I294" s="17">
        <f>MAX(MIN(Es*G294,fy),-fy)</f>
      </c>
      <c r="J294">
        <f>IF(E294&gt;=u_max-beta_1*D294-blk_tol,1,0)</f>
      </c>
      <c r="K294" s="17">
        <f>J294*sig_blk</f>
      </c>
      <c r="L294" s="17">
        <f>I294-K294</f>
      </c>
      <c r="M294" s="17">
        <f>INDEX(Bar_As,MATCH(C294,Bar_No,0))*L294/1000</f>
      </c>
      <c r="N294" s="17">
        <f>M294*INDEX(Bar_Y,MATCH(C294,Bar_No,0))/1000</f>
      </c>
      <c r="O294" s="17">
        <f>M294*INDEX(Bar_X,MATCH(C294,Bar_No,0))/1000</f>
      </c>
    </row>
    <row r="295" spans="2:15" x14ac:dyDescent="0.25">
      <c r="B295">
        <v>17</v>
      </c>
      <c r="C295">
        <v>2</v>
      </c>
      <c r="D295" s="17">
        <f>INDEX(Blk_c,MATCH(B295,Blk_St,0))</f>
      </c>
      <c r="E295" s="17">
        <f>INDEX(Bar_U,MATCH(C295,Bar_No,0))</f>
      </c>
      <c r="F295" s="17">
        <f>u_max-E295</f>
      </c>
      <c r="G295" s="20">
        <f>ecu*(1-F295/D295)</f>
      </c>
      <c r="H295" s="20">
        <f>MAX(0,-G295)</f>
      </c>
      <c r="I295" s="17">
        <f>MAX(MIN(Es*G295,fy),-fy)</f>
      </c>
      <c r="J295">
        <f>IF(E295&gt;=u_max-beta_1*D295-blk_tol,1,0)</f>
      </c>
      <c r="K295" s="17">
        <f>J295*sig_blk</f>
      </c>
      <c r="L295" s="17">
        <f>I295-K295</f>
      </c>
      <c r="M295" s="17">
        <f>INDEX(Bar_As,MATCH(C295,Bar_No,0))*L295/1000</f>
      </c>
      <c r="N295" s="17">
        <f>M295*INDEX(Bar_Y,MATCH(C295,Bar_No,0))/1000</f>
      </c>
      <c r="O295" s="17">
        <f>M295*INDEX(Bar_X,MATCH(C295,Bar_No,0))/1000</f>
      </c>
    </row>
    <row r="296" spans="2:15" x14ac:dyDescent="0.25">
      <c r="B296">
        <v>17</v>
      </c>
      <c r="C296">
        <v>3</v>
      </c>
      <c r="D296" s="17">
        <f>INDEX(Blk_c,MATCH(B296,Blk_St,0))</f>
      </c>
      <c r="E296" s="17">
        <f>INDEX(Bar_U,MATCH(C296,Bar_No,0))</f>
      </c>
      <c r="F296" s="17">
        <f>u_max-E296</f>
      </c>
      <c r="G296" s="20">
        <f>ecu*(1-F296/D296)</f>
      </c>
      <c r="H296" s="20">
        <f>MAX(0,-G296)</f>
      </c>
      <c r="I296" s="17">
        <f>MAX(MIN(Es*G296,fy),-fy)</f>
      </c>
      <c r="J296">
        <f>IF(E296&gt;=u_max-beta_1*D296-blk_tol,1,0)</f>
      </c>
      <c r="K296" s="17">
        <f>J296*sig_blk</f>
      </c>
      <c r="L296" s="17">
        <f>I296-K296</f>
      </c>
      <c r="M296" s="17">
        <f>INDEX(Bar_As,MATCH(C296,Bar_No,0))*L296/1000</f>
      </c>
      <c r="N296" s="17">
        <f>M296*INDEX(Bar_Y,MATCH(C296,Bar_No,0))/1000</f>
      </c>
      <c r="O296" s="17">
        <f>M296*INDEX(Bar_X,MATCH(C296,Bar_No,0))/1000</f>
      </c>
    </row>
    <row r="297" spans="2:15" x14ac:dyDescent="0.25">
      <c r="B297">
        <v>17</v>
      </c>
      <c r="C297">
        <v>4</v>
      </c>
      <c r="D297" s="17">
        <f>INDEX(Blk_c,MATCH(B297,Blk_St,0))</f>
      </c>
      <c r="E297" s="17">
        <f>INDEX(Bar_U,MATCH(C297,Bar_No,0))</f>
      </c>
      <c r="F297" s="17">
        <f>u_max-E297</f>
      </c>
      <c r="G297" s="20">
        <f>ecu*(1-F297/D297)</f>
      </c>
      <c r="H297" s="20">
        <f>MAX(0,-G297)</f>
      </c>
      <c r="I297" s="17">
        <f>MAX(MIN(Es*G297,fy),-fy)</f>
      </c>
      <c r="J297">
        <f>IF(E297&gt;=u_max-beta_1*D297-blk_tol,1,0)</f>
      </c>
      <c r="K297" s="17">
        <f>J297*sig_blk</f>
      </c>
      <c r="L297" s="17">
        <f>I297-K297</f>
      </c>
      <c r="M297" s="17">
        <f>INDEX(Bar_As,MATCH(C297,Bar_No,0))*L297/1000</f>
      </c>
      <c r="N297" s="17">
        <f>M297*INDEX(Bar_Y,MATCH(C297,Bar_No,0))/1000</f>
      </c>
      <c r="O297" s="17">
        <f>M297*INDEX(Bar_X,MATCH(C297,Bar_No,0))/1000</f>
      </c>
    </row>
    <row r="298" spans="2:15" x14ac:dyDescent="0.25">
      <c r="B298">
        <v>17</v>
      </c>
      <c r="C298">
        <v>5</v>
      </c>
      <c r="D298" s="17">
        <f>INDEX(Blk_c,MATCH(B298,Blk_St,0))</f>
      </c>
      <c r="E298" s="17">
        <f>INDEX(Bar_U,MATCH(C298,Bar_No,0))</f>
      </c>
      <c r="F298" s="17">
        <f>u_max-E298</f>
      </c>
      <c r="G298" s="20">
        <f>ecu*(1-F298/D298)</f>
      </c>
      <c r="H298" s="20">
        <f>MAX(0,-G298)</f>
      </c>
      <c r="I298" s="17">
        <f>MAX(MIN(Es*G298,fy),-fy)</f>
      </c>
      <c r="J298">
        <f>IF(E298&gt;=u_max-beta_1*D298-blk_tol,1,0)</f>
      </c>
      <c r="K298" s="17">
        <f>J298*sig_blk</f>
      </c>
      <c r="L298" s="17">
        <f>I298-K298</f>
      </c>
      <c r="M298" s="17">
        <f>INDEX(Bar_As,MATCH(C298,Bar_No,0))*L298/1000</f>
      </c>
      <c r="N298" s="17">
        <f>M298*INDEX(Bar_Y,MATCH(C298,Bar_No,0))/1000</f>
      </c>
      <c r="O298" s="17">
        <f>M298*INDEX(Bar_X,MATCH(C298,Bar_No,0))/1000</f>
      </c>
    </row>
    <row r="299" spans="2:15" x14ac:dyDescent="0.25">
      <c r="B299">
        <v>17</v>
      </c>
      <c r="C299">
        <v>6</v>
      </c>
      <c r="D299" s="17">
        <f>INDEX(Blk_c,MATCH(B299,Blk_St,0))</f>
      </c>
      <c r="E299" s="17">
        <f>INDEX(Bar_U,MATCH(C299,Bar_No,0))</f>
      </c>
      <c r="F299" s="17">
        <f>u_max-E299</f>
      </c>
      <c r="G299" s="20">
        <f>ecu*(1-F299/D299)</f>
      </c>
      <c r="H299" s="20">
        <f>MAX(0,-G299)</f>
      </c>
      <c r="I299" s="17">
        <f>MAX(MIN(Es*G299,fy),-fy)</f>
      </c>
      <c r="J299">
        <f>IF(E299&gt;=u_max-beta_1*D299-blk_tol,1,0)</f>
      </c>
      <c r="K299" s="17">
        <f>J299*sig_blk</f>
      </c>
      <c r="L299" s="17">
        <f>I299-K299</f>
      </c>
      <c r="M299" s="17">
        <f>INDEX(Bar_As,MATCH(C299,Bar_No,0))*L299/1000</f>
      </c>
      <c r="N299" s="17">
        <f>M299*INDEX(Bar_Y,MATCH(C299,Bar_No,0))/1000</f>
      </c>
      <c r="O299" s="17">
        <f>M299*INDEX(Bar_X,MATCH(C299,Bar_No,0))/1000</f>
      </c>
    </row>
    <row r="300" spans="2:15" x14ac:dyDescent="0.25">
      <c r="B300">
        <v>17</v>
      </c>
      <c r="C300">
        <v>7</v>
      </c>
      <c r="D300" s="17">
        <f>INDEX(Blk_c,MATCH(B300,Blk_St,0))</f>
      </c>
      <c r="E300" s="17">
        <f>INDEX(Bar_U,MATCH(C300,Bar_No,0))</f>
      </c>
      <c r="F300" s="17">
        <f>u_max-E300</f>
      </c>
      <c r="G300" s="20">
        <f>ecu*(1-F300/D300)</f>
      </c>
      <c r="H300" s="20">
        <f>MAX(0,-G300)</f>
      </c>
      <c r="I300" s="17">
        <f>MAX(MIN(Es*G300,fy),-fy)</f>
      </c>
      <c r="J300">
        <f>IF(E300&gt;=u_max-beta_1*D300-blk_tol,1,0)</f>
      </c>
      <c r="K300" s="17">
        <f>J300*sig_blk</f>
      </c>
      <c r="L300" s="17">
        <f>I300-K300</f>
      </c>
      <c r="M300" s="17">
        <f>INDEX(Bar_As,MATCH(C300,Bar_No,0))*L300/1000</f>
      </c>
      <c r="N300" s="17">
        <f>M300*INDEX(Bar_Y,MATCH(C300,Bar_No,0))/1000</f>
      </c>
      <c r="O300" s="17">
        <f>M300*INDEX(Bar_X,MATCH(C300,Bar_No,0))/1000</f>
      </c>
    </row>
    <row r="301" spans="2:15" x14ac:dyDescent="0.25">
      <c r="B301">
        <v>17</v>
      </c>
      <c r="C301">
        <v>8</v>
      </c>
      <c r="D301" s="17">
        <f>INDEX(Blk_c,MATCH(B301,Blk_St,0))</f>
      </c>
      <c r="E301" s="17">
        <f>INDEX(Bar_U,MATCH(C301,Bar_No,0))</f>
      </c>
      <c r="F301" s="17">
        <f>u_max-E301</f>
      </c>
      <c r="G301" s="20">
        <f>ecu*(1-F301/D301)</f>
      </c>
      <c r="H301" s="20">
        <f>MAX(0,-G301)</f>
      </c>
      <c r="I301" s="17">
        <f>MAX(MIN(Es*G301,fy),-fy)</f>
      </c>
      <c r="J301">
        <f>IF(E301&gt;=u_max-beta_1*D301-blk_tol,1,0)</f>
      </c>
      <c r="K301" s="17">
        <f>J301*sig_blk</f>
      </c>
      <c r="L301" s="17">
        <f>I301-K301</f>
      </c>
      <c r="M301" s="17">
        <f>INDEX(Bar_As,MATCH(C301,Bar_No,0))*L301/1000</f>
      </c>
      <c r="N301" s="17">
        <f>M301*INDEX(Bar_Y,MATCH(C301,Bar_No,0))/1000</f>
      </c>
      <c r="O301" s="17">
        <f>M301*INDEX(Bar_X,MATCH(C301,Bar_No,0))/1000</f>
      </c>
    </row>
    <row r="302" spans="2:15" x14ac:dyDescent="0.25">
      <c r="B302">
        <v>17</v>
      </c>
      <c r="C302">
        <v>9</v>
      </c>
      <c r="D302" s="17">
        <f>INDEX(Blk_c,MATCH(B302,Blk_St,0))</f>
      </c>
      <c r="E302" s="17">
        <f>INDEX(Bar_U,MATCH(C302,Bar_No,0))</f>
      </c>
      <c r="F302" s="17">
        <f>u_max-E302</f>
      </c>
      <c r="G302" s="20">
        <f>ecu*(1-F302/D302)</f>
      </c>
      <c r="H302" s="20">
        <f>MAX(0,-G302)</f>
      </c>
      <c r="I302" s="17">
        <f>MAX(MIN(Es*G302,fy),-fy)</f>
      </c>
      <c r="J302">
        <f>IF(E302&gt;=u_max-beta_1*D302-blk_tol,1,0)</f>
      </c>
      <c r="K302" s="17">
        <f>J302*sig_blk</f>
      </c>
      <c r="L302" s="17">
        <f>I302-K302</f>
      </c>
      <c r="M302" s="17">
        <f>INDEX(Bar_As,MATCH(C302,Bar_No,0))*L302/1000</f>
      </c>
      <c r="N302" s="17">
        <f>M302*INDEX(Bar_Y,MATCH(C302,Bar_No,0))/1000</f>
      </c>
      <c r="O302" s="17">
        <f>M302*INDEX(Bar_X,MATCH(C302,Bar_No,0))/1000</f>
      </c>
    </row>
    <row r="303" spans="2:15" x14ac:dyDescent="0.25">
      <c r="B303">
        <v>17</v>
      </c>
      <c r="C303">
        <v>10</v>
      </c>
      <c r="D303" s="17">
        <f>INDEX(Blk_c,MATCH(B303,Blk_St,0))</f>
      </c>
      <c r="E303" s="17">
        <f>INDEX(Bar_U,MATCH(C303,Bar_No,0))</f>
      </c>
      <c r="F303" s="17">
        <f>u_max-E303</f>
      </c>
      <c r="G303" s="20">
        <f>ecu*(1-F303/D303)</f>
      </c>
      <c r="H303" s="20">
        <f>MAX(0,-G303)</f>
      </c>
      <c r="I303" s="17">
        <f>MAX(MIN(Es*G303,fy),-fy)</f>
      </c>
      <c r="J303">
        <f>IF(E303&gt;=u_max-beta_1*D303-blk_tol,1,0)</f>
      </c>
      <c r="K303" s="17">
        <f>J303*sig_blk</f>
      </c>
      <c r="L303" s="17">
        <f>I303-K303</f>
      </c>
      <c r="M303" s="17">
        <f>INDEX(Bar_As,MATCH(C303,Bar_No,0))*L303/1000</f>
      </c>
      <c r="N303" s="17">
        <f>M303*INDEX(Bar_Y,MATCH(C303,Bar_No,0))/1000</f>
      </c>
      <c r="O303" s="17">
        <f>M303*INDEX(Bar_X,MATCH(C303,Bar_No,0))/1000</f>
      </c>
    </row>
    <row r="304" spans="2:15" x14ac:dyDescent="0.25">
      <c r="B304">
        <v>17</v>
      </c>
      <c r="C304">
        <v>11</v>
      </c>
      <c r="D304" s="17">
        <f>INDEX(Blk_c,MATCH(B304,Blk_St,0))</f>
      </c>
      <c r="E304" s="17">
        <f>INDEX(Bar_U,MATCH(C304,Bar_No,0))</f>
      </c>
      <c r="F304" s="17">
        <f>u_max-E304</f>
      </c>
      <c r="G304" s="20">
        <f>ecu*(1-F304/D304)</f>
      </c>
      <c r="H304" s="20">
        <f>MAX(0,-G304)</f>
      </c>
      <c r="I304" s="17">
        <f>MAX(MIN(Es*G304,fy),-fy)</f>
      </c>
      <c r="J304">
        <f>IF(E304&gt;=u_max-beta_1*D304-blk_tol,1,0)</f>
      </c>
      <c r="K304" s="17">
        <f>J304*sig_blk</f>
      </c>
      <c r="L304" s="17">
        <f>I304-K304</f>
      </c>
      <c r="M304" s="17">
        <f>INDEX(Bar_As,MATCH(C304,Bar_No,0))*L304/1000</f>
      </c>
      <c r="N304" s="17">
        <f>M304*INDEX(Bar_Y,MATCH(C304,Bar_No,0))/1000</f>
      </c>
      <c r="O304" s="17">
        <f>M304*INDEX(Bar_X,MATCH(C304,Bar_No,0))/1000</f>
      </c>
    </row>
    <row r="305" spans="2:15" x14ac:dyDescent="0.25">
      <c r="B305">
        <v>17</v>
      </c>
      <c r="C305">
        <v>12</v>
      </c>
      <c r="D305" s="17">
        <f>INDEX(Blk_c,MATCH(B305,Blk_St,0))</f>
      </c>
      <c r="E305" s="17">
        <f>INDEX(Bar_U,MATCH(C305,Bar_No,0))</f>
      </c>
      <c r="F305" s="17">
        <f>u_max-E305</f>
      </c>
      <c r="G305" s="20">
        <f>ecu*(1-F305/D305)</f>
      </c>
      <c r="H305" s="20">
        <f>MAX(0,-G305)</f>
      </c>
      <c r="I305" s="17">
        <f>MAX(MIN(Es*G305,fy),-fy)</f>
      </c>
      <c r="J305">
        <f>IF(E305&gt;=u_max-beta_1*D305-blk_tol,1,0)</f>
      </c>
      <c r="K305" s="17">
        <f>J305*sig_blk</f>
      </c>
      <c r="L305" s="17">
        <f>I305-K305</f>
      </c>
      <c r="M305" s="17">
        <f>INDEX(Bar_As,MATCH(C305,Bar_No,0))*L305/1000</f>
      </c>
      <c r="N305" s="17">
        <f>M305*INDEX(Bar_Y,MATCH(C305,Bar_No,0))/1000</f>
      </c>
      <c r="O305" s="17">
        <f>M305*INDEX(Bar_X,MATCH(C305,Bar_No,0))/1000</f>
      </c>
    </row>
    <row r="306" spans="2:15" x14ac:dyDescent="0.25">
      <c r="B306">
        <v>17</v>
      </c>
      <c r="C306">
        <v>13</v>
      </c>
      <c r="D306" s="17">
        <f>INDEX(Blk_c,MATCH(B306,Blk_St,0))</f>
      </c>
      <c r="E306" s="17">
        <f>INDEX(Bar_U,MATCH(C306,Bar_No,0))</f>
      </c>
      <c r="F306" s="17">
        <f>u_max-E306</f>
      </c>
      <c r="G306" s="20">
        <f>ecu*(1-F306/D306)</f>
      </c>
      <c r="H306" s="20">
        <f>MAX(0,-G306)</f>
      </c>
      <c r="I306" s="17">
        <f>MAX(MIN(Es*G306,fy),-fy)</f>
      </c>
      <c r="J306">
        <f>IF(E306&gt;=u_max-beta_1*D306-blk_tol,1,0)</f>
      </c>
      <c r="K306" s="17">
        <f>J306*sig_blk</f>
      </c>
      <c r="L306" s="17">
        <f>I306-K306</f>
      </c>
      <c r="M306" s="17">
        <f>INDEX(Bar_As,MATCH(C306,Bar_No,0))*L306/1000</f>
      </c>
      <c r="N306" s="17">
        <f>M306*INDEX(Bar_Y,MATCH(C306,Bar_No,0))/1000</f>
      </c>
      <c r="O306" s="17">
        <f>M306*INDEX(Bar_X,MATCH(C306,Bar_No,0))/1000</f>
      </c>
    </row>
    <row r="307" spans="2:15" x14ac:dyDescent="0.25">
      <c r="B307">
        <v>17</v>
      </c>
      <c r="C307">
        <v>14</v>
      </c>
      <c r="D307" s="17">
        <f>INDEX(Blk_c,MATCH(B307,Blk_St,0))</f>
      </c>
      <c r="E307" s="17">
        <f>INDEX(Bar_U,MATCH(C307,Bar_No,0))</f>
      </c>
      <c r="F307" s="17">
        <f>u_max-E307</f>
      </c>
      <c r="G307" s="20">
        <f>ecu*(1-F307/D307)</f>
      </c>
      <c r="H307" s="20">
        <f>MAX(0,-G307)</f>
      </c>
      <c r="I307" s="17">
        <f>MAX(MIN(Es*G307,fy),-fy)</f>
      </c>
      <c r="J307">
        <f>IF(E307&gt;=u_max-beta_1*D307-blk_tol,1,0)</f>
      </c>
      <c r="K307" s="17">
        <f>J307*sig_blk</f>
      </c>
      <c r="L307" s="17">
        <f>I307-K307</f>
      </c>
      <c r="M307" s="17">
        <f>INDEX(Bar_As,MATCH(C307,Bar_No,0))*L307/1000</f>
      </c>
      <c r="N307" s="17">
        <f>M307*INDEX(Bar_Y,MATCH(C307,Bar_No,0))/1000</f>
      </c>
      <c r="O307" s="17">
        <f>M307*INDEX(Bar_X,MATCH(C307,Bar_No,0))/1000</f>
      </c>
    </row>
    <row r="308" spans="2:15" x14ac:dyDescent="0.25">
      <c r="B308">
        <v>17</v>
      </c>
      <c r="C308">
        <v>15</v>
      </c>
      <c r="D308" s="17">
        <f>INDEX(Blk_c,MATCH(B308,Blk_St,0))</f>
      </c>
      <c r="E308" s="17">
        <f>INDEX(Bar_U,MATCH(C308,Bar_No,0))</f>
      </c>
      <c r="F308" s="17">
        <f>u_max-E308</f>
      </c>
      <c r="G308" s="20">
        <f>ecu*(1-F308/D308)</f>
      </c>
      <c r="H308" s="20">
        <f>MAX(0,-G308)</f>
      </c>
      <c r="I308" s="17">
        <f>MAX(MIN(Es*G308,fy),-fy)</f>
      </c>
      <c r="J308">
        <f>IF(E308&gt;=u_max-beta_1*D308-blk_tol,1,0)</f>
      </c>
      <c r="K308" s="17">
        <f>J308*sig_blk</f>
      </c>
      <c r="L308" s="17">
        <f>I308-K308</f>
      </c>
      <c r="M308" s="17">
        <f>INDEX(Bar_As,MATCH(C308,Bar_No,0))*L308/1000</f>
      </c>
      <c r="N308" s="17">
        <f>M308*INDEX(Bar_Y,MATCH(C308,Bar_No,0))/1000</f>
      </c>
      <c r="O308" s="17">
        <f>M308*INDEX(Bar_X,MATCH(C308,Bar_No,0))/1000</f>
      </c>
    </row>
    <row r="309" spans="2:15" x14ac:dyDescent="0.25">
      <c r="B309">
        <v>17</v>
      </c>
      <c r="C309">
        <v>16</v>
      </c>
      <c r="D309" s="17">
        <f>INDEX(Blk_c,MATCH(B309,Blk_St,0))</f>
      </c>
      <c r="E309" s="17">
        <f>INDEX(Bar_U,MATCH(C309,Bar_No,0))</f>
      </c>
      <c r="F309" s="17">
        <f>u_max-E309</f>
      </c>
      <c r="G309" s="20">
        <f>ecu*(1-F309/D309)</f>
      </c>
      <c r="H309" s="20">
        <f>MAX(0,-G309)</f>
      </c>
      <c r="I309" s="17">
        <f>MAX(MIN(Es*G309,fy),-fy)</f>
      </c>
      <c r="J309">
        <f>IF(E309&gt;=u_max-beta_1*D309-blk_tol,1,0)</f>
      </c>
      <c r="K309" s="17">
        <f>J309*sig_blk</f>
      </c>
      <c r="L309" s="17">
        <f>I309-K309</f>
      </c>
      <c r="M309" s="17">
        <f>INDEX(Bar_As,MATCH(C309,Bar_No,0))*L309/1000</f>
      </c>
      <c r="N309" s="17">
        <f>M309*INDEX(Bar_Y,MATCH(C309,Bar_No,0))/1000</f>
      </c>
      <c r="O309" s="17">
        <f>M309*INDEX(Bar_X,MATCH(C309,Bar_No,0))/1000</f>
      </c>
    </row>
    <row r="310" spans="2:15" x14ac:dyDescent="0.25">
      <c r="B310">
        <v>17</v>
      </c>
      <c r="C310">
        <v>17</v>
      </c>
      <c r="D310" s="17">
        <f>INDEX(Blk_c,MATCH(B310,Blk_St,0))</f>
      </c>
      <c r="E310" s="17">
        <f>INDEX(Bar_U,MATCH(C310,Bar_No,0))</f>
      </c>
      <c r="F310" s="17">
        <f>u_max-E310</f>
      </c>
      <c r="G310" s="20">
        <f>ecu*(1-F310/D310)</f>
      </c>
      <c r="H310" s="20">
        <f>MAX(0,-G310)</f>
      </c>
      <c r="I310" s="17">
        <f>MAX(MIN(Es*G310,fy),-fy)</f>
      </c>
      <c r="J310">
        <f>IF(E310&gt;=u_max-beta_1*D310-blk_tol,1,0)</f>
      </c>
      <c r="K310" s="17">
        <f>J310*sig_blk</f>
      </c>
      <c r="L310" s="17">
        <f>I310-K310</f>
      </c>
      <c r="M310" s="17">
        <f>INDEX(Bar_As,MATCH(C310,Bar_No,0))*L310/1000</f>
      </c>
      <c r="N310" s="17">
        <f>M310*INDEX(Bar_Y,MATCH(C310,Bar_No,0))/1000</f>
      </c>
      <c r="O310" s="17">
        <f>M310*INDEX(Bar_X,MATCH(C310,Bar_No,0))/1000</f>
      </c>
    </row>
    <row r="311" spans="2:15" x14ac:dyDescent="0.25">
      <c r="B311">
        <v>17</v>
      </c>
      <c r="C311">
        <v>18</v>
      </c>
      <c r="D311" s="17">
        <f>INDEX(Blk_c,MATCH(B311,Blk_St,0))</f>
      </c>
      <c r="E311" s="17">
        <f>INDEX(Bar_U,MATCH(C311,Bar_No,0))</f>
      </c>
      <c r="F311" s="17">
        <f>u_max-E311</f>
      </c>
      <c r="G311" s="20">
        <f>ecu*(1-F311/D311)</f>
      </c>
      <c r="H311" s="20">
        <f>MAX(0,-G311)</f>
      </c>
      <c r="I311" s="17">
        <f>MAX(MIN(Es*G311,fy),-fy)</f>
      </c>
      <c r="J311">
        <f>IF(E311&gt;=u_max-beta_1*D311-blk_tol,1,0)</f>
      </c>
      <c r="K311" s="17">
        <f>J311*sig_blk</f>
      </c>
      <c r="L311" s="17">
        <f>I311-K311</f>
      </c>
      <c r="M311" s="17">
        <f>INDEX(Bar_As,MATCH(C311,Bar_No,0))*L311/1000</f>
      </c>
      <c r="N311" s="17">
        <f>M311*INDEX(Bar_Y,MATCH(C311,Bar_No,0))/1000</f>
      </c>
      <c r="O311" s="17">
        <f>M311*INDEX(Bar_X,MATCH(C311,Bar_No,0))/1000</f>
      </c>
    </row>
    <row r="312" spans="2:15" x14ac:dyDescent="0.25">
      <c r="B312">
        <v>18</v>
      </c>
      <c r="C312">
        <v>1</v>
      </c>
      <c r="D312" s="17">
        <f>INDEX(Blk_c,MATCH(B312,Blk_St,0))</f>
      </c>
      <c r="E312" s="17">
        <f>INDEX(Bar_U,MATCH(C312,Bar_No,0))</f>
      </c>
      <c r="F312" s="17">
        <f>u_max-E312</f>
      </c>
      <c r="G312" s="20">
        <f>ecu*(1-F312/D312)</f>
      </c>
      <c r="H312" s="20">
        <f>MAX(0,-G312)</f>
      </c>
      <c r="I312" s="17">
        <f>MAX(MIN(Es*G312,fy),-fy)</f>
      </c>
      <c r="J312">
        <f>IF(E312&gt;=u_max-beta_1*D312-blk_tol,1,0)</f>
      </c>
      <c r="K312" s="17">
        <f>J312*sig_blk</f>
      </c>
      <c r="L312" s="17">
        <f>I312-K312</f>
      </c>
      <c r="M312" s="17">
        <f>INDEX(Bar_As,MATCH(C312,Bar_No,0))*L312/1000</f>
      </c>
      <c r="N312" s="17">
        <f>M312*INDEX(Bar_Y,MATCH(C312,Bar_No,0))/1000</f>
      </c>
      <c r="O312" s="17">
        <f>M312*INDEX(Bar_X,MATCH(C312,Bar_No,0))/1000</f>
      </c>
    </row>
    <row r="313" spans="2:15" x14ac:dyDescent="0.25">
      <c r="B313">
        <v>18</v>
      </c>
      <c r="C313">
        <v>2</v>
      </c>
      <c r="D313" s="17">
        <f>INDEX(Blk_c,MATCH(B313,Blk_St,0))</f>
      </c>
      <c r="E313" s="17">
        <f>INDEX(Bar_U,MATCH(C313,Bar_No,0))</f>
      </c>
      <c r="F313" s="17">
        <f>u_max-E313</f>
      </c>
      <c r="G313" s="20">
        <f>ecu*(1-F313/D313)</f>
      </c>
      <c r="H313" s="20">
        <f>MAX(0,-G313)</f>
      </c>
      <c r="I313" s="17">
        <f>MAX(MIN(Es*G313,fy),-fy)</f>
      </c>
      <c r="J313">
        <f>IF(E313&gt;=u_max-beta_1*D313-blk_tol,1,0)</f>
      </c>
      <c r="K313" s="17">
        <f>J313*sig_blk</f>
      </c>
      <c r="L313" s="17">
        <f>I313-K313</f>
      </c>
      <c r="M313" s="17">
        <f>INDEX(Bar_As,MATCH(C313,Bar_No,0))*L313/1000</f>
      </c>
      <c r="N313" s="17">
        <f>M313*INDEX(Bar_Y,MATCH(C313,Bar_No,0))/1000</f>
      </c>
      <c r="O313" s="17">
        <f>M313*INDEX(Bar_X,MATCH(C313,Bar_No,0))/1000</f>
      </c>
    </row>
    <row r="314" spans="2:15" x14ac:dyDescent="0.25">
      <c r="B314">
        <v>18</v>
      </c>
      <c r="C314">
        <v>3</v>
      </c>
      <c r="D314" s="17">
        <f>INDEX(Blk_c,MATCH(B314,Blk_St,0))</f>
      </c>
      <c r="E314" s="17">
        <f>INDEX(Bar_U,MATCH(C314,Bar_No,0))</f>
      </c>
      <c r="F314" s="17">
        <f>u_max-E314</f>
      </c>
      <c r="G314" s="20">
        <f>ecu*(1-F314/D314)</f>
      </c>
      <c r="H314" s="20">
        <f>MAX(0,-G314)</f>
      </c>
      <c r="I314" s="17">
        <f>MAX(MIN(Es*G314,fy),-fy)</f>
      </c>
      <c r="J314">
        <f>IF(E314&gt;=u_max-beta_1*D314-blk_tol,1,0)</f>
      </c>
      <c r="K314" s="17">
        <f>J314*sig_blk</f>
      </c>
      <c r="L314" s="17">
        <f>I314-K314</f>
      </c>
      <c r="M314" s="17">
        <f>INDEX(Bar_As,MATCH(C314,Bar_No,0))*L314/1000</f>
      </c>
      <c r="N314" s="17">
        <f>M314*INDEX(Bar_Y,MATCH(C314,Bar_No,0))/1000</f>
      </c>
      <c r="O314" s="17">
        <f>M314*INDEX(Bar_X,MATCH(C314,Bar_No,0))/1000</f>
      </c>
    </row>
    <row r="315" spans="2:15" x14ac:dyDescent="0.25">
      <c r="B315">
        <v>18</v>
      </c>
      <c r="C315">
        <v>4</v>
      </c>
      <c r="D315" s="17">
        <f>INDEX(Blk_c,MATCH(B315,Blk_St,0))</f>
      </c>
      <c r="E315" s="17">
        <f>INDEX(Bar_U,MATCH(C315,Bar_No,0))</f>
      </c>
      <c r="F315" s="17">
        <f>u_max-E315</f>
      </c>
      <c r="G315" s="20">
        <f>ecu*(1-F315/D315)</f>
      </c>
      <c r="H315" s="20">
        <f>MAX(0,-G315)</f>
      </c>
      <c r="I315" s="17">
        <f>MAX(MIN(Es*G315,fy),-fy)</f>
      </c>
      <c r="J315">
        <f>IF(E315&gt;=u_max-beta_1*D315-blk_tol,1,0)</f>
      </c>
      <c r="K315" s="17">
        <f>J315*sig_blk</f>
      </c>
      <c r="L315" s="17">
        <f>I315-K315</f>
      </c>
      <c r="M315" s="17">
        <f>INDEX(Bar_As,MATCH(C315,Bar_No,0))*L315/1000</f>
      </c>
      <c r="N315" s="17">
        <f>M315*INDEX(Bar_Y,MATCH(C315,Bar_No,0))/1000</f>
      </c>
      <c r="O315" s="17">
        <f>M315*INDEX(Bar_X,MATCH(C315,Bar_No,0))/1000</f>
      </c>
    </row>
    <row r="316" spans="2:15" x14ac:dyDescent="0.25">
      <c r="B316">
        <v>18</v>
      </c>
      <c r="C316">
        <v>5</v>
      </c>
      <c r="D316" s="17">
        <f>INDEX(Blk_c,MATCH(B316,Blk_St,0))</f>
      </c>
      <c r="E316" s="17">
        <f>INDEX(Bar_U,MATCH(C316,Bar_No,0))</f>
      </c>
      <c r="F316" s="17">
        <f>u_max-E316</f>
      </c>
      <c r="G316" s="20">
        <f>ecu*(1-F316/D316)</f>
      </c>
      <c r="H316" s="20">
        <f>MAX(0,-G316)</f>
      </c>
      <c r="I316" s="17">
        <f>MAX(MIN(Es*G316,fy),-fy)</f>
      </c>
      <c r="J316">
        <f>IF(E316&gt;=u_max-beta_1*D316-blk_tol,1,0)</f>
      </c>
      <c r="K316" s="17">
        <f>J316*sig_blk</f>
      </c>
      <c r="L316" s="17">
        <f>I316-K316</f>
      </c>
      <c r="M316" s="17">
        <f>INDEX(Bar_As,MATCH(C316,Bar_No,0))*L316/1000</f>
      </c>
      <c r="N316" s="17">
        <f>M316*INDEX(Bar_Y,MATCH(C316,Bar_No,0))/1000</f>
      </c>
      <c r="O316" s="17">
        <f>M316*INDEX(Bar_X,MATCH(C316,Bar_No,0))/1000</f>
      </c>
    </row>
    <row r="317" spans="2:15" x14ac:dyDescent="0.25">
      <c r="B317">
        <v>18</v>
      </c>
      <c r="C317">
        <v>6</v>
      </c>
      <c r="D317" s="17">
        <f>INDEX(Blk_c,MATCH(B317,Blk_St,0))</f>
      </c>
      <c r="E317" s="17">
        <f>INDEX(Bar_U,MATCH(C317,Bar_No,0))</f>
      </c>
      <c r="F317" s="17">
        <f>u_max-E317</f>
      </c>
      <c r="G317" s="20">
        <f>ecu*(1-F317/D317)</f>
      </c>
      <c r="H317" s="20">
        <f>MAX(0,-G317)</f>
      </c>
      <c r="I317" s="17">
        <f>MAX(MIN(Es*G317,fy),-fy)</f>
      </c>
      <c r="J317">
        <f>IF(E317&gt;=u_max-beta_1*D317-blk_tol,1,0)</f>
      </c>
      <c r="K317" s="17">
        <f>J317*sig_blk</f>
      </c>
      <c r="L317" s="17">
        <f>I317-K317</f>
      </c>
      <c r="M317" s="17">
        <f>INDEX(Bar_As,MATCH(C317,Bar_No,0))*L317/1000</f>
      </c>
      <c r="N317" s="17">
        <f>M317*INDEX(Bar_Y,MATCH(C317,Bar_No,0))/1000</f>
      </c>
      <c r="O317" s="17">
        <f>M317*INDEX(Bar_X,MATCH(C317,Bar_No,0))/1000</f>
      </c>
    </row>
    <row r="318" spans="2:15" x14ac:dyDescent="0.25">
      <c r="B318">
        <v>18</v>
      </c>
      <c r="C318">
        <v>7</v>
      </c>
      <c r="D318" s="17">
        <f>INDEX(Blk_c,MATCH(B318,Blk_St,0))</f>
      </c>
      <c r="E318" s="17">
        <f>INDEX(Bar_U,MATCH(C318,Bar_No,0))</f>
      </c>
      <c r="F318" s="17">
        <f>u_max-E318</f>
      </c>
      <c r="G318" s="20">
        <f>ecu*(1-F318/D318)</f>
      </c>
      <c r="H318" s="20">
        <f>MAX(0,-G318)</f>
      </c>
      <c r="I318" s="17">
        <f>MAX(MIN(Es*G318,fy),-fy)</f>
      </c>
      <c r="J318">
        <f>IF(E318&gt;=u_max-beta_1*D318-blk_tol,1,0)</f>
      </c>
      <c r="K318" s="17">
        <f>J318*sig_blk</f>
      </c>
      <c r="L318" s="17">
        <f>I318-K318</f>
      </c>
      <c r="M318" s="17">
        <f>INDEX(Bar_As,MATCH(C318,Bar_No,0))*L318/1000</f>
      </c>
      <c r="N318" s="17">
        <f>M318*INDEX(Bar_Y,MATCH(C318,Bar_No,0))/1000</f>
      </c>
      <c r="O318" s="17">
        <f>M318*INDEX(Bar_X,MATCH(C318,Bar_No,0))/1000</f>
      </c>
    </row>
    <row r="319" spans="2:15" x14ac:dyDescent="0.25">
      <c r="B319">
        <v>18</v>
      </c>
      <c r="C319">
        <v>8</v>
      </c>
      <c r="D319" s="17">
        <f>INDEX(Blk_c,MATCH(B319,Blk_St,0))</f>
      </c>
      <c r="E319" s="17">
        <f>INDEX(Bar_U,MATCH(C319,Bar_No,0))</f>
      </c>
      <c r="F319" s="17">
        <f>u_max-E319</f>
      </c>
      <c r="G319" s="20">
        <f>ecu*(1-F319/D319)</f>
      </c>
      <c r="H319" s="20">
        <f>MAX(0,-G319)</f>
      </c>
      <c r="I319" s="17">
        <f>MAX(MIN(Es*G319,fy),-fy)</f>
      </c>
      <c r="J319">
        <f>IF(E319&gt;=u_max-beta_1*D319-blk_tol,1,0)</f>
      </c>
      <c r="K319" s="17">
        <f>J319*sig_blk</f>
      </c>
      <c r="L319" s="17">
        <f>I319-K319</f>
      </c>
      <c r="M319" s="17">
        <f>INDEX(Bar_As,MATCH(C319,Bar_No,0))*L319/1000</f>
      </c>
      <c r="N319" s="17">
        <f>M319*INDEX(Bar_Y,MATCH(C319,Bar_No,0))/1000</f>
      </c>
      <c r="O319" s="17">
        <f>M319*INDEX(Bar_X,MATCH(C319,Bar_No,0))/1000</f>
      </c>
    </row>
    <row r="320" spans="2:15" x14ac:dyDescent="0.25">
      <c r="B320">
        <v>18</v>
      </c>
      <c r="C320">
        <v>9</v>
      </c>
      <c r="D320" s="17">
        <f>INDEX(Blk_c,MATCH(B320,Blk_St,0))</f>
      </c>
      <c r="E320" s="17">
        <f>INDEX(Bar_U,MATCH(C320,Bar_No,0))</f>
      </c>
      <c r="F320" s="17">
        <f>u_max-E320</f>
      </c>
      <c r="G320" s="20">
        <f>ecu*(1-F320/D320)</f>
      </c>
      <c r="H320" s="20">
        <f>MAX(0,-G320)</f>
      </c>
      <c r="I320" s="17">
        <f>MAX(MIN(Es*G320,fy),-fy)</f>
      </c>
      <c r="J320">
        <f>IF(E320&gt;=u_max-beta_1*D320-blk_tol,1,0)</f>
      </c>
      <c r="K320" s="17">
        <f>J320*sig_blk</f>
      </c>
      <c r="L320" s="17">
        <f>I320-K320</f>
      </c>
      <c r="M320" s="17">
        <f>INDEX(Bar_As,MATCH(C320,Bar_No,0))*L320/1000</f>
      </c>
      <c r="N320" s="17">
        <f>M320*INDEX(Bar_Y,MATCH(C320,Bar_No,0))/1000</f>
      </c>
      <c r="O320" s="17">
        <f>M320*INDEX(Bar_X,MATCH(C320,Bar_No,0))/1000</f>
      </c>
    </row>
    <row r="321" spans="2:15" x14ac:dyDescent="0.25">
      <c r="B321">
        <v>18</v>
      </c>
      <c r="C321">
        <v>10</v>
      </c>
      <c r="D321" s="17">
        <f>INDEX(Blk_c,MATCH(B321,Blk_St,0))</f>
      </c>
      <c r="E321" s="17">
        <f>INDEX(Bar_U,MATCH(C321,Bar_No,0))</f>
      </c>
      <c r="F321" s="17">
        <f>u_max-E321</f>
      </c>
      <c r="G321" s="20">
        <f>ecu*(1-F321/D321)</f>
      </c>
      <c r="H321" s="20">
        <f>MAX(0,-G321)</f>
      </c>
      <c r="I321" s="17">
        <f>MAX(MIN(Es*G321,fy),-fy)</f>
      </c>
      <c r="J321">
        <f>IF(E321&gt;=u_max-beta_1*D321-blk_tol,1,0)</f>
      </c>
      <c r="K321" s="17">
        <f>J321*sig_blk</f>
      </c>
      <c r="L321" s="17">
        <f>I321-K321</f>
      </c>
      <c r="M321" s="17">
        <f>INDEX(Bar_As,MATCH(C321,Bar_No,0))*L321/1000</f>
      </c>
      <c r="N321" s="17">
        <f>M321*INDEX(Bar_Y,MATCH(C321,Bar_No,0))/1000</f>
      </c>
      <c r="O321" s="17">
        <f>M321*INDEX(Bar_X,MATCH(C321,Bar_No,0))/1000</f>
      </c>
    </row>
    <row r="322" spans="2:15" x14ac:dyDescent="0.25">
      <c r="B322">
        <v>18</v>
      </c>
      <c r="C322">
        <v>11</v>
      </c>
      <c r="D322" s="17">
        <f>INDEX(Blk_c,MATCH(B322,Blk_St,0))</f>
      </c>
      <c r="E322" s="17">
        <f>INDEX(Bar_U,MATCH(C322,Bar_No,0))</f>
      </c>
      <c r="F322" s="17">
        <f>u_max-E322</f>
      </c>
      <c r="G322" s="20">
        <f>ecu*(1-F322/D322)</f>
      </c>
      <c r="H322" s="20">
        <f>MAX(0,-G322)</f>
      </c>
      <c r="I322" s="17">
        <f>MAX(MIN(Es*G322,fy),-fy)</f>
      </c>
      <c r="J322">
        <f>IF(E322&gt;=u_max-beta_1*D322-blk_tol,1,0)</f>
      </c>
      <c r="K322" s="17">
        <f>J322*sig_blk</f>
      </c>
      <c r="L322" s="17">
        <f>I322-K322</f>
      </c>
      <c r="M322" s="17">
        <f>INDEX(Bar_As,MATCH(C322,Bar_No,0))*L322/1000</f>
      </c>
      <c r="N322" s="17">
        <f>M322*INDEX(Bar_Y,MATCH(C322,Bar_No,0))/1000</f>
      </c>
      <c r="O322" s="17">
        <f>M322*INDEX(Bar_X,MATCH(C322,Bar_No,0))/1000</f>
      </c>
    </row>
    <row r="323" spans="2:15" x14ac:dyDescent="0.25">
      <c r="B323">
        <v>18</v>
      </c>
      <c r="C323">
        <v>12</v>
      </c>
      <c r="D323" s="17">
        <f>INDEX(Blk_c,MATCH(B323,Blk_St,0))</f>
      </c>
      <c r="E323" s="17">
        <f>INDEX(Bar_U,MATCH(C323,Bar_No,0))</f>
      </c>
      <c r="F323" s="17">
        <f>u_max-E323</f>
      </c>
      <c r="G323" s="20">
        <f>ecu*(1-F323/D323)</f>
      </c>
      <c r="H323" s="20">
        <f>MAX(0,-G323)</f>
      </c>
      <c r="I323" s="17">
        <f>MAX(MIN(Es*G323,fy),-fy)</f>
      </c>
      <c r="J323">
        <f>IF(E323&gt;=u_max-beta_1*D323-blk_tol,1,0)</f>
      </c>
      <c r="K323" s="17">
        <f>J323*sig_blk</f>
      </c>
      <c r="L323" s="17">
        <f>I323-K323</f>
      </c>
      <c r="M323" s="17">
        <f>INDEX(Bar_As,MATCH(C323,Bar_No,0))*L323/1000</f>
      </c>
      <c r="N323" s="17">
        <f>M323*INDEX(Bar_Y,MATCH(C323,Bar_No,0))/1000</f>
      </c>
      <c r="O323" s="17">
        <f>M323*INDEX(Bar_X,MATCH(C323,Bar_No,0))/1000</f>
      </c>
    </row>
    <row r="324" spans="2:15" x14ac:dyDescent="0.25">
      <c r="B324">
        <v>18</v>
      </c>
      <c r="C324">
        <v>13</v>
      </c>
      <c r="D324" s="17">
        <f>INDEX(Blk_c,MATCH(B324,Blk_St,0))</f>
      </c>
      <c r="E324" s="17">
        <f>INDEX(Bar_U,MATCH(C324,Bar_No,0))</f>
      </c>
      <c r="F324" s="17">
        <f>u_max-E324</f>
      </c>
      <c r="G324" s="20">
        <f>ecu*(1-F324/D324)</f>
      </c>
      <c r="H324" s="20">
        <f>MAX(0,-G324)</f>
      </c>
      <c r="I324" s="17">
        <f>MAX(MIN(Es*G324,fy),-fy)</f>
      </c>
      <c r="J324">
        <f>IF(E324&gt;=u_max-beta_1*D324-blk_tol,1,0)</f>
      </c>
      <c r="K324" s="17">
        <f>J324*sig_blk</f>
      </c>
      <c r="L324" s="17">
        <f>I324-K324</f>
      </c>
      <c r="M324" s="17">
        <f>INDEX(Bar_As,MATCH(C324,Bar_No,0))*L324/1000</f>
      </c>
      <c r="N324" s="17">
        <f>M324*INDEX(Bar_Y,MATCH(C324,Bar_No,0))/1000</f>
      </c>
      <c r="O324" s="17">
        <f>M324*INDEX(Bar_X,MATCH(C324,Bar_No,0))/1000</f>
      </c>
    </row>
    <row r="325" spans="2:15" x14ac:dyDescent="0.25">
      <c r="B325">
        <v>18</v>
      </c>
      <c r="C325">
        <v>14</v>
      </c>
      <c r="D325" s="17">
        <f>INDEX(Blk_c,MATCH(B325,Blk_St,0))</f>
      </c>
      <c r="E325" s="17">
        <f>INDEX(Bar_U,MATCH(C325,Bar_No,0))</f>
      </c>
      <c r="F325" s="17">
        <f>u_max-E325</f>
      </c>
      <c r="G325" s="20">
        <f>ecu*(1-F325/D325)</f>
      </c>
      <c r="H325" s="20">
        <f>MAX(0,-G325)</f>
      </c>
      <c r="I325" s="17">
        <f>MAX(MIN(Es*G325,fy),-fy)</f>
      </c>
      <c r="J325">
        <f>IF(E325&gt;=u_max-beta_1*D325-blk_tol,1,0)</f>
      </c>
      <c r="K325" s="17">
        <f>J325*sig_blk</f>
      </c>
      <c r="L325" s="17">
        <f>I325-K325</f>
      </c>
      <c r="M325" s="17">
        <f>INDEX(Bar_As,MATCH(C325,Bar_No,0))*L325/1000</f>
      </c>
      <c r="N325" s="17">
        <f>M325*INDEX(Bar_Y,MATCH(C325,Bar_No,0))/1000</f>
      </c>
      <c r="O325" s="17">
        <f>M325*INDEX(Bar_X,MATCH(C325,Bar_No,0))/1000</f>
      </c>
    </row>
    <row r="326" spans="2:15" x14ac:dyDescent="0.25">
      <c r="B326">
        <v>18</v>
      </c>
      <c r="C326">
        <v>15</v>
      </c>
      <c r="D326" s="17">
        <f>INDEX(Blk_c,MATCH(B326,Blk_St,0))</f>
      </c>
      <c r="E326" s="17">
        <f>INDEX(Bar_U,MATCH(C326,Bar_No,0))</f>
      </c>
      <c r="F326" s="17">
        <f>u_max-E326</f>
      </c>
      <c r="G326" s="20">
        <f>ecu*(1-F326/D326)</f>
      </c>
      <c r="H326" s="20">
        <f>MAX(0,-G326)</f>
      </c>
      <c r="I326" s="17">
        <f>MAX(MIN(Es*G326,fy),-fy)</f>
      </c>
      <c r="J326">
        <f>IF(E326&gt;=u_max-beta_1*D326-blk_tol,1,0)</f>
      </c>
      <c r="K326" s="17">
        <f>J326*sig_blk</f>
      </c>
      <c r="L326" s="17">
        <f>I326-K326</f>
      </c>
      <c r="M326" s="17">
        <f>INDEX(Bar_As,MATCH(C326,Bar_No,0))*L326/1000</f>
      </c>
      <c r="N326" s="17">
        <f>M326*INDEX(Bar_Y,MATCH(C326,Bar_No,0))/1000</f>
      </c>
      <c r="O326" s="17">
        <f>M326*INDEX(Bar_X,MATCH(C326,Bar_No,0))/1000</f>
      </c>
    </row>
    <row r="327" spans="2:15" x14ac:dyDescent="0.25">
      <c r="B327">
        <v>18</v>
      </c>
      <c r="C327">
        <v>16</v>
      </c>
      <c r="D327" s="17">
        <f>INDEX(Blk_c,MATCH(B327,Blk_St,0))</f>
      </c>
      <c r="E327" s="17">
        <f>INDEX(Bar_U,MATCH(C327,Bar_No,0))</f>
      </c>
      <c r="F327" s="17">
        <f>u_max-E327</f>
      </c>
      <c r="G327" s="20">
        <f>ecu*(1-F327/D327)</f>
      </c>
      <c r="H327" s="20">
        <f>MAX(0,-G327)</f>
      </c>
      <c r="I327" s="17">
        <f>MAX(MIN(Es*G327,fy),-fy)</f>
      </c>
      <c r="J327">
        <f>IF(E327&gt;=u_max-beta_1*D327-blk_tol,1,0)</f>
      </c>
      <c r="K327" s="17">
        <f>J327*sig_blk</f>
      </c>
      <c r="L327" s="17">
        <f>I327-K327</f>
      </c>
      <c r="M327" s="17">
        <f>INDEX(Bar_As,MATCH(C327,Bar_No,0))*L327/1000</f>
      </c>
      <c r="N327" s="17">
        <f>M327*INDEX(Bar_Y,MATCH(C327,Bar_No,0))/1000</f>
      </c>
      <c r="O327" s="17">
        <f>M327*INDEX(Bar_X,MATCH(C327,Bar_No,0))/1000</f>
      </c>
    </row>
    <row r="328" spans="2:15" x14ac:dyDescent="0.25">
      <c r="B328">
        <v>18</v>
      </c>
      <c r="C328">
        <v>17</v>
      </c>
      <c r="D328" s="17">
        <f>INDEX(Blk_c,MATCH(B328,Blk_St,0))</f>
      </c>
      <c r="E328" s="17">
        <f>INDEX(Bar_U,MATCH(C328,Bar_No,0))</f>
      </c>
      <c r="F328" s="17">
        <f>u_max-E328</f>
      </c>
      <c r="G328" s="20">
        <f>ecu*(1-F328/D328)</f>
      </c>
      <c r="H328" s="20">
        <f>MAX(0,-G328)</f>
      </c>
      <c r="I328" s="17">
        <f>MAX(MIN(Es*G328,fy),-fy)</f>
      </c>
      <c r="J328">
        <f>IF(E328&gt;=u_max-beta_1*D328-blk_tol,1,0)</f>
      </c>
      <c r="K328" s="17">
        <f>J328*sig_blk</f>
      </c>
      <c r="L328" s="17">
        <f>I328-K328</f>
      </c>
      <c r="M328" s="17">
        <f>INDEX(Bar_As,MATCH(C328,Bar_No,0))*L328/1000</f>
      </c>
      <c r="N328" s="17">
        <f>M328*INDEX(Bar_Y,MATCH(C328,Bar_No,0))/1000</f>
      </c>
      <c r="O328" s="17">
        <f>M328*INDEX(Bar_X,MATCH(C328,Bar_No,0))/1000</f>
      </c>
    </row>
    <row r="329" spans="2:15" x14ac:dyDescent="0.25">
      <c r="B329">
        <v>18</v>
      </c>
      <c r="C329">
        <v>18</v>
      </c>
      <c r="D329" s="17">
        <f>INDEX(Blk_c,MATCH(B329,Blk_St,0))</f>
      </c>
      <c r="E329" s="17">
        <f>INDEX(Bar_U,MATCH(C329,Bar_No,0))</f>
      </c>
      <c r="F329" s="17">
        <f>u_max-E329</f>
      </c>
      <c r="G329" s="20">
        <f>ecu*(1-F329/D329)</f>
      </c>
      <c r="H329" s="20">
        <f>MAX(0,-G329)</f>
      </c>
      <c r="I329" s="17">
        <f>MAX(MIN(Es*G329,fy),-fy)</f>
      </c>
      <c r="J329">
        <f>IF(E329&gt;=u_max-beta_1*D329-blk_tol,1,0)</f>
      </c>
      <c r="K329" s="17">
        <f>J329*sig_blk</f>
      </c>
      <c r="L329" s="17">
        <f>I329-K329</f>
      </c>
      <c r="M329" s="17">
        <f>INDEX(Bar_As,MATCH(C329,Bar_No,0))*L329/1000</f>
      </c>
      <c r="N329" s="17">
        <f>M329*INDEX(Bar_Y,MATCH(C329,Bar_No,0))/1000</f>
      </c>
      <c r="O329" s="17">
        <f>M329*INDEX(Bar_X,MATCH(C329,Bar_No,0))/1000</f>
      </c>
    </row>
    <row r="330" spans="2:15" x14ac:dyDescent="0.25">
      <c r="B330">
        <v>19</v>
      </c>
      <c r="C330">
        <v>1</v>
      </c>
      <c r="D330" s="17">
        <f>INDEX(Blk_c,MATCH(B330,Blk_St,0))</f>
      </c>
      <c r="E330" s="17">
        <f>INDEX(Bar_U,MATCH(C330,Bar_No,0))</f>
      </c>
      <c r="F330" s="17">
        <f>u_max-E330</f>
      </c>
      <c r="G330" s="20">
        <f>ecu*(1-F330/D330)</f>
      </c>
      <c r="H330" s="20">
        <f>MAX(0,-G330)</f>
      </c>
      <c r="I330" s="17">
        <f>MAX(MIN(Es*G330,fy),-fy)</f>
      </c>
      <c r="J330">
        <f>IF(E330&gt;=u_max-beta_1*D330-blk_tol,1,0)</f>
      </c>
      <c r="K330" s="17">
        <f>J330*sig_blk</f>
      </c>
      <c r="L330" s="17">
        <f>I330-K330</f>
      </c>
      <c r="M330" s="17">
        <f>INDEX(Bar_As,MATCH(C330,Bar_No,0))*L330/1000</f>
      </c>
      <c r="N330" s="17">
        <f>M330*INDEX(Bar_Y,MATCH(C330,Bar_No,0))/1000</f>
      </c>
      <c r="O330" s="17">
        <f>M330*INDEX(Bar_X,MATCH(C330,Bar_No,0))/1000</f>
      </c>
    </row>
    <row r="331" spans="2:15" x14ac:dyDescent="0.25">
      <c r="B331">
        <v>19</v>
      </c>
      <c r="C331">
        <v>2</v>
      </c>
      <c r="D331" s="17">
        <f>INDEX(Blk_c,MATCH(B331,Blk_St,0))</f>
      </c>
      <c r="E331" s="17">
        <f>INDEX(Bar_U,MATCH(C331,Bar_No,0))</f>
      </c>
      <c r="F331" s="17">
        <f>u_max-E331</f>
      </c>
      <c r="G331" s="20">
        <f>ecu*(1-F331/D331)</f>
      </c>
      <c r="H331" s="20">
        <f>MAX(0,-G331)</f>
      </c>
      <c r="I331" s="17">
        <f>MAX(MIN(Es*G331,fy),-fy)</f>
      </c>
      <c r="J331">
        <f>IF(E331&gt;=u_max-beta_1*D331-blk_tol,1,0)</f>
      </c>
      <c r="K331" s="17">
        <f>J331*sig_blk</f>
      </c>
      <c r="L331" s="17">
        <f>I331-K331</f>
      </c>
      <c r="M331" s="17">
        <f>INDEX(Bar_As,MATCH(C331,Bar_No,0))*L331/1000</f>
      </c>
      <c r="N331" s="17">
        <f>M331*INDEX(Bar_Y,MATCH(C331,Bar_No,0))/1000</f>
      </c>
      <c r="O331" s="17">
        <f>M331*INDEX(Bar_X,MATCH(C331,Bar_No,0))/1000</f>
      </c>
    </row>
    <row r="332" spans="2:15" x14ac:dyDescent="0.25">
      <c r="B332">
        <v>19</v>
      </c>
      <c r="C332">
        <v>3</v>
      </c>
      <c r="D332" s="17">
        <f>INDEX(Blk_c,MATCH(B332,Blk_St,0))</f>
      </c>
      <c r="E332" s="17">
        <f>INDEX(Bar_U,MATCH(C332,Bar_No,0))</f>
      </c>
      <c r="F332" s="17">
        <f>u_max-E332</f>
      </c>
      <c r="G332" s="20">
        <f>ecu*(1-F332/D332)</f>
      </c>
      <c r="H332" s="20">
        <f>MAX(0,-G332)</f>
      </c>
      <c r="I332" s="17">
        <f>MAX(MIN(Es*G332,fy),-fy)</f>
      </c>
      <c r="J332">
        <f>IF(E332&gt;=u_max-beta_1*D332-blk_tol,1,0)</f>
      </c>
      <c r="K332" s="17">
        <f>J332*sig_blk</f>
      </c>
      <c r="L332" s="17">
        <f>I332-K332</f>
      </c>
      <c r="M332" s="17">
        <f>INDEX(Bar_As,MATCH(C332,Bar_No,0))*L332/1000</f>
      </c>
      <c r="N332" s="17">
        <f>M332*INDEX(Bar_Y,MATCH(C332,Bar_No,0))/1000</f>
      </c>
      <c r="O332" s="17">
        <f>M332*INDEX(Bar_X,MATCH(C332,Bar_No,0))/1000</f>
      </c>
    </row>
    <row r="333" spans="2:15" x14ac:dyDescent="0.25">
      <c r="B333">
        <v>19</v>
      </c>
      <c r="C333">
        <v>4</v>
      </c>
      <c r="D333" s="17">
        <f>INDEX(Blk_c,MATCH(B333,Blk_St,0))</f>
      </c>
      <c r="E333" s="17">
        <f>INDEX(Bar_U,MATCH(C333,Bar_No,0))</f>
      </c>
      <c r="F333" s="17">
        <f>u_max-E333</f>
      </c>
      <c r="G333" s="20">
        <f>ecu*(1-F333/D333)</f>
      </c>
      <c r="H333" s="20">
        <f>MAX(0,-G333)</f>
      </c>
      <c r="I333" s="17">
        <f>MAX(MIN(Es*G333,fy),-fy)</f>
      </c>
      <c r="J333">
        <f>IF(E333&gt;=u_max-beta_1*D333-blk_tol,1,0)</f>
      </c>
      <c r="K333" s="17">
        <f>J333*sig_blk</f>
      </c>
      <c r="L333" s="17">
        <f>I333-K333</f>
      </c>
      <c r="M333" s="17">
        <f>INDEX(Bar_As,MATCH(C333,Bar_No,0))*L333/1000</f>
      </c>
      <c r="N333" s="17">
        <f>M333*INDEX(Bar_Y,MATCH(C333,Bar_No,0))/1000</f>
      </c>
      <c r="O333" s="17">
        <f>M333*INDEX(Bar_X,MATCH(C333,Bar_No,0))/1000</f>
      </c>
    </row>
    <row r="334" spans="2:15" x14ac:dyDescent="0.25">
      <c r="B334">
        <v>19</v>
      </c>
      <c r="C334">
        <v>5</v>
      </c>
      <c r="D334" s="17">
        <f>INDEX(Blk_c,MATCH(B334,Blk_St,0))</f>
      </c>
      <c r="E334" s="17">
        <f>INDEX(Bar_U,MATCH(C334,Bar_No,0))</f>
      </c>
      <c r="F334" s="17">
        <f>u_max-E334</f>
      </c>
      <c r="G334" s="20">
        <f>ecu*(1-F334/D334)</f>
      </c>
      <c r="H334" s="20">
        <f>MAX(0,-G334)</f>
      </c>
      <c r="I334" s="17">
        <f>MAX(MIN(Es*G334,fy),-fy)</f>
      </c>
      <c r="J334">
        <f>IF(E334&gt;=u_max-beta_1*D334-blk_tol,1,0)</f>
      </c>
      <c r="K334" s="17">
        <f>J334*sig_blk</f>
      </c>
      <c r="L334" s="17">
        <f>I334-K334</f>
      </c>
      <c r="M334" s="17">
        <f>INDEX(Bar_As,MATCH(C334,Bar_No,0))*L334/1000</f>
      </c>
      <c r="N334" s="17">
        <f>M334*INDEX(Bar_Y,MATCH(C334,Bar_No,0))/1000</f>
      </c>
      <c r="O334" s="17">
        <f>M334*INDEX(Bar_X,MATCH(C334,Bar_No,0))/1000</f>
      </c>
    </row>
    <row r="335" spans="2:15" x14ac:dyDescent="0.25">
      <c r="B335">
        <v>19</v>
      </c>
      <c r="C335">
        <v>6</v>
      </c>
      <c r="D335" s="17">
        <f>INDEX(Blk_c,MATCH(B335,Blk_St,0))</f>
      </c>
      <c r="E335" s="17">
        <f>INDEX(Bar_U,MATCH(C335,Bar_No,0))</f>
      </c>
      <c r="F335" s="17">
        <f>u_max-E335</f>
      </c>
      <c r="G335" s="20">
        <f>ecu*(1-F335/D335)</f>
      </c>
      <c r="H335" s="20">
        <f>MAX(0,-G335)</f>
      </c>
      <c r="I335" s="17">
        <f>MAX(MIN(Es*G335,fy),-fy)</f>
      </c>
      <c r="J335">
        <f>IF(E335&gt;=u_max-beta_1*D335-blk_tol,1,0)</f>
      </c>
      <c r="K335" s="17">
        <f>J335*sig_blk</f>
      </c>
      <c r="L335" s="17">
        <f>I335-K335</f>
      </c>
      <c r="M335" s="17">
        <f>INDEX(Bar_As,MATCH(C335,Bar_No,0))*L335/1000</f>
      </c>
      <c r="N335" s="17">
        <f>M335*INDEX(Bar_Y,MATCH(C335,Bar_No,0))/1000</f>
      </c>
      <c r="O335" s="17">
        <f>M335*INDEX(Bar_X,MATCH(C335,Bar_No,0))/1000</f>
      </c>
    </row>
    <row r="336" spans="2:15" x14ac:dyDescent="0.25">
      <c r="B336">
        <v>19</v>
      </c>
      <c r="C336">
        <v>7</v>
      </c>
      <c r="D336" s="17">
        <f>INDEX(Blk_c,MATCH(B336,Blk_St,0))</f>
      </c>
      <c r="E336" s="17">
        <f>INDEX(Bar_U,MATCH(C336,Bar_No,0))</f>
      </c>
      <c r="F336" s="17">
        <f>u_max-E336</f>
      </c>
      <c r="G336" s="20">
        <f>ecu*(1-F336/D336)</f>
      </c>
      <c r="H336" s="20">
        <f>MAX(0,-G336)</f>
      </c>
      <c r="I336" s="17">
        <f>MAX(MIN(Es*G336,fy),-fy)</f>
      </c>
      <c r="J336">
        <f>IF(E336&gt;=u_max-beta_1*D336-blk_tol,1,0)</f>
      </c>
      <c r="K336" s="17">
        <f>J336*sig_blk</f>
      </c>
      <c r="L336" s="17">
        <f>I336-K336</f>
      </c>
      <c r="M336" s="17">
        <f>INDEX(Bar_As,MATCH(C336,Bar_No,0))*L336/1000</f>
      </c>
      <c r="N336" s="17">
        <f>M336*INDEX(Bar_Y,MATCH(C336,Bar_No,0))/1000</f>
      </c>
      <c r="O336" s="17">
        <f>M336*INDEX(Bar_X,MATCH(C336,Bar_No,0))/1000</f>
      </c>
    </row>
    <row r="337" spans="2:15" x14ac:dyDescent="0.25">
      <c r="B337">
        <v>19</v>
      </c>
      <c r="C337">
        <v>8</v>
      </c>
      <c r="D337" s="17">
        <f>INDEX(Blk_c,MATCH(B337,Blk_St,0))</f>
      </c>
      <c r="E337" s="17">
        <f>INDEX(Bar_U,MATCH(C337,Bar_No,0))</f>
      </c>
      <c r="F337" s="17">
        <f>u_max-E337</f>
      </c>
      <c r="G337" s="20">
        <f>ecu*(1-F337/D337)</f>
      </c>
      <c r="H337" s="20">
        <f>MAX(0,-G337)</f>
      </c>
      <c r="I337" s="17">
        <f>MAX(MIN(Es*G337,fy),-fy)</f>
      </c>
      <c r="J337">
        <f>IF(E337&gt;=u_max-beta_1*D337-blk_tol,1,0)</f>
      </c>
      <c r="K337" s="17">
        <f>J337*sig_blk</f>
      </c>
      <c r="L337" s="17">
        <f>I337-K337</f>
      </c>
      <c r="M337" s="17">
        <f>INDEX(Bar_As,MATCH(C337,Bar_No,0))*L337/1000</f>
      </c>
      <c r="N337" s="17">
        <f>M337*INDEX(Bar_Y,MATCH(C337,Bar_No,0))/1000</f>
      </c>
      <c r="O337" s="17">
        <f>M337*INDEX(Bar_X,MATCH(C337,Bar_No,0))/1000</f>
      </c>
    </row>
    <row r="338" spans="2:15" x14ac:dyDescent="0.25">
      <c r="B338">
        <v>19</v>
      </c>
      <c r="C338">
        <v>9</v>
      </c>
      <c r="D338" s="17">
        <f>INDEX(Blk_c,MATCH(B338,Blk_St,0))</f>
      </c>
      <c r="E338" s="17">
        <f>INDEX(Bar_U,MATCH(C338,Bar_No,0))</f>
      </c>
      <c r="F338" s="17">
        <f>u_max-E338</f>
      </c>
      <c r="G338" s="20">
        <f>ecu*(1-F338/D338)</f>
      </c>
      <c r="H338" s="20">
        <f>MAX(0,-G338)</f>
      </c>
      <c r="I338" s="17">
        <f>MAX(MIN(Es*G338,fy),-fy)</f>
      </c>
      <c r="J338">
        <f>IF(E338&gt;=u_max-beta_1*D338-blk_tol,1,0)</f>
      </c>
      <c r="K338" s="17">
        <f>J338*sig_blk</f>
      </c>
      <c r="L338" s="17">
        <f>I338-K338</f>
      </c>
      <c r="M338" s="17">
        <f>INDEX(Bar_As,MATCH(C338,Bar_No,0))*L338/1000</f>
      </c>
      <c r="N338" s="17">
        <f>M338*INDEX(Bar_Y,MATCH(C338,Bar_No,0))/1000</f>
      </c>
      <c r="O338" s="17">
        <f>M338*INDEX(Bar_X,MATCH(C338,Bar_No,0))/1000</f>
      </c>
    </row>
    <row r="339" spans="2:15" x14ac:dyDescent="0.25">
      <c r="B339">
        <v>19</v>
      </c>
      <c r="C339">
        <v>10</v>
      </c>
      <c r="D339" s="17">
        <f>INDEX(Blk_c,MATCH(B339,Blk_St,0))</f>
      </c>
      <c r="E339" s="17">
        <f>INDEX(Bar_U,MATCH(C339,Bar_No,0))</f>
      </c>
      <c r="F339" s="17">
        <f>u_max-E339</f>
      </c>
      <c r="G339" s="20">
        <f>ecu*(1-F339/D339)</f>
      </c>
      <c r="H339" s="20">
        <f>MAX(0,-G339)</f>
      </c>
      <c r="I339" s="17">
        <f>MAX(MIN(Es*G339,fy),-fy)</f>
      </c>
      <c r="J339">
        <f>IF(E339&gt;=u_max-beta_1*D339-blk_tol,1,0)</f>
      </c>
      <c r="K339" s="17">
        <f>J339*sig_blk</f>
      </c>
      <c r="L339" s="17">
        <f>I339-K339</f>
      </c>
      <c r="M339" s="17">
        <f>INDEX(Bar_As,MATCH(C339,Bar_No,0))*L339/1000</f>
      </c>
      <c r="N339" s="17">
        <f>M339*INDEX(Bar_Y,MATCH(C339,Bar_No,0))/1000</f>
      </c>
      <c r="O339" s="17">
        <f>M339*INDEX(Bar_X,MATCH(C339,Bar_No,0))/1000</f>
      </c>
    </row>
    <row r="340" spans="2:15" x14ac:dyDescent="0.25">
      <c r="B340">
        <v>19</v>
      </c>
      <c r="C340">
        <v>11</v>
      </c>
      <c r="D340" s="17">
        <f>INDEX(Blk_c,MATCH(B340,Blk_St,0))</f>
      </c>
      <c r="E340" s="17">
        <f>INDEX(Bar_U,MATCH(C340,Bar_No,0))</f>
      </c>
      <c r="F340" s="17">
        <f>u_max-E340</f>
      </c>
      <c r="G340" s="20">
        <f>ecu*(1-F340/D340)</f>
      </c>
      <c r="H340" s="20">
        <f>MAX(0,-G340)</f>
      </c>
      <c r="I340" s="17">
        <f>MAX(MIN(Es*G340,fy),-fy)</f>
      </c>
      <c r="J340">
        <f>IF(E340&gt;=u_max-beta_1*D340-blk_tol,1,0)</f>
      </c>
      <c r="K340" s="17">
        <f>J340*sig_blk</f>
      </c>
      <c r="L340" s="17">
        <f>I340-K340</f>
      </c>
      <c r="M340" s="17">
        <f>INDEX(Bar_As,MATCH(C340,Bar_No,0))*L340/1000</f>
      </c>
      <c r="N340" s="17">
        <f>M340*INDEX(Bar_Y,MATCH(C340,Bar_No,0))/1000</f>
      </c>
      <c r="O340" s="17">
        <f>M340*INDEX(Bar_X,MATCH(C340,Bar_No,0))/1000</f>
      </c>
    </row>
    <row r="341" spans="2:15" x14ac:dyDescent="0.25">
      <c r="B341">
        <v>19</v>
      </c>
      <c r="C341">
        <v>12</v>
      </c>
      <c r="D341" s="17">
        <f>INDEX(Blk_c,MATCH(B341,Blk_St,0))</f>
      </c>
      <c r="E341" s="17">
        <f>INDEX(Bar_U,MATCH(C341,Bar_No,0))</f>
      </c>
      <c r="F341" s="17">
        <f>u_max-E341</f>
      </c>
      <c r="G341" s="20">
        <f>ecu*(1-F341/D341)</f>
      </c>
      <c r="H341" s="20">
        <f>MAX(0,-G341)</f>
      </c>
      <c r="I341" s="17">
        <f>MAX(MIN(Es*G341,fy),-fy)</f>
      </c>
      <c r="J341">
        <f>IF(E341&gt;=u_max-beta_1*D341-blk_tol,1,0)</f>
      </c>
      <c r="K341" s="17">
        <f>J341*sig_blk</f>
      </c>
      <c r="L341" s="17">
        <f>I341-K341</f>
      </c>
      <c r="M341" s="17">
        <f>INDEX(Bar_As,MATCH(C341,Bar_No,0))*L341/1000</f>
      </c>
      <c r="N341" s="17">
        <f>M341*INDEX(Bar_Y,MATCH(C341,Bar_No,0))/1000</f>
      </c>
      <c r="O341" s="17">
        <f>M341*INDEX(Bar_X,MATCH(C341,Bar_No,0))/1000</f>
      </c>
    </row>
    <row r="342" spans="2:15" x14ac:dyDescent="0.25">
      <c r="B342">
        <v>19</v>
      </c>
      <c r="C342">
        <v>13</v>
      </c>
      <c r="D342" s="17">
        <f>INDEX(Blk_c,MATCH(B342,Blk_St,0))</f>
      </c>
      <c r="E342" s="17">
        <f>INDEX(Bar_U,MATCH(C342,Bar_No,0))</f>
      </c>
      <c r="F342" s="17">
        <f>u_max-E342</f>
      </c>
      <c r="G342" s="20">
        <f>ecu*(1-F342/D342)</f>
      </c>
      <c r="H342" s="20">
        <f>MAX(0,-G342)</f>
      </c>
      <c r="I342" s="17">
        <f>MAX(MIN(Es*G342,fy),-fy)</f>
      </c>
      <c r="J342">
        <f>IF(E342&gt;=u_max-beta_1*D342-blk_tol,1,0)</f>
      </c>
      <c r="K342" s="17">
        <f>J342*sig_blk</f>
      </c>
      <c r="L342" s="17">
        <f>I342-K342</f>
      </c>
      <c r="M342" s="17">
        <f>INDEX(Bar_As,MATCH(C342,Bar_No,0))*L342/1000</f>
      </c>
      <c r="N342" s="17">
        <f>M342*INDEX(Bar_Y,MATCH(C342,Bar_No,0))/1000</f>
      </c>
      <c r="O342" s="17">
        <f>M342*INDEX(Bar_X,MATCH(C342,Bar_No,0))/1000</f>
      </c>
    </row>
    <row r="343" spans="2:15" x14ac:dyDescent="0.25">
      <c r="B343">
        <v>19</v>
      </c>
      <c r="C343">
        <v>14</v>
      </c>
      <c r="D343" s="17">
        <f>INDEX(Blk_c,MATCH(B343,Blk_St,0))</f>
      </c>
      <c r="E343" s="17">
        <f>INDEX(Bar_U,MATCH(C343,Bar_No,0))</f>
      </c>
      <c r="F343" s="17">
        <f>u_max-E343</f>
      </c>
      <c r="G343" s="20">
        <f>ecu*(1-F343/D343)</f>
      </c>
      <c r="H343" s="20">
        <f>MAX(0,-G343)</f>
      </c>
      <c r="I343" s="17">
        <f>MAX(MIN(Es*G343,fy),-fy)</f>
      </c>
      <c r="J343">
        <f>IF(E343&gt;=u_max-beta_1*D343-blk_tol,1,0)</f>
      </c>
      <c r="K343" s="17">
        <f>J343*sig_blk</f>
      </c>
      <c r="L343" s="17">
        <f>I343-K343</f>
      </c>
      <c r="M343" s="17">
        <f>INDEX(Bar_As,MATCH(C343,Bar_No,0))*L343/1000</f>
      </c>
      <c r="N343" s="17">
        <f>M343*INDEX(Bar_Y,MATCH(C343,Bar_No,0))/1000</f>
      </c>
      <c r="O343" s="17">
        <f>M343*INDEX(Bar_X,MATCH(C343,Bar_No,0))/1000</f>
      </c>
    </row>
    <row r="344" spans="2:15" x14ac:dyDescent="0.25">
      <c r="B344">
        <v>19</v>
      </c>
      <c r="C344">
        <v>15</v>
      </c>
      <c r="D344" s="17">
        <f>INDEX(Blk_c,MATCH(B344,Blk_St,0))</f>
      </c>
      <c r="E344" s="17">
        <f>INDEX(Bar_U,MATCH(C344,Bar_No,0))</f>
      </c>
      <c r="F344" s="17">
        <f>u_max-E344</f>
      </c>
      <c r="G344" s="20">
        <f>ecu*(1-F344/D344)</f>
      </c>
      <c r="H344" s="20">
        <f>MAX(0,-G344)</f>
      </c>
      <c r="I344" s="17">
        <f>MAX(MIN(Es*G344,fy),-fy)</f>
      </c>
      <c r="J344">
        <f>IF(E344&gt;=u_max-beta_1*D344-blk_tol,1,0)</f>
      </c>
      <c r="K344" s="17">
        <f>J344*sig_blk</f>
      </c>
      <c r="L344" s="17">
        <f>I344-K344</f>
      </c>
      <c r="M344" s="17">
        <f>INDEX(Bar_As,MATCH(C344,Bar_No,0))*L344/1000</f>
      </c>
      <c r="N344" s="17">
        <f>M344*INDEX(Bar_Y,MATCH(C344,Bar_No,0))/1000</f>
      </c>
      <c r="O344" s="17">
        <f>M344*INDEX(Bar_X,MATCH(C344,Bar_No,0))/1000</f>
      </c>
    </row>
    <row r="345" spans="2:15" x14ac:dyDescent="0.25">
      <c r="B345">
        <v>19</v>
      </c>
      <c r="C345">
        <v>16</v>
      </c>
      <c r="D345" s="17">
        <f>INDEX(Blk_c,MATCH(B345,Blk_St,0))</f>
      </c>
      <c r="E345" s="17">
        <f>INDEX(Bar_U,MATCH(C345,Bar_No,0))</f>
      </c>
      <c r="F345" s="17">
        <f>u_max-E345</f>
      </c>
      <c r="G345" s="20">
        <f>ecu*(1-F345/D345)</f>
      </c>
      <c r="H345" s="20">
        <f>MAX(0,-G345)</f>
      </c>
      <c r="I345" s="17">
        <f>MAX(MIN(Es*G345,fy),-fy)</f>
      </c>
      <c r="J345">
        <f>IF(E345&gt;=u_max-beta_1*D345-blk_tol,1,0)</f>
      </c>
      <c r="K345" s="17">
        <f>J345*sig_blk</f>
      </c>
      <c r="L345" s="17">
        <f>I345-K345</f>
      </c>
      <c r="M345" s="17">
        <f>INDEX(Bar_As,MATCH(C345,Bar_No,0))*L345/1000</f>
      </c>
      <c r="N345" s="17">
        <f>M345*INDEX(Bar_Y,MATCH(C345,Bar_No,0))/1000</f>
      </c>
      <c r="O345" s="17">
        <f>M345*INDEX(Bar_X,MATCH(C345,Bar_No,0))/1000</f>
      </c>
    </row>
    <row r="346" spans="2:15" x14ac:dyDescent="0.25">
      <c r="B346">
        <v>19</v>
      </c>
      <c r="C346">
        <v>17</v>
      </c>
      <c r="D346" s="17">
        <f>INDEX(Blk_c,MATCH(B346,Blk_St,0))</f>
      </c>
      <c r="E346" s="17">
        <f>INDEX(Bar_U,MATCH(C346,Bar_No,0))</f>
      </c>
      <c r="F346" s="17">
        <f>u_max-E346</f>
      </c>
      <c r="G346" s="20">
        <f>ecu*(1-F346/D346)</f>
      </c>
      <c r="H346" s="20">
        <f>MAX(0,-G346)</f>
      </c>
      <c r="I346" s="17">
        <f>MAX(MIN(Es*G346,fy),-fy)</f>
      </c>
      <c r="J346">
        <f>IF(E346&gt;=u_max-beta_1*D346-blk_tol,1,0)</f>
      </c>
      <c r="K346" s="17">
        <f>J346*sig_blk</f>
      </c>
      <c r="L346" s="17">
        <f>I346-K346</f>
      </c>
      <c r="M346" s="17">
        <f>INDEX(Bar_As,MATCH(C346,Bar_No,0))*L346/1000</f>
      </c>
      <c r="N346" s="17">
        <f>M346*INDEX(Bar_Y,MATCH(C346,Bar_No,0))/1000</f>
      </c>
      <c r="O346" s="17">
        <f>M346*INDEX(Bar_X,MATCH(C346,Bar_No,0))/1000</f>
      </c>
    </row>
    <row r="347" spans="2:15" x14ac:dyDescent="0.25">
      <c r="B347">
        <v>19</v>
      </c>
      <c r="C347">
        <v>18</v>
      </c>
      <c r="D347" s="17">
        <f>INDEX(Blk_c,MATCH(B347,Blk_St,0))</f>
      </c>
      <c r="E347" s="17">
        <f>INDEX(Bar_U,MATCH(C347,Bar_No,0))</f>
      </c>
      <c r="F347" s="17">
        <f>u_max-E347</f>
      </c>
      <c r="G347" s="20">
        <f>ecu*(1-F347/D347)</f>
      </c>
      <c r="H347" s="20">
        <f>MAX(0,-G347)</f>
      </c>
      <c r="I347" s="17">
        <f>MAX(MIN(Es*G347,fy),-fy)</f>
      </c>
      <c r="J347">
        <f>IF(E347&gt;=u_max-beta_1*D347-blk_tol,1,0)</f>
      </c>
      <c r="K347" s="17">
        <f>J347*sig_blk</f>
      </c>
      <c r="L347" s="17">
        <f>I347-K347</f>
      </c>
      <c r="M347" s="17">
        <f>INDEX(Bar_As,MATCH(C347,Bar_No,0))*L347/1000</f>
      </c>
      <c r="N347" s="17">
        <f>M347*INDEX(Bar_Y,MATCH(C347,Bar_No,0))/1000</f>
      </c>
      <c r="O347" s="17">
        <f>M347*INDEX(Bar_X,MATCH(C347,Bar_No,0))/1000</f>
      </c>
    </row>
    <row r="348" spans="2:15" x14ac:dyDescent="0.25">
      <c r="B348">
        <v>20</v>
      </c>
      <c r="C348">
        <v>1</v>
      </c>
      <c r="D348" s="17">
        <f>INDEX(Blk_c,MATCH(B348,Blk_St,0))</f>
      </c>
      <c r="E348" s="17">
        <f>INDEX(Bar_U,MATCH(C348,Bar_No,0))</f>
      </c>
      <c r="F348" s="17">
        <f>u_max-E348</f>
      </c>
      <c r="G348" s="20">
        <f>ecu*(1-F348/D348)</f>
      </c>
      <c r="H348" s="20">
        <f>MAX(0,-G348)</f>
      </c>
      <c r="I348" s="17">
        <f>MAX(MIN(Es*G348,fy),-fy)</f>
      </c>
      <c r="J348">
        <f>IF(E348&gt;=u_max-beta_1*D348-blk_tol,1,0)</f>
      </c>
      <c r="K348" s="17">
        <f>J348*sig_blk</f>
      </c>
      <c r="L348" s="17">
        <f>I348-K348</f>
      </c>
      <c r="M348" s="17">
        <f>INDEX(Bar_As,MATCH(C348,Bar_No,0))*L348/1000</f>
      </c>
      <c r="N348" s="17">
        <f>M348*INDEX(Bar_Y,MATCH(C348,Bar_No,0))/1000</f>
      </c>
      <c r="O348" s="17">
        <f>M348*INDEX(Bar_X,MATCH(C348,Bar_No,0))/1000</f>
      </c>
    </row>
    <row r="349" spans="2:15" x14ac:dyDescent="0.25">
      <c r="B349">
        <v>20</v>
      </c>
      <c r="C349">
        <v>2</v>
      </c>
      <c r="D349" s="17">
        <f>INDEX(Blk_c,MATCH(B349,Blk_St,0))</f>
      </c>
      <c r="E349" s="17">
        <f>INDEX(Bar_U,MATCH(C349,Bar_No,0))</f>
      </c>
      <c r="F349" s="17">
        <f>u_max-E349</f>
      </c>
      <c r="G349" s="20">
        <f>ecu*(1-F349/D349)</f>
      </c>
      <c r="H349" s="20">
        <f>MAX(0,-G349)</f>
      </c>
      <c r="I349" s="17">
        <f>MAX(MIN(Es*G349,fy),-fy)</f>
      </c>
      <c r="J349">
        <f>IF(E349&gt;=u_max-beta_1*D349-blk_tol,1,0)</f>
      </c>
      <c r="K349" s="17">
        <f>J349*sig_blk</f>
      </c>
      <c r="L349" s="17">
        <f>I349-K349</f>
      </c>
      <c r="M349" s="17">
        <f>INDEX(Bar_As,MATCH(C349,Bar_No,0))*L349/1000</f>
      </c>
      <c r="N349" s="17">
        <f>M349*INDEX(Bar_Y,MATCH(C349,Bar_No,0))/1000</f>
      </c>
      <c r="O349" s="17">
        <f>M349*INDEX(Bar_X,MATCH(C349,Bar_No,0))/1000</f>
      </c>
    </row>
    <row r="350" spans="2:15" x14ac:dyDescent="0.25">
      <c r="B350">
        <v>20</v>
      </c>
      <c r="C350">
        <v>3</v>
      </c>
      <c r="D350" s="17">
        <f>INDEX(Blk_c,MATCH(B350,Blk_St,0))</f>
      </c>
      <c r="E350" s="17">
        <f>INDEX(Bar_U,MATCH(C350,Bar_No,0))</f>
      </c>
      <c r="F350" s="17">
        <f>u_max-E350</f>
      </c>
      <c r="G350" s="20">
        <f>ecu*(1-F350/D350)</f>
      </c>
      <c r="H350" s="20">
        <f>MAX(0,-G350)</f>
      </c>
      <c r="I350" s="17">
        <f>MAX(MIN(Es*G350,fy),-fy)</f>
      </c>
      <c r="J350">
        <f>IF(E350&gt;=u_max-beta_1*D350-blk_tol,1,0)</f>
      </c>
      <c r="K350" s="17">
        <f>J350*sig_blk</f>
      </c>
      <c r="L350" s="17">
        <f>I350-K350</f>
      </c>
      <c r="M350" s="17">
        <f>INDEX(Bar_As,MATCH(C350,Bar_No,0))*L350/1000</f>
      </c>
      <c r="N350" s="17">
        <f>M350*INDEX(Bar_Y,MATCH(C350,Bar_No,0))/1000</f>
      </c>
      <c r="O350" s="17">
        <f>M350*INDEX(Bar_X,MATCH(C350,Bar_No,0))/1000</f>
      </c>
    </row>
    <row r="351" spans="2:15" x14ac:dyDescent="0.25">
      <c r="B351">
        <v>20</v>
      </c>
      <c r="C351">
        <v>4</v>
      </c>
      <c r="D351" s="17">
        <f>INDEX(Blk_c,MATCH(B351,Blk_St,0))</f>
      </c>
      <c r="E351" s="17">
        <f>INDEX(Bar_U,MATCH(C351,Bar_No,0))</f>
      </c>
      <c r="F351" s="17">
        <f>u_max-E351</f>
      </c>
      <c r="G351" s="20">
        <f>ecu*(1-F351/D351)</f>
      </c>
      <c r="H351" s="20">
        <f>MAX(0,-G351)</f>
      </c>
      <c r="I351" s="17">
        <f>MAX(MIN(Es*G351,fy),-fy)</f>
      </c>
      <c r="J351">
        <f>IF(E351&gt;=u_max-beta_1*D351-blk_tol,1,0)</f>
      </c>
      <c r="K351" s="17">
        <f>J351*sig_blk</f>
      </c>
      <c r="L351" s="17">
        <f>I351-K351</f>
      </c>
      <c r="M351" s="17">
        <f>INDEX(Bar_As,MATCH(C351,Bar_No,0))*L351/1000</f>
      </c>
      <c r="N351" s="17">
        <f>M351*INDEX(Bar_Y,MATCH(C351,Bar_No,0))/1000</f>
      </c>
      <c r="O351" s="17">
        <f>M351*INDEX(Bar_X,MATCH(C351,Bar_No,0))/1000</f>
      </c>
    </row>
    <row r="352" spans="2:15" x14ac:dyDescent="0.25">
      <c r="B352">
        <v>20</v>
      </c>
      <c r="C352">
        <v>5</v>
      </c>
      <c r="D352" s="17">
        <f>INDEX(Blk_c,MATCH(B352,Blk_St,0))</f>
      </c>
      <c r="E352" s="17">
        <f>INDEX(Bar_U,MATCH(C352,Bar_No,0))</f>
      </c>
      <c r="F352" s="17">
        <f>u_max-E352</f>
      </c>
      <c r="G352" s="20">
        <f>ecu*(1-F352/D352)</f>
      </c>
      <c r="H352" s="20">
        <f>MAX(0,-G352)</f>
      </c>
      <c r="I352" s="17">
        <f>MAX(MIN(Es*G352,fy),-fy)</f>
      </c>
      <c r="J352">
        <f>IF(E352&gt;=u_max-beta_1*D352-blk_tol,1,0)</f>
      </c>
      <c r="K352" s="17">
        <f>J352*sig_blk</f>
      </c>
      <c r="L352" s="17">
        <f>I352-K352</f>
      </c>
      <c r="M352" s="17">
        <f>INDEX(Bar_As,MATCH(C352,Bar_No,0))*L352/1000</f>
      </c>
      <c r="N352" s="17">
        <f>M352*INDEX(Bar_Y,MATCH(C352,Bar_No,0))/1000</f>
      </c>
      <c r="O352" s="17">
        <f>M352*INDEX(Bar_X,MATCH(C352,Bar_No,0))/1000</f>
      </c>
    </row>
    <row r="353" spans="2:15" x14ac:dyDescent="0.25">
      <c r="B353">
        <v>20</v>
      </c>
      <c r="C353">
        <v>6</v>
      </c>
      <c r="D353" s="17">
        <f>INDEX(Blk_c,MATCH(B353,Blk_St,0))</f>
      </c>
      <c r="E353" s="17">
        <f>INDEX(Bar_U,MATCH(C353,Bar_No,0))</f>
      </c>
      <c r="F353" s="17">
        <f>u_max-E353</f>
      </c>
      <c r="G353" s="20">
        <f>ecu*(1-F353/D353)</f>
      </c>
      <c r="H353" s="20">
        <f>MAX(0,-G353)</f>
      </c>
      <c r="I353" s="17">
        <f>MAX(MIN(Es*G353,fy),-fy)</f>
      </c>
      <c r="J353">
        <f>IF(E353&gt;=u_max-beta_1*D353-blk_tol,1,0)</f>
      </c>
      <c r="K353" s="17">
        <f>J353*sig_blk</f>
      </c>
      <c r="L353" s="17">
        <f>I353-K353</f>
      </c>
      <c r="M353" s="17">
        <f>INDEX(Bar_As,MATCH(C353,Bar_No,0))*L353/1000</f>
      </c>
      <c r="N353" s="17">
        <f>M353*INDEX(Bar_Y,MATCH(C353,Bar_No,0))/1000</f>
      </c>
      <c r="O353" s="17">
        <f>M353*INDEX(Bar_X,MATCH(C353,Bar_No,0))/1000</f>
      </c>
    </row>
    <row r="354" spans="2:15" x14ac:dyDescent="0.25">
      <c r="B354">
        <v>20</v>
      </c>
      <c r="C354">
        <v>7</v>
      </c>
      <c r="D354" s="17">
        <f>INDEX(Blk_c,MATCH(B354,Blk_St,0))</f>
      </c>
      <c r="E354" s="17">
        <f>INDEX(Bar_U,MATCH(C354,Bar_No,0))</f>
      </c>
      <c r="F354" s="17">
        <f>u_max-E354</f>
      </c>
      <c r="G354" s="20">
        <f>ecu*(1-F354/D354)</f>
      </c>
      <c r="H354" s="20">
        <f>MAX(0,-G354)</f>
      </c>
      <c r="I354" s="17">
        <f>MAX(MIN(Es*G354,fy),-fy)</f>
      </c>
      <c r="J354">
        <f>IF(E354&gt;=u_max-beta_1*D354-blk_tol,1,0)</f>
      </c>
      <c r="K354" s="17">
        <f>J354*sig_blk</f>
      </c>
      <c r="L354" s="17">
        <f>I354-K354</f>
      </c>
      <c r="M354" s="17">
        <f>INDEX(Bar_As,MATCH(C354,Bar_No,0))*L354/1000</f>
      </c>
      <c r="N354" s="17">
        <f>M354*INDEX(Bar_Y,MATCH(C354,Bar_No,0))/1000</f>
      </c>
      <c r="O354" s="17">
        <f>M354*INDEX(Bar_X,MATCH(C354,Bar_No,0))/1000</f>
      </c>
    </row>
    <row r="355" spans="2:15" x14ac:dyDescent="0.25">
      <c r="B355">
        <v>20</v>
      </c>
      <c r="C355">
        <v>8</v>
      </c>
      <c r="D355" s="17">
        <f>INDEX(Blk_c,MATCH(B355,Blk_St,0))</f>
      </c>
      <c r="E355" s="17">
        <f>INDEX(Bar_U,MATCH(C355,Bar_No,0))</f>
      </c>
      <c r="F355" s="17">
        <f>u_max-E355</f>
      </c>
      <c r="G355" s="20">
        <f>ecu*(1-F355/D355)</f>
      </c>
      <c r="H355" s="20">
        <f>MAX(0,-G355)</f>
      </c>
      <c r="I355" s="17">
        <f>MAX(MIN(Es*G355,fy),-fy)</f>
      </c>
      <c r="J355">
        <f>IF(E355&gt;=u_max-beta_1*D355-blk_tol,1,0)</f>
      </c>
      <c r="K355" s="17">
        <f>J355*sig_blk</f>
      </c>
      <c r="L355" s="17">
        <f>I355-K355</f>
      </c>
      <c r="M355" s="17">
        <f>INDEX(Bar_As,MATCH(C355,Bar_No,0))*L355/1000</f>
      </c>
      <c r="N355" s="17">
        <f>M355*INDEX(Bar_Y,MATCH(C355,Bar_No,0))/1000</f>
      </c>
      <c r="O355" s="17">
        <f>M355*INDEX(Bar_X,MATCH(C355,Bar_No,0))/1000</f>
      </c>
    </row>
    <row r="356" spans="2:15" x14ac:dyDescent="0.25">
      <c r="B356">
        <v>20</v>
      </c>
      <c r="C356">
        <v>9</v>
      </c>
      <c r="D356" s="17">
        <f>INDEX(Blk_c,MATCH(B356,Blk_St,0))</f>
      </c>
      <c r="E356" s="17">
        <f>INDEX(Bar_U,MATCH(C356,Bar_No,0))</f>
      </c>
      <c r="F356" s="17">
        <f>u_max-E356</f>
      </c>
      <c r="G356" s="20">
        <f>ecu*(1-F356/D356)</f>
      </c>
      <c r="H356" s="20">
        <f>MAX(0,-G356)</f>
      </c>
      <c r="I356" s="17">
        <f>MAX(MIN(Es*G356,fy),-fy)</f>
      </c>
      <c r="J356">
        <f>IF(E356&gt;=u_max-beta_1*D356-blk_tol,1,0)</f>
      </c>
      <c r="K356" s="17">
        <f>J356*sig_blk</f>
      </c>
      <c r="L356" s="17">
        <f>I356-K356</f>
      </c>
      <c r="M356" s="17">
        <f>INDEX(Bar_As,MATCH(C356,Bar_No,0))*L356/1000</f>
      </c>
      <c r="N356" s="17">
        <f>M356*INDEX(Bar_Y,MATCH(C356,Bar_No,0))/1000</f>
      </c>
      <c r="O356" s="17">
        <f>M356*INDEX(Bar_X,MATCH(C356,Bar_No,0))/1000</f>
      </c>
    </row>
    <row r="357" spans="2:15" x14ac:dyDescent="0.25">
      <c r="B357">
        <v>20</v>
      </c>
      <c r="C357">
        <v>10</v>
      </c>
      <c r="D357" s="17">
        <f>INDEX(Blk_c,MATCH(B357,Blk_St,0))</f>
      </c>
      <c r="E357" s="17">
        <f>INDEX(Bar_U,MATCH(C357,Bar_No,0))</f>
      </c>
      <c r="F357" s="17">
        <f>u_max-E357</f>
      </c>
      <c r="G357" s="20">
        <f>ecu*(1-F357/D357)</f>
      </c>
      <c r="H357" s="20">
        <f>MAX(0,-G357)</f>
      </c>
      <c r="I357" s="17">
        <f>MAX(MIN(Es*G357,fy),-fy)</f>
      </c>
      <c r="J357">
        <f>IF(E357&gt;=u_max-beta_1*D357-blk_tol,1,0)</f>
      </c>
      <c r="K357" s="17">
        <f>J357*sig_blk</f>
      </c>
      <c r="L357" s="17">
        <f>I357-K357</f>
      </c>
      <c r="M357" s="17">
        <f>INDEX(Bar_As,MATCH(C357,Bar_No,0))*L357/1000</f>
      </c>
      <c r="N357" s="17">
        <f>M357*INDEX(Bar_Y,MATCH(C357,Bar_No,0))/1000</f>
      </c>
      <c r="O357" s="17">
        <f>M357*INDEX(Bar_X,MATCH(C357,Bar_No,0))/1000</f>
      </c>
    </row>
    <row r="358" spans="2:15" x14ac:dyDescent="0.25">
      <c r="B358">
        <v>20</v>
      </c>
      <c r="C358">
        <v>11</v>
      </c>
      <c r="D358" s="17">
        <f>INDEX(Blk_c,MATCH(B358,Blk_St,0))</f>
      </c>
      <c r="E358" s="17">
        <f>INDEX(Bar_U,MATCH(C358,Bar_No,0))</f>
      </c>
      <c r="F358" s="17">
        <f>u_max-E358</f>
      </c>
      <c r="G358" s="20">
        <f>ecu*(1-F358/D358)</f>
      </c>
      <c r="H358" s="20">
        <f>MAX(0,-G358)</f>
      </c>
      <c r="I358" s="17">
        <f>MAX(MIN(Es*G358,fy),-fy)</f>
      </c>
      <c r="J358">
        <f>IF(E358&gt;=u_max-beta_1*D358-blk_tol,1,0)</f>
      </c>
      <c r="K358" s="17">
        <f>J358*sig_blk</f>
      </c>
      <c r="L358" s="17">
        <f>I358-K358</f>
      </c>
      <c r="M358" s="17">
        <f>INDEX(Bar_As,MATCH(C358,Bar_No,0))*L358/1000</f>
      </c>
      <c r="N358" s="17">
        <f>M358*INDEX(Bar_Y,MATCH(C358,Bar_No,0))/1000</f>
      </c>
      <c r="O358" s="17">
        <f>M358*INDEX(Bar_X,MATCH(C358,Bar_No,0))/1000</f>
      </c>
    </row>
    <row r="359" spans="2:15" x14ac:dyDescent="0.25">
      <c r="B359">
        <v>20</v>
      </c>
      <c r="C359">
        <v>12</v>
      </c>
      <c r="D359" s="17">
        <f>INDEX(Blk_c,MATCH(B359,Blk_St,0))</f>
      </c>
      <c r="E359" s="17">
        <f>INDEX(Bar_U,MATCH(C359,Bar_No,0))</f>
      </c>
      <c r="F359" s="17">
        <f>u_max-E359</f>
      </c>
      <c r="G359" s="20">
        <f>ecu*(1-F359/D359)</f>
      </c>
      <c r="H359" s="20">
        <f>MAX(0,-G359)</f>
      </c>
      <c r="I359" s="17">
        <f>MAX(MIN(Es*G359,fy),-fy)</f>
      </c>
      <c r="J359">
        <f>IF(E359&gt;=u_max-beta_1*D359-blk_tol,1,0)</f>
      </c>
      <c r="K359" s="17">
        <f>J359*sig_blk</f>
      </c>
      <c r="L359" s="17">
        <f>I359-K359</f>
      </c>
      <c r="M359" s="17">
        <f>INDEX(Bar_As,MATCH(C359,Bar_No,0))*L359/1000</f>
      </c>
      <c r="N359" s="17">
        <f>M359*INDEX(Bar_Y,MATCH(C359,Bar_No,0))/1000</f>
      </c>
      <c r="O359" s="17">
        <f>M359*INDEX(Bar_X,MATCH(C359,Bar_No,0))/1000</f>
      </c>
    </row>
    <row r="360" spans="2:15" x14ac:dyDescent="0.25">
      <c r="B360">
        <v>20</v>
      </c>
      <c r="C360">
        <v>13</v>
      </c>
      <c r="D360" s="17">
        <f>INDEX(Blk_c,MATCH(B360,Blk_St,0))</f>
      </c>
      <c r="E360" s="17">
        <f>INDEX(Bar_U,MATCH(C360,Bar_No,0))</f>
      </c>
      <c r="F360" s="17">
        <f>u_max-E360</f>
      </c>
      <c r="G360" s="20">
        <f>ecu*(1-F360/D360)</f>
      </c>
      <c r="H360" s="20">
        <f>MAX(0,-G360)</f>
      </c>
      <c r="I360" s="17">
        <f>MAX(MIN(Es*G360,fy),-fy)</f>
      </c>
      <c r="J360">
        <f>IF(E360&gt;=u_max-beta_1*D360-blk_tol,1,0)</f>
      </c>
      <c r="K360" s="17">
        <f>J360*sig_blk</f>
      </c>
      <c r="L360" s="17">
        <f>I360-K360</f>
      </c>
      <c r="M360" s="17">
        <f>INDEX(Bar_As,MATCH(C360,Bar_No,0))*L360/1000</f>
      </c>
      <c r="N360" s="17">
        <f>M360*INDEX(Bar_Y,MATCH(C360,Bar_No,0))/1000</f>
      </c>
      <c r="O360" s="17">
        <f>M360*INDEX(Bar_X,MATCH(C360,Bar_No,0))/1000</f>
      </c>
    </row>
    <row r="361" spans="2:15" x14ac:dyDescent="0.25">
      <c r="B361">
        <v>20</v>
      </c>
      <c r="C361">
        <v>14</v>
      </c>
      <c r="D361" s="17">
        <f>INDEX(Blk_c,MATCH(B361,Blk_St,0))</f>
      </c>
      <c r="E361" s="17">
        <f>INDEX(Bar_U,MATCH(C361,Bar_No,0))</f>
      </c>
      <c r="F361" s="17">
        <f>u_max-E361</f>
      </c>
      <c r="G361" s="20">
        <f>ecu*(1-F361/D361)</f>
      </c>
      <c r="H361" s="20">
        <f>MAX(0,-G361)</f>
      </c>
      <c r="I361" s="17">
        <f>MAX(MIN(Es*G361,fy),-fy)</f>
      </c>
      <c r="J361">
        <f>IF(E361&gt;=u_max-beta_1*D361-blk_tol,1,0)</f>
      </c>
      <c r="K361" s="17">
        <f>J361*sig_blk</f>
      </c>
      <c r="L361" s="17">
        <f>I361-K361</f>
      </c>
      <c r="M361" s="17">
        <f>INDEX(Bar_As,MATCH(C361,Bar_No,0))*L361/1000</f>
      </c>
      <c r="N361" s="17">
        <f>M361*INDEX(Bar_Y,MATCH(C361,Bar_No,0))/1000</f>
      </c>
      <c r="O361" s="17">
        <f>M361*INDEX(Bar_X,MATCH(C361,Bar_No,0))/1000</f>
      </c>
    </row>
    <row r="362" spans="2:15" x14ac:dyDescent="0.25">
      <c r="B362">
        <v>20</v>
      </c>
      <c r="C362">
        <v>15</v>
      </c>
      <c r="D362" s="17">
        <f>INDEX(Blk_c,MATCH(B362,Blk_St,0))</f>
      </c>
      <c r="E362" s="17">
        <f>INDEX(Bar_U,MATCH(C362,Bar_No,0))</f>
      </c>
      <c r="F362" s="17">
        <f>u_max-E362</f>
      </c>
      <c r="G362" s="20">
        <f>ecu*(1-F362/D362)</f>
      </c>
      <c r="H362" s="20">
        <f>MAX(0,-G362)</f>
      </c>
      <c r="I362" s="17">
        <f>MAX(MIN(Es*G362,fy),-fy)</f>
      </c>
      <c r="J362">
        <f>IF(E362&gt;=u_max-beta_1*D362-blk_tol,1,0)</f>
      </c>
      <c r="K362" s="17">
        <f>J362*sig_blk</f>
      </c>
      <c r="L362" s="17">
        <f>I362-K362</f>
      </c>
      <c r="M362" s="17">
        <f>INDEX(Bar_As,MATCH(C362,Bar_No,0))*L362/1000</f>
      </c>
      <c r="N362" s="17">
        <f>M362*INDEX(Bar_Y,MATCH(C362,Bar_No,0))/1000</f>
      </c>
      <c r="O362" s="17">
        <f>M362*INDEX(Bar_X,MATCH(C362,Bar_No,0))/1000</f>
      </c>
    </row>
    <row r="363" spans="2:15" x14ac:dyDescent="0.25">
      <c r="B363">
        <v>20</v>
      </c>
      <c r="C363">
        <v>16</v>
      </c>
      <c r="D363" s="17">
        <f>INDEX(Blk_c,MATCH(B363,Blk_St,0))</f>
      </c>
      <c r="E363" s="17">
        <f>INDEX(Bar_U,MATCH(C363,Bar_No,0))</f>
      </c>
      <c r="F363" s="17">
        <f>u_max-E363</f>
      </c>
      <c r="G363" s="20">
        <f>ecu*(1-F363/D363)</f>
      </c>
      <c r="H363" s="20">
        <f>MAX(0,-G363)</f>
      </c>
      <c r="I363" s="17">
        <f>MAX(MIN(Es*G363,fy),-fy)</f>
      </c>
      <c r="J363">
        <f>IF(E363&gt;=u_max-beta_1*D363-blk_tol,1,0)</f>
      </c>
      <c r="K363" s="17">
        <f>J363*sig_blk</f>
      </c>
      <c r="L363" s="17">
        <f>I363-K363</f>
      </c>
      <c r="M363" s="17">
        <f>INDEX(Bar_As,MATCH(C363,Bar_No,0))*L363/1000</f>
      </c>
      <c r="N363" s="17">
        <f>M363*INDEX(Bar_Y,MATCH(C363,Bar_No,0))/1000</f>
      </c>
      <c r="O363" s="17">
        <f>M363*INDEX(Bar_X,MATCH(C363,Bar_No,0))/1000</f>
      </c>
    </row>
    <row r="364" spans="2:15" x14ac:dyDescent="0.25">
      <c r="B364">
        <v>20</v>
      </c>
      <c r="C364">
        <v>17</v>
      </c>
      <c r="D364" s="17">
        <f>INDEX(Blk_c,MATCH(B364,Blk_St,0))</f>
      </c>
      <c r="E364" s="17">
        <f>INDEX(Bar_U,MATCH(C364,Bar_No,0))</f>
      </c>
      <c r="F364" s="17">
        <f>u_max-E364</f>
      </c>
      <c r="G364" s="20">
        <f>ecu*(1-F364/D364)</f>
      </c>
      <c r="H364" s="20">
        <f>MAX(0,-G364)</f>
      </c>
      <c r="I364" s="17">
        <f>MAX(MIN(Es*G364,fy),-fy)</f>
      </c>
      <c r="J364">
        <f>IF(E364&gt;=u_max-beta_1*D364-blk_tol,1,0)</f>
      </c>
      <c r="K364" s="17">
        <f>J364*sig_blk</f>
      </c>
      <c r="L364" s="17">
        <f>I364-K364</f>
      </c>
      <c r="M364" s="17">
        <f>INDEX(Bar_As,MATCH(C364,Bar_No,0))*L364/1000</f>
      </c>
      <c r="N364" s="17">
        <f>M364*INDEX(Bar_Y,MATCH(C364,Bar_No,0))/1000</f>
      </c>
      <c r="O364" s="17">
        <f>M364*INDEX(Bar_X,MATCH(C364,Bar_No,0))/1000</f>
      </c>
    </row>
    <row r="365" spans="2:15" x14ac:dyDescent="0.25">
      <c r="B365">
        <v>20</v>
      </c>
      <c r="C365">
        <v>18</v>
      </c>
      <c r="D365" s="17">
        <f>INDEX(Blk_c,MATCH(B365,Blk_St,0))</f>
      </c>
      <c r="E365" s="17">
        <f>INDEX(Bar_U,MATCH(C365,Bar_No,0))</f>
      </c>
      <c r="F365" s="17">
        <f>u_max-E365</f>
      </c>
      <c r="G365" s="20">
        <f>ecu*(1-F365/D365)</f>
      </c>
      <c r="H365" s="20">
        <f>MAX(0,-G365)</f>
      </c>
      <c r="I365" s="17">
        <f>MAX(MIN(Es*G365,fy),-fy)</f>
      </c>
      <c r="J365">
        <f>IF(E365&gt;=u_max-beta_1*D365-blk_tol,1,0)</f>
      </c>
      <c r="K365" s="17">
        <f>J365*sig_blk</f>
      </c>
      <c r="L365" s="17">
        <f>I365-K365</f>
      </c>
      <c r="M365" s="17">
        <f>INDEX(Bar_As,MATCH(C365,Bar_No,0))*L365/1000</f>
      </c>
      <c r="N365" s="17">
        <f>M365*INDEX(Bar_Y,MATCH(C365,Bar_No,0))/1000</f>
      </c>
      <c r="O365" s="17">
        <f>M365*INDEX(Bar_X,MATCH(C365,Bar_No,0))/1000</f>
      </c>
    </row>
    <row r="366" spans="2:15" x14ac:dyDescent="0.25">
      <c r="B366">
        <v>21</v>
      </c>
      <c r="C366">
        <v>1</v>
      </c>
      <c r="D366" s="17">
        <f>INDEX(Blk_c,MATCH(B366,Blk_St,0))</f>
      </c>
      <c r="E366" s="17">
        <f>INDEX(Bar_U,MATCH(C366,Bar_No,0))</f>
      </c>
      <c r="F366" s="17">
        <f>u_max-E366</f>
      </c>
      <c r="G366" s="20">
        <f>ecu*(1-F366/D366)</f>
      </c>
      <c r="H366" s="20">
        <f>MAX(0,-G366)</f>
      </c>
      <c r="I366" s="17">
        <f>MAX(MIN(Es*G366,fy),-fy)</f>
      </c>
      <c r="J366">
        <f>IF(E366&gt;=u_max-beta_1*D366-blk_tol,1,0)</f>
      </c>
      <c r="K366" s="17">
        <f>J366*sig_blk</f>
      </c>
      <c r="L366" s="17">
        <f>I366-K366</f>
      </c>
      <c r="M366" s="17">
        <f>INDEX(Bar_As,MATCH(C366,Bar_No,0))*L366/1000</f>
      </c>
      <c r="N366" s="17">
        <f>M366*INDEX(Bar_Y,MATCH(C366,Bar_No,0))/1000</f>
      </c>
      <c r="O366" s="17">
        <f>M366*INDEX(Bar_X,MATCH(C366,Bar_No,0))/1000</f>
      </c>
    </row>
    <row r="367" spans="2:15" x14ac:dyDescent="0.25">
      <c r="B367">
        <v>21</v>
      </c>
      <c r="C367">
        <v>2</v>
      </c>
      <c r="D367" s="17">
        <f>INDEX(Blk_c,MATCH(B367,Blk_St,0))</f>
      </c>
      <c r="E367" s="17">
        <f>INDEX(Bar_U,MATCH(C367,Bar_No,0))</f>
      </c>
      <c r="F367" s="17">
        <f>u_max-E367</f>
      </c>
      <c r="G367" s="20">
        <f>ecu*(1-F367/D367)</f>
      </c>
      <c r="H367" s="20">
        <f>MAX(0,-G367)</f>
      </c>
      <c r="I367" s="17">
        <f>MAX(MIN(Es*G367,fy),-fy)</f>
      </c>
      <c r="J367">
        <f>IF(E367&gt;=u_max-beta_1*D367-blk_tol,1,0)</f>
      </c>
      <c r="K367" s="17">
        <f>J367*sig_blk</f>
      </c>
      <c r="L367" s="17">
        <f>I367-K367</f>
      </c>
      <c r="M367" s="17">
        <f>INDEX(Bar_As,MATCH(C367,Bar_No,0))*L367/1000</f>
      </c>
      <c r="N367" s="17">
        <f>M367*INDEX(Bar_Y,MATCH(C367,Bar_No,0))/1000</f>
      </c>
      <c r="O367" s="17">
        <f>M367*INDEX(Bar_X,MATCH(C367,Bar_No,0))/1000</f>
      </c>
    </row>
    <row r="368" spans="2:15" x14ac:dyDescent="0.25">
      <c r="B368">
        <v>21</v>
      </c>
      <c r="C368">
        <v>3</v>
      </c>
      <c r="D368" s="17">
        <f>INDEX(Blk_c,MATCH(B368,Blk_St,0))</f>
      </c>
      <c r="E368" s="17">
        <f>INDEX(Bar_U,MATCH(C368,Bar_No,0))</f>
      </c>
      <c r="F368" s="17">
        <f>u_max-E368</f>
      </c>
      <c r="G368" s="20">
        <f>ecu*(1-F368/D368)</f>
      </c>
      <c r="H368" s="20">
        <f>MAX(0,-G368)</f>
      </c>
      <c r="I368" s="17">
        <f>MAX(MIN(Es*G368,fy),-fy)</f>
      </c>
      <c r="J368">
        <f>IF(E368&gt;=u_max-beta_1*D368-blk_tol,1,0)</f>
      </c>
      <c r="K368" s="17">
        <f>J368*sig_blk</f>
      </c>
      <c r="L368" s="17">
        <f>I368-K368</f>
      </c>
      <c r="M368" s="17">
        <f>INDEX(Bar_As,MATCH(C368,Bar_No,0))*L368/1000</f>
      </c>
      <c r="N368" s="17">
        <f>M368*INDEX(Bar_Y,MATCH(C368,Bar_No,0))/1000</f>
      </c>
      <c r="O368" s="17">
        <f>M368*INDEX(Bar_X,MATCH(C368,Bar_No,0))/1000</f>
      </c>
    </row>
    <row r="369" spans="2:15" x14ac:dyDescent="0.25">
      <c r="B369">
        <v>21</v>
      </c>
      <c r="C369">
        <v>4</v>
      </c>
      <c r="D369" s="17">
        <f>INDEX(Blk_c,MATCH(B369,Blk_St,0))</f>
      </c>
      <c r="E369" s="17">
        <f>INDEX(Bar_U,MATCH(C369,Bar_No,0))</f>
      </c>
      <c r="F369" s="17">
        <f>u_max-E369</f>
      </c>
      <c r="G369" s="20">
        <f>ecu*(1-F369/D369)</f>
      </c>
      <c r="H369" s="20">
        <f>MAX(0,-G369)</f>
      </c>
      <c r="I369" s="17">
        <f>MAX(MIN(Es*G369,fy),-fy)</f>
      </c>
      <c r="J369">
        <f>IF(E369&gt;=u_max-beta_1*D369-blk_tol,1,0)</f>
      </c>
      <c r="K369" s="17">
        <f>J369*sig_blk</f>
      </c>
      <c r="L369" s="17">
        <f>I369-K369</f>
      </c>
      <c r="M369" s="17">
        <f>INDEX(Bar_As,MATCH(C369,Bar_No,0))*L369/1000</f>
      </c>
      <c r="N369" s="17">
        <f>M369*INDEX(Bar_Y,MATCH(C369,Bar_No,0))/1000</f>
      </c>
      <c r="O369" s="17">
        <f>M369*INDEX(Bar_X,MATCH(C369,Bar_No,0))/1000</f>
      </c>
    </row>
    <row r="370" spans="2:15" x14ac:dyDescent="0.25">
      <c r="B370">
        <v>21</v>
      </c>
      <c r="C370">
        <v>5</v>
      </c>
      <c r="D370" s="17">
        <f>INDEX(Blk_c,MATCH(B370,Blk_St,0))</f>
      </c>
      <c r="E370" s="17">
        <f>INDEX(Bar_U,MATCH(C370,Bar_No,0))</f>
      </c>
      <c r="F370" s="17">
        <f>u_max-E370</f>
      </c>
      <c r="G370" s="20">
        <f>ecu*(1-F370/D370)</f>
      </c>
      <c r="H370" s="20">
        <f>MAX(0,-G370)</f>
      </c>
      <c r="I370" s="17">
        <f>MAX(MIN(Es*G370,fy),-fy)</f>
      </c>
      <c r="J370">
        <f>IF(E370&gt;=u_max-beta_1*D370-blk_tol,1,0)</f>
      </c>
      <c r="K370" s="17">
        <f>J370*sig_blk</f>
      </c>
      <c r="L370" s="17">
        <f>I370-K370</f>
      </c>
      <c r="M370" s="17">
        <f>INDEX(Bar_As,MATCH(C370,Bar_No,0))*L370/1000</f>
      </c>
      <c r="N370" s="17">
        <f>M370*INDEX(Bar_Y,MATCH(C370,Bar_No,0))/1000</f>
      </c>
      <c r="O370" s="17">
        <f>M370*INDEX(Bar_X,MATCH(C370,Bar_No,0))/1000</f>
      </c>
    </row>
    <row r="371" spans="2:15" x14ac:dyDescent="0.25">
      <c r="B371">
        <v>21</v>
      </c>
      <c r="C371">
        <v>6</v>
      </c>
      <c r="D371" s="17">
        <f>INDEX(Blk_c,MATCH(B371,Blk_St,0))</f>
      </c>
      <c r="E371" s="17">
        <f>INDEX(Bar_U,MATCH(C371,Bar_No,0))</f>
      </c>
      <c r="F371" s="17">
        <f>u_max-E371</f>
      </c>
      <c r="G371" s="20">
        <f>ecu*(1-F371/D371)</f>
      </c>
      <c r="H371" s="20">
        <f>MAX(0,-G371)</f>
      </c>
      <c r="I371" s="17">
        <f>MAX(MIN(Es*G371,fy),-fy)</f>
      </c>
      <c r="J371">
        <f>IF(E371&gt;=u_max-beta_1*D371-blk_tol,1,0)</f>
      </c>
      <c r="K371" s="17">
        <f>J371*sig_blk</f>
      </c>
      <c r="L371" s="17">
        <f>I371-K371</f>
      </c>
      <c r="M371" s="17">
        <f>INDEX(Bar_As,MATCH(C371,Bar_No,0))*L371/1000</f>
      </c>
      <c r="N371" s="17">
        <f>M371*INDEX(Bar_Y,MATCH(C371,Bar_No,0))/1000</f>
      </c>
      <c r="O371" s="17">
        <f>M371*INDEX(Bar_X,MATCH(C371,Bar_No,0))/1000</f>
      </c>
    </row>
    <row r="372" spans="2:15" x14ac:dyDescent="0.25">
      <c r="B372">
        <v>21</v>
      </c>
      <c r="C372">
        <v>7</v>
      </c>
      <c r="D372" s="17">
        <f>INDEX(Blk_c,MATCH(B372,Blk_St,0))</f>
      </c>
      <c r="E372" s="17">
        <f>INDEX(Bar_U,MATCH(C372,Bar_No,0))</f>
      </c>
      <c r="F372" s="17">
        <f>u_max-E372</f>
      </c>
      <c r="G372" s="20">
        <f>ecu*(1-F372/D372)</f>
      </c>
      <c r="H372" s="20">
        <f>MAX(0,-G372)</f>
      </c>
      <c r="I372" s="17">
        <f>MAX(MIN(Es*G372,fy),-fy)</f>
      </c>
      <c r="J372">
        <f>IF(E372&gt;=u_max-beta_1*D372-blk_tol,1,0)</f>
      </c>
      <c r="K372" s="17">
        <f>J372*sig_blk</f>
      </c>
      <c r="L372" s="17">
        <f>I372-K372</f>
      </c>
      <c r="M372" s="17">
        <f>INDEX(Bar_As,MATCH(C372,Bar_No,0))*L372/1000</f>
      </c>
      <c r="N372" s="17">
        <f>M372*INDEX(Bar_Y,MATCH(C372,Bar_No,0))/1000</f>
      </c>
      <c r="O372" s="17">
        <f>M372*INDEX(Bar_X,MATCH(C372,Bar_No,0))/1000</f>
      </c>
    </row>
    <row r="373" spans="2:15" x14ac:dyDescent="0.25">
      <c r="B373">
        <v>21</v>
      </c>
      <c r="C373">
        <v>8</v>
      </c>
      <c r="D373" s="17">
        <f>INDEX(Blk_c,MATCH(B373,Blk_St,0))</f>
      </c>
      <c r="E373" s="17">
        <f>INDEX(Bar_U,MATCH(C373,Bar_No,0))</f>
      </c>
      <c r="F373" s="17">
        <f>u_max-E373</f>
      </c>
      <c r="G373" s="20">
        <f>ecu*(1-F373/D373)</f>
      </c>
      <c r="H373" s="20">
        <f>MAX(0,-G373)</f>
      </c>
      <c r="I373" s="17">
        <f>MAX(MIN(Es*G373,fy),-fy)</f>
      </c>
      <c r="J373">
        <f>IF(E373&gt;=u_max-beta_1*D373-blk_tol,1,0)</f>
      </c>
      <c r="K373" s="17">
        <f>J373*sig_blk</f>
      </c>
      <c r="L373" s="17">
        <f>I373-K373</f>
      </c>
      <c r="M373" s="17">
        <f>INDEX(Bar_As,MATCH(C373,Bar_No,0))*L373/1000</f>
      </c>
      <c r="N373" s="17">
        <f>M373*INDEX(Bar_Y,MATCH(C373,Bar_No,0))/1000</f>
      </c>
      <c r="O373" s="17">
        <f>M373*INDEX(Bar_X,MATCH(C373,Bar_No,0))/1000</f>
      </c>
    </row>
    <row r="374" spans="2:15" x14ac:dyDescent="0.25">
      <c r="B374">
        <v>21</v>
      </c>
      <c r="C374">
        <v>9</v>
      </c>
      <c r="D374" s="17">
        <f>INDEX(Blk_c,MATCH(B374,Blk_St,0))</f>
      </c>
      <c r="E374" s="17">
        <f>INDEX(Bar_U,MATCH(C374,Bar_No,0))</f>
      </c>
      <c r="F374" s="17">
        <f>u_max-E374</f>
      </c>
      <c r="G374" s="20">
        <f>ecu*(1-F374/D374)</f>
      </c>
      <c r="H374" s="20">
        <f>MAX(0,-G374)</f>
      </c>
      <c r="I374" s="17">
        <f>MAX(MIN(Es*G374,fy),-fy)</f>
      </c>
      <c r="J374">
        <f>IF(E374&gt;=u_max-beta_1*D374-blk_tol,1,0)</f>
      </c>
      <c r="K374" s="17">
        <f>J374*sig_blk</f>
      </c>
      <c r="L374" s="17">
        <f>I374-K374</f>
      </c>
      <c r="M374" s="17">
        <f>INDEX(Bar_As,MATCH(C374,Bar_No,0))*L374/1000</f>
      </c>
      <c r="N374" s="17">
        <f>M374*INDEX(Bar_Y,MATCH(C374,Bar_No,0))/1000</f>
      </c>
      <c r="O374" s="17">
        <f>M374*INDEX(Bar_X,MATCH(C374,Bar_No,0))/1000</f>
      </c>
    </row>
    <row r="375" spans="2:15" x14ac:dyDescent="0.25">
      <c r="B375">
        <v>21</v>
      </c>
      <c r="C375">
        <v>10</v>
      </c>
      <c r="D375" s="17">
        <f>INDEX(Blk_c,MATCH(B375,Blk_St,0))</f>
      </c>
      <c r="E375" s="17">
        <f>INDEX(Bar_U,MATCH(C375,Bar_No,0))</f>
      </c>
      <c r="F375" s="17">
        <f>u_max-E375</f>
      </c>
      <c r="G375" s="20">
        <f>ecu*(1-F375/D375)</f>
      </c>
      <c r="H375" s="20">
        <f>MAX(0,-G375)</f>
      </c>
      <c r="I375" s="17">
        <f>MAX(MIN(Es*G375,fy),-fy)</f>
      </c>
      <c r="J375">
        <f>IF(E375&gt;=u_max-beta_1*D375-blk_tol,1,0)</f>
      </c>
      <c r="K375" s="17">
        <f>J375*sig_blk</f>
      </c>
      <c r="L375" s="17">
        <f>I375-K375</f>
      </c>
      <c r="M375" s="17">
        <f>INDEX(Bar_As,MATCH(C375,Bar_No,0))*L375/1000</f>
      </c>
      <c r="N375" s="17">
        <f>M375*INDEX(Bar_Y,MATCH(C375,Bar_No,0))/1000</f>
      </c>
      <c r="O375" s="17">
        <f>M375*INDEX(Bar_X,MATCH(C375,Bar_No,0))/1000</f>
      </c>
    </row>
    <row r="376" spans="2:15" x14ac:dyDescent="0.25">
      <c r="B376">
        <v>21</v>
      </c>
      <c r="C376">
        <v>11</v>
      </c>
      <c r="D376" s="17">
        <f>INDEX(Blk_c,MATCH(B376,Blk_St,0))</f>
      </c>
      <c r="E376" s="17">
        <f>INDEX(Bar_U,MATCH(C376,Bar_No,0))</f>
      </c>
      <c r="F376" s="17">
        <f>u_max-E376</f>
      </c>
      <c r="G376" s="20">
        <f>ecu*(1-F376/D376)</f>
      </c>
      <c r="H376" s="20">
        <f>MAX(0,-G376)</f>
      </c>
      <c r="I376" s="17">
        <f>MAX(MIN(Es*G376,fy),-fy)</f>
      </c>
      <c r="J376">
        <f>IF(E376&gt;=u_max-beta_1*D376-blk_tol,1,0)</f>
      </c>
      <c r="K376" s="17">
        <f>J376*sig_blk</f>
      </c>
      <c r="L376" s="17">
        <f>I376-K376</f>
      </c>
      <c r="M376" s="17">
        <f>INDEX(Bar_As,MATCH(C376,Bar_No,0))*L376/1000</f>
      </c>
      <c r="N376" s="17">
        <f>M376*INDEX(Bar_Y,MATCH(C376,Bar_No,0))/1000</f>
      </c>
      <c r="O376" s="17">
        <f>M376*INDEX(Bar_X,MATCH(C376,Bar_No,0))/1000</f>
      </c>
    </row>
    <row r="377" spans="2:15" x14ac:dyDescent="0.25">
      <c r="B377">
        <v>21</v>
      </c>
      <c r="C377">
        <v>12</v>
      </c>
      <c r="D377" s="17">
        <f>INDEX(Blk_c,MATCH(B377,Blk_St,0))</f>
      </c>
      <c r="E377" s="17">
        <f>INDEX(Bar_U,MATCH(C377,Bar_No,0))</f>
      </c>
      <c r="F377" s="17">
        <f>u_max-E377</f>
      </c>
      <c r="G377" s="20">
        <f>ecu*(1-F377/D377)</f>
      </c>
      <c r="H377" s="20">
        <f>MAX(0,-G377)</f>
      </c>
      <c r="I377" s="17">
        <f>MAX(MIN(Es*G377,fy),-fy)</f>
      </c>
      <c r="J377">
        <f>IF(E377&gt;=u_max-beta_1*D377-blk_tol,1,0)</f>
      </c>
      <c r="K377" s="17">
        <f>J377*sig_blk</f>
      </c>
      <c r="L377" s="17">
        <f>I377-K377</f>
      </c>
      <c r="M377" s="17">
        <f>INDEX(Bar_As,MATCH(C377,Bar_No,0))*L377/1000</f>
      </c>
      <c r="N377" s="17">
        <f>M377*INDEX(Bar_Y,MATCH(C377,Bar_No,0))/1000</f>
      </c>
      <c r="O377" s="17">
        <f>M377*INDEX(Bar_X,MATCH(C377,Bar_No,0))/1000</f>
      </c>
    </row>
    <row r="378" spans="2:15" x14ac:dyDescent="0.25">
      <c r="B378">
        <v>21</v>
      </c>
      <c r="C378">
        <v>13</v>
      </c>
      <c r="D378" s="17">
        <f>INDEX(Blk_c,MATCH(B378,Blk_St,0))</f>
      </c>
      <c r="E378" s="17">
        <f>INDEX(Bar_U,MATCH(C378,Bar_No,0))</f>
      </c>
      <c r="F378" s="17">
        <f>u_max-E378</f>
      </c>
      <c r="G378" s="20">
        <f>ecu*(1-F378/D378)</f>
      </c>
      <c r="H378" s="20">
        <f>MAX(0,-G378)</f>
      </c>
      <c r="I378" s="17">
        <f>MAX(MIN(Es*G378,fy),-fy)</f>
      </c>
      <c r="J378">
        <f>IF(E378&gt;=u_max-beta_1*D378-blk_tol,1,0)</f>
      </c>
      <c r="K378" s="17">
        <f>J378*sig_blk</f>
      </c>
      <c r="L378" s="17">
        <f>I378-K378</f>
      </c>
      <c r="M378" s="17">
        <f>INDEX(Bar_As,MATCH(C378,Bar_No,0))*L378/1000</f>
      </c>
      <c r="N378" s="17">
        <f>M378*INDEX(Bar_Y,MATCH(C378,Bar_No,0))/1000</f>
      </c>
      <c r="O378" s="17">
        <f>M378*INDEX(Bar_X,MATCH(C378,Bar_No,0))/1000</f>
      </c>
    </row>
    <row r="379" spans="2:15" x14ac:dyDescent="0.25">
      <c r="B379">
        <v>21</v>
      </c>
      <c r="C379">
        <v>14</v>
      </c>
      <c r="D379" s="17">
        <f>INDEX(Blk_c,MATCH(B379,Blk_St,0))</f>
      </c>
      <c r="E379" s="17">
        <f>INDEX(Bar_U,MATCH(C379,Bar_No,0))</f>
      </c>
      <c r="F379" s="17">
        <f>u_max-E379</f>
      </c>
      <c r="G379" s="20">
        <f>ecu*(1-F379/D379)</f>
      </c>
      <c r="H379" s="20">
        <f>MAX(0,-G379)</f>
      </c>
      <c r="I379" s="17">
        <f>MAX(MIN(Es*G379,fy),-fy)</f>
      </c>
      <c r="J379">
        <f>IF(E379&gt;=u_max-beta_1*D379-blk_tol,1,0)</f>
      </c>
      <c r="K379" s="17">
        <f>J379*sig_blk</f>
      </c>
      <c r="L379" s="17">
        <f>I379-K379</f>
      </c>
      <c r="M379" s="17">
        <f>INDEX(Bar_As,MATCH(C379,Bar_No,0))*L379/1000</f>
      </c>
      <c r="N379" s="17">
        <f>M379*INDEX(Bar_Y,MATCH(C379,Bar_No,0))/1000</f>
      </c>
      <c r="O379" s="17">
        <f>M379*INDEX(Bar_X,MATCH(C379,Bar_No,0))/1000</f>
      </c>
    </row>
    <row r="380" spans="2:15" x14ac:dyDescent="0.25">
      <c r="B380">
        <v>21</v>
      </c>
      <c r="C380">
        <v>15</v>
      </c>
      <c r="D380" s="17">
        <f>INDEX(Blk_c,MATCH(B380,Blk_St,0))</f>
      </c>
      <c r="E380" s="17">
        <f>INDEX(Bar_U,MATCH(C380,Bar_No,0))</f>
      </c>
      <c r="F380" s="17">
        <f>u_max-E380</f>
      </c>
      <c r="G380" s="20">
        <f>ecu*(1-F380/D380)</f>
      </c>
      <c r="H380" s="20">
        <f>MAX(0,-G380)</f>
      </c>
      <c r="I380" s="17">
        <f>MAX(MIN(Es*G380,fy),-fy)</f>
      </c>
      <c r="J380">
        <f>IF(E380&gt;=u_max-beta_1*D380-blk_tol,1,0)</f>
      </c>
      <c r="K380" s="17">
        <f>J380*sig_blk</f>
      </c>
      <c r="L380" s="17">
        <f>I380-K380</f>
      </c>
      <c r="M380" s="17">
        <f>INDEX(Bar_As,MATCH(C380,Bar_No,0))*L380/1000</f>
      </c>
      <c r="N380" s="17">
        <f>M380*INDEX(Bar_Y,MATCH(C380,Bar_No,0))/1000</f>
      </c>
      <c r="O380" s="17">
        <f>M380*INDEX(Bar_X,MATCH(C380,Bar_No,0))/1000</f>
      </c>
    </row>
    <row r="381" spans="2:15" x14ac:dyDescent="0.25">
      <c r="B381">
        <v>21</v>
      </c>
      <c r="C381">
        <v>16</v>
      </c>
      <c r="D381" s="17">
        <f>INDEX(Blk_c,MATCH(B381,Blk_St,0))</f>
      </c>
      <c r="E381" s="17">
        <f>INDEX(Bar_U,MATCH(C381,Bar_No,0))</f>
      </c>
      <c r="F381" s="17">
        <f>u_max-E381</f>
      </c>
      <c r="G381" s="20">
        <f>ecu*(1-F381/D381)</f>
      </c>
      <c r="H381" s="20">
        <f>MAX(0,-G381)</f>
      </c>
      <c r="I381" s="17">
        <f>MAX(MIN(Es*G381,fy),-fy)</f>
      </c>
      <c r="J381">
        <f>IF(E381&gt;=u_max-beta_1*D381-blk_tol,1,0)</f>
      </c>
      <c r="K381" s="17">
        <f>J381*sig_blk</f>
      </c>
      <c r="L381" s="17">
        <f>I381-K381</f>
      </c>
      <c r="M381" s="17">
        <f>INDEX(Bar_As,MATCH(C381,Bar_No,0))*L381/1000</f>
      </c>
      <c r="N381" s="17">
        <f>M381*INDEX(Bar_Y,MATCH(C381,Bar_No,0))/1000</f>
      </c>
      <c r="O381" s="17">
        <f>M381*INDEX(Bar_X,MATCH(C381,Bar_No,0))/1000</f>
      </c>
    </row>
    <row r="382" spans="2:15" x14ac:dyDescent="0.25">
      <c r="B382">
        <v>21</v>
      </c>
      <c r="C382">
        <v>17</v>
      </c>
      <c r="D382" s="17">
        <f>INDEX(Blk_c,MATCH(B382,Blk_St,0))</f>
      </c>
      <c r="E382" s="17">
        <f>INDEX(Bar_U,MATCH(C382,Bar_No,0))</f>
      </c>
      <c r="F382" s="17">
        <f>u_max-E382</f>
      </c>
      <c r="G382" s="20">
        <f>ecu*(1-F382/D382)</f>
      </c>
      <c r="H382" s="20">
        <f>MAX(0,-G382)</f>
      </c>
      <c r="I382" s="17">
        <f>MAX(MIN(Es*G382,fy),-fy)</f>
      </c>
      <c r="J382">
        <f>IF(E382&gt;=u_max-beta_1*D382-blk_tol,1,0)</f>
      </c>
      <c r="K382" s="17">
        <f>J382*sig_blk</f>
      </c>
      <c r="L382" s="17">
        <f>I382-K382</f>
      </c>
      <c r="M382" s="17">
        <f>INDEX(Bar_As,MATCH(C382,Bar_No,0))*L382/1000</f>
      </c>
      <c r="N382" s="17">
        <f>M382*INDEX(Bar_Y,MATCH(C382,Bar_No,0))/1000</f>
      </c>
      <c r="O382" s="17">
        <f>M382*INDEX(Bar_X,MATCH(C382,Bar_No,0))/1000</f>
      </c>
    </row>
    <row r="383" spans="2:15" x14ac:dyDescent="0.25">
      <c r="B383">
        <v>21</v>
      </c>
      <c r="C383">
        <v>18</v>
      </c>
      <c r="D383" s="17">
        <f>INDEX(Blk_c,MATCH(B383,Blk_St,0))</f>
      </c>
      <c r="E383" s="17">
        <f>INDEX(Bar_U,MATCH(C383,Bar_No,0))</f>
      </c>
      <c r="F383" s="17">
        <f>u_max-E383</f>
      </c>
      <c r="G383" s="20">
        <f>ecu*(1-F383/D383)</f>
      </c>
      <c r="H383" s="20">
        <f>MAX(0,-G383)</f>
      </c>
      <c r="I383" s="17">
        <f>MAX(MIN(Es*G383,fy),-fy)</f>
      </c>
      <c r="J383">
        <f>IF(E383&gt;=u_max-beta_1*D383-blk_tol,1,0)</f>
      </c>
      <c r="K383" s="17">
        <f>J383*sig_blk</f>
      </c>
      <c r="L383" s="17">
        <f>I383-K383</f>
      </c>
      <c r="M383" s="17">
        <f>INDEX(Bar_As,MATCH(C383,Bar_No,0))*L383/1000</f>
      </c>
      <c r="N383" s="17">
        <f>M383*INDEX(Bar_Y,MATCH(C383,Bar_No,0))/1000</f>
      </c>
      <c r="O383" s="17">
        <f>M383*INDEX(Bar_X,MATCH(C383,Bar_No,0))/1000</f>
      </c>
    </row>
    <row r="384" spans="2:15" x14ac:dyDescent="0.25">
      <c r="B384">
        <v>22</v>
      </c>
      <c r="C384">
        <v>1</v>
      </c>
      <c r="D384" s="17">
        <f>INDEX(Blk_c,MATCH(B384,Blk_St,0))</f>
      </c>
      <c r="E384" s="17">
        <f>INDEX(Bar_U,MATCH(C384,Bar_No,0))</f>
      </c>
      <c r="F384" s="17">
        <f>u_max-E384</f>
      </c>
      <c r="G384" s="20">
        <f>ecu*(1-F384/D384)</f>
      </c>
      <c r="H384" s="20">
        <f>MAX(0,-G384)</f>
      </c>
      <c r="I384" s="17">
        <f>MAX(MIN(Es*G384,fy),-fy)</f>
      </c>
      <c r="J384">
        <f>IF(E384&gt;=u_max-beta_1*D384-blk_tol,1,0)</f>
      </c>
      <c r="K384" s="17">
        <f>J384*sig_blk</f>
      </c>
      <c r="L384" s="17">
        <f>I384-K384</f>
      </c>
      <c r="M384" s="17">
        <f>INDEX(Bar_As,MATCH(C384,Bar_No,0))*L384/1000</f>
      </c>
      <c r="N384" s="17">
        <f>M384*INDEX(Bar_Y,MATCH(C384,Bar_No,0))/1000</f>
      </c>
      <c r="O384" s="17">
        <f>M384*INDEX(Bar_X,MATCH(C384,Bar_No,0))/1000</f>
      </c>
    </row>
    <row r="385" spans="2:15" x14ac:dyDescent="0.25">
      <c r="B385">
        <v>22</v>
      </c>
      <c r="C385">
        <v>2</v>
      </c>
      <c r="D385" s="17">
        <f>INDEX(Blk_c,MATCH(B385,Blk_St,0))</f>
      </c>
      <c r="E385" s="17">
        <f>INDEX(Bar_U,MATCH(C385,Bar_No,0))</f>
      </c>
      <c r="F385" s="17">
        <f>u_max-E385</f>
      </c>
      <c r="G385" s="20">
        <f>ecu*(1-F385/D385)</f>
      </c>
      <c r="H385" s="20">
        <f>MAX(0,-G385)</f>
      </c>
      <c r="I385" s="17">
        <f>MAX(MIN(Es*G385,fy),-fy)</f>
      </c>
      <c r="J385">
        <f>IF(E385&gt;=u_max-beta_1*D385-blk_tol,1,0)</f>
      </c>
      <c r="K385" s="17">
        <f>J385*sig_blk</f>
      </c>
      <c r="L385" s="17">
        <f>I385-K385</f>
      </c>
      <c r="M385" s="17">
        <f>INDEX(Bar_As,MATCH(C385,Bar_No,0))*L385/1000</f>
      </c>
      <c r="N385" s="17">
        <f>M385*INDEX(Bar_Y,MATCH(C385,Bar_No,0))/1000</f>
      </c>
      <c r="O385" s="17">
        <f>M385*INDEX(Bar_X,MATCH(C385,Bar_No,0))/1000</f>
      </c>
    </row>
    <row r="386" spans="2:15" x14ac:dyDescent="0.25">
      <c r="B386">
        <v>22</v>
      </c>
      <c r="C386">
        <v>3</v>
      </c>
      <c r="D386" s="17">
        <f>INDEX(Blk_c,MATCH(B386,Blk_St,0))</f>
      </c>
      <c r="E386" s="17">
        <f>INDEX(Bar_U,MATCH(C386,Bar_No,0))</f>
      </c>
      <c r="F386" s="17">
        <f>u_max-E386</f>
      </c>
      <c r="G386" s="20">
        <f>ecu*(1-F386/D386)</f>
      </c>
      <c r="H386" s="20">
        <f>MAX(0,-G386)</f>
      </c>
      <c r="I386" s="17">
        <f>MAX(MIN(Es*G386,fy),-fy)</f>
      </c>
      <c r="J386">
        <f>IF(E386&gt;=u_max-beta_1*D386-blk_tol,1,0)</f>
      </c>
      <c r="K386" s="17">
        <f>J386*sig_blk</f>
      </c>
      <c r="L386" s="17">
        <f>I386-K386</f>
      </c>
      <c r="M386" s="17">
        <f>INDEX(Bar_As,MATCH(C386,Bar_No,0))*L386/1000</f>
      </c>
      <c r="N386" s="17">
        <f>M386*INDEX(Bar_Y,MATCH(C386,Bar_No,0))/1000</f>
      </c>
      <c r="O386" s="17">
        <f>M386*INDEX(Bar_X,MATCH(C386,Bar_No,0))/1000</f>
      </c>
    </row>
    <row r="387" spans="2:15" x14ac:dyDescent="0.25">
      <c r="B387">
        <v>22</v>
      </c>
      <c r="C387">
        <v>4</v>
      </c>
      <c r="D387" s="17">
        <f>INDEX(Blk_c,MATCH(B387,Blk_St,0))</f>
      </c>
      <c r="E387" s="17">
        <f>INDEX(Bar_U,MATCH(C387,Bar_No,0))</f>
      </c>
      <c r="F387" s="17">
        <f>u_max-E387</f>
      </c>
      <c r="G387" s="20">
        <f>ecu*(1-F387/D387)</f>
      </c>
      <c r="H387" s="20">
        <f>MAX(0,-G387)</f>
      </c>
      <c r="I387" s="17">
        <f>MAX(MIN(Es*G387,fy),-fy)</f>
      </c>
      <c r="J387">
        <f>IF(E387&gt;=u_max-beta_1*D387-blk_tol,1,0)</f>
      </c>
      <c r="K387" s="17">
        <f>J387*sig_blk</f>
      </c>
      <c r="L387" s="17">
        <f>I387-K387</f>
      </c>
      <c r="M387" s="17">
        <f>INDEX(Bar_As,MATCH(C387,Bar_No,0))*L387/1000</f>
      </c>
      <c r="N387" s="17">
        <f>M387*INDEX(Bar_Y,MATCH(C387,Bar_No,0))/1000</f>
      </c>
      <c r="O387" s="17">
        <f>M387*INDEX(Bar_X,MATCH(C387,Bar_No,0))/1000</f>
      </c>
    </row>
    <row r="388" spans="2:15" x14ac:dyDescent="0.25">
      <c r="B388">
        <v>22</v>
      </c>
      <c r="C388">
        <v>5</v>
      </c>
      <c r="D388" s="17">
        <f>INDEX(Blk_c,MATCH(B388,Blk_St,0))</f>
      </c>
      <c r="E388" s="17">
        <f>INDEX(Bar_U,MATCH(C388,Bar_No,0))</f>
      </c>
      <c r="F388" s="17">
        <f>u_max-E388</f>
      </c>
      <c r="G388" s="20">
        <f>ecu*(1-F388/D388)</f>
      </c>
      <c r="H388" s="20">
        <f>MAX(0,-G388)</f>
      </c>
      <c r="I388" s="17">
        <f>MAX(MIN(Es*G388,fy),-fy)</f>
      </c>
      <c r="J388">
        <f>IF(E388&gt;=u_max-beta_1*D388-blk_tol,1,0)</f>
      </c>
      <c r="K388" s="17">
        <f>J388*sig_blk</f>
      </c>
      <c r="L388" s="17">
        <f>I388-K388</f>
      </c>
      <c r="M388" s="17">
        <f>INDEX(Bar_As,MATCH(C388,Bar_No,0))*L388/1000</f>
      </c>
      <c r="N388" s="17">
        <f>M388*INDEX(Bar_Y,MATCH(C388,Bar_No,0))/1000</f>
      </c>
      <c r="O388" s="17">
        <f>M388*INDEX(Bar_X,MATCH(C388,Bar_No,0))/1000</f>
      </c>
    </row>
    <row r="389" spans="2:15" x14ac:dyDescent="0.25">
      <c r="B389">
        <v>22</v>
      </c>
      <c r="C389">
        <v>6</v>
      </c>
      <c r="D389" s="17">
        <f>INDEX(Blk_c,MATCH(B389,Blk_St,0))</f>
      </c>
      <c r="E389" s="17">
        <f>INDEX(Bar_U,MATCH(C389,Bar_No,0))</f>
      </c>
      <c r="F389" s="17">
        <f>u_max-E389</f>
      </c>
      <c r="G389" s="20">
        <f>ecu*(1-F389/D389)</f>
      </c>
      <c r="H389" s="20">
        <f>MAX(0,-G389)</f>
      </c>
      <c r="I389" s="17">
        <f>MAX(MIN(Es*G389,fy),-fy)</f>
      </c>
      <c r="J389">
        <f>IF(E389&gt;=u_max-beta_1*D389-blk_tol,1,0)</f>
      </c>
      <c r="K389" s="17">
        <f>J389*sig_blk</f>
      </c>
      <c r="L389" s="17">
        <f>I389-K389</f>
      </c>
      <c r="M389" s="17">
        <f>INDEX(Bar_As,MATCH(C389,Bar_No,0))*L389/1000</f>
      </c>
      <c r="N389" s="17">
        <f>M389*INDEX(Bar_Y,MATCH(C389,Bar_No,0))/1000</f>
      </c>
      <c r="O389" s="17">
        <f>M389*INDEX(Bar_X,MATCH(C389,Bar_No,0))/1000</f>
      </c>
    </row>
    <row r="390" spans="2:15" x14ac:dyDescent="0.25">
      <c r="B390">
        <v>22</v>
      </c>
      <c r="C390">
        <v>7</v>
      </c>
      <c r="D390" s="17">
        <f>INDEX(Blk_c,MATCH(B390,Blk_St,0))</f>
      </c>
      <c r="E390" s="17">
        <f>INDEX(Bar_U,MATCH(C390,Bar_No,0))</f>
      </c>
      <c r="F390" s="17">
        <f>u_max-E390</f>
      </c>
      <c r="G390" s="20">
        <f>ecu*(1-F390/D390)</f>
      </c>
      <c r="H390" s="20">
        <f>MAX(0,-G390)</f>
      </c>
      <c r="I390" s="17">
        <f>MAX(MIN(Es*G390,fy),-fy)</f>
      </c>
      <c r="J390">
        <f>IF(E390&gt;=u_max-beta_1*D390-blk_tol,1,0)</f>
      </c>
      <c r="K390" s="17">
        <f>J390*sig_blk</f>
      </c>
      <c r="L390" s="17">
        <f>I390-K390</f>
      </c>
      <c r="M390" s="17">
        <f>INDEX(Bar_As,MATCH(C390,Bar_No,0))*L390/1000</f>
      </c>
      <c r="N390" s="17">
        <f>M390*INDEX(Bar_Y,MATCH(C390,Bar_No,0))/1000</f>
      </c>
      <c r="O390" s="17">
        <f>M390*INDEX(Bar_X,MATCH(C390,Bar_No,0))/1000</f>
      </c>
    </row>
    <row r="391" spans="2:15" x14ac:dyDescent="0.25">
      <c r="B391">
        <v>22</v>
      </c>
      <c r="C391">
        <v>8</v>
      </c>
      <c r="D391" s="17">
        <f>INDEX(Blk_c,MATCH(B391,Blk_St,0))</f>
      </c>
      <c r="E391" s="17">
        <f>INDEX(Bar_U,MATCH(C391,Bar_No,0))</f>
      </c>
      <c r="F391" s="17">
        <f>u_max-E391</f>
      </c>
      <c r="G391" s="20">
        <f>ecu*(1-F391/D391)</f>
      </c>
      <c r="H391" s="20">
        <f>MAX(0,-G391)</f>
      </c>
      <c r="I391" s="17">
        <f>MAX(MIN(Es*G391,fy),-fy)</f>
      </c>
      <c r="J391">
        <f>IF(E391&gt;=u_max-beta_1*D391-blk_tol,1,0)</f>
      </c>
      <c r="K391" s="17">
        <f>J391*sig_blk</f>
      </c>
      <c r="L391" s="17">
        <f>I391-K391</f>
      </c>
      <c r="M391" s="17">
        <f>INDEX(Bar_As,MATCH(C391,Bar_No,0))*L391/1000</f>
      </c>
      <c r="N391" s="17">
        <f>M391*INDEX(Bar_Y,MATCH(C391,Bar_No,0))/1000</f>
      </c>
      <c r="O391" s="17">
        <f>M391*INDEX(Bar_X,MATCH(C391,Bar_No,0))/1000</f>
      </c>
    </row>
    <row r="392" spans="2:15" x14ac:dyDescent="0.25">
      <c r="B392">
        <v>22</v>
      </c>
      <c r="C392">
        <v>9</v>
      </c>
      <c r="D392" s="17">
        <f>INDEX(Blk_c,MATCH(B392,Blk_St,0))</f>
      </c>
      <c r="E392" s="17">
        <f>INDEX(Bar_U,MATCH(C392,Bar_No,0))</f>
      </c>
      <c r="F392" s="17">
        <f>u_max-E392</f>
      </c>
      <c r="G392" s="20">
        <f>ecu*(1-F392/D392)</f>
      </c>
      <c r="H392" s="20">
        <f>MAX(0,-G392)</f>
      </c>
      <c r="I392" s="17">
        <f>MAX(MIN(Es*G392,fy),-fy)</f>
      </c>
      <c r="J392">
        <f>IF(E392&gt;=u_max-beta_1*D392-blk_tol,1,0)</f>
      </c>
      <c r="K392" s="17">
        <f>J392*sig_blk</f>
      </c>
      <c r="L392" s="17">
        <f>I392-K392</f>
      </c>
      <c r="M392" s="17">
        <f>INDEX(Bar_As,MATCH(C392,Bar_No,0))*L392/1000</f>
      </c>
      <c r="N392" s="17">
        <f>M392*INDEX(Bar_Y,MATCH(C392,Bar_No,0))/1000</f>
      </c>
      <c r="O392" s="17">
        <f>M392*INDEX(Bar_X,MATCH(C392,Bar_No,0))/1000</f>
      </c>
    </row>
    <row r="393" spans="2:15" x14ac:dyDescent="0.25">
      <c r="B393">
        <v>22</v>
      </c>
      <c r="C393">
        <v>10</v>
      </c>
      <c r="D393" s="17">
        <f>INDEX(Blk_c,MATCH(B393,Blk_St,0))</f>
      </c>
      <c r="E393" s="17">
        <f>INDEX(Bar_U,MATCH(C393,Bar_No,0))</f>
      </c>
      <c r="F393" s="17">
        <f>u_max-E393</f>
      </c>
      <c r="G393" s="20">
        <f>ecu*(1-F393/D393)</f>
      </c>
      <c r="H393" s="20">
        <f>MAX(0,-G393)</f>
      </c>
      <c r="I393" s="17">
        <f>MAX(MIN(Es*G393,fy),-fy)</f>
      </c>
      <c r="J393">
        <f>IF(E393&gt;=u_max-beta_1*D393-blk_tol,1,0)</f>
      </c>
      <c r="K393" s="17">
        <f>J393*sig_blk</f>
      </c>
      <c r="L393" s="17">
        <f>I393-K393</f>
      </c>
      <c r="M393" s="17">
        <f>INDEX(Bar_As,MATCH(C393,Bar_No,0))*L393/1000</f>
      </c>
      <c r="N393" s="17">
        <f>M393*INDEX(Bar_Y,MATCH(C393,Bar_No,0))/1000</f>
      </c>
      <c r="O393" s="17">
        <f>M393*INDEX(Bar_X,MATCH(C393,Bar_No,0))/1000</f>
      </c>
    </row>
    <row r="394" spans="2:15" x14ac:dyDescent="0.25">
      <c r="B394">
        <v>22</v>
      </c>
      <c r="C394">
        <v>11</v>
      </c>
      <c r="D394" s="17">
        <f>INDEX(Blk_c,MATCH(B394,Blk_St,0))</f>
      </c>
      <c r="E394" s="17">
        <f>INDEX(Bar_U,MATCH(C394,Bar_No,0))</f>
      </c>
      <c r="F394" s="17">
        <f>u_max-E394</f>
      </c>
      <c r="G394" s="20">
        <f>ecu*(1-F394/D394)</f>
      </c>
      <c r="H394" s="20">
        <f>MAX(0,-G394)</f>
      </c>
      <c r="I394" s="17">
        <f>MAX(MIN(Es*G394,fy),-fy)</f>
      </c>
      <c r="J394">
        <f>IF(E394&gt;=u_max-beta_1*D394-blk_tol,1,0)</f>
      </c>
      <c r="K394" s="17">
        <f>J394*sig_blk</f>
      </c>
      <c r="L394" s="17">
        <f>I394-K394</f>
      </c>
      <c r="M394" s="17">
        <f>INDEX(Bar_As,MATCH(C394,Bar_No,0))*L394/1000</f>
      </c>
      <c r="N394" s="17">
        <f>M394*INDEX(Bar_Y,MATCH(C394,Bar_No,0))/1000</f>
      </c>
      <c r="O394" s="17">
        <f>M394*INDEX(Bar_X,MATCH(C394,Bar_No,0))/1000</f>
      </c>
    </row>
    <row r="395" spans="2:15" x14ac:dyDescent="0.25">
      <c r="B395">
        <v>22</v>
      </c>
      <c r="C395">
        <v>12</v>
      </c>
      <c r="D395" s="17">
        <f>INDEX(Blk_c,MATCH(B395,Blk_St,0))</f>
      </c>
      <c r="E395" s="17">
        <f>INDEX(Bar_U,MATCH(C395,Bar_No,0))</f>
      </c>
      <c r="F395" s="17">
        <f>u_max-E395</f>
      </c>
      <c r="G395" s="20">
        <f>ecu*(1-F395/D395)</f>
      </c>
      <c r="H395" s="20">
        <f>MAX(0,-G395)</f>
      </c>
      <c r="I395" s="17">
        <f>MAX(MIN(Es*G395,fy),-fy)</f>
      </c>
      <c r="J395">
        <f>IF(E395&gt;=u_max-beta_1*D395-blk_tol,1,0)</f>
      </c>
      <c r="K395" s="17">
        <f>J395*sig_blk</f>
      </c>
      <c r="L395" s="17">
        <f>I395-K395</f>
      </c>
      <c r="M395" s="17">
        <f>INDEX(Bar_As,MATCH(C395,Bar_No,0))*L395/1000</f>
      </c>
      <c r="N395" s="17">
        <f>M395*INDEX(Bar_Y,MATCH(C395,Bar_No,0))/1000</f>
      </c>
      <c r="O395" s="17">
        <f>M395*INDEX(Bar_X,MATCH(C395,Bar_No,0))/1000</f>
      </c>
    </row>
    <row r="396" spans="2:15" x14ac:dyDescent="0.25">
      <c r="B396">
        <v>22</v>
      </c>
      <c r="C396">
        <v>13</v>
      </c>
      <c r="D396" s="17">
        <f>INDEX(Blk_c,MATCH(B396,Blk_St,0))</f>
      </c>
      <c r="E396" s="17">
        <f>INDEX(Bar_U,MATCH(C396,Bar_No,0))</f>
      </c>
      <c r="F396" s="17">
        <f>u_max-E396</f>
      </c>
      <c r="G396" s="20">
        <f>ecu*(1-F396/D396)</f>
      </c>
      <c r="H396" s="20">
        <f>MAX(0,-G396)</f>
      </c>
      <c r="I396" s="17">
        <f>MAX(MIN(Es*G396,fy),-fy)</f>
      </c>
      <c r="J396">
        <f>IF(E396&gt;=u_max-beta_1*D396-blk_tol,1,0)</f>
      </c>
      <c r="K396" s="17">
        <f>J396*sig_blk</f>
      </c>
      <c r="L396" s="17">
        <f>I396-K396</f>
      </c>
      <c r="M396" s="17">
        <f>INDEX(Bar_As,MATCH(C396,Bar_No,0))*L396/1000</f>
      </c>
      <c r="N396" s="17">
        <f>M396*INDEX(Bar_Y,MATCH(C396,Bar_No,0))/1000</f>
      </c>
      <c r="O396" s="17">
        <f>M396*INDEX(Bar_X,MATCH(C396,Bar_No,0))/1000</f>
      </c>
    </row>
    <row r="397" spans="2:15" x14ac:dyDescent="0.25">
      <c r="B397">
        <v>22</v>
      </c>
      <c r="C397">
        <v>14</v>
      </c>
      <c r="D397" s="17">
        <f>INDEX(Blk_c,MATCH(B397,Blk_St,0))</f>
      </c>
      <c r="E397" s="17">
        <f>INDEX(Bar_U,MATCH(C397,Bar_No,0))</f>
      </c>
      <c r="F397" s="17">
        <f>u_max-E397</f>
      </c>
      <c r="G397" s="20">
        <f>ecu*(1-F397/D397)</f>
      </c>
      <c r="H397" s="20">
        <f>MAX(0,-G397)</f>
      </c>
      <c r="I397" s="17">
        <f>MAX(MIN(Es*G397,fy),-fy)</f>
      </c>
      <c r="J397">
        <f>IF(E397&gt;=u_max-beta_1*D397-blk_tol,1,0)</f>
      </c>
      <c r="K397" s="17">
        <f>J397*sig_blk</f>
      </c>
      <c r="L397" s="17">
        <f>I397-K397</f>
      </c>
      <c r="M397" s="17">
        <f>INDEX(Bar_As,MATCH(C397,Bar_No,0))*L397/1000</f>
      </c>
      <c r="N397" s="17">
        <f>M397*INDEX(Bar_Y,MATCH(C397,Bar_No,0))/1000</f>
      </c>
      <c r="O397" s="17">
        <f>M397*INDEX(Bar_X,MATCH(C397,Bar_No,0))/1000</f>
      </c>
    </row>
    <row r="398" spans="2:15" x14ac:dyDescent="0.25">
      <c r="B398">
        <v>22</v>
      </c>
      <c r="C398">
        <v>15</v>
      </c>
      <c r="D398" s="17">
        <f>INDEX(Blk_c,MATCH(B398,Blk_St,0))</f>
      </c>
      <c r="E398" s="17">
        <f>INDEX(Bar_U,MATCH(C398,Bar_No,0))</f>
      </c>
      <c r="F398" s="17">
        <f>u_max-E398</f>
      </c>
      <c r="G398" s="20">
        <f>ecu*(1-F398/D398)</f>
      </c>
      <c r="H398" s="20">
        <f>MAX(0,-G398)</f>
      </c>
      <c r="I398" s="17">
        <f>MAX(MIN(Es*G398,fy),-fy)</f>
      </c>
      <c r="J398">
        <f>IF(E398&gt;=u_max-beta_1*D398-blk_tol,1,0)</f>
      </c>
      <c r="K398" s="17">
        <f>J398*sig_blk</f>
      </c>
      <c r="L398" s="17">
        <f>I398-K398</f>
      </c>
      <c r="M398" s="17">
        <f>INDEX(Bar_As,MATCH(C398,Bar_No,0))*L398/1000</f>
      </c>
      <c r="N398" s="17">
        <f>M398*INDEX(Bar_Y,MATCH(C398,Bar_No,0))/1000</f>
      </c>
      <c r="O398" s="17">
        <f>M398*INDEX(Bar_X,MATCH(C398,Bar_No,0))/1000</f>
      </c>
    </row>
    <row r="399" spans="2:15" x14ac:dyDescent="0.25">
      <c r="B399">
        <v>22</v>
      </c>
      <c r="C399">
        <v>16</v>
      </c>
      <c r="D399" s="17">
        <f>INDEX(Blk_c,MATCH(B399,Blk_St,0))</f>
      </c>
      <c r="E399" s="17">
        <f>INDEX(Bar_U,MATCH(C399,Bar_No,0))</f>
      </c>
      <c r="F399" s="17">
        <f>u_max-E399</f>
      </c>
      <c r="G399" s="20">
        <f>ecu*(1-F399/D399)</f>
      </c>
      <c r="H399" s="20">
        <f>MAX(0,-G399)</f>
      </c>
      <c r="I399" s="17">
        <f>MAX(MIN(Es*G399,fy),-fy)</f>
      </c>
      <c r="J399">
        <f>IF(E399&gt;=u_max-beta_1*D399-blk_tol,1,0)</f>
      </c>
      <c r="K399" s="17">
        <f>J399*sig_blk</f>
      </c>
      <c r="L399" s="17">
        <f>I399-K399</f>
      </c>
      <c r="M399" s="17">
        <f>INDEX(Bar_As,MATCH(C399,Bar_No,0))*L399/1000</f>
      </c>
      <c r="N399" s="17">
        <f>M399*INDEX(Bar_Y,MATCH(C399,Bar_No,0))/1000</f>
      </c>
      <c r="O399" s="17">
        <f>M399*INDEX(Bar_X,MATCH(C399,Bar_No,0))/1000</f>
      </c>
    </row>
    <row r="400" spans="2:15" x14ac:dyDescent="0.25">
      <c r="B400">
        <v>22</v>
      </c>
      <c r="C400">
        <v>17</v>
      </c>
      <c r="D400" s="17">
        <f>INDEX(Blk_c,MATCH(B400,Blk_St,0))</f>
      </c>
      <c r="E400" s="17">
        <f>INDEX(Bar_U,MATCH(C400,Bar_No,0))</f>
      </c>
      <c r="F400" s="17">
        <f>u_max-E400</f>
      </c>
      <c r="G400" s="20">
        <f>ecu*(1-F400/D400)</f>
      </c>
      <c r="H400" s="20">
        <f>MAX(0,-G400)</f>
      </c>
      <c r="I400" s="17">
        <f>MAX(MIN(Es*G400,fy),-fy)</f>
      </c>
      <c r="J400">
        <f>IF(E400&gt;=u_max-beta_1*D400-blk_tol,1,0)</f>
      </c>
      <c r="K400" s="17">
        <f>J400*sig_blk</f>
      </c>
      <c r="L400" s="17">
        <f>I400-K400</f>
      </c>
      <c r="M400" s="17">
        <f>INDEX(Bar_As,MATCH(C400,Bar_No,0))*L400/1000</f>
      </c>
      <c r="N400" s="17">
        <f>M400*INDEX(Bar_Y,MATCH(C400,Bar_No,0))/1000</f>
      </c>
      <c r="O400" s="17">
        <f>M400*INDEX(Bar_X,MATCH(C400,Bar_No,0))/1000</f>
      </c>
    </row>
    <row r="401" spans="2:15" x14ac:dyDescent="0.25">
      <c r="B401">
        <v>22</v>
      </c>
      <c r="C401">
        <v>18</v>
      </c>
      <c r="D401" s="17">
        <f>INDEX(Blk_c,MATCH(B401,Blk_St,0))</f>
      </c>
      <c r="E401" s="17">
        <f>INDEX(Bar_U,MATCH(C401,Bar_No,0))</f>
      </c>
      <c r="F401" s="17">
        <f>u_max-E401</f>
      </c>
      <c r="G401" s="20">
        <f>ecu*(1-F401/D401)</f>
      </c>
      <c r="H401" s="20">
        <f>MAX(0,-G401)</f>
      </c>
      <c r="I401" s="17">
        <f>MAX(MIN(Es*G401,fy),-fy)</f>
      </c>
      <c r="J401">
        <f>IF(E401&gt;=u_max-beta_1*D401-blk_tol,1,0)</f>
      </c>
      <c r="K401" s="17">
        <f>J401*sig_blk</f>
      </c>
      <c r="L401" s="17">
        <f>I401-K401</f>
      </c>
      <c r="M401" s="17">
        <f>INDEX(Bar_As,MATCH(C401,Bar_No,0))*L401/1000</f>
      </c>
      <c r="N401" s="17">
        <f>M401*INDEX(Bar_Y,MATCH(C401,Bar_No,0))/1000</f>
      </c>
      <c r="O401" s="17">
        <f>M401*INDEX(Bar_X,MATCH(C401,Bar_No,0))/1000</f>
      </c>
    </row>
    <row r="402" spans="2:15" x14ac:dyDescent="0.25">
      <c r="B402">
        <v>23</v>
      </c>
      <c r="C402">
        <v>1</v>
      </c>
      <c r="D402" s="17">
        <f>INDEX(Blk_c,MATCH(B402,Blk_St,0))</f>
      </c>
      <c r="E402" s="17">
        <f>INDEX(Bar_U,MATCH(C402,Bar_No,0))</f>
      </c>
      <c r="F402" s="17">
        <f>u_max-E402</f>
      </c>
      <c r="G402" s="20">
        <f>ecu*(1-F402/D402)</f>
      </c>
      <c r="H402" s="20">
        <f>MAX(0,-G402)</f>
      </c>
      <c r="I402" s="17">
        <f>MAX(MIN(Es*G402,fy),-fy)</f>
      </c>
      <c r="J402">
        <f>IF(E402&gt;=u_max-beta_1*D402-blk_tol,1,0)</f>
      </c>
      <c r="K402" s="17">
        <f>J402*sig_blk</f>
      </c>
      <c r="L402" s="17">
        <f>I402-K402</f>
      </c>
      <c r="M402" s="17">
        <f>INDEX(Bar_As,MATCH(C402,Bar_No,0))*L402/1000</f>
      </c>
      <c r="N402" s="17">
        <f>M402*INDEX(Bar_Y,MATCH(C402,Bar_No,0))/1000</f>
      </c>
      <c r="O402" s="17">
        <f>M402*INDEX(Bar_X,MATCH(C402,Bar_No,0))/1000</f>
      </c>
    </row>
    <row r="403" spans="2:15" x14ac:dyDescent="0.25">
      <c r="B403">
        <v>23</v>
      </c>
      <c r="C403">
        <v>2</v>
      </c>
      <c r="D403" s="17">
        <f>INDEX(Blk_c,MATCH(B403,Blk_St,0))</f>
      </c>
      <c r="E403" s="17">
        <f>INDEX(Bar_U,MATCH(C403,Bar_No,0))</f>
      </c>
      <c r="F403" s="17">
        <f>u_max-E403</f>
      </c>
      <c r="G403" s="20">
        <f>ecu*(1-F403/D403)</f>
      </c>
      <c r="H403" s="20">
        <f>MAX(0,-G403)</f>
      </c>
      <c r="I403" s="17">
        <f>MAX(MIN(Es*G403,fy),-fy)</f>
      </c>
      <c r="J403">
        <f>IF(E403&gt;=u_max-beta_1*D403-blk_tol,1,0)</f>
      </c>
      <c r="K403" s="17">
        <f>J403*sig_blk</f>
      </c>
      <c r="L403" s="17">
        <f>I403-K403</f>
      </c>
      <c r="M403" s="17">
        <f>INDEX(Bar_As,MATCH(C403,Bar_No,0))*L403/1000</f>
      </c>
      <c r="N403" s="17">
        <f>M403*INDEX(Bar_Y,MATCH(C403,Bar_No,0))/1000</f>
      </c>
      <c r="O403" s="17">
        <f>M403*INDEX(Bar_X,MATCH(C403,Bar_No,0))/1000</f>
      </c>
    </row>
    <row r="404" spans="2:15" x14ac:dyDescent="0.25">
      <c r="B404">
        <v>23</v>
      </c>
      <c r="C404">
        <v>3</v>
      </c>
      <c r="D404" s="17">
        <f>INDEX(Blk_c,MATCH(B404,Blk_St,0))</f>
      </c>
      <c r="E404" s="17">
        <f>INDEX(Bar_U,MATCH(C404,Bar_No,0))</f>
      </c>
      <c r="F404" s="17">
        <f>u_max-E404</f>
      </c>
      <c r="G404" s="20">
        <f>ecu*(1-F404/D404)</f>
      </c>
      <c r="H404" s="20">
        <f>MAX(0,-G404)</f>
      </c>
      <c r="I404" s="17">
        <f>MAX(MIN(Es*G404,fy),-fy)</f>
      </c>
      <c r="J404">
        <f>IF(E404&gt;=u_max-beta_1*D404-blk_tol,1,0)</f>
      </c>
      <c r="K404" s="17">
        <f>J404*sig_blk</f>
      </c>
      <c r="L404" s="17">
        <f>I404-K404</f>
      </c>
      <c r="M404" s="17">
        <f>INDEX(Bar_As,MATCH(C404,Bar_No,0))*L404/1000</f>
      </c>
      <c r="N404" s="17">
        <f>M404*INDEX(Bar_Y,MATCH(C404,Bar_No,0))/1000</f>
      </c>
      <c r="O404" s="17">
        <f>M404*INDEX(Bar_X,MATCH(C404,Bar_No,0))/1000</f>
      </c>
    </row>
    <row r="405" spans="2:15" x14ac:dyDescent="0.25">
      <c r="B405">
        <v>23</v>
      </c>
      <c r="C405">
        <v>4</v>
      </c>
      <c r="D405" s="17">
        <f>INDEX(Blk_c,MATCH(B405,Blk_St,0))</f>
      </c>
      <c r="E405" s="17">
        <f>INDEX(Bar_U,MATCH(C405,Bar_No,0))</f>
      </c>
      <c r="F405" s="17">
        <f>u_max-E405</f>
      </c>
      <c r="G405" s="20">
        <f>ecu*(1-F405/D405)</f>
      </c>
      <c r="H405" s="20">
        <f>MAX(0,-G405)</f>
      </c>
      <c r="I405" s="17">
        <f>MAX(MIN(Es*G405,fy),-fy)</f>
      </c>
      <c r="J405">
        <f>IF(E405&gt;=u_max-beta_1*D405-blk_tol,1,0)</f>
      </c>
      <c r="K405" s="17">
        <f>J405*sig_blk</f>
      </c>
      <c r="L405" s="17">
        <f>I405-K405</f>
      </c>
      <c r="M405" s="17">
        <f>INDEX(Bar_As,MATCH(C405,Bar_No,0))*L405/1000</f>
      </c>
      <c r="N405" s="17">
        <f>M405*INDEX(Bar_Y,MATCH(C405,Bar_No,0))/1000</f>
      </c>
      <c r="O405" s="17">
        <f>M405*INDEX(Bar_X,MATCH(C405,Bar_No,0))/1000</f>
      </c>
    </row>
    <row r="406" spans="2:15" x14ac:dyDescent="0.25">
      <c r="B406">
        <v>23</v>
      </c>
      <c r="C406">
        <v>5</v>
      </c>
      <c r="D406" s="17">
        <f>INDEX(Blk_c,MATCH(B406,Blk_St,0))</f>
      </c>
      <c r="E406" s="17">
        <f>INDEX(Bar_U,MATCH(C406,Bar_No,0))</f>
      </c>
      <c r="F406" s="17">
        <f>u_max-E406</f>
      </c>
      <c r="G406" s="20">
        <f>ecu*(1-F406/D406)</f>
      </c>
      <c r="H406" s="20">
        <f>MAX(0,-G406)</f>
      </c>
      <c r="I406" s="17">
        <f>MAX(MIN(Es*G406,fy),-fy)</f>
      </c>
      <c r="J406">
        <f>IF(E406&gt;=u_max-beta_1*D406-blk_tol,1,0)</f>
      </c>
      <c r="K406" s="17">
        <f>J406*sig_blk</f>
      </c>
      <c r="L406" s="17">
        <f>I406-K406</f>
      </c>
      <c r="M406" s="17">
        <f>INDEX(Bar_As,MATCH(C406,Bar_No,0))*L406/1000</f>
      </c>
      <c r="N406" s="17">
        <f>M406*INDEX(Bar_Y,MATCH(C406,Bar_No,0))/1000</f>
      </c>
      <c r="O406" s="17">
        <f>M406*INDEX(Bar_X,MATCH(C406,Bar_No,0))/1000</f>
      </c>
    </row>
    <row r="407" spans="2:15" x14ac:dyDescent="0.25">
      <c r="B407">
        <v>23</v>
      </c>
      <c r="C407">
        <v>6</v>
      </c>
      <c r="D407" s="17">
        <f>INDEX(Blk_c,MATCH(B407,Blk_St,0))</f>
      </c>
      <c r="E407" s="17">
        <f>INDEX(Bar_U,MATCH(C407,Bar_No,0))</f>
      </c>
      <c r="F407" s="17">
        <f>u_max-E407</f>
      </c>
      <c r="G407" s="20">
        <f>ecu*(1-F407/D407)</f>
      </c>
      <c r="H407" s="20">
        <f>MAX(0,-G407)</f>
      </c>
      <c r="I407" s="17">
        <f>MAX(MIN(Es*G407,fy),-fy)</f>
      </c>
      <c r="J407">
        <f>IF(E407&gt;=u_max-beta_1*D407-blk_tol,1,0)</f>
      </c>
      <c r="K407" s="17">
        <f>J407*sig_blk</f>
      </c>
      <c r="L407" s="17">
        <f>I407-K407</f>
      </c>
      <c r="M407" s="17">
        <f>INDEX(Bar_As,MATCH(C407,Bar_No,0))*L407/1000</f>
      </c>
      <c r="N407" s="17">
        <f>M407*INDEX(Bar_Y,MATCH(C407,Bar_No,0))/1000</f>
      </c>
      <c r="O407" s="17">
        <f>M407*INDEX(Bar_X,MATCH(C407,Bar_No,0))/1000</f>
      </c>
    </row>
    <row r="408" spans="2:15" x14ac:dyDescent="0.25">
      <c r="B408">
        <v>23</v>
      </c>
      <c r="C408">
        <v>7</v>
      </c>
      <c r="D408" s="17">
        <f>INDEX(Blk_c,MATCH(B408,Blk_St,0))</f>
      </c>
      <c r="E408" s="17">
        <f>INDEX(Bar_U,MATCH(C408,Bar_No,0))</f>
      </c>
      <c r="F408" s="17">
        <f>u_max-E408</f>
      </c>
      <c r="G408" s="20">
        <f>ecu*(1-F408/D408)</f>
      </c>
      <c r="H408" s="20">
        <f>MAX(0,-G408)</f>
      </c>
      <c r="I408" s="17">
        <f>MAX(MIN(Es*G408,fy),-fy)</f>
      </c>
      <c r="J408">
        <f>IF(E408&gt;=u_max-beta_1*D408-blk_tol,1,0)</f>
      </c>
      <c r="K408" s="17">
        <f>J408*sig_blk</f>
      </c>
      <c r="L408" s="17">
        <f>I408-K408</f>
      </c>
      <c r="M408" s="17">
        <f>INDEX(Bar_As,MATCH(C408,Bar_No,0))*L408/1000</f>
      </c>
      <c r="N408" s="17">
        <f>M408*INDEX(Bar_Y,MATCH(C408,Bar_No,0))/1000</f>
      </c>
      <c r="O408" s="17">
        <f>M408*INDEX(Bar_X,MATCH(C408,Bar_No,0))/1000</f>
      </c>
    </row>
    <row r="409" spans="2:15" x14ac:dyDescent="0.25">
      <c r="B409">
        <v>23</v>
      </c>
      <c r="C409">
        <v>8</v>
      </c>
      <c r="D409" s="17">
        <f>INDEX(Blk_c,MATCH(B409,Blk_St,0))</f>
      </c>
      <c r="E409" s="17">
        <f>INDEX(Bar_U,MATCH(C409,Bar_No,0))</f>
      </c>
      <c r="F409" s="17">
        <f>u_max-E409</f>
      </c>
      <c r="G409" s="20">
        <f>ecu*(1-F409/D409)</f>
      </c>
      <c r="H409" s="20">
        <f>MAX(0,-G409)</f>
      </c>
      <c r="I409" s="17">
        <f>MAX(MIN(Es*G409,fy),-fy)</f>
      </c>
      <c r="J409">
        <f>IF(E409&gt;=u_max-beta_1*D409-blk_tol,1,0)</f>
      </c>
      <c r="K409" s="17">
        <f>J409*sig_blk</f>
      </c>
      <c r="L409" s="17">
        <f>I409-K409</f>
      </c>
      <c r="M409" s="17">
        <f>INDEX(Bar_As,MATCH(C409,Bar_No,0))*L409/1000</f>
      </c>
      <c r="N409" s="17">
        <f>M409*INDEX(Bar_Y,MATCH(C409,Bar_No,0))/1000</f>
      </c>
      <c r="O409" s="17">
        <f>M409*INDEX(Bar_X,MATCH(C409,Bar_No,0))/1000</f>
      </c>
    </row>
    <row r="410" spans="2:15" x14ac:dyDescent="0.25">
      <c r="B410">
        <v>23</v>
      </c>
      <c r="C410">
        <v>9</v>
      </c>
      <c r="D410" s="17">
        <f>INDEX(Blk_c,MATCH(B410,Blk_St,0))</f>
      </c>
      <c r="E410" s="17">
        <f>INDEX(Bar_U,MATCH(C410,Bar_No,0))</f>
      </c>
      <c r="F410" s="17">
        <f>u_max-E410</f>
      </c>
      <c r="G410" s="20">
        <f>ecu*(1-F410/D410)</f>
      </c>
      <c r="H410" s="20">
        <f>MAX(0,-G410)</f>
      </c>
      <c r="I410" s="17">
        <f>MAX(MIN(Es*G410,fy),-fy)</f>
      </c>
      <c r="J410">
        <f>IF(E410&gt;=u_max-beta_1*D410-blk_tol,1,0)</f>
      </c>
      <c r="K410" s="17">
        <f>J410*sig_blk</f>
      </c>
      <c r="L410" s="17">
        <f>I410-K410</f>
      </c>
      <c r="M410" s="17">
        <f>INDEX(Bar_As,MATCH(C410,Bar_No,0))*L410/1000</f>
      </c>
      <c r="N410" s="17">
        <f>M410*INDEX(Bar_Y,MATCH(C410,Bar_No,0))/1000</f>
      </c>
      <c r="O410" s="17">
        <f>M410*INDEX(Bar_X,MATCH(C410,Bar_No,0))/1000</f>
      </c>
    </row>
    <row r="411" spans="2:15" x14ac:dyDescent="0.25">
      <c r="B411">
        <v>23</v>
      </c>
      <c r="C411">
        <v>10</v>
      </c>
      <c r="D411" s="17">
        <f>INDEX(Blk_c,MATCH(B411,Blk_St,0))</f>
      </c>
      <c r="E411" s="17">
        <f>INDEX(Bar_U,MATCH(C411,Bar_No,0))</f>
      </c>
      <c r="F411" s="17">
        <f>u_max-E411</f>
      </c>
      <c r="G411" s="20">
        <f>ecu*(1-F411/D411)</f>
      </c>
      <c r="H411" s="20">
        <f>MAX(0,-G411)</f>
      </c>
      <c r="I411" s="17">
        <f>MAX(MIN(Es*G411,fy),-fy)</f>
      </c>
      <c r="J411">
        <f>IF(E411&gt;=u_max-beta_1*D411-blk_tol,1,0)</f>
      </c>
      <c r="K411" s="17">
        <f>J411*sig_blk</f>
      </c>
      <c r="L411" s="17">
        <f>I411-K411</f>
      </c>
      <c r="M411" s="17">
        <f>INDEX(Bar_As,MATCH(C411,Bar_No,0))*L411/1000</f>
      </c>
      <c r="N411" s="17">
        <f>M411*INDEX(Bar_Y,MATCH(C411,Bar_No,0))/1000</f>
      </c>
      <c r="O411" s="17">
        <f>M411*INDEX(Bar_X,MATCH(C411,Bar_No,0))/1000</f>
      </c>
    </row>
    <row r="412" spans="2:15" x14ac:dyDescent="0.25">
      <c r="B412">
        <v>23</v>
      </c>
      <c r="C412">
        <v>11</v>
      </c>
      <c r="D412" s="17">
        <f>INDEX(Blk_c,MATCH(B412,Blk_St,0))</f>
      </c>
      <c r="E412" s="17">
        <f>INDEX(Bar_U,MATCH(C412,Bar_No,0))</f>
      </c>
      <c r="F412" s="17">
        <f>u_max-E412</f>
      </c>
      <c r="G412" s="20">
        <f>ecu*(1-F412/D412)</f>
      </c>
      <c r="H412" s="20">
        <f>MAX(0,-G412)</f>
      </c>
      <c r="I412" s="17">
        <f>MAX(MIN(Es*G412,fy),-fy)</f>
      </c>
      <c r="J412">
        <f>IF(E412&gt;=u_max-beta_1*D412-blk_tol,1,0)</f>
      </c>
      <c r="K412" s="17">
        <f>J412*sig_blk</f>
      </c>
      <c r="L412" s="17">
        <f>I412-K412</f>
      </c>
      <c r="M412" s="17">
        <f>INDEX(Bar_As,MATCH(C412,Bar_No,0))*L412/1000</f>
      </c>
      <c r="N412" s="17">
        <f>M412*INDEX(Bar_Y,MATCH(C412,Bar_No,0))/1000</f>
      </c>
      <c r="O412" s="17">
        <f>M412*INDEX(Bar_X,MATCH(C412,Bar_No,0))/1000</f>
      </c>
    </row>
    <row r="413" spans="2:15" x14ac:dyDescent="0.25">
      <c r="B413">
        <v>23</v>
      </c>
      <c r="C413">
        <v>12</v>
      </c>
      <c r="D413" s="17">
        <f>INDEX(Blk_c,MATCH(B413,Blk_St,0))</f>
      </c>
      <c r="E413" s="17">
        <f>INDEX(Bar_U,MATCH(C413,Bar_No,0))</f>
      </c>
      <c r="F413" s="17">
        <f>u_max-E413</f>
      </c>
      <c r="G413" s="20">
        <f>ecu*(1-F413/D413)</f>
      </c>
      <c r="H413" s="20">
        <f>MAX(0,-G413)</f>
      </c>
      <c r="I413" s="17">
        <f>MAX(MIN(Es*G413,fy),-fy)</f>
      </c>
      <c r="J413">
        <f>IF(E413&gt;=u_max-beta_1*D413-blk_tol,1,0)</f>
      </c>
      <c r="K413" s="17">
        <f>J413*sig_blk</f>
      </c>
      <c r="L413" s="17">
        <f>I413-K413</f>
      </c>
      <c r="M413" s="17">
        <f>INDEX(Bar_As,MATCH(C413,Bar_No,0))*L413/1000</f>
      </c>
      <c r="N413" s="17">
        <f>M413*INDEX(Bar_Y,MATCH(C413,Bar_No,0))/1000</f>
      </c>
      <c r="O413" s="17">
        <f>M413*INDEX(Bar_X,MATCH(C413,Bar_No,0))/1000</f>
      </c>
    </row>
    <row r="414" spans="2:15" x14ac:dyDescent="0.25">
      <c r="B414">
        <v>23</v>
      </c>
      <c r="C414">
        <v>13</v>
      </c>
      <c r="D414" s="17">
        <f>INDEX(Blk_c,MATCH(B414,Blk_St,0))</f>
      </c>
      <c r="E414" s="17">
        <f>INDEX(Bar_U,MATCH(C414,Bar_No,0))</f>
      </c>
      <c r="F414" s="17">
        <f>u_max-E414</f>
      </c>
      <c r="G414" s="20">
        <f>ecu*(1-F414/D414)</f>
      </c>
      <c r="H414" s="20">
        <f>MAX(0,-G414)</f>
      </c>
      <c r="I414" s="17">
        <f>MAX(MIN(Es*G414,fy),-fy)</f>
      </c>
      <c r="J414">
        <f>IF(E414&gt;=u_max-beta_1*D414-blk_tol,1,0)</f>
      </c>
      <c r="K414" s="17">
        <f>J414*sig_blk</f>
      </c>
      <c r="L414" s="17">
        <f>I414-K414</f>
      </c>
      <c r="M414" s="17">
        <f>INDEX(Bar_As,MATCH(C414,Bar_No,0))*L414/1000</f>
      </c>
      <c r="N414" s="17">
        <f>M414*INDEX(Bar_Y,MATCH(C414,Bar_No,0))/1000</f>
      </c>
      <c r="O414" s="17">
        <f>M414*INDEX(Bar_X,MATCH(C414,Bar_No,0))/1000</f>
      </c>
    </row>
    <row r="415" spans="2:15" x14ac:dyDescent="0.25">
      <c r="B415">
        <v>23</v>
      </c>
      <c r="C415">
        <v>14</v>
      </c>
      <c r="D415" s="17">
        <f>INDEX(Blk_c,MATCH(B415,Blk_St,0))</f>
      </c>
      <c r="E415" s="17">
        <f>INDEX(Bar_U,MATCH(C415,Bar_No,0))</f>
      </c>
      <c r="F415" s="17">
        <f>u_max-E415</f>
      </c>
      <c r="G415" s="20">
        <f>ecu*(1-F415/D415)</f>
      </c>
      <c r="H415" s="20">
        <f>MAX(0,-G415)</f>
      </c>
      <c r="I415" s="17">
        <f>MAX(MIN(Es*G415,fy),-fy)</f>
      </c>
      <c r="J415">
        <f>IF(E415&gt;=u_max-beta_1*D415-blk_tol,1,0)</f>
      </c>
      <c r="K415" s="17">
        <f>J415*sig_blk</f>
      </c>
      <c r="L415" s="17">
        <f>I415-K415</f>
      </c>
      <c r="M415" s="17">
        <f>INDEX(Bar_As,MATCH(C415,Bar_No,0))*L415/1000</f>
      </c>
      <c r="N415" s="17">
        <f>M415*INDEX(Bar_Y,MATCH(C415,Bar_No,0))/1000</f>
      </c>
      <c r="O415" s="17">
        <f>M415*INDEX(Bar_X,MATCH(C415,Bar_No,0))/1000</f>
      </c>
    </row>
    <row r="416" spans="2:15" x14ac:dyDescent="0.25">
      <c r="B416">
        <v>23</v>
      </c>
      <c r="C416">
        <v>15</v>
      </c>
      <c r="D416" s="17">
        <f>INDEX(Blk_c,MATCH(B416,Blk_St,0))</f>
      </c>
      <c r="E416" s="17">
        <f>INDEX(Bar_U,MATCH(C416,Bar_No,0))</f>
      </c>
      <c r="F416" s="17">
        <f>u_max-E416</f>
      </c>
      <c r="G416" s="20">
        <f>ecu*(1-F416/D416)</f>
      </c>
      <c r="H416" s="20">
        <f>MAX(0,-G416)</f>
      </c>
      <c r="I416" s="17">
        <f>MAX(MIN(Es*G416,fy),-fy)</f>
      </c>
      <c r="J416">
        <f>IF(E416&gt;=u_max-beta_1*D416-blk_tol,1,0)</f>
      </c>
      <c r="K416" s="17">
        <f>J416*sig_blk</f>
      </c>
      <c r="L416" s="17">
        <f>I416-K416</f>
      </c>
      <c r="M416" s="17">
        <f>INDEX(Bar_As,MATCH(C416,Bar_No,0))*L416/1000</f>
      </c>
      <c r="N416" s="17">
        <f>M416*INDEX(Bar_Y,MATCH(C416,Bar_No,0))/1000</f>
      </c>
      <c r="O416" s="17">
        <f>M416*INDEX(Bar_X,MATCH(C416,Bar_No,0))/1000</f>
      </c>
    </row>
    <row r="417" spans="2:15" x14ac:dyDescent="0.25">
      <c r="B417">
        <v>23</v>
      </c>
      <c r="C417">
        <v>16</v>
      </c>
      <c r="D417" s="17">
        <f>INDEX(Blk_c,MATCH(B417,Blk_St,0))</f>
      </c>
      <c r="E417" s="17">
        <f>INDEX(Bar_U,MATCH(C417,Bar_No,0))</f>
      </c>
      <c r="F417" s="17">
        <f>u_max-E417</f>
      </c>
      <c r="G417" s="20">
        <f>ecu*(1-F417/D417)</f>
      </c>
      <c r="H417" s="20">
        <f>MAX(0,-G417)</f>
      </c>
      <c r="I417" s="17">
        <f>MAX(MIN(Es*G417,fy),-fy)</f>
      </c>
      <c r="J417">
        <f>IF(E417&gt;=u_max-beta_1*D417-blk_tol,1,0)</f>
      </c>
      <c r="K417" s="17">
        <f>J417*sig_blk</f>
      </c>
      <c r="L417" s="17">
        <f>I417-K417</f>
      </c>
      <c r="M417" s="17">
        <f>INDEX(Bar_As,MATCH(C417,Bar_No,0))*L417/1000</f>
      </c>
      <c r="N417" s="17">
        <f>M417*INDEX(Bar_Y,MATCH(C417,Bar_No,0))/1000</f>
      </c>
      <c r="O417" s="17">
        <f>M417*INDEX(Bar_X,MATCH(C417,Bar_No,0))/1000</f>
      </c>
    </row>
    <row r="418" spans="2:15" x14ac:dyDescent="0.25">
      <c r="B418">
        <v>23</v>
      </c>
      <c r="C418">
        <v>17</v>
      </c>
      <c r="D418" s="17">
        <f>INDEX(Blk_c,MATCH(B418,Blk_St,0))</f>
      </c>
      <c r="E418" s="17">
        <f>INDEX(Bar_U,MATCH(C418,Bar_No,0))</f>
      </c>
      <c r="F418" s="17">
        <f>u_max-E418</f>
      </c>
      <c r="G418" s="20">
        <f>ecu*(1-F418/D418)</f>
      </c>
      <c r="H418" s="20">
        <f>MAX(0,-G418)</f>
      </c>
      <c r="I418" s="17">
        <f>MAX(MIN(Es*G418,fy),-fy)</f>
      </c>
      <c r="J418">
        <f>IF(E418&gt;=u_max-beta_1*D418-blk_tol,1,0)</f>
      </c>
      <c r="K418" s="17">
        <f>J418*sig_blk</f>
      </c>
      <c r="L418" s="17">
        <f>I418-K418</f>
      </c>
      <c r="M418" s="17">
        <f>INDEX(Bar_As,MATCH(C418,Bar_No,0))*L418/1000</f>
      </c>
      <c r="N418" s="17">
        <f>M418*INDEX(Bar_Y,MATCH(C418,Bar_No,0))/1000</f>
      </c>
      <c r="O418" s="17">
        <f>M418*INDEX(Bar_X,MATCH(C418,Bar_No,0))/1000</f>
      </c>
    </row>
    <row r="419" spans="2:15" x14ac:dyDescent="0.25">
      <c r="B419">
        <v>23</v>
      </c>
      <c r="C419">
        <v>18</v>
      </c>
      <c r="D419" s="17">
        <f>INDEX(Blk_c,MATCH(B419,Blk_St,0))</f>
      </c>
      <c r="E419" s="17">
        <f>INDEX(Bar_U,MATCH(C419,Bar_No,0))</f>
      </c>
      <c r="F419" s="17">
        <f>u_max-E419</f>
      </c>
      <c r="G419" s="20">
        <f>ecu*(1-F419/D419)</f>
      </c>
      <c r="H419" s="20">
        <f>MAX(0,-G419)</f>
      </c>
      <c r="I419" s="17">
        <f>MAX(MIN(Es*G419,fy),-fy)</f>
      </c>
      <c r="J419">
        <f>IF(E419&gt;=u_max-beta_1*D419-blk_tol,1,0)</f>
      </c>
      <c r="K419" s="17">
        <f>J419*sig_blk</f>
      </c>
      <c r="L419" s="17">
        <f>I419-K419</f>
      </c>
      <c r="M419" s="17">
        <f>INDEX(Bar_As,MATCH(C419,Bar_No,0))*L419/1000</f>
      </c>
      <c r="N419" s="17">
        <f>M419*INDEX(Bar_Y,MATCH(C419,Bar_No,0))/1000</f>
      </c>
      <c r="O419" s="17">
        <f>M419*INDEX(Bar_X,MATCH(C419,Bar_No,0))/1000</f>
      </c>
    </row>
    <row r="420" spans="2:15" x14ac:dyDescent="0.25">
      <c r="B420">
        <v>24</v>
      </c>
      <c r="C420">
        <v>1</v>
      </c>
      <c r="D420" s="17">
        <f>INDEX(Blk_c,MATCH(B420,Blk_St,0))</f>
      </c>
      <c r="E420" s="17">
        <f>INDEX(Bar_U,MATCH(C420,Bar_No,0))</f>
      </c>
      <c r="F420" s="17">
        <f>u_max-E420</f>
      </c>
      <c r="G420" s="20">
        <f>ecu*(1-F420/D420)</f>
      </c>
      <c r="H420" s="20">
        <f>MAX(0,-G420)</f>
      </c>
      <c r="I420" s="17">
        <f>MAX(MIN(Es*G420,fy),-fy)</f>
      </c>
      <c r="J420">
        <f>IF(E420&gt;=u_max-beta_1*D420-blk_tol,1,0)</f>
      </c>
      <c r="K420" s="17">
        <f>J420*sig_blk</f>
      </c>
      <c r="L420" s="17">
        <f>I420-K420</f>
      </c>
      <c r="M420" s="17">
        <f>INDEX(Bar_As,MATCH(C420,Bar_No,0))*L420/1000</f>
      </c>
      <c r="N420" s="17">
        <f>M420*INDEX(Bar_Y,MATCH(C420,Bar_No,0))/1000</f>
      </c>
      <c r="O420" s="17">
        <f>M420*INDEX(Bar_X,MATCH(C420,Bar_No,0))/1000</f>
      </c>
    </row>
    <row r="421" spans="2:15" x14ac:dyDescent="0.25">
      <c r="B421">
        <v>24</v>
      </c>
      <c r="C421">
        <v>2</v>
      </c>
      <c r="D421" s="17">
        <f>INDEX(Blk_c,MATCH(B421,Blk_St,0))</f>
      </c>
      <c r="E421" s="17">
        <f>INDEX(Bar_U,MATCH(C421,Bar_No,0))</f>
      </c>
      <c r="F421" s="17">
        <f>u_max-E421</f>
      </c>
      <c r="G421" s="20">
        <f>ecu*(1-F421/D421)</f>
      </c>
      <c r="H421" s="20">
        <f>MAX(0,-G421)</f>
      </c>
      <c r="I421" s="17">
        <f>MAX(MIN(Es*G421,fy),-fy)</f>
      </c>
      <c r="J421">
        <f>IF(E421&gt;=u_max-beta_1*D421-blk_tol,1,0)</f>
      </c>
      <c r="K421" s="17">
        <f>J421*sig_blk</f>
      </c>
      <c r="L421" s="17">
        <f>I421-K421</f>
      </c>
      <c r="M421" s="17">
        <f>INDEX(Bar_As,MATCH(C421,Bar_No,0))*L421/1000</f>
      </c>
      <c r="N421" s="17">
        <f>M421*INDEX(Bar_Y,MATCH(C421,Bar_No,0))/1000</f>
      </c>
      <c r="O421" s="17">
        <f>M421*INDEX(Bar_X,MATCH(C421,Bar_No,0))/1000</f>
      </c>
    </row>
    <row r="422" spans="2:15" x14ac:dyDescent="0.25">
      <c r="B422">
        <v>24</v>
      </c>
      <c r="C422">
        <v>3</v>
      </c>
      <c r="D422" s="17">
        <f>INDEX(Blk_c,MATCH(B422,Blk_St,0))</f>
      </c>
      <c r="E422" s="17">
        <f>INDEX(Bar_U,MATCH(C422,Bar_No,0))</f>
      </c>
      <c r="F422" s="17">
        <f>u_max-E422</f>
      </c>
      <c r="G422" s="20">
        <f>ecu*(1-F422/D422)</f>
      </c>
      <c r="H422" s="20">
        <f>MAX(0,-G422)</f>
      </c>
      <c r="I422" s="17">
        <f>MAX(MIN(Es*G422,fy),-fy)</f>
      </c>
      <c r="J422">
        <f>IF(E422&gt;=u_max-beta_1*D422-blk_tol,1,0)</f>
      </c>
      <c r="K422" s="17">
        <f>J422*sig_blk</f>
      </c>
      <c r="L422" s="17">
        <f>I422-K422</f>
      </c>
      <c r="M422" s="17">
        <f>INDEX(Bar_As,MATCH(C422,Bar_No,0))*L422/1000</f>
      </c>
      <c r="N422" s="17">
        <f>M422*INDEX(Bar_Y,MATCH(C422,Bar_No,0))/1000</f>
      </c>
      <c r="O422" s="17">
        <f>M422*INDEX(Bar_X,MATCH(C422,Bar_No,0))/1000</f>
      </c>
    </row>
    <row r="423" spans="2:15" x14ac:dyDescent="0.25">
      <c r="B423">
        <v>24</v>
      </c>
      <c r="C423">
        <v>4</v>
      </c>
      <c r="D423" s="17">
        <f>INDEX(Blk_c,MATCH(B423,Blk_St,0))</f>
      </c>
      <c r="E423" s="17">
        <f>INDEX(Bar_U,MATCH(C423,Bar_No,0))</f>
      </c>
      <c r="F423" s="17">
        <f>u_max-E423</f>
      </c>
      <c r="G423" s="20">
        <f>ecu*(1-F423/D423)</f>
      </c>
      <c r="H423" s="20">
        <f>MAX(0,-G423)</f>
      </c>
      <c r="I423" s="17">
        <f>MAX(MIN(Es*G423,fy),-fy)</f>
      </c>
      <c r="J423">
        <f>IF(E423&gt;=u_max-beta_1*D423-blk_tol,1,0)</f>
      </c>
      <c r="K423" s="17">
        <f>J423*sig_blk</f>
      </c>
      <c r="L423" s="17">
        <f>I423-K423</f>
      </c>
      <c r="M423" s="17">
        <f>INDEX(Bar_As,MATCH(C423,Bar_No,0))*L423/1000</f>
      </c>
      <c r="N423" s="17">
        <f>M423*INDEX(Bar_Y,MATCH(C423,Bar_No,0))/1000</f>
      </c>
      <c r="O423" s="17">
        <f>M423*INDEX(Bar_X,MATCH(C423,Bar_No,0))/1000</f>
      </c>
    </row>
    <row r="424" spans="2:15" x14ac:dyDescent="0.25">
      <c r="B424">
        <v>24</v>
      </c>
      <c r="C424">
        <v>5</v>
      </c>
      <c r="D424" s="17">
        <f>INDEX(Blk_c,MATCH(B424,Blk_St,0))</f>
      </c>
      <c r="E424" s="17">
        <f>INDEX(Bar_U,MATCH(C424,Bar_No,0))</f>
      </c>
      <c r="F424" s="17">
        <f>u_max-E424</f>
      </c>
      <c r="G424" s="20">
        <f>ecu*(1-F424/D424)</f>
      </c>
      <c r="H424" s="20">
        <f>MAX(0,-G424)</f>
      </c>
      <c r="I424" s="17">
        <f>MAX(MIN(Es*G424,fy),-fy)</f>
      </c>
      <c r="J424">
        <f>IF(E424&gt;=u_max-beta_1*D424-blk_tol,1,0)</f>
      </c>
      <c r="K424" s="17">
        <f>J424*sig_blk</f>
      </c>
      <c r="L424" s="17">
        <f>I424-K424</f>
      </c>
      <c r="M424" s="17">
        <f>INDEX(Bar_As,MATCH(C424,Bar_No,0))*L424/1000</f>
      </c>
      <c r="N424" s="17">
        <f>M424*INDEX(Bar_Y,MATCH(C424,Bar_No,0))/1000</f>
      </c>
      <c r="O424" s="17">
        <f>M424*INDEX(Bar_X,MATCH(C424,Bar_No,0))/1000</f>
      </c>
    </row>
    <row r="425" spans="2:15" x14ac:dyDescent="0.25">
      <c r="B425">
        <v>24</v>
      </c>
      <c r="C425">
        <v>6</v>
      </c>
      <c r="D425" s="17">
        <f>INDEX(Blk_c,MATCH(B425,Blk_St,0))</f>
      </c>
      <c r="E425" s="17">
        <f>INDEX(Bar_U,MATCH(C425,Bar_No,0))</f>
      </c>
      <c r="F425" s="17">
        <f>u_max-E425</f>
      </c>
      <c r="G425" s="20">
        <f>ecu*(1-F425/D425)</f>
      </c>
      <c r="H425" s="20">
        <f>MAX(0,-G425)</f>
      </c>
      <c r="I425" s="17">
        <f>MAX(MIN(Es*G425,fy),-fy)</f>
      </c>
      <c r="J425">
        <f>IF(E425&gt;=u_max-beta_1*D425-blk_tol,1,0)</f>
      </c>
      <c r="K425" s="17">
        <f>J425*sig_blk</f>
      </c>
      <c r="L425" s="17">
        <f>I425-K425</f>
      </c>
      <c r="M425" s="17">
        <f>INDEX(Bar_As,MATCH(C425,Bar_No,0))*L425/1000</f>
      </c>
      <c r="N425" s="17">
        <f>M425*INDEX(Bar_Y,MATCH(C425,Bar_No,0))/1000</f>
      </c>
      <c r="O425" s="17">
        <f>M425*INDEX(Bar_X,MATCH(C425,Bar_No,0))/1000</f>
      </c>
    </row>
    <row r="426" spans="2:15" x14ac:dyDescent="0.25">
      <c r="B426">
        <v>24</v>
      </c>
      <c r="C426">
        <v>7</v>
      </c>
      <c r="D426" s="17">
        <f>INDEX(Blk_c,MATCH(B426,Blk_St,0))</f>
      </c>
      <c r="E426" s="17">
        <f>INDEX(Bar_U,MATCH(C426,Bar_No,0))</f>
      </c>
      <c r="F426" s="17">
        <f>u_max-E426</f>
      </c>
      <c r="G426" s="20">
        <f>ecu*(1-F426/D426)</f>
      </c>
      <c r="H426" s="20">
        <f>MAX(0,-G426)</f>
      </c>
      <c r="I426" s="17">
        <f>MAX(MIN(Es*G426,fy),-fy)</f>
      </c>
      <c r="J426">
        <f>IF(E426&gt;=u_max-beta_1*D426-blk_tol,1,0)</f>
      </c>
      <c r="K426" s="17">
        <f>J426*sig_blk</f>
      </c>
      <c r="L426" s="17">
        <f>I426-K426</f>
      </c>
      <c r="M426" s="17">
        <f>INDEX(Bar_As,MATCH(C426,Bar_No,0))*L426/1000</f>
      </c>
      <c r="N426" s="17">
        <f>M426*INDEX(Bar_Y,MATCH(C426,Bar_No,0))/1000</f>
      </c>
      <c r="O426" s="17">
        <f>M426*INDEX(Bar_X,MATCH(C426,Bar_No,0))/1000</f>
      </c>
    </row>
    <row r="427" spans="2:15" x14ac:dyDescent="0.25">
      <c r="B427">
        <v>24</v>
      </c>
      <c r="C427">
        <v>8</v>
      </c>
      <c r="D427" s="17">
        <f>INDEX(Blk_c,MATCH(B427,Blk_St,0))</f>
      </c>
      <c r="E427" s="17">
        <f>INDEX(Bar_U,MATCH(C427,Bar_No,0))</f>
      </c>
      <c r="F427" s="17">
        <f>u_max-E427</f>
      </c>
      <c r="G427" s="20">
        <f>ecu*(1-F427/D427)</f>
      </c>
      <c r="H427" s="20">
        <f>MAX(0,-G427)</f>
      </c>
      <c r="I427" s="17">
        <f>MAX(MIN(Es*G427,fy),-fy)</f>
      </c>
      <c r="J427">
        <f>IF(E427&gt;=u_max-beta_1*D427-blk_tol,1,0)</f>
      </c>
      <c r="K427" s="17">
        <f>J427*sig_blk</f>
      </c>
      <c r="L427" s="17">
        <f>I427-K427</f>
      </c>
      <c r="M427" s="17">
        <f>INDEX(Bar_As,MATCH(C427,Bar_No,0))*L427/1000</f>
      </c>
      <c r="N427" s="17">
        <f>M427*INDEX(Bar_Y,MATCH(C427,Bar_No,0))/1000</f>
      </c>
      <c r="O427" s="17">
        <f>M427*INDEX(Bar_X,MATCH(C427,Bar_No,0))/1000</f>
      </c>
    </row>
    <row r="428" spans="2:15" x14ac:dyDescent="0.25">
      <c r="B428">
        <v>24</v>
      </c>
      <c r="C428">
        <v>9</v>
      </c>
      <c r="D428" s="17">
        <f>INDEX(Blk_c,MATCH(B428,Blk_St,0))</f>
      </c>
      <c r="E428" s="17">
        <f>INDEX(Bar_U,MATCH(C428,Bar_No,0))</f>
      </c>
      <c r="F428" s="17">
        <f>u_max-E428</f>
      </c>
      <c r="G428" s="20">
        <f>ecu*(1-F428/D428)</f>
      </c>
      <c r="H428" s="20">
        <f>MAX(0,-G428)</f>
      </c>
      <c r="I428" s="17">
        <f>MAX(MIN(Es*G428,fy),-fy)</f>
      </c>
      <c r="J428">
        <f>IF(E428&gt;=u_max-beta_1*D428-blk_tol,1,0)</f>
      </c>
      <c r="K428" s="17">
        <f>J428*sig_blk</f>
      </c>
      <c r="L428" s="17">
        <f>I428-K428</f>
      </c>
      <c r="M428" s="17">
        <f>INDEX(Bar_As,MATCH(C428,Bar_No,0))*L428/1000</f>
      </c>
      <c r="N428" s="17">
        <f>M428*INDEX(Bar_Y,MATCH(C428,Bar_No,0))/1000</f>
      </c>
      <c r="O428" s="17">
        <f>M428*INDEX(Bar_X,MATCH(C428,Bar_No,0))/1000</f>
      </c>
    </row>
    <row r="429" spans="2:15" x14ac:dyDescent="0.25">
      <c r="B429">
        <v>24</v>
      </c>
      <c r="C429">
        <v>10</v>
      </c>
      <c r="D429" s="17">
        <f>INDEX(Blk_c,MATCH(B429,Blk_St,0))</f>
      </c>
      <c r="E429" s="17">
        <f>INDEX(Bar_U,MATCH(C429,Bar_No,0))</f>
      </c>
      <c r="F429" s="17">
        <f>u_max-E429</f>
      </c>
      <c r="G429" s="20">
        <f>ecu*(1-F429/D429)</f>
      </c>
      <c r="H429" s="20">
        <f>MAX(0,-G429)</f>
      </c>
      <c r="I429" s="17">
        <f>MAX(MIN(Es*G429,fy),-fy)</f>
      </c>
      <c r="J429">
        <f>IF(E429&gt;=u_max-beta_1*D429-blk_tol,1,0)</f>
      </c>
      <c r="K429" s="17">
        <f>J429*sig_blk</f>
      </c>
      <c r="L429" s="17">
        <f>I429-K429</f>
      </c>
      <c r="M429" s="17">
        <f>INDEX(Bar_As,MATCH(C429,Bar_No,0))*L429/1000</f>
      </c>
      <c r="N429" s="17">
        <f>M429*INDEX(Bar_Y,MATCH(C429,Bar_No,0))/1000</f>
      </c>
      <c r="O429" s="17">
        <f>M429*INDEX(Bar_X,MATCH(C429,Bar_No,0))/1000</f>
      </c>
    </row>
    <row r="430" spans="2:15" x14ac:dyDescent="0.25">
      <c r="B430">
        <v>24</v>
      </c>
      <c r="C430">
        <v>11</v>
      </c>
      <c r="D430" s="17">
        <f>INDEX(Blk_c,MATCH(B430,Blk_St,0))</f>
      </c>
      <c r="E430" s="17">
        <f>INDEX(Bar_U,MATCH(C430,Bar_No,0))</f>
      </c>
      <c r="F430" s="17">
        <f>u_max-E430</f>
      </c>
      <c r="G430" s="20">
        <f>ecu*(1-F430/D430)</f>
      </c>
      <c r="H430" s="20">
        <f>MAX(0,-G430)</f>
      </c>
      <c r="I430" s="17">
        <f>MAX(MIN(Es*G430,fy),-fy)</f>
      </c>
      <c r="J430">
        <f>IF(E430&gt;=u_max-beta_1*D430-blk_tol,1,0)</f>
      </c>
      <c r="K430" s="17">
        <f>J430*sig_blk</f>
      </c>
      <c r="L430" s="17">
        <f>I430-K430</f>
      </c>
      <c r="M430" s="17">
        <f>INDEX(Bar_As,MATCH(C430,Bar_No,0))*L430/1000</f>
      </c>
      <c r="N430" s="17">
        <f>M430*INDEX(Bar_Y,MATCH(C430,Bar_No,0))/1000</f>
      </c>
      <c r="O430" s="17">
        <f>M430*INDEX(Bar_X,MATCH(C430,Bar_No,0))/1000</f>
      </c>
    </row>
    <row r="431" spans="2:15" x14ac:dyDescent="0.25">
      <c r="B431">
        <v>24</v>
      </c>
      <c r="C431">
        <v>12</v>
      </c>
      <c r="D431" s="17">
        <f>INDEX(Blk_c,MATCH(B431,Blk_St,0))</f>
      </c>
      <c r="E431" s="17">
        <f>INDEX(Bar_U,MATCH(C431,Bar_No,0))</f>
      </c>
      <c r="F431" s="17">
        <f>u_max-E431</f>
      </c>
      <c r="G431" s="20">
        <f>ecu*(1-F431/D431)</f>
      </c>
      <c r="H431" s="20">
        <f>MAX(0,-G431)</f>
      </c>
      <c r="I431" s="17">
        <f>MAX(MIN(Es*G431,fy),-fy)</f>
      </c>
      <c r="J431">
        <f>IF(E431&gt;=u_max-beta_1*D431-blk_tol,1,0)</f>
      </c>
      <c r="K431" s="17">
        <f>J431*sig_blk</f>
      </c>
      <c r="L431" s="17">
        <f>I431-K431</f>
      </c>
      <c r="M431" s="17">
        <f>INDEX(Bar_As,MATCH(C431,Bar_No,0))*L431/1000</f>
      </c>
      <c r="N431" s="17">
        <f>M431*INDEX(Bar_Y,MATCH(C431,Bar_No,0))/1000</f>
      </c>
      <c r="O431" s="17">
        <f>M431*INDEX(Bar_X,MATCH(C431,Bar_No,0))/1000</f>
      </c>
    </row>
    <row r="432" spans="2:15" x14ac:dyDescent="0.25">
      <c r="B432">
        <v>24</v>
      </c>
      <c r="C432">
        <v>13</v>
      </c>
      <c r="D432" s="17">
        <f>INDEX(Blk_c,MATCH(B432,Blk_St,0))</f>
      </c>
      <c r="E432" s="17">
        <f>INDEX(Bar_U,MATCH(C432,Bar_No,0))</f>
      </c>
      <c r="F432" s="17">
        <f>u_max-E432</f>
      </c>
      <c r="G432" s="20">
        <f>ecu*(1-F432/D432)</f>
      </c>
      <c r="H432" s="20">
        <f>MAX(0,-G432)</f>
      </c>
      <c r="I432" s="17">
        <f>MAX(MIN(Es*G432,fy),-fy)</f>
      </c>
      <c r="J432">
        <f>IF(E432&gt;=u_max-beta_1*D432-blk_tol,1,0)</f>
      </c>
      <c r="K432" s="17">
        <f>J432*sig_blk</f>
      </c>
      <c r="L432" s="17">
        <f>I432-K432</f>
      </c>
      <c r="M432" s="17">
        <f>INDEX(Bar_As,MATCH(C432,Bar_No,0))*L432/1000</f>
      </c>
      <c r="N432" s="17">
        <f>M432*INDEX(Bar_Y,MATCH(C432,Bar_No,0))/1000</f>
      </c>
      <c r="O432" s="17">
        <f>M432*INDEX(Bar_X,MATCH(C432,Bar_No,0))/1000</f>
      </c>
    </row>
    <row r="433" spans="2:15" x14ac:dyDescent="0.25">
      <c r="B433">
        <v>24</v>
      </c>
      <c r="C433">
        <v>14</v>
      </c>
      <c r="D433" s="17">
        <f>INDEX(Blk_c,MATCH(B433,Blk_St,0))</f>
      </c>
      <c r="E433" s="17">
        <f>INDEX(Bar_U,MATCH(C433,Bar_No,0))</f>
      </c>
      <c r="F433" s="17">
        <f>u_max-E433</f>
      </c>
      <c r="G433" s="20">
        <f>ecu*(1-F433/D433)</f>
      </c>
      <c r="H433" s="20">
        <f>MAX(0,-G433)</f>
      </c>
      <c r="I433" s="17">
        <f>MAX(MIN(Es*G433,fy),-fy)</f>
      </c>
      <c r="J433">
        <f>IF(E433&gt;=u_max-beta_1*D433-blk_tol,1,0)</f>
      </c>
      <c r="K433" s="17">
        <f>J433*sig_blk</f>
      </c>
      <c r="L433" s="17">
        <f>I433-K433</f>
      </c>
      <c r="M433" s="17">
        <f>INDEX(Bar_As,MATCH(C433,Bar_No,0))*L433/1000</f>
      </c>
      <c r="N433" s="17">
        <f>M433*INDEX(Bar_Y,MATCH(C433,Bar_No,0))/1000</f>
      </c>
      <c r="O433" s="17">
        <f>M433*INDEX(Bar_X,MATCH(C433,Bar_No,0))/1000</f>
      </c>
    </row>
    <row r="434" spans="2:15" x14ac:dyDescent="0.25">
      <c r="B434">
        <v>24</v>
      </c>
      <c r="C434">
        <v>15</v>
      </c>
      <c r="D434" s="17">
        <f>INDEX(Blk_c,MATCH(B434,Blk_St,0))</f>
      </c>
      <c r="E434" s="17">
        <f>INDEX(Bar_U,MATCH(C434,Bar_No,0))</f>
      </c>
      <c r="F434" s="17">
        <f>u_max-E434</f>
      </c>
      <c r="G434" s="20">
        <f>ecu*(1-F434/D434)</f>
      </c>
      <c r="H434" s="20">
        <f>MAX(0,-G434)</f>
      </c>
      <c r="I434" s="17">
        <f>MAX(MIN(Es*G434,fy),-fy)</f>
      </c>
      <c r="J434">
        <f>IF(E434&gt;=u_max-beta_1*D434-blk_tol,1,0)</f>
      </c>
      <c r="K434" s="17">
        <f>J434*sig_blk</f>
      </c>
      <c r="L434" s="17">
        <f>I434-K434</f>
      </c>
      <c r="M434" s="17">
        <f>INDEX(Bar_As,MATCH(C434,Bar_No,0))*L434/1000</f>
      </c>
      <c r="N434" s="17">
        <f>M434*INDEX(Bar_Y,MATCH(C434,Bar_No,0))/1000</f>
      </c>
      <c r="O434" s="17">
        <f>M434*INDEX(Bar_X,MATCH(C434,Bar_No,0))/1000</f>
      </c>
    </row>
    <row r="435" spans="2:15" x14ac:dyDescent="0.25">
      <c r="B435">
        <v>24</v>
      </c>
      <c r="C435">
        <v>16</v>
      </c>
      <c r="D435" s="17">
        <f>INDEX(Blk_c,MATCH(B435,Blk_St,0))</f>
      </c>
      <c r="E435" s="17">
        <f>INDEX(Bar_U,MATCH(C435,Bar_No,0))</f>
      </c>
      <c r="F435" s="17">
        <f>u_max-E435</f>
      </c>
      <c r="G435" s="20">
        <f>ecu*(1-F435/D435)</f>
      </c>
      <c r="H435" s="20">
        <f>MAX(0,-G435)</f>
      </c>
      <c r="I435" s="17">
        <f>MAX(MIN(Es*G435,fy),-fy)</f>
      </c>
      <c r="J435">
        <f>IF(E435&gt;=u_max-beta_1*D435-blk_tol,1,0)</f>
      </c>
      <c r="K435" s="17">
        <f>J435*sig_blk</f>
      </c>
      <c r="L435" s="17">
        <f>I435-K435</f>
      </c>
      <c r="M435" s="17">
        <f>INDEX(Bar_As,MATCH(C435,Bar_No,0))*L435/1000</f>
      </c>
      <c r="N435" s="17">
        <f>M435*INDEX(Bar_Y,MATCH(C435,Bar_No,0))/1000</f>
      </c>
      <c r="O435" s="17">
        <f>M435*INDEX(Bar_X,MATCH(C435,Bar_No,0))/1000</f>
      </c>
    </row>
    <row r="436" spans="2:15" x14ac:dyDescent="0.25">
      <c r="B436">
        <v>24</v>
      </c>
      <c r="C436">
        <v>17</v>
      </c>
      <c r="D436" s="17">
        <f>INDEX(Blk_c,MATCH(B436,Blk_St,0))</f>
      </c>
      <c r="E436" s="17">
        <f>INDEX(Bar_U,MATCH(C436,Bar_No,0))</f>
      </c>
      <c r="F436" s="17">
        <f>u_max-E436</f>
      </c>
      <c r="G436" s="20">
        <f>ecu*(1-F436/D436)</f>
      </c>
      <c r="H436" s="20">
        <f>MAX(0,-G436)</f>
      </c>
      <c r="I436" s="17">
        <f>MAX(MIN(Es*G436,fy),-fy)</f>
      </c>
      <c r="J436">
        <f>IF(E436&gt;=u_max-beta_1*D436-blk_tol,1,0)</f>
      </c>
      <c r="K436" s="17">
        <f>J436*sig_blk</f>
      </c>
      <c r="L436" s="17">
        <f>I436-K436</f>
      </c>
      <c r="M436" s="17">
        <f>INDEX(Bar_As,MATCH(C436,Bar_No,0))*L436/1000</f>
      </c>
      <c r="N436" s="17">
        <f>M436*INDEX(Bar_Y,MATCH(C436,Bar_No,0))/1000</f>
      </c>
      <c r="O436" s="17">
        <f>M436*INDEX(Bar_X,MATCH(C436,Bar_No,0))/1000</f>
      </c>
    </row>
    <row r="437" spans="2:15" x14ac:dyDescent="0.25">
      <c r="B437">
        <v>24</v>
      </c>
      <c r="C437">
        <v>18</v>
      </c>
      <c r="D437" s="17">
        <f>INDEX(Blk_c,MATCH(B437,Blk_St,0))</f>
      </c>
      <c r="E437" s="17">
        <f>INDEX(Bar_U,MATCH(C437,Bar_No,0))</f>
      </c>
      <c r="F437" s="17">
        <f>u_max-E437</f>
      </c>
      <c r="G437" s="20">
        <f>ecu*(1-F437/D437)</f>
      </c>
      <c r="H437" s="20">
        <f>MAX(0,-G437)</f>
      </c>
      <c r="I437" s="17">
        <f>MAX(MIN(Es*G437,fy),-fy)</f>
      </c>
      <c r="J437">
        <f>IF(E437&gt;=u_max-beta_1*D437-blk_tol,1,0)</f>
      </c>
      <c r="K437" s="17">
        <f>J437*sig_blk</f>
      </c>
      <c r="L437" s="17">
        <f>I437-K437</f>
      </c>
      <c r="M437" s="17">
        <f>INDEX(Bar_As,MATCH(C437,Bar_No,0))*L437/1000</f>
      </c>
      <c r="N437" s="17">
        <f>M437*INDEX(Bar_Y,MATCH(C437,Bar_No,0))/1000</f>
      </c>
      <c r="O437" s="17">
        <f>M437*INDEX(Bar_X,MATCH(C437,Bar_No,0))/1000</f>
      </c>
    </row>
    <row r="438" spans="2:15" x14ac:dyDescent="0.25">
      <c r="B438">
        <v>25</v>
      </c>
      <c r="C438">
        <v>1</v>
      </c>
      <c r="D438" s="17">
        <f>INDEX(Blk_c,MATCH(B438,Blk_St,0))</f>
      </c>
      <c r="E438" s="17">
        <f>INDEX(Bar_U,MATCH(C438,Bar_No,0))</f>
      </c>
      <c r="F438" s="17">
        <f>u_max-E438</f>
      </c>
      <c r="G438" s="20">
        <f>ecu*(1-F438/D438)</f>
      </c>
      <c r="H438" s="20">
        <f>MAX(0,-G438)</f>
      </c>
      <c r="I438" s="17">
        <f>MAX(MIN(Es*G438,fy),-fy)</f>
      </c>
      <c r="J438">
        <f>IF(E438&gt;=u_max-beta_1*D438-blk_tol,1,0)</f>
      </c>
      <c r="K438" s="17">
        <f>J438*sig_blk</f>
      </c>
      <c r="L438" s="17">
        <f>I438-K438</f>
      </c>
      <c r="M438" s="17">
        <f>INDEX(Bar_As,MATCH(C438,Bar_No,0))*L438/1000</f>
      </c>
      <c r="N438" s="17">
        <f>M438*INDEX(Bar_Y,MATCH(C438,Bar_No,0))/1000</f>
      </c>
      <c r="O438" s="17">
        <f>M438*INDEX(Bar_X,MATCH(C438,Bar_No,0))/1000</f>
      </c>
    </row>
    <row r="439" spans="2:15" x14ac:dyDescent="0.25">
      <c r="B439">
        <v>25</v>
      </c>
      <c r="C439">
        <v>2</v>
      </c>
      <c r="D439" s="17">
        <f>INDEX(Blk_c,MATCH(B439,Blk_St,0))</f>
      </c>
      <c r="E439" s="17">
        <f>INDEX(Bar_U,MATCH(C439,Bar_No,0))</f>
      </c>
      <c r="F439" s="17">
        <f>u_max-E439</f>
      </c>
      <c r="G439" s="20">
        <f>ecu*(1-F439/D439)</f>
      </c>
      <c r="H439" s="20">
        <f>MAX(0,-G439)</f>
      </c>
      <c r="I439" s="17">
        <f>MAX(MIN(Es*G439,fy),-fy)</f>
      </c>
      <c r="J439">
        <f>IF(E439&gt;=u_max-beta_1*D439-blk_tol,1,0)</f>
      </c>
      <c r="K439" s="17">
        <f>J439*sig_blk</f>
      </c>
      <c r="L439" s="17">
        <f>I439-K439</f>
      </c>
      <c r="M439" s="17">
        <f>INDEX(Bar_As,MATCH(C439,Bar_No,0))*L439/1000</f>
      </c>
      <c r="N439" s="17">
        <f>M439*INDEX(Bar_Y,MATCH(C439,Bar_No,0))/1000</f>
      </c>
      <c r="O439" s="17">
        <f>M439*INDEX(Bar_X,MATCH(C439,Bar_No,0))/1000</f>
      </c>
    </row>
    <row r="440" spans="2:15" x14ac:dyDescent="0.25">
      <c r="B440">
        <v>25</v>
      </c>
      <c r="C440">
        <v>3</v>
      </c>
      <c r="D440" s="17">
        <f>INDEX(Blk_c,MATCH(B440,Blk_St,0))</f>
      </c>
      <c r="E440" s="17">
        <f>INDEX(Bar_U,MATCH(C440,Bar_No,0))</f>
      </c>
      <c r="F440" s="17">
        <f>u_max-E440</f>
      </c>
      <c r="G440" s="20">
        <f>ecu*(1-F440/D440)</f>
      </c>
      <c r="H440" s="20">
        <f>MAX(0,-G440)</f>
      </c>
      <c r="I440" s="17">
        <f>MAX(MIN(Es*G440,fy),-fy)</f>
      </c>
      <c r="J440">
        <f>IF(E440&gt;=u_max-beta_1*D440-blk_tol,1,0)</f>
      </c>
      <c r="K440" s="17">
        <f>J440*sig_blk</f>
      </c>
      <c r="L440" s="17">
        <f>I440-K440</f>
      </c>
      <c r="M440" s="17">
        <f>INDEX(Bar_As,MATCH(C440,Bar_No,0))*L440/1000</f>
      </c>
      <c r="N440" s="17">
        <f>M440*INDEX(Bar_Y,MATCH(C440,Bar_No,0))/1000</f>
      </c>
      <c r="O440" s="17">
        <f>M440*INDEX(Bar_X,MATCH(C440,Bar_No,0))/1000</f>
      </c>
    </row>
    <row r="441" spans="2:15" x14ac:dyDescent="0.25">
      <c r="B441">
        <v>25</v>
      </c>
      <c r="C441">
        <v>4</v>
      </c>
      <c r="D441" s="17">
        <f>INDEX(Blk_c,MATCH(B441,Blk_St,0))</f>
      </c>
      <c r="E441" s="17">
        <f>INDEX(Bar_U,MATCH(C441,Bar_No,0))</f>
      </c>
      <c r="F441" s="17">
        <f>u_max-E441</f>
      </c>
      <c r="G441" s="20">
        <f>ecu*(1-F441/D441)</f>
      </c>
      <c r="H441" s="20">
        <f>MAX(0,-G441)</f>
      </c>
      <c r="I441" s="17">
        <f>MAX(MIN(Es*G441,fy),-fy)</f>
      </c>
      <c r="J441">
        <f>IF(E441&gt;=u_max-beta_1*D441-blk_tol,1,0)</f>
      </c>
      <c r="K441" s="17">
        <f>J441*sig_blk</f>
      </c>
      <c r="L441" s="17">
        <f>I441-K441</f>
      </c>
      <c r="M441" s="17">
        <f>INDEX(Bar_As,MATCH(C441,Bar_No,0))*L441/1000</f>
      </c>
      <c r="N441" s="17">
        <f>M441*INDEX(Bar_Y,MATCH(C441,Bar_No,0))/1000</f>
      </c>
      <c r="O441" s="17">
        <f>M441*INDEX(Bar_X,MATCH(C441,Bar_No,0))/1000</f>
      </c>
    </row>
    <row r="442" spans="2:15" x14ac:dyDescent="0.25">
      <c r="B442">
        <v>25</v>
      </c>
      <c r="C442">
        <v>5</v>
      </c>
      <c r="D442" s="17">
        <f>INDEX(Blk_c,MATCH(B442,Blk_St,0))</f>
      </c>
      <c r="E442" s="17">
        <f>INDEX(Bar_U,MATCH(C442,Bar_No,0))</f>
      </c>
      <c r="F442" s="17">
        <f>u_max-E442</f>
      </c>
      <c r="G442" s="20">
        <f>ecu*(1-F442/D442)</f>
      </c>
      <c r="H442" s="20">
        <f>MAX(0,-G442)</f>
      </c>
      <c r="I442" s="17">
        <f>MAX(MIN(Es*G442,fy),-fy)</f>
      </c>
      <c r="J442">
        <f>IF(E442&gt;=u_max-beta_1*D442-blk_tol,1,0)</f>
      </c>
      <c r="K442" s="17">
        <f>J442*sig_blk</f>
      </c>
      <c r="L442" s="17">
        <f>I442-K442</f>
      </c>
      <c r="M442" s="17">
        <f>INDEX(Bar_As,MATCH(C442,Bar_No,0))*L442/1000</f>
      </c>
      <c r="N442" s="17">
        <f>M442*INDEX(Bar_Y,MATCH(C442,Bar_No,0))/1000</f>
      </c>
      <c r="O442" s="17">
        <f>M442*INDEX(Bar_X,MATCH(C442,Bar_No,0))/1000</f>
      </c>
    </row>
    <row r="443" spans="2:15" x14ac:dyDescent="0.25">
      <c r="B443">
        <v>25</v>
      </c>
      <c r="C443">
        <v>6</v>
      </c>
      <c r="D443" s="17">
        <f>INDEX(Blk_c,MATCH(B443,Blk_St,0))</f>
      </c>
      <c r="E443" s="17">
        <f>INDEX(Bar_U,MATCH(C443,Bar_No,0))</f>
      </c>
      <c r="F443" s="17">
        <f>u_max-E443</f>
      </c>
      <c r="G443" s="20">
        <f>ecu*(1-F443/D443)</f>
      </c>
      <c r="H443" s="20">
        <f>MAX(0,-G443)</f>
      </c>
      <c r="I443" s="17">
        <f>MAX(MIN(Es*G443,fy),-fy)</f>
      </c>
      <c r="J443">
        <f>IF(E443&gt;=u_max-beta_1*D443-blk_tol,1,0)</f>
      </c>
      <c r="K443" s="17">
        <f>J443*sig_blk</f>
      </c>
      <c r="L443" s="17">
        <f>I443-K443</f>
      </c>
      <c r="M443" s="17">
        <f>INDEX(Bar_As,MATCH(C443,Bar_No,0))*L443/1000</f>
      </c>
      <c r="N443" s="17">
        <f>M443*INDEX(Bar_Y,MATCH(C443,Bar_No,0))/1000</f>
      </c>
      <c r="O443" s="17">
        <f>M443*INDEX(Bar_X,MATCH(C443,Bar_No,0))/1000</f>
      </c>
    </row>
    <row r="444" spans="2:15" x14ac:dyDescent="0.25">
      <c r="B444">
        <v>25</v>
      </c>
      <c r="C444">
        <v>7</v>
      </c>
      <c r="D444" s="17">
        <f>INDEX(Blk_c,MATCH(B444,Blk_St,0))</f>
      </c>
      <c r="E444" s="17">
        <f>INDEX(Bar_U,MATCH(C444,Bar_No,0))</f>
      </c>
      <c r="F444" s="17">
        <f>u_max-E444</f>
      </c>
      <c r="G444" s="20">
        <f>ecu*(1-F444/D444)</f>
      </c>
      <c r="H444" s="20">
        <f>MAX(0,-G444)</f>
      </c>
      <c r="I444" s="17">
        <f>MAX(MIN(Es*G444,fy),-fy)</f>
      </c>
      <c r="J444">
        <f>IF(E444&gt;=u_max-beta_1*D444-blk_tol,1,0)</f>
      </c>
      <c r="K444" s="17">
        <f>J444*sig_blk</f>
      </c>
      <c r="L444" s="17">
        <f>I444-K444</f>
      </c>
      <c r="M444" s="17">
        <f>INDEX(Bar_As,MATCH(C444,Bar_No,0))*L444/1000</f>
      </c>
      <c r="N444" s="17">
        <f>M444*INDEX(Bar_Y,MATCH(C444,Bar_No,0))/1000</f>
      </c>
      <c r="O444" s="17">
        <f>M444*INDEX(Bar_X,MATCH(C444,Bar_No,0))/1000</f>
      </c>
    </row>
    <row r="445" spans="2:15" x14ac:dyDescent="0.25">
      <c r="B445">
        <v>25</v>
      </c>
      <c r="C445">
        <v>8</v>
      </c>
      <c r="D445" s="17">
        <f>INDEX(Blk_c,MATCH(B445,Blk_St,0))</f>
      </c>
      <c r="E445" s="17">
        <f>INDEX(Bar_U,MATCH(C445,Bar_No,0))</f>
      </c>
      <c r="F445" s="17">
        <f>u_max-E445</f>
      </c>
      <c r="G445" s="20">
        <f>ecu*(1-F445/D445)</f>
      </c>
      <c r="H445" s="20">
        <f>MAX(0,-G445)</f>
      </c>
      <c r="I445" s="17">
        <f>MAX(MIN(Es*G445,fy),-fy)</f>
      </c>
      <c r="J445">
        <f>IF(E445&gt;=u_max-beta_1*D445-blk_tol,1,0)</f>
      </c>
      <c r="K445" s="17">
        <f>J445*sig_blk</f>
      </c>
      <c r="L445" s="17">
        <f>I445-K445</f>
      </c>
      <c r="M445" s="17">
        <f>INDEX(Bar_As,MATCH(C445,Bar_No,0))*L445/1000</f>
      </c>
      <c r="N445" s="17">
        <f>M445*INDEX(Bar_Y,MATCH(C445,Bar_No,0))/1000</f>
      </c>
      <c r="O445" s="17">
        <f>M445*INDEX(Bar_X,MATCH(C445,Bar_No,0))/1000</f>
      </c>
    </row>
    <row r="446" spans="2:15" x14ac:dyDescent="0.25">
      <c r="B446">
        <v>25</v>
      </c>
      <c r="C446">
        <v>9</v>
      </c>
      <c r="D446" s="17">
        <f>INDEX(Blk_c,MATCH(B446,Blk_St,0))</f>
      </c>
      <c r="E446" s="17">
        <f>INDEX(Bar_U,MATCH(C446,Bar_No,0))</f>
      </c>
      <c r="F446" s="17">
        <f>u_max-E446</f>
      </c>
      <c r="G446" s="20">
        <f>ecu*(1-F446/D446)</f>
      </c>
      <c r="H446" s="20">
        <f>MAX(0,-G446)</f>
      </c>
      <c r="I446" s="17">
        <f>MAX(MIN(Es*G446,fy),-fy)</f>
      </c>
      <c r="J446">
        <f>IF(E446&gt;=u_max-beta_1*D446-blk_tol,1,0)</f>
      </c>
      <c r="K446" s="17">
        <f>J446*sig_blk</f>
      </c>
      <c r="L446" s="17">
        <f>I446-K446</f>
      </c>
      <c r="M446" s="17">
        <f>INDEX(Bar_As,MATCH(C446,Bar_No,0))*L446/1000</f>
      </c>
      <c r="N446" s="17">
        <f>M446*INDEX(Bar_Y,MATCH(C446,Bar_No,0))/1000</f>
      </c>
      <c r="O446" s="17">
        <f>M446*INDEX(Bar_X,MATCH(C446,Bar_No,0))/1000</f>
      </c>
    </row>
    <row r="447" spans="2:15" x14ac:dyDescent="0.25">
      <c r="B447">
        <v>25</v>
      </c>
      <c r="C447">
        <v>10</v>
      </c>
      <c r="D447" s="17">
        <f>INDEX(Blk_c,MATCH(B447,Blk_St,0))</f>
      </c>
      <c r="E447" s="17">
        <f>INDEX(Bar_U,MATCH(C447,Bar_No,0))</f>
      </c>
      <c r="F447" s="17">
        <f>u_max-E447</f>
      </c>
      <c r="G447" s="20">
        <f>ecu*(1-F447/D447)</f>
      </c>
      <c r="H447" s="20">
        <f>MAX(0,-G447)</f>
      </c>
      <c r="I447" s="17">
        <f>MAX(MIN(Es*G447,fy),-fy)</f>
      </c>
      <c r="J447">
        <f>IF(E447&gt;=u_max-beta_1*D447-blk_tol,1,0)</f>
      </c>
      <c r="K447" s="17">
        <f>J447*sig_blk</f>
      </c>
      <c r="L447" s="17">
        <f>I447-K447</f>
      </c>
      <c r="M447" s="17">
        <f>INDEX(Bar_As,MATCH(C447,Bar_No,0))*L447/1000</f>
      </c>
      <c r="N447" s="17">
        <f>M447*INDEX(Bar_Y,MATCH(C447,Bar_No,0))/1000</f>
      </c>
      <c r="O447" s="17">
        <f>M447*INDEX(Bar_X,MATCH(C447,Bar_No,0))/1000</f>
      </c>
    </row>
    <row r="448" spans="2:15" x14ac:dyDescent="0.25">
      <c r="B448">
        <v>25</v>
      </c>
      <c r="C448">
        <v>11</v>
      </c>
      <c r="D448" s="17">
        <f>INDEX(Blk_c,MATCH(B448,Blk_St,0))</f>
      </c>
      <c r="E448" s="17">
        <f>INDEX(Bar_U,MATCH(C448,Bar_No,0))</f>
      </c>
      <c r="F448" s="17">
        <f>u_max-E448</f>
      </c>
      <c r="G448" s="20">
        <f>ecu*(1-F448/D448)</f>
      </c>
      <c r="H448" s="20">
        <f>MAX(0,-G448)</f>
      </c>
      <c r="I448" s="17">
        <f>MAX(MIN(Es*G448,fy),-fy)</f>
      </c>
      <c r="J448">
        <f>IF(E448&gt;=u_max-beta_1*D448-blk_tol,1,0)</f>
      </c>
      <c r="K448" s="17">
        <f>J448*sig_blk</f>
      </c>
      <c r="L448" s="17">
        <f>I448-K448</f>
      </c>
      <c r="M448" s="17">
        <f>INDEX(Bar_As,MATCH(C448,Bar_No,0))*L448/1000</f>
      </c>
      <c r="N448" s="17">
        <f>M448*INDEX(Bar_Y,MATCH(C448,Bar_No,0))/1000</f>
      </c>
      <c r="O448" s="17">
        <f>M448*INDEX(Bar_X,MATCH(C448,Bar_No,0))/1000</f>
      </c>
    </row>
    <row r="449" spans="2:15" x14ac:dyDescent="0.25">
      <c r="B449">
        <v>25</v>
      </c>
      <c r="C449">
        <v>12</v>
      </c>
      <c r="D449" s="17">
        <f>INDEX(Blk_c,MATCH(B449,Blk_St,0))</f>
      </c>
      <c r="E449" s="17">
        <f>INDEX(Bar_U,MATCH(C449,Bar_No,0))</f>
      </c>
      <c r="F449" s="17">
        <f>u_max-E449</f>
      </c>
      <c r="G449" s="20">
        <f>ecu*(1-F449/D449)</f>
      </c>
      <c r="H449" s="20">
        <f>MAX(0,-G449)</f>
      </c>
      <c r="I449" s="17">
        <f>MAX(MIN(Es*G449,fy),-fy)</f>
      </c>
      <c r="J449">
        <f>IF(E449&gt;=u_max-beta_1*D449-blk_tol,1,0)</f>
      </c>
      <c r="K449" s="17">
        <f>J449*sig_blk</f>
      </c>
      <c r="L449" s="17">
        <f>I449-K449</f>
      </c>
      <c r="M449" s="17">
        <f>INDEX(Bar_As,MATCH(C449,Bar_No,0))*L449/1000</f>
      </c>
      <c r="N449" s="17">
        <f>M449*INDEX(Bar_Y,MATCH(C449,Bar_No,0))/1000</f>
      </c>
      <c r="O449" s="17">
        <f>M449*INDEX(Bar_X,MATCH(C449,Bar_No,0))/1000</f>
      </c>
    </row>
    <row r="450" spans="2:15" x14ac:dyDescent="0.25">
      <c r="B450">
        <v>25</v>
      </c>
      <c r="C450">
        <v>13</v>
      </c>
      <c r="D450" s="17">
        <f>INDEX(Blk_c,MATCH(B450,Blk_St,0))</f>
      </c>
      <c r="E450" s="17">
        <f>INDEX(Bar_U,MATCH(C450,Bar_No,0))</f>
      </c>
      <c r="F450" s="17">
        <f>u_max-E450</f>
      </c>
      <c r="G450" s="20">
        <f>ecu*(1-F450/D450)</f>
      </c>
      <c r="H450" s="20">
        <f>MAX(0,-G450)</f>
      </c>
      <c r="I450" s="17">
        <f>MAX(MIN(Es*G450,fy),-fy)</f>
      </c>
      <c r="J450">
        <f>IF(E450&gt;=u_max-beta_1*D450-blk_tol,1,0)</f>
      </c>
      <c r="K450" s="17">
        <f>J450*sig_blk</f>
      </c>
      <c r="L450" s="17">
        <f>I450-K450</f>
      </c>
      <c r="M450" s="17">
        <f>INDEX(Bar_As,MATCH(C450,Bar_No,0))*L450/1000</f>
      </c>
      <c r="N450" s="17">
        <f>M450*INDEX(Bar_Y,MATCH(C450,Bar_No,0))/1000</f>
      </c>
      <c r="O450" s="17">
        <f>M450*INDEX(Bar_X,MATCH(C450,Bar_No,0))/1000</f>
      </c>
    </row>
    <row r="451" spans="2:15" x14ac:dyDescent="0.25">
      <c r="B451">
        <v>25</v>
      </c>
      <c r="C451">
        <v>14</v>
      </c>
      <c r="D451" s="17">
        <f>INDEX(Blk_c,MATCH(B451,Blk_St,0))</f>
      </c>
      <c r="E451" s="17">
        <f>INDEX(Bar_U,MATCH(C451,Bar_No,0))</f>
      </c>
      <c r="F451" s="17">
        <f>u_max-E451</f>
      </c>
      <c r="G451" s="20">
        <f>ecu*(1-F451/D451)</f>
      </c>
      <c r="H451" s="20">
        <f>MAX(0,-G451)</f>
      </c>
      <c r="I451" s="17">
        <f>MAX(MIN(Es*G451,fy),-fy)</f>
      </c>
      <c r="J451">
        <f>IF(E451&gt;=u_max-beta_1*D451-blk_tol,1,0)</f>
      </c>
      <c r="K451" s="17">
        <f>J451*sig_blk</f>
      </c>
      <c r="L451" s="17">
        <f>I451-K451</f>
      </c>
      <c r="M451" s="17">
        <f>INDEX(Bar_As,MATCH(C451,Bar_No,0))*L451/1000</f>
      </c>
      <c r="N451" s="17">
        <f>M451*INDEX(Bar_Y,MATCH(C451,Bar_No,0))/1000</f>
      </c>
      <c r="O451" s="17">
        <f>M451*INDEX(Bar_X,MATCH(C451,Bar_No,0))/1000</f>
      </c>
    </row>
    <row r="452" spans="2:15" x14ac:dyDescent="0.25">
      <c r="B452">
        <v>25</v>
      </c>
      <c r="C452">
        <v>15</v>
      </c>
      <c r="D452" s="17">
        <f>INDEX(Blk_c,MATCH(B452,Blk_St,0))</f>
      </c>
      <c r="E452" s="17">
        <f>INDEX(Bar_U,MATCH(C452,Bar_No,0))</f>
      </c>
      <c r="F452" s="17">
        <f>u_max-E452</f>
      </c>
      <c r="G452" s="20">
        <f>ecu*(1-F452/D452)</f>
      </c>
      <c r="H452" s="20">
        <f>MAX(0,-G452)</f>
      </c>
      <c r="I452" s="17">
        <f>MAX(MIN(Es*G452,fy),-fy)</f>
      </c>
      <c r="J452">
        <f>IF(E452&gt;=u_max-beta_1*D452-blk_tol,1,0)</f>
      </c>
      <c r="K452" s="17">
        <f>J452*sig_blk</f>
      </c>
      <c r="L452" s="17">
        <f>I452-K452</f>
      </c>
      <c r="M452" s="17">
        <f>INDEX(Bar_As,MATCH(C452,Bar_No,0))*L452/1000</f>
      </c>
      <c r="N452" s="17">
        <f>M452*INDEX(Bar_Y,MATCH(C452,Bar_No,0))/1000</f>
      </c>
      <c r="O452" s="17">
        <f>M452*INDEX(Bar_X,MATCH(C452,Bar_No,0))/1000</f>
      </c>
    </row>
    <row r="453" spans="2:15" x14ac:dyDescent="0.25">
      <c r="B453">
        <v>25</v>
      </c>
      <c r="C453">
        <v>16</v>
      </c>
      <c r="D453" s="17">
        <f>INDEX(Blk_c,MATCH(B453,Blk_St,0))</f>
      </c>
      <c r="E453" s="17">
        <f>INDEX(Bar_U,MATCH(C453,Bar_No,0))</f>
      </c>
      <c r="F453" s="17">
        <f>u_max-E453</f>
      </c>
      <c r="G453" s="20">
        <f>ecu*(1-F453/D453)</f>
      </c>
      <c r="H453" s="20">
        <f>MAX(0,-G453)</f>
      </c>
      <c r="I453" s="17">
        <f>MAX(MIN(Es*G453,fy),-fy)</f>
      </c>
      <c r="J453">
        <f>IF(E453&gt;=u_max-beta_1*D453-blk_tol,1,0)</f>
      </c>
      <c r="K453" s="17">
        <f>J453*sig_blk</f>
      </c>
      <c r="L453" s="17">
        <f>I453-K453</f>
      </c>
      <c r="M453" s="17">
        <f>INDEX(Bar_As,MATCH(C453,Bar_No,0))*L453/1000</f>
      </c>
      <c r="N453" s="17">
        <f>M453*INDEX(Bar_Y,MATCH(C453,Bar_No,0))/1000</f>
      </c>
      <c r="O453" s="17">
        <f>M453*INDEX(Bar_X,MATCH(C453,Bar_No,0))/1000</f>
      </c>
    </row>
    <row r="454" spans="2:15" x14ac:dyDescent="0.25">
      <c r="B454">
        <v>25</v>
      </c>
      <c r="C454">
        <v>17</v>
      </c>
      <c r="D454" s="17">
        <f>INDEX(Blk_c,MATCH(B454,Blk_St,0))</f>
      </c>
      <c r="E454" s="17">
        <f>INDEX(Bar_U,MATCH(C454,Bar_No,0))</f>
      </c>
      <c r="F454" s="17">
        <f>u_max-E454</f>
      </c>
      <c r="G454" s="20">
        <f>ecu*(1-F454/D454)</f>
      </c>
      <c r="H454" s="20">
        <f>MAX(0,-G454)</f>
      </c>
      <c r="I454" s="17">
        <f>MAX(MIN(Es*G454,fy),-fy)</f>
      </c>
      <c r="J454">
        <f>IF(E454&gt;=u_max-beta_1*D454-blk_tol,1,0)</f>
      </c>
      <c r="K454" s="17">
        <f>J454*sig_blk</f>
      </c>
      <c r="L454" s="17">
        <f>I454-K454</f>
      </c>
      <c r="M454" s="17">
        <f>INDEX(Bar_As,MATCH(C454,Bar_No,0))*L454/1000</f>
      </c>
      <c r="N454" s="17">
        <f>M454*INDEX(Bar_Y,MATCH(C454,Bar_No,0))/1000</f>
      </c>
      <c r="O454" s="17">
        <f>M454*INDEX(Bar_X,MATCH(C454,Bar_No,0))/1000</f>
      </c>
    </row>
    <row r="455" spans="2:15" x14ac:dyDescent="0.25">
      <c r="B455">
        <v>25</v>
      </c>
      <c r="C455">
        <v>18</v>
      </c>
      <c r="D455" s="17">
        <f>INDEX(Blk_c,MATCH(B455,Blk_St,0))</f>
      </c>
      <c r="E455" s="17">
        <f>INDEX(Bar_U,MATCH(C455,Bar_No,0))</f>
      </c>
      <c r="F455" s="17">
        <f>u_max-E455</f>
      </c>
      <c r="G455" s="20">
        <f>ecu*(1-F455/D455)</f>
      </c>
      <c r="H455" s="20">
        <f>MAX(0,-G455)</f>
      </c>
      <c r="I455" s="17">
        <f>MAX(MIN(Es*G455,fy),-fy)</f>
      </c>
      <c r="J455">
        <f>IF(E455&gt;=u_max-beta_1*D455-blk_tol,1,0)</f>
      </c>
      <c r="K455" s="17">
        <f>J455*sig_blk</f>
      </c>
      <c r="L455" s="17">
        <f>I455-K455</f>
      </c>
      <c r="M455" s="17">
        <f>INDEX(Bar_As,MATCH(C455,Bar_No,0))*L455/1000</f>
      </c>
      <c r="N455" s="17">
        <f>M455*INDEX(Bar_Y,MATCH(C455,Bar_No,0))/1000</f>
      </c>
      <c r="O455" s="17">
        <f>M455*INDEX(Bar_X,MATCH(C455,Bar_No,0))/1000</f>
      </c>
    </row>
    <row r="456" spans="2:15" x14ac:dyDescent="0.25">
      <c r="B456">
        <v>26</v>
      </c>
      <c r="C456">
        <v>1</v>
      </c>
      <c r="D456" s="17">
        <f>INDEX(Blk_c,MATCH(B456,Blk_St,0))</f>
      </c>
      <c r="E456" s="17">
        <f>INDEX(Bar_U,MATCH(C456,Bar_No,0))</f>
      </c>
      <c r="F456" s="17">
        <f>u_max-E456</f>
      </c>
      <c r="G456" s="20">
        <f>ecu*(1-F456/D456)</f>
      </c>
      <c r="H456" s="20">
        <f>MAX(0,-G456)</f>
      </c>
      <c r="I456" s="17">
        <f>MAX(MIN(Es*G456,fy),-fy)</f>
      </c>
      <c r="J456">
        <f>IF(E456&gt;=u_max-beta_1*D456-blk_tol,1,0)</f>
      </c>
      <c r="K456" s="17">
        <f>J456*sig_blk</f>
      </c>
      <c r="L456" s="17">
        <f>I456-K456</f>
      </c>
      <c r="M456" s="17">
        <f>INDEX(Bar_As,MATCH(C456,Bar_No,0))*L456/1000</f>
      </c>
      <c r="N456" s="17">
        <f>M456*INDEX(Bar_Y,MATCH(C456,Bar_No,0))/1000</f>
      </c>
      <c r="O456" s="17">
        <f>M456*INDEX(Bar_X,MATCH(C456,Bar_No,0))/1000</f>
      </c>
    </row>
    <row r="457" spans="2:15" x14ac:dyDescent="0.25">
      <c r="B457">
        <v>26</v>
      </c>
      <c r="C457">
        <v>2</v>
      </c>
      <c r="D457" s="17">
        <f>INDEX(Blk_c,MATCH(B457,Blk_St,0))</f>
      </c>
      <c r="E457" s="17">
        <f>INDEX(Bar_U,MATCH(C457,Bar_No,0))</f>
      </c>
      <c r="F457" s="17">
        <f>u_max-E457</f>
      </c>
      <c r="G457" s="20">
        <f>ecu*(1-F457/D457)</f>
      </c>
      <c r="H457" s="20">
        <f>MAX(0,-G457)</f>
      </c>
      <c r="I457" s="17">
        <f>MAX(MIN(Es*G457,fy),-fy)</f>
      </c>
      <c r="J457">
        <f>IF(E457&gt;=u_max-beta_1*D457-blk_tol,1,0)</f>
      </c>
      <c r="K457" s="17">
        <f>J457*sig_blk</f>
      </c>
      <c r="L457" s="17">
        <f>I457-K457</f>
      </c>
      <c r="M457" s="17">
        <f>INDEX(Bar_As,MATCH(C457,Bar_No,0))*L457/1000</f>
      </c>
      <c r="N457" s="17">
        <f>M457*INDEX(Bar_Y,MATCH(C457,Bar_No,0))/1000</f>
      </c>
      <c r="O457" s="17">
        <f>M457*INDEX(Bar_X,MATCH(C457,Bar_No,0))/1000</f>
      </c>
    </row>
    <row r="458" spans="2:15" x14ac:dyDescent="0.25">
      <c r="B458">
        <v>26</v>
      </c>
      <c r="C458">
        <v>3</v>
      </c>
      <c r="D458" s="17">
        <f>INDEX(Blk_c,MATCH(B458,Blk_St,0))</f>
      </c>
      <c r="E458" s="17">
        <f>INDEX(Bar_U,MATCH(C458,Bar_No,0))</f>
      </c>
      <c r="F458" s="17">
        <f>u_max-E458</f>
      </c>
      <c r="G458" s="20">
        <f>ecu*(1-F458/D458)</f>
      </c>
      <c r="H458" s="20">
        <f>MAX(0,-G458)</f>
      </c>
      <c r="I458" s="17">
        <f>MAX(MIN(Es*G458,fy),-fy)</f>
      </c>
      <c r="J458">
        <f>IF(E458&gt;=u_max-beta_1*D458-blk_tol,1,0)</f>
      </c>
      <c r="K458" s="17">
        <f>J458*sig_blk</f>
      </c>
      <c r="L458" s="17">
        <f>I458-K458</f>
      </c>
      <c r="M458" s="17">
        <f>INDEX(Bar_As,MATCH(C458,Bar_No,0))*L458/1000</f>
      </c>
      <c r="N458" s="17">
        <f>M458*INDEX(Bar_Y,MATCH(C458,Bar_No,0))/1000</f>
      </c>
      <c r="O458" s="17">
        <f>M458*INDEX(Bar_X,MATCH(C458,Bar_No,0))/1000</f>
      </c>
    </row>
    <row r="459" spans="2:15" x14ac:dyDescent="0.25">
      <c r="B459">
        <v>26</v>
      </c>
      <c r="C459">
        <v>4</v>
      </c>
      <c r="D459" s="17">
        <f>INDEX(Blk_c,MATCH(B459,Blk_St,0))</f>
      </c>
      <c r="E459" s="17">
        <f>INDEX(Bar_U,MATCH(C459,Bar_No,0))</f>
      </c>
      <c r="F459" s="17">
        <f>u_max-E459</f>
      </c>
      <c r="G459" s="20">
        <f>ecu*(1-F459/D459)</f>
      </c>
      <c r="H459" s="20">
        <f>MAX(0,-G459)</f>
      </c>
      <c r="I459" s="17">
        <f>MAX(MIN(Es*G459,fy),-fy)</f>
      </c>
      <c r="J459">
        <f>IF(E459&gt;=u_max-beta_1*D459-blk_tol,1,0)</f>
      </c>
      <c r="K459" s="17">
        <f>J459*sig_blk</f>
      </c>
      <c r="L459" s="17">
        <f>I459-K459</f>
      </c>
      <c r="M459" s="17">
        <f>INDEX(Bar_As,MATCH(C459,Bar_No,0))*L459/1000</f>
      </c>
      <c r="N459" s="17">
        <f>M459*INDEX(Bar_Y,MATCH(C459,Bar_No,0))/1000</f>
      </c>
      <c r="O459" s="17">
        <f>M459*INDEX(Bar_X,MATCH(C459,Bar_No,0))/1000</f>
      </c>
    </row>
    <row r="460" spans="2:15" x14ac:dyDescent="0.25">
      <c r="B460">
        <v>26</v>
      </c>
      <c r="C460">
        <v>5</v>
      </c>
      <c r="D460" s="17">
        <f>INDEX(Blk_c,MATCH(B460,Blk_St,0))</f>
      </c>
      <c r="E460" s="17">
        <f>INDEX(Bar_U,MATCH(C460,Bar_No,0))</f>
      </c>
      <c r="F460" s="17">
        <f>u_max-E460</f>
      </c>
      <c r="G460" s="20">
        <f>ecu*(1-F460/D460)</f>
      </c>
      <c r="H460" s="20">
        <f>MAX(0,-G460)</f>
      </c>
      <c r="I460" s="17">
        <f>MAX(MIN(Es*G460,fy),-fy)</f>
      </c>
      <c r="J460">
        <f>IF(E460&gt;=u_max-beta_1*D460-blk_tol,1,0)</f>
      </c>
      <c r="K460" s="17">
        <f>J460*sig_blk</f>
      </c>
      <c r="L460" s="17">
        <f>I460-K460</f>
      </c>
      <c r="M460" s="17">
        <f>INDEX(Bar_As,MATCH(C460,Bar_No,0))*L460/1000</f>
      </c>
      <c r="N460" s="17">
        <f>M460*INDEX(Bar_Y,MATCH(C460,Bar_No,0))/1000</f>
      </c>
      <c r="O460" s="17">
        <f>M460*INDEX(Bar_X,MATCH(C460,Bar_No,0))/1000</f>
      </c>
    </row>
    <row r="461" spans="2:15" x14ac:dyDescent="0.25">
      <c r="B461">
        <v>26</v>
      </c>
      <c r="C461">
        <v>6</v>
      </c>
      <c r="D461" s="17">
        <f>INDEX(Blk_c,MATCH(B461,Blk_St,0))</f>
      </c>
      <c r="E461" s="17">
        <f>INDEX(Bar_U,MATCH(C461,Bar_No,0))</f>
      </c>
      <c r="F461" s="17">
        <f>u_max-E461</f>
      </c>
      <c r="G461" s="20">
        <f>ecu*(1-F461/D461)</f>
      </c>
      <c r="H461" s="20">
        <f>MAX(0,-G461)</f>
      </c>
      <c r="I461" s="17">
        <f>MAX(MIN(Es*G461,fy),-fy)</f>
      </c>
      <c r="J461">
        <f>IF(E461&gt;=u_max-beta_1*D461-blk_tol,1,0)</f>
      </c>
      <c r="K461" s="17">
        <f>J461*sig_blk</f>
      </c>
      <c r="L461" s="17">
        <f>I461-K461</f>
      </c>
      <c r="M461" s="17">
        <f>INDEX(Bar_As,MATCH(C461,Bar_No,0))*L461/1000</f>
      </c>
      <c r="N461" s="17">
        <f>M461*INDEX(Bar_Y,MATCH(C461,Bar_No,0))/1000</f>
      </c>
      <c r="O461" s="17">
        <f>M461*INDEX(Bar_X,MATCH(C461,Bar_No,0))/1000</f>
      </c>
    </row>
    <row r="462" spans="2:15" x14ac:dyDescent="0.25">
      <c r="B462">
        <v>26</v>
      </c>
      <c r="C462">
        <v>7</v>
      </c>
      <c r="D462" s="17">
        <f>INDEX(Blk_c,MATCH(B462,Blk_St,0))</f>
      </c>
      <c r="E462" s="17">
        <f>INDEX(Bar_U,MATCH(C462,Bar_No,0))</f>
      </c>
      <c r="F462" s="17">
        <f>u_max-E462</f>
      </c>
      <c r="G462" s="20">
        <f>ecu*(1-F462/D462)</f>
      </c>
      <c r="H462" s="20">
        <f>MAX(0,-G462)</f>
      </c>
      <c r="I462" s="17">
        <f>MAX(MIN(Es*G462,fy),-fy)</f>
      </c>
      <c r="J462">
        <f>IF(E462&gt;=u_max-beta_1*D462-blk_tol,1,0)</f>
      </c>
      <c r="K462" s="17">
        <f>J462*sig_blk</f>
      </c>
      <c r="L462" s="17">
        <f>I462-K462</f>
      </c>
      <c r="M462" s="17">
        <f>INDEX(Bar_As,MATCH(C462,Bar_No,0))*L462/1000</f>
      </c>
      <c r="N462" s="17">
        <f>M462*INDEX(Bar_Y,MATCH(C462,Bar_No,0))/1000</f>
      </c>
      <c r="O462" s="17">
        <f>M462*INDEX(Bar_X,MATCH(C462,Bar_No,0))/1000</f>
      </c>
    </row>
    <row r="463" spans="2:15" x14ac:dyDescent="0.25">
      <c r="B463">
        <v>26</v>
      </c>
      <c r="C463">
        <v>8</v>
      </c>
      <c r="D463" s="17">
        <f>INDEX(Blk_c,MATCH(B463,Blk_St,0))</f>
      </c>
      <c r="E463" s="17">
        <f>INDEX(Bar_U,MATCH(C463,Bar_No,0))</f>
      </c>
      <c r="F463" s="17">
        <f>u_max-E463</f>
      </c>
      <c r="G463" s="20">
        <f>ecu*(1-F463/D463)</f>
      </c>
      <c r="H463" s="20">
        <f>MAX(0,-G463)</f>
      </c>
      <c r="I463" s="17">
        <f>MAX(MIN(Es*G463,fy),-fy)</f>
      </c>
      <c r="J463">
        <f>IF(E463&gt;=u_max-beta_1*D463-blk_tol,1,0)</f>
      </c>
      <c r="K463" s="17">
        <f>J463*sig_blk</f>
      </c>
      <c r="L463" s="17">
        <f>I463-K463</f>
      </c>
      <c r="M463" s="17">
        <f>INDEX(Bar_As,MATCH(C463,Bar_No,0))*L463/1000</f>
      </c>
      <c r="N463" s="17">
        <f>M463*INDEX(Bar_Y,MATCH(C463,Bar_No,0))/1000</f>
      </c>
      <c r="O463" s="17">
        <f>M463*INDEX(Bar_X,MATCH(C463,Bar_No,0))/1000</f>
      </c>
    </row>
    <row r="464" spans="2:15" x14ac:dyDescent="0.25">
      <c r="B464">
        <v>26</v>
      </c>
      <c r="C464">
        <v>9</v>
      </c>
      <c r="D464" s="17">
        <f>INDEX(Blk_c,MATCH(B464,Blk_St,0))</f>
      </c>
      <c r="E464" s="17">
        <f>INDEX(Bar_U,MATCH(C464,Bar_No,0))</f>
      </c>
      <c r="F464" s="17">
        <f>u_max-E464</f>
      </c>
      <c r="G464" s="20">
        <f>ecu*(1-F464/D464)</f>
      </c>
      <c r="H464" s="20">
        <f>MAX(0,-G464)</f>
      </c>
      <c r="I464" s="17">
        <f>MAX(MIN(Es*G464,fy),-fy)</f>
      </c>
      <c r="J464">
        <f>IF(E464&gt;=u_max-beta_1*D464-blk_tol,1,0)</f>
      </c>
      <c r="K464" s="17">
        <f>J464*sig_blk</f>
      </c>
      <c r="L464" s="17">
        <f>I464-K464</f>
      </c>
      <c r="M464" s="17">
        <f>INDEX(Bar_As,MATCH(C464,Bar_No,0))*L464/1000</f>
      </c>
      <c r="N464" s="17">
        <f>M464*INDEX(Bar_Y,MATCH(C464,Bar_No,0))/1000</f>
      </c>
      <c r="O464" s="17">
        <f>M464*INDEX(Bar_X,MATCH(C464,Bar_No,0))/1000</f>
      </c>
    </row>
    <row r="465" spans="2:15" x14ac:dyDescent="0.25">
      <c r="B465">
        <v>26</v>
      </c>
      <c r="C465">
        <v>10</v>
      </c>
      <c r="D465" s="17">
        <f>INDEX(Blk_c,MATCH(B465,Blk_St,0))</f>
      </c>
      <c r="E465" s="17">
        <f>INDEX(Bar_U,MATCH(C465,Bar_No,0))</f>
      </c>
      <c r="F465" s="17">
        <f>u_max-E465</f>
      </c>
      <c r="G465" s="20">
        <f>ecu*(1-F465/D465)</f>
      </c>
      <c r="H465" s="20">
        <f>MAX(0,-G465)</f>
      </c>
      <c r="I465" s="17">
        <f>MAX(MIN(Es*G465,fy),-fy)</f>
      </c>
      <c r="J465">
        <f>IF(E465&gt;=u_max-beta_1*D465-blk_tol,1,0)</f>
      </c>
      <c r="K465" s="17">
        <f>J465*sig_blk</f>
      </c>
      <c r="L465" s="17">
        <f>I465-K465</f>
      </c>
      <c r="M465" s="17">
        <f>INDEX(Bar_As,MATCH(C465,Bar_No,0))*L465/1000</f>
      </c>
      <c r="N465" s="17">
        <f>M465*INDEX(Bar_Y,MATCH(C465,Bar_No,0))/1000</f>
      </c>
      <c r="O465" s="17">
        <f>M465*INDEX(Bar_X,MATCH(C465,Bar_No,0))/1000</f>
      </c>
    </row>
    <row r="466" spans="2:15" x14ac:dyDescent="0.25">
      <c r="B466">
        <v>26</v>
      </c>
      <c r="C466">
        <v>11</v>
      </c>
      <c r="D466" s="17">
        <f>INDEX(Blk_c,MATCH(B466,Blk_St,0))</f>
      </c>
      <c r="E466" s="17">
        <f>INDEX(Bar_U,MATCH(C466,Bar_No,0))</f>
      </c>
      <c r="F466" s="17">
        <f>u_max-E466</f>
      </c>
      <c r="G466" s="20">
        <f>ecu*(1-F466/D466)</f>
      </c>
      <c r="H466" s="20">
        <f>MAX(0,-G466)</f>
      </c>
      <c r="I466" s="17">
        <f>MAX(MIN(Es*G466,fy),-fy)</f>
      </c>
      <c r="J466">
        <f>IF(E466&gt;=u_max-beta_1*D466-blk_tol,1,0)</f>
      </c>
      <c r="K466" s="17">
        <f>J466*sig_blk</f>
      </c>
      <c r="L466" s="17">
        <f>I466-K466</f>
      </c>
      <c r="M466" s="17">
        <f>INDEX(Bar_As,MATCH(C466,Bar_No,0))*L466/1000</f>
      </c>
      <c r="N466" s="17">
        <f>M466*INDEX(Bar_Y,MATCH(C466,Bar_No,0))/1000</f>
      </c>
      <c r="O466" s="17">
        <f>M466*INDEX(Bar_X,MATCH(C466,Bar_No,0))/1000</f>
      </c>
    </row>
    <row r="467" spans="2:15" x14ac:dyDescent="0.25">
      <c r="B467">
        <v>26</v>
      </c>
      <c r="C467">
        <v>12</v>
      </c>
      <c r="D467" s="17">
        <f>INDEX(Blk_c,MATCH(B467,Blk_St,0))</f>
      </c>
      <c r="E467" s="17">
        <f>INDEX(Bar_U,MATCH(C467,Bar_No,0))</f>
      </c>
      <c r="F467" s="17">
        <f>u_max-E467</f>
      </c>
      <c r="G467" s="20">
        <f>ecu*(1-F467/D467)</f>
      </c>
      <c r="H467" s="20">
        <f>MAX(0,-G467)</f>
      </c>
      <c r="I467" s="17">
        <f>MAX(MIN(Es*G467,fy),-fy)</f>
      </c>
      <c r="J467">
        <f>IF(E467&gt;=u_max-beta_1*D467-blk_tol,1,0)</f>
      </c>
      <c r="K467" s="17">
        <f>J467*sig_blk</f>
      </c>
      <c r="L467" s="17">
        <f>I467-K467</f>
      </c>
      <c r="M467" s="17">
        <f>INDEX(Bar_As,MATCH(C467,Bar_No,0))*L467/1000</f>
      </c>
      <c r="N467" s="17">
        <f>M467*INDEX(Bar_Y,MATCH(C467,Bar_No,0))/1000</f>
      </c>
      <c r="O467" s="17">
        <f>M467*INDEX(Bar_X,MATCH(C467,Bar_No,0))/1000</f>
      </c>
    </row>
    <row r="468" spans="2:15" x14ac:dyDescent="0.25">
      <c r="B468">
        <v>26</v>
      </c>
      <c r="C468">
        <v>13</v>
      </c>
      <c r="D468" s="17">
        <f>INDEX(Blk_c,MATCH(B468,Blk_St,0))</f>
      </c>
      <c r="E468" s="17">
        <f>INDEX(Bar_U,MATCH(C468,Bar_No,0))</f>
      </c>
      <c r="F468" s="17">
        <f>u_max-E468</f>
      </c>
      <c r="G468" s="20">
        <f>ecu*(1-F468/D468)</f>
      </c>
      <c r="H468" s="20">
        <f>MAX(0,-G468)</f>
      </c>
      <c r="I468" s="17">
        <f>MAX(MIN(Es*G468,fy),-fy)</f>
      </c>
      <c r="J468">
        <f>IF(E468&gt;=u_max-beta_1*D468-blk_tol,1,0)</f>
      </c>
      <c r="K468" s="17">
        <f>J468*sig_blk</f>
      </c>
      <c r="L468" s="17">
        <f>I468-K468</f>
      </c>
      <c r="M468" s="17">
        <f>INDEX(Bar_As,MATCH(C468,Bar_No,0))*L468/1000</f>
      </c>
      <c r="N468" s="17">
        <f>M468*INDEX(Bar_Y,MATCH(C468,Bar_No,0))/1000</f>
      </c>
      <c r="O468" s="17">
        <f>M468*INDEX(Bar_X,MATCH(C468,Bar_No,0))/1000</f>
      </c>
    </row>
    <row r="469" spans="2:15" x14ac:dyDescent="0.25">
      <c r="B469">
        <v>26</v>
      </c>
      <c r="C469">
        <v>14</v>
      </c>
      <c r="D469" s="17">
        <f>INDEX(Blk_c,MATCH(B469,Blk_St,0))</f>
      </c>
      <c r="E469" s="17">
        <f>INDEX(Bar_U,MATCH(C469,Bar_No,0))</f>
      </c>
      <c r="F469" s="17">
        <f>u_max-E469</f>
      </c>
      <c r="G469" s="20">
        <f>ecu*(1-F469/D469)</f>
      </c>
      <c r="H469" s="20">
        <f>MAX(0,-G469)</f>
      </c>
      <c r="I469" s="17">
        <f>MAX(MIN(Es*G469,fy),-fy)</f>
      </c>
      <c r="J469">
        <f>IF(E469&gt;=u_max-beta_1*D469-blk_tol,1,0)</f>
      </c>
      <c r="K469" s="17">
        <f>J469*sig_blk</f>
      </c>
      <c r="L469" s="17">
        <f>I469-K469</f>
      </c>
      <c r="M469" s="17">
        <f>INDEX(Bar_As,MATCH(C469,Bar_No,0))*L469/1000</f>
      </c>
      <c r="N469" s="17">
        <f>M469*INDEX(Bar_Y,MATCH(C469,Bar_No,0))/1000</f>
      </c>
      <c r="O469" s="17">
        <f>M469*INDEX(Bar_X,MATCH(C469,Bar_No,0))/1000</f>
      </c>
    </row>
    <row r="470" spans="2:15" x14ac:dyDescent="0.25">
      <c r="B470">
        <v>26</v>
      </c>
      <c r="C470">
        <v>15</v>
      </c>
      <c r="D470" s="17">
        <f>INDEX(Blk_c,MATCH(B470,Blk_St,0))</f>
      </c>
      <c r="E470" s="17">
        <f>INDEX(Bar_U,MATCH(C470,Bar_No,0))</f>
      </c>
      <c r="F470" s="17">
        <f>u_max-E470</f>
      </c>
      <c r="G470" s="20">
        <f>ecu*(1-F470/D470)</f>
      </c>
      <c r="H470" s="20">
        <f>MAX(0,-G470)</f>
      </c>
      <c r="I470" s="17">
        <f>MAX(MIN(Es*G470,fy),-fy)</f>
      </c>
      <c r="J470">
        <f>IF(E470&gt;=u_max-beta_1*D470-blk_tol,1,0)</f>
      </c>
      <c r="K470" s="17">
        <f>J470*sig_blk</f>
      </c>
      <c r="L470" s="17">
        <f>I470-K470</f>
      </c>
      <c r="M470" s="17">
        <f>INDEX(Bar_As,MATCH(C470,Bar_No,0))*L470/1000</f>
      </c>
      <c r="N470" s="17">
        <f>M470*INDEX(Bar_Y,MATCH(C470,Bar_No,0))/1000</f>
      </c>
      <c r="O470" s="17">
        <f>M470*INDEX(Bar_X,MATCH(C470,Bar_No,0))/1000</f>
      </c>
    </row>
    <row r="471" spans="2:15" x14ac:dyDescent="0.25">
      <c r="B471">
        <v>26</v>
      </c>
      <c r="C471">
        <v>16</v>
      </c>
      <c r="D471" s="17">
        <f>INDEX(Blk_c,MATCH(B471,Blk_St,0))</f>
      </c>
      <c r="E471" s="17">
        <f>INDEX(Bar_U,MATCH(C471,Bar_No,0))</f>
      </c>
      <c r="F471" s="17">
        <f>u_max-E471</f>
      </c>
      <c r="G471" s="20">
        <f>ecu*(1-F471/D471)</f>
      </c>
      <c r="H471" s="20">
        <f>MAX(0,-G471)</f>
      </c>
      <c r="I471" s="17">
        <f>MAX(MIN(Es*G471,fy),-fy)</f>
      </c>
      <c r="J471">
        <f>IF(E471&gt;=u_max-beta_1*D471-blk_tol,1,0)</f>
      </c>
      <c r="K471" s="17">
        <f>J471*sig_blk</f>
      </c>
      <c r="L471" s="17">
        <f>I471-K471</f>
      </c>
      <c r="M471" s="17">
        <f>INDEX(Bar_As,MATCH(C471,Bar_No,0))*L471/1000</f>
      </c>
      <c r="N471" s="17">
        <f>M471*INDEX(Bar_Y,MATCH(C471,Bar_No,0))/1000</f>
      </c>
      <c r="O471" s="17">
        <f>M471*INDEX(Bar_X,MATCH(C471,Bar_No,0))/1000</f>
      </c>
    </row>
    <row r="472" spans="2:15" x14ac:dyDescent="0.25">
      <c r="B472">
        <v>26</v>
      </c>
      <c r="C472">
        <v>17</v>
      </c>
      <c r="D472" s="17">
        <f>INDEX(Blk_c,MATCH(B472,Blk_St,0))</f>
      </c>
      <c r="E472" s="17">
        <f>INDEX(Bar_U,MATCH(C472,Bar_No,0))</f>
      </c>
      <c r="F472" s="17">
        <f>u_max-E472</f>
      </c>
      <c r="G472" s="20">
        <f>ecu*(1-F472/D472)</f>
      </c>
      <c r="H472" s="20">
        <f>MAX(0,-G472)</f>
      </c>
      <c r="I472" s="17">
        <f>MAX(MIN(Es*G472,fy),-fy)</f>
      </c>
      <c r="J472">
        <f>IF(E472&gt;=u_max-beta_1*D472-blk_tol,1,0)</f>
      </c>
      <c r="K472" s="17">
        <f>J472*sig_blk</f>
      </c>
      <c r="L472" s="17">
        <f>I472-K472</f>
      </c>
      <c r="M472" s="17">
        <f>INDEX(Bar_As,MATCH(C472,Bar_No,0))*L472/1000</f>
      </c>
      <c r="N472" s="17">
        <f>M472*INDEX(Bar_Y,MATCH(C472,Bar_No,0))/1000</f>
      </c>
      <c r="O472" s="17">
        <f>M472*INDEX(Bar_X,MATCH(C472,Bar_No,0))/1000</f>
      </c>
    </row>
    <row r="473" spans="2:15" x14ac:dyDescent="0.25">
      <c r="B473">
        <v>26</v>
      </c>
      <c r="C473">
        <v>18</v>
      </c>
      <c r="D473" s="17">
        <f>INDEX(Blk_c,MATCH(B473,Blk_St,0))</f>
      </c>
      <c r="E473" s="17">
        <f>INDEX(Bar_U,MATCH(C473,Bar_No,0))</f>
      </c>
      <c r="F473" s="17">
        <f>u_max-E473</f>
      </c>
      <c r="G473" s="20">
        <f>ecu*(1-F473/D473)</f>
      </c>
      <c r="H473" s="20">
        <f>MAX(0,-G473)</f>
      </c>
      <c r="I473" s="17">
        <f>MAX(MIN(Es*G473,fy),-fy)</f>
      </c>
      <c r="J473">
        <f>IF(E473&gt;=u_max-beta_1*D473-blk_tol,1,0)</f>
      </c>
      <c r="K473" s="17">
        <f>J473*sig_blk</f>
      </c>
      <c r="L473" s="17">
        <f>I473-K473</f>
      </c>
      <c r="M473" s="17">
        <f>INDEX(Bar_As,MATCH(C473,Bar_No,0))*L473/1000</f>
      </c>
      <c r="N473" s="17">
        <f>M473*INDEX(Bar_Y,MATCH(C473,Bar_No,0))/1000</f>
      </c>
      <c r="O473" s="17">
        <f>M473*INDEX(Bar_X,MATCH(C473,Bar_No,0))/1000</f>
      </c>
    </row>
    <row r="474" spans="2:15" x14ac:dyDescent="0.25">
      <c r="B474">
        <v>27</v>
      </c>
      <c r="C474">
        <v>1</v>
      </c>
      <c r="D474" s="17">
        <f>INDEX(Blk_c,MATCH(B474,Blk_St,0))</f>
      </c>
      <c r="E474" s="17">
        <f>INDEX(Bar_U,MATCH(C474,Bar_No,0))</f>
      </c>
      <c r="F474" s="17">
        <f>u_max-E474</f>
      </c>
      <c r="G474" s="20">
        <f>ecu*(1-F474/D474)</f>
      </c>
      <c r="H474" s="20">
        <f>MAX(0,-G474)</f>
      </c>
      <c r="I474" s="17">
        <f>MAX(MIN(Es*G474,fy),-fy)</f>
      </c>
      <c r="J474">
        <f>IF(E474&gt;=u_max-beta_1*D474-blk_tol,1,0)</f>
      </c>
      <c r="K474" s="17">
        <f>J474*sig_blk</f>
      </c>
      <c r="L474" s="17">
        <f>I474-K474</f>
      </c>
      <c r="M474" s="17">
        <f>INDEX(Bar_As,MATCH(C474,Bar_No,0))*L474/1000</f>
      </c>
      <c r="N474" s="17">
        <f>M474*INDEX(Bar_Y,MATCH(C474,Bar_No,0))/1000</f>
      </c>
      <c r="O474" s="17">
        <f>M474*INDEX(Bar_X,MATCH(C474,Bar_No,0))/1000</f>
      </c>
    </row>
    <row r="475" spans="2:15" x14ac:dyDescent="0.25">
      <c r="B475">
        <v>27</v>
      </c>
      <c r="C475">
        <v>2</v>
      </c>
      <c r="D475" s="17">
        <f>INDEX(Blk_c,MATCH(B475,Blk_St,0))</f>
      </c>
      <c r="E475" s="17">
        <f>INDEX(Bar_U,MATCH(C475,Bar_No,0))</f>
      </c>
      <c r="F475" s="17">
        <f>u_max-E475</f>
      </c>
      <c r="G475" s="20">
        <f>ecu*(1-F475/D475)</f>
      </c>
      <c r="H475" s="20">
        <f>MAX(0,-G475)</f>
      </c>
      <c r="I475" s="17">
        <f>MAX(MIN(Es*G475,fy),-fy)</f>
      </c>
      <c r="J475">
        <f>IF(E475&gt;=u_max-beta_1*D475-blk_tol,1,0)</f>
      </c>
      <c r="K475" s="17">
        <f>J475*sig_blk</f>
      </c>
      <c r="L475" s="17">
        <f>I475-K475</f>
      </c>
      <c r="M475" s="17">
        <f>INDEX(Bar_As,MATCH(C475,Bar_No,0))*L475/1000</f>
      </c>
      <c r="N475" s="17">
        <f>M475*INDEX(Bar_Y,MATCH(C475,Bar_No,0))/1000</f>
      </c>
      <c r="O475" s="17">
        <f>M475*INDEX(Bar_X,MATCH(C475,Bar_No,0))/1000</f>
      </c>
    </row>
    <row r="476" spans="2:15" x14ac:dyDescent="0.25">
      <c r="B476">
        <v>27</v>
      </c>
      <c r="C476">
        <v>3</v>
      </c>
      <c r="D476" s="17">
        <f>INDEX(Blk_c,MATCH(B476,Blk_St,0))</f>
      </c>
      <c r="E476" s="17">
        <f>INDEX(Bar_U,MATCH(C476,Bar_No,0))</f>
      </c>
      <c r="F476" s="17">
        <f>u_max-E476</f>
      </c>
      <c r="G476" s="20">
        <f>ecu*(1-F476/D476)</f>
      </c>
      <c r="H476" s="20">
        <f>MAX(0,-G476)</f>
      </c>
      <c r="I476" s="17">
        <f>MAX(MIN(Es*G476,fy),-fy)</f>
      </c>
      <c r="J476">
        <f>IF(E476&gt;=u_max-beta_1*D476-blk_tol,1,0)</f>
      </c>
      <c r="K476" s="17">
        <f>J476*sig_blk</f>
      </c>
      <c r="L476" s="17">
        <f>I476-K476</f>
      </c>
      <c r="M476" s="17">
        <f>INDEX(Bar_As,MATCH(C476,Bar_No,0))*L476/1000</f>
      </c>
      <c r="N476" s="17">
        <f>M476*INDEX(Bar_Y,MATCH(C476,Bar_No,0))/1000</f>
      </c>
      <c r="O476" s="17">
        <f>M476*INDEX(Bar_X,MATCH(C476,Bar_No,0))/1000</f>
      </c>
    </row>
    <row r="477" spans="2:15" x14ac:dyDescent="0.25">
      <c r="B477">
        <v>27</v>
      </c>
      <c r="C477">
        <v>4</v>
      </c>
      <c r="D477" s="17">
        <f>INDEX(Blk_c,MATCH(B477,Blk_St,0))</f>
      </c>
      <c r="E477" s="17">
        <f>INDEX(Bar_U,MATCH(C477,Bar_No,0))</f>
      </c>
      <c r="F477" s="17">
        <f>u_max-E477</f>
      </c>
      <c r="G477" s="20">
        <f>ecu*(1-F477/D477)</f>
      </c>
      <c r="H477" s="20">
        <f>MAX(0,-G477)</f>
      </c>
      <c r="I477" s="17">
        <f>MAX(MIN(Es*G477,fy),-fy)</f>
      </c>
      <c r="J477">
        <f>IF(E477&gt;=u_max-beta_1*D477-blk_tol,1,0)</f>
      </c>
      <c r="K477" s="17">
        <f>J477*sig_blk</f>
      </c>
      <c r="L477" s="17">
        <f>I477-K477</f>
      </c>
      <c r="M477" s="17">
        <f>INDEX(Bar_As,MATCH(C477,Bar_No,0))*L477/1000</f>
      </c>
      <c r="N477" s="17">
        <f>M477*INDEX(Bar_Y,MATCH(C477,Bar_No,0))/1000</f>
      </c>
      <c r="O477" s="17">
        <f>M477*INDEX(Bar_X,MATCH(C477,Bar_No,0))/1000</f>
      </c>
    </row>
    <row r="478" spans="2:15" x14ac:dyDescent="0.25">
      <c r="B478">
        <v>27</v>
      </c>
      <c r="C478">
        <v>5</v>
      </c>
      <c r="D478" s="17">
        <f>INDEX(Blk_c,MATCH(B478,Blk_St,0))</f>
      </c>
      <c r="E478" s="17">
        <f>INDEX(Bar_U,MATCH(C478,Bar_No,0))</f>
      </c>
      <c r="F478" s="17">
        <f>u_max-E478</f>
      </c>
      <c r="G478" s="20">
        <f>ecu*(1-F478/D478)</f>
      </c>
      <c r="H478" s="20">
        <f>MAX(0,-G478)</f>
      </c>
      <c r="I478" s="17">
        <f>MAX(MIN(Es*G478,fy),-fy)</f>
      </c>
      <c r="J478">
        <f>IF(E478&gt;=u_max-beta_1*D478-blk_tol,1,0)</f>
      </c>
      <c r="K478" s="17">
        <f>J478*sig_blk</f>
      </c>
      <c r="L478" s="17">
        <f>I478-K478</f>
      </c>
      <c r="M478" s="17">
        <f>INDEX(Bar_As,MATCH(C478,Bar_No,0))*L478/1000</f>
      </c>
      <c r="N478" s="17">
        <f>M478*INDEX(Bar_Y,MATCH(C478,Bar_No,0))/1000</f>
      </c>
      <c r="O478" s="17">
        <f>M478*INDEX(Bar_X,MATCH(C478,Bar_No,0))/1000</f>
      </c>
    </row>
    <row r="479" spans="2:15" x14ac:dyDescent="0.25">
      <c r="B479">
        <v>27</v>
      </c>
      <c r="C479">
        <v>6</v>
      </c>
      <c r="D479" s="17">
        <f>INDEX(Blk_c,MATCH(B479,Blk_St,0))</f>
      </c>
      <c r="E479" s="17">
        <f>INDEX(Bar_U,MATCH(C479,Bar_No,0))</f>
      </c>
      <c r="F479" s="17">
        <f>u_max-E479</f>
      </c>
      <c r="G479" s="20">
        <f>ecu*(1-F479/D479)</f>
      </c>
      <c r="H479" s="20">
        <f>MAX(0,-G479)</f>
      </c>
      <c r="I479" s="17">
        <f>MAX(MIN(Es*G479,fy),-fy)</f>
      </c>
      <c r="J479">
        <f>IF(E479&gt;=u_max-beta_1*D479-blk_tol,1,0)</f>
      </c>
      <c r="K479" s="17">
        <f>J479*sig_blk</f>
      </c>
      <c r="L479" s="17">
        <f>I479-K479</f>
      </c>
      <c r="M479" s="17">
        <f>INDEX(Bar_As,MATCH(C479,Bar_No,0))*L479/1000</f>
      </c>
      <c r="N479" s="17">
        <f>M479*INDEX(Bar_Y,MATCH(C479,Bar_No,0))/1000</f>
      </c>
      <c r="O479" s="17">
        <f>M479*INDEX(Bar_X,MATCH(C479,Bar_No,0))/1000</f>
      </c>
    </row>
    <row r="480" spans="2:15" x14ac:dyDescent="0.25">
      <c r="B480">
        <v>27</v>
      </c>
      <c r="C480">
        <v>7</v>
      </c>
      <c r="D480" s="17">
        <f>INDEX(Blk_c,MATCH(B480,Blk_St,0))</f>
      </c>
      <c r="E480" s="17">
        <f>INDEX(Bar_U,MATCH(C480,Bar_No,0))</f>
      </c>
      <c r="F480" s="17">
        <f>u_max-E480</f>
      </c>
      <c r="G480" s="20">
        <f>ecu*(1-F480/D480)</f>
      </c>
      <c r="H480" s="20">
        <f>MAX(0,-G480)</f>
      </c>
      <c r="I480" s="17">
        <f>MAX(MIN(Es*G480,fy),-fy)</f>
      </c>
      <c r="J480">
        <f>IF(E480&gt;=u_max-beta_1*D480-blk_tol,1,0)</f>
      </c>
      <c r="K480" s="17">
        <f>J480*sig_blk</f>
      </c>
      <c r="L480" s="17">
        <f>I480-K480</f>
      </c>
      <c r="M480" s="17">
        <f>INDEX(Bar_As,MATCH(C480,Bar_No,0))*L480/1000</f>
      </c>
      <c r="N480" s="17">
        <f>M480*INDEX(Bar_Y,MATCH(C480,Bar_No,0))/1000</f>
      </c>
      <c r="O480" s="17">
        <f>M480*INDEX(Bar_X,MATCH(C480,Bar_No,0))/1000</f>
      </c>
    </row>
    <row r="481" spans="2:15" x14ac:dyDescent="0.25">
      <c r="B481">
        <v>27</v>
      </c>
      <c r="C481">
        <v>8</v>
      </c>
      <c r="D481" s="17">
        <f>INDEX(Blk_c,MATCH(B481,Blk_St,0))</f>
      </c>
      <c r="E481" s="17">
        <f>INDEX(Bar_U,MATCH(C481,Bar_No,0))</f>
      </c>
      <c r="F481" s="17">
        <f>u_max-E481</f>
      </c>
      <c r="G481" s="20">
        <f>ecu*(1-F481/D481)</f>
      </c>
      <c r="H481" s="20">
        <f>MAX(0,-G481)</f>
      </c>
      <c r="I481" s="17">
        <f>MAX(MIN(Es*G481,fy),-fy)</f>
      </c>
      <c r="J481">
        <f>IF(E481&gt;=u_max-beta_1*D481-blk_tol,1,0)</f>
      </c>
      <c r="K481" s="17">
        <f>J481*sig_blk</f>
      </c>
      <c r="L481" s="17">
        <f>I481-K481</f>
      </c>
      <c r="M481" s="17">
        <f>INDEX(Bar_As,MATCH(C481,Bar_No,0))*L481/1000</f>
      </c>
      <c r="N481" s="17">
        <f>M481*INDEX(Bar_Y,MATCH(C481,Bar_No,0))/1000</f>
      </c>
      <c r="O481" s="17">
        <f>M481*INDEX(Bar_X,MATCH(C481,Bar_No,0))/1000</f>
      </c>
    </row>
    <row r="482" spans="2:15" x14ac:dyDescent="0.25">
      <c r="B482">
        <v>27</v>
      </c>
      <c r="C482">
        <v>9</v>
      </c>
      <c r="D482" s="17">
        <f>INDEX(Blk_c,MATCH(B482,Blk_St,0))</f>
      </c>
      <c r="E482" s="17">
        <f>INDEX(Bar_U,MATCH(C482,Bar_No,0))</f>
      </c>
      <c r="F482" s="17">
        <f>u_max-E482</f>
      </c>
      <c r="G482" s="20">
        <f>ecu*(1-F482/D482)</f>
      </c>
      <c r="H482" s="20">
        <f>MAX(0,-G482)</f>
      </c>
      <c r="I482" s="17">
        <f>MAX(MIN(Es*G482,fy),-fy)</f>
      </c>
      <c r="J482">
        <f>IF(E482&gt;=u_max-beta_1*D482-blk_tol,1,0)</f>
      </c>
      <c r="K482" s="17">
        <f>J482*sig_blk</f>
      </c>
      <c r="L482" s="17">
        <f>I482-K482</f>
      </c>
      <c r="M482" s="17">
        <f>INDEX(Bar_As,MATCH(C482,Bar_No,0))*L482/1000</f>
      </c>
      <c r="N482" s="17">
        <f>M482*INDEX(Bar_Y,MATCH(C482,Bar_No,0))/1000</f>
      </c>
      <c r="O482" s="17">
        <f>M482*INDEX(Bar_X,MATCH(C482,Bar_No,0))/1000</f>
      </c>
    </row>
    <row r="483" spans="2:15" x14ac:dyDescent="0.25">
      <c r="B483">
        <v>27</v>
      </c>
      <c r="C483">
        <v>10</v>
      </c>
      <c r="D483" s="17">
        <f>INDEX(Blk_c,MATCH(B483,Blk_St,0))</f>
      </c>
      <c r="E483" s="17">
        <f>INDEX(Bar_U,MATCH(C483,Bar_No,0))</f>
      </c>
      <c r="F483" s="17">
        <f>u_max-E483</f>
      </c>
      <c r="G483" s="20">
        <f>ecu*(1-F483/D483)</f>
      </c>
      <c r="H483" s="20">
        <f>MAX(0,-G483)</f>
      </c>
      <c r="I483" s="17">
        <f>MAX(MIN(Es*G483,fy),-fy)</f>
      </c>
      <c r="J483">
        <f>IF(E483&gt;=u_max-beta_1*D483-blk_tol,1,0)</f>
      </c>
      <c r="K483" s="17">
        <f>J483*sig_blk</f>
      </c>
      <c r="L483" s="17">
        <f>I483-K483</f>
      </c>
      <c r="M483" s="17">
        <f>INDEX(Bar_As,MATCH(C483,Bar_No,0))*L483/1000</f>
      </c>
      <c r="N483" s="17">
        <f>M483*INDEX(Bar_Y,MATCH(C483,Bar_No,0))/1000</f>
      </c>
      <c r="O483" s="17">
        <f>M483*INDEX(Bar_X,MATCH(C483,Bar_No,0))/1000</f>
      </c>
    </row>
    <row r="484" spans="2:15" x14ac:dyDescent="0.25">
      <c r="B484">
        <v>27</v>
      </c>
      <c r="C484">
        <v>11</v>
      </c>
      <c r="D484" s="17">
        <f>INDEX(Blk_c,MATCH(B484,Blk_St,0))</f>
      </c>
      <c r="E484" s="17">
        <f>INDEX(Bar_U,MATCH(C484,Bar_No,0))</f>
      </c>
      <c r="F484" s="17">
        <f>u_max-E484</f>
      </c>
      <c r="G484" s="20">
        <f>ecu*(1-F484/D484)</f>
      </c>
      <c r="H484" s="20">
        <f>MAX(0,-G484)</f>
      </c>
      <c r="I484" s="17">
        <f>MAX(MIN(Es*G484,fy),-fy)</f>
      </c>
      <c r="J484">
        <f>IF(E484&gt;=u_max-beta_1*D484-blk_tol,1,0)</f>
      </c>
      <c r="K484" s="17">
        <f>J484*sig_blk</f>
      </c>
      <c r="L484" s="17">
        <f>I484-K484</f>
      </c>
      <c r="M484" s="17">
        <f>INDEX(Bar_As,MATCH(C484,Bar_No,0))*L484/1000</f>
      </c>
      <c r="N484" s="17">
        <f>M484*INDEX(Bar_Y,MATCH(C484,Bar_No,0))/1000</f>
      </c>
      <c r="O484" s="17">
        <f>M484*INDEX(Bar_X,MATCH(C484,Bar_No,0))/1000</f>
      </c>
    </row>
    <row r="485" spans="2:15" x14ac:dyDescent="0.25">
      <c r="B485">
        <v>27</v>
      </c>
      <c r="C485">
        <v>12</v>
      </c>
      <c r="D485" s="17">
        <f>INDEX(Blk_c,MATCH(B485,Blk_St,0))</f>
      </c>
      <c r="E485" s="17">
        <f>INDEX(Bar_U,MATCH(C485,Bar_No,0))</f>
      </c>
      <c r="F485" s="17">
        <f>u_max-E485</f>
      </c>
      <c r="G485" s="20">
        <f>ecu*(1-F485/D485)</f>
      </c>
      <c r="H485" s="20">
        <f>MAX(0,-G485)</f>
      </c>
      <c r="I485" s="17">
        <f>MAX(MIN(Es*G485,fy),-fy)</f>
      </c>
      <c r="J485">
        <f>IF(E485&gt;=u_max-beta_1*D485-blk_tol,1,0)</f>
      </c>
      <c r="K485" s="17">
        <f>J485*sig_blk</f>
      </c>
      <c r="L485" s="17">
        <f>I485-K485</f>
      </c>
      <c r="M485" s="17">
        <f>INDEX(Bar_As,MATCH(C485,Bar_No,0))*L485/1000</f>
      </c>
      <c r="N485" s="17">
        <f>M485*INDEX(Bar_Y,MATCH(C485,Bar_No,0))/1000</f>
      </c>
      <c r="O485" s="17">
        <f>M485*INDEX(Bar_X,MATCH(C485,Bar_No,0))/1000</f>
      </c>
    </row>
    <row r="486" spans="2:15" x14ac:dyDescent="0.25">
      <c r="B486">
        <v>27</v>
      </c>
      <c r="C486">
        <v>13</v>
      </c>
      <c r="D486" s="17">
        <f>INDEX(Blk_c,MATCH(B486,Blk_St,0))</f>
      </c>
      <c r="E486" s="17">
        <f>INDEX(Bar_U,MATCH(C486,Bar_No,0))</f>
      </c>
      <c r="F486" s="17">
        <f>u_max-E486</f>
      </c>
      <c r="G486" s="20">
        <f>ecu*(1-F486/D486)</f>
      </c>
      <c r="H486" s="20">
        <f>MAX(0,-G486)</f>
      </c>
      <c r="I486" s="17">
        <f>MAX(MIN(Es*G486,fy),-fy)</f>
      </c>
      <c r="J486">
        <f>IF(E486&gt;=u_max-beta_1*D486-blk_tol,1,0)</f>
      </c>
      <c r="K486" s="17">
        <f>J486*sig_blk</f>
      </c>
      <c r="L486" s="17">
        <f>I486-K486</f>
      </c>
      <c r="M486" s="17">
        <f>INDEX(Bar_As,MATCH(C486,Bar_No,0))*L486/1000</f>
      </c>
      <c r="N486" s="17">
        <f>M486*INDEX(Bar_Y,MATCH(C486,Bar_No,0))/1000</f>
      </c>
      <c r="O486" s="17">
        <f>M486*INDEX(Bar_X,MATCH(C486,Bar_No,0))/1000</f>
      </c>
    </row>
    <row r="487" spans="2:15" x14ac:dyDescent="0.25">
      <c r="B487">
        <v>27</v>
      </c>
      <c r="C487">
        <v>14</v>
      </c>
      <c r="D487" s="17">
        <f>INDEX(Blk_c,MATCH(B487,Blk_St,0))</f>
      </c>
      <c r="E487" s="17">
        <f>INDEX(Bar_U,MATCH(C487,Bar_No,0))</f>
      </c>
      <c r="F487" s="17">
        <f>u_max-E487</f>
      </c>
      <c r="G487" s="20">
        <f>ecu*(1-F487/D487)</f>
      </c>
      <c r="H487" s="20">
        <f>MAX(0,-G487)</f>
      </c>
      <c r="I487" s="17">
        <f>MAX(MIN(Es*G487,fy),-fy)</f>
      </c>
      <c r="J487">
        <f>IF(E487&gt;=u_max-beta_1*D487-blk_tol,1,0)</f>
      </c>
      <c r="K487" s="17">
        <f>J487*sig_blk</f>
      </c>
      <c r="L487" s="17">
        <f>I487-K487</f>
      </c>
      <c r="M487" s="17">
        <f>INDEX(Bar_As,MATCH(C487,Bar_No,0))*L487/1000</f>
      </c>
      <c r="N487" s="17">
        <f>M487*INDEX(Bar_Y,MATCH(C487,Bar_No,0))/1000</f>
      </c>
      <c r="O487" s="17">
        <f>M487*INDEX(Bar_X,MATCH(C487,Bar_No,0))/1000</f>
      </c>
    </row>
    <row r="488" spans="2:15" x14ac:dyDescent="0.25">
      <c r="B488">
        <v>27</v>
      </c>
      <c r="C488">
        <v>15</v>
      </c>
      <c r="D488" s="17">
        <f>INDEX(Blk_c,MATCH(B488,Blk_St,0))</f>
      </c>
      <c r="E488" s="17">
        <f>INDEX(Bar_U,MATCH(C488,Bar_No,0))</f>
      </c>
      <c r="F488" s="17">
        <f>u_max-E488</f>
      </c>
      <c r="G488" s="20">
        <f>ecu*(1-F488/D488)</f>
      </c>
      <c r="H488" s="20">
        <f>MAX(0,-G488)</f>
      </c>
      <c r="I488" s="17">
        <f>MAX(MIN(Es*G488,fy),-fy)</f>
      </c>
      <c r="J488">
        <f>IF(E488&gt;=u_max-beta_1*D488-blk_tol,1,0)</f>
      </c>
      <c r="K488" s="17">
        <f>J488*sig_blk</f>
      </c>
      <c r="L488" s="17">
        <f>I488-K488</f>
      </c>
      <c r="M488" s="17">
        <f>INDEX(Bar_As,MATCH(C488,Bar_No,0))*L488/1000</f>
      </c>
      <c r="N488" s="17">
        <f>M488*INDEX(Bar_Y,MATCH(C488,Bar_No,0))/1000</f>
      </c>
      <c r="O488" s="17">
        <f>M488*INDEX(Bar_X,MATCH(C488,Bar_No,0))/1000</f>
      </c>
    </row>
    <row r="489" spans="2:15" x14ac:dyDescent="0.25">
      <c r="B489">
        <v>27</v>
      </c>
      <c r="C489">
        <v>16</v>
      </c>
      <c r="D489" s="17">
        <f>INDEX(Blk_c,MATCH(B489,Blk_St,0))</f>
      </c>
      <c r="E489" s="17">
        <f>INDEX(Bar_U,MATCH(C489,Bar_No,0))</f>
      </c>
      <c r="F489" s="17">
        <f>u_max-E489</f>
      </c>
      <c r="G489" s="20">
        <f>ecu*(1-F489/D489)</f>
      </c>
      <c r="H489" s="20">
        <f>MAX(0,-G489)</f>
      </c>
      <c r="I489" s="17">
        <f>MAX(MIN(Es*G489,fy),-fy)</f>
      </c>
      <c r="J489">
        <f>IF(E489&gt;=u_max-beta_1*D489-blk_tol,1,0)</f>
      </c>
      <c r="K489" s="17">
        <f>J489*sig_blk</f>
      </c>
      <c r="L489" s="17">
        <f>I489-K489</f>
      </c>
      <c r="M489" s="17">
        <f>INDEX(Bar_As,MATCH(C489,Bar_No,0))*L489/1000</f>
      </c>
      <c r="N489" s="17">
        <f>M489*INDEX(Bar_Y,MATCH(C489,Bar_No,0))/1000</f>
      </c>
      <c r="O489" s="17">
        <f>M489*INDEX(Bar_X,MATCH(C489,Bar_No,0))/1000</f>
      </c>
    </row>
    <row r="490" spans="2:15" x14ac:dyDescent="0.25">
      <c r="B490">
        <v>27</v>
      </c>
      <c r="C490">
        <v>17</v>
      </c>
      <c r="D490" s="17">
        <f>INDEX(Blk_c,MATCH(B490,Blk_St,0))</f>
      </c>
      <c r="E490" s="17">
        <f>INDEX(Bar_U,MATCH(C490,Bar_No,0))</f>
      </c>
      <c r="F490" s="17">
        <f>u_max-E490</f>
      </c>
      <c r="G490" s="20">
        <f>ecu*(1-F490/D490)</f>
      </c>
      <c r="H490" s="20">
        <f>MAX(0,-G490)</f>
      </c>
      <c r="I490" s="17">
        <f>MAX(MIN(Es*G490,fy),-fy)</f>
      </c>
      <c r="J490">
        <f>IF(E490&gt;=u_max-beta_1*D490-blk_tol,1,0)</f>
      </c>
      <c r="K490" s="17">
        <f>J490*sig_blk</f>
      </c>
      <c r="L490" s="17">
        <f>I490-K490</f>
      </c>
      <c r="M490" s="17">
        <f>INDEX(Bar_As,MATCH(C490,Bar_No,0))*L490/1000</f>
      </c>
      <c r="N490" s="17">
        <f>M490*INDEX(Bar_Y,MATCH(C490,Bar_No,0))/1000</f>
      </c>
      <c r="O490" s="17">
        <f>M490*INDEX(Bar_X,MATCH(C490,Bar_No,0))/1000</f>
      </c>
    </row>
    <row r="491" spans="2:15" x14ac:dyDescent="0.25">
      <c r="B491">
        <v>27</v>
      </c>
      <c r="C491">
        <v>18</v>
      </c>
      <c r="D491" s="17">
        <f>INDEX(Blk_c,MATCH(B491,Blk_St,0))</f>
      </c>
      <c r="E491" s="17">
        <f>INDEX(Bar_U,MATCH(C491,Bar_No,0))</f>
      </c>
      <c r="F491" s="17">
        <f>u_max-E491</f>
      </c>
      <c r="G491" s="20">
        <f>ecu*(1-F491/D491)</f>
      </c>
      <c r="H491" s="20">
        <f>MAX(0,-G491)</f>
      </c>
      <c r="I491" s="17">
        <f>MAX(MIN(Es*G491,fy),-fy)</f>
      </c>
      <c r="J491">
        <f>IF(E491&gt;=u_max-beta_1*D491-blk_tol,1,0)</f>
      </c>
      <c r="K491" s="17">
        <f>J491*sig_blk</f>
      </c>
      <c r="L491" s="17">
        <f>I491-K491</f>
      </c>
      <c r="M491" s="17">
        <f>INDEX(Bar_As,MATCH(C491,Bar_No,0))*L491/1000</f>
      </c>
      <c r="N491" s="17">
        <f>M491*INDEX(Bar_Y,MATCH(C491,Bar_No,0))/1000</f>
      </c>
      <c r="O491" s="17">
        <f>M491*INDEX(Bar_X,MATCH(C491,Bar_No,0))/1000</f>
      </c>
    </row>
    <row r="492" spans="2:15" x14ac:dyDescent="0.25">
      <c r="B492">
        <v>28</v>
      </c>
      <c r="C492">
        <v>1</v>
      </c>
      <c r="D492" s="17">
        <f>INDEX(Blk_c,MATCH(B492,Blk_St,0))</f>
      </c>
      <c r="E492" s="17">
        <f>INDEX(Bar_U,MATCH(C492,Bar_No,0))</f>
      </c>
      <c r="F492" s="17">
        <f>u_max-E492</f>
      </c>
      <c r="G492" s="20">
        <f>ecu*(1-F492/D492)</f>
      </c>
      <c r="H492" s="20">
        <f>MAX(0,-G492)</f>
      </c>
      <c r="I492" s="17">
        <f>MAX(MIN(Es*G492,fy),-fy)</f>
      </c>
      <c r="J492">
        <f>IF(E492&gt;=u_max-beta_1*D492-blk_tol,1,0)</f>
      </c>
      <c r="K492" s="17">
        <f>J492*sig_blk</f>
      </c>
      <c r="L492" s="17">
        <f>I492-K492</f>
      </c>
      <c r="M492" s="17">
        <f>INDEX(Bar_As,MATCH(C492,Bar_No,0))*L492/1000</f>
      </c>
      <c r="N492" s="17">
        <f>M492*INDEX(Bar_Y,MATCH(C492,Bar_No,0))/1000</f>
      </c>
      <c r="O492" s="17">
        <f>M492*INDEX(Bar_X,MATCH(C492,Bar_No,0))/1000</f>
      </c>
    </row>
    <row r="493" spans="2:15" x14ac:dyDescent="0.25">
      <c r="B493">
        <v>28</v>
      </c>
      <c r="C493">
        <v>2</v>
      </c>
      <c r="D493" s="17">
        <f>INDEX(Blk_c,MATCH(B493,Blk_St,0))</f>
      </c>
      <c r="E493" s="17">
        <f>INDEX(Bar_U,MATCH(C493,Bar_No,0))</f>
      </c>
      <c r="F493" s="17">
        <f>u_max-E493</f>
      </c>
      <c r="G493" s="20">
        <f>ecu*(1-F493/D493)</f>
      </c>
      <c r="H493" s="20">
        <f>MAX(0,-G493)</f>
      </c>
      <c r="I493" s="17">
        <f>MAX(MIN(Es*G493,fy),-fy)</f>
      </c>
      <c r="J493">
        <f>IF(E493&gt;=u_max-beta_1*D493-blk_tol,1,0)</f>
      </c>
      <c r="K493" s="17">
        <f>J493*sig_blk</f>
      </c>
      <c r="L493" s="17">
        <f>I493-K493</f>
      </c>
      <c r="M493" s="17">
        <f>INDEX(Bar_As,MATCH(C493,Bar_No,0))*L493/1000</f>
      </c>
      <c r="N493" s="17">
        <f>M493*INDEX(Bar_Y,MATCH(C493,Bar_No,0))/1000</f>
      </c>
      <c r="O493" s="17">
        <f>M493*INDEX(Bar_X,MATCH(C493,Bar_No,0))/1000</f>
      </c>
    </row>
    <row r="494" spans="2:15" x14ac:dyDescent="0.25">
      <c r="B494">
        <v>28</v>
      </c>
      <c r="C494">
        <v>3</v>
      </c>
      <c r="D494" s="17">
        <f>INDEX(Blk_c,MATCH(B494,Blk_St,0))</f>
      </c>
      <c r="E494" s="17">
        <f>INDEX(Bar_U,MATCH(C494,Bar_No,0))</f>
      </c>
      <c r="F494" s="17">
        <f>u_max-E494</f>
      </c>
      <c r="G494" s="20">
        <f>ecu*(1-F494/D494)</f>
      </c>
      <c r="H494" s="20">
        <f>MAX(0,-G494)</f>
      </c>
      <c r="I494" s="17">
        <f>MAX(MIN(Es*G494,fy),-fy)</f>
      </c>
      <c r="J494">
        <f>IF(E494&gt;=u_max-beta_1*D494-blk_tol,1,0)</f>
      </c>
      <c r="K494" s="17">
        <f>J494*sig_blk</f>
      </c>
      <c r="L494" s="17">
        <f>I494-K494</f>
      </c>
      <c r="M494" s="17">
        <f>INDEX(Bar_As,MATCH(C494,Bar_No,0))*L494/1000</f>
      </c>
      <c r="N494" s="17">
        <f>M494*INDEX(Bar_Y,MATCH(C494,Bar_No,0))/1000</f>
      </c>
      <c r="O494" s="17">
        <f>M494*INDEX(Bar_X,MATCH(C494,Bar_No,0))/1000</f>
      </c>
    </row>
    <row r="495" spans="2:15" x14ac:dyDescent="0.25">
      <c r="B495">
        <v>28</v>
      </c>
      <c r="C495">
        <v>4</v>
      </c>
      <c r="D495" s="17">
        <f>INDEX(Blk_c,MATCH(B495,Blk_St,0))</f>
      </c>
      <c r="E495" s="17">
        <f>INDEX(Bar_U,MATCH(C495,Bar_No,0))</f>
      </c>
      <c r="F495" s="17">
        <f>u_max-E495</f>
      </c>
      <c r="G495" s="20">
        <f>ecu*(1-F495/D495)</f>
      </c>
      <c r="H495" s="20">
        <f>MAX(0,-G495)</f>
      </c>
      <c r="I495" s="17">
        <f>MAX(MIN(Es*G495,fy),-fy)</f>
      </c>
      <c r="J495">
        <f>IF(E495&gt;=u_max-beta_1*D495-blk_tol,1,0)</f>
      </c>
      <c r="K495" s="17">
        <f>J495*sig_blk</f>
      </c>
      <c r="L495" s="17">
        <f>I495-K495</f>
      </c>
      <c r="M495" s="17">
        <f>INDEX(Bar_As,MATCH(C495,Bar_No,0))*L495/1000</f>
      </c>
      <c r="N495" s="17">
        <f>M495*INDEX(Bar_Y,MATCH(C495,Bar_No,0))/1000</f>
      </c>
      <c r="O495" s="17">
        <f>M495*INDEX(Bar_X,MATCH(C495,Bar_No,0))/1000</f>
      </c>
    </row>
    <row r="496" spans="2:15" x14ac:dyDescent="0.25">
      <c r="B496">
        <v>28</v>
      </c>
      <c r="C496">
        <v>5</v>
      </c>
      <c r="D496" s="17">
        <f>INDEX(Blk_c,MATCH(B496,Blk_St,0))</f>
      </c>
      <c r="E496" s="17">
        <f>INDEX(Bar_U,MATCH(C496,Bar_No,0))</f>
      </c>
      <c r="F496" s="17">
        <f>u_max-E496</f>
      </c>
      <c r="G496" s="20">
        <f>ecu*(1-F496/D496)</f>
      </c>
      <c r="H496" s="20">
        <f>MAX(0,-G496)</f>
      </c>
      <c r="I496" s="17">
        <f>MAX(MIN(Es*G496,fy),-fy)</f>
      </c>
      <c r="J496">
        <f>IF(E496&gt;=u_max-beta_1*D496-blk_tol,1,0)</f>
      </c>
      <c r="K496" s="17">
        <f>J496*sig_blk</f>
      </c>
      <c r="L496" s="17">
        <f>I496-K496</f>
      </c>
      <c r="M496" s="17">
        <f>INDEX(Bar_As,MATCH(C496,Bar_No,0))*L496/1000</f>
      </c>
      <c r="N496" s="17">
        <f>M496*INDEX(Bar_Y,MATCH(C496,Bar_No,0))/1000</f>
      </c>
      <c r="O496" s="17">
        <f>M496*INDEX(Bar_X,MATCH(C496,Bar_No,0))/1000</f>
      </c>
    </row>
    <row r="497" spans="2:15" x14ac:dyDescent="0.25">
      <c r="B497">
        <v>28</v>
      </c>
      <c r="C497">
        <v>6</v>
      </c>
      <c r="D497" s="17">
        <f>INDEX(Blk_c,MATCH(B497,Blk_St,0))</f>
      </c>
      <c r="E497" s="17">
        <f>INDEX(Bar_U,MATCH(C497,Bar_No,0))</f>
      </c>
      <c r="F497" s="17">
        <f>u_max-E497</f>
      </c>
      <c r="G497" s="20">
        <f>ecu*(1-F497/D497)</f>
      </c>
      <c r="H497" s="20">
        <f>MAX(0,-G497)</f>
      </c>
      <c r="I497" s="17">
        <f>MAX(MIN(Es*G497,fy),-fy)</f>
      </c>
      <c r="J497">
        <f>IF(E497&gt;=u_max-beta_1*D497-blk_tol,1,0)</f>
      </c>
      <c r="K497" s="17">
        <f>J497*sig_blk</f>
      </c>
      <c r="L497" s="17">
        <f>I497-K497</f>
      </c>
      <c r="M497" s="17">
        <f>INDEX(Bar_As,MATCH(C497,Bar_No,0))*L497/1000</f>
      </c>
      <c r="N497" s="17">
        <f>M497*INDEX(Bar_Y,MATCH(C497,Bar_No,0))/1000</f>
      </c>
      <c r="O497" s="17">
        <f>M497*INDEX(Bar_X,MATCH(C497,Bar_No,0))/1000</f>
      </c>
    </row>
    <row r="498" spans="2:15" x14ac:dyDescent="0.25">
      <c r="B498">
        <v>28</v>
      </c>
      <c r="C498">
        <v>7</v>
      </c>
      <c r="D498" s="17">
        <f>INDEX(Blk_c,MATCH(B498,Blk_St,0))</f>
      </c>
      <c r="E498" s="17">
        <f>INDEX(Bar_U,MATCH(C498,Bar_No,0))</f>
      </c>
      <c r="F498" s="17">
        <f>u_max-E498</f>
      </c>
      <c r="G498" s="20">
        <f>ecu*(1-F498/D498)</f>
      </c>
      <c r="H498" s="20">
        <f>MAX(0,-G498)</f>
      </c>
      <c r="I498" s="17">
        <f>MAX(MIN(Es*G498,fy),-fy)</f>
      </c>
      <c r="J498">
        <f>IF(E498&gt;=u_max-beta_1*D498-blk_tol,1,0)</f>
      </c>
      <c r="K498" s="17">
        <f>J498*sig_blk</f>
      </c>
      <c r="L498" s="17">
        <f>I498-K498</f>
      </c>
      <c r="M498" s="17">
        <f>INDEX(Bar_As,MATCH(C498,Bar_No,0))*L498/1000</f>
      </c>
      <c r="N498" s="17">
        <f>M498*INDEX(Bar_Y,MATCH(C498,Bar_No,0))/1000</f>
      </c>
      <c r="O498" s="17">
        <f>M498*INDEX(Bar_X,MATCH(C498,Bar_No,0))/1000</f>
      </c>
    </row>
    <row r="499" spans="2:15" x14ac:dyDescent="0.25">
      <c r="B499">
        <v>28</v>
      </c>
      <c r="C499">
        <v>8</v>
      </c>
      <c r="D499" s="17">
        <f>INDEX(Blk_c,MATCH(B499,Blk_St,0))</f>
      </c>
      <c r="E499" s="17">
        <f>INDEX(Bar_U,MATCH(C499,Bar_No,0))</f>
      </c>
      <c r="F499" s="17">
        <f>u_max-E499</f>
      </c>
      <c r="G499" s="20">
        <f>ecu*(1-F499/D499)</f>
      </c>
      <c r="H499" s="20">
        <f>MAX(0,-G499)</f>
      </c>
      <c r="I499" s="17">
        <f>MAX(MIN(Es*G499,fy),-fy)</f>
      </c>
      <c r="J499">
        <f>IF(E499&gt;=u_max-beta_1*D499-blk_tol,1,0)</f>
      </c>
      <c r="K499" s="17">
        <f>J499*sig_blk</f>
      </c>
      <c r="L499" s="17">
        <f>I499-K499</f>
      </c>
      <c r="M499" s="17">
        <f>INDEX(Bar_As,MATCH(C499,Bar_No,0))*L499/1000</f>
      </c>
      <c r="N499" s="17">
        <f>M499*INDEX(Bar_Y,MATCH(C499,Bar_No,0))/1000</f>
      </c>
      <c r="O499" s="17">
        <f>M499*INDEX(Bar_X,MATCH(C499,Bar_No,0))/1000</f>
      </c>
    </row>
    <row r="500" spans="2:15" x14ac:dyDescent="0.25">
      <c r="B500">
        <v>28</v>
      </c>
      <c r="C500">
        <v>9</v>
      </c>
      <c r="D500" s="17">
        <f>INDEX(Blk_c,MATCH(B500,Blk_St,0))</f>
      </c>
      <c r="E500" s="17">
        <f>INDEX(Bar_U,MATCH(C500,Bar_No,0))</f>
      </c>
      <c r="F500" s="17">
        <f>u_max-E500</f>
      </c>
      <c r="G500" s="20">
        <f>ecu*(1-F500/D500)</f>
      </c>
      <c r="H500" s="20">
        <f>MAX(0,-G500)</f>
      </c>
      <c r="I500" s="17">
        <f>MAX(MIN(Es*G500,fy),-fy)</f>
      </c>
      <c r="J500">
        <f>IF(E500&gt;=u_max-beta_1*D500-blk_tol,1,0)</f>
      </c>
      <c r="K500" s="17">
        <f>J500*sig_blk</f>
      </c>
      <c r="L500" s="17">
        <f>I500-K500</f>
      </c>
      <c r="M500" s="17">
        <f>INDEX(Bar_As,MATCH(C500,Bar_No,0))*L500/1000</f>
      </c>
      <c r="N500" s="17">
        <f>M500*INDEX(Bar_Y,MATCH(C500,Bar_No,0))/1000</f>
      </c>
      <c r="O500" s="17">
        <f>M500*INDEX(Bar_X,MATCH(C500,Bar_No,0))/1000</f>
      </c>
    </row>
    <row r="501" spans="2:15" x14ac:dyDescent="0.25">
      <c r="B501">
        <v>28</v>
      </c>
      <c r="C501">
        <v>10</v>
      </c>
      <c r="D501" s="17">
        <f>INDEX(Blk_c,MATCH(B501,Blk_St,0))</f>
      </c>
      <c r="E501" s="17">
        <f>INDEX(Bar_U,MATCH(C501,Bar_No,0))</f>
      </c>
      <c r="F501" s="17">
        <f>u_max-E501</f>
      </c>
      <c r="G501" s="20">
        <f>ecu*(1-F501/D501)</f>
      </c>
      <c r="H501" s="20">
        <f>MAX(0,-G501)</f>
      </c>
      <c r="I501" s="17">
        <f>MAX(MIN(Es*G501,fy),-fy)</f>
      </c>
      <c r="J501">
        <f>IF(E501&gt;=u_max-beta_1*D501-blk_tol,1,0)</f>
      </c>
      <c r="K501" s="17">
        <f>J501*sig_blk</f>
      </c>
      <c r="L501" s="17">
        <f>I501-K501</f>
      </c>
      <c r="M501" s="17">
        <f>INDEX(Bar_As,MATCH(C501,Bar_No,0))*L501/1000</f>
      </c>
      <c r="N501" s="17">
        <f>M501*INDEX(Bar_Y,MATCH(C501,Bar_No,0))/1000</f>
      </c>
      <c r="O501" s="17">
        <f>M501*INDEX(Bar_X,MATCH(C501,Bar_No,0))/1000</f>
      </c>
    </row>
    <row r="502" spans="2:15" x14ac:dyDescent="0.25">
      <c r="B502">
        <v>28</v>
      </c>
      <c r="C502">
        <v>11</v>
      </c>
      <c r="D502" s="17">
        <f>INDEX(Blk_c,MATCH(B502,Blk_St,0))</f>
      </c>
      <c r="E502" s="17">
        <f>INDEX(Bar_U,MATCH(C502,Bar_No,0))</f>
      </c>
      <c r="F502" s="17">
        <f>u_max-E502</f>
      </c>
      <c r="G502" s="20">
        <f>ecu*(1-F502/D502)</f>
      </c>
      <c r="H502" s="20">
        <f>MAX(0,-G502)</f>
      </c>
      <c r="I502" s="17">
        <f>MAX(MIN(Es*G502,fy),-fy)</f>
      </c>
      <c r="J502">
        <f>IF(E502&gt;=u_max-beta_1*D502-blk_tol,1,0)</f>
      </c>
      <c r="K502" s="17">
        <f>J502*sig_blk</f>
      </c>
      <c r="L502" s="17">
        <f>I502-K502</f>
      </c>
      <c r="M502" s="17">
        <f>INDEX(Bar_As,MATCH(C502,Bar_No,0))*L502/1000</f>
      </c>
      <c r="N502" s="17">
        <f>M502*INDEX(Bar_Y,MATCH(C502,Bar_No,0))/1000</f>
      </c>
      <c r="O502" s="17">
        <f>M502*INDEX(Bar_X,MATCH(C502,Bar_No,0))/1000</f>
      </c>
    </row>
    <row r="503" spans="2:15" x14ac:dyDescent="0.25">
      <c r="B503">
        <v>28</v>
      </c>
      <c r="C503">
        <v>12</v>
      </c>
      <c r="D503" s="17">
        <f>INDEX(Blk_c,MATCH(B503,Blk_St,0))</f>
      </c>
      <c r="E503" s="17">
        <f>INDEX(Bar_U,MATCH(C503,Bar_No,0))</f>
      </c>
      <c r="F503" s="17">
        <f>u_max-E503</f>
      </c>
      <c r="G503" s="20">
        <f>ecu*(1-F503/D503)</f>
      </c>
      <c r="H503" s="20">
        <f>MAX(0,-G503)</f>
      </c>
      <c r="I503" s="17">
        <f>MAX(MIN(Es*G503,fy),-fy)</f>
      </c>
      <c r="J503">
        <f>IF(E503&gt;=u_max-beta_1*D503-blk_tol,1,0)</f>
      </c>
      <c r="K503" s="17">
        <f>J503*sig_blk</f>
      </c>
      <c r="L503" s="17">
        <f>I503-K503</f>
      </c>
      <c r="M503" s="17">
        <f>INDEX(Bar_As,MATCH(C503,Bar_No,0))*L503/1000</f>
      </c>
      <c r="N503" s="17">
        <f>M503*INDEX(Bar_Y,MATCH(C503,Bar_No,0))/1000</f>
      </c>
      <c r="O503" s="17">
        <f>M503*INDEX(Bar_X,MATCH(C503,Bar_No,0))/1000</f>
      </c>
    </row>
    <row r="504" spans="2:15" x14ac:dyDescent="0.25">
      <c r="B504">
        <v>28</v>
      </c>
      <c r="C504">
        <v>13</v>
      </c>
      <c r="D504" s="17">
        <f>INDEX(Blk_c,MATCH(B504,Blk_St,0))</f>
      </c>
      <c r="E504" s="17">
        <f>INDEX(Bar_U,MATCH(C504,Bar_No,0))</f>
      </c>
      <c r="F504" s="17">
        <f>u_max-E504</f>
      </c>
      <c r="G504" s="20">
        <f>ecu*(1-F504/D504)</f>
      </c>
      <c r="H504" s="20">
        <f>MAX(0,-G504)</f>
      </c>
      <c r="I504" s="17">
        <f>MAX(MIN(Es*G504,fy),-fy)</f>
      </c>
      <c r="J504">
        <f>IF(E504&gt;=u_max-beta_1*D504-blk_tol,1,0)</f>
      </c>
      <c r="K504" s="17">
        <f>J504*sig_blk</f>
      </c>
      <c r="L504" s="17">
        <f>I504-K504</f>
      </c>
      <c r="M504" s="17">
        <f>INDEX(Bar_As,MATCH(C504,Bar_No,0))*L504/1000</f>
      </c>
      <c r="N504" s="17">
        <f>M504*INDEX(Bar_Y,MATCH(C504,Bar_No,0))/1000</f>
      </c>
      <c r="O504" s="17">
        <f>M504*INDEX(Bar_X,MATCH(C504,Bar_No,0))/1000</f>
      </c>
    </row>
    <row r="505" spans="2:15" x14ac:dyDescent="0.25">
      <c r="B505">
        <v>28</v>
      </c>
      <c r="C505">
        <v>14</v>
      </c>
      <c r="D505" s="17">
        <f>INDEX(Blk_c,MATCH(B505,Blk_St,0))</f>
      </c>
      <c r="E505" s="17">
        <f>INDEX(Bar_U,MATCH(C505,Bar_No,0))</f>
      </c>
      <c r="F505" s="17">
        <f>u_max-E505</f>
      </c>
      <c r="G505" s="20">
        <f>ecu*(1-F505/D505)</f>
      </c>
      <c r="H505" s="20">
        <f>MAX(0,-G505)</f>
      </c>
      <c r="I505" s="17">
        <f>MAX(MIN(Es*G505,fy),-fy)</f>
      </c>
      <c r="J505">
        <f>IF(E505&gt;=u_max-beta_1*D505-blk_tol,1,0)</f>
      </c>
      <c r="K505" s="17">
        <f>J505*sig_blk</f>
      </c>
      <c r="L505" s="17">
        <f>I505-K505</f>
      </c>
      <c r="M505" s="17">
        <f>INDEX(Bar_As,MATCH(C505,Bar_No,0))*L505/1000</f>
      </c>
      <c r="N505" s="17">
        <f>M505*INDEX(Bar_Y,MATCH(C505,Bar_No,0))/1000</f>
      </c>
      <c r="O505" s="17">
        <f>M505*INDEX(Bar_X,MATCH(C505,Bar_No,0))/1000</f>
      </c>
    </row>
    <row r="506" spans="2:15" x14ac:dyDescent="0.25">
      <c r="B506">
        <v>28</v>
      </c>
      <c r="C506">
        <v>15</v>
      </c>
      <c r="D506" s="17">
        <f>INDEX(Blk_c,MATCH(B506,Blk_St,0))</f>
      </c>
      <c r="E506" s="17">
        <f>INDEX(Bar_U,MATCH(C506,Bar_No,0))</f>
      </c>
      <c r="F506" s="17">
        <f>u_max-E506</f>
      </c>
      <c r="G506" s="20">
        <f>ecu*(1-F506/D506)</f>
      </c>
      <c r="H506" s="20">
        <f>MAX(0,-G506)</f>
      </c>
      <c r="I506" s="17">
        <f>MAX(MIN(Es*G506,fy),-fy)</f>
      </c>
      <c r="J506">
        <f>IF(E506&gt;=u_max-beta_1*D506-blk_tol,1,0)</f>
      </c>
      <c r="K506" s="17">
        <f>J506*sig_blk</f>
      </c>
      <c r="L506" s="17">
        <f>I506-K506</f>
      </c>
      <c r="M506" s="17">
        <f>INDEX(Bar_As,MATCH(C506,Bar_No,0))*L506/1000</f>
      </c>
      <c r="N506" s="17">
        <f>M506*INDEX(Bar_Y,MATCH(C506,Bar_No,0))/1000</f>
      </c>
      <c r="O506" s="17">
        <f>M506*INDEX(Bar_X,MATCH(C506,Bar_No,0))/1000</f>
      </c>
    </row>
    <row r="507" spans="2:15" x14ac:dyDescent="0.25">
      <c r="B507">
        <v>28</v>
      </c>
      <c r="C507">
        <v>16</v>
      </c>
      <c r="D507" s="17">
        <f>INDEX(Blk_c,MATCH(B507,Blk_St,0))</f>
      </c>
      <c r="E507" s="17">
        <f>INDEX(Bar_U,MATCH(C507,Bar_No,0))</f>
      </c>
      <c r="F507" s="17">
        <f>u_max-E507</f>
      </c>
      <c r="G507" s="20">
        <f>ecu*(1-F507/D507)</f>
      </c>
      <c r="H507" s="20">
        <f>MAX(0,-G507)</f>
      </c>
      <c r="I507" s="17">
        <f>MAX(MIN(Es*G507,fy),-fy)</f>
      </c>
      <c r="J507">
        <f>IF(E507&gt;=u_max-beta_1*D507-blk_tol,1,0)</f>
      </c>
      <c r="K507" s="17">
        <f>J507*sig_blk</f>
      </c>
      <c r="L507" s="17">
        <f>I507-K507</f>
      </c>
      <c r="M507" s="17">
        <f>INDEX(Bar_As,MATCH(C507,Bar_No,0))*L507/1000</f>
      </c>
      <c r="N507" s="17">
        <f>M507*INDEX(Bar_Y,MATCH(C507,Bar_No,0))/1000</f>
      </c>
      <c r="O507" s="17">
        <f>M507*INDEX(Bar_X,MATCH(C507,Bar_No,0))/1000</f>
      </c>
    </row>
    <row r="508" spans="2:15" x14ac:dyDescent="0.25">
      <c r="B508">
        <v>28</v>
      </c>
      <c r="C508">
        <v>17</v>
      </c>
      <c r="D508" s="17">
        <f>INDEX(Blk_c,MATCH(B508,Blk_St,0))</f>
      </c>
      <c r="E508" s="17">
        <f>INDEX(Bar_U,MATCH(C508,Bar_No,0))</f>
      </c>
      <c r="F508" s="17">
        <f>u_max-E508</f>
      </c>
      <c r="G508" s="20">
        <f>ecu*(1-F508/D508)</f>
      </c>
      <c r="H508" s="20">
        <f>MAX(0,-G508)</f>
      </c>
      <c r="I508" s="17">
        <f>MAX(MIN(Es*G508,fy),-fy)</f>
      </c>
      <c r="J508">
        <f>IF(E508&gt;=u_max-beta_1*D508-blk_tol,1,0)</f>
      </c>
      <c r="K508" s="17">
        <f>J508*sig_blk</f>
      </c>
      <c r="L508" s="17">
        <f>I508-K508</f>
      </c>
      <c r="M508" s="17">
        <f>INDEX(Bar_As,MATCH(C508,Bar_No,0))*L508/1000</f>
      </c>
      <c r="N508" s="17">
        <f>M508*INDEX(Bar_Y,MATCH(C508,Bar_No,0))/1000</f>
      </c>
      <c r="O508" s="17">
        <f>M508*INDEX(Bar_X,MATCH(C508,Bar_No,0))/1000</f>
      </c>
    </row>
    <row r="509" spans="2:15" x14ac:dyDescent="0.25">
      <c r="B509">
        <v>28</v>
      </c>
      <c r="C509">
        <v>18</v>
      </c>
      <c r="D509" s="17">
        <f>INDEX(Blk_c,MATCH(B509,Blk_St,0))</f>
      </c>
      <c r="E509" s="17">
        <f>INDEX(Bar_U,MATCH(C509,Bar_No,0))</f>
      </c>
      <c r="F509" s="17">
        <f>u_max-E509</f>
      </c>
      <c r="G509" s="20">
        <f>ecu*(1-F509/D509)</f>
      </c>
      <c r="H509" s="20">
        <f>MAX(0,-G509)</f>
      </c>
      <c r="I509" s="17">
        <f>MAX(MIN(Es*G509,fy),-fy)</f>
      </c>
      <c r="J509">
        <f>IF(E509&gt;=u_max-beta_1*D509-blk_tol,1,0)</f>
      </c>
      <c r="K509" s="17">
        <f>J509*sig_blk</f>
      </c>
      <c r="L509" s="17">
        <f>I509-K509</f>
      </c>
      <c r="M509" s="17">
        <f>INDEX(Bar_As,MATCH(C509,Bar_No,0))*L509/1000</f>
      </c>
      <c r="N509" s="17">
        <f>M509*INDEX(Bar_Y,MATCH(C509,Bar_No,0))/1000</f>
      </c>
      <c r="O509" s="17">
        <f>M509*INDEX(Bar_X,MATCH(C509,Bar_No,0))/1000</f>
      </c>
    </row>
    <row r="510" spans="2:15" x14ac:dyDescent="0.25">
      <c r="B510">
        <v>29</v>
      </c>
      <c r="C510">
        <v>1</v>
      </c>
      <c r="D510" s="17">
        <f>INDEX(Blk_c,MATCH(B510,Blk_St,0))</f>
      </c>
      <c r="E510" s="17">
        <f>INDEX(Bar_U,MATCH(C510,Bar_No,0))</f>
      </c>
      <c r="F510" s="17">
        <f>u_max-E510</f>
      </c>
      <c r="G510" s="20">
        <f>ecu*(1-F510/D510)</f>
      </c>
      <c r="H510" s="20">
        <f>MAX(0,-G510)</f>
      </c>
      <c r="I510" s="17">
        <f>MAX(MIN(Es*G510,fy),-fy)</f>
      </c>
      <c r="J510">
        <f>IF(E510&gt;=u_max-beta_1*D510-blk_tol,1,0)</f>
      </c>
      <c r="K510" s="17">
        <f>J510*sig_blk</f>
      </c>
      <c r="L510" s="17">
        <f>I510-K510</f>
      </c>
      <c r="M510" s="17">
        <f>INDEX(Bar_As,MATCH(C510,Bar_No,0))*L510/1000</f>
      </c>
      <c r="N510" s="17">
        <f>M510*INDEX(Bar_Y,MATCH(C510,Bar_No,0))/1000</f>
      </c>
      <c r="O510" s="17">
        <f>M510*INDEX(Bar_X,MATCH(C510,Bar_No,0))/1000</f>
      </c>
    </row>
    <row r="511" spans="2:15" x14ac:dyDescent="0.25">
      <c r="B511">
        <v>29</v>
      </c>
      <c r="C511">
        <v>2</v>
      </c>
      <c r="D511" s="17">
        <f>INDEX(Blk_c,MATCH(B511,Blk_St,0))</f>
      </c>
      <c r="E511" s="17">
        <f>INDEX(Bar_U,MATCH(C511,Bar_No,0))</f>
      </c>
      <c r="F511" s="17">
        <f>u_max-E511</f>
      </c>
      <c r="G511" s="20">
        <f>ecu*(1-F511/D511)</f>
      </c>
      <c r="H511" s="20">
        <f>MAX(0,-G511)</f>
      </c>
      <c r="I511" s="17">
        <f>MAX(MIN(Es*G511,fy),-fy)</f>
      </c>
      <c r="J511">
        <f>IF(E511&gt;=u_max-beta_1*D511-blk_tol,1,0)</f>
      </c>
      <c r="K511" s="17">
        <f>J511*sig_blk</f>
      </c>
      <c r="L511" s="17">
        <f>I511-K511</f>
      </c>
      <c r="M511" s="17">
        <f>INDEX(Bar_As,MATCH(C511,Bar_No,0))*L511/1000</f>
      </c>
      <c r="N511" s="17">
        <f>M511*INDEX(Bar_Y,MATCH(C511,Bar_No,0))/1000</f>
      </c>
      <c r="O511" s="17">
        <f>M511*INDEX(Bar_X,MATCH(C511,Bar_No,0))/1000</f>
      </c>
    </row>
    <row r="512" spans="2:15" x14ac:dyDescent="0.25">
      <c r="B512">
        <v>29</v>
      </c>
      <c r="C512">
        <v>3</v>
      </c>
      <c r="D512" s="17">
        <f>INDEX(Blk_c,MATCH(B512,Blk_St,0))</f>
      </c>
      <c r="E512" s="17">
        <f>INDEX(Bar_U,MATCH(C512,Bar_No,0))</f>
      </c>
      <c r="F512" s="17">
        <f>u_max-E512</f>
      </c>
      <c r="G512" s="20">
        <f>ecu*(1-F512/D512)</f>
      </c>
      <c r="H512" s="20">
        <f>MAX(0,-G512)</f>
      </c>
      <c r="I512" s="17">
        <f>MAX(MIN(Es*G512,fy),-fy)</f>
      </c>
      <c r="J512">
        <f>IF(E512&gt;=u_max-beta_1*D512-blk_tol,1,0)</f>
      </c>
      <c r="K512" s="17">
        <f>J512*sig_blk</f>
      </c>
      <c r="L512" s="17">
        <f>I512-K512</f>
      </c>
      <c r="M512" s="17">
        <f>INDEX(Bar_As,MATCH(C512,Bar_No,0))*L512/1000</f>
      </c>
      <c r="N512" s="17">
        <f>M512*INDEX(Bar_Y,MATCH(C512,Bar_No,0))/1000</f>
      </c>
      <c r="O512" s="17">
        <f>M512*INDEX(Bar_X,MATCH(C512,Bar_No,0))/1000</f>
      </c>
    </row>
    <row r="513" spans="2:15" x14ac:dyDescent="0.25">
      <c r="B513">
        <v>29</v>
      </c>
      <c r="C513">
        <v>4</v>
      </c>
      <c r="D513" s="17">
        <f>INDEX(Blk_c,MATCH(B513,Blk_St,0))</f>
      </c>
      <c r="E513" s="17">
        <f>INDEX(Bar_U,MATCH(C513,Bar_No,0))</f>
      </c>
      <c r="F513" s="17">
        <f>u_max-E513</f>
      </c>
      <c r="G513" s="20">
        <f>ecu*(1-F513/D513)</f>
      </c>
      <c r="H513" s="20">
        <f>MAX(0,-G513)</f>
      </c>
      <c r="I513" s="17">
        <f>MAX(MIN(Es*G513,fy),-fy)</f>
      </c>
      <c r="J513">
        <f>IF(E513&gt;=u_max-beta_1*D513-blk_tol,1,0)</f>
      </c>
      <c r="K513" s="17">
        <f>J513*sig_blk</f>
      </c>
      <c r="L513" s="17">
        <f>I513-K513</f>
      </c>
      <c r="M513" s="17">
        <f>INDEX(Bar_As,MATCH(C513,Bar_No,0))*L513/1000</f>
      </c>
      <c r="N513" s="17">
        <f>M513*INDEX(Bar_Y,MATCH(C513,Bar_No,0))/1000</f>
      </c>
      <c r="O513" s="17">
        <f>M513*INDEX(Bar_X,MATCH(C513,Bar_No,0))/1000</f>
      </c>
    </row>
    <row r="514" spans="2:15" x14ac:dyDescent="0.25">
      <c r="B514">
        <v>29</v>
      </c>
      <c r="C514">
        <v>5</v>
      </c>
      <c r="D514" s="17">
        <f>INDEX(Blk_c,MATCH(B514,Blk_St,0))</f>
      </c>
      <c r="E514" s="17">
        <f>INDEX(Bar_U,MATCH(C514,Bar_No,0))</f>
      </c>
      <c r="F514" s="17">
        <f>u_max-E514</f>
      </c>
      <c r="G514" s="20">
        <f>ecu*(1-F514/D514)</f>
      </c>
      <c r="H514" s="20">
        <f>MAX(0,-G514)</f>
      </c>
      <c r="I514" s="17">
        <f>MAX(MIN(Es*G514,fy),-fy)</f>
      </c>
      <c r="J514">
        <f>IF(E514&gt;=u_max-beta_1*D514-blk_tol,1,0)</f>
      </c>
      <c r="K514" s="17">
        <f>J514*sig_blk</f>
      </c>
      <c r="L514" s="17">
        <f>I514-K514</f>
      </c>
      <c r="M514" s="17">
        <f>INDEX(Bar_As,MATCH(C514,Bar_No,0))*L514/1000</f>
      </c>
      <c r="N514" s="17">
        <f>M514*INDEX(Bar_Y,MATCH(C514,Bar_No,0))/1000</f>
      </c>
      <c r="O514" s="17">
        <f>M514*INDEX(Bar_X,MATCH(C514,Bar_No,0))/1000</f>
      </c>
    </row>
    <row r="515" spans="2:15" x14ac:dyDescent="0.25">
      <c r="B515">
        <v>29</v>
      </c>
      <c r="C515">
        <v>6</v>
      </c>
      <c r="D515" s="17">
        <f>INDEX(Blk_c,MATCH(B515,Blk_St,0))</f>
      </c>
      <c r="E515" s="17">
        <f>INDEX(Bar_U,MATCH(C515,Bar_No,0))</f>
      </c>
      <c r="F515" s="17">
        <f>u_max-E515</f>
      </c>
      <c r="G515" s="20">
        <f>ecu*(1-F515/D515)</f>
      </c>
      <c r="H515" s="20">
        <f>MAX(0,-G515)</f>
      </c>
      <c r="I515" s="17">
        <f>MAX(MIN(Es*G515,fy),-fy)</f>
      </c>
      <c r="J515">
        <f>IF(E515&gt;=u_max-beta_1*D515-blk_tol,1,0)</f>
      </c>
      <c r="K515" s="17">
        <f>J515*sig_blk</f>
      </c>
      <c r="L515" s="17">
        <f>I515-K515</f>
      </c>
      <c r="M515" s="17">
        <f>INDEX(Bar_As,MATCH(C515,Bar_No,0))*L515/1000</f>
      </c>
      <c r="N515" s="17">
        <f>M515*INDEX(Bar_Y,MATCH(C515,Bar_No,0))/1000</f>
      </c>
      <c r="O515" s="17">
        <f>M515*INDEX(Bar_X,MATCH(C515,Bar_No,0))/1000</f>
      </c>
    </row>
    <row r="516" spans="2:15" x14ac:dyDescent="0.25">
      <c r="B516">
        <v>29</v>
      </c>
      <c r="C516">
        <v>7</v>
      </c>
      <c r="D516" s="17">
        <f>INDEX(Blk_c,MATCH(B516,Blk_St,0))</f>
      </c>
      <c r="E516" s="17">
        <f>INDEX(Bar_U,MATCH(C516,Bar_No,0))</f>
      </c>
      <c r="F516" s="17">
        <f>u_max-E516</f>
      </c>
      <c r="G516" s="20">
        <f>ecu*(1-F516/D516)</f>
      </c>
      <c r="H516" s="20">
        <f>MAX(0,-G516)</f>
      </c>
      <c r="I516" s="17">
        <f>MAX(MIN(Es*G516,fy),-fy)</f>
      </c>
      <c r="J516">
        <f>IF(E516&gt;=u_max-beta_1*D516-blk_tol,1,0)</f>
      </c>
      <c r="K516" s="17">
        <f>J516*sig_blk</f>
      </c>
      <c r="L516" s="17">
        <f>I516-K516</f>
      </c>
      <c r="M516" s="17">
        <f>INDEX(Bar_As,MATCH(C516,Bar_No,0))*L516/1000</f>
      </c>
      <c r="N516" s="17">
        <f>M516*INDEX(Bar_Y,MATCH(C516,Bar_No,0))/1000</f>
      </c>
      <c r="O516" s="17">
        <f>M516*INDEX(Bar_X,MATCH(C516,Bar_No,0))/1000</f>
      </c>
    </row>
    <row r="517" spans="2:15" x14ac:dyDescent="0.25">
      <c r="B517">
        <v>29</v>
      </c>
      <c r="C517">
        <v>8</v>
      </c>
      <c r="D517" s="17">
        <f>INDEX(Blk_c,MATCH(B517,Blk_St,0))</f>
      </c>
      <c r="E517" s="17">
        <f>INDEX(Bar_U,MATCH(C517,Bar_No,0))</f>
      </c>
      <c r="F517" s="17">
        <f>u_max-E517</f>
      </c>
      <c r="G517" s="20">
        <f>ecu*(1-F517/D517)</f>
      </c>
      <c r="H517" s="20">
        <f>MAX(0,-G517)</f>
      </c>
      <c r="I517" s="17">
        <f>MAX(MIN(Es*G517,fy),-fy)</f>
      </c>
      <c r="J517">
        <f>IF(E517&gt;=u_max-beta_1*D517-blk_tol,1,0)</f>
      </c>
      <c r="K517" s="17">
        <f>J517*sig_blk</f>
      </c>
      <c r="L517" s="17">
        <f>I517-K517</f>
      </c>
      <c r="M517" s="17">
        <f>INDEX(Bar_As,MATCH(C517,Bar_No,0))*L517/1000</f>
      </c>
      <c r="N517" s="17">
        <f>M517*INDEX(Bar_Y,MATCH(C517,Bar_No,0))/1000</f>
      </c>
      <c r="O517" s="17">
        <f>M517*INDEX(Bar_X,MATCH(C517,Bar_No,0))/1000</f>
      </c>
    </row>
    <row r="518" spans="2:15" x14ac:dyDescent="0.25">
      <c r="B518">
        <v>29</v>
      </c>
      <c r="C518">
        <v>9</v>
      </c>
      <c r="D518" s="17">
        <f>INDEX(Blk_c,MATCH(B518,Blk_St,0))</f>
      </c>
      <c r="E518" s="17">
        <f>INDEX(Bar_U,MATCH(C518,Bar_No,0))</f>
      </c>
      <c r="F518" s="17">
        <f>u_max-E518</f>
      </c>
      <c r="G518" s="20">
        <f>ecu*(1-F518/D518)</f>
      </c>
      <c r="H518" s="20">
        <f>MAX(0,-G518)</f>
      </c>
      <c r="I518" s="17">
        <f>MAX(MIN(Es*G518,fy),-fy)</f>
      </c>
      <c r="J518">
        <f>IF(E518&gt;=u_max-beta_1*D518-blk_tol,1,0)</f>
      </c>
      <c r="K518" s="17">
        <f>J518*sig_blk</f>
      </c>
      <c r="L518" s="17">
        <f>I518-K518</f>
      </c>
      <c r="M518" s="17">
        <f>INDEX(Bar_As,MATCH(C518,Bar_No,0))*L518/1000</f>
      </c>
      <c r="N518" s="17">
        <f>M518*INDEX(Bar_Y,MATCH(C518,Bar_No,0))/1000</f>
      </c>
      <c r="O518" s="17">
        <f>M518*INDEX(Bar_X,MATCH(C518,Bar_No,0))/1000</f>
      </c>
    </row>
    <row r="519" spans="2:15" x14ac:dyDescent="0.25">
      <c r="B519">
        <v>29</v>
      </c>
      <c r="C519">
        <v>10</v>
      </c>
      <c r="D519" s="17">
        <f>INDEX(Blk_c,MATCH(B519,Blk_St,0))</f>
      </c>
      <c r="E519" s="17">
        <f>INDEX(Bar_U,MATCH(C519,Bar_No,0))</f>
      </c>
      <c r="F519" s="17">
        <f>u_max-E519</f>
      </c>
      <c r="G519" s="20">
        <f>ecu*(1-F519/D519)</f>
      </c>
      <c r="H519" s="20">
        <f>MAX(0,-G519)</f>
      </c>
      <c r="I519" s="17">
        <f>MAX(MIN(Es*G519,fy),-fy)</f>
      </c>
      <c r="J519">
        <f>IF(E519&gt;=u_max-beta_1*D519-blk_tol,1,0)</f>
      </c>
      <c r="K519" s="17">
        <f>J519*sig_blk</f>
      </c>
      <c r="L519" s="17">
        <f>I519-K519</f>
      </c>
      <c r="M519" s="17">
        <f>INDEX(Bar_As,MATCH(C519,Bar_No,0))*L519/1000</f>
      </c>
      <c r="N519" s="17">
        <f>M519*INDEX(Bar_Y,MATCH(C519,Bar_No,0))/1000</f>
      </c>
      <c r="O519" s="17">
        <f>M519*INDEX(Bar_X,MATCH(C519,Bar_No,0))/1000</f>
      </c>
    </row>
    <row r="520" spans="2:15" x14ac:dyDescent="0.25">
      <c r="B520">
        <v>29</v>
      </c>
      <c r="C520">
        <v>11</v>
      </c>
      <c r="D520" s="17">
        <f>INDEX(Blk_c,MATCH(B520,Blk_St,0))</f>
      </c>
      <c r="E520" s="17">
        <f>INDEX(Bar_U,MATCH(C520,Bar_No,0))</f>
      </c>
      <c r="F520" s="17">
        <f>u_max-E520</f>
      </c>
      <c r="G520" s="20">
        <f>ecu*(1-F520/D520)</f>
      </c>
      <c r="H520" s="20">
        <f>MAX(0,-G520)</f>
      </c>
      <c r="I520" s="17">
        <f>MAX(MIN(Es*G520,fy),-fy)</f>
      </c>
      <c r="J520">
        <f>IF(E520&gt;=u_max-beta_1*D520-blk_tol,1,0)</f>
      </c>
      <c r="K520" s="17">
        <f>J520*sig_blk</f>
      </c>
      <c r="L520" s="17">
        <f>I520-K520</f>
      </c>
      <c r="M520" s="17">
        <f>INDEX(Bar_As,MATCH(C520,Bar_No,0))*L520/1000</f>
      </c>
      <c r="N520" s="17">
        <f>M520*INDEX(Bar_Y,MATCH(C520,Bar_No,0))/1000</f>
      </c>
      <c r="O520" s="17">
        <f>M520*INDEX(Bar_X,MATCH(C520,Bar_No,0))/1000</f>
      </c>
    </row>
    <row r="521" spans="2:15" x14ac:dyDescent="0.25">
      <c r="B521">
        <v>29</v>
      </c>
      <c r="C521">
        <v>12</v>
      </c>
      <c r="D521" s="17">
        <f>INDEX(Blk_c,MATCH(B521,Blk_St,0))</f>
      </c>
      <c r="E521" s="17">
        <f>INDEX(Bar_U,MATCH(C521,Bar_No,0))</f>
      </c>
      <c r="F521" s="17">
        <f>u_max-E521</f>
      </c>
      <c r="G521" s="20">
        <f>ecu*(1-F521/D521)</f>
      </c>
      <c r="H521" s="20">
        <f>MAX(0,-G521)</f>
      </c>
      <c r="I521" s="17">
        <f>MAX(MIN(Es*G521,fy),-fy)</f>
      </c>
      <c r="J521">
        <f>IF(E521&gt;=u_max-beta_1*D521-blk_tol,1,0)</f>
      </c>
      <c r="K521" s="17">
        <f>J521*sig_blk</f>
      </c>
      <c r="L521" s="17">
        <f>I521-K521</f>
      </c>
      <c r="M521" s="17">
        <f>INDEX(Bar_As,MATCH(C521,Bar_No,0))*L521/1000</f>
      </c>
      <c r="N521" s="17">
        <f>M521*INDEX(Bar_Y,MATCH(C521,Bar_No,0))/1000</f>
      </c>
      <c r="O521" s="17">
        <f>M521*INDEX(Bar_X,MATCH(C521,Bar_No,0))/1000</f>
      </c>
    </row>
    <row r="522" spans="2:15" x14ac:dyDescent="0.25">
      <c r="B522">
        <v>29</v>
      </c>
      <c r="C522">
        <v>13</v>
      </c>
      <c r="D522" s="17">
        <f>INDEX(Blk_c,MATCH(B522,Blk_St,0))</f>
      </c>
      <c r="E522" s="17">
        <f>INDEX(Bar_U,MATCH(C522,Bar_No,0))</f>
      </c>
      <c r="F522" s="17">
        <f>u_max-E522</f>
      </c>
      <c r="G522" s="20">
        <f>ecu*(1-F522/D522)</f>
      </c>
      <c r="H522" s="20">
        <f>MAX(0,-G522)</f>
      </c>
      <c r="I522" s="17">
        <f>MAX(MIN(Es*G522,fy),-fy)</f>
      </c>
      <c r="J522">
        <f>IF(E522&gt;=u_max-beta_1*D522-blk_tol,1,0)</f>
      </c>
      <c r="K522" s="17">
        <f>J522*sig_blk</f>
      </c>
      <c r="L522" s="17">
        <f>I522-K522</f>
      </c>
      <c r="M522" s="17">
        <f>INDEX(Bar_As,MATCH(C522,Bar_No,0))*L522/1000</f>
      </c>
      <c r="N522" s="17">
        <f>M522*INDEX(Bar_Y,MATCH(C522,Bar_No,0))/1000</f>
      </c>
      <c r="O522" s="17">
        <f>M522*INDEX(Bar_X,MATCH(C522,Bar_No,0))/1000</f>
      </c>
    </row>
    <row r="523" spans="2:15" x14ac:dyDescent="0.25">
      <c r="B523">
        <v>29</v>
      </c>
      <c r="C523">
        <v>14</v>
      </c>
      <c r="D523" s="17">
        <f>INDEX(Blk_c,MATCH(B523,Blk_St,0))</f>
      </c>
      <c r="E523" s="17">
        <f>INDEX(Bar_U,MATCH(C523,Bar_No,0))</f>
      </c>
      <c r="F523" s="17">
        <f>u_max-E523</f>
      </c>
      <c r="G523" s="20">
        <f>ecu*(1-F523/D523)</f>
      </c>
      <c r="H523" s="20">
        <f>MAX(0,-G523)</f>
      </c>
      <c r="I523" s="17">
        <f>MAX(MIN(Es*G523,fy),-fy)</f>
      </c>
      <c r="J523">
        <f>IF(E523&gt;=u_max-beta_1*D523-blk_tol,1,0)</f>
      </c>
      <c r="K523" s="17">
        <f>J523*sig_blk</f>
      </c>
      <c r="L523" s="17">
        <f>I523-K523</f>
      </c>
      <c r="M523" s="17">
        <f>INDEX(Bar_As,MATCH(C523,Bar_No,0))*L523/1000</f>
      </c>
      <c r="N523" s="17">
        <f>M523*INDEX(Bar_Y,MATCH(C523,Bar_No,0))/1000</f>
      </c>
      <c r="O523" s="17">
        <f>M523*INDEX(Bar_X,MATCH(C523,Bar_No,0))/1000</f>
      </c>
    </row>
    <row r="524" spans="2:15" x14ac:dyDescent="0.25">
      <c r="B524">
        <v>29</v>
      </c>
      <c r="C524">
        <v>15</v>
      </c>
      <c r="D524" s="17">
        <f>INDEX(Blk_c,MATCH(B524,Blk_St,0))</f>
      </c>
      <c r="E524" s="17">
        <f>INDEX(Bar_U,MATCH(C524,Bar_No,0))</f>
      </c>
      <c r="F524" s="17">
        <f>u_max-E524</f>
      </c>
      <c r="G524" s="20">
        <f>ecu*(1-F524/D524)</f>
      </c>
      <c r="H524" s="20">
        <f>MAX(0,-G524)</f>
      </c>
      <c r="I524" s="17">
        <f>MAX(MIN(Es*G524,fy),-fy)</f>
      </c>
      <c r="J524">
        <f>IF(E524&gt;=u_max-beta_1*D524-blk_tol,1,0)</f>
      </c>
      <c r="K524" s="17">
        <f>J524*sig_blk</f>
      </c>
      <c r="L524" s="17">
        <f>I524-K524</f>
      </c>
      <c r="M524" s="17">
        <f>INDEX(Bar_As,MATCH(C524,Bar_No,0))*L524/1000</f>
      </c>
      <c r="N524" s="17">
        <f>M524*INDEX(Bar_Y,MATCH(C524,Bar_No,0))/1000</f>
      </c>
      <c r="O524" s="17">
        <f>M524*INDEX(Bar_X,MATCH(C524,Bar_No,0))/1000</f>
      </c>
    </row>
    <row r="525" spans="2:15" x14ac:dyDescent="0.25">
      <c r="B525">
        <v>29</v>
      </c>
      <c r="C525">
        <v>16</v>
      </c>
      <c r="D525" s="17">
        <f>INDEX(Blk_c,MATCH(B525,Blk_St,0))</f>
      </c>
      <c r="E525" s="17">
        <f>INDEX(Bar_U,MATCH(C525,Bar_No,0))</f>
      </c>
      <c r="F525" s="17">
        <f>u_max-E525</f>
      </c>
      <c r="G525" s="20">
        <f>ecu*(1-F525/D525)</f>
      </c>
      <c r="H525" s="20">
        <f>MAX(0,-G525)</f>
      </c>
      <c r="I525" s="17">
        <f>MAX(MIN(Es*G525,fy),-fy)</f>
      </c>
      <c r="J525">
        <f>IF(E525&gt;=u_max-beta_1*D525-blk_tol,1,0)</f>
      </c>
      <c r="K525" s="17">
        <f>J525*sig_blk</f>
      </c>
      <c r="L525" s="17">
        <f>I525-K525</f>
      </c>
      <c r="M525" s="17">
        <f>INDEX(Bar_As,MATCH(C525,Bar_No,0))*L525/1000</f>
      </c>
      <c r="N525" s="17">
        <f>M525*INDEX(Bar_Y,MATCH(C525,Bar_No,0))/1000</f>
      </c>
      <c r="O525" s="17">
        <f>M525*INDEX(Bar_X,MATCH(C525,Bar_No,0))/1000</f>
      </c>
    </row>
    <row r="526" spans="2:15" x14ac:dyDescent="0.25">
      <c r="B526">
        <v>29</v>
      </c>
      <c r="C526">
        <v>17</v>
      </c>
      <c r="D526" s="17">
        <f>INDEX(Blk_c,MATCH(B526,Blk_St,0))</f>
      </c>
      <c r="E526" s="17">
        <f>INDEX(Bar_U,MATCH(C526,Bar_No,0))</f>
      </c>
      <c r="F526" s="17">
        <f>u_max-E526</f>
      </c>
      <c r="G526" s="20">
        <f>ecu*(1-F526/D526)</f>
      </c>
      <c r="H526" s="20">
        <f>MAX(0,-G526)</f>
      </c>
      <c r="I526" s="17">
        <f>MAX(MIN(Es*G526,fy),-fy)</f>
      </c>
      <c r="J526">
        <f>IF(E526&gt;=u_max-beta_1*D526-blk_tol,1,0)</f>
      </c>
      <c r="K526" s="17">
        <f>J526*sig_blk</f>
      </c>
      <c r="L526" s="17">
        <f>I526-K526</f>
      </c>
      <c r="M526" s="17">
        <f>INDEX(Bar_As,MATCH(C526,Bar_No,0))*L526/1000</f>
      </c>
      <c r="N526" s="17">
        <f>M526*INDEX(Bar_Y,MATCH(C526,Bar_No,0))/1000</f>
      </c>
      <c r="O526" s="17">
        <f>M526*INDEX(Bar_X,MATCH(C526,Bar_No,0))/1000</f>
      </c>
    </row>
    <row r="527" spans="2:15" x14ac:dyDescent="0.25">
      <c r="B527">
        <v>29</v>
      </c>
      <c r="C527">
        <v>18</v>
      </c>
      <c r="D527" s="17">
        <f>INDEX(Blk_c,MATCH(B527,Blk_St,0))</f>
      </c>
      <c r="E527" s="17">
        <f>INDEX(Bar_U,MATCH(C527,Bar_No,0))</f>
      </c>
      <c r="F527" s="17">
        <f>u_max-E527</f>
      </c>
      <c r="G527" s="20">
        <f>ecu*(1-F527/D527)</f>
      </c>
      <c r="H527" s="20">
        <f>MAX(0,-G527)</f>
      </c>
      <c r="I527" s="17">
        <f>MAX(MIN(Es*G527,fy),-fy)</f>
      </c>
      <c r="J527">
        <f>IF(E527&gt;=u_max-beta_1*D527-blk_tol,1,0)</f>
      </c>
      <c r="K527" s="17">
        <f>J527*sig_blk</f>
      </c>
      <c r="L527" s="17">
        <f>I527-K527</f>
      </c>
      <c r="M527" s="17">
        <f>INDEX(Bar_As,MATCH(C527,Bar_No,0))*L527/1000</f>
      </c>
      <c r="N527" s="17">
        <f>M527*INDEX(Bar_Y,MATCH(C527,Bar_No,0))/1000</f>
      </c>
      <c r="O527" s="17">
        <f>M527*INDEX(Bar_X,MATCH(C527,Bar_No,0))/1000</f>
      </c>
    </row>
    <row r="528" spans="2:15" x14ac:dyDescent="0.25">
      <c r="B528">
        <v>30</v>
      </c>
      <c r="C528">
        <v>1</v>
      </c>
      <c r="D528" s="17">
        <f>INDEX(Blk_c,MATCH(B528,Blk_St,0))</f>
      </c>
      <c r="E528" s="17">
        <f>INDEX(Bar_U,MATCH(C528,Bar_No,0))</f>
      </c>
      <c r="F528" s="17">
        <f>u_max-E528</f>
      </c>
      <c r="G528" s="20">
        <f>ecu*(1-F528/D528)</f>
      </c>
      <c r="H528" s="20">
        <f>MAX(0,-G528)</f>
      </c>
      <c r="I528" s="17">
        <f>MAX(MIN(Es*G528,fy),-fy)</f>
      </c>
      <c r="J528">
        <f>IF(E528&gt;=u_max-beta_1*D528-blk_tol,1,0)</f>
      </c>
      <c r="K528" s="17">
        <f>J528*sig_blk</f>
      </c>
      <c r="L528" s="17">
        <f>I528-K528</f>
      </c>
      <c r="M528" s="17">
        <f>INDEX(Bar_As,MATCH(C528,Bar_No,0))*L528/1000</f>
      </c>
      <c r="N528" s="17">
        <f>M528*INDEX(Bar_Y,MATCH(C528,Bar_No,0))/1000</f>
      </c>
      <c r="O528" s="17">
        <f>M528*INDEX(Bar_X,MATCH(C528,Bar_No,0))/1000</f>
      </c>
    </row>
    <row r="529" spans="2:15" x14ac:dyDescent="0.25">
      <c r="B529">
        <v>30</v>
      </c>
      <c r="C529">
        <v>2</v>
      </c>
      <c r="D529" s="17">
        <f>INDEX(Blk_c,MATCH(B529,Blk_St,0))</f>
      </c>
      <c r="E529" s="17">
        <f>INDEX(Bar_U,MATCH(C529,Bar_No,0))</f>
      </c>
      <c r="F529" s="17">
        <f>u_max-E529</f>
      </c>
      <c r="G529" s="20">
        <f>ecu*(1-F529/D529)</f>
      </c>
      <c r="H529" s="20">
        <f>MAX(0,-G529)</f>
      </c>
      <c r="I529" s="17">
        <f>MAX(MIN(Es*G529,fy),-fy)</f>
      </c>
      <c r="J529">
        <f>IF(E529&gt;=u_max-beta_1*D529-blk_tol,1,0)</f>
      </c>
      <c r="K529" s="17">
        <f>J529*sig_blk</f>
      </c>
      <c r="L529" s="17">
        <f>I529-K529</f>
      </c>
      <c r="M529" s="17">
        <f>INDEX(Bar_As,MATCH(C529,Bar_No,0))*L529/1000</f>
      </c>
      <c r="N529" s="17">
        <f>M529*INDEX(Bar_Y,MATCH(C529,Bar_No,0))/1000</f>
      </c>
      <c r="O529" s="17">
        <f>M529*INDEX(Bar_X,MATCH(C529,Bar_No,0))/1000</f>
      </c>
    </row>
    <row r="530" spans="2:15" x14ac:dyDescent="0.25">
      <c r="B530">
        <v>30</v>
      </c>
      <c r="C530">
        <v>3</v>
      </c>
      <c r="D530" s="17">
        <f>INDEX(Blk_c,MATCH(B530,Blk_St,0))</f>
      </c>
      <c r="E530" s="17">
        <f>INDEX(Bar_U,MATCH(C530,Bar_No,0))</f>
      </c>
      <c r="F530" s="17">
        <f>u_max-E530</f>
      </c>
      <c r="G530" s="20">
        <f>ecu*(1-F530/D530)</f>
      </c>
      <c r="H530" s="20">
        <f>MAX(0,-G530)</f>
      </c>
      <c r="I530" s="17">
        <f>MAX(MIN(Es*G530,fy),-fy)</f>
      </c>
      <c r="J530">
        <f>IF(E530&gt;=u_max-beta_1*D530-blk_tol,1,0)</f>
      </c>
      <c r="K530" s="17">
        <f>J530*sig_blk</f>
      </c>
      <c r="L530" s="17">
        <f>I530-K530</f>
      </c>
      <c r="M530" s="17">
        <f>INDEX(Bar_As,MATCH(C530,Bar_No,0))*L530/1000</f>
      </c>
      <c r="N530" s="17">
        <f>M530*INDEX(Bar_Y,MATCH(C530,Bar_No,0))/1000</f>
      </c>
      <c r="O530" s="17">
        <f>M530*INDEX(Bar_X,MATCH(C530,Bar_No,0))/1000</f>
      </c>
    </row>
    <row r="531" spans="2:15" x14ac:dyDescent="0.25">
      <c r="B531">
        <v>30</v>
      </c>
      <c r="C531">
        <v>4</v>
      </c>
      <c r="D531" s="17">
        <f>INDEX(Blk_c,MATCH(B531,Blk_St,0))</f>
      </c>
      <c r="E531" s="17">
        <f>INDEX(Bar_U,MATCH(C531,Bar_No,0))</f>
      </c>
      <c r="F531" s="17">
        <f>u_max-E531</f>
      </c>
      <c r="G531" s="20">
        <f>ecu*(1-F531/D531)</f>
      </c>
      <c r="H531" s="20">
        <f>MAX(0,-G531)</f>
      </c>
      <c r="I531" s="17">
        <f>MAX(MIN(Es*G531,fy),-fy)</f>
      </c>
      <c r="J531">
        <f>IF(E531&gt;=u_max-beta_1*D531-blk_tol,1,0)</f>
      </c>
      <c r="K531" s="17">
        <f>J531*sig_blk</f>
      </c>
      <c r="L531" s="17">
        <f>I531-K531</f>
      </c>
      <c r="M531" s="17">
        <f>INDEX(Bar_As,MATCH(C531,Bar_No,0))*L531/1000</f>
      </c>
      <c r="N531" s="17">
        <f>M531*INDEX(Bar_Y,MATCH(C531,Bar_No,0))/1000</f>
      </c>
      <c r="O531" s="17">
        <f>M531*INDEX(Bar_X,MATCH(C531,Bar_No,0))/1000</f>
      </c>
    </row>
    <row r="532" spans="2:15" x14ac:dyDescent="0.25">
      <c r="B532">
        <v>30</v>
      </c>
      <c r="C532">
        <v>5</v>
      </c>
      <c r="D532" s="17">
        <f>INDEX(Blk_c,MATCH(B532,Blk_St,0))</f>
      </c>
      <c r="E532" s="17">
        <f>INDEX(Bar_U,MATCH(C532,Bar_No,0))</f>
      </c>
      <c r="F532" s="17">
        <f>u_max-E532</f>
      </c>
      <c r="G532" s="20">
        <f>ecu*(1-F532/D532)</f>
      </c>
      <c r="H532" s="20">
        <f>MAX(0,-G532)</f>
      </c>
      <c r="I532" s="17">
        <f>MAX(MIN(Es*G532,fy),-fy)</f>
      </c>
      <c r="J532">
        <f>IF(E532&gt;=u_max-beta_1*D532-blk_tol,1,0)</f>
      </c>
      <c r="K532" s="17">
        <f>J532*sig_blk</f>
      </c>
      <c r="L532" s="17">
        <f>I532-K532</f>
      </c>
      <c r="M532" s="17">
        <f>INDEX(Bar_As,MATCH(C532,Bar_No,0))*L532/1000</f>
      </c>
      <c r="N532" s="17">
        <f>M532*INDEX(Bar_Y,MATCH(C532,Bar_No,0))/1000</f>
      </c>
      <c r="O532" s="17">
        <f>M532*INDEX(Bar_X,MATCH(C532,Bar_No,0))/1000</f>
      </c>
    </row>
    <row r="533" spans="2:15" x14ac:dyDescent="0.25">
      <c r="B533">
        <v>30</v>
      </c>
      <c r="C533">
        <v>6</v>
      </c>
      <c r="D533" s="17">
        <f>INDEX(Blk_c,MATCH(B533,Blk_St,0))</f>
      </c>
      <c r="E533" s="17">
        <f>INDEX(Bar_U,MATCH(C533,Bar_No,0))</f>
      </c>
      <c r="F533" s="17">
        <f>u_max-E533</f>
      </c>
      <c r="G533" s="20">
        <f>ecu*(1-F533/D533)</f>
      </c>
      <c r="H533" s="20">
        <f>MAX(0,-G533)</f>
      </c>
      <c r="I533" s="17">
        <f>MAX(MIN(Es*G533,fy),-fy)</f>
      </c>
      <c r="J533">
        <f>IF(E533&gt;=u_max-beta_1*D533-blk_tol,1,0)</f>
      </c>
      <c r="K533" s="17">
        <f>J533*sig_blk</f>
      </c>
      <c r="L533" s="17">
        <f>I533-K533</f>
      </c>
      <c r="M533" s="17">
        <f>INDEX(Bar_As,MATCH(C533,Bar_No,0))*L533/1000</f>
      </c>
      <c r="N533" s="17">
        <f>M533*INDEX(Bar_Y,MATCH(C533,Bar_No,0))/1000</f>
      </c>
      <c r="O533" s="17">
        <f>M533*INDEX(Bar_X,MATCH(C533,Bar_No,0))/1000</f>
      </c>
    </row>
    <row r="534" spans="2:15" x14ac:dyDescent="0.25">
      <c r="B534">
        <v>30</v>
      </c>
      <c r="C534">
        <v>7</v>
      </c>
      <c r="D534" s="17">
        <f>INDEX(Blk_c,MATCH(B534,Blk_St,0))</f>
      </c>
      <c r="E534" s="17">
        <f>INDEX(Bar_U,MATCH(C534,Bar_No,0))</f>
      </c>
      <c r="F534" s="17">
        <f>u_max-E534</f>
      </c>
      <c r="G534" s="20">
        <f>ecu*(1-F534/D534)</f>
      </c>
      <c r="H534" s="20">
        <f>MAX(0,-G534)</f>
      </c>
      <c r="I534" s="17">
        <f>MAX(MIN(Es*G534,fy),-fy)</f>
      </c>
      <c r="J534">
        <f>IF(E534&gt;=u_max-beta_1*D534-blk_tol,1,0)</f>
      </c>
      <c r="K534" s="17">
        <f>J534*sig_blk</f>
      </c>
      <c r="L534" s="17">
        <f>I534-K534</f>
      </c>
      <c r="M534" s="17">
        <f>INDEX(Bar_As,MATCH(C534,Bar_No,0))*L534/1000</f>
      </c>
      <c r="N534" s="17">
        <f>M534*INDEX(Bar_Y,MATCH(C534,Bar_No,0))/1000</f>
      </c>
      <c r="O534" s="17">
        <f>M534*INDEX(Bar_X,MATCH(C534,Bar_No,0))/1000</f>
      </c>
    </row>
    <row r="535" spans="2:15" x14ac:dyDescent="0.25">
      <c r="B535">
        <v>30</v>
      </c>
      <c r="C535">
        <v>8</v>
      </c>
      <c r="D535" s="17">
        <f>INDEX(Blk_c,MATCH(B535,Blk_St,0))</f>
      </c>
      <c r="E535" s="17">
        <f>INDEX(Bar_U,MATCH(C535,Bar_No,0))</f>
      </c>
      <c r="F535" s="17">
        <f>u_max-E535</f>
      </c>
      <c r="G535" s="20">
        <f>ecu*(1-F535/D535)</f>
      </c>
      <c r="H535" s="20">
        <f>MAX(0,-G535)</f>
      </c>
      <c r="I535" s="17">
        <f>MAX(MIN(Es*G535,fy),-fy)</f>
      </c>
      <c r="J535">
        <f>IF(E535&gt;=u_max-beta_1*D535-blk_tol,1,0)</f>
      </c>
      <c r="K535" s="17">
        <f>J535*sig_blk</f>
      </c>
      <c r="L535" s="17">
        <f>I535-K535</f>
      </c>
      <c r="M535" s="17">
        <f>INDEX(Bar_As,MATCH(C535,Bar_No,0))*L535/1000</f>
      </c>
      <c r="N535" s="17">
        <f>M535*INDEX(Bar_Y,MATCH(C535,Bar_No,0))/1000</f>
      </c>
      <c r="O535" s="17">
        <f>M535*INDEX(Bar_X,MATCH(C535,Bar_No,0))/1000</f>
      </c>
    </row>
    <row r="536" spans="2:15" x14ac:dyDescent="0.25">
      <c r="B536">
        <v>30</v>
      </c>
      <c r="C536">
        <v>9</v>
      </c>
      <c r="D536" s="17">
        <f>INDEX(Blk_c,MATCH(B536,Blk_St,0))</f>
      </c>
      <c r="E536" s="17">
        <f>INDEX(Bar_U,MATCH(C536,Bar_No,0))</f>
      </c>
      <c r="F536" s="17">
        <f>u_max-E536</f>
      </c>
      <c r="G536" s="20">
        <f>ecu*(1-F536/D536)</f>
      </c>
      <c r="H536" s="20">
        <f>MAX(0,-G536)</f>
      </c>
      <c r="I536" s="17">
        <f>MAX(MIN(Es*G536,fy),-fy)</f>
      </c>
      <c r="J536">
        <f>IF(E536&gt;=u_max-beta_1*D536-blk_tol,1,0)</f>
      </c>
      <c r="K536" s="17">
        <f>J536*sig_blk</f>
      </c>
      <c r="L536" s="17">
        <f>I536-K536</f>
      </c>
      <c r="M536" s="17">
        <f>INDEX(Bar_As,MATCH(C536,Bar_No,0))*L536/1000</f>
      </c>
      <c r="N536" s="17">
        <f>M536*INDEX(Bar_Y,MATCH(C536,Bar_No,0))/1000</f>
      </c>
      <c r="O536" s="17">
        <f>M536*INDEX(Bar_X,MATCH(C536,Bar_No,0))/1000</f>
      </c>
    </row>
    <row r="537" spans="2:15" x14ac:dyDescent="0.25">
      <c r="B537">
        <v>30</v>
      </c>
      <c r="C537">
        <v>10</v>
      </c>
      <c r="D537" s="17">
        <f>INDEX(Blk_c,MATCH(B537,Blk_St,0))</f>
      </c>
      <c r="E537" s="17">
        <f>INDEX(Bar_U,MATCH(C537,Bar_No,0))</f>
      </c>
      <c r="F537" s="17">
        <f>u_max-E537</f>
      </c>
      <c r="G537" s="20">
        <f>ecu*(1-F537/D537)</f>
      </c>
      <c r="H537" s="20">
        <f>MAX(0,-G537)</f>
      </c>
      <c r="I537" s="17">
        <f>MAX(MIN(Es*G537,fy),-fy)</f>
      </c>
      <c r="J537">
        <f>IF(E537&gt;=u_max-beta_1*D537-blk_tol,1,0)</f>
      </c>
      <c r="K537" s="17">
        <f>J537*sig_blk</f>
      </c>
      <c r="L537" s="17">
        <f>I537-K537</f>
      </c>
      <c r="M537" s="17">
        <f>INDEX(Bar_As,MATCH(C537,Bar_No,0))*L537/1000</f>
      </c>
      <c r="N537" s="17">
        <f>M537*INDEX(Bar_Y,MATCH(C537,Bar_No,0))/1000</f>
      </c>
      <c r="O537" s="17">
        <f>M537*INDEX(Bar_X,MATCH(C537,Bar_No,0))/1000</f>
      </c>
    </row>
    <row r="538" spans="2:15" x14ac:dyDescent="0.25">
      <c r="B538">
        <v>30</v>
      </c>
      <c r="C538">
        <v>11</v>
      </c>
      <c r="D538" s="17">
        <f>INDEX(Blk_c,MATCH(B538,Blk_St,0))</f>
      </c>
      <c r="E538" s="17">
        <f>INDEX(Bar_U,MATCH(C538,Bar_No,0))</f>
      </c>
      <c r="F538" s="17">
        <f>u_max-E538</f>
      </c>
      <c r="G538" s="20">
        <f>ecu*(1-F538/D538)</f>
      </c>
      <c r="H538" s="20">
        <f>MAX(0,-G538)</f>
      </c>
      <c r="I538" s="17">
        <f>MAX(MIN(Es*G538,fy),-fy)</f>
      </c>
      <c r="J538">
        <f>IF(E538&gt;=u_max-beta_1*D538-blk_tol,1,0)</f>
      </c>
      <c r="K538" s="17">
        <f>J538*sig_blk</f>
      </c>
      <c r="L538" s="17">
        <f>I538-K538</f>
      </c>
      <c r="M538" s="17">
        <f>INDEX(Bar_As,MATCH(C538,Bar_No,0))*L538/1000</f>
      </c>
      <c r="N538" s="17">
        <f>M538*INDEX(Bar_Y,MATCH(C538,Bar_No,0))/1000</f>
      </c>
      <c r="O538" s="17">
        <f>M538*INDEX(Bar_X,MATCH(C538,Bar_No,0))/1000</f>
      </c>
    </row>
    <row r="539" spans="2:15" x14ac:dyDescent="0.25">
      <c r="B539">
        <v>30</v>
      </c>
      <c r="C539">
        <v>12</v>
      </c>
      <c r="D539" s="17">
        <f>INDEX(Blk_c,MATCH(B539,Blk_St,0))</f>
      </c>
      <c r="E539" s="17">
        <f>INDEX(Bar_U,MATCH(C539,Bar_No,0))</f>
      </c>
      <c r="F539" s="17">
        <f>u_max-E539</f>
      </c>
      <c r="G539" s="20">
        <f>ecu*(1-F539/D539)</f>
      </c>
      <c r="H539" s="20">
        <f>MAX(0,-G539)</f>
      </c>
      <c r="I539" s="17">
        <f>MAX(MIN(Es*G539,fy),-fy)</f>
      </c>
      <c r="J539">
        <f>IF(E539&gt;=u_max-beta_1*D539-blk_tol,1,0)</f>
      </c>
      <c r="K539" s="17">
        <f>J539*sig_blk</f>
      </c>
      <c r="L539" s="17">
        <f>I539-K539</f>
      </c>
      <c r="M539" s="17">
        <f>INDEX(Bar_As,MATCH(C539,Bar_No,0))*L539/1000</f>
      </c>
      <c r="N539" s="17">
        <f>M539*INDEX(Bar_Y,MATCH(C539,Bar_No,0))/1000</f>
      </c>
      <c r="O539" s="17">
        <f>M539*INDEX(Bar_X,MATCH(C539,Bar_No,0))/1000</f>
      </c>
    </row>
    <row r="540" spans="2:15" x14ac:dyDescent="0.25">
      <c r="B540">
        <v>30</v>
      </c>
      <c r="C540">
        <v>13</v>
      </c>
      <c r="D540" s="17">
        <f>INDEX(Blk_c,MATCH(B540,Blk_St,0))</f>
      </c>
      <c r="E540" s="17">
        <f>INDEX(Bar_U,MATCH(C540,Bar_No,0))</f>
      </c>
      <c r="F540" s="17">
        <f>u_max-E540</f>
      </c>
      <c r="G540" s="20">
        <f>ecu*(1-F540/D540)</f>
      </c>
      <c r="H540" s="20">
        <f>MAX(0,-G540)</f>
      </c>
      <c r="I540" s="17">
        <f>MAX(MIN(Es*G540,fy),-fy)</f>
      </c>
      <c r="J540">
        <f>IF(E540&gt;=u_max-beta_1*D540-blk_tol,1,0)</f>
      </c>
      <c r="K540" s="17">
        <f>J540*sig_blk</f>
      </c>
      <c r="L540" s="17">
        <f>I540-K540</f>
      </c>
      <c r="M540" s="17">
        <f>INDEX(Bar_As,MATCH(C540,Bar_No,0))*L540/1000</f>
      </c>
      <c r="N540" s="17">
        <f>M540*INDEX(Bar_Y,MATCH(C540,Bar_No,0))/1000</f>
      </c>
      <c r="O540" s="17">
        <f>M540*INDEX(Bar_X,MATCH(C540,Bar_No,0))/1000</f>
      </c>
    </row>
    <row r="541" spans="2:15" x14ac:dyDescent="0.25">
      <c r="B541">
        <v>30</v>
      </c>
      <c r="C541">
        <v>14</v>
      </c>
      <c r="D541" s="17">
        <f>INDEX(Blk_c,MATCH(B541,Blk_St,0))</f>
      </c>
      <c r="E541" s="17">
        <f>INDEX(Bar_U,MATCH(C541,Bar_No,0))</f>
      </c>
      <c r="F541" s="17">
        <f>u_max-E541</f>
      </c>
      <c r="G541" s="20">
        <f>ecu*(1-F541/D541)</f>
      </c>
      <c r="H541" s="20">
        <f>MAX(0,-G541)</f>
      </c>
      <c r="I541" s="17">
        <f>MAX(MIN(Es*G541,fy),-fy)</f>
      </c>
      <c r="J541">
        <f>IF(E541&gt;=u_max-beta_1*D541-blk_tol,1,0)</f>
      </c>
      <c r="K541" s="17">
        <f>J541*sig_blk</f>
      </c>
      <c r="L541" s="17">
        <f>I541-K541</f>
      </c>
      <c r="M541" s="17">
        <f>INDEX(Bar_As,MATCH(C541,Bar_No,0))*L541/1000</f>
      </c>
      <c r="N541" s="17">
        <f>M541*INDEX(Bar_Y,MATCH(C541,Bar_No,0))/1000</f>
      </c>
      <c r="O541" s="17">
        <f>M541*INDEX(Bar_X,MATCH(C541,Bar_No,0))/1000</f>
      </c>
    </row>
    <row r="542" spans="2:15" x14ac:dyDescent="0.25">
      <c r="B542">
        <v>30</v>
      </c>
      <c r="C542">
        <v>15</v>
      </c>
      <c r="D542" s="17">
        <f>INDEX(Blk_c,MATCH(B542,Blk_St,0))</f>
      </c>
      <c r="E542" s="17">
        <f>INDEX(Bar_U,MATCH(C542,Bar_No,0))</f>
      </c>
      <c r="F542" s="17">
        <f>u_max-E542</f>
      </c>
      <c r="G542" s="20">
        <f>ecu*(1-F542/D542)</f>
      </c>
      <c r="H542" s="20">
        <f>MAX(0,-G542)</f>
      </c>
      <c r="I542" s="17">
        <f>MAX(MIN(Es*G542,fy),-fy)</f>
      </c>
      <c r="J542">
        <f>IF(E542&gt;=u_max-beta_1*D542-blk_tol,1,0)</f>
      </c>
      <c r="K542" s="17">
        <f>J542*sig_blk</f>
      </c>
      <c r="L542" s="17">
        <f>I542-K542</f>
      </c>
      <c r="M542" s="17">
        <f>INDEX(Bar_As,MATCH(C542,Bar_No,0))*L542/1000</f>
      </c>
      <c r="N542" s="17">
        <f>M542*INDEX(Bar_Y,MATCH(C542,Bar_No,0))/1000</f>
      </c>
      <c r="O542" s="17">
        <f>M542*INDEX(Bar_X,MATCH(C542,Bar_No,0))/1000</f>
      </c>
    </row>
    <row r="543" spans="2:15" x14ac:dyDescent="0.25">
      <c r="B543">
        <v>30</v>
      </c>
      <c r="C543">
        <v>16</v>
      </c>
      <c r="D543" s="17">
        <f>INDEX(Blk_c,MATCH(B543,Blk_St,0))</f>
      </c>
      <c r="E543" s="17">
        <f>INDEX(Bar_U,MATCH(C543,Bar_No,0))</f>
      </c>
      <c r="F543" s="17">
        <f>u_max-E543</f>
      </c>
      <c r="G543" s="20">
        <f>ecu*(1-F543/D543)</f>
      </c>
      <c r="H543" s="20">
        <f>MAX(0,-G543)</f>
      </c>
      <c r="I543" s="17">
        <f>MAX(MIN(Es*G543,fy),-fy)</f>
      </c>
      <c r="J543">
        <f>IF(E543&gt;=u_max-beta_1*D543-blk_tol,1,0)</f>
      </c>
      <c r="K543" s="17">
        <f>J543*sig_blk</f>
      </c>
      <c r="L543" s="17">
        <f>I543-K543</f>
      </c>
      <c r="M543" s="17">
        <f>INDEX(Bar_As,MATCH(C543,Bar_No,0))*L543/1000</f>
      </c>
      <c r="N543" s="17">
        <f>M543*INDEX(Bar_Y,MATCH(C543,Bar_No,0))/1000</f>
      </c>
      <c r="O543" s="17">
        <f>M543*INDEX(Bar_X,MATCH(C543,Bar_No,0))/1000</f>
      </c>
    </row>
    <row r="544" spans="2:15" x14ac:dyDescent="0.25">
      <c r="B544">
        <v>30</v>
      </c>
      <c r="C544">
        <v>17</v>
      </c>
      <c r="D544" s="17">
        <f>INDEX(Blk_c,MATCH(B544,Blk_St,0))</f>
      </c>
      <c r="E544" s="17">
        <f>INDEX(Bar_U,MATCH(C544,Bar_No,0))</f>
      </c>
      <c r="F544" s="17">
        <f>u_max-E544</f>
      </c>
      <c r="G544" s="20">
        <f>ecu*(1-F544/D544)</f>
      </c>
      <c r="H544" s="20">
        <f>MAX(0,-G544)</f>
      </c>
      <c r="I544" s="17">
        <f>MAX(MIN(Es*G544,fy),-fy)</f>
      </c>
      <c r="J544">
        <f>IF(E544&gt;=u_max-beta_1*D544-blk_tol,1,0)</f>
      </c>
      <c r="K544" s="17">
        <f>J544*sig_blk</f>
      </c>
      <c r="L544" s="17">
        <f>I544-K544</f>
      </c>
      <c r="M544" s="17">
        <f>INDEX(Bar_As,MATCH(C544,Bar_No,0))*L544/1000</f>
      </c>
      <c r="N544" s="17">
        <f>M544*INDEX(Bar_Y,MATCH(C544,Bar_No,0))/1000</f>
      </c>
      <c r="O544" s="17">
        <f>M544*INDEX(Bar_X,MATCH(C544,Bar_No,0))/1000</f>
      </c>
    </row>
    <row r="545" spans="2:15" x14ac:dyDescent="0.25">
      <c r="B545">
        <v>30</v>
      </c>
      <c r="C545">
        <v>18</v>
      </c>
      <c r="D545" s="17">
        <f>INDEX(Blk_c,MATCH(B545,Blk_St,0))</f>
      </c>
      <c r="E545" s="17">
        <f>INDEX(Bar_U,MATCH(C545,Bar_No,0))</f>
      </c>
      <c r="F545" s="17">
        <f>u_max-E545</f>
      </c>
      <c r="G545" s="20">
        <f>ecu*(1-F545/D545)</f>
      </c>
      <c r="H545" s="20">
        <f>MAX(0,-G545)</f>
      </c>
      <c r="I545" s="17">
        <f>MAX(MIN(Es*G545,fy),-fy)</f>
      </c>
      <c r="J545">
        <f>IF(E545&gt;=u_max-beta_1*D545-blk_tol,1,0)</f>
      </c>
      <c r="K545" s="17">
        <f>J545*sig_blk</f>
      </c>
      <c r="L545" s="17">
        <f>I545-K545</f>
      </c>
      <c r="M545" s="17">
        <f>INDEX(Bar_As,MATCH(C545,Bar_No,0))*L545/1000</f>
      </c>
      <c r="N545" s="17">
        <f>M545*INDEX(Bar_Y,MATCH(C545,Bar_No,0))/1000</f>
      </c>
      <c r="O545" s="17">
        <f>M545*INDEX(Bar_X,MATCH(C545,Bar_No,0))/1000</f>
      </c>
    </row>
    <row r="546" spans="2:15" x14ac:dyDescent="0.25">
      <c r="B546">
        <v>31</v>
      </c>
      <c r="C546">
        <v>1</v>
      </c>
      <c r="D546" s="17">
        <f>INDEX(Blk_c,MATCH(B546,Blk_St,0))</f>
      </c>
      <c r="E546" s="17">
        <f>INDEX(Bar_U,MATCH(C546,Bar_No,0))</f>
      </c>
      <c r="F546" s="17">
        <f>u_max-E546</f>
      </c>
      <c r="G546" s="20">
        <f>ecu*(1-F546/D546)</f>
      </c>
      <c r="H546" s="20">
        <f>MAX(0,-G546)</f>
      </c>
      <c r="I546" s="17">
        <f>MAX(MIN(Es*G546,fy),-fy)</f>
      </c>
      <c r="J546">
        <f>IF(E546&gt;=u_max-beta_1*D546-blk_tol,1,0)</f>
      </c>
      <c r="K546" s="17">
        <f>J546*sig_blk</f>
      </c>
      <c r="L546" s="17">
        <f>I546-K546</f>
      </c>
      <c r="M546" s="17">
        <f>INDEX(Bar_As,MATCH(C546,Bar_No,0))*L546/1000</f>
      </c>
      <c r="N546" s="17">
        <f>M546*INDEX(Bar_Y,MATCH(C546,Bar_No,0))/1000</f>
      </c>
      <c r="O546" s="17">
        <f>M546*INDEX(Bar_X,MATCH(C546,Bar_No,0))/1000</f>
      </c>
    </row>
    <row r="547" spans="2:15" x14ac:dyDescent="0.25">
      <c r="B547">
        <v>31</v>
      </c>
      <c r="C547">
        <v>2</v>
      </c>
      <c r="D547" s="17">
        <f>INDEX(Blk_c,MATCH(B547,Blk_St,0))</f>
      </c>
      <c r="E547" s="17">
        <f>INDEX(Bar_U,MATCH(C547,Bar_No,0))</f>
      </c>
      <c r="F547" s="17">
        <f>u_max-E547</f>
      </c>
      <c r="G547" s="20">
        <f>ecu*(1-F547/D547)</f>
      </c>
      <c r="H547" s="20">
        <f>MAX(0,-G547)</f>
      </c>
      <c r="I547" s="17">
        <f>MAX(MIN(Es*G547,fy),-fy)</f>
      </c>
      <c r="J547">
        <f>IF(E547&gt;=u_max-beta_1*D547-blk_tol,1,0)</f>
      </c>
      <c r="K547" s="17">
        <f>J547*sig_blk</f>
      </c>
      <c r="L547" s="17">
        <f>I547-K547</f>
      </c>
      <c r="M547" s="17">
        <f>INDEX(Bar_As,MATCH(C547,Bar_No,0))*L547/1000</f>
      </c>
      <c r="N547" s="17">
        <f>M547*INDEX(Bar_Y,MATCH(C547,Bar_No,0))/1000</f>
      </c>
      <c r="O547" s="17">
        <f>M547*INDEX(Bar_X,MATCH(C547,Bar_No,0))/1000</f>
      </c>
    </row>
    <row r="548" spans="2:15" x14ac:dyDescent="0.25">
      <c r="B548">
        <v>31</v>
      </c>
      <c r="C548">
        <v>3</v>
      </c>
      <c r="D548" s="17">
        <f>INDEX(Blk_c,MATCH(B548,Blk_St,0))</f>
      </c>
      <c r="E548" s="17">
        <f>INDEX(Bar_U,MATCH(C548,Bar_No,0))</f>
      </c>
      <c r="F548" s="17">
        <f>u_max-E548</f>
      </c>
      <c r="G548" s="20">
        <f>ecu*(1-F548/D548)</f>
      </c>
      <c r="H548" s="20">
        <f>MAX(0,-G548)</f>
      </c>
      <c r="I548" s="17">
        <f>MAX(MIN(Es*G548,fy),-fy)</f>
      </c>
      <c r="J548">
        <f>IF(E548&gt;=u_max-beta_1*D548-blk_tol,1,0)</f>
      </c>
      <c r="K548" s="17">
        <f>J548*sig_blk</f>
      </c>
      <c r="L548" s="17">
        <f>I548-K548</f>
      </c>
      <c r="M548" s="17">
        <f>INDEX(Bar_As,MATCH(C548,Bar_No,0))*L548/1000</f>
      </c>
      <c r="N548" s="17">
        <f>M548*INDEX(Bar_Y,MATCH(C548,Bar_No,0))/1000</f>
      </c>
      <c r="O548" s="17">
        <f>M548*INDEX(Bar_X,MATCH(C548,Bar_No,0))/1000</f>
      </c>
    </row>
    <row r="549" spans="2:15" x14ac:dyDescent="0.25">
      <c r="B549">
        <v>31</v>
      </c>
      <c r="C549">
        <v>4</v>
      </c>
      <c r="D549" s="17">
        <f>INDEX(Blk_c,MATCH(B549,Blk_St,0))</f>
      </c>
      <c r="E549" s="17">
        <f>INDEX(Bar_U,MATCH(C549,Bar_No,0))</f>
      </c>
      <c r="F549" s="17">
        <f>u_max-E549</f>
      </c>
      <c r="G549" s="20">
        <f>ecu*(1-F549/D549)</f>
      </c>
      <c r="H549" s="20">
        <f>MAX(0,-G549)</f>
      </c>
      <c r="I549" s="17">
        <f>MAX(MIN(Es*G549,fy),-fy)</f>
      </c>
      <c r="J549">
        <f>IF(E549&gt;=u_max-beta_1*D549-blk_tol,1,0)</f>
      </c>
      <c r="K549" s="17">
        <f>J549*sig_blk</f>
      </c>
      <c r="L549" s="17">
        <f>I549-K549</f>
      </c>
      <c r="M549" s="17">
        <f>INDEX(Bar_As,MATCH(C549,Bar_No,0))*L549/1000</f>
      </c>
      <c r="N549" s="17">
        <f>M549*INDEX(Bar_Y,MATCH(C549,Bar_No,0))/1000</f>
      </c>
      <c r="O549" s="17">
        <f>M549*INDEX(Bar_X,MATCH(C549,Bar_No,0))/1000</f>
      </c>
    </row>
    <row r="550" spans="2:15" x14ac:dyDescent="0.25">
      <c r="B550">
        <v>31</v>
      </c>
      <c r="C550">
        <v>5</v>
      </c>
      <c r="D550" s="17">
        <f>INDEX(Blk_c,MATCH(B550,Blk_St,0))</f>
      </c>
      <c r="E550" s="17">
        <f>INDEX(Bar_U,MATCH(C550,Bar_No,0))</f>
      </c>
      <c r="F550" s="17">
        <f>u_max-E550</f>
      </c>
      <c r="G550" s="20">
        <f>ecu*(1-F550/D550)</f>
      </c>
      <c r="H550" s="20">
        <f>MAX(0,-G550)</f>
      </c>
      <c r="I550" s="17">
        <f>MAX(MIN(Es*G550,fy),-fy)</f>
      </c>
      <c r="J550">
        <f>IF(E550&gt;=u_max-beta_1*D550-blk_tol,1,0)</f>
      </c>
      <c r="K550" s="17">
        <f>J550*sig_blk</f>
      </c>
      <c r="L550" s="17">
        <f>I550-K550</f>
      </c>
      <c r="M550" s="17">
        <f>INDEX(Bar_As,MATCH(C550,Bar_No,0))*L550/1000</f>
      </c>
      <c r="N550" s="17">
        <f>M550*INDEX(Bar_Y,MATCH(C550,Bar_No,0))/1000</f>
      </c>
      <c r="O550" s="17">
        <f>M550*INDEX(Bar_X,MATCH(C550,Bar_No,0))/1000</f>
      </c>
    </row>
    <row r="551" spans="2:15" x14ac:dyDescent="0.25">
      <c r="B551">
        <v>31</v>
      </c>
      <c r="C551">
        <v>6</v>
      </c>
      <c r="D551" s="17">
        <f>INDEX(Blk_c,MATCH(B551,Blk_St,0))</f>
      </c>
      <c r="E551" s="17">
        <f>INDEX(Bar_U,MATCH(C551,Bar_No,0))</f>
      </c>
      <c r="F551" s="17">
        <f>u_max-E551</f>
      </c>
      <c r="G551" s="20">
        <f>ecu*(1-F551/D551)</f>
      </c>
      <c r="H551" s="20">
        <f>MAX(0,-G551)</f>
      </c>
      <c r="I551" s="17">
        <f>MAX(MIN(Es*G551,fy),-fy)</f>
      </c>
      <c r="J551">
        <f>IF(E551&gt;=u_max-beta_1*D551-blk_tol,1,0)</f>
      </c>
      <c r="K551" s="17">
        <f>J551*sig_blk</f>
      </c>
      <c r="L551" s="17">
        <f>I551-K551</f>
      </c>
      <c r="M551" s="17">
        <f>INDEX(Bar_As,MATCH(C551,Bar_No,0))*L551/1000</f>
      </c>
      <c r="N551" s="17">
        <f>M551*INDEX(Bar_Y,MATCH(C551,Bar_No,0))/1000</f>
      </c>
      <c r="O551" s="17">
        <f>M551*INDEX(Bar_X,MATCH(C551,Bar_No,0))/1000</f>
      </c>
    </row>
    <row r="552" spans="2:15" x14ac:dyDescent="0.25">
      <c r="B552">
        <v>31</v>
      </c>
      <c r="C552">
        <v>7</v>
      </c>
      <c r="D552" s="17">
        <f>INDEX(Blk_c,MATCH(B552,Blk_St,0))</f>
      </c>
      <c r="E552" s="17">
        <f>INDEX(Bar_U,MATCH(C552,Bar_No,0))</f>
      </c>
      <c r="F552" s="17">
        <f>u_max-E552</f>
      </c>
      <c r="G552" s="20">
        <f>ecu*(1-F552/D552)</f>
      </c>
      <c r="H552" s="20">
        <f>MAX(0,-G552)</f>
      </c>
      <c r="I552" s="17">
        <f>MAX(MIN(Es*G552,fy),-fy)</f>
      </c>
      <c r="J552">
        <f>IF(E552&gt;=u_max-beta_1*D552-blk_tol,1,0)</f>
      </c>
      <c r="K552" s="17">
        <f>J552*sig_blk</f>
      </c>
      <c r="L552" s="17">
        <f>I552-K552</f>
      </c>
      <c r="M552" s="17">
        <f>INDEX(Bar_As,MATCH(C552,Bar_No,0))*L552/1000</f>
      </c>
      <c r="N552" s="17">
        <f>M552*INDEX(Bar_Y,MATCH(C552,Bar_No,0))/1000</f>
      </c>
      <c r="O552" s="17">
        <f>M552*INDEX(Bar_X,MATCH(C552,Bar_No,0))/1000</f>
      </c>
    </row>
    <row r="553" spans="2:15" x14ac:dyDescent="0.25">
      <c r="B553">
        <v>31</v>
      </c>
      <c r="C553">
        <v>8</v>
      </c>
      <c r="D553" s="17">
        <f>INDEX(Blk_c,MATCH(B553,Blk_St,0))</f>
      </c>
      <c r="E553" s="17">
        <f>INDEX(Bar_U,MATCH(C553,Bar_No,0))</f>
      </c>
      <c r="F553" s="17">
        <f>u_max-E553</f>
      </c>
      <c r="G553" s="20">
        <f>ecu*(1-F553/D553)</f>
      </c>
      <c r="H553" s="20">
        <f>MAX(0,-G553)</f>
      </c>
      <c r="I553" s="17">
        <f>MAX(MIN(Es*G553,fy),-fy)</f>
      </c>
      <c r="J553">
        <f>IF(E553&gt;=u_max-beta_1*D553-blk_tol,1,0)</f>
      </c>
      <c r="K553" s="17">
        <f>J553*sig_blk</f>
      </c>
      <c r="L553" s="17">
        <f>I553-K553</f>
      </c>
      <c r="M553" s="17">
        <f>INDEX(Bar_As,MATCH(C553,Bar_No,0))*L553/1000</f>
      </c>
      <c r="N553" s="17">
        <f>M553*INDEX(Bar_Y,MATCH(C553,Bar_No,0))/1000</f>
      </c>
      <c r="O553" s="17">
        <f>M553*INDEX(Bar_X,MATCH(C553,Bar_No,0))/1000</f>
      </c>
    </row>
    <row r="554" spans="2:15" x14ac:dyDescent="0.25">
      <c r="B554">
        <v>31</v>
      </c>
      <c r="C554">
        <v>9</v>
      </c>
      <c r="D554" s="17">
        <f>INDEX(Blk_c,MATCH(B554,Blk_St,0))</f>
      </c>
      <c r="E554" s="17">
        <f>INDEX(Bar_U,MATCH(C554,Bar_No,0))</f>
      </c>
      <c r="F554" s="17">
        <f>u_max-E554</f>
      </c>
      <c r="G554" s="20">
        <f>ecu*(1-F554/D554)</f>
      </c>
      <c r="H554" s="20">
        <f>MAX(0,-G554)</f>
      </c>
      <c r="I554" s="17">
        <f>MAX(MIN(Es*G554,fy),-fy)</f>
      </c>
      <c r="J554">
        <f>IF(E554&gt;=u_max-beta_1*D554-blk_tol,1,0)</f>
      </c>
      <c r="K554" s="17">
        <f>J554*sig_blk</f>
      </c>
      <c r="L554" s="17">
        <f>I554-K554</f>
      </c>
      <c r="M554" s="17">
        <f>INDEX(Bar_As,MATCH(C554,Bar_No,0))*L554/1000</f>
      </c>
      <c r="N554" s="17">
        <f>M554*INDEX(Bar_Y,MATCH(C554,Bar_No,0))/1000</f>
      </c>
      <c r="O554" s="17">
        <f>M554*INDEX(Bar_X,MATCH(C554,Bar_No,0))/1000</f>
      </c>
    </row>
    <row r="555" spans="2:15" x14ac:dyDescent="0.25">
      <c r="B555">
        <v>31</v>
      </c>
      <c r="C555">
        <v>10</v>
      </c>
      <c r="D555" s="17">
        <f>INDEX(Blk_c,MATCH(B555,Blk_St,0))</f>
      </c>
      <c r="E555" s="17">
        <f>INDEX(Bar_U,MATCH(C555,Bar_No,0))</f>
      </c>
      <c r="F555" s="17">
        <f>u_max-E555</f>
      </c>
      <c r="G555" s="20">
        <f>ecu*(1-F555/D555)</f>
      </c>
      <c r="H555" s="20">
        <f>MAX(0,-G555)</f>
      </c>
      <c r="I555" s="17">
        <f>MAX(MIN(Es*G555,fy),-fy)</f>
      </c>
      <c r="J555">
        <f>IF(E555&gt;=u_max-beta_1*D555-blk_tol,1,0)</f>
      </c>
      <c r="K555" s="17">
        <f>J555*sig_blk</f>
      </c>
      <c r="L555" s="17">
        <f>I555-K555</f>
      </c>
      <c r="M555" s="17">
        <f>INDEX(Bar_As,MATCH(C555,Bar_No,0))*L555/1000</f>
      </c>
      <c r="N555" s="17">
        <f>M555*INDEX(Bar_Y,MATCH(C555,Bar_No,0))/1000</f>
      </c>
      <c r="O555" s="17">
        <f>M555*INDEX(Bar_X,MATCH(C555,Bar_No,0))/1000</f>
      </c>
    </row>
    <row r="556" spans="2:15" x14ac:dyDescent="0.25">
      <c r="B556">
        <v>31</v>
      </c>
      <c r="C556">
        <v>11</v>
      </c>
      <c r="D556" s="17">
        <f>INDEX(Blk_c,MATCH(B556,Blk_St,0))</f>
      </c>
      <c r="E556" s="17">
        <f>INDEX(Bar_U,MATCH(C556,Bar_No,0))</f>
      </c>
      <c r="F556" s="17">
        <f>u_max-E556</f>
      </c>
      <c r="G556" s="20">
        <f>ecu*(1-F556/D556)</f>
      </c>
      <c r="H556" s="20">
        <f>MAX(0,-G556)</f>
      </c>
      <c r="I556" s="17">
        <f>MAX(MIN(Es*G556,fy),-fy)</f>
      </c>
      <c r="J556">
        <f>IF(E556&gt;=u_max-beta_1*D556-blk_tol,1,0)</f>
      </c>
      <c r="K556" s="17">
        <f>J556*sig_blk</f>
      </c>
      <c r="L556" s="17">
        <f>I556-K556</f>
      </c>
      <c r="M556" s="17">
        <f>INDEX(Bar_As,MATCH(C556,Bar_No,0))*L556/1000</f>
      </c>
      <c r="N556" s="17">
        <f>M556*INDEX(Bar_Y,MATCH(C556,Bar_No,0))/1000</f>
      </c>
      <c r="O556" s="17">
        <f>M556*INDEX(Bar_X,MATCH(C556,Bar_No,0))/1000</f>
      </c>
    </row>
    <row r="557" spans="2:15" x14ac:dyDescent="0.25">
      <c r="B557">
        <v>31</v>
      </c>
      <c r="C557">
        <v>12</v>
      </c>
      <c r="D557" s="17">
        <f>INDEX(Blk_c,MATCH(B557,Blk_St,0))</f>
      </c>
      <c r="E557" s="17">
        <f>INDEX(Bar_U,MATCH(C557,Bar_No,0))</f>
      </c>
      <c r="F557" s="17">
        <f>u_max-E557</f>
      </c>
      <c r="G557" s="20">
        <f>ecu*(1-F557/D557)</f>
      </c>
      <c r="H557" s="20">
        <f>MAX(0,-G557)</f>
      </c>
      <c r="I557" s="17">
        <f>MAX(MIN(Es*G557,fy),-fy)</f>
      </c>
      <c r="J557">
        <f>IF(E557&gt;=u_max-beta_1*D557-blk_tol,1,0)</f>
      </c>
      <c r="K557" s="17">
        <f>J557*sig_blk</f>
      </c>
      <c r="L557" s="17">
        <f>I557-K557</f>
      </c>
      <c r="M557" s="17">
        <f>INDEX(Bar_As,MATCH(C557,Bar_No,0))*L557/1000</f>
      </c>
      <c r="N557" s="17">
        <f>M557*INDEX(Bar_Y,MATCH(C557,Bar_No,0))/1000</f>
      </c>
      <c r="O557" s="17">
        <f>M557*INDEX(Bar_X,MATCH(C557,Bar_No,0))/1000</f>
      </c>
    </row>
    <row r="558" spans="2:15" x14ac:dyDescent="0.25">
      <c r="B558">
        <v>31</v>
      </c>
      <c r="C558">
        <v>13</v>
      </c>
      <c r="D558" s="17">
        <f>INDEX(Blk_c,MATCH(B558,Blk_St,0))</f>
      </c>
      <c r="E558" s="17">
        <f>INDEX(Bar_U,MATCH(C558,Bar_No,0))</f>
      </c>
      <c r="F558" s="17">
        <f>u_max-E558</f>
      </c>
      <c r="G558" s="20">
        <f>ecu*(1-F558/D558)</f>
      </c>
      <c r="H558" s="20">
        <f>MAX(0,-G558)</f>
      </c>
      <c r="I558" s="17">
        <f>MAX(MIN(Es*G558,fy),-fy)</f>
      </c>
      <c r="J558">
        <f>IF(E558&gt;=u_max-beta_1*D558-blk_tol,1,0)</f>
      </c>
      <c r="K558" s="17">
        <f>J558*sig_blk</f>
      </c>
      <c r="L558" s="17">
        <f>I558-K558</f>
      </c>
      <c r="M558" s="17">
        <f>INDEX(Bar_As,MATCH(C558,Bar_No,0))*L558/1000</f>
      </c>
      <c r="N558" s="17">
        <f>M558*INDEX(Bar_Y,MATCH(C558,Bar_No,0))/1000</f>
      </c>
      <c r="O558" s="17">
        <f>M558*INDEX(Bar_X,MATCH(C558,Bar_No,0))/1000</f>
      </c>
    </row>
    <row r="559" spans="2:15" x14ac:dyDescent="0.25">
      <c r="B559">
        <v>31</v>
      </c>
      <c r="C559">
        <v>14</v>
      </c>
      <c r="D559" s="17">
        <f>INDEX(Blk_c,MATCH(B559,Blk_St,0))</f>
      </c>
      <c r="E559" s="17">
        <f>INDEX(Bar_U,MATCH(C559,Bar_No,0))</f>
      </c>
      <c r="F559" s="17">
        <f>u_max-E559</f>
      </c>
      <c r="G559" s="20">
        <f>ecu*(1-F559/D559)</f>
      </c>
      <c r="H559" s="20">
        <f>MAX(0,-G559)</f>
      </c>
      <c r="I559" s="17">
        <f>MAX(MIN(Es*G559,fy),-fy)</f>
      </c>
      <c r="J559">
        <f>IF(E559&gt;=u_max-beta_1*D559-blk_tol,1,0)</f>
      </c>
      <c r="K559" s="17">
        <f>J559*sig_blk</f>
      </c>
      <c r="L559" s="17">
        <f>I559-K559</f>
      </c>
      <c r="M559" s="17">
        <f>INDEX(Bar_As,MATCH(C559,Bar_No,0))*L559/1000</f>
      </c>
      <c r="N559" s="17">
        <f>M559*INDEX(Bar_Y,MATCH(C559,Bar_No,0))/1000</f>
      </c>
      <c r="O559" s="17">
        <f>M559*INDEX(Bar_X,MATCH(C559,Bar_No,0))/1000</f>
      </c>
    </row>
    <row r="560" spans="2:15" x14ac:dyDescent="0.25">
      <c r="B560">
        <v>31</v>
      </c>
      <c r="C560">
        <v>15</v>
      </c>
      <c r="D560" s="17">
        <f>INDEX(Blk_c,MATCH(B560,Blk_St,0))</f>
      </c>
      <c r="E560" s="17">
        <f>INDEX(Bar_U,MATCH(C560,Bar_No,0))</f>
      </c>
      <c r="F560" s="17">
        <f>u_max-E560</f>
      </c>
      <c r="G560" s="20">
        <f>ecu*(1-F560/D560)</f>
      </c>
      <c r="H560" s="20">
        <f>MAX(0,-G560)</f>
      </c>
      <c r="I560" s="17">
        <f>MAX(MIN(Es*G560,fy),-fy)</f>
      </c>
      <c r="J560">
        <f>IF(E560&gt;=u_max-beta_1*D560-blk_tol,1,0)</f>
      </c>
      <c r="K560" s="17">
        <f>J560*sig_blk</f>
      </c>
      <c r="L560" s="17">
        <f>I560-K560</f>
      </c>
      <c r="M560" s="17">
        <f>INDEX(Bar_As,MATCH(C560,Bar_No,0))*L560/1000</f>
      </c>
      <c r="N560" s="17">
        <f>M560*INDEX(Bar_Y,MATCH(C560,Bar_No,0))/1000</f>
      </c>
      <c r="O560" s="17">
        <f>M560*INDEX(Bar_X,MATCH(C560,Bar_No,0))/1000</f>
      </c>
    </row>
    <row r="561" spans="2:15" x14ac:dyDescent="0.25">
      <c r="B561">
        <v>31</v>
      </c>
      <c r="C561">
        <v>16</v>
      </c>
      <c r="D561" s="17">
        <f>INDEX(Blk_c,MATCH(B561,Blk_St,0))</f>
      </c>
      <c r="E561" s="17">
        <f>INDEX(Bar_U,MATCH(C561,Bar_No,0))</f>
      </c>
      <c r="F561" s="17">
        <f>u_max-E561</f>
      </c>
      <c r="G561" s="20">
        <f>ecu*(1-F561/D561)</f>
      </c>
      <c r="H561" s="20">
        <f>MAX(0,-G561)</f>
      </c>
      <c r="I561" s="17">
        <f>MAX(MIN(Es*G561,fy),-fy)</f>
      </c>
      <c r="J561">
        <f>IF(E561&gt;=u_max-beta_1*D561-blk_tol,1,0)</f>
      </c>
      <c r="K561" s="17">
        <f>J561*sig_blk</f>
      </c>
      <c r="L561" s="17">
        <f>I561-K561</f>
      </c>
      <c r="M561" s="17">
        <f>INDEX(Bar_As,MATCH(C561,Bar_No,0))*L561/1000</f>
      </c>
      <c r="N561" s="17">
        <f>M561*INDEX(Bar_Y,MATCH(C561,Bar_No,0))/1000</f>
      </c>
      <c r="O561" s="17">
        <f>M561*INDEX(Bar_X,MATCH(C561,Bar_No,0))/1000</f>
      </c>
    </row>
    <row r="562" spans="2:15" x14ac:dyDescent="0.25">
      <c r="B562">
        <v>31</v>
      </c>
      <c r="C562">
        <v>17</v>
      </c>
      <c r="D562" s="17">
        <f>INDEX(Blk_c,MATCH(B562,Blk_St,0))</f>
      </c>
      <c r="E562" s="17">
        <f>INDEX(Bar_U,MATCH(C562,Bar_No,0))</f>
      </c>
      <c r="F562" s="17">
        <f>u_max-E562</f>
      </c>
      <c r="G562" s="20">
        <f>ecu*(1-F562/D562)</f>
      </c>
      <c r="H562" s="20">
        <f>MAX(0,-G562)</f>
      </c>
      <c r="I562" s="17">
        <f>MAX(MIN(Es*G562,fy),-fy)</f>
      </c>
      <c r="J562">
        <f>IF(E562&gt;=u_max-beta_1*D562-blk_tol,1,0)</f>
      </c>
      <c r="K562" s="17">
        <f>J562*sig_blk</f>
      </c>
      <c r="L562" s="17">
        <f>I562-K562</f>
      </c>
      <c r="M562" s="17">
        <f>INDEX(Bar_As,MATCH(C562,Bar_No,0))*L562/1000</f>
      </c>
      <c r="N562" s="17">
        <f>M562*INDEX(Bar_Y,MATCH(C562,Bar_No,0))/1000</f>
      </c>
      <c r="O562" s="17">
        <f>M562*INDEX(Bar_X,MATCH(C562,Bar_No,0))/1000</f>
      </c>
    </row>
    <row r="563" spans="2:15" x14ac:dyDescent="0.25">
      <c r="B563">
        <v>31</v>
      </c>
      <c r="C563">
        <v>18</v>
      </c>
      <c r="D563" s="17">
        <f>INDEX(Blk_c,MATCH(B563,Blk_St,0))</f>
      </c>
      <c r="E563" s="17">
        <f>INDEX(Bar_U,MATCH(C563,Bar_No,0))</f>
      </c>
      <c r="F563" s="17">
        <f>u_max-E563</f>
      </c>
      <c r="G563" s="20">
        <f>ecu*(1-F563/D563)</f>
      </c>
      <c r="H563" s="20">
        <f>MAX(0,-G563)</f>
      </c>
      <c r="I563" s="17">
        <f>MAX(MIN(Es*G563,fy),-fy)</f>
      </c>
      <c r="J563">
        <f>IF(E563&gt;=u_max-beta_1*D563-blk_tol,1,0)</f>
      </c>
      <c r="K563" s="17">
        <f>J563*sig_blk</f>
      </c>
      <c r="L563" s="17">
        <f>I563-K563</f>
      </c>
      <c r="M563" s="17">
        <f>INDEX(Bar_As,MATCH(C563,Bar_No,0))*L563/1000</f>
      </c>
      <c r="N563" s="17">
        <f>M563*INDEX(Bar_Y,MATCH(C563,Bar_No,0))/1000</f>
      </c>
      <c r="O563" s="17">
        <f>M563*INDEX(Bar_X,MATCH(C563,Bar_No,0))/1000</f>
      </c>
    </row>
    <row r="564" spans="2:15" x14ac:dyDescent="0.25">
      <c r="B564">
        <v>32</v>
      </c>
      <c r="C564">
        <v>1</v>
      </c>
      <c r="D564" s="17">
        <f>INDEX(Blk_c,MATCH(B564,Blk_St,0))</f>
      </c>
      <c r="E564" s="17">
        <f>INDEX(Bar_U,MATCH(C564,Bar_No,0))</f>
      </c>
      <c r="F564" s="17">
        <f>u_max-E564</f>
      </c>
      <c r="G564" s="20">
        <f>ecu*(1-F564/D564)</f>
      </c>
      <c r="H564" s="20">
        <f>MAX(0,-G564)</f>
      </c>
      <c r="I564" s="17">
        <f>MAX(MIN(Es*G564,fy),-fy)</f>
      </c>
      <c r="J564">
        <f>IF(E564&gt;=u_max-beta_1*D564-blk_tol,1,0)</f>
      </c>
      <c r="K564" s="17">
        <f>J564*sig_blk</f>
      </c>
      <c r="L564" s="17">
        <f>I564-K564</f>
      </c>
      <c r="M564" s="17">
        <f>INDEX(Bar_As,MATCH(C564,Bar_No,0))*L564/1000</f>
      </c>
      <c r="N564" s="17">
        <f>M564*INDEX(Bar_Y,MATCH(C564,Bar_No,0))/1000</f>
      </c>
      <c r="O564" s="17">
        <f>M564*INDEX(Bar_X,MATCH(C564,Bar_No,0))/1000</f>
      </c>
    </row>
    <row r="565" spans="2:15" x14ac:dyDescent="0.25">
      <c r="B565">
        <v>32</v>
      </c>
      <c r="C565">
        <v>2</v>
      </c>
      <c r="D565" s="17">
        <f>INDEX(Blk_c,MATCH(B565,Blk_St,0))</f>
      </c>
      <c r="E565" s="17">
        <f>INDEX(Bar_U,MATCH(C565,Bar_No,0))</f>
      </c>
      <c r="F565" s="17">
        <f>u_max-E565</f>
      </c>
      <c r="G565" s="20">
        <f>ecu*(1-F565/D565)</f>
      </c>
      <c r="H565" s="20">
        <f>MAX(0,-G565)</f>
      </c>
      <c r="I565" s="17">
        <f>MAX(MIN(Es*G565,fy),-fy)</f>
      </c>
      <c r="J565">
        <f>IF(E565&gt;=u_max-beta_1*D565-blk_tol,1,0)</f>
      </c>
      <c r="K565" s="17">
        <f>J565*sig_blk</f>
      </c>
      <c r="L565" s="17">
        <f>I565-K565</f>
      </c>
      <c r="M565" s="17">
        <f>INDEX(Bar_As,MATCH(C565,Bar_No,0))*L565/1000</f>
      </c>
      <c r="N565" s="17">
        <f>M565*INDEX(Bar_Y,MATCH(C565,Bar_No,0))/1000</f>
      </c>
      <c r="O565" s="17">
        <f>M565*INDEX(Bar_X,MATCH(C565,Bar_No,0))/1000</f>
      </c>
    </row>
    <row r="566" spans="2:15" x14ac:dyDescent="0.25">
      <c r="B566">
        <v>32</v>
      </c>
      <c r="C566">
        <v>3</v>
      </c>
      <c r="D566" s="17">
        <f>INDEX(Blk_c,MATCH(B566,Blk_St,0))</f>
      </c>
      <c r="E566" s="17">
        <f>INDEX(Bar_U,MATCH(C566,Bar_No,0))</f>
      </c>
      <c r="F566" s="17">
        <f>u_max-E566</f>
      </c>
      <c r="G566" s="20">
        <f>ecu*(1-F566/D566)</f>
      </c>
      <c r="H566" s="20">
        <f>MAX(0,-G566)</f>
      </c>
      <c r="I566" s="17">
        <f>MAX(MIN(Es*G566,fy),-fy)</f>
      </c>
      <c r="J566">
        <f>IF(E566&gt;=u_max-beta_1*D566-blk_tol,1,0)</f>
      </c>
      <c r="K566" s="17">
        <f>J566*sig_blk</f>
      </c>
      <c r="L566" s="17">
        <f>I566-K566</f>
      </c>
      <c r="M566" s="17">
        <f>INDEX(Bar_As,MATCH(C566,Bar_No,0))*L566/1000</f>
      </c>
      <c r="N566" s="17">
        <f>M566*INDEX(Bar_Y,MATCH(C566,Bar_No,0))/1000</f>
      </c>
      <c r="O566" s="17">
        <f>M566*INDEX(Bar_X,MATCH(C566,Bar_No,0))/1000</f>
      </c>
    </row>
    <row r="567" spans="2:15" x14ac:dyDescent="0.25">
      <c r="B567">
        <v>32</v>
      </c>
      <c r="C567">
        <v>4</v>
      </c>
      <c r="D567" s="17">
        <f>INDEX(Blk_c,MATCH(B567,Blk_St,0))</f>
      </c>
      <c r="E567" s="17">
        <f>INDEX(Bar_U,MATCH(C567,Bar_No,0))</f>
      </c>
      <c r="F567" s="17">
        <f>u_max-E567</f>
      </c>
      <c r="G567" s="20">
        <f>ecu*(1-F567/D567)</f>
      </c>
      <c r="H567" s="20">
        <f>MAX(0,-G567)</f>
      </c>
      <c r="I567" s="17">
        <f>MAX(MIN(Es*G567,fy),-fy)</f>
      </c>
      <c r="J567">
        <f>IF(E567&gt;=u_max-beta_1*D567-blk_tol,1,0)</f>
      </c>
      <c r="K567" s="17">
        <f>J567*sig_blk</f>
      </c>
      <c r="L567" s="17">
        <f>I567-K567</f>
      </c>
      <c r="M567" s="17">
        <f>INDEX(Bar_As,MATCH(C567,Bar_No,0))*L567/1000</f>
      </c>
      <c r="N567" s="17">
        <f>M567*INDEX(Bar_Y,MATCH(C567,Bar_No,0))/1000</f>
      </c>
      <c r="O567" s="17">
        <f>M567*INDEX(Bar_X,MATCH(C567,Bar_No,0))/1000</f>
      </c>
    </row>
    <row r="568" spans="2:15" x14ac:dyDescent="0.25">
      <c r="B568">
        <v>32</v>
      </c>
      <c r="C568">
        <v>5</v>
      </c>
      <c r="D568" s="17">
        <f>INDEX(Blk_c,MATCH(B568,Blk_St,0))</f>
      </c>
      <c r="E568" s="17">
        <f>INDEX(Bar_U,MATCH(C568,Bar_No,0))</f>
      </c>
      <c r="F568" s="17">
        <f>u_max-E568</f>
      </c>
      <c r="G568" s="20">
        <f>ecu*(1-F568/D568)</f>
      </c>
      <c r="H568" s="20">
        <f>MAX(0,-G568)</f>
      </c>
      <c r="I568" s="17">
        <f>MAX(MIN(Es*G568,fy),-fy)</f>
      </c>
      <c r="J568">
        <f>IF(E568&gt;=u_max-beta_1*D568-blk_tol,1,0)</f>
      </c>
      <c r="K568" s="17">
        <f>J568*sig_blk</f>
      </c>
      <c r="L568" s="17">
        <f>I568-K568</f>
      </c>
      <c r="M568" s="17">
        <f>INDEX(Bar_As,MATCH(C568,Bar_No,0))*L568/1000</f>
      </c>
      <c r="N568" s="17">
        <f>M568*INDEX(Bar_Y,MATCH(C568,Bar_No,0))/1000</f>
      </c>
      <c r="O568" s="17">
        <f>M568*INDEX(Bar_X,MATCH(C568,Bar_No,0))/1000</f>
      </c>
    </row>
    <row r="569" spans="2:15" x14ac:dyDescent="0.25">
      <c r="B569">
        <v>32</v>
      </c>
      <c r="C569">
        <v>6</v>
      </c>
      <c r="D569" s="17">
        <f>INDEX(Blk_c,MATCH(B569,Blk_St,0))</f>
      </c>
      <c r="E569" s="17">
        <f>INDEX(Bar_U,MATCH(C569,Bar_No,0))</f>
      </c>
      <c r="F569" s="17">
        <f>u_max-E569</f>
      </c>
      <c r="G569" s="20">
        <f>ecu*(1-F569/D569)</f>
      </c>
      <c r="H569" s="20">
        <f>MAX(0,-G569)</f>
      </c>
      <c r="I569" s="17">
        <f>MAX(MIN(Es*G569,fy),-fy)</f>
      </c>
      <c r="J569">
        <f>IF(E569&gt;=u_max-beta_1*D569-blk_tol,1,0)</f>
      </c>
      <c r="K569" s="17">
        <f>J569*sig_blk</f>
      </c>
      <c r="L569" s="17">
        <f>I569-K569</f>
      </c>
      <c r="M569" s="17">
        <f>INDEX(Bar_As,MATCH(C569,Bar_No,0))*L569/1000</f>
      </c>
      <c r="N569" s="17">
        <f>M569*INDEX(Bar_Y,MATCH(C569,Bar_No,0))/1000</f>
      </c>
      <c r="O569" s="17">
        <f>M569*INDEX(Bar_X,MATCH(C569,Bar_No,0))/1000</f>
      </c>
    </row>
    <row r="570" spans="2:15" x14ac:dyDescent="0.25">
      <c r="B570">
        <v>32</v>
      </c>
      <c r="C570">
        <v>7</v>
      </c>
      <c r="D570" s="17">
        <f>INDEX(Blk_c,MATCH(B570,Blk_St,0))</f>
      </c>
      <c r="E570" s="17">
        <f>INDEX(Bar_U,MATCH(C570,Bar_No,0))</f>
      </c>
      <c r="F570" s="17">
        <f>u_max-E570</f>
      </c>
      <c r="G570" s="20">
        <f>ecu*(1-F570/D570)</f>
      </c>
      <c r="H570" s="20">
        <f>MAX(0,-G570)</f>
      </c>
      <c r="I570" s="17">
        <f>MAX(MIN(Es*G570,fy),-fy)</f>
      </c>
      <c r="J570">
        <f>IF(E570&gt;=u_max-beta_1*D570-blk_tol,1,0)</f>
      </c>
      <c r="K570" s="17">
        <f>J570*sig_blk</f>
      </c>
      <c r="L570" s="17">
        <f>I570-K570</f>
      </c>
      <c r="M570" s="17">
        <f>INDEX(Bar_As,MATCH(C570,Bar_No,0))*L570/1000</f>
      </c>
      <c r="N570" s="17">
        <f>M570*INDEX(Bar_Y,MATCH(C570,Bar_No,0))/1000</f>
      </c>
      <c r="O570" s="17">
        <f>M570*INDEX(Bar_X,MATCH(C570,Bar_No,0))/1000</f>
      </c>
    </row>
    <row r="571" spans="2:15" x14ac:dyDescent="0.25">
      <c r="B571">
        <v>32</v>
      </c>
      <c r="C571">
        <v>8</v>
      </c>
      <c r="D571" s="17">
        <f>INDEX(Blk_c,MATCH(B571,Blk_St,0))</f>
      </c>
      <c r="E571" s="17">
        <f>INDEX(Bar_U,MATCH(C571,Bar_No,0))</f>
      </c>
      <c r="F571" s="17">
        <f>u_max-E571</f>
      </c>
      <c r="G571" s="20">
        <f>ecu*(1-F571/D571)</f>
      </c>
      <c r="H571" s="20">
        <f>MAX(0,-G571)</f>
      </c>
      <c r="I571" s="17">
        <f>MAX(MIN(Es*G571,fy),-fy)</f>
      </c>
      <c r="J571">
        <f>IF(E571&gt;=u_max-beta_1*D571-blk_tol,1,0)</f>
      </c>
      <c r="K571" s="17">
        <f>J571*sig_blk</f>
      </c>
      <c r="L571" s="17">
        <f>I571-K571</f>
      </c>
      <c r="M571" s="17">
        <f>INDEX(Bar_As,MATCH(C571,Bar_No,0))*L571/1000</f>
      </c>
      <c r="N571" s="17">
        <f>M571*INDEX(Bar_Y,MATCH(C571,Bar_No,0))/1000</f>
      </c>
      <c r="O571" s="17">
        <f>M571*INDEX(Bar_X,MATCH(C571,Bar_No,0))/1000</f>
      </c>
    </row>
    <row r="572" spans="2:15" x14ac:dyDescent="0.25">
      <c r="B572">
        <v>32</v>
      </c>
      <c r="C572">
        <v>9</v>
      </c>
      <c r="D572" s="17">
        <f>INDEX(Blk_c,MATCH(B572,Blk_St,0))</f>
      </c>
      <c r="E572" s="17">
        <f>INDEX(Bar_U,MATCH(C572,Bar_No,0))</f>
      </c>
      <c r="F572" s="17">
        <f>u_max-E572</f>
      </c>
      <c r="G572" s="20">
        <f>ecu*(1-F572/D572)</f>
      </c>
      <c r="H572" s="20">
        <f>MAX(0,-G572)</f>
      </c>
      <c r="I572" s="17">
        <f>MAX(MIN(Es*G572,fy),-fy)</f>
      </c>
      <c r="J572">
        <f>IF(E572&gt;=u_max-beta_1*D572-blk_tol,1,0)</f>
      </c>
      <c r="K572" s="17">
        <f>J572*sig_blk</f>
      </c>
      <c r="L572" s="17">
        <f>I572-K572</f>
      </c>
      <c r="M572" s="17">
        <f>INDEX(Bar_As,MATCH(C572,Bar_No,0))*L572/1000</f>
      </c>
      <c r="N572" s="17">
        <f>M572*INDEX(Bar_Y,MATCH(C572,Bar_No,0))/1000</f>
      </c>
      <c r="O572" s="17">
        <f>M572*INDEX(Bar_X,MATCH(C572,Bar_No,0))/1000</f>
      </c>
    </row>
    <row r="573" spans="2:15" x14ac:dyDescent="0.25">
      <c r="B573">
        <v>32</v>
      </c>
      <c r="C573">
        <v>10</v>
      </c>
      <c r="D573" s="17">
        <f>INDEX(Blk_c,MATCH(B573,Blk_St,0))</f>
      </c>
      <c r="E573" s="17">
        <f>INDEX(Bar_U,MATCH(C573,Bar_No,0))</f>
      </c>
      <c r="F573" s="17">
        <f>u_max-E573</f>
      </c>
      <c r="G573" s="20">
        <f>ecu*(1-F573/D573)</f>
      </c>
      <c r="H573" s="20">
        <f>MAX(0,-G573)</f>
      </c>
      <c r="I573" s="17">
        <f>MAX(MIN(Es*G573,fy),-fy)</f>
      </c>
      <c r="J573">
        <f>IF(E573&gt;=u_max-beta_1*D573-blk_tol,1,0)</f>
      </c>
      <c r="K573" s="17">
        <f>J573*sig_blk</f>
      </c>
      <c r="L573" s="17">
        <f>I573-K573</f>
      </c>
      <c r="M573" s="17">
        <f>INDEX(Bar_As,MATCH(C573,Bar_No,0))*L573/1000</f>
      </c>
      <c r="N573" s="17">
        <f>M573*INDEX(Bar_Y,MATCH(C573,Bar_No,0))/1000</f>
      </c>
      <c r="O573" s="17">
        <f>M573*INDEX(Bar_X,MATCH(C573,Bar_No,0))/1000</f>
      </c>
    </row>
    <row r="574" spans="2:15" x14ac:dyDescent="0.25">
      <c r="B574">
        <v>32</v>
      </c>
      <c r="C574">
        <v>11</v>
      </c>
      <c r="D574" s="17">
        <f>INDEX(Blk_c,MATCH(B574,Blk_St,0))</f>
      </c>
      <c r="E574" s="17">
        <f>INDEX(Bar_U,MATCH(C574,Bar_No,0))</f>
      </c>
      <c r="F574" s="17">
        <f>u_max-E574</f>
      </c>
      <c r="G574" s="20">
        <f>ecu*(1-F574/D574)</f>
      </c>
      <c r="H574" s="20">
        <f>MAX(0,-G574)</f>
      </c>
      <c r="I574" s="17">
        <f>MAX(MIN(Es*G574,fy),-fy)</f>
      </c>
      <c r="J574">
        <f>IF(E574&gt;=u_max-beta_1*D574-blk_tol,1,0)</f>
      </c>
      <c r="K574" s="17">
        <f>J574*sig_blk</f>
      </c>
      <c r="L574" s="17">
        <f>I574-K574</f>
      </c>
      <c r="M574" s="17">
        <f>INDEX(Bar_As,MATCH(C574,Bar_No,0))*L574/1000</f>
      </c>
      <c r="N574" s="17">
        <f>M574*INDEX(Bar_Y,MATCH(C574,Bar_No,0))/1000</f>
      </c>
      <c r="O574" s="17">
        <f>M574*INDEX(Bar_X,MATCH(C574,Bar_No,0))/1000</f>
      </c>
    </row>
    <row r="575" spans="2:15" x14ac:dyDescent="0.25">
      <c r="B575">
        <v>32</v>
      </c>
      <c r="C575">
        <v>12</v>
      </c>
      <c r="D575" s="17">
        <f>INDEX(Blk_c,MATCH(B575,Blk_St,0))</f>
      </c>
      <c r="E575" s="17">
        <f>INDEX(Bar_U,MATCH(C575,Bar_No,0))</f>
      </c>
      <c r="F575" s="17">
        <f>u_max-E575</f>
      </c>
      <c r="G575" s="20">
        <f>ecu*(1-F575/D575)</f>
      </c>
      <c r="H575" s="20">
        <f>MAX(0,-G575)</f>
      </c>
      <c r="I575" s="17">
        <f>MAX(MIN(Es*G575,fy),-fy)</f>
      </c>
      <c r="J575">
        <f>IF(E575&gt;=u_max-beta_1*D575-blk_tol,1,0)</f>
      </c>
      <c r="K575" s="17">
        <f>J575*sig_blk</f>
      </c>
      <c r="L575" s="17">
        <f>I575-K575</f>
      </c>
      <c r="M575" s="17">
        <f>INDEX(Bar_As,MATCH(C575,Bar_No,0))*L575/1000</f>
      </c>
      <c r="N575" s="17">
        <f>M575*INDEX(Bar_Y,MATCH(C575,Bar_No,0))/1000</f>
      </c>
      <c r="O575" s="17">
        <f>M575*INDEX(Bar_X,MATCH(C575,Bar_No,0))/1000</f>
      </c>
    </row>
    <row r="576" spans="2:15" x14ac:dyDescent="0.25">
      <c r="B576">
        <v>32</v>
      </c>
      <c r="C576">
        <v>13</v>
      </c>
      <c r="D576" s="17">
        <f>INDEX(Blk_c,MATCH(B576,Blk_St,0))</f>
      </c>
      <c r="E576" s="17">
        <f>INDEX(Bar_U,MATCH(C576,Bar_No,0))</f>
      </c>
      <c r="F576" s="17">
        <f>u_max-E576</f>
      </c>
      <c r="G576" s="20">
        <f>ecu*(1-F576/D576)</f>
      </c>
      <c r="H576" s="20">
        <f>MAX(0,-G576)</f>
      </c>
      <c r="I576" s="17">
        <f>MAX(MIN(Es*G576,fy),-fy)</f>
      </c>
      <c r="J576">
        <f>IF(E576&gt;=u_max-beta_1*D576-blk_tol,1,0)</f>
      </c>
      <c r="K576" s="17">
        <f>J576*sig_blk</f>
      </c>
      <c r="L576" s="17">
        <f>I576-K576</f>
      </c>
      <c r="M576" s="17">
        <f>INDEX(Bar_As,MATCH(C576,Bar_No,0))*L576/1000</f>
      </c>
      <c r="N576" s="17">
        <f>M576*INDEX(Bar_Y,MATCH(C576,Bar_No,0))/1000</f>
      </c>
      <c r="O576" s="17">
        <f>M576*INDEX(Bar_X,MATCH(C576,Bar_No,0))/1000</f>
      </c>
    </row>
    <row r="577" spans="2:15" x14ac:dyDescent="0.25">
      <c r="B577">
        <v>32</v>
      </c>
      <c r="C577">
        <v>14</v>
      </c>
      <c r="D577" s="17">
        <f>INDEX(Blk_c,MATCH(B577,Blk_St,0))</f>
      </c>
      <c r="E577" s="17">
        <f>INDEX(Bar_U,MATCH(C577,Bar_No,0))</f>
      </c>
      <c r="F577" s="17">
        <f>u_max-E577</f>
      </c>
      <c r="G577" s="20">
        <f>ecu*(1-F577/D577)</f>
      </c>
      <c r="H577" s="20">
        <f>MAX(0,-G577)</f>
      </c>
      <c r="I577" s="17">
        <f>MAX(MIN(Es*G577,fy),-fy)</f>
      </c>
      <c r="J577">
        <f>IF(E577&gt;=u_max-beta_1*D577-blk_tol,1,0)</f>
      </c>
      <c r="K577" s="17">
        <f>J577*sig_blk</f>
      </c>
      <c r="L577" s="17">
        <f>I577-K577</f>
      </c>
      <c r="M577" s="17">
        <f>INDEX(Bar_As,MATCH(C577,Bar_No,0))*L577/1000</f>
      </c>
      <c r="N577" s="17">
        <f>M577*INDEX(Bar_Y,MATCH(C577,Bar_No,0))/1000</f>
      </c>
      <c r="O577" s="17">
        <f>M577*INDEX(Bar_X,MATCH(C577,Bar_No,0))/1000</f>
      </c>
    </row>
    <row r="578" spans="2:15" x14ac:dyDescent="0.25">
      <c r="B578">
        <v>32</v>
      </c>
      <c r="C578">
        <v>15</v>
      </c>
      <c r="D578" s="17">
        <f>INDEX(Blk_c,MATCH(B578,Blk_St,0))</f>
      </c>
      <c r="E578" s="17">
        <f>INDEX(Bar_U,MATCH(C578,Bar_No,0))</f>
      </c>
      <c r="F578" s="17">
        <f>u_max-E578</f>
      </c>
      <c r="G578" s="20">
        <f>ecu*(1-F578/D578)</f>
      </c>
      <c r="H578" s="20">
        <f>MAX(0,-G578)</f>
      </c>
      <c r="I578" s="17">
        <f>MAX(MIN(Es*G578,fy),-fy)</f>
      </c>
      <c r="J578">
        <f>IF(E578&gt;=u_max-beta_1*D578-blk_tol,1,0)</f>
      </c>
      <c r="K578" s="17">
        <f>J578*sig_blk</f>
      </c>
      <c r="L578" s="17">
        <f>I578-K578</f>
      </c>
      <c r="M578" s="17">
        <f>INDEX(Bar_As,MATCH(C578,Bar_No,0))*L578/1000</f>
      </c>
      <c r="N578" s="17">
        <f>M578*INDEX(Bar_Y,MATCH(C578,Bar_No,0))/1000</f>
      </c>
      <c r="O578" s="17">
        <f>M578*INDEX(Bar_X,MATCH(C578,Bar_No,0))/1000</f>
      </c>
    </row>
    <row r="579" spans="2:15" x14ac:dyDescent="0.25">
      <c r="B579">
        <v>32</v>
      </c>
      <c r="C579">
        <v>16</v>
      </c>
      <c r="D579" s="17">
        <f>INDEX(Blk_c,MATCH(B579,Blk_St,0))</f>
      </c>
      <c r="E579" s="17">
        <f>INDEX(Bar_U,MATCH(C579,Bar_No,0))</f>
      </c>
      <c r="F579" s="17">
        <f>u_max-E579</f>
      </c>
      <c r="G579" s="20">
        <f>ecu*(1-F579/D579)</f>
      </c>
      <c r="H579" s="20">
        <f>MAX(0,-G579)</f>
      </c>
      <c r="I579" s="17">
        <f>MAX(MIN(Es*G579,fy),-fy)</f>
      </c>
      <c r="J579">
        <f>IF(E579&gt;=u_max-beta_1*D579-blk_tol,1,0)</f>
      </c>
      <c r="K579" s="17">
        <f>J579*sig_blk</f>
      </c>
      <c r="L579" s="17">
        <f>I579-K579</f>
      </c>
      <c r="M579" s="17">
        <f>INDEX(Bar_As,MATCH(C579,Bar_No,0))*L579/1000</f>
      </c>
      <c r="N579" s="17">
        <f>M579*INDEX(Bar_Y,MATCH(C579,Bar_No,0))/1000</f>
      </c>
      <c r="O579" s="17">
        <f>M579*INDEX(Bar_X,MATCH(C579,Bar_No,0))/1000</f>
      </c>
    </row>
    <row r="580" spans="2:15" x14ac:dyDescent="0.25">
      <c r="B580">
        <v>32</v>
      </c>
      <c r="C580">
        <v>17</v>
      </c>
      <c r="D580" s="17">
        <f>INDEX(Blk_c,MATCH(B580,Blk_St,0))</f>
      </c>
      <c r="E580" s="17">
        <f>INDEX(Bar_U,MATCH(C580,Bar_No,0))</f>
      </c>
      <c r="F580" s="17">
        <f>u_max-E580</f>
      </c>
      <c r="G580" s="20">
        <f>ecu*(1-F580/D580)</f>
      </c>
      <c r="H580" s="20">
        <f>MAX(0,-G580)</f>
      </c>
      <c r="I580" s="17">
        <f>MAX(MIN(Es*G580,fy),-fy)</f>
      </c>
      <c r="J580">
        <f>IF(E580&gt;=u_max-beta_1*D580-blk_tol,1,0)</f>
      </c>
      <c r="K580" s="17">
        <f>J580*sig_blk</f>
      </c>
      <c r="L580" s="17">
        <f>I580-K580</f>
      </c>
      <c r="M580" s="17">
        <f>INDEX(Bar_As,MATCH(C580,Bar_No,0))*L580/1000</f>
      </c>
      <c r="N580" s="17">
        <f>M580*INDEX(Bar_Y,MATCH(C580,Bar_No,0))/1000</f>
      </c>
      <c r="O580" s="17">
        <f>M580*INDEX(Bar_X,MATCH(C580,Bar_No,0))/1000</f>
      </c>
    </row>
    <row r="581" spans="2:15" x14ac:dyDescent="0.25">
      <c r="B581">
        <v>32</v>
      </c>
      <c r="C581">
        <v>18</v>
      </c>
      <c r="D581" s="17">
        <f>INDEX(Blk_c,MATCH(B581,Blk_St,0))</f>
      </c>
      <c r="E581" s="17">
        <f>INDEX(Bar_U,MATCH(C581,Bar_No,0))</f>
      </c>
      <c r="F581" s="17">
        <f>u_max-E581</f>
      </c>
      <c r="G581" s="20">
        <f>ecu*(1-F581/D581)</f>
      </c>
      <c r="H581" s="20">
        <f>MAX(0,-G581)</f>
      </c>
      <c r="I581" s="17">
        <f>MAX(MIN(Es*G581,fy),-fy)</f>
      </c>
      <c r="J581">
        <f>IF(E581&gt;=u_max-beta_1*D581-blk_tol,1,0)</f>
      </c>
      <c r="K581" s="17">
        <f>J581*sig_blk</f>
      </c>
      <c r="L581" s="17">
        <f>I581-K581</f>
      </c>
      <c r="M581" s="17">
        <f>INDEX(Bar_As,MATCH(C581,Bar_No,0))*L581/1000</f>
      </c>
      <c r="N581" s="17">
        <f>M581*INDEX(Bar_Y,MATCH(C581,Bar_No,0))/1000</f>
      </c>
      <c r="O581" s="17">
        <f>M581*INDEX(Bar_X,MATCH(C581,Bar_No,0))/1000</f>
      </c>
    </row>
    <row r="582" spans="2:15" x14ac:dyDescent="0.25">
      <c r="B582">
        <v>33</v>
      </c>
      <c r="C582">
        <v>1</v>
      </c>
      <c r="D582" s="17">
        <f>INDEX(Blk_c,MATCH(B582,Blk_St,0))</f>
      </c>
      <c r="E582" s="17">
        <f>INDEX(Bar_U,MATCH(C582,Bar_No,0))</f>
      </c>
      <c r="F582" s="17">
        <f>u_max-E582</f>
      </c>
      <c r="G582" s="20">
        <f>ecu*(1-F582/D582)</f>
      </c>
      <c r="H582" s="20">
        <f>MAX(0,-G582)</f>
      </c>
      <c r="I582" s="17">
        <f>MAX(MIN(Es*G582,fy),-fy)</f>
      </c>
      <c r="J582">
        <f>IF(E582&gt;=u_max-beta_1*D582-blk_tol,1,0)</f>
      </c>
      <c r="K582" s="17">
        <f>J582*sig_blk</f>
      </c>
      <c r="L582" s="17">
        <f>I582-K582</f>
      </c>
      <c r="M582" s="17">
        <f>INDEX(Bar_As,MATCH(C582,Bar_No,0))*L582/1000</f>
      </c>
      <c r="N582" s="17">
        <f>M582*INDEX(Bar_Y,MATCH(C582,Bar_No,0))/1000</f>
      </c>
      <c r="O582" s="17">
        <f>M582*INDEX(Bar_X,MATCH(C582,Bar_No,0))/1000</f>
      </c>
    </row>
    <row r="583" spans="2:15" x14ac:dyDescent="0.25">
      <c r="B583">
        <v>33</v>
      </c>
      <c r="C583">
        <v>2</v>
      </c>
      <c r="D583" s="17">
        <f>INDEX(Blk_c,MATCH(B583,Blk_St,0))</f>
      </c>
      <c r="E583" s="17">
        <f>INDEX(Bar_U,MATCH(C583,Bar_No,0))</f>
      </c>
      <c r="F583" s="17">
        <f>u_max-E583</f>
      </c>
      <c r="G583" s="20">
        <f>ecu*(1-F583/D583)</f>
      </c>
      <c r="H583" s="20">
        <f>MAX(0,-G583)</f>
      </c>
      <c r="I583" s="17">
        <f>MAX(MIN(Es*G583,fy),-fy)</f>
      </c>
      <c r="J583">
        <f>IF(E583&gt;=u_max-beta_1*D583-blk_tol,1,0)</f>
      </c>
      <c r="K583" s="17">
        <f>J583*sig_blk</f>
      </c>
      <c r="L583" s="17">
        <f>I583-K583</f>
      </c>
      <c r="M583" s="17">
        <f>INDEX(Bar_As,MATCH(C583,Bar_No,0))*L583/1000</f>
      </c>
      <c r="N583" s="17">
        <f>M583*INDEX(Bar_Y,MATCH(C583,Bar_No,0))/1000</f>
      </c>
      <c r="O583" s="17">
        <f>M583*INDEX(Bar_X,MATCH(C583,Bar_No,0))/1000</f>
      </c>
    </row>
    <row r="584" spans="2:15" x14ac:dyDescent="0.25">
      <c r="B584">
        <v>33</v>
      </c>
      <c r="C584">
        <v>3</v>
      </c>
      <c r="D584" s="17">
        <f>INDEX(Blk_c,MATCH(B584,Blk_St,0))</f>
      </c>
      <c r="E584" s="17">
        <f>INDEX(Bar_U,MATCH(C584,Bar_No,0))</f>
      </c>
      <c r="F584" s="17">
        <f>u_max-E584</f>
      </c>
      <c r="G584" s="20">
        <f>ecu*(1-F584/D584)</f>
      </c>
      <c r="H584" s="20">
        <f>MAX(0,-G584)</f>
      </c>
      <c r="I584" s="17">
        <f>MAX(MIN(Es*G584,fy),-fy)</f>
      </c>
      <c r="J584">
        <f>IF(E584&gt;=u_max-beta_1*D584-blk_tol,1,0)</f>
      </c>
      <c r="K584" s="17">
        <f>J584*sig_blk</f>
      </c>
      <c r="L584" s="17">
        <f>I584-K584</f>
      </c>
      <c r="M584" s="17">
        <f>INDEX(Bar_As,MATCH(C584,Bar_No,0))*L584/1000</f>
      </c>
      <c r="N584" s="17">
        <f>M584*INDEX(Bar_Y,MATCH(C584,Bar_No,0))/1000</f>
      </c>
      <c r="O584" s="17">
        <f>M584*INDEX(Bar_X,MATCH(C584,Bar_No,0))/1000</f>
      </c>
    </row>
    <row r="585" spans="2:15" x14ac:dyDescent="0.25">
      <c r="B585">
        <v>33</v>
      </c>
      <c r="C585">
        <v>4</v>
      </c>
      <c r="D585" s="17">
        <f>INDEX(Blk_c,MATCH(B585,Blk_St,0))</f>
      </c>
      <c r="E585" s="17">
        <f>INDEX(Bar_U,MATCH(C585,Bar_No,0))</f>
      </c>
      <c r="F585" s="17">
        <f>u_max-E585</f>
      </c>
      <c r="G585" s="20">
        <f>ecu*(1-F585/D585)</f>
      </c>
      <c r="H585" s="20">
        <f>MAX(0,-G585)</f>
      </c>
      <c r="I585" s="17">
        <f>MAX(MIN(Es*G585,fy),-fy)</f>
      </c>
      <c r="J585">
        <f>IF(E585&gt;=u_max-beta_1*D585-blk_tol,1,0)</f>
      </c>
      <c r="K585" s="17">
        <f>J585*sig_blk</f>
      </c>
      <c r="L585" s="17">
        <f>I585-K585</f>
      </c>
      <c r="M585" s="17">
        <f>INDEX(Bar_As,MATCH(C585,Bar_No,0))*L585/1000</f>
      </c>
      <c r="N585" s="17">
        <f>M585*INDEX(Bar_Y,MATCH(C585,Bar_No,0))/1000</f>
      </c>
      <c r="O585" s="17">
        <f>M585*INDEX(Bar_X,MATCH(C585,Bar_No,0))/1000</f>
      </c>
    </row>
    <row r="586" spans="2:15" x14ac:dyDescent="0.25">
      <c r="B586">
        <v>33</v>
      </c>
      <c r="C586">
        <v>5</v>
      </c>
      <c r="D586" s="17">
        <f>INDEX(Blk_c,MATCH(B586,Blk_St,0))</f>
      </c>
      <c r="E586" s="17">
        <f>INDEX(Bar_U,MATCH(C586,Bar_No,0))</f>
      </c>
      <c r="F586" s="17">
        <f>u_max-E586</f>
      </c>
      <c r="G586" s="20">
        <f>ecu*(1-F586/D586)</f>
      </c>
      <c r="H586" s="20">
        <f>MAX(0,-G586)</f>
      </c>
      <c r="I586" s="17">
        <f>MAX(MIN(Es*G586,fy),-fy)</f>
      </c>
      <c r="J586">
        <f>IF(E586&gt;=u_max-beta_1*D586-blk_tol,1,0)</f>
      </c>
      <c r="K586" s="17">
        <f>J586*sig_blk</f>
      </c>
      <c r="L586" s="17">
        <f>I586-K586</f>
      </c>
      <c r="M586" s="17">
        <f>INDEX(Bar_As,MATCH(C586,Bar_No,0))*L586/1000</f>
      </c>
      <c r="N586" s="17">
        <f>M586*INDEX(Bar_Y,MATCH(C586,Bar_No,0))/1000</f>
      </c>
      <c r="O586" s="17">
        <f>M586*INDEX(Bar_X,MATCH(C586,Bar_No,0))/1000</f>
      </c>
    </row>
    <row r="587" spans="2:15" x14ac:dyDescent="0.25">
      <c r="B587">
        <v>33</v>
      </c>
      <c r="C587">
        <v>6</v>
      </c>
      <c r="D587" s="17">
        <f>INDEX(Blk_c,MATCH(B587,Blk_St,0))</f>
      </c>
      <c r="E587" s="17">
        <f>INDEX(Bar_U,MATCH(C587,Bar_No,0))</f>
      </c>
      <c r="F587" s="17">
        <f>u_max-E587</f>
      </c>
      <c r="G587" s="20">
        <f>ecu*(1-F587/D587)</f>
      </c>
      <c r="H587" s="20">
        <f>MAX(0,-G587)</f>
      </c>
      <c r="I587" s="17">
        <f>MAX(MIN(Es*G587,fy),-fy)</f>
      </c>
      <c r="J587">
        <f>IF(E587&gt;=u_max-beta_1*D587-blk_tol,1,0)</f>
      </c>
      <c r="K587" s="17">
        <f>J587*sig_blk</f>
      </c>
      <c r="L587" s="17">
        <f>I587-K587</f>
      </c>
      <c r="M587" s="17">
        <f>INDEX(Bar_As,MATCH(C587,Bar_No,0))*L587/1000</f>
      </c>
      <c r="N587" s="17">
        <f>M587*INDEX(Bar_Y,MATCH(C587,Bar_No,0))/1000</f>
      </c>
      <c r="O587" s="17">
        <f>M587*INDEX(Bar_X,MATCH(C587,Bar_No,0))/1000</f>
      </c>
    </row>
    <row r="588" spans="2:15" x14ac:dyDescent="0.25">
      <c r="B588">
        <v>33</v>
      </c>
      <c r="C588">
        <v>7</v>
      </c>
      <c r="D588" s="17">
        <f>INDEX(Blk_c,MATCH(B588,Blk_St,0))</f>
      </c>
      <c r="E588" s="17">
        <f>INDEX(Bar_U,MATCH(C588,Bar_No,0))</f>
      </c>
      <c r="F588" s="17">
        <f>u_max-E588</f>
      </c>
      <c r="G588" s="20">
        <f>ecu*(1-F588/D588)</f>
      </c>
      <c r="H588" s="20">
        <f>MAX(0,-G588)</f>
      </c>
      <c r="I588" s="17">
        <f>MAX(MIN(Es*G588,fy),-fy)</f>
      </c>
      <c r="J588">
        <f>IF(E588&gt;=u_max-beta_1*D588-blk_tol,1,0)</f>
      </c>
      <c r="K588" s="17">
        <f>J588*sig_blk</f>
      </c>
      <c r="L588" s="17">
        <f>I588-K588</f>
      </c>
      <c r="M588" s="17">
        <f>INDEX(Bar_As,MATCH(C588,Bar_No,0))*L588/1000</f>
      </c>
      <c r="N588" s="17">
        <f>M588*INDEX(Bar_Y,MATCH(C588,Bar_No,0))/1000</f>
      </c>
      <c r="O588" s="17">
        <f>M588*INDEX(Bar_X,MATCH(C588,Bar_No,0))/1000</f>
      </c>
    </row>
    <row r="589" spans="2:15" x14ac:dyDescent="0.25">
      <c r="B589">
        <v>33</v>
      </c>
      <c r="C589">
        <v>8</v>
      </c>
      <c r="D589" s="17">
        <f>INDEX(Blk_c,MATCH(B589,Blk_St,0))</f>
      </c>
      <c r="E589" s="17">
        <f>INDEX(Bar_U,MATCH(C589,Bar_No,0))</f>
      </c>
      <c r="F589" s="17">
        <f>u_max-E589</f>
      </c>
      <c r="G589" s="20">
        <f>ecu*(1-F589/D589)</f>
      </c>
      <c r="H589" s="20">
        <f>MAX(0,-G589)</f>
      </c>
      <c r="I589" s="17">
        <f>MAX(MIN(Es*G589,fy),-fy)</f>
      </c>
      <c r="J589">
        <f>IF(E589&gt;=u_max-beta_1*D589-blk_tol,1,0)</f>
      </c>
      <c r="K589" s="17">
        <f>J589*sig_blk</f>
      </c>
      <c r="L589" s="17">
        <f>I589-K589</f>
      </c>
      <c r="M589" s="17">
        <f>INDEX(Bar_As,MATCH(C589,Bar_No,0))*L589/1000</f>
      </c>
      <c r="N589" s="17">
        <f>M589*INDEX(Bar_Y,MATCH(C589,Bar_No,0))/1000</f>
      </c>
      <c r="O589" s="17">
        <f>M589*INDEX(Bar_X,MATCH(C589,Bar_No,0))/1000</f>
      </c>
    </row>
    <row r="590" spans="2:15" x14ac:dyDescent="0.25">
      <c r="B590">
        <v>33</v>
      </c>
      <c r="C590">
        <v>9</v>
      </c>
      <c r="D590" s="17">
        <f>INDEX(Blk_c,MATCH(B590,Blk_St,0))</f>
      </c>
      <c r="E590" s="17">
        <f>INDEX(Bar_U,MATCH(C590,Bar_No,0))</f>
      </c>
      <c r="F590" s="17">
        <f>u_max-E590</f>
      </c>
      <c r="G590" s="20">
        <f>ecu*(1-F590/D590)</f>
      </c>
      <c r="H590" s="20">
        <f>MAX(0,-G590)</f>
      </c>
      <c r="I590" s="17">
        <f>MAX(MIN(Es*G590,fy),-fy)</f>
      </c>
      <c r="J590">
        <f>IF(E590&gt;=u_max-beta_1*D590-blk_tol,1,0)</f>
      </c>
      <c r="K590" s="17">
        <f>J590*sig_blk</f>
      </c>
      <c r="L590" s="17">
        <f>I590-K590</f>
      </c>
      <c r="M590" s="17">
        <f>INDEX(Bar_As,MATCH(C590,Bar_No,0))*L590/1000</f>
      </c>
      <c r="N590" s="17">
        <f>M590*INDEX(Bar_Y,MATCH(C590,Bar_No,0))/1000</f>
      </c>
      <c r="O590" s="17">
        <f>M590*INDEX(Bar_X,MATCH(C590,Bar_No,0))/1000</f>
      </c>
    </row>
    <row r="591" spans="2:15" x14ac:dyDescent="0.25">
      <c r="B591">
        <v>33</v>
      </c>
      <c r="C591">
        <v>10</v>
      </c>
      <c r="D591" s="17">
        <f>INDEX(Blk_c,MATCH(B591,Blk_St,0))</f>
      </c>
      <c r="E591" s="17">
        <f>INDEX(Bar_U,MATCH(C591,Bar_No,0))</f>
      </c>
      <c r="F591" s="17">
        <f>u_max-E591</f>
      </c>
      <c r="G591" s="20">
        <f>ecu*(1-F591/D591)</f>
      </c>
      <c r="H591" s="20">
        <f>MAX(0,-G591)</f>
      </c>
      <c r="I591" s="17">
        <f>MAX(MIN(Es*G591,fy),-fy)</f>
      </c>
      <c r="J591">
        <f>IF(E591&gt;=u_max-beta_1*D591-blk_tol,1,0)</f>
      </c>
      <c r="K591" s="17">
        <f>J591*sig_blk</f>
      </c>
      <c r="L591" s="17">
        <f>I591-K591</f>
      </c>
      <c r="M591" s="17">
        <f>INDEX(Bar_As,MATCH(C591,Bar_No,0))*L591/1000</f>
      </c>
      <c r="N591" s="17">
        <f>M591*INDEX(Bar_Y,MATCH(C591,Bar_No,0))/1000</f>
      </c>
      <c r="O591" s="17">
        <f>M591*INDEX(Bar_X,MATCH(C591,Bar_No,0))/1000</f>
      </c>
    </row>
    <row r="592" spans="2:15" x14ac:dyDescent="0.25">
      <c r="B592">
        <v>33</v>
      </c>
      <c r="C592">
        <v>11</v>
      </c>
      <c r="D592" s="17">
        <f>INDEX(Blk_c,MATCH(B592,Blk_St,0))</f>
      </c>
      <c r="E592" s="17">
        <f>INDEX(Bar_U,MATCH(C592,Bar_No,0))</f>
      </c>
      <c r="F592" s="17">
        <f>u_max-E592</f>
      </c>
      <c r="G592" s="20">
        <f>ecu*(1-F592/D592)</f>
      </c>
      <c r="H592" s="20">
        <f>MAX(0,-G592)</f>
      </c>
      <c r="I592" s="17">
        <f>MAX(MIN(Es*G592,fy),-fy)</f>
      </c>
      <c r="J592">
        <f>IF(E592&gt;=u_max-beta_1*D592-blk_tol,1,0)</f>
      </c>
      <c r="K592" s="17">
        <f>J592*sig_blk</f>
      </c>
      <c r="L592" s="17">
        <f>I592-K592</f>
      </c>
      <c r="M592" s="17">
        <f>INDEX(Bar_As,MATCH(C592,Bar_No,0))*L592/1000</f>
      </c>
      <c r="N592" s="17">
        <f>M592*INDEX(Bar_Y,MATCH(C592,Bar_No,0))/1000</f>
      </c>
      <c r="O592" s="17">
        <f>M592*INDEX(Bar_X,MATCH(C592,Bar_No,0))/1000</f>
      </c>
    </row>
    <row r="593" spans="2:15" x14ac:dyDescent="0.25">
      <c r="B593">
        <v>33</v>
      </c>
      <c r="C593">
        <v>12</v>
      </c>
      <c r="D593" s="17">
        <f>INDEX(Blk_c,MATCH(B593,Blk_St,0))</f>
      </c>
      <c r="E593" s="17">
        <f>INDEX(Bar_U,MATCH(C593,Bar_No,0))</f>
      </c>
      <c r="F593" s="17">
        <f>u_max-E593</f>
      </c>
      <c r="G593" s="20">
        <f>ecu*(1-F593/D593)</f>
      </c>
      <c r="H593" s="20">
        <f>MAX(0,-G593)</f>
      </c>
      <c r="I593" s="17">
        <f>MAX(MIN(Es*G593,fy),-fy)</f>
      </c>
      <c r="J593">
        <f>IF(E593&gt;=u_max-beta_1*D593-blk_tol,1,0)</f>
      </c>
      <c r="K593" s="17">
        <f>J593*sig_blk</f>
      </c>
      <c r="L593" s="17">
        <f>I593-K593</f>
      </c>
      <c r="M593" s="17">
        <f>INDEX(Bar_As,MATCH(C593,Bar_No,0))*L593/1000</f>
      </c>
      <c r="N593" s="17">
        <f>M593*INDEX(Bar_Y,MATCH(C593,Bar_No,0))/1000</f>
      </c>
      <c r="O593" s="17">
        <f>M593*INDEX(Bar_X,MATCH(C593,Bar_No,0))/1000</f>
      </c>
    </row>
    <row r="594" spans="2:15" x14ac:dyDescent="0.25">
      <c r="B594">
        <v>33</v>
      </c>
      <c r="C594">
        <v>13</v>
      </c>
      <c r="D594" s="17">
        <f>INDEX(Blk_c,MATCH(B594,Blk_St,0))</f>
      </c>
      <c r="E594" s="17">
        <f>INDEX(Bar_U,MATCH(C594,Bar_No,0))</f>
      </c>
      <c r="F594" s="17">
        <f>u_max-E594</f>
      </c>
      <c r="G594" s="20">
        <f>ecu*(1-F594/D594)</f>
      </c>
      <c r="H594" s="20">
        <f>MAX(0,-G594)</f>
      </c>
      <c r="I594" s="17">
        <f>MAX(MIN(Es*G594,fy),-fy)</f>
      </c>
      <c r="J594">
        <f>IF(E594&gt;=u_max-beta_1*D594-blk_tol,1,0)</f>
      </c>
      <c r="K594" s="17">
        <f>J594*sig_blk</f>
      </c>
      <c r="L594" s="17">
        <f>I594-K594</f>
      </c>
      <c r="M594" s="17">
        <f>INDEX(Bar_As,MATCH(C594,Bar_No,0))*L594/1000</f>
      </c>
      <c r="N594" s="17">
        <f>M594*INDEX(Bar_Y,MATCH(C594,Bar_No,0))/1000</f>
      </c>
      <c r="O594" s="17">
        <f>M594*INDEX(Bar_X,MATCH(C594,Bar_No,0))/1000</f>
      </c>
    </row>
    <row r="595" spans="2:15" x14ac:dyDescent="0.25">
      <c r="B595">
        <v>33</v>
      </c>
      <c r="C595">
        <v>14</v>
      </c>
      <c r="D595" s="17">
        <f>INDEX(Blk_c,MATCH(B595,Blk_St,0))</f>
      </c>
      <c r="E595" s="17">
        <f>INDEX(Bar_U,MATCH(C595,Bar_No,0))</f>
      </c>
      <c r="F595" s="17">
        <f>u_max-E595</f>
      </c>
      <c r="G595" s="20">
        <f>ecu*(1-F595/D595)</f>
      </c>
      <c r="H595" s="20">
        <f>MAX(0,-G595)</f>
      </c>
      <c r="I595" s="17">
        <f>MAX(MIN(Es*G595,fy),-fy)</f>
      </c>
      <c r="J595">
        <f>IF(E595&gt;=u_max-beta_1*D595-blk_tol,1,0)</f>
      </c>
      <c r="K595" s="17">
        <f>J595*sig_blk</f>
      </c>
      <c r="L595" s="17">
        <f>I595-K595</f>
      </c>
      <c r="M595" s="17">
        <f>INDEX(Bar_As,MATCH(C595,Bar_No,0))*L595/1000</f>
      </c>
      <c r="N595" s="17">
        <f>M595*INDEX(Bar_Y,MATCH(C595,Bar_No,0))/1000</f>
      </c>
      <c r="O595" s="17">
        <f>M595*INDEX(Bar_X,MATCH(C595,Bar_No,0))/1000</f>
      </c>
    </row>
    <row r="596" spans="2:15" x14ac:dyDescent="0.25">
      <c r="B596">
        <v>33</v>
      </c>
      <c r="C596">
        <v>15</v>
      </c>
      <c r="D596" s="17">
        <f>INDEX(Blk_c,MATCH(B596,Blk_St,0))</f>
      </c>
      <c r="E596" s="17">
        <f>INDEX(Bar_U,MATCH(C596,Bar_No,0))</f>
      </c>
      <c r="F596" s="17">
        <f>u_max-E596</f>
      </c>
      <c r="G596" s="20">
        <f>ecu*(1-F596/D596)</f>
      </c>
      <c r="H596" s="20">
        <f>MAX(0,-G596)</f>
      </c>
      <c r="I596" s="17">
        <f>MAX(MIN(Es*G596,fy),-fy)</f>
      </c>
      <c r="J596">
        <f>IF(E596&gt;=u_max-beta_1*D596-blk_tol,1,0)</f>
      </c>
      <c r="K596" s="17">
        <f>J596*sig_blk</f>
      </c>
      <c r="L596" s="17">
        <f>I596-K596</f>
      </c>
      <c r="M596" s="17">
        <f>INDEX(Bar_As,MATCH(C596,Bar_No,0))*L596/1000</f>
      </c>
      <c r="N596" s="17">
        <f>M596*INDEX(Bar_Y,MATCH(C596,Bar_No,0))/1000</f>
      </c>
      <c r="O596" s="17">
        <f>M596*INDEX(Bar_X,MATCH(C596,Bar_No,0))/1000</f>
      </c>
    </row>
    <row r="597" spans="2:15" x14ac:dyDescent="0.25">
      <c r="B597">
        <v>33</v>
      </c>
      <c r="C597">
        <v>16</v>
      </c>
      <c r="D597" s="17">
        <f>INDEX(Blk_c,MATCH(B597,Blk_St,0))</f>
      </c>
      <c r="E597" s="17">
        <f>INDEX(Bar_U,MATCH(C597,Bar_No,0))</f>
      </c>
      <c r="F597" s="17">
        <f>u_max-E597</f>
      </c>
      <c r="G597" s="20">
        <f>ecu*(1-F597/D597)</f>
      </c>
      <c r="H597" s="20">
        <f>MAX(0,-G597)</f>
      </c>
      <c r="I597" s="17">
        <f>MAX(MIN(Es*G597,fy),-fy)</f>
      </c>
      <c r="J597">
        <f>IF(E597&gt;=u_max-beta_1*D597-blk_tol,1,0)</f>
      </c>
      <c r="K597" s="17">
        <f>J597*sig_blk</f>
      </c>
      <c r="L597" s="17">
        <f>I597-K597</f>
      </c>
      <c r="M597" s="17">
        <f>INDEX(Bar_As,MATCH(C597,Bar_No,0))*L597/1000</f>
      </c>
      <c r="N597" s="17">
        <f>M597*INDEX(Bar_Y,MATCH(C597,Bar_No,0))/1000</f>
      </c>
      <c r="O597" s="17">
        <f>M597*INDEX(Bar_X,MATCH(C597,Bar_No,0))/1000</f>
      </c>
    </row>
    <row r="598" spans="2:15" x14ac:dyDescent="0.25">
      <c r="B598">
        <v>33</v>
      </c>
      <c r="C598">
        <v>17</v>
      </c>
      <c r="D598" s="17">
        <f>INDEX(Blk_c,MATCH(B598,Blk_St,0))</f>
      </c>
      <c r="E598" s="17">
        <f>INDEX(Bar_U,MATCH(C598,Bar_No,0))</f>
      </c>
      <c r="F598" s="17">
        <f>u_max-E598</f>
      </c>
      <c r="G598" s="20">
        <f>ecu*(1-F598/D598)</f>
      </c>
      <c r="H598" s="20">
        <f>MAX(0,-G598)</f>
      </c>
      <c r="I598" s="17">
        <f>MAX(MIN(Es*G598,fy),-fy)</f>
      </c>
      <c r="J598">
        <f>IF(E598&gt;=u_max-beta_1*D598-blk_tol,1,0)</f>
      </c>
      <c r="K598" s="17">
        <f>J598*sig_blk</f>
      </c>
      <c r="L598" s="17">
        <f>I598-K598</f>
      </c>
      <c r="M598" s="17">
        <f>INDEX(Bar_As,MATCH(C598,Bar_No,0))*L598/1000</f>
      </c>
      <c r="N598" s="17">
        <f>M598*INDEX(Bar_Y,MATCH(C598,Bar_No,0))/1000</f>
      </c>
      <c r="O598" s="17">
        <f>M598*INDEX(Bar_X,MATCH(C598,Bar_No,0))/1000</f>
      </c>
    </row>
    <row r="599" spans="2:15" x14ac:dyDescent="0.25">
      <c r="B599">
        <v>33</v>
      </c>
      <c r="C599">
        <v>18</v>
      </c>
      <c r="D599" s="17">
        <f>INDEX(Blk_c,MATCH(B599,Blk_St,0))</f>
      </c>
      <c r="E599" s="17">
        <f>INDEX(Bar_U,MATCH(C599,Bar_No,0))</f>
      </c>
      <c r="F599" s="17">
        <f>u_max-E599</f>
      </c>
      <c r="G599" s="20">
        <f>ecu*(1-F599/D599)</f>
      </c>
      <c r="H599" s="20">
        <f>MAX(0,-G599)</f>
      </c>
      <c r="I599" s="17">
        <f>MAX(MIN(Es*G599,fy),-fy)</f>
      </c>
      <c r="J599">
        <f>IF(E599&gt;=u_max-beta_1*D599-blk_tol,1,0)</f>
      </c>
      <c r="K599" s="17">
        <f>J599*sig_blk</f>
      </c>
      <c r="L599" s="17">
        <f>I599-K599</f>
      </c>
      <c r="M599" s="17">
        <f>INDEX(Bar_As,MATCH(C599,Bar_No,0))*L599/1000</f>
      </c>
      <c r="N599" s="17">
        <f>M599*INDEX(Bar_Y,MATCH(C599,Bar_No,0))/1000</f>
      </c>
      <c r="O599" s="17">
        <f>M599*INDEX(Bar_X,MATCH(C599,Bar_No,0))/1000</f>
      </c>
    </row>
    <row r="600" spans="2:15" x14ac:dyDescent="0.25">
      <c r="B600">
        <v>34</v>
      </c>
      <c r="C600">
        <v>1</v>
      </c>
      <c r="D600" s="17">
        <f>INDEX(Blk_c,MATCH(B600,Blk_St,0))</f>
      </c>
      <c r="E600" s="17">
        <f>INDEX(Bar_U,MATCH(C600,Bar_No,0))</f>
      </c>
      <c r="F600" s="17">
        <f>u_max-E600</f>
      </c>
      <c r="G600" s="20">
        <f>ecu*(1-F600/D600)</f>
      </c>
      <c r="H600" s="20">
        <f>MAX(0,-G600)</f>
      </c>
      <c r="I600" s="17">
        <f>MAX(MIN(Es*G600,fy),-fy)</f>
      </c>
      <c r="J600">
        <f>IF(E600&gt;=u_max-beta_1*D600-blk_tol,1,0)</f>
      </c>
      <c r="K600" s="17">
        <f>J600*sig_blk</f>
      </c>
      <c r="L600" s="17">
        <f>I600-K600</f>
      </c>
      <c r="M600" s="17">
        <f>INDEX(Bar_As,MATCH(C600,Bar_No,0))*L600/1000</f>
      </c>
      <c r="N600" s="17">
        <f>M600*INDEX(Bar_Y,MATCH(C600,Bar_No,0))/1000</f>
      </c>
      <c r="O600" s="17">
        <f>M600*INDEX(Bar_X,MATCH(C600,Bar_No,0))/1000</f>
      </c>
    </row>
    <row r="601" spans="2:15" x14ac:dyDescent="0.25">
      <c r="B601">
        <v>34</v>
      </c>
      <c r="C601">
        <v>2</v>
      </c>
      <c r="D601" s="17">
        <f>INDEX(Blk_c,MATCH(B601,Blk_St,0))</f>
      </c>
      <c r="E601" s="17">
        <f>INDEX(Bar_U,MATCH(C601,Bar_No,0))</f>
      </c>
      <c r="F601" s="17">
        <f>u_max-E601</f>
      </c>
      <c r="G601" s="20">
        <f>ecu*(1-F601/D601)</f>
      </c>
      <c r="H601" s="20">
        <f>MAX(0,-G601)</f>
      </c>
      <c r="I601" s="17">
        <f>MAX(MIN(Es*G601,fy),-fy)</f>
      </c>
      <c r="J601">
        <f>IF(E601&gt;=u_max-beta_1*D601-blk_tol,1,0)</f>
      </c>
      <c r="K601" s="17">
        <f>J601*sig_blk</f>
      </c>
      <c r="L601" s="17">
        <f>I601-K601</f>
      </c>
      <c r="M601" s="17">
        <f>INDEX(Bar_As,MATCH(C601,Bar_No,0))*L601/1000</f>
      </c>
      <c r="N601" s="17">
        <f>M601*INDEX(Bar_Y,MATCH(C601,Bar_No,0))/1000</f>
      </c>
      <c r="O601" s="17">
        <f>M601*INDEX(Bar_X,MATCH(C601,Bar_No,0))/1000</f>
      </c>
    </row>
    <row r="602" spans="2:15" x14ac:dyDescent="0.25">
      <c r="B602">
        <v>34</v>
      </c>
      <c r="C602">
        <v>3</v>
      </c>
      <c r="D602" s="17">
        <f>INDEX(Blk_c,MATCH(B602,Blk_St,0))</f>
      </c>
      <c r="E602" s="17">
        <f>INDEX(Bar_U,MATCH(C602,Bar_No,0))</f>
      </c>
      <c r="F602" s="17">
        <f>u_max-E602</f>
      </c>
      <c r="G602" s="20">
        <f>ecu*(1-F602/D602)</f>
      </c>
      <c r="H602" s="20">
        <f>MAX(0,-G602)</f>
      </c>
      <c r="I602" s="17">
        <f>MAX(MIN(Es*G602,fy),-fy)</f>
      </c>
      <c r="J602">
        <f>IF(E602&gt;=u_max-beta_1*D602-blk_tol,1,0)</f>
      </c>
      <c r="K602" s="17">
        <f>J602*sig_blk</f>
      </c>
      <c r="L602" s="17">
        <f>I602-K602</f>
      </c>
      <c r="M602" s="17">
        <f>INDEX(Bar_As,MATCH(C602,Bar_No,0))*L602/1000</f>
      </c>
      <c r="N602" s="17">
        <f>M602*INDEX(Bar_Y,MATCH(C602,Bar_No,0))/1000</f>
      </c>
      <c r="O602" s="17">
        <f>M602*INDEX(Bar_X,MATCH(C602,Bar_No,0))/1000</f>
      </c>
    </row>
    <row r="603" spans="2:15" x14ac:dyDescent="0.25">
      <c r="B603">
        <v>34</v>
      </c>
      <c r="C603">
        <v>4</v>
      </c>
      <c r="D603" s="17">
        <f>INDEX(Blk_c,MATCH(B603,Blk_St,0))</f>
      </c>
      <c r="E603" s="17">
        <f>INDEX(Bar_U,MATCH(C603,Bar_No,0))</f>
      </c>
      <c r="F603" s="17">
        <f>u_max-E603</f>
      </c>
      <c r="G603" s="20">
        <f>ecu*(1-F603/D603)</f>
      </c>
      <c r="H603" s="20">
        <f>MAX(0,-G603)</f>
      </c>
      <c r="I603" s="17">
        <f>MAX(MIN(Es*G603,fy),-fy)</f>
      </c>
      <c r="J603">
        <f>IF(E603&gt;=u_max-beta_1*D603-blk_tol,1,0)</f>
      </c>
      <c r="K603" s="17">
        <f>J603*sig_blk</f>
      </c>
      <c r="L603" s="17">
        <f>I603-K603</f>
      </c>
      <c r="M603" s="17">
        <f>INDEX(Bar_As,MATCH(C603,Bar_No,0))*L603/1000</f>
      </c>
      <c r="N603" s="17">
        <f>M603*INDEX(Bar_Y,MATCH(C603,Bar_No,0))/1000</f>
      </c>
      <c r="O603" s="17">
        <f>M603*INDEX(Bar_X,MATCH(C603,Bar_No,0))/1000</f>
      </c>
    </row>
    <row r="604" spans="2:15" x14ac:dyDescent="0.25">
      <c r="B604">
        <v>34</v>
      </c>
      <c r="C604">
        <v>5</v>
      </c>
      <c r="D604" s="17">
        <f>INDEX(Blk_c,MATCH(B604,Blk_St,0))</f>
      </c>
      <c r="E604" s="17">
        <f>INDEX(Bar_U,MATCH(C604,Bar_No,0))</f>
      </c>
      <c r="F604" s="17">
        <f>u_max-E604</f>
      </c>
      <c r="G604" s="20">
        <f>ecu*(1-F604/D604)</f>
      </c>
      <c r="H604" s="20">
        <f>MAX(0,-G604)</f>
      </c>
      <c r="I604" s="17">
        <f>MAX(MIN(Es*G604,fy),-fy)</f>
      </c>
      <c r="J604">
        <f>IF(E604&gt;=u_max-beta_1*D604-blk_tol,1,0)</f>
      </c>
      <c r="K604" s="17">
        <f>J604*sig_blk</f>
      </c>
      <c r="L604" s="17">
        <f>I604-K604</f>
      </c>
      <c r="M604" s="17">
        <f>INDEX(Bar_As,MATCH(C604,Bar_No,0))*L604/1000</f>
      </c>
      <c r="N604" s="17">
        <f>M604*INDEX(Bar_Y,MATCH(C604,Bar_No,0))/1000</f>
      </c>
      <c r="O604" s="17">
        <f>M604*INDEX(Bar_X,MATCH(C604,Bar_No,0))/1000</f>
      </c>
    </row>
    <row r="605" spans="2:15" x14ac:dyDescent="0.25">
      <c r="B605">
        <v>34</v>
      </c>
      <c r="C605">
        <v>6</v>
      </c>
      <c r="D605" s="17">
        <f>INDEX(Blk_c,MATCH(B605,Blk_St,0))</f>
      </c>
      <c r="E605" s="17">
        <f>INDEX(Bar_U,MATCH(C605,Bar_No,0))</f>
      </c>
      <c r="F605" s="17">
        <f>u_max-E605</f>
      </c>
      <c r="G605" s="20">
        <f>ecu*(1-F605/D605)</f>
      </c>
      <c r="H605" s="20">
        <f>MAX(0,-G605)</f>
      </c>
      <c r="I605" s="17">
        <f>MAX(MIN(Es*G605,fy),-fy)</f>
      </c>
      <c r="J605">
        <f>IF(E605&gt;=u_max-beta_1*D605-blk_tol,1,0)</f>
      </c>
      <c r="K605" s="17">
        <f>J605*sig_blk</f>
      </c>
      <c r="L605" s="17">
        <f>I605-K605</f>
      </c>
      <c r="M605" s="17">
        <f>INDEX(Bar_As,MATCH(C605,Bar_No,0))*L605/1000</f>
      </c>
      <c r="N605" s="17">
        <f>M605*INDEX(Bar_Y,MATCH(C605,Bar_No,0))/1000</f>
      </c>
      <c r="O605" s="17">
        <f>M605*INDEX(Bar_X,MATCH(C605,Bar_No,0))/1000</f>
      </c>
    </row>
    <row r="606" spans="2:15" x14ac:dyDescent="0.25">
      <c r="B606">
        <v>34</v>
      </c>
      <c r="C606">
        <v>7</v>
      </c>
      <c r="D606" s="17">
        <f>INDEX(Blk_c,MATCH(B606,Blk_St,0))</f>
      </c>
      <c r="E606" s="17">
        <f>INDEX(Bar_U,MATCH(C606,Bar_No,0))</f>
      </c>
      <c r="F606" s="17">
        <f>u_max-E606</f>
      </c>
      <c r="G606" s="20">
        <f>ecu*(1-F606/D606)</f>
      </c>
      <c r="H606" s="20">
        <f>MAX(0,-G606)</f>
      </c>
      <c r="I606" s="17">
        <f>MAX(MIN(Es*G606,fy),-fy)</f>
      </c>
      <c r="J606">
        <f>IF(E606&gt;=u_max-beta_1*D606-blk_tol,1,0)</f>
      </c>
      <c r="K606" s="17">
        <f>J606*sig_blk</f>
      </c>
      <c r="L606" s="17">
        <f>I606-K606</f>
      </c>
      <c r="M606" s="17">
        <f>INDEX(Bar_As,MATCH(C606,Bar_No,0))*L606/1000</f>
      </c>
      <c r="N606" s="17">
        <f>M606*INDEX(Bar_Y,MATCH(C606,Bar_No,0))/1000</f>
      </c>
      <c r="O606" s="17">
        <f>M606*INDEX(Bar_X,MATCH(C606,Bar_No,0))/1000</f>
      </c>
    </row>
    <row r="607" spans="2:15" x14ac:dyDescent="0.25">
      <c r="B607">
        <v>34</v>
      </c>
      <c r="C607">
        <v>8</v>
      </c>
      <c r="D607" s="17">
        <f>INDEX(Blk_c,MATCH(B607,Blk_St,0))</f>
      </c>
      <c r="E607" s="17">
        <f>INDEX(Bar_U,MATCH(C607,Bar_No,0))</f>
      </c>
      <c r="F607" s="17">
        <f>u_max-E607</f>
      </c>
      <c r="G607" s="20">
        <f>ecu*(1-F607/D607)</f>
      </c>
      <c r="H607" s="20">
        <f>MAX(0,-G607)</f>
      </c>
      <c r="I607" s="17">
        <f>MAX(MIN(Es*G607,fy),-fy)</f>
      </c>
      <c r="J607">
        <f>IF(E607&gt;=u_max-beta_1*D607-blk_tol,1,0)</f>
      </c>
      <c r="K607" s="17">
        <f>J607*sig_blk</f>
      </c>
      <c r="L607" s="17">
        <f>I607-K607</f>
      </c>
      <c r="M607" s="17">
        <f>INDEX(Bar_As,MATCH(C607,Bar_No,0))*L607/1000</f>
      </c>
      <c r="N607" s="17">
        <f>M607*INDEX(Bar_Y,MATCH(C607,Bar_No,0))/1000</f>
      </c>
      <c r="O607" s="17">
        <f>M607*INDEX(Bar_X,MATCH(C607,Bar_No,0))/1000</f>
      </c>
    </row>
    <row r="608" spans="2:15" x14ac:dyDescent="0.25">
      <c r="B608">
        <v>34</v>
      </c>
      <c r="C608">
        <v>9</v>
      </c>
      <c r="D608" s="17">
        <f>INDEX(Blk_c,MATCH(B608,Blk_St,0))</f>
      </c>
      <c r="E608" s="17">
        <f>INDEX(Bar_U,MATCH(C608,Bar_No,0))</f>
      </c>
      <c r="F608" s="17">
        <f>u_max-E608</f>
      </c>
      <c r="G608" s="20">
        <f>ecu*(1-F608/D608)</f>
      </c>
      <c r="H608" s="20">
        <f>MAX(0,-G608)</f>
      </c>
      <c r="I608" s="17">
        <f>MAX(MIN(Es*G608,fy),-fy)</f>
      </c>
      <c r="J608">
        <f>IF(E608&gt;=u_max-beta_1*D608-blk_tol,1,0)</f>
      </c>
      <c r="K608" s="17">
        <f>J608*sig_blk</f>
      </c>
      <c r="L608" s="17">
        <f>I608-K608</f>
      </c>
      <c r="M608" s="17">
        <f>INDEX(Bar_As,MATCH(C608,Bar_No,0))*L608/1000</f>
      </c>
      <c r="N608" s="17">
        <f>M608*INDEX(Bar_Y,MATCH(C608,Bar_No,0))/1000</f>
      </c>
      <c r="O608" s="17">
        <f>M608*INDEX(Bar_X,MATCH(C608,Bar_No,0))/1000</f>
      </c>
    </row>
    <row r="609" spans="2:15" x14ac:dyDescent="0.25">
      <c r="B609">
        <v>34</v>
      </c>
      <c r="C609">
        <v>10</v>
      </c>
      <c r="D609" s="17">
        <f>INDEX(Blk_c,MATCH(B609,Blk_St,0))</f>
      </c>
      <c r="E609" s="17">
        <f>INDEX(Bar_U,MATCH(C609,Bar_No,0))</f>
      </c>
      <c r="F609" s="17">
        <f>u_max-E609</f>
      </c>
      <c r="G609" s="20">
        <f>ecu*(1-F609/D609)</f>
      </c>
      <c r="H609" s="20">
        <f>MAX(0,-G609)</f>
      </c>
      <c r="I609" s="17">
        <f>MAX(MIN(Es*G609,fy),-fy)</f>
      </c>
      <c r="J609">
        <f>IF(E609&gt;=u_max-beta_1*D609-blk_tol,1,0)</f>
      </c>
      <c r="K609" s="17">
        <f>J609*sig_blk</f>
      </c>
      <c r="L609" s="17">
        <f>I609-K609</f>
      </c>
      <c r="M609" s="17">
        <f>INDEX(Bar_As,MATCH(C609,Bar_No,0))*L609/1000</f>
      </c>
      <c r="N609" s="17">
        <f>M609*INDEX(Bar_Y,MATCH(C609,Bar_No,0))/1000</f>
      </c>
      <c r="O609" s="17">
        <f>M609*INDEX(Bar_X,MATCH(C609,Bar_No,0))/1000</f>
      </c>
    </row>
    <row r="610" spans="2:15" x14ac:dyDescent="0.25">
      <c r="B610">
        <v>34</v>
      </c>
      <c r="C610">
        <v>11</v>
      </c>
      <c r="D610" s="17">
        <f>INDEX(Blk_c,MATCH(B610,Blk_St,0))</f>
      </c>
      <c r="E610" s="17">
        <f>INDEX(Bar_U,MATCH(C610,Bar_No,0))</f>
      </c>
      <c r="F610" s="17">
        <f>u_max-E610</f>
      </c>
      <c r="G610" s="20">
        <f>ecu*(1-F610/D610)</f>
      </c>
      <c r="H610" s="20">
        <f>MAX(0,-G610)</f>
      </c>
      <c r="I610" s="17">
        <f>MAX(MIN(Es*G610,fy),-fy)</f>
      </c>
      <c r="J610">
        <f>IF(E610&gt;=u_max-beta_1*D610-blk_tol,1,0)</f>
      </c>
      <c r="K610" s="17">
        <f>J610*sig_blk</f>
      </c>
      <c r="L610" s="17">
        <f>I610-K610</f>
      </c>
      <c r="M610" s="17">
        <f>INDEX(Bar_As,MATCH(C610,Bar_No,0))*L610/1000</f>
      </c>
      <c r="N610" s="17">
        <f>M610*INDEX(Bar_Y,MATCH(C610,Bar_No,0))/1000</f>
      </c>
      <c r="O610" s="17">
        <f>M610*INDEX(Bar_X,MATCH(C610,Bar_No,0))/1000</f>
      </c>
    </row>
    <row r="611" spans="2:15" x14ac:dyDescent="0.25">
      <c r="B611">
        <v>34</v>
      </c>
      <c r="C611">
        <v>12</v>
      </c>
      <c r="D611" s="17">
        <f>INDEX(Blk_c,MATCH(B611,Blk_St,0))</f>
      </c>
      <c r="E611" s="17">
        <f>INDEX(Bar_U,MATCH(C611,Bar_No,0))</f>
      </c>
      <c r="F611" s="17">
        <f>u_max-E611</f>
      </c>
      <c r="G611" s="20">
        <f>ecu*(1-F611/D611)</f>
      </c>
      <c r="H611" s="20">
        <f>MAX(0,-G611)</f>
      </c>
      <c r="I611" s="17">
        <f>MAX(MIN(Es*G611,fy),-fy)</f>
      </c>
      <c r="J611">
        <f>IF(E611&gt;=u_max-beta_1*D611-blk_tol,1,0)</f>
      </c>
      <c r="K611" s="17">
        <f>J611*sig_blk</f>
      </c>
      <c r="L611" s="17">
        <f>I611-K611</f>
      </c>
      <c r="M611" s="17">
        <f>INDEX(Bar_As,MATCH(C611,Bar_No,0))*L611/1000</f>
      </c>
      <c r="N611" s="17">
        <f>M611*INDEX(Bar_Y,MATCH(C611,Bar_No,0))/1000</f>
      </c>
      <c r="O611" s="17">
        <f>M611*INDEX(Bar_X,MATCH(C611,Bar_No,0))/1000</f>
      </c>
    </row>
    <row r="612" spans="2:15" x14ac:dyDescent="0.25">
      <c r="B612">
        <v>34</v>
      </c>
      <c r="C612">
        <v>13</v>
      </c>
      <c r="D612" s="17">
        <f>INDEX(Blk_c,MATCH(B612,Blk_St,0))</f>
      </c>
      <c r="E612" s="17">
        <f>INDEX(Bar_U,MATCH(C612,Bar_No,0))</f>
      </c>
      <c r="F612" s="17">
        <f>u_max-E612</f>
      </c>
      <c r="G612" s="20">
        <f>ecu*(1-F612/D612)</f>
      </c>
      <c r="H612" s="20">
        <f>MAX(0,-G612)</f>
      </c>
      <c r="I612" s="17">
        <f>MAX(MIN(Es*G612,fy),-fy)</f>
      </c>
      <c r="J612">
        <f>IF(E612&gt;=u_max-beta_1*D612-blk_tol,1,0)</f>
      </c>
      <c r="K612" s="17">
        <f>J612*sig_blk</f>
      </c>
      <c r="L612" s="17">
        <f>I612-K612</f>
      </c>
      <c r="M612" s="17">
        <f>INDEX(Bar_As,MATCH(C612,Bar_No,0))*L612/1000</f>
      </c>
      <c r="N612" s="17">
        <f>M612*INDEX(Bar_Y,MATCH(C612,Bar_No,0))/1000</f>
      </c>
      <c r="O612" s="17">
        <f>M612*INDEX(Bar_X,MATCH(C612,Bar_No,0))/1000</f>
      </c>
    </row>
    <row r="613" spans="2:15" x14ac:dyDescent="0.25">
      <c r="B613">
        <v>34</v>
      </c>
      <c r="C613">
        <v>14</v>
      </c>
      <c r="D613" s="17">
        <f>INDEX(Blk_c,MATCH(B613,Blk_St,0))</f>
      </c>
      <c r="E613" s="17">
        <f>INDEX(Bar_U,MATCH(C613,Bar_No,0))</f>
      </c>
      <c r="F613" s="17">
        <f>u_max-E613</f>
      </c>
      <c r="G613" s="20">
        <f>ecu*(1-F613/D613)</f>
      </c>
      <c r="H613" s="20">
        <f>MAX(0,-G613)</f>
      </c>
      <c r="I613" s="17">
        <f>MAX(MIN(Es*G613,fy),-fy)</f>
      </c>
      <c r="J613">
        <f>IF(E613&gt;=u_max-beta_1*D613-blk_tol,1,0)</f>
      </c>
      <c r="K613" s="17">
        <f>J613*sig_blk</f>
      </c>
      <c r="L613" s="17">
        <f>I613-K613</f>
      </c>
      <c r="M613" s="17">
        <f>INDEX(Bar_As,MATCH(C613,Bar_No,0))*L613/1000</f>
      </c>
      <c r="N613" s="17">
        <f>M613*INDEX(Bar_Y,MATCH(C613,Bar_No,0))/1000</f>
      </c>
      <c r="O613" s="17">
        <f>M613*INDEX(Bar_X,MATCH(C613,Bar_No,0))/1000</f>
      </c>
    </row>
    <row r="614" spans="2:15" x14ac:dyDescent="0.25">
      <c r="B614">
        <v>34</v>
      </c>
      <c r="C614">
        <v>15</v>
      </c>
      <c r="D614" s="17">
        <f>INDEX(Blk_c,MATCH(B614,Blk_St,0))</f>
      </c>
      <c r="E614" s="17">
        <f>INDEX(Bar_U,MATCH(C614,Bar_No,0))</f>
      </c>
      <c r="F614" s="17">
        <f>u_max-E614</f>
      </c>
      <c r="G614" s="20">
        <f>ecu*(1-F614/D614)</f>
      </c>
      <c r="H614" s="20">
        <f>MAX(0,-G614)</f>
      </c>
      <c r="I614" s="17">
        <f>MAX(MIN(Es*G614,fy),-fy)</f>
      </c>
      <c r="J614">
        <f>IF(E614&gt;=u_max-beta_1*D614-blk_tol,1,0)</f>
      </c>
      <c r="K614" s="17">
        <f>J614*sig_blk</f>
      </c>
      <c r="L614" s="17">
        <f>I614-K614</f>
      </c>
      <c r="M614" s="17">
        <f>INDEX(Bar_As,MATCH(C614,Bar_No,0))*L614/1000</f>
      </c>
      <c r="N614" s="17">
        <f>M614*INDEX(Bar_Y,MATCH(C614,Bar_No,0))/1000</f>
      </c>
      <c r="O614" s="17">
        <f>M614*INDEX(Bar_X,MATCH(C614,Bar_No,0))/1000</f>
      </c>
    </row>
    <row r="615" spans="2:15" x14ac:dyDescent="0.25">
      <c r="B615">
        <v>34</v>
      </c>
      <c r="C615">
        <v>16</v>
      </c>
      <c r="D615" s="17">
        <f>INDEX(Blk_c,MATCH(B615,Blk_St,0))</f>
      </c>
      <c r="E615" s="17">
        <f>INDEX(Bar_U,MATCH(C615,Bar_No,0))</f>
      </c>
      <c r="F615" s="17">
        <f>u_max-E615</f>
      </c>
      <c r="G615" s="20">
        <f>ecu*(1-F615/D615)</f>
      </c>
      <c r="H615" s="20">
        <f>MAX(0,-G615)</f>
      </c>
      <c r="I615" s="17">
        <f>MAX(MIN(Es*G615,fy),-fy)</f>
      </c>
      <c r="J615">
        <f>IF(E615&gt;=u_max-beta_1*D615-blk_tol,1,0)</f>
      </c>
      <c r="K615" s="17">
        <f>J615*sig_blk</f>
      </c>
      <c r="L615" s="17">
        <f>I615-K615</f>
      </c>
      <c r="M615" s="17">
        <f>INDEX(Bar_As,MATCH(C615,Bar_No,0))*L615/1000</f>
      </c>
      <c r="N615" s="17">
        <f>M615*INDEX(Bar_Y,MATCH(C615,Bar_No,0))/1000</f>
      </c>
      <c r="O615" s="17">
        <f>M615*INDEX(Bar_X,MATCH(C615,Bar_No,0))/1000</f>
      </c>
    </row>
    <row r="616" spans="2:15" x14ac:dyDescent="0.25">
      <c r="B616">
        <v>34</v>
      </c>
      <c r="C616">
        <v>17</v>
      </c>
      <c r="D616" s="17">
        <f>INDEX(Blk_c,MATCH(B616,Blk_St,0))</f>
      </c>
      <c r="E616" s="17">
        <f>INDEX(Bar_U,MATCH(C616,Bar_No,0))</f>
      </c>
      <c r="F616" s="17">
        <f>u_max-E616</f>
      </c>
      <c r="G616" s="20">
        <f>ecu*(1-F616/D616)</f>
      </c>
      <c r="H616" s="20">
        <f>MAX(0,-G616)</f>
      </c>
      <c r="I616" s="17">
        <f>MAX(MIN(Es*G616,fy),-fy)</f>
      </c>
      <c r="J616">
        <f>IF(E616&gt;=u_max-beta_1*D616-blk_tol,1,0)</f>
      </c>
      <c r="K616" s="17">
        <f>J616*sig_blk</f>
      </c>
      <c r="L616" s="17">
        <f>I616-K616</f>
      </c>
      <c r="M616" s="17">
        <f>INDEX(Bar_As,MATCH(C616,Bar_No,0))*L616/1000</f>
      </c>
      <c r="N616" s="17">
        <f>M616*INDEX(Bar_Y,MATCH(C616,Bar_No,0))/1000</f>
      </c>
      <c r="O616" s="17">
        <f>M616*INDEX(Bar_X,MATCH(C616,Bar_No,0))/1000</f>
      </c>
    </row>
    <row r="617" spans="2:15" x14ac:dyDescent="0.25">
      <c r="B617">
        <v>34</v>
      </c>
      <c r="C617">
        <v>18</v>
      </c>
      <c r="D617" s="17">
        <f>INDEX(Blk_c,MATCH(B617,Blk_St,0))</f>
      </c>
      <c r="E617" s="17">
        <f>INDEX(Bar_U,MATCH(C617,Bar_No,0))</f>
      </c>
      <c r="F617" s="17">
        <f>u_max-E617</f>
      </c>
      <c r="G617" s="20">
        <f>ecu*(1-F617/D617)</f>
      </c>
      <c r="H617" s="20">
        <f>MAX(0,-G617)</f>
      </c>
      <c r="I617" s="17">
        <f>MAX(MIN(Es*G617,fy),-fy)</f>
      </c>
      <c r="J617">
        <f>IF(E617&gt;=u_max-beta_1*D617-blk_tol,1,0)</f>
      </c>
      <c r="K617" s="17">
        <f>J617*sig_blk</f>
      </c>
      <c r="L617" s="17">
        <f>I617-K617</f>
      </c>
      <c r="M617" s="17">
        <f>INDEX(Bar_As,MATCH(C617,Bar_No,0))*L617/1000</f>
      </c>
      <c r="N617" s="17">
        <f>M617*INDEX(Bar_Y,MATCH(C617,Bar_No,0))/1000</f>
      </c>
      <c r="O617" s="17">
        <f>M617*INDEX(Bar_X,MATCH(C617,Bar_No,0))/1000</f>
      </c>
    </row>
    <row r="618" spans="2:15" x14ac:dyDescent="0.25">
      <c r="B618">
        <v>35</v>
      </c>
      <c r="C618">
        <v>1</v>
      </c>
      <c r="D618" s="17">
        <f>INDEX(Blk_c,MATCH(B618,Blk_St,0))</f>
      </c>
      <c r="E618" s="17">
        <f>INDEX(Bar_U,MATCH(C618,Bar_No,0))</f>
      </c>
      <c r="F618" s="17">
        <f>u_max-E618</f>
      </c>
      <c r="G618" s="20">
        <f>ecu*(1-F618/D618)</f>
      </c>
      <c r="H618" s="20">
        <f>MAX(0,-G618)</f>
      </c>
      <c r="I618" s="17">
        <f>MAX(MIN(Es*G618,fy),-fy)</f>
      </c>
      <c r="J618">
        <f>IF(E618&gt;=u_max-beta_1*D618-blk_tol,1,0)</f>
      </c>
      <c r="K618" s="17">
        <f>J618*sig_blk</f>
      </c>
      <c r="L618" s="17">
        <f>I618-K618</f>
      </c>
      <c r="M618" s="17">
        <f>INDEX(Bar_As,MATCH(C618,Bar_No,0))*L618/1000</f>
      </c>
      <c r="N618" s="17">
        <f>M618*INDEX(Bar_Y,MATCH(C618,Bar_No,0))/1000</f>
      </c>
      <c r="O618" s="17">
        <f>M618*INDEX(Bar_X,MATCH(C618,Bar_No,0))/1000</f>
      </c>
    </row>
    <row r="619" spans="2:15" x14ac:dyDescent="0.25">
      <c r="B619">
        <v>35</v>
      </c>
      <c r="C619">
        <v>2</v>
      </c>
      <c r="D619" s="17">
        <f>INDEX(Blk_c,MATCH(B619,Blk_St,0))</f>
      </c>
      <c r="E619" s="17">
        <f>INDEX(Bar_U,MATCH(C619,Bar_No,0))</f>
      </c>
      <c r="F619" s="17">
        <f>u_max-E619</f>
      </c>
      <c r="G619" s="20">
        <f>ecu*(1-F619/D619)</f>
      </c>
      <c r="H619" s="20">
        <f>MAX(0,-G619)</f>
      </c>
      <c r="I619" s="17">
        <f>MAX(MIN(Es*G619,fy),-fy)</f>
      </c>
      <c r="J619">
        <f>IF(E619&gt;=u_max-beta_1*D619-blk_tol,1,0)</f>
      </c>
      <c r="K619" s="17">
        <f>J619*sig_blk</f>
      </c>
      <c r="L619" s="17">
        <f>I619-K619</f>
      </c>
      <c r="M619" s="17">
        <f>INDEX(Bar_As,MATCH(C619,Bar_No,0))*L619/1000</f>
      </c>
      <c r="N619" s="17">
        <f>M619*INDEX(Bar_Y,MATCH(C619,Bar_No,0))/1000</f>
      </c>
      <c r="O619" s="17">
        <f>M619*INDEX(Bar_X,MATCH(C619,Bar_No,0))/1000</f>
      </c>
    </row>
    <row r="620" spans="2:15" x14ac:dyDescent="0.25">
      <c r="B620">
        <v>35</v>
      </c>
      <c r="C620">
        <v>3</v>
      </c>
      <c r="D620" s="17">
        <f>INDEX(Blk_c,MATCH(B620,Blk_St,0))</f>
      </c>
      <c r="E620" s="17">
        <f>INDEX(Bar_U,MATCH(C620,Bar_No,0))</f>
      </c>
      <c r="F620" s="17">
        <f>u_max-E620</f>
      </c>
      <c r="G620" s="20">
        <f>ecu*(1-F620/D620)</f>
      </c>
      <c r="H620" s="20">
        <f>MAX(0,-G620)</f>
      </c>
      <c r="I620" s="17">
        <f>MAX(MIN(Es*G620,fy),-fy)</f>
      </c>
      <c r="J620">
        <f>IF(E620&gt;=u_max-beta_1*D620-blk_tol,1,0)</f>
      </c>
      <c r="K620" s="17">
        <f>J620*sig_blk</f>
      </c>
      <c r="L620" s="17">
        <f>I620-K620</f>
      </c>
      <c r="M620" s="17">
        <f>INDEX(Bar_As,MATCH(C620,Bar_No,0))*L620/1000</f>
      </c>
      <c r="N620" s="17">
        <f>M620*INDEX(Bar_Y,MATCH(C620,Bar_No,0))/1000</f>
      </c>
      <c r="O620" s="17">
        <f>M620*INDEX(Bar_X,MATCH(C620,Bar_No,0))/1000</f>
      </c>
    </row>
    <row r="621" spans="2:15" x14ac:dyDescent="0.25">
      <c r="B621">
        <v>35</v>
      </c>
      <c r="C621">
        <v>4</v>
      </c>
      <c r="D621" s="17">
        <f>INDEX(Blk_c,MATCH(B621,Blk_St,0))</f>
      </c>
      <c r="E621" s="17">
        <f>INDEX(Bar_U,MATCH(C621,Bar_No,0))</f>
      </c>
      <c r="F621" s="17">
        <f>u_max-E621</f>
      </c>
      <c r="G621" s="20">
        <f>ecu*(1-F621/D621)</f>
      </c>
      <c r="H621" s="20">
        <f>MAX(0,-G621)</f>
      </c>
      <c r="I621" s="17">
        <f>MAX(MIN(Es*G621,fy),-fy)</f>
      </c>
      <c r="J621">
        <f>IF(E621&gt;=u_max-beta_1*D621-blk_tol,1,0)</f>
      </c>
      <c r="K621" s="17">
        <f>J621*sig_blk</f>
      </c>
      <c r="L621" s="17">
        <f>I621-K621</f>
      </c>
      <c r="M621" s="17">
        <f>INDEX(Bar_As,MATCH(C621,Bar_No,0))*L621/1000</f>
      </c>
      <c r="N621" s="17">
        <f>M621*INDEX(Bar_Y,MATCH(C621,Bar_No,0))/1000</f>
      </c>
      <c r="O621" s="17">
        <f>M621*INDEX(Bar_X,MATCH(C621,Bar_No,0))/1000</f>
      </c>
    </row>
    <row r="622" spans="2:15" x14ac:dyDescent="0.25">
      <c r="B622">
        <v>35</v>
      </c>
      <c r="C622">
        <v>5</v>
      </c>
      <c r="D622" s="17">
        <f>INDEX(Blk_c,MATCH(B622,Blk_St,0))</f>
      </c>
      <c r="E622" s="17">
        <f>INDEX(Bar_U,MATCH(C622,Bar_No,0))</f>
      </c>
      <c r="F622" s="17">
        <f>u_max-E622</f>
      </c>
      <c r="G622" s="20">
        <f>ecu*(1-F622/D622)</f>
      </c>
      <c r="H622" s="20">
        <f>MAX(0,-G622)</f>
      </c>
      <c r="I622" s="17">
        <f>MAX(MIN(Es*G622,fy),-fy)</f>
      </c>
      <c r="J622">
        <f>IF(E622&gt;=u_max-beta_1*D622-blk_tol,1,0)</f>
      </c>
      <c r="K622" s="17">
        <f>J622*sig_blk</f>
      </c>
      <c r="L622" s="17">
        <f>I622-K622</f>
      </c>
      <c r="M622" s="17">
        <f>INDEX(Bar_As,MATCH(C622,Bar_No,0))*L622/1000</f>
      </c>
      <c r="N622" s="17">
        <f>M622*INDEX(Bar_Y,MATCH(C622,Bar_No,0))/1000</f>
      </c>
      <c r="O622" s="17">
        <f>M622*INDEX(Bar_X,MATCH(C622,Bar_No,0))/1000</f>
      </c>
    </row>
    <row r="623" spans="2:15" x14ac:dyDescent="0.25">
      <c r="B623">
        <v>35</v>
      </c>
      <c r="C623">
        <v>6</v>
      </c>
      <c r="D623" s="17">
        <f>INDEX(Blk_c,MATCH(B623,Blk_St,0))</f>
      </c>
      <c r="E623" s="17">
        <f>INDEX(Bar_U,MATCH(C623,Bar_No,0))</f>
      </c>
      <c r="F623" s="17">
        <f>u_max-E623</f>
      </c>
      <c r="G623" s="20">
        <f>ecu*(1-F623/D623)</f>
      </c>
      <c r="H623" s="20">
        <f>MAX(0,-G623)</f>
      </c>
      <c r="I623" s="17">
        <f>MAX(MIN(Es*G623,fy),-fy)</f>
      </c>
      <c r="J623">
        <f>IF(E623&gt;=u_max-beta_1*D623-blk_tol,1,0)</f>
      </c>
      <c r="K623" s="17">
        <f>J623*sig_blk</f>
      </c>
      <c r="L623" s="17">
        <f>I623-K623</f>
      </c>
      <c r="M623" s="17">
        <f>INDEX(Bar_As,MATCH(C623,Bar_No,0))*L623/1000</f>
      </c>
      <c r="N623" s="17">
        <f>M623*INDEX(Bar_Y,MATCH(C623,Bar_No,0))/1000</f>
      </c>
      <c r="O623" s="17">
        <f>M623*INDEX(Bar_X,MATCH(C623,Bar_No,0))/1000</f>
      </c>
    </row>
    <row r="624" spans="2:15" x14ac:dyDescent="0.25">
      <c r="B624">
        <v>35</v>
      </c>
      <c r="C624">
        <v>7</v>
      </c>
      <c r="D624" s="17">
        <f>INDEX(Blk_c,MATCH(B624,Blk_St,0))</f>
      </c>
      <c r="E624" s="17">
        <f>INDEX(Bar_U,MATCH(C624,Bar_No,0))</f>
      </c>
      <c r="F624" s="17">
        <f>u_max-E624</f>
      </c>
      <c r="G624" s="20">
        <f>ecu*(1-F624/D624)</f>
      </c>
      <c r="H624" s="20">
        <f>MAX(0,-G624)</f>
      </c>
      <c r="I624" s="17">
        <f>MAX(MIN(Es*G624,fy),-fy)</f>
      </c>
      <c r="J624">
        <f>IF(E624&gt;=u_max-beta_1*D624-blk_tol,1,0)</f>
      </c>
      <c r="K624" s="17">
        <f>J624*sig_blk</f>
      </c>
      <c r="L624" s="17">
        <f>I624-K624</f>
      </c>
      <c r="M624" s="17">
        <f>INDEX(Bar_As,MATCH(C624,Bar_No,0))*L624/1000</f>
      </c>
      <c r="N624" s="17">
        <f>M624*INDEX(Bar_Y,MATCH(C624,Bar_No,0))/1000</f>
      </c>
      <c r="O624" s="17">
        <f>M624*INDEX(Bar_X,MATCH(C624,Bar_No,0))/1000</f>
      </c>
    </row>
    <row r="625" spans="2:15" x14ac:dyDescent="0.25">
      <c r="B625">
        <v>35</v>
      </c>
      <c r="C625">
        <v>8</v>
      </c>
      <c r="D625" s="17">
        <f>INDEX(Blk_c,MATCH(B625,Blk_St,0))</f>
      </c>
      <c r="E625" s="17">
        <f>INDEX(Bar_U,MATCH(C625,Bar_No,0))</f>
      </c>
      <c r="F625" s="17">
        <f>u_max-E625</f>
      </c>
      <c r="G625" s="20">
        <f>ecu*(1-F625/D625)</f>
      </c>
      <c r="H625" s="20">
        <f>MAX(0,-G625)</f>
      </c>
      <c r="I625" s="17">
        <f>MAX(MIN(Es*G625,fy),-fy)</f>
      </c>
      <c r="J625">
        <f>IF(E625&gt;=u_max-beta_1*D625-blk_tol,1,0)</f>
      </c>
      <c r="K625" s="17">
        <f>J625*sig_blk</f>
      </c>
      <c r="L625" s="17">
        <f>I625-K625</f>
      </c>
      <c r="M625" s="17">
        <f>INDEX(Bar_As,MATCH(C625,Bar_No,0))*L625/1000</f>
      </c>
      <c r="N625" s="17">
        <f>M625*INDEX(Bar_Y,MATCH(C625,Bar_No,0))/1000</f>
      </c>
      <c r="O625" s="17">
        <f>M625*INDEX(Bar_X,MATCH(C625,Bar_No,0))/1000</f>
      </c>
    </row>
    <row r="626" spans="2:15" x14ac:dyDescent="0.25">
      <c r="B626">
        <v>35</v>
      </c>
      <c r="C626">
        <v>9</v>
      </c>
      <c r="D626" s="17">
        <f>INDEX(Blk_c,MATCH(B626,Blk_St,0))</f>
      </c>
      <c r="E626" s="17">
        <f>INDEX(Bar_U,MATCH(C626,Bar_No,0))</f>
      </c>
      <c r="F626" s="17">
        <f>u_max-E626</f>
      </c>
      <c r="G626" s="20">
        <f>ecu*(1-F626/D626)</f>
      </c>
      <c r="H626" s="20">
        <f>MAX(0,-G626)</f>
      </c>
      <c r="I626" s="17">
        <f>MAX(MIN(Es*G626,fy),-fy)</f>
      </c>
      <c r="J626">
        <f>IF(E626&gt;=u_max-beta_1*D626-blk_tol,1,0)</f>
      </c>
      <c r="K626" s="17">
        <f>J626*sig_blk</f>
      </c>
      <c r="L626" s="17">
        <f>I626-K626</f>
      </c>
      <c r="M626" s="17">
        <f>INDEX(Bar_As,MATCH(C626,Bar_No,0))*L626/1000</f>
      </c>
      <c r="N626" s="17">
        <f>M626*INDEX(Bar_Y,MATCH(C626,Bar_No,0))/1000</f>
      </c>
      <c r="O626" s="17">
        <f>M626*INDEX(Bar_X,MATCH(C626,Bar_No,0))/1000</f>
      </c>
    </row>
    <row r="627" spans="2:15" x14ac:dyDescent="0.25">
      <c r="B627">
        <v>35</v>
      </c>
      <c r="C627">
        <v>10</v>
      </c>
      <c r="D627" s="17">
        <f>INDEX(Blk_c,MATCH(B627,Blk_St,0))</f>
      </c>
      <c r="E627" s="17">
        <f>INDEX(Bar_U,MATCH(C627,Bar_No,0))</f>
      </c>
      <c r="F627" s="17">
        <f>u_max-E627</f>
      </c>
      <c r="G627" s="20">
        <f>ecu*(1-F627/D627)</f>
      </c>
      <c r="H627" s="20">
        <f>MAX(0,-G627)</f>
      </c>
      <c r="I627" s="17">
        <f>MAX(MIN(Es*G627,fy),-fy)</f>
      </c>
      <c r="J627">
        <f>IF(E627&gt;=u_max-beta_1*D627-blk_tol,1,0)</f>
      </c>
      <c r="K627" s="17">
        <f>J627*sig_blk</f>
      </c>
      <c r="L627" s="17">
        <f>I627-K627</f>
      </c>
      <c r="M627" s="17">
        <f>INDEX(Bar_As,MATCH(C627,Bar_No,0))*L627/1000</f>
      </c>
      <c r="N627" s="17">
        <f>M627*INDEX(Bar_Y,MATCH(C627,Bar_No,0))/1000</f>
      </c>
      <c r="O627" s="17">
        <f>M627*INDEX(Bar_X,MATCH(C627,Bar_No,0))/1000</f>
      </c>
    </row>
    <row r="628" spans="2:15" x14ac:dyDescent="0.25">
      <c r="B628">
        <v>35</v>
      </c>
      <c r="C628">
        <v>11</v>
      </c>
      <c r="D628" s="17">
        <f>INDEX(Blk_c,MATCH(B628,Blk_St,0))</f>
      </c>
      <c r="E628" s="17">
        <f>INDEX(Bar_U,MATCH(C628,Bar_No,0))</f>
      </c>
      <c r="F628" s="17">
        <f>u_max-E628</f>
      </c>
      <c r="G628" s="20">
        <f>ecu*(1-F628/D628)</f>
      </c>
      <c r="H628" s="20">
        <f>MAX(0,-G628)</f>
      </c>
      <c r="I628" s="17">
        <f>MAX(MIN(Es*G628,fy),-fy)</f>
      </c>
      <c r="J628">
        <f>IF(E628&gt;=u_max-beta_1*D628-blk_tol,1,0)</f>
      </c>
      <c r="K628" s="17">
        <f>J628*sig_blk</f>
      </c>
      <c r="L628" s="17">
        <f>I628-K628</f>
      </c>
      <c r="M628" s="17">
        <f>INDEX(Bar_As,MATCH(C628,Bar_No,0))*L628/1000</f>
      </c>
      <c r="N628" s="17">
        <f>M628*INDEX(Bar_Y,MATCH(C628,Bar_No,0))/1000</f>
      </c>
      <c r="O628" s="17">
        <f>M628*INDEX(Bar_X,MATCH(C628,Bar_No,0))/1000</f>
      </c>
    </row>
    <row r="629" spans="2:15" x14ac:dyDescent="0.25">
      <c r="B629">
        <v>35</v>
      </c>
      <c r="C629">
        <v>12</v>
      </c>
      <c r="D629" s="17">
        <f>INDEX(Blk_c,MATCH(B629,Blk_St,0))</f>
      </c>
      <c r="E629" s="17">
        <f>INDEX(Bar_U,MATCH(C629,Bar_No,0))</f>
      </c>
      <c r="F629" s="17">
        <f>u_max-E629</f>
      </c>
      <c r="G629" s="20">
        <f>ecu*(1-F629/D629)</f>
      </c>
      <c r="H629" s="20">
        <f>MAX(0,-G629)</f>
      </c>
      <c r="I629" s="17">
        <f>MAX(MIN(Es*G629,fy),-fy)</f>
      </c>
      <c r="J629">
        <f>IF(E629&gt;=u_max-beta_1*D629-blk_tol,1,0)</f>
      </c>
      <c r="K629" s="17">
        <f>J629*sig_blk</f>
      </c>
      <c r="L629" s="17">
        <f>I629-K629</f>
      </c>
      <c r="M629" s="17">
        <f>INDEX(Bar_As,MATCH(C629,Bar_No,0))*L629/1000</f>
      </c>
      <c r="N629" s="17">
        <f>M629*INDEX(Bar_Y,MATCH(C629,Bar_No,0))/1000</f>
      </c>
      <c r="O629" s="17">
        <f>M629*INDEX(Bar_X,MATCH(C629,Bar_No,0))/1000</f>
      </c>
    </row>
    <row r="630" spans="2:15" x14ac:dyDescent="0.25">
      <c r="B630">
        <v>35</v>
      </c>
      <c r="C630">
        <v>13</v>
      </c>
      <c r="D630" s="17">
        <f>INDEX(Blk_c,MATCH(B630,Blk_St,0))</f>
      </c>
      <c r="E630" s="17">
        <f>INDEX(Bar_U,MATCH(C630,Bar_No,0))</f>
      </c>
      <c r="F630" s="17">
        <f>u_max-E630</f>
      </c>
      <c r="G630" s="20">
        <f>ecu*(1-F630/D630)</f>
      </c>
      <c r="H630" s="20">
        <f>MAX(0,-G630)</f>
      </c>
      <c r="I630" s="17">
        <f>MAX(MIN(Es*G630,fy),-fy)</f>
      </c>
      <c r="J630">
        <f>IF(E630&gt;=u_max-beta_1*D630-blk_tol,1,0)</f>
      </c>
      <c r="K630" s="17">
        <f>J630*sig_blk</f>
      </c>
      <c r="L630" s="17">
        <f>I630-K630</f>
      </c>
      <c r="M630" s="17">
        <f>INDEX(Bar_As,MATCH(C630,Bar_No,0))*L630/1000</f>
      </c>
      <c r="N630" s="17">
        <f>M630*INDEX(Bar_Y,MATCH(C630,Bar_No,0))/1000</f>
      </c>
      <c r="O630" s="17">
        <f>M630*INDEX(Bar_X,MATCH(C630,Bar_No,0))/1000</f>
      </c>
    </row>
    <row r="631" spans="2:15" x14ac:dyDescent="0.25">
      <c r="B631">
        <v>35</v>
      </c>
      <c r="C631">
        <v>14</v>
      </c>
      <c r="D631" s="17">
        <f>INDEX(Blk_c,MATCH(B631,Blk_St,0))</f>
      </c>
      <c r="E631" s="17">
        <f>INDEX(Bar_U,MATCH(C631,Bar_No,0))</f>
      </c>
      <c r="F631" s="17">
        <f>u_max-E631</f>
      </c>
      <c r="G631" s="20">
        <f>ecu*(1-F631/D631)</f>
      </c>
      <c r="H631" s="20">
        <f>MAX(0,-G631)</f>
      </c>
      <c r="I631" s="17">
        <f>MAX(MIN(Es*G631,fy),-fy)</f>
      </c>
      <c r="J631">
        <f>IF(E631&gt;=u_max-beta_1*D631-blk_tol,1,0)</f>
      </c>
      <c r="K631" s="17">
        <f>J631*sig_blk</f>
      </c>
      <c r="L631" s="17">
        <f>I631-K631</f>
      </c>
      <c r="M631" s="17">
        <f>INDEX(Bar_As,MATCH(C631,Bar_No,0))*L631/1000</f>
      </c>
      <c r="N631" s="17">
        <f>M631*INDEX(Bar_Y,MATCH(C631,Bar_No,0))/1000</f>
      </c>
      <c r="O631" s="17">
        <f>M631*INDEX(Bar_X,MATCH(C631,Bar_No,0))/1000</f>
      </c>
    </row>
    <row r="632" spans="2:15" x14ac:dyDescent="0.25">
      <c r="B632">
        <v>35</v>
      </c>
      <c r="C632">
        <v>15</v>
      </c>
      <c r="D632" s="17">
        <f>INDEX(Blk_c,MATCH(B632,Blk_St,0))</f>
      </c>
      <c r="E632" s="17">
        <f>INDEX(Bar_U,MATCH(C632,Bar_No,0))</f>
      </c>
      <c r="F632" s="17">
        <f>u_max-E632</f>
      </c>
      <c r="G632" s="20">
        <f>ecu*(1-F632/D632)</f>
      </c>
      <c r="H632" s="20">
        <f>MAX(0,-G632)</f>
      </c>
      <c r="I632" s="17">
        <f>MAX(MIN(Es*G632,fy),-fy)</f>
      </c>
      <c r="J632">
        <f>IF(E632&gt;=u_max-beta_1*D632-blk_tol,1,0)</f>
      </c>
      <c r="K632" s="17">
        <f>J632*sig_blk</f>
      </c>
      <c r="L632" s="17">
        <f>I632-K632</f>
      </c>
      <c r="M632" s="17">
        <f>INDEX(Bar_As,MATCH(C632,Bar_No,0))*L632/1000</f>
      </c>
      <c r="N632" s="17">
        <f>M632*INDEX(Bar_Y,MATCH(C632,Bar_No,0))/1000</f>
      </c>
      <c r="O632" s="17">
        <f>M632*INDEX(Bar_X,MATCH(C632,Bar_No,0))/1000</f>
      </c>
    </row>
    <row r="633" spans="2:15" x14ac:dyDescent="0.25">
      <c r="B633">
        <v>35</v>
      </c>
      <c r="C633">
        <v>16</v>
      </c>
      <c r="D633" s="17">
        <f>INDEX(Blk_c,MATCH(B633,Blk_St,0))</f>
      </c>
      <c r="E633" s="17">
        <f>INDEX(Bar_U,MATCH(C633,Bar_No,0))</f>
      </c>
      <c r="F633" s="17">
        <f>u_max-E633</f>
      </c>
      <c r="G633" s="20">
        <f>ecu*(1-F633/D633)</f>
      </c>
      <c r="H633" s="20">
        <f>MAX(0,-G633)</f>
      </c>
      <c r="I633" s="17">
        <f>MAX(MIN(Es*G633,fy),-fy)</f>
      </c>
      <c r="J633">
        <f>IF(E633&gt;=u_max-beta_1*D633-blk_tol,1,0)</f>
      </c>
      <c r="K633" s="17">
        <f>J633*sig_blk</f>
      </c>
      <c r="L633" s="17">
        <f>I633-K633</f>
      </c>
      <c r="M633" s="17">
        <f>INDEX(Bar_As,MATCH(C633,Bar_No,0))*L633/1000</f>
      </c>
      <c r="N633" s="17">
        <f>M633*INDEX(Bar_Y,MATCH(C633,Bar_No,0))/1000</f>
      </c>
      <c r="O633" s="17">
        <f>M633*INDEX(Bar_X,MATCH(C633,Bar_No,0))/1000</f>
      </c>
    </row>
    <row r="634" spans="2:15" x14ac:dyDescent="0.25">
      <c r="B634">
        <v>35</v>
      </c>
      <c r="C634">
        <v>17</v>
      </c>
      <c r="D634" s="17">
        <f>INDEX(Blk_c,MATCH(B634,Blk_St,0))</f>
      </c>
      <c r="E634" s="17">
        <f>INDEX(Bar_U,MATCH(C634,Bar_No,0))</f>
      </c>
      <c r="F634" s="17">
        <f>u_max-E634</f>
      </c>
      <c r="G634" s="20">
        <f>ecu*(1-F634/D634)</f>
      </c>
      <c r="H634" s="20">
        <f>MAX(0,-G634)</f>
      </c>
      <c r="I634" s="17">
        <f>MAX(MIN(Es*G634,fy),-fy)</f>
      </c>
      <c r="J634">
        <f>IF(E634&gt;=u_max-beta_1*D634-blk_tol,1,0)</f>
      </c>
      <c r="K634" s="17">
        <f>J634*sig_blk</f>
      </c>
      <c r="L634" s="17">
        <f>I634-K634</f>
      </c>
      <c r="M634" s="17">
        <f>INDEX(Bar_As,MATCH(C634,Bar_No,0))*L634/1000</f>
      </c>
      <c r="N634" s="17">
        <f>M634*INDEX(Bar_Y,MATCH(C634,Bar_No,0))/1000</f>
      </c>
      <c r="O634" s="17">
        <f>M634*INDEX(Bar_X,MATCH(C634,Bar_No,0))/1000</f>
      </c>
    </row>
    <row r="635" spans="2:15" x14ac:dyDescent="0.25">
      <c r="B635">
        <v>35</v>
      </c>
      <c r="C635">
        <v>18</v>
      </c>
      <c r="D635" s="17">
        <f>INDEX(Blk_c,MATCH(B635,Blk_St,0))</f>
      </c>
      <c r="E635" s="17">
        <f>INDEX(Bar_U,MATCH(C635,Bar_No,0))</f>
      </c>
      <c r="F635" s="17">
        <f>u_max-E635</f>
      </c>
      <c r="G635" s="20">
        <f>ecu*(1-F635/D635)</f>
      </c>
      <c r="H635" s="20">
        <f>MAX(0,-G635)</f>
      </c>
      <c r="I635" s="17">
        <f>MAX(MIN(Es*G635,fy),-fy)</f>
      </c>
      <c r="J635">
        <f>IF(E635&gt;=u_max-beta_1*D635-blk_tol,1,0)</f>
      </c>
      <c r="K635" s="17">
        <f>J635*sig_blk</f>
      </c>
      <c r="L635" s="17">
        <f>I635-K635</f>
      </c>
      <c r="M635" s="17">
        <f>INDEX(Bar_As,MATCH(C635,Bar_No,0))*L635/1000</f>
      </c>
      <c r="N635" s="17">
        <f>M635*INDEX(Bar_Y,MATCH(C635,Bar_No,0))/1000</f>
      </c>
      <c r="O635" s="17">
        <f>M635*INDEX(Bar_X,MATCH(C635,Bar_No,0))/1000</f>
      </c>
    </row>
  </sheetData>
  <mergeCells count="2">
    <mergeCell ref="B1:N1"/>
    <mergeCell ref="B2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3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8" customWidth="1"/>
    <col min="3" max="9" width="14" customWidth="1"/>
    <col min="10" max="11" width="12" customWidth="1"/>
    <col min="12" max="15" width="14" customWidth="1"/>
    <col min="16" max="16" width="24" customWidth="1"/>
  </cols>
  <sheetData>
    <row r="1" ht="22" customHeight="1" spans="2:15" x14ac:dyDescent="0.25">
      <c r="B1" s="1" t="s">
        <v>208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4" customHeight="1" spans="2:17" x14ac:dyDescent="0.25">
      <c r="B2" s="2" t="s">
        <v>209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6" ht="28" customHeight="1" spans="2:16" x14ac:dyDescent="0.25">
      <c r="B6" s="11" t="s">
        <v>180</v>
      </c>
      <c r="C6" s="11" t="s">
        <v>181</v>
      </c>
      <c r="D6" s="11" t="s">
        <v>188</v>
      </c>
      <c r="E6" s="11" t="s">
        <v>210</v>
      </c>
      <c r="F6" s="11" t="s">
        <v>211</v>
      </c>
      <c r="G6" s="11" t="s">
        <v>212</v>
      </c>
      <c r="H6" s="11" t="s">
        <v>213</v>
      </c>
      <c r="I6" s="11" t="s">
        <v>214</v>
      </c>
      <c r="J6" s="11" t="s">
        <v>215</v>
      </c>
      <c r="K6" s="11" t="s">
        <v>216</v>
      </c>
      <c r="L6" s="11" t="s">
        <v>217</v>
      </c>
      <c r="M6" s="11" t="s">
        <v>218</v>
      </c>
      <c r="N6" s="11" t="s">
        <v>219</v>
      </c>
      <c r="O6" s="11" t="s">
        <v>220</v>
      </c>
      <c r="P6" s="11" t="s">
        <v>221</v>
      </c>
    </row>
    <row r="7" spans="2:16" x14ac:dyDescent="0.25">
      <c r="B7">
        <v>1</v>
      </c>
      <c r="C7" s="12">
        <f>Block!C6</f>
      </c>
      <c r="D7" s="12">
        <f>Block!J6</f>
      </c>
      <c r="E7" s="12">
        <f>SUM(Steel!M6:M23)</f>
      </c>
      <c r="F7" s="12">
        <f>D7+E7</f>
      </c>
      <c r="G7" s="12">
        <f>Block!K6+SUM(Steel!N6:N23)</f>
      </c>
      <c r="H7" s="12">
        <f>Block!L6+SUM(Steel!O6:O23)</f>
      </c>
      <c r="I7" s="20">
        <f>MAX(Steel!H6:H23)</f>
      </c>
      <c r="J7" s="21">
        <f>IF(I7&lt;=epsy,phi_c,IF(I7&gt;=ept_lim,phi_t,phi_c+(phi_t-phi_c)*(I7-epsy)/(ept_lim-epsy)))</f>
      </c>
      <c r="K7">
        <f>IF(I7&lt;=epsy,"compression",IF(I7&gt;=ept_lim,"tension","transition"))</f>
      </c>
      <c r="L7" s="12">
        <f>J7*F7</f>
      </c>
      <c r="M7" s="12">
        <f>J7*G7</f>
      </c>
      <c r="N7" s="12">
        <f>J7*H7</f>
      </c>
      <c r="O7" s="18">
        <v>17396.106570752956</v>
      </c>
      <c r="P7" s="19">
        <f>L7-O7</f>
      </c>
    </row>
    <row r="8" spans="2:16" x14ac:dyDescent="0.25">
      <c r="B8">
        <v>2</v>
      </c>
      <c r="C8" s="12">
        <f>Block!C7</f>
      </c>
      <c r="D8" s="12">
        <f>Block!J7</f>
      </c>
      <c r="E8" s="12">
        <f>SUM(Steel!M24:M41)</f>
      </c>
      <c r="F8" s="12">
        <f>D8+E8</f>
      </c>
      <c r="G8" s="12">
        <f>Block!K7+SUM(Steel!N24:N41)</f>
      </c>
      <c r="H8" s="12">
        <f>Block!L7+SUM(Steel!O24:O41)</f>
      </c>
      <c r="I8" s="20">
        <f>MAX(Steel!H24:H41)</f>
      </c>
      <c r="J8" s="21">
        <f>IF(I8&lt;=epsy,phi_c,IF(I8&gt;=ept_lim,phi_t,phi_c+(phi_t-phi_c)*(I8-epsy)/(ept_lim-epsy)))</f>
      </c>
      <c r="K8">
        <f>IF(I8&lt;=epsy,"compression",IF(I8&gt;=ept_lim,"tension","transition"))</f>
      </c>
      <c r="L8" s="12">
        <f>J8*F8</f>
      </c>
      <c r="M8" s="12">
        <f>J8*G8</f>
      </c>
      <c r="N8" s="12">
        <f>J8*H8</f>
      </c>
      <c r="O8" s="18">
        <v>16475.90301280042</v>
      </c>
      <c r="P8" s="19">
        <f>L8-O8</f>
      </c>
    </row>
    <row r="9" spans="2:16" x14ac:dyDescent="0.25">
      <c r="B9">
        <v>3</v>
      </c>
      <c r="C9" s="12">
        <f>Block!C8</f>
      </c>
      <c r="D9" s="12">
        <f>Block!J8</f>
      </c>
      <c r="E9" s="12">
        <f>SUM(Steel!M42:M59)</f>
      </c>
      <c r="F9" s="12">
        <f>D9+E9</f>
      </c>
      <c r="G9" s="12">
        <f>Block!K8+SUM(Steel!N42:N59)</f>
      </c>
      <c r="H9" s="12">
        <f>Block!L8+SUM(Steel!O42:O59)</f>
      </c>
      <c r="I9" s="20">
        <f>MAX(Steel!H42:H59)</f>
      </c>
      <c r="J9" s="21">
        <f>IF(I9&lt;=epsy,phi_c,IF(I9&gt;=ept_lim,phi_t,phi_c+(phi_t-phi_c)*(I9-epsy)/(ept_lim-epsy)))</f>
      </c>
      <c r="K9">
        <f>IF(I9&lt;=epsy,"compression",IF(I9&gt;=ept_lim,"tension","transition"))</f>
      </c>
      <c r="L9" s="12">
        <f>J9*F9</f>
      </c>
      <c r="M9" s="12">
        <f>J9*G9</f>
      </c>
      <c r="N9" s="12">
        <f>J9*H9</f>
      </c>
      <c r="O9" s="18">
        <v>15662.525400173541</v>
      </c>
      <c r="P9" s="19">
        <f>L9-O9</f>
      </c>
    </row>
    <row r="10" spans="2:16" x14ac:dyDescent="0.25">
      <c r="B10">
        <v>4</v>
      </c>
      <c r="C10" s="12">
        <f>Block!C9</f>
      </c>
      <c r="D10" s="12">
        <f>Block!J9</f>
      </c>
      <c r="E10" s="12">
        <f>SUM(Steel!M60:M77)</f>
      </c>
      <c r="F10" s="12">
        <f>D10+E10</f>
      </c>
      <c r="G10" s="12">
        <f>Block!K9+SUM(Steel!N60:N77)</f>
      </c>
      <c r="H10" s="12">
        <f>Block!L9+SUM(Steel!O60:O77)</f>
      </c>
      <c r="I10" s="20">
        <f>MAX(Steel!H60:H77)</f>
      </c>
      <c r="J10" s="21">
        <f>IF(I10&lt;=epsy,phi_c,IF(I10&gt;=ept_lim,phi_t,phi_c+(phi_t-phi_c)*(I10-epsy)/(ept_lim-epsy)))</f>
      </c>
      <c r="K10">
        <f>IF(I10&lt;=epsy,"compression",IF(I10&gt;=ept_lim,"tension","transition"))</f>
      </c>
      <c r="L10" s="12">
        <f>J10*F10</f>
      </c>
      <c r="M10" s="12">
        <f>J10*G10</f>
      </c>
      <c r="N10" s="12">
        <f>J10*H10</f>
      </c>
      <c r="O10" s="18">
        <v>14136.571625898703</v>
      </c>
      <c r="P10" s="19">
        <f>L10-O10</f>
      </c>
    </row>
    <row r="11" spans="2:16" x14ac:dyDescent="0.25">
      <c r="B11">
        <v>5</v>
      </c>
      <c r="C11" s="12">
        <f>Block!C10</f>
      </c>
      <c r="D11" s="12">
        <f>Block!J10</f>
      </c>
      <c r="E11" s="12">
        <f>SUM(Steel!M78:M95)</f>
      </c>
      <c r="F11" s="12">
        <f>D11+E11</f>
      </c>
      <c r="G11" s="12">
        <f>Block!K10+SUM(Steel!N78:N95)</f>
      </c>
      <c r="H11" s="12">
        <f>Block!L10+SUM(Steel!O78:O95)</f>
      </c>
      <c r="I11" s="20">
        <f>MAX(Steel!H78:H95)</f>
      </c>
      <c r="J11" s="21">
        <f>IF(I11&lt;=epsy,phi_c,IF(I11&gt;=ept_lim,phi_t,phi_c+(phi_t-phi_c)*(I11-epsy)/(ept_lim-epsy)))</f>
      </c>
      <c r="K11">
        <f>IF(I11&lt;=epsy,"compression",IF(I11&gt;=ept_lim,"tension","transition"))</f>
      </c>
      <c r="L11" s="12">
        <f>J11*F11</f>
      </c>
      <c r="M11" s="12">
        <f>J11*G11</f>
      </c>
      <c r="N11" s="12">
        <f>J11*H11</f>
      </c>
      <c r="O11" s="18">
        <v>12156.552910497609</v>
      </c>
      <c r="P11" s="19">
        <f>L11-O11</f>
      </c>
    </row>
    <row r="12" spans="2:16" x14ac:dyDescent="0.25">
      <c r="B12">
        <v>6</v>
      </c>
      <c r="C12" s="12">
        <f>Block!C11</f>
      </c>
      <c r="D12" s="12">
        <f>Block!J11</f>
      </c>
      <c r="E12" s="12">
        <f>SUM(Steel!M96:M113)</f>
      </c>
      <c r="F12" s="12">
        <f>D12+E12</f>
      </c>
      <c r="G12" s="12">
        <f>Block!K11+SUM(Steel!N96:N113)</f>
      </c>
      <c r="H12" s="12">
        <f>Block!L11+SUM(Steel!O96:O113)</f>
      </c>
      <c r="I12" s="20">
        <f>MAX(Steel!H96:H113)</f>
      </c>
      <c r="J12" s="21">
        <f>IF(I12&lt;=epsy,phi_c,IF(I12&gt;=ept_lim,phi_t,phi_c+(phi_t-phi_c)*(I12-epsy)/(ept_lim-epsy)))</f>
      </c>
      <c r="K12">
        <f>IF(I12&lt;=epsy,"compression",IF(I12&gt;=ept_lim,"tension","transition"))</f>
      </c>
      <c r="L12" s="12">
        <f>J12*F12</f>
      </c>
      <c r="M12" s="12">
        <f>J12*G12</f>
      </c>
      <c r="N12" s="12">
        <f>J12*H12</f>
      </c>
      <c r="O12" s="18">
        <v>9972.307857529007</v>
      </c>
      <c r="P12" s="19">
        <f>L12-O12</f>
      </c>
    </row>
    <row r="13" spans="2:16" x14ac:dyDescent="0.25">
      <c r="B13">
        <v>7</v>
      </c>
      <c r="C13" s="12">
        <f>Block!C12</f>
      </c>
      <c r="D13" s="12">
        <f>Block!J12</f>
      </c>
      <c r="E13" s="12">
        <f>SUM(Steel!M114:M131)</f>
      </c>
      <c r="F13" s="12">
        <f>D13+E13</f>
      </c>
      <c r="G13" s="12">
        <f>Block!K12+SUM(Steel!N114:N131)</f>
      </c>
      <c r="H13" s="12">
        <f>Block!L12+SUM(Steel!O114:O131)</f>
      </c>
      <c r="I13" s="20">
        <f>MAX(Steel!H114:H131)</f>
      </c>
      <c r="J13" s="21">
        <f>IF(I13&lt;=epsy,phi_c,IF(I13&gt;=ept_lim,phi_t,phi_c+(phi_t-phi_c)*(I13-epsy)/(ept_lim-epsy)))</f>
      </c>
      <c r="K13">
        <f>IF(I13&lt;=epsy,"compression",IF(I13&gt;=ept_lim,"tension","transition"))</f>
      </c>
      <c r="L13" s="12">
        <f>J13*F13</f>
      </c>
      <c r="M13" s="12">
        <f>J13*G13</f>
      </c>
      <c r="N13" s="12">
        <f>J13*H13</f>
      </c>
      <c r="O13" s="18">
        <v>8734.688734939808</v>
      </c>
      <c r="P13" s="19">
        <f>L13-O13</f>
      </c>
    </row>
    <row r="14" spans="2:16" x14ac:dyDescent="0.25">
      <c r="B14">
        <v>8</v>
      </c>
      <c r="C14" s="12">
        <f>Block!C13</f>
      </c>
      <c r="D14" s="12">
        <f>Block!J13</f>
      </c>
      <c r="E14" s="12">
        <f>SUM(Steel!M132:M149)</f>
      </c>
      <c r="F14" s="12">
        <f>D14+E14</f>
      </c>
      <c r="G14" s="12">
        <f>Block!K13+SUM(Steel!N132:N149)</f>
      </c>
      <c r="H14" s="12">
        <f>Block!L13+SUM(Steel!O132:O149)</f>
      </c>
      <c r="I14" s="20">
        <f>MAX(Steel!H132:H149)</f>
      </c>
      <c r="J14" s="21">
        <f>IF(I14&lt;=epsy,phi_c,IF(I14&gt;=ept_lim,phi_t,phi_c+(phi_t-phi_c)*(I14-epsy)/(ept_lim-epsy)))</f>
      </c>
      <c r="K14">
        <f>IF(I14&lt;=epsy,"compression",IF(I14&gt;=ept_lim,"tension","transition"))</f>
      </c>
      <c r="L14" s="12">
        <f>J14*F14</f>
      </c>
      <c r="M14" s="12">
        <f>J14*G14</f>
      </c>
      <c r="N14" s="12">
        <f>J14*H14</f>
      </c>
      <c r="O14" s="18">
        <v>8245.773779081792</v>
      </c>
      <c r="P14" s="19">
        <f>L14-O14</f>
      </c>
    </row>
    <row r="15" spans="2:16" x14ac:dyDescent="0.25">
      <c r="B15">
        <v>9</v>
      </c>
      <c r="C15" s="12">
        <f>Block!C14</f>
      </c>
      <c r="D15" s="12">
        <f>Block!J14</f>
      </c>
      <c r="E15" s="12">
        <f>SUM(Steel!M150:M167)</f>
      </c>
      <c r="F15" s="12">
        <f>D15+E15</f>
      </c>
      <c r="G15" s="12">
        <f>Block!K14+SUM(Steel!N150:N167)</f>
      </c>
      <c r="H15" s="12">
        <f>Block!L14+SUM(Steel!O150:O167)</f>
      </c>
      <c r="I15" s="20">
        <f>MAX(Steel!H150:H167)</f>
      </c>
      <c r="J15" s="21">
        <f>IF(I15&lt;=epsy,phi_c,IF(I15&gt;=ept_lim,phi_t,phi_c+(phi_t-phi_c)*(I15-epsy)/(ept_lim-epsy)))</f>
      </c>
      <c r="K15">
        <f>IF(I15&lt;=epsy,"compression",IF(I15&gt;=ept_lim,"tension","transition"))</f>
      </c>
      <c r="L15" s="12">
        <f>J15*F15</f>
      </c>
      <c r="M15" s="12">
        <f>J15*G15</f>
      </c>
      <c r="N15" s="12">
        <f>J15*H15</f>
      </c>
      <c r="O15" s="18">
        <v>7737.173933369423</v>
      </c>
      <c r="P15" s="19">
        <f>L15-O15</f>
      </c>
    </row>
    <row r="16" spans="2:16" x14ac:dyDescent="0.25">
      <c r="B16">
        <v>10</v>
      </c>
      <c r="C16" s="12">
        <f>Block!C15</f>
      </c>
      <c r="D16" s="12">
        <f>Block!J15</f>
      </c>
      <c r="E16" s="12">
        <f>SUM(Steel!M168:M185)</f>
      </c>
      <c r="F16" s="12">
        <f>D16+E16</f>
      </c>
      <c r="G16" s="12">
        <f>Block!K15+SUM(Steel!N168:N185)</f>
      </c>
      <c r="H16" s="12">
        <f>Block!L15+SUM(Steel!O168:O185)</f>
      </c>
      <c r="I16" s="20">
        <f>MAX(Steel!H168:H185)</f>
      </c>
      <c r="J16" s="21">
        <f>IF(I16&lt;=epsy,phi_c,IF(I16&gt;=ept_lim,phi_t,phi_c+(phi_t-phi_c)*(I16-epsy)/(ept_lim-epsy)))</f>
      </c>
      <c r="K16">
        <f>IF(I16&lt;=epsy,"compression",IF(I16&gt;=ept_lim,"tension","transition"))</f>
      </c>
      <c r="L16" s="12">
        <f>J16*F16</f>
      </c>
      <c r="M16" s="12">
        <f>J16*G16</f>
      </c>
      <c r="N16" s="12">
        <f>J16*H16</f>
      </c>
      <c r="O16" s="18">
        <v>7205.771112627935</v>
      </c>
      <c r="P16" s="19">
        <f>L16-O16</f>
      </c>
    </row>
    <row r="17" spans="2:16" x14ac:dyDescent="0.25">
      <c r="B17">
        <v>11</v>
      </c>
      <c r="C17" s="12">
        <f>Block!C16</f>
      </c>
      <c r="D17" s="12">
        <f>Block!J16</f>
      </c>
      <c r="E17" s="12">
        <f>SUM(Steel!M186:M203)</f>
      </c>
      <c r="F17" s="12">
        <f>D17+E17</f>
      </c>
      <c r="G17" s="12">
        <f>Block!K16+SUM(Steel!N186:N203)</f>
      </c>
      <c r="H17" s="12">
        <f>Block!L16+SUM(Steel!O186:O203)</f>
      </c>
      <c r="I17" s="20">
        <f>MAX(Steel!H186:H203)</f>
      </c>
      <c r="J17" s="21">
        <f>IF(I17&lt;=epsy,phi_c,IF(I17&gt;=ept_lim,phi_t,phi_c+(phi_t-phi_c)*(I17-epsy)/(ept_lim-epsy)))</f>
      </c>
      <c r="K17">
        <f>IF(I17&lt;=epsy,"compression",IF(I17&gt;=ept_lim,"tension","transition"))</f>
      </c>
      <c r="L17" s="12">
        <f>J17*F17</f>
      </c>
      <c r="M17" s="12">
        <f>J17*G17</f>
      </c>
      <c r="N17" s="12">
        <f>J17*H17</f>
      </c>
      <c r="O17" s="18">
        <v>7049.082190654341</v>
      </c>
      <c r="P17" s="19">
        <f>L17-O17</f>
      </c>
    </row>
    <row r="18" spans="2:16" x14ac:dyDescent="0.25">
      <c r="B18">
        <v>12</v>
      </c>
      <c r="C18" s="12">
        <f>Block!C17</f>
      </c>
      <c r="D18" s="12">
        <f>Block!J17</f>
      </c>
      <c r="E18" s="12">
        <f>SUM(Steel!M204:M221)</f>
      </c>
      <c r="F18" s="12">
        <f>D18+E18</f>
      </c>
      <c r="G18" s="12">
        <f>Block!K17+SUM(Steel!N204:N221)</f>
      </c>
      <c r="H18" s="12">
        <f>Block!L17+SUM(Steel!O204:O221)</f>
      </c>
      <c r="I18" s="20">
        <f>MAX(Steel!H204:H221)</f>
      </c>
      <c r="J18" s="21">
        <f>IF(I18&lt;=epsy,phi_c,IF(I18&gt;=ept_lim,phi_t,phi_c+(phi_t-phi_c)*(I18-epsy)/(ept_lim-epsy)))</f>
      </c>
      <c r="K18">
        <f>IF(I18&lt;=epsy,"compression",IF(I18&gt;=ept_lim,"tension","transition"))</f>
      </c>
      <c r="L18" s="12">
        <f>J18*F18</f>
      </c>
      <c r="M18" s="12">
        <f>J18*G18</f>
      </c>
      <c r="N18" s="12">
        <f>J18*H18</f>
      </c>
      <c r="O18" s="18">
        <v>6590.368585798976</v>
      </c>
      <c r="P18" s="19">
        <f>L18-O18</f>
      </c>
    </row>
    <row r="19" spans="2:16" x14ac:dyDescent="0.25">
      <c r="B19">
        <v>13</v>
      </c>
      <c r="C19" s="12">
        <f>Block!C18</f>
      </c>
      <c r="D19" s="12">
        <f>Block!J18</f>
      </c>
      <c r="E19" s="12">
        <f>SUM(Steel!M222:M239)</f>
      </c>
      <c r="F19" s="12">
        <f>D19+E19</f>
      </c>
      <c r="G19" s="12">
        <f>Block!K18+SUM(Steel!N222:N239)</f>
      </c>
      <c r="H19" s="12">
        <f>Block!L18+SUM(Steel!O222:O239)</f>
      </c>
      <c r="I19" s="20">
        <f>MAX(Steel!H222:H239)</f>
      </c>
      <c r="J19" s="21">
        <f>IF(I19&lt;=epsy,phi_c,IF(I19&gt;=ept_lim,phi_t,phi_c+(phi_t-phi_c)*(I19-epsy)/(ept_lim-epsy)))</f>
      </c>
      <c r="K19">
        <f>IF(I19&lt;=epsy,"compression",IF(I19&gt;=ept_lim,"tension","transition"))</f>
      </c>
      <c r="L19" s="12">
        <f>J19*F19</f>
      </c>
      <c r="M19" s="12">
        <f>J19*G19</f>
      </c>
      <c r="N19" s="12">
        <f>J19*H19</f>
      </c>
      <c r="O19" s="18">
        <v>6560.692891888024</v>
      </c>
      <c r="P19" s="19">
        <f>L19-O19</f>
      </c>
    </row>
    <row r="20" spans="2:16" x14ac:dyDescent="0.25">
      <c r="B20">
        <v>14</v>
      </c>
      <c r="C20" s="12">
        <f>Block!C19</f>
      </c>
      <c r="D20" s="12">
        <f>Block!J19</f>
      </c>
      <c r="E20" s="12">
        <f>SUM(Steel!M240:M257)</f>
      </c>
      <c r="F20" s="12">
        <f>D20+E20</f>
      </c>
      <c r="G20" s="12">
        <f>Block!K19+SUM(Steel!N240:N257)</f>
      </c>
      <c r="H20" s="12">
        <f>Block!L19+SUM(Steel!O240:O257)</f>
      </c>
      <c r="I20" s="20">
        <f>MAX(Steel!H240:H257)</f>
      </c>
      <c r="J20" s="21">
        <f>IF(I20&lt;=epsy,phi_c,IF(I20&gt;=ept_lim,phi_t,phi_c+(phi_t-phi_c)*(I20-epsy)/(ept_lim-epsy)))</f>
      </c>
      <c r="K20">
        <f>IF(I20&lt;=epsy,"compression",IF(I20&gt;=ept_lim,"tension","transition"))</f>
      </c>
      <c r="L20" s="12">
        <f>J20*F20</f>
      </c>
      <c r="M20" s="12">
        <f>J20*G20</f>
      </c>
      <c r="N20" s="12">
        <f>J20*H20</f>
      </c>
      <c r="O20" s="18">
        <v>6190.548810270718</v>
      </c>
      <c r="P20" s="19">
        <f>L20-O20</f>
      </c>
    </row>
    <row r="21" spans="2:16" x14ac:dyDescent="0.25">
      <c r="B21">
        <v>15</v>
      </c>
      <c r="C21" s="12">
        <f>Block!C20</f>
      </c>
      <c r="D21" s="12">
        <f>Block!J20</f>
      </c>
      <c r="E21" s="12">
        <f>SUM(Steel!M258:M275)</f>
      </c>
      <c r="F21" s="12">
        <f>D21+E21</f>
      </c>
      <c r="G21" s="12">
        <f>Block!K20+SUM(Steel!N258:N275)</f>
      </c>
      <c r="H21" s="12">
        <f>Block!L20+SUM(Steel!O258:O275)</f>
      </c>
      <c r="I21" s="20">
        <f>MAX(Steel!H258:H275)</f>
      </c>
      <c r="J21" s="21">
        <f>IF(I21&lt;=epsy,phi_c,IF(I21&gt;=ept_lim,phi_t,phi_c+(phi_t-phi_c)*(I21-epsy)/(ept_lim-epsy)))</f>
      </c>
      <c r="K21">
        <f>IF(I21&lt;=epsy,"compression",IF(I21&gt;=ept_lim,"tension","transition"))</f>
      </c>
      <c r="L21" s="12">
        <f>J21*F21</f>
      </c>
      <c r="M21" s="12">
        <f>J21*G21</f>
      </c>
      <c r="N21" s="12">
        <f>J21*H21</f>
      </c>
      <c r="O21" s="18">
        <v>6114.654426135447</v>
      </c>
      <c r="P21" s="19">
        <f>L21-O21</f>
      </c>
    </row>
    <row r="22" spans="2:16" x14ac:dyDescent="0.25">
      <c r="B22">
        <v>16</v>
      </c>
      <c r="C22" s="12">
        <f>Block!C21</f>
      </c>
      <c r="D22" s="12">
        <f>Block!J21</f>
      </c>
      <c r="E22" s="12">
        <f>SUM(Steel!M276:M293)</f>
      </c>
      <c r="F22" s="12">
        <f>D22+E22</f>
      </c>
      <c r="G22" s="12">
        <f>Block!K21+SUM(Steel!N276:N293)</f>
      </c>
      <c r="H22" s="12">
        <f>Block!L21+SUM(Steel!O276:O293)</f>
      </c>
      <c r="I22" s="20">
        <f>MAX(Steel!H276:H293)</f>
      </c>
      <c r="J22" s="21">
        <f>IF(I22&lt;=epsy,phi_c,IF(I22&gt;=ept_lim,phi_t,phi_c+(phi_t-phi_c)*(I22-epsy)/(ept_lim-epsy)))</f>
      </c>
      <c r="K22">
        <f>IF(I22&lt;=epsy,"compression",IF(I22&gt;=ept_lim,"tension","transition"))</f>
      </c>
      <c r="L22" s="12">
        <f>J22*F22</f>
      </c>
      <c r="M22" s="12">
        <f>J22*G22</f>
      </c>
      <c r="N22" s="12">
        <f>J22*H22</f>
      </c>
      <c r="O22" s="18">
        <v>5891.323464519999</v>
      </c>
      <c r="P22" s="19">
        <f>L22-O22</f>
      </c>
    </row>
    <row r="23" spans="2:16" x14ac:dyDescent="0.25">
      <c r="B23">
        <v>17</v>
      </c>
      <c r="C23" s="12">
        <f>Block!C22</f>
      </c>
      <c r="D23" s="12">
        <f>Block!J22</f>
      </c>
      <c r="E23" s="12">
        <f>SUM(Steel!M294:M311)</f>
      </c>
      <c r="F23" s="12">
        <f>D23+E23</f>
      </c>
      <c r="G23" s="12">
        <f>Block!K22+SUM(Steel!N294:N311)</f>
      </c>
      <c r="H23" s="12">
        <f>Block!L22+SUM(Steel!O294:O311)</f>
      </c>
      <c r="I23" s="20">
        <f>MAX(Steel!H294:H311)</f>
      </c>
      <c r="J23" s="21">
        <f>IF(I23&lt;=epsy,phi_c,IF(I23&gt;=ept_lim,phi_t,phi_c+(phi_t-phi_c)*(I23-epsy)/(ept_lim-epsy)))</f>
      </c>
      <c r="K23">
        <f>IF(I23&lt;=epsy,"compression",IF(I23&gt;=ept_lim,"tension","transition"))</f>
      </c>
      <c r="L23" s="12">
        <f>J23*F23</f>
      </c>
      <c r="M23" s="12">
        <f>J23*G23</f>
      </c>
      <c r="N23" s="12">
        <f>J23*H23</f>
      </c>
      <c r="O23" s="18">
        <v>5623.709827112972</v>
      </c>
      <c r="P23" s="19">
        <f>L23-O23</f>
      </c>
    </row>
    <row r="24" spans="2:16" x14ac:dyDescent="0.25">
      <c r="B24">
        <v>18</v>
      </c>
      <c r="C24" s="12">
        <f>Block!C23</f>
      </c>
      <c r="D24" s="12">
        <f>Block!J23</f>
      </c>
      <c r="E24" s="12">
        <f>SUM(Steel!M312:M329)</f>
      </c>
      <c r="F24" s="12">
        <f>D24+E24</f>
      </c>
      <c r="G24" s="12">
        <f>Block!K23+SUM(Steel!N312:N329)</f>
      </c>
      <c r="H24" s="12">
        <f>Block!L23+SUM(Steel!O312:O329)</f>
      </c>
      <c r="I24" s="20">
        <f>MAX(Steel!H312:H329)</f>
      </c>
      <c r="J24" s="21">
        <f>IF(I24&lt;=epsy,phi_c,IF(I24&gt;=ept_lim,phi_t,phi_c+(phi_t-phi_c)*(I24-epsy)/(ept_lim-epsy)))</f>
      </c>
      <c r="K24">
        <f>IF(I24&lt;=epsy,"compression",IF(I24&gt;=ept_lim,"tension","transition"))</f>
      </c>
      <c r="L24" s="12">
        <f>J24*F24</f>
      </c>
      <c r="M24" s="12">
        <f>J24*G24</f>
      </c>
      <c r="N24" s="12">
        <f>J24*H24</f>
      </c>
      <c r="O24" s="18">
        <v>5443.50508494702</v>
      </c>
      <c r="P24" s="19">
        <f>L24-O24</f>
      </c>
    </row>
    <row r="25" spans="2:16" x14ac:dyDescent="0.25">
      <c r="B25">
        <v>19</v>
      </c>
      <c r="C25" s="12">
        <f>Block!C24</f>
      </c>
      <c r="D25" s="12">
        <f>Block!J24</f>
      </c>
      <c r="E25" s="12">
        <f>SUM(Steel!M330:M347)</f>
      </c>
      <c r="F25" s="12">
        <f>D25+E25</f>
      </c>
      <c r="G25" s="12">
        <f>Block!K24+SUM(Steel!N330:N347)</f>
      </c>
      <c r="H25" s="12">
        <f>Block!L24+SUM(Steel!O330:O347)</f>
      </c>
      <c r="I25" s="20">
        <f>MAX(Steel!H330:H347)</f>
      </c>
      <c r="J25" s="21">
        <f>IF(I25&lt;=epsy,phi_c,IF(I25&gt;=ept_lim,phi_t,phi_c+(phi_t-phi_c)*(I25-epsy)/(ept_lim-epsy)))</f>
      </c>
      <c r="K25">
        <f>IF(I25&lt;=epsy,"compression",IF(I25&gt;=ept_lim,"tension","transition"))</f>
      </c>
      <c r="L25" s="12">
        <f>J25*F25</f>
      </c>
      <c r="M25" s="12">
        <f>J25*G25</f>
      </c>
      <c r="N25" s="12">
        <f>J25*H25</f>
      </c>
      <c r="O25" s="18">
        <v>5388.97976682786</v>
      </c>
      <c r="P25" s="19">
        <f>L25-O25</f>
      </c>
    </row>
    <row r="26" spans="2:16" x14ac:dyDescent="0.25">
      <c r="B26">
        <v>20</v>
      </c>
      <c r="C26" s="12">
        <f>Block!C25</f>
      </c>
      <c r="D26" s="12">
        <f>Block!J25</f>
      </c>
      <c r="E26" s="12">
        <f>SUM(Steel!M348:M365)</f>
      </c>
      <c r="F26" s="12">
        <f>D26+E26</f>
      </c>
      <c r="G26" s="12">
        <f>Block!K25+SUM(Steel!N348:N365)</f>
      </c>
      <c r="H26" s="12">
        <f>Block!L25+SUM(Steel!O348:O365)</f>
      </c>
      <c r="I26" s="20">
        <f>MAX(Steel!H348:H365)</f>
      </c>
      <c r="J26" s="21">
        <f>IF(I26&lt;=epsy,phi_c,IF(I26&gt;=ept_lim,phi_t,phi_c+(phi_t-phi_c)*(I26-epsy)/(ept_lim-epsy)))</f>
      </c>
      <c r="K26">
        <f>IF(I26&lt;=epsy,"compression",IF(I26&gt;=ept_lim,"tension","transition"))</f>
      </c>
      <c r="L26" s="12">
        <f>J26*F26</f>
      </c>
      <c r="M26" s="12">
        <f>J26*G26</f>
      </c>
      <c r="N26" s="12">
        <f>J26*H26</f>
      </c>
      <c r="O26" s="18">
        <v>5190.594334869808</v>
      </c>
      <c r="P26" s="19">
        <f>L26-O26</f>
      </c>
    </row>
    <row r="27" spans="2:16" x14ac:dyDescent="0.25">
      <c r="B27">
        <v>21</v>
      </c>
      <c r="C27" s="12">
        <f>Block!C26</f>
      </c>
      <c r="D27" s="12">
        <f>Block!J26</f>
      </c>
      <c r="E27" s="12">
        <f>SUM(Steel!M366:M383)</f>
      </c>
      <c r="F27" s="12">
        <f>D27+E27</f>
      </c>
      <c r="G27" s="12">
        <f>Block!K26+SUM(Steel!N366:N383)</f>
      </c>
      <c r="H27" s="12">
        <f>Block!L26+SUM(Steel!O366:O383)</f>
      </c>
      <c r="I27" s="20">
        <f>MAX(Steel!H366:H383)</f>
      </c>
      <c r="J27" s="21">
        <f>IF(I27&lt;=epsy,phi_c,IF(I27&gt;=ept_lim,phi_t,phi_c+(phi_t-phi_c)*(I27-epsy)/(ept_lim-epsy)))</f>
      </c>
      <c r="K27">
        <f>IF(I27&lt;=epsy,"compression",IF(I27&gt;=ept_lim,"tension","transition"))</f>
      </c>
      <c r="L27" s="12">
        <f>J27*F27</f>
      </c>
      <c r="M27" s="12">
        <f>J27*G27</f>
      </c>
      <c r="N27" s="12">
        <f>J27*H27</f>
      </c>
      <c r="O27" s="18">
        <v>5092.34802547863</v>
      </c>
      <c r="P27" s="19">
        <f>L27-O27</f>
      </c>
    </row>
    <row r="28" spans="2:16" x14ac:dyDescent="0.25">
      <c r="B28">
        <v>22</v>
      </c>
      <c r="C28" s="12">
        <f>Block!C27</f>
      </c>
      <c r="D28" s="12">
        <f>Block!J27</f>
      </c>
      <c r="E28" s="12">
        <f>SUM(Steel!M384:M401)</f>
      </c>
      <c r="F28" s="12">
        <f>D28+E28</f>
      </c>
      <c r="G28" s="12">
        <f>Block!K27+SUM(Steel!N384:N401)</f>
      </c>
      <c r="H28" s="12">
        <f>Block!L27+SUM(Steel!O384:O401)</f>
      </c>
      <c r="I28" s="20">
        <f>MAX(Steel!H384:H401)</f>
      </c>
      <c r="J28" s="21">
        <f>IF(I28&lt;=epsy,phi_c,IF(I28&gt;=ept_lim,phi_t,phi_c+(phi_t-phi_c)*(I28-epsy)/(ept_lim-epsy)))</f>
      </c>
      <c r="K28">
        <f>IF(I28&lt;=epsy,"compression",IF(I28&gt;=ept_lim,"tension","transition"))</f>
      </c>
      <c r="L28" s="12">
        <f>J28*F28</f>
      </c>
      <c r="M28" s="12">
        <f>J28*G28</f>
      </c>
      <c r="N28" s="12">
        <f>J28*H28</f>
      </c>
      <c r="O28" s="18">
        <v>4551.972183619799</v>
      </c>
      <c r="P28" s="19">
        <f>L28-O28</f>
      </c>
    </row>
    <row r="29" spans="2:16" x14ac:dyDescent="0.25">
      <c r="B29">
        <v>23</v>
      </c>
      <c r="C29" s="12">
        <f>Block!C28</f>
      </c>
      <c r="D29" s="12">
        <f>Block!J28</f>
      </c>
      <c r="E29" s="12">
        <f>SUM(Steel!M402:M419)</f>
      </c>
      <c r="F29" s="12">
        <f>D29+E29</f>
      </c>
      <c r="G29" s="12">
        <f>Block!K28+SUM(Steel!N402:N419)</f>
      </c>
      <c r="H29" s="12">
        <f>Block!L28+SUM(Steel!O402:O419)</f>
      </c>
      <c r="I29" s="20">
        <f>MAX(Steel!H402:H419)</f>
      </c>
      <c r="J29" s="21">
        <f>IF(I29&lt;=epsy,phi_c,IF(I29&gt;=ept_lim,phi_t,phi_c+(phi_t-phi_c)*(I29-epsy)/(ept_lim-epsy)))</f>
      </c>
      <c r="K29">
        <f>IF(I29&lt;=epsy,"compression",IF(I29&gt;=ept_lim,"tension","transition"))</f>
      </c>
      <c r="L29" s="12">
        <f>J29*F29</f>
      </c>
      <c r="M29" s="12">
        <f>J29*G29</f>
      </c>
      <c r="N29" s="12">
        <f>J29*H29</f>
      </c>
      <c r="O29" s="18">
        <v>3686.432922991387</v>
      </c>
      <c r="P29" s="19">
        <f>L29-O29</f>
      </c>
    </row>
    <row r="30" spans="2:16" x14ac:dyDescent="0.25">
      <c r="B30">
        <v>24</v>
      </c>
      <c r="C30" s="12">
        <f>Block!C29</f>
      </c>
      <c r="D30" s="12">
        <f>Block!J29</f>
      </c>
      <c r="E30" s="12">
        <f>SUM(Steel!M420:M437)</f>
      </c>
      <c r="F30" s="12">
        <f>D30+E30</f>
      </c>
      <c r="G30" s="12">
        <f>Block!K29+SUM(Steel!N420:N437)</f>
      </c>
      <c r="H30" s="12">
        <f>Block!L29+SUM(Steel!O420:O437)</f>
      </c>
      <c r="I30" s="20">
        <f>MAX(Steel!H420:H437)</f>
      </c>
      <c r="J30" s="21">
        <f>IF(I30&lt;=epsy,phi_c,IF(I30&gt;=ept_lim,phi_t,phi_c+(phi_t-phi_c)*(I30-epsy)/(ept_lim-epsy)))</f>
      </c>
      <c r="K30">
        <f>IF(I30&lt;=epsy,"compression",IF(I30&gt;=ept_lim,"tension","transition"))</f>
      </c>
      <c r="L30" s="12">
        <f>J30*F30</f>
      </c>
      <c r="M30" s="12">
        <f>J30*G30</f>
      </c>
      <c r="N30" s="12">
        <f>J30*H30</f>
      </c>
      <c r="O30" s="18">
        <v>2976.44319731362</v>
      </c>
      <c r="P30" s="19">
        <f>L30-O30</f>
      </c>
    </row>
    <row r="31" spans="2:16" x14ac:dyDescent="0.25">
      <c r="B31">
        <v>25</v>
      </c>
      <c r="C31" s="12">
        <f>Block!C30</f>
      </c>
      <c r="D31" s="12">
        <f>Block!J30</f>
      </c>
      <c r="E31" s="12">
        <f>SUM(Steel!M438:M455)</f>
      </c>
      <c r="F31" s="12">
        <f>D31+E31</f>
      </c>
      <c r="G31" s="12">
        <f>Block!K30+SUM(Steel!N438:N455)</f>
      </c>
      <c r="H31" s="12">
        <f>Block!L30+SUM(Steel!O438:O455)</f>
      </c>
      <c r="I31" s="20">
        <f>MAX(Steel!H438:H455)</f>
      </c>
      <c r="J31" s="21">
        <f>IF(I31&lt;=epsy,phi_c,IF(I31&gt;=ept_lim,phi_t,phi_c+(phi_t-phi_c)*(I31-epsy)/(ept_lim-epsy)))</f>
      </c>
      <c r="K31">
        <f>IF(I31&lt;=epsy,"compression",IF(I31&gt;=ept_lim,"tension","transition"))</f>
      </c>
      <c r="L31" s="12">
        <f>J31*F31</f>
      </c>
      <c r="M31" s="12">
        <f>J31*G31</f>
      </c>
      <c r="N31" s="12">
        <f>J31*H31</f>
      </c>
      <c r="O31" s="18">
        <v>2349.8079622483024</v>
      </c>
      <c r="P31" s="19">
        <f>L31-O31</f>
      </c>
    </row>
    <row r="32" spans="2:16" x14ac:dyDescent="0.25">
      <c r="B32">
        <v>26</v>
      </c>
      <c r="C32" s="12">
        <f>Block!C31</f>
      </c>
      <c r="D32" s="12">
        <f>Block!J31</f>
      </c>
      <c r="E32" s="12">
        <f>SUM(Steel!M456:M473)</f>
      </c>
      <c r="F32" s="12">
        <f>D32+E32</f>
      </c>
      <c r="G32" s="12">
        <f>Block!K31+SUM(Steel!N456:N473)</f>
      </c>
      <c r="H32" s="12">
        <f>Block!L31+SUM(Steel!O456:O473)</f>
      </c>
      <c r="I32" s="20">
        <f>MAX(Steel!H456:H473)</f>
      </c>
      <c r="J32" s="21">
        <f>IF(I32&lt;=epsy,phi_c,IF(I32&gt;=ept_lim,phi_t,phi_c+(phi_t-phi_c)*(I32-epsy)/(ept_lim-epsy)))</f>
      </c>
      <c r="K32">
        <f>IF(I32&lt;=epsy,"compression",IF(I32&gt;=ept_lim,"tension","transition"))</f>
      </c>
      <c r="L32" s="12">
        <f>J32*F32</f>
      </c>
      <c r="M32" s="12">
        <f>J32*G32</f>
      </c>
      <c r="N32" s="12">
        <f>J32*H32</f>
      </c>
      <c r="O32" s="18">
        <v>1241.7204652609068</v>
      </c>
      <c r="P32" s="19">
        <f>L32-O32</f>
      </c>
    </row>
    <row r="33" spans="2:16" x14ac:dyDescent="0.25">
      <c r="B33">
        <v>27</v>
      </c>
      <c r="C33" s="12">
        <f>Block!C32</f>
      </c>
      <c r="D33" s="12">
        <f>Block!J32</f>
      </c>
      <c r="E33" s="12">
        <f>SUM(Steel!M474:M491)</f>
      </c>
      <c r="F33" s="12">
        <f>D33+E33</f>
      </c>
      <c r="G33" s="12">
        <f>Block!K32+SUM(Steel!N474:N491)</f>
      </c>
      <c r="H33" s="12">
        <f>Block!L32+SUM(Steel!O474:O491)</f>
      </c>
      <c r="I33" s="20">
        <f>MAX(Steel!H474:H491)</f>
      </c>
      <c r="J33" s="21">
        <f>IF(I33&lt;=epsy,phi_c,IF(I33&gt;=ept_lim,phi_t,phi_c+(phi_t-phi_c)*(I33-epsy)/(ept_lim-epsy)))</f>
      </c>
      <c r="K33">
        <f>IF(I33&lt;=epsy,"compression",IF(I33&gt;=ept_lim,"tension","transition"))</f>
      </c>
      <c r="L33" s="12">
        <f>J33*F33</f>
      </c>
      <c r="M33" s="12">
        <f>J33*G33</f>
      </c>
      <c r="N33" s="12">
        <f>J33*H33</f>
      </c>
      <c r="O33" s="18">
        <v>288.8464546408045</v>
      </c>
      <c r="P33" s="19">
        <f>L33-O33</f>
      </c>
    </row>
    <row r="34" spans="2:16" x14ac:dyDescent="0.25">
      <c r="B34">
        <v>28</v>
      </c>
      <c r="C34" s="12">
        <f>Block!C33</f>
      </c>
      <c r="D34" s="12">
        <f>Block!J33</f>
      </c>
      <c r="E34" s="12">
        <f>SUM(Steel!M492:M509)</f>
      </c>
      <c r="F34" s="12">
        <f>D34+E34</f>
      </c>
      <c r="G34" s="12">
        <f>Block!K33+SUM(Steel!N492:N509)</f>
      </c>
      <c r="H34" s="12">
        <f>Block!L33+SUM(Steel!O492:O509)</f>
      </c>
      <c r="I34" s="20">
        <f>MAX(Steel!H492:H509)</f>
      </c>
      <c r="J34" s="21">
        <f>IF(I34&lt;=epsy,phi_c,IF(I34&gt;=ept_lim,phi_t,phi_c+(phi_t-phi_c)*(I34-epsy)/(ept_lim-epsy)))</f>
      </c>
      <c r="K34">
        <f>IF(I34&lt;=epsy,"compression",IF(I34&gt;=ept_lim,"tension","transition"))</f>
      </c>
      <c r="L34" s="12">
        <f>J34*F34</f>
      </c>
      <c r="M34" s="12">
        <f>J34*G34</f>
      </c>
      <c r="N34" s="12">
        <f>J34*H34</f>
      </c>
      <c r="O34" s="18">
        <v>-526.2233722366203</v>
      </c>
      <c r="P34" s="19">
        <f>L34-O34</f>
      </c>
    </row>
    <row r="35" spans="2:16" x14ac:dyDescent="0.25">
      <c r="B35">
        <v>29</v>
      </c>
      <c r="C35" s="12">
        <f>Block!C34</f>
      </c>
      <c r="D35" s="12">
        <f>Block!J34</f>
      </c>
      <c r="E35" s="12">
        <f>SUM(Steel!M510:M527)</f>
      </c>
      <c r="F35" s="12">
        <f>D35+E35</f>
      </c>
      <c r="G35" s="12">
        <f>Block!K34+SUM(Steel!N510:N527)</f>
      </c>
      <c r="H35" s="12">
        <f>Block!L34+SUM(Steel!O510:O527)</f>
      </c>
      <c r="I35" s="20">
        <f>MAX(Steel!H510:H527)</f>
      </c>
      <c r="J35" s="21">
        <f>IF(I35&lt;=epsy,phi_c,IF(I35&gt;=ept_lim,phi_t,phi_c+(phi_t-phi_c)*(I35-epsy)/(ept_lim-epsy)))</f>
      </c>
      <c r="K35">
        <f>IF(I35&lt;=epsy,"compression",IF(I35&gt;=ept_lim,"tension","transition"))</f>
      </c>
      <c r="L35" s="12">
        <f>J35*F35</f>
      </c>
      <c r="M35" s="12">
        <f>J35*G35</f>
      </c>
      <c r="N35" s="12">
        <f>J35*H35</f>
      </c>
      <c r="O35" s="18">
        <v>-1185.5245906956834</v>
      </c>
      <c r="P35" s="19">
        <f>L35-O35</f>
      </c>
    </row>
    <row r="36" spans="2:16" x14ac:dyDescent="0.25">
      <c r="B36">
        <v>30</v>
      </c>
      <c r="C36" s="12">
        <f>Block!C35</f>
      </c>
      <c r="D36" s="12">
        <f>Block!J35</f>
      </c>
      <c r="E36" s="12">
        <f>SUM(Steel!M528:M545)</f>
      </c>
      <c r="F36" s="12">
        <f>D36+E36</f>
      </c>
      <c r="G36" s="12">
        <f>Block!K35+SUM(Steel!N528:N545)</f>
      </c>
      <c r="H36" s="12">
        <f>Block!L35+SUM(Steel!O528:O545)</f>
      </c>
      <c r="I36" s="20">
        <f>MAX(Steel!H528:H545)</f>
      </c>
      <c r="J36" s="21">
        <f>IF(I36&lt;=epsy,phi_c,IF(I36&gt;=ept_lim,phi_t,phi_c+(phi_t-phi_c)*(I36-epsy)/(ept_lim-epsy)))</f>
      </c>
      <c r="K36">
        <f>IF(I36&lt;=epsy,"compression",IF(I36&gt;=ept_lim,"tension","transition"))</f>
      </c>
      <c r="L36" s="12">
        <f>J36*F36</f>
      </c>
      <c r="M36" s="12">
        <f>J36*G36</f>
      </c>
      <c r="N36" s="12">
        <f>J36*H36</f>
      </c>
      <c r="O36" s="18">
        <v>-2234.1900028895084</v>
      </c>
      <c r="P36" s="19">
        <f>L36-O36</f>
      </c>
    </row>
    <row r="37" spans="2:16" x14ac:dyDescent="0.25">
      <c r="B37">
        <v>31</v>
      </c>
      <c r="C37" s="12">
        <f>Block!C36</f>
      </c>
      <c r="D37" s="12">
        <f>Block!J36</f>
      </c>
      <c r="E37" s="12">
        <f>SUM(Steel!M546:M563)</f>
      </c>
      <c r="F37" s="12">
        <f>D37+E37</f>
      </c>
      <c r="G37" s="12">
        <f>Block!K36+SUM(Steel!N546:N563)</f>
      </c>
      <c r="H37" s="12">
        <f>Block!L36+SUM(Steel!O546:O563)</f>
      </c>
      <c r="I37" s="20">
        <f>MAX(Steel!H546:H563)</f>
      </c>
      <c r="J37" s="21">
        <f>IF(I37&lt;=epsy,phi_c,IF(I37&gt;=ept_lim,phi_t,phi_c+(phi_t-phi_c)*(I37-epsy)/(ept_lim-epsy)))</f>
      </c>
      <c r="K37">
        <f>IF(I37&lt;=epsy,"compression",IF(I37&gt;=ept_lim,"tension","transition"))</f>
      </c>
      <c r="L37" s="12">
        <f>J37*F37</f>
      </c>
      <c r="M37" s="12">
        <f>J37*G37</f>
      </c>
      <c r="N37" s="12">
        <f>J37*H37</f>
      </c>
      <c r="O37" s="18">
        <v>-2902.465780518209</v>
      </c>
      <c r="P37" s="19">
        <f>L37-O37</f>
      </c>
    </row>
    <row r="38" spans="2:16" x14ac:dyDescent="0.25">
      <c r="B38">
        <v>32</v>
      </c>
      <c r="C38" s="12">
        <f>Block!C37</f>
      </c>
      <c r="D38" s="12">
        <f>Block!J37</f>
      </c>
      <c r="E38" s="12">
        <f>SUM(Steel!M564:M581)</f>
      </c>
      <c r="F38" s="12">
        <f>D38+E38</f>
      </c>
      <c r="G38" s="12">
        <f>Block!K37+SUM(Steel!N564:N581)</f>
      </c>
      <c r="H38" s="12">
        <f>Block!L37+SUM(Steel!O564:O581)</f>
      </c>
      <c r="I38" s="20">
        <f>MAX(Steel!H564:H581)</f>
      </c>
      <c r="J38" s="21">
        <f>IF(I38&lt;=epsy,phi_c,IF(I38&gt;=ept_lim,phi_t,phi_c+(phi_t-phi_c)*(I38-epsy)/(ept_lim-epsy)))</f>
      </c>
      <c r="K38">
        <f>IF(I38&lt;=epsy,"compression",IF(I38&gt;=ept_lim,"tension","transition"))</f>
      </c>
      <c r="L38" s="12">
        <f>J38*F38</f>
      </c>
      <c r="M38" s="12">
        <f>J38*G38</f>
      </c>
      <c r="N38" s="12">
        <f>J38*H38</f>
      </c>
      <c r="O38" s="18">
        <v>-3719.852888289968</v>
      </c>
      <c r="P38" s="19">
        <f>L38-O38</f>
      </c>
    </row>
    <row r="39" spans="2:16" x14ac:dyDescent="0.25">
      <c r="B39">
        <v>33</v>
      </c>
      <c r="C39" s="12">
        <f>Block!C38</f>
      </c>
      <c r="D39" s="12">
        <f>Block!J38</f>
      </c>
      <c r="E39" s="12">
        <f>SUM(Steel!M582:M599)</f>
      </c>
      <c r="F39" s="12">
        <f>D39+E39</f>
      </c>
      <c r="G39" s="12">
        <f>Block!K38+SUM(Steel!N582:N599)</f>
      </c>
      <c r="H39" s="12">
        <f>Block!L38+SUM(Steel!O582:O599)</f>
      </c>
      <c r="I39" s="20">
        <f>MAX(Steel!H582:H599)</f>
      </c>
      <c r="J39" s="21">
        <f>IF(I39&lt;=epsy,phi_c,IF(I39&gt;=ept_lim,phi_t,phi_c+(phi_t-phi_c)*(I39-epsy)/(ept_lim-epsy)))</f>
      </c>
      <c r="K39">
        <f>IF(I39&lt;=epsy,"compression",IF(I39&gt;=ept_lim,"tension","transition"))</f>
      </c>
      <c r="L39" s="12">
        <f>J39*F39</f>
      </c>
      <c r="M39" s="12">
        <f>J39*G39</f>
      </c>
      <c r="N39" s="12">
        <f>J39*H39</f>
      </c>
      <c r="O39" s="18">
        <v>-4125.061666977994</v>
      </c>
      <c r="P39" s="19">
        <f>L39-O39</f>
      </c>
    </row>
    <row r="40" spans="2:16" x14ac:dyDescent="0.25">
      <c r="B40">
        <v>34</v>
      </c>
      <c r="C40" s="12">
        <f>Block!C39</f>
      </c>
      <c r="D40" s="12">
        <f>Block!J39</f>
      </c>
      <c r="E40" s="12">
        <f>SUM(Steel!M600:M617)</f>
      </c>
      <c r="F40" s="12">
        <f>D40+E40</f>
      </c>
      <c r="G40" s="12">
        <f>Block!K39+SUM(Steel!N600:N617)</f>
      </c>
      <c r="H40" s="12">
        <f>Block!L39+SUM(Steel!O600:O617)</f>
      </c>
      <c r="I40" s="20">
        <f>MAX(Steel!H600:H617)</f>
      </c>
      <c r="J40" s="21">
        <f>IF(I40&lt;=epsy,phi_c,IF(I40&gt;=ept_lim,phi_t,phi_c+(phi_t-phi_c)*(I40-epsy)/(ept_lim-epsy)))</f>
      </c>
      <c r="K40">
        <f>IF(I40&lt;=epsy,"compression",IF(I40&gt;=ept_lim,"tension","transition"))</f>
      </c>
      <c r="L40" s="12">
        <f>J40*F40</f>
      </c>
      <c r="M40" s="12">
        <f>J40*G40</f>
      </c>
      <c r="N40" s="12">
        <f>J40*H40</f>
      </c>
      <c r="O40" s="18">
        <v>-4617.20958817048</v>
      </c>
      <c r="P40" s="19">
        <f>L40-O40</f>
      </c>
    </row>
    <row r="41" spans="2:16" x14ac:dyDescent="0.25">
      <c r="B41">
        <v>35</v>
      </c>
      <c r="C41" s="12">
        <f>Block!C40</f>
      </c>
      <c r="D41" s="12">
        <f>Block!J40</f>
      </c>
      <c r="E41" s="12">
        <f>SUM(Steel!M618:M635)</f>
      </c>
      <c r="F41" s="12">
        <f>D41+E41</f>
      </c>
      <c r="G41" s="12">
        <f>Block!K40+SUM(Steel!N618:N635)</f>
      </c>
      <c r="H41" s="12">
        <f>Block!L40+SUM(Steel!O618:O635)</f>
      </c>
      <c r="I41" s="20">
        <f>MAX(Steel!H618:H635)</f>
      </c>
      <c r="J41" s="21">
        <f>IF(I41&lt;=epsy,phi_c,IF(I41&gt;=ept_lim,phi_t,phi_c+(phi_t-phi_c)*(I41-epsy)/(ept_lim-epsy)))</f>
      </c>
      <c r="K41">
        <f>IF(I41&lt;=epsy,"compression",IF(I41&gt;=ept_lim,"tension","transition"))</f>
      </c>
      <c r="L41" s="12">
        <f>J41*F41</f>
      </c>
      <c r="M41" s="12">
        <f>J41*G41</f>
      </c>
      <c r="N41" s="12">
        <f>J41*H41</f>
      </c>
      <c r="O41" s="18">
        <v>-4815.937325645018</v>
      </c>
      <c r="P41" s="19">
        <f>L41-O41</f>
      </c>
    </row>
    <row r="43" spans="2:16" x14ac:dyDescent="0.25">
      <c r="B43" s="13" t="s">
        <v>222</v>
      </c>
      <c r="L43">
        <f>IF(P43&lt;=0.000001*MAX(ABS(O7:O41)),"OK - the sheet reproduces the design resultants","CHECK - the sheet and the solver disagree")</f>
      </c>
      <c r="P43" s="19">
        <f>MAX(ABS(P7:P41))</f>
      </c>
    </row>
  </sheetData>
  <mergeCells count="2">
    <mergeCell ref="B1:O1"/>
    <mergeCell ref="B2:Q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23"/>
  <sheetViews>
    <sheetView workbookViewId="0">
      <pane xSplit="1" ySplit="7" topLeftCell="B8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0" customWidth="1"/>
    <col min="3" max="3" width="12" customWidth="1"/>
    <col min="4" max="15" width="14" customWidth="1"/>
  </cols>
  <sheetData>
    <row r="1" ht="22" customHeight="1" spans="2:14" x14ac:dyDescent="0.25">
      <c r="B1" s="1" t="s">
        <v>223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0" customHeight="1" spans="2:14" x14ac:dyDescent="0.25">
      <c r="B2" s="2" t="s">
        <v>224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7" ht="28" customHeight="1" spans="2:14" x14ac:dyDescent="0.25">
      <c r="B7" s="11" t="s">
        <v>225</v>
      </c>
      <c r="C7" s="11" t="s">
        <v>226</v>
      </c>
      <c r="D7" s="11" t="s">
        <v>227</v>
      </c>
      <c r="E7" s="11" t="s">
        <v>228</v>
      </c>
      <c r="F7" s="11" t="s">
        <v>206</v>
      </c>
      <c r="G7" s="11" t="s">
        <v>207</v>
      </c>
      <c r="H7" s="11" t="s">
        <v>229</v>
      </c>
      <c r="I7" s="11" t="s">
        <v>230</v>
      </c>
      <c r="J7" s="11" t="s">
        <v>231</v>
      </c>
      <c r="K7" s="11" t="s">
        <v>232</v>
      </c>
      <c r="L7" s="11" t="s">
        <v>233</v>
      </c>
      <c r="M7" s="11" t="s">
        <v>234</v>
      </c>
      <c r="N7" s="11" t="s">
        <v>235</v>
      </c>
    </row>
    <row r="8" spans="2:14" x14ac:dyDescent="0.25">
      <c r="B8">
        <v>1</v>
      </c>
      <c r="C8">
        <v>0</v>
      </c>
      <c r="D8">
        <v>1</v>
      </c>
      <c r="E8" s="18">
        <v>17297.339801581686</v>
      </c>
      <c r="F8" s="18">
        <v>-2.9057264328002935e-14</v>
      </c>
      <c r="G8" s="18">
        <v>2904.939586118021</v>
      </c>
      <c r="H8" s="12">
        <f>E9</f>
      </c>
      <c r="I8" s="12">
        <f>F9</f>
      </c>
      <c r="J8" s="12">
        <f>G9</f>
      </c>
      <c r="K8">
        <f>IF(AND(Pu&gt;=MIN(E8,H8),Pu&lt;=MAX(E8,H8),E8&lt;&gt;H8),1,0)</f>
      </c>
      <c r="L8">
        <f>IF(K8=1,(Pu-E8)/(H8-E8),"")</f>
      </c>
      <c r="M8" s="12">
        <f>IF(K8=1,F8+L8*(I8-F8),"")</f>
      </c>
      <c r="N8" s="12">
        <f>IF(K8=1,G8+L8*(J8-G8),"")</f>
      </c>
    </row>
    <row r="9" spans="2:14" x14ac:dyDescent="0.25">
      <c r="B9">
        <v>1</v>
      </c>
      <c r="C9">
        <v>0</v>
      </c>
      <c r="D9">
        <v>2</v>
      </c>
      <c r="E9" s="18">
        <v>16729.912727771847</v>
      </c>
      <c r="F9" s="18">
        <v>4.842877388000488e-14</v>
      </c>
      <c r="G9" s="18">
        <v>3174.4158204826354</v>
      </c>
      <c r="H9" s="12">
        <f>E10</f>
      </c>
      <c r="I9" s="12">
        <f>F10</f>
      </c>
      <c r="J9" s="12">
        <f>G10</f>
      </c>
      <c r="K9">
        <f>IF(AND(Pu&gt;=MIN(E9,H9),Pu&lt;=MAX(E9,H9),E9&lt;&gt;H9),1,0)</f>
      </c>
      <c r="L9">
        <f>IF(K9=1,(Pu-E9)/(H9-E9),"")</f>
      </c>
      <c r="M9" s="12">
        <f>IF(K9=1,F9+L9*(I9-F9),"")</f>
      </c>
      <c r="N9" s="12">
        <f>IF(K9=1,G9+L9*(J9-G9),"")</f>
      </c>
    </row>
    <row r="10" spans="2:14" x14ac:dyDescent="0.25">
      <c r="B10">
        <v>1</v>
      </c>
      <c r="C10">
        <v>0</v>
      </c>
      <c r="D10">
        <v>3</v>
      </c>
      <c r="E10" s="18">
        <v>16022.71723703223</v>
      </c>
      <c r="F10" s="18">
        <v>4.842877388000488e-14</v>
      </c>
      <c r="G10" s="18">
        <v>3472.693598959742</v>
      </c>
      <c r="H10" s="12">
        <f>E11</f>
      </c>
      <c r="I10" s="12">
        <f>F11</f>
      </c>
      <c r="J10" s="12">
        <f>G11</f>
      </c>
      <c r="K10">
        <f>IF(AND(Pu&gt;=MIN(E10,H10),Pu&lt;=MAX(E10,H10),E10&lt;&gt;H10),1,0)</f>
      </c>
      <c r="L10">
        <f>IF(K10=1,(Pu-E10)/(H10-E10),"")</f>
      </c>
      <c r="M10" s="12">
        <f>IF(K10=1,F10+L10*(I10-F10),"")</f>
      </c>
      <c r="N10" s="12">
        <f>IF(K10=1,G10+L10*(J10-G10),"")</f>
      </c>
    </row>
    <row r="11" spans="2:14" x14ac:dyDescent="0.25">
      <c r="B11">
        <v>1</v>
      </c>
      <c r="C11">
        <v>0</v>
      </c>
      <c r="D11">
        <v>4</v>
      </c>
      <c r="E11" s="18">
        <v>15292.219635048315</v>
      </c>
      <c r="F11" s="18">
        <v>3.5322736948728565e-13</v>
      </c>
      <c r="G11" s="18">
        <v>3729.143103246616</v>
      </c>
      <c r="H11" s="12">
        <f>E12</f>
      </c>
      <c r="I11" s="12">
        <f>F12</f>
      </c>
      <c r="J11" s="12">
        <f>G12</f>
      </c>
      <c r="K11">
        <f>IF(AND(Pu&gt;=MIN(E11,H11),Pu&lt;=MAX(E11,H11),E11&lt;&gt;H11),1,0)</f>
      </c>
      <c r="L11">
        <f>IF(K11=1,(Pu-E11)/(H11-E11),"")</f>
      </c>
      <c r="M11" s="12">
        <f>IF(K11=1,F11+L11*(I11-F11),"")</f>
      </c>
      <c r="N11" s="12">
        <f>IF(K11=1,G11+L11*(J11-G11),"")</f>
      </c>
    </row>
    <row r="12" spans="2:14" x14ac:dyDescent="0.25">
      <c r="B12">
        <v>1</v>
      </c>
      <c r="C12">
        <v>0</v>
      </c>
      <c r="D12">
        <v>5</v>
      </c>
      <c r="E12" s="18">
        <v>13975.53143193564</v>
      </c>
      <c r="F12" s="18">
        <v>1.743435859680176e-13</v>
      </c>
      <c r="G12" s="18">
        <v>4103.448613066528</v>
      </c>
      <c r="H12" s="12">
        <f>E13</f>
      </c>
      <c r="I12" s="12">
        <f>F13</f>
      </c>
      <c r="J12" s="12">
        <f>G13</f>
      </c>
      <c r="K12">
        <f>IF(AND(Pu&gt;=MIN(E12,H12),Pu&lt;=MAX(E12,H12),E12&lt;&gt;H12),1,0)</f>
      </c>
      <c r="L12">
        <f>IF(K12=1,(Pu-E12)/(H12-E12),"")</f>
      </c>
      <c r="M12" s="12">
        <f>IF(K12=1,F12+L12*(I12-F12),"")</f>
      </c>
      <c r="N12" s="12">
        <f>IF(K12=1,G12+L12*(J12-G12),"")</f>
      </c>
    </row>
    <row r="13" spans="2:14" x14ac:dyDescent="0.25">
      <c r="B13">
        <v>1</v>
      </c>
      <c r="C13">
        <v>0</v>
      </c>
      <c r="D13">
        <v>6</v>
      </c>
      <c r="E13" s="18">
        <v>11846.560160231176</v>
      </c>
      <c r="F13" s="18">
        <v>9.685754776000977e-15</v>
      </c>
      <c r="G13" s="18">
        <v>4476.675218242387</v>
      </c>
      <c r="H13" s="12">
        <f>E14</f>
      </c>
      <c r="I13" s="12">
        <f>F14</f>
      </c>
      <c r="J13" s="12">
        <f>G14</f>
      </c>
      <c r="K13">
        <f>IF(AND(Pu&gt;=MIN(E13,H13),Pu&lt;=MAX(E13,H13),E13&lt;&gt;H13),1,0)</f>
      </c>
      <c r="L13">
        <f>IF(K13=1,(Pu-E13)/(H13-E13),"")</f>
      </c>
      <c r="M13" s="12">
        <f>IF(K13=1,F13+L13*(I13-F13),"")</f>
      </c>
      <c r="N13" s="12">
        <f>IF(K13=1,G13+L13*(J13-G13),"")</f>
      </c>
    </row>
    <row r="14" spans="2:14" x14ac:dyDescent="0.25">
      <c r="B14">
        <v>1</v>
      </c>
      <c r="C14">
        <v>0</v>
      </c>
      <c r="D14">
        <v>7</v>
      </c>
      <c r="E14" s="18">
        <v>9888.847323308555</v>
      </c>
      <c r="F14" s="18">
        <v>9.685754776000977e-15</v>
      </c>
      <c r="G14" s="18">
        <v>4705.730394301221</v>
      </c>
      <c r="H14" s="12">
        <f>E15</f>
      </c>
      <c r="I14" s="12">
        <f>F15</f>
      </c>
      <c r="J14" s="12">
        <f>G15</f>
      </c>
      <c r="K14">
        <f>IF(AND(Pu&gt;=MIN(E14,H14),Pu&lt;=MAX(E14,H14),E14&lt;&gt;H14),1,0)</f>
      </c>
      <c r="L14">
        <f>IF(K14=1,(Pu-E14)/(H14-E14),"")</f>
      </c>
      <c r="M14" s="12">
        <f>IF(K14=1,F14+L14*(I14-F14),"")</f>
      </c>
      <c r="N14" s="12">
        <f>IF(K14=1,G14+L14*(J14-G14),"")</f>
      </c>
    </row>
    <row r="15" spans="2:14" x14ac:dyDescent="0.25">
      <c r="B15">
        <v>1</v>
      </c>
      <c r="C15">
        <v>0</v>
      </c>
      <c r="D15">
        <v>8</v>
      </c>
      <c r="E15" s="18">
        <v>8968.920285263712</v>
      </c>
      <c r="F15" s="18">
        <v>1.743435859680176e-13</v>
      </c>
      <c r="G15" s="18">
        <v>4781.543944731383</v>
      </c>
      <c r="H15" s="12">
        <f>E16</f>
      </c>
      <c r="I15" s="12">
        <f>F16</f>
      </c>
      <c r="J15" s="12">
        <f>G16</f>
      </c>
      <c r="K15">
        <f>IF(AND(Pu&gt;=MIN(E15,H15),Pu&lt;=MAX(E15,H15),E15&lt;&gt;H15),1,0)</f>
      </c>
      <c r="L15">
        <f>IF(K15=1,(Pu-E15)/(H15-E15),"")</f>
      </c>
      <c r="M15" s="12">
        <f>IF(K15=1,F15+L15*(I15-F15),"")</f>
      </c>
      <c r="N15" s="12">
        <f>IF(K15=1,G15+L15*(J15-G15),"")</f>
      </c>
    </row>
    <row r="16" spans="2:14" x14ac:dyDescent="0.25">
      <c r="B16">
        <v>1</v>
      </c>
      <c r="C16">
        <v>0</v>
      </c>
      <c r="D16">
        <v>9</v>
      </c>
      <c r="E16" s="18">
        <v>8450.330106614008</v>
      </c>
      <c r="F16" s="18">
        <v>-1.3879007763332792e-13</v>
      </c>
      <c r="G16" s="18">
        <v>4876.4240019138215</v>
      </c>
      <c r="H16" s="12">
        <f>E17</f>
      </c>
      <c r="I16" s="12">
        <f>F17</f>
      </c>
      <c r="J16" s="12">
        <f>G17</f>
      </c>
      <c r="K16">
        <f>IF(AND(Pu&gt;=MIN(E16,H16),Pu&lt;=MAX(E16,H16),E16&lt;&gt;H16),1,0)</f>
      </c>
      <c r="L16">
        <f>IF(K16=1,(Pu-E16)/(H16-E16),"")</f>
      </c>
      <c r="M16" s="12">
        <f>IF(K16=1,F16+L16*(I16-F16),"")</f>
      </c>
      <c r="N16" s="12">
        <f>IF(K16=1,G16+L16*(J16-G16),"")</f>
      </c>
    </row>
    <row r="17" spans="2:14" x14ac:dyDescent="0.25">
      <c r="B17">
        <v>1</v>
      </c>
      <c r="C17">
        <v>0</v>
      </c>
      <c r="D17">
        <v>10</v>
      </c>
      <c r="E17" s="18">
        <v>8128.747799260798</v>
      </c>
      <c r="F17" s="18">
        <v>1.0058283805847168e-14</v>
      </c>
      <c r="G17" s="18">
        <v>4928.9401559176595</v>
      </c>
      <c r="H17" s="12">
        <f>E18</f>
      </c>
      <c r="I17" s="12">
        <f>F18</f>
      </c>
      <c r="J17" s="12">
        <f>G18</f>
      </c>
      <c r="K17">
        <f>IF(AND(Pu&gt;=MIN(E17,H17),Pu&lt;=MAX(E17,H17),E17&lt;&gt;H17),1,0)</f>
      </c>
      <c r="L17">
        <f>IF(K17=1,(Pu-E17)/(H17-E17),"")</f>
      </c>
      <c r="M17" s="12">
        <f>IF(K17=1,F17+L17*(I17-F17),"")</f>
      </c>
      <c r="N17" s="12">
        <f>IF(K17=1,G17+L17*(J17-G17),"")</f>
      </c>
    </row>
    <row r="18" spans="2:14" x14ac:dyDescent="0.25">
      <c r="B18">
        <v>1</v>
      </c>
      <c r="C18">
        <v>0</v>
      </c>
      <c r="D18">
        <v>11</v>
      </c>
      <c r="E18" s="18">
        <v>7417.830399151904</v>
      </c>
      <c r="F18" s="18">
        <v>1.0387102762858074e-14</v>
      </c>
      <c r="G18" s="18">
        <v>5030.212884648077</v>
      </c>
      <c r="H18" s="12">
        <f>E19</f>
      </c>
      <c r="I18" s="12">
        <f>F19</f>
      </c>
      <c r="J18" s="12">
        <f>G19</f>
      </c>
      <c r="K18">
        <f>IF(AND(Pu&gt;=MIN(E18,H18),Pu&lt;=MAX(E18,H18),E18&lt;&gt;H18),1,0)</f>
      </c>
      <c r="L18">
        <f>IF(K18=1,(Pu-E18)/(H18-E18),"")</f>
      </c>
      <c r="M18" s="12">
        <f>IF(K18=1,F18+L18*(I18-F18),"")</f>
      </c>
      <c r="N18" s="12">
        <f>IF(K18=1,G18+L18*(J18-G18),"")</f>
      </c>
    </row>
    <row r="19" spans="2:14" x14ac:dyDescent="0.25">
      <c r="B19">
        <v>1</v>
      </c>
      <c r="C19">
        <v>0</v>
      </c>
      <c r="D19">
        <v>12</v>
      </c>
      <c r="E19" s="18">
        <v>7325.142058883315</v>
      </c>
      <c r="F19" s="18">
        <v>1.0430812835693359e-14</v>
      </c>
      <c r="G19" s="18">
        <v>5042.038033189336</v>
      </c>
      <c r="H19" s="12">
        <f>E20</f>
      </c>
      <c r="I19" s="12">
        <f>F20</f>
      </c>
      <c r="J19" s="12">
        <f>G20</f>
      </c>
      <c r="K19">
        <f>IF(AND(Pu&gt;=MIN(E19,H19),Pu&lt;=MAX(E19,H19),E19&lt;&gt;H19),1,0)</f>
      </c>
      <c r="L19">
        <f>IF(K19=1,(Pu-E19)/(H19-E19),"")</f>
      </c>
      <c r="M19" s="12">
        <f>IF(K19=1,F19+L19*(I19-F19),"")</f>
      </c>
      <c r="N19" s="12">
        <f>IF(K19=1,G19+L19*(J19-G19),"")</f>
      </c>
    </row>
    <row r="20" spans="2:14" x14ac:dyDescent="0.25">
      <c r="B20">
        <v>1</v>
      </c>
      <c r="C20">
        <v>0</v>
      </c>
      <c r="D20">
        <v>13</v>
      </c>
      <c r="E20" s="18">
        <v>6690.036525100961</v>
      </c>
      <c r="F20" s="18">
        <v>3.241002559661865e-14</v>
      </c>
      <c r="G20" s="18">
        <v>5152.029088310794</v>
      </c>
      <c r="H20" s="12">
        <f>E21</f>
      </c>
      <c r="I20" s="12">
        <f>F21</f>
      </c>
      <c r="J20" s="12">
        <f>G21</f>
      </c>
      <c r="K20">
        <f>IF(AND(Pu&gt;=MIN(E20,H20),Pu&lt;=MAX(E20,H20),E20&lt;&gt;H20),1,0)</f>
      </c>
      <c r="L20">
        <f>IF(K20=1,(Pu-E20)/(H20-E20),"")</f>
      </c>
      <c r="M20" s="12">
        <f>IF(K20=1,F20+L20*(I20-F20),"")</f>
      </c>
      <c r="N20" s="12">
        <f>IF(K20=1,G20+L20*(J20-G20),"")</f>
      </c>
    </row>
    <row r="21" spans="2:14" x14ac:dyDescent="0.25">
      <c r="B21">
        <v>1</v>
      </c>
      <c r="C21">
        <v>0</v>
      </c>
      <c r="D21">
        <v>14</v>
      </c>
      <c r="E21" s="18">
        <v>6651.42181816507</v>
      </c>
      <c r="F21" s="18">
        <v>1.0843195920906051e-14</v>
      </c>
      <c r="G21" s="18">
        <v>5167.311535405986</v>
      </c>
      <c r="H21" s="12">
        <f>E22</f>
      </c>
      <c r="I21" s="12">
        <f>F22</f>
      </c>
      <c r="J21" s="12">
        <f>G22</f>
      </c>
      <c r="K21">
        <f>IF(AND(Pu&gt;=MIN(E21,H21),Pu&lt;=MAX(E21,H21),E21&lt;&gt;H21),1,0)</f>
      </c>
      <c r="L21">
        <f>IF(K21=1,(Pu-E21)/(H21-E21),"")</f>
      </c>
      <c r="M21" s="12">
        <f>IF(K21=1,F21+L21*(I21-F21),"")</f>
      </c>
      <c r="N21" s="12">
        <f>IF(K21=1,G21+L21*(J21-G21),"")</f>
      </c>
    </row>
    <row r="22" spans="2:14" x14ac:dyDescent="0.25">
      <c r="B22">
        <v>1</v>
      </c>
      <c r="C22">
        <v>0</v>
      </c>
      <c r="D22">
        <v>15</v>
      </c>
      <c r="E22" s="18">
        <v>6387.769502061074</v>
      </c>
      <c r="F22" s="18">
        <v>-8.381903171539307e-14</v>
      </c>
      <c r="G22" s="18">
        <v>5278.757253356991</v>
      </c>
      <c r="H22" s="12">
        <f>E23</f>
      </c>
      <c r="I22" s="12">
        <f>F23</f>
      </c>
      <c r="J22" s="12">
        <f>G23</f>
      </c>
      <c r="K22">
        <f>IF(AND(Pu&gt;=MIN(E22,H22),Pu&lt;=MAX(E22,H22),E22&lt;&gt;H22),1,0)</f>
      </c>
      <c r="L22">
        <f>IF(K22=1,(Pu-E22)/(H22-E22),"")</f>
      </c>
      <c r="M22" s="12">
        <f>IF(K22=1,F22+L22*(I22-F22),"")</f>
      </c>
      <c r="N22" s="12">
        <f>IF(K22=1,G22+L22*(J22-G22),"")</f>
      </c>
    </row>
    <row r="23" spans="2:14" x14ac:dyDescent="0.25">
      <c r="B23">
        <v>1</v>
      </c>
      <c r="C23">
        <v>0</v>
      </c>
      <c r="D23">
        <v>16</v>
      </c>
      <c r="E23" s="18">
        <v>6315.864616696685</v>
      </c>
      <c r="F23" s="18">
        <v>1.1334154340955944e-14</v>
      </c>
      <c r="G23" s="18">
        <v>5333.448612364298</v>
      </c>
      <c r="H23" s="12">
        <f>E24</f>
      </c>
      <c r="I23" s="12">
        <f>F24</f>
      </c>
      <c r="J23" s="12">
        <f>G24</f>
      </c>
      <c r="K23">
        <f>IF(AND(Pu&gt;=MIN(E23,H23),Pu&lt;=MAX(E23,H23),E23&lt;&gt;H23),1,0)</f>
      </c>
      <c r="L23">
        <f>IF(K23=1,(Pu-E23)/(H23-E23),"")</f>
      </c>
      <c r="M23" s="12">
        <f>IF(K23=1,F23+L23*(I23-F23),"")</f>
      </c>
      <c r="N23" s="12">
        <f>IF(K23=1,G23+L23*(J23-G23),"")</f>
      </c>
    </row>
    <row r="24" spans="2:14" x14ac:dyDescent="0.25">
      <c r="B24">
        <v>1</v>
      </c>
      <c r="C24">
        <v>0</v>
      </c>
      <c r="D24">
        <v>17</v>
      </c>
      <c r="E24" s="18">
        <v>6186.480189423864</v>
      </c>
      <c r="F24" s="18">
        <v>-1.1548399925231933e-14</v>
      </c>
      <c r="G24" s="18">
        <v>5399.452569193414</v>
      </c>
      <c r="H24" s="12">
        <f>E25</f>
      </c>
      <c r="I24" s="12">
        <f>F25</f>
      </c>
      <c r="J24" s="12">
        <f>G25</f>
      </c>
      <c r="K24">
        <f>IF(AND(Pu&gt;=MIN(E24,H24),Pu&lt;=MAX(E24,H24),E24&lt;&gt;H24),1,0)</f>
      </c>
      <c r="L24">
        <f>IF(K24=1,(Pu-E24)/(H24-E24),"")</f>
      </c>
      <c r="M24" s="12">
        <f>IF(K24=1,F24+L24*(I24-F24),"")</f>
      </c>
      <c r="N24" s="12">
        <f>IF(K24=1,G24+L24*(J24-G24),"")</f>
      </c>
    </row>
    <row r="25" spans="2:14" x14ac:dyDescent="0.25">
      <c r="B25">
        <v>1</v>
      </c>
      <c r="C25">
        <v>0</v>
      </c>
      <c r="D25">
        <v>18</v>
      </c>
      <c r="E25" s="18">
        <v>5983.359187768942</v>
      </c>
      <c r="F25" s="18">
        <v>8.344650268554688e-14</v>
      </c>
      <c r="G25" s="18">
        <v>5515.81160532098</v>
      </c>
      <c r="H25" s="12">
        <f>E26</f>
      </c>
      <c r="I25" s="12">
        <f>F26</f>
      </c>
      <c r="J25" s="12">
        <f>G26</f>
      </c>
      <c r="K25">
        <f>IF(AND(Pu&gt;=MIN(E25,H25),Pu&lt;=MAX(E25,H25),E25&lt;&gt;H25),1,0)</f>
      </c>
      <c r="L25">
        <f>IF(K25=1,(Pu-E25)/(H25-E25),"")</f>
      </c>
      <c r="M25" s="12">
        <f>IF(K25=1,F25+L25*(I25-F25),"")</f>
      </c>
      <c r="N25" s="12">
        <f>IF(K25=1,G25+L25*(J25-G25),"")</f>
      </c>
    </row>
    <row r="26" spans="2:14" x14ac:dyDescent="0.25">
      <c r="B26">
        <v>1</v>
      </c>
      <c r="C26">
        <v>0</v>
      </c>
      <c r="D26">
        <v>19</v>
      </c>
      <c r="E26" s="18">
        <v>5796.696457440437</v>
      </c>
      <c r="F26" s="18">
        <v>-2.2106170654296875e-13</v>
      </c>
      <c r="G26" s="18">
        <v>5628.108710523913</v>
      </c>
      <c r="H26" s="12">
        <f>E27</f>
      </c>
      <c r="I26" s="12">
        <f>F27</f>
      </c>
      <c r="J26" s="12">
        <f>G27</f>
      </c>
      <c r="K26">
        <f>IF(AND(Pu&gt;=MIN(E26,H26),Pu&lt;=MAX(E26,H26),E26&lt;&gt;H26),1,0)</f>
      </c>
      <c r="L26">
        <f>IF(K26=1,(Pu-E26)/(H26-E26),"")</f>
      </c>
      <c r="M26" s="12">
        <f>IF(K26=1,F26+L26*(I26-F26),"")</f>
      </c>
      <c r="N26" s="12">
        <f>IF(K26=1,G26+L26*(J26-G26),"")</f>
      </c>
    </row>
    <row r="27" spans="2:14" x14ac:dyDescent="0.25">
      <c r="B27">
        <v>1</v>
      </c>
      <c r="C27">
        <v>0</v>
      </c>
      <c r="D27">
        <v>20</v>
      </c>
      <c r="E27" s="18">
        <v>5790.279802863845</v>
      </c>
      <c r="F27" s="18">
        <v>4.0568411350250246e-13</v>
      </c>
      <c r="G27" s="18">
        <v>5631.878733589163</v>
      </c>
      <c r="H27" s="12">
        <f>E28</f>
      </c>
      <c r="I27" s="12">
        <f>F28</f>
      </c>
      <c r="J27" s="12">
        <f>G28</f>
      </c>
      <c r="K27">
        <f>IF(AND(Pu&gt;=MIN(E27,H27),Pu&lt;=MAX(E27,H27),E27&lt;&gt;H27),1,0)</f>
      </c>
      <c r="L27">
        <f>IF(K27=1,(Pu-E27)/(H27-E27),"")</f>
      </c>
      <c r="M27" s="12">
        <f>IF(K27=1,F27+L27*(I27-F27),"")</f>
      </c>
      <c r="N27" s="12">
        <f>IF(K27=1,G27+L27*(J27-G27),"")</f>
      </c>
    </row>
    <row r="28" spans="2:14" x14ac:dyDescent="0.25">
      <c r="B28">
        <v>1</v>
      </c>
      <c r="C28">
        <v>0</v>
      </c>
      <c r="D28">
        <v>21</v>
      </c>
      <c r="E28" s="18">
        <v>5651.216252728246</v>
      </c>
      <c r="F28" s="18">
        <v>-3.799796104431152e-14</v>
      </c>
      <c r="G28" s="18">
        <v>5733.468299427717</v>
      </c>
      <c r="H28" s="12">
        <f>E29</f>
      </c>
      <c r="I28" s="12">
        <f>F29</f>
      </c>
      <c r="J28" s="12">
        <f>G29</f>
      </c>
      <c r="K28">
        <f>IF(AND(Pu&gt;=MIN(E28,H28),Pu&lt;=MAX(E28,H28),E28&lt;&gt;H28),1,0)</f>
      </c>
      <c r="L28">
        <f>IF(K28=1,(Pu-E28)/(H28-E28),"")</f>
      </c>
      <c r="M28" s="12">
        <f>IF(K28=1,F28+L28*(I28-F28),"")</f>
      </c>
      <c r="N28" s="12">
        <f>IF(K28=1,G28+L28*(J28-G28),"")</f>
      </c>
    </row>
    <row r="29" spans="2:14" x14ac:dyDescent="0.25">
      <c r="B29">
        <v>1</v>
      </c>
      <c r="C29">
        <v>0</v>
      </c>
      <c r="D29">
        <v>22</v>
      </c>
      <c r="E29" s="18">
        <v>5504.854629905379</v>
      </c>
      <c r="F29" s="18">
        <v>-3.799796104431152e-14</v>
      </c>
      <c r="G29" s="18">
        <v>5698.333205209385</v>
      </c>
      <c r="H29" s="12">
        <f>E30</f>
      </c>
      <c r="I29" s="12">
        <f>F30</f>
      </c>
      <c r="J29" s="12">
        <f>G30</f>
      </c>
      <c r="K29">
        <f>IF(AND(Pu&gt;=MIN(E29,H29),Pu&lt;=MAX(E29,H29),E29&lt;&gt;H29),1,0)</f>
      </c>
      <c r="L29">
        <f>IF(K29=1,(Pu-E29)/(H29-E29),"")</f>
      </c>
      <c r="M29" s="12">
        <f>IF(K29=1,F29+L29*(I29-F29),"")</f>
      </c>
      <c r="N29" s="12">
        <f>IF(K29=1,G29+L29*(J29-G29),"")</f>
      </c>
    </row>
    <row r="30" spans="2:14" x14ac:dyDescent="0.25">
      <c r="B30">
        <v>1</v>
      </c>
      <c r="C30">
        <v>0</v>
      </c>
      <c r="D30">
        <v>23</v>
      </c>
      <c r="E30" s="18">
        <v>5049.046406404616</v>
      </c>
      <c r="F30" s="18">
        <v>3.6098062992095946e-13</v>
      </c>
      <c r="G30" s="18">
        <v>5585.18697190369</v>
      </c>
      <c r="H30" s="12">
        <f>E31</f>
      </c>
      <c r="I30" s="12">
        <f>F31</f>
      </c>
      <c r="J30" s="12">
        <f>G31</f>
      </c>
      <c r="K30">
        <f>IF(AND(Pu&gt;=MIN(E30,H30),Pu&lt;=MAX(E30,H30),E30&lt;&gt;H30),1,0)</f>
      </c>
      <c r="L30">
        <f>IF(K30=1,(Pu-E30)/(H30-E30),"")</f>
      </c>
      <c r="M30" s="12">
        <f>IF(K30=1,F30+L30*(I30-F30),"")</f>
      </c>
      <c r="N30" s="12">
        <f>IF(K30=1,G30+L30*(J30-G30),"")</f>
      </c>
    </row>
    <row r="31" spans="2:14" x14ac:dyDescent="0.25">
      <c r="B31">
        <v>1</v>
      </c>
      <c r="C31">
        <v>0</v>
      </c>
      <c r="D31">
        <v>24</v>
      </c>
      <c r="E31" s="18">
        <v>4284.305543640046</v>
      </c>
      <c r="F31" s="18">
        <v>1.1874362826347352e-13</v>
      </c>
      <c r="G31" s="18">
        <v>5378.69956089704</v>
      </c>
      <c r="H31" s="12">
        <f>E32</f>
      </c>
      <c r="I31" s="12">
        <f>F32</f>
      </c>
      <c r="J31" s="12">
        <f>G32</f>
      </c>
      <c r="K31">
        <f>IF(AND(Pu&gt;=MIN(E31,H31),Pu&lt;=MAX(E31,H31),E31&lt;&gt;H31),1,0)</f>
      </c>
      <c r="L31">
        <f>IF(K31=1,(Pu-E31)/(H31-E31),"")</f>
      </c>
      <c r="M31" s="12">
        <f>IF(K31=1,F31+L31*(I31-F31),"")</f>
      </c>
      <c r="N31" s="12">
        <f>IF(K31=1,G31+L31*(J31-G31),"")</f>
      </c>
    </row>
    <row r="32" spans="2:14" x14ac:dyDescent="0.25">
      <c r="B32">
        <v>1</v>
      </c>
      <c r="C32">
        <v>0</v>
      </c>
      <c r="D32">
        <v>25</v>
      </c>
      <c r="E32" s="18">
        <v>3784.3147296138172</v>
      </c>
      <c r="F32" s="18">
        <v>-3.126915544271469e-14</v>
      </c>
      <c r="G32" s="18">
        <v>5202.993558868951</v>
      </c>
      <c r="H32" s="12">
        <f>E33</f>
      </c>
      <c r="I32" s="12">
        <f>F33</f>
      </c>
      <c r="J32" s="12">
        <f>G33</f>
      </c>
      <c r="K32">
        <f>IF(AND(Pu&gt;=MIN(E32,H32),Pu&lt;=MAX(E32,H32),E32&lt;&gt;H32),1,0)</f>
      </c>
      <c r="L32">
        <f>IF(K32=1,(Pu-E32)/(H32-E32),"")</f>
      </c>
      <c r="M32" s="12">
        <f>IF(K32=1,F32+L32*(I32-F32),"")</f>
      </c>
      <c r="N32" s="12">
        <f>IF(K32=1,G32+L32*(J32-G32),"")</f>
      </c>
    </row>
    <row r="33" spans="2:14" x14ac:dyDescent="0.25">
      <c r="B33">
        <v>1</v>
      </c>
      <c r="C33">
        <v>0</v>
      </c>
      <c r="D33">
        <v>26</v>
      </c>
      <c r="E33" s="18">
        <v>3311.336674042154</v>
      </c>
      <c r="F33" s="18">
        <v>9.49949026107788e-15</v>
      </c>
      <c r="G33" s="18">
        <v>5029.004565411308</v>
      </c>
      <c r="H33" s="12">
        <f>E34</f>
      </c>
      <c r="I33" s="12">
        <f>F34</f>
      </c>
      <c r="J33" s="12">
        <f>G34</f>
      </c>
      <c r="K33">
        <f>IF(AND(Pu&gt;=MIN(E33,H33),Pu&lt;=MAX(E33,H33),E33&lt;&gt;H33),1,0)</f>
      </c>
      <c r="L33">
        <f>IF(K33=1,(Pu-E33)/(H33-E33),"")</f>
      </c>
      <c r="M33" s="12">
        <f>IF(K33=1,F33+L33*(I33-F33),"")</f>
      </c>
      <c r="N33" s="12">
        <f>IF(K33=1,G33+L33*(J33-G33),"")</f>
      </c>
    </row>
    <row r="34" spans="2:14" x14ac:dyDescent="0.25">
      <c r="B34">
        <v>1</v>
      </c>
      <c r="C34">
        <v>0</v>
      </c>
      <c r="D34">
        <v>27</v>
      </c>
      <c r="E34" s="18">
        <v>2574.899154066649</v>
      </c>
      <c r="F34" s="18">
        <v>-6.649643182754515e-14</v>
      </c>
      <c r="G34" s="18">
        <v>4722.241481427733</v>
      </c>
      <c r="H34" s="12">
        <f>E35</f>
      </c>
      <c r="I34" s="12">
        <f>F35</f>
      </c>
      <c r="J34" s="12">
        <f>G35</f>
      </c>
      <c r="K34">
        <f>IF(AND(Pu&gt;=MIN(E34,H34),Pu&lt;=MAX(E34,H34),E34&lt;&gt;H34),1,0)</f>
      </c>
      <c r="L34">
        <f>IF(K34=1,(Pu-E34)/(H34-E34),"")</f>
      </c>
      <c r="M34" s="12">
        <f>IF(K34=1,F34+L34*(I34-F34),"")</f>
      </c>
      <c r="N34" s="12">
        <f>IF(K34=1,G34+L34*(J34-G34),"")</f>
      </c>
    </row>
    <row r="35" spans="2:14" x14ac:dyDescent="0.25">
      <c r="B35">
        <v>1</v>
      </c>
      <c r="C35">
        <v>0</v>
      </c>
      <c r="D35">
        <v>28</v>
      </c>
      <c r="E35" s="18">
        <v>2019.8487026371045</v>
      </c>
      <c r="F35" s="18">
        <v>3.2060779631137847e-13</v>
      </c>
      <c r="G35" s="18">
        <v>4454.000942096108</v>
      </c>
      <c r="H35" s="12">
        <f>E36</f>
      </c>
      <c r="I35" s="12">
        <f>F36</f>
      </c>
      <c r="J35" s="12">
        <f>G36</f>
      </c>
      <c r="K35">
        <f>IF(AND(Pu&gt;=MIN(E35,H35),Pu&lt;=MAX(E35,H35),E35&lt;&gt;H35),1,0)</f>
      </c>
      <c r="L35">
        <f>IF(K35=1,(Pu-E35)/(H35-E35),"")</f>
      </c>
      <c r="M35" s="12">
        <f>IF(K35=1,F35+L35*(I35-F35),"")</f>
      </c>
      <c r="N35" s="12">
        <f>IF(K35=1,G35+L35*(J35-G35),"")</f>
      </c>
    </row>
    <row r="36" spans="2:14" x14ac:dyDescent="0.25">
      <c r="B36">
        <v>1</v>
      </c>
      <c r="C36">
        <v>0</v>
      </c>
      <c r="D36">
        <v>29</v>
      </c>
      <c r="E36" s="18">
        <v>1404.8757191032935</v>
      </c>
      <c r="F36" s="18">
        <v>-1.2665987014770508e-14</v>
      </c>
      <c r="G36" s="18">
        <v>4140.186483837538</v>
      </c>
      <c r="H36" s="12">
        <f>E37</f>
      </c>
      <c r="I36" s="12">
        <f>F37</f>
      </c>
      <c r="J36" s="12">
        <f>G37</f>
      </c>
      <c r="K36">
        <f>IF(AND(Pu&gt;=MIN(E36,H36),Pu&lt;=MAX(E36,H36),E36&lt;&gt;H36),1,0)</f>
      </c>
      <c r="L36">
        <f>IF(K36=1,(Pu-E36)/(H36-E36),"")</f>
      </c>
      <c r="M36" s="12">
        <f>IF(K36=1,F36+L36*(I36-F36),"")</f>
      </c>
      <c r="N36" s="12">
        <f>IF(K36=1,G36+L36*(J36-G36),"")</f>
      </c>
    </row>
    <row r="37" spans="2:14" x14ac:dyDescent="0.25">
      <c r="B37">
        <v>1</v>
      </c>
      <c r="C37">
        <v>0</v>
      </c>
      <c r="D37">
        <v>30</v>
      </c>
      <c r="E37" s="18">
        <v>768.976523413472</v>
      </c>
      <c r="F37" s="18">
        <v>1.2665987014770508e-14</v>
      </c>
      <c r="G37" s="18">
        <v>3798.6060422465284</v>
      </c>
      <c r="H37" s="12">
        <f>E38</f>
      </c>
      <c r="I37" s="12">
        <f>F38</f>
      </c>
      <c r="J37" s="12">
        <f>G38</f>
      </c>
      <c r="K37">
        <f>IF(AND(Pu&gt;=MIN(E37,H37),Pu&lt;=MAX(E37,H37),E37&lt;&gt;H37),1,0)</f>
      </c>
      <c r="L37">
        <f>IF(K37=1,(Pu-E37)/(H37-E37),"")</f>
      </c>
      <c r="M37" s="12">
        <f>IF(K37=1,F37+L37*(I37-F37),"")</f>
      </c>
      <c r="N37" s="12">
        <f>IF(K37=1,G37+L37*(J37-G37),"")</f>
      </c>
    </row>
    <row r="38" spans="2:14" x14ac:dyDescent="0.25">
      <c r="B38">
        <v>1</v>
      </c>
      <c r="C38">
        <v>0</v>
      </c>
      <c r="D38">
        <v>31</v>
      </c>
      <c r="E38" s="18">
        <v>35.30287773313886</v>
      </c>
      <c r="F38" s="18">
        <v>0</v>
      </c>
      <c r="G38" s="18">
        <v>3361.1663037865274</v>
      </c>
      <c r="H38" s="12">
        <f>E39</f>
      </c>
      <c r="I38" s="12">
        <f>F39</f>
      </c>
      <c r="J38" s="12">
        <f>G39</f>
      </c>
      <c r="K38">
        <f>IF(AND(Pu&gt;=MIN(E38,H38),Pu&lt;=MAX(E38,H38),E38&lt;&gt;H38),1,0)</f>
      </c>
      <c r="L38">
        <f>IF(K38=1,(Pu-E38)/(H38-E38),"")</f>
      </c>
      <c r="M38" s="12">
        <f>IF(K38=1,F38+L38*(I38-F38),"")</f>
      </c>
      <c r="N38" s="12">
        <f>IF(K38=1,G38+L38*(J38-G38),"")</f>
      </c>
    </row>
    <row r="39" spans="2:14" x14ac:dyDescent="0.25">
      <c r="B39">
        <v>1</v>
      </c>
      <c r="C39">
        <v>0</v>
      </c>
      <c r="D39">
        <v>32</v>
      </c>
      <c r="E39" s="18">
        <v>-574.5045864006283</v>
      </c>
      <c r="F39" s="18">
        <v>0</v>
      </c>
      <c r="G39" s="18">
        <v>2975.185055264662</v>
      </c>
      <c r="H39" s="12">
        <f>E40</f>
      </c>
      <c r="I39" s="12">
        <f>F40</f>
      </c>
      <c r="J39" s="12">
        <f>G40</f>
      </c>
      <c r="K39">
        <f>IF(AND(Pu&gt;=MIN(E39,H39),Pu&lt;=MAX(E39,H39),E39&lt;&gt;H39),1,0)</f>
      </c>
      <c r="L39">
        <f>IF(K39=1,(Pu-E39)/(H39-E39),"")</f>
      </c>
      <c r="M39" s="12">
        <f>IF(K39=1,F39+L39*(I39-F39),"")</f>
      </c>
      <c r="N39" s="12">
        <f>IF(K39=1,G39+L39*(J39-G39),"")</f>
      </c>
    </row>
    <row r="40" spans="2:14" x14ac:dyDescent="0.25">
      <c r="B40">
        <v>1</v>
      </c>
      <c r="C40">
        <v>0</v>
      </c>
      <c r="D40">
        <v>33</v>
      </c>
      <c r="E40" s="18">
        <v>-1431.1757676443594</v>
      </c>
      <c r="F40" s="18">
        <v>-6.332993507385254e-15</v>
      </c>
      <c r="G40" s="18">
        <v>2413.8869032707044</v>
      </c>
      <c r="H40" s="12">
        <f>E41</f>
      </c>
      <c r="I40" s="12">
        <f>F41</f>
      </c>
      <c r="J40" s="12">
        <f>G41</f>
      </c>
      <c r="K40">
        <f>IF(AND(Pu&gt;=MIN(E40,H40),Pu&lt;=MAX(E40,H40),E40&lt;&gt;H40),1,0)</f>
      </c>
      <c r="L40">
        <f>IF(K40=1,(Pu-E40)/(H40-E40),"")</f>
      </c>
      <c r="M40" s="12">
        <f>IF(K40=1,F40+L40*(I40-F40),"")</f>
      </c>
      <c r="N40" s="12">
        <f>IF(K40=1,G40+L40*(J40-G40),"")</f>
      </c>
    </row>
    <row r="41" spans="2:14" x14ac:dyDescent="0.25">
      <c r="B41">
        <v>1</v>
      </c>
      <c r="C41">
        <v>0</v>
      </c>
      <c r="D41">
        <v>34</v>
      </c>
      <c r="E41" s="18">
        <v>-2045.56408123214</v>
      </c>
      <c r="F41" s="18">
        <v>3.166496753692627e-15</v>
      </c>
      <c r="G41" s="18">
        <v>2000.7457123839126</v>
      </c>
      <c r="H41" s="12">
        <f>E42</f>
      </c>
      <c r="I41" s="12">
        <f>F42</f>
      </c>
      <c r="J41" s="12">
        <f>G42</f>
      </c>
      <c r="K41">
        <f>IF(AND(Pu&gt;=MIN(E41,H41),Pu&lt;=MAX(E41,H41),E41&lt;&gt;H41),1,0)</f>
      </c>
      <c r="L41">
        <f>IF(K41=1,(Pu-E41)/(H41-E41),"")</f>
      </c>
      <c r="M41" s="12">
        <f>IF(K41=1,F41+L41*(I41-F41),"")</f>
      </c>
      <c r="N41" s="12">
        <f>IF(K41=1,G41+L41*(J41-G41),"")</f>
      </c>
    </row>
    <row r="42" spans="2:14" x14ac:dyDescent="0.25">
      <c r="B42">
        <v>1</v>
      </c>
      <c r="C42">
        <v>0</v>
      </c>
      <c r="D42">
        <v>35</v>
      </c>
      <c r="E42" s="18">
        <v>-3089.4117889203435</v>
      </c>
      <c r="F42" s="18">
        <v>0</v>
      </c>
      <c r="G42" s="18">
        <v>1287.3803102185711</v>
      </c>
      <c r="H42" s="12">
        <f>E43</f>
      </c>
      <c r="I42" s="12">
        <f>F43</f>
      </c>
      <c r="J42" s="12">
        <f>G43</f>
      </c>
      <c r="K42">
        <f>IF(AND(Pu&gt;=MIN(E42,H42),Pu&lt;=MAX(E42,H42),E42&lt;&gt;H42),1,0)</f>
      </c>
      <c r="L42">
        <f>IF(K42=1,(Pu-E42)/(H42-E42),"")</f>
      </c>
      <c r="M42" s="12">
        <f>IF(K42=1,F42+L42*(I42-F42),"")</f>
      </c>
      <c r="N42" s="12">
        <f>IF(K42=1,G42+L42*(J42-G42),"")</f>
      </c>
    </row>
    <row r="43" spans="2:7" x14ac:dyDescent="0.25">
      <c r="B43">
        <v>1</v>
      </c>
      <c r="C43">
        <v>0</v>
      </c>
      <c r="D43">
        <v>36</v>
      </c>
      <c r="E43" s="18">
        <v>-3963.273312682641</v>
      </c>
      <c r="F43" s="18">
        <v>0</v>
      </c>
      <c r="G43" s="18">
        <v>687.1369083848958</v>
      </c>
    </row>
    <row r="45" spans="2:14" x14ac:dyDescent="0.25">
      <c r="B45">
        <v>2</v>
      </c>
      <c r="C45">
        <v>0.9374999999999799</v>
      </c>
      <c r="D45">
        <v>1</v>
      </c>
      <c r="E45" s="18">
        <v>17343.653759972934</v>
      </c>
      <c r="F45" s="18">
        <v>38.841479782702</v>
      </c>
      <c r="G45" s="18">
        <v>2880.549374912677</v>
      </c>
      <c r="H45" s="12">
        <f>E46</f>
      </c>
      <c r="I45" s="12">
        <f>F46</f>
      </c>
      <c r="J45" s="12">
        <f>G46</f>
      </c>
      <c r="K45">
        <f>IF(AND(Pu&gt;=MIN(E45,H45),Pu&lt;=MAX(E45,H45),E45&lt;&gt;H45),1,0)</f>
      </c>
      <c r="L45">
        <f>IF(K45=1,(Pu-E45)/(H45-E45),"")</f>
      </c>
      <c r="M45" s="12">
        <f>IF(K45=1,F45+L45*(I45-F45),"")</f>
      </c>
      <c r="N45" s="12">
        <f>IF(K45=1,G45+L45*(J45-G45),"")</f>
      </c>
    </row>
    <row r="46" spans="2:14" x14ac:dyDescent="0.25">
      <c r="B46">
        <v>2</v>
      </c>
      <c r="C46">
        <v>0.9374999999999799</v>
      </c>
      <c r="D46">
        <v>2</v>
      </c>
      <c r="E46" s="18">
        <v>16764.646425060964</v>
      </c>
      <c r="F46" s="18">
        <v>34.87465632603181</v>
      </c>
      <c r="G46" s="18">
        <v>3157.5370745414943</v>
      </c>
      <c r="H46" s="12">
        <f>E47</f>
      </c>
      <c r="I46" s="12">
        <f>F47</f>
      </c>
      <c r="J46" s="12">
        <f>G47</f>
      </c>
      <c r="K46">
        <f>IF(AND(Pu&gt;=MIN(E46,H46),Pu&lt;=MAX(E46,H46),E46&lt;&gt;H46),1,0)</f>
      </c>
      <c r="L46">
        <f>IF(K46=1,(Pu-E46)/(H46-E46),"")</f>
      </c>
      <c r="M46" s="12">
        <f>IF(K46=1,F46+L46*(I46-F46),"")</f>
      </c>
      <c r="N46" s="12">
        <f>IF(K46=1,G46+L46*(J46-G46),"")</f>
      </c>
    </row>
    <row r="47" spans="2:14" x14ac:dyDescent="0.25">
      <c r="B47">
        <v>2</v>
      </c>
      <c r="C47">
        <v>0.9374999999999799</v>
      </c>
      <c r="D47">
        <v>3</v>
      </c>
      <c r="E47" s="18">
        <v>16050.011924417855</v>
      </c>
      <c r="F47" s="18">
        <v>36.29855415647882</v>
      </c>
      <c r="G47" s="18">
        <v>3459.3057969753136</v>
      </c>
      <c r="H47" s="12">
        <f>E48</f>
      </c>
      <c r="I47" s="12">
        <f>F48</f>
      </c>
      <c r="J47" s="12">
        <f>G48</f>
      </c>
      <c r="K47">
        <f>IF(AND(Pu&gt;=MIN(E47,H47),Pu&lt;=MAX(E47,H47),E47&lt;&gt;H47),1,0)</f>
      </c>
      <c r="L47">
        <f>IF(K47=1,(Pu-E47)/(H47-E47),"")</f>
      </c>
      <c r="M47" s="12">
        <f>IF(K47=1,F47+L47*(I47-F47),"")</f>
      </c>
      <c r="N47" s="12">
        <f>IF(K47=1,G47+L47*(J47-G47),"")</f>
      </c>
    </row>
    <row r="48" spans="2:14" x14ac:dyDescent="0.25">
      <c r="B48">
        <v>2</v>
      </c>
      <c r="C48">
        <v>0.9374999999999799</v>
      </c>
      <c r="D48">
        <v>4</v>
      </c>
      <c r="E48" s="18">
        <v>15317.188085605389</v>
      </c>
      <c r="F48" s="18">
        <v>37.999826443294786</v>
      </c>
      <c r="G48" s="18">
        <v>3718.621005722944</v>
      </c>
      <c r="H48" s="12">
        <f>E49</f>
      </c>
      <c r="I48" s="12">
        <f>F49</f>
      </c>
      <c r="J48" s="12">
        <f>G49</f>
      </c>
      <c r="K48">
        <f>IF(AND(Pu&gt;=MIN(E48,H48),Pu&lt;=MAX(E48,H48),E48&lt;&gt;H48),1,0)</f>
      </c>
      <c r="L48">
        <f>IF(K48=1,(Pu-E48)/(H48-E48),"")</f>
      </c>
      <c r="M48" s="12">
        <f>IF(K48=1,F48+L48*(I48-F48),"")</f>
      </c>
      <c r="N48" s="12">
        <f>IF(K48=1,G48+L48*(J48-G48),"")</f>
      </c>
    </row>
    <row r="49" spans="2:14" x14ac:dyDescent="0.25">
      <c r="B49">
        <v>2</v>
      </c>
      <c r="C49">
        <v>0.9374999999999799</v>
      </c>
      <c r="D49">
        <v>5</v>
      </c>
      <c r="E49" s="18">
        <v>13997.961513146172</v>
      </c>
      <c r="F49" s="18">
        <v>44.891982110605696</v>
      </c>
      <c r="G49" s="18">
        <v>4094.8544084359182</v>
      </c>
      <c r="H49" s="12">
        <f>E50</f>
      </c>
      <c r="I49" s="12">
        <f>F50</f>
      </c>
      <c r="J49" s="12">
        <f>G50</f>
      </c>
      <c r="K49">
        <f>IF(AND(Pu&gt;=MIN(E49,H49),Pu&lt;=MAX(E49,H49),E49&lt;&gt;H49),1,0)</f>
      </c>
      <c r="L49">
        <f>IF(K49=1,(Pu-E49)/(H49-E49),"")</f>
      </c>
      <c r="M49" s="12">
        <f>IF(K49=1,F49+L49*(I49-F49),"")</f>
      </c>
      <c r="N49" s="12">
        <f>IF(K49=1,G49+L49*(J49-G49),"")</f>
      </c>
    </row>
    <row r="50" spans="2:14" x14ac:dyDescent="0.25">
      <c r="B50">
        <v>2</v>
      </c>
      <c r="C50">
        <v>0.9374999999999799</v>
      </c>
      <c r="D50">
        <v>6</v>
      </c>
      <c r="E50" s="18">
        <v>11869.768450906739</v>
      </c>
      <c r="F50" s="18">
        <v>52.33949292076283</v>
      </c>
      <c r="G50" s="18">
        <v>4468.631588399882</v>
      </c>
      <c r="H50" s="12">
        <f>E51</f>
      </c>
      <c r="I50" s="12">
        <f>F51</f>
      </c>
      <c r="J50" s="12">
        <f>G51</f>
      </c>
      <c r="K50">
        <f>IF(AND(Pu&gt;=MIN(E50,H50),Pu&lt;=MAX(E50,H50),E50&lt;&gt;H50),1,0)</f>
      </c>
      <c r="L50">
        <f>IF(K50=1,(Pu-E50)/(H50-E50),"")</f>
      </c>
      <c r="M50" s="12">
        <f>IF(K50=1,F50+L50*(I50-F50),"")</f>
      </c>
      <c r="N50" s="12">
        <f>IF(K50=1,G50+L50*(J50-G50),"")</f>
      </c>
    </row>
    <row r="51" spans="2:14" x14ac:dyDescent="0.25">
      <c r="B51">
        <v>2</v>
      </c>
      <c r="C51">
        <v>0.9374999999999799</v>
      </c>
      <c r="D51">
        <v>7</v>
      </c>
      <c r="E51" s="18">
        <v>9886.276153649333</v>
      </c>
      <c r="F51" s="18">
        <v>46.6579281401627</v>
      </c>
      <c r="G51" s="18">
        <v>4697.963629952544</v>
      </c>
      <c r="H51" s="12">
        <f>E52</f>
      </c>
      <c r="I51" s="12">
        <f>F52</f>
      </c>
      <c r="J51" s="12">
        <f>G52</f>
      </c>
      <c r="K51">
        <f>IF(AND(Pu&gt;=MIN(E51,H51),Pu&lt;=MAX(E51,H51),E51&lt;&gt;H51),1,0)</f>
      </c>
      <c r="L51">
        <f>IF(K51=1,(Pu-E51)/(H51-E51),"")</f>
      </c>
      <c r="M51" s="12">
        <f>IF(K51=1,F51+L51*(I51-F51),"")</f>
      </c>
      <c r="N51" s="12">
        <f>IF(K51=1,G51+L51*(J51-G51),"")</f>
      </c>
    </row>
    <row r="52" spans="2:14" x14ac:dyDescent="0.25">
      <c r="B52">
        <v>2</v>
      </c>
      <c r="C52">
        <v>0.9374999999999799</v>
      </c>
      <c r="D52">
        <v>8</v>
      </c>
      <c r="E52" s="18">
        <v>8956.094611186878</v>
      </c>
      <c r="F52" s="18">
        <v>56.82632862230958</v>
      </c>
      <c r="G52" s="18">
        <v>4772.3497827054625</v>
      </c>
      <c r="H52" s="12">
        <f>E53</f>
      </c>
      <c r="I52" s="12">
        <f>F53</f>
      </c>
      <c r="J52" s="12">
        <f>G53</f>
      </c>
      <c r="K52">
        <f>IF(AND(Pu&gt;=MIN(E52,H52),Pu&lt;=MAX(E52,H52),E52&lt;&gt;H52),1,0)</f>
      </c>
      <c r="L52">
        <f>IF(K52=1,(Pu-E52)/(H52-E52),"")</f>
      </c>
      <c r="M52" s="12">
        <f>IF(K52=1,F52+L52*(I52-F52),"")</f>
      </c>
      <c r="N52" s="12">
        <f>IF(K52=1,G52+L52*(J52-G52),"")</f>
      </c>
    </row>
    <row r="53" spans="2:14" x14ac:dyDescent="0.25">
      <c r="B53">
        <v>2</v>
      </c>
      <c r="C53">
        <v>0.9374999999999799</v>
      </c>
      <c r="D53">
        <v>9</v>
      </c>
      <c r="E53" s="18">
        <v>8435.059353715531</v>
      </c>
      <c r="F53" s="18">
        <v>58.80816325339184</v>
      </c>
      <c r="G53" s="18">
        <v>4870.5068686636</v>
      </c>
      <c r="H53" s="12">
        <f>E54</f>
      </c>
      <c r="I53" s="12">
        <f>F54</f>
      </c>
      <c r="J53" s="12">
        <f>G54</f>
      </c>
      <c r="K53">
        <f>IF(AND(Pu&gt;=MIN(E53,H53),Pu&lt;=MAX(E53,H53),E53&lt;&gt;H53),1,0)</f>
      </c>
      <c r="L53">
        <f>IF(K53=1,(Pu-E53)/(H53-E53),"")</f>
      </c>
      <c r="M53" s="12">
        <f>IF(K53=1,F53+L53*(I53-F53),"")</f>
      </c>
      <c r="N53" s="12">
        <f>IF(K53=1,G53+L53*(J53-G53),"")</f>
      </c>
    </row>
    <row r="54" spans="2:14" x14ac:dyDescent="0.25">
      <c r="B54">
        <v>2</v>
      </c>
      <c r="C54">
        <v>0.9374999999999799</v>
      </c>
      <c r="D54">
        <v>10</v>
      </c>
      <c r="E54" s="18">
        <v>8101.3149462395995</v>
      </c>
      <c r="F54" s="18">
        <v>60.20803607896328</v>
      </c>
      <c r="G54" s="18">
        <v>4923.723270989461</v>
      </c>
      <c r="H54" s="12">
        <f>E55</f>
      </c>
      <c r="I54" s="12">
        <f>F55</f>
      </c>
      <c r="J54" s="12">
        <f>G55</f>
      </c>
      <c r="K54">
        <f>IF(AND(Pu&gt;=MIN(E54,H54),Pu&lt;=MAX(E54,H54),E54&lt;&gt;H54),1,0)</f>
      </c>
      <c r="L54">
        <f>IF(K54=1,(Pu-E54)/(H54-E54),"")</f>
      </c>
      <c r="M54" s="12">
        <f>IF(K54=1,F54+L54*(I54-F54),"")</f>
      </c>
      <c r="N54" s="12">
        <f>IF(K54=1,G54+L54*(J54-G54),"")</f>
      </c>
    </row>
    <row r="55" spans="2:14" x14ac:dyDescent="0.25">
      <c r="B55">
        <v>2</v>
      </c>
      <c r="C55">
        <v>0.9374999999999799</v>
      </c>
      <c r="D55">
        <v>11</v>
      </c>
      <c r="E55" s="18">
        <v>7392.205640761796</v>
      </c>
      <c r="F55" s="18">
        <v>63.31866372838919</v>
      </c>
      <c r="G55" s="18">
        <v>5021.802361364519</v>
      </c>
      <c r="H55" s="12">
        <f>E56</f>
      </c>
      <c r="I55" s="12">
        <f>F56</f>
      </c>
      <c r="J55" s="12">
        <f>G56</f>
      </c>
      <c r="K55">
        <f>IF(AND(Pu&gt;=MIN(E55,H55),Pu&lt;=MAX(E55,H55),E55&lt;&gt;H55),1,0)</f>
      </c>
      <c r="L55">
        <f>IF(K55=1,(Pu-E55)/(H55-E55),"")</f>
      </c>
      <c r="M55" s="12">
        <f>IF(K55=1,F55+L55*(I55-F55),"")</f>
      </c>
      <c r="N55" s="12">
        <f>IF(K55=1,G55+L55*(J55-G55),"")</f>
      </c>
    </row>
    <row r="56" spans="2:14" x14ac:dyDescent="0.25">
      <c r="B56">
        <v>2</v>
      </c>
      <c r="C56">
        <v>0.9374999999999799</v>
      </c>
      <c r="D56">
        <v>12</v>
      </c>
      <c r="E56" s="18">
        <v>7289.4607553776605</v>
      </c>
      <c r="F56" s="18">
        <v>63.78440417052233</v>
      </c>
      <c r="G56" s="18">
        <v>5034.464268329611</v>
      </c>
      <c r="H56" s="12">
        <f>E57</f>
      </c>
      <c r="I56" s="12">
        <f>F57</f>
      </c>
      <c r="J56" s="12">
        <f>G57</f>
      </c>
      <c r="K56">
        <f>IF(AND(Pu&gt;=MIN(E56,H56),Pu&lt;=MAX(E56,H56),E56&lt;&gt;H56),1,0)</f>
      </c>
      <c r="L56">
        <f>IF(K56=1,(Pu-E56)/(H56-E56),"")</f>
      </c>
      <c r="M56" s="12">
        <f>IF(K56=1,F56+L56*(I56-F56),"")</f>
      </c>
      <c r="N56" s="12">
        <f>IF(K56=1,G56+L56*(J56-G56),"")</f>
      </c>
    </row>
    <row r="57" spans="2:14" x14ac:dyDescent="0.25">
      <c r="B57">
        <v>2</v>
      </c>
      <c r="C57">
        <v>0.9374999999999799</v>
      </c>
      <c r="D57">
        <v>13</v>
      </c>
      <c r="E57" s="18">
        <v>6668.239247503238</v>
      </c>
      <c r="F57" s="18">
        <v>61.1941174943336</v>
      </c>
      <c r="G57" s="18">
        <v>5145.289690948929</v>
      </c>
      <c r="H57" s="12">
        <f>E58</f>
      </c>
      <c r="I57" s="12">
        <f>F58</f>
      </c>
      <c r="J57" s="12">
        <f>G58</f>
      </c>
      <c r="K57">
        <f>IF(AND(Pu&gt;=MIN(E57,H57),Pu&lt;=MAX(E57,H57),E57&lt;&gt;H57),1,0)</f>
      </c>
      <c r="L57">
        <f>IF(K57=1,(Pu-E57)/(H57-E57),"")</f>
      </c>
      <c r="M57" s="12">
        <f>IF(K57=1,F57+L57*(I57-F57),"")</f>
      </c>
      <c r="N57" s="12">
        <f>IF(K57=1,G57+L57*(J57-G57),"")</f>
      </c>
    </row>
    <row r="58" spans="2:14" x14ac:dyDescent="0.25">
      <c r="B58">
        <v>2</v>
      </c>
      <c r="C58">
        <v>0.9374999999999799</v>
      </c>
      <c r="D58">
        <v>14</v>
      </c>
      <c r="E58" s="18">
        <v>6633.895440880831</v>
      </c>
      <c r="F58" s="18">
        <v>61.329164124740196</v>
      </c>
      <c r="G58" s="18">
        <v>5158.714259035725</v>
      </c>
      <c r="H58" s="12">
        <f>E59</f>
      </c>
      <c r="I58" s="12">
        <f>F59</f>
      </c>
      <c r="J58" s="12">
        <f>G59</f>
      </c>
      <c r="K58">
        <f>IF(AND(Pu&gt;=MIN(E58,H58),Pu&lt;=MAX(E58,H58),E58&lt;&gt;H58),1,0)</f>
      </c>
      <c r="L58">
        <f>IF(K58=1,(Pu-E58)/(H58-E58),"")</f>
      </c>
      <c r="M58" s="12">
        <f>IF(K58=1,F58+L58*(I58-F58),"")</f>
      </c>
      <c r="N58" s="12">
        <f>IF(K58=1,G58+L58*(J58-G58),"")</f>
      </c>
    </row>
    <row r="59" spans="2:14" x14ac:dyDescent="0.25">
      <c r="B59">
        <v>2</v>
      </c>
      <c r="C59">
        <v>0.9374999999999799</v>
      </c>
      <c r="D59">
        <v>15</v>
      </c>
      <c r="E59" s="18">
        <v>6377.274142161349</v>
      </c>
      <c r="F59" s="18">
        <v>49.12555512867072</v>
      </c>
      <c r="G59" s="18">
        <v>5275.229193745342</v>
      </c>
      <c r="H59" s="12">
        <f>E60</f>
      </c>
      <c r="I59" s="12">
        <f>F60</f>
      </c>
      <c r="J59" s="12">
        <f>G60</f>
      </c>
      <c r="K59">
        <f>IF(AND(Pu&gt;=MIN(E59,H59),Pu&lt;=MAX(E59,H59),E59&lt;&gt;H59),1,0)</f>
      </c>
      <c r="L59">
        <f>IF(K59=1,(Pu-E59)/(H59-E59),"")</f>
      </c>
      <c r="M59" s="12">
        <f>IF(K59=1,F59+L59*(I59-F59),"")</f>
      </c>
      <c r="N59" s="12">
        <f>IF(K59=1,G59+L59*(J59-G59),"")</f>
      </c>
    </row>
    <row r="60" spans="2:14" x14ac:dyDescent="0.25">
      <c r="B60">
        <v>2</v>
      </c>
      <c r="C60">
        <v>0.9374999999999799</v>
      </c>
      <c r="D60">
        <v>16</v>
      </c>
      <c r="E60" s="18">
        <v>6292.712082015461</v>
      </c>
      <c r="F60" s="18">
        <v>57.56165165428558</v>
      </c>
      <c r="G60" s="18">
        <v>5324.975018849275</v>
      </c>
      <c r="H60" s="12">
        <f>E61</f>
      </c>
      <c r="I60" s="12">
        <f>F61</f>
      </c>
      <c r="J60" s="12">
        <f>G61</f>
      </c>
      <c r="K60">
        <f>IF(AND(Pu&gt;=MIN(E60,H60),Pu&lt;=MAX(E60,H60),E60&lt;&gt;H60),1,0)</f>
      </c>
      <c r="L60">
        <f>IF(K60=1,(Pu-E60)/(H60-E60),"")</f>
      </c>
      <c r="M60" s="12">
        <f>IF(K60=1,F60+L60*(I60-F60),"")</f>
      </c>
      <c r="N60" s="12">
        <f>IF(K60=1,G60+L60*(J60-G60),"")</f>
      </c>
    </row>
    <row r="61" spans="2:14" x14ac:dyDescent="0.25">
      <c r="B61">
        <v>2</v>
      </c>
      <c r="C61">
        <v>0.9374999999999799</v>
      </c>
      <c r="D61">
        <v>17</v>
      </c>
      <c r="E61" s="18">
        <v>6159.85491839472</v>
      </c>
      <c r="F61" s="18">
        <v>57.9039327573426</v>
      </c>
      <c r="G61" s="18">
        <v>5392.018251313908</v>
      </c>
      <c r="H61" s="12">
        <f>E62</f>
      </c>
      <c r="I61" s="12">
        <f>F62</f>
      </c>
      <c r="J61" s="12">
        <f>G62</f>
      </c>
      <c r="K61">
        <f>IF(AND(Pu&gt;=MIN(E61,H61),Pu&lt;=MAX(E61,H61),E61&lt;&gt;H61),1,0)</f>
      </c>
      <c r="L61">
        <f>IF(K61=1,(Pu-E61)/(H61-E61),"")</f>
      </c>
      <c r="M61" s="12">
        <f>IF(K61=1,F61+L61*(I61-F61),"")</f>
      </c>
      <c r="N61" s="12">
        <f>IF(K61=1,G61+L61*(J61-G61),"")</f>
      </c>
    </row>
    <row r="62" spans="2:14" x14ac:dyDescent="0.25">
      <c r="B62">
        <v>2</v>
      </c>
      <c r="C62">
        <v>0.9374999999999799</v>
      </c>
      <c r="D62">
        <v>18</v>
      </c>
      <c r="E62" s="18">
        <v>5955.575175883007</v>
      </c>
      <c r="F62" s="18">
        <v>58.67731011311114</v>
      </c>
      <c r="G62" s="18">
        <v>5507.485919857045</v>
      </c>
      <c r="H62" s="12">
        <f>E63</f>
      </c>
      <c r="I62" s="12">
        <f>F63</f>
      </c>
      <c r="J62" s="12">
        <f>G63</f>
      </c>
      <c r="K62">
        <f>IF(AND(Pu&gt;=MIN(E62,H62),Pu&lt;=MAX(E62,H62),E62&lt;&gt;H62),1,0)</f>
      </c>
      <c r="L62">
        <f>IF(K62=1,(Pu-E62)/(H62-E62),"")</f>
      </c>
      <c r="M62" s="12">
        <f>IF(K62=1,F62+L62*(I62-F62),"")</f>
      </c>
      <c r="N62" s="12">
        <f>IF(K62=1,G62+L62*(J62-G62),"")</f>
      </c>
    </row>
    <row r="63" spans="2:14" x14ac:dyDescent="0.25">
      <c r="B63">
        <v>2</v>
      </c>
      <c r="C63">
        <v>0.9374999999999799</v>
      </c>
      <c r="D63">
        <v>19</v>
      </c>
      <c r="E63" s="18">
        <v>5768.971501281182</v>
      </c>
      <c r="F63" s="18">
        <v>61.56313896120003</v>
      </c>
      <c r="G63" s="18">
        <v>5616.732805881785</v>
      </c>
      <c r="H63" s="12">
        <f>E64</f>
      </c>
      <c r="I63" s="12">
        <f>F64</f>
      </c>
      <c r="J63" s="12">
        <f>G64</f>
      </c>
      <c r="K63">
        <f>IF(AND(Pu&gt;=MIN(E63,H63),Pu&lt;=MAX(E63,H63),E63&lt;&gt;H63),1,0)</f>
      </c>
      <c r="L63">
        <f>IF(K63=1,(Pu-E63)/(H63-E63),"")</f>
      </c>
      <c r="M63" s="12">
        <f>IF(K63=1,F63+L63*(I63-F63),"")</f>
      </c>
      <c r="N63" s="12">
        <f>IF(K63=1,G63+L63*(J63-G63),"")</f>
      </c>
    </row>
    <row r="64" spans="2:14" x14ac:dyDescent="0.25">
      <c r="B64">
        <v>2</v>
      </c>
      <c r="C64">
        <v>0.9374999999999799</v>
      </c>
      <c r="D64">
        <v>20</v>
      </c>
      <c r="E64" s="18">
        <v>5760.382683985852</v>
      </c>
      <c r="F64" s="18">
        <v>61.24275457975219</v>
      </c>
      <c r="G64" s="18">
        <v>5621.979687889685</v>
      </c>
      <c r="H64" s="12">
        <f>E65</f>
      </c>
      <c r="I64" s="12">
        <f>F65</f>
      </c>
      <c r="J64" s="12">
        <f>G65</f>
      </c>
      <c r="K64">
        <f>IF(AND(Pu&gt;=MIN(E64,H64),Pu&lt;=MAX(E64,H64),E64&lt;&gt;H64),1,0)</f>
      </c>
      <c r="L64">
        <f>IF(K64=1,(Pu-E64)/(H64-E64),"")</f>
      </c>
      <c r="M64" s="12">
        <f>IF(K64=1,F64+L64*(I64-F64),"")</f>
      </c>
      <c r="N64" s="12">
        <f>IF(K64=1,G64+L64*(J64-G64),"")</f>
      </c>
    </row>
    <row r="65" spans="2:14" x14ac:dyDescent="0.25">
      <c r="B65">
        <v>2</v>
      </c>
      <c r="C65">
        <v>0.9374999999999799</v>
      </c>
      <c r="D65">
        <v>21</v>
      </c>
      <c r="E65" s="18">
        <v>5615.946890931654</v>
      </c>
      <c r="F65" s="18">
        <v>57.65403869512057</v>
      </c>
      <c r="G65" s="18">
        <v>5722.680574395441</v>
      </c>
      <c r="H65" s="12">
        <f>E66</f>
      </c>
      <c r="I65" s="12">
        <f>F66</f>
      </c>
      <c r="J65" s="12">
        <f>G66</f>
      </c>
      <c r="K65">
        <f>IF(AND(Pu&gt;=MIN(E65,H65),Pu&lt;=MAX(E65,H65),E65&lt;&gt;H65),1,0)</f>
      </c>
      <c r="L65">
        <f>IF(K65=1,(Pu-E65)/(H65-E65),"")</f>
      </c>
      <c r="M65" s="12">
        <f>IF(K65=1,F65+L65*(I65-F65),"")</f>
      </c>
      <c r="N65" s="12">
        <f>IF(K65=1,G65+L65*(J65-G65),"")</f>
      </c>
    </row>
    <row r="66" spans="2:14" x14ac:dyDescent="0.25">
      <c r="B66">
        <v>2</v>
      </c>
      <c r="C66">
        <v>0.9374999999999799</v>
      </c>
      <c r="D66">
        <v>22</v>
      </c>
      <c r="E66" s="18">
        <v>5473.335099442657</v>
      </c>
      <c r="F66" s="18">
        <v>58.12903605398421</v>
      </c>
      <c r="G66" s="18">
        <v>5688.151338580202</v>
      </c>
      <c r="H66" s="12">
        <f>E67</f>
      </c>
      <c r="I66" s="12">
        <f>F67</f>
      </c>
      <c r="J66" s="12">
        <f>G67</f>
      </c>
      <c r="K66">
        <f>IF(AND(Pu&gt;=MIN(E66,H66),Pu&lt;=MAX(E66,H66),E66&lt;&gt;H66),1,0)</f>
      </c>
      <c r="L66">
        <f>IF(K66=1,(Pu-E66)/(H66-E66),"")</f>
      </c>
      <c r="M66" s="12">
        <f>IF(K66=1,F66+L66*(I66-F66),"")</f>
      </c>
      <c r="N66" s="12">
        <f>IF(K66=1,G66+L66*(J66-G66),"")</f>
      </c>
    </row>
    <row r="67" spans="2:14" x14ac:dyDescent="0.25">
      <c r="B67">
        <v>2</v>
      </c>
      <c r="C67">
        <v>0.9374999999999799</v>
      </c>
      <c r="D67">
        <v>23</v>
      </c>
      <c r="E67" s="18">
        <v>5014.634866906765</v>
      </c>
      <c r="F67" s="18">
        <v>59.7411968861688</v>
      </c>
      <c r="G67" s="18">
        <v>5573.334328943307</v>
      </c>
      <c r="H67" s="12">
        <f>E68</f>
      </c>
      <c r="I67" s="12">
        <f>F68</f>
      </c>
      <c r="J67" s="12">
        <f>G68</f>
      </c>
      <c r="K67">
        <f>IF(AND(Pu&gt;=MIN(E67,H67),Pu&lt;=MAX(E67,H67),E67&lt;&gt;H67),1,0)</f>
      </c>
      <c r="L67">
        <f>IF(K67=1,(Pu-E67)/(H67-E67),"")</f>
      </c>
      <c r="M67" s="12">
        <f>IF(K67=1,F67+L67*(I67-F67),"")</f>
      </c>
      <c r="N67" s="12">
        <f>IF(K67=1,G67+L67*(J67-G67),"")</f>
      </c>
    </row>
    <row r="68" spans="2:14" x14ac:dyDescent="0.25">
      <c r="B68">
        <v>2</v>
      </c>
      <c r="C68">
        <v>0.9374999999999799</v>
      </c>
      <c r="D68">
        <v>24</v>
      </c>
      <c r="E68" s="18">
        <v>4245.0796188547265</v>
      </c>
      <c r="F68" s="18">
        <v>53.88478075798011</v>
      </c>
      <c r="G68" s="18">
        <v>5363.831379719478</v>
      </c>
      <c r="H68" s="12">
        <f>E69</f>
      </c>
      <c r="I68" s="12">
        <f>F69</f>
      </c>
      <c r="J68" s="12">
        <f>G69</f>
      </c>
      <c r="K68">
        <f>IF(AND(Pu&gt;=MIN(E68,H68),Pu&lt;=MAX(E68,H68),E68&lt;&gt;H68),1,0)</f>
      </c>
      <c r="L68">
        <f>IF(K68=1,(Pu-E68)/(H68-E68),"")</f>
      </c>
      <c r="M68" s="12">
        <f>IF(K68=1,F68+L68*(I68-F68),"")</f>
      </c>
      <c r="N68" s="12">
        <f>IF(K68=1,G68+L68*(J68-G68),"")</f>
      </c>
    </row>
    <row r="69" spans="2:14" x14ac:dyDescent="0.25">
      <c r="B69">
        <v>2</v>
      </c>
      <c r="C69">
        <v>0.9374999999999799</v>
      </c>
      <c r="D69">
        <v>25</v>
      </c>
      <c r="E69" s="18">
        <v>3741.0278380121845</v>
      </c>
      <c r="F69" s="18">
        <v>55.96152406584822</v>
      </c>
      <c r="G69" s="18">
        <v>5185.404987376141</v>
      </c>
      <c r="H69" s="12">
        <f>E70</f>
      </c>
      <c r="I69" s="12">
        <f>F70</f>
      </c>
      <c r="J69" s="12">
        <f>G70</f>
      </c>
      <c r="K69">
        <f>IF(AND(Pu&gt;=MIN(E69,H69),Pu&lt;=MAX(E69,H69),E69&lt;&gt;H69),1,0)</f>
      </c>
      <c r="L69">
        <f>IF(K69=1,(Pu-E69)/(H69-E69),"")</f>
      </c>
      <c r="M69" s="12">
        <f>IF(K69=1,F69+L69*(I69-F69),"")</f>
      </c>
      <c r="N69" s="12">
        <f>IF(K69=1,G69+L69*(J69-G69),"")</f>
      </c>
    </row>
    <row r="70" spans="2:14" x14ac:dyDescent="0.25">
      <c r="B70">
        <v>2</v>
      </c>
      <c r="C70">
        <v>0.9374999999999799</v>
      </c>
      <c r="D70">
        <v>26</v>
      </c>
      <c r="E70" s="18">
        <v>3262.9071585307174</v>
      </c>
      <c r="F70" s="18">
        <v>58.72419239820835</v>
      </c>
      <c r="G70" s="18">
        <v>5008.226425027318</v>
      </c>
      <c r="H70" s="12">
        <f>E71</f>
      </c>
      <c r="I70" s="12">
        <f>F71</f>
      </c>
      <c r="J70" s="12">
        <f>G71</f>
      </c>
      <c r="K70">
        <f>IF(AND(Pu&gt;=MIN(E70,H70),Pu&lt;=MAX(E70,H70),E70&lt;&gt;H70),1,0)</f>
      </c>
      <c r="L70">
        <f>IF(K70=1,(Pu-E70)/(H70-E70),"")</f>
      </c>
      <c r="M70" s="12">
        <f>IF(K70=1,F70+L70*(I70-F70),"")</f>
      </c>
      <c r="N70" s="12">
        <f>IF(K70=1,G70+L70*(J70-G70),"")</f>
      </c>
    </row>
    <row r="71" spans="2:14" x14ac:dyDescent="0.25">
      <c r="B71">
        <v>2</v>
      </c>
      <c r="C71">
        <v>0.9374999999999799</v>
      </c>
      <c r="D71">
        <v>27</v>
      </c>
      <c r="E71" s="18">
        <v>2516.711059665425</v>
      </c>
      <c r="F71" s="18">
        <v>54.376953564417164</v>
      </c>
      <c r="G71" s="18">
        <v>4693.730358264181</v>
      </c>
      <c r="H71" s="12">
        <f>E72</f>
      </c>
      <c r="I71" s="12">
        <f>F72</f>
      </c>
      <c r="J71" s="12">
        <f>G72</f>
      </c>
      <c r="K71">
        <f>IF(AND(Pu&gt;=MIN(E71,H71),Pu&lt;=MAX(E71,H71),E71&lt;&gt;H71),1,0)</f>
      </c>
      <c r="L71">
        <f>IF(K71=1,(Pu-E71)/(H71-E71),"")</f>
      </c>
      <c r="M71" s="12">
        <f>IF(K71=1,F71+L71*(I71-F71),"")</f>
      </c>
      <c r="N71" s="12">
        <f>IF(K71=1,G71+L71*(J71-G71),"")</f>
      </c>
    </row>
    <row r="72" spans="2:14" x14ac:dyDescent="0.25">
      <c r="B72">
        <v>2</v>
      </c>
      <c r="C72">
        <v>0.9374999999999799</v>
      </c>
      <c r="D72">
        <v>28</v>
      </c>
      <c r="E72" s="18">
        <v>1950.0143460882841</v>
      </c>
      <c r="F72" s="18">
        <v>59.10961784610745</v>
      </c>
      <c r="G72" s="18">
        <v>4417.782741957648</v>
      </c>
      <c r="H72" s="12">
        <f>E73</f>
      </c>
      <c r="I72" s="12">
        <f>F73</f>
      </c>
      <c r="J72" s="12">
        <f>G73</f>
      </c>
      <c r="K72">
        <f>IF(AND(Pu&gt;=MIN(E72,H72),Pu&lt;=MAX(E72,H72),E72&lt;&gt;H72),1,0)</f>
      </c>
      <c r="L72">
        <f>IF(K72=1,(Pu-E72)/(H72-E72),"")</f>
      </c>
      <c r="M72" s="12">
        <f>IF(K72=1,F72+L72*(I72-F72),"")</f>
      </c>
      <c r="N72" s="12">
        <f>IF(K72=1,G72+L72*(J72-G72),"")</f>
      </c>
    </row>
    <row r="73" spans="2:14" x14ac:dyDescent="0.25">
      <c r="B73">
        <v>2</v>
      </c>
      <c r="C73">
        <v>0.9374999999999799</v>
      </c>
      <c r="D73">
        <v>29</v>
      </c>
      <c r="E73" s="18">
        <v>1269.2634925785983</v>
      </c>
      <c r="F73" s="18">
        <v>64.76497972613785</v>
      </c>
      <c r="G73" s="18">
        <v>4065.707855986391</v>
      </c>
      <c r="H73" s="12">
        <f>E74</f>
      </c>
      <c r="I73" s="12">
        <f>F74</f>
      </c>
      <c r="J73" s="12">
        <f>G74</f>
      </c>
      <c r="K73">
        <f>IF(AND(Pu&gt;=MIN(E73,H73),Pu&lt;=MAX(E73,H73),E73&lt;&gt;H73),1,0)</f>
      </c>
      <c r="L73">
        <f>IF(K73=1,(Pu-E73)/(H73-E73),"")</f>
      </c>
      <c r="M73" s="12">
        <f>IF(K73=1,F73+L73*(I73-F73),"")</f>
      </c>
      <c r="N73" s="12">
        <f>IF(K73=1,G73+L73*(J73-G73),"")</f>
      </c>
    </row>
    <row r="74" spans="2:14" x14ac:dyDescent="0.25">
      <c r="B74">
        <v>2</v>
      </c>
      <c r="C74">
        <v>0.9374999999999799</v>
      </c>
      <c r="D74">
        <v>30</v>
      </c>
      <c r="E74" s="18">
        <v>646.3075802162247</v>
      </c>
      <c r="F74" s="18">
        <v>42.647207903324855</v>
      </c>
      <c r="G74" s="18">
        <v>3726.798424737806</v>
      </c>
      <c r="H74" s="12">
        <f>E75</f>
      </c>
      <c r="I74" s="12">
        <f>F75</f>
      </c>
      <c r="J74" s="12">
        <f>G75</f>
      </c>
      <c r="K74">
        <f>IF(AND(Pu&gt;=MIN(E74,H74),Pu&lt;=MAX(E74,H74),E74&lt;&gt;H74),1,0)</f>
      </c>
      <c r="L74">
        <f>IF(K74=1,(Pu-E74)/(H74-E74),"")</f>
      </c>
      <c r="M74" s="12">
        <f>IF(K74=1,F74+L74*(I74-F74),"")</f>
      </c>
      <c r="N74" s="12">
        <f>IF(K74=1,G74+L74*(J74-G74),"")</f>
      </c>
    </row>
    <row r="75" spans="2:14" x14ac:dyDescent="0.25">
      <c r="B75">
        <v>2</v>
      </c>
      <c r="C75">
        <v>0.9374999999999799</v>
      </c>
      <c r="D75">
        <v>31</v>
      </c>
      <c r="E75" s="18">
        <v>-147.74840200011855</v>
      </c>
      <c r="F75" s="18">
        <v>44.51729266391143</v>
      </c>
      <c r="G75" s="18">
        <v>3244.630527446511</v>
      </c>
      <c r="H75" s="12">
        <f>E76</f>
      </c>
      <c r="I75" s="12">
        <f>F76</f>
      </c>
      <c r="J75" s="12">
        <f>G76</f>
      </c>
      <c r="K75">
        <f>IF(AND(Pu&gt;=MIN(E75,H75),Pu&lt;=MAX(E75,H75),E75&lt;&gt;H75),1,0)</f>
      </c>
      <c r="L75">
        <f>IF(K75=1,(Pu-E75)/(H75-E75),"")</f>
      </c>
      <c r="M75" s="12">
        <f>IF(K75=1,F75+L75*(I75-F75),"")</f>
      </c>
      <c r="N75" s="12">
        <f>IF(K75=1,G75+L75*(J75-G75),"")</f>
      </c>
    </row>
    <row r="76" spans="2:14" x14ac:dyDescent="0.25">
      <c r="B76">
        <v>2</v>
      </c>
      <c r="C76">
        <v>0.9374999999999799</v>
      </c>
      <c r="D76">
        <v>32</v>
      </c>
      <c r="E76" s="18">
        <v>-767.6422400899019</v>
      </c>
      <c r="F76" s="18">
        <v>41.86495204003932</v>
      </c>
      <c r="G76" s="18">
        <v>2849.212934586253</v>
      </c>
      <c r="H76" s="12">
        <f>E77</f>
      </c>
      <c r="I76" s="12">
        <f>F77</f>
      </c>
      <c r="J76" s="12">
        <f>G77</f>
      </c>
      <c r="K76">
        <f>IF(AND(Pu&gt;=MIN(E76,H76),Pu&lt;=MAX(E76,H76),E76&lt;&gt;H76),1,0)</f>
      </c>
      <c r="L76">
        <f>IF(K76=1,(Pu-E76)/(H76-E76),"")</f>
      </c>
      <c r="M76" s="12">
        <f>IF(K76=1,F76+L76*(I76-F76),"")</f>
      </c>
      <c r="N76" s="12">
        <f>IF(K76=1,G76+L76*(J76-G76),"")</f>
      </c>
    </row>
    <row r="77" spans="2:14" x14ac:dyDescent="0.25">
      <c r="B77">
        <v>2</v>
      </c>
      <c r="C77">
        <v>0.9374999999999799</v>
      </c>
      <c r="D77">
        <v>33</v>
      </c>
      <c r="E77" s="18">
        <v>-1644.4149220413835</v>
      </c>
      <c r="F77" s="18">
        <v>39.91391767776458</v>
      </c>
      <c r="G77" s="18">
        <v>2270.903483845255</v>
      </c>
      <c r="H77" s="12">
        <f>E78</f>
      </c>
      <c r="I77" s="12">
        <f>F78</f>
      </c>
      <c r="J77" s="12">
        <f>G78</f>
      </c>
      <c r="K77">
        <f>IF(AND(Pu&gt;=MIN(E77,H77),Pu&lt;=MAX(E77,H77),E77&lt;&gt;H77),1,0)</f>
      </c>
      <c r="L77">
        <f>IF(K77=1,(Pu-E77)/(H77-E77),"")</f>
      </c>
      <c r="M77" s="12">
        <f>IF(K77=1,F77+L77*(I77-F77),"")</f>
      </c>
      <c r="N77" s="12">
        <f>IF(K77=1,G77+L77*(J77-G77),"")</f>
      </c>
    </row>
    <row r="78" spans="2:14" x14ac:dyDescent="0.25">
      <c r="B78">
        <v>2</v>
      </c>
      <c r="C78">
        <v>0.9374999999999799</v>
      </c>
      <c r="D78">
        <v>34</v>
      </c>
      <c r="E78" s="18">
        <v>-2244.251166554602</v>
      </c>
      <c r="F78" s="18">
        <v>33.10231205687192</v>
      </c>
      <c r="G78" s="18">
        <v>1865.6047055293127</v>
      </c>
      <c r="H78" s="12">
        <f>E79</f>
      </c>
      <c r="I78" s="12">
        <f>F79</f>
      </c>
      <c r="J78" s="12">
        <f>G79</f>
      </c>
      <c r="K78">
        <f>IF(AND(Pu&gt;=MIN(E78,H78),Pu&lt;=MAX(E78,H78),E78&lt;&gt;H78),1,0)</f>
      </c>
      <c r="L78">
        <f>IF(K78=1,(Pu-E78)/(H78-E78),"")</f>
      </c>
      <c r="M78" s="12">
        <f>IF(K78=1,F78+L78*(I78-F78),"")</f>
      </c>
      <c r="N78" s="12">
        <f>IF(K78=1,G78+L78*(J78-G78),"")</f>
      </c>
    </row>
    <row r="79" spans="2:14" x14ac:dyDescent="0.25">
      <c r="B79">
        <v>2</v>
      </c>
      <c r="C79">
        <v>0.9374999999999799</v>
      </c>
      <c r="D79">
        <v>35</v>
      </c>
      <c r="E79" s="18">
        <v>-3374.6406793095643</v>
      </c>
      <c r="F79" s="18">
        <v>43.92926933412506</v>
      </c>
      <c r="G79" s="18">
        <v>1090.6229396309384</v>
      </c>
      <c r="H79" s="12">
        <f>E80</f>
      </c>
      <c r="I79" s="12">
        <f>F80</f>
      </c>
      <c r="J79" s="12">
        <f>G80</f>
      </c>
      <c r="K79">
        <f>IF(AND(Pu&gt;=MIN(E79,H79),Pu&lt;=MAX(E79,H79),E79&lt;&gt;H79),1,0)</f>
      </c>
      <c r="L79">
        <f>IF(K79=1,(Pu-E79)/(H79-E79),"")</f>
      </c>
      <c r="M79" s="12">
        <f>IF(K79=1,F79+L79*(I79-F79),"")</f>
      </c>
      <c r="N79" s="12">
        <f>IF(K79=1,G79+L79*(J79-G79),"")</f>
      </c>
    </row>
    <row r="80" spans="2:7" x14ac:dyDescent="0.25">
      <c r="B80">
        <v>2</v>
      </c>
      <c r="C80">
        <v>0.9374999999999799</v>
      </c>
      <c r="D80">
        <v>36</v>
      </c>
      <c r="E80" s="18">
        <v>-4260.136771791474</v>
      </c>
      <c r="F80" s="18">
        <v>38.42087199900337</v>
      </c>
      <c r="G80" s="18">
        <v>481.080884529101</v>
      </c>
    </row>
    <row r="82" spans="2:14" x14ac:dyDescent="0.25">
      <c r="B82">
        <v>3</v>
      </c>
      <c r="C82">
        <v>1.8750000000000107</v>
      </c>
      <c r="D82">
        <v>1</v>
      </c>
      <c r="E82" s="18">
        <v>17391.476327492695</v>
      </c>
      <c r="F82" s="18">
        <v>78.10757448925219</v>
      </c>
      <c r="G82" s="18">
        <v>2854.677485971236</v>
      </c>
      <c r="H82" s="12">
        <f>E83</f>
      </c>
      <c r="I82" s="12">
        <f>F83</f>
      </c>
      <c r="J82" s="12">
        <f>G83</f>
      </c>
      <c r="K82">
        <f>IF(AND(Pu&gt;=MIN(E82,H82),Pu&lt;=MAX(E82,H82),E82&lt;&gt;H82),1,0)</f>
      </c>
      <c r="L82">
        <f>IF(K82=1,(Pu-E82)/(H82-E82),"")</f>
      </c>
      <c r="M82" s="12">
        <f>IF(K82=1,F82+L82*(I82-F82),"")</f>
      </c>
      <c r="N82" s="12">
        <f>IF(K82=1,G82+L82*(J82-G82),"")</f>
      </c>
    </row>
    <row r="83" spans="2:14" x14ac:dyDescent="0.25">
      <c r="B83">
        <v>3</v>
      </c>
      <c r="C83">
        <v>1.8750000000000107</v>
      </c>
      <c r="D83">
        <v>2</v>
      </c>
      <c r="E83" s="18">
        <v>16800.998190039496</v>
      </c>
      <c r="F83" s="18">
        <v>70.32289134426877</v>
      </c>
      <c r="G83" s="18">
        <v>3139.357625576695</v>
      </c>
      <c r="H83" s="12">
        <f>E84</f>
      </c>
      <c r="I83" s="12">
        <f>F84</f>
      </c>
      <c r="J83" s="12">
        <f>G84</f>
      </c>
      <c r="K83">
        <f>IF(AND(Pu&gt;=MIN(E83,H83),Pu&lt;=MAX(E83,H83),E83&lt;&gt;H83),1,0)</f>
      </c>
      <c r="L83">
        <f>IF(K83=1,(Pu-E83)/(H83-E83),"")</f>
      </c>
      <c r="M83" s="12">
        <f>IF(K83=1,F83+L83*(I83-F83),"")</f>
      </c>
      <c r="N83" s="12">
        <f>IF(K83=1,G83+L83*(J83-G83),"")</f>
      </c>
    </row>
    <row r="84" spans="2:14" x14ac:dyDescent="0.25">
      <c r="B84">
        <v>3</v>
      </c>
      <c r="C84">
        <v>1.8750000000000107</v>
      </c>
      <c r="D84">
        <v>3</v>
      </c>
      <c r="E84" s="18">
        <v>16077.057559257484</v>
      </c>
      <c r="F84" s="18">
        <v>72.55051061693797</v>
      </c>
      <c r="G84" s="18">
        <v>3445.450650297477</v>
      </c>
      <c r="H84" s="12">
        <f>E85</f>
      </c>
      <c r="I84" s="12">
        <f>F85</f>
      </c>
      <c r="J84" s="12">
        <f>G85</f>
      </c>
      <c r="K84">
        <f>IF(AND(Pu&gt;=MIN(E84,H84),Pu&lt;=MAX(E84,H84),E84&lt;&gt;H84),1,0)</f>
      </c>
      <c r="L84">
        <f>IF(K84=1,(Pu-E84)/(H84-E84),"")</f>
      </c>
      <c r="M84" s="12">
        <f>IF(K84=1,F84+L84*(I84-F84),"")</f>
      </c>
      <c r="N84" s="12">
        <f>IF(K84=1,G84+L84*(J84-G84),"")</f>
      </c>
    </row>
    <row r="85" spans="2:14" x14ac:dyDescent="0.25">
      <c r="B85">
        <v>3</v>
      </c>
      <c r="C85">
        <v>1.8750000000000107</v>
      </c>
      <c r="D85">
        <v>4</v>
      </c>
      <c r="E85" s="18">
        <v>15342.031418567396</v>
      </c>
      <c r="F85" s="18">
        <v>75.8394764295896</v>
      </c>
      <c r="G85" s="18">
        <v>3707.691684066247</v>
      </c>
      <c r="H85" s="12">
        <f>E86</f>
      </c>
      <c r="I85" s="12">
        <f>F86</f>
      </c>
      <c r="J85" s="12">
        <f>G86</f>
      </c>
      <c r="K85">
        <f>IF(AND(Pu&gt;=MIN(E85,H85),Pu&lt;=MAX(E85,H85),E85&lt;&gt;H85),1,0)</f>
      </c>
      <c r="L85">
        <f>IF(K85=1,(Pu-E85)/(H85-E85),"")</f>
      </c>
      <c r="M85" s="12">
        <f>IF(K85=1,F85+L85*(I85-F85),"")</f>
      </c>
      <c r="N85" s="12">
        <f>IF(K85=1,G85+L85*(J85-G85),"")</f>
      </c>
    </row>
    <row r="86" spans="2:14" x14ac:dyDescent="0.25">
      <c r="B86">
        <v>3</v>
      </c>
      <c r="C86">
        <v>1.8750000000000107</v>
      </c>
      <c r="D86">
        <v>5</v>
      </c>
      <c r="E86" s="18">
        <v>14019.230632081051</v>
      </c>
      <c r="F86" s="18">
        <v>89.41466289912582</v>
      </c>
      <c r="G86" s="18">
        <v>4085.9797821032607</v>
      </c>
      <c r="H86" s="12">
        <f>E87</f>
      </c>
      <c r="I86" s="12">
        <f>F87</f>
      </c>
      <c r="J86" s="12">
        <f>G87</f>
      </c>
      <c r="K86">
        <f>IF(AND(Pu&gt;=MIN(E86,H86),Pu&lt;=MAX(E86,H86),E86&lt;&gt;H86),1,0)</f>
      </c>
      <c r="L86">
        <f>IF(K86=1,(Pu-E86)/(H86-E86),"")</f>
      </c>
      <c r="M86" s="12">
        <f>IF(K86=1,F86+L86*(I86-F86),"")</f>
      </c>
      <c r="N86" s="12">
        <f>IF(K86=1,G86+L86*(J86-G86),"")</f>
      </c>
    </row>
    <row r="87" spans="2:14" x14ac:dyDescent="0.25">
      <c r="B87">
        <v>3</v>
      </c>
      <c r="C87">
        <v>1.8750000000000107</v>
      </c>
      <c r="D87">
        <v>6</v>
      </c>
      <c r="E87" s="18">
        <v>11892.814235497684</v>
      </c>
      <c r="F87" s="18">
        <v>104.47898246626532</v>
      </c>
      <c r="G87" s="18">
        <v>4460.051252550411</v>
      </c>
      <c r="H87" s="12">
        <f>E88</f>
      </c>
      <c r="I87" s="12">
        <f>F88</f>
      </c>
      <c r="J87" s="12">
        <f>G88</f>
      </c>
      <c r="K87">
        <f>IF(AND(Pu&gt;=MIN(E87,H87),Pu&lt;=MAX(E87,H87),E87&lt;&gt;H87),1,0)</f>
      </c>
      <c r="L87">
        <f>IF(K87=1,(Pu-E87)/(H87-E87),"")</f>
      </c>
      <c r="M87" s="12">
        <f>IF(K87=1,F87+L87*(I87-F87),"")</f>
      </c>
      <c r="N87" s="12">
        <f>IF(K87=1,G87+L87*(J87-G87),"")</f>
      </c>
    </row>
    <row r="88" spans="2:14" x14ac:dyDescent="0.25">
      <c r="B88">
        <v>3</v>
      </c>
      <c r="C88">
        <v>1.8750000000000107</v>
      </c>
      <c r="D88">
        <v>7</v>
      </c>
      <c r="E88" s="18">
        <v>9894.634399280174</v>
      </c>
      <c r="F88" s="18">
        <v>101.33115909349311</v>
      </c>
      <c r="G88" s="18">
        <v>4688.795447420104</v>
      </c>
      <c r="H88" s="12">
        <f>E89</f>
      </c>
      <c r="I88" s="12">
        <f>F89</f>
      </c>
      <c r="J88" s="12">
        <f>G89</f>
      </c>
      <c r="K88">
        <f>IF(AND(Pu&gt;=MIN(E88,H88),Pu&lt;=MAX(E88,H88),E88&lt;&gt;H88),1,0)</f>
      </c>
      <c r="L88">
        <f>IF(K88=1,(Pu-E88)/(H88-E88),"")</f>
      </c>
      <c r="M88" s="12">
        <f>IF(K88=1,F88+L88*(I88-F88),"")</f>
      </c>
      <c r="N88" s="12">
        <f>IF(K88=1,G88+L88*(J88-G88),"")</f>
      </c>
    </row>
    <row r="89" spans="2:14" x14ac:dyDescent="0.25">
      <c r="B89">
        <v>3</v>
      </c>
      <c r="C89">
        <v>1.8750000000000107</v>
      </c>
      <c r="D89">
        <v>8</v>
      </c>
      <c r="E89" s="18">
        <v>8942.912871942444</v>
      </c>
      <c r="F89" s="18">
        <v>113.55533208531101</v>
      </c>
      <c r="G89" s="18">
        <v>4762.511810738264</v>
      </c>
      <c r="H89" s="12">
        <f>E90</f>
      </c>
      <c r="I89" s="12">
        <f>F90</f>
      </c>
      <c r="J89" s="12">
        <f>G90</f>
      </c>
      <c r="K89">
        <f>IF(AND(Pu&gt;=MIN(E89,H89),Pu&lt;=MAX(E89,H89),E89&lt;&gt;H89),1,0)</f>
      </c>
      <c r="L89">
        <f>IF(K89=1,(Pu-E89)/(H89-E89),"")</f>
      </c>
      <c r="M89" s="12">
        <f>IF(K89=1,F89+L89*(I89-F89),"")</f>
      </c>
      <c r="N89" s="12">
        <f>IF(K89=1,G89+L89*(J89-G89),"")</f>
      </c>
    </row>
    <row r="90" spans="2:14" x14ac:dyDescent="0.25">
      <c r="B90">
        <v>3</v>
      </c>
      <c r="C90">
        <v>1.8750000000000107</v>
      </c>
      <c r="D90">
        <v>9</v>
      </c>
      <c r="E90" s="18">
        <v>8419.846826728332</v>
      </c>
      <c r="F90" s="18">
        <v>117.27876652400586</v>
      </c>
      <c r="G90" s="18">
        <v>4864.010584805822</v>
      </c>
      <c r="H90" s="12">
        <f>E91</f>
      </c>
      <c r="I90" s="12">
        <f>F91</f>
      </c>
      <c r="J90" s="12">
        <f>G91</f>
      </c>
      <c r="K90">
        <f>IF(AND(Pu&gt;=MIN(E90,H90),Pu&lt;=MAX(E90,H90),E90&lt;&gt;H90),1,0)</f>
      </c>
      <c r="L90">
        <f>IF(K90=1,(Pu-E90)/(H90-E90),"")</f>
      </c>
      <c r="M90" s="12">
        <f>IF(K90=1,F90+L90*(I90-F90),"")</f>
      </c>
      <c r="N90" s="12">
        <f>IF(K90=1,G90+L90*(J90-G90),"")</f>
      </c>
    </row>
    <row r="91" spans="2:14" x14ac:dyDescent="0.25">
      <c r="B91">
        <v>3</v>
      </c>
      <c r="C91">
        <v>1.8750000000000107</v>
      </c>
      <c r="D91">
        <v>10</v>
      </c>
      <c r="E91" s="18">
        <v>8073.903676985103</v>
      </c>
      <c r="F91" s="18">
        <v>120.13826141890411</v>
      </c>
      <c r="G91" s="18">
        <v>4917.851961705693</v>
      </c>
      <c r="H91" s="12">
        <f>E92</f>
      </c>
      <c r="I91" s="12">
        <f>F92</f>
      </c>
      <c r="J91" s="12">
        <f>G92</f>
      </c>
      <c r="K91">
        <f>IF(AND(Pu&gt;=MIN(E91,H91),Pu&lt;=MAX(E91,H91),E91&lt;&gt;H91),1,0)</f>
      </c>
      <c r="L91">
        <f>IF(K91=1,(Pu-E91)/(H91-E91),"")</f>
      </c>
      <c r="M91" s="12">
        <f>IF(K91=1,F91+L91*(I91-F91),"")</f>
      </c>
      <c r="N91" s="12">
        <f>IF(K91=1,G91+L91*(J91-G91),"")</f>
      </c>
    </row>
    <row r="92" spans="2:14" x14ac:dyDescent="0.25">
      <c r="B92">
        <v>3</v>
      </c>
      <c r="C92">
        <v>1.8750000000000107</v>
      </c>
      <c r="D92">
        <v>11</v>
      </c>
      <c r="E92" s="18">
        <v>7366.63732110092</v>
      </c>
      <c r="F92" s="18">
        <v>126.25222746167908</v>
      </c>
      <c r="G92" s="18">
        <v>5012.774261655252</v>
      </c>
      <c r="H92" s="12">
        <f>E93</f>
      </c>
      <c r="I92" s="12">
        <f>F93</f>
      </c>
      <c r="J92" s="12">
        <f>G93</f>
      </c>
      <c r="K92">
        <f>IF(AND(Pu&gt;=MIN(E92,H92),Pu&lt;=MAX(E92,H92),E92&lt;&gt;H92),1,0)</f>
      </c>
      <c r="L92">
        <f>IF(K92=1,(Pu-E92)/(H92-E92),"")</f>
      </c>
      <c r="M92" s="12">
        <f>IF(K92=1,F92+L92*(I92-F92),"")</f>
      </c>
      <c r="N92" s="12">
        <f>IF(K92=1,G92+L92*(J92-G92),"")</f>
      </c>
    </row>
    <row r="93" spans="2:14" x14ac:dyDescent="0.25">
      <c r="B93">
        <v>3</v>
      </c>
      <c r="C93">
        <v>1.8750000000000107</v>
      </c>
      <c r="D93">
        <v>12</v>
      </c>
      <c r="E93" s="18">
        <v>7253.800446750898</v>
      </c>
      <c r="F93" s="18">
        <v>127.26018193755316</v>
      </c>
      <c r="G93" s="18">
        <v>5026.194073778878</v>
      </c>
      <c r="H93" s="12">
        <f>E94</f>
      </c>
      <c r="I93" s="12">
        <f>F94</f>
      </c>
      <c r="J93" s="12">
        <f>G94</f>
      </c>
      <c r="K93">
        <f>IF(AND(Pu&gt;=MIN(E93,H93),Pu&lt;=MAX(E93,H93),E93&lt;&gt;H93),1,0)</f>
      </c>
      <c r="L93">
        <f>IF(K93=1,(Pu-E93)/(H93-E93),"")</f>
      </c>
      <c r="M93" s="12">
        <f>IF(K93=1,F93+L93*(I93-F93),"")</f>
      </c>
      <c r="N93" s="12">
        <f>IF(K93=1,G93+L93*(J93-G93),"")</f>
      </c>
    </row>
    <row r="94" spans="2:14" x14ac:dyDescent="0.25">
      <c r="B94">
        <v>3</v>
      </c>
      <c r="C94">
        <v>1.8750000000000107</v>
      </c>
      <c r="D94">
        <v>13</v>
      </c>
      <c r="E94" s="18">
        <v>6647.602984996692</v>
      </c>
      <c r="F94" s="18">
        <v>121.80209386967718</v>
      </c>
      <c r="G94" s="18">
        <v>5138.14578941532</v>
      </c>
      <c r="H94" s="12">
        <f>E95</f>
      </c>
      <c r="I94" s="12">
        <f>F95</f>
      </c>
      <c r="J94" s="12">
        <f>G95</f>
      </c>
      <c r="K94">
        <f>IF(AND(Pu&gt;=MIN(E94,H94),Pu&lt;=MAX(E94,H94),E94&lt;&gt;H94),1,0)</f>
      </c>
      <c r="L94">
        <f>IF(K94=1,(Pu-E94)/(H94-E94),"")</f>
      </c>
      <c r="M94" s="12">
        <f>IF(K94=1,F94+L94*(I94-F94),"")</f>
      </c>
      <c r="N94" s="12">
        <f>IF(K94=1,G94+L94*(J94-G94),"")</f>
      </c>
    </row>
    <row r="95" spans="2:14" x14ac:dyDescent="0.25">
      <c r="B95">
        <v>3</v>
      </c>
      <c r="C95">
        <v>1.8750000000000107</v>
      </c>
      <c r="D95">
        <v>14</v>
      </c>
      <c r="E95" s="18">
        <v>6617.519996977068</v>
      </c>
      <c r="F95" s="18">
        <v>122.02716851231513</v>
      </c>
      <c r="G95" s="18">
        <v>5149.777148606524</v>
      </c>
      <c r="H95" s="12">
        <f>E96</f>
      </c>
      <c r="I95" s="12">
        <f>F96</f>
      </c>
      <c r="J95" s="12">
        <f>G96</f>
      </c>
      <c r="K95">
        <f>IF(AND(Pu&gt;=MIN(E95,H95),Pu&lt;=MAX(E95,H95),E95&lt;&gt;H95),1,0)</f>
      </c>
      <c r="L95">
        <f>IF(K95=1,(Pu-E95)/(H95-E95),"")</f>
      </c>
      <c r="M95" s="12">
        <f>IF(K95=1,F95+L95*(I95-F95),"")</f>
      </c>
      <c r="N95" s="12">
        <f>IF(K95=1,G95+L95*(J95-G95),"")</f>
      </c>
    </row>
    <row r="96" spans="2:14" x14ac:dyDescent="0.25">
      <c r="B96">
        <v>3</v>
      </c>
      <c r="C96">
        <v>1.8750000000000107</v>
      </c>
      <c r="D96">
        <v>15</v>
      </c>
      <c r="E96" s="18">
        <v>6352.914463480647</v>
      </c>
      <c r="F96" s="18">
        <v>105.75650685854724</v>
      </c>
      <c r="G96" s="18">
        <v>5268.315480059112</v>
      </c>
      <c r="H96" s="12">
        <f>E97</f>
      </c>
      <c r="I96" s="12">
        <f>F97</f>
      </c>
      <c r="J96" s="12">
        <f>G97</f>
      </c>
      <c r="K96">
        <f>IF(AND(Pu&gt;=MIN(E96,H96),Pu&lt;=MAX(E96,H96),E96&lt;&gt;H96),1,0)</f>
      </c>
      <c r="L96">
        <f>IF(K96=1,(Pu-E96)/(H96-E96),"")</f>
      </c>
      <c r="M96" s="12">
        <f>IF(K96=1,F96+L96*(I96-F96),"")</f>
      </c>
      <c r="N96" s="12">
        <f>IF(K96=1,G96+L96*(J96-G96),"")</f>
      </c>
    </row>
    <row r="97" spans="2:14" x14ac:dyDescent="0.25">
      <c r="B97">
        <v>3</v>
      </c>
      <c r="C97">
        <v>1.8750000000000107</v>
      </c>
      <c r="D97">
        <v>16</v>
      </c>
      <c r="E97" s="18">
        <v>6255.5947982972675</v>
      </c>
      <c r="F97" s="18">
        <v>106.14158953870093</v>
      </c>
      <c r="G97" s="18">
        <v>5313.1736664206965</v>
      </c>
      <c r="H97" s="12">
        <f>E98</f>
      </c>
      <c r="I97" s="12">
        <f>F98</f>
      </c>
      <c r="J97" s="12">
        <f>G98</f>
      </c>
      <c r="K97">
        <f>IF(AND(Pu&gt;=MIN(E97,H97),Pu&lt;=MAX(E97,H97),E97&lt;&gt;H97),1,0)</f>
      </c>
      <c r="L97">
        <f>IF(K97=1,(Pu-E97)/(H97-E97),"")</f>
      </c>
      <c r="M97" s="12">
        <f>IF(K97=1,F97+L97*(I97-F97),"")</f>
      </c>
      <c r="N97" s="12">
        <f>IF(K97=1,G97+L97*(J97-G97),"")</f>
      </c>
    </row>
    <row r="98" spans="2:14" x14ac:dyDescent="0.25">
      <c r="B98">
        <v>3</v>
      </c>
      <c r="C98">
        <v>1.8750000000000107</v>
      </c>
      <c r="D98">
        <v>17</v>
      </c>
      <c r="E98" s="18">
        <v>6135.074176270868</v>
      </c>
      <c r="F98" s="18">
        <v>115.01124912594119</v>
      </c>
      <c r="G98" s="18">
        <v>5384.410881518748</v>
      </c>
      <c r="H98" s="12">
        <f>E99</f>
      </c>
      <c r="I98" s="12">
        <f>F99</f>
      </c>
      <c r="J98" s="12">
        <f>G99</f>
      </c>
      <c r="K98">
        <f>IF(AND(Pu&gt;=MIN(E98,H98),Pu&lt;=MAX(E98,H98),E98&lt;&gt;H98),1,0)</f>
      </c>
      <c r="L98">
        <f>IF(K98=1,(Pu-E98)/(H98-E98),"")</f>
      </c>
      <c r="M98" s="12">
        <f>IF(K98=1,F98+L98*(I98-F98),"")</f>
      </c>
      <c r="N98" s="12">
        <f>IF(K98=1,G98+L98*(J98-G98),"")</f>
      </c>
    </row>
    <row r="99" spans="2:14" x14ac:dyDescent="0.25">
      <c r="B99">
        <v>3</v>
      </c>
      <c r="C99">
        <v>1.8750000000000107</v>
      </c>
      <c r="D99">
        <v>18</v>
      </c>
      <c r="E99" s="18">
        <v>5928.202192213527</v>
      </c>
      <c r="F99" s="18">
        <v>117.11850023174043</v>
      </c>
      <c r="G99" s="18">
        <v>5498.670055250076</v>
      </c>
      <c r="H99" s="12">
        <f>E100</f>
      </c>
      <c r="I99" s="12">
        <f>F100</f>
      </c>
      <c r="J99" s="12">
        <f>G100</f>
      </c>
      <c r="K99">
        <f>IF(AND(Pu&gt;=MIN(E99,H99),Pu&lt;=MAX(E99,H99),E99&lt;&gt;H99),1,0)</f>
      </c>
      <c r="L99">
        <f>IF(K99=1,(Pu-E99)/(H99-E99),"")</f>
      </c>
      <c r="M99" s="12">
        <f>IF(K99=1,F99+L99*(I99-F99),"")</f>
      </c>
      <c r="N99" s="12">
        <f>IF(K99=1,G99+L99*(J99-G99),"")</f>
      </c>
    </row>
    <row r="100" spans="2:14" x14ac:dyDescent="0.25">
      <c r="B100">
        <v>3</v>
      </c>
      <c r="C100">
        <v>1.8750000000000107</v>
      </c>
      <c r="D100">
        <v>19</v>
      </c>
      <c r="E100" s="18">
        <v>5745.629471121568</v>
      </c>
      <c r="F100" s="18">
        <v>120.39666005816237</v>
      </c>
      <c r="G100" s="18">
        <v>5603.988435964237</v>
      </c>
      <c r="H100" s="12">
        <f>E101</f>
      </c>
      <c r="I100" s="12">
        <f>F101</f>
      </c>
      <c r="J100" s="12">
        <f>G101</f>
      </c>
      <c r="K100">
        <f>IF(AND(Pu&gt;=MIN(E100,H100),Pu&lt;=MAX(E100,H100),E100&lt;&gt;H100),1,0)</f>
      </c>
      <c r="L100">
        <f>IF(K100=1,(Pu-E100)/(H100-E100),"")</f>
      </c>
      <c r="M100" s="12">
        <f>IF(K100=1,F100+L100*(I100-F100),"")</f>
      </c>
      <c r="N100" s="12">
        <f>IF(K100=1,G100+L100*(J100-G100),"")</f>
      </c>
    </row>
    <row r="101" spans="2:14" x14ac:dyDescent="0.25">
      <c r="B101">
        <v>3</v>
      </c>
      <c r="C101">
        <v>1.8750000000000107</v>
      </c>
      <c r="D101">
        <v>20</v>
      </c>
      <c r="E101" s="18">
        <v>5735.170854552952</v>
      </c>
      <c r="F101" s="18">
        <v>119.66860818698824</v>
      </c>
      <c r="G101" s="18">
        <v>5610.574901129795</v>
      </c>
      <c r="H101" s="12">
        <f>E102</f>
      </c>
      <c r="I101" s="12">
        <f>F102</f>
      </c>
      <c r="J101" s="12">
        <f>G102</f>
      </c>
      <c r="K101">
        <f>IF(AND(Pu&gt;=MIN(E101,H101),Pu&lt;=MAX(E101,H101),E101&lt;&gt;H101),1,0)</f>
      </c>
      <c r="L101">
        <f>IF(K101=1,(Pu-E101)/(H101-E101),"")</f>
      </c>
      <c r="M101" s="12">
        <f>IF(K101=1,F101+L101*(I101-F101),"")</f>
      </c>
      <c r="N101" s="12">
        <f>IF(K101=1,G101+L101*(J101-G101),"")</f>
      </c>
    </row>
    <row r="102" spans="2:14" x14ac:dyDescent="0.25">
      <c r="B102">
        <v>3</v>
      </c>
      <c r="C102">
        <v>1.8750000000000107</v>
      </c>
      <c r="D102">
        <v>21</v>
      </c>
      <c r="E102" s="18">
        <v>5580.81814392586</v>
      </c>
      <c r="F102" s="18">
        <v>114.99632884096079</v>
      </c>
      <c r="G102" s="18">
        <v>5711.273193725633</v>
      </c>
      <c r="H102" s="12">
        <f>E103</f>
      </c>
      <c r="I102" s="12">
        <f>F103</f>
      </c>
      <c r="J102" s="12">
        <f>G103</f>
      </c>
      <c r="K102">
        <f>IF(AND(Pu&gt;=MIN(E102,H102),Pu&lt;=MAX(E102,H102),E102&lt;&gt;H102),1,0)</f>
      </c>
      <c r="L102">
        <f>IF(K102=1,(Pu-E102)/(H102-E102),"")</f>
      </c>
      <c r="M102" s="12">
        <f>IF(K102=1,F102+L102*(I102-F102),"")</f>
      </c>
      <c r="N102" s="12">
        <f>IF(K102=1,G102+L102*(J102-G102),"")</f>
      </c>
    </row>
    <row r="103" spans="2:14" x14ac:dyDescent="0.25">
      <c r="B103">
        <v>3</v>
      </c>
      <c r="C103">
        <v>1.8750000000000107</v>
      </c>
      <c r="D103">
        <v>22</v>
      </c>
      <c r="E103" s="18">
        <v>5441.943337728232</v>
      </c>
      <c r="F103" s="18">
        <v>115.90827521078454</v>
      </c>
      <c r="G103" s="18">
        <v>5677.362049487343</v>
      </c>
      <c r="H103" s="12">
        <f>E104</f>
      </c>
      <c r="I103" s="12">
        <f>F104</f>
      </c>
      <c r="J103" s="12">
        <f>G104</f>
      </c>
      <c r="K103">
        <f>IF(AND(Pu&gt;=MIN(E103,H103),Pu&lt;=MAX(E103,H103),E103&lt;&gt;H103),1,0)</f>
      </c>
      <c r="L103">
        <f>IF(K103=1,(Pu-E103)/(H103-E103),"")</f>
      </c>
      <c r="M103" s="12">
        <f>IF(K103=1,F103+L103*(I103-F103),"")</f>
      </c>
      <c r="N103" s="12">
        <f>IF(K103=1,G103+L103*(J103-G103),"")</f>
      </c>
    </row>
    <row r="104" spans="2:14" x14ac:dyDescent="0.25">
      <c r="B104">
        <v>3</v>
      </c>
      <c r="C104">
        <v>1.8750000000000107</v>
      </c>
      <c r="D104">
        <v>23</v>
      </c>
      <c r="E104" s="18">
        <v>4980.360057648458</v>
      </c>
      <c r="F104" s="18">
        <v>119.10578113549853</v>
      </c>
      <c r="G104" s="18">
        <v>5560.864116806003</v>
      </c>
      <c r="H104" s="12">
        <f>E105</f>
      </c>
      <c r="I104" s="12">
        <f>F105</f>
      </c>
      <c r="J104" s="12">
        <f>G105</f>
      </c>
      <c r="K104">
        <f>IF(AND(Pu&gt;=MIN(E104,H104),Pu&lt;=MAX(E104,H104),E104&lt;&gt;H104),1,0)</f>
      </c>
      <c r="L104">
        <f>IF(K104=1,(Pu-E104)/(H104-E104),"")</f>
      </c>
      <c r="M104" s="12">
        <f>IF(K104=1,F104+L104*(I104-F104),"")</f>
      </c>
      <c r="N104" s="12">
        <f>IF(K104=1,G104+L104*(J104-G104),"")</f>
      </c>
    </row>
    <row r="105" spans="2:14" x14ac:dyDescent="0.25">
      <c r="B105">
        <v>3</v>
      </c>
      <c r="C105">
        <v>1.8750000000000107</v>
      </c>
      <c r="D105">
        <v>24</v>
      </c>
      <c r="E105" s="18">
        <v>4226.554649596922</v>
      </c>
      <c r="F105" s="18">
        <v>99.90200987997474</v>
      </c>
      <c r="G105" s="18">
        <v>5355.300815949713</v>
      </c>
      <c r="H105" s="12">
        <f>E106</f>
      </c>
      <c r="I105" s="12">
        <f>F106</f>
      </c>
      <c r="J105" s="12">
        <f>G106</f>
      </c>
      <c r="K105">
        <f>IF(AND(Pu&gt;=MIN(E105,H105),Pu&lt;=MAX(E105,H105),E105&lt;&gt;H105),1,0)</f>
      </c>
      <c r="L105">
        <f>IF(K105=1,(Pu-E105)/(H105-E105),"")</f>
      </c>
      <c r="M105" s="12">
        <f>IF(K105=1,F105+L105*(I105-F105),"")</f>
      </c>
      <c r="N105" s="12">
        <f>IF(K105=1,G105+L105*(J105-G105),"")</f>
      </c>
    </row>
    <row r="106" spans="2:14" x14ac:dyDescent="0.25">
      <c r="B106">
        <v>3</v>
      </c>
      <c r="C106">
        <v>1.8750000000000107</v>
      </c>
      <c r="D106">
        <v>25</v>
      </c>
      <c r="E106" s="18">
        <v>3697.9135411032703</v>
      </c>
      <c r="F106" s="18">
        <v>111.6093043602377</v>
      </c>
      <c r="G106" s="18">
        <v>5167.166289284258</v>
      </c>
      <c r="H106" s="12">
        <f>E107</f>
      </c>
      <c r="I106" s="12">
        <f>F107</f>
      </c>
      <c r="J106" s="12">
        <f>G107</f>
      </c>
      <c r="K106">
        <f>IF(AND(Pu&gt;=MIN(E106,H106),Pu&lt;=MAX(E106,H106),E106&lt;&gt;H106),1,0)</f>
      </c>
      <c r="L106">
        <f>IF(K106=1,(Pu-E106)/(H106-E106),"")</f>
      </c>
      <c r="M106" s="12">
        <f>IF(K106=1,F106+L106*(I106-F106),"")</f>
      </c>
      <c r="N106" s="12">
        <f>IF(K106=1,G106+L106*(J106-G106),"")</f>
      </c>
    </row>
    <row r="107" spans="2:14" x14ac:dyDescent="0.25">
      <c r="B107">
        <v>3</v>
      </c>
      <c r="C107">
        <v>1.8750000000000107</v>
      </c>
      <c r="D107">
        <v>26</v>
      </c>
      <c r="E107" s="18">
        <v>3212.3533211573676</v>
      </c>
      <c r="F107" s="18">
        <v>117.9540624752203</v>
      </c>
      <c r="G107" s="18">
        <v>4985.686441566271</v>
      </c>
      <c r="H107" s="12">
        <f>E108</f>
      </c>
      <c r="I107" s="12">
        <f>F108</f>
      </c>
      <c r="J107" s="12">
        <f>G108</f>
      </c>
      <c r="K107">
        <f>IF(AND(Pu&gt;=MIN(E107,H107),Pu&lt;=MAX(E107,H107),E107&lt;&gt;H107),1,0)</f>
      </c>
      <c r="L107">
        <f>IF(K107=1,(Pu-E107)/(H107-E107),"")</f>
      </c>
      <c r="M107" s="12">
        <f>IF(K107=1,F107+L107*(I107-F107),"")</f>
      </c>
      <c r="N107" s="12">
        <f>IF(K107=1,G107+L107*(J107-G107),"")</f>
      </c>
    </row>
    <row r="108" spans="2:14" x14ac:dyDescent="0.25">
      <c r="B108">
        <v>3</v>
      </c>
      <c r="C108">
        <v>1.8750000000000107</v>
      </c>
      <c r="D108">
        <v>27</v>
      </c>
      <c r="E108" s="18">
        <v>2456.513047282803</v>
      </c>
      <c r="F108" s="18">
        <v>109.26031617538409</v>
      </c>
      <c r="G108" s="18">
        <v>4663.281731969177</v>
      </c>
      <c r="H108" s="12">
        <f>E109</f>
      </c>
      <c r="I108" s="12">
        <f>F109</f>
      </c>
      <c r="J108" s="12">
        <f>G109</f>
      </c>
      <c r="K108">
        <f>IF(AND(Pu&gt;=MIN(E108,H108),Pu&lt;=MAX(E108,H108),E108&lt;&gt;H108),1,0)</f>
      </c>
      <c r="L108">
        <f>IF(K108=1,(Pu-E108)/(H108-E108),"")</f>
      </c>
      <c r="M108" s="12">
        <f>IF(K108=1,F108+L108*(I108-F108),"")</f>
      </c>
      <c r="N108" s="12">
        <f>IF(K108=1,G108+L108*(J108-G108),"")</f>
      </c>
    </row>
    <row r="109" spans="2:14" x14ac:dyDescent="0.25">
      <c r="B109">
        <v>3</v>
      </c>
      <c r="C109">
        <v>1.8750000000000107</v>
      </c>
      <c r="D109">
        <v>28</v>
      </c>
      <c r="E109" s="18">
        <v>1877.578864426082</v>
      </c>
      <c r="F109" s="18">
        <v>118.26840104591861</v>
      </c>
      <c r="G109" s="18">
        <v>4379.130084874306</v>
      </c>
      <c r="H109" s="12">
        <f>E110</f>
      </c>
      <c r="I109" s="12">
        <f>F110</f>
      </c>
      <c r="J109" s="12">
        <f>G110</f>
      </c>
      <c r="K109">
        <f>IF(AND(Pu&gt;=MIN(E109,H109),Pu&lt;=MAX(E109,H109),E109&lt;&gt;H109),1,0)</f>
      </c>
      <c r="L109">
        <f>IF(K109=1,(Pu-E109)/(H109-E109),"")</f>
      </c>
      <c r="M109" s="12">
        <f>IF(K109=1,F109+L109*(I109-F109),"")</f>
      </c>
      <c r="N109" s="12">
        <f>IF(K109=1,G109+L109*(J109-G109),"")</f>
      </c>
    </row>
    <row r="110" spans="2:14" x14ac:dyDescent="0.25">
      <c r="B110">
        <v>3</v>
      </c>
      <c r="C110">
        <v>1.8750000000000107</v>
      </c>
      <c r="D110">
        <v>29</v>
      </c>
      <c r="E110" s="18">
        <v>1138.6956400735367</v>
      </c>
      <c r="F110" s="18">
        <v>127.05793654009128</v>
      </c>
      <c r="G110" s="18">
        <v>3992.730279509161</v>
      </c>
      <c r="H110" s="12">
        <f>E111</f>
      </c>
      <c r="I110" s="12">
        <f>F111</f>
      </c>
      <c r="J110" s="12">
        <f>G111</f>
      </c>
      <c r="K110">
        <f>IF(AND(Pu&gt;=MIN(E110,H110),Pu&lt;=MAX(E110,H110),E110&lt;&gt;H110),1,0)</f>
      </c>
      <c r="L110">
        <f>IF(K110=1,(Pu-E110)/(H110-E110),"")</f>
      </c>
      <c r="M110" s="12">
        <f>IF(K110=1,F110+L110*(I110-F110),"")</f>
      </c>
      <c r="N110" s="12">
        <f>IF(K110=1,G110+L110*(J110-G110),"")</f>
      </c>
    </row>
    <row r="111" spans="2:14" x14ac:dyDescent="0.25">
      <c r="B111">
        <v>3</v>
      </c>
      <c r="C111">
        <v>1.8750000000000107</v>
      </c>
      <c r="D111">
        <v>30</v>
      </c>
      <c r="E111" s="18">
        <v>512.4762726801454</v>
      </c>
      <c r="F111" s="18">
        <v>89.85684292765237</v>
      </c>
      <c r="G111" s="18">
        <v>3644.8786045487664</v>
      </c>
      <c r="H111" s="12">
        <f>E112</f>
      </c>
      <c r="I111" s="12">
        <f>F112</f>
      </c>
      <c r="J111" s="12">
        <f>G112</f>
      </c>
      <c r="K111">
        <f>IF(AND(Pu&gt;=MIN(E111,H111),Pu&lt;=MAX(E111,H111),E111&lt;&gt;H111),1,0)</f>
      </c>
      <c r="L111">
        <f>IF(K111=1,(Pu-E111)/(H111-E111),"")</f>
      </c>
      <c r="M111" s="12">
        <f>IF(K111=1,F111+L111*(I111-F111),"")</f>
      </c>
      <c r="N111" s="12">
        <f>IF(K111=1,G111+L111*(J111-G111),"")</f>
      </c>
    </row>
    <row r="112" spans="2:14" x14ac:dyDescent="0.25">
      <c r="B112">
        <v>3</v>
      </c>
      <c r="C112">
        <v>1.8750000000000107</v>
      </c>
      <c r="D112">
        <v>31</v>
      </c>
      <c r="E112" s="18">
        <v>-325.43085716294837</v>
      </c>
      <c r="F112" s="18">
        <v>86.88738585344392</v>
      </c>
      <c r="G112" s="18">
        <v>3130.281250635335</v>
      </c>
      <c r="H112" s="12">
        <f>E113</f>
      </c>
      <c r="I112" s="12">
        <f>F113</f>
      </c>
      <c r="J112" s="12">
        <f>G113</f>
      </c>
      <c r="K112">
        <f>IF(AND(Pu&gt;=MIN(E112,H112),Pu&lt;=MAX(E112,H112),E112&lt;&gt;H112),1,0)</f>
      </c>
      <c r="L112">
        <f>IF(K112=1,(Pu-E112)/(H112-E112),"")</f>
      </c>
      <c r="M112" s="12">
        <f>IF(K112=1,F112+L112*(I112-F112),"")</f>
      </c>
      <c r="N112" s="12">
        <f>IF(K112=1,G112+L112*(J112-G112),"")</f>
      </c>
    </row>
    <row r="113" spans="2:14" x14ac:dyDescent="0.25">
      <c r="B113">
        <v>3</v>
      </c>
      <c r="C113">
        <v>1.8750000000000107</v>
      </c>
      <c r="D113">
        <v>32</v>
      </c>
      <c r="E113" s="18">
        <v>-955.403769722022</v>
      </c>
      <c r="F113" s="18">
        <v>81.64268141876899</v>
      </c>
      <c r="G113" s="18">
        <v>2725.5786502524716</v>
      </c>
      <c r="H113" s="12">
        <f>E114</f>
      </c>
      <c r="I113" s="12">
        <f>F114</f>
      </c>
      <c r="J113" s="12">
        <f>G114</f>
      </c>
      <c r="K113">
        <f>IF(AND(Pu&gt;=MIN(E113,H113),Pu&lt;=MAX(E113,H113),E113&lt;&gt;H113),1,0)</f>
      </c>
      <c r="L113">
        <f>IF(K113=1,(Pu-E113)/(H113-E113),"")</f>
      </c>
      <c r="M113" s="12">
        <f>IF(K113=1,F113+L113*(I113-F113),"")</f>
      </c>
      <c r="N113" s="12">
        <f>IF(K113=1,G113+L113*(J113-G113),"")</f>
      </c>
    </row>
    <row r="114" spans="2:14" x14ac:dyDescent="0.25">
      <c r="B114">
        <v>3</v>
      </c>
      <c r="C114">
        <v>1.8750000000000107</v>
      </c>
      <c r="D114">
        <v>33</v>
      </c>
      <c r="E114" s="18">
        <v>-1852.1238229096696</v>
      </c>
      <c r="F114" s="18">
        <v>77.81010637805328</v>
      </c>
      <c r="G114" s="18">
        <v>2130.537849423856</v>
      </c>
      <c r="H114" s="12">
        <f>E115</f>
      </c>
      <c r="I114" s="12">
        <f>F115</f>
      </c>
      <c r="J114" s="12">
        <f>G115</f>
      </c>
      <c r="K114">
        <f>IF(AND(Pu&gt;=MIN(E114,H114),Pu&lt;=MAX(E114,H114),E114&lt;&gt;H114),1,0)</f>
      </c>
      <c r="L114">
        <f>IF(K114=1,(Pu-E114)/(H114-E114),"")</f>
      </c>
      <c r="M114" s="12">
        <f>IF(K114=1,F114+L114*(I114-F114),"")</f>
      </c>
      <c r="N114" s="12">
        <f>IF(K114=1,G114+L114*(J114-G114),"")</f>
      </c>
    </row>
    <row r="115" spans="2:14" x14ac:dyDescent="0.25">
      <c r="B115">
        <v>3</v>
      </c>
      <c r="C115">
        <v>1.8750000000000107</v>
      </c>
      <c r="D115">
        <v>34</v>
      </c>
      <c r="E115" s="18">
        <v>-2454.5978223827838</v>
      </c>
      <c r="F115" s="18">
        <v>72.93188150296606</v>
      </c>
      <c r="G115" s="18">
        <v>1721.4937011906338</v>
      </c>
      <c r="H115" s="12">
        <f>E116</f>
      </c>
      <c r="I115" s="12">
        <f>F116</f>
      </c>
      <c r="J115" s="12">
        <f>G116</f>
      </c>
      <c r="K115">
        <f>IF(AND(Pu&gt;=MIN(E115,H115),Pu&lt;=MAX(E115,H115),E115&lt;&gt;H115),1,0)</f>
      </c>
      <c r="L115">
        <f>IF(K115=1,(Pu-E115)/(H115-E115),"")</f>
      </c>
      <c r="M115" s="12">
        <f>IF(K115=1,F115+L115*(I115-F115),"")</f>
      </c>
      <c r="N115" s="12">
        <f>IF(K115=1,G115+L115*(J115-G115),"")</f>
      </c>
    </row>
    <row r="116" spans="2:14" x14ac:dyDescent="0.25">
      <c r="B116">
        <v>3</v>
      </c>
      <c r="C116">
        <v>1.8750000000000107</v>
      </c>
      <c r="D116">
        <v>35</v>
      </c>
      <c r="E116" s="18">
        <v>-3653.3481675468215</v>
      </c>
      <c r="F116" s="18">
        <v>85.85896905985314</v>
      </c>
      <c r="G116" s="18">
        <v>897.3899557654373</v>
      </c>
      <c r="H116" s="12">
        <f>E117</f>
      </c>
      <c r="I116" s="12">
        <f>F117</f>
      </c>
      <c r="J116" s="12">
        <f>G117</f>
      </c>
      <c r="K116">
        <f>IF(AND(Pu&gt;=MIN(E116,H116),Pu&lt;=MAX(E116,H116),E116&lt;&gt;H116),1,0)</f>
      </c>
      <c r="L116">
        <f>IF(K116=1,(Pu-E116)/(H116-E116),"")</f>
      </c>
      <c r="M116" s="12">
        <f>IF(K116=1,F116+L116*(I116-F116),"")</f>
      </c>
      <c r="N116" s="12">
        <f>IF(K116=1,G116+L116*(J116-G116),"")</f>
      </c>
    </row>
    <row r="117" spans="2:7" x14ac:dyDescent="0.25">
      <c r="B117">
        <v>3</v>
      </c>
      <c r="C117">
        <v>1.8750000000000107</v>
      </c>
      <c r="D117">
        <v>36</v>
      </c>
      <c r="E117" s="18">
        <v>-4407.403673335358</v>
      </c>
      <c r="F117" s="18">
        <v>50.59090707257213</v>
      </c>
      <c r="G117" s="18">
        <v>375.9047063844116</v>
      </c>
    </row>
    <row r="119" spans="2:14" x14ac:dyDescent="0.25">
      <c r="B119">
        <v>4</v>
      </c>
      <c r="C119">
        <v>3.7500000000000213</v>
      </c>
      <c r="D119">
        <v>1</v>
      </c>
      <c r="E119" s="18">
        <v>17489.580345636376</v>
      </c>
      <c r="F119" s="18">
        <v>156.721555391727</v>
      </c>
      <c r="G119" s="18">
        <v>2799.512446181112</v>
      </c>
      <c r="H119" s="12">
        <f>E120</f>
      </c>
      <c r="I119" s="12">
        <f>F120</f>
      </c>
      <c r="J119" s="12">
        <f>G120</f>
      </c>
      <c r="K119">
        <f>IF(AND(Pu&gt;=MIN(E119,H119),Pu&lt;=MAX(E119,H119),E119&lt;&gt;H119),1,0)</f>
      </c>
      <c r="L119">
        <f>IF(K119=1,(Pu-E119)/(H119-E119),"")</f>
      </c>
      <c r="M119" s="12">
        <f>IF(K119=1,F119+L119*(I119-F119),"")</f>
      </c>
      <c r="N119" s="12">
        <f>IF(K119=1,G119+L119*(J119-G119),"")</f>
      </c>
    </row>
    <row r="120" spans="2:14" x14ac:dyDescent="0.25">
      <c r="B120">
        <v>4</v>
      </c>
      <c r="C120">
        <v>3.7500000000000213</v>
      </c>
      <c r="D120">
        <v>2</v>
      </c>
      <c r="E120" s="18">
        <v>16878.345566701537</v>
      </c>
      <c r="F120" s="18">
        <v>142.84572011692694</v>
      </c>
      <c r="G120" s="18">
        <v>3099.049468698061</v>
      </c>
      <c r="H120" s="12">
        <f>E121</f>
      </c>
      <c r="I120" s="12">
        <f>F121</f>
      </c>
      <c r="J120" s="12">
        <f>G121</f>
      </c>
      <c r="K120">
        <f>IF(AND(Pu&gt;=MIN(E120,H120),Pu&lt;=MAX(E120,H120),E120&lt;&gt;H120),1,0)</f>
      </c>
      <c r="L120">
        <f>IF(K120=1,(Pu-E120)/(H120-E120),"")</f>
      </c>
      <c r="M120" s="12">
        <f>IF(K120=1,F120+L120*(I120-F120),"")</f>
      </c>
      <c r="N120" s="12">
        <f>IF(K120=1,G120+L120*(J120-G120),"")</f>
      </c>
    </row>
    <row r="121" spans="2:14" x14ac:dyDescent="0.25">
      <c r="B121">
        <v>4</v>
      </c>
      <c r="C121">
        <v>3.7500000000000213</v>
      </c>
      <c r="D121">
        <v>3</v>
      </c>
      <c r="E121" s="18">
        <v>16117.62924344133</v>
      </c>
      <c r="F121" s="18">
        <v>137.6809669191063</v>
      </c>
      <c r="G121" s="18">
        <v>3421.7245718515915</v>
      </c>
      <c r="H121" s="12">
        <f>E122</f>
      </c>
      <c r="I121" s="12">
        <f>F122</f>
      </c>
      <c r="J121" s="12">
        <f>G122</f>
      </c>
      <c r="K121">
        <f>IF(AND(Pu&gt;=MIN(E121,H121),Pu&lt;=MAX(E121,H121),E121&lt;&gt;H121),1,0)</f>
      </c>
      <c r="L121">
        <f>IF(K121=1,(Pu-E121)/(H121-E121),"")</f>
      </c>
      <c r="M121" s="12">
        <f>IF(K121=1,F121+L121*(I121-F121),"")</f>
      </c>
      <c r="N121" s="12">
        <f>IF(K121=1,G121+L121*(J121-G121),"")</f>
      </c>
    </row>
    <row r="122" spans="2:14" x14ac:dyDescent="0.25">
      <c r="B122">
        <v>4</v>
      </c>
      <c r="C122">
        <v>3.7500000000000213</v>
      </c>
      <c r="D122">
        <v>4</v>
      </c>
      <c r="E122" s="18">
        <v>15391.4085544829</v>
      </c>
      <c r="F122" s="18">
        <v>151.13577089118695</v>
      </c>
      <c r="G122" s="18">
        <v>3684.573826082487</v>
      </c>
      <c r="H122" s="12">
        <f>E123</f>
      </c>
      <c r="I122" s="12">
        <f>F123</f>
      </c>
      <c r="J122" s="12">
        <f>G123</f>
      </c>
      <c r="K122">
        <f>IF(AND(Pu&gt;=MIN(E122,H122),Pu&lt;=MAX(E122,H122),E122&lt;&gt;H122),1,0)</f>
      </c>
      <c r="L122">
        <f>IF(K122=1,(Pu-E122)/(H122-E122),"")</f>
      </c>
      <c r="M122" s="12">
        <f>IF(K122=1,F122+L122*(I122-F122),"")</f>
      </c>
      <c r="N122" s="12">
        <f>IF(K122=1,G122+L122*(J122-G122),"")</f>
      </c>
    </row>
    <row r="123" spans="2:14" x14ac:dyDescent="0.25">
      <c r="B123">
        <v>4</v>
      </c>
      <c r="C123">
        <v>3.7500000000000213</v>
      </c>
      <c r="D123">
        <v>5</v>
      </c>
      <c r="E123" s="18">
        <v>14044.877329044899</v>
      </c>
      <c r="F123" s="18">
        <v>170.30320025577976</v>
      </c>
      <c r="G123" s="18">
        <v>4070.0867917360492</v>
      </c>
      <c r="H123" s="12">
        <f>E124</f>
      </c>
      <c r="I123" s="12">
        <f>F124</f>
      </c>
      <c r="J123" s="12">
        <f>G124</f>
      </c>
      <c r="K123">
        <f>IF(AND(Pu&gt;=MIN(E123,H123),Pu&lt;=MAX(E123,H123),E123&lt;&gt;H123),1,0)</f>
      </c>
      <c r="L123">
        <f>IF(K123=1,(Pu-E123)/(H123-E123),"")</f>
      </c>
      <c r="M123" s="12">
        <f>IF(K123=1,F123+L123*(I123-F123),"")</f>
      </c>
      <c r="N123" s="12">
        <f>IF(K123=1,G123+L123*(J123-G123),"")</f>
      </c>
    </row>
    <row r="124" spans="2:14" x14ac:dyDescent="0.25">
      <c r="B124">
        <v>4</v>
      </c>
      <c r="C124">
        <v>3.7500000000000213</v>
      </c>
      <c r="D124">
        <v>6</v>
      </c>
      <c r="E124" s="18">
        <v>11938.483522307408</v>
      </c>
      <c r="F124" s="18">
        <v>208.2904685169423</v>
      </c>
      <c r="G124" s="18">
        <v>4441.243970742903</v>
      </c>
      <c r="H124" s="12">
        <f>E125</f>
      </c>
      <c r="I124" s="12">
        <f>F125</f>
      </c>
      <c r="J124" s="12">
        <f>G125</f>
      </c>
      <c r="K124">
        <f>IF(AND(Pu&gt;=MIN(E124,H124),Pu&lt;=MAX(E124,H124),E124&lt;&gt;H124),1,0)</f>
      </c>
      <c r="L124">
        <f>IF(K124=1,(Pu-E124)/(H124-E124),"")</f>
      </c>
      <c r="M124" s="12">
        <f>IF(K124=1,F124+L124*(I124-F124),"")</f>
      </c>
      <c r="N124" s="12">
        <f>IF(K124=1,G124+L124*(J124-G124),"")</f>
      </c>
    </row>
    <row r="125" spans="2:14" x14ac:dyDescent="0.25">
      <c r="B125">
        <v>4</v>
      </c>
      <c r="C125">
        <v>3.7500000000000213</v>
      </c>
      <c r="D125">
        <v>7</v>
      </c>
      <c r="E125" s="18">
        <v>9906.70082313848</v>
      </c>
      <c r="F125" s="18">
        <v>212.33395804541667</v>
      </c>
      <c r="G125" s="18">
        <v>4667.223124604636</v>
      </c>
      <c r="H125" s="12">
        <f>E126</f>
      </c>
      <c r="I125" s="12">
        <f>F126</f>
      </c>
      <c r="J125" s="12">
        <f>G126</f>
      </c>
      <c r="K125">
        <f>IF(AND(Pu&gt;=MIN(E125,H125),Pu&lt;=MAX(E125,H125),E125&lt;&gt;H125),1,0)</f>
      </c>
      <c r="L125">
        <f>IF(K125=1,(Pu-E125)/(H125-E125),"")</f>
      </c>
      <c r="M125" s="12">
        <f>IF(K125=1,F125+L125*(I125-F125),"")</f>
      </c>
      <c r="N125" s="12">
        <f>IF(K125=1,G125+L125*(J125-G125),"")</f>
      </c>
    </row>
    <row r="126" spans="2:14" x14ac:dyDescent="0.25">
      <c r="B126">
        <v>4</v>
      </c>
      <c r="C126">
        <v>3.7500000000000213</v>
      </c>
      <c r="D126">
        <v>8</v>
      </c>
      <c r="E126" s="18">
        <v>8916.334864531293</v>
      </c>
      <c r="F126" s="18">
        <v>226.40137590395906</v>
      </c>
      <c r="G126" s="18">
        <v>4741.215745525986</v>
      </c>
      <c r="H126" s="12">
        <f>E127</f>
      </c>
      <c r="I126" s="12">
        <f>F127</f>
      </c>
      <c r="J126" s="12">
        <f>G127</f>
      </c>
      <c r="K126">
        <f>IF(AND(Pu&gt;=MIN(E126,H126),Pu&lt;=MAX(E126,H126),E126&lt;&gt;H126),1,0)</f>
      </c>
      <c r="L126">
        <f>IF(K126=1,(Pu-E126)/(H126-E126),"")</f>
      </c>
      <c r="M126" s="12">
        <f>IF(K126=1,F126+L126*(I126-F126),"")</f>
      </c>
      <c r="N126" s="12">
        <f>IF(K126=1,G126+L126*(J126-G126),"")</f>
      </c>
    </row>
    <row r="127" spans="2:14" x14ac:dyDescent="0.25">
      <c r="B127">
        <v>4</v>
      </c>
      <c r="C127">
        <v>3.7500000000000213</v>
      </c>
      <c r="D127">
        <v>9</v>
      </c>
      <c r="E127" s="18">
        <v>8386.970999330522</v>
      </c>
      <c r="F127" s="18">
        <v>231.996530487334</v>
      </c>
      <c r="G127" s="18">
        <v>4848.219215135551</v>
      </c>
      <c r="H127" s="12">
        <f>E128</f>
      </c>
      <c r="I127" s="12">
        <f>F128</f>
      </c>
      <c r="J127" s="12">
        <f>G128</f>
      </c>
      <c r="K127">
        <f>IF(AND(Pu&gt;=MIN(E127,H127),Pu&lt;=MAX(E127,H127),E127&lt;&gt;H127),1,0)</f>
      </c>
      <c r="L127">
        <f>IF(K127=1,(Pu-E127)/(H127-E127),"")</f>
      </c>
      <c r="M127" s="12">
        <f>IF(K127=1,F127+L127*(I127-F127),"")</f>
      </c>
      <c r="N127" s="12">
        <f>IF(K127=1,G127+L127*(J127-G127),"")</f>
      </c>
    </row>
    <row r="128" spans="2:14" x14ac:dyDescent="0.25">
      <c r="B128">
        <v>4</v>
      </c>
      <c r="C128">
        <v>3.7500000000000213</v>
      </c>
      <c r="D128">
        <v>10</v>
      </c>
      <c r="E128" s="18">
        <v>8019.0840288643385</v>
      </c>
      <c r="F128" s="18">
        <v>239.31939692266195</v>
      </c>
      <c r="G128" s="18">
        <v>4904.121717071064</v>
      </c>
      <c r="H128" s="12">
        <f>E129</f>
      </c>
      <c r="I128" s="12">
        <f>F129</f>
      </c>
      <c r="J128" s="12">
        <f>G129</f>
      </c>
      <c r="K128">
        <f>IF(AND(Pu&gt;=MIN(E128,H128),Pu&lt;=MAX(E128,H128),E128&lt;&gt;H128),1,0)</f>
      </c>
      <c r="L128">
        <f>IF(K128=1,(Pu-E128)/(H128-E128),"")</f>
      </c>
      <c r="M128" s="12">
        <f>IF(K128=1,F128+L128*(I128-F128),"")</f>
      </c>
      <c r="N128" s="12">
        <f>IF(K128=1,G128+L128*(J128-G128),"")</f>
      </c>
    </row>
    <row r="129" spans="2:14" x14ac:dyDescent="0.25">
      <c r="B129">
        <v>4</v>
      </c>
      <c r="C129">
        <v>3.7500000000000213</v>
      </c>
      <c r="D129">
        <v>11</v>
      </c>
      <c r="E129" s="18">
        <v>7315.608757818491</v>
      </c>
      <c r="F129" s="18">
        <v>251.13863425640076</v>
      </c>
      <c r="G129" s="18">
        <v>4992.8319963624635</v>
      </c>
      <c r="H129" s="12">
        <f>E130</f>
      </c>
      <c r="I129" s="12">
        <f>F130</f>
      </c>
      <c r="J129" s="12">
        <f>G130</f>
      </c>
      <c r="K129">
        <f>IF(AND(Pu&gt;=MIN(E129,H129),Pu&lt;=MAX(E129,H129),E129&lt;&gt;H129),1,0)</f>
      </c>
      <c r="L129">
        <f>IF(K129=1,(Pu-E129)/(H129-E129),"")</f>
      </c>
      <c r="M129" s="12">
        <f>IF(K129=1,F129+L129*(I129-F129),"")</f>
      </c>
      <c r="N129" s="12">
        <f>IF(K129=1,G129+L129*(J129-G129),"")</f>
      </c>
    </row>
    <row r="130" spans="2:14" x14ac:dyDescent="0.25">
      <c r="B130">
        <v>4</v>
      </c>
      <c r="C130">
        <v>3.7500000000000213</v>
      </c>
      <c r="D130">
        <v>12</v>
      </c>
      <c r="E130" s="18">
        <v>7182.966982638483</v>
      </c>
      <c r="F130" s="18">
        <v>253.30348318657823</v>
      </c>
      <c r="G130" s="18">
        <v>5007.609924792718</v>
      </c>
      <c r="H130" s="12">
        <f>E131</f>
      </c>
      <c r="I130" s="12">
        <f>F131</f>
      </c>
      <c r="J130" s="12">
        <f>G131</f>
      </c>
      <c r="K130">
        <f>IF(AND(Pu&gt;=MIN(E130,H130),Pu&lt;=MAX(E130,H130),E130&lt;&gt;H130),1,0)</f>
      </c>
      <c r="L130">
        <f>IF(K130=1,(Pu-E130)/(H130-E130),"")</f>
      </c>
      <c r="M130" s="12">
        <f>IF(K130=1,F130+L130*(I130-F130),"")</f>
      </c>
      <c r="N130" s="12">
        <f>IF(K130=1,G130+L130*(J130-G130),"")</f>
      </c>
    </row>
    <row r="131" spans="2:14" x14ac:dyDescent="0.25">
      <c r="B131">
        <v>4</v>
      </c>
      <c r="C131">
        <v>3.7500000000000213</v>
      </c>
      <c r="D131">
        <v>13</v>
      </c>
      <c r="E131" s="18">
        <v>6624.810838235835</v>
      </c>
      <c r="F131" s="18">
        <v>233.43102594159893</v>
      </c>
      <c r="G131" s="18">
        <v>5125.674887778431</v>
      </c>
      <c r="H131" s="12">
        <f>E132</f>
      </c>
      <c r="I131" s="12">
        <f>F132</f>
      </c>
      <c r="J131" s="12">
        <f>G132</f>
      </c>
      <c r="K131">
        <f>IF(AND(Pu&gt;=MIN(E131,H131),Pu&lt;=MAX(E131,H131),E131&lt;&gt;H131),1,0)</f>
      </c>
      <c r="L131">
        <f>IF(K131=1,(Pu-E131)/(H131-E131),"")</f>
      </c>
      <c r="M131" s="12">
        <f>IF(K131=1,F131+L131*(I131-F131),"")</f>
      </c>
      <c r="N131" s="12">
        <f>IF(K131=1,G131+L131*(J131-G131),"")</f>
      </c>
    </row>
    <row r="132" spans="2:14" x14ac:dyDescent="0.25">
      <c r="B132">
        <v>4</v>
      </c>
      <c r="C132">
        <v>3.7500000000000213</v>
      </c>
      <c r="D132">
        <v>14</v>
      </c>
      <c r="E132" s="18">
        <v>6603.222847806236</v>
      </c>
      <c r="F132" s="18">
        <v>233.70439090766445</v>
      </c>
      <c r="G132" s="18">
        <v>5133.89867751672</v>
      </c>
      <c r="H132" s="12">
        <f>E133</f>
      </c>
      <c r="I132" s="12">
        <f>F133</f>
      </c>
      <c r="J132" s="12">
        <f>G133</f>
      </c>
      <c r="K132">
        <f>IF(AND(Pu&gt;=MIN(E132,H132),Pu&lt;=MAX(E132,H132),E132&lt;&gt;H132),1,0)</f>
      </c>
      <c r="L132">
        <f>IF(K132=1,(Pu-E132)/(H132-E132),"")</f>
      </c>
      <c r="M132" s="12">
        <f>IF(K132=1,F132+L132*(I132-F132),"")</f>
      </c>
      <c r="N132" s="12">
        <f>IF(K132=1,G132+L132*(J132-G132),"")</f>
      </c>
    </row>
    <row r="133" spans="2:14" x14ac:dyDescent="0.25">
      <c r="B133">
        <v>4</v>
      </c>
      <c r="C133">
        <v>3.7500000000000213</v>
      </c>
      <c r="D133">
        <v>15</v>
      </c>
      <c r="E133" s="18">
        <v>6313.82777939694</v>
      </c>
      <c r="F133" s="18">
        <v>219.6768396211068</v>
      </c>
      <c r="G133" s="18">
        <v>5251.693197892086</v>
      </c>
      <c r="H133" s="12">
        <f>E134</f>
      </c>
      <c r="I133" s="12">
        <f>F134</f>
      </c>
      <c r="J133" s="12">
        <f>G134</f>
      </c>
      <c r="K133">
        <f>IF(AND(Pu&gt;=MIN(E133,H133),Pu&lt;=MAX(E133,H133),E133&lt;&gt;H133),1,0)</f>
      </c>
      <c r="L133">
        <f>IF(K133=1,(Pu-E133)/(H133-E133),"")</f>
      </c>
      <c r="M133" s="12">
        <f>IF(K133=1,F133+L133*(I133-F133),"")</f>
      </c>
      <c r="N133" s="12">
        <f>IF(K133=1,G133+L133*(J133-G133),"")</f>
      </c>
    </row>
    <row r="134" spans="2:14" x14ac:dyDescent="0.25">
      <c r="B134">
        <v>4</v>
      </c>
      <c r="C134">
        <v>3.7500000000000213</v>
      </c>
      <c r="D134">
        <v>16</v>
      </c>
      <c r="E134" s="18">
        <v>6217.555399468104</v>
      </c>
      <c r="F134" s="18">
        <v>217.66636533649125</v>
      </c>
      <c r="G134" s="18">
        <v>5295.262928537341</v>
      </c>
      <c r="H134" s="12">
        <f>E135</f>
      </c>
      <c r="I134" s="12">
        <f>F135</f>
      </c>
      <c r="J134" s="12">
        <f>G135</f>
      </c>
      <c r="K134">
        <f>IF(AND(Pu&gt;=MIN(E134,H134),Pu&lt;=MAX(E134,H134),E134&lt;&gt;H134),1,0)</f>
      </c>
      <c r="L134">
        <f>IF(K134=1,(Pu-E134)/(H134-E134),"")</f>
      </c>
      <c r="M134" s="12">
        <f>IF(K134=1,F134+L134*(I134-F134),"")</f>
      </c>
      <c r="N134" s="12">
        <f>IF(K134=1,G134+L134*(J134-G134),"")</f>
      </c>
    </row>
    <row r="135" spans="2:14" x14ac:dyDescent="0.25">
      <c r="B135">
        <v>4</v>
      </c>
      <c r="C135">
        <v>3.7500000000000213</v>
      </c>
      <c r="D135">
        <v>17</v>
      </c>
      <c r="E135" s="18">
        <v>6074.4414977979595</v>
      </c>
      <c r="F135" s="18">
        <v>218.73550874520612</v>
      </c>
      <c r="G135" s="18">
        <v>5365.402604929751</v>
      </c>
      <c r="H135" s="12">
        <f>E136</f>
      </c>
      <c r="I135" s="12">
        <f>F136</f>
      </c>
      <c r="J135" s="12">
        <f>G136</f>
      </c>
      <c r="K135">
        <f>IF(AND(Pu&gt;=MIN(E135,H135),Pu&lt;=MAX(E135,H135),E135&lt;&gt;H135),1,0)</f>
      </c>
      <c r="L135">
        <f>IF(K135=1,(Pu-E135)/(H135-E135),"")</f>
      </c>
      <c r="M135" s="12">
        <f>IF(K135=1,F135+L135*(I135-F135),"")</f>
      </c>
      <c r="N135" s="12">
        <f>IF(K135=1,G135+L135*(J135-G135),"")</f>
      </c>
    </row>
    <row r="136" spans="2:14" x14ac:dyDescent="0.25">
      <c r="B136">
        <v>4</v>
      </c>
      <c r="C136">
        <v>3.7500000000000213</v>
      </c>
      <c r="D136">
        <v>18</v>
      </c>
      <c r="E136" s="18">
        <v>5874.567076134598</v>
      </c>
      <c r="F136" s="18">
        <v>233.42423059499754</v>
      </c>
      <c r="G136" s="18">
        <v>5479.515501755564</v>
      </c>
      <c r="H136" s="12">
        <f>E137</f>
      </c>
      <c r="I136" s="12">
        <f>F137</f>
      </c>
      <c r="J136" s="12">
        <f>G137</f>
      </c>
      <c r="K136">
        <f>IF(AND(Pu&gt;=MIN(E136,H136),Pu&lt;=MAX(E136,H136),E136&lt;&gt;H136),1,0)</f>
      </c>
      <c r="L136">
        <f>IF(K136=1,(Pu-E136)/(H136-E136),"")</f>
      </c>
      <c r="M136" s="12">
        <f>IF(K136=1,F136+L136*(I136-F136),"")</f>
      </c>
      <c r="N136" s="12">
        <f>IF(K136=1,G136+L136*(J136-G136),"")</f>
      </c>
    </row>
    <row r="137" spans="2:14" x14ac:dyDescent="0.25">
      <c r="B137">
        <v>4</v>
      </c>
      <c r="C137">
        <v>3.7500000000000213</v>
      </c>
      <c r="D137">
        <v>19</v>
      </c>
      <c r="E137" s="18">
        <v>5700.459645686821</v>
      </c>
      <c r="F137" s="18">
        <v>236.18191780184867</v>
      </c>
      <c r="G137" s="18">
        <v>5576.667251985947</v>
      </c>
      <c r="H137" s="12">
        <f>E138</f>
      </c>
      <c r="I137" s="12">
        <f>F138</f>
      </c>
      <c r="J137" s="12">
        <f>G138</f>
      </c>
      <c r="K137">
        <f>IF(AND(Pu&gt;=MIN(E137,H137),Pu&lt;=MAX(E137,H137),E137&lt;&gt;H137),1,0)</f>
      </c>
      <c r="L137">
        <f>IF(K137=1,(Pu-E137)/(H137-E137),"")</f>
      </c>
      <c r="M137" s="12">
        <f>IF(K137=1,F137+L137*(I137-F137),"")</f>
      </c>
      <c r="N137" s="12">
        <f>IF(K137=1,G137+L137*(J137-G137),"")</f>
      </c>
    </row>
    <row r="138" spans="2:14" x14ac:dyDescent="0.25">
      <c r="B138">
        <v>4</v>
      </c>
      <c r="C138">
        <v>3.7500000000000213</v>
      </c>
      <c r="D138">
        <v>20</v>
      </c>
      <c r="E138" s="18">
        <v>5684.756704261399</v>
      </c>
      <c r="F138" s="18">
        <v>235.64027974727804</v>
      </c>
      <c r="G138" s="18">
        <v>5586.008511510727</v>
      </c>
      <c r="H138" s="12">
        <f>E139</f>
      </c>
      <c r="I138" s="12">
        <f>F139</f>
      </c>
      <c r="J138" s="12">
        <f>G139</f>
      </c>
      <c r="K138">
        <f>IF(AND(Pu&gt;=MIN(E138,H138),Pu&lt;=MAX(E138,H138),E138&lt;&gt;H138),1,0)</f>
      </c>
      <c r="L138">
        <f>IF(K138=1,(Pu-E138)/(H138-E138),"")</f>
      </c>
      <c r="M138" s="12">
        <f>IF(K138=1,F138+L138*(I138-F138),"")</f>
      </c>
      <c r="N138" s="12">
        <f>IF(K138=1,G138+L138*(J138-G138),"")</f>
      </c>
    </row>
    <row r="139" spans="2:14" x14ac:dyDescent="0.25">
      <c r="B139">
        <v>4</v>
      </c>
      <c r="C139">
        <v>3.7500000000000213</v>
      </c>
      <c r="D139">
        <v>21</v>
      </c>
      <c r="E139" s="18">
        <v>5511.6246682756</v>
      </c>
      <c r="F139" s="18">
        <v>229.28415071179177</v>
      </c>
      <c r="G139" s="18">
        <v>5686.417094913698</v>
      </c>
      <c r="H139" s="12">
        <f>E140</f>
      </c>
      <c r="I139" s="12">
        <f>F140</f>
      </c>
      <c r="J139" s="12">
        <f>G140</f>
      </c>
      <c r="K139">
        <f>IF(AND(Pu&gt;=MIN(E139,H139),Pu&lt;=MAX(E139,H139),E139&lt;&gt;H139),1,0)</f>
      </c>
      <c r="L139">
        <f>IF(K139=1,(Pu-E139)/(H139-E139),"")</f>
      </c>
      <c r="M139" s="12">
        <f>IF(K139=1,F139+L139*(I139-F139),"")</f>
      </c>
      <c r="N139" s="12">
        <f>IF(K139=1,G139+L139*(J139-G139),"")</f>
      </c>
    </row>
    <row r="140" spans="2:14" x14ac:dyDescent="0.25">
      <c r="B140">
        <v>4</v>
      </c>
      <c r="C140">
        <v>3.7500000000000213</v>
      </c>
      <c r="D140">
        <v>22</v>
      </c>
      <c r="E140" s="18">
        <v>5379.4626745642945</v>
      </c>
      <c r="F140" s="18">
        <v>230.57573720679636</v>
      </c>
      <c r="G140" s="18">
        <v>5653.92601336393</v>
      </c>
      <c r="H140" s="12">
        <f>E141</f>
      </c>
      <c r="I140" s="12">
        <f>F141</f>
      </c>
      <c r="J140" s="12">
        <f>G141</f>
      </c>
      <c r="K140">
        <f>IF(AND(Pu&gt;=MIN(E140,H140),Pu&lt;=MAX(E140,H140),E140&lt;&gt;H140),1,0)</f>
      </c>
      <c r="L140">
        <f>IF(K140=1,(Pu-E140)/(H140-E140),"")</f>
      </c>
      <c r="M140" s="12">
        <f>IF(K140=1,F140+L140*(I140-F140),"")</f>
      </c>
      <c r="N140" s="12">
        <f>IF(K140=1,G140+L140*(J140-G140),"")</f>
      </c>
    </row>
    <row r="141" spans="2:14" x14ac:dyDescent="0.25">
      <c r="B141">
        <v>4</v>
      </c>
      <c r="C141">
        <v>3.7500000000000213</v>
      </c>
      <c r="D141">
        <v>23</v>
      </c>
      <c r="E141" s="18">
        <v>4912.133044962687</v>
      </c>
      <c r="F141" s="18">
        <v>236.86937971119315</v>
      </c>
      <c r="G141" s="18">
        <v>5534.031717476983</v>
      </c>
      <c r="H141" s="12">
        <f>E142</f>
      </c>
      <c r="I141" s="12">
        <f>F142</f>
      </c>
      <c r="J141" s="12">
        <f>G142</f>
      </c>
      <c r="K141">
        <f>IF(AND(Pu&gt;=MIN(E141,H141),Pu&lt;=MAX(E141,H141),E141&lt;&gt;H141),1,0)</f>
      </c>
      <c r="L141">
        <f>IF(K141=1,(Pu-E141)/(H141-E141),"")</f>
      </c>
      <c r="M141" s="12">
        <f>IF(K141=1,F141+L141*(I141-F141),"")</f>
      </c>
      <c r="N141" s="12">
        <f>IF(K141=1,G141+L141*(J141-G141),"")</f>
      </c>
    </row>
    <row r="142" spans="2:14" x14ac:dyDescent="0.25">
      <c r="B142">
        <v>4</v>
      </c>
      <c r="C142">
        <v>3.7500000000000213</v>
      </c>
      <c r="D142">
        <v>24</v>
      </c>
      <c r="E142" s="18">
        <v>4165.02984375993</v>
      </c>
      <c r="F142" s="18">
        <v>215.03328956795795</v>
      </c>
      <c r="G142" s="18">
        <v>5322.341740059019</v>
      </c>
      <c r="H142" s="12">
        <f>E143</f>
      </c>
      <c r="I142" s="12">
        <f>F143</f>
      </c>
      <c r="J142" s="12">
        <f>G143</f>
      </c>
      <c r="K142">
        <f>IF(AND(Pu&gt;=MIN(E142,H142),Pu&lt;=MAX(E142,H142),E142&lt;&gt;H142),1,0)</f>
      </c>
      <c r="L142">
        <f>IF(K142=1,(Pu-E142)/(H142-E142),"")</f>
      </c>
      <c r="M142" s="12">
        <f>IF(K142=1,F142+L142*(I142-F142),"")</f>
      </c>
      <c r="N142" s="12">
        <f>IF(K142=1,G142+L142*(J142-G142),"")</f>
      </c>
    </row>
    <row r="143" spans="2:14" x14ac:dyDescent="0.25">
      <c r="B143">
        <v>4</v>
      </c>
      <c r="C143">
        <v>3.7500000000000213</v>
      </c>
      <c r="D143">
        <v>25</v>
      </c>
      <c r="E143" s="18">
        <v>3610.5496775514125</v>
      </c>
      <c r="F143" s="18">
        <v>222.72527049467885</v>
      </c>
      <c r="G143" s="18">
        <v>5127.978576936041</v>
      </c>
      <c r="H143" s="12">
        <f>E144</f>
      </c>
      <c r="I143" s="12">
        <f>F144</f>
      </c>
      <c r="J143" s="12">
        <f>G144</f>
      </c>
      <c r="K143">
        <f>IF(AND(Pu&gt;=MIN(E143,H143),Pu&lt;=MAX(E143,H143),E143&lt;&gt;H143),1,0)</f>
      </c>
      <c r="L143">
        <f>IF(K143=1,(Pu-E143)/(H143-E143),"")</f>
      </c>
      <c r="M143" s="12">
        <f>IF(K143=1,F143+L143*(I143-F143),"")</f>
      </c>
      <c r="N143" s="12">
        <f>IF(K143=1,G143+L143*(J143-G143),"")</f>
      </c>
    </row>
    <row r="144" spans="2:14" x14ac:dyDescent="0.25">
      <c r="B144">
        <v>4</v>
      </c>
      <c r="C144">
        <v>3.7500000000000213</v>
      </c>
      <c r="D144">
        <v>26</v>
      </c>
      <c r="E144" s="18">
        <v>3105.3017298352675</v>
      </c>
      <c r="F144" s="18">
        <v>237.922817299829</v>
      </c>
      <c r="G144" s="18">
        <v>4935.340244709829</v>
      </c>
      <c r="H144" s="12">
        <f>E145</f>
      </c>
      <c r="I144" s="12">
        <f>F145</f>
      </c>
      <c r="J144" s="12">
        <f>G145</f>
      </c>
      <c r="K144">
        <f>IF(AND(Pu&gt;=MIN(E144,H144),Pu&lt;=MAX(E144,H144),E144&lt;&gt;H144),1,0)</f>
      </c>
      <c r="L144">
        <f>IF(K144=1,(Pu-E144)/(H144-E144),"")</f>
      </c>
      <c r="M144" s="12">
        <f>IF(K144=1,F144+L144*(I144-F144),"")</f>
      </c>
      <c r="N144" s="12">
        <f>IF(K144=1,G144+L144*(J144-G144),"")</f>
      </c>
    </row>
    <row r="145" spans="2:14" x14ac:dyDescent="0.25">
      <c r="B145">
        <v>4</v>
      </c>
      <c r="C145">
        <v>3.7500000000000213</v>
      </c>
      <c r="D145">
        <v>27</v>
      </c>
      <c r="E145" s="18">
        <v>2330.682652190504</v>
      </c>
      <c r="F145" s="18">
        <v>220.25100451799827</v>
      </c>
      <c r="G145" s="18">
        <v>4596.729040115486</v>
      </c>
      <c r="H145" s="12">
        <f>E146</f>
      </c>
      <c r="I145" s="12">
        <f>F146</f>
      </c>
      <c r="J145" s="12">
        <f>G146</f>
      </c>
      <c r="K145">
        <f>IF(AND(Pu&gt;=MIN(E145,H145),Pu&lt;=MAX(E145,H145),E145&lt;&gt;H145),1,0)</f>
      </c>
      <c r="L145">
        <f>IF(K145=1,(Pu-E145)/(H145-E145),"")</f>
      </c>
      <c r="M145" s="12">
        <f>IF(K145=1,F145+L145*(I145-F145),"")</f>
      </c>
      <c r="N145" s="12">
        <f>IF(K145=1,G145+L145*(J145-G145),"")</f>
      </c>
    </row>
    <row r="146" spans="2:14" x14ac:dyDescent="0.25">
      <c r="B146">
        <v>4</v>
      </c>
      <c r="C146">
        <v>3.7500000000000213</v>
      </c>
      <c r="D146">
        <v>28</v>
      </c>
      <c r="E146" s="18">
        <v>1663.6078708069795</v>
      </c>
      <c r="F146" s="18">
        <v>244.6345097377015</v>
      </c>
      <c r="G146" s="18">
        <v>4259.374731074121</v>
      </c>
      <c r="H146" s="12">
        <f>E147</f>
      </c>
      <c r="I146" s="12">
        <f>F147</f>
      </c>
      <c r="J146" s="12">
        <f>G147</f>
      </c>
      <c r="K146">
        <f>IF(AND(Pu&gt;=MIN(E146,H146),Pu&lt;=MAX(E146,H146),E146&lt;&gt;H146),1,0)</f>
      </c>
      <c r="L146">
        <f>IF(K146=1,(Pu-E146)/(H146-E146),"")</f>
      </c>
      <c r="M146" s="12">
        <f>IF(K146=1,F146+L146*(I146-F146),"")</f>
      </c>
      <c r="N146" s="12">
        <f>IF(K146=1,G146+L146*(J146-G146),"")</f>
      </c>
    </row>
    <row r="147" spans="2:14" x14ac:dyDescent="0.25">
      <c r="B147">
        <v>4</v>
      </c>
      <c r="C147">
        <v>3.7500000000000213</v>
      </c>
      <c r="D147">
        <v>29</v>
      </c>
      <c r="E147" s="18">
        <v>873.6803506119804</v>
      </c>
      <c r="F147" s="18">
        <v>240.89033518120593</v>
      </c>
      <c r="G147" s="18">
        <v>3831.1550203229635</v>
      </c>
      <c r="H147" s="12">
        <f>E148</f>
      </c>
      <c r="I147" s="12">
        <f>F148</f>
      </c>
      <c r="J147" s="12">
        <f>G148</f>
      </c>
      <c r="K147">
        <f>IF(AND(Pu&gt;=MIN(E147,H147),Pu&lt;=MAX(E147,H147),E147&lt;&gt;H147),1,0)</f>
      </c>
      <c r="L147">
        <f>IF(K147=1,(Pu-E147)/(H147-E147),"")</f>
      </c>
      <c r="M147" s="12">
        <f>IF(K147=1,F147+L147*(I147-F147),"")</f>
      </c>
      <c r="N147" s="12">
        <f>IF(K147=1,G147+L147*(J147-G147),"")</f>
      </c>
    </row>
    <row r="148" spans="2:14" x14ac:dyDescent="0.25">
      <c r="B148">
        <v>4</v>
      </c>
      <c r="C148">
        <v>3.7500000000000213</v>
      </c>
      <c r="D148">
        <v>30</v>
      </c>
      <c r="E148" s="18">
        <v>229.61747664307643</v>
      </c>
      <c r="F148" s="18">
        <v>192.0350305449053</v>
      </c>
      <c r="G148" s="18">
        <v>3461.9022014988623</v>
      </c>
      <c r="H148" s="12">
        <f>E149</f>
      </c>
      <c r="I148" s="12">
        <f>F149</f>
      </c>
      <c r="J148" s="12">
        <f>G149</f>
      </c>
      <c r="K148">
        <f>IF(AND(Pu&gt;=MIN(E148,H148),Pu&lt;=MAX(E148,H148),E148&lt;&gt;H148),1,0)</f>
      </c>
      <c r="L148">
        <f>IF(K148=1,(Pu-E148)/(H148-E148),"")</f>
      </c>
      <c r="M148" s="12">
        <f>IF(K148=1,F148+L148*(I148-F148),"")</f>
      </c>
      <c r="N148" s="12">
        <f>IF(K148=1,G148+L148*(J148-G148),"")</f>
      </c>
    </row>
    <row r="149" spans="2:14" x14ac:dyDescent="0.25">
      <c r="B149">
        <v>4</v>
      </c>
      <c r="C149">
        <v>3.7500000000000213</v>
      </c>
      <c r="D149">
        <v>31</v>
      </c>
      <c r="E149" s="18">
        <v>-665.8203735066068</v>
      </c>
      <c r="F149" s="18">
        <v>165.91414458648387</v>
      </c>
      <c r="G149" s="18">
        <v>2907.8285427729143</v>
      </c>
      <c r="H149" s="12">
        <f>E150</f>
      </c>
      <c r="I149" s="12">
        <f>F150</f>
      </c>
      <c r="J149" s="12">
        <f>G150</f>
      </c>
      <c r="K149">
        <f>IF(AND(Pu&gt;=MIN(E149,H149),Pu&lt;=MAX(E149,H149),E149&lt;&gt;H149),1,0)</f>
      </c>
      <c r="L149">
        <f>IF(K149=1,(Pu-E149)/(H149-E149),"")</f>
      </c>
      <c r="M149" s="12">
        <f>IF(K149=1,F149+L149*(I149-F149),"")</f>
      </c>
      <c r="N149" s="12">
        <f>IF(K149=1,G149+L149*(J149-G149),"")</f>
      </c>
    </row>
    <row r="150" spans="2:14" x14ac:dyDescent="0.25">
      <c r="B150">
        <v>4</v>
      </c>
      <c r="C150">
        <v>3.7500000000000213</v>
      </c>
      <c r="D150">
        <v>32</v>
      </c>
      <c r="E150" s="18">
        <v>-1315.9689572409354</v>
      </c>
      <c r="F150" s="18">
        <v>155.61902621972533</v>
      </c>
      <c r="G150" s="18">
        <v>2484.9541531577934</v>
      </c>
      <c r="H150" s="12">
        <f>E151</f>
      </c>
      <c r="I150" s="12">
        <f>F151</f>
      </c>
      <c r="J150" s="12">
        <f>G151</f>
      </c>
      <c r="K150">
        <f>IF(AND(Pu&gt;=MIN(E150,H150),Pu&lt;=MAX(E150,H150),E150&lt;&gt;H150),1,0)</f>
      </c>
      <c r="L150">
        <f>IF(K150=1,(Pu-E150)/(H150-E150),"")</f>
      </c>
      <c r="M150" s="12">
        <f>IF(K150=1,F150+L150*(I150-F150),"")</f>
      </c>
      <c r="N150" s="12">
        <f>IF(K150=1,G150+L150*(J150-G150),"")</f>
      </c>
    </row>
    <row r="151" spans="2:14" x14ac:dyDescent="0.25">
      <c r="B151">
        <v>4</v>
      </c>
      <c r="C151">
        <v>3.7500000000000213</v>
      </c>
      <c r="D151">
        <v>33</v>
      </c>
      <c r="E151" s="18">
        <v>-2217.330788609227</v>
      </c>
      <c r="F151" s="18">
        <v>141.20961085791453</v>
      </c>
      <c r="G151" s="18">
        <v>1880.9089611051302</v>
      </c>
      <c r="H151" s="12">
        <f>E152</f>
      </c>
      <c r="I151" s="12">
        <f>F152</f>
      </c>
      <c r="J151" s="12">
        <f>G152</f>
      </c>
      <c r="K151">
        <f>IF(AND(Pu&gt;=MIN(E151,H151),Pu&lt;=MAX(E151,H151),E151&lt;&gt;H151),1,0)</f>
      </c>
      <c r="L151">
        <f>IF(K151=1,(Pu-E151)/(H151-E151),"")</f>
      </c>
      <c r="M151" s="12">
        <f>IF(K151=1,F151+L151*(I151-F151),"")</f>
      </c>
      <c r="N151" s="12">
        <f>IF(K151=1,G151+L151*(J151-G151),"")</f>
      </c>
    </row>
    <row r="152" spans="2:14" x14ac:dyDescent="0.25">
      <c r="B152">
        <v>4</v>
      </c>
      <c r="C152">
        <v>3.7500000000000213</v>
      </c>
      <c r="D152">
        <v>34</v>
      </c>
      <c r="E152" s="18">
        <v>-2894.154272097807</v>
      </c>
      <c r="F152" s="18">
        <v>143.74803556509212</v>
      </c>
      <c r="G152" s="18">
        <v>1417.6828610513976</v>
      </c>
      <c r="H152" s="12">
        <f>E153</f>
      </c>
      <c r="I152" s="12">
        <f>F153</f>
      </c>
      <c r="J152" s="12">
        <f>G153</f>
      </c>
      <c r="K152">
        <f>IF(AND(Pu&gt;=MIN(E152,H152),Pu&lt;=MAX(E152,H152),E152&lt;&gt;H152),1,0)</f>
      </c>
      <c r="L152">
        <f>IF(K152=1,(Pu-E152)/(H152-E152),"")</f>
      </c>
      <c r="M152" s="12">
        <f>IF(K152=1,F152+L152*(I152-F152),"")</f>
      </c>
      <c r="N152" s="12">
        <f>IF(K152=1,G152+L152*(J152-G152),"")</f>
      </c>
    </row>
    <row r="153" spans="2:14" x14ac:dyDescent="0.25">
      <c r="B153">
        <v>4</v>
      </c>
      <c r="C153">
        <v>3.7500000000000213</v>
      </c>
      <c r="D153">
        <v>35</v>
      </c>
      <c r="E153" s="18">
        <v>-4118.232507514974</v>
      </c>
      <c r="F153" s="18">
        <v>141.9729286843941</v>
      </c>
      <c r="G153" s="18">
        <v>571.442718001618</v>
      </c>
      <c r="H153" s="12">
        <f>E154</f>
      </c>
      <c r="I153" s="12">
        <f>F154</f>
      </c>
      <c r="J153" s="12">
        <f>G154</f>
      </c>
      <c r="K153">
        <f>IF(AND(Pu&gt;=MIN(E153,H153),Pu&lt;=MAX(E153,H153),E153&lt;&gt;H153),1,0)</f>
      </c>
      <c r="L153">
        <f>IF(K153=1,(Pu-E153)/(H153-E153),"")</f>
      </c>
      <c r="M153" s="12">
        <f>IF(K153=1,F153+L153*(I153-F153),"")</f>
      </c>
      <c r="N153" s="12">
        <f>IF(K153=1,G153+L153*(J153-G153),"")</f>
      </c>
    </row>
    <row r="154" spans="2:7" x14ac:dyDescent="0.25">
      <c r="B154">
        <v>4</v>
      </c>
      <c r="C154">
        <v>3.7500000000000213</v>
      </c>
      <c r="D154">
        <v>36</v>
      </c>
      <c r="E154" s="18">
        <v>-4615.2962228393235</v>
      </c>
      <c r="F154" s="18">
        <v>67.60447026018238</v>
      </c>
      <c r="G154" s="18">
        <v>224.1111423653473</v>
      </c>
    </row>
    <row r="156" spans="2:14" x14ac:dyDescent="0.25">
      <c r="B156">
        <v>5</v>
      </c>
      <c r="C156">
        <v>7.499999999999991</v>
      </c>
      <c r="D156">
        <v>1</v>
      </c>
      <c r="E156" s="18">
        <v>17041.11927125074</v>
      </c>
      <c r="F156" s="18">
        <v>298.0481382390434</v>
      </c>
      <c r="G156" s="18">
        <v>3000.9233066719034</v>
      </c>
      <c r="H156" s="12">
        <f>E157</f>
      </c>
      <c r="I156" s="12">
        <f>F157</f>
      </c>
      <c r="J156" s="12">
        <f>G157</f>
      </c>
      <c r="K156">
        <f>IF(AND(Pu&gt;=MIN(E156,H156),Pu&lt;=MAX(E156,H156),E156&lt;&gt;H156),1,0)</f>
      </c>
      <c r="L156">
        <f>IF(K156=1,(Pu-E156)/(H156-E156),"")</f>
      </c>
      <c r="M156" s="12">
        <f>IF(K156=1,F156+L156*(I156-F156),"")</f>
      </c>
      <c r="N156" s="12">
        <f>IF(K156=1,G156+L156*(J156-G156),"")</f>
      </c>
    </row>
    <row r="157" spans="2:14" x14ac:dyDescent="0.25">
      <c r="B157">
        <v>5</v>
      </c>
      <c r="C157">
        <v>7.499999999999991</v>
      </c>
      <c r="D157">
        <v>2</v>
      </c>
      <c r="E157" s="18">
        <v>16225.136624395936</v>
      </c>
      <c r="F157" s="18">
        <v>281.46424152246374</v>
      </c>
      <c r="G157" s="18">
        <v>3357.855170205657</v>
      </c>
      <c r="H157" s="12">
        <f>E158</f>
      </c>
      <c r="I157" s="12">
        <f>F158</f>
      </c>
      <c r="J157" s="12">
        <f>G158</f>
      </c>
      <c r="K157">
        <f>IF(AND(Pu&gt;=MIN(E157,H157),Pu&lt;=MAX(E157,H157),E157&lt;&gt;H157),1,0)</f>
      </c>
      <c r="L157">
        <f>IF(K157=1,(Pu-E157)/(H157-E157),"")</f>
      </c>
      <c r="M157" s="12">
        <f>IF(K157=1,F157+L157*(I157-F157),"")</f>
      </c>
      <c r="N157" s="12">
        <f>IF(K157=1,G157+L157*(J157-G157),"")</f>
      </c>
    </row>
    <row r="158" spans="2:14" x14ac:dyDescent="0.25">
      <c r="B158">
        <v>5</v>
      </c>
      <c r="C158">
        <v>7.499999999999991</v>
      </c>
      <c r="D158">
        <v>3</v>
      </c>
      <c r="E158" s="18">
        <v>15485.334508502203</v>
      </c>
      <c r="F158" s="18">
        <v>298.7207390619033</v>
      </c>
      <c r="G158" s="18">
        <v>3632.1826974091837</v>
      </c>
      <c r="H158" s="12">
        <f>E159</f>
      </c>
      <c r="I158" s="12">
        <f>F159</f>
      </c>
      <c r="J158" s="12">
        <f>G159</f>
      </c>
      <c r="K158">
        <f>IF(AND(Pu&gt;=MIN(E158,H158),Pu&lt;=MAX(E158,H158),E158&lt;&gt;H158),1,0)</f>
      </c>
      <c r="L158">
        <f>IF(K158=1,(Pu-E158)/(H158-E158),"")</f>
      </c>
      <c r="M158" s="12">
        <f>IF(K158=1,F158+L158*(I158-F158),"")</f>
      </c>
      <c r="N158" s="12">
        <f>IF(K158=1,G158+L158*(J158-G158),"")</f>
      </c>
    </row>
    <row r="159" spans="2:14" x14ac:dyDescent="0.25">
      <c r="B159">
        <v>5</v>
      </c>
      <c r="C159">
        <v>7.499999999999991</v>
      </c>
      <c r="D159">
        <v>4</v>
      </c>
      <c r="E159" s="18">
        <v>14105.258920460139</v>
      </c>
      <c r="F159" s="18">
        <v>342.4687094844365</v>
      </c>
      <c r="G159" s="18">
        <v>4030.4098060556676</v>
      </c>
      <c r="H159" s="12">
        <f>E160</f>
      </c>
      <c r="I159" s="12">
        <f>F160</f>
      </c>
      <c r="J159" s="12">
        <f>G160</f>
      </c>
      <c r="K159">
        <f>IF(AND(Pu&gt;=MIN(E159,H159),Pu&lt;=MAX(E159,H159),E159&lt;&gt;H159),1,0)</f>
      </c>
      <c r="L159">
        <f>IF(K159=1,(Pu-E159)/(H159-E159),"")</f>
      </c>
      <c r="M159" s="12">
        <f>IF(K159=1,F159+L159*(I159-F159),"")</f>
      </c>
      <c r="N159" s="12">
        <f>IF(K159=1,G159+L159*(J159-G159),"")</f>
      </c>
    </row>
    <row r="160" spans="2:14" x14ac:dyDescent="0.25">
      <c r="B160">
        <v>5</v>
      </c>
      <c r="C160">
        <v>7.499999999999991</v>
      </c>
      <c r="D160">
        <v>5</v>
      </c>
      <c r="E160" s="18">
        <v>12016.794070736567</v>
      </c>
      <c r="F160" s="18">
        <v>421.18716814252696</v>
      </c>
      <c r="G160" s="18">
        <v>4392.014358353617</v>
      </c>
      <c r="H160" s="12">
        <f>E161</f>
      </c>
      <c r="I160" s="12">
        <f>F161</f>
      </c>
      <c r="J160" s="12">
        <f>G161</f>
      </c>
      <c r="K160">
        <f>IF(AND(Pu&gt;=MIN(E160,H160),Pu&lt;=MAX(E160,H160),E160&lt;&gt;H160),1,0)</f>
      </c>
      <c r="L160">
        <f>IF(K160=1,(Pu-E160)/(H160-E160),"")</f>
      </c>
      <c r="M160" s="12">
        <f>IF(K160=1,F160+L160*(I160-F160),"")</f>
      </c>
      <c r="N160" s="12">
        <f>IF(K160=1,G160+L160*(J160-G160),"")</f>
      </c>
    </row>
    <row r="161" spans="2:14" x14ac:dyDescent="0.25">
      <c r="B161">
        <v>5</v>
      </c>
      <c r="C161">
        <v>7.499999999999991</v>
      </c>
      <c r="D161">
        <v>6</v>
      </c>
      <c r="E161" s="18">
        <v>9929.719432428055</v>
      </c>
      <c r="F161" s="18">
        <v>432.76741289860735</v>
      </c>
      <c r="G161" s="18">
        <v>4617.709031120588</v>
      </c>
      <c r="H161" s="12">
        <f>E162</f>
      </c>
      <c r="I161" s="12">
        <f>F162</f>
      </c>
      <c r="J161" s="12">
        <f>G162</f>
      </c>
      <c r="K161">
        <f>IF(AND(Pu&gt;=MIN(E161,H161),Pu&lt;=MAX(E161,H161),E161&lt;&gt;H161),1,0)</f>
      </c>
      <c r="L161">
        <f>IF(K161=1,(Pu-E161)/(H161-E161),"")</f>
      </c>
      <c r="M161" s="12">
        <f>IF(K161=1,F161+L161*(I161-F161),"")</f>
      </c>
      <c r="N161" s="12">
        <f>IF(K161=1,G161+L161*(J161-G161),"")</f>
      </c>
    </row>
    <row r="162" spans="2:14" x14ac:dyDescent="0.25">
      <c r="B162">
        <v>5</v>
      </c>
      <c r="C162">
        <v>7.499999999999991</v>
      </c>
      <c r="D162">
        <v>7</v>
      </c>
      <c r="E162" s="18">
        <v>8848.813736068716</v>
      </c>
      <c r="F162" s="18">
        <v>443.5658065348863</v>
      </c>
      <c r="G162" s="18">
        <v>4691.802793414547</v>
      </c>
      <c r="H162" s="12">
        <f>E163</f>
      </c>
      <c r="I162" s="12">
        <f>F163</f>
      </c>
      <c r="J162" s="12">
        <f>G163</f>
      </c>
      <c r="K162">
        <f>IF(AND(Pu&gt;=MIN(E162,H162),Pu&lt;=MAX(E162,H162),E162&lt;&gt;H162),1,0)</f>
      </c>
      <c r="L162">
        <f>IF(K162=1,(Pu-E162)/(H162-E162),"")</f>
      </c>
      <c r="M162" s="12">
        <f>IF(K162=1,F162+L162*(I162-F162),"")</f>
      </c>
      <c r="N162" s="12">
        <f>IF(K162=1,G162+L162*(J162-G162),"")</f>
      </c>
    </row>
    <row r="163" spans="2:14" x14ac:dyDescent="0.25">
      <c r="B163">
        <v>5</v>
      </c>
      <c r="C163">
        <v>7.499999999999991</v>
      </c>
      <c r="D163">
        <v>8</v>
      </c>
      <c r="E163" s="18">
        <v>8328.041605711665</v>
      </c>
      <c r="F163" s="18">
        <v>460.4589536658778</v>
      </c>
      <c r="G163" s="18">
        <v>4802.045868739322</v>
      </c>
      <c r="H163" s="12">
        <f>E164</f>
      </c>
      <c r="I163" s="12">
        <f>F164</f>
      </c>
      <c r="J163" s="12">
        <f>G164</f>
      </c>
      <c r="K163">
        <f>IF(AND(Pu&gt;=MIN(E163,H163),Pu&lt;=MAX(E163,H163),E163&lt;&gt;H163),1,0)</f>
      </c>
      <c r="L163">
        <f>IF(K163=1,(Pu-E163)/(H163-E163),"")</f>
      </c>
      <c r="M163" s="12">
        <f>IF(K163=1,F163+L163*(I163-F163),"")</f>
      </c>
      <c r="N163" s="12">
        <f>IF(K163=1,G163+L163*(J163-G163),"")</f>
      </c>
    </row>
    <row r="164" spans="2:14" x14ac:dyDescent="0.25">
      <c r="B164">
        <v>5</v>
      </c>
      <c r="C164">
        <v>7.499999999999991</v>
      </c>
      <c r="D164">
        <v>9</v>
      </c>
      <c r="E164" s="18">
        <v>7902.626386426943</v>
      </c>
      <c r="F164" s="18">
        <v>472.61983965051394</v>
      </c>
      <c r="G164" s="18">
        <v>4865.901597043411</v>
      </c>
      <c r="H164" s="12">
        <f>E165</f>
      </c>
      <c r="I164" s="12">
        <f>F165</f>
      </c>
      <c r="J164" s="12">
        <f>G165</f>
      </c>
      <c r="K164">
        <f>IF(AND(Pu&gt;=MIN(E164,H164),Pu&lt;=MAX(E164,H164),E164&lt;&gt;H164),1,0)</f>
      </c>
      <c r="L164">
        <f>IF(K164=1,(Pu-E164)/(H164-E164),"")</f>
      </c>
      <c r="M164" s="12">
        <f>IF(K164=1,F164+L164*(I164-F164),"")</f>
      </c>
      <c r="N164" s="12">
        <f>IF(K164=1,G164+L164*(J164-G164),"")</f>
      </c>
    </row>
    <row r="165" spans="2:14" x14ac:dyDescent="0.25">
      <c r="B165">
        <v>5</v>
      </c>
      <c r="C165">
        <v>7.499999999999991</v>
      </c>
      <c r="D165">
        <v>10</v>
      </c>
      <c r="E165" s="18">
        <v>7242.881302481975</v>
      </c>
      <c r="F165" s="18">
        <v>490.5876912560478</v>
      </c>
      <c r="G165" s="18">
        <v>4949.711987010477</v>
      </c>
      <c r="H165" s="12">
        <f>E166</f>
      </c>
      <c r="I165" s="12">
        <f>F166</f>
      </c>
      <c r="J165" s="12">
        <f>G166</f>
      </c>
      <c r="K165">
        <f>IF(AND(Pu&gt;=MIN(E165,H165),Pu&lt;=MAX(E165,H165),E165&lt;&gt;H165),1,0)</f>
      </c>
      <c r="L165">
        <f>IF(K165=1,(Pu-E165)/(H165-E165),"")</f>
      </c>
      <c r="M165" s="12">
        <f>IF(K165=1,F165+L165*(I165-F165),"")</f>
      </c>
      <c r="N165" s="12">
        <f>IF(K165=1,G165+L165*(J165-G165),"")</f>
      </c>
    </row>
    <row r="166" spans="2:14" x14ac:dyDescent="0.25">
      <c r="B166">
        <v>5</v>
      </c>
      <c r="C166">
        <v>7.499999999999991</v>
      </c>
      <c r="D166">
        <v>11</v>
      </c>
      <c r="E166" s="18">
        <v>7114.473264626912</v>
      </c>
      <c r="F166" s="18">
        <v>481.6612828788565</v>
      </c>
      <c r="G166" s="18">
        <v>4974.105451928347</v>
      </c>
      <c r="H166" s="12">
        <f>E167</f>
      </c>
      <c r="I166" s="12">
        <f>F167</f>
      </c>
      <c r="J166" s="12">
        <f>G167</f>
      </c>
      <c r="K166">
        <f>IF(AND(Pu&gt;=MIN(E166,H166),Pu&lt;=MAX(E166,H166),E166&lt;&gt;H166),1,0)</f>
      </c>
      <c r="L166">
        <f>IF(K166=1,(Pu-E166)/(H166-E166),"")</f>
      </c>
      <c r="M166" s="12">
        <f>IF(K166=1,F166+L166*(I166-F166),"")</f>
      </c>
      <c r="N166" s="12">
        <f>IF(K166=1,G166+L166*(J166-G166),"")</f>
      </c>
    </row>
    <row r="167" spans="2:14" x14ac:dyDescent="0.25">
      <c r="B167">
        <v>5</v>
      </c>
      <c r="C167">
        <v>7.499999999999991</v>
      </c>
      <c r="D167">
        <v>12</v>
      </c>
      <c r="E167" s="18">
        <v>6582.885117176082</v>
      </c>
      <c r="F167" s="18">
        <v>463.8663772347108</v>
      </c>
      <c r="G167" s="18">
        <v>5088.727460058327</v>
      </c>
      <c r="H167" s="12">
        <f>E168</f>
      </c>
      <c r="I167" s="12">
        <f>F168</f>
      </c>
      <c r="J167" s="12">
        <f>G168</f>
      </c>
      <c r="K167">
        <f>IF(AND(Pu&gt;=MIN(E167,H167),Pu&lt;=MAX(E167,H167),E167&lt;&gt;H167),1,0)</f>
      </c>
      <c r="L167">
        <f>IF(K167=1,(Pu-E167)/(H167-E167),"")</f>
      </c>
      <c r="M167" s="12">
        <f>IF(K167=1,F167+L167*(I167-F167),"")</f>
      </c>
      <c r="N167" s="12">
        <f>IF(K167=1,G167+L167*(J167-G167),"")</f>
      </c>
    </row>
    <row r="168" spans="2:14" x14ac:dyDescent="0.25">
      <c r="B168">
        <v>5</v>
      </c>
      <c r="C168">
        <v>7.499999999999991</v>
      </c>
      <c r="D168">
        <v>13</v>
      </c>
      <c r="E168" s="18">
        <v>6577.527633456965</v>
      </c>
      <c r="F168" s="18">
        <v>463.50063137791375</v>
      </c>
      <c r="G168" s="18">
        <v>5090.337804998409</v>
      </c>
      <c r="H168" s="12">
        <f>E169</f>
      </c>
      <c r="I168" s="12">
        <f>F169</f>
      </c>
      <c r="J168" s="12">
        <f>G169</f>
      </c>
      <c r="K168">
        <f>IF(AND(Pu&gt;=MIN(E168,H168),Pu&lt;=MAX(E168,H168),E168&lt;&gt;H168),1,0)</f>
      </c>
      <c r="L168">
        <f>IF(K168=1,(Pu-E168)/(H168-E168),"")</f>
      </c>
      <c r="M168" s="12">
        <f>IF(K168=1,F168+L168*(I168-F168),"")</f>
      </c>
      <c r="N168" s="12">
        <f>IF(K168=1,G168+L168*(J168-G168),"")</f>
      </c>
    </row>
    <row r="169" spans="2:14" x14ac:dyDescent="0.25">
      <c r="B169">
        <v>5</v>
      </c>
      <c r="C169">
        <v>7.499999999999991</v>
      </c>
      <c r="D169">
        <v>14</v>
      </c>
      <c r="E169" s="18">
        <v>6268.072928191416</v>
      </c>
      <c r="F169" s="18">
        <v>447.8031455970154</v>
      </c>
      <c r="G169" s="18">
        <v>5209.786136702756</v>
      </c>
      <c r="H169" s="12">
        <f>E170</f>
      </c>
      <c r="I169" s="12">
        <f>F170</f>
      </c>
      <c r="J169" s="12">
        <f>G170</f>
      </c>
      <c r="K169">
        <f>IF(AND(Pu&gt;=MIN(E169,H169),Pu&lt;=MAX(E169,H169),E169&lt;&gt;H169),1,0)</f>
      </c>
      <c r="L169">
        <f>IF(K169=1,(Pu-E169)/(H169-E169),"")</f>
      </c>
      <c r="M169" s="12">
        <f>IF(K169=1,F169+L169*(I169-F169),"")</f>
      </c>
      <c r="N169" s="12">
        <f>IF(K169=1,G169+L169*(J169-G169),"")</f>
      </c>
    </row>
    <row r="170" spans="2:14" x14ac:dyDescent="0.25">
      <c r="B170">
        <v>5</v>
      </c>
      <c r="C170">
        <v>7.499999999999991</v>
      </c>
      <c r="D170">
        <v>15</v>
      </c>
      <c r="E170" s="18">
        <v>6174.371931697571</v>
      </c>
      <c r="F170" s="18">
        <v>444.1632903856121</v>
      </c>
      <c r="G170" s="18">
        <v>5249.017412220305</v>
      </c>
      <c r="H170" s="12">
        <f>E171</f>
      </c>
      <c r="I170" s="12">
        <f>F171</f>
      </c>
      <c r="J170" s="12">
        <f>G171</f>
      </c>
      <c r="K170">
        <f>IF(AND(Pu&gt;=MIN(E170,H170),Pu&lt;=MAX(E170,H170),E170&lt;&gt;H170),1,0)</f>
      </c>
      <c r="L170">
        <f>IF(K170=1,(Pu-E170)/(H170-E170),"")</f>
      </c>
      <c r="M170" s="12">
        <f>IF(K170=1,F170+L170*(I170-F170),"")</f>
      </c>
      <c r="N170" s="12">
        <f>IF(K170=1,G170+L170*(J170-G170),"")</f>
      </c>
    </row>
    <row r="171" spans="2:14" x14ac:dyDescent="0.25">
      <c r="B171">
        <v>5</v>
      </c>
      <c r="C171">
        <v>7.499999999999991</v>
      </c>
      <c r="D171">
        <v>16</v>
      </c>
      <c r="E171" s="18">
        <v>5989.694455563271</v>
      </c>
      <c r="F171" s="18">
        <v>441.1106264295862</v>
      </c>
      <c r="G171" s="18">
        <v>5327.679514455752</v>
      </c>
      <c r="H171" s="12">
        <f>E172</f>
      </c>
      <c r="I171" s="12">
        <f>F172</f>
      </c>
      <c r="J171" s="12">
        <f>G172</f>
      </c>
      <c r="K171">
        <f>IF(AND(Pu&gt;=MIN(E171,H171),Pu&lt;=MAX(E171,H171),E171&lt;&gt;H171),1,0)</f>
      </c>
      <c r="L171">
        <f>IF(K171=1,(Pu-E171)/(H171-E171),"")</f>
      </c>
      <c r="M171" s="12">
        <f>IF(K171=1,F171+L171*(I171-F171),"")</f>
      </c>
      <c r="N171" s="12">
        <f>IF(K171=1,G171+L171*(J171-G171),"")</f>
      </c>
    </row>
    <row r="172" spans="2:14" x14ac:dyDescent="0.25">
      <c r="B172">
        <v>5</v>
      </c>
      <c r="C172">
        <v>7.499999999999991</v>
      </c>
      <c r="D172">
        <v>17</v>
      </c>
      <c r="E172" s="18">
        <v>5773.461675109465</v>
      </c>
      <c r="F172" s="18">
        <v>463.3214816352038</v>
      </c>
      <c r="G172" s="18">
        <v>5434.208963310091</v>
      </c>
      <c r="H172" s="12">
        <f>E173</f>
      </c>
      <c r="I172" s="12">
        <f>F173</f>
      </c>
      <c r="J172" s="12">
        <f>G173</f>
      </c>
      <c r="K172">
        <f>IF(AND(Pu&gt;=MIN(E172,H172),Pu&lt;=MAX(E172,H172),E172&lt;&gt;H172),1,0)</f>
      </c>
      <c r="L172">
        <f>IF(K172=1,(Pu-E172)/(H172-E172),"")</f>
      </c>
      <c r="M172" s="12">
        <f>IF(K172=1,F172+L172*(I172-F172),"")</f>
      </c>
      <c r="N172" s="12">
        <f>IF(K172=1,G172+L172*(J172-G172),"")</f>
      </c>
    </row>
    <row r="173" spans="2:14" x14ac:dyDescent="0.25">
      <c r="B173">
        <v>5</v>
      </c>
      <c r="C173">
        <v>7.499999999999991</v>
      </c>
      <c r="D173">
        <v>18</v>
      </c>
      <c r="E173" s="18">
        <v>5611.189122213624</v>
      </c>
      <c r="F173" s="18">
        <v>464.7621971518414</v>
      </c>
      <c r="G173" s="18">
        <v>5515.717289334333</v>
      </c>
      <c r="H173" s="12">
        <f>E174</f>
      </c>
      <c r="I173" s="12">
        <f>F174</f>
      </c>
      <c r="J173" s="12">
        <f>G174</f>
      </c>
      <c r="K173">
        <f>IF(AND(Pu&gt;=MIN(E173,H173),Pu&lt;=MAX(E173,H173),E173&lt;&gt;H173),1,0)</f>
      </c>
      <c r="L173">
        <f>IF(K173=1,(Pu-E173)/(H173-E173),"")</f>
      </c>
      <c r="M173" s="12">
        <f>IF(K173=1,F173+L173*(I173-F173),"")</f>
      </c>
      <c r="N173" s="12">
        <f>IF(K173=1,G173+L173*(J173-G173),"")</f>
      </c>
    </row>
    <row r="174" spans="2:14" x14ac:dyDescent="0.25">
      <c r="B174">
        <v>5</v>
      </c>
      <c r="C174">
        <v>7.499999999999991</v>
      </c>
      <c r="D174">
        <v>19</v>
      </c>
      <c r="E174" s="18">
        <v>5584.031078943409</v>
      </c>
      <c r="F174" s="18">
        <v>465.29956281695</v>
      </c>
      <c r="G174" s="18">
        <v>5529.6301002989185</v>
      </c>
      <c r="H174" s="12">
        <f>E175</f>
      </c>
      <c r="I174" s="12">
        <f>F175</f>
      </c>
      <c r="J174" s="12">
        <f>G175</f>
      </c>
      <c r="K174">
        <f>IF(AND(Pu&gt;=MIN(E174,H174),Pu&lt;=MAX(E174,H174),E174&lt;&gt;H174),1,0)</f>
      </c>
      <c r="L174">
        <f>IF(K174=1,(Pu-E174)/(H174-E174),"")</f>
      </c>
      <c r="M174" s="12">
        <f>IF(K174=1,F174+L174*(I174-F174),"")</f>
      </c>
      <c r="N174" s="12">
        <f>IF(K174=1,G174+L174*(J174-G174),"")</f>
      </c>
    </row>
    <row r="175" spans="2:14" x14ac:dyDescent="0.25">
      <c r="B175">
        <v>5</v>
      </c>
      <c r="C175">
        <v>7.499999999999991</v>
      </c>
      <c r="D175">
        <v>20</v>
      </c>
      <c r="E175" s="18">
        <v>5400.921056229419</v>
      </c>
      <c r="F175" s="18">
        <v>470.02928329912874</v>
      </c>
      <c r="G175" s="18">
        <v>5623.403484269305</v>
      </c>
      <c r="H175" s="12">
        <f>E176</f>
      </c>
      <c r="I175" s="12">
        <f>F176</f>
      </c>
      <c r="J175" s="12">
        <f>G176</f>
      </c>
      <c r="K175">
        <f>IF(AND(Pu&gt;=MIN(E175,H175),Pu&lt;=MAX(E175,H175),E175&lt;&gt;H175),1,0)</f>
      </c>
      <c r="L175">
        <f>IF(K175=1,(Pu-E175)/(H175-E175),"")</f>
      </c>
      <c r="M175" s="12">
        <f>IF(K175=1,F175+L175*(I175-F175),"")</f>
      </c>
      <c r="N175" s="12">
        <f>IF(K175=1,G175+L175*(J175-G175),"")</f>
      </c>
    </row>
    <row r="176" spans="2:14" x14ac:dyDescent="0.25">
      <c r="B176">
        <v>5</v>
      </c>
      <c r="C176">
        <v>7.499999999999991</v>
      </c>
      <c r="D176">
        <v>21</v>
      </c>
      <c r="E176" s="18">
        <v>5272.424247811191</v>
      </c>
      <c r="F176" s="18">
        <v>466.5566308331978</v>
      </c>
      <c r="G176" s="18">
        <v>5595.851532289665</v>
      </c>
      <c r="H176" s="12">
        <f>E177</f>
      </c>
      <c r="I176" s="12">
        <f>F177</f>
      </c>
      <c r="J176" s="12">
        <f>G177</f>
      </c>
      <c r="K176">
        <f>IF(AND(Pu&gt;=MIN(E176,H176),Pu&lt;=MAX(E176,H176),E176&lt;&gt;H176),1,0)</f>
      </c>
      <c r="L176">
        <f>IF(K176=1,(Pu-E176)/(H176-E176),"")</f>
      </c>
      <c r="M176" s="12">
        <f>IF(K176=1,F176+L176*(I176-F176),"")</f>
      </c>
      <c r="N176" s="12">
        <f>IF(K176=1,G176+L176*(J176-G176),"")</f>
      </c>
    </row>
    <row r="177" spans="2:14" x14ac:dyDescent="0.25">
      <c r="B177">
        <v>5</v>
      </c>
      <c r="C177">
        <v>7.499999999999991</v>
      </c>
      <c r="D177">
        <v>22</v>
      </c>
      <c r="E177" s="18">
        <v>4793.805008159517</v>
      </c>
      <c r="F177" s="18">
        <v>460.395477683506</v>
      </c>
      <c r="G177" s="18">
        <v>5479.421168555352</v>
      </c>
      <c r="H177" s="12">
        <f>E178</f>
      </c>
      <c r="I177" s="12">
        <f>F178</f>
      </c>
      <c r="J177" s="12">
        <f>G178</f>
      </c>
      <c r="K177">
        <f>IF(AND(Pu&gt;=MIN(E177,H177),Pu&lt;=MAX(E177,H177),E177&lt;&gt;H177),1,0)</f>
      </c>
      <c r="L177">
        <f>IF(K177=1,(Pu-E177)/(H177-E177),"")</f>
      </c>
      <c r="M177" s="12">
        <f>IF(K177=1,F177+L177*(I177-F177),"")</f>
      </c>
      <c r="N177" s="12">
        <f>IF(K177=1,G177+L177*(J177-G177),"")</f>
      </c>
    </row>
    <row r="178" spans="2:14" x14ac:dyDescent="0.25">
      <c r="B178">
        <v>5</v>
      </c>
      <c r="C178">
        <v>7.499999999999991</v>
      </c>
      <c r="D178">
        <v>23</v>
      </c>
      <c r="E178" s="18">
        <v>4039.7902921260134</v>
      </c>
      <c r="F178" s="18">
        <v>443.38785513817857</v>
      </c>
      <c r="G178" s="18">
        <v>5247.478420991542</v>
      </c>
      <c r="H178" s="12">
        <f>E179</f>
      </c>
      <c r="I178" s="12">
        <f>F179</f>
      </c>
      <c r="J178" s="12">
        <f>G179</f>
      </c>
      <c r="K178">
        <f>IF(AND(Pu&gt;=MIN(E178,H178),Pu&lt;=MAX(E178,H178),E178&lt;&gt;H178),1,0)</f>
      </c>
      <c r="L178">
        <f>IF(K178=1,(Pu-E178)/(H178-E178),"")</f>
      </c>
      <c r="M178" s="12">
        <f>IF(K178=1,F178+L178*(I178-F178),"")</f>
      </c>
      <c r="N178" s="12">
        <f>IF(K178=1,G178+L178*(J178-G178),"")</f>
      </c>
    </row>
    <row r="179" spans="2:14" x14ac:dyDescent="0.25">
      <c r="B179">
        <v>5</v>
      </c>
      <c r="C179">
        <v>7.499999999999991</v>
      </c>
      <c r="D179">
        <v>24</v>
      </c>
      <c r="E179" s="18">
        <v>3396.3674303856696</v>
      </c>
      <c r="F179" s="18">
        <v>442.3114038677637</v>
      </c>
      <c r="G179" s="18">
        <v>5022.965488217401</v>
      </c>
      <c r="H179" s="12">
        <f>E180</f>
      </c>
      <c r="I179" s="12">
        <f>F180</f>
      </c>
      <c r="J179" s="12">
        <f>G180</f>
      </c>
      <c r="K179">
        <f>IF(AND(Pu&gt;=MIN(E179,H179),Pu&lt;=MAX(E179,H179),E179&lt;&gt;H179),1,0)</f>
      </c>
      <c r="L179">
        <f>IF(K179=1,(Pu-E179)/(H179-E179),"")</f>
      </c>
      <c r="M179" s="12">
        <f>IF(K179=1,F179+L179*(I179-F179),"")</f>
      </c>
      <c r="N179" s="12">
        <f>IF(K179=1,G179+L179*(J179-G179),"")</f>
      </c>
    </row>
    <row r="180" spans="2:14" x14ac:dyDescent="0.25">
      <c r="B180">
        <v>5</v>
      </c>
      <c r="C180">
        <v>7.499999999999991</v>
      </c>
      <c r="D180">
        <v>25</v>
      </c>
      <c r="E180" s="18">
        <v>2901.4924190631004</v>
      </c>
      <c r="F180" s="18">
        <v>464.83312314094985</v>
      </c>
      <c r="G180" s="18">
        <v>4817.310075458569</v>
      </c>
      <c r="H180" s="12">
        <f>E181</f>
      </c>
      <c r="I180" s="12">
        <f>F181</f>
      </c>
      <c r="J180" s="12">
        <f>G181</f>
      </c>
      <c r="K180">
        <f>IF(AND(Pu&gt;=MIN(E180,H180),Pu&lt;=MAX(E180,H180),E180&lt;&gt;H180),1,0)</f>
      </c>
      <c r="L180">
        <f>IF(K180=1,(Pu-E180)/(H180-E180),"")</f>
      </c>
      <c r="M180" s="12">
        <f>IF(K180=1,F180+L180*(I180-F180),"")</f>
      </c>
      <c r="N180" s="12">
        <f>IF(K180=1,G180+L180*(J180-G180),"")</f>
      </c>
    </row>
    <row r="181" spans="2:14" x14ac:dyDescent="0.25">
      <c r="B181">
        <v>5</v>
      </c>
      <c r="C181">
        <v>7.499999999999991</v>
      </c>
      <c r="D181">
        <v>26</v>
      </c>
      <c r="E181" s="18">
        <v>2014.482687524646</v>
      </c>
      <c r="F181" s="18">
        <v>452.4582542450682</v>
      </c>
      <c r="G181" s="18">
        <v>4408.996524107064</v>
      </c>
      <c r="H181" s="12">
        <f>E182</f>
      </c>
      <c r="I181" s="12">
        <f>F182</f>
      </c>
      <c r="J181" s="12">
        <f>G182</f>
      </c>
      <c r="K181">
        <f>IF(AND(Pu&gt;=MIN(E181,H181),Pu&lt;=MAX(E181,H181),E181&lt;&gt;H181),1,0)</f>
      </c>
      <c r="L181">
        <f>IF(K181=1,(Pu-E181)/(H181-E181),"")</f>
      </c>
      <c r="M181" s="12">
        <f>IF(K181=1,F181+L181*(I181-F181),"")</f>
      </c>
      <c r="N181" s="12">
        <f>IF(K181=1,G181+L181*(J181-G181),"")</f>
      </c>
    </row>
    <row r="182" spans="2:14" x14ac:dyDescent="0.25">
      <c r="B182">
        <v>5</v>
      </c>
      <c r="C182">
        <v>7.499999999999991</v>
      </c>
      <c r="D182">
        <v>27</v>
      </c>
      <c r="E182" s="18">
        <v>1143.2743463896086</v>
      </c>
      <c r="F182" s="18">
        <v>482.7948733357444</v>
      </c>
      <c r="G182" s="18">
        <v>3944.2102403067847</v>
      </c>
      <c r="H182" s="12">
        <f>E183</f>
      </c>
      <c r="I182" s="12">
        <f>F183</f>
      </c>
      <c r="J182" s="12">
        <f>G183</f>
      </c>
      <c r="K182">
        <f>IF(AND(Pu&gt;=MIN(E182,H182),Pu&lt;=MAX(E182,H182),E182&lt;&gt;H182),1,0)</f>
      </c>
      <c r="L182">
        <f>IF(K182=1,(Pu-E182)/(H182-E182),"")</f>
      </c>
      <c r="M182" s="12">
        <f>IF(K182=1,F182+L182*(I182-F182),"")</f>
      </c>
      <c r="N182" s="12">
        <f>IF(K182=1,G182+L182*(J182-G182),"")</f>
      </c>
    </row>
    <row r="183" spans="2:14" x14ac:dyDescent="0.25">
      <c r="B183">
        <v>5</v>
      </c>
      <c r="C183">
        <v>7.499999999999991</v>
      </c>
      <c r="D183">
        <v>28</v>
      </c>
      <c r="E183" s="18">
        <v>361.6692946287093</v>
      </c>
      <c r="F183" s="18">
        <v>431.84963106917974</v>
      </c>
      <c r="G183" s="18">
        <v>3495.596236958016</v>
      </c>
      <c r="H183" s="12">
        <f>E184</f>
      </c>
      <c r="I183" s="12">
        <f>F184</f>
      </c>
      <c r="J183" s="12">
        <f>G184</f>
      </c>
      <c r="K183">
        <f>IF(AND(Pu&gt;=MIN(E183,H183),Pu&lt;=MAX(E183,H183),E183&lt;&gt;H183),1,0)</f>
      </c>
      <c r="L183">
        <f>IF(K183=1,(Pu-E183)/(H183-E183),"")</f>
      </c>
      <c r="M183" s="12">
        <f>IF(K183=1,F183+L183*(I183-F183),"")</f>
      </c>
      <c r="N183" s="12">
        <f>IF(K183=1,G183+L183*(J183-G183),"")</f>
      </c>
    </row>
    <row r="184" spans="2:14" x14ac:dyDescent="0.25">
      <c r="B184">
        <v>5</v>
      </c>
      <c r="C184">
        <v>7.499999999999991</v>
      </c>
      <c r="D184">
        <v>29</v>
      </c>
      <c r="E184" s="18">
        <v>-306.46312260631163</v>
      </c>
      <c r="F184" s="18">
        <v>373.89656992686747</v>
      </c>
      <c r="G184" s="18">
        <v>3101.0667589868585</v>
      </c>
      <c r="H184" s="12">
        <f>E185</f>
      </c>
      <c r="I184" s="12">
        <f>F185</f>
      </c>
      <c r="J184" s="12">
        <f>G185</f>
      </c>
      <c r="K184">
        <f>IF(AND(Pu&gt;=MIN(E184,H184),Pu&lt;=MAX(E184,H184),E184&lt;&gt;H184),1,0)</f>
      </c>
      <c r="L184">
        <f>IF(K184=1,(Pu-E184)/(H184-E184),"")</f>
      </c>
      <c r="M184" s="12">
        <f>IF(K184=1,F184+L184*(I184-F184),"")</f>
      </c>
      <c r="N184" s="12">
        <f>IF(K184=1,G184+L184*(J184-G184),"")</f>
      </c>
    </row>
    <row r="185" spans="2:14" x14ac:dyDescent="0.25">
      <c r="B185">
        <v>5</v>
      </c>
      <c r="C185">
        <v>7.499999999999991</v>
      </c>
      <c r="D185">
        <v>30</v>
      </c>
      <c r="E185" s="18">
        <v>-1275.959303282926</v>
      </c>
      <c r="F185" s="18">
        <v>300.22376189138186</v>
      </c>
      <c r="G185" s="18">
        <v>2497.7359197378687</v>
      </c>
      <c r="H185" s="12">
        <f>E186</f>
      </c>
      <c r="I185" s="12">
        <f>F186</f>
      </c>
      <c r="J185" s="12">
        <f>G186</f>
      </c>
      <c r="K185">
        <f>IF(AND(Pu&gt;=MIN(E185,H185),Pu&lt;=MAX(E185,H185),E185&lt;&gt;H185),1,0)</f>
      </c>
      <c r="L185">
        <f>IF(K185=1,(Pu-E185)/(H185-E185),"")</f>
      </c>
      <c r="M185" s="12">
        <f>IF(K185=1,F185+L185*(I185-F185),"")</f>
      </c>
      <c r="N185" s="12">
        <f>IF(K185=1,G185+L185*(J185-G185),"")</f>
      </c>
    </row>
    <row r="186" spans="2:14" x14ac:dyDescent="0.25">
      <c r="B186">
        <v>5</v>
      </c>
      <c r="C186">
        <v>7.499999999999991</v>
      </c>
      <c r="D186">
        <v>31</v>
      </c>
      <c r="E186" s="18">
        <v>-1949.4005304438479</v>
      </c>
      <c r="F186" s="18">
        <v>278.3174460309365</v>
      </c>
      <c r="G186" s="18">
        <v>2051.6073628233894</v>
      </c>
      <c r="H186" s="12">
        <f>E187</f>
      </c>
      <c r="I186" s="12">
        <f>F187</f>
      </c>
      <c r="J186" s="12">
        <f>G187</f>
      </c>
      <c r="K186">
        <f>IF(AND(Pu&gt;=MIN(E186,H186),Pu&lt;=MAX(E186,H186),E186&lt;&gt;H186),1,0)</f>
      </c>
      <c r="L186">
        <f>IF(K186=1,(Pu-E186)/(H186-E186),"")</f>
      </c>
      <c r="M186" s="12">
        <f>IF(K186=1,F186+L186*(I186-F186),"")</f>
      </c>
      <c r="N186" s="12">
        <f>IF(K186=1,G186+L186*(J186-G186),"")</f>
      </c>
    </row>
    <row r="187" spans="2:14" x14ac:dyDescent="0.25">
      <c r="B187">
        <v>5</v>
      </c>
      <c r="C187">
        <v>7.499999999999991</v>
      </c>
      <c r="D187">
        <v>32</v>
      </c>
      <c r="E187" s="18">
        <v>-2942.1433901862483</v>
      </c>
      <c r="F187" s="18">
        <v>264.2010546318895</v>
      </c>
      <c r="G187" s="18">
        <v>1375.7497205393377</v>
      </c>
      <c r="H187" s="12">
        <f>E188</f>
      </c>
      <c r="I187" s="12">
        <f>F188</f>
      </c>
      <c r="J187" s="12">
        <f>G188</f>
      </c>
      <c r="K187">
        <f>IF(AND(Pu&gt;=MIN(E187,H187),Pu&lt;=MAX(E187,H187),E187&lt;&gt;H187),1,0)</f>
      </c>
      <c r="L187">
        <f>IF(K187=1,(Pu-E187)/(H187-E187),"")</f>
      </c>
      <c r="M187" s="12">
        <f>IF(K187=1,F187+L187*(I187-F187),"")</f>
      </c>
      <c r="N187" s="12">
        <f>IF(K187=1,G187+L187*(J187-G187),"")</f>
      </c>
    </row>
    <row r="188" spans="2:14" x14ac:dyDescent="0.25">
      <c r="B188">
        <v>5</v>
      </c>
      <c r="C188">
        <v>7.499999999999991</v>
      </c>
      <c r="D188">
        <v>33</v>
      </c>
      <c r="E188" s="18">
        <v>-3639.912776546157</v>
      </c>
      <c r="F188" s="18">
        <v>253.45668363491052</v>
      </c>
      <c r="G188" s="18">
        <v>895.4774945085364</v>
      </c>
      <c r="H188" s="12">
        <f>E189</f>
      </c>
      <c r="I188" s="12">
        <f>F189</f>
      </c>
      <c r="J188" s="12">
        <f>G189</f>
      </c>
      <c r="K188">
        <f>IF(AND(Pu&gt;=MIN(E188,H188),Pu&lt;=MAX(E188,H188),E188&lt;&gt;H188),1,0)</f>
      </c>
      <c r="L188">
        <f>IF(K188=1,(Pu-E188)/(H188-E188),"")</f>
      </c>
      <c r="M188" s="12">
        <f>IF(K188=1,F188+L188*(I188-F188),"")</f>
      </c>
      <c r="N188" s="12">
        <f>IF(K188=1,G188+L188*(J188-G188),"")</f>
      </c>
    </row>
    <row r="189" spans="2:14" x14ac:dyDescent="0.25">
      <c r="B189">
        <v>5</v>
      </c>
      <c r="C189">
        <v>7.499999999999991</v>
      </c>
      <c r="D189">
        <v>34</v>
      </c>
      <c r="E189" s="18">
        <v>-4474.244277452039</v>
      </c>
      <c r="F189" s="18">
        <v>129.80839546824663</v>
      </c>
      <c r="G189" s="18">
        <v>318.1415728017728</v>
      </c>
      <c r="H189" s="12">
        <f>E190</f>
      </c>
      <c r="I189" s="12">
        <f>F190</f>
      </c>
      <c r="J189" s="12">
        <f>G190</f>
      </c>
      <c r="K189">
        <f>IF(AND(Pu&gt;=MIN(E189,H189),Pu&lt;=MAX(E189,H189),E189&lt;&gt;H189),1,0)</f>
      </c>
      <c r="L189">
        <f>IF(K189=1,(Pu-E189)/(H189-E189),"")</f>
      </c>
      <c r="M189" s="12">
        <f>IF(K189=1,F189+L189*(I189-F189),"")</f>
      </c>
      <c r="N189" s="12">
        <f>IF(K189=1,G189+L189*(J189-G189),"")</f>
      </c>
    </row>
    <row r="190" spans="2:7" x14ac:dyDescent="0.25">
      <c r="B190">
        <v>5</v>
      </c>
      <c r="C190">
        <v>7.499999999999991</v>
      </c>
      <c r="D190">
        <v>35</v>
      </c>
      <c r="E190" s="18">
        <v>-4762.430918586395</v>
      </c>
      <c r="F190" s="18">
        <v>49.764034882207426</v>
      </c>
      <c r="G190" s="18">
        <v>117.160863376642</v>
      </c>
    </row>
    <row r="192" spans="2:14" x14ac:dyDescent="0.25">
      <c r="B192">
        <v>6</v>
      </c>
      <c r="C192">
        <v>11.250000000000012</v>
      </c>
      <c r="D192">
        <v>1</v>
      </c>
      <c r="E192" s="18">
        <v>17212.13165170929</v>
      </c>
      <c r="F192" s="18">
        <v>437.2921604065479</v>
      </c>
      <c r="G192" s="18">
        <v>2891.0599009281786</v>
      </c>
      <c r="H192" s="12">
        <f>E193</f>
      </c>
      <c r="I192" s="12">
        <f>F193</f>
      </c>
      <c r="J192" s="12">
        <f>G193</f>
      </c>
      <c r="K192">
        <f>IF(AND(Pu&gt;=MIN(E192,H192),Pu&lt;=MAX(E192,H192),E192&lt;&gt;H192),1,0)</f>
      </c>
      <c r="L192">
        <f>IF(K192=1,(Pu-E192)/(H192-E192),"")</f>
      </c>
      <c r="M192" s="12">
        <f>IF(K192=1,F192+L192*(I192-F192),"")</f>
      </c>
      <c r="N192" s="12">
        <f>IF(K192=1,G192+L192*(J192-G192),"")</f>
      </c>
    </row>
    <row r="193" spans="2:14" x14ac:dyDescent="0.25">
      <c r="B193">
        <v>6</v>
      </c>
      <c r="C193">
        <v>11.250000000000012</v>
      </c>
      <c r="D193">
        <v>2</v>
      </c>
      <c r="E193" s="18">
        <v>16342.527584346682</v>
      </c>
      <c r="F193" s="18">
        <v>429.2768282020759</v>
      </c>
      <c r="G193" s="18">
        <v>3281.0241411006327</v>
      </c>
      <c r="H193" s="12">
        <f>E194</f>
      </c>
      <c r="I193" s="12">
        <f>F194</f>
      </c>
      <c r="J193" s="12">
        <f>G194</f>
      </c>
      <c r="K193">
        <f>IF(AND(Pu&gt;=MIN(E193,H193),Pu&lt;=MAX(E193,H193),E193&lt;&gt;H193),1,0)</f>
      </c>
      <c r="L193">
        <f>IF(K193=1,(Pu-E193)/(H193-E193),"")</f>
      </c>
      <c r="M193" s="12">
        <f>IF(K193=1,F193+L193*(I193-F193),"")</f>
      </c>
      <c r="N193" s="12">
        <f>IF(K193=1,G193+L193*(J193-G193),"")</f>
      </c>
    </row>
    <row r="194" spans="2:14" x14ac:dyDescent="0.25">
      <c r="B194">
        <v>6</v>
      </c>
      <c r="C194">
        <v>11.250000000000012</v>
      </c>
      <c r="D194">
        <v>3</v>
      </c>
      <c r="E194" s="18">
        <v>15563.068231220448</v>
      </c>
      <c r="F194" s="18">
        <v>438.1930580777964</v>
      </c>
      <c r="G194" s="18">
        <v>3576.859832033271</v>
      </c>
      <c r="H194" s="12">
        <f>E195</f>
      </c>
      <c r="I194" s="12">
        <f>F195</f>
      </c>
      <c r="J194" s="12">
        <f>G195</f>
      </c>
      <c r="K194">
        <f>IF(AND(Pu&gt;=MIN(E194,H194),Pu&lt;=MAX(E194,H194),E194&lt;&gt;H194),1,0)</f>
      </c>
      <c r="L194">
        <f>IF(K194=1,(Pu-E194)/(H194-E194),"")</f>
      </c>
      <c r="M194" s="12">
        <f>IF(K194=1,F194+L194*(I194-F194),"")</f>
      </c>
      <c r="N194" s="12">
        <f>IF(K194=1,G194+L194*(J194-G194),"")</f>
      </c>
    </row>
    <row r="195" spans="2:14" x14ac:dyDescent="0.25">
      <c r="B195">
        <v>6</v>
      </c>
      <c r="C195">
        <v>11.250000000000012</v>
      </c>
      <c r="D195">
        <v>4</v>
      </c>
      <c r="E195" s="18">
        <v>14126.972911178767</v>
      </c>
      <c r="F195" s="18">
        <v>516.8123487241312</v>
      </c>
      <c r="G195" s="18">
        <v>3984.738823797872</v>
      </c>
      <c r="H195" s="12">
        <f>E196</f>
      </c>
      <c r="I195" s="12">
        <f>F196</f>
      </c>
      <c r="J195" s="12">
        <f>G196</f>
      </c>
      <c r="K195">
        <f>IF(AND(Pu&gt;=MIN(E195,H195),Pu&lt;=MAX(E195,H195),E195&lt;&gt;H195),1,0)</f>
      </c>
      <c r="L195">
        <f>IF(K195=1,(Pu-E195)/(H195-E195),"")</f>
      </c>
      <c r="M195" s="12">
        <f>IF(K195=1,F195+L195*(I195-F195),"")</f>
      </c>
      <c r="N195" s="12">
        <f>IF(K195=1,G195+L195*(J195-G195),"")</f>
      </c>
    </row>
    <row r="196" spans="2:14" x14ac:dyDescent="0.25">
      <c r="B196">
        <v>6</v>
      </c>
      <c r="C196">
        <v>11.250000000000012</v>
      </c>
      <c r="D196">
        <v>5</v>
      </c>
      <c r="E196" s="18">
        <v>12105.1936224974</v>
      </c>
      <c r="F196" s="18">
        <v>628.6681212625568</v>
      </c>
      <c r="G196" s="18">
        <v>4331.8422760313315</v>
      </c>
      <c r="H196" s="12">
        <f>E197</f>
      </c>
      <c r="I196" s="12">
        <f>F197</f>
      </c>
      <c r="J196" s="12">
        <f>G197</f>
      </c>
      <c r="K196">
        <f>IF(AND(Pu&gt;=MIN(E196,H196),Pu&lt;=MAX(E196,H196),E196&lt;&gt;H196),1,0)</f>
      </c>
      <c r="L196">
        <f>IF(K196=1,(Pu-E196)/(H196-E196),"")</f>
      </c>
      <c r="M196" s="12">
        <f>IF(K196=1,F196+L196*(I196-F196),"")</f>
      </c>
      <c r="N196" s="12">
        <f>IF(K196=1,G196+L196*(J196-G196),"")</f>
      </c>
    </row>
    <row r="197" spans="2:14" x14ac:dyDescent="0.25">
      <c r="B197">
        <v>6</v>
      </c>
      <c r="C197">
        <v>11.250000000000012</v>
      </c>
      <c r="D197">
        <v>6</v>
      </c>
      <c r="E197" s="18">
        <v>9951.502847855538</v>
      </c>
      <c r="F197" s="18">
        <v>652.9395448221907</v>
      </c>
      <c r="G197" s="18">
        <v>4558.848832161496</v>
      </c>
      <c r="H197" s="12">
        <f>E198</f>
      </c>
      <c r="I197" s="12">
        <f>F198</f>
      </c>
      <c r="J197" s="12">
        <f>G198</f>
      </c>
      <c r="K197">
        <f>IF(AND(Pu&gt;=MIN(E197,H197),Pu&lt;=MAX(E197,H197),E197&lt;&gt;H197),1,0)</f>
      </c>
      <c r="L197">
        <f>IF(K197=1,(Pu-E197)/(H197-E197),"")</f>
      </c>
      <c r="M197" s="12">
        <f>IF(K197=1,F197+L197*(I197-F197),"")</f>
      </c>
      <c r="N197" s="12">
        <f>IF(K197=1,G197+L197*(J197-G197),"")</f>
      </c>
    </row>
    <row r="198" spans="2:14" x14ac:dyDescent="0.25">
      <c r="B198">
        <v>6</v>
      </c>
      <c r="C198">
        <v>11.250000000000012</v>
      </c>
      <c r="D198">
        <v>7</v>
      </c>
      <c r="E198" s="18">
        <v>8792.875148562776</v>
      </c>
      <c r="F198" s="18">
        <v>667.6772366798037</v>
      </c>
      <c r="G198" s="18">
        <v>4632.4639983855695</v>
      </c>
      <c r="H198" s="12">
        <f>E199</f>
      </c>
      <c r="I198" s="12">
        <f>F199</f>
      </c>
      <c r="J198" s="12">
        <f>G199</f>
      </c>
      <c r="K198">
        <f>IF(AND(Pu&gt;=MIN(E198,H198),Pu&lt;=MAX(E198,H198),E198&lt;&gt;H198),1,0)</f>
      </c>
      <c r="L198">
        <f>IF(K198=1,(Pu-E198)/(H198-E198),"")</f>
      </c>
      <c r="M198" s="12">
        <f>IF(K198=1,F198+L198*(I198-F198),"")</f>
      </c>
      <c r="N198" s="12">
        <f>IF(K198=1,G198+L198*(J198-G198),"")</f>
      </c>
    </row>
    <row r="199" spans="2:14" x14ac:dyDescent="0.25">
      <c r="B199">
        <v>6</v>
      </c>
      <c r="C199">
        <v>11.250000000000012</v>
      </c>
      <c r="D199">
        <v>8</v>
      </c>
      <c r="E199" s="18">
        <v>8271.985126402922</v>
      </c>
      <c r="F199" s="18">
        <v>683.6784062462623</v>
      </c>
      <c r="G199" s="18">
        <v>4734.5907103537065</v>
      </c>
      <c r="H199" s="12">
        <f>E200</f>
      </c>
      <c r="I199" s="12">
        <f>F200</f>
      </c>
      <c r="J199" s="12">
        <f>G200</f>
      </c>
      <c r="K199">
        <f>IF(AND(Pu&gt;=MIN(E199,H199),Pu&lt;=MAX(E199,H199),E199&lt;&gt;H199),1,0)</f>
      </c>
      <c r="L199">
        <f>IF(K199=1,(Pu-E199)/(H199-E199),"")</f>
      </c>
      <c r="M199" s="12">
        <f>IF(K199=1,F199+L199*(I199-F199),"")</f>
      </c>
      <c r="N199" s="12">
        <f>IF(K199=1,G199+L199*(J199-G199),"")</f>
      </c>
    </row>
    <row r="200" spans="2:14" x14ac:dyDescent="0.25">
      <c r="B200">
        <v>6</v>
      </c>
      <c r="C200">
        <v>11.250000000000012</v>
      </c>
      <c r="D200">
        <v>9</v>
      </c>
      <c r="E200" s="18">
        <v>7794.438330587625</v>
      </c>
      <c r="F200" s="18">
        <v>690.9029730721271</v>
      </c>
      <c r="G200" s="18">
        <v>4814.911632202111</v>
      </c>
      <c r="H200" s="12">
        <f>E201</f>
      </c>
      <c r="I200" s="12">
        <f>F201</f>
      </c>
      <c r="J200" s="12">
        <f>G201</f>
      </c>
      <c r="K200">
        <f>IF(AND(Pu&gt;=MIN(E200,H200),Pu&lt;=MAX(E200,H200),E200&lt;&gt;H200),1,0)</f>
      </c>
      <c r="L200">
        <f>IF(K200=1,(Pu-E200)/(H200-E200),"")</f>
      </c>
      <c r="M200" s="12">
        <f>IF(K200=1,F200+L200*(I200-F200),"")</f>
      </c>
      <c r="N200" s="12">
        <f>IF(K200=1,G200+L200*(J200-G200),"")</f>
      </c>
    </row>
    <row r="201" spans="2:14" x14ac:dyDescent="0.25">
      <c r="B201">
        <v>6</v>
      </c>
      <c r="C201">
        <v>11.250000000000012</v>
      </c>
      <c r="D201">
        <v>10</v>
      </c>
      <c r="E201" s="18">
        <v>7224.644878865107</v>
      </c>
      <c r="F201" s="18">
        <v>705.7376513588448</v>
      </c>
      <c r="G201" s="18">
        <v>4903.923940888565</v>
      </c>
      <c r="H201" s="12">
        <f>E202</f>
      </c>
      <c r="I201" s="12">
        <f>F202</f>
      </c>
      <c r="J201" s="12">
        <f>G202</f>
      </c>
      <c r="K201">
        <f>IF(AND(Pu&gt;=MIN(E201,H201),Pu&lt;=MAX(E201,H201),E201&lt;&gt;H201),1,0)</f>
      </c>
      <c r="L201">
        <f>IF(K201=1,(Pu-E201)/(H201-E201),"")</f>
      </c>
      <c r="M201" s="12">
        <f>IF(K201=1,F201+L201*(I201-F201),"")</f>
      </c>
      <c r="N201" s="12">
        <f>IF(K201=1,G201+L201*(J201-G201),"")</f>
      </c>
    </row>
    <row r="202" spans="2:14" x14ac:dyDescent="0.25">
      <c r="B202">
        <v>6</v>
      </c>
      <c r="C202">
        <v>11.250000000000012</v>
      </c>
      <c r="D202">
        <v>11</v>
      </c>
      <c r="E202" s="18">
        <v>7068.864747238217</v>
      </c>
      <c r="F202" s="18">
        <v>704.7574928682411</v>
      </c>
      <c r="G202" s="18">
        <v>4932.139023813641</v>
      </c>
      <c r="H202" s="12">
        <f>E203</f>
      </c>
      <c r="I202" s="12">
        <f>F203</f>
      </c>
      <c r="J202" s="12">
        <f>G203</f>
      </c>
      <c r="K202">
        <f>IF(AND(Pu&gt;=MIN(E202,H202),Pu&lt;=MAX(E202,H202),E202&lt;&gt;H202),1,0)</f>
      </c>
      <c r="L202">
        <f>IF(K202=1,(Pu-E202)/(H202-E202),"")</f>
      </c>
      <c r="M202" s="12">
        <f>IF(K202=1,F202+L202*(I202-F202),"")</f>
      </c>
      <c r="N202" s="12">
        <f>IF(K202=1,G202+L202*(J202-G202),"")</f>
      </c>
    </row>
    <row r="203" spans="2:14" x14ac:dyDescent="0.25">
      <c r="B203">
        <v>6</v>
      </c>
      <c r="C203">
        <v>11.250000000000012</v>
      </c>
      <c r="D203">
        <v>12</v>
      </c>
      <c r="E203" s="18">
        <v>6583.292222246628</v>
      </c>
      <c r="F203" s="18">
        <v>686.2280614489085</v>
      </c>
      <c r="G203" s="18">
        <v>5043.509118539437</v>
      </c>
      <c r="H203" s="12">
        <f>E204</f>
      </c>
      <c r="I203" s="12">
        <f>F204</f>
      </c>
      <c r="J203" s="12">
        <f>G204</f>
      </c>
      <c r="K203">
        <f>IF(AND(Pu&gt;=MIN(E203,H203),Pu&lt;=MAX(E203,H203),E203&lt;&gt;H203),1,0)</f>
      </c>
      <c r="L203">
        <f>IF(K203=1,(Pu-E203)/(H203-E203),"")</f>
      </c>
      <c r="M203" s="12">
        <f>IF(K203=1,F203+L203*(I203-F203),"")</f>
      </c>
      <c r="N203" s="12">
        <f>IF(K203=1,G203+L203*(J203-G203),"")</f>
      </c>
    </row>
    <row r="204" spans="2:14" x14ac:dyDescent="0.25">
      <c r="B204">
        <v>6</v>
      </c>
      <c r="C204">
        <v>11.250000000000012</v>
      </c>
      <c r="D204">
        <v>13</v>
      </c>
      <c r="E204" s="18">
        <v>6571.61192314039</v>
      </c>
      <c r="F204" s="18">
        <v>685.480049763616</v>
      </c>
      <c r="G204" s="18">
        <v>5046.684172296075</v>
      </c>
      <c r="H204" s="12">
        <f>E205</f>
      </c>
      <c r="I204" s="12">
        <f>F205</f>
      </c>
      <c r="J204" s="12">
        <f>G205</f>
      </c>
      <c r="K204">
        <f>IF(AND(Pu&gt;=MIN(E204,H204),Pu&lt;=MAX(E204,H204),E204&lt;&gt;H204),1,0)</f>
      </c>
      <c r="L204">
        <f>IF(K204=1,(Pu-E204)/(H204-E204),"")</f>
      </c>
      <c r="M204" s="12">
        <f>IF(K204=1,F204+L204*(I204-F204),"")</f>
      </c>
      <c r="N204" s="12">
        <f>IF(K204=1,G204+L204*(J204-G204),"")</f>
      </c>
    </row>
    <row r="205" spans="2:14" x14ac:dyDescent="0.25">
      <c r="B205">
        <v>6</v>
      </c>
      <c r="C205">
        <v>11.250000000000012</v>
      </c>
      <c r="D205">
        <v>14</v>
      </c>
      <c r="E205" s="18">
        <v>6228.623279910237</v>
      </c>
      <c r="F205" s="18">
        <v>673.6014512698563</v>
      </c>
      <c r="G205" s="18">
        <v>5160.155550416888</v>
      </c>
      <c r="H205" s="12">
        <f>E206</f>
      </c>
      <c r="I205" s="12">
        <f>F206</f>
      </c>
      <c r="J205" s="12">
        <f>G206</f>
      </c>
      <c r="K205">
        <f>IF(AND(Pu&gt;=MIN(E205,H205),Pu&lt;=MAX(E205,H205),E205&lt;&gt;H205),1,0)</f>
      </c>
      <c r="L205">
        <f>IF(K205=1,(Pu-E205)/(H205-E205),"")</f>
      </c>
      <c r="M205" s="12">
        <f>IF(K205=1,F205+L205*(I205-F205),"")</f>
      </c>
      <c r="N205" s="12">
        <f>IF(K205=1,G205+L205*(J205-G205),"")</f>
      </c>
    </row>
    <row r="206" spans="2:14" x14ac:dyDescent="0.25">
      <c r="B206">
        <v>6</v>
      </c>
      <c r="C206">
        <v>11.250000000000012</v>
      </c>
      <c r="D206">
        <v>15</v>
      </c>
      <c r="E206" s="18">
        <v>6143.325518787707</v>
      </c>
      <c r="F206" s="18">
        <v>673.1173499959954</v>
      </c>
      <c r="G206" s="18">
        <v>5191.834444504662</v>
      </c>
      <c r="H206" s="12">
        <f>E207</f>
      </c>
      <c r="I206" s="12">
        <f>F207</f>
      </c>
      <c r="J206" s="12">
        <f>G207</f>
      </c>
      <c r="K206">
        <f>IF(AND(Pu&gt;=MIN(E206,H206),Pu&lt;=MAX(E206,H206),E206&lt;&gt;H206),1,0)</f>
      </c>
      <c r="L206">
        <f>IF(K206=1,(Pu-E206)/(H206-E206),"")</f>
      </c>
      <c r="M206" s="12">
        <f>IF(K206=1,F206+L206*(I206-F206),"")</f>
      </c>
      <c r="N206" s="12">
        <f>IF(K206=1,G206+L206*(J206-G206),"")</f>
      </c>
    </row>
    <row r="207" spans="2:14" x14ac:dyDescent="0.25">
      <c r="B207">
        <v>6</v>
      </c>
      <c r="C207">
        <v>11.250000000000012</v>
      </c>
      <c r="D207">
        <v>16</v>
      </c>
      <c r="E207" s="18">
        <v>5928.205392904382</v>
      </c>
      <c r="F207" s="18">
        <v>673.9559203512567</v>
      </c>
      <c r="G207" s="18">
        <v>5272.606173013727</v>
      </c>
      <c r="H207" s="12">
        <f>E208</f>
      </c>
      <c r="I207" s="12">
        <f>F208</f>
      </c>
      <c r="J207" s="12">
        <f>G208</f>
      </c>
      <c r="K207">
        <f>IF(AND(Pu&gt;=MIN(E207,H207),Pu&lt;=MAX(E207,H207),E207&lt;&gt;H207),1,0)</f>
      </c>
      <c r="L207">
        <f>IF(K207=1,(Pu-E207)/(H207-E207),"")</f>
      </c>
      <c r="M207" s="12">
        <f>IF(K207=1,F207+L207*(I207-F207),"")</f>
      </c>
      <c r="N207" s="12">
        <f>IF(K207=1,G207+L207*(J207-G207),"")</f>
      </c>
    </row>
    <row r="208" spans="2:14" x14ac:dyDescent="0.25">
      <c r="B208">
        <v>6</v>
      </c>
      <c r="C208">
        <v>11.250000000000012</v>
      </c>
      <c r="D208">
        <v>17</v>
      </c>
      <c r="E208" s="18">
        <v>5675.255343311128</v>
      </c>
      <c r="F208" s="18">
        <v>676.0772244584517</v>
      </c>
      <c r="G208" s="18">
        <v>5372.897539909576</v>
      </c>
      <c r="H208" s="12">
        <f>E209</f>
      </c>
      <c r="I208" s="12">
        <f>F209</f>
      </c>
      <c r="J208" s="12">
        <f>G209</f>
      </c>
      <c r="K208">
        <f>IF(AND(Pu&gt;=MIN(E208,H208),Pu&lt;=MAX(E208,H208),E208&lt;&gt;H208),1,0)</f>
      </c>
      <c r="L208">
        <f>IF(K208=1,(Pu-E208)/(H208-E208),"")</f>
      </c>
      <c r="M208" s="12">
        <f>IF(K208=1,F208+L208*(I208-F208),"")</f>
      </c>
      <c r="N208" s="12">
        <f>IF(K208=1,G208+L208*(J208-G208),"")</f>
      </c>
    </row>
    <row r="209" spans="2:14" x14ac:dyDescent="0.25">
      <c r="B209">
        <v>6</v>
      </c>
      <c r="C209">
        <v>11.250000000000012</v>
      </c>
      <c r="D209">
        <v>18</v>
      </c>
      <c r="E209" s="18">
        <v>5525.861622845332</v>
      </c>
      <c r="F209" s="18">
        <v>674.8141253194957</v>
      </c>
      <c r="G209" s="18">
        <v>5449.57217598019</v>
      </c>
      <c r="H209" s="12">
        <f>E210</f>
      </c>
      <c r="I209" s="12">
        <f>F210</f>
      </c>
      <c r="J209" s="12">
        <f>G210</f>
      </c>
      <c r="K209">
        <f>IF(AND(Pu&gt;=MIN(E209,H209),Pu&lt;=MAX(E209,H209),E209&lt;&gt;H209),1,0)</f>
      </c>
      <c r="L209">
        <f>IF(K209=1,(Pu-E209)/(H209-E209),"")</f>
      </c>
      <c r="M209" s="12">
        <f>IF(K209=1,F209+L209*(I209-F209),"")</f>
      </c>
      <c r="N209" s="12">
        <f>IF(K209=1,G209+L209*(J209-G209),"")</f>
      </c>
    </row>
    <row r="210" spans="2:14" x14ac:dyDescent="0.25">
      <c r="B210">
        <v>6</v>
      </c>
      <c r="C210">
        <v>11.250000000000012</v>
      </c>
      <c r="D210">
        <v>19</v>
      </c>
      <c r="E210" s="18">
        <v>5502.58377127522</v>
      </c>
      <c r="F210" s="18">
        <v>686.0451980968035</v>
      </c>
      <c r="G210" s="18">
        <v>5470.217268356406</v>
      </c>
      <c r="H210" s="12">
        <f>E211</f>
      </c>
      <c r="I210" s="12">
        <f>F211</f>
      </c>
      <c r="J210" s="12">
        <f>G211</f>
      </c>
      <c r="K210">
        <f>IF(AND(Pu&gt;=MIN(E210,H210),Pu&lt;=MAX(E210,H210),E210&lt;&gt;H210),1,0)</f>
      </c>
      <c r="L210">
        <f>IF(K210=1,(Pu-E210)/(H210-E210),"")</f>
      </c>
      <c r="M210" s="12">
        <f>IF(K210=1,F210+L210*(I210-F210),"")</f>
      </c>
      <c r="N210" s="12">
        <f>IF(K210=1,G210+L210*(J210-G210),"")</f>
      </c>
    </row>
    <row r="211" spans="2:14" x14ac:dyDescent="0.25">
      <c r="B211">
        <v>6</v>
      </c>
      <c r="C211">
        <v>11.250000000000012</v>
      </c>
      <c r="D211">
        <v>20</v>
      </c>
      <c r="E211" s="18">
        <v>5306.270338386785</v>
      </c>
      <c r="F211" s="18">
        <v>699.9432678353747</v>
      </c>
      <c r="G211" s="18">
        <v>5556.215332623594</v>
      </c>
      <c r="H211" s="12">
        <f>E212</f>
      </c>
      <c r="I211" s="12">
        <f>F212</f>
      </c>
      <c r="J211" s="12">
        <f>G212</f>
      </c>
      <c r="K211">
        <f>IF(AND(Pu&gt;=MIN(E211,H211),Pu&lt;=MAX(E211,H211),E211&lt;&gt;H211),1,0)</f>
      </c>
      <c r="L211">
        <f>IF(K211=1,(Pu-E211)/(H211-E211),"")</f>
      </c>
      <c r="M211" s="12">
        <f>IF(K211=1,F211+L211*(I211-F211),"")</f>
      </c>
      <c r="N211" s="12">
        <f>IF(K211=1,G211+L211*(J211-G211),"")</f>
      </c>
    </row>
    <row r="212" spans="2:14" x14ac:dyDescent="0.25">
      <c r="B212">
        <v>6</v>
      </c>
      <c r="C212">
        <v>11.250000000000012</v>
      </c>
      <c r="D212">
        <v>21</v>
      </c>
      <c r="E212" s="18">
        <v>5194.779190795306</v>
      </c>
      <c r="F212" s="18">
        <v>698.3177172395754</v>
      </c>
      <c r="G212" s="18">
        <v>5531.174007568946</v>
      </c>
      <c r="H212" s="12">
        <f>E213</f>
      </c>
      <c r="I212" s="12">
        <f>F213</f>
      </c>
      <c r="J212" s="12">
        <f>G213</f>
      </c>
      <c r="K212">
        <f>IF(AND(Pu&gt;=MIN(E212,H212),Pu&lt;=MAX(E212,H212),E212&lt;&gt;H212),1,0)</f>
      </c>
      <c r="L212">
        <f>IF(K212=1,(Pu-E212)/(H212-E212),"")</f>
      </c>
      <c r="M212" s="12">
        <f>IF(K212=1,F212+L212*(I212-F212),"")</f>
      </c>
      <c r="N212" s="12">
        <f>IF(K212=1,G212+L212*(J212-G212),"")</f>
      </c>
    </row>
    <row r="213" spans="2:14" x14ac:dyDescent="0.25">
      <c r="B213">
        <v>6</v>
      </c>
      <c r="C213">
        <v>11.250000000000012</v>
      </c>
      <c r="D213">
        <v>22</v>
      </c>
      <c r="E213" s="18">
        <v>4669.041727671876</v>
      </c>
      <c r="F213" s="18">
        <v>685.5554072040884</v>
      </c>
      <c r="G213" s="18">
        <v>5406.394847846454</v>
      </c>
      <c r="H213" s="12">
        <f>E214</f>
      </c>
      <c r="I213" s="12">
        <f>F214</f>
      </c>
      <c r="J213" s="12">
        <f>G214</f>
      </c>
      <c r="K213">
        <f>IF(AND(Pu&gt;=MIN(E213,H213),Pu&lt;=MAX(E213,H213),E213&lt;&gt;H213),1,0)</f>
      </c>
      <c r="L213">
        <f>IF(K213=1,(Pu-E213)/(H213-E213),"")</f>
      </c>
      <c r="M213" s="12">
        <f>IF(K213=1,F213+L213*(I213-F213),"")</f>
      </c>
      <c r="N213" s="12">
        <f>IF(K213=1,G213+L213*(J213-G213),"")</f>
      </c>
    </row>
    <row r="214" spans="2:14" x14ac:dyDescent="0.25">
      <c r="B214">
        <v>6</v>
      </c>
      <c r="C214">
        <v>11.250000000000012</v>
      </c>
      <c r="D214">
        <v>23</v>
      </c>
      <c r="E214" s="18">
        <v>3881.5972847476423</v>
      </c>
      <c r="F214" s="18">
        <v>681.574975669593</v>
      </c>
      <c r="G214" s="18">
        <v>5143.84336962395</v>
      </c>
      <c r="H214" s="12">
        <f>E215</f>
      </c>
      <c r="I214" s="12">
        <f>F215</f>
      </c>
      <c r="J214" s="12">
        <f>G215</f>
      </c>
      <c r="K214">
        <f>IF(AND(Pu&gt;=MIN(E214,H214),Pu&lt;=MAX(E214,H214),E214&lt;&gt;H214),1,0)</f>
      </c>
      <c r="L214">
        <f>IF(K214=1,(Pu-E214)/(H214-E214),"")</f>
      </c>
      <c r="M214" s="12">
        <f>IF(K214=1,F214+L214*(I214-F214),"")</f>
      </c>
      <c r="N214" s="12">
        <f>IF(K214=1,G214+L214*(J214-G214),"")</f>
      </c>
    </row>
    <row r="215" spans="2:14" x14ac:dyDescent="0.25">
      <c r="B215">
        <v>6</v>
      </c>
      <c r="C215">
        <v>11.250000000000012</v>
      </c>
      <c r="D215">
        <v>24</v>
      </c>
      <c r="E215" s="18">
        <v>3162.308370645784</v>
      </c>
      <c r="F215" s="18">
        <v>682.9600200648446</v>
      </c>
      <c r="G215" s="18">
        <v>4883.525516328734</v>
      </c>
      <c r="H215" s="12">
        <f>E216</f>
      </c>
      <c r="I215" s="12">
        <f>F216</f>
      </c>
      <c r="J215" s="12">
        <f>G216</f>
      </c>
      <c r="K215">
        <f>IF(AND(Pu&gt;=MIN(E215,H215),Pu&lt;=MAX(E215,H215),E215&lt;&gt;H215),1,0)</f>
      </c>
      <c r="L215">
        <f>IF(K215=1,(Pu-E215)/(H215-E215),"")</f>
      </c>
      <c r="M215" s="12">
        <f>IF(K215=1,F215+L215*(I215-F215),"")</f>
      </c>
      <c r="N215" s="12">
        <f>IF(K215=1,G215+L215*(J215-G215),"")</f>
      </c>
    </row>
    <row r="216" spans="2:14" x14ac:dyDescent="0.25">
      <c r="B216">
        <v>6</v>
      </c>
      <c r="C216">
        <v>11.250000000000012</v>
      </c>
      <c r="D216">
        <v>25</v>
      </c>
      <c r="E216" s="18">
        <v>2646.876068933251</v>
      </c>
      <c r="F216" s="18">
        <v>677.2541012912411</v>
      </c>
      <c r="G216" s="18">
        <v>4652.541795589492</v>
      </c>
      <c r="H216" s="12">
        <f>E217</f>
      </c>
      <c r="I216" s="12">
        <f>F217</f>
      </c>
      <c r="J216" s="12">
        <f>G217</f>
      </c>
      <c r="K216">
        <f>IF(AND(Pu&gt;=MIN(E216,H216),Pu&lt;=MAX(E216,H216),E216&lt;&gt;H216),1,0)</f>
      </c>
      <c r="L216">
        <f>IF(K216=1,(Pu-E216)/(H216-E216),"")</f>
      </c>
      <c r="M216" s="12">
        <f>IF(K216=1,F216+L216*(I216-F216),"")</f>
      </c>
      <c r="N216" s="12">
        <f>IF(K216=1,G216+L216*(J216-G216),"")</f>
      </c>
    </row>
    <row r="217" spans="2:14" x14ac:dyDescent="0.25">
      <c r="B217">
        <v>6</v>
      </c>
      <c r="C217">
        <v>11.250000000000012</v>
      </c>
      <c r="D217">
        <v>26</v>
      </c>
      <c r="E217" s="18">
        <v>1615.4573760730434</v>
      </c>
      <c r="F217" s="18">
        <v>694.6942864750487</v>
      </c>
      <c r="G217" s="18">
        <v>4146.739297406918</v>
      </c>
      <c r="H217" s="12">
        <f>E218</f>
      </c>
      <c r="I217" s="12">
        <f>F218</f>
      </c>
      <c r="J217" s="12">
        <f>G218</f>
      </c>
      <c r="K217">
        <f>IF(AND(Pu&gt;=MIN(E217,H217),Pu&lt;=MAX(E217,H217),E217&lt;&gt;H217),1,0)</f>
      </c>
      <c r="L217">
        <f>IF(K217=1,(Pu-E217)/(H217-E217),"")</f>
      </c>
      <c r="M217" s="12">
        <f>IF(K217=1,F217+L217*(I217-F217),"")</f>
      </c>
      <c r="N217" s="12">
        <f>IF(K217=1,G217+L217*(J217-G217),"")</f>
      </c>
    </row>
    <row r="218" spans="2:14" x14ac:dyDescent="0.25">
      <c r="B218">
        <v>6</v>
      </c>
      <c r="C218">
        <v>11.250000000000012</v>
      </c>
      <c r="D218">
        <v>27</v>
      </c>
      <c r="E218" s="18">
        <v>691.6245101146176</v>
      </c>
      <c r="F218" s="18">
        <v>658.1931576570787</v>
      </c>
      <c r="G218" s="18">
        <v>3641.572501791278</v>
      </c>
      <c r="H218" s="12">
        <f>E219</f>
      </c>
      <c r="I218" s="12">
        <f>F219</f>
      </c>
      <c r="J218" s="12">
        <f>G219</f>
      </c>
      <c r="K218">
        <f>IF(AND(Pu&gt;=MIN(E218,H218),Pu&lt;=MAX(E218,H218),E218&lt;&gt;H218),1,0)</f>
      </c>
      <c r="L218">
        <f>IF(K218=1,(Pu-E218)/(H218-E218),"")</f>
      </c>
      <c r="M218" s="12">
        <f>IF(K218=1,F218+L218*(I218-F218),"")</f>
      </c>
      <c r="N218" s="12">
        <f>IF(K218=1,G218+L218*(J218-G218),"")</f>
      </c>
    </row>
    <row r="219" spans="2:14" x14ac:dyDescent="0.25">
      <c r="B219">
        <v>6</v>
      </c>
      <c r="C219">
        <v>11.250000000000012</v>
      </c>
      <c r="D219">
        <v>28</v>
      </c>
      <c r="E219" s="18">
        <v>-111.92034839184277</v>
      </c>
      <c r="F219" s="18">
        <v>595.9434938960295</v>
      </c>
      <c r="G219" s="18">
        <v>3169.425962250724</v>
      </c>
      <c r="H219" s="12">
        <f>E220</f>
      </c>
      <c r="I219" s="12">
        <f>F220</f>
      </c>
      <c r="J219" s="12">
        <f>G220</f>
      </c>
      <c r="K219">
        <f>IF(AND(Pu&gt;=MIN(E219,H219),Pu&lt;=MAX(E219,H219),E219&lt;&gt;H219),1,0)</f>
      </c>
      <c r="L219">
        <f>IF(K219=1,(Pu-E219)/(H219-E219),"")</f>
      </c>
      <c r="M219" s="12">
        <f>IF(K219=1,F219+L219*(I219-F219),"")</f>
      </c>
      <c r="N219" s="12">
        <f>IF(K219=1,G219+L219*(J219-G219),"")</f>
      </c>
    </row>
    <row r="220" spans="2:14" x14ac:dyDescent="0.25">
      <c r="B220">
        <v>6</v>
      </c>
      <c r="C220">
        <v>11.250000000000012</v>
      </c>
      <c r="D220">
        <v>29</v>
      </c>
      <c r="E220" s="18">
        <v>-772.1386527664523</v>
      </c>
      <c r="F220" s="18">
        <v>526.9421606281219</v>
      </c>
      <c r="G220" s="18">
        <v>2772.7381976166903</v>
      </c>
      <c r="H220" s="12">
        <f>E221</f>
      </c>
      <c r="I220" s="12">
        <f>F221</f>
      </c>
      <c r="J220" s="12">
        <f>G221</f>
      </c>
      <c r="K220">
        <f>IF(AND(Pu&gt;=MIN(E220,H220),Pu&lt;=MAX(E220,H220),E220&lt;&gt;H220),1,0)</f>
      </c>
      <c r="L220">
        <f>IF(K220=1,(Pu-E220)/(H220-E220),"")</f>
      </c>
      <c r="M220" s="12">
        <f>IF(K220=1,F220+L220*(I220-F220),"")</f>
      </c>
      <c r="N220" s="12">
        <f>IF(K220=1,G220+L220*(J220-G220),"")</f>
      </c>
    </row>
    <row r="221" spans="2:14" x14ac:dyDescent="0.25">
      <c r="B221">
        <v>6</v>
      </c>
      <c r="C221">
        <v>11.250000000000012</v>
      </c>
      <c r="D221">
        <v>30</v>
      </c>
      <c r="E221" s="18">
        <v>-1824.3129922245923</v>
      </c>
      <c r="F221" s="18">
        <v>419.8522705934978</v>
      </c>
      <c r="G221" s="18">
        <v>2115.5455833517676</v>
      </c>
      <c r="H221" s="12">
        <f>E222</f>
      </c>
      <c r="I221" s="12">
        <f>F222</f>
      </c>
      <c r="J221" s="12">
        <f>G222</f>
      </c>
      <c r="K221">
        <f>IF(AND(Pu&gt;=MIN(E221,H221),Pu&lt;=MAX(E221,H221),E221&lt;&gt;H221),1,0)</f>
      </c>
      <c r="L221">
        <f>IF(K221=1,(Pu-E221)/(H221-E221),"")</f>
      </c>
      <c r="M221" s="12">
        <f>IF(K221=1,F221+L221*(I221-F221),"")</f>
      </c>
      <c r="N221" s="12">
        <f>IF(K221=1,G221+L221*(J221-G221),"")</f>
      </c>
    </row>
    <row r="222" spans="2:14" x14ac:dyDescent="0.25">
      <c r="B222">
        <v>6</v>
      </c>
      <c r="C222">
        <v>11.250000000000012</v>
      </c>
      <c r="D222">
        <v>31</v>
      </c>
      <c r="E222" s="18">
        <v>-2523.3415535901268</v>
      </c>
      <c r="F222" s="18">
        <v>377.9069610343052</v>
      </c>
      <c r="G222" s="18">
        <v>1649.0513519484552</v>
      </c>
      <c r="H222" s="12">
        <f>E223</f>
      </c>
      <c r="I222" s="12">
        <f>F223</f>
      </c>
      <c r="J222" s="12">
        <f>G223</f>
      </c>
      <c r="K222">
        <f>IF(AND(Pu&gt;=MIN(E222,H222),Pu&lt;=MAX(E222,H222),E222&lt;&gt;H222),1,0)</f>
      </c>
      <c r="L222">
        <f>IF(K222=1,(Pu-E222)/(H222-E222),"")</f>
      </c>
      <c r="M222" s="12">
        <f>IF(K222=1,F222+L222*(I222-F222),"")</f>
      </c>
      <c r="N222" s="12">
        <f>IF(K222=1,G222+L222*(J222-G222),"")</f>
      </c>
    </row>
    <row r="223" spans="2:14" x14ac:dyDescent="0.25">
      <c r="B223">
        <v>6</v>
      </c>
      <c r="C223">
        <v>11.250000000000012</v>
      </c>
      <c r="D223">
        <v>32</v>
      </c>
      <c r="E223" s="18">
        <v>-3457.6890278687847</v>
      </c>
      <c r="F223" s="18">
        <v>319.82845415697994</v>
      </c>
      <c r="G223" s="18">
        <v>1015.151734545102</v>
      </c>
      <c r="H223" s="12">
        <f>E224</f>
      </c>
      <c r="I223" s="12">
        <f>F224</f>
      </c>
      <c r="J223" s="12">
        <f>G224</f>
      </c>
      <c r="K223">
        <f>IF(AND(Pu&gt;=MIN(E223,H223),Pu&lt;=MAX(E223,H223),E223&lt;&gt;H223),1,0)</f>
      </c>
      <c r="L223">
        <f>IF(K223=1,(Pu-E223)/(H223-E223),"")</f>
      </c>
      <c r="M223" s="12">
        <f>IF(K223=1,F223+L223*(I223-F223),"")</f>
      </c>
      <c r="N223" s="12">
        <f>IF(K223=1,G223+L223*(J223-G223),"")</f>
      </c>
    </row>
    <row r="224" spans="2:14" x14ac:dyDescent="0.25">
      <c r="B224">
        <v>6</v>
      </c>
      <c r="C224">
        <v>11.250000000000012</v>
      </c>
      <c r="D224">
        <v>33</v>
      </c>
      <c r="E224" s="18">
        <v>-3977.8171666616145</v>
      </c>
      <c r="F224" s="18">
        <v>250.62375413634442</v>
      </c>
      <c r="G224" s="18">
        <v>658.4873089789401</v>
      </c>
      <c r="H224" s="12">
        <f>E225</f>
      </c>
      <c r="I224" s="12">
        <f>F225</f>
      </c>
      <c r="J224" s="12">
        <f>G225</f>
      </c>
      <c r="K224">
        <f>IF(AND(Pu&gt;=MIN(E224,H224),Pu&lt;=MAX(E224,H224),E224&lt;&gt;H224),1,0)</f>
      </c>
      <c r="L224">
        <f>IF(K224=1,(Pu-E224)/(H224-E224),"")</f>
      </c>
      <c r="M224" s="12">
        <f>IF(K224=1,F224+L224*(I224-F224),"")</f>
      </c>
      <c r="N224" s="12">
        <f>IF(K224=1,G224+L224*(J224-G224),"")</f>
      </c>
    </row>
    <row r="225" spans="2:14" x14ac:dyDescent="0.25">
      <c r="B225">
        <v>6</v>
      </c>
      <c r="C225">
        <v>11.250000000000012</v>
      </c>
      <c r="D225">
        <v>34</v>
      </c>
      <c r="E225" s="18">
        <v>-4564.551744120474</v>
      </c>
      <c r="F225" s="18">
        <v>113.51890832181682</v>
      </c>
      <c r="G225" s="18">
        <v>253.00623412120873</v>
      </c>
      <c r="H225" s="12">
        <f>E226</f>
      </c>
      <c r="I225" s="12">
        <f>F226</f>
      </c>
      <c r="J225" s="12">
        <f>G226</f>
      </c>
      <c r="K225">
        <f>IF(AND(Pu&gt;=MIN(E225,H225),Pu&lt;=MAX(E225,H225),E225&lt;&gt;H225),1,0)</f>
      </c>
      <c r="L225">
        <f>IF(K225=1,(Pu-E225)/(H225-E225),"")</f>
      </c>
      <c r="M225" s="12">
        <f>IF(K225=1,F225+L225*(I225-F225),"")</f>
      </c>
      <c r="N225" s="12">
        <f>IF(K225=1,G225+L225*(J225-G225),"")</f>
      </c>
    </row>
    <row r="226" spans="2:7" x14ac:dyDescent="0.25">
      <c r="B226">
        <v>6</v>
      </c>
      <c r="C226">
        <v>11.250000000000012</v>
      </c>
      <c r="D226">
        <v>35</v>
      </c>
      <c r="E226" s="18">
        <v>-4799.7160831371775</v>
      </c>
      <c r="F226" s="18">
        <v>42.38069129818915</v>
      </c>
      <c r="G226" s="18">
        <v>89.55253294625675</v>
      </c>
    </row>
    <row r="228" spans="2:14" x14ac:dyDescent="0.25">
      <c r="B228">
        <v>7</v>
      </c>
      <c r="C228">
        <v>14.999999999999982</v>
      </c>
      <c r="D228">
        <v>1</v>
      </c>
      <c r="E228" s="18">
        <v>17396.106570752956</v>
      </c>
      <c r="F228" s="18">
        <v>579.4296736754594</v>
      </c>
      <c r="G228" s="18">
        <v>2763.877879608644</v>
      </c>
      <c r="H228" s="12">
        <f>E229</f>
      </c>
      <c r="I228" s="12">
        <f>F229</f>
      </c>
      <c r="J228" s="12">
        <f>G229</f>
      </c>
      <c r="K228">
        <f>IF(AND(Pu&gt;=MIN(E228,H228),Pu&lt;=MAX(E228,H228),E228&lt;&gt;H228),1,0)</f>
      </c>
      <c r="L228">
        <f>IF(K228=1,(Pu-E228)/(H228-E228),"")</f>
      </c>
      <c r="M228" s="12">
        <f>IF(K228=1,F228+L228*(I228-F228),"")</f>
      </c>
      <c r="N228" s="12">
        <f>IF(K228=1,G228+L228*(J228-G228),"")</f>
      </c>
    </row>
    <row r="229" spans="2:14" x14ac:dyDescent="0.25">
      <c r="B229">
        <v>7</v>
      </c>
      <c r="C229">
        <v>14.999999999999982</v>
      </c>
      <c r="D229">
        <v>2</v>
      </c>
      <c r="E229" s="18">
        <v>16475.903012800416</v>
      </c>
      <c r="F229" s="18">
        <v>582.7666758925642</v>
      </c>
      <c r="G229" s="18">
        <v>3187.2312439903053</v>
      </c>
      <c r="H229" s="12">
        <f>E230</f>
      </c>
      <c r="I229" s="12">
        <f>F230</f>
      </c>
      <c r="J229" s="12">
        <f>G230</f>
      </c>
      <c r="K229">
        <f>IF(AND(Pu&gt;=MIN(E229,H229),Pu&lt;=MAX(E229,H229),E229&lt;&gt;H229),1,0)</f>
      </c>
      <c r="L229">
        <f>IF(K229=1,(Pu-E229)/(H229-E229),"")</f>
      </c>
      <c r="M229" s="12">
        <f>IF(K229=1,F229+L229*(I229-F229),"")</f>
      </c>
      <c r="N229" s="12">
        <f>IF(K229=1,G229+L229*(J229-G229),"")</f>
      </c>
    </row>
    <row r="230" spans="2:14" x14ac:dyDescent="0.25">
      <c r="B230">
        <v>7</v>
      </c>
      <c r="C230">
        <v>14.999999999999982</v>
      </c>
      <c r="D230">
        <v>3</v>
      </c>
      <c r="E230" s="18">
        <v>15662.525400173536</v>
      </c>
      <c r="F230" s="18">
        <v>582.0806869617578</v>
      </c>
      <c r="G230" s="18">
        <v>3504.099197625833</v>
      </c>
      <c r="H230" s="12">
        <f>E231</f>
      </c>
      <c r="I230" s="12">
        <f>F231</f>
      </c>
      <c r="J230" s="12">
        <f>G231</f>
      </c>
      <c r="K230">
        <f>IF(AND(Pu&gt;=MIN(E230,H230),Pu&lt;=MAX(E230,H230),E230&lt;&gt;H230),1,0)</f>
      </c>
      <c r="L230">
        <f>IF(K230=1,(Pu-E230)/(H230-E230),"")</f>
      </c>
      <c r="M230" s="12">
        <f>IF(K230=1,F230+L230*(I230-F230),"")</f>
      </c>
      <c r="N230" s="12">
        <f>IF(K230=1,G230+L230*(J230-G230),"")</f>
      </c>
    </row>
    <row r="231" spans="2:14" x14ac:dyDescent="0.25">
      <c r="B231">
        <v>7</v>
      </c>
      <c r="C231">
        <v>14.999999999999982</v>
      </c>
      <c r="D231">
        <v>4</v>
      </c>
      <c r="E231" s="18">
        <v>14136.571625898703</v>
      </c>
      <c r="F231" s="18">
        <v>694.3301302141049</v>
      </c>
      <c r="G231" s="18">
        <v>3930.2511160737413</v>
      </c>
      <c r="H231" s="12">
        <f>E232</f>
      </c>
      <c r="I231" s="12">
        <f>F232</f>
      </c>
      <c r="J231" s="12">
        <f>G232</f>
      </c>
      <c r="K231">
        <f>IF(AND(Pu&gt;=MIN(E231,H231),Pu&lt;=MAX(E231,H231),E231&lt;&gt;H231),1,0)</f>
      </c>
      <c r="L231">
        <f>IF(K231=1,(Pu-E231)/(H231-E231),"")</f>
      </c>
      <c r="M231" s="12">
        <f>IF(K231=1,F231+L231*(I231-F231),"")</f>
      </c>
      <c r="N231" s="12">
        <f>IF(K231=1,G231+L231*(J231-G231),"")</f>
      </c>
    </row>
    <row r="232" spans="2:14" x14ac:dyDescent="0.25">
      <c r="B232">
        <v>7</v>
      </c>
      <c r="C232">
        <v>14.999999999999982</v>
      </c>
      <c r="D232">
        <v>5</v>
      </c>
      <c r="E232" s="18">
        <v>12156.552910497609</v>
      </c>
      <c r="F232" s="18">
        <v>835.1437956473752</v>
      </c>
      <c r="G232" s="18">
        <v>4265.002102429779</v>
      </c>
      <c r="H232" s="12">
        <f>E233</f>
      </c>
      <c r="I232" s="12">
        <f>F233</f>
      </c>
      <c r="J232" s="12">
        <f>G233</f>
      </c>
      <c r="K232">
        <f>IF(AND(Pu&gt;=MIN(E232,H232),Pu&lt;=MAX(E232,H232),E232&lt;&gt;H232),1,0)</f>
      </c>
      <c r="L232">
        <f>IF(K232=1,(Pu-E232)/(H232-E232),"")</f>
      </c>
      <c r="M232" s="12">
        <f>IF(K232=1,F232+L232*(I232-F232),"")</f>
      </c>
      <c r="N232" s="12">
        <f>IF(K232=1,G232+L232*(J232-G232),"")</f>
      </c>
    </row>
    <row r="233" spans="2:14" x14ac:dyDescent="0.25">
      <c r="B233">
        <v>7</v>
      </c>
      <c r="C233">
        <v>14.999999999999982</v>
      </c>
      <c r="D233">
        <v>6</v>
      </c>
      <c r="E233" s="18">
        <v>9972.307857529007</v>
      </c>
      <c r="F233" s="18">
        <v>875.0352409616505</v>
      </c>
      <c r="G233" s="18">
        <v>4489.314043146301</v>
      </c>
      <c r="H233" s="12">
        <f>E234</f>
      </c>
      <c r="I233" s="12">
        <f>F234</f>
      </c>
      <c r="J233" s="12">
        <f>G234</f>
      </c>
      <c r="K233">
        <f>IF(AND(Pu&gt;=MIN(E233,H233),Pu&lt;=MAX(E233,H233),E233&lt;&gt;H233),1,0)</f>
      </c>
      <c r="L233">
        <f>IF(K233=1,(Pu-E233)/(H233-E233),"")</f>
      </c>
      <c r="M233" s="12">
        <f>IF(K233=1,F233+L233*(I233-F233),"")</f>
      </c>
      <c r="N233" s="12">
        <f>IF(K233=1,G233+L233*(J233-G233),"")</f>
      </c>
    </row>
    <row r="234" spans="2:14" x14ac:dyDescent="0.25">
      <c r="B234">
        <v>7</v>
      </c>
      <c r="C234">
        <v>14.999999999999982</v>
      </c>
      <c r="D234">
        <v>7</v>
      </c>
      <c r="E234" s="18">
        <v>8734.688734939808</v>
      </c>
      <c r="F234" s="18">
        <v>893.8606206080419</v>
      </c>
      <c r="G234" s="18">
        <v>4561.875849733287</v>
      </c>
      <c r="H234" s="12">
        <f>E235</f>
      </c>
      <c r="I234" s="12">
        <f>F235</f>
      </c>
      <c r="J234" s="12">
        <f>G235</f>
      </c>
      <c r="K234">
        <f>IF(AND(Pu&gt;=MIN(E234,H234),Pu&lt;=MAX(E234,H234),E234&lt;&gt;H234),1,0)</f>
      </c>
      <c r="L234">
        <f>IF(K234=1,(Pu-E234)/(H234-E234),"")</f>
      </c>
      <c r="M234" s="12">
        <f>IF(K234=1,F234+L234*(I234-F234),"")</f>
      </c>
      <c r="N234" s="12">
        <f>IF(K234=1,G234+L234*(J234-G234),"")</f>
      </c>
    </row>
    <row r="235" spans="2:14" x14ac:dyDescent="0.25">
      <c r="B235">
        <v>7</v>
      </c>
      <c r="C235">
        <v>14.999999999999982</v>
      </c>
      <c r="D235">
        <v>8</v>
      </c>
      <c r="E235" s="18">
        <v>8245.773779081794</v>
      </c>
      <c r="F235" s="18">
        <v>907.3631683527528</v>
      </c>
      <c r="G235" s="18">
        <v>4658.148345196056</v>
      </c>
      <c r="H235" s="12">
        <f>E236</f>
      </c>
      <c r="I235" s="12">
        <f>F236</f>
      </c>
      <c r="J235" s="12">
        <f>G236</f>
      </c>
      <c r="K235">
        <f>IF(AND(Pu&gt;=MIN(E235,H235),Pu&lt;=MAX(E235,H235),E235&lt;&gt;H235),1,0)</f>
      </c>
      <c r="L235">
        <f>IF(K235=1,(Pu-E235)/(H235-E235),"")</f>
      </c>
      <c r="M235" s="12">
        <f>IF(K235=1,F235+L235*(I235-F235),"")</f>
      </c>
      <c r="N235" s="12">
        <f>IF(K235=1,G235+L235*(J235-G235),"")</f>
      </c>
    </row>
    <row r="236" spans="2:14" x14ac:dyDescent="0.25">
      <c r="B236">
        <v>7</v>
      </c>
      <c r="C236">
        <v>14.999999999999982</v>
      </c>
      <c r="D236">
        <v>9</v>
      </c>
      <c r="E236" s="18">
        <v>7737.173933369425</v>
      </c>
      <c r="F236" s="18">
        <v>916.4555671933101</v>
      </c>
      <c r="G236" s="18">
        <v>4750.264955764166</v>
      </c>
      <c r="H236" s="12">
        <f>E237</f>
      </c>
      <c r="I236" s="12">
        <f>F237</f>
      </c>
      <c r="J236" s="12">
        <f>G237</f>
      </c>
      <c r="K236">
        <f>IF(AND(Pu&gt;=MIN(E236,H236),Pu&lt;=MAX(E236,H236),E236&lt;&gt;H236),1,0)</f>
      </c>
      <c r="L236">
        <f>IF(K236=1,(Pu-E236)/(H236-E236),"")</f>
      </c>
      <c r="M236" s="12">
        <f>IF(K236=1,F236+L236*(I236-F236),"")</f>
      </c>
      <c r="N236" s="12">
        <f>IF(K236=1,G236+L236*(J236-G236),"")</f>
      </c>
    </row>
    <row r="237" spans="2:14" x14ac:dyDescent="0.25">
      <c r="B237">
        <v>7</v>
      </c>
      <c r="C237">
        <v>14.999999999999982</v>
      </c>
      <c r="D237">
        <v>10</v>
      </c>
      <c r="E237" s="18">
        <v>7205.771112627938</v>
      </c>
      <c r="F237" s="18">
        <v>913.7666235262016</v>
      </c>
      <c r="G237" s="18">
        <v>4850.110139087779</v>
      </c>
      <c r="H237" s="12">
        <f>E238</f>
      </c>
      <c r="I237" s="12">
        <f>F238</f>
      </c>
      <c r="J237" s="12">
        <f>G238</f>
      </c>
      <c r="K237">
        <f>IF(AND(Pu&gt;=MIN(E237,H237),Pu&lt;=MAX(E237,H237),E237&lt;&gt;H237),1,0)</f>
      </c>
      <c r="L237">
        <f>IF(K237=1,(Pu-E237)/(H237-E237),"")</f>
      </c>
      <c r="M237" s="12">
        <f>IF(K237=1,F237+L237*(I237-F237),"")</f>
      </c>
      <c r="N237" s="12">
        <f>IF(K237=1,G237+L237*(J237-G237),"")</f>
      </c>
    </row>
    <row r="238" spans="2:14" x14ac:dyDescent="0.25">
      <c r="B238">
        <v>7</v>
      </c>
      <c r="C238">
        <v>14.999999999999982</v>
      </c>
      <c r="D238">
        <v>11</v>
      </c>
      <c r="E238" s="18">
        <v>7049.0821906543415</v>
      </c>
      <c r="F238" s="18">
        <v>919.6486870383959</v>
      </c>
      <c r="G238" s="18">
        <v>4884.397044569144</v>
      </c>
      <c r="H238" s="12">
        <f>E239</f>
      </c>
      <c r="I238" s="12">
        <f>F239</f>
      </c>
      <c r="J238" s="12">
        <f>G239</f>
      </c>
      <c r="K238">
        <f>IF(AND(Pu&gt;=MIN(E238,H238),Pu&lt;=MAX(E238,H238),E238&lt;&gt;H238),1,0)</f>
      </c>
      <c r="L238">
        <f>IF(K238=1,(Pu-E238)/(H238-E238),"")</f>
      </c>
      <c r="M238" s="12">
        <f>IF(K238=1,F238+L238*(I238-F238),"")</f>
      </c>
      <c r="N238" s="12">
        <f>IF(K238=1,G238+L238*(J238-G238),"")</f>
      </c>
    </row>
    <row r="239" spans="2:14" x14ac:dyDescent="0.25">
      <c r="B239">
        <v>7</v>
      </c>
      <c r="C239">
        <v>14.999999999999982</v>
      </c>
      <c r="D239">
        <v>12</v>
      </c>
      <c r="E239" s="18">
        <v>6590.368585798973</v>
      </c>
      <c r="F239" s="18">
        <v>904.7189860755539</v>
      </c>
      <c r="G239" s="18">
        <v>4986.1953192050005</v>
      </c>
      <c r="H239" s="12">
        <f>E240</f>
      </c>
      <c r="I239" s="12">
        <f>F240</f>
      </c>
      <c r="J239" s="12">
        <f>G240</f>
      </c>
      <c r="K239">
        <f>IF(AND(Pu&gt;=MIN(E239,H239),Pu&lt;=MAX(E239,H239),E239&lt;&gt;H239),1,0)</f>
      </c>
      <c r="L239">
        <f>IF(K239=1,(Pu-E239)/(H239-E239),"")</f>
      </c>
      <c r="M239" s="12">
        <f>IF(K239=1,F239+L239*(I239-F239),"")</f>
      </c>
      <c r="N239" s="12">
        <f>IF(K239=1,G239+L239*(J239-G239),"")</f>
      </c>
    </row>
    <row r="240" spans="2:14" x14ac:dyDescent="0.25">
      <c r="B240">
        <v>7</v>
      </c>
      <c r="C240">
        <v>14.999999999999982</v>
      </c>
      <c r="D240">
        <v>13</v>
      </c>
      <c r="E240" s="18">
        <v>6560.692891888022</v>
      </c>
      <c r="F240" s="18">
        <v>903.8056612985807</v>
      </c>
      <c r="G240" s="18">
        <v>4993.661552970468</v>
      </c>
      <c r="H240" s="12">
        <f>E241</f>
      </c>
      <c r="I240" s="12">
        <f>F241</f>
      </c>
      <c r="J240" s="12">
        <f>G241</f>
      </c>
      <c r="K240">
        <f>IF(AND(Pu&gt;=MIN(E240,H240),Pu&lt;=MAX(E240,H240),E240&lt;&gt;H240),1,0)</f>
      </c>
      <c r="L240">
        <f>IF(K240=1,(Pu-E240)/(H240-E240),"")</f>
      </c>
      <c r="M240" s="12">
        <f>IF(K240=1,F240+L240*(I240-F240),"")</f>
      </c>
      <c r="N240" s="12">
        <f>IF(K240=1,G240+L240*(J240-G240),"")</f>
      </c>
    </row>
    <row r="241" spans="2:14" x14ac:dyDescent="0.25">
      <c r="B241">
        <v>7</v>
      </c>
      <c r="C241">
        <v>14.999999999999982</v>
      </c>
      <c r="D241">
        <v>14</v>
      </c>
      <c r="E241" s="18">
        <v>6190.548810270719</v>
      </c>
      <c r="F241" s="18">
        <v>900.9075932788546</v>
      </c>
      <c r="G241" s="18">
        <v>5100.5526612048625</v>
      </c>
      <c r="H241" s="12">
        <f>E242</f>
      </c>
      <c r="I241" s="12">
        <f>F242</f>
      </c>
      <c r="J241" s="12">
        <f>G242</f>
      </c>
      <c r="K241">
        <f>IF(AND(Pu&gt;=MIN(E241,H241),Pu&lt;=MAX(E241,H241),E241&lt;&gt;H241),1,0)</f>
      </c>
      <c r="L241">
        <f>IF(K241=1,(Pu-E241)/(H241-E241),"")</f>
      </c>
      <c r="M241" s="12">
        <f>IF(K241=1,F241+L241*(I241-F241),"")</f>
      </c>
      <c r="N241" s="12">
        <f>IF(K241=1,G241+L241*(J241-G241),"")</f>
      </c>
    </row>
    <row r="242" spans="2:14" x14ac:dyDescent="0.25">
      <c r="B242">
        <v>7</v>
      </c>
      <c r="C242">
        <v>14.999999999999982</v>
      </c>
      <c r="D242">
        <v>15</v>
      </c>
      <c r="E242" s="18">
        <v>6114.654426135448</v>
      </c>
      <c r="F242" s="18">
        <v>902.7030904022866</v>
      </c>
      <c r="G242" s="18">
        <v>5125.458631849007</v>
      </c>
      <c r="H242" s="12">
        <f>E243</f>
      </c>
      <c r="I242" s="12">
        <f>F243</f>
      </c>
      <c r="J242" s="12">
        <f>G243</f>
      </c>
      <c r="K242">
        <f>IF(AND(Pu&gt;=MIN(E242,H242),Pu&lt;=MAX(E242,H242),E242&lt;&gt;H242),1,0)</f>
      </c>
      <c r="L242">
        <f>IF(K242=1,(Pu-E242)/(H242-E242),"")</f>
      </c>
      <c r="M242" s="12">
        <f>IF(K242=1,F242+L242*(I242-F242),"")</f>
      </c>
      <c r="N242" s="12">
        <f>IF(K242=1,G242+L242*(J242-G242),"")</f>
      </c>
    </row>
    <row r="243" spans="2:14" x14ac:dyDescent="0.25">
      <c r="B243">
        <v>7</v>
      </c>
      <c r="C243">
        <v>14.999999999999982</v>
      </c>
      <c r="D243">
        <v>16</v>
      </c>
      <c r="E243" s="18">
        <v>5891.3234645199955</v>
      </c>
      <c r="F243" s="18">
        <v>901.2478302164773</v>
      </c>
      <c r="G243" s="18">
        <v>5211.133094338876</v>
      </c>
      <c r="H243" s="12">
        <f>E244</f>
      </c>
      <c r="I243" s="12">
        <f>F244</f>
      </c>
      <c r="J243" s="12">
        <f>G244</f>
      </c>
      <c r="K243">
        <f>IF(AND(Pu&gt;=MIN(E243,H243),Pu&lt;=MAX(E243,H243),E243&lt;&gt;H243),1,0)</f>
      </c>
      <c r="L243">
        <f>IF(K243=1,(Pu-E243)/(H243-E243),"")</f>
      </c>
      <c r="M243" s="12">
        <f>IF(K243=1,F243+L243*(I243-F243),"")</f>
      </c>
      <c r="N243" s="12">
        <f>IF(K243=1,G243+L243*(J243-G243),"")</f>
      </c>
    </row>
    <row r="244" spans="2:14" x14ac:dyDescent="0.25">
      <c r="B244">
        <v>7</v>
      </c>
      <c r="C244">
        <v>14.999999999999982</v>
      </c>
      <c r="D244">
        <v>17</v>
      </c>
      <c r="E244" s="18">
        <v>5623.709827112973</v>
      </c>
      <c r="F244" s="18">
        <v>897.6225169893586</v>
      </c>
      <c r="G244" s="18">
        <v>5305.7023993696075</v>
      </c>
      <c r="H244" s="12">
        <f>E245</f>
      </c>
      <c r="I244" s="12">
        <f>F245</f>
      </c>
      <c r="J244" s="12">
        <f>G245</f>
      </c>
      <c r="K244">
        <f>IF(AND(Pu&gt;=MIN(E244,H244),Pu&lt;=MAX(E244,H244),E244&lt;&gt;H244),1,0)</f>
      </c>
      <c r="L244">
        <f>IF(K244=1,(Pu-E244)/(H244-E244),"")</f>
      </c>
      <c r="M244" s="12">
        <f>IF(K244=1,F244+L244*(I244-F244),"")</f>
      </c>
      <c r="N244" s="12">
        <f>IF(K244=1,G244+L244*(J244-G244),"")</f>
      </c>
    </row>
    <row r="245" spans="2:14" x14ac:dyDescent="0.25">
      <c r="B245">
        <v>7</v>
      </c>
      <c r="C245">
        <v>14.999999999999982</v>
      </c>
      <c r="D245">
        <v>18</v>
      </c>
      <c r="E245" s="18">
        <v>5443.505084947018</v>
      </c>
      <c r="F245" s="18">
        <v>904.264589940059</v>
      </c>
      <c r="G245" s="18">
        <v>5369.986902443823</v>
      </c>
      <c r="H245" s="12">
        <f>E246</f>
      </c>
      <c r="I245" s="12">
        <f>F246</f>
      </c>
      <c r="J245" s="12">
        <f>G246</f>
      </c>
      <c r="K245">
        <f>IF(AND(Pu&gt;=MIN(E245,H245),Pu&lt;=MAX(E245,H245),E245&lt;&gt;H245),1,0)</f>
      </c>
      <c r="L245">
        <f>IF(K245=1,(Pu-E245)/(H245-E245),"")</f>
      </c>
      <c r="M245" s="12">
        <f>IF(K245=1,F245+L245*(I245-F245),"")</f>
      </c>
      <c r="N245" s="12">
        <f>IF(K245=1,G245+L245*(J245-G245),"")</f>
      </c>
    </row>
    <row r="246" spans="2:14" x14ac:dyDescent="0.25">
      <c r="B246">
        <v>7</v>
      </c>
      <c r="C246">
        <v>14.999999999999982</v>
      </c>
      <c r="D246">
        <v>19</v>
      </c>
      <c r="E246" s="18">
        <v>5388.979766827861</v>
      </c>
      <c r="F246" s="18">
        <v>909.1776070684359</v>
      </c>
      <c r="G246" s="18">
        <v>5389.46588044801</v>
      </c>
      <c r="H246" s="12">
        <f>E247</f>
      </c>
      <c r="I246" s="12">
        <f>F247</f>
      </c>
      <c r="J246" s="12">
        <f>G247</f>
      </c>
      <c r="K246">
        <f>IF(AND(Pu&gt;=MIN(E246,H246),Pu&lt;=MAX(E246,H246),E246&lt;&gt;H246),1,0)</f>
      </c>
      <c r="L246">
        <f>IF(K246=1,(Pu-E246)/(H246-E246),"")</f>
      </c>
      <c r="M246" s="12">
        <f>IF(K246=1,F246+L246*(I246-F246),"")</f>
      </c>
      <c r="N246" s="12">
        <f>IF(K246=1,G246+L246*(J246-G246),"")</f>
      </c>
    </row>
    <row r="247" spans="2:14" x14ac:dyDescent="0.25">
      <c r="B247">
        <v>7</v>
      </c>
      <c r="C247">
        <v>14.999999999999982</v>
      </c>
      <c r="D247">
        <v>20</v>
      </c>
      <c r="E247" s="18">
        <v>5190.594334869809</v>
      </c>
      <c r="F247" s="18">
        <v>941.4781320015703</v>
      </c>
      <c r="G247" s="18">
        <v>5467.88362035534</v>
      </c>
      <c r="H247" s="12">
        <f>E248</f>
      </c>
      <c r="I247" s="12">
        <f>F248</f>
      </c>
      <c r="J247" s="12">
        <f>G248</f>
      </c>
      <c r="K247">
        <f>IF(AND(Pu&gt;=MIN(E247,H247),Pu&lt;=MAX(E247,H247),E247&lt;&gt;H247),1,0)</f>
      </c>
      <c r="L247">
        <f>IF(K247=1,(Pu-E247)/(H247-E247),"")</f>
      </c>
      <c r="M247" s="12">
        <f>IF(K247=1,F247+L247*(I247-F247),"")</f>
      </c>
      <c r="N247" s="12">
        <f>IF(K247=1,G247+L247*(J247-G247),"")</f>
      </c>
    </row>
    <row r="248" spans="2:14" x14ac:dyDescent="0.25">
      <c r="B248">
        <v>7</v>
      </c>
      <c r="C248">
        <v>14.999999999999982</v>
      </c>
      <c r="D248">
        <v>21</v>
      </c>
      <c r="E248" s="18">
        <v>5092.34802547863</v>
      </c>
      <c r="F248" s="18">
        <v>941.4980107466785</v>
      </c>
      <c r="G248" s="18">
        <v>5443.752774860546</v>
      </c>
      <c r="H248" s="12">
        <f>E249</f>
      </c>
      <c r="I248" s="12">
        <f>F249</f>
      </c>
      <c r="J248" s="12">
        <f>G249</f>
      </c>
      <c r="K248">
        <f>IF(AND(Pu&gt;=MIN(E248,H248),Pu&lt;=MAX(E248,H248),E248&lt;&gt;H248),1,0)</f>
      </c>
      <c r="L248">
        <f>IF(K248=1,(Pu-E248)/(H248-E248),"")</f>
      </c>
      <c r="M248" s="12">
        <f>IF(K248=1,F248+L248*(I248-F248),"")</f>
      </c>
      <c r="N248" s="12">
        <f>IF(K248=1,G248+L248*(J248-G248),"")</f>
      </c>
    </row>
    <row r="249" spans="2:14" x14ac:dyDescent="0.25">
      <c r="B249">
        <v>7</v>
      </c>
      <c r="C249">
        <v>14.999999999999982</v>
      </c>
      <c r="D249">
        <v>22</v>
      </c>
      <c r="E249" s="18">
        <v>4551.972183619797</v>
      </c>
      <c r="F249" s="18">
        <v>929.5604458302588</v>
      </c>
      <c r="G249" s="18">
        <v>5295.809501999721</v>
      </c>
      <c r="H249" s="12">
        <f>E250</f>
      </c>
      <c r="I249" s="12">
        <f>F250</f>
      </c>
      <c r="J249" s="12">
        <f>G250</f>
      </c>
      <c r="K249">
        <f>IF(AND(Pu&gt;=MIN(E249,H249),Pu&lt;=MAX(E249,H249),E249&lt;&gt;H249),1,0)</f>
      </c>
      <c r="L249">
        <f>IF(K249=1,(Pu-E249)/(H249-E249),"")</f>
      </c>
      <c r="M249" s="12">
        <f>IF(K249=1,F249+L249*(I249-F249),"")</f>
      </c>
      <c r="N249" s="12">
        <f>IF(K249=1,G249+L249*(J249-G249),"")</f>
      </c>
    </row>
    <row r="250" spans="2:14" x14ac:dyDescent="0.25">
      <c r="B250">
        <v>7</v>
      </c>
      <c r="C250">
        <v>14.999999999999982</v>
      </c>
      <c r="D250">
        <v>23</v>
      </c>
      <c r="E250" s="18">
        <v>3686.432922991386</v>
      </c>
      <c r="F250" s="18">
        <v>926.5214109324229</v>
      </c>
      <c r="G250" s="18">
        <v>5005.017792736547</v>
      </c>
      <c r="H250" s="12">
        <f>E251</f>
      </c>
      <c r="I250" s="12">
        <f>F251</f>
      </c>
      <c r="J250" s="12">
        <f>G251</f>
      </c>
      <c r="K250">
        <f>IF(AND(Pu&gt;=MIN(E250,H250),Pu&lt;=MAX(E250,H250),E250&lt;&gt;H250),1,0)</f>
      </c>
      <c r="L250">
        <f>IF(K250=1,(Pu-E250)/(H250-E250),"")</f>
      </c>
      <c r="M250" s="12">
        <f>IF(K250=1,F250+L250*(I250-F250),"")</f>
      </c>
      <c r="N250" s="12">
        <f>IF(K250=1,G250+L250*(J250-G250),"")</f>
      </c>
    </row>
    <row r="251" spans="2:14" x14ac:dyDescent="0.25">
      <c r="B251">
        <v>7</v>
      </c>
      <c r="C251">
        <v>14.999999999999982</v>
      </c>
      <c r="D251">
        <v>24</v>
      </c>
      <c r="E251" s="18">
        <v>2976.4431973136175</v>
      </c>
      <c r="F251" s="18">
        <v>907.3150138145286</v>
      </c>
      <c r="G251" s="18">
        <v>4729.235573576316</v>
      </c>
      <c r="H251" s="12">
        <f>E252</f>
      </c>
      <c r="I251" s="12">
        <f>F252</f>
      </c>
      <c r="J251" s="12">
        <f>G252</f>
      </c>
      <c r="K251">
        <f>IF(AND(Pu&gt;=MIN(E251,H251),Pu&lt;=MAX(E251,H251),E251&lt;&gt;H251),1,0)</f>
      </c>
      <c r="L251">
        <f>IF(K251=1,(Pu-E251)/(H251-E251),"")</f>
      </c>
      <c r="M251" s="12">
        <f>IF(K251=1,F251+L251*(I251-F251),"")</f>
      </c>
      <c r="N251" s="12">
        <f>IF(K251=1,G251+L251*(J251-G251),"")</f>
      </c>
    </row>
    <row r="252" spans="2:14" x14ac:dyDescent="0.25">
      <c r="B252">
        <v>7</v>
      </c>
      <c r="C252">
        <v>14.999999999999982</v>
      </c>
      <c r="D252">
        <v>25</v>
      </c>
      <c r="E252" s="18">
        <v>2349.807962248302</v>
      </c>
      <c r="F252" s="18">
        <v>895.0438876689809</v>
      </c>
      <c r="G252" s="18">
        <v>4448.2264462981775</v>
      </c>
      <c r="H252" s="12">
        <f>E253</f>
      </c>
      <c r="I252" s="12">
        <f>F253</f>
      </c>
      <c r="J252" s="12">
        <f>G253</f>
      </c>
      <c r="K252">
        <f>IF(AND(Pu&gt;=MIN(E252,H252),Pu&lt;=MAX(E252,H252),E252&lt;&gt;H252),1,0)</f>
      </c>
      <c r="L252">
        <f>IF(K252=1,(Pu-E252)/(H252-E252),"")</f>
      </c>
      <c r="M252" s="12">
        <f>IF(K252=1,F252+L252*(I252-F252),"")</f>
      </c>
      <c r="N252" s="12">
        <f>IF(K252=1,G252+L252*(J252-G252),"")</f>
      </c>
    </row>
    <row r="253" spans="2:14" x14ac:dyDescent="0.25">
      <c r="B253">
        <v>7</v>
      </c>
      <c r="C253">
        <v>14.999999999999982</v>
      </c>
      <c r="D253">
        <v>26</v>
      </c>
      <c r="E253" s="18">
        <v>1241.7204652609</v>
      </c>
      <c r="F253" s="18">
        <v>895.457925915078</v>
      </c>
      <c r="G253" s="18">
        <v>3881.673401813124</v>
      </c>
      <c r="H253" s="12">
        <f>E254</f>
      </c>
      <c r="I253" s="12">
        <f>F254</f>
      </c>
      <c r="J253" s="12">
        <f>G254</f>
      </c>
      <c r="K253">
        <f>IF(AND(Pu&gt;=MIN(E253,H253),Pu&lt;=MAX(E253,H253),E253&lt;&gt;H253),1,0)</f>
      </c>
      <c r="L253">
        <f>IF(K253=1,(Pu-E253)/(H253-E253),"")</f>
      </c>
      <c r="M253" s="12">
        <f>IF(K253=1,F253+L253*(I253-F253),"")</f>
      </c>
      <c r="N253" s="12">
        <f>IF(K253=1,G253+L253*(J253-G253),"")</f>
      </c>
    </row>
    <row r="254" spans="2:14" x14ac:dyDescent="0.25">
      <c r="B254">
        <v>7</v>
      </c>
      <c r="C254">
        <v>14.999999999999982</v>
      </c>
      <c r="D254">
        <v>27</v>
      </c>
      <c r="E254" s="18">
        <v>288.84645464080137</v>
      </c>
      <c r="F254" s="18">
        <v>806.5205999255307</v>
      </c>
      <c r="G254" s="18">
        <v>3357.9672920729804</v>
      </c>
      <c r="H254" s="12">
        <f>E255</f>
      </c>
      <c r="I254" s="12">
        <f>F255</f>
      </c>
      <c r="J254" s="12">
        <f>G255</f>
      </c>
      <c r="K254">
        <f>IF(AND(Pu&gt;=MIN(E254,H254),Pu&lt;=MAX(E254,H254),E254&lt;&gt;H254),1,0)</f>
      </c>
      <c r="L254">
        <f>IF(K254=1,(Pu-E254)/(H254-E254),"")</f>
      </c>
      <c r="M254" s="12">
        <f>IF(K254=1,F254+L254*(I254-F254),"")</f>
      </c>
      <c r="N254" s="12">
        <f>IF(K254=1,G254+L254*(J254-G254),"")</f>
      </c>
    </row>
    <row r="255" spans="2:14" x14ac:dyDescent="0.25">
      <c r="B255">
        <v>7</v>
      </c>
      <c r="C255">
        <v>14.999999999999982</v>
      </c>
      <c r="D255">
        <v>28</v>
      </c>
      <c r="E255" s="18">
        <v>-526.2233722366237</v>
      </c>
      <c r="F255" s="18">
        <v>735.6234994578184</v>
      </c>
      <c r="G255" s="18">
        <v>2870.4881847179768</v>
      </c>
      <c r="H255" s="12">
        <f>E256</f>
      </c>
      <c r="I255" s="12">
        <f>F256</f>
      </c>
      <c r="J255" s="12">
        <f>G256</f>
      </c>
      <c r="K255">
        <f>IF(AND(Pu&gt;=MIN(E255,H255),Pu&lt;=MAX(E255,H255),E255&lt;&gt;H255),1,0)</f>
      </c>
      <c r="L255">
        <f>IF(K255=1,(Pu-E255)/(H255-E255),"")</f>
      </c>
      <c r="M255" s="12">
        <f>IF(K255=1,F255+L255*(I255-F255),"")</f>
      </c>
      <c r="N255" s="12">
        <f>IF(K255=1,G255+L255*(J255-G255),"")</f>
      </c>
    </row>
    <row r="256" spans="2:14" x14ac:dyDescent="0.25">
      <c r="B256">
        <v>7</v>
      </c>
      <c r="C256">
        <v>14.999999999999982</v>
      </c>
      <c r="D256">
        <v>29</v>
      </c>
      <c r="E256" s="18">
        <v>-1185.5245906956875</v>
      </c>
      <c r="F256" s="18">
        <v>659.7086826954605</v>
      </c>
      <c r="G256" s="18">
        <v>2469.1091873330183</v>
      </c>
      <c r="H256" s="12">
        <f>E257</f>
      </c>
      <c r="I256" s="12">
        <f>F257</f>
      </c>
      <c r="J256" s="12">
        <f>G257</f>
      </c>
      <c r="K256">
        <f>IF(AND(Pu&gt;=MIN(E256,H256),Pu&lt;=MAX(E256,H256),E256&lt;&gt;H256),1,0)</f>
      </c>
      <c r="L256">
        <f>IF(K256=1,(Pu-E256)/(H256-E256),"")</f>
      </c>
      <c r="M256" s="12">
        <f>IF(K256=1,F256+L256*(I256-F256),"")</f>
      </c>
      <c r="N256" s="12">
        <f>IF(K256=1,G256+L256*(J256-G256),"")</f>
      </c>
    </row>
    <row r="257" spans="2:14" x14ac:dyDescent="0.25">
      <c r="B257">
        <v>7</v>
      </c>
      <c r="C257">
        <v>14.999999999999982</v>
      </c>
      <c r="D257">
        <v>30</v>
      </c>
      <c r="E257" s="18">
        <v>-2234.1900028895097</v>
      </c>
      <c r="F257" s="18">
        <v>506.39910814759264</v>
      </c>
      <c r="G257" s="18">
        <v>1820.3753935995887</v>
      </c>
      <c r="H257" s="12">
        <f>E258</f>
      </c>
      <c r="I257" s="12">
        <f>F258</f>
      </c>
      <c r="J257" s="12">
        <f>G258</f>
      </c>
      <c r="K257">
        <f>IF(AND(Pu&gt;=MIN(E257,H257),Pu&lt;=MAX(E257,H257),E257&lt;&gt;H257),1,0)</f>
      </c>
      <c r="L257">
        <f>IF(K257=1,(Pu-E257)/(H257-E257),"")</f>
      </c>
      <c r="M257" s="12">
        <f>IF(K257=1,F257+L257*(I257-F257),"")</f>
      </c>
      <c r="N257" s="12">
        <f>IF(K257=1,G257+L257*(J257-G257),"")</f>
      </c>
    </row>
    <row r="258" spans="2:14" x14ac:dyDescent="0.25">
      <c r="B258">
        <v>7</v>
      </c>
      <c r="C258">
        <v>14.999999999999982</v>
      </c>
      <c r="D258">
        <v>31</v>
      </c>
      <c r="E258" s="18">
        <v>-2902.46578051821</v>
      </c>
      <c r="F258" s="18">
        <v>435.93217508779287</v>
      </c>
      <c r="G258" s="18">
        <v>1381.560814145311</v>
      </c>
      <c r="H258" s="12">
        <f>E259</f>
      </c>
      <c r="I258" s="12">
        <f>F259</f>
      </c>
      <c r="J258" s="12">
        <f>G259</f>
      </c>
      <c r="K258">
        <f>IF(AND(Pu&gt;=MIN(E258,H258),Pu&lt;=MAX(E258,H258),E258&lt;&gt;H258),1,0)</f>
      </c>
      <c r="L258">
        <f>IF(K258=1,(Pu-E258)/(H258-E258),"")</f>
      </c>
      <c r="M258" s="12">
        <f>IF(K258=1,F258+L258*(I258-F258),"")</f>
      </c>
      <c r="N258" s="12">
        <f>IF(K258=1,G258+L258*(J258-G258),"")</f>
      </c>
    </row>
    <row r="259" spans="2:14" x14ac:dyDescent="0.25">
      <c r="B259">
        <v>7</v>
      </c>
      <c r="C259">
        <v>14.999999999999982</v>
      </c>
      <c r="D259">
        <v>32</v>
      </c>
      <c r="E259" s="18">
        <v>-3719.8528882899705</v>
      </c>
      <c r="F259" s="18">
        <v>322.07937412419716</v>
      </c>
      <c r="G259" s="18">
        <v>830.9820788408131</v>
      </c>
      <c r="H259" s="12">
        <f>E260</f>
      </c>
      <c r="I259" s="12">
        <f>F260</f>
      </c>
      <c r="J259" s="12">
        <f>G260</f>
      </c>
      <c r="K259">
        <f>IF(AND(Pu&gt;=MIN(E259,H259),Pu&lt;=MAX(E259,H259),E259&lt;&gt;H259),1,0)</f>
      </c>
      <c r="L259">
        <f>IF(K259=1,(Pu-E259)/(H259-E259),"")</f>
      </c>
      <c r="M259" s="12">
        <f>IF(K259=1,F259+L259*(I259-F259),"")</f>
      </c>
      <c r="N259" s="12">
        <f>IF(K259=1,G259+L259*(J259-G259),"")</f>
      </c>
    </row>
    <row r="260" spans="2:14" x14ac:dyDescent="0.25">
      <c r="B260">
        <v>7</v>
      </c>
      <c r="C260">
        <v>14.999999999999982</v>
      </c>
      <c r="D260">
        <v>33</v>
      </c>
      <c r="E260" s="18">
        <v>-4125.061666977996</v>
      </c>
      <c r="F260" s="18">
        <v>235.16260783643048</v>
      </c>
      <c r="G260" s="18">
        <v>554.398538513932</v>
      </c>
      <c r="H260" s="12">
        <f>E261</f>
      </c>
      <c r="I260" s="12">
        <f>F261</f>
      </c>
      <c r="J260" s="12">
        <f>G261</f>
      </c>
      <c r="K260">
        <f>IF(AND(Pu&gt;=MIN(E260,H260),Pu&lt;=MAX(E260,H260),E260&lt;&gt;H260),1,0)</f>
      </c>
      <c r="L260">
        <f>IF(K260=1,(Pu-E260)/(H260-E260),"")</f>
      </c>
      <c r="M260" s="12">
        <f>IF(K260=1,F260+L260*(I260-F260),"")</f>
      </c>
      <c r="N260" s="12">
        <f>IF(K260=1,G260+L260*(J260-G260),"")</f>
      </c>
    </row>
    <row r="261" spans="2:14" x14ac:dyDescent="0.25">
      <c r="B261">
        <v>7</v>
      </c>
      <c r="C261">
        <v>14.999999999999982</v>
      </c>
      <c r="D261">
        <v>34</v>
      </c>
      <c r="E261" s="18">
        <v>-4617.20958817048</v>
      </c>
      <c r="F261" s="18">
        <v>101.48036361480371</v>
      </c>
      <c r="G261" s="18">
        <v>215.31801285117436</v>
      </c>
      <c r="H261" s="12">
        <f>E262</f>
      </c>
      <c r="I261" s="12">
        <f>F262</f>
      </c>
      <c r="J261" s="12">
        <f>G262</f>
      </c>
      <c r="K261">
        <f>IF(AND(Pu&gt;=MIN(E261,H261),Pu&lt;=MAX(E261,H261),E261&lt;&gt;H261),1,0)</f>
      </c>
      <c r="L261">
        <f>IF(K261=1,(Pu-E261)/(H261-E261),"")</f>
      </c>
      <c r="M261" s="12">
        <f>IF(K261=1,F261+L261*(I261-F261),"")</f>
      </c>
      <c r="N261" s="12">
        <f>IF(K261=1,G261+L261*(J261-G261),"")</f>
      </c>
    </row>
    <row r="262" spans="2:7" x14ac:dyDescent="0.25">
      <c r="B262">
        <v>7</v>
      </c>
      <c r="C262">
        <v>14.999999999999982</v>
      </c>
      <c r="D262">
        <v>35</v>
      </c>
      <c r="E262" s="18">
        <v>-4815.937325645018</v>
      </c>
      <c r="F262" s="18">
        <v>38.75868913285207</v>
      </c>
      <c r="G262" s="18">
        <v>77.42816561606973</v>
      </c>
    </row>
    <row r="264" spans="2:14" x14ac:dyDescent="0.25">
      <c r="B264">
        <v>8</v>
      </c>
      <c r="C264">
        <v>18.750000000000004</v>
      </c>
      <c r="D264">
        <v>1</v>
      </c>
      <c r="E264" s="18">
        <v>17595.35023414</v>
      </c>
      <c r="F264" s="18">
        <v>713.569476287568</v>
      </c>
      <c r="G264" s="18">
        <v>2620.3604149080356</v>
      </c>
      <c r="H264" s="12">
        <f>E265</f>
      </c>
      <c r="I264" s="12">
        <f>F265</f>
      </c>
      <c r="J264" s="12">
        <f>G265</f>
      </c>
      <c r="K264">
        <f>IF(AND(Pu&gt;=MIN(E264,H264),Pu&lt;=MAX(E264,H264),E264&lt;&gt;H264),1,0)</f>
      </c>
      <c r="L264">
        <f>IF(K264=1,(Pu-E264)/(H264-E264),"")</f>
      </c>
      <c r="M264" s="12">
        <f>IF(K264=1,F264+L264*(I264-F264),"")</f>
      </c>
      <c r="N264" s="12">
        <f>IF(K264=1,G264+L264*(J264-G264),"")</f>
      </c>
    </row>
    <row r="265" spans="2:14" x14ac:dyDescent="0.25">
      <c r="B265">
        <v>8</v>
      </c>
      <c r="C265">
        <v>18.750000000000004</v>
      </c>
      <c r="D265">
        <v>2</v>
      </c>
      <c r="E265" s="18">
        <v>16593.121549148967</v>
      </c>
      <c r="F265" s="18">
        <v>727.6682884826595</v>
      </c>
      <c r="G265" s="18">
        <v>3090.645585739427</v>
      </c>
      <c r="H265" s="12">
        <f>E266</f>
      </c>
      <c r="I265" s="12">
        <f>F266</f>
      </c>
      <c r="J265" s="12">
        <f>G266</f>
      </c>
      <c r="K265">
        <f>IF(AND(Pu&gt;=MIN(E265,H265),Pu&lt;=MAX(E265,H265),E265&lt;&gt;H265),1,0)</f>
      </c>
      <c r="L265">
        <f>IF(K265=1,(Pu-E265)/(H265-E265),"")</f>
      </c>
      <c r="M265" s="12">
        <f>IF(K265=1,F265+L265*(I265-F265),"")</f>
      </c>
      <c r="N265" s="12">
        <f>IF(K265=1,G265+L265*(J265-G265),"")</f>
      </c>
    </row>
    <row r="266" spans="2:14" x14ac:dyDescent="0.25">
      <c r="B266">
        <v>8</v>
      </c>
      <c r="C266">
        <v>18.750000000000004</v>
      </c>
      <c r="D266">
        <v>3</v>
      </c>
      <c r="E266" s="18">
        <v>15745.473119355667</v>
      </c>
      <c r="F266" s="18">
        <v>743.8077061893747</v>
      </c>
      <c r="G266" s="18">
        <v>3418.5121994776096</v>
      </c>
      <c r="H266" s="12">
        <f>E267</f>
      </c>
      <c r="I266" s="12">
        <f>F267</f>
      </c>
      <c r="J266" s="12">
        <f>G267</f>
      </c>
      <c r="K266">
        <f>IF(AND(Pu&gt;=MIN(E266,H266),Pu&lt;=MAX(E266,H266),E266&lt;&gt;H266),1,0)</f>
      </c>
      <c r="L266">
        <f>IF(K266=1,(Pu-E266)/(H266-E266),"")</f>
      </c>
      <c r="M266" s="12">
        <f>IF(K266=1,F266+L266*(I266-F266),"")</f>
      </c>
      <c r="N266" s="12">
        <f>IF(K266=1,G266+L266*(J266-G266),"")</f>
      </c>
    </row>
    <row r="267" spans="2:14" x14ac:dyDescent="0.25">
      <c r="B267">
        <v>8</v>
      </c>
      <c r="C267">
        <v>18.750000000000004</v>
      </c>
      <c r="D267">
        <v>4</v>
      </c>
      <c r="E267" s="18">
        <v>14137.405144976467</v>
      </c>
      <c r="F267" s="18">
        <v>872.3742477400667</v>
      </c>
      <c r="G267" s="18">
        <v>3865.0801024603497</v>
      </c>
      <c r="H267" s="12">
        <f>E268</f>
      </c>
      <c r="I267" s="12">
        <f>F268</f>
      </c>
      <c r="J267" s="12">
        <f>G268</f>
      </c>
      <c r="K267">
        <f>IF(AND(Pu&gt;=MIN(E267,H267),Pu&lt;=MAX(E267,H267),E267&lt;&gt;H267),1,0)</f>
      </c>
      <c r="L267">
        <f>IF(K267=1,(Pu-E267)/(H267-E267),"")</f>
      </c>
      <c r="M267" s="12">
        <f>IF(K267=1,F267+L267*(I267-F267),"")</f>
      </c>
      <c r="N267" s="12">
        <f>IF(K267=1,G267+L267*(J267-G267),"")</f>
      </c>
    </row>
    <row r="268" spans="2:14" x14ac:dyDescent="0.25">
      <c r="B268">
        <v>8</v>
      </c>
      <c r="C268">
        <v>18.750000000000004</v>
      </c>
      <c r="D268">
        <v>5</v>
      </c>
      <c r="E268" s="18">
        <v>12184.12712374925</v>
      </c>
      <c r="F268" s="18">
        <v>1042.368296449512</v>
      </c>
      <c r="G268" s="18">
        <v>4189.4848572546725</v>
      </c>
      <c r="H268" s="12">
        <f>E269</f>
      </c>
      <c r="I268" s="12">
        <f>F269</f>
      </c>
      <c r="J268" s="12">
        <f>G269</f>
      </c>
      <c r="K268">
        <f>IF(AND(Pu&gt;=MIN(E268,H268),Pu&lt;=MAX(E268,H268),E268&lt;&gt;H268),1,0)</f>
      </c>
      <c r="L268">
        <f>IF(K268=1,(Pu-E268)/(H268-E268),"")</f>
      </c>
      <c r="M268" s="12">
        <f>IF(K268=1,F268+L268*(I268-F268),"")</f>
      </c>
      <c r="N268" s="12">
        <f>IF(K268=1,G268+L268*(J268-G268),"")</f>
      </c>
    </row>
    <row r="269" spans="2:14" x14ac:dyDescent="0.25">
      <c r="B269">
        <v>8</v>
      </c>
      <c r="C269">
        <v>18.750000000000004</v>
      </c>
      <c r="D269">
        <v>6</v>
      </c>
      <c r="E269" s="18">
        <v>9992.352840351361</v>
      </c>
      <c r="F269" s="18">
        <v>1101.3035962784477</v>
      </c>
      <c r="G269" s="18">
        <v>4407.341953511044</v>
      </c>
      <c r="H269" s="12">
        <f>E270</f>
      </c>
      <c r="I269" s="12">
        <f>F270</f>
      </c>
      <c r="J269" s="12">
        <f>G270</f>
      </c>
      <c r="K269">
        <f>IF(AND(Pu&gt;=MIN(E269,H269),Pu&lt;=MAX(E269,H269),E269&lt;&gt;H269),1,0)</f>
      </c>
      <c r="L269">
        <f>IF(K269=1,(Pu-E269)/(H269-E269),"")</f>
      </c>
      <c r="M269" s="12">
        <f>IF(K269=1,F269+L269*(I269-F269),"")</f>
      </c>
      <c r="N269" s="12">
        <f>IF(K269=1,G269+L269*(J269-G269),"")</f>
      </c>
    </row>
    <row r="270" spans="2:14" x14ac:dyDescent="0.25">
      <c r="B270">
        <v>8</v>
      </c>
      <c r="C270">
        <v>18.750000000000004</v>
      </c>
      <c r="D270">
        <v>7</v>
      </c>
      <c r="E270" s="18">
        <v>8688.78989375458</v>
      </c>
      <c r="F270" s="18">
        <v>1116.782914041434</v>
      </c>
      <c r="G270" s="18">
        <v>4481.197285218684</v>
      </c>
      <c r="H270" s="12">
        <f>E271</f>
      </c>
      <c r="I270" s="12">
        <f>F271</f>
      </c>
      <c r="J270" s="12">
        <f>G271</f>
      </c>
      <c r="K270">
        <f>IF(AND(Pu&gt;=MIN(E270,H270),Pu&lt;=MAX(E270,H270),E270&lt;&gt;H270),1,0)</f>
      </c>
      <c r="L270">
        <f>IF(K270=1,(Pu-E270)/(H270-E270),"")</f>
      </c>
      <c r="M270" s="12">
        <f>IF(K270=1,F270+L270*(I270-F270),"")</f>
      </c>
      <c r="N270" s="12">
        <f>IF(K270=1,G270+L270*(J270-G270),"")</f>
      </c>
    </row>
    <row r="271" spans="2:14" x14ac:dyDescent="0.25">
      <c r="B271">
        <v>8</v>
      </c>
      <c r="C271">
        <v>18.750000000000004</v>
      </c>
      <c r="D271">
        <v>8</v>
      </c>
      <c r="E271" s="18">
        <v>8241.02639543978</v>
      </c>
      <c r="F271" s="18">
        <v>1132.1064017680692</v>
      </c>
      <c r="G271" s="18">
        <v>4568.54003376145</v>
      </c>
      <c r="H271" s="12">
        <f>E272</f>
      </c>
      <c r="I271" s="12">
        <f>F272</f>
      </c>
      <c r="J271" s="12">
        <f>G272</f>
      </c>
      <c r="K271">
        <f>IF(AND(Pu&gt;=MIN(E271,H271),Pu&lt;=MAX(E271,H271),E271&lt;&gt;H271),1,0)</f>
      </c>
      <c r="L271">
        <f>IF(K271=1,(Pu-E271)/(H271-E271),"")</f>
      </c>
      <c r="M271" s="12">
        <f>IF(K271=1,F271+L271*(I271-F271),"")</f>
      </c>
      <c r="N271" s="12">
        <f>IF(K271=1,G271+L271*(J271-G271),"")</f>
      </c>
    </row>
    <row r="272" spans="2:14" x14ac:dyDescent="0.25">
      <c r="B272">
        <v>8</v>
      </c>
      <c r="C272">
        <v>18.750000000000004</v>
      </c>
      <c r="D272">
        <v>9</v>
      </c>
      <c r="E272" s="18">
        <v>7728.81154602517</v>
      </c>
      <c r="F272" s="18">
        <v>1135.6978261822298</v>
      </c>
      <c r="G272" s="18">
        <v>4674.448082893692</v>
      </c>
      <c r="H272" s="12">
        <f>E273</f>
      </c>
      <c r="I272" s="12">
        <f>F273</f>
      </c>
      <c r="J272" s="12">
        <f>G273</f>
      </c>
      <c r="K272">
        <f>IF(AND(Pu&gt;=MIN(E272,H272),Pu&lt;=MAX(E272,H272),E272&lt;&gt;H272),1,0)</f>
      </c>
      <c r="L272">
        <f>IF(K272=1,(Pu-E272)/(H272-E272),"")</f>
      </c>
      <c r="M272" s="12">
        <f>IF(K272=1,F272+L272*(I272-F272),"")</f>
      </c>
      <c r="N272" s="12">
        <f>IF(K272=1,G272+L272*(J272-G272),"")</f>
      </c>
    </row>
    <row r="273" spans="2:14" x14ac:dyDescent="0.25">
      <c r="B273">
        <v>8</v>
      </c>
      <c r="C273">
        <v>18.750000000000004</v>
      </c>
      <c r="D273">
        <v>10</v>
      </c>
      <c r="E273" s="18">
        <v>7231.078626817705</v>
      </c>
      <c r="F273" s="18">
        <v>1129.4632036616943</v>
      </c>
      <c r="G273" s="18">
        <v>4782.298226174501</v>
      </c>
      <c r="H273" s="12">
        <f>E274</f>
      </c>
      <c r="I273" s="12">
        <f>F274</f>
      </c>
      <c r="J273" s="12">
        <f>G274</f>
      </c>
      <c r="K273">
        <f>IF(AND(Pu&gt;=MIN(E273,H273),Pu&lt;=MAX(E273,H273),E273&lt;&gt;H273),1,0)</f>
      </c>
      <c r="L273">
        <f>IF(K273=1,(Pu-E273)/(H273-E273),"")</f>
      </c>
      <c r="M273" s="12">
        <f>IF(K273=1,F273+L273*(I273-F273),"")</f>
      </c>
      <c r="N273" s="12">
        <f>IF(K273=1,G273+L273*(J273-G273),"")</f>
      </c>
    </row>
    <row r="274" spans="2:14" x14ac:dyDescent="0.25">
      <c r="B274">
        <v>8</v>
      </c>
      <c r="C274">
        <v>18.750000000000004</v>
      </c>
      <c r="D274">
        <v>11</v>
      </c>
      <c r="E274" s="18">
        <v>7027.653729622552</v>
      </c>
      <c r="F274" s="18">
        <v>1126.3369845626783</v>
      </c>
      <c r="G274" s="18">
        <v>4826.885585196598</v>
      </c>
      <c r="H274" s="12">
        <f>E275</f>
      </c>
      <c r="I274" s="12">
        <f>F275</f>
      </c>
      <c r="J274" s="12">
        <f>G275</f>
      </c>
      <c r="K274">
        <f>IF(AND(Pu&gt;=MIN(E274,H274),Pu&lt;=MAX(E274,H274),E274&lt;&gt;H274),1,0)</f>
      </c>
      <c r="L274">
        <f>IF(K274=1,(Pu-E274)/(H274-E274),"")</f>
      </c>
      <c r="M274" s="12">
        <f>IF(K274=1,F274+L274*(I274-F274),"")</f>
      </c>
      <c r="N274" s="12">
        <f>IF(K274=1,G274+L274*(J274-G274),"")</f>
      </c>
    </row>
    <row r="275" spans="2:14" x14ac:dyDescent="0.25">
      <c r="B275">
        <v>8</v>
      </c>
      <c r="C275">
        <v>18.750000000000004</v>
      </c>
      <c r="D275">
        <v>12</v>
      </c>
      <c r="E275" s="18">
        <v>6596.591119409909</v>
      </c>
      <c r="F275" s="18">
        <v>1124.4154762384417</v>
      </c>
      <c r="G275" s="18">
        <v>4917.134448657083</v>
      </c>
      <c r="H275" s="12">
        <f>E276</f>
      </c>
      <c r="I275" s="12">
        <f>F276</f>
      </c>
      <c r="J275" s="12">
        <f>G276</f>
      </c>
      <c r="K275">
        <f>IF(AND(Pu&gt;=MIN(E275,H275),Pu&lt;=MAX(E275,H275),E275&lt;&gt;H275),1,0)</f>
      </c>
      <c r="L275">
        <f>IF(K275=1,(Pu-E275)/(H275-E275),"")</f>
      </c>
      <c r="M275" s="12">
        <f>IF(K275=1,F275+L275*(I275-F275),"")</f>
      </c>
      <c r="N275" s="12">
        <f>IF(K275=1,G275+L275*(J275-G275),"")</f>
      </c>
    </row>
    <row r="276" spans="2:14" x14ac:dyDescent="0.25">
      <c r="B276">
        <v>8</v>
      </c>
      <c r="C276">
        <v>18.750000000000004</v>
      </c>
      <c r="D276">
        <v>13</v>
      </c>
      <c r="E276" s="18">
        <v>6547.364902952579</v>
      </c>
      <c r="F276" s="18">
        <v>1123.9557145753695</v>
      </c>
      <c r="G276" s="18">
        <v>4928.107781847064</v>
      </c>
      <c r="H276" s="12">
        <f>E277</f>
      </c>
      <c r="I276" s="12">
        <f>F277</f>
      </c>
      <c r="J276" s="12">
        <f>G277</f>
      </c>
      <c r="K276">
        <f>IF(AND(Pu&gt;=MIN(E276,H276),Pu&lt;=MAX(E276,H276),E276&lt;&gt;H276),1,0)</f>
      </c>
      <c r="L276">
        <f>IF(K276=1,(Pu-E276)/(H276-E276),"")</f>
      </c>
      <c r="M276" s="12">
        <f>IF(K276=1,F276+L276*(I276-F276),"")</f>
      </c>
      <c r="N276" s="12">
        <f>IF(K276=1,G276+L276*(J276-G276),"")</f>
      </c>
    </row>
    <row r="277" spans="2:14" x14ac:dyDescent="0.25">
      <c r="B277">
        <v>8</v>
      </c>
      <c r="C277">
        <v>18.750000000000004</v>
      </c>
      <c r="D277">
        <v>14</v>
      </c>
      <c r="E277" s="18">
        <v>6166.009307501835</v>
      </c>
      <c r="F277" s="18">
        <v>1121.4398326998612</v>
      </c>
      <c r="G277" s="18">
        <v>5033.500795491169</v>
      </c>
      <c r="H277" s="12">
        <f>E278</f>
      </c>
      <c r="I277" s="12">
        <f>F278</f>
      </c>
      <c r="J277" s="12">
        <f>G278</f>
      </c>
      <c r="K277">
        <f>IF(AND(Pu&gt;=MIN(E277,H277),Pu&lt;=MAX(E277,H277),E277&lt;&gt;H277),1,0)</f>
      </c>
      <c r="L277">
        <f>IF(K277=1,(Pu-E277)/(H277-E277),"")</f>
      </c>
      <c r="M277" s="12">
        <f>IF(K277=1,F277+L277*(I277-F277),"")</f>
      </c>
      <c r="N277" s="12">
        <f>IF(K277=1,G277+L277*(J277-G277),"")</f>
      </c>
    </row>
    <row r="278" spans="2:14" x14ac:dyDescent="0.25">
      <c r="B278">
        <v>8</v>
      </c>
      <c r="C278">
        <v>18.750000000000004</v>
      </c>
      <c r="D278">
        <v>15</v>
      </c>
      <c r="E278" s="18">
        <v>6099.45878685956</v>
      </c>
      <c r="F278" s="18">
        <v>1124.702524597298</v>
      </c>
      <c r="G278" s="18">
        <v>5052.598677292898</v>
      </c>
      <c r="H278" s="12">
        <f>E279</f>
      </c>
      <c r="I278" s="12">
        <f>F279</f>
      </c>
      <c r="J278" s="12">
        <f>G279</f>
      </c>
      <c r="K278">
        <f>IF(AND(Pu&gt;=MIN(E278,H278),Pu&lt;=MAX(E278,H278),E278&lt;&gt;H278),1,0)</f>
      </c>
      <c r="L278">
        <f>IF(K278=1,(Pu-E278)/(H278-E278),"")</f>
      </c>
      <c r="M278" s="12">
        <f>IF(K278=1,F278+L278*(I278-F278),"")</f>
      </c>
      <c r="N278" s="12">
        <f>IF(K278=1,G278+L278*(J278-G278),"")</f>
      </c>
    </row>
    <row r="279" spans="2:14" x14ac:dyDescent="0.25">
      <c r="B279">
        <v>8</v>
      </c>
      <c r="C279">
        <v>18.750000000000004</v>
      </c>
      <c r="D279">
        <v>16</v>
      </c>
      <c r="E279" s="18">
        <v>5849.536717996092</v>
      </c>
      <c r="F279" s="18">
        <v>1134.5245521711356</v>
      </c>
      <c r="G279" s="18">
        <v>5126.595185532456</v>
      </c>
      <c r="H279" s="12">
        <f>E280</f>
      </c>
      <c r="I279" s="12">
        <f>F280</f>
      </c>
      <c r="J279" s="12">
        <f>G280</f>
      </c>
      <c r="K279">
        <f>IF(AND(Pu&gt;=MIN(E279,H279),Pu&lt;=MAX(E279,H279),E279&lt;&gt;H279),1,0)</f>
      </c>
      <c r="L279">
        <f>IF(K279=1,(Pu-E279)/(H279-E279),"")</f>
      </c>
      <c r="M279" s="12">
        <f>IF(K279=1,F279+L279*(I279-F279),"")</f>
      </c>
      <c r="N279" s="12">
        <f>IF(K279=1,G279+L279*(J279-G279),"")</f>
      </c>
    </row>
    <row r="280" spans="2:14" x14ac:dyDescent="0.25">
      <c r="B280">
        <v>8</v>
      </c>
      <c r="C280">
        <v>18.750000000000004</v>
      </c>
      <c r="D280">
        <v>17</v>
      </c>
      <c r="E280" s="18">
        <v>5557.715278494699</v>
      </c>
      <c r="F280" s="18">
        <v>1142.923895420062</v>
      </c>
      <c r="G280" s="18">
        <v>5205.835385924826</v>
      </c>
      <c r="H280" s="12">
        <f>E281</f>
      </c>
      <c r="I280" s="12">
        <f>F281</f>
      </c>
      <c r="J280" s="12">
        <f>G281</f>
      </c>
      <c r="K280">
        <f>IF(AND(Pu&gt;=MIN(E280,H280),Pu&lt;=MAX(E280,H280),E280&lt;&gt;H280),1,0)</f>
      </c>
      <c r="L280">
        <f>IF(K280=1,(Pu-E280)/(H280-E280),"")</f>
      </c>
      <c r="M280" s="12">
        <f>IF(K280=1,F280+L280*(I280-F280),"")</f>
      </c>
      <c r="N280" s="12">
        <f>IF(K280=1,G280+L280*(J280-G280),"")</f>
      </c>
    </row>
    <row r="281" spans="2:14" x14ac:dyDescent="0.25">
      <c r="B281">
        <v>8</v>
      </c>
      <c r="C281">
        <v>18.750000000000004</v>
      </c>
      <c r="D281">
        <v>18</v>
      </c>
      <c r="E281" s="18">
        <v>5359.503946763979</v>
      </c>
      <c r="F281" s="18">
        <v>1151.5010438346367</v>
      </c>
      <c r="G281" s="18">
        <v>5259.240455354328</v>
      </c>
      <c r="H281" s="12">
        <f>E282</f>
      </c>
      <c r="I281" s="12">
        <f>F282</f>
      </c>
      <c r="J281" s="12">
        <f>G282</f>
      </c>
      <c r="K281">
        <f>IF(AND(Pu&gt;=MIN(E281,H281),Pu&lt;=MAX(E281,H281),E281&lt;&gt;H281),1,0)</f>
      </c>
      <c r="L281">
        <f>IF(K281=1,(Pu-E281)/(H281-E281),"")</f>
      </c>
      <c r="M281" s="12">
        <f>IF(K281=1,F281+L281*(I281-F281),"")</f>
      </c>
      <c r="N281" s="12">
        <f>IF(K281=1,G281+L281*(J281-G281),"")</f>
      </c>
    </row>
    <row r="282" spans="2:14" x14ac:dyDescent="0.25">
      <c r="B282">
        <v>8</v>
      </c>
      <c r="C282">
        <v>18.750000000000004</v>
      </c>
      <c r="D282">
        <v>19</v>
      </c>
      <c r="E282" s="18">
        <v>5275.1489460710745</v>
      </c>
      <c r="F282" s="18">
        <v>1156.2215104743477</v>
      </c>
      <c r="G282" s="18">
        <v>5281.0246896031485</v>
      </c>
      <c r="H282" s="12">
        <f>E283</f>
      </c>
      <c r="I282" s="12">
        <f>F283</f>
      </c>
      <c r="J282" s="12">
        <f>G283</f>
      </c>
      <c r="K282">
        <f>IF(AND(Pu&gt;=MIN(E282,H282),Pu&lt;=MAX(E282,H282),E282&lt;&gt;H282),1,0)</f>
      </c>
      <c r="L282">
        <f>IF(K282=1,(Pu-E282)/(H282-E282),"")</f>
      </c>
      <c r="M282" s="12">
        <f>IF(K282=1,F282+L282*(I282-F282),"")</f>
      </c>
      <c r="N282" s="12">
        <f>IF(K282=1,G282+L282*(J282-G282),"")</f>
      </c>
    </row>
    <row r="283" spans="2:14" x14ac:dyDescent="0.25">
      <c r="B283">
        <v>8</v>
      </c>
      <c r="C283">
        <v>18.750000000000004</v>
      </c>
      <c r="D283">
        <v>20</v>
      </c>
      <c r="E283" s="18">
        <v>5019.642534826678</v>
      </c>
      <c r="F283" s="18">
        <v>1190.8203974242176</v>
      </c>
      <c r="G283" s="18">
        <v>5338.795816749516</v>
      </c>
      <c r="H283" s="12">
        <f>E284</f>
      </c>
      <c r="I283" s="12">
        <f>F284</f>
      </c>
      <c r="J283" s="12">
        <f>G284</f>
      </c>
      <c r="K283">
        <f>IF(AND(Pu&gt;=MIN(E283,H283),Pu&lt;=MAX(E283,H283),E283&lt;&gt;H283),1,0)</f>
      </c>
      <c r="L283">
        <f>IF(K283=1,(Pu-E283)/(H283-E283),"")</f>
      </c>
      <c r="M283" s="12">
        <f>IF(K283=1,F283+L283*(I283-F283),"")</f>
      </c>
      <c r="N283" s="12">
        <f>IF(K283=1,G283+L283*(J283-G283),"")</f>
      </c>
    </row>
    <row r="284" spans="2:14" x14ac:dyDescent="0.25">
      <c r="B284">
        <v>8</v>
      </c>
      <c r="C284">
        <v>18.750000000000004</v>
      </c>
      <c r="D284">
        <v>21</v>
      </c>
      <c r="E284" s="18">
        <v>4942.1949728151185</v>
      </c>
      <c r="F284" s="18">
        <v>1188.2204640271098</v>
      </c>
      <c r="G284" s="18">
        <v>5316.627124028173</v>
      </c>
      <c r="H284" s="12">
        <f>E285</f>
      </c>
      <c r="I284" s="12">
        <f>F285</f>
      </c>
      <c r="J284" s="12">
        <f>G285</f>
      </c>
      <c r="K284">
        <f>IF(AND(Pu&gt;=MIN(E284,H284),Pu&lt;=MAX(E284,H284),E284&lt;&gt;H284),1,0)</f>
      </c>
      <c r="L284">
        <f>IF(K284=1,(Pu-E284)/(H284-E284),"")</f>
      </c>
      <c r="M284" s="12">
        <f>IF(K284=1,F284+L284*(I284-F284),"")</f>
      </c>
      <c r="N284" s="12">
        <f>IF(K284=1,G284+L284*(J284-G284),"")</f>
      </c>
    </row>
    <row r="285" spans="2:14" x14ac:dyDescent="0.25">
      <c r="B285">
        <v>8</v>
      </c>
      <c r="C285">
        <v>18.750000000000004</v>
      </c>
      <c r="D285">
        <v>22</v>
      </c>
      <c r="E285" s="18">
        <v>4414.626289388927</v>
      </c>
      <c r="F285" s="18">
        <v>1179.4758492807148</v>
      </c>
      <c r="G285" s="18">
        <v>5159.667023441031</v>
      </c>
      <c r="H285" s="12">
        <f>E286</f>
      </c>
      <c r="I285" s="12">
        <f>F286</f>
      </c>
      <c r="J285" s="12">
        <f>G286</f>
      </c>
      <c r="K285">
        <f>IF(AND(Pu&gt;=MIN(E285,H285),Pu&lt;=MAX(E285,H285),E285&lt;&gt;H285),1,0)</f>
      </c>
      <c r="L285">
        <f>IF(K285=1,(Pu-E285)/(H285-E285),"")</f>
      </c>
      <c r="M285" s="12">
        <f>IF(K285=1,F285+L285*(I285-F285),"")</f>
      </c>
      <c r="N285" s="12">
        <f>IF(K285=1,G285+L285*(J285-G285),"")</f>
      </c>
    </row>
    <row r="286" spans="2:14" x14ac:dyDescent="0.25">
      <c r="B286">
        <v>8</v>
      </c>
      <c r="C286">
        <v>18.750000000000004</v>
      </c>
      <c r="D286">
        <v>23</v>
      </c>
      <c r="E286" s="18">
        <v>3490.3871672578193</v>
      </c>
      <c r="F286" s="18">
        <v>1156.6316436266807</v>
      </c>
      <c r="G286" s="18">
        <v>4852.150274070128</v>
      </c>
      <c r="H286" s="12">
        <f>E287</f>
      </c>
      <c r="I286" s="12">
        <f>F287</f>
      </c>
      <c r="J286" s="12">
        <f>G287</f>
      </c>
      <c r="K286">
        <f>IF(AND(Pu&gt;=MIN(E286,H286),Pu&lt;=MAX(E286,H286),E286&lt;&gt;H286),1,0)</f>
      </c>
      <c r="L286">
        <f>IF(K286=1,(Pu-E286)/(H286-E286),"")</f>
      </c>
      <c r="M286" s="12">
        <f>IF(K286=1,F286+L286*(I286-F286),"")</f>
      </c>
      <c r="N286" s="12">
        <f>IF(K286=1,G286+L286*(J286-G286),"")</f>
      </c>
    </row>
    <row r="287" spans="2:14" x14ac:dyDescent="0.25">
      <c r="B287">
        <v>8</v>
      </c>
      <c r="C287">
        <v>18.750000000000004</v>
      </c>
      <c r="D287">
        <v>24</v>
      </c>
      <c r="E287" s="18">
        <v>2753.189787085782</v>
      </c>
      <c r="F287" s="18">
        <v>1127.8048340983053</v>
      </c>
      <c r="G287" s="18">
        <v>4543.704954053262</v>
      </c>
      <c r="H287" s="12">
        <f>E288</f>
      </c>
      <c r="I287" s="12">
        <f>F288</f>
      </c>
      <c r="J287" s="12">
        <f>G288</f>
      </c>
      <c r="K287">
        <f>IF(AND(Pu&gt;=MIN(E287,H287),Pu&lt;=MAX(E287,H287),E287&lt;&gt;H287),1,0)</f>
      </c>
      <c r="L287">
        <f>IF(K287=1,(Pu-E287)/(H287-E287),"")</f>
      </c>
      <c r="M287" s="12">
        <f>IF(K287=1,F287+L287*(I287-F287),"")</f>
      </c>
      <c r="N287" s="12">
        <f>IF(K287=1,G287+L287*(J287-G287),"")</f>
      </c>
    </row>
    <row r="288" spans="2:14" x14ac:dyDescent="0.25">
      <c r="B288">
        <v>8</v>
      </c>
      <c r="C288">
        <v>18.750000000000004</v>
      </c>
      <c r="D288">
        <v>25</v>
      </c>
      <c r="E288" s="18">
        <v>2036.7673773649256</v>
      </c>
      <c r="F288" s="18">
        <v>1100.6483485156414</v>
      </c>
      <c r="G288" s="18">
        <v>4224.896905622081</v>
      </c>
      <c r="H288" s="12">
        <f>E289</f>
      </c>
      <c r="I288" s="12">
        <f>F289</f>
      </c>
      <c r="J288" s="12">
        <f>G289</f>
      </c>
      <c r="K288">
        <f>IF(AND(Pu&gt;=MIN(E288,H288),Pu&lt;=MAX(E288,H288),E288&lt;&gt;H288),1,0)</f>
      </c>
      <c r="L288">
        <f>IF(K288=1,(Pu-E288)/(H288-E288),"")</f>
      </c>
      <c r="M288" s="12">
        <f>IF(K288=1,F288+L288*(I288-F288),"")</f>
      </c>
      <c r="N288" s="12">
        <f>IF(K288=1,G288+L288*(J288-G288),"")</f>
      </c>
    </row>
    <row r="289" spans="2:14" x14ac:dyDescent="0.25">
      <c r="B289">
        <v>8</v>
      </c>
      <c r="C289">
        <v>18.750000000000004</v>
      </c>
      <c r="D289">
        <v>26</v>
      </c>
      <c r="E289" s="18">
        <v>922.7945931107178</v>
      </c>
      <c r="F289" s="18">
        <v>1056.2654142647243</v>
      </c>
      <c r="G289" s="18">
        <v>3635.055948302387</v>
      </c>
      <c r="H289" s="12">
        <f>E290</f>
      </c>
      <c r="I289" s="12">
        <f>F290</f>
      </c>
      <c r="J289" s="12">
        <f>G290</f>
      </c>
      <c r="K289">
        <f>IF(AND(Pu&gt;=MIN(E289,H289),Pu&lt;=MAX(E289,H289),E289&lt;&gt;H289),1,0)</f>
      </c>
      <c r="L289">
        <f>IF(K289=1,(Pu-E289)/(H289-E289),"")</f>
      </c>
      <c r="M289" s="12">
        <f>IF(K289=1,F289+L289*(I289-F289),"")</f>
      </c>
      <c r="N289" s="12">
        <f>IF(K289=1,G289+L289*(J289-G289),"")</f>
      </c>
    </row>
    <row r="290" spans="2:14" x14ac:dyDescent="0.25">
      <c r="B290">
        <v>8</v>
      </c>
      <c r="C290">
        <v>18.750000000000004</v>
      </c>
      <c r="D290">
        <v>27</v>
      </c>
      <c r="E290" s="18">
        <v>-82.18207430452226</v>
      </c>
      <c r="F290" s="18">
        <v>947.3367911908083</v>
      </c>
      <c r="G290" s="18">
        <v>3079.657586787376</v>
      </c>
      <c r="H290" s="12">
        <f>E291</f>
      </c>
      <c r="I290" s="12">
        <f>F291</f>
      </c>
      <c r="J290" s="12">
        <f>G291</f>
      </c>
      <c r="K290">
        <f>IF(AND(Pu&gt;=MIN(E290,H290),Pu&lt;=MAX(E290,H290),E290&lt;&gt;H290),1,0)</f>
      </c>
      <c r="L290">
        <f>IF(K290=1,(Pu-E290)/(H290-E290),"")</f>
      </c>
      <c r="M290" s="12">
        <f>IF(K290=1,F290+L290*(I290-F290),"")</f>
      </c>
      <c r="N290" s="12">
        <f>IF(K290=1,G290+L290*(J290-G290),"")</f>
      </c>
    </row>
    <row r="291" spans="2:14" x14ac:dyDescent="0.25">
      <c r="B291">
        <v>8</v>
      </c>
      <c r="C291">
        <v>18.750000000000004</v>
      </c>
      <c r="D291">
        <v>28</v>
      </c>
      <c r="E291" s="18">
        <v>-854.4058592036705</v>
      </c>
      <c r="F291" s="18">
        <v>846.4743607871018</v>
      </c>
      <c r="G291" s="18">
        <v>2623.638748374898</v>
      </c>
      <c r="H291" s="12">
        <f>E292</f>
      </c>
      <c r="I291" s="12">
        <f>F292</f>
      </c>
      <c r="J291" s="12">
        <f>G292</f>
      </c>
      <c r="K291">
        <f>IF(AND(Pu&gt;=MIN(E291,H291),Pu&lt;=MAX(E291,H291),E291&lt;&gt;H291),1,0)</f>
      </c>
      <c r="L291">
        <f>IF(K291=1,(Pu-E291)/(H291-E291),"")</f>
      </c>
      <c r="M291" s="12">
        <f>IF(K291=1,F291+L291*(I291-F291),"")</f>
      </c>
      <c r="N291" s="12">
        <f>IF(K291=1,G291+L291*(J291-G291),"")</f>
      </c>
    </row>
    <row r="292" spans="2:14" x14ac:dyDescent="0.25">
      <c r="B292">
        <v>8</v>
      </c>
      <c r="C292">
        <v>18.750000000000004</v>
      </c>
      <c r="D292">
        <v>29</v>
      </c>
      <c r="E292" s="18">
        <v>-1493.7407178759847</v>
      </c>
      <c r="F292" s="18">
        <v>750.998539682315</v>
      </c>
      <c r="G292" s="18">
        <v>2235.866568139209</v>
      </c>
      <c r="H292" s="12">
        <f>E293</f>
      </c>
      <c r="I292" s="12">
        <f>F293</f>
      </c>
      <c r="J292" s="12">
        <f>G293</f>
      </c>
      <c r="K292">
        <f>IF(AND(Pu&gt;=MIN(E292,H292),Pu&lt;=MAX(E292,H292),E292&lt;&gt;H292),1,0)</f>
      </c>
      <c r="L292">
        <f>IF(K292=1,(Pu-E292)/(H292-E292),"")</f>
      </c>
      <c r="M292" s="12">
        <f>IF(K292=1,F292+L292*(I292-F292),"")</f>
      </c>
      <c r="N292" s="12">
        <f>IF(K292=1,G292+L292*(J292-G292),"")</f>
      </c>
    </row>
    <row r="293" spans="2:14" x14ac:dyDescent="0.25">
      <c r="B293">
        <v>8</v>
      </c>
      <c r="C293">
        <v>18.750000000000004</v>
      </c>
      <c r="D293">
        <v>30</v>
      </c>
      <c r="E293" s="18">
        <v>-2480.0878016726538</v>
      </c>
      <c r="F293" s="18">
        <v>585.8053483907333</v>
      </c>
      <c r="G293" s="18">
        <v>1629.8156378317688</v>
      </c>
      <c r="H293" s="12">
        <f>E294</f>
      </c>
      <c r="I293" s="12">
        <f>F294</f>
      </c>
      <c r="J293" s="12">
        <f>G294</f>
      </c>
      <c r="K293">
        <f>IF(AND(Pu&gt;=MIN(E293,H293),Pu&lt;=MAX(E293,H293),E293&lt;&gt;H293),1,0)</f>
      </c>
      <c r="L293">
        <f>IF(K293=1,(Pu-E293)/(H293-E293),"")</f>
      </c>
      <c r="M293" s="12">
        <f>IF(K293=1,F293+L293*(I293-F293),"")</f>
      </c>
      <c r="N293" s="12">
        <f>IF(K293=1,G293+L293*(J293-G293),"")</f>
      </c>
    </row>
    <row r="294" spans="2:14" x14ac:dyDescent="0.25">
      <c r="B294">
        <v>8</v>
      </c>
      <c r="C294">
        <v>18.750000000000004</v>
      </c>
      <c r="D294">
        <v>31</v>
      </c>
      <c r="E294" s="18">
        <v>-3138.118645035879</v>
      </c>
      <c r="F294" s="18">
        <v>466.22128935694576</v>
      </c>
      <c r="G294" s="18">
        <v>1212.3588255379661</v>
      </c>
      <c r="H294" s="12">
        <f>E295</f>
      </c>
      <c r="I294" s="12">
        <f>F295</f>
      </c>
      <c r="J294" s="12">
        <f>G295</f>
      </c>
      <c r="K294">
        <f>IF(AND(Pu&gt;=MIN(E294,H294),Pu&lt;=MAX(E294,H294),E294&lt;&gt;H294),1,0)</f>
      </c>
      <c r="L294">
        <f>IF(K294=1,(Pu-E294)/(H294-E294),"")</f>
      </c>
      <c r="M294" s="12">
        <f>IF(K294=1,F294+L294*(I294-F294),"")</f>
      </c>
      <c r="N294" s="12">
        <f>IF(K294=1,G294+L294*(J294-G294),"")</f>
      </c>
    </row>
    <row r="295" spans="2:14" x14ac:dyDescent="0.25">
      <c r="B295">
        <v>8</v>
      </c>
      <c r="C295">
        <v>18.750000000000004</v>
      </c>
      <c r="D295">
        <v>32</v>
      </c>
      <c r="E295" s="18">
        <v>-3847.873901584246</v>
      </c>
      <c r="F295" s="18">
        <v>319.4726274696623</v>
      </c>
      <c r="G295" s="18">
        <v>739.139585215817</v>
      </c>
      <c r="H295" s="12">
        <f>E296</f>
      </c>
      <c r="I295" s="12">
        <f>F296</f>
      </c>
      <c r="J295" s="12">
        <f>G296</f>
      </c>
      <c r="K295">
        <f>IF(AND(Pu&gt;=MIN(E295,H295),Pu&lt;=MAX(E295,H295),E295&lt;&gt;H295),1,0)</f>
      </c>
      <c r="L295">
        <f>IF(K295=1,(Pu-E295)/(H295-E295),"")</f>
      </c>
      <c r="M295" s="12">
        <f>IF(K295=1,F295+L295*(I295-F295),"")</f>
      </c>
      <c r="N295" s="12">
        <f>IF(K295=1,G295+L295*(J295-G295),"")</f>
      </c>
    </row>
    <row r="296" spans="2:14" x14ac:dyDescent="0.25">
      <c r="B296">
        <v>8</v>
      </c>
      <c r="C296">
        <v>18.750000000000004</v>
      </c>
      <c r="D296">
        <v>33</v>
      </c>
      <c r="E296" s="18">
        <v>-4235.0191950142325</v>
      </c>
      <c r="F296" s="18">
        <v>224.1638423682683</v>
      </c>
      <c r="G296" s="18">
        <v>476.71575391901774</v>
      </c>
      <c r="H296" s="12">
        <f>E297</f>
      </c>
      <c r="I296" s="12">
        <f>F297</f>
      </c>
      <c r="J296" s="12">
        <f>G297</f>
      </c>
      <c r="K296">
        <f>IF(AND(Pu&gt;=MIN(E296,H296),Pu&lt;=MAX(E296,H296),E296&lt;&gt;H296),1,0)</f>
      </c>
      <c r="L296">
        <f>IF(K296=1,(Pu-E296)/(H296-E296),"")</f>
      </c>
      <c r="M296" s="12">
        <f>IF(K296=1,F296+L296*(I296-F296),"")</f>
      </c>
      <c r="N296" s="12">
        <f>IF(K296=1,G296+L296*(J296-G296),"")</f>
      </c>
    </row>
    <row r="297" spans="2:14" x14ac:dyDescent="0.25">
      <c r="B297">
        <v>8</v>
      </c>
      <c r="C297">
        <v>18.750000000000004</v>
      </c>
      <c r="D297">
        <v>34</v>
      </c>
      <c r="E297" s="18">
        <v>-4653.056511781503</v>
      </c>
      <c r="F297" s="18">
        <v>93.00944403722157</v>
      </c>
      <c r="G297" s="18">
        <v>189.7520364227843</v>
      </c>
      <c r="H297" s="12">
        <f>E298</f>
      </c>
      <c r="I297" s="12">
        <f>F298</f>
      </c>
      <c r="J297" s="12">
        <f>G298</f>
      </c>
      <c r="K297">
        <f>IF(AND(Pu&gt;=MIN(E297,H297),Pu&lt;=MAX(E297,H297),E297&lt;&gt;H297),1,0)</f>
      </c>
      <c r="L297">
        <f>IF(K297=1,(Pu-E297)/(H297-E297),"")</f>
      </c>
      <c r="M297" s="12">
        <f>IF(K297=1,F297+L297*(I297-F297),"")</f>
      </c>
      <c r="N297" s="12">
        <f>IF(K297=1,G297+L297*(J297-G297),"")</f>
      </c>
    </row>
    <row r="298" spans="2:7" x14ac:dyDescent="0.25">
      <c r="B298">
        <v>8</v>
      </c>
      <c r="C298">
        <v>18.750000000000004</v>
      </c>
      <c r="D298">
        <v>35</v>
      </c>
      <c r="E298" s="18">
        <v>-4822.920703763153</v>
      </c>
      <c r="F298" s="18">
        <v>37.48897478986954</v>
      </c>
      <c r="G298" s="18">
        <v>72.04289324875519</v>
      </c>
    </row>
    <row r="300" spans="2:14" x14ac:dyDescent="0.25">
      <c r="B300">
        <v>9</v>
      </c>
      <c r="C300">
        <v>22.500000000000025</v>
      </c>
      <c r="D300">
        <v>1</v>
      </c>
      <c r="E300" s="18">
        <v>16697.570121403423</v>
      </c>
      <c r="F300" s="18">
        <v>868.795092189971</v>
      </c>
      <c r="G300" s="18">
        <v>2987.143994213129</v>
      </c>
      <c r="H300" s="12">
        <f>E301</f>
      </c>
      <c r="I300" s="12">
        <f>F301</f>
      </c>
      <c r="J300" s="12">
        <f>G301</f>
      </c>
      <c r="K300">
        <f>IF(AND(Pu&gt;=MIN(E300,H300),Pu&lt;=MAX(E300,H300),E300&lt;&gt;H300),1,0)</f>
      </c>
      <c r="L300">
        <f>IF(K300=1,(Pu-E300)/(H300-E300),"")</f>
      </c>
      <c r="M300" s="12">
        <f>IF(K300=1,F300+L300*(I300-F300),"")</f>
      </c>
      <c r="N300" s="12">
        <f>IF(K300=1,G300+L300*(J300-G300),"")</f>
      </c>
    </row>
    <row r="301" spans="2:14" x14ac:dyDescent="0.25">
      <c r="B301">
        <v>9</v>
      </c>
      <c r="C301">
        <v>22.500000000000025</v>
      </c>
      <c r="D301">
        <v>2</v>
      </c>
      <c r="E301" s="18">
        <v>15829.271685990756</v>
      </c>
      <c r="F301" s="18">
        <v>908.1547224195565</v>
      </c>
      <c r="G301" s="18">
        <v>3321.945674811397</v>
      </c>
      <c r="H301" s="12">
        <f>E302</f>
      </c>
      <c r="I301" s="12">
        <f>F302</f>
      </c>
      <c r="J301" s="12">
        <f>G302</f>
      </c>
      <c r="K301">
        <f>IF(AND(Pu&gt;=MIN(E301,H301),Pu&lt;=MAX(E301,H301),E301&lt;&gt;H301),1,0)</f>
      </c>
      <c r="L301">
        <f>IF(K301=1,(Pu-E301)/(H301-E301),"")</f>
      </c>
      <c r="M301" s="12">
        <f>IF(K301=1,F301+L301*(I301-F301),"")</f>
      </c>
      <c r="N301" s="12">
        <f>IF(K301=1,G301+L301*(J301-G301),"")</f>
      </c>
    </row>
    <row r="302" spans="2:14" x14ac:dyDescent="0.25">
      <c r="B302">
        <v>9</v>
      </c>
      <c r="C302">
        <v>22.500000000000025</v>
      </c>
      <c r="D302">
        <v>3</v>
      </c>
      <c r="E302" s="18">
        <v>14136.469163529016</v>
      </c>
      <c r="F302" s="18">
        <v>1041.7785452556718</v>
      </c>
      <c r="G302" s="18">
        <v>3793.7896351517634</v>
      </c>
      <c r="H302" s="12">
        <f>E303</f>
      </c>
      <c r="I302" s="12">
        <f>F303</f>
      </c>
      <c r="J302" s="12">
        <f>G303</f>
      </c>
      <c r="K302">
        <f>IF(AND(Pu&gt;=MIN(E302,H302),Pu&lt;=MAX(E302,H302),E302&lt;&gt;H302),1,0)</f>
      </c>
      <c r="L302">
        <f>IF(K302=1,(Pu-E302)/(H302-E302),"")</f>
      </c>
      <c r="M302" s="12">
        <f>IF(K302=1,F302+L302*(I302-F302),"")</f>
      </c>
      <c r="N302" s="12">
        <f>IF(K302=1,G302+L302*(J302-G302),"")</f>
      </c>
    </row>
    <row r="303" spans="2:14" x14ac:dyDescent="0.25">
      <c r="B303">
        <v>9</v>
      </c>
      <c r="C303">
        <v>22.500000000000025</v>
      </c>
      <c r="D303">
        <v>4</v>
      </c>
      <c r="E303" s="18">
        <v>12176.361807154215</v>
      </c>
      <c r="F303" s="18">
        <v>1245.222138102734</v>
      </c>
      <c r="G303" s="18">
        <v>4107.44970477967</v>
      </c>
      <c r="H303" s="12">
        <f>E304</f>
      </c>
      <c r="I303" s="12">
        <f>F304</f>
      </c>
      <c r="J303" s="12">
        <f>G304</f>
      </c>
      <c r="K303">
        <f>IF(AND(Pu&gt;=MIN(E303,H303),Pu&lt;=MAX(E303,H303),E303&lt;&gt;H303),1,0)</f>
      </c>
      <c r="L303">
        <f>IF(K303=1,(Pu-E303)/(H303-E303),"")</f>
      </c>
      <c r="M303" s="12">
        <f>IF(K303=1,F303+L303*(I303-F303),"")</f>
      </c>
      <c r="N303" s="12">
        <f>IF(K303=1,G303+L303*(J303-G303),"")</f>
      </c>
    </row>
    <row r="304" spans="2:14" x14ac:dyDescent="0.25">
      <c r="B304">
        <v>9</v>
      </c>
      <c r="C304">
        <v>22.500000000000025</v>
      </c>
      <c r="D304">
        <v>5</v>
      </c>
      <c r="E304" s="18">
        <v>10011.827658472519</v>
      </c>
      <c r="F304" s="18">
        <v>1320.0252053289</v>
      </c>
      <c r="G304" s="18">
        <v>4315.934691552101</v>
      </c>
      <c r="H304" s="12">
        <f>E305</f>
      </c>
      <c r="I304" s="12">
        <f>F305</f>
      </c>
      <c r="J304" s="12">
        <f>G305</f>
      </c>
      <c r="K304">
        <f>IF(AND(Pu&gt;=MIN(E304,H304),Pu&lt;=MAX(E304,H304),E304&lt;&gt;H304),1,0)</f>
      </c>
      <c r="L304">
        <f>IF(K304=1,(Pu-E304)/(H304-E304),"")</f>
      </c>
      <c r="M304" s="12">
        <f>IF(K304=1,F304+L304*(I304-F304),"")</f>
      </c>
      <c r="N304" s="12">
        <f>IF(K304=1,G304+L304*(J304-G304),"")</f>
      </c>
    </row>
    <row r="305" spans="2:14" x14ac:dyDescent="0.25">
      <c r="B305">
        <v>9</v>
      </c>
      <c r="C305">
        <v>22.500000000000025</v>
      </c>
      <c r="D305">
        <v>6</v>
      </c>
      <c r="E305" s="18">
        <v>8660.155100207085</v>
      </c>
      <c r="F305" s="18">
        <v>1343.5847581048515</v>
      </c>
      <c r="G305" s="18">
        <v>4388.265007291906</v>
      </c>
      <c r="H305" s="12">
        <f>E306</f>
      </c>
      <c r="I305" s="12">
        <f>F306</f>
      </c>
      <c r="J305" s="12">
        <f>G306</f>
      </c>
      <c r="K305">
        <f>IF(AND(Pu&gt;=MIN(E305,H305),Pu&lt;=MAX(E305,H305),E305&lt;&gt;H305),1,0)</f>
      </c>
      <c r="L305">
        <f>IF(K305=1,(Pu-E305)/(H305-E305),"")</f>
      </c>
      <c r="M305" s="12">
        <f>IF(K305=1,F305+L305*(I305-F305),"")</f>
      </c>
      <c r="N305" s="12">
        <f>IF(K305=1,G305+L305*(J305-G305),"")</f>
      </c>
    </row>
    <row r="306" spans="2:14" x14ac:dyDescent="0.25">
      <c r="B306">
        <v>9</v>
      </c>
      <c r="C306">
        <v>22.500000000000025</v>
      </c>
      <c r="D306">
        <v>7</v>
      </c>
      <c r="E306" s="18">
        <v>8272.730767674087</v>
      </c>
      <c r="F306" s="18">
        <v>1351.517668771808</v>
      </c>
      <c r="G306" s="18">
        <v>4472.2454061621875</v>
      </c>
      <c r="H306" s="12">
        <f>E307</f>
      </c>
      <c r="I306" s="12">
        <f>F307</f>
      </c>
      <c r="J306" s="12">
        <f>G307</f>
      </c>
      <c r="K306">
        <f>IF(AND(Pu&gt;=MIN(E306,H306),Pu&lt;=MAX(E306,H306),E306&lt;&gt;H306),1,0)</f>
      </c>
      <c r="L306">
        <f>IF(K306=1,(Pu-E306)/(H306-E306),"")</f>
      </c>
      <c r="M306" s="12">
        <f>IF(K306=1,F306+L306*(I306-F306),"")</f>
      </c>
      <c r="N306" s="12">
        <f>IF(K306=1,G306+L306*(J306-G306),"")</f>
      </c>
    </row>
    <row r="307" spans="2:14" x14ac:dyDescent="0.25">
      <c r="B307">
        <v>9</v>
      </c>
      <c r="C307">
        <v>22.500000000000025</v>
      </c>
      <c r="D307">
        <v>8</v>
      </c>
      <c r="E307" s="18">
        <v>7747.556952446064</v>
      </c>
      <c r="F307" s="18">
        <v>1352.7864279326905</v>
      </c>
      <c r="G307" s="18">
        <v>4591.263068263154</v>
      </c>
      <c r="H307" s="12">
        <f>E308</f>
      </c>
      <c r="I307" s="12">
        <f>F308</f>
      </c>
      <c r="J307" s="12">
        <f>G308</f>
      </c>
      <c r="K307">
        <f>IF(AND(Pu&gt;=MIN(E307,H307),Pu&lt;=MAX(E307,H307),E307&lt;&gt;H307),1,0)</f>
      </c>
      <c r="L307">
        <f>IF(K307=1,(Pu-E307)/(H307-E307),"")</f>
      </c>
      <c r="M307" s="12">
        <f>IF(K307=1,F307+L307*(I307-F307),"")</f>
      </c>
      <c r="N307" s="12">
        <f>IF(K307=1,G307+L307*(J307-G307),"")</f>
      </c>
    </row>
    <row r="308" spans="2:14" x14ac:dyDescent="0.25">
      <c r="B308">
        <v>9</v>
      </c>
      <c r="C308">
        <v>22.500000000000025</v>
      </c>
      <c r="D308">
        <v>9</v>
      </c>
      <c r="E308" s="18">
        <v>7266.027874751481</v>
      </c>
      <c r="F308" s="18">
        <v>1351.5204595890943</v>
      </c>
      <c r="G308" s="18">
        <v>4698.639263074953</v>
      </c>
      <c r="H308" s="12">
        <f>E309</f>
      </c>
      <c r="I308" s="12">
        <f>F309</f>
      </c>
      <c r="J308" s="12">
        <f>G309</f>
      </c>
      <c r="K308">
        <f>IF(AND(Pu&gt;=MIN(E308,H308),Pu&lt;=MAX(E308,H308),E308&lt;&gt;H308),1,0)</f>
      </c>
      <c r="L308">
        <f>IF(K308=1,(Pu-E308)/(H308-E308),"")</f>
      </c>
      <c r="M308" s="12">
        <f>IF(K308=1,F308+L308*(I308-F308),"")</f>
      </c>
      <c r="N308" s="12">
        <f>IF(K308=1,G308+L308*(J308-G308),"")</f>
      </c>
    </row>
    <row r="309" spans="2:14" x14ac:dyDescent="0.25">
      <c r="B309">
        <v>9</v>
      </c>
      <c r="C309">
        <v>22.500000000000025</v>
      </c>
      <c r="D309">
        <v>10</v>
      </c>
      <c r="E309" s="18">
        <v>7044.017016872771</v>
      </c>
      <c r="F309" s="18">
        <v>1346.5050648033257</v>
      </c>
      <c r="G309" s="18">
        <v>4744.209137203645</v>
      </c>
      <c r="H309" s="12">
        <f>E310</f>
      </c>
      <c r="I309" s="12">
        <f>F310</f>
      </c>
      <c r="J309" s="12">
        <f>G310</f>
      </c>
      <c r="K309">
        <f>IF(AND(Pu&gt;=MIN(E309,H309),Pu&lt;=MAX(E309,H309),E309&lt;&gt;H309),1,0)</f>
      </c>
      <c r="L309">
        <f>IF(K309=1,(Pu-E309)/(H309-E309),"")</f>
      </c>
      <c r="M309" s="12">
        <f>IF(K309=1,F309+L309*(I309-F309),"")</f>
      </c>
      <c r="N309" s="12">
        <f>IF(K309=1,G309+L309*(J309-G309),"")</f>
      </c>
    </row>
    <row r="310" spans="2:14" x14ac:dyDescent="0.25">
      <c r="B310">
        <v>9</v>
      </c>
      <c r="C310">
        <v>22.500000000000025</v>
      </c>
      <c r="D310">
        <v>11</v>
      </c>
      <c r="E310" s="18">
        <v>6600.5356017419335</v>
      </c>
      <c r="F310" s="18">
        <v>1334.5506880253713</v>
      </c>
      <c r="G310" s="18">
        <v>4838.736688422331</v>
      </c>
      <c r="H310" s="12">
        <f>E311</f>
      </c>
      <c r="I310" s="12">
        <f>F311</f>
      </c>
      <c r="J310" s="12">
        <f>G311</f>
      </c>
      <c r="K310">
        <f>IF(AND(Pu&gt;=MIN(E310,H310),Pu&lt;=MAX(E310,H310),E310&lt;&gt;H310),1,0)</f>
      </c>
      <c r="L310">
        <f>IF(K310=1,(Pu-E310)/(H310-E310),"")</f>
      </c>
      <c r="M310" s="12">
        <f>IF(K310=1,F310+L310*(I310-F310),"")</f>
      </c>
      <c r="N310" s="12">
        <f>IF(K310=1,G310+L310*(J310-G310),"")</f>
      </c>
    </row>
    <row r="311" spans="2:14" x14ac:dyDescent="0.25">
      <c r="B311">
        <v>9</v>
      </c>
      <c r="C311">
        <v>22.500000000000025</v>
      </c>
      <c r="D311">
        <v>12</v>
      </c>
      <c r="E311" s="18">
        <v>6529.10578934529</v>
      </c>
      <c r="F311" s="18">
        <v>1335.6481981878176</v>
      </c>
      <c r="G311" s="18">
        <v>4851.653742432867</v>
      </c>
      <c r="H311" s="12">
        <f>E312</f>
      </c>
      <c r="I311" s="12">
        <f>F312</f>
      </c>
      <c r="J311" s="12">
        <f>G312</f>
      </c>
      <c r="K311">
        <f>IF(AND(Pu&gt;=MIN(E311,H311),Pu&lt;=MAX(E311,H311),E311&lt;&gt;H311),1,0)</f>
      </c>
      <c r="L311">
        <f>IF(K311=1,(Pu-E311)/(H311-E311),"")</f>
      </c>
      <c r="M311" s="12">
        <f>IF(K311=1,F311+L311*(I311-F311),"")</f>
      </c>
      <c r="N311" s="12">
        <f>IF(K311=1,G311+L311*(J311-G311),"")</f>
      </c>
    </row>
    <row r="312" spans="2:14" x14ac:dyDescent="0.25">
      <c r="B312">
        <v>9</v>
      </c>
      <c r="C312">
        <v>22.500000000000025</v>
      </c>
      <c r="D312">
        <v>13</v>
      </c>
      <c r="E312" s="18">
        <v>6112.3642477051535</v>
      </c>
      <c r="F312" s="18">
        <v>1360.043137881943</v>
      </c>
      <c r="G312" s="18">
        <v>4935.821861904623</v>
      </c>
      <c r="H312" s="12">
        <f>E313</f>
      </c>
      <c r="I312" s="12">
        <f>F313</f>
      </c>
      <c r="J312" s="12">
        <f>G313</f>
      </c>
      <c r="K312">
        <f>IF(AND(Pu&gt;=MIN(E312,H312),Pu&lt;=MAX(E312,H312),E312&lt;&gt;H312),1,0)</f>
      </c>
      <c r="L312">
        <f>IF(K312=1,(Pu-E312)/(H312-E312),"")</f>
      </c>
      <c r="M312" s="12">
        <f>IF(K312=1,F312+L312*(I312-F312),"")</f>
      </c>
      <c r="N312" s="12">
        <f>IF(K312=1,G312+L312*(J312-G312),"")</f>
      </c>
    </row>
    <row r="313" spans="2:14" x14ac:dyDescent="0.25">
      <c r="B313">
        <v>9</v>
      </c>
      <c r="C313">
        <v>22.500000000000025</v>
      </c>
      <c r="D313">
        <v>14</v>
      </c>
      <c r="E313" s="18">
        <v>6056.90769240512</v>
      </c>
      <c r="F313" s="18">
        <v>1362.5077848318965</v>
      </c>
      <c r="G313" s="18">
        <v>4947.612242474303</v>
      </c>
      <c r="H313" s="12">
        <f>E314</f>
      </c>
      <c r="I313" s="12">
        <f>F314</f>
      </c>
      <c r="J313" s="12">
        <f>G314</f>
      </c>
      <c r="K313">
        <f>IF(AND(Pu&gt;=MIN(E313,H313),Pu&lt;=MAX(E313,H313),E313&lt;&gt;H313),1,0)</f>
      </c>
      <c r="L313">
        <f>IF(K313=1,(Pu-E313)/(H313-E313),"")</f>
      </c>
      <c r="M313" s="12">
        <f>IF(K313=1,F313+L313*(I313-F313),"")</f>
      </c>
      <c r="N313" s="12">
        <f>IF(K313=1,G313+L313*(J313-G313),"")</f>
      </c>
    </row>
    <row r="314" spans="2:14" x14ac:dyDescent="0.25">
      <c r="B314">
        <v>9</v>
      </c>
      <c r="C314">
        <v>22.500000000000025</v>
      </c>
      <c r="D314">
        <v>15</v>
      </c>
      <c r="E314" s="18">
        <v>5780.020901174457</v>
      </c>
      <c r="F314" s="18">
        <v>1375.6530203849861</v>
      </c>
      <c r="G314" s="18">
        <v>5011.460593990091</v>
      </c>
      <c r="H314" s="12">
        <f>E315</f>
      </c>
      <c r="I314" s="12">
        <f>F315</f>
      </c>
      <c r="J314" s="12">
        <f>G315</f>
      </c>
      <c r="K314">
        <f>IF(AND(Pu&gt;=MIN(E314,H314),Pu&lt;=MAX(E314,H314),E314&lt;&gt;H314),1,0)</f>
      </c>
      <c r="L314">
        <f>IF(K314=1,(Pu-E314)/(H314-E314),"")</f>
      </c>
      <c r="M314" s="12">
        <f>IF(K314=1,F314+L314*(I314-F314),"")</f>
      </c>
      <c r="N314" s="12">
        <f>IF(K314=1,G314+L314*(J314-G314),"")</f>
      </c>
    </row>
    <row r="315" spans="2:14" x14ac:dyDescent="0.25">
      <c r="B315">
        <v>9</v>
      </c>
      <c r="C315">
        <v>22.500000000000025</v>
      </c>
      <c r="D315">
        <v>16</v>
      </c>
      <c r="E315" s="18">
        <v>5473.420017581627</v>
      </c>
      <c r="F315" s="18">
        <v>1400.2302128915535</v>
      </c>
      <c r="G315" s="18">
        <v>5080.423064299657</v>
      </c>
      <c r="H315" s="12">
        <f>E316</f>
      </c>
      <c r="I315" s="12">
        <f>F316</f>
      </c>
      <c r="J315" s="12">
        <f>G316</f>
      </c>
      <c r="K315">
        <f>IF(AND(Pu&gt;=MIN(E315,H315),Pu&lt;=MAX(E315,H315),E315&lt;&gt;H315),1,0)</f>
      </c>
      <c r="L315">
        <f>IF(K315=1,(Pu-E315)/(H315-E315),"")</f>
      </c>
      <c r="M315" s="12">
        <f>IF(K315=1,F315+L315*(I315-F315),"")</f>
      </c>
      <c r="N315" s="12">
        <f>IF(K315=1,G315+L315*(J315-G315),"")</f>
      </c>
    </row>
    <row r="316" spans="2:14" x14ac:dyDescent="0.25">
      <c r="B316">
        <v>9</v>
      </c>
      <c r="C316">
        <v>22.500000000000025</v>
      </c>
      <c r="D316">
        <v>17</v>
      </c>
      <c r="E316" s="18">
        <v>5273.078862357543</v>
      </c>
      <c r="F316" s="18">
        <v>1415.3142860739267</v>
      </c>
      <c r="G316" s="18">
        <v>5120.94270996015</v>
      </c>
      <c r="H316" s="12">
        <f>E317</f>
      </c>
      <c r="I316" s="12">
        <f>F317</f>
      </c>
      <c r="J316" s="12">
        <f>G317</f>
      </c>
      <c r="K316">
        <f>IF(AND(Pu&gt;=MIN(E316,H316),Pu&lt;=MAX(E316,H316),E316&lt;&gt;H316),1,0)</f>
      </c>
      <c r="L316">
        <f>IF(K316=1,(Pu-E316)/(H316-E316),"")</f>
      </c>
      <c r="M316" s="12">
        <f>IF(K316=1,F316+L316*(I316-F316),"")</f>
      </c>
      <c r="N316" s="12">
        <f>IF(K316=1,G316+L316*(J316-G316),"")</f>
      </c>
    </row>
    <row r="317" spans="2:14" x14ac:dyDescent="0.25">
      <c r="B317">
        <v>9</v>
      </c>
      <c r="C317">
        <v>22.500000000000025</v>
      </c>
      <c r="D317">
        <v>18</v>
      </c>
      <c r="E317" s="18">
        <v>5168.52146749614</v>
      </c>
      <c r="F317" s="18">
        <v>1423.5778932251455</v>
      </c>
      <c r="G317" s="18">
        <v>5142.0677481725415</v>
      </c>
      <c r="H317" s="12">
        <f>E318</f>
      </c>
      <c r="I317" s="12">
        <f>F318</f>
      </c>
      <c r="J317" s="12">
        <f>G318</f>
      </c>
      <c r="K317">
        <f>IF(AND(Pu&gt;=MIN(E317,H317),Pu&lt;=MAX(E317,H317),E317&lt;&gt;H317),1,0)</f>
      </c>
      <c r="L317">
        <f>IF(K317=1,(Pu-E317)/(H317-E317),"")</f>
      </c>
      <c r="M317" s="12">
        <f>IF(K317=1,F317+L317*(I317-F317),"")</f>
      </c>
      <c r="N317" s="12">
        <f>IF(K317=1,G317+L317*(J317-G317),"")</f>
      </c>
    </row>
    <row r="318" spans="2:14" x14ac:dyDescent="0.25">
      <c r="B318">
        <v>9</v>
      </c>
      <c r="C318">
        <v>22.500000000000025</v>
      </c>
      <c r="D318">
        <v>19</v>
      </c>
      <c r="E318" s="18">
        <v>4891.244997979235</v>
      </c>
      <c r="F318" s="18">
        <v>1435.971119883016</v>
      </c>
      <c r="G318" s="18">
        <v>5198.528634661525</v>
      </c>
      <c r="H318" s="12">
        <f>E319</f>
      </c>
      <c r="I318" s="12">
        <f>F319</f>
      </c>
      <c r="J318" s="12">
        <f>G319</f>
      </c>
      <c r="K318">
        <f>IF(AND(Pu&gt;=MIN(E318,H318),Pu&lt;=MAX(E318,H318),E318&lt;&gt;H318),1,0)</f>
      </c>
      <c r="L318">
        <f>IF(K318=1,(Pu-E318)/(H318-E318),"")</f>
      </c>
      <c r="M318" s="12">
        <f>IF(K318=1,F318+L318*(I318-F318),"")</f>
      </c>
      <c r="N318" s="12">
        <f>IF(K318=1,G318+L318*(J318-G318),"")</f>
      </c>
    </row>
    <row r="319" spans="2:14" x14ac:dyDescent="0.25">
      <c r="B319">
        <v>9</v>
      </c>
      <c r="C319">
        <v>22.500000000000025</v>
      </c>
      <c r="D319">
        <v>20</v>
      </c>
      <c r="E319" s="18">
        <v>4828.2571255973535</v>
      </c>
      <c r="F319" s="18">
        <v>1432.488031194618</v>
      </c>
      <c r="G319" s="18">
        <v>5180.748215847794</v>
      </c>
      <c r="H319" s="12">
        <f>E320</f>
      </c>
      <c r="I319" s="12">
        <f>F320</f>
      </c>
      <c r="J319" s="12">
        <f>G320</f>
      </c>
      <c r="K319">
        <f>IF(AND(Pu&gt;=MIN(E319,H319),Pu&lt;=MAX(E319,H319),E319&lt;&gt;H319),1,0)</f>
      </c>
      <c r="L319">
        <f>IF(K319=1,(Pu-E319)/(H319-E319),"")</f>
      </c>
      <c r="M319" s="12">
        <f>IF(K319=1,F319+L319*(I319-F319),"")</f>
      </c>
      <c r="N319" s="12">
        <f>IF(K319=1,G319+L319*(J319-G319),"")</f>
      </c>
    </row>
    <row r="320" spans="2:14" x14ac:dyDescent="0.25">
      <c r="B320">
        <v>9</v>
      </c>
      <c r="C320">
        <v>22.500000000000025</v>
      </c>
      <c r="D320">
        <v>21</v>
      </c>
      <c r="E320" s="18">
        <v>4259.141910674296</v>
      </c>
      <c r="F320" s="18">
        <v>1408.4438635274767</v>
      </c>
      <c r="G320" s="18">
        <v>5005.96791099801</v>
      </c>
      <c r="H320" s="12">
        <f>E321</f>
      </c>
      <c r="I320" s="12">
        <f>F321</f>
      </c>
      <c r="J320" s="12">
        <f>G321</f>
      </c>
      <c r="K320">
        <f>IF(AND(Pu&gt;=MIN(E320,H320),Pu&lt;=MAX(E320,H320),E320&lt;&gt;H320),1,0)</f>
      </c>
      <c r="L320">
        <f>IF(K320=1,(Pu-E320)/(H320-E320),"")</f>
      </c>
      <c r="M320" s="12">
        <f>IF(K320=1,F320+L320*(I320-F320),"")</f>
      </c>
      <c r="N320" s="12">
        <f>IF(K320=1,G320+L320*(J320-G320),"")</f>
      </c>
    </row>
    <row r="321" spans="2:14" x14ac:dyDescent="0.25">
      <c r="B321">
        <v>9</v>
      </c>
      <c r="C321">
        <v>22.500000000000025</v>
      </c>
      <c r="D321">
        <v>22</v>
      </c>
      <c r="E321" s="18">
        <v>3311.3264428703164</v>
      </c>
      <c r="F321" s="18">
        <v>1367.7005081589434</v>
      </c>
      <c r="G321" s="18">
        <v>4686.507771944972</v>
      </c>
      <c r="H321" s="12">
        <f>E322</f>
      </c>
      <c r="I321" s="12">
        <f>F322</f>
      </c>
      <c r="J321" s="12">
        <f>G322</f>
      </c>
      <c r="K321">
        <f>IF(AND(Pu&gt;=MIN(E321,H321),Pu&lt;=MAX(E321,H321),E321&lt;&gt;H321),1,0)</f>
      </c>
      <c r="L321">
        <f>IF(K321=1,(Pu-E321)/(H321-E321),"")</f>
      </c>
      <c r="M321" s="12">
        <f>IF(K321=1,F321+L321*(I321-F321),"")</f>
      </c>
      <c r="N321" s="12">
        <f>IF(K321=1,G321+L321*(J321-G321),"")</f>
      </c>
    </row>
    <row r="322" spans="2:14" x14ac:dyDescent="0.25">
      <c r="B322">
        <v>9</v>
      </c>
      <c r="C322">
        <v>22.500000000000025</v>
      </c>
      <c r="D322">
        <v>23</v>
      </c>
      <c r="E322" s="18">
        <v>2514.9034268846676</v>
      </c>
      <c r="F322" s="18">
        <v>1339.9449560133078</v>
      </c>
      <c r="G322" s="18">
        <v>4340.21401712959</v>
      </c>
      <c r="H322" s="12">
        <f>E323</f>
      </c>
      <c r="I322" s="12">
        <f>F323</f>
      </c>
      <c r="J322" s="12">
        <f>G323</f>
      </c>
      <c r="K322">
        <f>IF(AND(Pu&gt;=MIN(E322,H322),Pu&lt;=MAX(E322,H322),E322&lt;&gt;H322),1,0)</f>
      </c>
      <c r="L322">
        <f>IF(K322=1,(Pu-E322)/(H322-E322),"")</f>
      </c>
      <c r="M322" s="12">
        <f>IF(K322=1,F322+L322*(I322-F322),"")</f>
      </c>
      <c r="N322" s="12">
        <f>IF(K322=1,G322+L322*(J322-G322),"")</f>
      </c>
    </row>
    <row r="323" spans="2:14" x14ac:dyDescent="0.25">
      <c r="B323">
        <v>9</v>
      </c>
      <c r="C323">
        <v>22.500000000000025</v>
      </c>
      <c r="D323">
        <v>24</v>
      </c>
      <c r="E323" s="18">
        <v>1751.2191898598392</v>
      </c>
      <c r="F323" s="18">
        <v>1306.0381114882332</v>
      </c>
      <c r="G323" s="18">
        <v>3986.0650641966545</v>
      </c>
      <c r="H323" s="12">
        <f>E324</f>
      </c>
      <c r="I323" s="12">
        <f>F324</f>
      </c>
      <c r="J323" s="12">
        <f>G324</f>
      </c>
      <c r="K323">
        <f>IF(AND(Pu&gt;=MIN(E323,H323),Pu&lt;=MAX(E323,H323),E323&lt;&gt;H323),1,0)</f>
      </c>
      <c r="L323">
        <f>IF(K323=1,(Pu-E323)/(H323-E323),"")</f>
      </c>
      <c r="M323" s="12">
        <f>IF(K323=1,F323+L323*(I323-F323),"")</f>
      </c>
      <c r="N323" s="12">
        <f>IF(K323=1,G323+L323*(J323-G323),"")</f>
      </c>
    </row>
    <row r="324" spans="2:14" x14ac:dyDescent="0.25">
      <c r="B324">
        <v>9</v>
      </c>
      <c r="C324">
        <v>22.500000000000025</v>
      </c>
      <c r="D324">
        <v>25</v>
      </c>
      <c r="E324" s="18">
        <v>600.0206378851667</v>
      </c>
      <c r="F324" s="18">
        <v>1193.8564515306741</v>
      </c>
      <c r="G324" s="18">
        <v>3381.48776470608</v>
      </c>
      <c r="H324" s="12">
        <f>E325</f>
      </c>
      <c r="I324" s="12">
        <f>F325</f>
      </c>
      <c r="J324" s="12">
        <f>G325</f>
      </c>
      <c r="K324">
        <f>IF(AND(Pu&gt;=MIN(E324,H324),Pu&lt;=MAX(E324,H324),E324&lt;&gt;H324),1,0)</f>
      </c>
      <c r="L324">
        <f>IF(K324=1,(Pu-E324)/(H324-E324),"")</f>
      </c>
      <c r="M324" s="12">
        <f>IF(K324=1,F324+L324*(I324-F324),"")</f>
      </c>
      <c r="N324" s="12">
        <f>IF(K324=1,G324+L324*(J324-G324),"")</f>
      </c>
    </row>
    <row r="325" spans="2:14" x14ac:dyDescent="0.25">
      <c r="B325">
        <v>9</v>
      </c>
      <c r="C325">
        <v>22.500000000000025</v>
      </c>
      <c r="D325">
        <v>26</v>
      </c>
      <c r="E325" s="18">
        <v>-310.5779810579907</v>
      </c>
      <c r="F325" s="18">
        <v>1065.572753958488</v>
      </c>
      <c r="G325" s="18">
        <v>2881.624273526499</v>
      </c>
      <c r="H325" s="12">
        <f>E326</f>
      </c>
      <c r="I325" s="12">
        <f>F326</f>
      </c>
      <c r="J325" s="12">
        <f>G326</f>
      </c>
      <c r="K325">
        <f>IF(AND(Pu&gt;=MIN(E325,H325),Pu&lt;=MAX(E325,H325),E325&lt;&gt;H325),1,0)</f>
      </c>
      <c r="L325">
        <f>IF(K325=1,(Pu-E325)/(H325-E325),"")</f>
      </c>
      <c r="M325" s="12">
        <f>IF(K325=1,F325+L325*(I325-F325),"")</f>
      </c>
      <c r="N325" s="12">
        <f>IF(K325=1,G325+L325*(J325-G325),"")</f>
      </c>
    </row>
    <row r="326" spans="2:14" x14ac:dyDescent="0.25">
      <c r="B326">
        <v>9</v>
      </c>
      <c r="C326">
        <v>22.500000000000025</v>
      </c>
      <c r="D326">
        <v>27</v>
      </c>
      <c r="E326" s="18">
        <v>-1094.9016605889167</v>
      </c>
      <c r="F326" s="18">
        <v>929.9836439035186</v>
      </c>
      <c r="G326" s="18">
        <v>2435.571499489682</v>
      </c>
      <c r="H326" s="12">
        <f>E327</f>
      </c>
      <c r="I326" s="12">
        <f>F327</f>
      </c>
      <c r="J326" s="12">
        <f>G327</f>
      </c>
      <c r="K326">
        <f>IF(AND(Pu&gt;=MIN(E326,H326),Pu&lt;=MAX(E326,H326),E326&lt;&gt;H326),1,0)</f>
      </c>
      <c r="L326">
        <f>IF(K326=1,(Pu-E326)/(H326-E326),"")</f>
      </c>
      <c r="M326" s="12">
        <f>IF(K326=1,F326+L326*(I326-F326),"")</f>
      </c>
      <c r="N326" s="12">
        <f>IF(K326=1,G326+L326*(J326-G326),"")</f>
      </c>
    </row>
    <row r="327" spans="2:14" x14ac:dyDescent="0.25">
      <c r="B327">
        <v>9</v>
      </c>
      <c r="C327">
        <v>22.500000000000025</v>
      </c>
      <c r="D327">
        <v>28</v>
      </c>
      <c r="E327" s="18">
        <v>-1716.605662369043</v>
      </c>
      <c r="F327" s="18">
        <v>824.9862839284136</v>
      </c>
      <c r="G327" s="18">
        <v>2060.4954095573107</v>
      </c>
      <c r="H327" s="12">
        <f>E328</f>
      </c>
      <c r="I327" s="12">
        <f>F328</f>
      </c>
      <c r="J327" s="12">
        <f>G328</f>
      </c>
      <c r="K327">
        <f>IF(AND(Pu&gt;=MIN(E327,H327),Pu&lt;=MAX(E327,H327),E327&lt;&gt;H327),1,0)</f>
      </c>
      <c r="L327">
        <f>IF(K327=1,(Pu-E327)/(H327-E327),"")</f>
      </c>
      <c r="M327" s="12">
        <f>IF(K327=1,F327+L327*(I327-F327),"")</f>
      </c>
      <c r="N327" s="12">
        <f>IF(K327=1,G327+L327*(J327-G327),"")</f>
      </c>
    </row>
    <row r="328" spans="2:14" x14ac:dyDescent="0.25">
      <c r="B328">
        <v>9</v>
      </c>
      <c r="C328">
        <v>22.500000000000025</v>
      </c>
      <c r="D328">
        <v>29</v>
      </c>
      <c r="E328" s="18">
        <v>-2647.605871360938</v>
      </c>
      <c r="F328" s="18">
        <v>646.8083773552842</v>
      </c>
      <c r="G328" s="18">
        <v>1492.9211169860368</v>
      </c>
      <c r="H328" s="12">
        <f>E329</f>
      </c>
      <c r="I328" s="12">
        <f>F329</f>
      </c>
      <c r="J328" s="12">
        <f>G329</f>
      </c>
      <c r="K328">
        <f>IF(AND(Pu&gt;=MIN(E328,H328),Pu&lt;=MAX(E328,H328),E328&lt;&gt;H328),1,0)</f>
      </c>
      <c r="L328">
        <f>IF(K328=1,(Pu-E328)/(H328-E328),"")</f>
      </c>
      <c r="M328" s="12">
        <f>IF(K328=1,F328+L328*(I328-F328),"")</f>
      </c>
      <c r="N328" s="12">
        <f>IF(K328=1,G328+L328*(J328-G328),"")</f>
      </c>
    </row>
    <row r="329" spans="2:14" x14ac:dyDescent="0.25">
      <c r="B329">
        <v>9</v>
      </c>
      <c r="C329">
        <v>22.500000000000025</v>
      </c>
      <c r="D329">
        <v>30</v>
      </c>
      <c r="E329" s="18">
        <v>-3287.38764563391</v>
      </c>
      <c r="F329" s="18">
        <v>485.0935176079873</v>
      </c>
      <c r="G329" s="18">
        <v>1101.9109895959657</v>
      </c>
      <c r="H329" s="12">
        <f>E330</f>
      </c>
      <c r="I329" s="12">
        <f>F330</f>
      </c>
      <c r="J329" s="12">
        <f>G330</f>
      </c>
      <c r="K329">
        <f>IF(AND(Pu&gt;=MIN(E329,H329),Pu&lt;=MAX(E329,H329),E329&lt;&gt;H329),1,0)</f>
      </c>
      <c r="L329">
        <f>IF(K329=1,(Pu-E329)/(H329-E329),"")</f>
      </c>
      <c r="M329" s="12">
        <f>IF(K329=1,F329+L329*(I329-F329),"")</f>
      </c>
      <c r="N329" s="12">
        <f>IF(K329=1,G329+L329*(J329-G329),"")</f>
      </c>
    </row>
    <row r="330" spans="2:14" x14ac:dyDescent="0.25">
      <c r="B330">
        <v>9</v>
      </c>
      <c r="C330">
        <v>22.500000000000025</v>
      </c>
      <c r="D330">
        <v>31</v>
      </c>
      <c r="E330" s="18">
        <v>-3921.4634853838015</v>
      </c>
      <c r="F330" s="18">
        <v>321.86030774025517</v>
      </c>
      <c r="G330" s="18">
        <v>683.9607470805669</v>
      </c>
      <c r="H330" s="12">
        <f>E331</f>
      </c>
      <c r="I330" s="12">
        <f>F331</f>
      </c>
      <c r="J330" s="12">
        <f>G331</f>
      </c>
      <c r="K330">
        <f>IF(AND(Pu&gt;=MIN(E330,H330),Pu&lt;=MAX(E330,H330),E330&lt;&gt;H330),1,0)</f>
      </c>
      <c r="L330">
        <f>IF(K330=1,(Pu-E330)/(H330-E330),"")</f>
      </c>
      <c r="M330" s="12">
        <f>IF(K330=1,F330+L330*(I330-F330),"")</f>
      </c>
      <c r="N330" s="12">
        <f>IF(K330=1,G330+L330*(J330-G330),"")</f>
      </c>
    </row>
    <row r="331" spans="2:14" x14ac:dyDescent="0.25">
      <c r="B331">
        <v>9</v>
      </c>
      <c r="C331">
        <v>22.500000000000025</v>
      </c>
      <c r="D331">
        <v>32</v>
      </c>
      <c r="E331" s="18">
        <v>-4273.218492975459</v>
      </c>
      <c r="F331" s="18">
        <v>223.52689354957917</v>
      </c>
      <c r="G331" s="18">
        <v>447.92472003938394</v>
      </c>
      <c r="H331" s="12">
        <f>E332</f>
      </c>
      <c r="I331" s="12">
        <f>F332</f>
      </c>
      <c r="J331" s="12">
        <f>G332</f>
      </c>
      <c r="K331">
        <f>IF(AND(Pu&gt;=MIN(E331,H331),Pu&lt;=MAX(E331,H331),E331&lt;&gt;H331),1,0)</f>
      </c>
      <c r="L331">
        <f>IF(K331=1,(Pu-E331)/(H331-E331),"")</f>
      </c>
      <c r="M331" s="12">
        <f>IF(K331=1,F331+L331*(I331-F331),"")</f>
      </c>
      <c r="N331" s="12">
        <f>IF(K331=1,G331+L331*(J331-G331),"")</f>
      </c>
    </row>
    <row r="332" spans="2:14" x14ac:dyDescent="0.25">
      <c r="B332">
        <v>9</v>
      </c>
      <c r="C332">
        <v>22.500000000000025</v>
      </c>
      <c r="D332">
        <v>33</v>
      </c>
      <c r="E332" s="18">
        <v>-4678.391023204129</v>
      </c>
      <c r="F332" s="18">
        <v>87.63255030029002</v>
      </c>
      <c r="G332" s="18">
        <v>171.58850796840494</v>
      </c>
      <c r="H332" s="12">
        <f>E333</f>
      </c>
      <c r="I332" s="12">
        <f>F333</f>
      </c>
      <c r="J332" s="12">
        <f>G333</f>
      </c>
      <c r="K332">
        <f>IF(AND(Pu&gt;=MIN(E332,H332),Pu&lt;=MAX(E332,H332),E332&lt;&gt;H332),1,0)</f>
      </c>
      <c r="L332">
        <f>IF(K332=1,(Pu-E332)/(H332-E332),"")</f>
      </c>
      <c r="M332" s="12">
        <f>IF(K332=1,F332+L332*(I332-F332),"")</f>
      </c>
      <c r="N332" s="12">
        <f>IF(K332=1,G332+L332*(J332-G332),"")</f>
      </c>
    </row>
    <row r="333" spans="2:7" x14ac:dyDescent="0.25">
      <c r="B333">
        <v>9</v>
      </c>
      <c r="C333">
        <v>22.500000000000025</v>
      </c>
      <c r="D333">
        <v>34</v>
      </c>
      <c r="E333" s="18">
        <v>-4824.154049701967</v>
      </c>
      <c r="F333" s="18">
        <v>38.05743050323115</v>
      </c>
      <c r="G333" s="18">
        <v>70.7756731332085</v>
      </c>
    </row>
    <row r="335" spans="2:14" x14ac:dyDescent="0.25">
      <c r="B335">
        <v>10</v>
      </c>
      <c r="C335">
        <v>30.000000000000014</v>
      </c>
      <c r="D335">
        <v>1</v>
      </c>
      <c r="E335" s="18">
        <v>16949.26077094792</v>
      </c>
      <c r="F335" s="18">
        <v>1136.516022669311</v>
      </c>
      <c r="G335" s="18">
        <v>2731.623341508408</v>
      </c>
      <c r="H335" s="12">
        <f>E336</f>
      </c>
      <c r="I335" s="12">
        <f>F336</f>
      </c>
      <c r="J335" s="12">
        <f>G336</f>
      </c>
      <c r="K335">
        <f>IF(AND(Pu&gt;=MIN(E335,H335),Pu&lt;=MAX(E335,H335),E335&lt;&gt;H335),1,0)</f>
      </c>
      <c r="L335">
        <f>IF(K335=1,(Pu-E335)/(H335-E335),"")</f>
      </c>
      <c r="M335" s="12">
        <f>IF(K335=1,F335+L335*(I335-F335),"")</f>
      </c>
      <c r="N335" s="12">
        <f>IF(K335=1,G335+L335*(J335-G335),"")</f>
      </c>
    </row>
    <row r="336" spans="2:14" x14ac:dyDescent="0.25">
      <c r="B336">
        <v>10</v>
      </c>
      <c r="C336">
        <v>30.000000000000014</v>
      </c>
      <c r="D336">
        <v>2</v>
      </c>
      <c r="E336" s="18">
        <v>15945.736422416207</v>
      </c>
      <c r="F336" s="18">
        <v>1220.295850237285</v>
      </c>
      <c r="G336" s="18">
        <v>3123.208121018222</v>
      </c>
      <c r="H336" s="12">
        <f>E337</f>
      </c>
      <c r="I336" s="12">
        <f>F337</f>
      </c>
      <c r="J336" s="12">
        <f>G337</f>
      </c>
      <c r="K336">
        <f>IF(AND(Pu&gt;=MIN(E336,H336),Pu&lt;=MAX(E336,H336),E336&lt;&gt;H336),1,0)</f>
      </c>
      <c r="L336">
        <f>IF(K336=1,(Pu-E336)/(H336-E336),"")</f>
      </c>
      <c r="M336" s="12">
        <f>IF(K336=1,F336+L336*(I336-F336),"")</f>
      </c>
      <c r="N336" s="12">
        <f>IF(K336=1,G336+L336*(J336-G336),"")</f>
      </c>
    </row>
    <row r="337" spans="2:14" x14ac:dyDescent="0.25">
      <c r="B337">
        <v>10</v>
      </c>
      <c r="C337">
        <v>30.000000000000014</v>
      </c>
      <c r="D337">
        <v>3</v>
      </c>
      <c r="E337" s="18">
        <v>14128.363912108482</v>
      </c>
      <c r="F337" s="18">
        <v>1432.710289973437</v>
      </c>
      <c r="G337" s="18">
        <v>3596.510578607638</v>
      </c>
      <c r="H337" s="12">
        <f>E338</f>
      </c>
      <c r="I337" s="12">
        <f>F338</f>
      </c>
      <c r="J337" s="12">
        <f>G338</f>
      </c>
      <c r="K337">
        <f>IF(AND(Pu&gt;=MIN(E337,H337),Pu&lt;=MAX(E337,H337),E337&lt;&gt;H337),1,0)</f>
      </c>
      <c r="L337">
        <f>IF(K337=1,(Pu-E337)/(H337-E337),"")</f>
      </c>
      <c r="M337" s="12">
        <f>IF(K337=1,F337+L337*(I337-F337),"")</f>
      </c>
      <c r="N337" s="12">
        <f>IF(K337=1,G337+L337*(J337-G337),"")</f>
      </c>
    </row>
    <row r="338" spans="2:14" x14ac:dyDescent="0.25">
      <c r="B338">
        <v>10</v>
      </c>
      <c r="C338">
        <v>30.000000000000014</v>
      </c>
      <c r="D338">
        <v>4</v>
      </c>
      <c r="E338" s="18">
        <v>12100.540691478107</v>
      </c>
      <c r="F338" s="18">
        <v>1645.6460063746292</v>
      </c>
      <c r="G338" s="18">
        <v>3908.301404706538</v>
      </c>
      <c r="H338" s="12">
        <f>E339</f>
      </c>
      <c r="I338" s="12">
        <f>F339</f>
      </c>
      <c r="J338" s="12">
        <f>G339</f>
      </c>
      <c r="K338">
        <f>IF(AND(Pu&gt;=MIN(E338,H338),Pu&lt;=MAX(E338,H338),E338&lt;&gt;H338),1,0)</f>
      </c>
      <c r="L338">
        <f>IF(K338=1,(Pu-E338)/(H338-E338),"")</f>
      </c>
      <c r="M338" s="12">
        <f>IF(K338=1,F338+L338*(I338-F338),"")</f>
      </c>
      <c r="N338" s="12">
        <f>IF(K338=1,G338+L338*(J338-G338),"")</f>
      </c>
    </row>
    <row r="339" spans="2:14" x14ac:dyDescent="0.25">
      <c r="B339">
        <v>10</v>
      </c>
      <c r="C339">
        <v>30.000000000000014</v>
      </c>
      <c r="D339">
        <v>5</v>
      </c>
      <c r="E339" s="18">
        <v>10059.625066330873</v>
      </c>
      <c r="F339" s="18">
        <v>1804.2418757287105</v>
      </c>
      <c r="G339" s="18">
        <v>4070.752786587003</v>
      </c>
      <c r="H339" s="12">
        <f>E340</f>
      </c>
      <c r="I339" s="12">
        <f>F340</f>
      </c>
      <c r="J339" s="12">
        <f>G340</f>
      </c>
      <c r="K339">
        <f>IF(AND(Pu&gt;=MIN(E339,H339),Pu&lt;=MAX(E339,H339),E339&lt;&gt;H339),1,0)</f>
      </c>
      <c r="L339">
        <f>IF(K339=1,(Pu-E339)/(H339-E339),"")</f>
      </c>
      <c r="M339" s="12">
        <f>IF(K339=1,F339+L339*(I339-F339),"")</f>
      </c>
      <c r="N339" s="12">
        <f>IF(K339=1,G339+L339*(J339-G339),"")</f>
      </c>
    </row>
    <row r="340" spans="2:14" x14ac:dyDescent="0.25">
      <c r="B340">
        <v>10</v>
      </c>
      <c r="C340">
        <v>30.000000000000014</v>
      </c>
      <c r="D340">
        <v>6</v>
      </c>
      <c r="E340" s="18">
        <v>8691.31874850863</v>
      </c>
      <c r="F340" s="18">
        <v>1787.0400065559847</v>
      </c>
      <c r="G340" s="18">
        <v>4169.332745253193</v>
      </c>
      <c r="H340" s="12">
        <f>E341</f>
      </c>
      <c r="I340" s="12">
        <f>F341</f>
      </c>
      <c r="J340" s="12">
        <f>G341</f>
      </c>
      <c r="K340">
        <f>IF(AND(Pu&gt;=MIN(E340,H340),Pu&lt;=MAX(E340,H340),E340&lt;&gt;H340),1,0)</f>
      </c>
      <c r="L340">
        <f>IF(K340=1,(Pu-E340)/(H340-E340),"")</f>
      </c>
      <c r="M340" s="12">
        <f>IF(K340=1,F340+L340*(I340-F340),"")</f>
      </c>
      <c r="N340" s="12">
        <f>IF(K340=1,G340+L340*(J340-G340),"")</f>
      </c>
    </row>
    <row r="341" spans="2:14" x14ac:dyDescent="0.25">
      <c r="B341">
        <v>10</v>
      </c>
      <c r="C341">
        <v>30.000000000000014</v>
      </c>
      <c r="D341">
        <v>7</v>
      </c>
      <c r="E341" s="18">
        <v>8375.540671102344</v>
      </c>
      <c r="F341" s="18">
        <v>1794.9401931470152</v>
      </c>
      <c r="G341" s="18">
        <v>4238.47621911512</v>
      </c>
      <c r="H341" s="12">
        <f>E342</f>
      </c>
      <c r="I341" s="12">
        <f>F342</f>
      </c>
      <c r="J341" s="12">
        <f>G342</f>
      </c>
      <c r="K341">
        <f>IF(AND(Pu&gt;=MIN(E341,H341),Pu&lt;=MAX(E341,H341),E341&lt;&gt;H341),1,0)</f>
      </c>
      <c r="L341">
        <f>IF(K341=1,(Pu-E341)/(H341-E341),"")</f>
      </c>
      <c r="M341" s="12">
        <f>IF(K341=1,F341+L341*(I341-F341),"")</f>
      </c>
      <c r="N341" s="12">
        <f>IF(K341=1,G341+L341*(J341-G341),"")</f>
      </c>
    </row>
    <row r="342" spans="2:14" x14ac:dyDescent="0.25">
      <c r="B342">
        <v>10</v>
      </c>
      <c r="C342">
        <v>30.000000000000014</v>
      </c>
      <c r="D342">
        <v>8</v>
      </c>
      <c r="E342" s="18">
        <v>7800.4976442579955</v>
      </c>
      <c r="F342" s="18">
        <v>1809.958452325322</v>
      </c>
      <c r="G342" s="18">
        <v>4372.309368485363</v>
      </c>
      <c r="H342" s="12">
        <f>E343</f>
      </c>
      <c r="I342" s="12">
        <f>F343</f>
      </c>
      <c r="J342" s="12">
        <f>G343</f>
      </c>
      <c r="K342">
        <f>IF(AND(Pu&gt;=MIN(E342,H342),Pu&lt;=MAX(E342,H342),E342&lt;&gt;H342),1,0)</f>
      </c>
      <c r="L342">
        <f>IF(K342=1,(Pu-E342)/(H342-E342),"")</f>
      </c>
      <c r="M342" s="12">
        <f>IF(K342=1,F342+L342*(I342-F342),"")</f>
      </c>
      <c r="N342" s="12">
        <f>IF(K342=1,G342+L342*(J342-G342),"")</f>
      </c>
    </row>
    <row r="343" spans="2:14" x14ac:dyDescent="0.25">
      <c r="B343">
        <v>10</v>
      </c>
      <c r="C343">
        <v>30.000000000000014</v>
      </c>
      <c r="D343">
        <v>9</v>
      </c>
      <c r="E343" s="18">
        <v>7364.869920898577</v>
      </c>
      <c r="F343" s="18">
        <v>1814.7425094440962</v>
      </c>
      <c r="G343" s="18">
        <v>4456.480881079363</v>
      </c>
      <c r="H343" s="12">
        <f>E344</f>
      </c>
      <c r="I343" s="12">
        <f>F344</f>
      </c>
      <c r="J343" s="12">
        <f>G344</f>
      </c>
      <c r="K343">
        <f>IF(AND(Pu&gt;=MIN(E343,H343),Pu&lt;=MAX(E343,H343),E343&lt;&gt;H343),1,0)</f>
      </c>
      <c r="L343">
        <f>IF(K343=1,(Pu-E343)/(H343-E343),"")</f>
      </c>
      <c r="M343" s="12">
        <f>IF(K343=1,F343+L343*(I343-F343),"")</f>
      </c>
      <c r="N343" s="12">
        <f>IF(K343=1,G343+L343*(J343-G343),"")</f>
      </c>
    </row>
    <row r="344" spans="2:14" x14ac:dyDescent="0.25">
      <c r="B344">
        <v>10</v>
      </c>
      <c r="C344">
        <v>30.000000000000014</v>
      </c>
      <c r="D344">
        <v>10</v>
      </c>
      <c r="E344" s="18">
        <v>7069.168362173618</v>
      </c>
      <c r="F344" s="18">
        <v>1816.0444103052753</v>
      </c>
      <c r="G344" s="18">
        <v>4512.660446218563</v>
      </c>
      <c r="H344" s="12">
        <f>E345</f>
      </c>
      <c r="I344" s="12">
        <f>F345</f>
      </c>
      <c r="J344" s="12">
        <f>G345</f>
      </c>
      <c r="K344">
        <f>IF(AND(Pu&gt;=MIN(E344,H344),Pu&lt;=MAX(E344,H344),E344&lt;&gt;H344),1,0)</f>
      </c>
      <c r="L344">
        <f>IF(K344=1,(Pu-E344)/(H344-E344),"")</f>
      </c>
      <c r="M344" s="12">
        <f>IF(K344=1,F344+L344*(I344-F344),"")</f>
      </c>
      <c r="N344" s="12">
        <f>IF(K344=1,G344+L344*(J344-G344),"")</f>
      </c>
    </row>
    <row r="345" spans="2:14" x14ac:dyDescent="0.25">
      <c r="B345">
        <v>10</v>
      </c>
      <c r="C345">
        <v>30.000000000000014</v>
      </c>
      <c r="D345">
        <v>11</v>
      </c>
      <c r="E345" s="18">
        <v>6604.237462450875</v>
      </c>
      <c r="F345" s="18">
        <v>1824.6387514899375</v>
      </c>
      <c r="G345" s="18">
        <v>4589.900766621835</v>
      </c>
      <c r="H345" s="12">
        <f>E346</f>
      </c>
      <c r="I345" s="12">
        <f>F346</f>
      </c>
      <c r="J345" s="12">
        <f>G346</f>
      </c>
      <c r="K345">
        <f>IF(AND(Pu&gt;=MIN(E345,H345),Pu&lt;=MAX(E345,H345),E345&lt;&gt;H345),1,0)</f>
      </c>
      <c r="L345">
        <f>IF(K345=1,(Pu-E345)/(H345-E345),"")</f>
      </c>
      <c r="M345" s="12">
        <f>IF(K345=1,F345+L345*(I345-F345),"")</f>
      </c>
      <c r="N345" s="12">
        <f>IF(K345=1,G345+L345*(J345-G345),"")</f>
      </c>
    </row>
    <row r="346" spans="2:14" x14ac:dyDescent="0.25">
      <c r="B346">
        <v>10</v>
      </c>
      <c r="C346">
        <v>30.000000000000014</v>
      </c>
      <c r="D346">
        <v>12</v>
      </c>
      <c r="E346" s="18">
        <v>6479.0792696535145</v>
      </c>
      <c r="F346" s="18">
        <v>1827.4550551743073</v>
      </c>
      <c r="G346" s="18">
        <v>4611.876974075012</v>
      </c>
      <c r="H346" s="12">
        <f>E347</f>
      </c>
      <c r="I346" s="12">
        <f>F347</f>
      </c>
      <c r="J346" s="12">
        <f>G347</f>
      </c>
      <c r="K346">
        <f>IF(AND(Pu&gt;=MIN(E346,H346),Pu&lt;=MAX(E346,H346),E346&lt;&gt;H346),1,0)</f>
      </c>
      <c r="L346">
        <f>IF(K346=1,(Pu-E346)/(H346-E346),"")</f>
      </c>
      <c r="M346" s="12">
        <f>IF(K346=1,F346+L346*(I346-F346),"")</f>
      </c>
      <c r="N346" s="12">
        <f>IF(K346=1,G346+L346*(J346-G346),"")</f>
      </c>
    </row>
    <row r="347" spans="2:14" x14ac:dyDescent="0.25">
      <c r="B347">
        <v>10</v>
      </c>
      <c r="C347">
        <v>30.000000000000014</v>
      </c>
      <c r="D347">
        <v>13</v>
      </c>
      <c r="E347" s="18">
        <v>6015.583142120548</v>
      </c>
      <c r="F347" s="18">
        <v>1839.709192654104</v>
      </c>
      <c r="G347" s="18">
        <v>4680.595031632149</v>
      </c>
      <c r="H347" s="12">
        <f>E348</f>
      </c>
      <c r="I347" s="12">
        <f>F348</f>
      </c>
      <c r="J347" s="12">
        <f>G348</f>
      </c>
      <c r="K347">
        <f>IF(AND(Pu&gt;=MIN(E347,H347),Pu&lt;=MAX(E347,H347),E347&lt;&gt;H347),1,0)</f>
      </c>
      <c r="L347">
        <f>IF(K347=1,(Pu-E347)/(H347-E347),"")</f>
      </c>
      <c r="M347" s="12">
        <f>IF(K347=1,F347+L347*(I347-F347),"")</f>
      </c>
      <c r="N347" s="12">
        <f>IF(K347=1,G347+L347*(J347-G347),"")</f>
      </c>
    </row>
    <row r="348" spans="2:14" x14ac:dyDescent="0.25">
      <c r="B348">
        <v>10</v>
      </c>
      <c r="C348">
        <v>30.000000000000014</v>
      </c>
      <c r="D348">
        <v>14</v>
      </c>
      <c r="E348" s="18">
        <v>5988.316611793607</v>
      </c>
      <c r="F348" s="18">
        <v>1840.703002688839</v>
      </c>
      <c r="G348" s="18">
        <v>4684.087904081895</v>
      </c>
      <c r="H348" s="12">
        <f>E349</f>
      </c>
      <c r="I348" s="12">
        <f>F349</f>
      </c>
      <c r="J348" s="12">
        <f>G349</f>
      </c>
      <c r="K348">
        <f>IF(AND(Pu&gt;=MIN(E348,H348),Pu&lt;=MAX(E348,H348),E348&lt;&gt;H348),1,0)</f>
      </c>
      <c r="L348">
        <f>IF(K348=1,(Pu-E348)/(H348-E348),"")</f>
      </c>
      <c r="M348" s="12">
        <f>IF(K348=1,F348+L348*(I348-F348),"")</f>
      </c>
      <c r="N348" s="12">
        <f>IF(K348=1,G348+L348*(J348-G348),"")</f>
      </c>
    </row>
    <row r="349" spans="2:14" x14ac:dyDescent="0.25">
      <c r="B349">
        <v>10</v>
      </c>
      <c r="C349">
        <v>30.000000000000014</v>
      </c>
      <c r="D349">
        <v>15</v>
      </c>
      <c r="E349" s="18">
        <v>5642.598504339467</v>
      </c>
      <c r="F349" s="18">
        <v>1867.9482586957217</v>
      </c>
      <c r="G349" s="18">
        <v>4731.855533695885</v>
      </c>
      <c r="H349" s="12">
        <f>E350</f>
      </c>
      <c r="I349" s="12">
        <f>F350</f>
      </c>
      <c r="J349" s="12">
        <f>G350</f>
      </c>
      <c r="K349">
        <f>IF(AND(Pu&gt;=MIN(E349,H349),Pu&lt;=MAX(E349,H349),E349&lt;&gt;H349),1,0)</f>
      </c>
      <c r="L349">
        <f>IF(K349=1,(Pu-E349)/(H349-E349),"")</f>
      </c>
      <c r="M349" s="12">
        <f>IF(K349=1,F349+L349*(I349-F349),"")</f>
      </c>
      <c r="N349" s="12">
        <f>IF(K349=1,G349+L349*(J349-G349),"")</f>
      </c>
    </row>
    <row r="350" spans="2:14" x14ac:dyDescent="0.25">
      <c r="B350">
        <v>10</v>
      </c>
      <c r="C350">
        <v>30.000000000000014</v>
      </c>
      <c r="D350">
        <v>16</v>
      </c>
      <c r="E350" s="18">
        <v>5296.725212922344</v>
      </c>
      <c r="F350" s="18">
        <v>1897.6790399483673</v>
      </c>
      <c r="G350" s="18">
        <v>4780.337913905708</v>
      </c>
      <c r="H350" s="12">
        <f>E351</f>
      </c>
      <c r="I350" s="12">
        <f>F351</f>
      </c>
      <c r="J350" s="12">
        <f>G351</f>
      </c>
      <c r="K350">
        <f>IF(AND(Pu&gt;=MIN(E350,H350),Pu&lt;=MAX(E350,H350),E350&lt;&gt;H350),1,0)</f>
      </c>
      <c r="L350">
        <f>IF(K350=1,(Pu-E350)/(H350-E350),"")</f>
      </c>
      <c r="M350" s="12">
        <f>IF(K350=1,F350+L350*(I350-F350),"")</f>
      </c>
      <c r="N350" s="12">
        <f>IF(K350=1,G350+L350*(J350-G350),"")</f>
      </c>
    </row>
    <row r="351" spans="2:14" x14ac:dyDescent="0.25">
      <c r="B351">
        <v>10</v>
      </c>
      <c r="C351">
        <v>30.000000000000014</v>
      </c>
      <c r="D351">
        <v>17</v>
      </c>
      <c r="E351" s="18">
        <v>5129.989658107725</v>
      </c>
      <c r="F351" s="18">
        <v>1906.2110064519284</v>
      </c>
      <c r="G351" s="18">
        <v>4805.736097717999</v>
      </c>
      <c r="H351" s="12">
        <f>E352</f>
      </c>
      <c r="I351" s="12">
        <f>F352</f>
      </c>
      <c r="J351" s="12">
        <f>G352</f>
      </c>
      <c r="K351">
        <f>IF(AND(Pu&gt;=MIN(E351,H351),Pu&lt;=MAX(E351,H351),E351&lt;&gt;H351),1,0)</f>
      </c>
      <c r="L351">
        <f>IF(K351=1,(Pu-E351)/(H351-E351),"")</f>
      </c>
      <c r="M351" s="12">
        <f>IF(K351=1,F351+L351*(I351-F351),"")</f>
      </c>
      <c r="N351" s="12">
        <f>IF(K351=1,G351+L351*(J351-G351),"")</f>
      </c>
    </row>
    <row r="352" spans="2:14" x14ac:dyDescent="0.25">
      <c r="B352">
        <v>10</v>
      </c>
      <c r="C352">
        <v>30.000000000000014</v>
      </c>
      <c r="D352">
        <v>18</v>
      </c>
      <c r="E352" s="18">
        <v>5001.4843023384055</v>
      </c>
      <c r="F352" s="18">
        <v>1913.252353506935</v>
      </c>
      <c r="G352" s="18">
        <v>4824.999098836255</v>
      </c>
      <c r="H352" s="12">
        <f>E353</f>
      </c>
      <c r="I352" s="12">
        <f>F353</f>
      </c>
      <c r="J352" s="12">
        <f>G353</f>
      </c>
      <c r="K352">
        <f>IF(AND(Pu&gt;=MIN(E352,H352),Pu&lt;=MAX(E352,H352),E352&lt;&gt;H352),1,0)</f>
      </c>
      <c r="L352">
        <f>IF(K352=1,(Pu-E352)/(H352-E352),"")</f>
      </c>
      <c r="M352" s="12">
        <f>IF(K352=1,F352+L352*(I352-F352),"")</f>
      </c>
      <c r="N352" s="12">
        <f>IF(K352=1,G352+L352*(J352-G352),"")</f>
      </c>
    </row>
    <row r="353" spans="2:14" x14ac:dyDescent="0.25">
      <c r="B353">
        <v>10</v>
      </c>
      <c r="C353">
        <v>30.000000000000014</v>
      </c>
      <c r="D353">
        <v>19</v>
      </c>
      <c r="E353" s="18">
        <v>4712.47390386089</v>
      </c>
      <c r="F353" s="18">
        <v>1932.003926087627</v>
      </c>
      <c r="G353" s="18">
        <v>4863.813696206678</v>
      </c>
      <c r="H353" s="12">
        <f>E354</f>
      </c>
      <c r="I353" s="12">
        <f>F354</f>
      </c>
      <c r="J353" s="12">
        <f>G354</f>
      </c>
      <c r="K353">
        <f>IF(AND(Pu&gt;=MIN(E353,H353),Pu&lt;=MAX(E353,H353),E353&lt;&gt;H353),1,0)</f>
      </c>
      <c r="L353">
        <f>IF(K353=1,(Pu-E353)/(H353-E353),"")</f>
      </c>
      <c r="M353" s="12">
        <f>IF(K353=1,F353+L353*(I353-F353),"")</f>
      </c>
      <c r="N353" s="12">
        <f>IF(K353=1,G353+L353*(J353-G353),"")</f>
      </c>
    </row>
    <row r="354" spans="2:14" x14ac:dyDescent="0.25">
      <c r="B354">
        <v>10</v>
      </c>
      <c r="C354">
        <v>30.000000000000014</v>
      </c>
      <c r="D354">
        <v>20</v>
      </c>
      <c r="E354" s="18">
        <v>4685.570839166042</v>
      </c>
      <c r="F354" s="18">
        <v>1929.8310268551934</v>
      </c>
      <c r="G354" s="18">
        <v>4856.939750307194</v>
      </c>
      <c r="H354" s="12">
        <f>E355</f>
      </c>
      <c r="I354" s="12">
        <f>F355</f>
      </c>
      <c r="J354" s="12">
        <f>G355</f>
      </c>
      <c r="K354">
        <f>IF(AND(Pu&gt;=MIN(E354,H354),Pu&lt;=MAX(E354,H354),E354&lt;&gt;H354),1,0)</f>
      </c>
      <c r="L354">
        <f>IF(K354=1,(Pu-E354)/(H354-E354),"")</f>
      </c>
      <c r="M354" s="12">
        <f>IF(K354=1,F354+L354*(I354-F354),"")</f>
      </c>
      <c r="N354" s="12">
        <f>IF(K354=1,G354+L354*(J354-G354),"")</f>
      </c>
    </row>
    <row r="355" spans="2:14" x14ac:dyDescent="0.25">
      <c r="B355">
        <v>10</v>
      </c>
      <c r="C355">
        <v>30.000000000000014</v>
      </c>
      <c r="D355">
        <v>21</v>
      </c>
      <c r="E355" s="18">
        <v>4007.6761816779313</v>
      </c>
      <c r="F355" s="18">
        <v>1879.5911216046222</v>
      </c>
      <c r="G355" s="18">
        <v>4672.734534068368</v>
      </c>
      <c r="H355" s="12">
        <f>E356</f>
      </c>
      <c r="I355" s="12">
        <f>F356</f>
      </c>
      <c r="J355" s="12">
        <f>G356</f>
      </c>
      <c r="K355">
        <f>IF(AND(Pu&gt;=MIN(E355,H355),Pu&lt;=MAX(E355,H355),E355&lt;&gt;H355),1,0)</f>
      </c>
      <c r="L355">
        <f>IF(K355=1,(Pu-E355)/(H355-E355),"")</f>
      </c>
      <c r="M355" s="12">
        <f>IF(K355=1,F355+L355*(I355-F355),"")</f>
      </c>
      <c r="N355" s="12">
        <f>IF(K355=1,G355+L355*(J355-G355),"")</f>
      </c>
    </row>
    <row r="356" spans="2:14" x14ac:dyDescent="0.25">
      <c r="B356">
        <v>10</v>
      </c>
      <c r="C356">
        <v>30.000000000000014</v>
      </c>
      <c r="D356">
        <v>22</v>
      </c>
      <c r="E356" s="18">
        <v>2959.3446803062125</v>
      </c>
      <c r="F356" s="18">
        <v>1797.0321267261943</v>
      </c>
      <c r="G356" s="18">
        <v>4284.923638916931</v>
      </c>
      <c r="H356" s="12">
        <f>E357</f>
      </c>
      <c r="I356" s="12">
        <f>F357</f>
      </c>
      <c r="J356" s="12">
        <f>G357</f>
      </c>
      <c r="K356">
        <f>IF(AND(Pu&gt;=MIN(E356,H356),Pu&lt;=MAX(E356,H356),E356&lt;&gt;H356),1,0)</f>
      </c>
      <c r="L356">
        <f>IF(K356=1,(Pu-E356)/(H356-E356),"")</f>
      </c>
      <c r="M356" s="12">
        <f>IF(K356=1,F356+L356*(I356-F356),"")</f>
      </c>
      <c r="N356" s="12">
        <f>IF(K356=1,G356+L356*(J356-G356),"")</f>
      </c>
    </row>
    <row r="357" spans="2:14" x14ac:dyDescent="0.25">
      <c r="B357">
        <v>10</v>
      </c>
      <c r="C357">
        <v>30.000000000000014</v>
      </c>
      <c r="D357">
        <v>23</v>
      </c>
      <c r="E357" s="18">
        <v>2067.707148174421</v>
      </c>
      <c r="F357" s="18">
        <v>1714.568412928845</v>
      </c>
      <c r="G357" s="18">
        <v>3917.810074907688</v>
      </c>
      <c r="H357" s="12">
        <f>E358</f>
      </c>
      <c r="I357" s="12">
        <f>F358</f>
      </c>
      <c r="J357" s="12">
        <f>G358</f>
      </c>
      <c r="K357">
        <f>IF(AND(Pu&gt;=MIN(E357,H357),Pu&lt;=MAX(E357,H357),E357&lt;&gt;H357),1,0)</f>
      </c>
      <c r="L357">
        <f>IF(K357=1,(Pu-E357)/(H357-E357),"")</f>
      </c>
      <c r="M357" s="12">
        <f>IF(K357=1,F357+L357*(I357-F357),"")</f>
      </c>
      <c r="N357" s="12">
        <f>IF(K357=1,G357+L357*(J357-G357),"")</f>
      </c>
    </row>
    <row r="358" spans="2:14" x14ac:dyDescent="0.25">
      <c r="B358">
        <v>10</v>
      </c>
      <c r="C358">
        <v>30.000000000000014</v>
      </c>
      <c r="D358">
        <v>24</v>
      </c>
      <c r="E358" s="18">
        <v>1371.415247940703</v>
      </c>
      <c r="F358" s="18">
        <v>1615.959377667507</v>
      </c>
      <c r="G358" s="18">
        <v>3589.5631864100674</v>
      </c>
      <c r="H358" s="12">
        <f>E359</f>
      </c>
      <c r="I358" s="12">
        <f>F359</f>
      </c>
      <c r="J358" s="12">
        <f>G359</f>
      </c>
      <c r="K358">
        <f>IF(AND(Pu&gt;=MIN(E358,H358),Pu&lt;=MAX(E358,H358),E358&lt;&gt;H358),1,0)</f>
      </c>
      <c r="L358">
        <f>IF(K358=1,(Pu-E358)/(H358-E358),"")</f>
      </c>
      <c r="M358" s="12">
        <f>IF(K358=1,F358+L358*(I358-F358),"")</f>
      </c>
      <c r="N358" s="12">
        <f>IF(K358=1,G358+L358*(J358-G358),"")</f>
      </c>
    </row>
    <row r="359" spans="2:14" x14ac:dyDescent="0.25">
      <c r="B359">
        <v>10</v>
      </c>
      <c r="C359">
        <v>30.000000000000014</v>
      </c>
      <c r="D359">
        <v>25</v>
      </c>
      <c r="E359" s="18">
        <v>241.9184650325038</v>
      </c>
      <c r="F359" s="18">
        <v>1407.8954018361255</v>
      </c>
      <c r="G359" s="18">
        <v>3048.380310586584</v>
      </c>
      <c r="H359" s="12">
        <f>E360</f>
      </c>
      <c r="I359" s="12">
        <f>F360</f>
      </c>
      <c r="J359" s="12">
        <f>G360</f>
      </c>
      <c r="K359">
        <f>IF(AND(Pu&gt;=MIN(E359,H359),Pu&lt;=MAX(E359,H359),E359&lt;&gt;H359),1,0)</f>
      </c>
      <c r="L359">
        <f>IF(K359=1,(Pu-E359)/(H359-E359),"")</f>
      </c>
      <c r="M359" s="12">
        <f>IF(K359=1,F359+L359*(I359-F359),"")</f>
      </c>
      <c r="N359" s="12">
        <f>IF(K359=1,G359+L359*(J359-G359),"")</f>
      </c>
    </row>
    <row r="360" spans="2:14" x14ac:dyDescent="0.25">
      <c r="B360">
        <v>10</v>
      </c>
      <c r="C360">
        <v>30.000000000000014</v>
      </c>
      <c r="D360">
        <v>26</v>
      </c>
      <c r="E360" s="18">
        <v>-613.9655466050359</v>
      </c>
      <c r="F360" s="18">
        <v>1250.6584897246223</v>
      </c>
      <c r="G360" s="18">
        <v>2588.0660943087214</v>
      </c>
      <c r="H360" s="12">
        <f>E361</f>
      </c>
      <c r="I360" s="12">
        <f>F361</f>
      </c>
      <c r="J360" s="12">
        <f>G361</f>
      </c>
      <c r="K360">
        <f>IF(AND(Pu&gt;=MIN(E360,H360),Pu&lt;=MAX(E360,H360),E360&lt;&gt;H360),1,0)</f>
      </c>
      <c r="L360">
        <f>IF(K360=1,(Pu-E360)/(H360-E360),"")</f>
      </c>
      <c r="M360" s="12">
        <f>IF(K360=1,F360+L360*(I360-F360),"")</f>
      </c>
      <c r="N360" s="12">
        <f>IF(K360=1,G360+L360*(J360-G360),"")</f>
      </c>
    </row>
    <row r="361" spans="2:14" x14ac:dyDescent="0.25">
      <c r="B361">
        <v>10</v>
      </c>
      <c r="C361">
        <v>30.000000000000014</v>
      </c>
      <c r="D361">
        <v>27</v>
      </c>
      <c r="E361" s="18">
        <v>-1380.8549232990536</v>
      </c>
      <c r="F361" s="18">
        <v>1092.6445009346555</v>
      </c>
      <c r="G361" s="18">
        <v>2169.458550497129</v>
      </c>
      <c r="H361" s="12">
        <f>E362</f>
      </c>
      <c r="I361" s="12">
        <f>F362</f>
      </c>
      <c r="J361" s="12">
        <f>G362</f>
      </c>
      <c r="K361">
        <f>IF(AND(Pu&gt;=MIN(E361,H361),Pu&lt;=MAX(E361,H361),E361&lt;&gt;H361),1,0)</f>
      </c>
      <c r="L361">
        <f>IF(K361=1,(Pu-E361)/(H361-E361),"")</f>
      </c>
      <c r="M361" s="12">
        <f>IF(K361=1,F361+L361*(I361-F361),"")</f>
      </c>
      <c r="N361" s="12">
        <f>IF(K361=1,G361+L361*(J361-G361),"")</f>
      </c>
    </row>
    <row r="362" spans="2:14" x14ac:dyDescent="0.25">
      <c r="B362">
        <v>10</v>
      </c>
      <c r="C362">
        <v>30.000000000000014</v>
      </c>
      <c r="D362">
        <v>28</v>
      </c>
      <c r="E362" s="18">
        <v>-1964.1388874435086</v>
      </c>
      <c r="F362" s="18">
        <v>952.1943351372416</v>
      </c>
      <c r="G362" s="18">
        <v>1840.809345800974</v>
      </c>
      <c r="H362" s="12">
        <f>E363</f>
      </c>
      <c r="I362" s="12">
        <f>F363</f>
      </c>
      <c r="J362" s="12">
        <f>G363</f>
      </c>
      <c r="K362">
        <f>IF(AND(Pu&gt;=MIN(E362,H362),Pu&lt;=MAX(E362,H362),E362&lt;&gt;H362),1,0)</f>
      </c>
      <c r="L362">
        <f>IF(K362=1,(Pu-E362)/(H362-E362),"")</f>
      </c>
      <c r="M362" s="12">
        <f>IF(K362=1,F362+L362*(I362-F362),"")</f>
      </c>
      <c r="N362" s="12">
        <f>IF(K362=1,G362+L362*(J362-G362),"")</f>
      </c>
    </row>
    <row r="363" spans="2:14" x14ac:dyDescent="0.25">
      <c r="B363">
        <v>10</v>
      </c>
      <c r="C363">
        <v>30.000000000000014</v>
      </c>
      <c r="D363">
        <v>29</v>
      </c>
      <c r="E363" s="18">
        <v>-2783.2246201678877</v>
      </c>
      <c r="F363" s="18">
        <v>740.0480468766999</v>
      </c>
      <c r="G363" s="18">
        <v>1352.525193125337</v>
      </c>
      <c r="H363" s="12">
        <f>E364</f>
      </c>
      <c r="I363" s="12">
        <f>F364</f>
      </c>
      <c r="J363" s="12">
        <f>G364</f>
      </c>
      <c r="K363">
        <f>IF(AND(Pu&gt;=MIN(E363,H363),Pu&lt;=MAX(E363,H363),E363&lt;&gt;H363),1,0)</f>
      </c>
      <c r="L363">
        <f>IF(K363=1,(Pu-E363)/(H363-E363),"")</f>
      </c>
      <c r="M363" s="12">
        <f>IF(K363=1,F363+L363*(I363-F363),"")</f>
      </c>
      <c r="N363" s="12">
        <f>IF(K363=1,G363+L363*(J363-G363),"")</f>
      </c>
    </row>
    <row r="364" spans="2:14" x14ac:dyDescent="0.25">
      <c r="B364">
        <v>10</v>
      </c>
      <c r="C364">
        <v>30.000000000000014</v>
      </c>
      <c r="D364">
        <v>30</v>
      </c>
      <c r="E364" s="18">
        <v>-3319.286961929062</v>
      </c>
      <c r="F364" s="18">
        <v>565.410154530683</v>
      </c>
      <c r="G364" s="18">
        <v>1036.1206534125174</v>
      </c>
      <c r="H364" s="12">
        <f>E365</f>
      </c>
      <c r="I364" s="12">
        <f>F365</f>
      </c>
      <c r="J364" s="12">
        <f>G365</f>
      </c>
      <c r="K364">
        <f>IF(AND(Pu&gt;=MIN(E364,H364),Pu&lt;=MAX(E364,H364),E364&lt;&gt;H364),1,0)</f>
      </c>
      <c r="L364">
        <f>IF(K364=1,(Pu-E364)/(H364-E364),"")</f>
      </c>
      <c r="M364" s="12">
        <f>IF(K364=1,F364+L364*(I364-F364),"")</f>
      </c>
      <c r="N364" s="12">
        <f>IF(K364=1,G364+L364*(J364-G364),"")</f>
      </c>
    </row>
    <row r="365" spans="2:14" x14ac:dyDescent="0.25">
      <c r="B365">
        <v>10</v>
      </c>
      <c r="C365">
        <v>30.000000000000014</v>
      </c>
      <c r="D365">
        <v>31</v>
      </c>
      <c r="E365" s="18">
        <v>-3978.9238721698366</v>
      </c>
      <c r="F365" s="18">
        <v>352.1871989369497</v>
      </c>
      <c r="G365" s="18">
        <v>631.1694611511883</v>
      </c>
      <c r="H365" s="12">
        <f>E366</f>
      </c>
      <c r="I365" s="12">
        <f>F366</f>
      </c>
      <c r="J365" s="12">
        <f>G366</f>
      </c>
      <c r="K365">
        <f>IF(AND(Pu&gt;=MIN(E365,H365),Pu&lt;=MAX(E365,H365),E365&lt;&gt;H365),1,0)</f>
      </c>
      <c r="L365">
        <f>IF(K365=1,(Pu-E365)/(H365-E365),"")</f>
      </c>
      <c r="M365" s="12">
        <f>IF(K365=1,F365+L365*(I365-F365),"")</f>
      </c>
      <c r="N365" s="12">
        <f>IF(K365=1,G365+L365*(J365-G365),"")</f>
      </c>
    </row>
    <row r="366" spans="2:14" x14ac:dyDescent="0.25">
      <c r="B366">
        <v>10</v>
      </c>
      <c r="C366">
        <v>30.000000000000014</v>
      </c>
      <c r="D366">
        <v>32</v>
      </c>
      <c r="E366" s="18">
        <v>-4256.552525519962</v>
      </c>
      <c r="F366" s="18">
        <v>248.91244334919767</v>
      </c>
      <c r="G366" s="18">
        <v>450.308572903609</v>
      </c>
      <c r="H366" s="12">
        <f>E367</f>
      </c>
      <c r="I366" s="12">
        <f>F367</f>
      </c>
      <c r="J366" s="12">
        <f>G367</f>
      </c>
      <c r="K366">
        <f>IF(AND(Pu&gt;=MIN(E366,H366),Pu&lt;=MAX(E366,H366),E366&lt;&gt;H366),1,0)</f>
      </c>
      <c r="L366">
        <f>IF(K366=1,(Pu-E366)/(H366-E366),"")</f>
      </c>
      <c r="M366" s="12">
        <f>IF(K366=1,F366+L366*(I366-F366),"")</f>
      </c>
      <c r="N366" s="12">
        <f>IF(K366=1,G366+L366*(J366-G366),"")</f>
      </c>
    </row>
    <row r="367" spans="2:14" x14ac:dyDescent="0.25">
      <c r="B367">
        <v>10</v>
      </c>
      <c r="C367">
        <v>30.000000000000014</v>
      </c>
      <c r="D367">
        <v>33</v>
      </c>
      <c r="E367" s="18">
        <v>-4700.047916994775</v>
      </c>
      <c r="F367" s="18">
        <v>88.7338371187799</v>
      </c>
      <c r="G367" s="18">
        <v>154.38980543909406</v>
      </c>
      <c r="H367" s="12">
        <f>E368</f>
      </c>
      <c r="I367" s="12">
        <f>F368</f>
      </c>
      <c r="J367" s="12">
        <f>G368</f>
      </c>
      <c r="K367">
        <f>IF(AND(Pu&gt;=MIN(E367,H367),Pu&lt;=MAX(E367,H367),E367&lt;&gt;H367),1,0)</f>
      </c>
      <c r="L367">
        <f>IF(K367=1,(Pu-E367)/(H367-E367),"")</f>
      </c>
      <c r="M367" s="12">
        <f>IF(K367=1,F367+L367*(I367-F367),"")</f>
      </c>
      <c r="N367" s="12">
        <f>IF(K367=1,G367+L367*(J367-G367),"")</f>
      </c>
    </row>
    <row r="368" spans="2:7" x14ac:dyDescent="0.25">
      <c r="B368">
        <v>10</v>
      </c>
      <c r="C368">
        <v>30.000000000000014</v>
      </c>
      <c r="D368">
        <v>34</v>
      </c>
      <c r="E368" s="18">
        <v>-4810.3453739334</v>
      </c>
      <c r="F368" s="18">
        <v>45.843276243926724</v>
      </c>
      <c r="G368" s="18">
        <v>79.3229518124104</v>
      </c>
    </row>
    <row r="370" spans="2:14" x14ac:dyDescent="0.25">
      <c r="B370">
        <v>11</v>
      </c>
      <c r="C370">
        <v>37.50000000000001</v>
      </c>
      <c r="D370">
        <v>1</v>
      </c>
      <c r="E370" s="18">
        <v>17130.35198143765</v>
      </c>
      <c r="F370" s="18">
        <v>1386.5948194127197</v>
      </c>
      <c r="G370" s="18">
        <v>2475.2713501517437</v>
      </c>
      <c r="H370" s="12">
        <f>E371</f>
      </c>
      <c r="I370" s="12">
        <f>F371</f>
      </c>
      <c r="J370" s="12">
        <f>G371</f>
      </c>
      <c r="K370">
        <f>IF(AND(Pu&gt;=MIN(E370,H370),Pu&lt;=MAX(E370,H370),E370&lt;&gt;H370),1,0)</f>
      </c>
      <c r="L370">
        <f>IF(K370=1,(Pu-E370)/(H370-E370),"")</f>
      </c>
      <c r="M370" s="12">
        <f>IF(K370=1,F370+L370*(I370-F370),"")</f>
      </c>
      <c r="N370" s="12">
        <f>IF(K370=1,G370+L370*(J370-G370),"")</f>
      </c>
    </row>
    <row r="371" spans="2:14" x14ac:dyDescent="0.25">
      <c r="B371">
        <v>11</v>
      </c>
      <c r="C371">
        <v>37.50000000000001</v>
      </c>
      <c r="D371">
        <v>2</v>
      </c>
      <c r="E371" s="18">
        <v>16031.034284205192</v>
      </c>
      <c r="F371" s="18">
        <v>1532.3700077664566</v>
      </c>
      <c r="G371" s="18">
        <v>2881.0119920983257</v>
      </c>
      <c r="H371" s="12">
        <f>E372</f>
      </c>
      <c r="I371" s="12">
        <f>F372</f>
      </c>
      <c r="J371" s="12">
        <f>G372</f>
      </c>
      <c r="K371">
        <f>IF(AND(Pu&gt;=MIN(E371,H371),Pu&lt;=MAX(E371,H371),E371&lt;&gt;H371),1,0)</f>
      </c>
      <c r="L371">
        <f>IF(K371=1,(Pu-E371)/(H371-E371),"")</f>
      </c>
      <c r="M371" s="12">
        <f>IF(K371=1,F371+L371*(I371-F371),"")</f>
      </c>
      <c r="N371" s="12">
        <f>IF(K371=1,G371+L371*(J371-G371),"")</f>
      </c>
    </row>
    <row r="372" spans="2:14" x14ac:dyDescent="0.25">
      <c r="B372">
        <v>11</v>
      </c>
      <c r="C372">
        <v>37.50000000000001</v>
      </c>
      <c r="D372">
        <v>3</v>
      </c>
      <c r="E372" s="18">
        <v>14056.067100767774</v>
      </c>
      <c r="F372" s="18">
        <v>1834.0641143833302</v>
      </c>
      <c r="G372" s="18">
        <v>3353.656603413953</v>
      </c>
      <c r="H372" s="12">
        <f>E373</f>
      </c>
      <c r="I372" s="12">
        <f>F373</f>
      </c>
      <c r="J372" s="12">
        <f>G373</f>
      </c>
      <c r="K372">
        <f>IF(AND(Pu&gt;=MIN(E372,H372),Pu&lt;=MAX(E372,H372),E372&lt;&gt;H372),1,0)</f>
      </c>
      <c r="L372">
        <f>IF(K372=1,(Pu-E372)/(H372-E372),"")</f>
      </c>
      <c r="M372" s="12">
        <f>IF(K372=1,F372+L372*(I372-F372),"")</f>
      </c>
      <c r="N372" s="12">
        <f>IF(K372=1,G372+L372*(J372-G372),"")</f>
      </c>
    </row>
    <row r="373" spans="2:14" x14ac:dyDescent="0.25">
      <c r="B373">
        <v>11</v>
      </c>
      <c r="C373">
        <v>37.50000000000001</v>
      </c>
      <c r="D373">
        <v>4</v>
      </c>
      <c r="E373" s="18">
        <v>11981.939232214976</v>
      </c>
      <c r="F373" s="18">
        <v>2114.560220711686</v>
      </c>
      <c r="G373" s="18">
        <v>3607.5846896788908</v>
      </c>
      <c r="H373" s="12">
        <f>E374</f>
      </c>
      <c r="I373" s="12">
        <f>F374</f>
      </c>
      <c r="J373" s="12">
        <f>G374</f>
      </c>
      <c r="K373">
        <f>IF(AND(Pu&gt;=MIN(E373,H373),Pu&lt;=MAX(E373,H373),E373&lt;&gt;H373),1,0)</f>
      </c>
      <c r="L373">
        <f>IF(K373=1,(Pu-E373)/(H373-E373),"")</f>
      </c>
      <c r="M373" s="12">
        <f>IF(K373=1,F373+L373*(I373-F373),"")</f>
      </c>
      <c r="N373" s="12">
        <f>IF(K373=1,G373+L373*(J373-G373),"")</f>
      </c>
    </row>
    <row r="374" spans="2:14" x14ac:dyDescent="0.25">
      <c r="B374">
        <v>11</v>
      </c>
      <c r="C374">
        <v>37.50000000000001</v>
      </c>
      <c r="D374">
        <v>5</v>
      </c>
      <c r="E374" s="18">
        <v>10073.117279584712</v>
      </c>
      <c r="F374" s="18">
        <v>2245.7853829052215</v>
      </c>
      <c r="G374" s="18">
        <v>3769.875050814965</v>
      </c>
      <c r="H374" s="12">
        <f>E375</f>
      </c>
      <c r="I374" s="12">
        <f>F375</f>
      </c>
      <c r="J374" s="12">
        <f>G375</f>
      </c>
      <c r="K374">
        <f>IF(AND(Pu&gt;=MIN(E374,H374),Pu&lt;=MAX(E374,H374),E374&lt;&gt;H374),1,0)</f>
      </c>
      <c r="L374">
        <f>IF(K374=1,(Pu-E374)/(H374-E374),"")</f>
      </c>
      <c r="M374" s="12">
        <f>IF(K374=1,F374+L374*(I374-F374),"")</f>
      </c>
      <c r="N374" s="12">
        <f>IF(K374=1,G374+L374*(J374-G374),"")</f>
      </c>
    </row>
    <row r="375" spans="2:14" x14ac:dyDescent="0.25">
      <c r="B375">
        <v>11</v>
      </c>
      <c r="C375">
        <v>37.50000000000001</v>
      </c>
      <c r="D375">
        <v>6</v>
      </c>
      <c r="E375" s="18">
        <v>8773.07022351979</v>
      </c>
      <c r="F375" s="18">
        <v>2278.433139024343</v>
      </c>
      <c r="G375" s="18">
        <v>3851.6695754617945</v>
      </c>
      <c r="H375" s="12">
        <f>E376</f>
      </c>
      <c r="I375" s="12">
        <f>F376</f>
      </c>
      <c r="J375" s="12">
        <f>G376</f>
      </c>
      <c r="K375">
        <f>IF(AND(Pu&gt;=MIN(E375,H375),Pu&lt;=MAX(E375,H375),E375&lt;&gt;H375),1,0)</f>
      </c>
      <c r="L375">
        <f>IF(K375=1,(Pu-E375)/(H375-E375),"")</f>
      </c>
      <c r="M375" s="12">
        <f>IF(K375=1,F375+L375*(I375-F375),"")</f>
      </c>
      <c r="N375" s="12">
        <f>IF(K375=1,G375+L375*(J375-G375),"")</f>
      </c>
    </row>
    <row r="376" spans="2:14" x14ac:dyDescent="0.25">
      <c r="B376">
        <v>11</v>
      </c>
      <c r="C376">
        <v>37.50000000000001</v>
      </c>
      <c r="D376">
        <v>7</v>
      </c>
      <c r="E376" s="18">
        <v>8518.961820789425</v>
      </c>
      <c r="F376" s="18">
        <v>2290.494438513625</v>
      </c>
      <c r="G376" s="18">
        <v>3905.7834679178873</v>
      </c>
      <c r="H376" s="12">
        <f>E377</f>
      </c>
      <c r="I376" s="12">
        <f>F377</f>
      </c>
      <c r="J376" s="12">
        <f>G377</f>
      </c>
      <c r="K376">
        <f>IF(AND(Pu&gt;=MIN(E376,H376),Pu&lt;=MAX(E376,H376),E376&lt;&gt;H376),1,0)</f>
      </c>
      <c r="L376">
        <f>IF(K376=1,(Pu-E376)/(H376-E376),"")</f>
      </c>
      <c r="M376" s="12">
        <f>IF(K376=1,F376+L376*(I376-F376),"")</f>
      </c>
      <c r="N376" s="12">
        <f>IF(K376=1,G376+L376*(J376-G376),"")</f>
      </c>
    </row>
    <row r="377" spans="2:14" x14ac:dyDescent="0.25">
      <c r="B377">
        <v>11</v>
      </c>
      <c r="C377">
        <v>37.50000000000001</v>
      </c>
      <c r="D377">
        <v>8</v>
      </c>
      <c r="E377" s="18">
        <v>7861.196735605931</v>
      </c>
      <c r="F377" s="18">
        <v>2313.827840644773</v>
      </c>
      <c r="G377" s="18">
        <v>4048.929287532298</v>
      </c>
      <c r="H377" s="12">
        <f>E378</f>
      </c>
      <c r="I377" s="12">
        <f>F378</f>
      </c>
      <c r="J377" s="12">
        <f>G378</f>
      </c>
      <c r="K377">
        <f>IF(AND(Pu&gt;=MIN(E377,H377),Pu&lt;=MAX(E377,H377),E377&lt;&gt;H377),1,0)</f>
      </c>
      <c r="L377">
        <f>IF(K377=1,(Pu-E377)/(H377-E377),"")</f>
      </c>
      <c r="M377" s="12">
        <f>IF(K377=1,F377+L377*(I377-F377),"")</f>
      </c>
      <c r="N377" s="12">
        <f>IF(K377=1,G377+L377*(J377-G377),"")</f>
      </c>
    </row>
    <row r="378" spans="2:14" x14ac:dyDescent="0.25">
      <c r="B378">
        <v>11</v>
      </c>
      <c r="C378">
        <v>37.50000000000001</v>
      </c>
      <c r="D378">
        <v>9</v>
      </c>
      <c r="E378" s="18">
        <v>7474.701719620837</v>
      </c>
      <c r="F378" s="18">
        <v>2316.3461041312025</v>
      </c>
      <c r="G378" s="18">
        <v>4123.6769058637265</v>
      </c>
      <c r="H378" s="12">
        <f>E379</f>
      </c>
      <c r="I378" s="12">
        <f>F379</f>
      </c>
      <c r="J378" s="12">
        <f>G379</f>
      </c>
      <c r="K378">
        <f>IF(AND(Pu&gt;=MIN(E378,H378),Pu&lt;=MAX(E378,H378),E378&lt;&gt;H378),1,0)</f>
      </c>
      <c r="L378">
        <f>IF(K378=1,(Pu-E378)/(H378-E378),"")</f>
      </c>
      <c r="M378" s="12">
        <f>IF(K378=1,F378+L378*(I378-F378),"")</f>
      </c>
      <c r="N378" s="12">
        <f>IF(K378=1,G378+L378*(J378-G378),"")</f>
      </c>
    </row>
    <row r="379" spans="2:14" x14ac:dyDescent="0.25">
      <c r="B379">
        <v>11</v>
      </c>
      <c r="C379">
        <v>37.50000000000001</v>
      </c>
      <c r="D379">
        <v>10</v>
      </c>
      <c r="E379" s="18">
        <v>7119.887847977932</v>
      </c>
      <c r="F379" s="18">
        <v>2318.9145660699724</v>
      </c>
      <c r="G379" s="18">
        <v>4187.884156629039</v>
      </c>
      <c r="H379" s="12">
        <f>E380</f>
      </c>
      <c r="I379" s="12">
        <f>F380</f>
      </c>
      <c r="J379" s="12">
        <f>G380</f>
      </c>
      <c r="K379">
        <f>IF(AND(Pu&gt;=MIN(E379,H379),Pu&lt;=MAX(E379,H379),E379&lt;&gt;H379),1,0)</f>
      </c>
      <c r="L379">
        <f>IF(K379=1,(Pu-E379)/(H379-E379),"")</f>
      </c>
      <c r="M379" s="12">
        <f>IF(K379=1,F379+L379*(I379-F379),"")</f>
      </c>
      <c r="N379" s="12">
        <f>IF(K379=1,G379+L379*(J379-G379),"")</f>
      </c>
    </row>
    <row r="380" spans="2:14" x14ac:dyDescent="0.25">
      <c r="B380">
        <v>11</v>
      </c>
      <c r="C380">
        <v>37.50000000000001</v>
      </c>
      <c r="D380">
        <v>11</v>
      </c>
      <c r="E380" s="18">
        <v>6681.1720537104065</v>
      </c>
      <c r="F380" s="18">
        <v>2330.7801603271287</v>
      </c>
      <c r="G380" s="18">
        <v>4264.763508380164</v>
      </c>
      <c r="H380" s="12">
        <f>E381</f>
      </c>
      <c r="I380" s="12">
        <f>F381</f>
      </c>
      <c r="J380" s="12">
        <f>G381</f>
      </c>
      <c r="K380">
        <f>IF(AND(Pu&gt;=MIN(E380,H380),Pu&lt;=MAX(E380,H380),E380&lt;&gt;H380),1,0)</f>
      </c>
      <c r="L380">
        <f>IF(K380=1,(Pu-E380)/(H380-E380),"")</f>
      </c>
      <c r="M380" s="12">
        <f>IF(K380=1,F380+L380*(I380-F380),"")</f>
      </c>
      <c r="N380" s="12">
        <f>IF(K380=1,G380+L380*(J380-G380),"")</f>
      </c>
    </row>
    <row r="381" spans="2:14" x14ac:dyDescent="0.25">
      <c r="B381">
        <v>11</v>
      </c>
      <c r="C381">
        <v>37.50000000000001</v>
      </c>
      <c r="D381">
        <v>12</v>
      </c>
      <c r="E381" s="18">
        <v>6512.83074045585</v>
      </c>
      <c r="F381" s="18">
        <v>2329.7806059556046</v>
      </c>
      <c r="G381" s="18">
        <v>4289.156631181021</v>
      </c>
      <c r="H381" s="12">
        <f>E382</f>
      </c>
      <c r="I381" s="12">
        <f>F382</f>
      </c>
      <c r="J381" s="12">
        <f>G382</f>
      </c>
      <c r="K381">
        <f>IF(AND(Pu&gt;=MIN(E381,H381),Pu&lt;=MAX(E381,H381),E381&lt;&gt;H381),1,0)</f>
      </c>
      <c r="L381">
        <f>IF(K381=1,(Pu-E381)/(H381-E381),"")</f>
      </c>
      <c r="M381" s="12">
        <f>IF(K381=1,F381+L381*(I381-F381),"")</f>
      </c>
      <c r="N381" s="12">
        <f>IF(K381=1,G381+L381*(J381-G381),"")</f>
      </c>
    </row>
    <row r="382" spans="2:14" x14ac:dyDescent="0.25">
      <c r="B382">
        <v>11</v>
      </c>
      <c r="C382">
        <v>37.50000000000001</v>
      </c>
      <c r="D382">
        <v>13</v>
      </c>
      <c r="E382" s="18">
        <v>6009.031890328881</v>
      </c>
      <c r="F382" s="18">
        <v>2331.4326842134014</v>
      </c>
      <c r="G382" s="18">
        <v>4361.217433010268</v>
      </c>
      <c r="H382" s="12">
        <f>E383</f>
      </c>
      <c r="I382" s="12">
        <f>F383</f>
      </c>
      <c r="J382" s="12">
        <f>G383</f>
      </c>
      <c r="K382">
        <f>IF(AND(Pu&gt;=MIN(E382,H382),Pu&lt;=MAX(E382,H382),E382&lt;&gt;H382),1,0)</f>
      </c>
      <c r="L382">
        <f>IF(K382=1,(Pu-E382)/(H382-E382),"")</f>
      </c>
      <c r="M382" s="12">
        <f>IF(K382=1,F382+L382*(I382-F382),"")</f>
      </c>
      <c r="N382" s="12">
        <f>IF(K382=1,G382+L382*(J382-G382),"")</f>
      </c>
    </row>
    <row r="383" spans="2:14" x14ac:dyDescent="0.25">
      <c r="B383">
        <v>11</v>
      </c>
      <c r="C383">
        <v>37.50000000000001</v>
      </c>
      <c r="D383">
        <v>14</v>
      </c>
      <c r="E383" s="18">
        <v>6000.326561328584</v>
      </c>
      <c r="F383" s="18">
        <v>2331.5372367727427</v>
      </c>
      <c r="G383" s="18">
        <v>4362.458028376064</v>
      </c>
      <c r="H383" s="12">
        <f>E384</f>
      </c>
      <c r="I383" s="12">
        <f>F384</f>
      </c>
      <c r="J383" s="12">
        <f>G384</f>
      </c>
      <c r="K383">
        <f>IF(AND(Pu&gt;=MIN(E383,H383),Pu&lt;=MAX(E383,H383),E383&lt;&gt;H383),1,0)</f>
      </c>
      <c r="L383">
        <f>IF(K383=1,(Pu-E383)/(H383-E383),"")</f>
      </c>
      <c r="M383" s="12">
        <f>IF(K383=1,F383+L383*(I383-F383),"")</f>
      </c>
      <c r="N383" s="12">
        <f>IF(K383=1,G383+L383*(J383-G383),"")</f>
      </c>
    </row>
    <row r="384" spans="2:14" x14ac:dyDescent="0.25">
      <c r="B384">
        <v>11</v>
      </c>
      <c r="C384">
        <v>37.50000000000001</v>
      </c>
      <c r="D384">
        <v>15</v>
      </c>
      <c r="E384" s="18">
        <v>5566.375342938824</v>
      </c>
      <c r="F384" s="18">
        <v>2346.9994329743786</v>
      </c>
      <c r="G384" s="18">
        <v>4411.319308969828</v>
      </c>
      <c r="H384" s="12">
        <f>E385</f>
      </c>
      <c r="I384" s="12">
        <f>F385</f>
      </c>
      <c r="J384" s="12">
        <f>G385</f>
      </c>
      <c r="K384">
        <f>IF(AND(Pu&gt;=MIN(E384,H384),Pu&lt;=MAX(E384,H384),E384&lt;&gt;H384),1,0)</f>
      </c>
      <c r="L384">
        <f>IF(K384=1,(Pu-E384)/(H384-E384),"")</f>
      </c>
      <c r="M384" s="12">
        <f>IF(K384=1,F384+L384*(I384-F384),"")</f>
      </c>
      <c r="N384" s="12">
        <f>IF(K384=1,G384+L384*(J384-G384),"")</f>
      </c>
    </row>
    <row r="385" spans="2:14" x14ac:dyDescent="0.25">
      <c r="B385">
        <v>11</v>
      </c>
      <c r="C385">
        <v>37.50000000000001</v>
      </c>
      <c r="D385">
        <v>16</v>
      </c>
      <c r="E385" s="18">
        <v>5199.974010851174</v>
      </c>
      <c r="F385" s="18">
        <v>2363.0152297430523</v>
      </c>
      <c r="G385" s="18">
        <v>4438.3017771933855</v>
      </c>
      <c r="H385" s="12">
        <f>E386</f>
      </c>
      <c r="I385" s="12">
        <f>F386</f>
      </c>
      <c r="J385" s="12">
        <f>G386</f>
      </c>
      <c r="K385">
        <f>IF(AND(Pu&gt;=MIN(E385,H385),Pu&lt;=MAX(E385,H385),E385&lt;&gt;H385),1,0)</f>
      </c>
      <c r="L385">
        <f>IF(K385=1,(Pu-E385)/(H385-E385),"")</f>
      </c>
      <c r="M385" s="12">
        <f>IF(K385=1,F385+L385*(I385-F385),"")</f>
      </c>
      <c r="N385" s="12">
        <f>IF(K385=1,G385+L385*(J385-G385),"")</f>
      </c>
    </row>
    <row r="386" spans="2:14" x14ac:dyDescent="0.25">
      <c r="B386">
        <v>11</v>
      </c>
      <c r="C386">
        <v>37.50000000000001</v>
      </c>
      <c r="D386">
        <v>17</v>
      </c>
      <c r="E386" s="18">
        <v>5036.049788124887</v>
      </c>
      <c r="F386" s="18">
        <v>2374.5393558688656</v>
      </c>
      <c r="G386" s="18">
        <v>4446.127697708687</v>
      </c>
      <c r="H386" s="12">
        <f>E387</f>
      </c>
      <c r="I386" s="12">
        <f>F387</f>
      </c>
      <c r="J386" s="12">
        <f>G387</f>
      </c>
      <c r="K386">
        <f>IF(AND(Pu&gt;=MIN(E386,H386),Pu&lt;=MAX(E386,H386),E386&lt;&gt;H386),1,0)</f>
      </c>
      <c r="L386">
        <f>IF(K386=1,(Pu-E386)/(H386-E386),"")</f>
      </c>
      <c r="M386" s="12">
        <f>IF(K386=1,F386+L386*(I386-F386),"")</f>
      </c>
      <c r="N386" s="12">
        <f>IF(K386=1,G386+L386*(J386-G386),"")</f>
      </c>
    </row>
    <row r="387" spans="2:14" x14ac:dyDescent="0.25">
      <c r="B387">
        <v>11</v>
      </c>
      <c r="C387">
        <v>37.50000000000001</v>
      </c>
      <c r="D387">
        <v>18</v>
      </c>
      <c r="E387" s="18">
        <v>4847.142208209965</v>
      </c>
      <c r="F387" s="18">
        <v>2389.7588131792477</v>
      </c>
      <c r="G387" s="18">
        <v>4451.569127860948</v>
      </c>
      <c r="H387" s="12">
        <f>E388</f>
      </c>
      <c r="I387" s="12">
        <f>F388</f>
      </c>
      <c r="J387" s="12">
        <f>G388</f>
      </c>
      <c r="K387">
        <f>IF(AND(Pu&gt;=MIN(E387,H387),Pu&lt;=MAX(E387,H387),E387&lt;&gt;H387),1,0)</f>
      </c>
      <c r="L387">
        <f>IF(K387=1,(Pu-E387)/(H387-E387),"")</f>
      </c>
      <c r="M387" s="12">
        <f>IF(K387=1,F387+L387*(I387-F387),"")</f>
      </c>
      <c r="N387" s="12">
        <f>IF(K387=1,G387+L387*(J387-G387),"")</f>
      </c>
    </row>
    <row r="388" spans="2:14" x14ac:dyDescent="0.25">
      <c r="B388">
        <v>11</v>
      </c>
      <c r="C388">
        <v>37.50000000000001</v>
      </c>
      <c r="D388">
        <v>19</v>
      </c>
      <c r="E388" s="18">
        <v>4528.017029467021</v>
      </c>
      <c r="F388" s="18">
        <v>2428.0624886544056</v>
      </c>
      <c r="G388" s="18">
        <v>4453.10397418385</v>
      </c>
      <c r="H388" s="12">
        <f>E389</f>
      </c>
      <c r="I388" s="12">
        <f>F389</f>
      </c>
      <c r="J388" s="12">
        <f>G389</f>
      </c>
      <c r="K388">
        <f>IF(AND(Pu&gt;=MIN(E388,H388),Pu&lt;=MAX(E388,H388),E388&lt;&gt;H388),1,0)</f>
      </c>
      <c r="L388">
        <f>IF(K388=1,(Pu-E388)/(H388-E388),"")</f>
      </c>
      <c r="M388" s="12">
        <f>IF(K388=1,F388+L388*(I388-F388),"")</f>
      </c>
      <c r="N388" s="12">
        <f>IF(K388=1,G388+L388*(J388-G388),"")</f>
      </c>
    </row>
    <row r="389" spans="2:14" x14ac:dyDescent="0.25">
      <c r="B389">
        <v>11</v>
      </c>
      <c r="C389">
        <v>37.50000000000001</v>
      </c>
      <c r="D389">
        <v>20</v>
      </c>
      <c r="E389" s="18">
        <v>4515.240129831891</v>
      </c>
      <c r="F389" s="18">
        <v>2428.727812315331</v>
      </c>
      <c r="G389" s="18">
        <v>4453.186024962649</v>
      </c>
      <c r="H389" s="12">
        <f>E390</f>
      </c>
      <c r="I389" s="12">
        <f>F390</f>
      </c>
      <c r="J389" s="12">
        <f>G390</f>
      </c>
      <c r="K389">
        <f>IF(AND(Pu&gt;=MIN(E389,H389),Pu&lt;=MAX(E389,H389),E389&lt;&gt;H389),1,0)</f>
      </c>
      <c r="L389">
        <f>IF(K389=1,(Pu-E389)/(H389-E389),"")</f>
      </c>
      <c r="M389" s="12">
        <f>IF(K389=1,F389+L389*(I389-F389),"")</f>
      </c>
      <c r="N389" s="12">
        <f>IF(K389=1,G389+L389*(J389-G389),"")</f>
      </c>
    </row>
    <row r="390" spans="2:14" x14ac:dyDescent="0.25">
      <c r="B390">
        <v>11</v>
      </c>
      <c r="C390">
        <v>37.50000000000001</v>
      </c>
      <c r="D390">
        <v>21</v>
      </c>
      <c r="E390" s="18">
        <v>3851.025987064097</v>
      </c>
      <c r="F390" s="18">
        <v>2340.6578457497717</v>
      </c>
      <c r="G390" s="18">
        <v>4261.371542055723</v>
      </c>
      <c r="H390" s="12">
        <f>E391</f>
      </c>
      <c r="I390" s="12">
        <f>F391</f>
      </c>
      <c r="J390" s="12">
        <f>G391</f>
      </c>
      <c r="K390">
        <f>IF(AND(Pu&gt;=MIN(E390,H390),Pu&lt;=MAX(E390,H390),E390&lt;&gt;H390),1,0)</f>
      </c>
      <c r="L390">
        <f>IF(K390=1,(Pu-E390)/(H390-E390),"")</f>
      </c>
      <c r="M390" s="12">
        <f>IF(K390=1,F390+L390*(I390-F390),"")</f>
      </c>
      <c r="N390" s="12">
        <f>IF(K390=1,G390+L390*(J390-G390),"")</f>
      </c>
    </row>
    <row r="391" spans="2:14" x14ac:dyDescent="0.25">
      <c r="B391">
        <v>11</v>
      </c>
      <c r="C391">
        <v>37.50000000000001</v>
      </c>
      <c r="D391">
        <v>22</v>
      </c>
      <c r="E391" s="18">
        <v>2722.510462739405</v>
      </c>
      <c r="F391" s="18">
        <v>2177.494485184502</v>
      </c>
      <c r="G391" s="18">
        <v>3903.3996098000916</v>
      </c>
      <c r="H391" s="12">
        <f>E392</f>
      </c>
      <c r="I391" s="12">
        <f>F392</f>
      </c>
      <c r="J391" s="12">
        <f>G392</f>
      </c>
      <c r="K391">
        <f>IF(AND(Pu&gt;=MIN(E391,H391),Pu&lt;=MAX(E391,H391),E391&lt;&gt;H391),1,0)</f>
      </c>
      <c r="L391">
        <f>IF(K391=1,(Pu-E391)/(H391-E391),"")</f>
      </c>
      <c r="M391" s="12">
        <f>IF(K391=1,F391+L391*(I391-F391),"")</f>
      </c>
      <c r="N391" s="12">
        <f>IF(K391=1,G391+L391*(J391-G391),"")</f>
      </c>
    </row>
    <row r="392" spans="2:14" x14ac:dyDescent="0.25">
      <c r="B392">
        <v>11</v>
      </c>
      <c r="C392">
        <v>37.50000000000001</v>
      </c>
      <c r="D392">
        <v>23</v>
      </c>
      <c r="E392" s="18">
        <v>1900.5612818092177</v>
      </c>
      <c r="F392" s="18">
        <v>2016.59279129154</v>
      </c>
      <c r="G392" s="18">
        <v>3588.273124965318</v>
      </c>
      <c r="H392" s="12">
        <f>E393</f>
      </c>
      <c r="I392" s="12">
        <f>F393</f>
      </c>
      <c r="J392" s="12">
        <f>G393</f>
      </c>
      <c r="K392">
        <f>IF(AND(Pu&gt;=MIN(E392,H392),Pu&lt;=MAX(E392,H392),E392&lt;&gt;H392),1,0)</f>
      </c>
      <c r="L392">
        <f>IF(K392=1,(Pu-E392)/(H392-E392),"")</f>
      </c>
      <c r="M392" s="12">
        <f>IF(K392=1,F392+L392*(I392-F392),"")</f>
      </c>
      <c r="N392" s="12">
        <f>IF(K392=1,G392+L392*(J392-G392),"")</f>
      </c>
    </row>
    <row r="393" spans="2:14" x14ac:dyDescent="0.25">
      <c r="B393">
        <v>11</v>
      </c>
      <c r="C393">
        <v>37.50000000000001</v>
      </c>
      <c r="D393">
        <v>24</v>
      </c>
      <c r="E393" s="18">
        <v>1219.6368387583627</v>
      </c>
      <c r="F393" s="18">
        <v>1866.0255574306493</v>
      </c>
      <c r="G393" s="18">
        <v>3322.2150856324242</v>
      </c>
      <c r="H393" s="12">
        <f>E394</f>
      </c>
      <c r="I393" s="12">
        <f>F394</f>
      </c>
      <c r="J393" s="12">
        <f>G394</f>
      </c>
      <c r="K393">
        <f>IF(AND(Pu&gt;=MIN(E393,H393),Pu&lt;=MAX(E393,H393),E393&lt;&gt;H393),1,0)</f>
      </c>
      <c r="L393">
        <f>IF(K393=1,(Pu-E393)/(H393-E393),"")</f>
      </c>
      <c r="M393" s="12">
        <f>IF(K393=1,F393+L393*(I393-F393),"")</f>
      </c>
      <c r="N393" s="12">
        <f>IF(K393=1,G393+L393*(J393-G393),"")</f>
      </c>
    </row>
    <row r="394" spans="2:14" x14ac:dyDescent="0.25">
      <c r="B394">
        <v>11</v>
      </c>
      <c r="C394">
        <v>37.50000000000001</v>
      </c>
      <c r="D394">
        <v>25</v>
      </c>
      <c r="E394" s="18">
        <v>118.27386586423289</v>
      </c>
      <c r="F394" s="18">
        <v>1628.2604160421874</v>
      </c>
      <c r="G394" s="18">
        <v>2815.4592902228296</v>
      </c>
      <c r="H394" s="12">
        <f>E395</f>
      </c>
      <c r="I394" s="12">
        <f>F395</f>
      </c>
      <c r="J394" s="12">
        <f>G395</f>
      </c>
      <c r="K394">
        <f>IF(AND(Pu&gt;=MIN(E394,H394),Pu&lt;=MAX(E394,H394),E394&lt;&gt;H394),1,0)</f>
      </c>
      <c r="L394">
        <f>IF(K394=1,(Pu-E394)/(H394-E394),"")</f>
      </c>
      <c r="M394" s="12">
        <f>IF(K394=1,F394+L394*(I394-F394),"")</f>
      </c>
      <c r="N394" s="12">
        <f>IF(K394=1,G394+L394*(J394-G394),"")</f>
      </c>
    </row>
    <row r="395" spans="2:14" x14ac:dyDescent="0.25">
      <c r="B395">
        <v>11</v>
      </c>
      <c r="C395">
        <v>37.50000000000001</v>
      </c>
      <c r="D395">
        <v>26</v>
      </c>
      <c r="E395" s="18">
        <v>-756.9528368067168</v>
      </c>
      <c r="F395" s="18">
        <v>1436.0524971655775</v>
      </c>
      <c r="G395" s="18">
        <v>2385.8837014465034</v>
      </c>
      <c r="H395" s="12">
        <f>E396</f>
      </c>
      <c r="I395" s="12">
        <f>F396</f>
      </c>
      <c r="J395" s="12">
        <f>G396</f>
      </c>
      <c r="K395">
        <f>IF(AND(Pu&gt;=MIN(E395,H395),Pu&lt;=MAX(E395,H395),E395&lt;&gt;H395),1,0)</f>
      </c>
      <c r="L395">
        <f>IF(K395=1,(Pu-E395)/(H395-E395),"")</f>
      </c>
      <c r="M395" s="12">
        <f>IF(K395=1,F395+L395*(I395-F395),"")</f>
      </c>
      <c r="N395" s="12">
        <f>IF(K395=1,G395+L395*(J395-G395),"")</f>
      </c>
    </row>
    <row r="396" spans="2:14" x14ac:dyDescent="0.25">
      <c r="B396">
        <v>11</v>
      </c>
      <c r="C396">
        <v>37.50000000000001</v>
      </c>
      <c r="D396">
        <v>27</v>
      </c>
      <c r="E396" s="18">
        <v>-1408.8172744961453</v>
      </c>
      <c r="F396" s="18">
        <v>1248.9007602401603</v>
      </c>
      <c r="G396" s="18">
        <v>2049.35188246054</v>
      </c>
      <c r="H396" s="12">
        <f>E397</f>
      </c>
      <c r="I396" s="12">
        <f>F397</f>
      </c>
      <c r="J396" s="12">
        <f>G397</f>
      </c>
      <c r="K396">
        <f>IF(AND(Pu&gt;=MIN(E396,H396),Pu&lt;=MAX(E396,H396),E396&lt;&gt;H396),1,0)</f>
      </c>
      <c r="L396">
        <f>IF(K396=1,(Pu-E396)/(H396-E396),"")</f>
      </c>
      <c r="M396" s="12">
        <f>IF(K396=1,F396+L396*(I396-F396),"")</f>
      </c>
      <c r="N396" s="12">
        <f>IF(K396=1,G396+L396*(J396-G396),"")</f>
      </c>
    </row>
    <row r="397" spans="2:14" x14ac:dyDescent="0.25">
      <c r="B397">
        <v>11</v>
      </c>
      <c r="C397">
        <v>37.50000000000001</v>
      </c>
      <c r="D397">
        <v>28</v>
      </c>
      <c r="E397" s="18">
        <v>-1981.5362572786958</v>
      </c>
      <c r="F397" s="18">
        <v>1082.6840971674826</v>
      </c>
      <c r="G397" s="18">
        <v>1745.6102181649367</v>
      </c>
      <c r="H397" s="12">
        <f>E398</f>
      </c>
      <c r="I397" s="12">
        <f>F398</f>
      </c>
      <c r="J397" s="12">
        <f>G398</f>
      </c>
      <c r="K397">
        <f>IF(AND(Pu&gt;=MIN(E397,H397),Pu&lt;=MAX(E397,H397),E397&lt;&gt;H397),1,0)</f>
      </c>
      <c r="L397">
        <f>IF(K397=1,(Pu-E397)/(H397-E397),"")</f>
      </c>
      <c r="M397" s="12">
        <f>IF(K397=1,F397+L397*(I397-F397),"")</f>
      </c>
      <c r="N397" s="12">
        <f>IF(K397=1,G397+L397*(J397-G397),"")</f>
      </c>
    </row>
    <row r="398" spans="2:14" x14ac:dyDescent="0.25">
      <c r="B398">
        <v>11</v>
      </c>
      <c r="C398">
        <v>37.50000000000001</v>
      </c>
      <c r="D398">
        <v>29</v>
      </c>
      <c r="E398" s="18">
        <v>-2738.488683948811</v>
      </c>
      <c r="F398" s="18">
        <v>836.6419332264649</v>
      </c>
      <c r="G398" s="18">
        <v>1327.2730990723528</v>
      </c>
      <c r="H398" s="12">
        <f>E399</f>
      </c>
      <c r="I398" s="12">
        <f>F399</f>
      </c>
      <c r="J398" s="12">
        <f>G399</f>
      </c>
      <c r="K398">
        <f>IF(AND(Pu&gt;=MIN(E398,H398),Pu&lt;=MAX(E398,H398),E398&lt;&gt;H398),1,0)</f>
      </c>
      <c r="L398">
        <f>IF(K398=1,(Pu-E398)/(H398-E398),"")</f>
      </c>
      <c r="M398" s="12">
        <f>IF(K398=1,F398+L398*(I398-F398),"")</f>
      </c>
      <c r="N398" s="12">
        <f>IF(K398=1,G398+L398*(J398-G398),"")</f>
      </c>
    </row>
    <row r="399" spans="2:14" x14ac:dyDescent="0.25">
      <c r="B399">
        <v>11</v>
      </c>
      <c r="C399">
        <v>37.50000000000001</v>
      </c>
      <c r="D399">
        <v>30</v>
      </c>
      <c r="E399" s="18">
        <v>-3244.851293003732</v>
      </c>
      <c r="F399" s="18">
        <v>662.7801828525196</v>
      </c>
      <c r="G399" s="18">
        <v>1033.1448626111344</v>
      </c>
      <c r="H399" s="12">
        <f>E400</f>
      </c>
      <c r="I399" s="12">
        <f>F400</f>
      </c>
      <c r="J399" s="12">
        <f>G400</f>
      </c>
      <c r="K399">
        <f>IF(AND(Pu&gt;=MIN(E399,H399),Pu&lt;=MAX(E399,H399),E399&lt;&gt;H399),1,0)</f>
      </c>
      <c r="L399">
        <f>IF(K399=1,(Pu-E399)/(H399-E399),"")</f>
      </c>
      <c r="M399" s="12">
        <f>IF(K399=1,F399+L399*(I399-F399),"")</f>
      </c>
      <c r="N399" s="12">
        <f>IF(K399=1,G399+L399*(J399-G399),"")</f>
      </c>
    </row>
    <row r="400" spans="2:14" x14ac:dyDescent="0.25">
      <c r="B400">
        <v>11</v>
      </c>
      <c r="C400">
        <v>37.50000000000001</v>
      </c>
      <c r="D400">
        <v>31</v>
      </c>
      <c r="E400" s="18">
        <v>-3892.0786289639914</v>
      </c>
      <c r="F400" s="18">
        <v>412.97729825960283</v>
      </c>
      <c r="G400" s="18">
        <v>665.0858043621267</v>
      </c>
      <c r="H400" s="12">
        <f>E401</f>
      </c>
      <c r="I400" s="12">
        <f>F401</f>
      </c>
      <c r="J400" s="12">
        <f>G401</f>
      </c>
      <c r="K400">
        <f>IF(AND(Pu&gt;=MIN(E400,H400),Pu&lt;=MAX(E400,H400),E400&lt;&gt;H400),1,0)</f>
      </c>
      <c r="L400">
        <f>IF(K400=1,(Pu-E400)/(H400-E400),"")</f>
      </c>
      <c r="M400" s="12">
        <f>IF(K400=1,F400+L400*(I400-F400),"")</f>
      </c>
      <c r="N400" s="12">
        <f>IF(K400=1,G400+L400*(J400-G400),"")</f>
      </c>
    </row>
    <row r="401" spans="2:14" x14ac:dyDescent="0.25">
      <c r="B401">
        <v>11</v>
      </c>
      <c r="C401">
        <v>37.50000000000001</v>
      </c>
      <c r="D401">
        <v>32</v>
      </c>
      <c r="E401" s="18">
        <v>-4195.364875586088</v>
      </c>
      <c r="F401" s="18">
        <v>293.671579624809</v>
      </c>
      <c r="G401" s="18">
        <v>477.55023401203795</v>
      </c>
      <c r="H401" s="12">
        <f>E402</f>
      </c>
      <c r="I401" s="12">
        <f>F402</f>
      </c>
      <c r="J401" s="12">
        <f>G402</f>
      </c>
      <c r="K401">
        <f>IF(AND(Pu&gt;=MIN(E401,H401),Pu&lt;=MAX(E401,H401),E401&lt;&gt;H401),1,0)</f>
      </c>
      <c r="L401">
        <f>IF(K401=1,(Pu-E401)/(H401-E401),"")</f>
      </c>
      <c r="M401" s="12">
        <f>IF(K401=1,F401+L401*(I401-F401),"")</f>
      </c>
      <c r="N401" s="12">
        <f>IF(K401=1,G401+L401*(J401-G401),"")</f>
      </c>
    </row>
    <row r="402" spans="2:14" x14ac:dyDescent="0.25">
      <c r="B402">
        <v>11</v>
      </c>
      <c r="C402">
        <v>37.50000000000001</v>
      </c>
      <c r="D402">
        <v>33</v>
      </c>
      <c r="E402" s="18">
        <v>-4642.151760579614</v>
      </c>
      <c r="F402" s="18">
        <v>127.1643292788395</v>
      </c>
      <c r="G402" s="18">
        <v>185.34484120457608</v>
      </c>
      <c r="H402" s="12">
        <f>E403</f>
      </c>
      <c r="I402" s="12">
        <f>F403</f>
      </c>
      <c r="J402" s="12">
        <f>G403</f>
      </c>
      <c r="K402">
        <f>IF(AND(Pu&gt;=MIN(E402,H402),Pu&lt;=MAX(E402,H402),E402&lt;&gt;H402),1,0)</f>
      </c>
      <c r="L402">
        <f>IF(K402=1,(Pu-E402)/(H402-E402),"")</f>
      </c>
      <c r="M402" s="12">
        <f>IF(K402=1,F402+L402*(I402-F402),"")</f>
      </c>
      <c r="N402" s="12">
        <f>IF(K402=1,G402+L402*(J402-G402),"")</f>
      </c>
    </row>
    <row r="403" spans="2:7" x14ac:dyDescent="0.25">
      <c r="B403">
        <v>11</v>
      </c>
      <c r="C403">
        <v>37.50000000000001</v>
      </c>
      <c r="D403">
        <v>34</v>
      </c>
      <c r="E403" s="18">
        <v>-4747.449212554726</v>
      </c>
      <c r="F403" s="18">
        <v>78.82192243246666</v>
      </c>
      <c r="G403" s="18">
        <v>117.75586478571421</v>
      </c>
    </row>
    <row r="405" spans="2:14" x14ac:dyDescent="0.25">
      <c r="B405">
        <v>12</v>
      </c>
      <c r="C405">
        <v>45</v>
      </c>
      <c r="D405">
        <v>1</v>
      </c>
      <c r="E405" s="18">
        <v>17156.854368171884</v>
      </c>
      <c r="F405" s="18">
        <v>1615.352850075943</v>
      </c>
      <c r="G405" s="18">
        <v>2271.2984801997236</v>
      </c>
      <c r="H405" s="12">
        <f>E406</f>
      </c>
      <c r="I405" s="12">
        <f>F406</f>
      </c>
      <c r="J405" s="12">
        <f>G406</f>
      </c>
      <c r="K405">
        <f>IF(AND(Pu&gt;=MIN(E405,H405),Pu&lt;=MAX(E405,H405),E405&lt;&gt;H405),1,0)</f>
      </c>
      <c r="L405">
        <f>IF(K405=1,(Pu-E405)/(H405-E405),"")</f>
      </c>
      <c r="M405" s="12">
        <f>IF(K405=1,F405+L405*(I405-F405),"")</f>
      </c>
      <c r="N405" s="12">
        <f>IF(K405=1,G405+L405*(J405-G405),"")</f>
      </c>
    </row>
    <row r="406" spans="2:14" x14ac:dyDescent="0.25">
      <c r="B406">
        <v>12</v>
      </c>
      <c r="C406">
        <v>45</v>
      </c>
      <c r="D406">
        <v>2</v>
      </c>
      <c r="E406" s="18">
        <v>16054.115154264684</v>
      </c>
      <c r="F406" s="18">
        <v>1841.9269098499706</v>
      </c>
      <c r="G406" s="18">
        <v>2613.5469708886176</v>
      </c>
      <c r="H406" s="12">
        <f>E407</f>
      </c>
      <c r="I406" s="12">
        <f>F407</f>
      </c>
      <c r="J406" s="12">
        <f>G407</f>
      </c>
      <c r="K406">
        <f>IF(AND(Pu&gt;=MIN(E406,H406),Pu&lt;=MAX(E406,H406),E406&lt;&gt;H406),1,0)</f>
      </c>
      <c r="L406">
        <f>IF(K406=1,(Pu-E406)/(H406-E406),"")</f>
      </c>
      <c r="M406" s="12">
        <f>IF(K406=1,F406+L406*(I406-F406),"")</f>
      </c>
      <c r="N406" s="12">
        <f>IF(K406=1,G406+L406*(J406-G406),"")</f>
      </c>
    </row>
    <row r="407" spans="2:14" x14ac:dyDescent="0.25">
      <c r="B407">
        <v>12</v>
      </c>
      <c r="C407">
        <v>45</v>
      </c>
      <c r="D407">
        <v>3</v>
      </c>
      <c r="E407" s="18">
        <v>13866.670264618513</v>
      </c>
      <c r="F407" s="18">
        <v>2244.521576169174</v>
      </c>
      <c r="G407" s="18">
        <v>3047.045498784186</v>
      </c>
      <c r="H407" s="12">
        <f>E408</f>
      </c>
      <c r="I407" s="12">
        <f>F408</f>
      </c>
      <c r="J407" s="12">
        <f>G408</f>
      </c>
      <c r="K407">
        <f>IF(AND(Pu&gt;=MIN(E407,H407),Pu&lt;=MAX(E407,H407),E407&lt;&gt;H407),1,0)</f>
      </c>
      <c r="L407">
        <f>IF(K407=1,(Pu-E407)/(H407-E407),"")</f>
      </c>
      <c r="M407" s="12">
        <f>IF(K407=1,F407+L407*(I407-F407),"")</f>
      </c>
      <c r="N407" s="12">
        <f>IF(K407=1,G407+L407*(J407-G407),"")</f>
      </c>
    </row>
    <row r="408" spans="2:14" x14ac:dyDescent="0.25">
      <c r="B408">
        <v>12</v>
      </c>
      <c r="C408">
        <v>45</v>
      </c>
      <c r="D408">
        <v>4</v>
      </c>
      <c r="E408" s="18">
        <v>11796.370396030603</v>
      </c>
      <c r="F408" s="18">
        <v>2589.3305708154094</v>
      </c>
      <c r="G408" s="18">
        <v>3226.484282630316</v>
      </c>
      <c r="H408" s="12">
        <f>E409</f>
      </c>
      <c r="I408" s="12">
        <f>F409</f>
      </c>
      <c r="J408" s="12">
        <f>G409</f>
      </c>
      <c r="K408">
        <f>IF(AND(Pu&gt;=MIN(E408,H408),Pu&lt;=MAX(E408,H408),E408&lt;&gt;H408),1,0)</f>
      </c>
      <c r="L408">
        <f>IF(K408=1,(Pu-E408)/(H408-E408),"")</f>
      </c>
      <c r="M408" s="12">
        <f>IF(K408=1,F408+L408*(I408-F408),"")</f>
      </c>
      <c r="N408" s="12">
        <f>IF(K408=1,G408+L408*(J408-G408),"")</f>
      </c>
    </row>
    <row r="409" spans="2:14" x14ac:dyDescent="0.25">
      <c r="B409">
        <v>12</v>
      </c>
      <c r="C409">
        <v>45</v>
      </c>
      <c r="D409">
        <v>5</v>
      </c>
      <c r="E409" s="18">
        <v>10079.152738452793</v>
      </c>
      <c r="F409" s="18">
        <v>2749.417495863784</v>
      </c>
      <c r="G409" s="18">
        <v>3341.7341495830474</v>
      </c>
      <c r="H409" s="12">
        <f>E410</f>
      </c>
      <c r="I409" s="12">
        <f>F410</f>
      </c>
      <c r="J409" s="12">
        <f>G410</f>
      </c>
      <c r="K409">
        <f>IF(AND(Pu&gt;=MIN(E409,H409),Pu&lt;=MAX(E409,H409),E409&lt;&gt;H409),1,0)</f>
      </c>
      <c r="L409">
        <f>IF(K409=1,(Pu-E409)/(H409-E409),"")</f>
      </c>
      <c r="M409" s="12">
        <f>IF(K409=1,F409+L409*(I409-F409),"")</f>
      </c>
      <c r="N409" s="12">
        <f>IF(K409=1,G409+L409*(J409-G409),"")</f>
      </c>
    </row>
    <row r="410" spans="2:14" x14ac:dyDescent="0.25">
      <c r="B410">
        <v>12</v>
      </c>
      <c r="C410">
        <v>45</v>
      </c>
      <c r="D410">
        <v>6</v>
      </c>
      <c r="E410" s="18">
        <v>8791.49496140932</v>
      </c>
      <c r="F410" s="18">
        <v>2768.318318215705</v>
      </c>
      <c r="G410" s="18">
        <v>3447.0487624537063</v>
      </c>
      <c r="H410" s="12">
        <f>E411</f>
      </c>
      <c r="I410" s="12">
        <f>F411</f>
      </c>
      <c r="J410" s="12">
        <f>G411</f>
      </c>
      <c r="K410">
        <f>IF(AND(Pu&gt;=MIN(E410,H410),Pu&lt;=MAX(E410,H410),E410&lt;&gt;H410),1,0)</f>
      </c>
      <c r="L410">
        <f>IF(K410=1,(Pu-E410)/(H410-E410),"")</f>
      </c>
      <c r="M410" s="12">
        <f>IF(K410=1,F410+L410*(I410-F410),"")</f>
      </c>
      <c r="N410" s="12">
        <f>IF(K410=1,G410+L410*(J410-G410),"")</f>
      </c>
    </row>
    <row r="411" spans="2:14" x14ac:dyDescent="0.25">
      <c r="B411">
        <v>12</v>
      </c>
      <c r="C411">
        <v>45</v>
      </c>
      <c r="D411">
        <v>7</v>
      </c>
      <c r="E411" s="18">
        <v>8641.625675061689</v>
      </c>
      <c r="F411" s="18">
        <v>2784.7806177805624</v>
      </c>
      <c r="G411" s="18">
        <v>3484.5817070745966</v>
      </c>
      <c r="H411" s="12">
        <f>E412</f>
      </c>
      <c r="I411" s="12">
        <f>F412</f>
      </c>
      <c r="J411" s="12">
        <f>G412</f>
      </c>
      <c r="K411">
        <f>IF(AND(Pu&gt;=MIN(E411,H411),Pu&lt;=MAX(E411,H411),E411&lt;&gt;H411),1,0)</f>
      </c>
      <c r="L411">
        <f>IF(K411=1,(Pu-E411)/(H411-E411),"")</f>
      </c>
      <c r="M411" s="12">
        <f>IF(K411=1,F411+L411*(I411-F411),"")</f>
      </c>
      <c r="N411" s="12">
        <f>IF(K411=1,G411+L411*(J411-G411),"")</f>
      </c>
    </row>
    <row r="412" spans="2:14" x14ac:dyDescent="0.25">
      <c r="B412">
        <v>12</v>
      </c>
      <c r="C412">
        <v>45</v>
      </c>
      <c r="D412">
        <v>8</v>
      </c>
      <c r="E412" s="18">
        <v>8037.932149517723</v>
      </c>
      <c r="F412" s="18">
        <v>2833.910003008764</v>
      </c>
      <c r="G412" s="18">
        <v>3624.1721936058575</v>
      </c>
      <c r="H412" s="12">
        <f>E413</f>
      </c>
      <c r="I412" s="12">
        <f>F413</f>
      </c>
      <c r="J412" s="12">
        <f>G413</f>
      </c>
      <c r="K412">
        <f>IF(AND(Pu&gt;=MIN(E412,H412),Pu&lt;=MAX(E412,H412),E412&lt;&gt;H412),1,0)</f>
      </c>
      <c r="L412">
        <f>IF(K412=1,(Pu-E412)/(H412-E412),"")</f>
      </c>
      <c r="M412" s="12">
        <f>IF(K412=1,F412+L412*(I412-F412),"")</f>
      </c>
      <c r="N412" s="12">
        <f>IF(K412=1,G412+L412*(J412-G412),"")</f>
      </c>
    </row>
    <row r="413" spans="2:14" x14ac:dyDescent="0.25">
      <c r="B413">
        <v>12</v>
      </c>
      <c r="C413">
        <v>45</v>
      </c>
      <c r="D413">
        <v>9</v>
      </c>
      <c r="E413" s="18">
        <v>7693.980858859481</v>
      </c>
      <c r="F413" s="18">
        <v>2838.4713301059473</v>
      </c>
      <c r="G413" s="18">
        <v>3700.245683340927</v>
      </c>
      <c r="H413" s="12">
        <f>E414</f>
      </c>
      <c r="I413" s="12">
        <f>F414</f>
      </c>
      <c r="J413" s="12">
        <f>G414</f>
      </c>
      <c r="K413">
        <f>IF(AND(Pu&gt;=MIN(E413,H413),Pu&lt;=MAX(E413,H413),E413&lt;&gt;H413),1,0)</f>
      </c>
      <c r="L413">
        <f>IF(K413=1,(Pu-E413)/(H413-E413),"")</f>
      </c>
      <c r="M413" s="12">
        <f>IF(K413=1,F413+L413*(I413-F413),"")</f>
      </c>
      <c r="N413" s="12">
        <f>IF(K413=1,G413+L413*(J413-G413),"")</f>
      </c>
    </row>
    <row r="414" spans="2:14" x14ac:dyDescent="0.25">
      <c r="B414">
        <v>12</v>
      </c>
      <c r="C414">
        <v>45</v>
      </c>
      <c r="D414">
        <v>10</v>
      </c>
      <c r="E414" s="18">
        <v>7278.563720777527</v>
      </c>
      <c r="F414" s="18">
        <v>2842.3216367183186</v>
      </c>
      <c r="G414" s="18">
        <v>3780.4700071897896</v>
      </c>
      <c r="H414" s="12">
        <f>E415</f>
      </c>
      <c r="I414" s="12">
        <f>F415</f>
      </c>
      <c r="J414" s="12">
        <f>G415</f>
      </c>
      <c r="K414">
        <f>IF(AND(Pu&gt;=MIN(E414,H414),Pu&lt;=MAX(E414,H414),E414&lt;&gt;H414),1,0)</f>
      </c>
      <c r="L414">
        <f>IF(K414=1,(Pu-E414)/(H414-E414),"")</f>
      </c>
      <c r="M414" s="12">
        <f>IF(K414=1,F414+L414*(I414-F414),"")</f>
      </c>
      <c r="N414" s="12">
        <f>IF(K414=1,G414+L414*(J414-G414),"")</f>
      </c>
    </row>
    <row r="415" spans="2:14" x14ac:dyDescent="0.25">
      <c r="B415">
        <v>12</v>
      </c>
      <c r="C415">
        <v>45</v>
      </c>
      <c r="D415">
        <v>11</v>
      </c>
      <c r="E415" s="18">
        <v>6883.121068144162</v>
      </c>
      <c r="F415" s="18">
        <v>2839.522508541197</v>
      </c>
      <c r="G415" s="18">
        <v>3852.811704334861</v>
      </c>
      <c r="H415" s="12">
        <f>E416</f>
      </c>
      <c r="I415" s="12">
        <f>F416</f>
      </c>
      <c r="J415" s="12">
        <f>G416</f>
      </c>
      <c r="K415">
        <f>IF(AND(Pu&gt;=MIN(E415,H415),Pu&lt;=MAX(E415,H415),E415&lt;&gt;H415),1,0)</f>
      </c>
      <c r="L415">
        <f>IF(K415=1,(Pu-E415)/(H415-E415),"")</f>
      </c>
      <c r="M415" s="12">
        <f>IF(K415=1,F415+L415*(I415-F415),"")</f>
      </c>
      <c r="N415" s="12">
        <f>IF(K415=1,G415+L415*(J415-G415),"")</f>
      </c>
    </row>
    <row r="416" spans="2:14" x14ac:dyDescent="0.25">
      <c r="B416">
        <v>12</v>
      </c>
      <c r="C416">
        <v>45</v>
      </c>
      <c r="D416">
        <v>12</v>
      </c>
      <c r="E416" s="18">
        <v>6645.332581263446</v>
      </c>
      <c r="F416" s="18">
        <v>2840.1038309515143</v>
      </c>
      <c r="G416" s="18">
        <v>3893.113749511523</v>
      </c>
      <c r="H416" s="12">
        <f>E417</f>
      </c>
      <c r="I416" s="12">
        <f>F417</f>
      </c>
      <c r="J416" s="12">
        <f>G417</f>
      </c>
      <c r="K416">
        <f>IF(AND(Pu&gt;=MIN(E416,H416),Pu&lt;=MAX(E416,H416),E416&lt;&gt;H416),1,0)</f>
      </c>
      <c r="L416">
        <f>IF(K416=1,(Pu-E416)/(H416-E416),"")</f>
      </c>
      <c r="M416" s="12">
        <f>IF(K416=1,F416+L416*(I416-F416),"")</f>
      </c>
      <c r="N416" s="12">
        <f>IF(K416=1,G416+L416*(J416-G416),"")</f>
      </c>
    </row>
    <row r="417" spans="2:14" x14ac:dyDescent="0.25">
      <c r="B417">
        <v>12</v>
      </c>
      <c r="C417">
        <v>45</v>
      </c>
      <c r="D417">
        <v>13</v>
      </c>
      <c r="E417" s="18">
        <v>6136.746653181995</v>
      </c>
      <c r="F417" s="18">
        <v>2847.89819697658</v>
      </c>
      <c r="G417" s="18">
        <v>3954.6181700887078</v>
      </c>
      <c r="H417" s="12">
        <f>E418</f>
      </c>
      <c r="I417" s="12">
        <f>F418</f>
      </c>
      <c r="J417" s="12">
        <f>G418</f>
      </c>
      <c r="K417">
        <f>IF(AND(Pu&gt;=MIN(E417,H417),Pu&lt;=MAX(E417,H417),E417&lt;&gt;H417),1,0)</f>
      </c>
      <c r="L417">
        <f>IF(K417=1,(Pu-E417)/(H417-E417),"")</f>
      </c>
      <c r="M417" s="12">
        <f>IF(K417=1,F417+L417*(I417-F417),"")</f>
      </c>
      <c r="N417" s="12">
        <f>IF(K417=1,G417+L417*(J417-G417),"")</f>
      </c>
    </row>
    <row r="418" spans="2:14" x14ac:dyDescent="0.25">
      <c r="B418">
        <v>12</v>
      </c>
      <c r="C418">
        <v>45</v>
      </c>
      <c r="D418">
        <v>14</v>
      </c>
      <c r="E418" s="18">
        <v>6082.441733702447</v>
      </c>
      <c r="F418" s="18">
        <v>2847.634290583133</v>
      </c>
      <c r="G418" s="18">
        <v>3959.6948152685636</v>
      </c>
      <c r="H418" s="12">
        <f>E419</f>
      </c>
      <c r="I418" s="12">
        <f>F419</f>
      </c>
      <c r="J418" s="12">
        <f>G419</f>
      </c>
      <c r="K418">
        <f>IF(AND(Pu&gt;=MIN(E418,H418),Pu&lt;=MAX(E418,H418),E418&lt;&gt;H418),1,0)</f>
      </c>
      <c r="L418">
        <f>IF(K418=1,(Pu-E418)/(H418-E418),"")</f>
      </c>
      <c r="M418" s="12">
        <f>IF(K418=1,F418+L418*(I418-F418),"")</f>
      </c>
      <c r="N418" s="12">
        <f>IF(K418=1,G418+L418*(J418-G418),"")</f>
      </c>
    </row>
    <row r="419" spans="2:14" x14ac:dyDescent="0.25">
      <c r="B419">
        <v>12</v>
      </c>
      <c r="C419">
        <v>45</v>
      </c>
      <c r="D419">
        <v>15</v>
      </c>
      <c r="E419" s="18">
        <v>5600.867852997787</v>
      </c>
      <c r="F419" s="18">
        <v>2859.01300584035</v>
      </c>
      <c r="G419" s="18">
        <v>3994.2541131282546</v>
      </c>
      <c r="H419" s="12">
        <f>E420</f>
      </c>
      <c r="I419" s="12">
        <f>F420</f>
      </c>
      <c r="J419" s="12">
        <f>G420</f>
      </c>
      <c r="K419">
        <f>IF(AND(Pu&gt;=MIN(E419,H419),Pu&lt;=MAX(E419,H419),E419&lt;&gt;H419),1,0)</f>
      </c>
      <c r="L419">
        <f>IF(K419=1,(Pu-E419)/(H419-E419),"")</f>
      </c>
      <c r="M419" s="12">
        <f>IF(K419=1,F419+L419*(I419-F419),"")</f>
      </c>
      <c r="N419" s="12">
        <f>IF(K419=1,G419+L419*(J419-G419),"")</f>
      </c>
    </row>
    <row r="420" spans="2:14" x14ac:dyDescent="0.25">
      <c r="B420">
        <v>12</v>
      </c>
      <c r="C420">
        <v>45</v>
      </c>
      <c r="D420">
        <v>16</v>
      </c>
      <c r="E420" s="18">
        <v>5171.45484507288</v>
      </c>
      <c r="F420" s="18">
        <v>2866.7591136163737</v>
      </c>
      <c r="G420" s="18">
        <v>4024.255282834592</v>
      </c>
      <c r="H420" s="12">
        <f>E421</f>
      </c>
      <c r="I420" s="12">
        <f>F421</f>
      </c>
      <c r="J420" s="12">
        <f>G421</f>
      </c>
      <c r="K420">
        <f>IF(AND(Pu&gt;=MIN(E420,H420),Pu&lt;=MAX(E420,H420),E420&lt;&gt;H420),1,0)</f>
      </c>
      <c r="L420">
        <f>IF(K420=1,(Pu-E420)/(H420-E420),"")</f>
      </c>
      <c r="M420" s="12">
        <f>IF(K420=1,F420+L420*(I420-F420),"")</f>
      </c>
      <c r="N420" s="12">
        <f>IF(K420=1,G420+L420*(J420-G420),"")</f>
      </c>
    </row>
    <row r="421" spans="2:14" x14ac:dyDescent="0.25">
      <c r="B421">
        <v>12</v>
      </c>
      <c r="C421">
        <v>45</v>
      </c>
      <c r="D421">
        <v>17</v>
      </c>
      <c r="E421" s="18">
        <v>5027.412537577055</v>
      </c>
      <c r="F421" s="18">
        <v>2871.3483548823565</v>
      </c>
      <c r="G421" s="18">
        <v>4025.0165380028707</v>
      </c>
      <c r="H421" s="12">
        <f>E422</f>
      </c>
      <c r="I421" s="12">
        <f>F422</f>
      </c>
      <c r="J421" s="12">
        <f>G422</f>
      </c>
      <c r="K421">
        <f>IF(AND(Pu&gt;=MIN(E421,H421),Pu&lt;=MAX(E421,H421),E421&lt;&gt;H421),1,0)</f>
      </c>
      <c r="L421">
        <f>IF(K421=1,(Pu-E421)/(H421-E421),"")</f>
      </c>
      <c r="M421" s="12">
        <f>IF(K421=1,F421+L421*(I421-F421),"")</f>
      </c>
      <c r="N421" s="12">
        <f>IF(K421=1,G421+L421*(J421-G421),"")</f>
      </c>
    </row>
    <row r="422" spans="2:14" x14ac:dyDescent="0.25">
      <c r="B422">
        <v>12</v>
      </c>
      <c r="C422">
        <v>45</v>
      </c>
      <c r="D422">
        <v>18</v>
      </c>
      <c r="E422" s="18">
        <v>4797.902945121806</v>
      </c>
      <c r="F422" s="18">
        <v>2874.0577404616147</v>
      </c>
      <c r="G422" s="18">
        <v>4027.8032068988396</v>
      </c>
      <c r="H422" s="12">
        <f>E423</f>
      </c>
      <c r="I422" s="12">
        <f>F423</f>
      </c>
      <c r="J422" s="12">
        <f>G423</f>
      </c>
      <c r="K422">
        <f>IF(AND(Pu&gt;=MIN(E422,H422),Pu&lt;=MAX(E422,H422),E422&lt;&gt;H422),1,0)</f>
      </c>
      <c r="L422">
        <f>IF(K422=1,(Pu-E422)/(H422-E422),"")</f>
      </c>
      <c r="M422" s="12">
        <f>IF(K422=1,F422+L422*(I422-F422),"")</f>
      </c>
      <c r="N422" s="12">
        <f>IF(K422=1,G422+L422*(J422-G422),"")</f>
      </c>
    </row>
    <row r="423" spans="2:14" x14ac:dyDescent="0.25">
      <c r="B423">
        <v>12</v>
      </c>
      <c r="C423">
        <v>45</v>
      </c>
      <c r="D423">
        <v>19</v>
      </c>
      <c r="E423" s="18">
        <v>4505.484135091201</v>
      </c>
      <c r="F423" s="18">
        <v>2879.4420218730675</v>
      </c>
      <c r="G423" s="18">
        <v>4029.802959700159</v>
      </c>
      <c r="H423" s="12">
        <f>E424</f>
      </c>
      <c r="I423" s="12">
        <f>F424</f>
      </c>
      <c r="J423" s="12">
        <f>G424</f>
      </c>
      <c r="K423">
        <f>IF(AND(Pu&gt;=MIN(E423,H423),Pu&lt;=MAX(E423,H423),E423&lt;&gt;H423),1,0)</f>
      </c>
      <c r="L423">
        <f>IF(K423=1,(Pu-E423)/(H423-E423),"")</f>
      </c>
      <c r="M423" s="12">
        <f>IF(K423=1,F423+L423*(I423-F423),"")</f>
      </c>
      <c r="N423" s="12">
        <f>IF(K423=1,G423+L423*(J423-G423),"")</f>
      </c>
    </row>
    <row r="424" spans="2:14" x14ac:dyDescent="0.25">
      <c r="B424">
        <v>12</v>
      </c>
      <c r="C424">
        <v>45</v>
      </c>
      <c r="D424">
        <v>20</v>
      </c>
      <c r="E424" s="18">
        <v>4456.324876830609</v>
      </c>
      <c r="F424" s="18">
        <v>2880.4086417883004</v>
      </c>
      <c r="G424" s="18">
        <v>4029.9062304683607</v>
      </c>
      <c r="H424" s="12">
        <f>E425</f>
      </c>
      <c r="I424" s="12">
        <f>F425</f>
      </c>
      <c r="J424" s="12">
        <f>G425</f>
      </c>
      <c r="K424">
        <f>IF(AND(Pu&gt;=MIN(E424,H424),Pu&lt;=MAX(E424,H424),E424&lt;&gt;H424),1,0)</f>
      </c>
      <c r="L424">
        <f>IF(K424=1,(Pu-E424)/(H424-E424),"")</f>
      </c>
      <c r="M424" s="12">
        <f>IF(K424=1,F424+L424*(I424-F424),"")</f>
      </c>
      <c r="N424" s="12">
        <f>IF(K424=1,G424+L424*(J424-G424),"")</f>
      </c>
    </row>
    <row r="425" spans="2:14" x14ac:dyDescent="0.25">
      <c r="B425">
        <v>12</v>
      </c>
      <c r="C425">
        <v>45</v>
      </c>
      <c r="D425">
        <v>21</v>
      </c>
      <c r="E425" s="18">
        <v>3821.171854375845</v>
      </c>
      <c r="F425" s="18">
        <v>2770.927011613125</v>
      </c>
      <c r="G425" s="18">
        <v>3863.6864991836824</v>
      </c>
      <c r="H425" s="12">
        <f>E426</f>
      </c>
      <c r="I425" s="12">
        <f>F426</f>
      </c>
      <c r="J425" s="12">
        <f>G426</f>
      </c>
      <c r="K425">
        <f>IF(AND(Pu&gt;=MIN(E425,H425),Pu&lt;=MAX(E425,H425),E425&lt;&gt;H425),1,0)</f>
      </c>
      <c r="L425">
        <f>IF(K425=1,(Pu-E425)/(H425-E425),"")</f>
      </c>
      <c r="M425" s="12">
        <f>IF(K425=1,F425+L425*(I425-F425),"")</f>
      </c>
      <c r="N425" s="12">
        <f>IF(K425=1,G425+L425*(J425-G425),"")</f>
      </c>
    </row>
    <row r="426" spans="2:14" x14ac:dyDescent="0.25">
      <c r="B426">
        <v>12</v>
      </c>
      <c r="C426">
        <v>45</v>
      </c>
      <c r="D426">
        <v>22</v>
      </c>
      <c r="E426" s="18">
        <v>2797.986239945819</v>
      </c>
      <c r="F426" s="18">
        <v>2526.193549054126</v>
      </c>
      <c r="G426" s="18">
        <v>3588.1708572468756</v>
      </c>
      <c r="H426" s="12">
        <f>E427</f>
      </c>
      <c r="I426" s="12">
        <f>F427</f>
      </c>
      <c r="J426" s="12">
        <f>G427</f>
      </c>
      <c r="K426">
        <f>IF(AND(Pu&gt;=MIN(E426,H426),Pu&lt;=MAX(E426,H426),E426&lt;&gt;H426),1,0)</f>
      </c>
      <c r="L426">
        <f>IF(K426=1,(Pu-E426)/(H426-E426),"")</f>
      </c>
      <c r="M426" s="12">
        <f>IF(K426=1,F426+L426*(I426-F426),"")</f>
      </c>
      <c r="N426" s="12">
        <f>IF(K426=1,G426+L426*(J426-G426),"")</f>
      </c>
    </row>
    <row r="427" spans="2:14" x14ac:dyDescent="0.25">
      <c r="B427">
        <v>12</v>
      </c>
      <c r="C427">
        <v>45</v>
      </c>
      <c r="D427">
        <v>23</v>
      </c>
      <c r="E427" s="18">
        <v>1936.3810065652356</v>
      </c>
      <c r="F427" s="18">
        <v>2308.411370064722</v>
      </c>
      <c r="G427" s="18">
        <v>3337.1549780666314</v>
      </c>
      <c r="H427" s="12">
        <f>E428</f>
      </c>
      <c r="I427" s="12">
        <f>F428</f>
      </c>
      <c r="J427" s="12">
        <f>G428</f>
      </c>
      <c r="K427">
        <f>IF(AND(Pu&gt;=MIN(E427,H427),Pu&lt;=MAX(E427,H427),E427&lt;&gt;H427),1,0)</f>
      </c>
      <c r="L427">
        <f>IF(K427=1,(Pu-E427)/(H427-E427),"")</f>
      </c>
      <c r="M427" s="12">
        <f>IF(K427=1,F427+L427*(I427-F427),"")</f>
      </c>
      <c r="N427" s="12">
        <f>IF(K427=1,G427+L427*(J427-G427),"")</f>
      </c>
    </row>
    <row r="428" spans="2:14" x14ac:dyDescent="0.25">
      <c r="B428">
        <v>12</v>
      </c>
      <c r="C428">
        <v>45</v>
      </c>
      <c r="D428">
        <v>24</v>
      </c>
      <c r="E428" s="18">
        <v>1260.424886133428</v>
      </c>
      <c r="F428" s="18">
        <v>2147.067321945881</v>
      </c>
      <c r="G428" s="18">
        <v>3088.3746305438003</v>
      </c>
      <c r="H428" s="12">
        <f>E429</f>
      </c>
      <c r="I428" s="12">
        <f>F429</f>
      </c>
      <c r="J428" s="12">
        <f>G429</f>
      </c>
      <c r="K428">
        <f>IF(AND(Pu&gt;=MIN(E428,H428),Pu&lt;=MAX(E428,H428),E428&lt;&gt;H428),1,0)</f>
      </c>
      <c r="L428">
        <f>IF(K428=1,(Pu-E428)/(H428-E428),"")</f>
      </c>
      <c r="M428" s="12">
        <f>IF(K428=1,F428+L428*(I428-F428),"")</f>
      </c>
      <c r="N428" s="12">
        <f>IF(K428=1,G428+L428*(J428-G428),"")</f>
      </c>
    </row>
    <row r="429" spans="2:14" x14ac:dyDescent="0.25">
      <c r="B429">
        <v>12</v>
      </c>
      <c r="C429">
        <v>45</v>
      </c>
      <c r="D429">
        <v>25</v>
      </c>
      <c r="E429" s="18">
        <v>137.66053666695151</v>
      </c>
      <c r="F429" s="18">
        <v>1874.433953083034</v>
      </c>
      <c r="G429" s="18">
        <v>2634.8426915214995</v>
      </c>
      <c r="H429" s="12">
        <f>E430</f>
      </c>
      <c r="I429" s="12">
        <f>F430</f>
      </c>
      <c r="J429" s="12">
        <f>G430</f>
      </c>
      <c r="K429">
        <f>IF(AND(Pu&gt;=MIN(E429,H429),Pu&lt;=MAX(E429,H429),E429&lt;&gt;H429),1,0)</f>
      </c>
      <c r="L429">
        <f>IF(K429=1,(Pu-E429)/(H429-E429),"")</f>
      </c>
      <c r="M429" s="12">
        <f>IF(K429=1,F429+L429*(I429-F429),"")</f>
      </c>
      <c r="N429" s="12">
        <f>IF(K429=1,G429+L429*(J429-G429),"")</f>
      </c>
    </row>
    <row r="430" spans="2:14" x14ac:dyDescent="0.25">
      <c r="B430">
        <v>12</v>
      </c>
      <c r="C430">
        <v>45</v>
      </c>
      <c r="D430">
        <v>26</v>
      </c>
      <c r="E430" s="18">
        <v>-635.6505109007443</v>
      </c>
      <c r="F430" s="18">
        <v>1632.0766936224375</v>
      </c>
      <c r="G430" s="18">
        <v>2305.9046859946907</v>
      </c>
      <c r="H430" s="12">
        <f>E431</f>
      </c>
      <c r="I430" s="12">
        <f>F431</f>
      </c>
      <c r="J430" s="12">
        <f>G431</f>
      </c>
      <c r="K430">
        <f>IF(AND(Pu&gt;=MIN(E430,H430),Pu&lt;=MAX(E430,H430),E430&lt;&gt;H430),1,0)</f>
      </c>
      <c r="L430">
        <f>IF(K430=1,(Pu-E430)/(H430-E430),"")</f>
      </c>
      <c r="M430" s="12">
        <f>IF(K430=1,F430+L430*(I430-F430),"")</f>
      </c>
      <c r="N430" s="12">
        <f>IF(K430=1,G430+L430*(J430-G430),"")</f>
      </c>
    </row>
    <row r="431" spans="2:14" x14ac:dyDescent="0.25">
      <c r="B431">
        <v>12</v>
      </c>
      <c r="C431">
        <v>45</v>
      </c>
      <c r="D431">
        <v>27</v>
      </c>
      <c r="E431" s="18">
        <v>-1308.4518944795568</v>
      </c>
      <c r="F431" s="18">
        <v>1425.5913274210657</v>
      </c>
      <c r="G431" s="18">
        <v>1988.9089477457082</v>
      </c>
      <c r="H431" s="12">
        <f>E432</f>
      </c>
      <c r="I431" s="12">
        <f>F432</f>
      </c>
      <c r="J431" s="12">
        <f>G432</f>
      </c>
      <c r="K431">
        <f>IF(AND(Pu&gt;=MIN(E431,H431),Pu&lt;=MAX(E431,H431),E431&lt;&gt;H431),1,0)</f>
      </c>
      <c r="L431">
        <f>IF(K431=1,(Pu-E431)/(H431-E431),"")</f>
      </c>
      <c r="M431" s="12">
        <f>IF(K431=1,F431+L431*(I431-F431),"")</f>
      </c>
      <c r="N431" s="12">
        <f>IF(K431=1,G431+L431*(J431-G431),"")</f>
      </c>
    </row>
    <row r="432" spans="2:14" x14ac:dyDescent="0.25">
      <c r="B432">
        <v>12</v>
      </c>
      <c r="C432">
        <v>45</v>
      </c>
      <c r="D432">
        <v>28</v>
      </c>
      <c r="E432" s="18">
        <v>-1827.0058707652033</v>
      </c>
      <c r="F432" s="18">
        <v>1247.1116943574548</v>
      </c>
      <c r="G432" s="18">
        <v>1729.797642752007</v>
      </c>
      <c r="H432" s="12">
        <f>E433</f>
      </c>
      <c r="I432" s="12">
        <f>F433</f>
      </c>
      <c r="J432" s="12">
        <f>G433</f>
      </c>
      <c r="K432">
        <f>IF(AND(Pu&gt;=MIN(E432,H432),Pu&lt;=MAX(E432,H432),E432&lt;&gt;H432),1,0)</f>
      </c>
      <c r="L432">
        <f>IF(K432=1,(Pu-E432)/(H432-E432),"")</f>
      </c>
      <c r="M432" s="12">
        <f>IF(K432=1,F432+L432*(I432-F432),"")</f>
      </c>
      <c r="N432" s="12">
        <f>IF(K432=1,G432+L432*(J432-G432),"")</f>
      </c>
    </row>
    <row r="433" spans="2:14" x14ac:dyDescent="0.25">
      <c r="B433">
        <v>12</v>
      </c>
      <c r="C433">
        <v>45</v>
      </c>
      <c r="D433">
        <v>29</v>
      </c>
      <c r="E433" s="18">
        <v>-2596.9880725986154</v>
      </c>
      <c r="F433" s="18">
        <v>962.9940356902702</v>
      </c>
      <c r="G433" s="18">
        <v>1344.6211033109914</v>
      </c>
      <c r="H433" s="12">
        <f>E434</f>
      </c>
      <c r="I433" s="12">
        <f>F434</f>
      </c>
      <c r="J433" s="12">
        <f>G434</f>
      </c>
      <c r="K433">
        <f>IF(AND(Pu&gt;=MIN(E433,H433),Pu&lt;=MAX(E433,H433),E433&lt;&gt;H433),1,0)</f>
      </c>
      <c r="L433">
        <f>IF(K433=1,(Pu-E433)/(H433-E433),"")</f>
      </c>
      <c r="M433" s="12">
        <f>IF(K433=1,F433+L433*(I433-F433),"")</f>
      </c>
      <c r="N433" s="12">
        <f>IF(K433=1,G433+L433*(J433-G433),"")</f>
      </c>
    </row>
    <row r="434" spans="2:14" x14ac:dyDescent="0.25">
      <c r="B434">
        <v>12</v>
      </c>
      <c r="C434">
        <v>45</v>
      </c>
      <c r="D434">
        <v>30</v>
      </c>
      <c r="E434" s="18">
        <v>-3111.390937188753</v>
      </c>
      <c r="F434" s="18">
        <v>781.9059609454752</v>
      </c>
      <c r="G434" s="18">
        <v>1057.7947051904403</v>
      </c>
      <c r="H434" s="12">
        <f>E435</f>
      </c>
      <c r="I434" s="12">
        <f>F435</f>
      </c>
      <c r="J434" s="12">
        <f>G435</f>
      </c>
      <c r="K434">
        <f>IF(AND(Pu&gt;=MIN(E434,H434),Pu&lt;=MAX(E434,H434),E434&lt;&gt;H434),1,0)</f>
      </c>
      <c r="L434">
        <f>IF(K434=1,(Pu-E434)/(H434-E434),"")</f>
      </c>
      <c r="M434" s="12">
        <f>IF(K434=1,F434+L434*(I434-F434),"")</f>
      </c>
      <c r="N434" s="12">
        <f>IF(K434=1,G434+L434*(J434-G434),"")</f>
      </c>
    </row>
    <row r="435" spans="2:14" x14ac:dyDescent="0.25">
      <c r="B435">
        <v>12</v>
      </c>
      <c r="C435">
        <v>45</v>
      </c>
      <c r="D435">
        <v>31</v>
      </c>
      <c r="E435" s="18">
        <v>-3655.561637086433</v>
      </c>
      <c r="F435" s="18">
        <v>549.2831242866984</v>
      </c>
      <c r="G435" s="18">
        <v>760.9306287349425</v>
      </c>
      <c r="H435" s="12">
        <f>E436</f>
      </c>
      <c r="I435" s="12">
        <f>F436</f>
      </c>
      <c r="J435" s="12">
        <f>G436</f>
      </c>
      <c r="K435">
        <f>IF(AND(Pu&gt;=MIN(E435,H435),Pu&lt;=MAX(E435,H435),E435&lt;&gt;H435),1,0)</f>
      </c>
      <c r="L435">
        <f>IF(K435=1,(Pu-E435)/(H435-E435),"")</f>
      </c>
      <c r="M435" s="12">
        <f>IF(K435=1,F435+L435*(I435-F435),"")</f>
      </c>
      <c r="N435" s="12">
        <f>IF(K435=1,G435+L435*(J435-G435),"")</f>
      </c>
    </row>
    <row r="436" spans="2:14" x14ac:dyDescent="0.25">
      <c r="B436">
        <v>12</v>
      </c>
      <c r="C436">
        <v>45</v>
      </c>
      <c r="D436">
        <v>32</v>
      </c>
      <c r="E436" s="18">
        <v>-4073.9144115443983</v>
      </c>
      <c r="F436" s="18">
        <v>368.26204013940134</v>
      </c>
      <c r="G436" s="18">
        <v>530.5316176641469</v>
      </c>
      <c r="H436" s="12">
        <f>E437</f>
      </c>
      <c r="I436" s="12">
        <f>F437</f>
      </c>
      <c r="J436" s="12">
        <f>G437</f>
      </c>
      <c r="K436">
        <f>IF(AND(Pu&gt;=MIN(E436,H436),Pu&lt;=MAX(E436,H436),E436&lt;&gt;H436),1,0)</f>
      </c>
      <c r="L436">
        <f>IF(K436=1,(Pu-E436)/(H436-E436),"")</f>
      </c>
      <c r="M436" s="12">
        <f>IF(K436=1,F436+L436*(I436-F436),"")</f>
      </c>
      <c r="N436" s="12">
        <f>IF(K436=1,G436+L436*(J436-G436),"")</f>
      </c>
    </row>
    <row r="437" spans="2:14" x14ac:dyDescent="0.25">
      <c r="B437">
        <v>12</v>
      </c>
      <c r="C437">
        <v>45</v>
      </c>
      <c r="D437">
        <v>33</v>
      </c>
      <c r="E437" s="18">
        <v>-4520.652717266332</v>
      </c>
      <c r="F437" s="18">
        <v>192.4696597808914</v>
      </c>
      <c r="G437" s="18">
        <v>252.67115852577214</v>
      </c>
      <c r="H437" s="12">
        <f>E438</f>
      </c>
      <c r="I437" s="12">
        <f>F438</f>
      </c>
      <c r="J437" s="12">
        <f>G438</f>
      </c>
      <c r="K437">
        <f>IF(AND(Pu&gt;=MIN(E437,H437),Pu&lt;=MAX(E437,H437),E437&lt;&gt;H437),1,0)</f>
      </c>
      <c r="L437">
        <f>IF(K437=1,(Pu-E437)/(H437-E437),"")</f>
      </c>
      <c r="M437" s="12">
        <f>IF(K437=1,F437+L437*(I437-F437),"")</f>
      </c>
      <c r="N437" s="12">
        <f>IF(K437=1,G437+L437*(J437-G437),"")</f>
      </c>
    </row>
    <row r="438" spans="2:7" x14ac:dyDescent="0.25">
      <c r="B438">
        <v>12</v>
      </c>
      <c r="C438">
        <v>45</v>
      </c>
      <c r="D438">
        <v>34</v>
      </c>
      <c r="E438" s="18">
        <v>-4629.738809930116</v>
      </c>
      <c r="F438" s="18">
        <v>141.6504596332702</v>
      </c>
      <c r="G438" s="18">
        <v>185.48904447858297</v>
      </c>
    </row>
    <row r="440" spans="2:14" x14ac:dyDescent="0.25">
      <c r="B440">
        <v>13</v>
      </c>
      <c r="C440">
        <v>52.49999999999999</v>
      </c>
      <c r="D440">
        <v>1</v>
      </c>
      <c r="E440" s="18">
        <v>17240.970911213913</v>
      </c>
      <c r="F440" s="18">
        <v>1780.5435478726463</v>
      </c>
      <c r="G440" s="18">
        <v>2030.323385382564</v>
      </c>
      <c r="H440" s="12">
        <f>E441</f>
      </c>
      <c r="I440" s="12">
        <f>F441</f>
      </c>
      <c r="J440" s="12">
        <f>G441</f>
      </c>
      <c r="K440">
        <f>IF(AND(Pu&gt;=MIN(E440,H440),Pu&lt;=MAX(E440,H440),E440&lt;&gt;H440),1,0)</f>
      </c>
      <c r="L440">
        <f>IF(K440=1,(Pu-E440)/(H440-E440),"")</f>
      </c>
      <c r="M440" s="12">
        <f>IF(K440=1,F440+L440*(I440-F440),"")</f>
      </c>
      <c r="N440" s="12">
        <f>IF(K440=1,G440+L440*(J440-G440),"")</f>
      </c>
    </row>
    <row r="441" spans="2:14" x14ac:dyDescent="0.25">
      <c r="B441">
        <v>13</v>
      </c>
      <c r="C441">
        <v>52.49999999999999</v>
      </c>
      <c r="D441">
        <v>2</v>
      </c>
      <c r="E441" s="18">
        <v>16074.851902904873</v>
      </c>
      <c r="F441" s="18">
        <v>2108.787576729389</v>
      </c>
      <c r="G441" s="18">
        <v>2292.597506692548</v>
      </c>
      <c r="H441" s="12">
        <f>E442</f>
      </c>
      <c r="I441" s="12">
        <f>F442</f>
      </c>
      <c r="J441" s="12">
        <f>G442</f>
      </c>
      <c r="K441">
        <f>IF(AND(Pu&gt;=MIN(E441,H441),Pu&lt;=MAX(E441,H441),E441&lt;&gt;H441),1,0)</f>
      </c>
      <c r="L441">
        <f>IF(K441=1,(Pu-E441)/(H441-E441),"")</f>
      </c>
      <c r="M441" s="12">
        <f>IF(K441=1,F441+L441*(I441-F441),"")</f>
      </c>
      <c r="N441" s="12">
        <f>IF(K441=1,G441+L441*(J441-G441),"")</f>
      </c>
    </row>
    <row r="442" spans="2:14" x14ac:dyDescent="0.25">
      <c r="B442">
        <v>13</v>
      </c>
      <c r="C442">
        <v>52.49999999999999</v>
      </c>
      <c r="D442">
        <v>3</v>
      </c>
      <c r="E442" s="18">
        <v>13712.088993565589</v>
      </c>
      <c r="F442" s="18">
        <v>2670.1717725744247</v>
      </c>
      <c r="G442" s="18">
        <v>2599.1519431033744</v>
      </c>
      <c r="H442" s="12">
        <f>E443</f>
      </c>
      <c r="I442" s="12">
        <f>F443</f>
      </c>
      <c r="J442" s="12">
        <f>G443</f>
      </c>
      <c r="K442">
        <f>IF(AND(Pu&gt;=MIN(E442,H442),Pu&lt;=MAX(E442,H442),E442&lt;&gt;H442),1,0)</f>
      </c>
      <c r="L442">
        <f>IF(K442=1,(Pu-E442)/(H442-E442),"")</f>
      </c>
      <c r="M442" s="12">
        <f>IF(K442=1,F442+L442*(I442-F442),"")</f>
      </c>
      <c r="N442" s="12">
        <f>IF(K442=1,G442+L442*(J442-G442),"")</f>
      </c>
    </row>
    <row r="443" spans="2:14" x14ac:dyDescent="0.25">
      <c r="B443">
        <v>13</v>
      </c>
      <c r="C443">
        <v>52.49999999999999</v>
      </c>
      <c r="D443">
        <v>4</v>
      </c>
      <c r="E443" s="18">
        <v>11670.087284860621</v>
      </c>
      <c r="F443" s="18">
        <v>3022.029951865226</v>
      </c>
      <c r="G443" s="18">
        <v>2730.69252122603</v>
      </c>
      <c r="H443" s="12">
        <f>E444</f>
      </c>
      <c r="I443" s="12">
        <f>F444</f>
      </c>
      <c r="J443" s="12">
        <f>G444</f>
      </c>
      <c r="K443">
        <f>IF(AND(Pu&gt;=MIN(E443,H443),Pu&lt;=MAX(E443,H443),E443&lt;&gt;H443),1,0)</f>
      </c>
      <c r="L443">
        <f>IF(K443=1,(Pu-E443)/(H443-E443),"")</f>
      </c>
      <c r="M443" s="12">
        <f>IF(K443=1,F443+L443*(I443-F443),"")</f>
      </c>
      <c r="N443" s="12">
        <f>IF(K443=1,G443+L443*(J443-G443),"")</f>
      </c>
    </row>
    <row r="444" spans="2:14" x14ac:dyDescent="0.25">
      <c r="B444">
        <v>13</v>
      </c>
      <c r="C444">
        <v>52.49999999999999</v>
      </c>
      <c r="D444">
        <v>5</v>
      </c>
      <c r="E444" s="18">
        <v>10102.952490165479</v>
      </c>
      <c r="F444" s="18">
        <v>3168.6035930765424</v>
      </c>
      <c r="G444" s="18">
        <v>2843.8623134216577</v>
      </c>
      <c r="H444" s="12">
        <f>E445</f>
      </c>
      <c r="I444" s="12">
        <f>F445</f>
      </c>
      <c r="J444" s="12">
        <f>G445</f>
      </c>
      <c r="K444">
        <f>IF(AND(Pu&gt;=MIN(E444,H444),Pu&lt;=MAX(E444,H444),E444&lt;&gt;H444),1,0)</f>
      </c>
      <c r="L444">
        <f>IF(K444=1,(Pu-E444)/(H444-E444),"")</f>
      </c>
      <c r="M444" s="12">
        <f>IF(K444=1,F444+L444*(I444-F444),"")</f>
      </c>
      <c r="N444" s="12">
        <f>IF(K444=1,G444+L444*(J444-G444),"")</f>
      </c>
    </row>
    <row r="445" spans="2:14" x14ac:dyDescent="0.25">
      <c r="B445">
        <v>13</v>
      </c>
      <c r="C445">
        <v>52.49999999999999</v>
      </c>
      <c r="D445">
        <v>6</v>
      </c>
      <c r="E445" s="18">
        <v>8725.048820077163</v>
      </c>
      <c r="F445" s="18">
        <v>3224.100981847969</v>
      </c>
      <c r="G445" s="18">
        <v>2936.438934307374</v>
      </c>
      <c r="H445" s="12">
        <f>E446</f>
      </c>
      <c r="I445" s="12">
        <f>F446</f>
      </c>
      <c r="J445" s="12">
        <f>G446</f>
      </c>
      <c r="K445">
        <f>IF(AND(Pu&gt;=MIN(E445,H445),Pu&lt;=MAX(E445,H445),E445&lt;&gt;H445),1,0)</f>
      </c>
      <c r="L445">
        <f>IF(K445=1,(Pu-E445)/(H445-E445),"")</f>
      </c>
      <c r="M445" s="12">
        <f>IF(K445=1,F445+L445*(I445-F445),"")</f>
      </c>
      <c r="N445" s="12">
        <f>IF(K445=1,G445+L445*(J445-G445),"")</f>
      </c>
    </row>
    <row r="446" spans="2:14" x14ac:dyDescent="0.25">
      <c r="B446">
        <v>13</v>
      </c>
      <c r="C446">
        <v>52.49999999999999</v>
      </c>
      <c r="D446">
        <v>7</v>
      </c>
      <c r="E446" s="18">
        <v>8651.512731717812</v>
      </c>
      <c r="F446" s="18">
        <v>3224.928797479176</v>
      </c>
      <c r="G446" s="18">
        <v>2941.6681424533144</v>
      </c>
      <c r="H446" s="12">
        <f>E447</f>
      </c>
      <c r="I446" s="12">
        <f>F447</f>
      </c>
      <c r="J446" s="12">
        <f>G447</f>
      </c>
      <c r="K446">
        <f>IF(AND(Pu&gt;=MIN(E446,H446),Pu&lt;=MAX(E446,H446),E446&lt;&gt;H446),1,0)</f>
      </c>
      <c r="L446">
        <f>IF(K446=1,(Pu-E446)/(H446-E446),"")</f>
      </c>
      <c r="M446" s="12">
        <f>IF(K446=1,F446+L446*(I446-F446),"")</f>
      </c>
      <c r="N446" s="12">
        <f>IF(K446=1,G446+L446*(J446-G446),"")</f>
      </c>
    </row>
    <row r="447" spans="2:14" x14ac:dyDescent="0.25">
      <c r="B447">
        <v>13</v>
      </c>
      <c r="C447">
        <v>52.49999999999999</v>
      </c>
      <c r="D447">
        <v>8</v>
      </c>
      <c r="E447" s="18">
        <v>7946.944829767791</v>
      </c>
      <c r="F447" s="18">
        <v>3307.7367638918454</v>
      </c>
      <c r="G447" s="18">
        <v>3094.089388964821</v>
      </c>
      <c r="H447" s="12">
        <f>E448</f>
      </c>
      <c r="I447" s="12">
        <f>F448</f>
      </c>
      <c r="J447" s="12">
        <f>G448</f>
      </c>
      <c r="K447">
        <f>IF(AND(Pu&gt;=MIN(E447,H447),Pu&lt;=MAX(E447,H447),E447&lt;&gt;H447),1,0)</f>
      </c>
      <c r="L447">
        <f>IF(K447=1,(Pu-E447)/(H447-E447),"")</f>
      </c>
      <c r="M447" s="12">
        <f>IF(K447=1,F447+L447*(I447-F447),"")</f>
      </c>
      <c r="N447" s="12">
        <f>IF(K447=1,G447+L447*(J447-G447),"")</f>
      </c>
    </row>
    <row r="448" spans="2:14" x14ac:dyDescent="0.25">
      <c r="B448">
        <v>13</v>
      </c>
      <c r="C448">
        <v>52.49999999999999</v>
      </c>
      <c r="D448">
        <v>9</v>
      </c>
      <c r="E448" s="18">
        <v>7840.88682676449</v>
      </c>
      <c r="F448" s="18">
        <v>3316.8301749262496</v>
      </c>
      <c r="G448" s="18">
        <v>3114.8945182794823</v>
      </c>
      <c r="H448" s="12">
        <f>E449</f>
      </c>
      <c r="I448" s="12">
        <f>F449</f>
      </c>
      <c r="J448" s="12">
        <f>G449</f>
      </c>
      <c r="K448">
        <f>IF(AND(Pu&gt;=MIN(E448,H448),Pu&lt;=MAX(E448,H448),E448&lt;&gt;H448),1,0)</f>
      </c>
      <c r="L448">
        <f>IF(K448=1,(Pu-E448)/(H448-E448),"")</f>
      </c>
      <c r="M448" s="12">
        <f>IF(K448=1,F448+L448*(I448-F448),"")</f>
      </c>
      <c r="N448" s="12">
        <f>IF(K448=1,G448+L448*(J448-G448),"")</f>
      </c>
    </row>
    <row r="449" spans="2:14" x14ac:dyDescent="0.25">
      <c r="B449">
        <v>13</v>
      </c>
      <c r="C449">
        <v>52.49999999999999</v>
      </c>
      <c r="D449">
        <v>10</v>
      </c>
      <c r="E449" s="18">
        <v>7217.847579819413</v>
      </c>
      <c r="F449" s="18">
        <v>3336.140249886455</v>
      </c>
      <c r="G449" s="18">
        <v>3227.2822096199247</v>
      </c>
      <c r="H449" s="12">
        <f>E450</f>
      </c>
      <c r="I449" s="12">
        <f>F450</f>
      </c>
      <c r="J449" s="12">
        <f>G450</f>
      </c>
      <c r="K449">
        <f>IF(AND(Pu&gt;=MIN(E449,H449),Pu&lt;=MAX(E449,H449),E449&lt;&gt;H449),1,0)</f>
      </c>
      <c r="L449">
        <f>IF(K449=1,(Pu-E449)/(H449-E449),"")</f>
      </c>
      <c r="M449" s="12">
        <f>IF(K449=1,F449+L449*(I449-F449),"")</f>
      </c>
      <c r="N449" s="12">
        <f>IF(K449=1,G449+L449*(J449-G449),"")</f>
      </c>
    </row>
    <row r="450" spans="2:14" x14ac:dyDescent="0.25">
      <c r="B450">
        <v>13</v>
      </c>
      <c r="C450">
        <v>52.49999999999999</v>
      </c>
      <c r="D450">
        <v>11</v>
      </c>
      <c r="E450" s="18">
        <v>7014.954482798884</v>
      </c>
      <c r="F450" s="18">
        <v>3335.722666062638</v>
      </c>
      <c r="G450" s="18">
        <v>3264.496663857233</v>
      </c>
      <c r="H450" s="12">
        <f>E451</f>
      </c>
      <c r="I450" s="12">
        <f>F451</f>
      </c>
      <c r="J450" s="12">
        <f>G451</f>
      </c>
      <c r="K450">
        <f>IF(AND(Pu&gt;=MIN(E450,H450),Pu&lt;=MAX(E450,H450),E450&lt;&gt;H450),1,0)</f>
      </c>
      <c r="L450">
        <f>IF(K450=1,(Pu-E450)/(H450-E450),"")</f>
      </c>
      <c r="M450" s="12">
        <f>IF(K450=1,F450+L450*(I450-F450),"")</f>
      </c>
      <c r="N450" s="12">
        <f>IF(K450=1,G450+L450*(J450-G450),"")</f>
      </c>
    </row>
    <row r="451" spans="2:14" x14ac:dyDescent="0.25">
      <c r="B451">
        <v>13</v>
      </c>
      <c r="C451">
        <v>52.49999999999999</v>
      </c>
      <c r="D451">
        <v>12</v>
      </c>
      <c r="E451" s="18">
        <v>6539.746528573216</v>
      </c>
      <c r="F451" s="18">
        <v>3326.023883207227</v>
      </c>
      <c r="G451" s="18">
        <v>3328.9416102629775</v>
      </c>
      <c r="H451" s="12">
        <f>E452</f>
      </c>
      <c r="I451" s="12">
        <f>F452</f>
      </c>
      <c r="J451" s="12">
        <f>G452</f>
      </c>
      <c r="K451">
        <f>IF(AND(Pu&gt;=MIN(E451,H451),Pu&lt;=MAX(E451,H451),E451&lt;&gt;H451),1,0)</f>
      </c>
      <c r="L451">
        <f>IF(K451=1,(Pu-E451)/(H451-E451),"")</f>
      </c>
      <c r="M451" s="12">
        <f>IF(K451=1,F451+L451*(I451-F451),"")</f>
      </c>
      <c r="N451" s="12">
        <f>IF(K451=1,G451+L451*(J451-G451),"")</f>
      </c>
    </row>
    <row r="452" spans="2:14" x14ac:dyDescent="0.25">
      <c r="B452">
        <v>13</v>
      </c>
      <c r="C452">
        <v>52.49999999999999</v>
      </c>
      <c r="D452">
        <v>13</v>
      </c>
      <c r="E452" s="18">
        <v>6182.620534339377</v>
      </c>
      <c r="F452" s="18">
        <v>3312.712269179463</v>
      </c>
      <c r="G452" s="18">
        <v>3375.441696634385</v>
      </c>
      <c r="H452" s="12">
        <f>E453</f>
      </c>
      <c r="I452" s="12">
        <f>F453</f>
      </c>
      <c r="J452" s="12">
        <f>G453</f>
      </c>
      <c r="K452">
        <f>IF(AND(Pu&gt;=MIN(E452,H452),Pu&lt;=MAX(E452,H452),E452&lt;&gt;H452),1,0)</f>
      </c>
      <c r="L452">
        <f>IF(K452=1,(Pu-E452)/(H452-E452),"")</f>
      </c>
      <c r="M452" s="12">
        <f>IF(K452=1,F452+L452*(I452-F452),"")</f>
      </c>
      <c r="N452" s="12">
        <f>IF(K452=1,G452+L452*(J452-G452),"")</f>
      </c>
    </row>
    <row r="453" spans="2:14" x14ac:dyDescent="0.25">
      <c r="B453">
        <v>13</v>
      </c>
      <c r="C453">
        <v>52.49999999999999</v>
      </c>
      <c r="D453">
        <v>14</v>
      </c>
      <c r="E453" s="18">
        <v>5925.85533176159</v>
      </c>
      <c r="F453" s="18">
        <v>3304.1807100443466</v>
      </c>
      <c r="G453" s="18">
        <v>3407.090813267684</v>
      </c>
      <c r="H453" s="12">
        <f>E454</f>
      </c>
      <c r="I453" s="12">
        <f>F454</f>
      </c>
      <c r="J453" s="12">
        <f>G454</f>
      </c>
      <c r="K453">
        <f>IF(AND(Pu&gt;=MIN(E453,H453),Pu&lt;=MAX(E453,H453),E453&lt;&gt;H453),1,0)</f>
      </c>
      <c r="L453">
        <f>IF(K453=1,(Pu-E453)/(H453-E453),"")</f>
      </c>
      <c r="M453" s="12">
        <f>IF(K453=1,F453+L453*(I453-F453),"")</f>
      </c>
      <c r="N453" s="12">
        <f>IF(K453=1,G453+L453*(J453-G453),"")</f>
      </c>
    </row>
    <row r="454" spans="2:14" x14ac:dyDescent="0.25">
      <c r="B454">
        <v>13</v>
      </c>
      <c r="C454">
        <v>52.49999999999999</v>
      </c>
      <c r="D454">
        <v>15</v>
      </c>
      <c r="E454" s="18">
        <v>5406.983159211752</v>
      </c>
      <c r="F454" s="18">
        <v>3285.9428084997908</v>
      </c>
      <c r="G454" s="18">
        <v>3451.416781751433</v>
      </c>
      <c r="H454" s="12">
        <f>E455</f>
      </c>
      <c r="I454" s="12">
        <f>F455</f>
      </c>
      <c r="J454" s="12">
        <f>G455</f>
      </c>
      <c r="K454">
        <f>IF(AND(Pu&gt;=MIN(E454,H454),Pu&lt;=MAX(E454,H454),E454&lt;&gt;H454),1,0)</f>
      </c>
      <c r="L454">
        <f>IF(K454=1,(Pu-E454)/(H454-E454),"")</f>
      </c>
      <c r="M454" s="12">
        <f>IF(K454=1,F454+L454*(I454-F454),"")</f>
      </c>
      <c r="N454" s="12">
        <f>IF(K454=1,G454+L454*(J454-G454),"")</f>
      </c>
    </row>
    <row r="455" spans="2:14" x14ac:dyDescent="0.25">
      <c r="B455">
        <v>13</v>
      </c>
      <c r="C455">
        <v>52.49999999999999</v>
      </c>
      <c r="D455">
        <v>16</v>
      </c>
      <c r="E455" s="18">
        <v>4949.052247029329</v>
      </c>
      <c r="F455" s="18">
        <v>3258.3282482877303</v>
      </c>
      <c r="G455" s="18">
        <v>3487.229184685891</v>
      </c>
      <c r="H455" s="12">
        <f>E456</f>
      </c>
      <c r="I455" s="12">
        <f>F456</f>
      </c>
      <c r="J455" s="12">
        <f>G456</f>
      </c>
      <c r="K455">
        <f>IF(AND(Pu&gt;=MIN(E455,H455),Pu&lt;=MAX(E455,H455),E455&lt;&gt;H455),1,0)</f>
      </c>
      <c r="L455">
        <f>IF(K455=1,(Pu-E455)/(H455-E455),"")</f>
      </c>
      <c r="M455" s="12">
        <f>IF(K455=1,F455+L455*(I455-F455),"")</f>
      </c>
      <c r="N455" s="12">
        <f>IF(K455=1,G455+L455*(J455-G455),"")</f>
      </c>
    </row>
    <row r="456" spans="2:14" x14ac:dyDescent="0.25">
      <c r="B456">
        <v>13</v>
      </c>
      <c r="C456">
        <v>52.49999999999999</v>
      </c>
      <c r="D456">
        <v>17</v>
      </c>
      <c r="E456" s="18">
        <v>4947.162039955551</v>
      </c>
      <c r="F456" s="18">
        <v>3258.222314382546</v>
      </c>
      <c r="G456" s="18">
        <v>3487.3667141369324</v>
      </c>
      <c r="H456" s="12">
        <f>E457</f>
      </c>
      <c r="I456" s="12">
        <f>F457</f>
      </c>
      <c r="J456" s="12">
        <f>G457</f>
      </c>
      <c r="K456">
        <f>IF(AND(Pu&gt;=MIN(E456,H456),Pu&lt;=MAX(E456,H456),E456&lt;&gt;H456),1,0)</f>
      </c>
      <c r="L456">
        <f>IF(K456=1,(Pu-E456)/(H456-E456),"")</f>
      </c>
      <c r="M456" s="12">
        <f>IF(K456=1,F456+L456*(I456-F456),"")</f>
      </c>
      <c r="N456" s="12">
        <f>IF(K456=1,G456+L456*(J456-G456),"")</f>
      </c>
    </row>
    <row r="457" spans="2:14" x14ac:dyDescent="0.25">
      <c r="B457">
        <v>13</v>
      </c>
      <c r="C457">
        <v>52.49999999999999</v>
      </c>
      <c r="D457">
        <v>18</v>
      </c>
      <c r="E457" s="18">
        <v>4538.583215755161</v>
      </c>
      <c r="F457" s="18">
        <v>3244.823312497523</v>
      </c>
      <c r="G457" s="18">
        <v>3513.3716640488956</v>
      </c>
      <c r="H457" s="12">
        <f>E458</f>
      </c>
      <c r="I457" s="12">
        <f>F458</f>
      </c>
      <c r="J457" s="12">
        <f>G458</f>
      </c>
      <c r="K457">
        <f>IF(AND(Pu&gt;=MIN(E457,H457),Pu&lt;=MAX(E457,H457),E457&lt;&gt;H457),1,0)</f>
      </c>
      <c r="L457">
        <f>IF(K457=1,(Pu-E457)/(H457-E457),"")</f>
      </c>
      <c r="M457" s="12">
        <f>IF(K457=1,F457+L457*(I457-F457),"")</f>
      </c>
      <c r="N457" s="12">
        <f>IF(K457=1,G457+L457*(J457-G457),"")</f>
      </c>
    </row>
    <row r="458" spans="2:14" x14ac:dyDescent="0.25">
      <c r="B458">
        <v>13</v>
      </c>
      <c r="C458">
        <v>52.49999999999999</v>
      </c>
      <c r="D458">
        <v>19</v>
      </c>
      <c r="E458" s="18">
        <v>4383.112375444734</v>
      </c>
      <c r="F458" s="18">
        <v>3233.1873160091222</v>
      </c>
      <c r="G458" s="18">
        <v>3520.7289813019497</v>
      </c>
      <c r="H458" s="12">
        <f>E459</f>
      </c>
      <c r="I458" s="12">
        <f>F459</f>
      </c>
      <c r="J458" s="12">
        <f>G459</f>
      </c>
      <c r="K458">
        <f>IF(AND(Pu&gt;=MIN(E458,H458),Pu&lt;=MAX(E458,H458),E458&lt;&gt;H458),1,0)</f>
      </c>
      <c r="L458">
        <f>IF(K458=1,(Pu-E458)/(H458-E458),"")</f>
      </c>
      <c r="M458" s="12">
        <f>IF(K458=1,F458+L458*(I458-F458),"")</f>
      </c>
      <c r="N458" s="12">
        <f>IF(K458=1,G458+L458*(J458-G458),"")</f>
      </c>
    </row>
    <row r="459" spans="2:14" x14ac:dyDescent="0.25">
      <c r="B459">
        <v>13</v>
      </c>
      <c r="C459">
        <v>52.49999999999999</v>
      </c>
      <c r="D459">
        <v>20</v>
      </c>
      <c r="E459" s="18">
        <v>4222.55919839939</v>
      </c>
      <c r="F459" s="18">
        <v>3218.5347080094293</v>
      </c>
      <c r="G459" s="18">
        <v>3539.8630594330984</v>
      </c>
      <c r="H459" s="12">
        <f>E460</f>
      </c>
      <c r="I459" s="12">
        <f>F460</f>
      </c>
      <c r="J459" s="12">
        <f>G460</f>
      </c>
      <c r="K459">
        <f>IF(AND(Pu&gt;=MIN(E459,H459),Pu&lt;=MAX(E459,H459),E459&lt;&gt;H459),1,0)</f>
      </c>
      <c r="L459">
        <f>IF(K459=1,(Pu-E459)/(H459-E459),"")</f>
      </c>
      <c r="M459" s="12">
        <f>IF(K459=1,F459+L459*(I459-F459),"")</f>
      </c>
      <c r="N459" s="12">
        <f>IF(K459=1,G459+L459*(J459-G459),"")</f>
      </c>
    </row>
    <row r="460" spans="2:14" x14ac:dyDescent="0.25">
      <c r="B460">
        <v>13</v>
      </c>
      <c r="C460">
        <v>52.49999999999999</v>
      </c>
      <c r="D460">
        <v>21</v>
      </c>
      <c r="E460" s="18">
        <v>3783.228509361675</v>
      </c>
      <c r="F460" s="18">
        <v>3101.7008160278556</v>
      </c>
      <c r="G460" s="18">
        <v>3446.004517700778</v>
      </c>
      <c r="H460" s="12">
        <f>E461</f>
      </c>
      <c r="I460" s="12">
        <f>F461</f>
      </c>
      <c r="J460" s="12">
        <f>G461</f>
      </c>
      <c r="K460">
        <f>IF(AND(Pu&gt;=MIN(E460,H460),Pu&lt;=MAX(E460,H460),E460&lt;&gt;H460),1,0)</f>
      </c>
      <c r="L460">
        <f>IF(K460=1,(Pu-E460)/(H460-E460),"")</f>
      </c>
      <c r="M460" s="12">
        <f>IF(K460=1,F460+L460*(I460-F460),"")</f>
      </c>
      <c r="N460" s="12">
        <f>IF(K460=1,G460+L460*(J460-G460),"")</f>
      </c>
    </row>
    <row r="461" spans="2:14" x14ac:dyDescent="0.25">
      <c r="B461">
        <v>13</v>
      </c>
      <c r="C461">
        <v>52.49999999999999</v>
      </c>
      <c r="D461">
        <v>22</v>
      </c>
      <c r="E461" s="18">
        <v>2682.6754501587975</v>
      </c>
      <c r="F461" s="18">
        <v>2800.945853233329</v>
      </c>
      <c r="G461" s="18">
        <v>3180.015134658396</v>
      </c>
      <c r="H461" s="12">
        <f>E462</f>
      </c>
      <c r="I461" s="12">
        <f>F462</f>
      </c>
      <c r="J461" s="12">
        <f>G462</f>
      </c>
      <c r="K461">
        <f>IF(AND(Pu&gt;=MIN(E461,H461),Pu&lt;=MAX(E461,H461),E461&lt;&gt;H461),1,0)</f>
      </c>
      <c r="L461">
        <f>IF(K461=1,(Pu-E461)/(H461-E461),"")</f>
      </c>
      <c r="M461" s="12">
        <f>IF(K461=1,F461+L461*(I461-F461),"")</f>
      </c>
      <c r="N461" s="12">
        <f>IF(K461=1,G461+L461*(J461-G461),"")</f>
      </c>
    </row>
    <row r="462" spans="2:14" x14ac:dyDescent="0.25">
      <c r="B462">
        <v>13</v>
      </c>
      <c r="C462">
        <v>52.49999999999999</v>
      </c>
      <c r="D462">
        <v>23</v>
      </c>
      <c r="E462" s="18">
        <v>1805.7444834750593</v>
      </c>
      <c r="F462" s="18">
        <v>2559.6432335639633</v>
      </c>
      <c r="G462" s="18">
        <v>2937.6343695927962</v>
      </c>
      <c r="H462" s="12">
        <f>E463</f>
      </c>
      <c r="I462" s="12">
        <f>F463</f>
      </c>
      <c r="J462" s="12">
        <f>G463</f>
      </c>
      <c r="K462">
        <f>IF(AND(Pu&gt;=MIN(E462,H462),Pu&lt;=MAX(E462,H462),E462&lt;&gt;H462),1,0)</f>
      </c>
      <c r="L462">
        <f>IF(K462=1,(Pu-E462)/(H462-E462),"")</f>
      </c>
      <c r="M462" s="12">
        <f>IF(K462=1,F462+L462*(I462-F462),"")</f>
      </c>
      <c r="N462" s="12">
        <f>IF(K462=1,G462+L462*(J462-G462),"")</f>
      </c>
    </row>
    <row r="463" spans="2:14" x14ac:dyDescent="0.25">
      <c r="B463">
        <v>13</v>
      </c>
      <c r="C463">
        <v>52.49999999999999</v>
      </c>
      <c r="D463">
        <v>24</v>
      </c>
      <c r="E463" s="18">
        <v>1041.8468397774911</v>
      </c>
      <c r="F463" s="18">
        <v>2342.9729542617292</v>
      </c>
      <c r="G463" s="18">
        <v>2718.128003037198</v>
      </c>
      <c r="H463" s="12">
        <f>E464</f>
      </c>
      <c r="I463" s="12">
        <f>F464</f>
      </c>
      <c r="J463" s="12">
        <f>G464</f>
      </c>
      <c r="K463">
        <f>IF(AND(Pu&gt;=MIN(E463,H463),Pu&lt;=MAX(E463,H463),E463&lt;&gt;H463),1,0)</f>
      </c>
      <c r="L463">
        <f>IF(K463=1,(Pu-E463)/(H463-E463),"")</f>
      </c>
      <c r="M463" s="12">
        <f>IF(K463=1,F463+L463*(I463-F463),"")</f>
      </c>
      <c r="N463" s="12">
        <f>IF(K463=1,G463+L463*(J463-G463),"")</f>
      </c>
    </row>
    <row r="464" spans="2:14" x14ac:dyDescent="0.25">
      <c r="B464">
        <v>13</v>
      </c>
      <c r="C464">
        <v>52.49999999999999</v>
      </c>
      <c r="D464">
        <v>25</v>
      </c>
      <c r="E464" s="18">
        <v>-73.8026502754085</v>
      </c>
      <c r="F464" s="18">
        <v>1971.1986116317685</v>
      </c>
      <c r="G464" s="18">
        <v>2342.418903218024</v>
      </c>
      <c r="H464" s="12">
        <f>E465</f>
      </c>
      <c r="I464" s="12">
        <f>F465</f>
      </c>
      <c r="J464" s="12">
        <f>G465</f>
      </c>
      <c r="K464">
        <f>IF(AND(Pu&gt;=MIN(E464,H464),Pu&lt;=MAX(E464,H464),E464&lt;&gt;H464),1,0)</f>
      </c>
      <c r="L464">
        <f>IF(K464=1,(Pu-E464)/(H464-E464),"")</f>
      </c>
      <c r="M464" s="12">
        <f>IF(K464=1,F464+L464*(I464-F464),"")</f>
      </c>
      <c r="N464" s="12">
        <f>IF(K464=1,G464+L464*(J464-G464),"")</f>
      </c>
    </row>
    <row r="465" spans="2:14" x14ac:dyDescent="0.25">
      <c r="B465">
        <v>13</v>
      </c>
      <c r="C465">
        <v>52.49999999999999</v>
      </c>
      <c r="D465">
        <v>26</v>
      </c>
      <c r="E465" s="18">
        <v>-926.4325517546418</v>
      </c>
      <c r="F465" s="18">
        <v>1686.5587795017523</v>
      </c>
      <c r="G465" s="18">
        <v>1998.8747454193515</v>
      </c>
      <c r="H465" s="12">
        <f>E466</f>
      </c>
      <c r="I465" s="12">
        <f>F466</f>
      </c>
      <c r="J465" s="12">
        <f>G466</f>
      </c>
      <c r="K465">
        <f>IF(AND(Pu&gt;=MIN(E465,H465),Pu&lt;=MAX(E465,H465),E465&lt;&gt;H465),1,0)</f>
      </c>
      <c r="L465">
        <f>IF(K465=1,(Pu-E465)/(H465-E465),"")</f>
      </c>
      <c r="M465" s="12">
        <f>IF(K465=1,F465+L465*(I465-F465),"")</f>
      </c>
      <c r="N465" s="12">
        <f>IF(K465=1,G465+L465*(J465-G465),"")</f>
      </c>
    </row>
    <row r="466" spans="2:14" x14ac:dyDescent="0.25">
      <c r="B466">
        <v>13</v>
      </c>
      <c r="C466">
        <v>52.49999999999999</v>
      </c>
      <c r="D466">
        <v>27</v>
      </c>
      <c r="E466" s="18">
        <v>-1607.8201116735252</v>
      </c>
      <c r="F466" s="18">
        <v>1421.4855173125104</v>
      </c>
      <c r="G466" s="18">
        <v>1713.9477672792375</v>
      </c>
      <c r="H466" s="12">
        <f>E467</f>
      </c>
      <c r="I466" s="12">
        <f>F467</f>
      </c>
      <c r="J466" s="12">
        <f>G467</f>
      </c>
      <c r="K466">
        <f>IF(AND(Pu&gt;=MIN(E466,H466),Pu&lt;=MAX(E466,H466),E466&lt;&gt;H466),1,0)</f>
      </c>
      <c r="L466">
        <f>IF(K466=1,(Pu-E466)/(H466-E466),"")</f>
      </c>
      <c r="M466" s="12">
        <f>IF(K466=1,F466+L466*(I466-F466),"")</f>
      </c>
      <c r="N466" s="12">
        <f>IF(K466=1,G466+L466*(J466-G466),"")</f>
      </c>
    </row>
    <row r="467" spans="2:14" x14ac:dyDescent="0.25">
      <c r="B467">
        <v>13</v>
      </c>
      <c r="C467">
        <v>52.49999999999999</v>
      </c>
      <c r="D467">
        <v>28</v>
      </c>
      <c r="E467" s="18">
        <v>-2149.6144090501007</v>
      </c>
      <c r="F467" s="18">
        <v>1211.466484346565</v>
      </c>
      <c r="G467" s="18">
        <v>1468.2636278113325</v>
      </c>
      <c r="H467" s="12">
        <f>E468</f>
      </c>
      <c r="I467" s="12">
        <f>F468</f>
      </c>
      <c r="J467" s="12">
        <f>G468</f>
      </c>
      <c r="K467">
        <f>IF(AND(Pu&gt;=MIN(E467,H467),Pu&lt;=MAX(E467,H467),E467&lt;&gt;H467),1,0)</f>
      </c>
      <c r="L467">
        <f>IF(K467=1,(Pu-E467)/(H467-E467),"")</f>
      </c>
      <c r="M467" s="12">
        <f>IF(K467=1,F467+L467*(I467-F467),"")</f>
      </c>
      <c r="N467" s="12">
        <f>IF(K467=1,G467+L467*(J467-G467),"")</f>
      </c>
    </row>
    <row r="468" spans="2:14" x14ac:dyDescent="0.25">
      <c r="B468">
        <v>13</v>
      </c>
      <c r="C468">
        <v>52.49999999999999</v>
      </c>
      <c r="D468">
        <v>29</v>
      </c>
      <c r="E468" s="18">
        <v>-2896.5689277094502</v>
      </c>
      <c r="F468" s="18">
        <v>917.7489772993052</v>
      </c>
      <c r="G468" s="18">
        <v>1102.7476610624628</v>
      </c>
      <c r="H468" s="12">
        <f>E469</f>
      </c>
      <c r="I468" s="12">
        <f>F469</f>
      </c>
      <c r="J468" s="12">
        <f>G469</f>
      </c>
      <c r="K468">
        <f>IF(AND(Pu&gt;=MIN(E468,H468),Pu&lt;=MAX(E468,H468),E468&lt;&gt;H468),1,0)</f>
      </c>
      <c r="L468">
        <f>IF(K468=1,(Pu-E468)/(H468-E468),"")</f>
      </c>
      <c r="M468" s="12">
        <f>IF(K468=1,F468+L468*(I468-F468),"")</f>
      </c>
      <c r="N468" s="12">
        <f>IF(K468=1,G468+L468*(J468-G468),"")</f>
      </c>
    </row>
    <row r="469" spans="2:14" x14ac:dyDescent="0.25">
      <c r="B469">
        <v>13</v>
      </c>
      <c r="C469">
        <v>52.49999999999999</v>
      </c>
      <c r="D469">
        <v>30</v>
      </c>
      <c r="E469" s="18">
        <v>-3358.516728857874</v>
      </c>
      <c r="F469" s="18">
        <v>713.6666047248252</v>
      </c>
      <c r="G469" s="18">
        <v>879.9712482434927</v>
      </c>
      <c r="H469" s="12">
        <f>E470</f>
      </c>
      <c r="I469" s="12">
        <f>F470</f>
      </c>
      <c r="J469" s="12">
        <f>G470</f>
      </c>
      <c r="K469">
        <f>IF(AND(Pu&gt;=MIN(E469,H469),Pu&lt;=MAX(E469,H469),E469&lt;&gt;H469),1,0)</f>
      </c>
      <c r="L469">
        <f>IF(K469=1,(Pu-E469)/(H469-E469),"")</f>
      </c>
      <c r="M469" s="12">
        <f>IF(K469=1,F469+L469*(I469-F469),"")</f>
      </c>
      <c r="N469" s="12">
        <f>IF(K469=1,G469+L469*(J469-G469),"")</f>
      </c>
    </row>
    <row r="470" spans="2:14" x14ac:dyDescent="0.25">
      <c r="B470">
        <v>13</v>
      </c>
      <c r="C470">
        <v>52.49999999999999</v>
      </c>
      <c r="D470">
        <v>31</v>
      </c>
      <c r="E470" s="18">
        <v>-3930.037555899862</v>
      </c>
      <c r="F470" s="18">
        <v>466.22900872332843</v>
      </c>
      <c r="G470" s="18">
        <v>564.803710930577</v>
      </c>
      <c r="H470" s="12">
        <f>E471</f>
      </c>
      <c r="I470" s="12">
        <f>F471</f>
      </c>
      <c r="J470" s="12">
        <f>G471</f>
      </c>
      <c r="K470">
        <f>IF(AND(Pu&gt;=MIN(E470,H470),Pu&lt;=MAX(E470,H470),E470&lt;&gt;H470),1,0)</f>
      </c>
      <c r="L470">
        <f>IF(K470=1,(Pu-E470)/(H470-E470),"")</f>
      </c>
      <c r="M470" s="12">
        <f>IF(K470=1,F470+L470*(I470-F470),"")</f>
      </c>
      <c r="N470" s="12">
        <f>IF(K470=1,G470+L470*(J470-G470),"")</f>
      </c>
    </row>
    <row r="471" spans="2:14" x14ac:dyDescent="0.25">
      <c r="B471">
        <v>13</v>
      </c>
      <c r="C471">
        <v>52.49999999999999</v>
      </c>
      <c r="D471">
        <v>32</v>
      </c>
      <c r="E471" s="18">
        <v>-4363.739205148028</v>
      </c>
      <c r="F471" s="18">
        <v>278.308797881917</v>
      </c>
      <c r="G471" s="18">
        <v>322.7994538098008</v>
      </c>
      <c r="H471" s="12">
        <f>E472</f>
      </c>
      <c r="I471" s="12">
        <f>F472</f>
      </c>
      <c r="J471" s="12">
        <f>G472</f>
      </c>
      <c r="K471">
        <f>IF(AND(Pu&gt;=MIN(E471,H471),Pu&lt;=MAX(E471,H471),E471&lt;&gt;H471),1,0)</f>
      </c>
      <c r="L471">
        <f>IF(K471=1,(Pu-E471)/(H471-E471),"")</f>
      </c>
      <c r="M471" s="12">
        <f>IF(K471=1,F471+L471*(I471-F471),"")</f>
      </c>
      <c r="N471" s="12">
        <f>IF(K471=1,G471+L471*(J471-G471),"")</f>
      </c>
    </row>
    <row r="472" spans="2:14" x14ac:dyDescent="0.25">
      <c r="B472">
        <v>13</v>
      </c>
      <c r="C472">
        <v>52.49999999999999</v>
      </c>
      <c r="D472">
        <v>33</v>
      </c>
      <c r="E472" s="18">
        <v>-4657.013969913402</v>
      </c>
      <c r="F472" s="18">
        <v>136.11219108180003</v>
      </c>
      <c r="G472" s="18">
        <v>160.15938593845962</v>
      </c>
      <c r="H472" s="12">
        <f>E473</f>
      </c>
      <c r="I472" s="12">
        <f>F473</f>
      </c>
      <c r="J472" s="12">
        <f>G473</f>
      </c>
      <c r="K472">
        <f>IF(AND(Pu&gt;=MIN(E472,H472),Pu&lt;=MAX(E472,H472),E472&lt;&gt;H472),1,0)</f>
      </c>
      <c r="L472">
        <f>IF(K472=1,(Pu-E472)/(H472-E472),"")</f>
      </c>
      <c r="M472" s="12">
        <f>IF(K472=1,F472+L472*(I472-F472),"")</f>
      </c>
      <c r="N472" s="12">
        <f>IF(K472=1,G472+L472*(J472-G472),"")</f>
      </c>
    </row>
    <row r="473" spans="2:7" x14ac:dyDescent="0.25">
      <c r="B473">
        <v>13</v>
      </c>
      <c r="C473">
        <v>52.49999999999999</v>
      </c>
      <c r="D473">
        <v>34</v>
      </c>
      <c r="E473" s="18">
        <v>-4757.859740001194</v>
      </c>
      <c r="F473" s="18">
        <v>86.4029204801246</v>
      </c>
      <c r="G473" s="18">
        <v>98.59753545235527</v>
      </c>
    </row>
    <row r="475" spans="2:14" x14ac:dyDescent="0.25">
      <c r="B475">
        <v>14</v>
      </c>
      <c r="C475">
        <v>59.999999999999986</v>
      </c>
      <c r="D475">
        <v>1</v>
      </c>
      <c r="E475" s="18">
        <v>17151.549870387913</v>
      </c>
      <c r="F475" s="18">
        <v>1978.9936013105278</v>
      </c>
      <c r="G475" s="18">
        <v>1789.0944580325713</v>
      </c>
      <c r="H475" s="12">
        <f>E476</f>
      </c>
      <c r="I475" s="12">
        <f>F476</f>
      </c>
      <c r="J475" s="12">
        <f>G476</f>
      </c>
      <c r="K475">
        <f>IF(AND(Pu&gt;=MIN(E475,H475),Pu&lt;=MAX(E475,H475),E475&lt;&gt;H475),1,0)</f>
      </c>
      <c r="L475">
        <f>IF(K475=1,(Pu-E475)/(H475-E475),"")</f>
      </c>
      <c r="M475" s="12">
        <f>IF(K475=1,F475+L475*(I475-F475),"")</f>
      </c>
      <c r="N475" s="12">
        <f>IF(K475=1,G475+L475*(J475-G475),"")</f>
      </c>
    </row>
    <row r="476" spans="2:14" x14ac:dyDescent="0.25">
      <c r="B476">
        <v>14</v>
      </c>
      <c r="C476">
        <v>59.999999999999986</v>
      </c>
      <c r="D476">
        <v>2</v>
      </c>
      <c r="E476" s="18">
        <v>15882.241649469212</v>
      </c>
      <c r="F476" s="18">
        <v>2396.9774802670386</v>
      </c>
      <c r="G476" s="18">
        <v>1970.3844066358781</v>
      </c>
      <c r="H476" s="12">
        <f>E477</f>
      </c>
      <c r="I476" s="12">
        <f>F477</f>
      </c>
      <c r="J476" s="12">
        <f>G477</f>
      </c>
      <c r="K476">
        <f>IF(AND(Pu&gt;=MIN(E476,H476),Pu&lt;=MAX(E476,H476),E476&lt;&gt;H476),1,0)</f>
      </c>
      <c r="L476">
        <f>IF(K476=1,(Pu-E476)/(H476-E476),"")</f>
      </c>
      <c r="M476" s="12">
        <f>IF(K476=1,F476+L476*(I476-F476),"")</f>
      </c>
      <c r="N476" s="12">
        <f>IF(K476=1,G476+L476*(J476-G476),"")</f>
      </c>
    </row>
    <row r="477" spans="2:14" x14ac:dyDescent="0.25">
      <c r="B477">
        <v>14</v>
      </c>
      <c r="C477">
        <v>59.999999999999986</v>
      </c>
      <c r="D477">
        <v>3</v>
      </c>
      <c r="E477" s="18">
        <v>13411.205693231293</v>
      </c>
      <c r="F477" s="18">
        <v>3086.1350145600977</v>
      </c>
      <c r="G477" s="18">
        <v>2071.1970074855763</v>
      </c>
      <c r="H477" s="12">
        <f>E478</f>
      </c>
      <c r="I477" s="12">
        <f>F478</f>
      </c>
      <c r="J477" s="12">
        <f>G478</f>
      </c>
      <c r="K477">
        <f>IF(AND(Pu&gt;=MIN(E477,H477),Pu&lt;=MAX(E477,H477),E477&lt;&gt;H477),1,0)</f>
      </c>
      <c r="L477">
        <f>IF(K477=1,(Pu-E477)/(H477-E477),"")</f>
      </c>
      <c r="M477" s="12">
        <f>IF(K477=1,F477+L477*(I477-F477),"")</f>
      </c>
      <c r="N477" s="12">
        <f>IF(K477=1,G477+L477*(J477-G477),"")</f>
      </c>
    </row>
    <row r="478" spans="2:14" x14ac:dyDescent="0.25">
      <c r="B478">
        <v>14</v>
      </c>
      <c r="C478">
        <v>59.999999999999986</v>
      </c>
      <c r="D478">
        <v>4</v>
      </c>
      <c r="E478" s="18">
        <v>11622.680744264457</v>
      </c>
      <c r="F478" s="18">
        <v>3392.6673926179596</v>
      </c>
      <c r="G478" s="18">
        <v>2186.028470535971</v>
      </c>
      <c r="H478" s="12">
        <f>E479</f>
      </c>
      <c r="I478" s="12">
        <f>F479</f>
      </c>
      <c r="J478" s="12">
        <f>G479</f>
      </c>
      <c r="K478">
        <f>IF(AND(Pu&gt;=MIN(E478,H478),Pu&lt;=MAX(E478,H478),E478&lt;&gt;H478),1,0)</f>
      </c>
      <c r="L478">
        <f>IF(K478=1,(Pu-E478)/(H478-E478),"")</f>
      </c>
      <c r="M478" s="12">
        <f>IF(K478=1,F478+L478*(I478-F478),"")</f>
      </c>
      <c r="N478" s="12">
        <f>IF(K478=1,G478+L478*(J478-G478),"")</f>
      </c>
    </row>
    <row r="479" spans="2:14" x14ac:dyDescent="0.25">
      <c r="B479">
        <v>14</v>
      </c>
      <c r="C479">
        <v>59.999999999999986</v>
      </c>
      <c r="D479">
        <v>5</v>
      </c>
      <c r="E479" s="18">
        <v>10109.359766858226</v>
      </c>
      <c r="F479" s="18">
        <v>3536.402271939411</v>
      </c>
      <c r="G479" s="18">
        <v>2295.298505871103</v>
      </c>
      <c r="H479" s="12">
        <f>E480</f>
      </c>
      <c r="I479" s="12">
        <f>F480</f>
      </c>
      <c r="J479" s="12">
        <f>G480</f>
      </c>
      <c r="K479">
        <f>IF(AND(Pu&gt;=MIN(E479,H479),Pu&lt;=MAX(E479,H479),E479&lt;&gt;H479),1,0)</f>
      </c>
      <c r="L479">
        <f>IF(K479=1,(Pu-E479)/(H479-E479),"")</f>
      </c>
      <c r="M479" s="12">
        <f>IF(K479=1,F479+L479*(I479-F479),"")</f>
      </c>
      <c r="N479" s="12">
        <f>IF(K479=1,G479+L479*(J479-G479),"")</f>
      </c>
    </row>
    <row r="480" spans="2:14" x14ac:dyDescent="0.25">
      <c r="B480">
        <v>14</v>
      </c>
      <c r="C480">
        <v>59.999999999999986</v>
      </c>
      <c r="D480">
        <v>6</v>
      </c>
      <c r="E480" s="18">
        <v>8792.157526062832</v>
      </c>
      <c r="F480" s="18">
        <v>3613.0310474925127</v>
      </c>
      <c r="G480" s="18">
        <v>2365.2959646508234</v>
      </c>
      <c r="H480" s="12">
        <f>E481</f>
      </c>
      <c r="I480" s="12">
        <f>F481</f>
      </c>
      <c r="J480" s="12">
        <f>G481</f>
      </c>
      <c r="K480">
        <f>IF(AND(Pu&gt;=MIN(E480,H480),Pu&lt;=MAX(E480,H480),E480&lt;&gt;H480),1,0)</f>
      </c>
      <c r="L480">
        <f>IF(K480=1,(Pu-E480)/(H480-E480),"")</f>
      </c>
      <c r="M480" s="12">
        <f>IF(K480=1,F480+L480*(I480-F480),"")</f>
      </c>
      <c r="N480" s="12">
        <f>IF(K480=1,G480+L480*(J480-G480),"")</f>
      </c>
    </row>
    <row r="481" spans="2:14" x14ac:dyDescent="0.25">
      <c r="B481">
        <v>14</v>
      </c>
      <c r="C481">
        <v>59.999999999999986</v>
      </c>
      <c r="D481">
        <v>7</v>
      </c>
      <c r="E481" s="18">
        <v>8783.278391425312</v>
      </c>
      <c r="F481" s="18">
        <v>3615.1865539603577</v>
      </c>
      <c r="G481" s="18">
        <v>2366.954172840146</v>
      </c>
      <c r="H481" s="12">
        <f>E482</f>
      </c>
      <c r="I481" s="12">
        <f>F482</f>
      </c>
      <c r="J481" s="12">
        <f>G482</f>
      </c>
      <c r="K481">
        <f>IF(AND(Pu&gt;=MIN(E481,H481),Pu&lt;=MAX(E481,H481),E481&lt;&gt;H481),1,0)</f>
      </c>
      <c r="L481">
        <f>IF(K481=1,(Pu-E481)/(H481-E481),"")</f>
      </c>
      <c r="M481" s="12">
        <f>IF(K481=1,F481+L481*(I481-F481),"")</f>
      </c>
      <c r="N481" s="12">
        <f>IF(K481=1,G481+L481*(J481-G481),"")</f>
      </c>
    </row>
    <row r="482" spans="2:14" x14ac:dyDescent="0.25">
      <c r="B482">
        <v>14</v>
      </c>
      <c r="C482">
        <v>59.999999999999986</v>
      </c>
      <c r="D482">
        <v>8</v>
      </c>
      <c r="E482" s="18">
        <v>8167.683811897219</v>
      </c>
      <c r="F482" s="18">
        <v>3751.747350043495</v>
      </c>
      <c r="G482" s="18">
        <v>2486.860569245446</v>
      </c>
      <c r="H482" s="12">
        <f>E483</f>
      </c>
      <c r="I482" s="12">
        <f>F483</f>
      </c>
      <c r="J482" s="12">
        <f>G483</f>
      </c>
      <c r="K482">
        <f>IF(AND(Pu&gt;=MIN(E482,H482),Pu&lt;=MAX(E482,H482),E482&lt;&gt;H482),1,0)</f>
      </c>
      <c r="L482">
        <f>IF(K482=1,(Pu-E482)/(H482-E482),"")</f>
      </c>
      <c r="M482" s="12">
        <f>IF(K482=1,F482+L482*(I482-F482),"")</f>
      </c>
      <c r="N482" s="12">
        <f>IF(K482=1,G482+L482*(J482-G482),"")</f>
      </c>
    </row>
    <row r="483" spans="2:14" x14ac:dyDescent="0.25">
      <c r="B483">
        <v>14</v>
      </c>
      <c r="C483">
        <v>59.999999999999986</v>
      </c>
      <c r="D483">
        <v>9</v>
      </c>
      <c r="E483" s="18">
        <v>8031.185067861218</v>
      </c>
      <c r="F483" s="18">
        <v>3775.098628074049</v>
      </c>
      <c r="G483" s="18">
        <v>2507.977530550999</v>
      </c>
      <c r="H483" s="12">
        <f>E484</f>
      </c>
      <c r="I483" s="12">
        <f>F484</f>
      </c>
      <c r="J483" s="12">
        <f>G484</f>
      </c>
      <c r="K483">
        <f>IF(AND(Pu&gt;=MIN(E483,H483),Pu&lt;=MAX(E483,H483),E483&lt;&gt;H483),1,0)</f>
      </c>
      <c r="L483">
        <f>IF(K483=1,(Pu-E483)/(H483-E483),"")</f>
      </c>
      <c r="M483" s="12">
        <f>IF(K483=1,F483+L483*(I483-F483),"")</f>
      </c>
      <c r="N483" s="12">
        <f>IF(K483=1,G483+L483*(J483-G483),"")</f>
      </c>
    </row>
    <row r="484" spans="2:14" x14ac:dyDescent="0.25">
      <c r="B484">
        <v>14</v>
      </c>
      <c r="C484">
        <v>59.999999999999986</v>
      </c>
      <c r="D484">
        <v>10</v>
      </c>
      <c r="E484" s="18">
        <v>7575.440020854543</v>
      </c>
      <c r="F484" s="18">
        <v>3834.7205930147484</v>
      </c>
      <c r="G484" s="18">
        <v>2582.4507020280125</v>
      </c>
      <c r="H484" s="12">
        <f>E485</f>
      </c>
      <c r="I484" s="12">
        <f>F485</f>
      </c>
      <c r="J484" s="12">
        <f>G485</f>
      </c>
      <c r="K484">
        <f>IF(AND(Pu&gt;=MIN(E484,H484),Pu&lt;=MAX(E484,H484),E484&lt;&gt;H484),1,0)</f>
      </c>
      <c r="L484">
        <f>IF(K484=1,(Pu-E484)/(H484-E484),"")</f>
      </c>
      <c r="M484" s="12">
        <f>IF(K484=1,F484+L484*(I484-F484),"")</f>
      </c>
      <c r="N484" s="12">
        <f>IF(K484=1,G484+L484*(J484-G484),"")</f>
      </c>
    </row>
    <row r="485" spans="2:14" x14ac:dyDescent="0.25">
      <c r="B485">
        <v>14</v>
      </c>
      <c r="C485">
        <v>59.999999999999986</v>
      </c>
      <c r="D485">
        <v>11</v>
      </c>
      <c r="E485" s="18">
        <v>7331.84528866347</v>
      </c>
      <c r="F485" s="18">
        <v>3855.424717858834</v>
      </c>
      <c r="G485" s="18">
        <v>2624.987539784702</v>
      </c>
      <c r="H485" s="12">
        <f>E486</f>
      </c>
      <c r="I485" s="12">
        <f>F486</f>
      </c>
      <c r="J485" s="12">
        <f>G486</f>
      </c>
      <c r="K485">
        <f>IF(AND(Pu&gt;=MIN(E485,H485),Pu&lt;=MAX(E485,H485),E485&lt;&gt;H485),1,0)</f>
      </c>
      <c r="L485">
        <f>IF(K485=1,(Pu-E485)/(H485-E485),"")</f>
      </c>
      <c r="M485" s="12">
        <f>IF(K485=1,F485+L485*(I485-F485),"")</f>
      </c>
      <c r="N485" s="12">
        <f>IF(K485=1,G485+L485*(J485-G485),"")</f>
      </c>
    </row>
    <row r="486" spans="2:14" x14ac:dyDescent="0.25">
      <c r="B486">
        <v>14</v>
      </c>
      <c r="C486">
        <v>59.999999999999986</v>
      </c>
      <c r="D486">
        <v>12</v>
      </c>
      <c r="E486" s="18">
        <v>6991.0554972375685</v>
      </c>
      <c r="F486" s="18">
        <v>3866.8934528266163</v>
      </c>
      <c r="G486" s="18">
        <v>2682.3093617898644</v>
      </c>
      <c r="H486" s="12">
        <f>E487</f>
      </c>
      <c r="I486" s="12">
        <f>F487</f>
      </c>
      <c r="J486" s="12">
        <f>G487</f>
      </c>
      <c r="K486">
        <f>IF(AND(Pu&gt;=MIN(E486,H486),Pu&lt;=MAX(E486,H486),E486&lt;&gt;H486),1,0)</f>
      </c>
      <c r="L486">
        <f>IF(K486=1,(Pu-E486)/(H486-E486),"")</f>
      </c>
      <c r="M486" s="12">
        <f>IF(K486=1,F486+L486*(I486-F486),"")</f>
      </c>
      <c r="N486" s="12">
        <f>IF(K486=1,G486+L486*(J486-G486),"")</f>
      </c>
    </row>
    <row r="487" spans="2:14" x14ac:dyDescent="0.25">
      <c r="B487">
        <v>14</v>
      </c>
      <c r="C487">
        <v>59.999999999999986</v>
      </c>
      <c r="D487">
        <v>13</v>
      </c>
      <c r="E487" s="18">
        <v>6580.669346883263</v>
      </c>
      <c r="F487" s="18">
        <v>3857.9223810285816</v>
      </c>
      <c r="G487" s="18">
        <v>2746.382194908627</v>
      </c>
      <c r="H487" s="12">
        <f>E488</f>
      </c>
      <c r="I487" s="12">
        <f>F488</f>
      </c>
      <c r="J487" s="12">
        <f>G488</f>
      </c>
      <c r="K487">
        <f>IF(AND(Pu&gt;=MIN(E487,H487),Pu&lt;=MAX(E487,H487),E487&lt;&gt;H487),1,0)</f>
      </c>
      <c r="L487">
        <f>IF(K487=1,(Pu-E487)/(H487-E487),"")</f>
      </c>
      <c r="M487" s="12">
        <f>IF(K487=1,F487+L487*(I487-F487),"")</f>
      </c>
      <c r="N487" s="12">
        <f>IF(K487=1,G487+L487*(J487-G487),"")</f>
      </c>
    </row>
    <row r="488" spans="2:14" x14ac:dyDescent="0.25">
      <c r="B488">
        <v>14</v>
      </c>
      <c r="C488">
        <v>59.999999999999986</v>
      </c>
      <c r="D488">
        <v>14</v>
      </c>
      <c r="E488" s="18">
        <v>6383.263770283874</v>
      </c>
      <c r="F488" s="18">
        <v>3840.996785439062</v>
      </c>
      <c r="G488" s="18">
        <v>2781.654201178666</v>
      </c>
      <c r="H488" s="12">
        <f>E489</f>
      </c>
      <c r="I488" s="12">
        <f>F489</f>
      </c>
      <c r="J488" s="12">
        <f>G489</f>
      </c>
      <c r="K488">
        <f>IF(AND(Pu&gt;=MIN(E488,H488),Pu&lt;=MAX(E488,H488),E488&lt;&gt;H488),1,0)</f>
      </c>
      <c r="L488">
        <f>IF(K488=1,(Pu-E488)/(H488-E488),"")</f>
      </c>
      <c r="M488" s="12">
        <f>IF(K488=1,F488+L488*(I488-F488),"")</f>
      </c>
      <c r="N488" s="12">
        <f>IF(K488=1,G488+L488*(J488-G488),"")</f>
      </c>
    </row>
    <row r="489" spans="2:14" x14ac:dyDescent="0.25">
      <c r="B489">
        <v>14</v>
      </c>
      <c r="C489">
        <v>59.999999999999986</v>
      </c>
      <c r="D489">
        <v>15</v>
      </c>
      <c r="E489" s="18">
        <v>5835.618951792578</v>
      </c>
      <c r="F489" s="18">
        <v>3794.0732378980265</v>
      </c>
      <c r="G489" s="18">
        <v>2886.3600007013133</v>
      </c>
      <c r="H489" s="12">
        <f>E490</f>
      </c>
      <c r="I489" s="12">
        <f>F490</f>
      </c>
      <c r="J489" s="12">
        <f>G490</f>
      </c>
      <c r="K489">
        <f>IF(AND(Pu&gt;=MIN(E489,H489),Pu&lt;=MAX(E489,H489),E489&lt;&gt;H489),1,0)</f>
      </c>
      <c r="L489">
        <f>IF(K489=1,(Pu-E489)/(H489-E489),"")</f>
      </c>
      <c r="M489" s="12">
        <f>IF(K489=1,F489+L489*(I489-F489),"")</f>
      </c>
      <c r="N489" s="12">
        <f>IF(K489=1,G489+L489*(J489-G489),"")</f>
      </c>
    </row>
    <row r="490" spans="2:14" x14ac:dyDescent="0.25">
      <c r="B490">
        <v>14</v>
      </c>
      <c r="C490">
        <v>59.999999999999986</v>
      </c>
      <c r="D490">
        <v>16</v>
      </c>
      <c r="E490" s="18">
        <v>5340.802852948379</v>
      </c>
      <c r="F490" s="18">
        <v>3738.3886906068988</v>
      </c>
      <c r="G490" s="18">
        <v>2966.3367157767207</v>
      </c>
      <c r="H490" s="12">
        <f>E491</f>
      </c>
      <c r="I490" s="12">
        <f>F491</f>
      </c>
      <c r="J490" s="12">
        <f>G491</f>
      </c>
      <c r="K490">
        <f>IF(AND(Pu&gt;=MIN(E490,H490),Pu&lt;=MAX(E490,H490),E490&lt;&gt;H490),1,0)</f>
      </c>
      <c r="L490">
        <f>IF(K490=1,(Pu-E490)/(H490-E490),"")</f>
      </c>
      <c r="M490" s="12">
        <f>IF(K490=1,F490+L490*(I490-F490),"")</f>
      </c>
      <c r="N490" s="12">
        <f>IF(K490=1,G490+L490*(J490-G490),"")</f>
      </c>
    </row>
    <row r="491" spans="2:14" x14ac:dyDescent="0.25">
      <c r="B491">
        <v>14</v>
      </c>
      <c r="C491">
        <v>59.999999999999986</v>
      </c>
      <c r="D491">
        <v>17</v>
      </c>
      <c r="E491" s="18">
        <v>5291.568196884498</v>
      </c>
      <c r="F491" s="18">
        <v>3732.142163355284</v>
      </c>
      <c r="G491" s="18">
        <v>2973.649412753965</v>
      </c>
      <c r="H491" s="12">
        <f>E492</f>
      </c>
      <c r="I491" s="12">
        <f>F492</f>
      </c>
      <c r="J491" s="12">
        <f>G492</f>
      </c>
      <c r="K491">
        <f>IF(AND(Pu&gt;=MIN(E491,H491),Pu&lt;=MAX(E491,H491),E491&lt;&gt;H491),1,0)</f>
      </c>
      <c r="L491">
        <f>IF(K491=1,(Pu-E491)/(H491-E491),"")</f>
      </c>
      <c r="M491" s="12">
        <f>IF(K491=1,F491+L491*(I491-F491),"")</f>
      </c>
      <c r="N491" s="12">
        <f>IF(K491=1,G491+L491*(J491-G491),"")</f>
      </c>
    </row>
    <row r="492" spans="2:14" x14ac:dyDescent="0.25">
      <c r="B492">
        <v>14</v>
      </c>
      <c r="C492">
        <v>59.999999999999986</v>
      </c>
      <c r="D492">
        <v>18</v>
      </c>
      <c r="E492" s="18">
        <v>4914.404803098331</v>
      </c>
      <c r="F492" s="18">
        <v>3685.579867402675</v>
      </c>
      <c r="G492" s="18">
        <v>3026.6534863846177</v>
      </c>
      <c r="H492" s="12">
        <f>E493</f>
      </c>
      <c r="I492" s="12">
        <f>F493</f>
      </c>
      <c r="J492" s="12">
        <f>G493</f>
      </c>
      <c r="K492">
        <f>IF(AND(Pu&gt;=MIN(E492,H492),Pu&lt;=MAX(E492,H492),E492&lt;&gt;H492),1,0)</f>
      </c>
      <c r="L492">
        <f>IF(K492=1,(Pu-E492)/(H492-E492),"")</f>
      </c>
      <c r="M492" s="12">
        <f>IF(K492=1,F492+L492*(I492-F492),"")</f>
      </c>
      <c r="N492" s="12">
        <f>IF(K492=1,G492+L492*(J492-G492),"")</f>
      </c>
    </row>
    <row r="493" spans="2:14" x14ac:dyDescent="0.25">
      <c r="B493">
        <v>14</v>
      </c>
      <c r="C493">
        <v>59.999999999999986</v>
      </c>
      <c r="D493">
        <v>19</v>
      </c>
      <c r="E493" s="18">
        <v>4678.776680704159</v>
      </c>
      <c r="F493" s="18">
        <v>3656.7308908689674</v>
      </c>
      <c r="G493" s="18">
        <v>3056.3546937109645</v>
      </c>
      <c r="H493" s="12">
        <f>E494</f>
      </c>
      <c r="I493" s="12">
        <f>F494</f>
      </c>
      <c r="J493" s="12">
        <f>G494</f>
      </c>
      <c r="K493">
        <f>IF(AND(Pu&gt;=MIN(E493,H493),Pu&lt;=MAX(E493,H493),E493&lt;&gt;H493),1,0)</f>
      </c>
      <c r="L493">
        <f>IF(K493=1,(Pu-E493)/(H493-E493),"")</f>
      </c>
      <c r="M493" s="12">
        <f>IF(K493=1,F493+L493*(I493-F493),"")</f>
      </c>
      <c r="N493" s="12">
        <f>IF(K493=1,G493+L493*(J493-G493),"")</f>
      </c>
    </row>
    <row r="494" spans="2:14" x14ac:dyDescent="0.25">
      <c r="B494">
        <v>14</v>
      </c>
      <c r="C494">
        <v>59.999999999999986</v>
      </c>
      <c r="D494">
        <v>20</v>
      </c>
      <c r="E494" s="18">
        <v>4514.10107220696</v>
      </c>
      <c r="F494" s="18">
        <v>3636.5992311156742</v>
      </c>
      <c r="G494" s="18">
        <v>3075.558700827429</v>
      </c>
      <c r="H494" s="12">
        <f>E495</f>
      </c>
      <c r="I494" s="12">
        <f>F495</f>
      </c>
      <c r="J494" s="12">
        <f>G495</f>
      </c>
      <c r="K494">
        <f>IF(AND(Pu&gt;=MIN(E494,H494),Pu&lt;=MAX(E494,H494),E494&lt;&gt;H494),1,0)</f>
      </c>
      <c r="L494">
        <f>IF(K494=1,(Pu-E494)/(H494-E494),"")</f>
      </c>
      <c r="M494" s="12">
        <f>IF(K494=1,F494+L494*(I494-F494),"")</f>
      </c>
      <c r="N494" s="12">
        <f>IF(K494=1,G494+L494*(J494-G494),"")</f>
      </c>
    </row>
    <row r="495" spans="2:14" x14ac:dyDescent="0.25">
      <c r="B495">
        <v>14</v>
      </c>
      <c r="C495">
        <v>59.999999999999986</v>
      </c>
      <c r="D495">
        <v>21</v>
      </c>
      <c r="E495" s="18">
        <v>3940.5372921336643</v>
      </c>
      <c r="F495" s="18">
        <v>3466.6170720686596</v>
      </c>
      <c r="G495" s="18">
        <v>3018.817054038277</v>
      </c>
      <c r="H495" s="12">
        <f>E496</f>
      </c>
      <c r="I495" s="12">
        <f>F496</f>
      </c>
      <c r="J495" s="12">
        <f>G496</f>
      </c>
      <c r="K495">
        <f>IF(AND(Pu&gt;=MIN(E495,H495),Pu&lt;=MAX(E495,H495),E495&lt;&gt;H495),1,0)</f>
      </c>
      <c r="L495">
        <f>IF(K495=1,(Pu-E495)/(H495-E495),"")</f>
      </c>
      <c r="M495" s="12">
        <f>IF(K495=1,F495+L495*(I495-F495),"")</f>
      </c>
      <c r="N495" s="12">
        <f>IF(K495=1,G495+L495*(J495-G495),"")</f>
      </c>
    </row>
    <row r="496" spans="2:14" x14ac:dyDescent="0.25">
      <c r="B496">
        <v>14</v>
      </c>
      <c r="C496">
        <v>59.999999999999986</v>
      </c>
      <c r="D496">
        <v>22</v>
      </c>
      <c r="E496" s="18">
        <v>2766.6024874851696</v>
      </c>
      <c r="F496" s="18">
        <v>3119.7507001369036</v>
      </c>
      <c r="G496" s="18">
        <v>2788.42076135259</v>
      </c>
      <c r="H496" s="12">
        <f>E497</f>
      </c>
      <c r="I496" s="12">
        <f>F497</f>
      </c>
      <c r="J496" s="12">
        <f>G497</f>
      </c>
      <c r="K496">
        <f>IF(AND(Pu&gt;=MIN(E496,H496),Pu&lt;=MAX(E496,H496),E496&lt;&gt;H496),1,0)</f>
      </c>
      <c r="L496">
        <f>IF(K496=1,(Pu-E496)/(H496-E496),"")</f>
      </c>
      <c r="M496" s="12">
        <f>IF(K496=1,F496+L496*(I496-F496),"")</f>
      </c>
      <c r="N496" s="12">
        <f>IF(K496=1,G496+L496*(J496-G496),"")</f>
      </c>
    </row>
    <row r="497" spans="2:14" x14ac:dyDescent="0.25">
      <c r="B497">
        <v>14</v>
      </c>
      <c r="C497">
        <v>59.999999999999986</v>
      </c>
      <c r="D497">
        <v>23</v>
      </c>
      <c r="E497" s="18">
        <v>1829.7799324162497</v>
      </c>
      <c r="F497" s="18">
        <v>2827.0555561559886</v>
      </c>
      <c r="G497" s="18">
        <v>2568.462610259208</v>
      </c>
      <c r="H497" s="12">
        <f>E498</f>
      </c>
      <c r="I497" s="12">
        <f>F498</f>
      </c>
      <c r="J497" s="12">
        <f>G498</f>
      </c>
      <c r="K497">
        <f>IF(AND(Pu&gt;=MIN(E497,H497),Pu&lt;=MAX(E497,H497),E497&lt;&gt;H497),1,0)</f>
      </c>
      <c r="L497">
        <f>IF(K497=1,(Pu-E497)/(H497-E497),"")</f>
      </c>
      <c r="M497" s="12">
        <f>IF(K497=1,F497+L497*(I497-F497),"")</f>
      </c>
      <c r="N497" s="12">
        <f>IF(K497=1,G497+L497*(J497-G497),"")</f>
      </c>
    </row>
    <row r="498" spans="2:14" x14ac:dyDescent="0.25">
      <c r="B498">
        <v>14</v>
      </c>
      <c r="C498">
        <v>59.999999999999986</v>
      </c>
      <c r="D498">
        <v>24</v>
      </c>
      <c r="E498" s="18">
        <v>1105.196101761281</v>
      </c>
      <c r="F498" s="18">
        <v>2572.1391318922733</v>
      </c>
      <c r="G498" s="18">
        <v>2389.4489548338306</v>
      </c>
      <c r="H498" s="12">
        <f>E499</f>
      </c>
      <c r="I498" s="12">
        <f>F499</f>
      </c>
      <c r="J498" s="12">
        <f>G499</f>
      </c>
      <c r="K498">
        <f>IF(AND(Pu&gt;=MIN(E498,H498),Pu&lt;=MAX(E498,H498),E498&lt;&gt;H498),1,0)</f>
      </c>
      <c r="L498">
        <f>IF(K498=1,(Pu-E498)/(H498-E498),"")</f>
      </c>
      <c r="M498" s="12">
        <f>IF(K498=1,F498+L498*(I498-F498),"")</f>
      </c>
      <c r="N498" s="12">
        <f>IF(K498=1,G498+L498*(J498-G498),"")</f>
      </c>
    </row>
    <row r="499" spans="2:14" x14ac:dyDescent="0.25">
      <c r="B499">
        <v>14</v>
      </c>
      <c r="C499">
        <v>59.999999999999986</v>
      </c>
      <c r="D499">
        <v>25</v>
      </c>
      <c r="E499" s="18">
        <v>-138.74970359876968</v>
      </c>
      <c r="F499" s="18">
        <v>2116.626391156025</v>
      </c>
      <c r="G499" s="18">
        <v>2062.210885608276</v>
      </c>
      <c r="H499" s="12">
        <f>E500</f>
      </c>
      <c r="I499" s="12">
        <f>F500</f>
      </c>
      <c r="J499" s="12">
        <f>G500</f>
      </c>
      <c r="K499">
        <f>IF(AND(Pu&gt;=MIN(E499,H499),Pu&lt;=MAX(E499,H499),E499&lt;&gt;H499),1,0)</f>
      </c>
      <c r="L499">
        <f>IF(K499=1,(Pu-E499)/(H499-E499),"")</f>
      </c>
      <c r="M499" s="12">
        <f>IF(K499=1,F499+L499*(I499-F499),"")</f>
      </c>
      <c r="N499" s="12">
        <f>IF(K499=1,G499+L499*(J499-G499),"")</f>
      </c>
    </row>
    <row r="500" spans="2:14" x14ac:dyDescent="0.25">
      <c r="B500">
        <v>14</v>
      </c>
      <c r="C500">
        <v>59.999999999999986</v>
      </c>
      <c r="D500">
        <v>26</v>
      </c>
      <c r="E500" s="18">
        <v>-1016.0801956652938</v>
      </c>
      <c r="F500" s="18">
        <v>1760.468971811804</v>
      </c>
      <c r="G500" s="18">
        <v>1773.8013881121828</v>
      </c>
      <c r="H500" s="12">
        <f>E501</f>
      </c>
      <c r="I500" s="12">
        <f>F501</f>
      </c>
      <c r="J500" s="12">
        <f>G501</f>
      </c>
      <c r="K500">
        <f>IF(AND(Pu&gt;=MIN(E500,H500),Pu&lt;=MAX(E500,H500),E500&lt;&gt;H500),1,0)</f>
      </c>
      <c r="L500">
        <f>IF(K500=1,(Pu-E500)/(H500-E500),"")</f>
      </c>
      <c r="M500" s="12">
        <f>IF(K500=1,F500+L500*(I500-F500),"")</f>
      </c>
      <c r="N500" s="12">
        <f>IF(K500=1,G500+L500*(J500-G500),"")</f>
      </c>
    </row>
    <row r="501" spans="2:14" x14ac:dyDescent="0.25">
      <c r="B501">
        <v>14</v>
      </c>
      <c r="C501">
        <v>59.999999999999986</v>
      </c>
      <c r="D501">
        <v>27</v>
      </c>
      <c r="E501" s="18">
        <v>-1760.9559186066601</v>
      </c>
      <c r="F501" s="18">
        <v>1457.914782830063</v>
      </c>
      <c r="G501" s="18">
        <v>1489.4291097478656</v>
      </c>
      <c r="H501" s="12">
        <f>E502</f>
      </c>
      <c r="I501" s="12">
        <f>F502</f>
      </c>
      <c r="J501" s="12">
        <f>G502</f>
      </c>
      <c r="K501">
        <f>IF(AND(Pu&gt;=MIN(E501,H501),Pu&lt;=MAX(E501,H501),E501&lt;&gt;H501),1,0)</f>
      </c>
      <c r="L501">
        <f>IF(K501=1,(Pu-E501)/(H501-E501),"")</f>
      </c>
      <c r="M501" s="12">
        <f>IF(K501=1,F501+L501*(I501-F501),"")</f>
      </c>
      <c r="N501" s="12">
        <f>IF(K501=1,G501+L501*(J501-G501),"")</f>
      </c>
    </row>
    <row r="502" spans="2:14" x14ac:dyDescent="0.25">
      <c r="B502">
        <v>14</v>
      </c>
      <c r="C502">
        <v>59.999999999999986</v>
      </c>
      <c r="D502">
        <v>28</v>
      </c>
      <c r="E502" s="18">
        <v>-2318.680655738514</v>
      </c>
      <c r="F502" s="18">
        <v>1227.2583492852584</v>
      </c>
      <c r="G502" s="18">
        <v>1261.4056752876102</v>
      </c>
      <c r="H502" s="12">
        <f>E503</f>
      </c>
      <c r="I502" s="12">
        <f>F503</f>
      </c>
      <c r="J502" s="12">
        <f>G503</f>
      </c>
      <c r="K502">
        <f>IF(AND(Pu&gt;=MIN(E502,H502),Pu&lt;=MAX(E502,H502),E502&lt;&gt;H502),1,0)</f>
      </c>
      <c r="L502">
        <f>IF(K502=1,(Pu-E502)/(H502-E502),"")</f>
      </c>
      <c r="M502" s="12">
        <f>IF(K502=1,F502+L502*(I502-F502),"")</f>
      </c>
      <c r="N502" s="12">
        <f>IF(K502=1,G502+L502*(J502-G502),"")</f>
      </c>
    </row>
    <row r="503" spans="2:14" x14ac:dyDescent="0.25">
      <c r="B503">
        <v>14</v>
      </c>
      <c r="C503">
        <v>59.999999999999986</v>
      </c>
      <c r="D503">
        <v>29</v>
      </c>
      <c r="E503" s="18">
        <v>-3034.7121822619397</v>
      </c>
      <c r="F503" s="18">
        <v>901.8234604880942</v>
      </c>
      <c r="G503" s="18">
        <v>956.5727243086728</v>
      </c>
      <c r="H503" s="12">
        <f>E504</f>
      </c>
      <c r="I503" s="12">
        <f>F504</f>
      </c>
      <c r="J503" s="12">
        <f>G504</f>
      </c>
      <c r="K503">
        <f>IF(AND(Pu&gt;=MIN(E503,H503),Pu&lt;=MAX(E503,H503),E503&lt;&gt;H503),1,0)</f>
      </c>
      <c r="L503">
        <f>IF(K503=1,(Pu-E503)/(H503-E503),"")</f>
      </c>
      <c r="M503" s="12">
        <f>IF(K503=1,F503+L503*(I503-F503),"")</f>
      </c>
      <c r="N503" s="12">
        <f>IF(K503=1,G503+L503*(J503-G503),"")</f>
      </c>
    </row>
    <row r="504" spans="2:14" x14ac:dyDescent="0.25">
      <c r="B504">
        <v>14</v>
      </c>
      <c r="C504">
        <v>59.999999999999986</v>
      </c>
      <c r="D504">
        <v>30</v>
      </c>
      <c r="E504" s="18">
        <v>-3524.986254071826</v>
      </c>
      <c r="F504" s="18">
        <v>678.9550682965544</v>
      </c>
      <c r="G504" s="18">
        <v>727.4925109588735</v>
      </c>
      <c r="H504" s="12">
        <f>E505</f>
      </c>
      <c r="I504" s="12">
        <f>F505</f>
      </c>
      <c r="J504" s="12">
        <f>G505</f>
      </c>
      <c r="K504">
        <f>IF(AND(Pu&gt;=MIN(E504,H504),Pu&lt;=MAX(E504,H504),E504&lt;&gt;H504),1,0)</f>
      </c>
      <c r="L504">
        <f>IF(K504=1,(Pu-E504)/(H504-E504),"")</f>
      </c>
      <c r="M504" s="12">
        <f>IF(K504=1,F504+L504*(I504-F504),"")</f>
      </c>
      <c r="N504" s="12">
        <f>IF(K504=1,G504+L504*(J504-G504),"")</f>
      </c>
    </row>
    <row r="505" spans="2:14" x14ac:dyDescent="0.25">
      <c r="B505">
        <v>14</v>
      </c>
      <c r="C505">
        <v>59.999999999999986</v>
      </c>
      <c r="D505">
        <v>31</v>
      </c>
      <c r="E505" s="18">
        <v>-4165.7905348912855</v>
      </c>
      <c r="F505" s="18">
        <v>393.7307670278092</v>
      </c>
      <c r="G505" s="18">
        <v>391.893914331125</v>
      </c>
      <c r="H505" s="12">
        <f>E506</f>
      </c>
      <c r="I505" s="12">
        <f>F506</f>
      </c>
      <c r="J505" s="12">
        <f>G506</f>
      </c>
      <c r="K505">
        <f>IF(AND(Pu&gt;=MIN(E505,H505),Pu&lt;=MAX(E505,H505),E505&lt;&gt;H505),1,0)</f>
      </c>
      <c r="L505">
        <f>IF(K505=1,(Pu-E505)/(H505-E505),"")</f>
      </c>
      <c r="M505" s="12">
        <f>IF(K505=1,F505+L505*(I505-F505),"")</f>
      </c>
      <c r="N505" s="12">
        <f>IF(K505=1,G505+L505*(J505-G505),"")</f>
      </c>
    </row>
    <row r="506" spans="2:14" x14ac:dyDescent="0.25">
      <c r="B506">
        <v>14</v>
      </c>
      <c r="C506">
        <v>59.999999999999986</v>
      </c>
      <c r="D506">
        <v>32</v>
      </c>
      <c r="E506" s="18">
        <v>-4453.366846654076</v>
      </c>
      <c r="F506" s="18">
        <v>247.8974387110945</v>
      </c>
      <c r="G506" s="18">
        <v>249.16938921574413</v>
      </c>
      <c r="H506" s="12">
        <f>E507</f>
      </c>
      <c r="I506" s="12">
        <f>F507</f>
      </c>
      <c r="J506" s="12">
        <f>G507</f>
      </c>
      <c r="K506">
        <f>IF(AND(Pu&gt;=MIN(E506,H506),Pu&lt;=MAX(E506,H506),E506&lt;&gt;H506),1,0)</f>
      </c>
      <c r="L506">
        <f>IF(K506=1,(Pu-E506)/(H506-E506),"")</f>
      </c>
      <c r="M506" s="12">
        <f>IF(K506=1,F506+L506*(I506-F506),"")</f>
      </c>
      <c r="N506" s="12">
        <f>IF(K506=1,G506+L506*(J506-G506),"")</f>
      </c>
    </row>
    <row r="507" spans="2:14" x14ac:dyDescent="0.25">
      <c r="B507">
        <v>14</v>
      </c>
      <c r="C507">
        <v>59.999999999999986</v>
      </c>
      <c r="D507">
        <v>33</v>
      </c>
      <c r="E507" s="18">
        <v>-4751.973705170275</v>
      </c>
      <c r="F507" s="18">
        <v>93.71675642398245</v>
      </c>
      <c r="G507" s="18">
        <v>95.7353649295863</v>
      </c>
      <c r="H507" s="12">
        <f>E508</f>
      </c>
      <c r="I507" s="12">
        <f>F508</f>
      </c>
      <c r="J507" s="12">
        <f>G508</f>
      </c>
      <c r="K507">
        <f>IF(AND(Pu&gt;=MIN(E507,H507),Pu&lt;=MAX(E507,H507),E507&lt;&gt;H507),1,0)</f>
      </c>
      <c r="L507">
        <f>IF(K507=1,(Pu-E507)/(H507-E507),"")</f>
      </c>
      <c r="M507" s="12">
        <f>IF(K507=1,F507+L507*(I507-F507),"")</f>
      </c>
      <c r="N507" s="12">
        <f>IF(K507=1,G507+L507*(J507-G507),"")</f>
      </c>
    </row>
    <row r="508" spans="2:7" x14ac:dyDescent="0.25">
      <c r="B508">
        <v>14</v>
      </c>
      <c r="C508">
        <v>59.999999999999986</v>
      </c>
      <c r="D508">
        <v>34</v>
      </c>
      <c r="E508" s="18">
        <v>-4824.310821405298</v>
      </c>
      <c r="F508" s="18">
        <v>54.99797517302214</v>
      </c>
      <c r="G508" s="18">
        <v>54.69501404165345</v>
      </c>
    </row>
    <row r="510" spans="2:14" x14ac:dyDescent="0.25">
      <c r="B510">
        <v>15</v>
      </c>
      <c r="C510">
        <v>67.49999999999997</v>
      </c>
      <c r="D510">
        <v>1</v>
      </c>
      <c r="E510" s="18">
        <v>16814.898789611634</v>
      </c>
      <c r="F510" s="18">
        <v>2254.7026095068622</v>
      </c>
      <c r="G510" s="18">
        <v>1508.294483884511</v>
      </c>
      <c r="H510" s="12">
        <f>E511</f>
      </c>
      <c r="I510" s="12">
        <f>F511</f>
      </c>
      <c r="J510" s="12">
        <f>G511</f>
      </c>
      <c r="K510">
        <f>IF(AND(Pu&gt;=MIN(E510,H510),Pu&lt;=MAX(E510,H510),E510&lt;&gt;H510),1,0)</f>
      </c>
      <c r="L510">
        <f>IF(K510=1,(Pu-E510)/(H510-E510),"")</f>
      </c>
      <c r="M510" s="12">
        <f>IF(K510=1,F510+L510*(I510-F510),"")</f>
      </c>
      <c r="N510" s="12">
        <f>IF(K510=1,G510+L510*(J510-G510),"")</f>
      </c>
    </row>
    <row r="511" spans="2:14" x14ac:dyDescent="0.25">
      <c r="B511">
        <v>15</v>
      </c>
      <c r="C511">
        <v>67.49999999999997</v>
      </c>
      <c r="D511">
        <v>2</v>
      </c>
      <c r="E511" s="18">
        <v>15377.106870623626</v>
      </c>
      <c r="F511" s="18">
        <v>2774.0542380623533</v>
      </c>
      <c r="G511" s="18">
        <v>1532.0633058590233</v>
      </c>
      <c r="H511" s="12">
        <f>E512</f>
      </c>
      <c r="I511" s="12">
        <f>F512</f>
      </c>
      <c r="J511" s="12">
        <f>G512</f>
      </c>
      <c r="K511">
        <f>IF(AND(Pu&gt;=MIN(E511,H511),Pu&lt;=MAX(E511,H511),E511&lt;&gt;H511),1,0)</f>
      </c>
      <c r="L511">
        <f>IF(K511=1,(Pu-E511)/(H511-E511),"")</f>
      </c>
      <c r="M511" s="12">
        <f>IF(K511=1,F511+L511*(I511-F511),"")</f>
      </c>
      <c r="N511" s="12">
        <f>IF(K511=1,G511+L511*(J511-G511),"")</f>
      </c>
    </row>
    <row r="512" spans="2:14" x14ac:dyDescent="0.25">
      <c r="B512">
        <v>15</v>
      </c>
      <c r="C512">
        <v>67.49999999999997</v>
      </c>
      <c r="D512">
        <v>3</v>
      </c>
      <c r="E512" s="18">
        <v>13151.198951284558</v>
      </c>
      <c r="F512" s="18">
        <v>3390.421570352492</v>
      </c>
      <c r="G512" s="18">
        <v>1570.346793177598</v>
      </c>
      <c r="H512" s="12">
        <f>E513</f>
      </c>
      <c r="I512" s="12">
        <f>F513</f>
      </c>
      <c r="J512" s="12">
        <f>G513</f>
      </c>
      <c r="K512">
        <f>IF(AND(Pu&gt;=MIN(E512,H512),Pu&lt;=MAX(E512,H512),E512&lt;&gt;H512),1,0)</f>
      </c>
      <c r="L512">
        <f>IF(K512=1,(Pu-E512)/(H512-E512),"")</f>
      </c>
      <c r="M512" s="12">
        <f>IF(K512=1,F512+L512*(I512-F512),"")</f>
      </c>
      <c r="N512" s="12">
        <f>IF(K512=1,G512+L512*(J512-G512),"")</f>
      </c>
    </row>
    <row r="513" spans="2:14" x14ac:dyDescent="0.25">
      <c r="B513">
        <v>15</v>
      </c>
      <c r="C513">
        <v>67.49999999999997</v>
      </c>
      <c r="D513">
        <v>4</v>
      </c>
      <c r="E513" s="18">
        <v>11508.788798035554</v>
      </c>
      <c r="F513" s="18">
        <v>3688.578861270079</v>
      </c>
      <c r="G513" s="18">
        <v>1632.4081175275026</v>
      </c>
      <c r="H513" s="12">
        <f>E514</f>
      </c>
      <c r="I513" s="12">
        <f>F514</f>
      </c>
      <c r="J513" s="12">
        <f>G514</f>
      </c>
      <c r="K513">
        <f>IF(AND(Pu&gt;=MIN(E513,H513),Pu&lt;=MAX(E513,H513),E513&lt;&gt;H513),1,0)</f>
      </c>
      <c r="L513">
        <f>IF(K513=1,(Pu-E513)/(H513-E513),"")</f>
      </c>
      <c r="M513" s="12">
        <f>IF(K513=1,F513+L513*(I513-F513),"")</f>
      </c>
      <c r="N513" s="12">
        <f>IF(K513=1,G513+L513*(J513-G513),"")</f>
      </c>
    </row>
    <row r="514" spans="2:14" x14ac:dyDescent="0.25">
      <c r="B514">
        <v>15</v>
      </c>
      <c r="C514">
        <v>67.49999999999997</v>
      </c>
      <c r="D514">
        <v>5</v>
      </c>
      <c r="E514" s="18">
        <v>10095.092707554335</v>
      </c>
      <c r="F514" s="18">
        <v>3845.365110072243</v>
      </c>
      <c r="G514" s="18">
        <v>1706.3269446189713</v>
      </c>
      <c r="H514" s="12">
        <f>E515</f>
      </c>
      <c r="I514" s="12">
        <f>F515</f>
      </c>
      <c r="J514" s="12">
        <f>G515</f>
      </c>
      <c r="K514">
        <f>IF(AND(Pu&gt;=MIN(E514,H514),Pu&lt;=MAX(E514,H514),E514&lt;&gt;H514),1,0)</f>
      </c>
      <c r="L514">
        <f>IF(K514=1,(Pu-E514)/(H514-E514),"")</f>
      </c>
      <c r="M514" s="12">
        <f>IF(K514=1,F514+L514*(I514-F514),"")</f>
      </c>
      <c r="N514" s="12">
        <f>IF(K514=1,G514+L514*(J514-G514),"")</f>
      </c>
    </row>
    <row r="515" spans="2:14" x14ac:dyDescent="0.25">
      <c r="B515">
        <v>15</v>
      </c>
      <c r="C515">
        <v>67.49999999999997</v>
      </c>
      <c r="D515">
        <v>6</v>
      </c>
      <c r="E515" s="18">
        <v>8946.634448049084</v>
      </c>
      <c r="F515" s="18">
        <v>3931.575802754913</v>
      </c>
      <c r="G515" s="18">
        <v>1757.2968406061755</v>
      </c>
      <c r="H515" s="12">
        <f>E516</f>
      </c>
      <c r="I515" s="12">
        <f>F516</f>
      </c>
      <c r="J515" s="12">
        <f>G516</f>
      </c>
      <c r="K515">
        <f>IF(AND(Pu&gt;=MIN(E515,H515),Pu&lt;=MAX(E515,H515),E515&lt;&gt;H515),1,0)</f>
      </c>
      <c r="L515">
        <f>IF(K515=1,(Pu-E515)/(H515-E515),"")</f>
      </c>
      <c r="M515" s="12">
        <f>IF(K515=1,F515+L515*(I515-F515),"")</f>
      </c>
      <c r="N515" s="12">
        <f>IF(K515=1,G515+L515*(J515-G515),"")</f>
      </c>
    </row>
    <row r="516" spans="2:14" x14ac:dyDescent="0.25">
      <c r="B516">
        <v>15</v>
      </c>
      <c r="C516">
        <v>67.49999999999997</v>
      </c>
      <c r="D516">
        <v>7</v>
      </c>
      <c r="E516" s="18">
        <v>8887.276942053004</v>
      </c>
      <c r="F516" s="18">
        <v>3949.3388545431526</v>
      </c>
      <c r="G516" s="18">
        <v>1767.879931143863</v>
      </c>
      <c r="H516" s="12">
        <f>E517</f>
      </c>
      <c r="I516" s="12">
        <f>F517</f>
      </c>
      <c r="J516" s="12">
        <f>G517</f>
      </c>
      <c r="K516">
        <f>IF(AND(Pu&gt;=MIN(E516,H516),Pu&lt;=MAX(E516,H516),E516&lt;&gt;H516),1,0)</f>
      </c>
      <c r="L516">
        <f>IF(K516=1,(Pu-E516)/(H516-E516),"")</f>
      </c>
      <c r="M516" s="12">
        <f>IF(K516=1,F516+L516*(I516-F516),"")</f>
      </c>
      <c r="N516" s="12">
        <f>IF(K516=1,G516+L516*(J516-G516),"")</f>
      </c>
    </row>
    <row r="517" spans="2:14" x14ac:dyDescent="0.25">
      <c r="B517">
        <v>15</v>
      </c>
      <c r="C517">
        <v>67.49999999999997</v>
      </c>
      <c r="D517">
        <v>8</v>
      </c>
      <c r="E517" s="18">
        <v>8352.058815096376</v>
      </c>
      <c r="F517" s="18">
        <v>4095.3257480933685</v>
      </c>
      <c r="G517" s="18">
        <v>1867.2111033791814</v>
      </c>
      <c r="H517" s="12">
        <f>E518</f>
      </c>
      <c r="I517" s="12">
        <f>F518</f>
      </c>
      <c r="J517" s="12">
        <f>G518</f>
      </c>
      <c r="K517">
        <f>IF(AND(Pu&gt;=MIN(E517,H517),Pu&lt;=MAX(E517,H517),E517&lt;&gt;H517),1,0)</f>
      </c>
      <c r="L517">
        <f>IF(K517=1,(Pu-E517)/(H517-E517),"")</f>
      </c>
      <c r="M517" s="12">
        <f>IF(K517=1,F517+L517*(I517-F517),"")</f>
      </c>
      <c r="N517" s="12">
        <f>IF(K517=1,G517+L517*(J517-G517),"")</f>
      </c>
    </row>
    <row r="518" spans="2:14" x14ac:dyDescent="0.25">
      <c r="B518">
        <v>15</v>
      </c>
      <c r="C518">
        <v>67.49999999999997</v>
      </c>
      <c r="D518">
        <v>9</v>
      </c>
      <c r="E518" s="18">
        <v>8177.118685582039</v>
      </c>
      <c r="F518" s="18">
        <v>4137.205139841021</v>
      </c>
      <c r="G518" s="18">
        <v>1896.1166489792868</v>
      </c>
      <c r="H518" s="12">
        <f>E519</f>
      </c>
      <c r="I518" s="12">
        <f>F519</f>
      </c>
      <c r="J518" s="12">
        <f>G519</f>
      </c>
      <c r="K518">
        <f>IF(AND(Pu&gt;=MIN(E518,H518),Pu&lt;=MAX(E518,H518),E518&lt;&gt;H518),1,0)</f>
      </c>
      <c r="L518">
        <f>IF(K518=1,(Pu-E518)/(H518-E518),"")</f>
      </c>
      <c r="M518" s="12">
        <f>IF(K518=1,F518+L518*(I518-F518),"")</f>
      </c>
      <c r="N518" s="12">
        <f>IF(K518=1,G518+L518*(J518-G518),"")</f>
      </c>
    </row>
    <row r="519" spans="2:14" x14ac:dyDescent="0.25">
      <c r="B519">
        <v>15</v>
      </c>
      <c r="C519">
        <v>67.49999999999997</v>
      </c>
      <c r="D519">
        <v>10</v>
      </c>
      <c r="E519" s="18">
        <v>7840.690116110157</v>
      </c>
      <c r="F519" s="18">
        <v>4209.999024499904</v>
      </c>
      <c r="G519" s="18">
        <v>1946.7734366775207</v>
      </c>
      <c r="H519" s="12">
        <f>E520</f>
      </c>
      <c r="I519" s="12">
        <f>F520</f>
      </c>
      <c r="J519" s="12">
        <f>G520</f>
      </c>
      <c r="K519">
        <f>IF(AND(Pu&gt;=MIN(E519,H519),Pu&lt;=MAX(E519,H519),E519&lt;&gt;H519),1,0)</f>
      </c>
      <c r="L519">
        <f>IF(K519=1,(Pu-E519)/(H519-E519),"")</f>
      </c>
      <c r="M519" s="12">
        <f>IF(K519=1,F519+L519*(I519-F519),"")</f>
      </c>
      <c r="N519" s="12">
        <f>IF(K519=1,G519+L519*(J519-G519),"")</f>
      </c>
    </row>
    <row r="520" spans="2:14" x14ac:dyDescent="0.25">
      <c r="B520">
        <v>15</v>
      </c>
      <c r="C520">
        <v>67.49999999999997</v>
      </c>
      <c r="D520">
        <v>11</v>
      </c>
      <c r="E520" s="18">
        <v>7616.409017491844</v>
      </c>
      <c r="F520" s="18">
        <v>4253.382070170122</v>
      </c>
      <c r="G520" s="18">
        <v>1993.6870380916077</v>
      </c>
      <c r="H520" s="12">
        <f>E521</f>
      </c>
      <c r="I520" s="12">
        <f>F521</f>
      </c>
      <c r="J520" s="12">
        <f>G521</f>
      </c>
      <c r="K520">
        <f>IF(AND(Pu&gt;=MIN(E520,H520),Pu&lt;=MAX(E520,H520),E520&lt;&gt;H520),1,0)</f>
      </c>
      <c r="L520">
        <f>IF(K520=1,(Pu-E520)/(H520-E520),"")</f>
      </c>
      <c r="M520" s="12">
        <f>IF(K520=1,F520+L520*(I520-F520),"")</f>
      </c>
      <c r="N520" s="12">
        <f>IF(K520=1,G520+L520*(J520-G520),"")</f>
      </c>
    </row>
    <row r="521" spans="2:14" x14ac:dyDescent="0.25">
      <c r="B521">
        <v>15</v>
      </c>
      <c r="C521">
        <v>67.49999999999997</v>
      </c>
      <c r="D521">
        <v>12</v>
      </c>
      <c r="E521" s="18">
        <v>7396.08726303132</v>
      </c>
      <c r="F521" s="18">
        <v>4289.271883666649</v>
      </c>
      <c r="G521" s="18">
        <v>2030.698956732274</v>
      </c>
      <c r="H521" s="12">
        <f>E522</f>
      </c>
      <c r="I521" s="12">
        <f>F522</f>
      </c>
      <c r="J521" s="12">
        <f>G522</f>
      </c>
      <c r="K521">
        <f>IF(AND(Pu&gt;=MIN(E521,H521),Pu&lt;=MAX(E521,H521),E521&lt;&gt;H521),1,0)</f>
      </c>
      <c r="L521">
        <f>IF(K521=1,(Pu-E521)/(H521-E521),"")</f>
      </c>
      <c r="M521" s="12">
        <f>IF(K521=1,F521+L521*(I521-F521),"")</f>
      </c>
      <c r="N521" s="12">
        <f>IF(K521=1,G521+L521*(J521-G521),"")</f>
      </c>
    </row>
    <row r="522" spans="2:14" x14ac:dyDescent="0.25">
      <c r="B522">
        <v>15</v>
      </c>
      <c r="C522">
        <v>67.49999999999997</v>
      </c>
      <c r="D522">
        <v>13</v>
      </c>
      <c r="E522" s="18">
        <v>7064.075923016944</v>
      </c>
      <c r="F522" s="18">
        <v>4330.491626431116</v>
      </c>
      <c r="G522" s="18">
        <v>2090.0229347754507</v>
      </c>
      <c r="H522" s="12">
        <f>E523</f>
      </c>
      <c r="I522" s="12">
        <f>F523</f>
      </c>
      <c r="J522" s="12">
        <f>G523</f>
      </c>
      <c r="K522">
        <f>IF(AND(Pu&gt;=MIN(E522,H522),Pu&lt;=MAX(E522,H522),E522&lt;&gt;H522),1,0)</f>
      </c>
      <c r="L522">
        <f>IF(K522=1,(Pu-E522)/(H522-E522),"")</f>
      </c>
      <c r="M522" s="12">
        <f>IF(K522=1,F522+L522*(I522-F522),"")</f>
      </c>
      <c r="N522" s="12">
        <f>IF(K522=1,G522+L522*(J522-G522),"")</f>
      </c>
    </row>
    <row r="523" spans="2:14" x14ac:dyDescent="0.25">
      <c r="B523">
        <v>15</v>
      </c>
      <c r="C523">
        <v>67.49999999999997</v>
      </c>
      <c r="D523">
        <v>14</v>
      </c>
      <c r="E523" s="18">
        <v>6975.426984652723</v>
      </c>
      <c r="F523" s="18">
        <v>4336.86103657945</v>
      </c>
      <c r="G523" s="18">
        <v>2104.3833485586983</v>
      </c>
      <c r="H523" s="12">
        <f>E524</f>
      </c>
      <c r="I523" s="12">
        <f>F524</f>
      </c>
      <c r="J523" s="12">
        <f>G524</f>
      </c>
      <c r="K523">
        <f>IF(AND(Pu&gt;=MIN(E523,H523),Pu&lt;=MAX(E523,H523),E523&lt;&gt;H523),1,0)</f>
      </c>
      <c r="L523">
        <f>IF(K523=1,(Pu-E523)/(H523-E523),"")</f>
      </c>
      <c r="M523" s="12">
        <f>IF(K523=1,F523+L523*(I523-F523),"")</f>
      </c>
      <c r="N523" s="12">
        <f>IF(K523=1,G523+L523*(J523-G523),"")</f>
      </c>
    </row>
    <row r="524" spans="2:14" x14ac:dyDescent="0.25">
      <c r="B524">
        <v>15</v>
      </c>
      <c r="C524">
        <v>67.49999999999997</v>
      </c>
      <c r="D524">
        <v>15</v>
      </c>
      <c r="E524" s="18">
        <v>6568.150209313233</v>
      </c>
      <c r="F524" s="18">
        <v>4334.399286575391</v>
      </c>
      <c r="G524" s="18">
        <v>2187.0541843102765</v>
      </c>
      <c r="H524" s="12">
        <f>E525</f>
      </c>
      <c r="I524" s="12">
        <f>F525</f>
      </c>
      <c r="J524" s="12">
        <f>G525</f>
      </c>
      <c r="K524">
        <f>IF(AND(Pu&gt;=MIN(E524,H524),Pu&lt;=MAX(E524,H524),E524&lt;&gt;H524),1,0)</f>
      </c>
      <c r="L524">
        <f>IF(K524=1,(Pu-E524)/(H524-E524),"")</f>
      </c>
      <c r="M524" s="12">
        <f>IF(K524=1,F524+L524*(I524-F524),"")</f>
      </c>
      <c r="N524" s="12">
        <f>IF(K524=1,G524+L524*(J524-G524),"")</f>
      </c>
    </row>
    <row r="525" spans="2:14" x14ac:dyDescent="0.25">
      <c r="B525">
        <v>15</v>
      </c>
      <c r="C525">
        <v>67.49999999999997</v>
      </c>
      <c r="D525">
        <v>16</v>
      </c>
      <c r="E525" s="18">
        <v>6112.8524716817865</v>
      </c>
      <c r="F525" s="18">
        <v>4301.381742183835</v>
      </c>
      <c r="G525" s="18">
        <v>2281.098921092092</v>
      </c>
      <c r="H525" s="12">
        <f>E526</f>
      </c>
      <c r="I525" s="12">
        <f>F526</f>
      </c>
      <c r="J525" s="12">
        <f>G526</f>
      </c>
      <c r="K525">
        <f>IF(AND(Pu&gt;=MIN(E525,H525),Pu&lt;=MAX(E525,H525),E525&lt;&gt;H525),1,0)</f>
      </c>
      <c r="L525">
        <f>IF(K525=1,(Pu-E525)/(H525-E525),"")</f>
      </c>
      <c r="M525" s="12">
        <f>IF(K525=1,F525+L525*(I525-F525),"")</f>
      </c>
      <c r="N525" s="12">
        <f>IF(K525=1,G525+L525*(J525-G525),"")</f>
      </c>
    </row>
    <row r="526" spans="2:14" x14ac:dyDescent="0.25">
      <c r="B526">
        <v>15</v>
      </c>
      <c r="C526">
        <v>67.49999999999997</v>
      </c>
      <c r="D526">
        <v>17</v>
      </c>
      <c r="E526" s="18">
        <v>6001.468218471757</v>
      </c>
      <c r="F526" s="18">
        <v>4290.041526700462</v>
      </c>
      <c r="G526" s="18">
        <v>2304.117325584479</v>
      </c>
      <c r="H526" s="12">
        <f>E527</f>
      </c>
      <c r="I526" s="12">
        <f>F527</f>
      </c>
      <c r="J526" s="12">
        <f>G527</f>
      </c>
      <c r="K526">
        <f>IF(AND(Pu&gt;=MIN(E526,H526),Pu&lt;=MAX(E526,H526),E526&lt;&gt;H526),1,0)</f>
      </c>
      <c r="L526">
        <f>IF(K526=1,(Pu-E526)/(H526-E526),"")</f>
      </c>
      <c r="M526" s="12">
        <f>IF(K526=1,F526+L526*(I526-F526),"")</f>
      </c>
      <c r="N526" s="12">
        <f>IF(K526=1,G526+L526*(J526-G526),"")</f>
      </c>
    </row>
    <row r="527" spans="2:14" x14ac:dyDescent="0.25">
      <c r="B527">
        <v>15</v>
      </c>
      <c r="C527">
        <v>67.49999999999997</v>
      </c>
      <c r="D527">
        <v>18</v>
      </c>
      <c r="E527" s="18">
        <v>5642.4717456296485</v>
      </c>
      <c r="F527" s="18">
        <v>4251.563017183485</v>
      </c>
      <c r="G527" s="18">
        <v>2377.412301218635</v>
      </c>
      <c r="H527" s="12">
        <f>E528</f>
      </c>
      <c r="I527" s="12">
        <f>F528</f>
      </c>
      <c r="J527" s="12">
        <f>G528</f>
      </c>
      <c r="K527">
        <f>IF(AND(Pu&gt;=MIN(E527,H527),Pu&lt;=MAX(E527,H527),E527&lt;&gt;H527),1,0)</f>
      </c>
      <c r="L527">
        <f>IF(K527=1,(Pu-E527)/(H527-E527),"")</f>
      </c>
      <c r="M527" s="12">
        <f>IF(K527=1,F527+L527*(I527-F527),"")</f>
      </c>
      <c r="N527" s="12">
        <f>IF(K527=1,G527+L527*(J527-G527),"")</f>
      </c>
    </row>
    <row r="528" spans="2:14" x14ac:dyDescent="0.25">
      <c r="B528">
        <v>15</v>
      </c>
      <c r="C528">
        <v>67.49999999999997</v>
      </c>
      <c r="D528">
        <v>19</v>
      </c>
      <c r="E528" s="18">
        <v>5330.436071549472</v>
      </c>
      <c r="F528" s="18">
        <v>4215.189744400422</v>
      </c>
      <c r="G528" s="18">
        <v>2428.8558933269924</v>
      </c>
      <c r="H528" s="12">
        <f>E529</f>
      </c>
      <c r="I528" s="12">
        <f>F529</f>
      </c>
      <c r="J528" s="12">
        <f>G529</f>
      </c>
      <c r="K528">
        <f>IF(AND(Pu&gt;=MIN(E528,H528),Pu&lt;=MAX(E528,H528),E528&lt;&gt;H528),1,0)</f>
      </c>
      <c r="L528">
        <f>IF(K528=1,(Pu-E528)/(H528-E528),"")</f>
      </c>
      <c r="M528" s="12">
        <f>IF(K528=1,F528+L528*(I528-F528),"")</f>
      </c>
      <c r="N528" s="12">
        <f>IF(K528=1,G528+L528*(J528-G528),"")</f>
      </c>
    </row>
    <row r="529" spans="2:14" x14ac:dyDescent="0.25">
      <c r="B529">
        <v>15</v>
      </c>
      <c r="C529">
        <v>67.49999999999997</v>
      </c>
      <c r="D529">
        <v>20</v>
      </c>
      <c r="E529" s="18">
        <v>5208.752604383593</v>
      </c>
      <c r="F529" s="18">
        <v>4200.243508931341</v>
      </c>
      <c r="G529" s="18">
        <v>2446.1374143572148</v>
      </c>
      <c r="H529" s="12">
        <f>E530</f>
      </c>
      <c r="I529" s="12">
        <f>F530</f>
      </c>
      <c r="J529" s="12">
        <f>G530</f>
      </c>
      <c r="K529">
        <f>IF(AND(Pu&gt;=MIN(E529,H529),Pu&lt;=MAX(E529,H529),E529&lt;&gt;H529),1,0)</f>
      </c>
      <c r="L529">
        <f>IF(K529=1,(Pu-E529)/(H529-E529),"")</f>
      </c>
      <c r="M529" s="12">
        <f>IF(K529=1,F529+L529*(I529-F529),"")</f>
      </c>
      <c r="N529" s="12">
        <f>IF(K529=1,G529+L529*(J529-G529),"")</f>
      </c>
    </row>
    <row r="530" spans="2:14" x14ac:dyDescent="0.25">
      <c r="B530">
        <v>15</v>
      </c>
      <c r="C530">
        <v>67.49999999999997</v>
      </c>
      <c r="D530">
        <v>21</v>
      </c>
      <c r="E530" s="18">
        <v>4513.463354364548</v>
      </c>
      <c r="F530" s="18">
        <v>3987.641152552744</v>
      </c>
      <c r="G530" s="18">
        <v>2418.9912590389677</v>
      </c>
      <c r="H530" s="12">
        <f>E531</f>
      </c>
      <c r="I530" s="12">
        <f>F531</f>
      </c>
      <c r="J530" s="12">
        <f>G531</f>
      </c>
      <c r="K530">
        <f>IF(AND(Pu&gt;=MIN(E530,H530),Pu&lt;=MAX(E530,H530),E530&lt;&gt;H530),1,0)</f>
      </c>
      <c r="L530">
        <f>IF(K530=1,(Pu-E530)/(H530-E530),"")</f>
      </c>
      <c r="M530" s="12">
        <f>IF(K530=1,F530+L530*(I530-F530),"")</f>
      </c>
      <c r="N530" s="12">
        <f>IF(K530=1,G530+L530*(J530-G530),"")</f>
      </c>
    </row>
    <row r="531" spans="2:14" x14ac:dyDescent="0.25">
      <c r="B531">
        <v>15</v>
      </c>
      <c r="C531">
        <v>67.49999999999997</v>
      </c>
      <c r="D531">
        <v>22</v>
      </c>
      <c r="E531" s="18">
        <v>3126.439576171407</v>
      </c>
      <c r="F531" s="18">
        <v>3523.910717819834</v>
      </c>
      <c r="G531" s="18">
        <v>2351.2900876867175</v>
      </c>
      <c r="H531" s="12">
        <f>E532</f>
      </c>
      <c r="I531" s="12">
        <f>F532</f>
      </c>
      <c r="J531" s="12">
        <f>G532</f>
      </c>
      <c r="K531">
        <f>IF(AND(Pu&gt;=MIN(E531,H531),Pu&lt;=MAX(E531,H531),E531&lt;&gt;H531),1,0)</f>
      </c>
      <c r="L531">
        <f>IF(K531=1,(Pu-E531)/(H531-E531),"")</f>
      </c>
      <c r="M531" s="12">
        <f>IF(K531=1,F531+L531*(I531-F531),"")</f>
      </c>
      <c r="N531" s="12">
        <f>IF(K531=1,G531+L531*(J531-G531),"")</f>
      </c>
    </row>
    <row r="532" spans="2:14" x14ac:dyDescent="0.25">
      <c r="B532">
        <v>15</v>
      </c>
      <c r="C532">
        <v>67.49999999999997</v>
      </c>
      <c r="D532">
        <v>23</v>
      </c>
      <c r="E532" s="18">
        <v>2149.2332623270545</v>
      </c>
      <c r="F532" s="18">
        <v>3166.118807779773</v>
      </c>
      <c r="G532" s="18">
        <v>2205.0721665657725</v>
      </c>
      <c r="H532" s="12">
        <f>E533</f>
      </c>
      <c r="I532" s="12">
        <f>F533</f>
      </c>
      <c r="J532" s="12">
        <f>G533</f>
      </c>
      <c r="K532">
        <f>IF(AND(Pu&gt;=MIN(E532,H532),Pu&lt;=MAX(E532,H532),E532&lt;&gt;H532),1,0)</f>
      </c>
      <c r="L532">
        <f>IF(K532=1,(Pu-E532)/(H532-E532),"")</f>
      </c>
      <c r="M532" s="12">
        <f>IF(K532=1,F532+L532*(I532-F532),"")</f>
      </c>
      <c r="N532" s="12">
        <f>IF(K532=1,G532+L532*(J532-G532),"")</f>
      </c>
    </row>
    <row r="533" spans="2:14" x14ac:dyDescent="0.25">
      <c r="B533">
        <v>15</v>
      </c>
      <c r="C533">
        <v>67.49999999999997</v>
      </c>
      <c r="D533">
        <v>24</v>
      </c>
      <c r="E533" s="18">
        <v>1339.4138877299863</v>
      </c>
      <c r="F533" s="18">
        <v>2865.908895724604</v>
      </c>
      <c r="G533" s="18">
        <v>2047.3483058707914</v>
      </c>
      <c r="H533" s="12">
        <f>E534</f>
      </c>
      <c r="I533" s="12">
        <f>F534</f>
      </c>
      <c r="J533" s="12">
        <f>G534</f>
      </c>
      <c r="K533">
        <f>IF(AND(Pu&gt;=MIN(E533,H533),Pu&lt;=MAX(E533,H533),E533&lt;&gt;H533),1,0)</f>
      </c>
      <c r="L533">
        <f>IF(K533=1,(Pu-E533)/(H533-E533),"")</f>
      </c>
      <c r="M533" s="12">
        <f>IF(K533=1,F533+L533*(I533-F533),"")</f>
      </c>
      <c r="N533" s="12">
        <f>IF(K533=1,G533+L533*(J533-G533),"")</f>
      </c>
    </row>
    <row r="534" spans="2:14" x14ac:dyDescent="0.25">
      <c r="B534">
        <v>15</v>
      </c>
      <c r="C534">
        <v>67.49999999999997</v>
      </c>
      <c r="D534">
        <v>25</v>
      </c>
      <c r="E534" s="18">
        <v>138.74949451086465</v>
      </c>
      <c r="F534" s="18">
        <v>2370.5300499516884</v>
      </c>
      <c r="G534" s="18">
        <v>1799.9992068689933</v>
      </c>
      <c r="H534" s="12">
        <f>E535</f>
      </c>
      <c r="I534" s="12">
        <f>F535</f>
      </c>
      <c r="J534" s="12">
        <f>G535</f>
      </c>
      <c r="K534">
        <f>IF(AND(Pu&gt;=MIN(E534,H534),Pu&lt;=MAX(E534,H534),E534&lt;&gt;H534),1,0)</f>
      </c>
      <c r="L534">
        <f>IF(K534=1,(Pu-E534)/(H534-E534),"")</f>
      </c>
      <c r="M534" s="12">
        <f>IF(K534=1,F534+L534*(I534-F534),"")</f>
      </c>
      <c r="N534" s="12">
        <f>IF(K534=1,G534+L534*(J534-G534),"")</f>
      </c>
    </row>
    <row r="535" spans="2:14" x14ac:dyDescent="0.25">
      <c r="B535">
        <v>15</v>
      </c>
      <c r="C535">
        <v>67.49999999999997</v>
      </c>
      <c r="D535">
        <v>26</v>
      </c>
      <c r="E535" s="18">
        <v>-906.969753502325</v>
      </c>
      <c r="F535" s="18">
        <v>1922.9408873872285</v>
      </c>
      <c r="G535" s="18">
        <v>1547.5091332937097</v>
      </c>
      <c r="H535" s="12">
        <f>E536</f>
      </c>
      <c r="I535" s="12">
        <f>F536</f>
      </c>
      <c r="J535" s="12">
        <f>G536</f>
      </c>
      <c r="K535">
        <f>IF(AND(Pu&gt;=MIN(E535,H535),Pu&lt;=MAX(E535,H535),E535&lt;&gt;H535),1,0)</f>
      </c>
      <c r="L535">
        <f>IF(K535=1,(Pu-E535)/(H535-E535),"")</f>
      </c>
      <c r="M535" s="12">
        <f>IF(K535=1,F535+L535*(I535-F535),"")</f>
      </c>
      <c r="N535" s="12">
        <f>IF(K535=1,G535+L535*(J535-G535),"")</f>
      </c>
    </row>
    <row r="536" spans="2:14" x14ac:dyDescent="0.25">
      <c r="B536">
        <v>15</v>
      </c>
      <c r="C536">
        <v>67.49999999999997</v>
      </c>
      <c r="D536">
        <v>27</v>
      </c>
      <c r="E536" s="18">
        <v>-1688.3397115715727</v>
      </c>
      <c r="F536" s="18">
        <v>1580.8526441576612</v>
      </c>
      <c r="G536" s="18">
        <v>1312.911165541238</v>
      </c>
      <c r="H536" s="12">
        <f>E537</f>
      </c>
      <c r="I536" s="12">
        <f>F537</f>
      </c>
      <c r="J536" s="12">
        <f>G537</f>
      </c>
      <c r="K536">
        <f>IF(AND(Pu&gt;=MIN(E536,H536),Pu&lt;=MAX(E536,H536),E536&lt;&gt;H536),1,0)</f>
      </c>
      <c r="L536">
        <f>IF(K536=1,(Pu-E536)/(H536-E536),"")</f>
      </c>
      <c r="M536" s="12">
        <f>IF(K536=1,F536+L536*(I536-F536),"")</f>
      </c>
      <c r="N536" s="12">
        <f>IF(K536=1,G536+L536*(J536-G536),"")</f>
      </c>
    </row>
    <row r="537" spans="2:14" x14ac:dyDescent="0.25">
      <c r="B537">
        <v>15</v>
      </c>
      <c r="C537">
        <v>67.49999999999997</v>
      </c>
      <c r="D537">
        <v>28</v>
      </c>
      <c r="E537" s="18">
        <v>-2275.4545901274764</v>
      </c>
      <c r="F537" s="18">
        <v>1304.9445910612926</v>
      </c>
      <c r="G537" s="18">
        <v>1136.5289456498579</v>
      </c>
      <c r="H537" s="12">
        <f>E538</f>
      </c>
      <c r="I537" s="12">
        <f>F538</f>
      </c>
      <c r="J537" s="12">
        <f>G538</f>
      </c>
      <c r="K537">
        <f>IF(AND(Pu&gt;=MIN(E537,H537),Pu&lt;=MAX(E537,H537),E537&lt;&gt;H537),1,0)</f>
      </c>
      <c r="L537">
        <f>IF(K537=1,(Pu-E537)/(H537-E537),"")</f>
      </c>
      <c r="M537" s="12">
        <f>IF(K537=1,F537+L537*(I537-F537),"")</f>
      </c>
      <c r="N537" s="12">
        <f>IF(K537=1,G537+L537*(J537-G537),"")</f>
      </c>
    </row>
    <row r="538" spans="2:14" x14ac:dyDescent="0.25">
      <c r="B538">
        <v>15</v>
      </c>
      <c r="C538">
        <v>67.49999999999997</v>
      </c>
      <c r="D538">
        <v>29</v>
      </c>
      <c r="E538" s="18">
        <v>-3083.6596757969046</v>
      </c>
      <c r="F538" s="18">
        <v>925.1172357397149</v>
      </c>
      <c r="G538" s="18">
        <v>832.7413958347316</v>
      </c>
      <c r="H538" s="12">
        <f>E539</f>
      </c>
      <c r="I538" s="12">
        <f>F539</f>
      </c>
      <c r="J538" s="12">
        <f>G539</f>
      </c>
      <c r="K538">
        <f>IF(AND(Pu&gt;=MIN(E538,H538),Pu&lt;=MAX(E538,H538),E538&lt;&gt;H538),1,0)</f>
      </c>
      <c r="L538">
        <f>IF(K538=1,(Pu-E538)/(H538-E538),"")</f>
      </c>
      <c r="M538" s="12">
        <f>IF(K538=1,F538+L538*(I538-F538),"")</f>
      </c>
      <c r="N538" s="12">
        <f>IF(K538=1,G538+L538*(J538-G538),"")</f>
      </c>
    </row>
    <row r="539" spans="2:14" x14ac:dyDescent="0.25">
      <c r="B539">
        <v>15</v>
      </c>
      <c r="C539">
        <v>67.49999999999997</v>
      </c>
      <c r="D539">
        <v>30</v>
      </c>
      <c r="E539" s="18">
        <v>-3613.6918217220054</v>
      </c>
      <c r="F539" s="18">
        <v>679.3389649477631</v>
      </c>
      <c r="G539" s="18">
        <v>600.2957680390057</v>
      </c>
      <c r="H539" s="12">
        <f>E540</f>
      </c>
      <c r="I539" s="12">
        <f>F540</f>
      </c>
      <c r="J539" s="12">
        <f>G540</f>
      </c>
      <c r="K539">
        <f>IF(AND(Pu&gt;=MIN(E539,H539),Pu&lt;=MAX(E539,H539),E539&lt;&gt;H539),1,0)</f>
      </c>
      <c r="L539">
        <f>IF(K539=1,(Pu-E539)/(H539-E539),"")</f>
      </c>
      <c r="M539" s="12">
        <f>IF(K539=1,F539+L539*(I539-F539),"")</f>
      </c>
      <c r="N539" s="12">
        <f>IF(K539=1,G539+L539*(J539-G539),"")</f>
      </c>
    </row>
    <row r="540" spans="2:14" x14ac:dyDescent="0.25">
      <c r="B540">
        <v>15</v>
      </c>
      <c r="C540">
        <v>67.49999999999997</v>
      </c>
      <c r="D540">
        <v>31</v>
      </c>
      <c r="E540" s="18">
        <v>-4214.713638623312</v>
      </c>
      <c r="F540" s="18">
        <v>380.57565369593925</v>
      </c>
      <c r="G540" s="18">
        <v>340.352515151123</v>
      </c>
      <c r="H540" s="12">
        <f>E541</f>
      </c>
      <c r="I540" s="12">
        <f>F541</f>
      </c>
      <c r="J540" s="12">
        <f>G541</f>
      </c>
      <c r="K540">
        <f>IF(AND(Pu&gt;=MIN(E540,H540),Pu&lt;=MAX(E540,H540),E540&lt;&gt;H540),1,0)</f>
      </c>
      <c r="L540">
        <f>IF(K540=1,(Pu-E540)/(H540-E540),"")</f>
      </c>
      <c r="M540" s="12">
        <f>IF(K540=1,F540+L540*(I540-F540),"")</f>
      </c>
      <c r="N540" s="12">
        <f>IF(K540=1,G540+L540*(J540-G540),"")</f>
      </c>
    </row>
    <row r="541" spans="2:14" x14ac:dyDescent="0.25">
      <c r="B541">
        <v>15</v>
      </c>
      <c r="C541">
        <v>67.49999999999997</v>
      </c>
      <c r="D541">
        <v>32</v>
      </c>
      <c r="E541" s="18">
        <v>-4478.584778780304</v>
      </c>
      <c r="F541" s="18">
        <v>242.01730694370764</v>
      </c>
      <c r="G541" s="18">
        <v>216.61344527419755</v>
      </c>
      <c r="H541" s="12">
        <f>E542</f>
      </c>
      <c r="I541" s="12">
        <f>F542</f>
      </c>
      <c r="J541" s="12">
        <f>G542</f>
      </c>
      <c r="K541">
        <f>IF(AND(Pu&gt;=MIN(E541,H541),Pu&lt;=MAX(E541,H541),E541&lt;&gt;H541),1,0)</f>
      </c>
      <c r="L541">
        <f>IF(K541=1,(Pu-E541)/(H541-E541),"")</f>
      </c>
      <c r="M541" s="12">
        <f>IF(K541=1,F541+L541*(I541-F541),"")</f>
      </c>
      <c r="N541" s="12">
        <f>IF(K541=1,G541+L541*(J541-G541),"")</f>
      </c>
    </row>
    <row r="542" spans="2:14" x14ac:dyDescent="0.25">
      <c r="B542">
        <v>15</v>
      </c>
      <c r="C542">
        <v>67.49999999999997</v>
      </c>
      <c r="D542">
        <v>33</v>
      </c>
      <c r="E542" s="18">
        <v>-4782.8153578103675</v>
      </c>
      <c r="F542" s="18">
        <v>79.08736354176492</v>
      </c>
      <c r="G542" s="18">
        <v>74.71811875860304</v>
      </c>
      <c r="H542" s="12">
        <f>E543</f>
      </c>
      <c r="I542" s="12">
        <f>F543</f>
      </c>
      <c r="J542" s="12">
        <f>G543</f>
      </c>
      <c r="K542">
        <f>IF(AND(Pu&gt;=MIN(E542,H542),Pu&lt;=MAX(E542,H542),E542&lt;&gt;H542),1,0)</f>
      </c>
      <c r="L542">
        <f>IF(K542=1,(Pu-E542)/(H542-E542),"")</f>
      </c>
      <c r="M542" s="12">
        <f>IF(K542=1,F542+L542*(I542-F542),"")</f>
      </c>
      <c r="N542" s="12">
        <f>IF(K542=1,G542+L542*(J542-G542),"")</f>
      </c>
    </row>
    <row r="543" spans="2:7" x14ac:dyDescent="0.25">
      <c r="B543">
        <v>15</v>
      </c>
      <c r="C543">
        <v>67.49999999999997</v>
      </c>
      <c r="D543">
        <v>34</v>
      </c>
      <c r="E543" s="18">
        <v>-4842.030691046408</v>
      </c>
      <c r="F543" s="18">
        <v>46.053861708290746</v>
      </c>
      <c r="G543" s="18">
        <v>43.18343748276571</v>
      </c>
    </row>
    <row r="545" spans="2:14" x14ac:dyDescent="0.25">
      <c r="B545">
        <v>16</v>
      </c>
      <c r="C545">
        <v>71.25</v>
      </c>
      <c r="D545">
        <v>1</v>
      </c>
      <c r="E545" s="18">
        <v>16511.58600869569</v>
      </c>
      <c r="F545" s="18">
        <v>2452.2879988297577</v>
      </c>
      <c r="G545" s="18">
        <v>1301.3803365620429</v>
      </c>
      <c r="H545" s="12">
        <f>E546</f>
      </c>
      <c r="I545" s="12">
        <f>F546</f>
      </c>
      <c r="J545" s="12">
        <f>G546</f>
      </c>
      <c r="K545">
        <f>IF(AND(Pu&gt;=MIN(E545,H545),Pu&lt;=MAX(E545,H545),E545&lt;&gt;H545),1,0)</f>
      </c>
      <c r="L545">
        <f>IF(K545=1,(Pu-E545)/(H545-E545),"")</f>
      </c>
      <c r="M545" s="12">
        <f>IF(K545=1,F545+L545*(I545-F545),"")</f>
      </c>
      <c r="N545" s="12">
        <f>IF(K545=1,G545+L545*(J545-G545),"")</f>
      </c>
    </row>
    <row r="546" spans="2:14" x14ac:dyDescent="0.25">
      <c r="B546">
        <v>16</v>
      </c>
      <c r="C546">
        <v>71.25</v>
      </c>
      <c r="D546">
        <v>2</v>
      </c>
      <c r="E546" s="18">
        <v>15052.80819291857</v>
      </c>
      <c r="F546" s="18">
        <v>2973.958144454625</v>
      </c>
      <c r="G546" s="18">
        <v>1275.018148598408</v>
      </c>
      <c r="H546" s="12">
        <f>E547</f>
      </c>
      <c r="I546" s="12">
        <f>F547</f>
      </c>
      <c r="J546" s="12">
        <f>G547</f>
      </c>
      <c r="K546">
        <f>IF(AND(Pu&gt;=MIN(E546,H546),Pu&lt;=MAX(E546,H546),E546&lt;&gt;H546),1,0)</f>
      </c>
      <c r="L546">
        <f>IF(K546=1,(Pu-E546)/(H546-E546),"")</f>
      </c>
      <c r="M546" s="12">
        <f>IF(K546=1,F546+L546*(I546-F546),"")</f>
      </c>
      <c r="N546" s="12">
        <f>IF(K546=1,G546+L546*(J546-G546),"")</f>
      </c>
    </row>
    <row r="547" spans="2:14" x14ac:dyDescent="0.25">
      <c r="B547">
        <v>16</v>
      </c>
      <c r="C547">
        <v>71.25</v>
      </c>
      <c r="D547">
        <v>3</v>
      </c>
      <c r="E547" s="18">
        <v>13018.385928705817</v>
      </c>
      <c r="F547" s="18">
        <v>3516.0080709181875</v>
      </c>
      <c r="G547" s="18">
        <v>1313.0524894856262</v>
      </c>
      <c r="H547" s="12">
        <f>E548</f>
      </c>
      <c r="I547" s="12">
        <f>F548</f>
      </c>
      <c r="J547" s="12">
        <f>G548</f>
      </c>
      <c r="K547">
        <f>IF(AND(Pu&gt;=MIN(E547,H547),Pu&lt;=MAX(E547,H547),E547&lt;&gt;H547),1,0)</f>
      </c>
      <c r="L547">
        <f>IF(K547=1,(Pu-E547)/(H547-E547),"")</f>
      </c>
      <c r="M547" s="12">
        <f>IF(K547=1,F547+L547*(I547-F547),"")</f>
      </c>
      <c r="N547" s="12">
        <f>IF(K547=1,G547+L547*(J547-G547),"")</f>
      </c>
    </row>
    <row r="548" spans="2:14" x14ac:dyDescent="0.25">
      <c r="B548">
        <v>16</v>
      </c>
      <c r="C548">
        <v>71.25</v>
      </c>
      <c r="D548">
        <v>4</v>
      </c>
      <c r="E548" s="18">
        <v>11430.699482546475</v>
      </c>
      <c r="F548" s="18">
        <v>3806.4012788328787</v>
      </c>
      <c r="G548" s="18">
        <v>1350.739590089469</v>
      </c>
      <c r="H548" s="12">
        <f>E549</f>
      </c>
      <c r="I548" s="12">
        <f>F549</f>
      </c>
      <c r="J548" s="12">
        <f>G549</f>
      </c>
      <c r="K548">
        <f>IF(AND(Pu&gt;=MIN(E548,H548),Pu&lt;=MAX(E548,H548),E548&lt;&gt;H548),1,0)</f>
      </c>
      <c r="L548">
        <f>IF(K548=1,(Pu-E548)/(H548-E548),"")</f>
      </c>
      <c r="M548" s="12">
        <f>IF(K548=1,F548+L548*(I548-F548),"")</f>
      </c>
      <c r="N548" s="12">
        <f>IF(K548=1,G548+L548*(J548-G548),"")</f>
      </c>
    </row>
    <row r="549" spans="2:14" x14ac:dyDescent="0.25">
      <c r="B549">
        <v>16</v>
      </c>
      <c r="C549">
        <v>71.25</v>
      </c>
      <c r="D549">
        <v>5</v>
      </c>
      <c r="E549" s="18">
        <v>10075.169882549098</v>
      </c>
      <c r="F549" s="18">
        <v>3968.802162093056</v>
      </c>
      <c r="G549" s="18">
        <v>1412.7405320337875</v>
      </c>
      <c r="H549" s="12">
        <f>E550</f>
      </c>
      <c r="I549" s="12">
        <f>F550</f>
      </c>
      <c r="J549" s="12">
        <f>G550</f>
      </c>
      <c r="K549">
        <f>IF(AND(Pu&gt;=MIN(E549,H549),Pu&lt;=MAX(E549,H549),E549&lt;&gt;H549),1,0)</f>
      </c>
      <c r="L549">
        <f>IF(K549=1,(Pu-E549)/(H549-E549),"")</f>
      </c>
      <c r="M549" s="12">
        <f>IF(K549=1,F549+L549*(I549-F549),"")</f>
      </c>
      <c r="N549" s="12">
        <f>IF(K549=1,G549+L549*(J549-G549),"")</f>
      </c>
    </row>
    <row r="550" spans="2:14" x14ac:dyDescent="0.25">
      <c r="B550">
        <v>16</v>
      </c>
      <c r="C550">
        <v>71.25</v>
      </c>
      <c r="D550">
        <v>6</v>
      </c>
      <c r="E550" s="18">
        <v>8994.790214855868</v>
      </c>
      <c r="F550" s="18">
        <v>4055.863243592079</v>
      </c>
      <c r="G550" s="18">
        <v>1463.241993984669</v>
      </c>
      <c r="H550" s="12">
        <f>E551</f>
      </c>
      <c r="I550" s="12">
        <f>F551</f>
      </c>
      <c r="J550" s="12">
        <f>G551</f>
      </c>
      <c r="K550">
        <f>IF(AND(Pu&gt;=MIN(E550,H550),Pu&lt;=MAX(E550,H550),E550&lt;&gt;H550),1,0)</f>
      </c>
      <c r="L550">
        <f>IF(K550=1,(Pu-E550)/(H550-E550),"")</f>
      </c>
      <c r="M550" s="12">
        <f>IF(K550=1,F550+L550*(I550-F550),"")</f>
      </c>
      <c r="N550" s="12">
        <f>IF(K550=1,G550+L550*(J550-G550),"")</f>
      </c>
    </row>
    <row r="551" spans="2:14" x14ac:dyDescent="0.25">
      <c r="B551">
        <v>16</v>
      </c>
      <c r="C551">
        <v>71.25</v>
      </c>
      <c r="D551">
        <v>7</v>
      </c>
      <c r="E551" s="18">
        <v>8927.301491161443</v>
      </c>
      <c r="F551" s="18">
        <v>4088.47284214185</v>
      </c>
      <c r="G551" s="18">
        <v>1466.753429484328</v>
      </c>
      <c r="H551" s="12">
        <f>E552</f>
      </c>
      <c r="I551" s="12">
        <f>F552</f>
      </c>
      <c r="J551" s="12">
        <f>G552</f>
      </c>
      <c r="K551">
        <f>IF(AND(Pu&gt;=MIN(E551,H551),Pu&lt;=MAX(E551,H551),E551&lt;&gt;H551),1,0)</f>
      </c>
      <c r="L551">
        <f>IF(K551=1,(Pu-E551)/(H551-E551),"")</f>
      </c>
      <c r="M551" s="12">
        <f>IF(K551=1,F551+L551*(I551-F551),"")</f>
      </c>
      <c r="N551" s="12">
        <f>IF(K551=1,G551+L551*(J551-G551),"")</f>
      </c>
    </row>
    <row r="552" spans="2:14" x14ac:dyDescent="0.25">
      <c r="B552">
        <v>16</v>
      </c>
      <c r="C552">
        <v>71.25</v>
      </c>
      <c r="D552">
        <v>8</v>
      </c>
      <c r="E552" s="18">
        <v>8466.393728827477</v>
      </c>
      <c r="F552" s="18">
        <v>4243.284269146532</v>
      </c>
      <c r="G552" s="18">
        <v>1539.7215059542673</v>
      </c>
      <c r="H552" s="12">
        <f>E553</f>
      </c>
      <c r="I552" s="12">
        <f>F553</f>
      </c>
      <c r="J552" s="12">
        <f>G553</f>
      </c>
      <c r="K552">
        <f>IF(AND(Pu&gt;=MIN(E552,H552),Pu&lt;=MAX(E552,H552),E552&lt;&gt;H552),1,0)</f>
      </c>
      <c r="L552">
        <f>IF(K552=1,(Pu-E552)/(H552-E552),"")</f>
      </c>
      <c r="M552" s="12">
        <f>IF(K552=1,F552+L552*(I552-F552),"")</f>
      </c>
      <c r="N552" s="12">
        <f>IF(K552=1,G552+L552*(J552-G552),"")</f>
      </c>
    </row>
    <row r="553" spans="2:14" x14ac:dyDescent="0.25">
      <c r="B553">
        <v>16</v>
      </c>
      <c r="C553">
        <v>71.25</v>
      </c>
      <c r="D553">
        <v>9</v>
      </c>
      <c r="E553" s="18">
        <v>8274.35463203155</v>
      </c>
      <c r="F553" s="18">
        <v>4302.147641889359</v>
      </c>
      <c r="G553" s="18">
        <v>1571.0716685285147</v>
      </c>
      <c r="H553" s="12">
        <f>E554</f>
      </c>
      <c r="I553" s="12">
        <f>F554</f>
      </c>
      <c r="J553" s="12">
        <f>G554</f>
      </c>
      <c r="K553">
        <f>IF(AND(Pu&gt;=MIN(E553,H553),Pu&lt;=MAX(E553,H553),E553&lt;&gt;H553),1,0)</f>
      </c>
      <c r="L553">
        <f>IF(K553=1,(Pu-E553)/(H553-E553),"")</f>
      </c>
      <c r="M553" s="12">
        <f>IF(K553=1,F553+L553*(I553-F553),"")</f>
      </c>
      <c r="N553" s="12">
        <f>IF(K553=1,G553+L553*(J553-G553),"")</f>
      </c>
    </row>
    <row r="554" spans="2:14" x14ac:dyDescent="0.25">
      <c r="B554">
        <v>16</v>
      </c>
      <c r="C554">
        <v>71.25</v>
      </c>
      <c r="D554">
        <v>10</v>
      </c>
      <c r="E554" s="18">
        <v>8001.170742821065</v>
      </c>
      <c r="F554" s="18">
        <v>4371.810815786597</v>
      </c>
      <c r="G554" s="18">
        <v>1623.7908728310804</v>
      </c>
      <c r="H554" s="12">
        <f>E555</f>
      </c>
      <c r="I554" s="12">
        <f>F555</f>
      </c>
      <c r="J554" s="12">
        <f>G555</f>
      </c>
      <c r="K554">
        <f>IF(AND(Pu&gt;=MIN(E554,H554),Pu&lt;=MAX(E554,H554),E554&lt;&gt;H554),1,0)</f>
      </c>
      <c r="L554">
        <f>IF(K554=1,(Pu-E554)/(H554-E554),"")</f>
      </c>
      <c r="M554" s="12">
        <f>IF(K554=1,F554+L554*(I554-F554),"")</f>
      </c>
      <c r="N554" s="12">
        <f>IF(K554=1,G554+L554*(J554-G554),"")</f>
      </c>
    </row>
    <row r="555" spans="2:14" x14ac:dyDescent="0.25">
      <c r="B555">
        <v>16</v>
      </c>
      <c r="C555">
        <v>71.25</v>
      </c>
      <c r="D555">
        <v>11</v>
      </c>
      <c r="E555" s="18">
        <v>7759.290523606291</v>
      </c>
      <c r="F555" s="18">
        <v>4423.630929474507</v>
      </c>
      <c r="G555" s="18">
        <v>1662.6125085046542</v>
      </c>
      <c r="H555" s="12">
        <f>E556</f>
      </c>
      <c r="I555" s="12">
        <f>F556</f>
      </c>
      <c r="J555" s="12">
        <f>G556</f>
      </c>
      <c r="K555">
        <f>IF(AND(Pu&gt;=MIN(E555,H555),Pu&lt;=MAX(E555,H555),E555&lt;&gt;H555),1,0)</f>
      </c>
      <c r="L555">
        <f>IF(K555=1,(Pu-E555)/(H555-E555),"")</f>
      </c>
      <c r="M555" s="12">
        <f>IF(K555=1,F555+L555*(I555-F555),"")</f>
      </c>
      <c r="N555" s="12">
        <f>IF(K555=1,G555+L555*(J555-G555),"")</f>
      </c>
    </row>
    <row r="556" spans="2:14" x14ac:dyDescent="0.25">
      <c r="B556">
        <v>16</v>
      </c>
      <c r="C556">
        <v>71.25</v>
      </c>
      <c r="D556">
        <v>12</v>
      </c>
      <c r="E556" s="18">
        <v>7581.07066355402</v>
      </c>
      <c r="F556" s="18">
        <v>4457.037603054362</v>
      </c>
      <c r="G556" s="18">
        <v>1693.8695802620437</v>
      </c>
      <c r="H556" s="12">
        <f>E557</f>
      </c>
      <c r="I556" s="12">
        <f>F557</f>
      </c>
      <c r="J556" s="12">
        <f>G557</f>
      </c>
      <c r="K556">
        <f>IF(AND(Pu&gt;=MIN(E556,H556),Pu&lt;=MAX(E556,H556),E556&lt;&gt;H556),1,0)</f>
      </c>
      <c r="L556">
        <f>IF(K556=1,(Pu-E556)/(H556-E556),"")</f>
      </c>
      <c r="M556" s="12">
        <f>IF(K556=1,F556+L556*(I556-F556),"")</f>
      </c>
      <c r="N556" s="12">
        <f>IF(K556=1,G556+L556*(J556-G556),"")</f>
      </c>
    </row>
    <row r="557" spans="2:14" x14ac:dyDescent="0.25">
      <c r="B557">
        <v>16</v>
      </c>
      <c r="C557">
        <v>71.25</v>
      </c>
      <c r="D557">
        <v>13</v>
      </c>
      <c r="E557" s="18">
        <v>7266.851117634135</v>
      </c>
      <c r="F557" s="18">
        <v>4504.228984845662</v>
      </c>
      <c r="G557" s="18">
        <v>1760.374519355841</v>
      </c>
      <c r="H557" s="12">
        <f>E558</f>
      </c>
      <c r="I557" s="12">
        <f>F558</f>
      </c>
      <c r="J557" s="12">
        <f>G558</f>
      </c>
      <c r="K557">
        <f>IF(AND(Pu&gt;=MIN(E557,H557),Pu&lt;=MAX(E557,H557),E557&lt;&gt;H557),1,0)</f>
      </c>
      <c r="L557">
        <f>IF(K557=1,(Pu-E557)/(H557-E557),"")</f>
      </c>
      <c r="M557" s="12">
        <f>IF(K557=1,F557+L557*(I557-F557),"")</f>
      </c>
      <c r="N557" s="12">
        <f>IF(K557=1,G557+L557*(J557-G557),"")</f>
      </c>
    </row>
    <row r="558" spans="2:14" x14ac:dyDescent="0.25">
      <c r="B558">
        <v>16</v>
      </c>
      <c r="C558">
        <v>71.25</v>
      </c>
      <c r="D558">
        <v>14</v>
      </c>
      <c r="E558" s="18">
        <v>7208.2309153741435</v>
      </c>
      <c r="F558" s="18">
        <v>4511.696199577186</v>
      </c>
      <c r="G558" s="18">
        <v>1773.8414050001884</v>
      </c>
      <c r="H558" s="12">
        <f>E559</f>
      </c>
      <c r="I558" s="12">
        <f>F559</f>
      </c>
      <c r="J558" s="12">
        <f>G559</f>
      </c>
      <c r="K558">
        <f>IF(AND(Pu&gt;=MIN(E558,H558),Pu&lt;=MAX(E558,H558),E558&lt;&gt;H558),1,0)</f>
      </c>
      <c r="L558">
        <f>IF(K558=1,(Pu-E558)/(H558-E558),"")</f>
      </c>
      <c r="M558" s="12">
        <f>IF(K558=1,F558+L558*(I558-F558),"")</f>
      </c>
      <c r="N558" s="12">
        <f>IF(K558=1,G558+L558*(J558-G558),"")</f>
      </c>
    </row>
    <row r="559" spans="2:14" x14ac:dyDescent="0.25">
      <c r="B559">
        <v>16</v>
      </c>
      <c r="C559">
        <v>71.25</v>
      </c>
      <c r="D559">
        <v>15</v>
      </c>
      <c r="E559" s="18">
        <v>6878.609495616882</v>
      </c>
      <c r="F559" s="18">
        <v>4549.7987586957015</v>
      </c>
      <c r="G559" s="18">
        <v>1837.4148550659938</v>
      </c>
      <c r="H559" s="12">
        <f>E560</f>
      </c>
      <c r="I559" s="12">
        <f>F560</f>
      </c>
      <c r="J559" s="12">
        <f>G560</f>
      </c>
      <c r="K559">
        <f>IF(AND(Pu&gt;=MIN(E559,H559),Pu&lt;=MAX(E559,H559),E559&lt;&gt;H559),1,0)</f>
      </c>
      <c r="L559">
        <f>IF(K559=1,(Pu-E559)/(H559-E559),"")</f>
      </c>
      <c r="M559" s="12">
        <f>IF(K559=1,F559+L559*(I559-F559),"")</f>
      </c>
      <c r="N559" s="12">
        <f>IF(K559=1,G559+L559*(J559-G559),"")</f>
      </c>
    </row>
    <row r="560" spans="2:14" x14ac:dyDescent="0.25">
      <c r="B560">
        <v>16</v>
      </c>
      <c r="C560">
        <v>71.25</v>
      </c>
      <c r="D560">
        <v>16</v>
      </c>
      <c r="E560" s="18">
        <v>6521.389766233925</v>
      </c>
      <c r="F560" s="18">
        <v>4563.377989575234</v>
      </c>
      <c r="G560" s="18">
        <v>1901.1937080000305</v>
      </c>
      <c r="H560" s="12">
        <f>E561</f>
      </c>
      <c r="I560" s="12">
        <f>F561</f>
      </c>
      <c r="J560" s="12">
        <f>G561</f>
      </c>
      <c r="K560">
        <f>IF(AND(Pu&gt;=MIN(E560,H560),Pu&lt;=MAX(E560,H560),E560&lt;&gt;H560),1,0)</f>
      </c>
      <c r="L560">
        <f>IF(K560=1,(Pu-E560)/(H560-E560),"")</f>
      </c>
      <c r="M560" s="12">
        <f>IF(K560=1,F560+L560*(I560-F560),"")</f>
      </c>
      <c r="N560" s="12">
        <f>IF(K560=1,G560+L560*(J560-G560),"")</f>
      </c>
    </row>
    <row r="561" spans="2:14" x14ac:dyDescent="0.25">
      <c r="B561">
        <v>16</v>
      </c>
      <c r="C561">
        <v>71.25</v>
      </c>
      <c r="D561">
        <v>17</v>
      </c>
      <c r="E561" s="18">
        <v>6403.448777903586</v>
      </c>
      <c r="F561" s="18">
        <v>4561.429442047417</v>
      </c>
      <c r="G561" s="18">
        <v>1921.5642267057974</v>
      </c>
      <c r="H561" s="12">
        <f>E562</f>
      </c>
      <c r="I561" s="12">
        <f>F562</f>
      </c>
      <c r="J561" s="12">
        <f>G562</f>
      </c>
      <c r="K561">
        <f>IF(AND(Pu&gt;=MIN(E561,H561),Pu&lt;=MAX(E561,H561),E561&lt;&gt;H561),1,0)</f>
      </c>
      <c r="L561">
        <f>IF(K561=1,(Pu-E561)/(H561-E561),"")</f>
      </c>
      <c r="M561" s="12">
        <f>IF(K561=1,F561+L561*(I561-F561),"")</f>
      </c>
      <c r="N561" s="12">
        <f>IF(K561=1,G561+L561*(J561-G561),"")</f>
      </c>
    </row>
    <row r="562" spans="2:14" x14ac:dyDescent="0.25">
      <c r="B562">
        <v>16</v>
      </c>
      <c r="C562">
        <v>71.25</v>
      </c>
      <c r="D562">
        <v>18</v>
      </c>
      <c r="E562" s="18">
        <v>6113.181498731054</v>
      </c>
      <c r="F562" s="18">
        <v>4548.6413653966965</v>
      </c>
      <c r="G562" s="18">
        <v>1972.3672587322546</v>
      </c>
      <c r="H562" s="12">
        <f>E563</f>
      </c>
      <c r="I562" s="12">
        <f>F563</f>
      </c>
      <c r="J562" s="12">
        <f>G563</f>
      </c>
      <c r="K562">
        <f>IF(AND(Pu&gt;=MIN(E562,H562),Pu&lt;=MAX(E562,H562),E562&lt;&gt;H562),1,0)</f>
      </c>
      <c r="L562">
        <f>IF(K562=1,(Pu-E562)/(H562-E562),"")</f>
      </c>
      <c r="M562" s="12">
        <f>IF(K562=1,F562+L562*(I562-F562),"")</f>
      </c>
      <c r="N562" s="12">
        <f>IF(K562=1,G562+L562*(J562-G562),"")</f>
      </c>
    </row>
    <row r="563" spans="2:14" x14ac:dyDescent="0.25">
      <c r="B563">
        <v>16</v>
      </c>
      <c r="C563">
        <v>71.25</v>
      </c>
      <c r="D563">
        <v>19</v>
      </c>
      <c r="E563" s="18">
        <v>5769.121183532347</v>
      </c>
      <c r="F563" s="18">
        <v>4522.1984053124115</v>
      </c>
      <c r="G563" s="18">
        <v>2032.8314452937295</v>
      </c>
      <c r="H563" s="12">
        <f>E564</f>
      </c>
      <c r="I563" s="12">
        <f>F564</f>
      </c>
      <c r="J563" s="12">
        <f>G564</f>
      </c>
      <c r="K563">
        <f>IF(AND(Pu&gt;=MIN(E563,H563),Pu&lt;=MAX(E563,H563),E563&lt;&gt;H563),1,0)</f>
      </c>
      <c r="L563">
        <f>IF(K563=1,(Pu-E563)/(H563-E563),"")</f>
      </c>
      <c r="M563" s="12">
        <f>IF(K563=1,F563+L563*(I563-F563),"")</f>
      </c>
      <c r="N563" s="12">
        <f>IF(K563=1,G563+L563*(J563-G563),"")</f>
      </c>
    </row>
    <row r="564" spans="2:14" x14ac:dyDescent="0.25">
      <c r="B564">
        <v>16</v>
      </c>
      <c r="C564">
        <v>71.25</v>
      </c>
      <c r="D564">
        <v>20</v>
      </c>
      <c r="E564" s="18">
        <v>5673.498046806426</v>
      </c>
      <c r="F564" s="18">
        <v>4513.88907216168</v>
      </c>
      <c r="G564" s="18">
        <v>2049.3921726076474</v>
      </c>
      <c r="H564" s="12">
        <f>E565</f>
      </c>
      <c r="I564" s="12">
        <f>F565</f>
      </c>
      <c r="J564" s="12">
        <f>G565</f>
      </c>
      <c r="K564">
        <f>IF(AND(Pu&gt;=MIN(E564,H564),Pu&lt;=MAX(E564,H564),E564&lt;&gt;H564),1,0)</f>
      </c>
      <c r="L564">
        <f>IF(K564=1,(Pu-E564)/(H564-E564),"")</f>
      </c>
      <c r="M564" s="12">
        <f>IF(K564=1,F564+L564*(I564-F564),"")</f>
      </c>
      <c r="N564" s="12">
        <f>IF(K564=1,G564+L564*(J564-G564),"")</f>
      </c>
    </row>
    <row r="565" spans="2:14" x14ac:dyDescent="0.25">
      <c r="B565">
        <v>16</v>
      </c>
      <c r="C565">
        <v>71.25</v>
      </c>
      <c r="D565">
        <v>21</v>
      </c>
      <c r="E565" s="18">
        <v>4932.561593287385</v>
      </c>
      <c r="F565" s="18">
        <v>4291.081081754185</v>
      </c>
      <c r="G565" s="18">
        <v>2052.4321875537153</v>
      </c>
      <c r="H565" s="12">
        <f>E566</f>
      </c>
      <c r="I565" s="12">
        <f>F566</f>
      </c>
      <c r="J565" s="12">
        <f>G566</f>
      </c>
      <c r="K565">
        <f>IF(AND(Pu&gt;=MIN(E565,H565),Pu&lt;=MAX(E565,H565),E565&lt;&gt;H565),1,0)</f>
      </c>
      <c r="L565">
        <f>IF(K565=1,(Pu-E565)/(H565-E565),"")</f>
      </c>
      <c r="M565" s="12">
        <f>IF(K565=1,F565+L565*(I565-F565),"")</f>
      </c>
      <c r="N565" s="12">
        <f>IF(K565=1,G565+L565*(J565-G565),"")</f>
      </c>
    </row>
    <row r="566" spans="2:14" x14ac:dyDescent="0.25">
      <c r="B566">
        <v>16</v>
      </c>
      <c r="C566">
        <v>71.25</v>
      </c>
      <c r="D566">
        <v>22</v>
      </c>
      <c r="E566" s="18">
        <v>3570.5034623062543</v>
      </c>
      <c r="F566" s="18">
        <v>3821.4987876507766</v>
      </c>
      <c r="G566" s="18">
        <v>2036.0015157026198</v>
      </c>
      <c r="H566" s="12">
        <f>E567</f>
      </c>
      <c r="I566" s="12">
        <f>F567</f>
      </c>
      <c r="J566" s="12">
        <f>G567</f>
      </c>
      <c r="K566">
        <f>IF(AND(Pu&gt;=MIN(E566,H566),Pu&lt;=MAX(E566,H566),E566&lt;&gt;H566),1,0)</f>
      </c>
      <c r="L566">
        <f>IF(K566=1,(Pu-E566)/(H566-E566),"")</f>
      </c>
      <c r="M566" s="12">
        <f>IF(K566=1,F566+L566*(I566-F566),"")</f>
      </c>
      <c r="N566" s="12">
        <f>IF(K566=1,G566+L566*(J566-G566),"")</f>
      </c>
    </row>
    <row r="567" spans="2:14" x14ac:dyDescent="0.25">
      <c r="B567">
        <v>16</v>
      </c>
      <c r="C567">
        <v>71.25</v>
      </c>
      <c r="D567">
        <v>23</v>
      </c>
      <c r="E567" s="18">
        <v>2446.0240693352716</v>
      </c>
      <c r="F567" s="18">
        <v>3400.6265000863295</v>
      </c>
      <c r="G567" s="18">
        <v>1977.3041283230314</v>
      </c>
      <c r="H567" s="12">
        <f>E568</f>
      </c>
      <c r="I567" s="12">
        <f>F568</f>
      </c>
      <c r="J567" s="12">
        <f>G568</f>
      </c>
      <c r="K567">
        <f>IF(AND(Pu&gt;=MIN(E567,H567),Pu&lt;=MAX(E567,H567),E567&lt;&gt;H567),1,0)</f>
      </c>
      <c r="L567">
        <f>IF(K567=1,(Pu-E567)/(H567-E567),"")</f>
      </c>
      <c r="M567" s="12">
        <f>IF(K567=1,F567+L567*(I567-F567),"")</f>
      </c>
      <c r="N567" s="12">
        <f>IF(K567=1,G567+L567*(J567-G567),"")</f>
      </c>
    </row>
    <row r="568" spans="2:14" x14ac:dyDescent="0.25">
      <c r="B568">
        <v>16</v>
      </c>
      <c r="C568">
        <v>71.25</v>
      </c>
      <c r="D568">
        <v>24</v>
      </c>
      <c r="E568" s="18">
        <v>1626.6216808432246</v>
      </c>
      <c r="F568" s="18">
        <v>3077.186624807154</v>
      </c>
      <c r="G568" s="18">
        <v>1867.1526309380627</v>
      </c>
      <c r="H568" s="12">
        <f>E569</f>
      </c>
      <c r="I568" s="12">
        <f>F569</f>
      </c>
      <c r="J568" s="12">
        <f>G569</f>
      </c>
      <c r="K568">
        <f>IF(AND(Pu&gt;=MIN(E568,H568),Pu&lt;=MAX(E568,H568),E568&lt;&gt;H568),1,0)</f>
      </c>
      <c r="L568">
        <f>IF(K568=1,(Pu-E568)/(H568-E568),"")</f>
      </c>
      <c r="M568" s="12">
        <f>IF(K568=1,F568+L568*(I568-F568),"")</f>
      </c>
      <c r="N568" s="12">
        <f>IF(K568=1,G568+L568*(J568-G568),"")</f>
      </c>
    </row>
    <row r="569" spans="2:14" x14ac:dyDescent="0.25">
      <c r="B569">
        <v>16</v>
      </c>
      <c r="C569">
        <v>71.25</v>
      </c>
      <c r="D569">
        <v>25</v>
      </c>
      <c r="E569" s="18">
        <v>348.9428233791371</v>
      </c>
      <c r="F569" s="18">
        <v>2533.0453506689278</v>
      </c>
      <c r="G569" s="18">
        <v>1651.836211493356</v>
      </c>
      <c r="H569" s="12">
        <f>E570</f>
      </c>
      <c r="I569" s="12">
        <f>F570</f>
      </c>
      <c r="J569" s="12">
        <f>G570</f>
      </c>
      <c r="K569">
        <f>IF(AND(Pu&gt;=MIN(E569,H569),Pu&lt;=MAX(E569,H569),E569&lt;&gt;H569),1,0)</f>
      </c>
      <c r="L569">
        <f>IF(K569=1,(Pu-E569)/(H569-E569),"")</f>
      </c>
      <c r="M569" s="12">
        <f>IF(K569=1,F569+L569*(I569-F569),"")</f>
      </c>
      <c r="N569" s="12">
        <f>IF(K569=1,G569+L569*(J569-G569),"")</f>
      </c>
    </row>
    <row r="570" spans="2:14" x14ac:dyDescent="0.25">
      <c r="B570">
        <v>16</v>
      </c>
      <c r="C570">
        <v>71.25</v>
      </c>
      <c r="D570">
        <v>26</v>
      </c>
      <c r="E570" s="18">
        <v>-714.5063278201862</v>
      </c>
      <c r="F570" s="18">
        <v>2076.9081872026504</v>
      </c>
      <c r="G570" s="18">
        <v>1403.4885743210873</v>
      </c>
      <c r="H570" s="12">
        <f>E571</f>
      </c>
      <c r="I570" s="12">
        <f>F571</f>
      </c>
      <c r="J570" s="12">
        <f>G571</f>
      </c>
      <c r="K570">
        <f>IF(AND(Pu&gt;=MIN(E570,H570),Pu&lt;=MAX(E570,H570),E570&lt;&gt;H570),1,0)</f>
      </c>
      <c r="L570">
        <f>IF(K570=1,(Pu-E570)/(H570-E570),"")</f>
      </c>
      <c r="M570" s="12">
        <f>IF(K570=1,F570+L570*(I570-F570),"")</f>
      </c>
      <c r="N570" s="12">
        <f>IF(K570=1,G570+L570*(J570-G570),"")</f>
      </c>
    </row>
    <row r="571" spans="2:14" x14ac:dyDescent="0.25">
      <c r="B571">
        <v>16</v>
      </c>
      <c r="C571">
        <v>71.25</v>
      </c>
      <c r="D571">
        <v>27</v>
      </c>
      <c r="E571" s="18">
        <v>-1538.8238149456504</v>
      </c>
      <c r="F571" s="18">
        <v>1687.453781211181</v>
      </c>
      <c r="G571" s="18">
        <v>1230.857355171275</v>
      </c>
      <c r="H571" s="12">
        <f>E572</f>
      </c>
      <c r="I571" s="12">
        <f>F572</f>
      </c>
      <c r="J571" s="12">
        <f>G572</f>
      </c>
      <c r="K571">
        <f>IF(AND(Pu&gt;=MIN(E571,H571),Pu&lt;=MAX(E571,H571),E571&lt;&gt;H571),1,0)</f>
      </c>
      <c r="L571">
        <f>IF(K571=1,(Pu-E571)/(H571-E571),"")</f>
      </c>
      <c r="M571" s="12">
        <f>IF(K571=1,F571+L571*(I571-F571),"")</f>
      </c>
      <c r="N571" s="12">
        <f>IF(K571=1,G571+L571*(J571-G571),"")</f>
      </c>
    </row>
    <row r="572" spans="2:14" x14ac:dyDescent="0.25">
      <c r="B572">
        <v>16</v>
      </c>
      <c r="C572">
        <v>71.25</v>
      </c>
      <c r="D572">
        <v>28</v>
      </c>
      <c r="E572" s="18">
        <v>-2137.237557063993</v>
      </c>
      <c r="F572" s="18">
        <v>1403.6439378948073</v>
      </c>
      <c r="G572" s="18">
        <v>1067.5004752139869</v>
      </c>
      <c r="H572" s="12">
        <f>E573</f>
      </c>
      <c r="I572" s="12">
        <f>F573</f>
      </c>
      <c r="J572" s="12">
        <f>G573</f>
      </c>
      <c r="K572">
        <f>IF(AND(Pu&gt;=MIN(E572,H572),Pu&lt;=MAX(E572,H572),E572&lt;&gt;H572),1,0)</f>
      </c>
      <c r="L572">
        <f>IF(K572=1,(Pu-E572)/(H572-E572),"")</f>
      </c>
      <c r="M572" s="12">
        <f>IF(K572=1,F572+L572*(I572-F572),"")</f>
      </c>
      <c r="N572" s="12">
        <f>IF(K572=1,G572+L572*(J572-G572),"")</f>
      </c>
    </row>
    <row r="573" spans="2:14" x14ac:dyDescent="0.25">
      <c r="B573">
        <v>16</v>
      </c>
      <c r="C573">
        <v>71.25</v>
      </c>
      <c r="D573">
        <v>29</v>
      </c>
      <c r="E573" s="18">
        <v>-3025.3508069295735</v>
      </c>
      <c r="F573" s="18">
        <v>979.5459343125228</v>
      </c>
      <c r="G573" s="18">
        <v>777.9370734509198</v>
      </c>
      <c r="H573" s="12">
        <f>E574</f>
      </c>
      <c r="I573" s="12">
        <f>F574</f>
      </c>
      <c r="J573" s="12">
        <f>G574</f>
      </c>
      <c r="K573">
        <f>IF(AND(Pu&gt;=MIN(E573,H573),Pu&lt;=MAX(E573,H573),E573&lt;&gt;H573),1,0)</f>
      </c>
      <c r="L573">
        <f>IF(K573=1,(Pu-E573)/(H573-E573),"")</f>
      </c>
      <c r="M573" s="12">
        <f>IF(K573=1,F573+L573*(I573-F573),"")</f>
      </c>
      <c r="N573" s="12">
        <f>IF(K573=1,G573+L573*(J573-G573),"")</f>
      </c>
    </row>
    <row r="574" spans="2:14" x14ac:dyDescent="0.25">
      <c r="B574">
        <v>16</v>
      </c>
      <c r="C574">
        <v>71.25</v>
      </c>
      <c r="D574">
        <v>30</v>
      </c>
      <c r="E574" s="18">
        <v>-3634.3687415381023</v>
      </c>
      <c r="F574" s="18">
        <v>687.7466735404064</v>
      </c>
      <c r="G574" s="18">
        <v>547.4227937567149</v>
      </c>
      <c r="H574" s="12">
        <f>E575</f>
      </c>
      <c r="I574" s="12">
        <f>F575</f>
      </c>
      <c r="J574" s="12">
        <f>G575</f>
      </c>
      <c r="K574">
        <f>IF(AND(Pu&gt;=MIN(E574,H574),Pu&lt;=MAX(E574,H574),E574&lt;&gt;H574),1,0)</f>
      </c>
      <c r="L574">
        <f>IF(K574=1,(Pu-E574)/(H574-E574),"")</f>
      </c>
      <c r="M574" s="12">
        <f>IF(K574=1,F574+L574*(I574-F574),"")</f>
      </c>
      <c r="N574" s="12">
        <f>IF(K574=1,G574+L574*(J574-G574),"")</f>
      </c>
    </row>
    <row r="575" spans="2:14" x14ac:dyDescent="0.25">
      <c r="B575">
        <v>16</v>
      </c>
      <c r="C575">
        <v>71.25</v>
      </c>
      <c r="D575">
        <v>31</v>
      </c>
      <c r="E575" s="18">
        <v>-4193.329611610244</v>
      </c>
      <c r="F575" s="18">
        <v>395.79643239172674</v>
      </c>
      <c r="G575" s="18">
        <v>334.9747378815461</v>
      </c>
      <c r="H575" s="12">
        <f>E576</f>
      </c>
      <c r="I575" s="12">
        <f>F576</f>
      </c>
      <c r="J575" s="12">
        <f>G576</f>
      </c>
      <c r="K575">
        <f>IF(AND(Pu&gt;=MIN(E575,H575),Pu&lt;=MAX(E575,H575),E575&lt;&gt;H575),1,0)</f>
      </c>
      <c r="L575">
        <f>IF(K575=1,(Pu-E575)/(H575-E575),"")</f>
      </c>
      <c r="M575" s="12">
        <f>IF(K575=1,F575+L575*(I575-F575),"")</f>
      </c>
      <c r="N575" s="12">
        <f>IF(K575=1,G575+L575*(J575-G575),"")</f>
      </c>
    </row>
    <row r="576" spans="2:14" x14ac:dyDescent="0.25">
      <c r="B576">
        <v>16</v>
      </c>
      <c r="C576">
        <v>71.25</v>
      </c>
      <c r="D576">
        <v>32</v>
      </c>
      <c r="E576" s="18">
        <v>-4463.861737099344</v>
      </c>
      <c r="F576" s="18">
        <v>251.8151037431558</v>
      </c>
      <c r="G576" s="18">
        <v>216.36583198518164</v>
      </c>
      <c r="H576" s="12">
        <f>E577</f>
      </c>
      <c r="I576" s="12">
        <f>F577</f>
      </c>
      <c r="J576" s="12">
        <f>G577</f>
      </c>
      <c r="K576">
        <f>IF(AND(Pu&gt;=MIN(E576,H576),Pu&lt;=MAX(E576,H576),E576&lt;&gt;H576),1,0)</f>
      </c>
      <c r="L576">
        <f>IF(K576=1,(Pu-E576)/(H576-E576),"")</f>
      </c>
      <c r="M576" s="12">
        <f>IF(K576=1,F576+L576*(I576-F576),"")</f>
      </c>
      <c r="N576" s="12">
        <f>IF(K576=1,G576+L576*(J576-G576),"")</f>
      </c>
    </row>
    <row r="577" spans="2:14" x14ac:dyDescent="0.25">
      <c r="B577">
        <v>16</v>
      </c>
      <c r="C577">
        <v>71.25</v>
      </c>
      <c r="D577">
        <v>33</v>
      </c>
      <c r="E577" s="18">
        <v>-4785.974592544653</v>
      </c>
      <c r="F577" s="18">
        <v>77.97150265170625</v>
      </c>
      <c r="G577" s="18">
        <v>71.36740990734081</v>
      </c>
      <c r="H577" s="12">
        <f>E578</f>
      </c>
      <c r="I577" s="12">
        <f>F578</f>
      </c>
      <c r="J577" s="12">
        <f>G578</f>
      </c>
      <c r="K577">
        <f>IF(AND(Pu&gt;=MIN(E577,H577),Pu&lt;=MAX(E577,H577),E577&lt;&gt;H577),1,0)</f>
      </c>
      <c r="L577">
        <f>IF(K577=1,(Pu-E577)/(H577-E577),"")</f>
      </c>
      <c r="M577" s="12">
        <f>IF(K577=1,F577+L577*(I577-F577),"")</f>
      </c>
      <c r="N577" s="12">
        <f>IF(K577=1,G577+L577*(J577-G577),"")</f>
      </c>
    </row>
    <row r="578" spans="2:7" x14ac:dyDescent="0.25">
      <c r="B578">
        <v>16</v>
      </c>
      <c r="C578">
        <v>71.25</v>
      </c>
      <c r="D578">
        <v>34</v>
      </c>
      <c r="E578" s="18">
        <v>-4843.845808683277</v>
      </c>
      <c r="F578" s="18">
        <v>45.30433874412494</v>
      </c>
      <c r="G578" s="18">
        <v>41.48261098540395</v>
      </c>
    </row>
    <row r="580" spans="2:14" x14ac:dyDescent="0.25">
      <c r="B580">
        <v>17</v>
      </c>
      <c r="C580">
        <v>75.00000000000001</v>
      </c>
      <c r="D580">
        <v>1</v>
      </c>
      <c r="E580" s="18">
        <v>17663.40830987146</v>
      </c>
      <c r="F580" s="18">
        <v>2056.156417550965</v>
      </c>
      <c r="G580" s="18">
        <v>1055.1978129984748</v>
      </c>
      <c r="H580" s="12">
        <f>E581</f>
      </c>
      <c r="I580" s="12">
        <f>F581</f>
      </c>
      <c r="J580" s="12">
        <f>G581</f>
      </c>
      <c r="K580">
        <f>IF(AND(Pu&gt;=MIN(E580,H580),Pu&lt;=MAX(E580,H580),E580&lt;&gt;H580),1,0)</f>
      </c>
      <c r="L580">
        <f>IF(K580=1,(Pu-E580)/(H580-E580),"")</f>
      </c>
      <c r="M580" s="12">
        <f>IF(K580=1,F580+L580*(I580-F580),"")</f>
      </c>
      <c r="N580" s="12">
        <f>IF(K580=1,G580+L580*(J580-G580),"")</f>
      </c>
    </row>
    <row r="581" spans="2:14" x14ac:dyDescent="0.25">
      <c r="B581">
        <v>17</v>
      </c>
      <c r="C581">
        <v>75.00000000000001</v>
      </c>
      <c r="D581">
        <v>2</v>
      </c>
      <c r="E581" s="18">
        <v>16145.782448705577</v>
      </c>
      <c r="F581" s="18">
        <v>2666.7064860265277</v>
      </c>
      <c r="G581" s="18">
        <v>1059.4849013919431</v>
      </c>
      <c r="H581" s="12">
        <f>E582</f>
      </c>
      <c r="I581" s="12">
        <f>F582</f>
      </c>
      <c r="J581" s="12">
        <f>G582</f>
      </c>
      <c r="K581">
        <f>IF(AND(Pu&gt;=MIN(E581,H581),Pu&lt;=MAX(E581,H581),E581&lt;&gt;H581),1,0)</f>
      </c>
      <c r="L581">
        <f>IF(K581=1,(Pu-E581)/(H581-E581),"")</f>
      </c>
      <c r="M581" s="12">
        <f>IF(K581=1,F581+L581*(I581-F581),"")</f>
      </c>
      <c r="N581" s="12">
        <f>IF(K581=1,G581+L581*(J581-G581),"")</f>
      </c>
    </row>
    <row r="582" spans="2:14" x14ac:dyDescent="0.25">
      <c r="B582">
        <v>17</v>
      </c>
      <c r="C582">
        <v>75.00000000000001</v>
      </c>
      <c r="D582">
        <v>3</v>
      </c>
      <c r="E582" s="18">
        <v>14749.914364669468</v>
      </c>
      <c r="F582" s="18">
        <v>3146.1892870010815</v>
      </c>
      <c r="G582" s="18">
        <v>1023.9341349930367</v>
      </c>
      <c r="H582" s="12">
        <f>E583</f>
      </c>
      <c r="I582" s="12">
        <f>F583</f>
      </c>
      <c r="J582" s="12">
        <f>G583</f>
      </c>
      <c r="K582">
        <f>IF(AND(Pu&gt;=MIN(E582,H582),Pu&lt;=MAX(E582,H582),E582&lt;&gt;H582),1,0)</f>
      </c>
      <c r="L582">
        <f>IF(K582=1,(Pu-E582)/(H582-E582),"")</f>
      </c>
      <c r="M582" s="12">
        <f>IF(K582=1,F582+L582*(I582-F582),"")</f>
      </c>
      <c r="N582" s="12">
        <f>IF(K582=1,G582+L582*(J582-G582),"")</f>
      </c>
    </row>
    <row r="583" spans="2:14" x14ac:dyDescent="0.25">
      <c r="B583">
        <v>17</v>
      </c>
      <c r="C583">
        <v>75.00000000000001</v>
      </c>
      <c r="D583">
        <v>4</v>
      </c>
      <c r="E583" s="18">
        <v>12869.055808648309</v>
      </c>
      <c r="F583" s="18">
        <v>3631.5006140170917</v>
      </c>
      <c r="G583" s="18">
        <v>1041.6427453984074</v>
      </c>
      <c r="H583" s="12">
        <f>E584</f>
      </c>
      <c r="I583" s="12">
        <f>F584</f>
      </c>
      <c r="J583" s="12">
        <f>G584</f>
      </c>
      <c r="K583">
        <f>IF(AND(Pu&gt;=MIN(E583,H583),Pu&lt;=MAX(E583,H583),E583&lt;&gt;H583),1,0)</f>
      </c>
      <c r="L583">
        <f>IF(K583=1,(Pu-E583)/(H583-E583),"")</f>
      </c>
      <c r="M583" s="12">
        <f>IF(K583=1,F583+L583*(I583-F583),"")</f>
      </c>
      <c r="N583" s="12">
        <f>IF(K583=1,G583+L583*(J583-G583),"")</f>
      </c>
    </row>
    <row r="584" spans="2:14" x14ac:dyDescent="0.25">
      <c r="B584">
        <v>17</v>
      </c>
      <c r="C584">
        <v>75.00000000000001</v>
      </c>
      <c r="D584">
        <v>5</v>
      </c>
      <c r="E584" s="18">
        <v>11361.337483221056</v>
      </c>
      <c r="F584" s="18">
        <v>3900.534426161812</v>
      </c>
      <c r="G584" s="18">
        <v>1085.2456143597794</v>
      </c>
      <c r="H584" s="12">
        <f>E585</f>
      </c>
      <c r="I584" s="12">
        <f>F585</f>
      </c>
      <c r="J584" s="12">
        <f>G585</f>
      </c>
      <c r="K584">
        <f>IF(AND(Pu&gt;=MIN(E584,H584),Pu&lt;=MAX(E584,H584),E584&lt;&gt;H584),1,0)</f>
      </c>
      <c r="L584">
        <f>IF(K584=1,(Pu-E584)/(H584-E584),"")</f>
      </c>
      <c r="M584" s="12">
        <f>IF(K584=1,F584+L584*(I584-F584),"")</f>
      </c>
      <c r="N584" s="12">
        <f>IF(K584=1,G584+L584*(J584-G584),"")</f>
      </c>
    </row>
    <row r="585" spans="2:14" x14ac:dyDescent="0.25">
      <c r="B585">
        <v>17</v>
      </c>
      <c r="C585">
        <v>75.00000000000001</v>
      </c>
      <c r="D585">
        <v>6</v>
      </c>
      <c r="E585" s="18">
        <v>10038.276747257058</v>
      </c>
      <c r="F585" s="18">
        <v>4068.0492739760925</v>
      </c>
      <c r="G585" s="18">
        <v>1129.9656172656755</v>
      </c>
      <c r="H585" s="12">
        <f>E586</f>
      </c>
      <c r="I585" s="12">
        <f>F586</f>
      </c>
      <c r="J585" s="12">
        <f>G586</f>
      </c>
      <c r="K585">
        <f>IF(AND(Pu&gt;=MIN(E585,H585),Pu&lt;=MAX(E585,H585),E585&lt;&gt;H585),1,0)</f>
      </c>
      <c r="L585">
        <f>IF(K585=1,(Pu-E585)/(H585-E585),"")</f>
      </c>
      <c r="M585" s="12">
        <f>IF(K585=1,F585+L585*(I585-F585),"")</f>
      </c>
      <c r="N585" s="12">
        <f>IF(K585=1,G585+L585*(J585-G585),"")</f>
      </c>
    </row>
    <row r="586" spans="2:14" x14ac:dyDescent="0.25">
      <c r="B586">
        <v>17</v>
      </c>
      <c r="C586">
        <v>75.00000000000001</v>
      </c>
      <c r="D586">
        <v>7</v>
      </c>
      <c r="E586" s="18">
        <v>9044.414289894841</v>
      </c>
      <c r="F586" s="18">
        <v>4162.797357567723</v>
      </c>
      <c r="G586" s="18">
        <v>1167.6924250796249</v>
      </c>
      <c r="H586" s="12">
        <f>E587</f>
      </c>
      <c r="I586" s="12">
        <f>F587</f>
      </c>
      <c r="J586" s="12">
        <f>G587</f>
      </c>
      <c r="K586">
        <f>IF(AND(Pu&gt;=MIN(E586,H586),Pu&lt;=MAX(E586,H586),E586&lt;&gt;H586),1,0)</f>
      </c>
      <c r="L586">
        <f>IF(K586=1,(Pu-E586)/(H586-E586),"")</f>
      </c>
      <c r="M586" s="12">
        <f>IF(K586=1,F586+L586*(I586-F586),"")</f>
      </c>
      <c r="N586" s="12">
        <f>IF(K586=1,G586+L586*(J586-G586),"")</f>
      </c>
    </row>
    <row r="587" spans="2:14" x14ac:dyDescent="0.25">
      <c r="B587">
        <v>17</v>
      </c>
      <c r="C587">
        <v>75.00000000000001</v>
      </c>
      <c r="D587">
        <v>8</v>
      </c>
      <c r="E587" s="18">
        <v>8943.88332684902</v>
      </c>
      <c r="F587" s="18">
        <v>4204.192285074841</v>
      </c>
      <c r="G587" s="18">
        <v>1180.3600189786914</v>
      </c>
      <c r="H587" s="12">
        <f>E588</f>
      </c>
      <c r="I587" s="12">
        <f>F588</f>
      </c>
      <c r="J587" s="12">
        <f>G588</f>
      </c>
      <c r="K587">
        <f>IF(AND(Pu&gt;=MIN(E587,H587),Pu&lt;=MAX(E587,H587),E587&lt;&gt;H587),1,0)</f>
      </c>
      <c r="L587">
        <f>IF(K587=1,(Pu-E587)/(H587-E587),"")</f>
      </c>
      <c r="M587" s="12">
        <f>IF(K587=1,F587+L587*(I587-F587),"")</f>
      </c>
      <c r="N587" s="12">
        <f>IF(K587=1,G587+L587*(J587-G587),"")</f>
      </c>
    </row>
    <row r="588" spans="2:14" x14ac:dyDescent="0.25">
      <c r="B588">
        <v>17</v>
      </c>
      <c r="C588">
        <v>75.00000000000001</v>
      </c>
      <c r="D588">
        <v>9</v>
      </c>
      <c r="E588" s="18">
        <v>8555.482514755733</v>
      </c>
      <c r="F588" s="18">
        <v>4358.706013083257</v>
      </c>
      <c r="G588" s="18">
        <v>1241.2744180580553</v>
      </c>
      <c r="H588" s="12">
        <f>E589</f>
      </c>
      <c r="I588" s="12">
        <f>F589</f>
      </c>
      <c r="J588" s="12">
        <f>G589</f>
      </c>
      <c r="K588">
        <f>IF(AND(Pu&gt;=MIN(E588,H588),Pu&lt;=MAX(E588,H588),E588&lt;&gt;H588),1,0)</f>
      </c>
      <c r="L588">
        <f>IF(K588=1,(Pu-E588)/(H588-E588),"")</f>
      </c>
      <c r="M588" s="12">
        <f>IF(K588=1,F588+L588*(I588-F588),"")</f>
      </c>
      <c r="N588" s="12">
        <f>IF(K588=1,G588+L588*(J588-G588),"")</f>
      </c>
    </row>
    <row r="589" spans="2:14" x14ac:dyDescent="0.25">
      <c r="B589">
        <v>17</v>
      </c>
      <c r="C589">
        <v>75.00000000000001</v>
      </c>
      <c r="D589">
        <v>10</v>
      </c>
      <c r="E589" s="18">
        <v>8373.355973128051</v>
      </c>
      <c r="F589" s="18">
        <v>4431.642828341768</v>
      </c>
      <c r="G589" s="18">
        <v>1258.9236070293769</v>
      </c>
      <c r="H589" s="12">
        <f>E590</f>
      </c>
      <c r="I589" s="12">
        <f>F590</f>
      </c>
      <c r="J589" s="12">
        <f>G590</f>
      </c>
      <c r="K589">
        <f>IF(AND(Pu&gt;=MIN(E589,H589),Pu&lt;=MAX(E589,H589),E589&lt;&gt;H589),1,0)</f>
      </c>
      <c r="L589">
        <f>IF(K589=1,(Pu-E589)/(H589-E589),"")</f>
      </c>
      <c r="M589" s="12">
        <f>IF(K589=1,F589+L589*(I589-F589),"")</f>
      </c>
      <c r="N589" s="12">
        <f>IF(K589=1,G589+L589*(J589-G589),"")</f>
      </c>
    </row>
    <row r="590" spans="2:14" x14ac:dyDescent="0.25">
      <c r="B590">
        <v>17</v>
      </c>
      <c r="C590">
        <v>75.00000000000001</v>
      </c>
      <c r="D590">
        <v>11</v>
      </c>
      <c r="E590" s="18">
        <v>8137.0251466358095</v>
      </c>
      <c r="F590" s="18">
        <v>4509.583845828994</v>
      </c>
      <c r="G590" s="18">
        <v>1290.9265926326311</v>
      </c>
      <c r="H590" s="12">
        <f>E591</f>
      </c>
      <c r="I590" s="12">
        <f>F591</f>
      </c>
      <c r="J590" s="12">
        <f>G591</f>
      </c>
      <c r="K590">
        <f>IF(AND(Pu&gt;=MIN(E590,H590),Pu&lt;=MAX(E590,H590),E590&lt;&gt;H590),1,0)</f>
      </c>
      <c r="L590">
        <f>IF(K590=1,(Pu-E590)/(H590-E590),"")</f>
      </c>
      <c r="M590" s="12">
        <f>IF(K590=1,F590+L590*(I590-F590),"")</f>
      </c>
      <c r="N590" s="12">
        <f>IF(K590=1,G590+L590*(J590-G590),"")</f>
      </c>
    </row>
    <row r="591" spans="2:14" x14ac:dyDescent="0.25">
      <c r="B591">
        <v>17</v>
      </c>
      <c r="C591">
        <v>75.00000000000001</v>
      </c>
      <c r="D591">
        <v>12</v>
      </c>
      <c r="E591" s="18">
        <v>7916.749436181585</v>
      </c>
      <c r="F591" s="18">
        <v>4574.997951522599</v>
      </c>
      <c r="G591" s="18">
        <v>1320.4219846373962</v>
      </c>
      <c r="H591" s="12">
        <f>E592</f>
      </c>
      <c r="I591" s="12">
        <f>F592</f>
      </c>
      <c r="J591" s="12">
        <f>G592</f>
      </c>
      <c r="K591">
        <f>IF(AND(Pu&gt;=MIN(E591,H591),Pu&lt;=MAX(E591,H591),E591&lt;&gt;H591),1,0)</f>
      </c>
      <c r="L591">
        <f>IF(K591=1,(Pu-E591)/(H591-E591),"")</f>
      </c>
      <c r="M591" s="12">
        <f>IF(K591=1,F591+L591*(I591-F591),"")</f>
      </c>
      <c r="N591" s="12">
        <f>IF(K591=1,G591+L591*(J591-G591),"")</f>
      </c>
    </row>
    <row r="592" spans="2:14" x14ac:dyDescent="0.25">
      <c r="B592">
        <v>17</v>
      </c>
      <c r="C592">
        <v>75.00000000000001</v>
      </c>
      <c r="D592">
        <v>13</v>
      </c>
      <c r="E592" s="18">
        <v>7792.767797120767</v>
      </c>
      <c r="F592" s="18">
        <v>4605.309394923114</v>
      </c>
      <c r="G592" s="18">
        <v>1345.6613127416342</v>
      </c>
      <c r="H592" s="12">
        <f>E593</f>
      </c>
      <c r="I592" s="12">
        <f>F593</f>
      </c>
      <c r="J592" s="12">
        <f>G593</f>
      </c>
      <c r="K592">
        <f>IF(AND(Pu&gt;=MIN(E592,H592),Pu&lt;=MAX(E592,H592),E592&lt;&gt;H592),1,0)</f>
      </c>
      <c r="L592">
        <f>IF(K592=1,(Pu-E592)/(H592-E592),"")</f>
      </c>
      <c r="M592" s="12">
        <f>IF(K592=1,F592+L592*(I592-F592),"")</f>
      </c>
      <c r="N592" s="12">
        <f>IF(K592=1,G592+L592*(J592-G592),"")</f>
      </c>
    </row>
    <row r="593" spans="2:14" x14ac:dyDescent="0.25">
      <c r="B593">
        <v>17</v>
      </c>
      <c r="C593">
        <v>75.00000000000001</v>
      </c>
      <c r="D593">
        <v>14</v>
      </c>
      <c r="E593" s="18">
        <v>7495.972215835729</v>
      </c>
      <c r="F593" s="18">
        <v>4666.270511280424</v>
      </c>
      <c r="G593" s="18">
        <v>1410.2655462678558</v>
      </c>
      <c r="H593" s="12">
        <f>E594</f>
      </c>
      <c r="I593" s="12">
        <f>F594</f>
      </c>
      <c r="J593" s="12">
        <f>G594</f>
      </c>
      <c r="K593">
        <f>IF(AND(Pu&gt;=MIN(E593,H593),Pu&lt;=MAX(E593,H593),E593&lt;&gt;H593),1,0)</f>
      </c>
      <c r="L593">
        <f>IF(K593=1,(Pu-E593)/(H593-E593),"")</f>
      </c>
      <c r="M593" s="12">
        <f>IF(K593=1,F593+L593*(I593-F593),"")</f>
      </c>
      <c r="N593" s="12">
        <f>IF(K593=1,G593+L593*(J593-G593),"")</f>
      </c>
    </row>
    <row r="594" spans="2:14" x14ac:dyDescent="0.25">
      <c r="B594">
        <v>17</v>
      </c>
      <c r="C594">
        <v>75.00000000000001</v>
      </c>
      <c r="D594">
        <v>15</v>
      </c>
      <c r="E594" s="18">
        <v>7461.584612834731</v>
      </c>
      <c r="F594" s="18">
        <v>4672.207854913317</v>
      </c>
      <c r="G594" s="18">
        <v>1417.6295328733343</v>
      </c>
      <c r="H594" s="12">
        <f>E595</f>
      </c>
      <c r="I594" s="12">
        <f>F595</f>
      </c>
      <c r="J594" s="12">
        <f>G595</f>
      </c>
      <c r="K594">
        <f>IF(AND(Pu&gt;=MIN(E594,H594),Pu&lt;=MAX(E594,H594),E594&lt;&gt;H594),1,0)</f>
      </c>
      <c r="L594">
        <f>IF(K594=1,(Pu-E594)/(H594-E594),"")</f>
      </c>
      <c r="M594" s="12">
        <f>IF(K594=1,F594+L594*(I594-F594),"")</f>
      </c>
      <c r="N594" s="12">
        <f>IF(K594=1,G594+L594*(J594-G594),"")</f>
      </c>
    </row>
    <row r="595" spans="2:14" x14ac:dyDescent="0.25">
      <c r="B595">
        <v>17</v>
      </c>
      <c r="C595">
        <v>75.00000000000001</v>
      </c>
      <c r="D595">
        <v>16</v>
      </c>
      <c r="E595" s="18">
        <v>7125.2955977998445</v>
      </c>
      <c r="F595" s="18">
        <v>4724.132633473328</v>
      </c>
      <c r="G595" s="18">
        <v>1481.557873118935</v>
      </c>
      <c r="H595" s="12">
        <f>E596</f>
      </c>
      <c r="I595" s="12">
        <f>F596</f>
      </c>
      <c r="J595" s="12">
        <f>G596</f>
      </c>
      <c r="K595">
        <f>IF(AND(Pu&gt;=MIN(E595,H595),Pu&lt;=MAX(E595,H595),E595&lt;&gt;H595),1,0)</f>
      </c>
      <c r="L595">
        <f>IF(K595=1,(Pu-E595)/(H595-E595),"")</f>
      </c>
      <c r="M595" s="12">
        <f>IF(K595=1,F595+L595*(I595-F595),"")</f>
      </c>
      <c r="N595" s="12">
        <f>IF(K595=1,G595+L595*(J595-G595),"")</f>
      </c>
    </row>
    <row r="596" spans="2:14" x14ac:dyDescent="0.25">
      <c r="B596">
        <v>17</v>
      </c>
      <c r="C596">
        <v>75.00000000000001</v>
      </c>
      <c r="D596">
        <v>17</v>
      </c>
      <c r="E596" s="18">
        <v>6824.356971017707</v>
      </c>
      <c r="F596" s="18">
        <v>4766.330798366501</v>
      </c>
      <c r="G596" s="18">
        <v>1521.8733010773344</v>
      </c>
      <c r="H596" s="12">
        <f>E597</f>
      </c>
      <c r="I596" s="12">
        <f>F597</f>
      </c>
      <c r="J596" s="12">
        <f>G597</f>
      </c>
      <c r="K596">
        <f>IF(AND(Pu&gt;=MIN(E596,H596),Pu&lt;=MAX(E596,H596),E596&lt;&gt;H596),1,0)</f>
      </c>
      <c r="L596">
        <f>IF(K596=1,(Pu-E596)/(H596-E596),"")</f>
      </c>
      <c r="M596" s="12">
        <f>IF(K596=1,F596+L596*(I596-F596),"")</f>
      </c>
      <c r="N596" s="12">
        <f>IF(K596=1,G596+L596*(J596-G596),"")</f>
      </c>
    </row>
    <row r="597" spans="2:14" x14ac:dyDescent="0.25">
      <c r="B597">
        <v>17</v>
      </c>
      <c r="C597">
        <v>75.00000000000001</v>
      </c>
      <c r="D597">
        <v>18</v>
      </c>
      <c r="E597" s="18">
        <v>6712.760123692536</v>
      </c>
      <c r="F597" s="18">
        <v>4779.873256335667</v>
      </c>
      <c r="G597" s="18">
        <v>1536.1973384305468</v>
      </c>
      <c r="H597" s="12">
        <f>E598</f>
      </c>
      <c r="I597" s="12">
        <f>F598</f>
      </c>
      <c r="J597" s="12">
        <f>G598</f>
      </c>
      <c r="K597">
        <f>IF(AND(Pu&gt;=MIN(E597,H597),Pu&lt;=MAX(E597,H597),E597&lt;&gt;H597),1,0)</f>
      </c>
      <c r="L597">
        <f>IF(K597=1,(Pu-E597)/(H597-E597),"")</f>
      </c>
      <c r="M597" s="12">
        <f>IF(K597=1,F597+L597*(I597-F597),"")</f>
      </c>
      <c r="N597" s="12">
        <f>IF(K597=1,G597+L597*(J597-G597),"")</f>
      </c>
    </row>
    <row r="598" spans="2:14" x14ac:dyDescent="0.25">
      <c r="B598">
        <v>17</v>
      </c>
      <c r="C598">
        <v>75.00000000000001</v>
      </c>
      <c r="D598">
        <v>19</v>
      </c>
      <c r="E598" s="18">
        <v>6533.242087252472</v>
      </c>
      <c r="F598" s="18">
        <v>4801.13138640711</v>
      </c>
      <c r="G598" s="18">
        <v>1572.7419381235372</v>
      </c>
      <c r="H598" s="12">
        <f>E599</f>
      </c>
      <c r="I598" s="12">
        <f>F599</f>
      </c>
      <c r="J598" s="12">
        <f>G599</f>
      </c>
      <c r="K598">
        <f>IF(AND(Pu&gt;=MIN(E598,H598),Pu&lt;=MAX(E598,H598),E598&lt;&gt;H598),1,0)</f>
      </c>
      <c r="L598">
        <f>IF(K598=1,(Pu-E598)/(H598-E598),"")</f>
      </c>
      <c r="M598" s="12">
        <f>IF(K598=1,F598+L598*(I598-F598),"")</f>
      </c>
      <c r="N598" s="12">
        <f>IF(K598=1,G598+L598*(J598-G598),"")</f>
      </c>
    </row>
    <row r="599" spans="2:14" x14ac:dyDescent="0.25">
      <c r="B599">
        <v>17</v>
      </c>
      <c r="C599">
        <v>75.00000000000001</v>
      </c>
      <c r="D599">
        <v>20</v>
      </c>
      <c r="E599" s="18">
        <v>6243.741751378669</v>
      </c>
      <c r="F599" s="18">
        <v>4815.363505491875</v>
      </c>
      <c r="G599" s="18">
        <v>1613.4587386768508</v>
      </c>
      <c r="H599" s="12">
        <f>E600</f>
      </c>
      <c r="I599" s="12">
        <f>F600</f>
      </c>
      <c r="J599" s="12">
        <f>G600</f>
      </c>
      <c r="K599">
        <f>IF(AND(Pu&gt;=MIN(E599,H599),Pu&lt;=MAX(E599,H599),E599&lt;&gt;H599),1,0)</f>
      </c>
      <c r="L599">
        <f>IF(K599=1,(Pu-E599)/(H599-E599),"")</f>
      </c>
      <c r="M599" s="12">
        <f>IF(K599=1,F599+L599*(I599-F599),"")</f>
      </c>
      <c r="N599" s="12">
        <f>IF(K599=1,G599+L599*(J599-G599),"")</f>
      </c>
    </row>
    <row r="600" spans="2:14" x14ac:dyDescent="0.25">
      <c r="B600">
        <v>17</v>
      </c>
      <c r="C600">
        <v>75.00000000000001</v>
      </c>
      <c r="D600">
        <v>21</v>
      </c>
      <c r="E600" s="18">
        <v>6192.823512197098</v>
      </c>
      <c r="F600" s="18">
        <v>4816.122040964443</v>
      </c>
      <c r="G600" s="18">
        <v>1620.8527463722999</v>
      </c>
      <c r="H600" s="12">
        <f>E601</f>
      </c>
      <c r="I600" s="12">
        <f>F601</f>
      </c>
      <c r="J600" s="12">
        <f>G601</f>
      </c>
      <c r="K600">
        <f>IF(AND(Pu&gt;=MIN(E600,H600),Pu&lt;=MAX(E600,H600),E600&lt;&gt;H600),1,0)</f>
      </c>
      <c r="L600">
        <f>IF(K600=1,(Pu-E600)/(H600-E600),"")</f>
      </c>
      <c r="M600" s="12">
        <f>IF(K600=1,F600+L600*(I600-F600),"")</f>
      </c>
      <c r="N600" s="12">
        <f>IF(K600=1,G600+L600*(J600-G600),"")</f>
      </c>
    </row>
    <row r="601" spans="2:14" x14ac:dyDescent="0.25">
      <c r="B601">
        <v>17</v>
      </c>
      <c r="C601">
        <v>75.00000000000001</v>
      </c>
      <c r="D601">
        <v>22</v>
      </c>
      <c r="E601" s="18">
        <v>5425.436986657982</v>
      </c>
      <c r="F601" s="18">
        <v>4593.1183903955</v>
      </c>
      <c r="G601" s="18">
        <v>1655.2472909918372</v>
      </c>
      <c r="H601" s="12">
        <f>E602</f>
      </c>
      <c r="I601" s="12">
        <f>F602</f>
      </c>
      <c r="J601" s="12">
        <f>G602</f>
      </c>
      <c r="K601">
        <f>IF(AND(Pu&gt;=MIN(E601,H601),Pu&lt;=MAX(E601,H601),E601&lt;&gt;H601),1,0)</f>
      </c>
      <c r="L601">
        <f>IF(K601=1,(Pu-E601)/(H601-E601),"")</f>
      </c>
      <c r="M601" s="12">
        <f>IF(K601=1,F601+L601*(I601-F601),"")</f>
      </c>
      <c r="N601" s="12">
        <f>IF(K601=1,G601+L601*(J601-G601),"")</f>
      </c>
    </row>
    <row r="602" spans="2:14" x14ac:dyDescent="0.25">
      <c r="B602">
        <v>17</v>
      </c>
      <c r="C602">
        <v>75.00000000000001</v>
      </c>
      <c r="D602">
        <v>23</v>
      </c>
      <c r="E602" s="18">
        <v>4075.7816266170103</v>
      </c>
      <c r="F602" s="18">
        <v>4134.056230516801</v>
      </c>
      <c r="G602" s="18">
        <v>1670.1574020308578</v>
      </c>
      <c r="H602" s="12">
        <f>E603</f>
      </c>
      <c r="I602" s="12">
        <f>F603</f>
      </c>
      <c r="J602" s="12">
        <f>G603</f>
      </c>
      <c r="K602">
        <f>IF(AND(Pu&gt;=MIN(E602,H602),Pu&lt;=MAX(E602,H602),E602&lt;&gt;H602),1,0)</f>
      </c>
      <c r="L602">
        <f>IF(K602=1,(Pu-E602)/(H602-E602),"")</f>
      </c>
      <c r="M602" s="12">
        <f>IF(K602=1,F602+L602*(I602-F602),"")</f>
      </c>
      <c r="N602" s="12">
        <f>IF(K602=1,G602+L602*(J602-G602),"")</f>
      </c>
    </row>
    <row r="603" spans="2:14" x14ac:dyDescent="0.25">
      <c r="B603">
        <v>17</v>
      </c>
      <c r="C603">
        <v>75.00000000000001</v>
      </c>
      <c r="D603">
        <v>24</v>
      </c>
      <c r="E603" s="18">
        <v>2944.7997831955677</v>
      </c>
      <c r="F603" s="18">
        <v>3722.9231706918545</v>
      </c>
      <c r="G603" s="18">
        <v>1657.3527027165271</v>
      </c>
      <c r="H603" s="12">
        <f>E604</f>
      </c>
      <c r="I603" s="12">
        <f>F604</f>
      </c>
      <c r="J603" s="12">
        <f>G604</f>
      </c>
      <c r="K603">
        <f>IF(AND(Pu&gt;=MIN(E603,H603),Pu&lt;=MAX(E603,H603),E603&lt;&gt;H603),1,0)</f>
      </c>
      <c r="L603">
        <f>IF(K603=1,(Pu-E603)/(H603-E603),"")</f>
      </c>
      <c r="M603" s="12">
        <f>IF(K603=1,F603+L603*(I603-F603),"")</f>
      </c>
      <c r="N603" s="12">
        <f>IF(K603=1,G603+L603*(J603-G603),"")</f>
      </c>
    </row>
    <row r="604" spans="2:14" x14ac:dyDescent="0.25">
      <c r="B604">
        <v>17</v>
      </c>
      <c r="C604">
        <v>75.00000000000001</v>
      </c>
      <c r="D604">
        <v>25</v>
      </c>
      <c r="E604" s="18">
        <v>2076.6295793943355</v>
      </c>
      <c r="F604" s="18">
        <v>3361.572080990778</v>
      </c>
      <c r="G604" s="18">
        <v>1634.058208493054</v>
      </c>
      <c r="H604" s="12">
        <f>E605</f>
      </c>
      <c r="I604" s="12">
        <f>F605</f>
      </c>
      <c r="J604" s="12">
        <f>G605</f>
      </c>
      <c r="K604">
        <f>IF(AND(Pu&gt;=MIN(E604,H604),Pu&lt;=MAX(E604,H604),E604&lt;&gt;H604),1,0)</f>
      </c>
      <c r="L604">
        <f>IF(K604=1,(Pu-E604)/(H604-E604),"")</f>
      </c>
      <c r="M604" s="12">
        <f>IF(K604=1,F604+L604*(I604-F604),"")</f>
      </c>
      <c r="N604" s="12">
        <f>IF(K604=1,G604+L604*(J604-G604),"")</f>
      </c>
    </row>
    <row r="605" spans="2:14" x14ac:dyDescent="0.25">
      <c r="B605">
        <v>17</v>
      </c>
      <c r="C605">
        <v>75.00000000000001</v>
      </c>
      <c r="D605">
        <v>26</v>
      </c>
      <c r="E605" s="18">
        <v>712.53599083374</v>
      </c>
      <c r="F605" s="18">
        <v>2772.1041281764997</v>
      </c>
      <c r="G605" s="18">
        <v>1482.8617890671023</v>
      </c>
      <c r="H605" s="12">
        <f>E606</f>
      </c>
      <c r="I605" s="12">
        <f>F606</f>
      </c>
      <c r="J605" s="12">
        <f>G606</f>
      </c>
      <c r="K605">
        <f>IF(AND(Pu&gt;=MIN(E605,H605),Pu&lt;=MAX(E605,H605),E605&lt;&gt;H605),1,0)</f>
      </c>
      <c r="L605">
        <f>IF(K605=1,(Pu-E605)/(H605-E605),"")</f>
      </c>
      <c r="M605" s="12">
        <f>IF(K605=1,F605+L605*(I605-F605),"")</f>
      </c>
      <c r="N605" s="12">
        <f>IF(K605=1,G605+L605*(J605-G605),"")</f>
      </c>
    </row>
    <row r="606" spans="2:14" x14ac:dyDescent="0.25">
      <c r="B606">
        <v>17</v>
      </c>
      <c r="C606">
        <v>75.00000000000001</v>
      </c>
      <c r="D606">
        <v>27</v>
      </c>
      <c r="E606" s="18">
        <v>-374.1013551416711</v>
      </c>
      <c r="F606" s="18">
        <v>2286.4866372736933</v>
      </c>
      <c r="G606" s="18">
        <v>1280.5008152471203</v>
      </c>
      <c r="H606" s="12">
        <f>E607</f>
      </c>
      <c r="I606" s="12">
        <f>F607</f>
      </c>
      <c r="J606" s="12">
        <f>G607</f>
      </c>
      <c r="K606">
        <f>IF(AND(Pu&gt;=MIN(E606,H606),Pu&lt;=MAX(E606,H606),E606&lt;&gt;H606),1,0)</f>
      </c>
      <c r="L606">
        <f>IF(K606=1,(Pu-E606)/(H606-E606),"")</f>
      </c>
      <c r="M606" s="12">
        <f>IF(K606=1,F606+L606*(I606-F606),"")</f>
      </c>
      <c r="N606" s="12">
        <f>IF(K606=1,G606+L606*(J606-G606),"")</f>
      </c>
    </row>
    <row r="607" spans="2:14" x14ac:dyDescent="0.25">
      <c r="B607">
        <v>17</v>
      </c>
      <c r="C607">
        <v>75.00000000000001</v>
      </c>
      <c r="D607">
        <v>28</v>
      </c>
      <c r="E607" s="18">
        <v>-1220.54346784786</v>
      </c>
      <c r="F607" s="18">
        <v>1883.1105829049159</v>
      </c>
      <c r="G607" s="18">
        <v>1117.9652594935565</v>
      </c>
      <c r="H607" s="12">
        <f>E608</f>
      </c>
      <c r="I607" s="12">
        <f>F608</f>
      </c>
      <c r="J607" s="12">
        <f>G608</f>
      </c>
      <c r="K607">
        <f>IF(AND(Pu&gt;=MIN(E607,H607),Pu&lt;=MAX(E607,H607),E607&lt;&gt;H607),1,0)</f>
      </c>
      <c r="L607">
        <f>IF(K607=1,(Pu-E607)/(H607-E607),"")</f>
      </c>
      <c r="M607" s="12">
        <f>IF(K607=1,F607+L607*(I607-F607),"")</f>
      </c>
      <c r="N607" s="12">
        <f>IF(K607=1,G607+L607*(J607-G607),"")</f>
      </c>
    </row>
    <row r="608" spans="2:14" x14ac:dyDescent="0.25">
      <c r="B608">
        <v>17</v>
      </c>
      <c r="C608">
        <v>75.00000000000001</v>
      </c>
      <c r="D608">
        <v>29</v>
      </c>
      <c r="E608" s="18">
        <v>-1913.5931392446541</v>
      </c>
      <c r="F608" s="18">
        <v>1547.6442146618144</v>
      </c>
      <c r="G608" s="18">
        <v>980.4354029909042</v>
      </c>
      <c r="H608" s="12">
        <f>E609</f>
      </c>
      <c r="I608" s="12">
        <f>F609</f>
      </c>
      <c r="J608" s="12">
        <f>G609</f>
      </c>
      <c r="K608">
        <f>IF(AND(Pu&gt;=MIN(E608,H608),Pu&lt;=MAX(E608,H608),E608&lt;&gt;H608),1,0)</f>
      </c>
      <c r="L608">
        <f>IF(K608=1,(Pu-E608)/(H608-E608),"")</f>
      </c>
      <c r="M608" s="12">
        <f>IF(K608=1,F608+L608*(I608-F608),"")</f>
      </c>
      <c r="N608" s="12">
        <f>IF(K608=1,G608+L608*(J608-G608),"")</f>
      </c>
    </row>
    <row r="609" spans="2:14" x14ac:dyDescent="0.25">
      <c r="B609">
        <v>17</v>
      </c>
      <c r="C609">
        <v>75.00000000000001</v>
      </c>
      <c r="D609">
        <v>30</v>
      </c>
      <c r="E609" s="18">
        <v>-2901.7269487846847</v>
      </c>
      <c r="F609" s="18">
        <v>1068.941077641683</v>
      </c>
      <c r="G609" s="18">
        <v>722.9636361433104</v>
      </c>
      <c r="H609" s="12">
        <f>E610</f>
      </c>
      <c r="I609" s="12">
        <f>F610</f>
      </c>
      <c r="J609" s="12">
        <f>G610</f>
      </c>
      <c r="K609">
        <f>IF(AND(Pu&gt;=MIN(E609,H609),Pu&lt;=MAX(E609,H609),E609&lt;&gt;H609),1,0)</f>
      </c>
      <c r="L609">
        <f>IF(K609=1,(Pu-E609)/(H609-E609),"")</f>
      </c>
      <c r="M609" s="12">
        <f>IF(K609=1,F609+L609*(I609-F609),"")</f>
      </c>
      <c r="N609" s="12">
        <f>IF(K609=1,G609+L609*(J609-G609),"")</f>
      </c>
    </row>
    <row r="610" spans="2:14" x14ac:dyDescent="0.25">
      <c r="B610">
        <v>17</v>
      </c>
      <c r="C610">
        <v>75.00000000000001</v>
      </c>
      <c r="D610">
        <v>31</v>
      </c>
      <c r="E610" s="18">
        <v>-3486.2717989779635</v>
      </c>
      <c r="F610" s="18">
        <v>773.3795503754567</v>
      </c>
      <c r="G610" s="18">
        <v>547.9918963617703</v>
      </c>
      <c r="H610" s="12">
        <f>E611</f>
      </c>
      <c r="I610" s="12">
        <f>F611</f>
      </c>
      <c r="J610" s="12">
        <f>G611</f>
      </c>
      <c r="K610">
        <f>IF(AND(Pu&gt;=MIN(E610,H610),Pu&lt;=MAX(E610,H610),E610&lt;&gt;H610),1,0)</f>
      </c>
      <c r="L610">
        <f>IF(K610=1,(Pu-E610)/(H610-E610),"")</f>
      </c>
      <c r="M610" s="12">
        <f>IF(K610=1,F610+L610*(I610-F610),"")</f>
      </c>
      <c r="N610" s="12">
        <f>IF(K610=1,G610+L610*(J610-G610),"")</f>
      </c>
    </row>
    <row r="611" spans="2:14" x14ac:dyDescent="0.25">
      <c r="B611">
        <v>17</v>
      </c>
      <c r="C611">
        <v>75.00000000000001</v>
      </c>
      <c r="D611">
        <v>32</v>
      </c>
      <c r="E611" s="18">
        <v>-4098.960307965163</v>
      </c>
      <c r="F611" s="18">
        <v>449.28829574972445</v>
      </c>
      <c r="G611" s="18">
        <v>349.8736023501703</v>
      </c>
      <c r="H611" s="12">
        <f>E612</f>
      </c>
      <c r="I611" s="12">
        <f>F612</f>
      </c>
      <c r="J611" s="12">
        <f>G612</f>
      </c>
      <c r="K611">
        <f>IF(AND(Pu&gt;=MIN(E611,H611),Pu&lt;=MAX(E611,H611),E611&lt;&gt;H611),1,0)</f>
      </c>
      <c r="L611">
        <f>IF(K611=1,(Pu-E611)/(H611-E611),"")</f>
      </c>
      <c r="M611" s="12">
        <f>IF(K611=1,F611+L611*(I611-F611),"")</f>
      </c>
      <c r="N611" s="12">
        <f>IF(K611=1,G611+L611*(J611-G611),"")</f>
      </c>
    </row>
    <row r="612" spans="2:14" x14ac:dyDescent="0.25">
      <c r="B612">
        <v>17</v>
      </c>
      <c r="C612">
        <v>75.00000000000001</v>
      </c>
      <c r="D612">
        <v>33</v>
      </c>
      <c r="E612" s="18">
        <v>-4431.740486689303</v>
      </c>
      <c r="F612" s="18">
        <v>270.82521915072294</v>
      </c>
      <c r="G612" s="18">
        <v>223.84585890724125</v>
      </c>
      <c r="H612" s="12">
        <f>E613</f>
      </c>
      <c r="I612" s="12">
        <f>F613</f>
      </c>
      <c r="J612" s="12">
        <f>G613</f>
      </c>
      <c r="K612">
        <f>IF(AND(Pu&gt;=MIN(E612,H612),Pu&lt;=MAX(E612,H612),E612&lt;&gt;H612),1,0)</f>
      </c>
      <c r="L612">
        <f>IF(K612=1,(Pu-E612)/(H612-E612),"")</f>
      </c>
      <c r="M612" s="12">
        <f>IF(K612=1,F612+L612*(I612-F612),"")</f>
      </c>
      <c r="N612" s="12">
        <f>IF(K612=1,G612+L612*(J612-G612),"")</f>
      </c>
    </row>
    <row r="613" spans="2:14" x14ac:dyDescent="0.25">
      <c r="B613">
        <v>17</v>
      </c>
      <c r="C613">
        <v>75.00000000000001</v>
      </c>
      <c r="D613">
        <v>34</v>
      </c>
      <c r="E613" s="18">
        <v>-4781.665091967298</v>
      </c>
      <c r="F613" s="18">
        <v>80.97824293577825</v>
      </c>
      <c r="G613" s="18">
        <v>71.60425227818041</v>
      </c>
      <c r="H613" s="12">
        <f>E614</f>
      </c>
      <c r="I613" s="12">
        <f>F614</f>
      </c>
      <c r="J613" s="12">
        <f>G614</f>
      </c>
      <c r="K613">
        <f>IF(AND(Pu&gt;=MIN(E613,H613),Pu&lt;=MAX(E613,H613),E613&lt;&gt;H613),1,0)</f>
      </c>
      <c r="L613">
        <f>IF(K613=1,(Pu-E613)/(H613-E613),"")</f>
      </c>
      <c r="M613" s="12">
        <f>IF(K613=1,F613+L613*(I613-F613),"")</f>
      </c>
      <c r="N613" s="12">
        <f>IF(K613=1,G613+L613*(J613-G613),"")</f>
      </c>
    </row>
    <row r="614" spans="2:7" x14ac:dyDescent="0.25">
      <c r="B614">
        <v>17</v>
      </c>
      <c r="C614">
        <v>75.00000000000001</v>
      </c>
      <c r="D614">
        <v>35</v>
      </c>
      <c r="E614" s="18">
        <v>-4841.369813335681</v>
      </c>
      <c r="F614" s="18">
        <v>46.97329722521769</v>
      </c>
      <c r="G614" s="18">
        <v>41.91532836332662</v>
      </c>
    </row>
    <row r="616" spans="2:14" x14ac:dyDescent="0.25">
      <c r="B616">
        <v>18</v>
      </c>
      <c r="C616">
        <v>78.75000000000004</v>
      </c>
      <c r="D616">
        <v>1</v>
      </c>
      <c r="E616" s="18">
        <v>17263.170063934103</v>
      </c>
      <c r="F616" s="18">
        <v>2285.6322031906584</v>
      </c>
      <c r="G616" s="18">
        <v>835.2411015442773</v>
      </c>
      <c r="H616" s="12">
        <f>E617</f>
      </c>
      <c r="I616" s="12">
        <f>F617</f>
      </c>
      <c r="J616" s="12">
        <f>G617</f>
      </c>
      <c r="K616">
        <f>IF(AND(Pu&gt;=MIN(E616,H616),Pu&lt;=MAX(E616,H616),E616&lt;&gt;H616),1,0)</f>
      </c>
      <c r="L616">
        <f>IF(K616=1,(Pu-E616)/(H616-E616),"")</f>
      </c>
      <c r="M616" s="12">
        <f>IF(K616=1,F616+L616*(I616-F616),"")</f>
      </c>
      <c r="N616" s="12">
        <f>IF(K616=1,G616+L616*(J616-G616),"")</f>
      </c>
    </row>
    <row r="617" spans="2:14" x14ac:dyDescent="0.25">
      <c r="B617">
        <v>18</v>
      </c>
      <c r="C617">
        <v>78.75000000000004</v>
      </c>
      <c r="D617">
        <v>2</v>
      </c>
      <c r="E617" s="18">
        <v>15741.36203430424</v>
      </c>
      <c r="F617" s="18">
        <v>2881.5100609417564</v>
      </c>
      <c r="G617" s="18">
        <v>790.0649663666198</v>
      </c>
      <c r="H617" s="12">
        <f>E618</f>
      </c>
      <c r="I617" s="12">
        <f>F618</f>
      </c>
      <c r="J617" s="12">
        <f>G618</f>
      </c>
      <c r="K617">
        <f>IF(AND(Pu&gt;=MIN(E617,H617),Pu&lt;=MAX(E617,H617),E617&lt;&gt;H617),1,0)</f>
      </c>
      <c r="L617">
        <f>IF(K617=1,(Pu-E617)/(H617-E617),"")</f>
      </c>
      <c r="M617" s="12">
        <f>IF(K617=1,F617+L617*(I617-F617),"")</f>
      </c>
      <c r="N617" s="12">
        <f>IF(K617=1,G617+L617*(J617-G617),"")</f>
      </c>
    </row>
    <row r="618" spans="2:14" x14ac:dyDescent="0.25">
      <c r="B618">
        <v>18</v>
      </c>
      <c r="C618">
        <v>78.75000000000004</v>
      </c>
      <c r="D618">
        <v>3</v>
      </c>
      <c r="E618" s="18">
        <v>14518.404330541478</v>
      </c>
      <c r="F618" s="18">
        <v>3280.966601615758</v>
      </c>
      <c r="G618" s="18">
        <v>769.336666971685</v>
      </c>
      <c r="H618" s="12">
        <f>E619</f>
      </c>
      <c r="I618" s="12">
        <f>F619</f>
      </c>
      <c r="J618" s="12">
        <f>G619</f>
      </c>
      <c r="K618">
        <f>IF(AND(Pu&gt;=MIN(E618,H618),Pu&lt;=MAX(E618,H618),E618&lt;&gt;H618),1,0)</f>
      </c>
      <c r="L618">
        <f>IF(K618=1,(Pu-E618)/(H618-E618),"")</f>
      </c>
      <c r="M618" s="12">
        <f>IF(K618=1,F618+L618*(I618-F618),"")</f>
      </c>
      <c r="N618" s="12">
        <f>IF(K618=1,G618+L618*(J618-G618),"")</f>
      </c>
    </row>
    <row r="619" spans="2:14" x14ac:dyDescent="0.25">
      <c r="B619">
        <v>18</v>
      </c>
      <c r="C619">
        <v>78.75000000000004</v>
      </c>
      <c r="D619">
        <v>4</v>
      </c>
      <c r="E619" s="18">
        <v>12744.384875227195</v>
      </c>
      <c r="F619" s="18">
        <v>3722.0877866031033</v>
      </c>
      <c r="G619" s="18">
        <v>784.9520355294839</v>
      </c>
      <c r="H619" s="12">
        <f>E620</f>
      </c>
      <c r="I619" s="12">
        <f>F620</f>
      </c>
      <c r="J619" s="12">
        <f>G620</f>
      </c>
      <c r="K619">
        <f>IF(AND(Pu&gt;=MIN(E619,H619),Pu&lt;=MAX(E619,H619),E619&lt;&gt;H619),1,0)</f>
      </c>
      <c r="L619">
        <f>IF(K619=1,(Pu-E619)/(H619-E619),"")</f>
      </c>
      <c r="M619" s="12">
        <f>IF(K619=1,F619+L619*(I619-F619),"")</f>
      </c>
      <c r="N619" s="12">
        <f>IF(K619=1,G619+L619*(J619-G619),"")</f>
      </c>
    </row>
    <row r="620" spans="2:14" x14ac:dyDescent="0.25">
      <c r="B620">
        <v>18</v>
      </c>
      <c r="C620">
        <v>78.75000000000004</v>
      </c>
      <c r="D620">
        <v>5</v>
      </c>
      <c r="E620" s="18">
        <v>11264.270084318927</v>
      </c>
      <c r="F620" s="18">
        <v>3983.318839151276</v>
      </c>
      <c r="G620" s="18">
        <v>821.8634724321934</v>
      </c>
      <c r="H620" s="12">
        <f>E621</f>
      </c>
      <c r="I620" s="12">
        <f>F621</f>
      </c>
      <c r="J620" s="12">
        <f>G621</f>
      </c>
      <c r="K620">
        <f>IF(AND(Pu&gt;=MIN(E620,H620),Pu&lt;=MAX(E620,H620),E620&lt;&gt;H620),1,0)</f>
      </c>
      <c r="L620">
        <f>IF(K620=1,(Pu-E620)/(H620-E620),"")</f>
      </c>
      <c r="M620" s="12">
        <f>IF(K620=1,F620+L620*(I620-F620),"")</f>
      </c>
      <c r="N620" s="12">
        <f>IF(K620=1,G620+L620*(J620-G620),"")</f>
      </c>
    </row>
    <row r="621" spans="2:14" x14ac:dyDescent="0.25">
      <c r="B621">
        <v>18</v>
      </c>
      <c r="C621">
        <v>78.75000000000004</v>
      </c>
      <c r="D621">
        <v>6</v>
      </c>
      <c r="E621" s="18">
        <v>9996.123651293998</v>
      </c>
      <c r="F621" s="18">
        <v>4152.588385755386</v>
      </c>
      <c r="G621" s="18">
        <v>849.710233290458</v>
      </c>
      <c r="H621" s="12">
        <f>E622</f>
      </c>
      <c r="I621" s="12">
        <f>F622</f>
      </c>
      <c r="J621" s="12">
        <f>G622</f>
      </c>
      <c r="K621">
        <f>IF(AND(Pu&gt;=MIN(E621,H621),Pu&lt;=MAX(E621,H621),E621&lt;&gt;H621),1,0)</f>
      </c>
      <c r="L621">
        <f>IF(K621=1,(Pu-E621)/(H621-E621),"")</f>
      </c>
      <c r="M621" s="12">
        <f>IF(K621=1,F621+L621*(I621-F621),"")</f>
      </c>
      <c r="N621" s="12">
        <f>IF(K621=1,G621+L621*(J621-G621),"")</f>
      </c>
    </row>
    <row r="622" spans="2:14" x14ac:dyDescent="0.25">
      <c r="B622">
        <v>18</v>
      </c>
      <c r="C622">
        <v>78.75000000000004</v>
      </c>
      <c r="D622">
        <v>7</v>
      </c>
      <c r="E622" s="18">
        <v>9089.590677847842</v>
      </c>
      <c r="F622" s="18">
        <v>4246.716281637672</v>
      </c>
      <c r="G622" s="18">
        <v>888.3907361739467</v>
      </c>
      <c r="H622" s="12">
        <f>E623</f>
      </c>
      <c r="I622" s="12">
        <f>F623</f>
      </c>
      <c r="J622" s="12">
        <f>G623</f>
      </c>
      <c r="K622">
        <f>IF(AND(Pu&gt;=MIN(E622,H622),Pu&lt;=MAX(E622,H622),E622&lt;&gt;H622),1,0)</f>
      </c>
      <c r="L622">
        <f>IF(K622=1,(Pu-E622)/(H622-E622),"")</f>
      </c>
      <c r="M622" s="12">
        <f>IF(K622=1,F622+L622*(I622-F622),"")</f>
      </c>
      <c r="N622" s="12">
        <f>IF(K622=1,G622+L622*(J622-G622),"")</f>
      </c>
    </row>
    <row r="623" spans="2:14" x14ac:dyDescent="0.25">
      <c r="B623">
        <v>18</v>
      </c>
      <c r="C623">
        <v>78.75000000000004</v>
      </c>
      <c r="D623">
        <v>8</v>
      </c>
      <c r="E623" s="18">
        <v>8968.568382833659</v>
      </c>
      <c r="F623" s="18">
        <v>4301.677585630803</v>
      </c>
      <c r="G623" s="18">
        <v>900.2478103025842</v>
      </c>
      <c r="H623" s="12">
        <f>E624</f>
      </c>
      <c r="I623" s="12">
        <f>F624</f>
      </c>
      <c r="J623" s="12">
        <f>G624</f>
      </c>
      <c r="K623">
        <f>IF(AND(Pu&gt;=MIN(E623,H623),Pu&lt;=MAX(E623,H623),E623&lt;&gt;H623),1,0)</f>
      </c>
      <c r="L623">
        <f>IF(K623=1,(Pu-E623)/(H623-E623),"")</f>
      </c>
      <c r="M623" s="12">
        <f>IF(K623=1,F623+L623*(I623-F623),"")</f>
      </c>
      <c r="N623" s="12">
        <f>IF(K623=1,G623+L623*(J623-G623),"")</f>
      </c>
    </row>
    <row r="624" spans="2:14" x14ac:dyDescent="0.25">
      <c r="B624">
        <v>18</v>
      </c>
      <c r="C624">
        <v>78.75000000000004</v>
      </c>
      <c r="D624">
        <v>9</v>
      </c>
      <c r="E624" s="18">
        <v>8624.481031018415</v>
      </c>
      <c r="F624" s="18">
        <v>4452.368642622155</v>
      </c>
      <c r="G624" s="18">
        <v>932.7718411391146</v>
      </c>
      <c r="H624" s="12">
        <f>E625</f>
      </c>
      <c r="I624" s="12">
        <f>F625</f>
      </c>
      <c r="J624" s="12">
        <f>G625</f>
      </c>
      <c r="K624">
        <f>IF(AND(Pu&gt;=MIN(E624,H624),Pu&lt;=MAX(E624,H624),E624&lt;&gt;H624),1,0)</f>
      </c>
      <c r="L624">
        <f>IF(K624=1,(Pu-E624)/(H624-E624),"")</f>
      </c>
      <c r="M624" s="12">
        <f>IF(K624=1,F624+L624*(I624-F624),"")</f>
      </c>
      <c r="N624" s="12">
        <f>IF(K624=1,G624+L624*(J624-G624),"")</f>
      </c>
    </row>
    <row r="625" spans="2:14" x14ac:dyDescent="0.25">
      <c r="B625">
        <v>18</v>
      </c>
      <c r="C625">
        <v>78.75000000000004</v>
      </c>
      <c r="D625">
        <v>10</v>
      </c>
      <c r="E625" s="18">
        <v>8430.589065735248</v>
      </c>
      <c r="F625" s="18">
        <v>4532.4857099829715</v>
      </c>
      <c r="G625" s="18">
        <v>953.4257423003348</v>
      </c>
      <c r="H625" s="12">
        <f>E626</f>
      </c>
      <c r="I625" s="12">
        <f>F626</f>
      </c>
      <c r="J625" s="12">
        <f>G626</f>
      </c>
      <c r="K625">
        <f>IF(AND(Pu&gt;=MIN(E625,H625),Pu&lt;=MAX(E625,H625),E625&lt;&gt;H625),1,0)</f>
      </c>
      <c r="L625">
        <f>IF(K625=1,(Pu-E625)/(H625-E625),"")</f>
      </c>
      <c r="M625" s="12">
        <f>IF(K625=1,F625+L625*(I625-F625),"")</f>
      </c>
      <c r="N625" s="12">
        <f>IF(K625=1,G625+L625*(J625-G625),"")</f>
      </c>
    </row>
    <row r="626" spans="2:14" x14ac:dyDescent="0.25">
      <c r="B626">
        <v>18</v>
      </c>
      <c r="C626">
        <v>78.75000000000004</v>
      </c>
      <c r="D626">
        <v>11</v>
      </c>
      <c r="E626" s="18">
        <v>8245.33515260886</v>
      </c>
      <c r="F626" s="18">
        <v>4604.882627846393</v>
      </c>
      <c r="G626" s="18">
        <v>979.7755807404761</v>
      </c>
      <c r="H626" s="12">
        <f>E627</f>
      </c>
      <c r="I626" s="12">
        <f>F627</f>
      </c>
      <c r="J626" s="12">
        <f>G627</f>
      </c>
      <c r="K626">
        <f>IF(AND(Pu&gt;=MIN(E626,H626),Pu&lt;=MAX(E626,H626),E626&lt;&gt;H626),1,0)</f>
      </c>
      <c r="L626">
        <f>IF(K626=1,(Pu-E626)/(H626-E626),"")</f>
      </c>
      <c r="M626" s="12">
        <f>IF(K626=1,F626+L626*(I626-F626),"")</f>
      </c>
      <c r="N626" s="12">
        <f>IF(K626=1,G626+L626*(J626-G626),"")</f>
      </c>
    </row>
    <row r="627" spans="2:14" x14ac:dyDescent="0.25">
      <c r="B627">
        <v>18</v>
      </c>
      <c r="C627">
        <v>78.75000000000004</v>
      </c>
      <c r="D627">
        <v>12</v>
      </c>
      <c r="E627" s="18">
        <v>8046.305946895444</v>
      </c>
      <c r="F627" s="18">
        <v>4677.658071688338</v>
      </c>
      <c r="G627" s="18">
        <v>1009.7859436445619</v>
      </c>
      <c r="H627" s="12">
        <f>E628</f>
      </c>
      <c r="I627" s="12">
        <f>F628</f>
      </c>
      <c r="J627" s="12">
        <f>G628</f>
      </c>
      <c r="K627">
        <f>IF(AND(Pu&gt;=MIN(E627,H627),Pu&lt;=MAX(E627,H627),E627&lt;&gt;H627),1,0)</f>
      </c>
      <c r="L627">
        <f>IF(K627=1,(Pu-E627)/(H627-E627),"")</f>
      </c>
      <c r="M627" s="12">
        <f>IF(K627=1,F627+L627*(I627-F627),"")</f>
      </c>
      <c r="N627" s="12">
        <f>IF(K627=1,G627+L627*(J627-G627),"")</f>
      </c>
    </row>
    <row r="628" spans="2:14" x14ac:dyDescent="0.25">
      <c r="B628">
        <v>18</v>
      </c>
      <c r="C628">
        <v>78.75000000000004</v>
      </c>
      <c r="D628">
        <v>13</v>
      </c>
      <c r="E628" s="18">
        <v>7968.925344753756</v>
      </c>
      <c r="F628" s="18">
        <v>4713.409334125257</v>
      </c>
      <c r="G628" s="18">
        <v>1010.5460070140522</v>
      </c>
      <c r="H628" s="12">
        <f>E629</f>
      </c>
      <c r="I628" s="12">
        <f>F629</f>
      </c>
      <c r="J628" s="12">
        <f>G629</f>
      </c>
      <c r="K628">
        <f>IF(AND(Pu&gt;=MIN(E628,H628),Pu&lt;=MAX(E628,H628),E628&lt;&gt;H628),1,0)</f>
      </c>
      <c r="L628">
        <f>IF(K628=1,(Pu-E628)/(H628-E628),"")</f>
      </c>
      <c r="M628" s="12">
        <f>IF(K628=1,F628+L628*(I628-F628),"")</f>
      </c>
      <c r="N628" s="12">
        <f>IF(K628=1,G628+L628*(J628-G628),"")</f>
      </c>
    </row>
    <row r="629" spans="2:14" x14ac:dyDescent="0.25">
      <c r="B629">
        <v>18</v>
      </c>
      <c r="C629">
        <v>78.75000000000004</v>
      </c>
      <c r="D629">
        <v>14</v>
      </c>
      <c r="E629" s="18">
        <v>7694.1546449298285</v>
      </c>
      <c r="F629" s="18">
        <v>4799.559044549446</v>
      </c>
      <c r="G629" s="18">
        <v>1044.4218373136537</v>
      </c>
      <c r="H629" s="12">
        <f>E630</f>
      </c>
      <c r="I629" s="12">
        <f>F630</f>
      </c>
      <c r="J629" s="12">
        <f>G630</f>
      </c>
      <c r="K629">
        <f>IF(AND(Pu&gt;=MIN(E629,H629),Pu&lt;=MAX(E629,H629),E629&lt;&gt;H629),1,0)</f>
      </c>
      <c r="L629">
        <f>IF(K629=1,(Pu-E629)/(H629-E629),"")</f>
      </c>
      <c r="M629" s="12">
        <f>IF(K629=1,F629+L629*(I629-F629),"")</f>
      </c>
      <c r="N629" s="12">
        <f>IF(K629=1,G629+L629*(J629-G629),"")</f>
      </c>
    </row>
    <row r="630" spans="2:14" x14ac:dyDescent="0.25">
      <c r="B630">
        <v>18</v>
      </c>
      <c r="C630">
        <v>78.75000000000004</v>
      </c>
      <c r="D630">
        <v>15</v>
      </c>
      <c r="E630" s="18">
        <v>7683.60897546197</v>
      </c>
      <c r="F630" s="18">
        <v>4802.550066448877</v>
      </c>
      <c r="G630" s="18">
        <v>1045.825669470348</v>
      </c>
      <c r="H630" s="12">
        <f>E631</f>
      </c>
      <c r="I630" s="12">
        <f>F631</f>
      </c>
      <c r="J630" s="12">
        <f>G631</f>
      </c>
      <c r="K630">
        <f>IF(AND(Pu&gt;=MIN(E630,H630),Pu&lt;=MAX(E630,H630),E630&lt;&gt;H630),1,0)</f>
      </c>
      <c r="L630">
        <f>IF(K630=1,(Pu-E630)/(H630-E630),"")</f>
      </c>
      <c r="M630" s="12">
        <f>IF(K630=1,F630+L630*(I630-F630),"")</f>
      </c>
      <c r="N630" s="12">
        <f>IF(K630=1,G630+L630*(J630-G630),"")</f>
      </c>
    </row>
    <row r="631" spans="2:14" x14ac:dyDescent="0.25">
      <c r="B631">
        <v>18</v>
      </c>
      <c r="C631">
        <v>78.75000000000004</v>
      </c>
      <c r="D631">
        <v>16</v>
      </c>
      <c r="E631" s="18">
        <v>7390.869080851162</v>
      </c>
      <c r="F631" s="18">
        <v>4878.912713131204</v>
      </c>
      <c r="G631" s="18">
        <v>1087.6450426691517</v>
      </c>
      <c r="H631" s="12">
        <f>E632</f>
      </c>
      <c r="I631" s="12">
        <f>F632</f>
      </c>
      <c r="J631" s="12">
        <f>G632</f>
      </c>
      <c r="K631">
        <f>IF(AND(Pu&gt;=MIN(E631,H631),Pu&lt;=MAX(E631,H631),E631&lt;&gt;H631),1,0)</f>
      </c>
      <c r="L631">
        <f>IF(K631=1,(Pu-E631)/(H631-E631),"")</f>
      </c>
      <c r="M631" s="12">
        <f>IF(K631=1,F631+L631*(I631-F631),"")</f>
      </c>
      <c r="N631" s="12">
        <f>IF(K631=1,G631+L631*(J631-G631),"")</f>
      </c>
    </row>
    <row r="632" spans="2:14" x14ac:dyDescent="0.25">
      <c r="B632">
        <v>18</v>
      </c>
      <c r="C632">
        <v>78.75000000000004</v>
      </c>
      <c r="D632">
        <v>17</v>
      </c>
      <c r="E632" s="18">
        <v>7121.390564748029</v>
      </c>
      <c r="F632" s="18">
        <v>4945.916178921034</v>
      </c>
      <c r="G632" s="18">
        <v>1136.632861634583</v>
      </c>
      <c r="H632" s="12">
        <f>E633</f>
      </c>
      <c r="I632" s="12">
        <f>F633</f>
      </c>
      <c r="J632" s="12">
        <f>G633</f>
      </c>
      <c r="K632">
        <f>IF(AND(Pu&gt;=MIN(E632,H632),Pu&lt;=MAX(E632,H632),E632&lt;&gt;H632),1,0)</f>
      </c>
      <c r="L632">
        <f>IF(K632=1,(Pu-E632)/(H632-E632),"")</f>
      </c>
      <c r="M632" s="12">
        <f>IF(K632=1,F632+L632*(I632-F632),"")</f>
      </c>
      <c r="N632" s="12">
        <f>IF(K632=1,G632+L632*(J632-G632),"")</f>
      </c>
    </row>
    <row r="633" spans="2:14" x14ac:dyDescent="0.25">
      <c r="B633">
        <v>18</v>
      </c>
      <c r="C633">
        <v>78.75000000000004</v>
      </c>
      <c r="D633">
        <v>18</v>
      </c>
      <c r="E633" s="18">
        <v>7002.909511011266</v>
      </c>
      <c r="F633" s="18">
        <v>4971.444248090723</v>
      </c>
      <c r="G633" s="18">
        <v>1148.0735041421137</v>
      </c>
      <c r="H633" s="12">
        <f>E634</f>
      </c>
      <c r="I633" s="12">
        <f>F634</f>
      </c>
      <c r="J633" s="12">
        <f>G634</f>
      </c>
      <c r="K633">
        <f>IF(AND(Pu&gt;=MIN(E633,H633),Pu&lt;=MAX(E633,H633),E633&lt;&gt;H633),1,0)</f>
      </c>
      <c r="L633">
        <f>IF(K633=1,(Pu-E633)/(H633-E633),"")</f>
      </c>
      <c r="M633" s="12">
        <f>IF(K633=1,F633+L633*(I633-F633),"")</f>
      </c>
      <c r="N633" s="12">
        <f>IF(K633=1,G633+L633*(J633-G633),"")</f>
      </c>
    </row>
    <row r="634" spans="2:14" x14ac:dyDescent="0.25">
      <c r="B634">
        <v>18</v>
      </c>
      <c r="C634">
        <v>78.75000000000004</v>
      </c>
      <c r="D634">
        <v>19</v>
      </c>
      <c r="E634" s="18">
        <v>6852.244521915901</v>
      </c>
      <c r="F634" s="18">
        <v>5001.202622016973</v>
      </c>
      <c r="G634" s="18">
        <v>1161.933554270149</v>
      </c>
      <c r="H634" s="12">
        <f>E635</f>
      </c>
      <c r="I634" s="12">
        <f>F635</f>
      </c>
      <c r="J634" s="12">
        <f>G635</f>
      </c>
      <c r="K634">
        <f>IF(AND(Pu&gt;=MIN(E634,H634),Pu&lt;=MAX(E634,H634),E634&lt;&gt;H634),1,0)</f>
      </c>
      <c r="L634">
        <f>IF(K634=1,(Pu-E634)/(H634-E634),"")</f>
      </c>
      <c r="M634" s="12">
        <f>IF(K634=1,F634+L634*(I634-F634),"")</f>
      </c>
      <c r="N634" s="12">
        <f>IF(K634=1,G634+L634*(J634-G634),"")</f>
      </c>
    </row>
    <row r="635" spans="2:14" x14ac:dyDescent="0.25">
      <c r="B635">
        <v>18</v>
      </c>
      <c r="C635">
        <v>78.75000000000004</v>
      </c>
      <c r="D635">
        <v>20</v>
      </c>
      <c r="E635" s="18">
        <v>6616.769455114661</v>
      </c>
      <c r="F635" s="18">
        <v>5037.3865912113915</v>
      </c>
      <c r="G635" s="18">
        <v>1201.5602846809268</v>
      </c>
      <c r="H635" s="12">
        <f>E636</f>
      </c>
      <c r="I635" s="12">
        <f>F636</f>
      </c>
      <c r="J635" s="12">
        <f>G636</f>
      </c>
      <c r="K635">
        <f>IF(AND(Pu&gt;=MIN(E635,H635),Pu&lt;=MAX(E635,H635),E635&lt;&gt;H635),1,0)</f>
      </c>
      <c r="L635">
        <f>IF(K635=1,(Pu-E635)/(H635-E635),"")</f>
      </c>
      <c r="M635" s="12">
        <f>IF(K635=1,F635+L635*(I635-F635),"")</f>
      </c>
      <c r="N635" s="12">
        <f>IF(K635=1,G635+L635*(J635-G635),"")</f>
      </c>
    </row>
    <row r="636" spans="2:14" x14ac:dyDescent="0.25">
      <c r="B636">
        <v>18</v>
      </c>
      <c r="C636">
        <v>78.75000000000004</v>
      </c>
      <c r="D636">
        <v>21</v>
      </c>
      <c r="E636" s="18">
        <v>6601.301168973165</v>
      </c>
      <c r="F636" s="18">
        <v>5039.434939117215</v>
      </c>
      <c r="G636" s="18">
        <v>1204.4775586545518</v>
      </c>
      <c r="H636" s="12">
        <f>E637</f>
      </c>
      <c r="I636" s="12">
        <f>F637</f>
      </c>
      <c r="J636" s="12">
        <f>G637</f>
      </c>
      <c r="K636">
        <f>IF(AND(Pu&gt;=MIN(E636,H636),Pu&lt;=MAX(E636,H636),E636&lt;&gt;H636),1,0)</f>
      </c>
      <c r="L636">
        <f>IF(K636=1,(Pu-E636)/(H636-E636),"")</f>
      </c>
      <c r="M636" s="12">
        <f>IF(K636=1,F636+L636*(I636-F636),"")</f>
      </c>
      <c r="N636" s="12">
        <f>IF(K636=1,G636+L636*(J636-G636),"")</f>
      </c>
    </row>
    <row r="637" spans="2:14" x14ac:dyDescent="0.25">
      <c r="B637">
        <v>18</v>
      </c>
      <c r="C637">
        <v>78.75000000000004</v>
      </c>
      <c r="D637">
        <v>22</v>
      </c>
      <c r="E637" s="18">
        <v>5939.341092451698</v>
      </c>
      <c r="F637" s="18">
        <v>4860.457107130526</v>
      </c>
      <c r="G637" s="18">
        <v>1222.1135608456605</v>
      </c>
      <c r="H637" s="12">
        <f>E638</f>
      </c>
      <c r="I637" s="12">
        <f>F638</f>
      </c>
      <c r="J637" s="12">
        <f>G638</f>
      </c>
      <c r="K637">
        <f>IF(AND(Pu&gt;=MIN(E637,H637),Pu&lt;=MAX(E637,H637),E637&lt;&gt;H637),1,0)</f>
      </c>
      <c r="L637">
        <f>IF(K637=1,(Pu-E637)/(H637-E637),"")</f>
      </c>
      <c r="M637" s="12">
        <f>IF(K637=1,F637+L637*(I637-F637),"")</f>
      </c>
      <c r="N637" s="12">
        <f>IF(K637=1,G637+L637*(J637-G637),"")</f>
      </c>
    </row>
    <row r="638" spans="2:14" x14ac:dyDescent="0.25">
      <c r="B638">
        <v>18</v>
      </c>
      <c r="C638">
        <v>78.75000000000004</v>
      </c>
      <c r="D638">
        <v>23</v>
      </c>
      <c r="E638" s="18">
        <v>4652.013442352151</v>
      </c>
      <c r="F638" s="18">
        <v>4459.783923739457</v>
      </c>
      <c r="G638" s="18">
        <v>1257.1645981501824</v>
      </c>
      <c r="H638" s="12">
        <f>E639</f>
      </c>
      <c r="I638" s="12">
        <f>F639</f>
      </c>
      <c r="J638" s="12">
        <f>G639</f>
      </c>
      <c r="K638">
        <f>IF(AND(Pu&gt;=MIN(E638,H638),Pu&lt;=MAX(E638,H638),E638&lt;&gt;H638),1,0)</f>
      </c>
      <c r="L638">
        <f>IF(K638=1,(Pu-E638)/(H638-E638),"")</f>
      </c>
      <c r="M638" s="12">
        <f>IF(K638=1,F638+L638*(I638-F638),"")</f>
      </c>
      <c r="N638" s="12">
        <f>IF(K638=1,G638+L638*(J638-G638),"")</f>
      </c>
    </row>
    <row r="639" spans="2:14" x14ac:dyDescent="0.25">
      <c r="B639">
        <v>18</v>
      </c>
      <c r="C639">
        <v>78.75000000000004</v>
      </c>
      <c r="D639">
        <v>24</v>
      </c>
      <c r="E639" s="18">
        <v>3587.6555360911593</v>
      </c>
      <c r="F639" s="18">
        <v>4069.009747752626</v>
      </c>
      <c r="G639" s="18">
        <v>1287.3812857778448</v>
      </c>
      <c r="H639" s="12">
        <f>E640</f>
      </c>
      <c r="I639" s="12">
        <f>F640</f>
      </c>
      <c r="J639" s="12">
        <f>G640</f>
      </c>
      <c r="K639">
        <f>IF(AND(Pu&gt;=MIN(E639,H639),Pu&lt;=MAX(E639,H639),E639&lt;&gt;H639),1,0)</f>
      </c>
      <c r="L639">
        <f>IF(K639=1,(Pu-E639)/(H639-E639),"")</f>
      </c>
      <c r="M639" s="12">
        <f>IF(K639=1,F639+L639*(I639-F639),"")</f>
      </c>
      <c r="N639" s="12">
        <f>IF(K639=1,G639+L639*(J639-G639),"")</f>
      </c>
    </row>
    <row r="640" spans="2:14" x14ac:dyDescent="0.25">
      <c r="B640">
        <v>18</v>
      </c>
      <c r="C640">
        <v>78.75000000000004</v>
      </c>
      <c r="D640">
        <v>25</v>
      </c>
      <c r="E640" s="18">
        <v>2692.1278418916204</v>
      </c>
      <c r="F640" s="18">
        <v>3714.734948147205</v>
      </c>
      <c r="G640" s="18">
        <v>1307.7576175561173</v>
      </c>
      <c r="H640" s="12">
        <f>E641</f>
      </c>
      <c r="I640" s="12">
        <f>F641</f>
      </c>
      <c r="J640" s="12">
        <f>G641</f>
      </c>
      <c r="K640">
        <f>IF(AND(Pu&gt;=MIN(E640,H640),Pu&lt;=MAX(E640,H640),E640&lt;&gt;H640),1,0)</f>
      </c>
      <c r="L640">
        <f>IF(K640=1,(Pu-E640)/(H640-E640),"")</f>
      </c>
      <c r="M640" s="12">
        <f>IF(K640=1,F640+L640*(I640-F640),"")</f>
      </c>
      <c r="N640" s="12">
        <f>IF(K640=1,G640+L640*(J640-G640),"")</f>
      </c>
    </row>
    <row r="641" spans="2:14" x14ac:dyDescent="0.25">
      <c r="B641">
        <v>18</v>
      </c>
      <c r="C641">
        <v>78.75000000000004</v>
      </c>
      <c r="D641">
        <v>26</v>
      </c>
      <c r="E641" s="18">
        <v>1257.078219974297</v>
      </c>
      <c r="F641" s="18">
        <v>3110.347994994956</v>
      </c>
      <c r="G641" s="18">
        <v>1213.275727193457</v>
      </c>
      <c r="H641" s="12">
        <f>E642</f>
      </c>
      <c r="I641" s="12">
        <f>F642</f>
      </c>
      <c r="J641" s="12">
        <f>G642</f>
      </c>
      <c r="K641">
        <f>IF(AND(Pu&gt;=MIN(E641,H641),Pu&lt;=MAX(E641,H641),E641&lt;&gt;H641),1,0)</f>
      </c>
      <c r="L641">
        <f>IF(K641=1,(Pu-E641)/(H641-E641),"")</f>
      </c>
      <c r="M641" s="12">
        <f>IF(K641=1,F641+L641*(I641-F641),"")</f>
      </c>
      <c r="N641" s="12">
        <f>IF(K641=1,G641+L641*(J641-G641),"")</f>
      </c>
    </row>
    <row r="642" spans="2:14" x14ac:dyDescent="0.25">
      <c r="B642">
        <v>18</v>
      </c>
      <c r="C642">
        <v>78.75000000000004</v>
      </c>
      <c r="D642">
        <v>27</v>
      </c>
      <c r="E642" s="18">
        <v>129.0564382005434</v>
      </c>
      <c r="F642" s="18">
        <v>2582.7359433819042</v>
      </c>
      <c r="G642" s="18">
        <v>1105.109782289854</v>
      </c>
      <c r="H642" s="12">
        <f>E643</f>
      </c>
      <c r="I642" s="12">
        <f>F643</f>
      </c>
      <c r="J642" s="12">
        <f>G643</f>
      </c>
      <c r="K642">
        <f>IF(AND(Pu&gt;=MIN(E642,H642),Pu&lt;=MAX(E642,H642),E642&lt;&gt;H642),1,0)</f>
      </c>
      <c r="L642">
        <f>IF(K642=1,(Pu-E642)/(H642-E642),"")</f>
      </c>
      <c r="M642" s="12">
        <f>IF(K642=1,F642+L642*(I642-F642),"")</f>
      </c>
      <c r="N642" s="12">
        <f>IF(K642=1,G642+L642*(J642-G642),"")</f>
      </c>
    </row>
    <row r="643" spans="2:14" x14ac:dyDescent="0.25">
      <c r="B643">
        <v>18</v>
      </c>
      <c r="C643">
        <v>78.75000000000004</v>
      </c>
      <c r="D643">
        <v>28</v>
      </c>
      <c r="E643" s="18">
        <v>-773.7644288828283</v>
      </c>
      <c r="F643" s="18">
        <v>2148.1773422341134</v>
      </c>
      <c r="G643" s="18">
        <v>976.806030039942</v>
      </c>
      <c r="H643" s="12">
        <f>E644</f>
      </c>
      <c r="I643" s="12">
        <f>F644</f>
      </c>
      <c r="J643" s="12">
        <f>G644</f>
      </c>
      <c r="K643">
        <f>IF(AND(Pu&gt;=MIN(E643,H643),Pu&lt;=MAX(E643,H643),E643&lt;&gt;H643),1,0)</f>
      </c>
      <c r="L643">
        <f>IF(K643=1,(Pu-E643)/(H643-E643),"")</f>
      </c>
      <c r="M643" s="12">
        <f>IF(K643=1,F643+L643*(I643-F643),"")</f>
      </c>
      <c r="N643" s="12">
        <f>IF(K643=1,G643+L643*(J643-G643),"")</f>
      </c>
    </row>
    <row r="644" spans="2:14" x14ac:dyDescent="0.25">
      <c r="B644">
        <v>18</v>
      </c>
      <c r="C644">
        <v>78.75000000000004</v>
      </c>
      <c r="D644">
        <v>29</v>
      </c>
      <c r="E644" s="18">
        <v>-1481.0412734858828</v>
      </c>
      <c r="F644" s="18">
        <v>1804.0775847937002</v>
      </c>
      <c r="G644" s="18">
        <v>853.1452187201252</v>
      </c>
      <c r="H644" s="12">
        <f>E645</f>
      </c>
      <c r="I644" s="12">
        <f>F645</f>
      </c>
      <c r="J644" s="12">
        <f>G645</f>
      </c>
      <c r="K644">
        <f>IF(AND(Pu&gt;=MIN(E644,H644),Pu&lt;=MAX(E644,H644),E644&lt;&gt;H644),1,0)</f>
      </c>
      <c r="L644">
        <f>IF(K644=1,(Pu-E644)/(H644-E644),"")</f>
      </c>
      <c r="M644" s="12">
        <f>IF(K644=1,F644+L644*(I644-F644),"")</f>
      </c>
      <c r="N644" s="12">
        <f>IF(K644=1,G644+L644*(J644-G644),"")</f>
      </c>
    </row>
    <row r="645" spans="2:14" x14ac:dyDescent="0.25">
      <c r="B645">
        <v>18</v>
      </c>
      <c r="C645">
        <v>78.75000000000004</v>
      </c>
      <c r="D645">
        <v>30</v>
      </c>
      <c r="E645" s="18">
        <v>-2571.1104438153</v>
      </c>
      <c r="F645" s="18">
        <v>1263.753810302793</v>
      </c>
      <c r="G645" s="18">
        <v>666.6537301312131</v>
      </c>
      <c r="H645" s="12">
        <f>E646</f>
      </c>
      <c r="I645" s="12">
        <f>F646</f>
      </c>
      <c r="J645" s="12">
        <f>G646</f>
      </c>
      <c r="K645">
        <f>IF(AND(Pu&gt;=MIN(E645,H645),Pu&lt;=MAX(E645,H645),E645&lt;&gt;H645),1,0)</f>
      </c>
      <c r="L645">
        <f>IF(K645=1,(Pu-E645)/(H645-E645),"")</f>
      </c>
      <c r="M645" s="12">
        <f>IF(K645=1,F645+L645*(I645-F645),"")</f>
      </c>
      <c r="N645" s="12">
        <f>IF(K645=1,G645+L645*(J645-G645),"")</f>
      </c>
    </row>
    <row r="646" spans="2:14" x14ac:dyDescent="0.25">
      <c r="B646">
        <v>18</v>
      </c>
      <c r="C646">
        <v>78.75000000000004</v>
      </c>
      <c r="D646">
        <v>31</v>
      </c>
      <c r="E646" s="18">
        <v>-3227.853739921253</v>
      </c>
      <c r="F646" s="18">
        <v>917.8558065467683</v>
      </c>
      <c r="G646" s="18">
        <v>557.1441676807264</v>
      </c>
      <c r="H646" s="12">
        <f>E647</f>
      </c>
      <c r="I646" s="12">
        <f>F647</f>
      </c>
      <c r="J646" s="12">
        <f>G647</f>
      </c>
      <c r="K646">
        <f>IF(AND(Pu&gt;=MIN(E646,H646),Pu&lt;=MAX(E646,H646),E646&lt;&gt;H646),1,0)</f>
      </c>
      <c r="L646">
        <f>IF(K646=1,(Pu-E646)/(H646-E646),"")</f>
      </c>
      <c r="M646" s="12">
        <f>IF(K646=1,F646+L646*(I646-F646),"")</f>
      </c>
      <c r="N646" s="12">
        <f>IF(K646=1,G646+L646*(J646-G646),"")</f>
      </c>
    </row>
    <row r="647" spans="2:14" x14ac:dyDescent="0.25">
      <c r="B647">
        <v>18</v>
      </c>
      <c r="C647">
        <v>78.75000000000004</v>
      </c>
      <c r="D647">
        <v>32</v>
      </c>
      <c r="E647" s="18">
        <v>-3962.9541648549457</v>
      </c>
      <c r="F647" s="18">
        <v>525.5988107326511</v>
      </c>
      <c r="G647" s="18">
        <v>376.0885982877784</v>
      </c>
      <c r="H647" s="12">
        <f>E648</f>
      </c>
      <c r="I647" s="12">
        <f>F648</f>
      </c>
      <c r="J647" s="12">
        <f>G648</f>
      </c>
      <c r="K647">
        <f>IF(AND(Pu&gt;=MIN(E647,H647),Pu&lt;=MAX(E647,H647),E647&lt;&gt;H647),1,0)</f>
      </c>
      <c r="L647">
        <f>IF(K647=1,(Pu-E647)/(H647-E647),"")</f>
      </c>
      <c r="M647" s="12">
        <f>IF(K647=1,F647+L647*(I647-F647),"")</f>
      </c>
      <c r="N647" s="12">
        <f>IF(K647=1,G647+L647*(J647-G647),"")</f>
      </c>
    </row>
    <row r="648" spans="2:14" x14ac:dyDescent="0.25">
      <c r="B648">
        <v>18</v>
      </c>
      <c r="C648">
        <v>78.75000000000004</v>
      </c>
      <c r="D648">
        <v>33</v>
      </c>
      <c r="E648" s="18">
        <v>-4366.760590923742</v>
      </c>
      <c r="F648" s="18">
        <v>307.96483415973023</v>
      </c>
      <c r="G648" s="18">
        <v>241.24064474914908</v>
      </c>
      <c r="H648" s="12">
        <f>E649</f>
      </c>
      <c r="I648" s="12">
        <f>F649</f>
      </c>
      <c r="J648" s="12">
        <f>G649</f>
      </c>
      <c r="K648">
        <f>IF(AND(Pu&gt;=MIN(E648,H648),Pu&lt;=MAX(E648,H648),E648&lt;&gt;H648),1,0)</f>
      </c>
      <c r="L648">
        <f>IF(K648=1,(Pu-E648)/(H648-E648),"")</f>
      </c>
      <c r="M648" s="12">
        <f>IF(K648=1,F648+L648*(I648-F648),"")</f>
      </c>
      <c r="N648" s="12">
        <f>IF(K648=1,G648+L648*(J648-G648),"")</f>
      </c>
    </row>
    <row r="649" spans="2:14" x14ac:dyDescent="0.25">
      <c r="B649">
        <v>18</v>
      </c>
      <c r="C649">
        <v>78.75000000000004</v>
      </c>
      <c r="D649">
        <v>34</v>
      </c>
      <c r="E649" s="18">
        <v>-4766.35784458127</v>
      </c>
      <c r="F649" s="18">
        <v>90.28493324606512</v>
      </c>
      <c r="G649" s="18">
        <v>76.2223553285999</v>
      </c>
      <c r="H649" s="12">
        <f>E650</f>
      </c>
      <c r="I649" s="12">
        <f>F650</f>
      </c>
      <c r="J649" s="12">
        <f>G650</f>
      </c>
      <c r="K649">
        <f>IF(AND(Pu&gt;=MIN(E649,H649),Pu&lt;=MAX(E649,H649),E649&lt;&gt;H649),1,0)</f>
      </c>
      <c r="L649">
        <f>IF(K649=1,(Pu-E649)/(H649-E649),"")</f>
      </c>
      <c r="M649" s="12">
        <f>IF(K649=1,F649+L649*(I649-F649),"")</f>
      </c>
      <c r="N649" s="12">
        <f>IF(K649=1,G649+L649*(J649-G649),"")</f>
      </c>
    </row>
    <row r="650" spans="2:7" x14ac:dyDescent="0.25">
      <c r="B650">
        <v>18</v>
      </c>
      <c r="C650">
        <v>78.75000000000004</v>
      </c>
      <c r="D650">
        <v>35</v>
      </c>
      <c r="E650" s="18">
        <v>-4832.575134548201</v>
      </c>
      <c r="F650" s="18">
        <v>52.303383915049785</v>
      </c>
      <c r="G650" s="18">
        <v>45.097131771942784</v>
      </c>
    </row>
    <row r="652" spans="2:14" x14ac:dyDescent="0.25">
      <c r="B652">
        <v>19</v>
      </c>
      <c r="C652">
        <v>82.50000000000001</v>
      </c>
      <c r="D652">
        <v>1</v>
      </c>
      <c r="E652" s="18">
        <v>16783.31129171553</v>
      </c>
      <c r="F652" s="18">
        <v>2525.9633651554823</v>
      </c>
      <c r="G652" s="18">
        <v>591.2537739247877</v>
      </c>
      <c r="H652" s="12">
        <f>E653</f>
      </c>
      <c r="I652" s="12">
        <f>F653</f>
      </c>
      <c r="J652" s="12">
        <f>G653</f>
      </c>
      <c r="K652">
        <f>IF(AND(Pu&gt;=MIN(E652,H652),Pu&lt;=MAX(E652,H652),E652&lt;&gt;H652),1,0)</f>
      </c>
      <c r="L652">
        <f>IF(K652=1,(Pu-E652)/(H652-E652),"")</f>
      </c>
      <c r="M652" s="12">
        <f>IF(K652=1,F652+L652*(I652-F652),"")</f>
      </c>
      <c r="N652" s="12">
        <f>IF(K652=1,G652+L652*(J652-G652),"")</f>
      </c>
    </row>
    <row r="653" spans="2:14" x14ac:dyDescent="0.25">
      <c r="B653">
        <v>19</v>
      </c>
      <c r="C653">
        <v>82.50000000000001</v>
      </c>
      <c r="D653">
        <v>2</v>
      </c>
      <c r="E653" s="18">
        <v>15373.286133338695</v>
      </c>
      <c r="F653" s="18">
        <v>3058.9708526525137</v>
      </c>
      <c r="G653" s="18">
        <v>519.9861585847691</v>
      </c>
      <c r="H653" s="12">
        <f>E654</f>
      </c>
      <c r="I653" s="12">
        <f>F654</f>
      </c>
      <c r="J653" s="12">
        <f>G654</f>
      </c>
      <c r="K653">
        <f>IF(AND(Pu&gt;=MIN(E653,H653),Pu&lt;=MAX(E653,H653),E653&lt;&gt;H653),1,0)</f>
      </c>
      <c r="L653">
        <f>IF(K653=1,(Pu-E653)/(H653-E653),"")</f>
      </c>
      <c r="M653" s="12">
        <f>IF(K653=1,F653+L653*(I653-F653),"")</f>
      </c>
      <c r="N653" s="12">
        <f>IF(K653=1,G653+L653*(J653-G653),"")</f>
      </c>
    </row>
    <row r="654" spans="2:14" x14ac:dyDescent="0.25">
      <c r="B654">
        <v>19</v>
      </c>
      <c r="C654">
        <v>82.50000000000001</v>
      </c>
      <c r="D654">
        <v>3</v>
      </c>
      <c r="E654" s="18">
        <v>14282.314957005565</v>
      </c>
      <c r="F654" s="18">
        <v>3401.2787972123624</v>
      </c>
      <c r="G654" s="18">
        <v>496.0259256251062</v>
      </c>
      <c r="H654" s="12">
        <f>E655</f>
      </c>
      <c r="I654" s="12">
        <f>F655</f>
      </c>
      <c r="J654" s="12">
        <f>G655</f>
      </c>
      <c r="K654">
        <f>IF(AND(Pu&gt;=MIN(E654,H654),Pu&lt;=MAX(E654,H654),E654&lt;&gt;H654),1,0)</f>
      </c>
      <c r="L654">
        <f>IF(K654=1,(Pu-E654)/(H654-E654),"")</f>
      </c>
      <c r="M654" s="12">
        <f>IF(K654=1,F654+L654*(I654-F654),"")</f>
      </c>
      <c r="N654" s="12">
        <f>IF(K654=1,G654+L654*(J654-G654),"")</f>
      </c>
    </row>
    <row r="655" spans="2:14" x14ac:dyDescent="0.25">
      <c r="B655">
        <v>19</v>
      </c>
      <c r="C655">
        <v>82.50000000000001</v>
      </c>
      <c r="D655">
        <v>4</v>
      </c>
      <c r="E655" s="18">
        <v>12608.070249226412</v>
      </c>
      <c r="F655" s="18">
        <v>3803.0592584838664</v>
      </c>
      <c r="G655" s="18">
        <v>519.8314751403713</v>
      </c>
      <c r="H655" s="12">
        <f>E656</f>
      </c>
      <c r="I655" s="12">
        <f>F656</f>
      </c>
      <c r="J655" s="12">
        <f>G656</f>
      </c>
      <c r="K655">
        <f>IF(AND(Pu&gt;=MIN(E655,H655),Pu&lt;=MAX(E655,H655),E655&lt;&gt;H655),1,0)</f>
      </c>
      <c r="L655">
        <f>IF(K655=1,(Pu-E655)/(H655-E655),"")</f>
      </c>
      <c r="M655" s="12">
        <f>IF(K655=1,F655+L655*(I655-F655),"")</f>
      </c>
      <c r="N655" s="12">
        <f>IF(K655=1,G655+L655*(J655-G655),"")</f>
      </c>
    </row>
    <row r="656" spans="2:14" x14ac:dyDescent="0.25">
      <c r="B656">
        <v>19</v>
      </c>
      <c r="C656">
        <v>82.50000000000001</v>
      </c>
      <c r="D656">
        <v>5</v>
      </c>
      <c r="E656" s="18">
        <v>11178.378356825646</v>
      </c>
      <c r="F656" s="18">
        <v>4055.7792964663213</v>
      </c>
      <c r="G656" s="18">
        <v>548.2872052137428</v>
      </c>
      <c r="H656" s="12">
        <f>E657</f>
      </c>
      <c r="I656" s="12">
        <f>F657</f>
      </c>
      <c r="J656" s="12">
        <f>G657</f>
      </c>
      <c r="K656">
        <f>IF(AND(Pu&gt;=MIN(E656,H656),Pu&lt;=MAX(E656,H656),E656&lt;&gt;H656),1,0)</f>
      </c>
      <c r="L656">
        <f>IF(K656=1,(Pu-E656)/(H656-E656),"")</f>
      </c>
      <c r="M656" s="12">
        <f>IF(K656=1,F656+L656*(I656-F656),"")</f>
      </c>
      <c r="N656" s="12">
        <f>IF(K656=1,G656+L656*(J656-G656),"")</f>
      </c>
    </row>
    <row r="657" spans="2:14" x14ac:dyDescent="0.25">
      <c r="B657">
        <v>19</v>
      </c>
      <c r="C657">
        <v>82.50000000000001</v>
      </c>
      <c r="D657">
        <v>6</v>
      </c>
      <c r="E657" s="18">
        <v>9950.296518298674</v>
      </c>
      <c r="F657" s="18">
        <v>4223.348050319825</v>
      </c>
      <c r="G657" s="18">
        <v>585.8076113315593</v>
      </c>
      <c r="H657" s="12">
        <f>E658</f>
      </c>
      <c r="I657" s="12">
        <f>F658</f>
      </c>
      <c r="J657" s="12">
        <f>G658</f>
      </c>
      <c r="K657">
        <f>IF(AND(Pu&gt;=MIN(E657,H657),Pu&lt;=MAX(E657,H657),E657&lt;&gt;H657),1,0)</f>
      </c>
      <c r="L657">
        <f>IF(K657=1,(Pu-E657)/(H657-E657),"")</f>
      </c>
      <c r="M657" s="12">
        <f>IF(K657=1,F657+L657*(I657-F657),"")</f>
      </c>
      <c r="N657" s="12">
        <f>IF(K657=1,G657+L657*(J657-G657),"")</f>
      </c>
    </row>
    <row r="658" spans="2:14" x14ac:dyDescent="0.25">
      <c r="B658">
        <v>19</v>
      </c>
      <c r="C658">
        <v>82.50000000000001</v>
      </c>
      <c r="D658">
        <v>7</v>
      </c>
      <c r="E658" s="18">
        <v>9117.635316264066</v>
      </c>
      <c r="F658" s="18">
        <v>4319.94339771633</v>
      </c>
      <c r="G658" s="18">
        <v>598.3120274304991</v>
      </c>
      <c r="H658" s="12">
        <f>E659</f>
      </c>
      <c r="I658" s="12">
        <f>F659</f>
      </c>
      <c r="J658" s="12">
        <f>G659</f>
      </c>
      <c r="K658">
        <f>IF(AND(Pu&gt;=MIN(E658,H658),Pu&lt;=MAX(E658,H658),E658&lt;&gt;H658),1,0)</f>
      </c>
      <c r="L658">
        <f>IF(K658=1,(Pu-E658)/(H658-E658),"")</f>
      </c>
      <c r="M658" s="12">
        <f>IF(K658=1,F658+L658*(I658-F658),"")</f>
      </c>
      <c r="N658" s="12">
        <f>IF(K658=1,G658+L658*(J658-G658),"")</f>
      </c>
    </row>
    <row r="659" spans="2:14" x14ac:dyDescent="0.25">
      <c r="B659">
        <v>19</v>
      </c>
      <c r="C659">
        <v>82.50000000000001</v>
      </c>
      <c r="D659">
        <v>8</v>
      </c>
      <c r="E659" s="18">
        <v>8976.388238169373</v>
      </c>
      <c r="F659" s="18">
        <v>4390.356707360262</v>
      </c>
      <c r="G659" s="18">
        <v>607.4308964249182</v>
      </c>
      <c r="H659" s="12">
        <f>E660</f>
      </c>
      <c r="I659" s="12">
        <f>F660</f>
      </c>
      <c r="J659" s="12">
        <f>G660</f>
      </c>
      <c r="K659">
        <f>IF(AND(Pu&gt;=MIN(E659,H659),Pu&lt;=MAX(E659,H659),E659&lt;&gt;H659),1,0)</f>
      </c>
      <c r="L659">
        <f>IF(K659=1,(Pu-E659)/(H659-E659),"")</f>
      </c>
      <c r="M659" s="12">
        <f>IF(K659=1,F659+L659*(I659-F659),"")</f>
      </c>
      <c r="N659" s="12">
        <f>IF(K659=1,G659+L659*(J659-G659),"")</f>
      </c>
    </row>
    <row r="660" spans="2:14" x14ac:dyDescent="0.25">
      <c r="B660">
        <v>19</v>
      </c>
      <c r="C660">
        <v>82.50000000000001</v>
      </c>
      <c r="D660">
        <v>9</v>
      </c>
      <c r="E660" s="18">
        <v>8695.511322580405</v>
      </c>
      <c r="F660" s="18">
        <v>4526.187163597767</v>
      </c>
      <c r="G660" s="18">
        <v>623.6148632219506</v>
      </c>
      <c r="H660" s="12">
        <f>E661</f>
      </c>
      <c r="I660" s="12">
        <f>F661</f>
      </c>
      <c r="J660" s="12">
        <f>G661</f>
      </c>
      <c r="K660">
        <f>IF(AND(Pu&gt;=MIN(E660,H660),Pu&lt;=MAX(E660,H660),E660&lt;&gt;H660),1,0)</f>
      </c>
      <c r="L660">
        <f>IF(K660=1,(Pu-E660)/(H660-E660),"")</f>
      </c>
      <c r="M660" s="12">
        <f>IF(K660=1,F660+L660*(I660-F660),"")</f>
      </c>
      <c r="N660" s="12">
        <f>IF(K660=1,G660+L660*(J660-G660),"")</f>
      </c>
    </row>
    <row r="661" spans="2:14" x14ac:dyDescent="0.25">
      <c r="B661">
        <v>19</v>
      </c>
      <c r="C661">
        <v>82.50000000000001</v>
      </c>
      <c r="D661">
        <v>10</v>
      </c>
      <c r="E661" s="18">
        <v>8515.478847474336</v>
      </c>
      <c r="F661" s="18">
        <v>4606.843932615644</v>
      </c>
      <c r="G661" s="18">
        <v>642.0947883591997</v>
      </c>
      <c r="H661" s="12">
        <f>E662</f>
      </c>
      <c r="I661" s="12">
        <f>F662</f>
      </c>
      <c r="J661" s="12">
        <f>G662</f>
      </c>
      <c r="K661">
        <f>IF(AND(Pu&gt;=MIN(E661,H661),Pu&lt;=MAX(E661,H661),E661&lt;&gt;H661),1,0)</f>
      </c>
      <c r="L661">
        <f>IF(K661=1,(Pu-E661)/(H661-E661),"")</f>
      </c>
      <c r="M661" s="12">
        <f>IF(K661=1,F661+L661*(I661-F661),"")</f>
      </c>
      <c r="N661" s="12">
        <f>IF(K661=1,G661+L661*(J661-G661),"")</f>
      </c>
    </row>
    <row r="662" spans="2:14" x14ac:dyDescent="0.25">
      <c r="B662">
        <v>19</v>
      </c>
      <c r="C662">
        <v>82.50000000000001</v>
      </c>
      <c r="D662">
        <v>11</v>
      </c>
      <c r="E662" s="18">
        <v>8375.36507318265</v>
      </c>
      <c r="F662" s="18">
        <v>4665.802523242486</v>
      </c>
      <c r="G662" s="18">
        <v>660.1358162250973</v>
      </c>
      <c r="H662" s="12">
        <f>E663</f>
      </c>
      <c r="I662" s="12">
        <f>F663</f>
      </c>
      <c r="J662" s="12">
        <f>G663</f>
      </c>
      <c r="K662">
        <f>IF(AND(Pu&gt;=MIN(E662,H662),Pu&lt;=MAX(E662,H662),E662&lt;&gt;H662),1,0)</f>
      </c>
      <c r="L662">
        <f>IF(K662=1,(Pu-E662)/(H662-E662),"")</f>
      </c>
      <c r="M662" s="12">
        <f>IF(K662=1,F662+L662*(I662-F662),"")</f>
      </c>
      <c r="N662" s="12">
        <f>IF(K662=1,G662+L662*(J662-G662),"")</f>
      </c>
    </row>
    <row r="663" spans="2:14" x14ac:dyDescent="0.25">
      <c r="B663">
        <v>19</v>
      </c>
      <c r="C663">
        <v>82.50000000000001</v>
      </c>
      <c r="D663">
        <v>12</v>
      </c>
      <c r="E663" s="18">
        <v>8156.366166184963</v>
      </c>
      <c r="F663" s="18">
        <v>4755.784701471264</v>
      </c>
      <c r="G663" s="18">
        <v>685.8633235042435</v>
      </c>
      <c r="H663" s="12">
        <f>E664</f>
      </c>
      <c r="I663" s="12">
        <f>F664</f>
      </c>
      <c r="J663" s="12">
        <f>G664</f>
      </c>
      <c r="K663">
        <f>IF(AND(Pu&gt;=MIN(E663,H663),Pu&lt;=MAX(E663,H663),E663&lt;&gt;H663),1,0)</f>
      </c>
      <c r="L663">
        <f>IF(K663=1,(Pu-E663)/(H663-E663),"")</f>
      </c>
      <c r="M663" s="12">
        <f>IF(K663=1,F663+L663*(I663-F663),"")</f>
      </c>
      <c r="N663" s="12">
        <f>IF(K663=1,G663+L663*(J663-G663),"")</f>
      </c>
    </row>
    <row r="664" spans="2:14" x14ac:dyDescent="0.25">
      <c r="B664">
        <v>19</v>
      </c>
      <c r="C664">
        <v>82.50000000000001</v>
      </c>
      <c r="D664">
        <v>13</v>
      </c>
      <c r="E664" s="18">
        <v>8089.27885701108</v>
      </c>
      <c r="F664" s="18">
        <v>4783.394749382715</v>
      </c>
      <c r="G664" s="18">
        <v>689.87397524186</v>
      </c>
      <c r="H664" s="12">
        <f>E665</f>
      </c>
      <c r="I664" s="12">
        <f>F665</f>
      </c>
      <c r="J664" s="12">
        <f>G665</f>
      </c>
      <c r="K664">
        <f>IF(AND(Pu&gt;=MIN(E664,H664),Pu&lt;=MAX(E664,H664),E664&lt;&gt;H664),1,0)</f>
      </c>
      <c r="L664">
        <f>IF(K664=1,(Pu-E664)/(H664-E664),"")</f>
      </c>
      <c r="M664" s="12">
        <f>IF(K664=1,F664+L664*(I664-F664),"")</f>
      </c>
      <c r="N664" s="12">
        <f>IF(K664=1,G664+L664*(J664-G664),"")</f>
      </c>
    </row>
    <row r="665" spans="2:14" x14ac:dyDescent="0.25">
      <c r="B665">
        <v>19</v>
      </c>
      <c r="C665">
        <v>82.50000000000001</v>
      </c>
      <c r="D665">
        <v>14</v>
      </c>
      <c r="E665" s="18">
        <v>7831.868232785261</v>
      </c>
      <c r="F665" s="18">
        <v>4886.196734096989</v>
      </c>
      <c r="G665" s="18">
        <v>705.1883761145472</v>
      </c>
      <c r="H665" s="12">
        <f>E666</f>
      </c>
      <c r="I665" s="12">
        <f>F666</f>
      </c>
      <c r="J665" s="12">
        <f>G666</f>
      </c>
      <c r="K665">
        <f>IF(AND(Pu&gt;=MIN(E665,H665),Pu&lt;=MAX(E665,H665),E665&lt;&gt;H665),1,0)</f>
      </c>
      <c r="L665">
        <f>IF(K665=1,(Pu-E665)/(H665-E665),"")</f>
      </c>
      <c r="M665" s="12">
        <f>IF(K665=1,F665+L665*(I665-F665),"")</f>
      </c>
      <c r="N665" s="12">
        <f>IF(K665=1,G665+L665*(J665-G665),"")</f>
      </c>
    </row>
    <row r="666" spans="2:14" x14ac:dyDescent="0.25">
      <c r="B666">
        <v>19</v>
      </c>
      <c r="C666">
        <v>82.50000000000001</v>
      </c>
      <c r="D666">
        <v>15</v>
      </c>
      <c r="E666" s="18">
        <v>7823.173457758005</v>
      </c>
      <c r="F666" s="18">
        <v>4889.586096813953</v>
      </c>
      <c r="G666" s="18">
        <v>705.7022000096445</v>
      </c>
      <c r="H666" s="12">
        <f>E667</f>
      </c>
      <c r="I666" s="12">
        <f>F667</f>
      </c>
      <c r="J666" s="12">
        <f>G667</f>
      </c>
      <c r="K666">
        <f>IF(AND(Pu&gt;=MIN(E666,H666),Pu&lt;=MAX(E666,H666),E666&lt;&gt;H666),1,0)</f>
      </c>
      <c r="L666">
        <f>IF(K666=1,(Pu-E666)/(H666-E666),"")</f>
      </c>
      <c r="M666" s="12">
        <f>IF(K666=1,F666+L666*(I666-F666),"")</f>
      </c>
      <c r="N666" s="12">
        <f>IF(K666=1,G666+L666*(J666-G666),"")</f>
      </c>
    </row>
    <row r="667" spans="2:14" x14ac:dyDescent="0.25">
      <c r="B667">
        <v>19</v>
      </c>
      <c r="C667">
        <v>82.50000000000001</v>
      </c>
      <c r="D667">
        <v>16</v>
      </c>
      <c r="E667" s="18">
        <v>7611.613220078187</v>
      </c>
      <c r="F667" s="18">
        <v>4988.74717144061</v>
      </c>
      <c r="G667" s="18">
        <v>719.9378198609485</v>
      </c>
      <c r="H667" s="12">
        <f>E668</f>
      </c>
      <c r="I667" s="12">
        <f>F668</f>
      </c>
      <c r="J667" s="12">
        <f>G668</f>
      </c>
      <c r="K667">
        <f>IF(AND(Pu&gt;=MIN(E667,H667),Pu&lt;=MAX(E667,H667),E667&lt;&gt;H667),1,0)</f>
      </c>
      <c r="L667">
        <f>IF(K667=1,(Pu-E667)/(H667-E667),"")</f>
      </c>
      <c r="M667" s="12">
        <f>IF(K667=1,F667+L667*(I667-F667),"")</f>
      </c>
      <c r="N667" s="12">
        <f>IF(K667=1,G667+L667*(J667-G667),"")</f>
      </c>
    </row>
    <row r="668" spans="2:14" x14ac:dyDescent="0.25">
      <c r="B668">
        <v>19</v>
      </c>
      <c r="C668">
        <v>82.50000000000001</v>
      </c>
      <c r="D668">
        <v>17</v>
      </c>
      <c r="E668" s="18">
        <v>7364.724145568489</v>
      </c>
      <c r="F668" s="18">
        <v>5079.539515962105</v>
      </c>
      <c r="G668" s="18">
        <v>735.2677536916525</v>
      </c>
      <c r="H668" s="12">
        <f>E669</f>
      </c>
      <c r="I668" s="12">
        <f>F669</f>
      </c>
      <c r="J668" s="12">
        <f>G669</f>
      </c>
      <c r="K668">
        <f>IF(AND(Pu&gt;=MIN(E668,H668),Pu&lt;=MAX(E668,H668),E668&lt;&gt;H668),1,0)</f>
      </c>
      <c r="L668">
        <f>IF(K668=1,(Pu-E668)/(H668-E668),"")</f>
      </c>
      <c r="M668" s="12">
        <f>IF(K668=1,F668+L668*(I668-F668),"")</f>
      </c>
      <c r="N668" s="12">
        <f>IF(K668=1,G668+L668*(J668-G668),"")</f>
      </c>
    </row>
    <row r="669" spans="2:14" x14ac:dyDescent="0.25">
      <c r="B669">
        <v>19</v>
      </c>
      <c r="C669">
        <v>82.50000000000001</v>
      </c>
      <c r="D669">
        <v>18</v>
      </c>
      <c r="E669" s="18">
        <v>7253.889623999681</v>
      </c>
      <c r="F669" s="18">
        <v>5119.254331528791</v>
      </c>
      <c r="G669" s="18">
        <v>754.2693046080173</v>
      </c>
      <c r="H669" s="12">
        <f>E670</f>
      </c>
      <c r="I669" s="12">
        <f>F670</f>
      </c>
      <c r="J669" s="12">
        <f>G670</f>
      </c>
      <c r="K669">
        <f>IF(AND(Pu&gt;=MIN(E669,H669),Pu&lt;=MAX(E669,H669),E669&lt;&gt;H669),1,0)</f>
      </c>
      <c r="L669">
        <f>IF(K669=1,(Pu-E669)/(H669-E669),"")</f>
      </c>
      <c r="M669" s="12">
        <f>IF(K669=1,F669+L669*(I669-F669),"")</f>
      </c>
      <c r="N669" s="12">
        <f>IF(K669=1,G669+L669*(J669-G669),"")</f>
      </c>
    </row>
    <row r="670" spans="2:14" x14ac:dyDescent="0.25">
      <c r="B670">
        <v>19</v>
      </c>
      <c r="C670">
        <v>82.50000000000001</v>
      </c>
      <c r="D670">
        <v>19</v>
      </c>
      <c r="E670" s="18">
        <v>7165.50094001048</v>
      </c>
      <c r="F670" s="18">
        <v>5152.51008196401</v>
      </c>
      <c r="G670" s="18">
        <v>763.2794715037122</v>
      </c>
      <c r="H670" s="12">
        <f>E671</f>
      </c>
      <c r="I670" s="12">
        <f>F671</f>
      </c>
      <c r="J670" s="12">
        <f>G671</f>
      </c>
      <c r="K670">
        <f>IF(AND(Pu&gt;=MIN(E670,H670),Pu&lt;=MAX(E670,H670),E670&lt;&gt;H670),1,0)</f>
      </c>
      <c r="L670">
        <f>IF(K670=1,(Pu-E670)/(H670-E670),"")</f>
      </c>
      <c r="M670" s="12">
        <f>IF(K670=1,F670+L670*(I670-F670),"")</f>
      </c>
      <c r="N670" s="12">
        <f>IF(K670=1,G670+L670*(J670-G670),"")</f>
      </c>
    </row>
    <row r="671" spans="2:14" x14ac:dyDescent="0.25">
      <c r="B671">
        <v>19</v>
      </c>
      <c r="C671">
        <v>82.50000000000001</v>
      </c>
      <c r="D671">
        <v>20</v>
      </c>
      <c r="E671" s="18">
        <v>6977.856630387718</v>
      </c>
      <c r="F671" s="18">
        <v>5217.654827504136</v>
      </c>
      <c r="G671" s="18">
        <v>784.3705374422468</v>
      </c>
      <c r="H671" s="12">
        <f>E672</f>
      </c>
      <c r="I671" s="12">
        <f>F672</f>
      </c>
      <c r="J671" s="12">
        <f>G672</f>
      </c>
      <c r="K671">
        <f>IF(AND(Pu&gt;=MIN(E671,H671),Pu&lt;=MAX(E671,H671),E671&lt;&gt;H671),1,0)</f>
      </c>
      <c r="L671">
        <f>IF(K671=1,(Pu-E671)/(H671-E671),"")</f>
      </c>
      <c r="M671" s="12">
        <f>IF(K671=1,F671+L671*(I671-F671),"")</f>
      </c>
      <c r="N671" s="12">
        <f>IF(K671=1,G671+L671*(J671-G671),"")</f>
      </c>
    </row>
    <row r="672" spans="2:14" x14ac:dyDescent="0.25">
      <c r="B672">
        <v>19</v>
      </c>
      <c r="C672">
        <v>82.50000000000001</v>
      </c>
      <c r="D672">
        <v>21</v>
      </c>
      <c r="E672" s="18">
        <v>6968.465732816472</v>
      </c>
      <c r="F672" s="18">
        <v>5215.482928769719</v>
      </c>
      <c r="G672" s="18">
        <v>784.3551931009584</v>
      </c>
      <c r="H672" s="12">
        <f>E673</f>
      </c>
      <c r="I672" s="12">
        <f>F673</f>
      </c>
      <c r="J672" s="12">
        <f>G673</f>
      </c>
      <c r="K672">
        <f>IF(AND(Pu&gt;=MIN(E672,H672),Pu&lt;=MAX(E672,H672),E672&lt;&gt;H672),1,0)</f>
      </c>
      <c r="L672">
        <f>IF(K672=1,(Pu-E672)/(H672-E672),"")</f>
      </c>
      <c r="M672" s="12">
        <f>IF(K672=1,F672+L672*(I672-F672),"")</f>
      </c>
      <c r="N672" s="12">
        <f>IF(K672=1,G672+L672*(J672-G672),"")</f>
      </c>
    </row>
    <row r="673" spans="2:14" x14ac:dyDescent="0.25">
      <c r="B673">
        <v>19</v>
      </c>
      <c r="C673">
        <v>82.50000000000001</v>
      </c>
      <c r="D673">
        <v>22</v>
      </c>
      <c r="E673" s="18">
        <v>6341.765955305214</v>
      </c>
      <c r="F673" s="18">
        <v>5061.252146762859</v>
      </c>
      <c r="G673" s="18">
        <v>791.4328049215029</v>
      </c>
      <c r="H673" s="12">
        <f>E674</f>
      </c>
      <c r="I673" s="12">
        <f>F674</f>
      </c>
      <c r="J673" s="12">
        <f>G674</f>
      </c>
      <c r="K673">
        <f>IF(AND(Pu&gt;=MIN(E673,H673),Pu&lt;=MAX(E673,H673),E673&lt;&gt;H673),1,0)</f>
      </c>
      <c r="L673">
        <f>IF(K673=1,(Pu-E673)/(H673-E673),"")</f>
      </c>
      <c r="M673" s="12">
        <f>IF(K673=1,F673+L673*(I673-F673),"")</f>
      </c>
      <c r="N673" s="12">
        <f>IF(K673=1,G673+L673*(J673-G673),"")</f>
      </c>
    </row>
    <row r="674" spans="2:14" x14ac:dyDescent="0.25">
      <c r="B674">
        <v>19</v>
      </c>
      <c r="C674">
        <v>82.50000000000001</v>
      </c>
      <c r="D674">
        <v>23</v>
      </c>
      <c r="E674" s="18">
        <v>5245.196993671331</v>
      </c>
      <c r="F674" s="18">
        <v>4756.452301766889</v>
      </c>
      <c r="G674" s="18">
        <v>824.6260100392534</v>
      </c>
      <c r="H674" s="12">
        <f>E675</f>
      </c>
      <c r="I674" s="12">
        <f>F675</f>
      </c>
      <c r="J674" s="12">
        <f>G675</f>
      </c>
      <c r="K674">
        <f>IF(AND(Pu&gt;=MIN(E674,H674),Pu&lt;=MAX(E674,H674),E674&lt;&gt;H674),1,0)</f>
      </c>
      <c r="L674">
        <f>IF(K674=1,(Pu-E674)/(H674-E674),"")</f>
      </c>
      <c r="M674" s="12">
        <f>IF(K674=1,F674+L674*(I674-F674),"")</f>
      </c>
      <c r="N674" s="12">
        <f>IF(K674=1,G674+L674*(J674-G674),"")</f>
      </c>
    </row>
    <row r="675" spans="2:14" x14ac:dyDescent="0.25">
      <c r="B675">
        <v>19</v>
      </c>
      <c r="C675">
        <v>82.50000000000001</v>
      </c>
      <c r="D675">
        <v>24</v>
      </c>
      <c r="E675" s="18">
        <v>4293.5653997104055</v>
      </c>
      <c r="F675" s="18">
        <v>4419.359274336392</v>
      </c>
      <c r="G675" s="18">
        <v>867.6453826913236</v>
      </c>
      <c r="H675" s="12">
        <f>E676</f>
      </c>
      <c r="I675" s="12">
        <f>F676</f>
      </c>
      <c r="J675" s="12">
        <f>G676</f>
      </c>
      <c r="K675">
        <f>IF(AND(Pu&gt;=MIN(E675,H675),Pu&lt;=MAX(E675,H675),E675&lt;&gt;H675),1,0)</f>
      </c>
      <c r="L675">
        <f>IF(K675=1,(Pu-E675)/(H675-E675),"")</f>
      </c>
      <c r="M675" s="12">
        <f>IF(K675=1,F675+L675*(I675-F675),"")</f>
      </c>
      <c r="N675" s="12">
        <f>IF(K675=1,G675+L675*(J675-G675),"")</f>
      </c>
    </row>
    <row r="676" spans="2:14" x14ac:dyDescent="0.25">
      <c r="B676">
        <v>19</v>
      </c>
      <c r="C676">
        <v>82.50000000000001</v>
      </c>
      <c r="D676">
        <v>25</v>
      </c>
      <c r="E676" s="18">
        <v>3430.226248487231</v>
      </c>
      <c r="F676" s="18">
        <v>4093.0035655979436</v>
      </c>
      <c r="G676" s="18">
        <v>903.3846070427132</v>
      </c>
      <c r="H676" s="12">
        <f>E677</f>
      </c>
      <c r="I676" s="12">
        <f>F677</f>
      </c>
      <c r="J676" s="12">
        <f>G677</f>
      </c>
      <c r="K676">
        <f>IF(AND(Pu&gt;=MIN(E676,H676),Pu&lt;=MAX(E676,H676),E676&lt;&gt;H676),1,0)</f>
      </c>
      <c r="L676">
        <f>IF(K676=1,(Pu-E676)/(H676-E676),"")</f>
      </c>
      <c r="M676" s="12">
        <f>IF(K676=1,F676+L676*(I676-F676),"")</f>
      </c>
      <c r="N676" s="12">
        <f>IF(K676=1,G676+L676*(J676-G676),"")</f>
      </c>
    </row>
    <row r="677" spans="2:14" x14ac:dyDescent="0.25">
      <c r="B677">
        <v>19</v>
      </c>
      <c r="C677">
        <v>82.50000000000001</v>
      </c>
      <c r="D677">
        <v>26</v>
      </c>
      <c r="E677" s="18">
        <v>1984.1024818154578</v>
      </c>
      <c r="F677" s="18">
        <v>3505.804228342965</v>
      </c>
      <c r="G677" s="18">
        <v>906.9340819594843</v>
      </c>
      <c r="H677" s="12">
        <f>E678</f>
      </c>
      <c r="I677" s="12">
        <f>F678</f>
      </c>
      <c r="J677" s="12">
        <f>G678</f>
      </c>
      <c r="K677">
        <f>IF(AND(Pu&gt;=MIN(E677,H677),Pu&lt;=MAX(E677,H677),E677&lt;&gt;H677),1,0)</f>
      </c>
      <c r="L677">
        <f>IF(K677=1,(Pu-E677)/(H677-E677),"")</f>
      </c>
      <c r="M677" s="12">
        <f>IF(K677=1,F677+L677*(I677-F677),"")</f>
      </c>
      <c r="N677" s="12">
        <f>IF(K677=1,G677+L677*(J677-G677),"")</f>
      </c>
    </row>
    <row r="678" spans="2:14" x14ac:dyDescent="0.25">
      <c r="B678">
        <v>19</v>
      </c>
      <c r="C678">
        <v>82.50000000000001</v>
      </c>
      <c r="D678">
        <v>27</v>
      </c>
      <c r="E678" s="18">
        <v>881.1741793269616</v>
      </c>
      <c r="F678" s="18">
        <v>3005.08031585259</v>
      </c>
      <c r="G678" s="18">
        <v>814.4203679554</v>
      </c>
      <c r="H678" s="12">
        <f>E679</f>
      </c>
      <c r="I678" s="12">
        <f>F679</f>
      </c>
      <c r="J678" s="12">
        <f>G679</f>
      </c>
      <c r="K678">
        <f>IF(AND(Pu&gt;=MIN(E678,H678),Pu&lt;=MAX(E678,H678),E678&lt;&gt;H678),1,0)</f>
      </c>
      <c r="L678">
        <f>IF(K678=1,(Pu-E678)/(H678-E678),"")</f>
      </c>
      <c r="M678" s="12">
        <f>IF(K678=1,F678+L678*(I678-F678),"")</f>
      </c>
      <c r="N678" s="12">
        <f>IF(K678=1,G678+L678*(J678-G678),"")</f>
      </c>
    </row>
    <row r="679" spans="2:14" x14ac:dyDescent="0.25">
      <c r="B679">
        <v>19</v>
      </c>
      <c r="C679">
        <v>82.50000000000001</v>
      </c>
      <c r="D679">
        <v>28</v>
      </c>
      <c r="E679" s="18">
        <v>-34.633838252560516</v>
      </c>
      <c r="F679" s="18">
        <v>2570.5545997255176</v>
      </c>
      <c r="G679" s="18">
        <v>727.1031922293803</v>
      </c>
      <c r="H679" s="12">
        <f>E680</f>
      </c>
      <c r="I679" s="12">
        <f>F680</f>
      </c>
      <c r="J679" s="12">
        <f>G680</f>
      </c>
      <c r="K679">
        <f>IF(AND(Pu&gt;=MIN(E679,H679),Pu&lt;=MAX(E679,H679),E679&lt;&gt;H679),1,0)</f>
      </c>
      <c r="L679">
        <f>IF(K679=1,(Pu-E679)/(H679-E679),"")</f>
      </c>
      <c r="M679" s="12">
        <f>IF(K679=1,F679+L679*(I679-F679),"")</f>
      </c>
      <c r="N679" s="12">
        <f>IF(K679=1,G679+L679*(J679-G679),"")</f>
      </c>
    </row>
    <row r="680" spans="2:14" x14ac:dyDescent="0.25">
      <c r="B680">
        <v>19</v>
      </c>
      <c r="C680">
        <v>82.50000000000001</v>
      </c>
      <c r="D680">
        <v>29</v>
      </c>
      <c r="E680" s="18">
        <v>-786.4402167785828</v>
      </c>
      <c r="F680" s="18">
        <v>2204.352076735393</v>
      </c>
      <c r="G680" s="18">
        <v>643.8925660737342</v>
      </c>
      <c r="H680" s="12">
        <f>E681</f>
      </c>
      <c r="I680" s="12">
        <f>F681</f>
      </c>
      <c r="J680" s="12">
        <f>G681</f>
      </c>
      <c r="K680">
        <f>IF(AND(Pu&gt;=MIN(E680,H680),Pu&lt;=MAX(E680,H680),E680&lt;&gt;H680),1,0)</f>
      </c>
      <c r="L680">
        <f>IF(K680=1,(Pu-E680)/(H680-E680),"")</f>
      </c>
      <c r="M680" s="12">
        <f>IF(K680=1,F680+L680*(I680-F680),"")</f>
      </c>
      <c r="N680" s="12">
        <f>IF(K680=1,G680+L680*(J680-G680),"")</f>
      </c>
    </row>
    <row r="681" spans="2:14" x14ac:dyDescent="0.25">
      <c r="B681">
        <v>19</v>
      </c>
      <c r="C681">
        <v>82.50000000000001</v>
      </c>
      <c r="D681">
        <v>30</v>
      </c>
      <c r="E681" s="18">
        <v>-1890.3809784376488</v>
      </c>
      <c r="F681" s="18">
        <v>1639.3445942174487</v>
      </c>
      <c r="G681" s="18">
        <v>559.5910969839742</v>
      </c>
      <c r="H681" s="12">
        <f>E682</f>
      </c>
      <c r="I681" s="12">
        <f>F682</f>
      </c>
      <c r="J681" s="12">
        <f>G682</f>
      </c>
      <c r="K681">
        <f>IF(AND(Pu&gt;=MIN(E681,H681),Pu&lt;=MAX(E681,H681),E681&lt;&gt;H681),1,0)</f>
      </c>
      <c r="L681">
        <f>IF(K681=1,(Pu-E681)/(H681-E681),"")</f>
      </c>
      <c r="M681" s="12">
        <f>IF(K681=1,F681+L681*(I681-F681),"")</f>
      </c>
      <c r="N681" s="12">
        <f>IF(K681=1,G681+L681*(J681-G681),"")</f>
      </c>
    </row>
    <row r="682" spans="2:14" x14ac:dyDescent="0.25">
      <c r="B682">
        <v>19</v>
      </c>
      <c r="C682">
        <v>82.50000000000001</v>
      </c>
      <c r="D682">
        <v>31</v>
      </c>
      <c r="E682" s="18">
        <v>-2649.3123848405694</v>
      </c>
      <c r="F682" s="18">
        <v>1235.851213434948</v>
      </c>
      <c r="G682" s="18">
        <v>517.1974861512743</v>
      </c>
      <c r="H682" s="12">
        <f>E683</f>
      </c>
      <c r="I682" s="12">
        <f>F683</f>
      </c>
      <c r="J682" s="12">
        <f>G683</f>
      </c>
      <c r="K682">
        <f>IF(AND(Pu&gt;=MIN(E682,H682),Pu&lt;=MAX(E682,H682),E682&lt;&gt;H682),1,0)</f>
      </c>
      <c r="L682">
        <f>IF(K682=1,(Pu-E682)/(H682-E682),"")</f>
      </c>
      <c r="M682" s="12">
        <f>IF(K682=1,F682+L682*(I682-F682),"")</f>
      </c>
      <c r="N682" s="12">
        <f>IF(K682=1,G682+L682*(J682-G682),"")</f>
      </c>
    </row>
    <row r="683" spans="2:14" x14ac:dyDescent="0.25">
      <c r="B683">
        <v>19</v>
      </c>
      <c r="C683">
        <v>82.50000000000001</v>
      </c>
      <c r="D683">
        <v>32</v>
      </c>
      <c r="E683" s="18">
        <v>-3643.760524436849</v>
      </c>
      <c r="F683" s="18">
        <v>702.018070232073</v>
      </c>
      <c r="G683" s="18">
        <v>412.82668123762073</v>
      </c>
      <c r="H683" s="12">
        <f>E684</f>
      </c>
      <c r="I683" s="12">
        <f>F684</f>
      </c>
      <c r="J683" s="12">
        <f>G684</f>
      </c>
      <c r="K683">
        <f>IF(AND(Pu&gt;=MIN(E683,H683),Pu&lt;=MAX(E683,H683),E683&lt;&gt;H683),1,0)</f>
      </c>
      <c r="L683">
        <f>IF(K683=1,(Pu-E683)/(H683-E683),"")</f>
      </c>
      <c r="M683" s="12">
        <f>IF(K683=1,F683+L683*(I683-F683),"")</f>
      </c>
      <c r="N683" s="12">
        <f>IF(K683=1,G683+L683*(J683-G683),"")</f>
      </c>
    </row>
    <row r="684" spans="2:14" x14ac:dyDescent="0.25">
      <c r="B684">
        <v>19</v>
      </c>
      <c r="C684">
        <v>82.50000000000001</v>
      </c>
      <c r="D684">
        <v>33</v>
      </c>
      <c r="E684" s="18">
        <v>-4167.454496789965</v>
      </c>
      <c r="F684" s="18">
        <v>418.5951627642643</v>
      </c>
      <c r="G684" s="18">
        <v>285.6020809247983</v>
      </c>
      <c r="H684" s="12">
        <f>E685</f>
      </c>
      <c r="I684" s="12">
        <f>F685</f>
      </c>
      <c r="J684" s="12">
        <f>G685</f>
      </c>
      <c r="K684">
        <f>IF(AND(Pu&gt;=MIN(E684,H684),Pu&lt;=MAX(E684,H684),E684&lt;&gt;H684),1,0)</f>
      </c>
      <c r="L684">
        <f>IF(K684=1,(Pu-E684)/(H684-E684),"")</f>
      </c>
      <c r="M684" s="12">
        <f>IF(K684=1,F684+L684*(I684-F684),"")</f>
      </c>
      <c r="N684" s="12">
        <f>IF(K684=1,G684+L684*(J684-G684),"")</f>
      </c>
    </row>
    <row r="685" spans="2:14" x14ac:dyDescent="0.25">
      <c r="B685">
        <v>19</v>
      </c>
      <c r="C685">
        <v>82.50000000000001</v>
      </c>
      <c r="D685">
        <v>34</v>
      </c>
      <c r="E685" s="18">
        <v>-4716.898841175316</v>
      </c>
      <c r="F685" s="18">
        <v>118.95228814539675</v>
      </c>
      <c r="G685" s="18">
        <v>92.29117491569805</v>
      </c>
      <c r="H685" s="12">
        <f>E686</f>
      </c>
      <c r="I685" s="12">
        <f>F686</f>
      </c>
      <c r="J685" s="12">
        <f>G686</f>
      </c>
      <c r="K685">
        <f>IF(AND(Pu&gt;=MIN(E685,H685),Pu&lt;=MAX(E685,H685),E685&lt;&gt;H685),1,0)</f>
      </c>
      <c r="L685">
        <f>IF(K685=1,(Pu-E685)/(H685-E685),"")</f>
      </c>
      <c r="M685" s="12">
        <f>IF(K685=1,F685+L685*(I685-F685),"")</f>
      </c>
      <c r="N685" s="12">
        <f>IF(K685=1,G685+L685*(J685-G685),"")</f>
      </c>
    </row>
    <row r="686" spans="2:7" x14ac:dyDescent="0.25">
      <c r="B686">
        <v>19</v>
      </c>
      <c r="C686">
        <v>82.50000000000001</v>
      </c>
      <c r="D686">
        <v>35</v>
      </c>
      <c r="E686" s="18">
        <v>-4810.016026873855</v>
      </c>
      <c r="F686" s="18">
        <v>65.71062741143461</v>
      </c>
      <c r="G686" s="18">
        <v>53.32194314368073</v>
      </c>
    </row>
    <row r="688" spans="2:14" x14ac:dyDescent="0.25">
      <c r="B688">
        <v>20</v>
      </c>
      <c r="C688">
        <v>84.37500000000003</v>
      </c>
      <c r="D688">
        <v>1</v>
      </c>
      <c r="E688" s="18">
        <v>16530.011636440344</v>
      </c>
      <c r="F688" s="18">
        <v>2645.252114309735</v>
      </c>
      <c r="G688" s="18">
        <v>449.0384581804054</v>
      </c>
      <c r="H688" s="12">
        <f>E689</f>
      </c>
      <c r="I688" s="12">
        <f>F689</f>
      </c>
      <c r="J688" s="12">
        <f>G689</f>
      </c>
      <c r="K688">
        <f>IF(AND(Pu&gt;=MIN(E688,H688),Pu&lt;=MAX(E688,H688),E688&lt;&gt;H688),1,0)</f>
      </c>
      <c r="L688">
        <f>IF(K688=1,(Pu-E688)/(H688-E688),"")</f>
      </c>
      <c r="M688" s="12">
        <f>IF(K688=1,F688+L688*(I688-F688),"")</f>
      </c>
      <c r="N688" s="12">
        <f>IF(K688=1,G688+L688*(J688-G688),"")</f>
      </c>
    </row>
    <row r="689" spans="2:14" x14ac:dyDescent="0.25">
      <c r="B689">
        <v>20</v>
      </c>
      <c r="C689">
        <v>84.37500000000003</v>
      </c>
      <c r="D689">
        <v>2</v>
      </c>
      <c r="E689" s="18">
        <v>15206.985028555093</v>
      </c>
      <c r="F689" s="18">
        <v>3131.3582828340886</v>
      </c>
      <c r="G689" s="18">
        <v>385.648612309948</v>
      </c>
      <c r="H689" s="12">
        <f>E690</f>
      </c>
      <c r="I689" s="12">
        <f>F690</f>
      </c>
      <c r="J689" s="12">
        <f>G690</f>
      </c>
      <c r="K689">
        <f>IF(AND(Pu&gt;=MIN(E689,H689),Pu&lt;=MAX(E689,H689),E689&lt;&gt;H689),1,0)</f>
      </c>
      <c r="L689">
        <f>IF(K689=1,(Pu-E689)/(H689-E689),"")</f>
      </c>
      <c r="M689" s="12">
        <f>IF(K689=1,F689+L689*(I689-F689),"")</f>
      </c>
      <c r="N689" s="12">
        <f>IF(K689=1,G689+L689*(J689-G689),"")</f>
      </c>
    </row>
    <row r="690" spans="2:14" x14ac:dyDescent="0.25">
      <c r="B690">
        <v>20</v>
      </c>
      <c r="C690">
        <v>84.37500000000003</v>
      </c>
      <c r="D690">
        <v>3</v>
      </c>
      <c r="E690" s="18">
        <v>14165.669857615223</v>
      </c>
      <c r="F690" s="18">
        <v>3449.6160267824657</v>
      </c>
      <c r="G690" s="18">
        <v>367.94914168027566</v>
      </c>
      <c r="H690" s="12">
        <f>E691</f>
      </c>
      <c r="I690" s="12">
        <f>F691</f>
      </c>
      <c r="J690" s="12">
        <f>G691</f>
      </c>
      <c r="K690">
        <f>IF(AND(Pu&gt;=MIN(E690,H690),Pu&lt;=MAX(E690,H690),E690&lt;&gt;H690),1,0)</f>
      </c>
      <c r="L690">
        <f>IF(K690=1,(Pu-E690)/(H690-E690),"")</f>
      </c>
      <c r="M690" s="12">
        <f>IF(K690=1,F690+L690*(I690-F690),"")</f>
      </c>
      <c r="N690" s="12">
        <f>IF(K690=1,G690+L690*(J690-G690),"")</f>
      </c>
    </row>
    <row r="691" spans="2:14" x14ac:dyDescent="0.25">
      <c r="B691">
        <v>20</v>
      </c>
      <c r="C691">
        <v>84.37500000000003</v>
      </c>
      <c r="D691">
        <v>4</v>
      </c>
      <c r="E691" s="18">
        <v>12539.260737697</v>
      </c>
      <c r="F691" s="18">
        <v>3839.3197286812533</v>
      </c>
      <c r="G691" s="18">
        <v>386.0922052578375</v>
      </c>
      <c r="H691" s="12">
        <f>E692</f>
      </c>
      <c r="I691" s="12">
        <f>F692</f>
      </c>
      <c r="J691" s="12">
        <f>G692</f>
      </c>
      <c r="K691">
        <f>IF(AND(Pu&gt;=MIN(E691,H691),Pu&lt;=MAX(E691,H691),E691&lt;&gt;H691),1,0)</f>
      </c>
      <c r="L691">
        <f>IF(K691=1,(Pu-E691)/(H691-E691),"")</f>
      </c>
      <c r="M691" s="12">
        <f>IF(K691=1,F691+L691*(I691-F691),"")</f>
      </c>
      <c r="N691" s="12">
        <f>IF(K691=1,G691+L691*(J691-G691),"")</f>
      </c>
    </row>
    <row r="692" spans="2:14" x14ac:dyDescent="0.25">
      <c r="B692">
        <v>20</v>
      </c>
      <c r="C692">
        <v>84.37500000000003</v>
      </c>
      <c r="D692">
        <v>5</v>
      </c>
      <c r="E692" s="18">
        <v>11134.242492863925</v>
      </c>
      <c r="F692" s="18">
        <v>4088.2521334415246</v>
      </c>
      <c r="G692" s="18">
        <v>410.02704230659026</v>
      </c>
      <c r="H692" s="12">
        <f>E693</f>
      </c>
      <c r="I692" s="12">
        <f>F693</f>
      </c>
      <c r="J692" s="12">
        <f>G693</f>
      </c>
      <c r="K692">
        <f>IF(AND(Pu&gt;=MIN(E692,H692),Pu&lt;=MAX(E692,H692),E692&lt;&gt;H692),1,0)</f>
      </c>
      <c r="L692">
        <f>IF(K692=1,(Pu-E692)/(H692-E692),"")</f>
      </c>
      <c r="M692" s="12">
        <f>IF(K692=1,F692+L692*(I692-F692),"")</f>
      </c>
      <c r="N692" s="12">
        <f>IF(K692=1,G692+L692*(J692-G692),"")</f>
      </c>
    </row>
    <row r="693" spans="2:14" x14ac:dyDescent="0.25">
      <c r="B693">
        <v>20</v>
      </c>
      <c r="C693">
        <v>84.37500000000003</v>
      </c>
      <c r="D693">
        <v>6</v>
      </c>
      <c r="E693" s="18">
        <v>9925.727353342494</v>
      </c>
      <c r="F693" s="18">
        <v>4256.518604628838</v>
      </c>
      <c r="G693" s="18">
        <v>443.02655539978707</v>
      </c>
      <c r="H693" s="12">
        <f>E694</f>
      </c>
      <c r="I693" s="12">
        <f>F694</f>
      </c>
      <c r="J693" s="12">
        <f>G694</f>
      </c>
      <c r="K693">
        <f>IF(AND(Pu&gt;=MIN(E693,H693),Pu&lt;=MAX(E693,H693),E693&lt;&gt;H693),1,0)</f>
      </c>
      <c r="L693">
        <f>IF(K693=1,(Pu-E693)/(H693-E693),"")</f>
      </c>
      <c r="M693" s="12">
        <f>IF(K693=1,F693+L693*(I693-F693),"")</f>
      </c>
      <c r="N693" s="12">
        <f>IF(K693=1,G693+L693*(J693-G693),"")</f>
      </c>
    </row>
    <row r="694" spans="2:14" x14ac:dyDescent="0.25">
      <c r="B694">
        <v>20</v>
      </c>
      <c r="C694">
        <v>84.37500000000003</v>
      </c>
      <c r="D694">
        <v>7</v>
      </c>
      <c r="E694" s="18">
        <v>9130.236543335086</v>
      </c>
      <c r="F694" s="18">
        <v>4352.647343644442</v>
      </c>
      <c r="G694" s="18">
        <v>451.53989459240375</v>
      </c>
      <c r="H694" s="12">
        <f>E695</f>
      </c>
      <c r="I694" s="12">
        <f>F695</f>
      </c>
      <c r="J694" s="12">
        <f>G695</f>
      </c>
      <c r="K694">
        <f>IF(AND(Pu&gt;=MIN(E694,H694),Pu&lt;=MAX(E694,H694),E694&lt;&gt;H694),1,0)</f>
      </c>
      <c r="L694">
        <f>IF(K694=1,(Pu-E694)/(H694-E694),"")</f>
      </c>
      <c r="M694" s="12">
        <f>IF(K694=1,F694+L694*(I694-F694),"")</f>
      </c>
      <c r="N694" s="12">
        <f>IF(K694=1,G694+L694*(J694-G694),"")</f>
      </c>
    </row>
    <row r="695" spans="2:14" x14ac:dyDescent="0.25">
      <c r="B695">
        <v>20</v>
      </c>
      <c r="C695">
        <v>84.37500000000003</v>
      </c>
      <c r="D695">
        <v>8</v>
      </c>
      <c r="E695" s="18">
        <v>8982.830494178897</v>
      </c>
      <c r="F695" s="18">
        <v>4429.527634340038</v>
      </c>
      <c r="G695" s="18">
        <v>457.68856181723487</v>
      </c>
      <c r="H695" s="12">
        <f>E696</f>
      </c>
      <c r="I695" s="12">
        <f>F696</f>
      </c>
      <c r="J695" s="12">
        <f>G696</f>
      </c>
      <c r="K695">
        <f>IF(AND(Pu&gt;=MIN(E695,H695),Pu&lt;=MAX(E695,H695),E695&lt;&gt;H695),1,0)</f>
      </c>
      <c r="L695">
        <f>IF(K695=1,(Pu-E695)/(H695-E695),"")</f>
      </c>
      <c r="M695" s="12">
        <f>IF(K695=1,F695+L695*(I695-F695),"")</f>
      </c>
      <c r="N695" s="12">
        <f>IF(K695=1,G695+L695*(J695-G695),"")</f>
      </c>
    </row>
    <row r="696" spans="2:14" x14ac:dyDescent="0.25">
      <c r="B696">
        <v>20</v>
      </c>
      <c r="C696">
        <v>84.37500000000003</v>
      </c>
      <c r="D696">
        <v>9</v>
      </c>
      <c r="E696" s="18">
        <v>8735.44618685395</v>
      </c>
      <c r="F696" s="18">
        <v>4552.830250361965</v>
      </c>
      <c r="G696" s="18">
        <v>466.63552736125934</v>
      </c>
      <c r="H696" s="12">
        <f>E697</f>
      </c>
      <c r="I696" s="12">
        <f>F697</f>
      </c>
      <c r="J696" s="12">
        <f>G697</f>
      </c>
      <c r="K696">
        <f>IF(AND(Pu&gt;=MIN(E696,H696),Pu&lt;=MAX(E696,H696),E696&lt;&gt;H696),1,0)</f>
      </c>
      <c r="L696">
        <f>IF(K696=1,(Pu-E696)/(H696-E696),"")</f>
      </c>
      <c r="M696" s="12">
        <f>IF(K696=1,F696+L696*(I696-F696),"")</f>
      </c>
      <c r="N696" s="12">
        <f>IF(K696=1,G696+L696*(J696-G696),"")</f>
      </c>
    </row>
    <row r="697" spans="2:14" x14ac:dyDescent="0.25">
      <c r="B697">
        <v>20</v>
      </c>
      <c r="C697">
        <v>84.37500000000003</v>
      </c>
      <c r="D697">
        <v>10</v>
      </c>
      <c r="E697" s="18">
        <v>8561.901668578705</v>
      </c>
      <c r="F697" s="18">
        <v>4633.572925481902</v>
      </c>
      <c r="G697" s="18">
        <v>483.78585883220853</v>
      </c>
      <c r="H697" s="12">
        <f>E698</f>
      </c>
      <c r="I697" s="12">
        <f>F698</f>
      </c>
      <c r="J697" s="12">
        <f>G698</f>
      </c>
      <c r="K697">
        <f>IF(AND(Pu&gt;=MIN(E697,H697),Pu&lt;=MAX(E697,H697),E697&lt;&gt;H697),1,0)</f>
      </c>
      <c r="L697">
        <f>IF(K697=1,(Pu-E697)/(H697-E697),"")</f>
      </c>
      <c r="M697" s="12">
        <f>IF(K697=1,F697+L697*(I697-F697),"")</f>
      </c>
      <c r="N697" s="12">
        <f>IF(K697=1,G697+L697*(J697-G697),"")</f>
      </c>
    </row>
    <row r="698" spans="2:14" x14ac:dyDescent="0.25">
      <c r="B698">
        <v>20</v>
      </c>
      <c r="C698">
        <v>84.37500000000003</v>
      </c>
      <c r="D698">
        <v>11</v>
      </c>
      <c r="E698" s="18">
        <v>8437.55080976276</v>
      </c>
      <c r="F698" s="18">
        <v>4690.022720599953</v>
      </c>
      <c r="G698" s="18">
        <v>496.49099659803335</v>
      </c>
      <c r="H698" s="12">
        <f>E699</f>
      </c>
      <c r="I698" s="12">
        <f>F699</f>
      </c>
      <c r="J698" s="12">
        <f>G699</f>
      </c>
      <c r="K698">
        <f>IF(AND(Pu&gt;=MIN(E698,H698),Pu&lt;=MAX(E698,H698),E698&lt;&gt;H698),1,0)</f>
      </c>
      <c r="L698">
        <f>IF(K698=1,(Pu-E698)/(H698-E698),"")</f>
      </c>
      <c r="M698" s="12">
        <f>IF(K698=1,F698+L698*(I698-F698),"")</f>
      </c>
      <c r="N698" s="12">
        <f>IF(K698=1,G698+L698*(J698-G698),"")</f>
      </c>
    </row>
    <row r="699" spans="2:14" x14ac:dyDescent="0.25">
      <c r="B699">
        <v>20</v>
      </c>
      <c r="C699">
        <v>84.37500000000003</v>
      </c>
      <c r="D699">
        <v>12</v>
      </c>
      <c r="E699" s="18">
        <v>8211.81884964312</v>
      </c>
      <c r="F699" s="18">
        <v>4789.712952917655</v>
      </c>
      <c r="G699" s="18">
        <v>520.375275470438</v>
      </c>
      <c r="H699" s="12">
        <f>E700</f>
      </c>
      <c r="I699" s="12">
        <f>F700</f>
      </c>
      <c r="J699" s="12">
        <f>G700</f>
      </c>
      <c r="K699">
        <f>IF(AND(Pu&gt;=MIN(E699,H699),Pu&lt;=MAX(E699,H699),E699&lt;&gt;H699),1,0)</f>
      </c>
      <c r="L699">
        <f>IF(K699=1,(Pu-E699)/(H699-E699),"")</f>
      </c>
      <c r="M699" s="12">
        <f>IF(K699=1,F699+L699*(I699-F699),"")</f>
      </c>
      <c r="N699" s="12">
        <f>IF(K699=1,G699+L699*(J699-G699),"")</f>
      </c>
    </row>
    <row r="700" spans="2:14" x14ac:dyDescent="0.25">
      <c r="B700">
        <v>20</v>
      </c>
      <c r="C700">
        <v>84.37500000000003</v>
      </c>
      <c r="D700">
        <v>13</v>
      </c>
      <c r="E700" s="18">
        <v>8155.803477572863</v>
      </c>
      <c r="F700" s="18">
        <v>4814.869565418786</v>
      </c>
      <c r="G700" s="18">
        <v>522.3223107597012</v>
      </c>
      <c r="H700" s="12">
        <f>E701</f>
      </c>
      <c r="I700" s="12">
        <f>F701</f>
      </c>
      <c r="J700" s="12">
        <f>G701</f>
      </c>
      <c r="K700">
        <f>IF(AND(Pu&gt;=MIN(E700,H700),Pu&lt;=MAX(E700,H700),E700&lt;&gt;H700),1,0)</f>
      </c>
      <c r="L700">
        <f>IF(K700=1,(Pu-E700)/(H700-E700),"")</f>
      </c>
      <c r="M700" s="12">
        <f>IF(K700=1,F700+L700*(I700-F700),"")</f>
      </c>
      <c r="N700" s="12">
        <f>IF(K700=1,G700+L700*(J700-G700),"")</f>
      </c>
    </row>
    <row r="701" spans="2:14" x14ac:dyDescent="0.25">
      <c r="B701">
        <v>20</v>
      </c>
      <c r="C701">
        <v>84.37500000000003</v>
      </c>
      <c r="D701">
        <v>14</v>
      </c>
      <c r="E701" s="18">
        <v>7925.504620681152</v>
      </c>
      <c r="F701" s="18">
        <v>4924.554026481654</v>
      </c>
      <c r="G701" s="18">
        <v>538.5901421976752</v>
      </c>
      <c r="H701" s="12">
        <f>E702</f>
      </c>
      <c r="I701" s="12">
        <f>F702</f>
      </c>
      <c r="J701" s="12">
        <f>G702</f>
      </c>
      <c r="K701">
        <f>IF(AND(Pu&gt;=MIN(E701,H701),Pu&lt;=MAX(E701,H701),E701&lt;&gt;H701),1,0)</f>
      </c>
      <c r="L701">
        <f>IF(K701=1,(Pu-E701)/(H701-E701),"")</f>
      </c>
      <c r="M701" s="12">
        <f>IF(K701=1,F701+L701*(I701-F701),"")</f>
      </c>
      <c r="N701" s="12">
        <f>IF(K701=1,G701+L701*(J701-G701),"")</f>
      </c>
    </row>
    <row r="702" spans="2:14" x14ac:dyDescent="0.25">
      <c r="B702">
        <v>20</v>
      </c>
      <c r="C702">
        <v>84.37500000000003</v>
      </c>
      <c r="D702">
        <v>15</v>
      </c>
      <c r="E702" s="18">
        <v>7908.075836391651</v>
      </c>
      <c r="F702" s="18">
        <v>4932.082218960522</v>
      </c>
      <c r="G702" s="18">
        <v>539.0020332778337</v>
      </c>
      <c r="H702" s="12">
        <f>E703</f>
      </c>
      <c r="I702" s="12">
        <f>F703</f>
      </c>
      <c r="J702" s="12">
        <f>G703</f>
      </c>
      <c r="K702">
        <f>IF(AND(Pu&gt;=MIN(E702,H702),Pu&lt;=MAX(E702,H702),E702&lt;&gt;H702),1,0)</f>
      </c>
      <c r="L702">
        <f>IF(K702=1,(Pu-E702)/(H702-E702),"")</f>
      </c>
      <c r="M702" s="12">
        <f>IF(K702=1,F702+L702*(I702-F702),"")</f>
      </c>
      <c r="N702" s="12">
        <f>IF(K702=1,G702+L702*(J702-G702),"")</f>
      </c>
    </row>
    <row r="703" spans="2:14" x14ac:dyDescent="0.25">
      <c r="B703">
        <v>20</v>
      </c>
      <c r="C703">
        <v>84.37500000000003</v>
      </c>
      <c r="D703">
        <v>16</v>
      </c>
      <c r="E703" s="18">
        <v>7685.301809648919</v>
      </c>
      <c r="F703" s="18">
        <v>5026.494145599126</v>
      </c>
      <c r="G703" s="18">
        <v>543.9338718111705</v>
      </c>
      <c r="H703" s="12">
        <f>E704</f>
      </c>
      <c r="I703" s="12">
        <f>F704</f>
      </c>
      <c r="J703" s="12">
        <f>G704</f>
      </c>
      <c r="K703">
        <f>IF(AND(Pu&gt;=MIN(E703,H703),Pu&lt;=MAX(E703,H703),E703&lt;&gt;H703),1,0)</f>
      </c>
      <c r="L703">
        <f>IF(K703=1,(Pu-E703)/(H703-E703),"")</f>
      </c>
      <c r="M703" s="12">
        <f>IF(K703=1,F703+L703*(I703-F703),"")</f>
      </c>
      <c r="N703" s="12">
        <f>IF(K703=1,G703+L703*(J703-G703),"")</f>
      </c>
    </row>
    <row r="704" spans="2:14" x14ac:dyDescent="0.25">
      <c r="B704">
        <v>20</v>
      </c>
      <c r="C704">
        <v>84.37500000000003</v>
      </c>
      <c r="D704">
        <v>17</v>
      </c>
      <c r="E704" s="18">
        <v>7470.222308300372</v>
      </c>
      <c r="F704" s="18">
        <v>5116.899115051762</v>
      </c>
      <c r="G704" s="18">
        <v>563.727079341478</v>
      </c>
      <c r="H704" s="12">
        <f>E705</f>
      </c>
      <c r="I704" s="12">
        <f>F705</f>
      </c>
      <c r="J704" s="12">
        <f>G705</f>
      </c>
      <c r="K704">
        <f>IF(AND(Pu&gt;=MIN(E704,H704),Pu&lt;=MAX(E704,H704),E704&lt;&gt;H704),1,0)</f>
      </c>
      <c r="L704">
        <f>IF(K704=1,(Pu-E704)/(H704-E704),"")</f>
      </c>
      <c r="M704" s="12">
        <f>IF(K704=1,F704+L704*(I704-F704),"")</f>
      </c>
      <c r="N704" s="12">
        <f>IF(K704=1,G704+L704*(J704-G704),"")</f>
      </c>
    </row>
    <row r="705" spans="2:14" x14ac:dyDescent="0.25">
      <c r="B705">
        <v>20</v>
      </c>
      <c r="C705">
        <v>84.37500000000003</v>
      </c>
      <c r="D705">
        <v>18</v>
      </c>
      <c r="E705" s="18">
        <v>7373.525342013644</v>
      </c>
      <c r="F705" s="18">
        <v>5169.010813203874</v>
      </c>
      <c r="G705" s="18">
        <v>568.5480013249737</v>
      </c>
      <c r="H705" s="12">
        <f>E706</f>
      </c>
      <c r="I705" s="12">
        <f>F706</f>
      </c>
      <c r="J705" s="12">
        <f>G706</f>
      </c>
      <c r="K705">
        <f>IF(AND(Pu&gt;=MIN(E705,H705),Pu&lt;=MAX(E705,H705),E705&lt;&gt;H705),1,0)</f>
      </c>
      <c r="L705">
        <f>IF(K705=1,(Pu-E705)/(H705-E705),"")</f>
      </c>
      <c r="M705" s="12">
        <f>IF(K705=1,F705+L705*(I705-F705),"")</f>
      </c>
      <c r="N705" s="12">
        <f>IF(K705=1,G705+L705*(J705-G705),"")</f>
      </c>
    </row>
    <row r="706" spans="2:14" x14ac:dyDescent="0.25">
      <c r="B706">
        <v>20</v>
      </c>
      <c r="C706">
        <v>84.37500000000003</v>
      </c>
      <c r="D706">
        <v>19</v>
      </c>
      <c r="E706" s="18">
        <v>7289.677205533626</v>
      </c>
      <c r="F706" s="18">
        <v>5204.121701530358</v>
      </c>
      <c r="G706" s="18">
        <v>579.283085816002</v>
      </c>
      <c r="H706" s="12">
        <f>E707</f>
      </c>
      <c r="I706" s="12">
        <f>F707</f>
      </c>
      <c r="J706" s="12">
        <f>G707</f>
      </c>
      <c r="K706">
        <f>IF(AND(Pu&gt;=MIN(E706,H706),Pu&lt;=MAX(E706,H706),E706&lt;&gt;H706),1,0)</f>
      </c>
      <c r="L706">
        <f>IF(K706=1,(Pu-E706)/(H706-E706),"")</f>
      </c>
      <c r="M706" s="12">
        <f>IF(K706=1,F706+L706*(I706-F706),"")</f>
      </c>
      <c r="N706" s="12">
        <f>IF(K706=1,G706+L706*(J706-G706),"")</f>
      </c>
    </row>
    <row r="707" spans="2:14" x14ac:dyDescent="0.25">
      <c r="B707">
        <v>20</v>
      </c>
      <c r="C707">
        <v>84.37500000000003</v>
      </c>
      <c r="D707">
        <v>20</v>
      </c>
      <c r="E707" s="18">
        <v>7122.6312131243085</v>
      </c>
      <c r="F707" s="18">
        <v>5278.5568482373465</v>
      </c>
      <c r="G707" s="18">
        <v>586.857156532192</v>
      </c>
      <c r="H707" s="12">
        <f>E708</f>
      </c>
      <c r="I707" s="12">
        <f>F708</f>
      </c>
      <c r="J707" s="12">
        <f>G708</f>
      </c>
      <c r="K707">
        <f>IF(AND(Pu&gt;=MIN(E707,H707),Pu&lt;=MAX(E707,H707),E707&lt;&gt;H707),1,0)</f>
      </c>
      <c r="L707">
        <f>IF(K707=1,(Pu-E707)/(H707-E707),"")</f>
      </c>
      <c r="M707" s="12">
        <f>IF(K707=1,F707+L707*(I707-F707),"")</f>
      </c>
      <c r="N707" s="12">
        <f>IF(K707=1,G707+L707*(J707-G707),"")</f>
      </c>
    </row>
    <row r="708" spans="2:14" x14ac:dyDescent="0.25">
      <c r="B708">
        <v>20</v>
      </c>
      <c r="C708">
        <v>84.37500000000003</v>
      </c>
      <c r="D708">
        <v>21</v>
      </c>
      <c r="E708" s="18">
        <v>7096.227069919959</v>
      </c>
      <c r="F708" s="18">
        <v>5272.720651634439</v>
      </c>
      <c r="G708" s="18">
        <v>586.2805483719386</v>
      </c>
      <c r="H708" s="12">
        <f>E709</f>
      </c>
      <c r="I708" s="12">
        <f>F709</f>
      </c>
      <c r="J708" s="12">
        <f>G709</f>
      </c>
      <c r="K708">
        <f>IF(AND(Pu&gt;=MIN(E708,H708),Pu&lt;=MAX(E708,H708),E708&lt;&gt;H708),1,0)</f>
      </c>
      <c r="L708">
        <f>IF(K708=1,(Pu-E708)/(H708-E708),"")</f>
      </c>
      <c r="M708" s="12">
        <f>IF(K708=1,F708+L708*(I708-F708),"")</f>
      </c>
      <c r="N708" s="12">
        <f>IF(K708=1,G708+L708*(J708-G708),"")</f>
      </c>
    </row>
    <row r="709" spans="2:14" x14ac:dyDescent="0.25">
      <c r="B709">
        <v>20</v>
      </c>
      <c r="C709">
        <v>84.37500000000003</v>
      </c>
      <c r="D709">
        <v>22</v>
      </c>
      <c r="E709" s="18">
        <v>6510.207920393434</v>
      </c>
      <c r="F709" s="18">
        <v>5138.126967028062</v>
      </c>
      <c r="G709" s="18">
        <v>576.3844091700388</v>
      </c>
      <c r="H709" s="12">
        <f>E710</f>
      </c>
      <c r="I709" s="12">
        <f>F710</f>
      </c>
      <c r="J709" s="12">
        <f>G710</f>
      </c>
      <c r="K709">
        <f>IF(AND(Pu&gt;=MIN(E709,H709),Pu&lt;=MAX(E709,H709),E709&lt;&gt;H709),1,0)</f>
      </c>
      <c r="L709">
        <f>IF(K709=1,(Pu-E709)/(H709-E709),"")</f>
      </c>
      <c r="M709" s="12">
        <f>IF(K709=1,F709+L709*(I709-F709),"")</f>
      </c>
      <c r="N709" s="12">
        <f>IF(K709=1,G709+L709*(J709-G709),"")</f>
      </c>
    </row>
    <row r="710" spans="2:14" x14ac:dyDescent="0.25">
      <c r="B710">
        <v>20</v>
      </c>
      <c r="C710">
        <v>84.37500000000003</v>
      </c>
      <c r="D710">
        <v>23</v>
      </c>
      <c r="E710" s="18">
        <v>5504.7609167329765</v>
      </c>
      <c r="F710" s="18">
        <v>4866.17647016672</v>
      </c>
      <c r="G710" s="18">
        <v>609.1564414298736</v>
      </c>
      <c r="H710" s="12">
        <f>E711</f>
      </c>
      <c r="I710" s="12">
        <f>F711</f>
      </c>
      <c r="J710" s="12">
        <f>G711</f>
      </c>
      <c r="K710">
        <f>IF(AND(Pu&gt;=MIN(E710,H710),Pu&lt;=MAX(E710,H710),E710&lt;&gt;H710),1,0)</f>
      </c>
      <c r="L710">
        <f>IF(K710=1,(Pu-E710)/(H710-E710),"")</f>
      </c>
      <c r="M710" s="12">
        <f>IF(K710=1,F710+L710*(I710-F710),"")</f>
      </c>
      <c r="N710" s="12">
        <f>IF(K710=1,G710+L710*(J710-G710),"")</f>
      </c>
    </row>
    <row r="711" spans="2:14" x14ac:dyDescent="0.25">
      <c r="B711">
        <v>20</v>
      </c>
      <c r="C711">
        <v>84.37500000000003</v>
      </c>
      <c r="D711">
        <v>24</v>
      </c>
      <c r="E711" s="18">
        <v>4669.396563250342</v>
      </c>
      <c r="F711" s="18">
        <v>4590.7092405978</v>
      </c>
      <c r="G711" s="18">
        <v>647.8593037494434</v>
      </c>
      <c r="H711" s="12">
        <f>E712</f>
      </c>
      <c r="I711" s="12">
        <f>F712</f>
      </c>
      <c r="J711" s="12">
        <f>G712</f>
      </c>
      <c r="K711">
        <f>IF(AND(Pu&gt;=MIN(E711,H711),Pu&lt;=MAX(E711,H711),E711&lt;&gt;H711),1,0)</f>
      </c>
      <c r="L711">
        <f>IF(K711=1,(Pu-E711)/(H711-E711),"")</f>
      </c>
      <c r="M711" s="12">
        <f>IF(K711=1,F711+L711*(I711-F711),"")</f>
      </c>
      <c r="N711" s="12">
        <f>IF(K711=1,G711+L711*(J711-G711),"")</f>
      </c>
    </row>
    <row r="712" spans="2:14" x14ac:dyDescent="0.25">
      <c r="B712">
        <v>20</v>
      </c>
      <c r="C712">
        <v>84.37500000000003</v>
      </c>
      <c r="D712">
        <v>25</v>
      </c>
      <c r="E712" s="18">
        <v>3814.8567319189765</v>
      </c>
      <c r="F712" s="18">
        <v>4280.175070001697</v>
      </c>
      <c r="G712" s="18">
        <v>671.7136875294225</v>
      </c>
      <c r="H712" s="12">
        <f>E713</f>
      </c>
      <c r="I712" s="12">
        <f>F713</f>
      </c>
      <c r="J712" s="12">
        <f>G713</f>
      </c>
      <c r="K712">
        <f>IF(AND(Pu&gt;=MIN(E712,H712),Pu&lt;=MAX(E712,H712),E712&lt;&gt;H712),1,0)</f>
      </c>
      <c r="L712">
        <f>IF(K712=1,(Pu-E712)/(H712-E712),"")</f>
      </c>
      <c r="M712" s="12">
        <f>IF(K712=1,F712+L712*(I712-F712),"")</f>
      </c>
      <c r="N712" s="12">
        <f>IF(K712=1,G712+L712*(J712-G712),"")</f>
      </c>
    </row>
    <row r="713" spans="2:14" x14ac:dyDescent="0.25">
      <c r="B713">
        <v>20</v>
      </c>
      <c r="C713">
        <v>84.37500000000003</v>
      </c>
      <c r="D713">
        <v>26</v>
      </c>
      <c r="E713" s="18">
        <v>2413.668426461721</v>
      </c>
      <c r="F713" s="18">
        <v>3719.905295648512</v>
      </c>
      <c r="G713" s="18">
        <v>711.0444290538081</v>
      </c>
      <c r="H713" s="12">
        <f>E714</f>
      </c>
      <c r="I713" s="12">
        <f>F714</f>
      </c>
      <c r="J713" s="12">
        <f>G714</f>
      </c>
      <c r="K713">
        <f>IF(AND(Pu&gt;=MIN(E713,H713),Pu&lt;=MAX(E713,H713),E713&lt;&gt;H713),1,0)</f>
      </c>
      <c r="L713">
        <f>IF(K713=1,(Pu-E713)/(H713-E713),"")</f>
      </c>
      <c r="M713" s="12">
        <f>IF(K713=1,F713+L713*(I713-F713),"")</f>
      </c>
      <c r="N713" s="12">
        <f>IF(K713=1,G713+L713*(J713-G713),"")</f>
      </c>
    </row>
    <row r="714" spans="2:14" x14ac:dyDescent="0.25">
      <c r="B714">
        <v>20</v>
      </c>
      <c r="C714">
        <v>84.37500000000003</v>
      </c>
      <c r="D714">
        <v>27</v>
      </c>
      <c r="E714" s="18">
        <v>1286.2356264977768</v>
      </c>
      <c r="F714" s="18">
        <v>3221.526270794109</v>
      </c>
      <c r="G714" s="18">
        <v>653.3022122401595</v>
      </c>
      <c r="H714" s="12">
        <f>E715</f>
      </c>
      <c r="I714" s="12">
        <f>F715</f>
      </c>
      <c r="J714" s="12">
        <f>G715</f>
      </c>
      <c r="K714">
        <f>IF(AND(Pu&gt;=MIN(E714,H714),Pu&lt;=MAX(E714,H714),E714&lt;&gt;H714),1,0)</f>
      </c>
      <c r="L714">
        <f>IF(K714=1,(Pu-E714)/(H714-E714),"")</f>
      </c>
      <c r="M714" s="12">
        <f>IF(K714=1,F714+L714*(I714-F714),"")</f>
      </c>
      <c r="N714" s="12">
        <f>IF(K714=1,G714+L714*(J714-G714),"")</f>
      </c>
    </row>
    <row r="715" spans="2:14" x14ac:dyDescent="0.25">
      <c r="B715">
        <v>20</v>
      </c>
      <c r="C715">
        <v>84.37500000000003</v>
      </c>
      <c r="D715">
        <v>28</v>
      </c>
      <c r="E715" s="18">
        <v>396.93037802843327</v>
      </c>
      <c r="F715" s="18">
        <v>2807.3748307744754</v>
      </c>
      <c r="G715" s="18">
        <v>574.6991044572698</v>
      </c>
      <c r="H715" s="12">
        <f>E716</f>
      </c>
      <c r="I715" s="12">
        <f>F716</f>
      </c>
      <c r="J715" s="12">
        <f>G716</f>
      </c>
      <c r="K715">
        <f>IF(AND(Pu&gt;=MIN(E715,H715),Pu&lt;=MAX(E715,H715),E715&lt;&gt;H715),1,0)</f>
      </c>
      <c r="L715">
        <f>IF(K715=1,(Pu-E715)/(H715-E715),"")</f>
      </c>
      <c r="M715" s="12">
        <f>IF(K715=1,F715+L715*(I715-F715),"")</f>
      </c>
      <c r="N715" s="12">
        <f>IF(K715=1,G715+L715*(J715-G715),"")</f>
      </c>
    </row>
    <row r="716" spans="2:14" x14ac:dyDescent="0.25">
      <c r="B716">
        <v>20</v>
      </c>
      <c r="C716">
        <v>84.37500000000003</v>
      </c>
      <c r="D716">
        <v>29</v>
      </c>
      <c r="E716" s="18">
        <v>-332.1588215941761</v>
      </c>
      <c r="F716" s="18">
        <v>2458.289235266812</v>
      </c>
      <c r="G716" s="18">
        <v>493.9210882867267</v>
      </c>
      <c r="H716" s="12">
        <f>E717</f>
      </c>
      <c r="I716" s="12">
        <f>F717</f>
      </c>
      <c r="J716" s="12">
        <f>G717</f>
      </c>
      <c r="K716">
        <f>IF(AND(Pu&gt;=MIN(E716,H716),Pu&lt;=MAX(E716,H716),E716&lt;&gt;H716),1,0)</f>
      </c>
      <c r="L716">
        <f>IF(K716=1,(Pu-E716)/(H716-E716),"")</f>
      </c>
      <c r="M716" s="12">
        <f>IF(K716=1,F716+L716*(I716-F716),"")</f>
      </c>
      <c r="N716" s="12">
        <f>IF(K716=1,G716+L716*(J716-G716),"")</f>
      </c>
    </row>
    <row r="717" spans="2:14" x14ac:dyDescent="0.25">
      <c r="B717">
        <v>20</v>
      </c>
      <c r="C717">
        <v>84.37500000000003</v>
      </c>
      <c r="D717">
        <v>30</v>
      </c>
      <c r="E717" s="18">
        <v>-1370.4505478527622</v>
      </c>
      <c r="F717" s="18">
        <v>1926.3011714902436</v>
      </c>
      <c r="G717" s="18">
        <v>448.3808504780933</v>
      </c>
      <c r="H717" s="12">
        <f>E718</f>
      </c>
      <c r="I717" s="12">
        <f>F718</f>
      </c>
      <c r="J717" s="12">
        <f>G718</f>
      </c>
      <c r="K717">
        <f>IF(AND(Pu&gt;=MIN(E717,H717),Pu&lt;=MAX(E717,H717),E717&lt;&gt;H717),1,0)</f>
      </c>
      <c r="L717">
        <f>IF(K717=1,(Pu-E717)/(H717-E717),"")</f>
      </c>
      <c r="M717" s="12">
        <f>IF(K717=1,F717+L717*(I717-F717),"")</f>
      </c>
      <c r="N717" s="12">
        <f>IF(K717=1,G717+L717*(J717-G717),"")</f>
      </c>
    </row>
    <row r="718" spans="2:14" x14ac:dyDescent="0.25">
      <c r="B718">
        <v>20</v>
      </c>
      <c r="C718">
        <v>84.37500000000003</v>
      </c>
      <c r="D718">
        <v>31</v>
      </c>
      <c r="E718" s="18">
        <v>-2163.597180524933</v>
      </c>
      <c r="F718" s="18">
        <v>1503.5105349483326</v>
      </c>
      <c r="G718" s="18">
        <v>441.7490860785081</v>
      </c>
      <c r="H718" s="12">
        <f>E719</f>
      </c>
      <c r="I718" s="12">
        <f>F719</f>
      </c>
      <c r="J718" s="12">
        <f>G719</f>
      </c>
      <c r="K718">
        <f>IF(AND(Pu&gt;=MIN(E718,H718),Pu&lt;=MAX(E718,H718),E718&lt;&gt;H718),1,0)</f>
      </c>
      <c r="L718">
        <f>IF(K718=1,(Pu-E718)/(H718-E718),"")</f>
      </c>
      <c r="M718" s="12">
        <f>IF(K718=1,F718+L718*(I718-F718),"")</f>
      </c>
      <c r="N718" s="12">
        <f>IF(K718=1,G718+L718*(J718-G718),"")</f>
      </c>
    </row>
    <row r="719" spans="2:14" x14ac:dyDescent="0.25">
      <c r="B719">
        <v>20</v>
      </c>
      <c r="C719">
        <v>84.37500000000003</v>
      </c>
      <c r="D719">
        <v>32</v>
      </c>
      <c r="E719" s="18">
        <v>-3315.972601888728</v>
      </c>
      <c r="F719" s="18">
        <v>882.6514422424212</v>
      </c>
      <c r="G719" s="18">
        <v>412.46451626880315</v>
      </c>
      <c r="H719" s="12">
        <f>E720</f>
      </c>
      <c r="I719" s="12">
        <f>F720</f>
      </c>
      <c r="J719" s="12">
        <f>G720</f>
      </c>
      <c r="K719">
        <f>IF(AND(Pu&gt;=MIN(E719,H719),Pu&lt;=MAX(E719,H719),E719&lt;&gt;H719),1,0)</f>
      </c>
      <c r="L719">
        <f>IF(K719=1,(Pu-E719)/(H719-E719),"")</f>
      </c>
      <c r="M719" s="12">
        <f>IF(K719=1,F719+L719*(I719-F719),"")</f>
      </c>
      <c r="N719" s="12">
        <f>IF(K719=1,G719+L719*(J719-G719),"")</f>
      </c>
    </row>
    <row r="720" spans="2:14" x14ac:dyDescent="0.25">
      <c r="B720">
        <v>20</v>
      </c>
      <c r="C720">
        <v>84.37500000000003</v>
      </c>
      <c r="D720">
        <v>33</v>
      </c>
      <c r="E720" s="18">
        <v>-3981.227864325372</v>
      </c>
      <c r="F720" s="18">
        <v>522.205453655483</v>
      </c>
      <c r="G720" s="18">
        <v>311.3053521544209</v>
      </c>
      <c r="H720" s="12">
        <f>E721</f>
      </c>
      <c r="I720" s="12">
        <f>F721</f>
      </c>
      <c r="J720" s="12">
        <f>G721</f>
      </c>
      <c r="K720">
        <f>IF(AND(Pu&gt;=MIN(E720,H720),Pu&lt;=MAX(E720,H720),E720&lt;&gt;H720),1,0)</f>
      </c>
      <c r="L720">
        <f>IF(K720=1,(Pu-E720)/(H720-E720),"")</f>
      </c>
      <c r="M720" s="12">
        <f>IF(K720=1,F720+L720*(I720-F720),"")</f>
      </c>
      <c r="N720" s="12">
        <f>IF(K720=1,G720+L720*(J720-G720),"")</f>
      </c>
    </row>
    <row r="721" spans="2:14" x14ac:dyDescent="0.25">
      <c r="B721">
        <v>20</v>
      </c>
      <c r="C721">
        <v>84.37500000000003</v>
      </c>
      <c r="D721">
        <v>34</v>
      </c>
      <c r="E721" s="18">
        <v>-4653.506980435235</v>
      </c>
      <c r="F721" s="18">
        <v>155.0511003057696</v>
      </c>
      <c r="G721" s="18">
        <v>111.43721621348674</v>
      </c>
      <c r="H721" s="12">
        <f>E722</f>
      </c>
      <c r="I721" s="12">
        <f>F722</f>
      </c>
      <c r="J721" s="12">
        <f>G722</f>
      </c>
      <c r="K721">
        <f>IF(AND(Pu&gt;=MIN(E721,H721),Pu&lt;=MAX(E721,H721),E721&lt;&gt;H721),1,0)</f>
      </c>
      <c r="L721">
        <f>IF(K721=1,(Pu-E721)/(H721-E721),"")</f>
      </c>
      <c r="M721" s="12">
        <f>IF(K721=1,F721+L721*(I721-F721),"")</f>
      </c>
      <c r="N721" s="12">
        <f>IF(K721=1,G721+L721*(J721-G721),"")</f>
      </c>
    </row>
    <row r="722" spans="2:7" x14ac:dyDescent="0.25">
      <c r="B722">
        <v>20</v>
      </c>
      <c r="C722">
        <v>84.37500000000003</v>
      </c>
      <c r="D722">
        <v>35</v>
      </c>
      <c r="E722" s="18">
        <v>-4785.534673572297</v>
      </c>
      <c r="F722" s="18">
        <v>80.18971274535666</v>
      </c>
      <c r="G722" s="18">
        <v>61.298470102946524</v>
      </c>
    </row>
    <row r="724" spans="2:14" x14ac:dyDescent="0.25">
      <c r="B724">
        <v>21</v>
      </c>
      <c r="C724">
        <v>86.24999999999999</v>
      </c>
      <c r="D724">
        <v>1</v>
      </c>
      <c r="E724" s="18">
        <v>17409.466750979067</v>
      </c>
      <c r="F724" s="18">
        <v>2298.652007367016</v>
      </c>
      <c r="G724" s="18">
        <v>316.85683305171125</v>
      </c>
      <c r="H724" s="12">
        <f>E725</f>
      </c>
      <c r="I724" s="12">
        <f>F725</f>
      </c>
      <c r="J724" s="12">
        <f>G725</f>
      </c>
      <c r="K724">
        <f>IF(AND(Pu&gt;=MIN(E724,H724),Pu&lt;=MAX(E724,H724),E724&lt;&gt;H724),1,0)</f>
      </c>
      <c r="L724">
        <f>IF(K724=1,(Pu-E724)/(H724-E724),"")</f>
      </c>
      <c r="M724" s="12">
        <f>IF(K724=1,F724+L724*(I724-F724),"")</f>
      </c>
      <c r="N724" s="12">
        <f>IF(K724=1,G724+L724*(J724-G724),"")</f>
      </c>
    </row>
    <row r="725" spans="2:14" x14ac:dyDescent="0.25">
      <c r="B725">
        <v>21</v>
      </c>
      <c r="C725">
        <v>86.24999999999999</v>
      </c>
      <c r="D725">
        <v>2</v>
      </c>
      <c r="E725" s="18">
        <v>16261.546585826269</v>
      </c>
      <c r="F725" s="18">
        <v>2765.033384337812</v>
      </c>
      <c r="G725" s="18">
        <v>294.48419572757786</v>
      </c>
      <c r="H725" s="12">
        <f>E726</f>
      </c>
      <c r="I725" s="12">
        <f>F726</f>
      </c>
      <c r="J725" s="12">
        <f>G726</f>
      </c>
      <c r="K725">
        <f>IF(AND(Pu&gt;=MIN(E725,H725),Pu&lt;=MAX(E725,H725),E725&lt;&gt;H725),1,0)</f>
      </c>
      <c r="L725">
        <f>IF(K725=1,(Pu-E725)/(H725-E725),"")</f>
      </c>
      <c r="M725" s="12">
        <f>IF(K725=1,F725+L725*(I725-F725),"")</f>
      </c>
      <c r="N725" s="12">
        <f>IF(K725=1,G725+L725*(J725-G725),"")</f>
      </c>
    </row>
    <row r="726" spans="2:14" x14ac:dyDescent="0.25">
      <c r="B726">
        <v>21</v>
      </c>
      <c r="C726">
        <v>86.24999999999999</v>
      </c>
      <c r="D726">
        <v>3</v>
      </c>
      <c r="E726" s="18">
        <v>15045.041627587743</v>
      </c>
      <c r="F726" s="18">
        <v>3196.3642813708766</v>
      </c>
      <c r="G726" s="18">
        <v>249.39319269277507</v>
      </c>
      <c r="H726" s="12">
        <f>E727</f>
      </c>
      <c r="I726" s="12">
        <f>F727</f>
      </c>
      <c r="J726" s="12">
        <f>G727</f>
      </c>
      <c r="K726">
        <f>IF(AND(Pu&gt;=MIN(E726,H726),Pu&lt;=MAX(E726,H726),E726&lt;&gt;H726),1,0)</f>
      </c>
      <c r="L726">
        <f>IF(K726=1,(Pu-E726)/(H726-E726),"")</f>
      </c>
      <c r="M726" s="12">
        <f>IF(K726=1,F726+L726*(I726-F726),"")</f>
      </c>
      <c r="N726" s="12">
        <f>IF(K726=1,G726+L726*(J726-G726),"")</f>
      </c>
    </row>
    <row r="727" spans="2:14" x14ac:dyDescent="0.25">
      <c r="B727">
        <v>21</v>
      </c>
      <c r="C727">
        <v>86.24999999999999</v>
      </c>
      <c r="D727">
        <v>4</v>
      </c>
      <c r="E727" s="18">
        <v>14068.38983906619</v>
      </c>
      <c r="F727" s="18">
        <v>3488.161043350781</v>
      </c>
      <c r="G727" s="18">
        <v>252.47271986022216</v>
      </c>
      <c r="H727" s="12">
        <f>E728</f>
      </c>
      <c r="I727" s="12">
        <f>F728</f>
      </c>
      <c r="J727" s="12">
        <f>G728</f>
      </c>
      <c r="K727">
        <f>IF(AND(Pu&gt;=MIN(E727,H727),Pu&lt;=MAX(E727,H727),E727&lt;&gt;H727),1,0)</f>
      </c>
      <c r="L727">
        <f>IF(K727=1,(Pu-E727)/(H727-E727),"")</f>
      </c>
      <c r="M727" s="12">
        <f>IF(K727=1,F727+L727*(I727-F727),"")</f>
      </c>
      <c r="N727" s="12">
        <f>IF(K727=1,G727+L727*(J727-G727),"")</f>
      </c>
    </row>
    <row r="728" spans="2:14" x14ac:dyDescent="0.25">
      <c r="B728">
        <v>21</v>
      </c>
      <c r="C728">
        <v>86.24999999999999</v>
      </c>
      <c r="D728">
        <v>5</v>
      </c>
      <c r="E728" s="18">
        <v>12454.99135778586</v>
      </c>
      <c r="F728" s="18">
        <v>3873.9708468816257</v>
      </c>
      <c r="G728" s="18">
        <v>261.0228696449802</v>
      </c>
      <c r="H728" s="12">
        <f>E729</f>
      </c>
      <c r="I728" s="12">
        <f>F729</f>
      </c>
      <c r="J728" s="12">
        <f>G729</f>
      </c>
      <c r="K728">
        <f>IF(AND(Pu&gt;=MIN(E728,H728),Pu&lt;=MAX(E728,H728),E728&lt;&gt;H728),1,0)</f>
      </c>
      <c r="L728">
        <f>IF(K728=1,(Pu-E728)/(H728-E728),"")</f>
      </c>
      <c r="M728" s="12">
        <f>IF(K728=1,F728+L728*(I728-F728),"")</f>
      </c>
      <c r="N728" s="12">
        <f>IF(K728=1,G728+L728*(J728-G728),"")</f>
      </c>
    </row>
    <row r="729" spans="2:14" x14ac:dyDescent="0.25">
      <c r="B729">
        <v>21</v>
      </c>
      <c r="C729">
        <v>86.24999999999999</v>
      </c>
      <c r="D729">
        <v>6</v>
      </c>
      <c r="E729" s="18">
        <v>11089.085421223816</v>
      </c>
      <c r="F729" s="18">
        <v>4118.5073131110385</v>
      </c>
      <c r="G729" s="18">
        <v>270.1905292427519</v>
      </c>
      <c r="H729" s="12">
        <f>E730</f>
      </c>
      <c r="I729" s="12">
        <f>F730</f>
      </c>
      <c r="J729" s="12">
        <f>G730</f>
      </c>
      <c r="K729">
        <f>IF(AND(Pu&gt;=MIN(E729,H729),Pu&lt;=MAX(E729,H729),E729&lt;&gt;H729),1,0)</f>
      </c>
      <c r="L729">
        <f>IF(K729=1,(Pu-E729)/(H729-E729),"")</f>
      </c>
      <c r="M729" s="12">
        <f>IF(K729=1,F729+L729*(I729-F729),"")</f>
      </c>
      <c r="N729" s="12">
        <f>IF(K729=1,G729+L729*(J729-G729),"")</f>
      </c>
    </row>
    <row r="730" spans="2:14" x14ac:dyDescent="0.25">
      <c r="B730">
        <v>21</v>
      </c>
      <c r="C730">
        <v>86.24999999999999</v>
      </c>
      <c r="D730">
        <v>7</v>
      </c>
      <c r="E730" s="18">
        <v>9899.875281772893</v>
      </c>
      <c r="F730" s="18">
        <v>4287.624423853695</v>
      </c>
      <c r="G730" s="18">
        <v>298.4414315054539</v>
      </c>
      <c r="H730" s="12">
        <f>E731</f>
      </c>
      <c r="I730" s="12">
        <f>F731</f>
      </c>
      <c r="J730" s="12">
        <f>G731</f>
      </c>
      <c r="K730">
        <f>IF(AND(Pu&gt;=MIN(E730,H730),Pu&lt;=MAX(E730,H730),E730&lt;&gt;H730),1,0)</f>
      </c>
      <c r="L730">
        <f>IF(K730=1,(Pu-E730)/(H730-E730),"")</f>
      </c>
      <c r="M730" s="12">
        <f>IF(K730=1,F730+L730*(I730-F730),"")</f>
      </c>
      <c r="N730" s="12">
        <f>IF(K730=1,G730+L730*(J730-G730),"")</f>
      </c>
    </row>
    <row r="731" spans="2:14" x14ac:dyDescent="0.25">
      <c r="B731">
        <v>21</v>
      </c>
      <c r="C731">
        <v>86.24999999999999</v>
      </c>
      <c r="D731">
        <v>8</v>
      </c>
      <c r="E731" s="18">
        <v>9128.539522842064</v>
      </c>
      <c r="F731" s="18">
        <v>4381.68738793218</v>
      </c>
      <c r="G731" s="18">
        <v>312.05890555888465</v>
      </c>
      <c r="H731" s="12">
        <f>E732</f>
      </c>
      <c r="I731" s="12">
        <f>F732</f>
      </c>
      <c r="J731" s="12">
        <f>G732</f>
      </c>
      <c r="K731">
        <f>IF(AND(Pu&gt;=MIN(E731,H731),Pu&lt;=MAX(E731,H731),E731&lt;&gt;H731),1,0)</f>
      </c>
      <c r="L731">
        <f>IF(K731=1,(Pu-E731)/(H731-E731),"")</f>
      </c>
      <c r="M731" s="12">
        <f>IF(K731=1,F731+L731*(I731-F731),"")</f>
      </c>
      <c r="N731" s="12">
        <f>IF(K731=1,G731+L731*(J731-G731),"")</f>
      </c>
    </row>
    <row r="732" spans="2:14" x14ac:dyDescent="0.25">
      <c r="B732">
        <v>21</v>
      </c>
      <c r="C732">
        <v>86.24999999999999</v>
      </c>
      <c r="D732">
        <v>9</v>
      </c>
      <c r="E732" s="18">
        <v>8987.24129320826</v>
      </c>
      <c r="F732" s="18">
        <v>4464.9874309905435</v>
      </c>
      <c r="G732" s="18">
        <v>303.3948527959058</v>
      </c>
      <c r="H732" s="12">
        <f>E733</f>
      </c>
      <c r="I732" s="12">
        <f>F733</f>
      </c>
      <c r="J732" s="12">
        <f>G733</f>
      </c>
      <c r="K732">
        <f>IF(AND(Pu&gt;=MIN(E732,H732),Pu&lt;=MAX(E732,H732),E732&lt;&gt;H732),1,0)</f>
      </c>
      <c r="L732">
        <f>IF(K732=1,(Pu-E732)/(H732-E732),"")</f>
      </c>
      <c r="M732" s="12">
        <f>IF(K732=1,F732+L732*(I732-F732),"")</f>
      </c>
      <c r="N732" s="12">
        <f>IF(K732=1,G732+L732*(J732-G732),"")</f>
      </c>
    </row>
    <row r="733" spans="2:14" x14ac:dyDescent="0.25">
      <c r="B733">
        <v>21</v>
      </c>
      <c r="C733">
        <v>86.24999999999999</v>
      </c>
      <c r="D733">
        <v>10</v>
      </c>
      <c r="E733" s="18">
        <v>8784.0780953637</v>
      </c>
      <c r="F733" s="18">
        <v>4569.7144817560575</v>
      </c>
      <c r="G733" s="18">
        <v>310.59015138428197</v>
      </c>
      <c r="H733" s="12">
        <f>E734</f>
      </c>
      <c r="I733" s="12">
        <f>F734</f>
      </c>
      <c r="J733" s="12">
        <f>G734</f>
      </c>
      <c r="K733">
        <f>IF(AND(Pu&gt;=MIN(E733,H733),Pu&lt;=MAX(E733,H733),E733&lt;&gt;H733),1,0)</f>
      </c>
      <c r="L733">
        <f>IF(K733=1,(Pu-E733)/(H733-E733),"")</f>
      </c>
      <c r="M733" s="12">
        <f>IF(K733=1,F733+L733*(I733-F733),"")</f>
      </c>
      <c r="N733" s="12">
        <f>IF(K733=1,G733+L733*(J733-G733),"")</f>
      </c>
    </row>
    <row r="734" spans="2:14" x14ac:dyDescent="0.25">
      <c r="B734">
        <v>21</v>
      </c>
      <c r="C734">
        <v>86.24999999999999</v>
      </c>
      <c r="D734">
        <v>11</v>
      </c>
      <c r="E734" s="18">
        <v>8608.688722423603</v>
      </c>
      <c r="F734" s="18">
        <v>4657.407079096127</v>
      </c>
      <c r="G734" s="18">
        <v>322.81971945770505</v>
      </c>
      <c r="H734" s="12">
        <f>E735</f>
      </c>
      <c r="I734" s="12">
        <f>F735</f>
      </c>
      <c r="J734" s="12">
        <f>G735</f>
      </c>
      <c r="K734">
        <f>IF(AND(Pu&gt;=MIN(E734,H734),Pu&lt;=MAX(E734,H734),E734&lt;&gt;H734),1,0)</f>
      </c>
      <c r="L734">
        <f>IF(K734=1,(Pu-E734)/(H734-E734),"")</f>
      </c>
      <c r="M734" s="12">
        <f>IF(K734=1,F734+L734*(I734-F734),"")</f>
      </c>
      <c r="N734" s="12">
        <f>IF(K734=1,G734+L734*(J734-G734),"")</f>
      </c>
    </row>
    <row r="735" spans="2:14" x14ac:dyDescent="0.25">
      <c r="B735">
        <v>21</v>
      </c>
      <c r="C735">
        <v>86.24999999999999</v>
      </c>
      <c r="D735">
        <v>12</v>
      </c>
      <c r="E735" s="18">
        <v>8499.654013559488</v>
      </c>
      <c r="F735" s="18">
        <v>4710.775077735805</v>
      </c>
      <c r="G735" s="18">
        <v>330.67992897860074</v>
      </c>
      <c r="H735" s="12">
        <f>E736</f>
      </c>
      <c r="I735" s="12">
        <f>F736</f>
      </c>
      <c r="J735" s="12">
        <f>G736</f>
      </c>
      <c r="K735">
        <f>IF(AND(Pu&gt;=MIN(E735,H735),Pu&lt;=MAX(E735,H735),E735&lt;&gt;H735),1,0)</f>
      </c>
      <c r="L735">
        <f>IF(K735=1,(Pu-E735)/(H735-E735),"")</f>
      </c>
      <c r="M735" s="12">
        <f>IF(K735=1,F735+L735*(I735-F735),"")</f>
      </c>
      <c r="N735" s="12">
        <f>IF(K735=1,G735+L735*(J735-G735),"")</f>
      </c>
    </row>
    <row r="736" spans="2:14" x14ac:dyDescent="0.25">
      <c r="B736">
        <v>21</v>
      </c>
      <c r="C736">
        <v>86.24999999999999</v>
      </c>
      <c r="D736">
        <v>13</v>
      </c>
      <c r="E736" s="18">
        <v>8273.937461440502</v>
      </c>
      <c r="F736" s="18">
        <v>4818.632366236663</v>
      </c>
      <c r="G736" s="18">
        <v>347.5280813717393</v>
      </c>
      <c r="H736" s="12">
        <f>E737</f>
      </c>
      <c r="I736" s="12">
        <f>F737</f>
      </c>
      <c r="J736" s="12">
        <f>G737</f>
      </c>
      <c r="K736">
        <f>IF(AND(Pu&gt;=MIN(E736,H736),Pu&lt;=MAX(E736,H736),E736&lt;&gt;H736),1,0)</f>
      </c>
      <c r="L736">
        <f>IF(K736=1,(Pu-E736)/(H736-E736),"")</f>
      </c>
      <c r="M736" s="12">
        <f>IF(K736=1,F736+L736*(I736-F736),"")</f>
      </c>
      <c r="N736" s="12">
        <f>IF(K736=1,G736+L736*(J736-G736),"")</f>
      </c>
    </row>
    <row r="737" spans="2:14" x14ac:dyDescent="0.25">
      <c r="B737">
        <v>21</v>
      </c>
      <c r="C737">
        <v>86.24999999999999</v>
      </c>
      <c r="D737">
        <v>14</v>
      </c>
      <c r="E737" s="18">
        <v>8238.478130309206</v>
      </c>
      <c r="F737" s="18">
        <v>4843.708548896526</v>
      </c>
      <c r="G737" s="18">
        <v>361.49362382306464</v>
      </c>
      <c r="H737" s="12">
        <f>E738</f>
      </c>
      <c r="I737" s="12">
        <f>F738</f>
      </c>
      <c r="J737" s="12">
        <f>G738</f>
      </c>
      <c r="K737">
        <f>IF(AND(Pu&gt;=MIN(E737,H737),Pu&lt;=MAX(E737,H737),E737&lt;&gt;H737),1,0)</f>
      </c>
      <c r="L737">
        <f>IF(K737=1,(Pu-E737)/(H737-E737),"")</f>
      </c>
      <c r="M737" s="12">
        <f>IF(K737=1,F737+L737*(I737-F737),"")</f>
      </c>
      <c r="N737" s="12">
        <f>IF(K737=1,G737+L737*(J737-G737),"")</f>
      </c>
    </row>
    <row r="738" spans="2:14" x14ac:dyDescent="0.25">
      <c r="B738">
        <v>21</v>
      </c>
      <c r="C738">
        <v>86.24999999999999</v>
      </c>
      <c r="D738">
        <v>15</v>
      </c>
      <c r="E738" s="18">
        <v>8003.142818091996</v>
      </c>
      <c r="F738" s="18">
        <v>4957.564344656017</v>
      </c>
      <c r="G738" s="18">
        <v>359.13255084386714</v>
      </c>
      <c r="H738" s="12">
        <f>E739</f>
      </c>
      <c r="I738" s="12">
        <f>F739</f>
      </c>
      <c r="J738" s="12">
        <f>G739</f>
      </c>
      <c r="K738">
        <f>IF(AND(Pu&gt;=MIN(E738,H738),Pu&lt;=MAX(E738,H738),E738&lt;&gt;H738),1,0)</f>
      </c>
      <c r="L738">
        <f>IF(K738=1,(Pu-E738)/(H738-E738),"")</f>
      </c>
      <c r="M738" s="12">
        <f>IF(K738=1,F738+L738*(I738-F738),"")</f>
      </c>
      <c r="N738" s="12">
        <f>IF(K738=1,G738+L738*(J738-G738),"")</f>
      </c>
    </row>
    <row r="739" spans="2:14" x14ac:dyDescent="0.25">
      <c r="B739">
        <v>21</v>
      </c>
      <c r="C739">
        <v>86.24999999999999</v>
      </c>
      <c r="D739">
        <v>16</v>
      </c>
      <c r="E739" s="18">
        <v>7977.389935414375</v>
      </c>
      <c r="F739" s="18">
        <v>4969.823602050904</v>
      </c>
      <c r="G739" s="18">
        <v>358.66450284373866</v>
      </c>
      <c r="H739" s="12">
        <f>E740</f>
      </c>
      <c r="I739" s="12">
        <f>F740</f>
      </c>
      <c r="J739" s="12">
        <f>G740</f>
      </c>
      <c r="K739">
        <f>IF(AND(Pu&gt;=MIN(E739,H739),Pu&lt;=MAX(E739,H739),E739&lt;&gt;H739),1,0)</f>
      </c>
      <c r="L739">
        <f>IF(K739=1,(Pu-E739)/(H739-E739),"")</f>
      </c>
      <c r="M739" s="12">
        <f>IF(K739=1,F739+L739*(I739-F739),"")</f>
      </c>
      <c r="N739" s="12">
        <f>IF(K739=1,G739+L739*(J739-G739),"")</f>
      </c>
    </row>
    <row r="740" spans="2:14" x14ac:dyDescent="0.25">
      <c r="B740">
        <v>21</v>
      </c>
      <c r="C740">
        <v>86.24999999999999</v>
      </c>
      <c r="D740">
        <v>17</v>
      </c>
      <c r="E740" s="18">
        <v>7782.271997769554</v>
      </c>
      <c r="F740" s="18">
        <v>5062.5361762978255</v>
      </c>
      <c r="G740" s="18">
        <v>359.9646989786565</v>
      </c>
      <c r="H740" s="12">
        <f>E741</f>
      </c>
      <c r="I740" s="12">
        <f>F741</f>
      </c>
      <c r="J740" s="12">
        <f>G741</f>
      </c>
      <c r="K740">
        <f>IF(AND(Pu&gt;=MIN(E740,H740),Pu&lt;=MAX(E740,H740),E740&lt;&gt;H740),1,0)</f>
      </c>
      <c r="L740">
        <f>IF(K740=1,(Pu-E740)/(H740-E740),"")</f>
      </c>
      <c r="M740" s="12">
        <f>IF(K740=1,F740+L740*(I740-F740),"")</f>
      </c>
      <c r="N740" s="12">
        <f>IF(K740=1,G740+L740*(J740-G740),"")</f>
      </c>
    </row>
    <row r="741" spans="2:14" x14ac:dyDescent="0.25">
      <c r="B741">
        <v>21</v>
      </c>
      <c r="C741">
        <v>86.24999999999999</v>
      </c>
      <c r="D741">
        <v>18</v>
      </c>
      <c r="E741" s="18">
        <v>7591.990688417528</v>
      </c>
      <c r="F741" s="18">
        <v>5154.5035973436425</v>
      </c>
      <c r="G741" s="18">
        <v>378.93626802254755</v>
      </c>
      <c r="H741" s="12">
        <f>E742</f>
      </c>
      <c r="I741" s="12">
        <f>F742</f>
      </c>
      <c r="J741" s="12">
        <f>G742</f>
      </c>
      <c r="K741">
        <f>IF(AND(Pu&gt;=MIN(E741,H741),Pu&lt;=MAX(E741,H741),E741&lt;&gt;H741),1,0)</f>
      </c>
      <c r="L741">
        <f>IF(K741=1,(Pu-E741)/(H741-E741),"")</f>
      </c>
      <c r="M741" s="12">
        <f>IF(K741=1,F741+L741*(I741-F741),"")</f>
      </c>
      <c r="N741" s="12">
        <f>IF(K741=1,G741+L741*(J741-G741),"")</f>
      </c>
    </row>
    <row r="742" spans="2:14" x14ac:dyDescent="0.25">
      <c r="B742">
        <v>21</v>
      </c>
      <c r="C742">
        <v>86.24999999999999</v>
      </c>
      <c r="D742">
        <v>19</v>
      </c>
      <c r="E742" s="18">
        <v>7477.198739126162</v>
      </c>
      <c r="F742" s="18">
        <v>5208.591161034549</v>
      </c>
      <c r="G742" s="18">
        <v>390.75437989461705</v>
      </c>
      <c r="H742" s="12">
        <f>E743</f>
      </c>
      <c r="I742" s="12">
        <f>F743</f>
      </c>
      <c r="J742" s="12">
        <f>G743</f>
      </c>
      <c r="K742">
        <f>IF(AND(Pu&gt;=MIN(E742,H742),Pu&lt;=MAX(E742,H742),E742&lt;&gt;H742),1,0)</f>
      </c>
      <c r="L742">
        <f>IF(K742=1,(Pu-E742)/(H742-E742),"")</f>
      </c>
      <c r="M742" s="12">
        <f>IF(K742=1,F742+L742*(I742-F742),"")</f>
      </c>
      <c r="N742" s="12">
        <f>IF(K742=1,G742+L742*(J742-G742),"")</f>
      </c>
    </row>
    <row r="743" spans="2:14" x14ac:dyDescent="0.25">
      <c r="B743">
        <v>21</v>
      </c>
      <c r="C743">
        <v>86.24999999999999</v>
      </c>
      <c r="D743">
        <v>20</v>
      </c>
      <c r="E743" s="18">
        <v>7404.493164563295</v>
      </c>
      <c r="F743" s="18">
        <v>5242.305907243259</v>
      </c>
      <c r="G743" s="18">
        <v>398.3678248514836</v>
      </c>
      <c r="H743" s="12">
        <f>E744</f>
      </c>
      <c r="I743" s="12">
        <f>F744</f>
      </c>
      <c r="J743" s="12">
        <f>G744</f>
      </c>
      <c r="K743">
        <f>IF(AND(Pu&gt;=MIN(E743,H743),Pu&lt;=MAX(E743,H743),E743&lt;&gt;H743),1,0)</f>
      </c>
      <c r="L743">
        <f>IF(K743=1,(Pu-E743)/(H743-E743),"")</f>
      </c>
      <c r="M743" s="12">
        <f>IF(K743=1,F743+L743*(I743-F743),"")</f>
      </c>
      <c r="N743" s="12">
        <f>IF(K743=1,G743+L743*(J743-G743),"")</f>
      </c>
    </row>
    <row r="744" spans="2:14" x14ac:dyDescent="0.25">
      <c r="B744">
        <v>21</v>
      </c>
      <c r="C744">
        <v>86.24999999999999</v>
      </c>
      <c r="D744">
        <v>21</v>
      </c>
      <c r="E744" s="18">
        <v>7254.093261607335</v>
      </c>
      <c r="F744" s="18">
        <v>5330.126315830486</v>
      </c>
      <c r="G744" s="18">
        <v>393.919512074853</v>
      </c>
      <c r="H744" s="12">
        <f>E745</f>
      </c>
      <c r="I744" s="12">
        <f>F745</f>
      </c>
      <c r="J744" s="12">
        <f>G745</f>
      </c>
      <c r="K744">
        <f>IF(AND(Pu&gt;=MIN(E744,H744),Pu&lt;=MAX(E744,H744),E744&lt;&gt;H744),1,0)</f>
      </c>
      <c r="L744">
        <f>IF(K744=1,(Pu-E744)/(H744-E744),"")</f>
      </c>
      <c r="M744" s="12">
        <f>IF(K744=1,F744+L744*(I744-F744),"")</f>
      </c>
      <c r="N744" s="12">
        <f>IF(K744=1,G744+L744*(J744-G744),"")</f>
      </c>
    </row>
    <row r="745" spans="2:14" x14ac:dyDescent="0.25">
      <c r="B745">
        <v>21</v>
      </c>
      <c r="C745">
        <v>86.24999999999999</v>
      </c>
      <c r="D745">
        <v>22</v>
      </c>
      <c r="E745" s="18">
        <v>7211.1063356954655</v>
      </c>
      <c r="F745" s="18">
        <v>5321.018637247236</v>
      </c>
      <c r="G745" s="18">
        <v>392.14393309702047</v>
      </c>
      <c r="H745" s="12">
        <f>E746</f>
      </c>
      <c r="I745" s="12">
        <f>F746</f>
      </c>
      <c r="J745" s="12">
        <f>G746</f>
      </c>
      <c r="K745">
        <f>IF(AND(Pu&gt;=MIN(E745,H745),Pu&lt;=MAX(E745,H745),E745&lt;&gt;H745),1,0)</f>
      </c>
      <c r="L745">
        <f>IF(K745=1,(Pu-E745)/(H745-E745),"")</f>
      </c>
      <c r="M745" s="12">
        <f>IF(K745=1,F745+L745*(I745-F745),"")</f>
      </c>
      <c r="N745" s="12">
        <f>IF(K745=1,G745+L745*(J745-G745),"")</f>
      </c>
    </row>
    <row r="746" spans="2:14" x14ac:dyDescent="0.25">
      <c r="B746">
        <v>21</v>
      </c>
      <c r="C746">
        <v>86.24999999999999</v>
      </c>
      <c r="D746">
        <v>23</v>
      </c>
      <c r="E746" s="18">
        <v>6649.8210940512245</v>
      </c>
      <c r="F746" s="18">
        <v>5197.72092031943</v>
      </c>
      <c r="G746" s="18">
        <v>370.1899308137962</v>
      </c>
      <c r="H746" s="12">
        <f>E747</f>
      </c>
      <c r="I746" s="12">
        <f>F747</f>
      </c>
      <c r="J746" s="12">
        <f>G747</f>
      </c>
      <c r="K746">
        <f>IF(AND(Pu&gt;=MIN(E746,H746),Pu&lt;=MAX(E746,H746),E746&lt;&gt;H746),1,0)</f>
      </c>
      <c r="L746">
        <f>IF(K746=1,(Pu-E746)/(H746-E746),"")</f>
      </c>
      <c r="M746" s="12">
        <f>IF(K746=1,F746+L746*(I746-F746),"")</f>
      </c>
      <c r="N746" s="12">
        <f>IF(K746=1,G746+L746*(J746-G746),"")</f>
      </c>
    </row>
    <row r="747" spans="2:14" x14ac:dyDescent="0.25">
      <c r="B747">
        <v>21</v>
      </c>
      <c r="C747">
        <v>86.24999999999999</v>
      </c>
      <c r="D747">
        <v>24</v>
      </c>
      <c r="E747" s="18">
        <v>5732.785038713814</v>
      </c>
      <c r="F747" s="18">
        <v>4952.632647459865</v>
      </c>
      <c r="G747" s="18">
        <v>396.1607272614714</v>
      </c>
      <c r="H747" s="12">
        <f>E748</f>
      </c>
      <c r="I747" s="12">
        <f>F748</f>
      </c>
      <c r="J747" s="12">
        <f>G748</f>
      </c>
      <c r="K747">
        <f>IF(AND(Pu&gt;=MIN(E747,H747),Pu&lt;=MAX(E747,H747),E747&lt;&gt;H747),1,0)</f>
      </c>
      <c r="L747">
        <f>IF(K747=1,(Pu-E747)/(H747-E747),"")</f>
      </c>
      <c r="M747" s="12">
        <f>IF(K747=1,F747+L747*(I747-F747),"")</f>
      </c>
      <c r="N747" s="12">
        <f>IF(K747=1,G747+L747*(J747-G747),"")</f>
      </c>
    </row>
    <row r="748" spans="2:14" x14ac:dyDescent="0.25">
      <c r="B748">
        <v>21</v>
      </c>
      <c r="C748">
        <v>86.24999999999999</v>
      </c>
      <c r="D748">
        <v>25</v>
      </c>
      <c r="E748" s="18">
        <v>4939.480203283529</v>
      </c>
      <c r="F748" s="18">
        <v>4711.154797527584</v>
      </c>
      <c r="G748" s="18">
        <v>431.9462664055467</v>
      </c>
      <c r="H748" s="12">
        <f>E749</f>
      </c>
      <c r="I748" s="12">
        <f>F749</f>
      </c>
      <c r="J748" s="12">
        <f>G749</f>
      </c>
      <c r="K748">
        <f>IF(AND(Pu&gt;=MIN(E748,H748),Pu&lt;=MAX(E748,H748),E748&lt;&gt;H748),1,0)</f>
      </c>
      <c r="L748">
        <f>IF(K748=1,(Pu-E748)/(H748-E748),"")</f>
      </c>
      <c r="M748" s="12">
        <f>IF(K748=1,F748+L748*(I748-F748),"")</f>
      </c>
      <c r="N748" s="12">
        <f>IF(K748=1,G748+L748*(J748-G748),"")</f>
      </c>
    </row>
    <row r="749" spans="2:14" x14ac:dyDescent="0.25">
      <c r="B749">
        <v>21</v>
      </c>
      <c r="C749">
        <v>86.24999999999999</v>
      </c>
      <c r="D749">
        <v>26</v>
      </c>
      <c r="E749" s="18">
        <v>4199.764165968696</v>
      </c>
      <c r="F749" s="18">
        <v>4457.688742777246</v>
      </c>
      <c r="G749" s="18">
        <v>422.9307484084164</v>
      </c>
      <c r="H749" s="12">
        <f>E750</f>
      </c>
      <c r="I749" s="12">
        <f>F750</f>
      </c>
      <c r="J749" s="12">
        <f>G750</f>
      </c>
      <c r="K749">
        <f>IF(AND(Pu&gt;=MIN(E749,H749),Pu&lt;=MAX(E749,H749),E749&lt;&gt;H749),1,0)</f>
      </c>
      <c r="L749">
        <f>IF(K749=1,(Pu-E749)/(H749-E749),"")</f>
      </c>
      <c r="M749" s="12">
        <f>IF(K749=1,F749+L749*(I749-F749),"")</f>
      </c>
      <c r="N749" s="12">
        <f>IF(K749=1,G749+L749*(J749-G749),"")</f>
      </c>
    </row>
    <row r="750" spans="2:14" x14ac:dyDescent="0.25">
      <c r="B750">
        <v>21</v>
      </c>
      <c r="C750">
        <v>86.24999999999999</v>
      </c>
      <c r="D750">
        <v>27</v>
      </c>
      <c r="E750" s="18">
        <v>2878.304955537064</v>
      </c>
      <c r="F750" s="18">
        <v>3938.9918659144937</v>
      </c>
      <c r="G750" s="18">
        <v>484.4310123652152</v>
      </c>
      <c r="H750" s="12">
        <f>E751</f>
      </c>
      <c r="I750" s="12">
        <f>F751</f>
      </c>
      <c r="J750" s="12">
        <f>G751</f>
      </c>
      <c r="K750">
        <f>IF(AND(Pu&gt;=MIN(E750,H750),Pu&lt;=MAX(E750,H750),E750&lt;&gt;H750),1,0)</f>
      </c>
      <c r="L750">
        <f>IF(K750=1,(Pu-E750)/(H750-E750),"")</f>
      </c>
      <c r="M750" s="12">
        <f>IF(K750=1,F750+L750*(I750-F750),"")</f>
      </c>
      <c r="N750" s="12">
        <f>IF(K750=1,G750+L750*(J750-G750),"")</f>
      </c>
    </row>
    <row r="751" spans="2:14" x14ac:dyDescent="0.25">
      <c r="B751">
        <v>21</v>
      </c>
      <c r="C751">
        <v>86.24999999999999</v>
      </c>
      <c r="D751">
        <v>28</v>
      </c>
      <c r="E751" s="18">
        <v>1734.5083949302186</v>
      </c>
      <c r="F751" s="18">
        <v>3452.47761068456</v>
      </c>
      <c r="G751" s="18">
        <v>470.30427956370016</v>
      </c>
      <c r="H751" s="12">
        <f>E752</f>
      </c>
      <c r="I751" s="12">
        <f>F752</f>
      </c>
      <c r="J751" s="12">
        <f>G752</f>
      </c>
      <c r="K751">
        <f>IF(AND(Pu&gt;=MIN(E751,H751),Pu&lt;=MAX(E751,H751),E751&lt;&gt;H751),1,0)</f>
      </c>
      <c r="L751">
        <f>IF(K751=1,(Pu-E751)/(H751-E751),"")</f>
      </c>
      <c r="M751" s="12">
        <f>IF(K751=1,F751+L751*(I751-F751),"")</f>
      </c>
      <c r="N751" s="12">
        <f>IF(K751=1,G751+L751*(J751-G751),"")</f>
      </c>
    </row>
    <row r="752" spans="2:14" x14ac:dyDescent="0.25">
      <c r="B752">
        <v>21</v>
      </c>
      <c r="C752">
        <v>86.24999999999999</v>
      </c>
      <c r="D752">
        <v>29</v>
      </c>
      <c r="E752" s="18">
        <v>875.249219224976</v>
      </c>
      <c r="F752" s="18">
        <v>3060.8703500420615</v>
      </c>
      <c r="G752" s="18">
        <v>402.5925985051264</v>
      </c>
      <c r="H752" s="12">
        <f>E753</f>
      </c>
      <c r="I752" s="12">
        <f>F753</f>
      </c>
      <c r="J752" s="12">
        <f>G753</f>
      </c>
      <c r="K752">
        <f>IF(AND(Pu&gt;=MIN(E752,H752),Pu&lt;=MAX(E752,H752),E752&lt;&gt;H752),1,0)</f>
      </c>
      <c r="L752">
        <f>IF(K752=1,(Pu-E752)/(H752-E752),"")</f>
      </c>
      <c r="M752" s="12">
        <f>IF(K752=1,F752+L752*(I752-F752),"")</f>
      </c>
      <c r="N752" s="12">
        <f>IF(K752=1,G752+L752*(J752-G752),"")</f>
      </c>
    </row>
    <row r="753" spans="2:14" x14ac:dyDescent="0.25">
      <c r="B753">
        <v>21</v>
      </c>
      <c r="C753">
        <v>86.24999999999999</v>
      </c>
      <c r="D753">
        <v>30</v>
      </c>
      <c r="E753" s="18">
        <v>156.87949233324835</v>
      </c>
      <c r="F753" s="18">
        <v>2721.9019108581997</v>
      </c>
      <c r="G753" s="18">
        <v>337.91458456512333</v>
      </c>
      <c r="H753" s="12">
        <f>E754</f>
      </c>
      <c r="I753" s="12">
        <f>F754</f>
      </c>
      <c r="J753" s="12">
        <f>G754</f>
      </c>
      <c r="K753">
        <f>IF(AND(Pu&gt;=MIN(E753,H753),Pu&lt;=MAX(E753,H753),E753&lt;&gt;H753),1,0)</f>
      </c>
      <c r="L753">
        <f>IF(K753=1,(Pu-E753)/(H753-E753),"")</f>
      </c>
      <c r="M753" s="12">
        <f>IF(K753=1,F753+L753*(I753-F753),"")</f>
      </c>
      <c r="N753" s="12">
        <f>IF(K753=1,G753+L753*(J753-G753),"")</f>
      </c>
    </row>
    <row r="754" spans="2:14" x14ac:dyDescent="0.25">
      <c r="B754">
        <v>21</v>
      </c>
      <c r="C754">
        <v>86.24999999999999</v>
      </c>
      <c r="D754">
        <v>31</v>
      </c>
      <c r="E754" s="18">
        <v>-808.7013412793451</v>
      </c>
      <c r="F754" s="18">
        <v>2230.33648796177</v>
      </c>
      <c r="G754" s="18">
        <v>311.1451361303773</v>
      </c>
      <c r="H754" s="12">
        <f>E755</f>
      </c>
      <c r="I754" s="12">
        <f>F755</f>
      </c>
      <c r="J754" s="12">
        <f>G755</f>
      </c>
      <c r="K754">
        <f>IF(AND(Pu&gt;=MIN(E754,H754),Pu&lt;=MAX(E754,H754),E754&lt;&gt;H754),1,0)</f>
      </c>
      <c r="L754">
        <f>IF(K754=1,(Pu-E754)/(H754-E754),"")</f>
      </c>
      <c r="M754" s="12">
        <f>IF(K754=1,F754+L754*(I754-F754),"")</f>
      </c>
      <c r="N754" s="12">
        <f>IF(K754=1,G754+L754*(J754-G754),"")</f>
      </c>
    </row>
    <row r="755" spans="2:14" x14ac:dyDescent="0.25">
      <c r="B755">
        <v>21</v>
      </c>
      <c r="C755">
        <v>86.24999999999999</v>
      </c>
      <c r="D755">
        <v>32</v>
      </c>
      <c r="E755" s="18">
        <v>-1560.0613669585116</v>
      </c>
      <c r="F755" s="18">
        <v>1835.2339497255664</v>
      </c>
      <c r="G755" s="18">
        <v>305.36769346043945</v>
      </c>
      <c r="H755" s="12">
        <f>E756</f>
      </c>
      <c r="I755" s="12">
        <f>F756</f>
      </c>
      <c r="J755" s="12">
        <f>G756</f>
      </c>
      <c r="K755">
        <f>IF(AND(Pu&gt;=MIN(E755,H755),Pu&lt;=MAX(E755,H755),E755&lt;&gt;H755),1,0)</f>
      </c>
      <c r="L755">
        <f>IF(K755=1,(Pu-E755)/(H755-E755),"")</f>
      </c>
      <c r="M755" s="12">
        <f>IF(K755=1,F755+L755*(I755-F755),"")</f>
      </c>
      <c r="N755" s="12">
        <f>IF(K755=1,G755+L755*(J755-G755),"")</f>
      </c>
    </row>
    <row r="756" spans="2:14" x14ac:dyDescent="0.25">
      <c r="B756">
        <v>21</v>
      </c>
      <c r="C756">
        <v>86.24999999999999</v>
      </c>
      <c r="D756">
        <v>33</v>
      </c>
      <c r="E756" s="18">
        <v>-2706.710925437815</v>
      </c>
      <c r="F756" s="18">
        <v>1218.845523510837</v>
      </c>
      <c r="G756" s="18">
        <v>319.7183116335388</v>
      </c>
      <c r="H756" s="12">
        <f>E757</f>
      </c>
      <c r="I756" s="12">
        <f>F757</f>
      </c>
      <c r="J756" s="12">
        <f>G757</f>
      </c>
      <c r="K756">
        <f>IF(AND(Pu&gt;=MIN(E756,H756),Pu&lt;=MAX(E756,H756),E756&lt;&gt;H756),1,0)</f>
      </c>
      <c r="L756">
        <f>IF(K756=1,(Pu-E756)/(H756-E756),"")</f>
      </c>
      <c r="M756" s="12">
        <f>IF(K756=1,F756+L756*(I756-F756),"")</f>
      </c>
      <c r="N756" s="12">
        <f>IF(K756=1,G756+L756*(J756-G756),"")</f>
      </c>
    </row>
    <row r="757" spans="2:14" x14ac:dyDescent="0.25">
      <c r="B757">
        <v>21</v>
      </c>
      <c r="C757">
        <v>86.24999999999999</v>
      </c>
      <c r="D757">
        <v>34</v>
      </c>
      <c r="E757" s="18">
        <v>-3600.847652966782</v>
      </c>
      <c r="F757" s="18">
        <v>733.5934691736053</v>
      </c>
      <c r="G757" s="18">
        <v>314.0112835238898</v>
      </c>
      <c r="H757" s="12">
        <f>E758</f>
      </c>
      <c r="I757" s="12">
        <f>F758</f>
      </c>
      <c r="J757" s="12">
        <f>G758</f>
      </c>
      <c r="K757">
        <f>IF(AND(Pu&gt;=MIN(E757,H757),Pu&lt;=MAX(E757,H757),E757&lt;&gt;H757),1,0)</f>
      </c>
      <c r="L757">
        <f>IF(K757=1,(Pu-E757)/(H757-E757),"")</f>
      </c>
      <c r="M757" s="12">
        <f>IF(K757=1,F757+L757*(I757-F757),"")</f>
      </c>
      <c r="N757" s="12">
        <f>IF(K757=1,G757+L757*(J757-G757),"")</f>
      </c>
    </row>
    <row r="758" spans="2:14" x14ac:dyDescent="0.25">
      <c r="B758">
        <v>21</v>
      </c>
      <c r="C758">
        <v>86.24999999999999</v>
      </c>
      <c r="D758">
        <v>35</v>
      </c>
      <c r="E758" s="18">
        <v>-4543.679923685728</v>
      </c>
      <c r="F758" s="18">
        <v>218.31311107825522</v>
      </c>
      <c r="G758" s="18">
        <v>134.13013563687545</v>
      </c>
      <c r="H758" s="12">
        <f>E759</f>
      </c>
      <c r="I758" s="12">
        <f>F759</f>
      </c>
      <c r="J758" s="12">
        <f>G759</f>
      </c>
      <c r="K758">
        <f>IF(AND(Pu&gt;=MIN(E758,H758),Pu&lt;=MAX(E758,H758),E758&lt;&gt;H758),1,0)</f>
      </c>
      <c r="L758">
        <f>IF(K758=1,(Pu-E758)/(H758-E758),"")</f>
      </c>
      <c r="M758" s="12">
        <f>IF(K758=1,F758+L758*(I758-F758),"")</f>
      </c>
      <c r="N758" s="12">
        <f>IF(K758=1,G758+L758*(J758-G758),"")</f>
      </c>
    </row>
    <row r="759" spans="2:7" x14ac:dyDescent="0.25">
      <c r="B759">
        <v>21</v>
      </c>
      <c r="C759">
        <v>86.24999999999999</v>
      </c>
      <c r="D759">
        <v>36</v>
      </c>
      <c r="E759" s="18">
        <v>-4734.9757025555755</v>
      </c>
      <c r="F759" s="18">
        <v>110.04333845760344</v>
      </c>
      <c r="G759" s="18">
        <v>74.10842679388877</v>
      </c>
    </row>
    <row r="761" spans="2:14" x14ac:dyDescent="0.25">
      <c r="B761">
        <v>22</v>
      </c>
      <c r="C761">
        <v>88.12499999999999</v>
      </c>
      <c r="D761">
        <v>1</v>
      </c>
      <c r="E761" s="18">
        <v>17120.654447430876</v>
      </c>
      <c r="F761" s="18">
        <v>2432.0453677119885</v>
      </c>
      <c r="G761" s="18">
        <v>166.32849443423763</v>
      </c>
      <c r="H761" s="12">
        <f>E762</f>
      </c>
      <c r="I761" s="12">
        <f>F762</f>
      </c>
      <c r="J761" s="12">
        <f>G762</f>
      </c>
      <c r="K761">
        <f>IF(AND(Pu&gt;=MIN(E761,H761),Pu&lt;=MAX(E761,H761),E761&lt;&gt;H761),1,0)</f>
      </c>
      <c r="L761">
        <f>IF(K761=1,(Pu-E761)/(H761-E761),"")</f>
      </c>
      <c r="M761" s="12">
        <f>IF(K761=1,F761+L761*(I761-F761),"")</f>
      </c>
      <c r="N761" s="12">
        <f>IF(K761=1,G761+L761*(J761-G761),"")</f>
      </c>
    </row>
    <row r="762" spans="2:14" x14ac:dyDescent="0.25">
      <c r="B762">
        <v>22</v>
      </c>
      <c r="C762">
        <v>88.12499999999999</v>
      </c>
      <c r="D762">
        <v>2</v>
      </c>
      <c r="E762" s="18">
        <v>16036.223369022333</v>
      </c>
      <c r="F762" s="18">
        <v>2860.3830759280827</v>
      </c>
      <c r="G762" s="18">
        <v>145.62905233717692</v>
      </c>
      <c r="H762" s="12">
        <f>E763</f>
      </c>
      <c r="I762" s="12">
        <f>F763</f>
      </c>
      <c r="J762" s="12">
        <f>G763</f>
      </c>
      <c r="K762">
        <f>IF(AND(Pu&gt;=MIN(E762,H762),Pu&lt;=MAX(E762,H762),E762&lt;&gt;H762),1,0)</f>
      </c>
      <c r="L762">
        <f>IF(K762=1,(Pu-E762)/(H762-E762),"")</f>
      </c>
      <c r="M762" s="12">
        <f>IF(K762=1,F762+L762*(I762-F762),"")</f>
      </c>
      <c r="N762" s="12">
        <f>IF(K762=1,G762+L762*(J762-G762),"")</f>
      </c>
    </row>
    <row r="763" spans="2:14" x14ac:dyDescent="0.25">
      <c r="B763">
        <v>22</v>
      </c>
      <c r="C763">
        <v>88.12499999999999</v>
      </c>
      <c r="D763">
        <v>3</v>
      </c>
      <c r="E763" s="18">
        <v>14896.330681049305</v>
      </c>
      <c r="F763" s="18">
        <v>3252.4987789692987</v>
      </c>
      <c r="G763" s="18">
        <v>117.80795505058639</v>
      </c>
      <c r="H763" s="12">
        <f>E764</f>
      </c>
      <c r="I763" s="12">
        <f>F764</f>
      </c>
      <c r="J763" s="12">
        <f>G764</f>
      </c>
      <c r="K763">
        <f>IF(AND(Pu&gt;=MIN(E763,H763),Pu&lt;=MAX(E763,H763),E763&lt;&gt;H763),1,0)</f>
      </c>
      <c r="L763">
        <f>IF(K763=1,(Pu-E763)/(H763-E763),"")</f>
      </c>
      <c r="M763" s="12">
        <f>IF(K763=1,F763+L763*(I763-F763),"")</f>
      </c>
      <c r="N763" s="12">
        <f>IF(K763=1,G763+L763*(J763-G763),"")</f>
      </c>
    </row>
    <row r="764" spans="2:14" x14ac:dyDescent="0.25">
      <c r="B764">
        <v>22</v>
      </c>
      <c r="C764">
        <v>88.12499999999999</v>
      </c>
      <c r="D764">
        <v>4</v>
      </c>
      <c r="E764" s="18">
        <v>13957.216747632845</v>
      </c>
      <c r="F764" s="18">
        <v>3527.4982249963414</v>
      </c>
      <c r="G764" s="18">
        <v>127.04867807522966</v>
      </c>
      <c r="H764" s="12">
        <f>E765</f>
      </c>
      <c r="I764" s="12">
        <f>F765</f>
      </c>
      <c r="J764" s="12">
        <f>G765</f>
      </c>
      <c r="K764">
        <f>IF(AND(Pu&gt;=MIN(E764,H764),Pu&lt;=MAX(E764,H764),E764&lt;&gt;H764),1,0)</f>
      </c>
      <c r="L764">
        <f>IF(K764=1,(Pu-E764)/(H764-E764),"")</f>
      </c>
      <c r="M764" s="12">
        <f>IF(K764=1,F764+L764*(I764-F764),"")</f>
      </c>
      <c r="N764" s="12">
        <f>IF(K764=1,G764+L764*(J764-G764),"")</f>
      </c>
    </row>
    <row r="765" spans="2:14" x14ac:dyDescent="0.25">
      <c r="B765">
        <v>22</v>
      </c>
      <c r="C765">
        <v>88.12499999999999</v>
      </c>
      <c r="D765">
        <v>5</v>
      </c>
      <c r="E765" s="18">
        <v>12373.743282600311</v>
      </c>
      <c r="F765" s="18">
        <v>3902.163214977838</v>
      </c>
      <c r="G765" s="18">
        <v>131.44385614719894</v>
      </c>
      <c r="H765" s="12">
        <f>E766</f>
      </c>
      <c r="I765" s="12">
        <f>F766</f>
      </c>
      <c r="J765" s="12">
        <f>G766</f>
      </c>
      <c r="K765">
        <f>IF(AND(Pu&gt;=MIN(E765,H765),Pu&lt;=MAX(E765,H765),E765&lt;&gt;H765),1,0)</f>
      </c>
      <c r="L765">
        <f>IF(K765=1,(Pu-E765)/(H765-E765),"")</f>
      </c>
      <c r="M765" s="12">
        <f>IF(K765=1,F765+L765*(I765-F765),"")</f>
      </c>
      <c r="N765" s="12">
        <f>IF(K765=1,G765+L765*(J765-G765),"")</f>
      </c>
    </row>
    <row r="766" spans="2:14" x14ac:dyDescent="0.25">
      <c r="B766">
        <v>22</v>
      </c>
      <c r="C766">
        <v>88.12499999999999</v>
      </c>
      <c r="D766">
        <v>6</v>
      </c>
      <c r="E766" s="18">
        <v>11056.046002334257</v>
      </c>
      <c r="F766" s="18">
        <v>4145.410086805897</v>
      </c>
      <c r="G766" s="18">
        <v>137.36122421890312</v>
      </c>
      <c r="H766" s="12">
        <f>E767</f>
      </c>
      <c r="I766" s="12">
        <f>F767</f>
      </c>
      <c r="J766" s="12">
        <f>G767</f>
      </c>
      <c r="K766">
        <f>IF(AND(Pu&gt;=MIN(E766,H766),Pu&lt;=MAX(E766,H766),E766&lt;&gt;H766),1,0)</f>
      </c>
      <c r="L766">
        <f>IF(K766=1,(Pu-E766)/(H766-E766),"")</f>
      </c>
      <c r="M766" s="12">
        <f>IF(K766=1,F766+L766*(I766-F766),"")</f>
      </c>
      <c r="N766" s="12">
        <f>IF(K766=1,G766+L766*(J766-G766),"")</f>
      </c>
    </row>
    <row r="767" spans="2:14" x14ac:dyDescent="0.25">
      <c r="B767">
        <v>22</v>
      </c>
      <c r="C767">
        <v>88.12499999999999</v>
      </c>
      <c r="D767">
        <v>7</v>
      </c>
      <c r="E767" s="18">
        <v>9872.581318916385</v>
      </c>
      <c r="F767" s="18">
        <v>4316.8735239338785</v>
      </c>
      <c r="G767" s="18">
        <v>151.54247915585785</v>
      </c>
      <c r="H767" s="12">
        <f>E768</f>
      </c>
      <c r="I767" s="12">
        <f>F768</f>
      </c>
      <c r="J767" s="12">
        <f>G768</f>
      </c>
      <c r="K767">
        <f>IF(AND(Pu&gt;=MIN(E767,H767),Pu&lt;=MAX(E767,H767),E767&lt;&gt;H767),1,0)</f>
      </c>
      <c r="L767">
        <f>IF(K767=1,(Pu-E767)/(H767-E767),"")</f>
      </c>
      <c r="M767" s="12">
        <f>IF(K767=1,F767+L767*(I767-F767),"")</f>
      </c>
      <c r="N767" s="12">
        <f>IF(K767=1,G767+L767*(J767-G767),"")</f>
      </c>
    </row>
    <row r="768" spans="2:14" x14ac:dyDescent="0.25">
      <c r="B768">
        <v>22</v>
      </c>
      <c r="C768">
        <v>88.12499999999999</v>
      </c>
      <c r="D768">
        <v>8</v>
      </c>
      <c r="E768" s="18">
        <v>9133.949707035545</v>
      </c>
      <c r="F768" s="18">
        <v>4408.348668541599</v>
      </c>
      <c r="G768" s="18">
        <v>157.68842318766053</v>
      </c>
      <c r="H768" s="12">
        <f>E769</f>
      </c>
      <c r="I768" s="12">
        <f>F769</f>
      </c>
      <c r="J768" s="12">
        <f>G769</f>
      </c>
      <c r="K768">
        <f>IF(AND(Pu&gt;=MIN(E768,H768),Pu&lt;=MAX(E768,H768),E768&lt;&gt;H768),1,0)</f>
      </c>
      <c r="L768">
        <f>IF(K768=1,(Pu-E768)/(H768-E768),"")</f>
      </c>
      <c r="M768" s="12">
        <f>IF(K768=1,F768+L768*(I768-F768),"")</f>
      </c>
      <c r="N768" s="12">
        <f>IF(K768=1,G768+L768*(J768-G768),"")</f>
      </c>
    </row>
    <row r="769" spans="2:14" x14ac:dyDescent="0.25">
      <c r="B769">
        <v>22</v>
      </c>
      <c r="C769">
        <v>88.12499999999999</v>
      </c>
      <c r="D769">
        <v>9</v>
      </c>
      <c r="E769" s="18">
        <v>8988.561575097623</v>
      </c>
      <c r="F769" s="18">
        <v>4488.901498375162</v>
      </c>
      <c r="G769" s="18">
        <v>155.3891067314865</v>
      </c>
      <c r="H769" s="12">
        <f>E770</f>
      </c>
      <c r="I769" s="12">
        <f>F770</f>
      </c>
      <c r="J769" s="12">
        <f>G770</f>
      </c>
      <c r="K769">
        <f>IF(AND(Pu&gt;=MIN(E769,H769),Pu&lt;=MAX(E769,H769),E769&lt;&gt;H769),1,0)</f>
      </c>
      <c r="L769">
        <f>IF(K769=1,(Pu-E769)/(H769-E769),"")</f>
      </c>
      <c r="M769" s="12">
        <f>IF(K769=1,F769+L769*(I769-F769),"")</f>
      </c>
      <c r="N769" s="12">
        <f>IF(K769=1,G769+L769*(J769-G769),"")</f>
      </c>
    </row>
    <row r="770" spans="2:14" x14ac:dyDescent="0.25">
      <c r="B770">
        <v>22</v>
      </c>
      <c r="C770">
        <v>88.12499999999999</v>
      </c>
      <c r="D770">
        <v>10</v>
      </c>
      <c r="E770" s="18">
        <v>8832.80889131436</v>
      </c>
      <c r="F770" s="18">
        <v>4583.4538466038475</v>
      </c>
      <c r="G770" s="18">
        <v>152.0968180540338</v>
      </c>
      <c r="H770" s="12">
        <f>E771</f>
      </c>
      <c r="I770" s="12">
        <f>F771</f>
      </c>
      <c r="J770" s="12">
        <f>G771</f>
      </c>
      <c r="K770">
        <f>IF(AND(Pu&gt;=MIN(E770,H770),Pu&lt;=MAX(E770,H770),E770&lt;&gt;H770),1,0)</f>
      </c>
      <c r="L770">
        <f>IF(K770=1,(Pu-E770)/(H770-E770),"")</f>
      </c>
      <c r="M770" s="12">
        <f>IF(K770=1,F770+L770*(I770-F770),"")</f>
      </c>
      <c r="N770" s="12">
        <f>IF(K770=1,G770+L770*(J770-G770),"")</f>
      </c>
    </row>
    <row r="771" spans="2:14" x14ac:dyDescent="0.25">
      <c r="B771">
        <v>22</v>
      </c>
      <c r="C771">
        <v>88.12499999999999</v>
      </c>
      <c r="D771">
        <v>11</v>
      </c>
      <c r="E771" s="18">
        <v>8655.989455590816</v>
      </c>
      <c r="F771" s="18">
        <v>4678.490648882108</v>
      </c>
      <c r="G771" s="18">
        <v>158.5696698798613</v>
      </c>
      <c r="H771" s="12">
        <f>E772</f>
      </c>
      <c r="I771" s="12">
        <f>F772</f>
      </c>
      <c r="J771" s="12">
        <f>G772</f>
      </c>
      <c r="K771">
        <f>IF(AND(Pu&gt;=MIN(E771,H771),Pu&lt;=MAX(E771,H771),E771&lt;&gt;H771),1,0)</f>
      </c>
      <c r="L771">
        <f>IF(K771=1,(Pu-E771)/(H771-E771),"")</f>
      </c>
      <c r="M771" s="12">
        <f>IF(K771=1,F771+L771*(I771-F771),"")</f>
      </c>
      <c r="N771" s="12">
        <f>IF(K771=1,G771+L771*(J771-G771),"")</f>
      </c>
    </row>
    <row r="772" spans="2:14" x14ac:dyDescent="0.25">
      <c r="B772">
        <v>22</v>
      </c>
      <c r="C772">
        <v>88.12499999999999</v>
      </c>
      <c r="D772">
        <v>12</v>
      </c>
      <c r="E772" s="18">
        <v>8561.830841137307</v>
      </c>
      <c r="F772" s="18">
        <v>4728.181717196267</v>
      </c>
      <c r="G772" s="18">
        <v>162.13376797201678</v>
      </c>
      <c r="H772" s="12">
        <f>E773</f>
      </c>
      <c r="I772" s="12">
        <f>F773</f>
      </c>
      <c r="J772" s="12">
        <f>G773</f>
      </c>
      <c r="K772">
        <f>IF(AND(Pu&gt;=MIN(E772,H772),Pu&lt;=MAX(E772,H772),E772&lt;&gt;H772),1,0)</f>
      </c>
      <c r="L772">
        <f>IF(K772=1,(Pu-E772)/(H772-E772),"")</f>
      </c>
      <c r="M772" s="12">
        <f>IF(K772=1,F772+L772*(I772-F772),"")</f>
      </c>
      <c r="N772" s="12">
        <f>IF(K772=1,G772+L772*(J772-G772),"")</f>
      </c>
    </row>
    <row r="773" spans="2:14" x14ac:dyDescent="0.25">
      <c r="B773">
        <v>22</v>
      </c>
      <c r="C773">
        <v>88.12499999999999</v>
      </c>
      <c r="D773">
        <v>13</v>
      </c>
      <c r="E773" s="18">
        <v>8351.336168563927</v>
      </c>
      <c r="F773" s="18">
        <v>4846.095460636891</v>
      </c>
      <c r="G773" s="18">
        <v>181.0236359586705</v>
      </c>
      <c r="H773" s="12">
        <f>E774</f>
      </c>
      <c r="I773" s="12">
        <f>F774</f>
      </c>
      <c r="J773" s="12">
        <f>G774</f>
      </c>
      <c r="K773">
        <f>IF(AND(Pu&gt;=MIN(E773,H773),Pu&lt;=MAX(E773,H773),E773&lt;&gt;H773),1,0)</f>
      </c>
      <c r="L773">
        <f>IF(K773=1,(Pu-E773)/(H773-E773),"")</f>
      </c>
      <c r="M773" s="12">
        <f>IF(K773=1,F773+L773*(I773-F773),"")</f>
      </c>
      <c r="N773" s="12">
        <f>IF(K773=1,G773+L773*(J773-G773),"")</f>
      </c>
    </row>
    <row r="774" spans="2:14" x14ac:dyDescent="0.25">
      <c r="B774">
        <v>22</v>
      </c>
      <c r="C774">
        <v>88.12499999999999</v>
      </c>
      <c r="D774">
        <v>14</v>
      </c>
      <c r="E774" s="18">
        <v>8313.574919609004</v>
      </c>
      <c r="F774" s="18">
        <v>4865.328563389199</v>
      </c>
      <c r="G774" s="18">
        <v>182.59587055302578</v>
      </c>
      <c r="H774" s="12">
        <f>E775</f>
      </c>
      <c r="I774" s="12">
        <f>F775</f>
      </c>
      <c r="J774" s="12">
        <f>G775</f>
      </c>
      <c r="K774">
        <f>IF(AND(Pu&gt;=MIN(E774,H774),Pu&lt;=MAX(E774,H774),E774&lt;&gt;H774),1,0)</f>
      </c>
      <c r="L774">
        <f>IF(K774=1,(Pu-E774)/(H774-E774),"")</f>
      </c>
      <c r="M774" s="12">
        <f>IF(K774=1,F774+L774*(I774-F774),"")</f>
      </c>
      <c r="N774" s="12">
        <f>IF(K774=1,G774+L774*(J774-G774),"")</f>
      </c>
    </row>
    <row r="775" spans="2:14" x14ac:dyDescent="0.25">
      <c r="B775">
        <v>22</v>
      </c>
      <c r="C775">
        <v>88.12499999999999</v>
      </c>
      <c r="D775">
        <v>15</v>
      </c>
      <c r="E775" s="18">
        <v>8080.326577287283</v>
      </c>
      <c r="F775" s="18">
        <v>4986.935643522247</v>
      </c>
      <c r="G775" s="18">
        <v>176.65564327412844</v>
      </c>
      <c r="H775" s="12">
        <f>E776</f>
      </c>
      <c r="I775" s="12">
        <f>F776</f>
      </c>
      <c r="J775" s="12">
        <f>G776</f>
      </c>
      <c r="K775">
        <f>IF(AND(Pu&gt;=MIN(E775,H775),Pu&lt;=MAX(E775,H775),E775&lt;&gt;H775),1,0)</f>
      </c>
      <c r="L775">
        <f>IF(K775=1,(Pu-E775)/(H775-E775),"")</f>
      </c>
      <c r="M775" s="12">
        <f>IF(K775=1,F775+L775*(I775-F775),"")</f>
      </c>
      <c r="N775" s="12">
        <f>IF(K775=1,G775+L775*(J775-G775),"")</f>
      </c>
    </row>
    <row r="776" spans="2:14" x14ac:dyDescent="0.25">
      <c r="B776">
        <v>22</v>
      </c>
      <c r="C776">
        <v>88.12499999999999</v>
      </c>
      <c r="D776">
        <v>16</v>
      </c>
      <c r="E776" s="18">
        <v>8046.682463184072</v>
      </c>
      <c r="F776" s="18">
        <v>5004.552932782036</v>
      </c>
      <c r="G776" s="18">
        <v>174.44365496313483</v>
      </c>
      <c r="H776" s="12">
        <f>E777</f>
      </c>
      <c r="I776" s="12">
        <f>F777</f>
      </c>
      <c r="J776" s="12">
        <f>G777</f>
      </c>
      <c r="K776">
        <f>IF(AND(Pu&gt;=MIN(E776,H776),Pu&lt;=MAX(E776,H776),E776&lt;&gt;H776),1,0)</f>
      </c>
      <c r="L776">
        <f>IF(K776=1,(Pu-E776)/(H776-E776),"")</f>
      </c>
      <c r="M776" s="12">
        <f>IF(K776=1,F776+L776*(I776-F776),"")</f>
      </c>
      <c r="N776" s="12">
        <f>IF(K776=1,G776+L776*(J776-G776),"")</f>
      </c>
    </row>
    <row r="777" spans="2:14" x14ac:dyDescent="0.25">
      <c r="B777">
        <v>22</v>
      </c>
      <c r="C777">
        <v>88.12499999999999</v>
      </c>
      <c r="D777">
        <v>17</v>
      </c>
      <c r="E777" s="18">
        <v>7891.877697851557</v>
      </c>
      <c r="F777" s="18">
        <v>5090.775292886081</v>
      </c>
      <c r="G777" s="18">
        <v>181.61837185030208</v>
      </c>
      <c r="H777" s="12">
        <f>E778</f>
      </c>
      <c r="I777" s="12">
        <f>F778</f>
      </c>
      <c r="J777" s="12">
        <f>G778</f>
      </c>
      <c r="K777">
        <f>IF(AND(Pu&gt;=MIN(E777,H777),Pu&lt;=MAX(E777,H777),E777&lt;&gt;H777),1,0)</f>
      </c>
      <c r="L777">
        <f>IF(K777=1,(Pu-E777)/(H777-E777),"")</f>
      </c>
      <c r="M777" s="12">
        <f>IF(K777=1,F777+L777*(I777-F777),"")</f>
      </c>
      <c r="N777" s="12">
        <f>IF(K777=1,G777+L777*(J777-G777),"")</f>
      </c>
    </row>
    <row r="778" spans="2:14" x14ac:dyDescent="0.25">
      <c r="B778">
        <v>22</v>
      </c>
      <c r="C778">
        <v>88.12499999999999</v>
      </c>
      <c r="D778">
        <v>18</v>
      </c>
      <c r="E778" s="18">
        <v>7714.270852697829</v>
      </c>
      <c r="F778" s="18">
        <v>5187.700857742367</v>
      </c>
      <c r="G778" s="18">
        <v>191.25165852204907</v>
      </c>
      <c r="H778" s="12">
        <f>E779</f>
      </c>
      <c r="I778" s="12">
        <f>F779</f>
      </c>
      <c r="J778" s="12">
        <f>G779</f>
      </c>
      <c r="K778">
        <f>IF(AND(Pu&gt;=MIN(E778,H778),Pu&lt;=MAX(E778,H778),E778&lt;&gt;H778),1,0)</f>
      </c>
      <c r="L778">
        <f>IF(K778=1,(Pu-E778)/(H778-E778),"")</f>
      </c>
      <c r="M778" s="12">
        <f>IF(K778=1,F778+L778*(I778-F778),"")</f>
      </c>
      <c r="N778" s="12">
        <f>IF(K778=1,G778+L778*(J778-G778),"")</f>
      </c>
    </row>
    <row r="779" spans="2:14" x14ac:dyDescent="0.25">
      <c r="B779">
        <v>22</v>
      </c>
      <c r="C779">
        <v>88.12499999999999</v>
      </c>
      <c r="D779">
        <v>19</v>
      </c>
      <c r="E779" s="18">
        <v>7598.798108016201</v>
      </c>
      <c r="F779" s="18">
        <v>5249.314714606642</v>
      </c>
      <c r="G779" s="18">
        <v>197.7247139739018</v>
      </c>
      <c r="H779" s="12">
        <f>E780</f>
      </c>
      <c r="I779" s="12">
        <f>F780</f>
      </c>
      <c r="J779" s="12">
        <f>G780</f>
      </c>
      <c r="K779">
        <f>IF(AND(Pu&gt;=MIN(E779,H779),Pu&lt;=MAX(E779,H779),E779&lt;&gt;H779),1,0)</f>
      </c>
      <c r="L779">
        <f>IF(K779=1,(Pu-E779)/(H779-E779),"")</f>
      </c>
      <c r="M779" s="12">
        <f>IF(K779=1,F779+L779*(I779-F779),"")</f>
      </c>
      <c r="N779" s="12">
        <f>IF(K779=1,G779+L779*(J779-G779),"")</f>
      </c>
    </row>
    <row r="780" spans="2:14" x14ac:dyDescent="0.25">
      <c r="B780">
        <v>22</v>
      </c>
      <c r="C780">
        <v>88.12499999999999</v>
      </c>
      <c r="D780">
        <v>20</v>
      </c>
      <c r="E780" s="18">
        <v>7539.2251722535175</v>
      </c>
      <c r="F780" s="18">
        <v>5280.657202791023</v>
      </c>
      <c r="G780" s="18">
        <v>201.12085953850254</v>
      </c>
      <c r="H780" s="12">
        <f>E781</f>
      </c>
      <c r="I780" s="12">
        <f>F781</f>
      </c>
      <c r="J780" s="12">
        <f>G781</f>
      </c>
      <c r="K780">
        <f>IF(AND(Pu&gt;=MIN(E780,H780),Pu&lt;=MAX(E780,H780),E780&lt;&gt;H780),1,0)</f>
      </c>
      <c r="L780">
        <f>IF(K780=1,(Pu-E780)/(H780-E780),"")</f>
      </c>
      <c r="M780" s="12">
        <f>IF(K780=1,F780+L780*(I780-F780),"")</f>
      </c>
      <c r="N780" s="12">
        <f>IF(K780=1,G780+L780*(J780-G780),"")</f>
      </c>
    </row>
    <row r="781" spans="2:14" x14ac:dyDescent="0.25">
      <c r="B781">
        <v>22</v>
      </c>
      <c r="C781">
        <v>88.12499999999999</v>
      </c>
      <c r="D781">
        <v>21</v>
      </c>
      <c r="E781" s="18">
        <v>7365.299273918036</v>
      </c>
      <c r="F781" s="18">
        <v>5370.395392967315</v>
      </c>
      <c r="G781" s="18">
        <v>211.22597489966097</v>
      </c>
      <c r="H781" s="12">
        <f>E782</f>
      </c>
      <c r="I781" s="12">
        <f>F782</f>
      </c>
      <c r="J781" s="12">
        <f>G782</f>
      </c>
      <c r="K781">
        <f>IF(AND(Pu&gt;=MIN(E781,H781),Pu&lt;=MAX(E781,H781),E781&lt;&gt;H781),1,0)</f>
      </c>
      <c r="L781">
        <f>IF(K781=1,(Pu-E781)/(H781-E781),"")</f>
      </c>
      <c r="M781" s="12">
        <f>IF(K781=1,F781+L781*(I781-F781),"")</f>
      </c>
      <c r="N781" s="12">
        <f>IF(K781=1,G781+L781*(J781-G781),"")</f>
      </c>
    </row>
    <row r="782" spans="2:14" x14ac:dyDescent="0.25">
      <c r="B782">
        <v>22</v>
      </c>
      <c r="C782">
        <v>88.12499999999999</v>
      </c>
      <c r="D782">
        <v>22</v>
      </c>
      <c r="E782" s="18">
        <v>7303.915578278791</v>
      </c>
      <c r="F782" s="18">
        <v>5358.187095720295</v>
      </c>
      <c r="G782" s="18">
        <v>208.91140517119794</v>
      </c>
      <c r="H782" s="12">
        <f>E783</f>
      </c>
      <c r="I782" s="12">
        <f>F783</f>
      </c>
      <c r="J782" s="12">
        <f>G783</f>
      </c>
      <c r="K782">
        <f>IF(AND(Pu&gt;=MIN(E782,H782),Pu&lt;=MAX(E782,H782),E782&lt;&gt;H782),1,0)</f>
      </c>
      <c r="L782">
        <f>IF(K782=1,(Pu-E782)/(H782-E782),"")</f>
      </c>
      <c r="M782" s="12">
        <f>IF(K782=1,F782+L782*(I782-F782),"")</f>
      </c>
      <c r="N782" s="12">
        <f>IF(K782=1,G782+L782*(J782-G782),"")</f>
      </c>
    </row>
    <row r="783" spans="2:14" x14ac:dyDescent="0.25">
      <c r="B783">
        <v>22</v>
      </c>
      <c r="C783">
        <v>88.12499999999999</v>
      </c>
      <c r="D783">
        <v>23</v>
      </c>
      <c r="E783" s="18">
        <v>6768.135526753435</v>
      </c>
      <c r="F783" s="18">
        <v>5241.652568202956</v>
      </c>
      <c r="G783" s="18">
        <v>186.42267626854112</v>
      </c>
      <c r="H783" s="12">
        <f>E784</f>
      </c>
      <c r="I783" s="12">
        <f>F784</f>
      </c>
      <c r="J783" s="12">
        <f>G784</f>
      </c>
      <c r="K783">
        <f>IF(AND(Pu&gt;=MIN(E783,H783),Pu&lt;=MAX(E783,H783),E783&lt;&gt;H783),1,0)</f>
      </c>
      <c r="L783">
        <f>IF(K783=1,(Pu-E783)/(H783-E783),"")</f>
      </c>
      <c r="M783" s="12">
        <f>IF(K783=1,F783+L783*(I783-F783),"")</f>
      </c>
      <c r="N783" s="12">
        <f>IF(K783=1,G783+L783*(J783-G783),"")</f>
      </c>
    </row>
    <row r="784" spans="2:14" x14ac:dyDescent="0.25">
      <c r="B784">
        <v>22</v>
      </c>
      <c r="C784">
        <v>88.12499999999999</v>
      </c>
      <c r="D784">
        <v>24</v>
      </c>
      <c r="E784" s="18">
        <v>5936.217699494591</v>
      </c>
      <c r="F784" s="18">
        <v>5022.724600176739</v>
      </c>
      <c r="G784" s="18">
        <v>189.99910102858314</v>
      </c>
      <c r="H784" s="12">
        <f>E785</f>
      </c>
      <c r="I784" s="12">
        <f>F785</f>
      </c>
      <c r="J784" s="12">
        <f>G785</f>
      </c>
      <c r="K784">
        <f>IF(AND(Pu&gt;=MIN(E784,H784),Pu&lt;=MAX(E784,H784),E784&lt;&gt;H784),1,0)</f>
      </c>
      <c r="L784">
        <f>IF(K784=1,(Pu-E784)/(H784-E784),"")</f>
      </c>
      <c r="M784" s="12">
        <f>IF(K784=1,F784+L784*(I784-F784),"")</f>
      </c>
      <c r="N784" s="12">
        <f>IF(K784=1,G784+L784*(J784-G784),"")</f>
      </c>
    </row>
    <row r="785" spans="2:14" x14ac:dyDescent="0.25">
      <c r="B785">
        <v>22</v>
      </c>
      <c r="C785">
        <v>88.12499999999999</v>
      </c>
      <c r="D785">
        <v>25</v>
      </c>
      <c r="E785" s="18">
        <v>5161.659676305384</v>
      </c>
      <c r="F785" s="18">
        <v>4800.657602293321</v>
      </c>
      <c r="G785" s="18">
        <v>223.65469461240113</v>
      </c>
      <c r="H785" s="12">
        <f>E786</f>
      </c>
      <c r="I785" s="12">
        <f>F786</f>
      </c>
      <c r="J785" s="12">
        <f>G786</f>
      </c>
      <c r="K785">
        <f>IF(AND(Pu&gt;=MIN(E785,H785),Pu&lt;=MAX(E785,H785),E785&lt;&gt;H785),1,0)</f>
      </c>
      <c r="L785">
        <f>IF(K785=1,(Pu-E785)/(H785-E785),"")</f>
      </c>
      <c r="M785" s="12">
        <f>IF(K785=1,F785+L785*(I785-F785),"")</f>
      </c>
      <c r="N785" s="12">
        <f>IF(K785=1,G785+L785*(J785-G785),"")</f>
      </c>
    </row>
    <row r="786" spans="2:14" x14ac:dyDescent="0.25">
      <c r="B786">
        <v>22</v>
      </c>
      <c r="C786">
        <v>88.12499999999999</v>
      </c>
      <c r="D786">
        <v>26</v>
      </c>
      <c r="E786" s="18">
        <v>4487.31142031567</v>
      </c>
      <c r="F786" s="18">
        <v>4580.512991759658</v>
      </c>
      <c r="G786" s="18">
        <v>197.7787887966881</v>
      </c>
      <c r="H786" s="12">
        <f>E787</f>
      </c>
      <c r="I786" s="12">
        <f>F787</f>
      </c>
      <c r="J786" s="12">
        <f>G787</f>
      </c>
      <c r="K786">
        <f>IF(AND(Pu&gt;=MIN(E786,H786),Pu&lt;=MAX(E786,H786),E786&lt;&gt;H786),1,0)</f>
      </c>
      <c r="L786">
        <f>IF(K786=1,(Pu-E786)/(H786-E786),"")</f>
      </c>
      <c r="M786" s="12">
        <f>IF(K786=1,F786+L786*(I786-F786),"")</f>
      </c>
      <c r="N786" s="12">
        <f>IF(K786=1,G786+L786*(J786-G786),"")</f>
      </c>
    </row>
    <row r="787" spans="2:14" x14ac:dyDescent="0.25">
      <c r="B787">
        <v>22</v>
      </c>
      <c r="C787">
        <v>88.12499999999999</v>
      </c>
      <c r="D787">
        <v>27</v>
      </c>
      <c r="E787" s="18">
        <v>3335.1742162807304</v>
      </c>
      <c r="F787" s="18">
        <v>4142.813110983701</v>
      </c>
      <c r="G787" s="18">
        <v>240.90563232181117</v>
      </c>
      <c r="H787" s="12">
        <f>E788</f>
      </c>
      <c r="I787" s="12">
        <f>F788</f>
      </c>
      <c r="J787" s="12">
        <f>G788</f>
      </c>
      <c r="K787">
        <f>IF(AND(Pu&gt;=MIN(E787,H787),Pu&lt;=MAX(E787,H787),E787&lt;&gt;H787),1,0)</f>
      </c>
      <c r="L787">
        <f>IF(K787=1,(Pu-E787)/(H787-E787),"")</f>
      </c>
      <c r="M787" s="12">
        <f>IF(K787=1,F787+L787*(I787-F787),"")</f>
      </c>
      <c r="N787" s="12">
        <f>IF(K787=1,G787+L787*(J787-G787),"")</f>
      </c>
    </row>
    <row r="788" spans="2:14" x14ac:dyDescent="0.25">
      <c r="B788">
        <v>22</v>
      </c>
      <c r="C788">
        <v>88.12499999999999</v>
      </c>
      <c r="D788">
        <v>28</v>
      </c>
      <c r="E788" s="18">
        <v>2236.8913639115203</v>
      </c>
      <c r="F788" s="18">
        <v>3693.814284915127</v>
      </c>
      <c r="G788" s="18">
        <v>244.67167681339222</v>
      </c>
      <c r="H788" s="12">
        <f>E789</f>
      </c>
      <c r="I788" s="12">
        <f>F789</f>
      </c>
      <c r="J788" s="12">
        <f>G789</f>
      </c>
      <c r="K788">
        <f>IF(AND(Pu&gt;=MIN(E788,H788),Pu&lt;=MAX(E788,H788),E788&lt;&gt;H788),1,0)</f>
      </c>
      <c r="L788">
        <f>IF(K788=1,(Pu-E788)/(H788-E788),"")</f>
      </c>
      <c r="M788" s="12">
        <f>IF(K788=1,F788+L788*(I788-F788),"")</f>
      </c>
      <c r="N788" s="12">
        <f>IF(K788=1,G788+L788*(J788-G788),"")</f>
      </c>
    </row>
    <row r="789" spans="2:14" x14ac:dyDescent="0.25">
      <c r="B789">
        <v>22</v>
      </c>
      <c r="C789">
        <v>88.12499999999999</v>
      </c>
      <c r="D789">
        <v>29</v>
      </c>
      <c r="E789" s="18">
        <v>1380.4935979888724</v>
      </c>
      <c r="F789" s="18">
        <v>3319.285372971253</v>
      </c>
      <c r="G789" s="18">
        <v>212.98598735070922</v>
      </c>
      <c r="H789" s="12">
        <f>E790</f>
      </c>
      <c r="I789" s="12">
        <f>F790</f>
      </c>
      <c r="J789" s="12">
        <f>G790</f>
      </c>
      <c r="K789">
        <f>IF(AND(Pu&gt;=MIN(E789,H789),Pu&lt;=MAX(E789,H789),E789&lt;&gt;H789),1,0)</f>
      </c>
      <c r="L789">
        <f>IF(K789=1,(Pu-E789)/(H789-E789),"")</f>
      </c>
      <c r="M789" s="12">
        <f>IF(K789=1,F789+L789*(I789-F789),"")</f>
      </c>
      <c r="N789" s="12">
        <f>IF(K789=1,G789+L789*(J789-G789),"")</f>
      </c>
    </row>
    <row r="790" spans="2:14" x14ac:dyDescent="0.25">
      <c r="B790">
        <v>22</v>
      </c>
      <c r="C790">
        <v>88.12499999999999</v>
      </c>
      <c r="D790">
        <v>30</v>
      </c>
      <c r="E790" s="18">
        <v>722.9640677515036</v>
      </c>
      <c r="F790" s="18">
        <v>3011.3858003156665</v>
      </c>
      <c r="G790" s="18">
        <v>177.63575917219498</v>
      </c>
      <c r="H790" s="12">
        <f>E791</f>
      </c>
      <c r="I790" s="12">
        <f>F791</f>
      </c>
      <c r="J790" s="12">
        <f>G791</f>
      </c>
      <c r="K790">
        <f>IF(AND(Pu&gt;=MIN(E790,H790),Pu&lt;=MAX(E790,H790),E790&lt;&gt;H790),1,0)</f>
      </c>
      <c r="L790">
        <f>IF(K790=1,(Pu-E790)/(H790-E790),"")</f>
      </c>
      <c r="M790" s="12">
        <f>IF(K790=1,F790+L790*(I790-F790),"")</f>
      </c>
      <c r="N790" s="12">
        <f>IF(K790=1,G790+L790*(J790-G790),"")</f>
      </c>
    </row>
    <row r="791" spans="2:14" x14ac:dyDescent="0.25">
      <c r="B791">
        <v>22</v>
      </c>
      <c r="C791">
        <v>88.12499999999999</v>
      </c>
      <c r="D791">
        <v>31</v>
      </c>
      <c r="E791" s="18">
        <v>-228.73291980674324</v>
      </c>
      <c r="F791" s="18">
        <v>2535.641297448628</v>
      </c>
      <c r="G791" s="18">
        <v>169.56333361507095</v>
      </c>
      <c r="H791" s="12">
        <f>E792</f>
      </c>
      <c r="I791" s="12">
        <f>F792</f>
      </c>
      <c r="J791" s="12">
        <f>G792</f>
      </c>
      <c r="K791">
        <f>IF(AND(Pu&gt;=MIN(E791,H791),Pu&lt;=MAX(E791,H791),E791&lt;&gt;H791),1,0)</f>
      </c>
      <c r="L791">
        <f>IF(K791=1,(Pu-E791)/(H791-E791),"")</f>
      </c>
      <c r="M791" s="12">
        <f>IF(K791=1,F791+L791*(I791-F791),"")</f>
      </c>
      <c r="N791" s="12">
        <f>IF(K791=1,G791+L791*(J791-G791),"")</f>
      </c>
    </row>
    <row r="792" spans="2:14" x14ac:dyDescent="0.25">
      <c r="B792">
        <v>22</v>
      </c>
      <c r="C792">
        <v>88.12499999999999</v>
      </c>
      <c r="D792">
        <v>32</v>
      </c>
      <c r="E792" s="18">
        <v>-934.4881332736632</v>
      </c>
      <c r="F792" s="18">
        <v>2170.8829794013304</v>
      </c>
      <c r="G792" s="18">
        <v>159.7899504325172</v>
      </c>
      <c r="H792" s="12">
        <f>E793</f>
      </c>
      <c r="I792" s="12">
        <f>F793</f>
      </c>
      <c r="J792" s="12">
        <f>G793</f>
      </c>
      <c r="K792">
        <f>IF(AND(Pu&gt;=MIN(E792,H792),Pu&lt;=MAX(E792,H792),E792&lt;&gt;H792),1,0)</f>
      </c>
      <c r="L792">
        <f>IF(K792=1,(Pu-E792)/(H792-E792),"")</f>
      </c>
      <c r="M792" s="12">
        <f>IF(K792=1,F792+L792*(I792-F792),"")</f>
      </c>
      <c r="N792" s="12">
        <f>IF(K792=1,G792+L792*(J792-G792),"")</f>
      </c>
    </row>
    <row r="793" spans="2:14" x14ac:dyDescent="0.25">
      <c r="B793">
        <v>22</v>
      </c>
      <c r="C793">
        <v>88.12499999999999</v>
      </c>
      <c r="D793">
        <v>33</v>
      </c>
      <c r="E793" s="18">
        <v>-1976.5148738661333</v>
      </c>
      <c r="F793" s="18">
        <v>1618.245721928583</v>
      </c>
      <c r="G793" s="18">
        <v>161.95458477575454</v>
      </c>
      <c r="H793" s="12">
        <f>E794</f>
      </c>
      <c r="I793" s="12">
        <f>F794</f>
      </c>
      <c r="J793" s="12">
        <f>G794</f>
      </c>
      <c r="K793">
        <f>IF(AND(Pu&gt;=MIN(E793,H793),Pu&lt;=MAX(E793,H793),E793&lt;&gt;H793),1,0)</f>
      </c>
      <c r="L793">
        <f>IF(K793=1,(Pu-E793)/(H793-E793),"")</f>
      </c>
      <c r="M793" s="12">
        <f>IF(K793=1,F793+L793*(I793-F793),"")</f>
      </c>
      <c r="N793" s="12">
        <f>IF(K793=1,G793+L793*(J793-G793),"")</f>
      </c>
    </row>
    <row r="794" spans="2:14" x14ac:dyDescent="0.25">
      <c r="B794">
        <v>22</v>
      </c>
      <c r="C794">
        <v>88.12499999999999</v>
      </c>
      <c r="D794">
        <v>34</v>
      </c>
      <c r="E794" s="18">
        <v>-2814.1383838816228</v>
      </c>
      <c r="F794" s="18">
        <v>1167.2913033641955</v>
      </c>
      <c r="G794" s="18">
        <v>176.1661115367471</v>
      </c>
      <c r="H794" s="12">
        <f>E795</f>
      </c>
      <c r="I794" s="12">
        <f>F795</f>
      </c>
      <c r="J794" s="12">
        <f>G795</f>
      </c>
      <c r="K794">
        <f>IF(AND(Pu&gt;=MIN(E794,H794),Pu&lt;=MAX(E794,H794),E794&lt;&gt;H794),1,0)</f>
      </c>
      <c r="L794">
        <f>IF(K794=1,(Pu-E794)/(H794-E794),"")</f>
      </c>
      <c r="M794" s="12">
        <f>IF(K794=1,F794+L794*(I794-F794),"")</f>
      </c>
      <c r="N794" s="12">
        <f>IF(K794=1,G794+L794*(J794-G794),"")</f>
      </c>
    </row>
    <row r="795" spans="2:14" x14ac:dyDescent="0.25">
      <c r="B795">
        <v>22</v>
      </c>
      <c r="C795">
        <v>88.12499999999999</v>
      </c>
      <c r="D795">
        <v>35</v>
      </c>
      <c r="E795" s="18">
        <v>-4242.961975951359</v>
      </c>
      <c r="F795" s="18">
        <v>392.2586608918442</v>
      </c>
      <c r="G795" s="18">
        <v>123.64425085863316</v>
      </c>
      <c r="H795" s="12">
        <f>E796</f>
      </c>
      <c r="I795" s="12">
        <f>F796</f>
      </c>
      <c r="J795" s="12">
        <f>G796</f>
      </c>
      <c r="K795">
        <f>IF(AND(Pu&gt;=MIN(E795,H795),Pu&lt;=MAX(E795,H795),E795&lt;&gt;H795),1,0)</f>
      </c>
      <c r="L795">
        <f>IF(K795=1,(Pu-E795)/(H795-E795),"")</f>
      </c>
      <c r="M795" s="12">
        <f>IF(K795=1,F795+L795*(I795-F795),"")</f>
      </c>
      <c r="N795" s="12">
        <f>IF(K795=1,G795+L795*(J795-G795),"")</f>
      </c>
    </row>
    <row r="796" spans="2:7" x14ac:dyDescent="0.25">
      <c r="B796">
        <v>22</v>
      </c>
      <c r="C796">
        <v>88.12499999999999</v>
      </c>
      <c r="D796">
        <v>36</v>
      </c>
      <c r="E796" s="18">
        <v>-4580.487146715159</v>
      </c>
      <c r="F796" s="18">
        <v>201.18774551716533</v>
      </c>
      <c r="G796" s="18">
        <v>81.70439448111858</v>
      </c>
    </row>
    <row r="798" spans="2:14" x14ac:dyDescent="0.25">
      <c r="B798">
        <v>23</v>
      </c>
      <c r="C798">
        <v>89.06249999999997</v>
      </c>
      <c r="D798">
        <v>1</v>
      </c>
      <c r="E798" s="18">
        <v>16968.6461647411</v>
      </c>
      <c r="F798" s="18">
        <v>2499.343116150724</v>
      </c>
      <c r="G798" s="18">
        <v>85.48083367052752</v>
      </c>
      <c r="H798" s="12">
        <f>E799</f>
      </c>
      <c r="I798" s="12">
        <f>F799</f>
      </c>
      <c r="J798" s="12">
        <f>G799</f>
      </c>
      <c r="K798">
        <f>IF(AND(Pu&gt;=MIN(E798,H798),Pu&lt;=MAX(E798,H798),E798&lt;&gt;H798),1,0)</f>
      </c>
      <c r="L798">
        <f>IF(K798=1,(Pu-E798)/(H798-E798),"")</f>
      </c>
      <c r="M798" s="12">
        <f>IF(K798=1,F798+L798*(I798-F798),"")</f>
      </c>
      <c r="N798" s="12">
        <f>IF(K798=1,G798+L798*(J798-G798),"")</f>
      </c>
    </row>
    <row r="799" spans="2:14" x14ac:dyDescent="0.25">
      <c r="B799">
        <v>23</v>
      </c>
      <c r="C799">
        <v>89.06249999999997</v>
      </c>
      <c r="D799">
        <v>2</v>
      </c>
      <c r="E799" s="18">
        <v>15932.023800315428</v>
      </c>
      <c r="F799" s="18">
        <v>2901.9618112046824</v>
      </c>
      <c r="G799" s="18">
        <v>72.21784435509161</v>
      </c>
      <c r="H799" s="12">
        <f>E800</f>
      </c>
      <c r="I799" s="12">
        <f>F800</f>
      </c>
      <c r="J799" s="12">
        <f>G800</f>
      </c>
      <c r="K799">
        <f>IF(AND(Pu&gt;=MIN(E799,H799),Pu&lt;=MAX(E799,H799),E799&lt;&gt;H799),1,0)</f>
      </c>
      <c r="L799">
        <f>IF(K799=1,(Pu-E799)/(H799-E799),"")</f>
      </c>
      <c r="M799" s="12">
        <f>IF(K799=1,F799+L799*(I799-F799),"")</f>
      </c>
      <c r="N799" s="12">
        <f>IF(K799=1,G799+L799*(J799-G799),"")</f>
      </c>
    </row>
    <row r="800" spans="2:14" x14ac:dyDescent="0.25">
      <c r="B800">
        <v>23</v>
      </c>
      <c r="C800">
        <v>89.06249999999997</v>
      </c>
      <c r="D800">
        <v>3</v>
      </c>
      <c r="E800" s="18">
        <v>14826.882369966179</v>
      </c>
      <c r="F800" s="18">
        <v>3277.4763896043764</v>
      </c>
      <c r="G800" s="18">
        <v>53.82646341277901</v>
      </c>
      <c r="H800" s="12">
        <f>E801</f>
      </c>
      <c r="I800" s="12">
        <f>F801</f>
      </c>
      <c r="J800" s="12">
        <f>G801</f>
      </c>
      <c r="K800">
        <f>IF(AND(Pu&gt;=MIN(E800,H800),Pu&lt;=MAX(E800,H800),E800&lt;&gt;H800),1,0)</f>
      </c>
      <c r="L800">
        <f>IF(K800=1,(Pu-E800)/(H800-E800),"")</f>
      </c>
      <c r="M800" s="12">
        <f>IF(K800=1,F800+L800*(I800-F800),"")</f>
      </c>
      <c r="N800" s="12">
        <f>IF(K800=1,G800+L800*(J800-G800),"")</f>
      </c>
    </row>
    <row r="801" spans="2:14" x14ac:dyDescent="0.25">
      <c r="B801">
        <v>23</v>
      </c>
      <c r="C801">
        <v>89.06249999999997</v>
      </c>
      <c r="D801">
        <v>4</v>
      </c>
      <c r="E801" s="18">
        <v>13901.07746288713</v>
      </c>
      <c r="F801" s="18">
        <v>3546.0922998767105</v>
      </c>
      <c r="G801" s="18">
        <v>63.754221770074594</v>
      </c>
      <c r="H801" s="12">
        <f>E802</f>
      </c>
      <c r="I801" s="12">
        <f>F802</f>
      </c>
      <c r="J801" s="12">
        <f>G802</f>
      </c>
      <c r="K801">
        <f>IF(AND(Pu&gt;=MIN(E801,H801),Pu&lt;=MAX(E801,H801),E801&lt;&gt;H801),1,0)</f>
      </c>
      <c r="L801">
        <f>IF(K801=1,(Pu-E801)/(H801-E801),"")</f>
      </c>
      <c r="M801" s="12">
        <f>IF(K801=1,F801+L801*(I801-F801),"")</f>
      </c>
      <c r="N801" s="12">
        <f>IF(K801=1,G801+L801*(J801-G801),"")</f>
      </c>
    </row>
    <row r="802" spans="2:14" x14ac:dyDescent="0.25">
      <c r="B802">
        <v>23</v>
      </c>
      <c r="C802">
        <v>89.06249999999997</v>
      </c>
      <c r="D802">
        <v>5</v>
      </c>
      <c r="E802" s="18">
        <v>12332.452033794856</v>
      </c>
      <c r="F802" s="18">
        <v>3915.3794760982623</v>
      </c>
      <c r="G802" s="18">
        <v>65.98370828091275</v>
      </c>
      <c r="H802" s="12">
        <f>E803</f>
      </c>
      <c r="I802" s="12">
        <f>F803</f>
      </c>
      <c r="J802" s="12">
        <f>G803</f>
      </c>
      <c r="K802">
        <f>IF(AND(Pu&gt;=MIN(E802,H802),Pu&lt;=MAX(E802,H802),E802&lt;&gt;H802),1,0)</f>
      </c>
      <c r="L802">
        <f>IF(K802=1,(Pu-E802)/(H802-E802),"")</f>
      </c>
      <c r="M802" s="12">
        <f>IF(K802=1,F802+L802*(I802-F802),"")</f>
      </c>
      <c r="N802" s="12">
        <f>IF(K802=1,G802+L802*(J802-G802),"")</f>
      </c>
    </row>
    <row r="803" spans="2:14" x14ac:dyDescent="0.25">
      <c r="B803">
        <v>23</v>
      </c>
      <c r="C803">
        <v>89.06249999999997</v>
      </c>
      <c r="D803">
        <v>6</v>
      </c>
      <c r="E803" s="18">
        <v>11028.32452663405</v>
      </c>
      <c r="F803" s="18">
        <v>4157.625427221261</v>
      </c>
      <c r="G803" s="18">
        <v>68.21319479175084</v>
      </c>
      <c r="H803" s="12">
        <f>E804</f>
      </c>
      <c r="I803" s="12">
        <f>F804</f>
      </c>
      <c r="J803" s="12">
        <f>G804</f>
      </c>
      <c r="K803">
        <f>IF(AND(Pu&gt;=MIN(E803,H803),Pu&lt;=MAX(E803,H803),E803&lt;&gt;H803),1,0)</f>
      </c>
      <c r="L803">
        <f>IF(K803=1,(Pu-E803)/(H803-E803),"")</f>
      </c>
      <c r="M803" s="12">
        <f>IF(K803=1,F803+L803*(I803-F803),"")</f>
      </c>
      <c r="N803" s="12">
        <f>IF(K803=1,G803+L803*(J803-G803),"")</f>
      </c>
    </row>
    <row r="804" spans="2:14" x14ac:dyDescent="0.25">
      <c r="B804">
        <v>23</v>
      </c>
      <c r="C804">
        <v>89.06249999999997</v>
      </c>
      <c r="D804">
        <v>7</v>
      </c>
      <c r="E804" s="18">
        <v>9858.337403907215</v>
      </c>
      <c r="F804" s="18">
        <v>4330.865052997037</v>
      </c>
      <c r="G804" s="18">
        <v>77.05467767277527</v>
      </c>
      <c r="H804" s="12">
        <f>E805</f>
      </c>
      <c r="I804" s="12">
        <f>F805</f>
      </c>
      <c r="J804" s="12">
        <f>G805</f>
      </c>
      <c r="K804">
        <f>IF(AND(Pu&gt;=MIN(E804,H804),Pu&lt;=MAX(E804,H804),E804&lt;&gt;H804),1,0)</f>
      </c>
      <c r="L804">
        <f>IF(K804=1,(Pu-E804)/(H804-E804),"")</f>
      </c>
      <c r="M804" s="12">
        <f>IF(K804=1,F804+L804*(I804-F804),"")</f>
      </c>
      <c r="N804" s="12">
        <f>IF(K804=1,G804+L804*(J804-G804),"")</f>
      </c>
    </row>
    <row r="805" spans="2:14" x14ac:dyDescent="0.25">
      <c r="B805">
        <v>23</v>
      </c>
      <c r="C805">
        <v>89.06249999999997</v>
      </c>
      <c r="D805">
        <v>8</v>
      </c>
      <c r="E805" s="18">
        <v>9135.932337539918</v>
      </c>
      <c r="F805" s="18">
        <v>4420.829812699418</v>
      </c>
      <c r="G805" s="18">
        <v>79.25776638221987</v>
      </c>
      <c r="H805" s="12">
        <f>E806</f>
      </c>
      <c r="I805" s="12">
        <f>F806</f>
      </c>
      <c r="J805" s="12">
        <f>G806</f>
      </c>
      <c r="K805">
        <f>IF(AND(Pu&gt;=MIN(E805,H805),Pu&lt;=MAX(E805,H805),E805&lt;&gt;H805),1,0)</f>
      </c>
      <c r="L805">
        <f>IF(K805=1,(Pu-E805)/(H805-E805),"")</f>
      </c>
      <c r="M805" s="12">
        <f>IF(K805=1,F805+L805*(I805-F805),"")</f>
      </c>
      <c r="N805" s="12">
        <f>IF(K805=1,G805+L805*(J805-G805),"")</f>
      </c>
    </row>
    <row r="806" spans="2:14" x14ac:dyDescent="0.25">
      <c r="B806">
        <v>23</v>
      </c>
      <c r="C806">
        <v>89.06249999999997</v>
      </c>
      <c r="D806">
        <v>9</v>
      </c>
      <c r="E806" s="18">
        <v>9003.977465691753</v>
      </c>
      <c r="F806" s="18">
        <v>4496.487284958394</v>
      </c>
      <c r="G806" s="18">
        <v>78.17084774224871</v>
      </c>
      <c r="H806" s="12">
        <f>E807</f>
      </c>
      <c r="I806" s="12">
        <f>F807</f>
      </c>
      <c r="J806" s="12">
        <f>G807</f>
      </c>
      <c r="K806">
        <f>IF(AND(Pu&gt;=MIN(E806,H806),Pu&lt;=MAX(E806,H806),E806&lt;&gt;H806),1,0)</f>
      </c>
      <c r="L806">
        <f>IF(K806=1,(Pu-E806)/(H806-E806),"")</f>
      </c>
      <c r="M806" s="12">
        <f>IF(K806=1,F806+L806*(I806-F806),"")</f>
      </c>
      <c r="N806" s="12">
        <f>IF(K806=1,G806+L806*(J806-G806),"")</f>
      </c>
    </row>
    <row r="807" spans="2:14" x14ac:dyDescent="0.25">
      <c r="B807">
        <v>23</v>
      </c>
      <c r="C807">
        <v>89.06249999999997</v>
      </c>
      <c r="D807">
        <v>10</v>
      </c>
      <c r="E807" s="18">
        <v>8843.407967985817</v>
      </c>
      <c r="F807" s="18">
        <v>4587.7866777707395</v>
      </c>
      <c r="G807" s="18">
        <v>81.16960379962887</v>
      </c>
      <c r="H807" s="12">
        <f>E808</f>
      </c>
      <c r="I807" s="12">
        <f>F808</f>
      </c>
      <c r="J807" s="12">
        <f>G808</f>
      </c>
      <c r="K807">
        <f>IF(AND(Pu&gt;=MIN(E807,H807),Pu&lt;=MAX(E807,H807),E807&lt;&gt;H807),1,0)</f>
      </c>
      <c r="L807">
        <f>IF(K807=1,(Pu-E807)/(H807-E807),"")</f>
      </c>
      <c r="M807" s="12">
        <f>IF(K807=1,F807+L807*(I807-F807),"")</f>
      </c>
      <c r="N807" s="12">
        <f>IF(K807=1,G807+L807*(J807-G807),"")</f>
      </c>
    </row>
    <row r="808" spans="2:14" x14ac:dyDescent="0.25">
      <c r="B808">
        <v>23</v>
      </c>
      <c r="C808">
        <v>89.06249999999997</v>
      </c>
      <c r="D808">
        <v>11</v>
      </c>
      <c r="E808" s="18">
        <v>8679.881791347963</v>
      </c>
      <c r="F808" s="18">
        <v>4688.0406668677715</v>
      </c>
      <c r="G808" s="18">
        <v>75.0008631419284</v>
      </c>
      <c r="H808" s="12">
        <f>E809</f>
      </c>
      <c r="I808" s="12">
        <f>F809</f>
      </c>
      <c r="J808" s="12">
        <f>G809</f>
      </c>
      <c r="K808">
        <f>IF(AND(Pu&gt;=MIN(E808,H808),Pu&lt;=MAX(E808,H808),E808&lt;&gt;H808),1,0)</f>
      </c>
      <c r="L808">
        <f>IF(K808=1,(Pu-E808)/(H808-E808),"")</f>
      </c>
      <c r="M808" s="12">
        <f>IF(K808=1,F808+L808*(I808-F808),"")</f>
      </c>
      <c r="N808" s="12">
        <f>IF(K808=1,G808+L808*(J808-G808),"")</f>
      </c>
    </row>
    <row r="809" spans="2:14" x14ac:dyDescent="0.25">
      <c r="B809">
        <v>23</v>
      </c>
      <c r="C809">
        <v>89.06249999999997</v>
      </c>
      <c r="D809">
        <v>12</v>
      </c>
      <c r="E809" s="18">
        <v>8592.996375717448</v>
      </c>
      <c r="F809" s="18">
        <v>4735.66103407317</v>
      </c>
      <c r="G809" s="18">
        <v>76.64509283884733</v>
      </c>
      <c r="H809" s="12">
        <f>E810</f>
      </c>
      <c r="I809" s="12">
        <f>F810</f>
      </c>
      <c r="J809" s="12">
        <f>G810</f>
      </c>
      <c r="K809">
        <f>IF(AND(Pu&gt;=MIN(E809,H809),Pu&lt;=MAX(E809,H809),E809&lt;&gt;H809),1,0)</f>
      </c>
      <c r="L809">
        <f>IF(K809=1,(Pu-E809)/(H809-E809),"")</f>
      </c>
      <c r="M809" s="12">
        <f>IF(K809=1,F809+L809*(I809-F809),"")</f>
      </c>
      <c r="N809" s="12">
        <f>IF(K809=1,G809+L809*(J809-G809),"")</f>
      </c>
    </row>
    <row r="810" spans="2:14" x14ac:dyDescent="0.25">
      <c r="B810">
        <v>23</v>
      </c>
      <c r="C810">
        <v>89.06249999999997</v>
      </c>
      <c r="D810">
        <v>13</v>
      </c>
      <c r="E810" s="18">
        <v>8382.891685454048</v>
      </c>
      <c r="F810" s="18">
        <v>4858.032840295121</v>
      </c>
      <c r="G810" s="18">
        <v>91.12134317842468</v>
      </c>
      <c r="H810" s="12">
        <f>E811</f>
      </c>
      <c r="I810" s="12">
        <f>F811</f>
      </c>
      <c r="J810" s="12">
        <f>G811</f>
      </c>
      <c r="K810">
        <f>IF(AND(Pu&gt;=MIN(E810,H810),Pu&lt;=MAX(E810,H810),E810&lt;&gt;H810),1,0)</f>
      </c>
      <c r="L810">
        <f>IF(K810=1,(Pu-E810)/(H810-E810),"")</f>
      </c>
      <c r="M810" s="12">
        <f>IF(K810=1,F810+L810*(I810-F810),"")</f>
      </c>
      <c r="N810" s="12">
        <f>IF(K810=1,G810+L810*(J810-G810),"")</f>
      </c>
    </row>
    <row r="811" spans="2:14" x14ac:dyDescent="0.25">
      <c r="B811">
        <v>23</v>
      </c>
      <c r="C811">
        <v>89.06249999999997</v>
      </c>
      <c r="D811">
        <v>14</v>
      </c>
      <c r="E811" s="18">
        <v>8351.201855535035</v>
      </c>
      <c r="F811" s="18">
        <v>4874.838302797863</v>
      </c>
      <c r="G811" s="18">
        <v>91.80386852897473</v>
      </c>
      <c r="H811" s="12">
        <f>E812</f>
      </c>
      <c r="I811" s="12">
        <f>F812</f>
      </c>
      <c r="J811" s="12">
        <f>G812</f>
      </c>
      <c r="K811">
        <f>IF(AND(Pu&gt;=MIN(E811,H811),Pu&lt;=MAX(E811,H811),E811&lt;&gt;H811),1,0)</f>
      </c>
      <c r="L811">
        <f>IF(K811=1,(Pu-E811)/(H811-E811),"")</f>
      </c>
      <c r="M811" s="12">
        <f>IF(K811=1,F811+L811*(I811-F811),"")</f>
      </c>
      <c r="N811" s="12">
        <f>IF(K811=1,G811+L811*(J811-G811),"")</f>
      </c>
    </row>
    <row r="812" spans="2:14" x14ac:dyDescent="0.25">
      <c r="B812">
        <v>23</v>
      </c>
      <c r="C812">
        <v>89.06249999999997</v>
      </c>
      <c r="D812">
        <v>15</v>
      </c>
      <c r="E812" s="18">
        <v>8122.392989857712</v>
      </c>
      <c r="F812" s="18">
        <v>4999.223225624433</v>
      </c>
      <c r="G812" s="18">
        <v>86.52296128165534</v>
      </c>
      <c r="H812" s="12">
        <f>E813</f>
      </c>
      <c r="I812" s="12">
        <f>F813</f>
      </c>
      <c r="J812" s="12">
        <f>G813</f>
      </c>
      <c r="K812">
        <f>IF(AND(Pu&gt;=MIN(E812,H812),Pu&lt;=MAX(E812,H812),E812&lt;&gt;H812),1,0)</f>
      </c>
      <c r="L812">
        <f>IF(K812=1,(Pu-E812)/(H812-E812),"")</f>
      </c>
      <c r="M812" s="12">
        <f>IF(K812=1,F812+L812*(I812-F812),"")</f>
      </c>
      <c r="N812" s="12">
        <f>IF(K812=1,G812+L812*(J812-G812),"")</f>
      </c>
    </row>
    <row r="813" spans="2:14" x14ac:dyDescent="0.25">
      <c r="B813">
        <v>23</v>
      </c>
      <c r="C813">
        <v>89.06249999999997</v>
      </c>
      <c r="D813">
        <v>16</v>
      </c>
      <c r="E813" s="18">
        <v>8091.2431381570905</v>
      </c>
      <c r="F813" s="18">
        <v>5017.885184500635</v>
      </c>
      <c r="G813" s="18">
        <v>87.34481342704008</v>
      </c>
      <c r="H813" s="12">
        <f>E814</f>
      </c>
      <c r="I813" s="12">
        <f>F814</f>
      </c>
      <c r="J813" s="12">
        <f>G814</f>
      </c>
      <c r="K813">
        <f>IF(AND(Pu&gt;=MIN(E813,H813),Pu&lt;=MAX(E813,H813),E813&lt;&gt;H813),1,0)</f>
      </c>
      <c r="L813">
        <f>IF(K813=1,(Pu-E813)/(H813-E813),"")</f>
      </c>
      <c r="M813" s="12">
        <f>IF(K813=1,F813+L813*(I813-F813),"")</f>
      </c>
      <c r="N813" s="12">
        <f>IF(K813=1,G813+L813*(J813-G813),"")</f>
      </c>
    </row>
    <row r="814" spans="2:14" x14ac:dyDescent="0.25">
      <c r="B814">
        <v>23</v>
      </c>
      <c r="C814">
        <v>89.06249999999997</v>
      </c>
      <c r="D814">
        <v>17</v>
      </c>
      <c r="E814" s="18">
        <v>7946.957086506898</v>
      </c>
      <c r="F814" s="18">
        <v>5103.374963878738</v>
      </c>
      <c r="G814" s="18">
        <v>91.25972481043343</v>
      </c>
      <c r="H814" s="12">
        <f>E815</f>
      </c>
      <c r="I814" s="12">
        <f>F815</f>
      </c>
      <c r="J814" s="12">
        <f>G815</f>
      </c>
      <c r="K814">
        <f>IF(AND(Pu&gt;=MIN(E814,H814),Pu&lt;=MAX(E814,H814),E814&lt;&gt;H814),1,0)</f>
      </c>
      <c r="L814">
        <f>IF(K814=1,(Pu-E814)/(H814-E814),"")</f>
      </c>
      <c r="M814" s="12">
        <f>IF(K814=1,F814+L814*(I814-F814),"")</f>
      </c>
      <c r="N814" s="12">
        <f>IF(K814=1,G814+L814*(J814-G814),"")</f>
      </c>
    </row>
    <row r="815" spans="2:14" x14ac:dyDescent="0.25">
      <c r="B815">
        <v>23</v>
      </c>
      <c r="C815">
        <v>89.06249999999997</v>
      </c>
      <c r="D815">
        <v>18</v>
      </c>
      <c r="E815" s="18">
        <v>7775.708291451111</v>
      </c>
      <c r="F815" s="18">
        <v>5202.690614963194</v>
      </c>
      <c r="G815" s="18">
        <v>96.11601510175302</v>
      </c>
      <c r="H815" s="12">
        <f>E816</f>
      </c>
      <c r="I815" s="12">
        <f>F816</f>
      </c>
      <c r="J815" s="12">
        <f>G816</f>
      </c>
      <c r="K815">
        <f>IF(AND(Pu&gt;=MIN(E815,H815),Pu&lt;=MAX(E815,H815),E815&lt;&gt;H815),1,0)</f>
      </c>
      <c r="L815">
        <f>IF(K815=1,(Pu-E815)/(H815-E815),"")</f>
      </c>
      <c r="M815" s="12">
        <f>IF(K815=1,F815+L815*(I815-F815),"")</f>
      </c>
      <c r="N815" s="12">
        <f>IF(K815=1,G815+L815*(J815-G815),"")</f>
      </c>
    </row>
    <row r="816" spans="2:14" x14ac:dyDescent="0.25">
      <c r="B816">
        <v>23</v>
      </c>
      <c r="C816">
        <v>89.06249999999997</v>
      </c>
      <c r="D816">
        <v>19</v>
      </c>
      <c r="E816" s="18">
        <v>7660.184562501996</v>
      </c>
      <c r="F816" s="18">
        <v>5268.283663799834</v>
      </c>
      <c r="G816" s="18">
        <v>99.50338407115403</v>
      </c>
      <c r="H816" s="12">
        <f>E817</f>
      </c>
      <c r="I816" s="12">
        <f>F817</f>
      </c>
      <c r="J816" s="12">
        <f>G817</f>
      </c>
      <c r="K816">
        <f>IF(AND(Pu&gt;=MIN(E816,H816),Pu&lt;=MAX(E816,H816),E816&lt;&gt;H816),1,0)</f>
      </c>
      <c r="L816">
        <f>IF(K816=1,(Pu-E816)/(H816-E816),"")</f>
      </c>
      <c r="M816" s="12">
        <f>IF(K816=1,F816+L816*(I816-F816),"")</f>
      </c>
      <c r="N816" s="12">
        <f>IF(K816=1,G816+L816*(J816-G816),"")</f>
      </c>
    </row>
    <row r="817" spans="2:14" x14ac:dyDescent="0.25">
      <c r="B817">
        <v>23</v>
      </c>
      <c r="C817">
        <v>89.06249999999997</v>
      </c>
      <c r="D817">
        <v>20</v>
      </c>
      <c r="E817" s="18">
        <v>7606.91083803365</v>
      </c>
      <c r="F817" s="18">
        <v>5298.133539728476</v>
      </c>
      <c r="G817" s="18">
        <v>101.09183215561413</v>
      </c>
      <c r="H817" s="12">
        <f>E818</f>
      </c>
      <c r="I817" s="12">
        <f>F818</f>
      </c>
      <c r="J817" s="12">
        <f>G818</f>
      </c>
      <c r="K817">
        <f>IF(AND(Pu&gt;=MIN(E817,H817),Pu&lt;=MAX(E817,H817),E817&lt;&gt;H817),1,0)</f>
      </c>
      <c r="L817">
        <f>IF(K817=1,(Pu-E817)/(H817-E817),"")</f>
      </c>
      <c r="M817" s="12">
        <f>IF(K817=1,F817+L817*(I817-F817),"")</f>
      </c>
      <c r="N817" s="12">
        <f>IF(K817=1,G817+L817*(J817-G817),"")</f>
      </c>
    </row>
    <row r="818" spans="2:14" x14ac:dyDescent="0.25">
      <c r="B818">
        <v>23</v>
      </c>
      <c r="C818">
        <v>89.06249999999997</v>
      </c>
      <c r="D818">
        <v>21</v>
      </c>
      <c r="E818" s="18">
        <v>7439.142652367095</v>
      </c>
      <c r="F818" s="18">
        <v>5390.435848121794</v>
      </c>
      <c r="G818" s="18">
        <v>106.18717597201577</v>
      </c>
      <c r="H818" s="12">
        <f>E819</f>
      </c>
      <c r="I818" s="12">
        <f>F819</f>
      </c>
      <c r="J818" s="12">
        <f>G819</f>
      </c>
      <c r="K818">
        <f>IF(AND(Pu&gt;=MIN(E818,H818),Pu&lt;=MAX(E818,H818),E818&lt;&gt;H818),1,0)</f>
      </c>
      <c r="L818">
        <f>IF(K818=1,(Pu-E818)/(H818-E818),"")</f>
      </c>
      <c r="M818" s="12">
        <f>IF(K818=1,F818+L818*(I818-F818),"")</f>
      </c>
      <c r="N818" s="12">
        <f>IF(K818=1,G818+L818*(J818-G818),"")</f>
      </c>
    </row>
    <row r="819" spans="2:14" x14ac:dyDescent="0.25">
      <c r="B819">
        <v>23</v>
      </c>
      <c r="C819">
        <v>89.06249999999997</v>
      </c>
      <c r="D819">
        <v>22</v>
      </c>
      <c r="E819" s="18">
        <v>7363.850717064117</v>
      </c>
      <c r="F819" s="18">
        <v>5377.21599475992</v>
      </c>
      <c r="G819" s="18">
        <v>106.58530711919224</v>
      </c>
      <c r="H819" s="12">
        <f>E820</f>
      </c>
      <c r="I819" s="12">
        <f>F820</f>
      </c>
      <c r="J819" s="12">
        <f>G820</f>
      </c>
      <c r="K819">
        <f>IF(AND(Pu&gt;=MIN(E819,H819),Pu&lt;=MAX(E819,H819),E819&lt;&gt;H819),1,0)</f>
      </c>
      <c r="L819">
        <f>IF(K819=1,(Pu-E819)/(H819-E819),"")</f>
      </c>
      <c r="M819" s="12">
        <f>IF(K819=1,F819+L819*(I819-F819),"")</f>
      </c>
      <c r="N819" s="12">
        <f>IF(K819=1,G819+L819*(J819-G819),"")</f>
      </c>
    </row>
    <row r="820" spans="2:14" x14ac:dyDescent="0.25">
      <c r="B820">
        <v>23</v>
      </c>
      <c r="C820">
        <v>89.06249999999997</v>
      </c>
      <c r="D820">
        <v>23</v>
      </c>
      <c r="E820" s="18">
        <v>6841.720835639492</v>
      </c>
      <c r="F820" s="18">
        <v>5263.037553029487</v>
      </c>
      <c r="G820" s="18">
        <v>93.65914889018393</v>
      </c>
      <c r="H820" s="12">
        <f>E821</f>
      </c>
      <c r="I820" s="12">
        <f>F821</f>
      </c>
      <c r="J820" s="12">
        <f>G821</f>
      </c>
      <c r="K820">
        <f>IF(AND(Pu&gt;=MIN(E820,H820),Pu&lt;=MAX(E820,H820),E820&lt;&gt;H820),1,0)</f>
      </c>
      <c r="L820">
        <f>IF(K820=1,(Pu-E820)/(H820-E820),"")</f>
      </c>
      <c r="M820" s="12">
        <f>IF(K820=1,F820+L820*(I820-F820),"")</f>
      </c>
      <c r="N820" s="12">
        <f>IF(K820=1,G820+L820*(J820-G820),"")</f>
      </c>
    </row>
    <row r="821" spans="2:14" x14ac:dyDescent="0.25">
      <c r="B821">
        <v>23</v>
      </c>
      <c r="C821">
        <v>89.06249999999997</v>
      </c>
      <c r="D821">
        <v>24</v>
      </c>
      <c r="E821" s="18">
        <v>6048.414669638078</v>
      </c>
      <c r="F821" s="18">
        <v>5058.39029053527</v>
      </c>
      <c r="G821" s="18">
        <v>100.44889258392429</v>
      </c>
      <c r="H821" s="12">
        <f>E822</f>
      </c>
      <c r="I821" s="12">
        <f>F822</f>
      </c>
      <c r="J821" s="12">
        <f>G822</f>
      </c>
      <c r="K821">
        <f>IF(AND(Pu&gt;=MIN(E821,H821),Pu&lt;=MAX(E821,H821),E821&lt;&gt;H821),1,0)</f>
      </c>
      <c r="L821">
        <f>IF(K821=1,(Pu-E821)/(H821-E821),"")</f>
      </c>
      <c r="M821" s="12">
        <f>IF(K821=1,F821+L821*(I821-F821),"")</f>
      </c>
      <c r="N821" s="12">
        <f>IF(K821=1,G821+L821*(J821-G821),"")</f>
      </c>
    </row>
    <row r="822" spans="2:14" x14ac:dyDescent="0.25">
      <c r="B822">
        <v>23</v>
      </c>
      <c r="C822">
        <v>89.06249999999997</v>
      </c>
      <c r="D822">
        <v>25</v>
      </c>
      <c r="E822" s="18">
        <v>5278.858246567932</v>
      </c>
      <c r="F822" s="18">
        <v>4841.345811657037</v>
      </c>
      <c r="G822" s="18">
        <v>111.38641854456043</v>
      </c>
      <c r="H822" s="12">
        <f>E823</f>
      </c>
      <c r="I822" s="12">
        <f>F823</f>
      </c>
      <c r="J822" s="12">
        <f>G823</f>
      </c>
      <c r="K822">
        <f>IF(AND(Pu&gt;=MIN(E822,H822),Pu&lt;=MAX(E822,H822),E822&lt;&gt;H822),1,0)</f>
      </c>
      <c r="L822">
        <f>IF(K822=1,(Pu-E822)/(H822-E822),"")</f>
      </c>
      <c r="M822" s="12">
        <f>IF(K822=1,F822+L822*(I822-F822),"")</f>
      </c>
      <c r="N822" s="12">
        <f>IF(K822=1,G822+L822*(J822-G822),"")</f>
      </c>
    </row>
    <row r="823" spans="2:14" x14ac:dyDescent="0.25">
      <c r="B823">
        <v>23</v>
      </c>
      <c r="C823">
        <v>89.06249999999997</v>
      </c>
      <c r="D823">
        <v>26</v>
      </c>
      <c r="E823" s="18">
        <v>4620.505610693875</v>
      </c>
      <c r="F823" s="18">
        <v>4630.787132067516</v>
      </c>
      <c r="G823" s="18">
        <v>98.1547202187071</v>
      </c>
      <c r="H823" s="12">
        <f>E824</f>
      </c>
      <c r="I823" s="12">
        <f>F824</f>
      </c>
      <c r="J823" s="12">
        <f>G824</f>
      </c>
      <c r="K823">
        <f>IF(AND(Pu&gt;=MIN(E823,H823),Pu&lt;=MAX(E823,H823),E823&lt;&gt;H823),1,0)</f>
      </c>
      <c r="L823">
        <f>IF(K823=1,(Pu-E823)/(H823-E823),"")</f>
      </c>
      <c r="M823" s="12">
        <f>IF(K823=1,F823+L823*(I823-F823),"")</f>
      </c>
      <c r="N823" s="12">
        <f>IF(K823=1,G823+L823*(J823-G823),"")</f>
      </c>
    </row>
    <row r="824" spans="2:14" x14ac:dyDescent="0.25">
      <c r="B824">
        <v>23</v>
      </c>
      <c r="C824">
        <v>89.06249999999997</v>
      </c>
      <c r="D824">
        <v>27</v>
      </c>
      <c r="E824" s="18">
        <v>3536.593076820153</v>
      </c>
      <c r="F824" s="18">
        <v>4225.649087553153</v>
      </c>
      <c r="G824" s="18">
        <v>123.11459017609455</v>
      </c>
      <c r="H824" s="12">
        <f>E825</f>
      </c>
      <c r="I824" s="12">
        <f>F825</f>
      </c>
      <c r="J824" s="12">
        <f>G825</f>
      </c>
      <c r="K824">
        <f>IF(AND(Pu&gt;=MIN(E824,H824),Pu&lt;=MAX(E824,H824),E824&lt;&gt;H824),1,0)</f>
      </c>
      <c r="L824">
        <f>IF(K824=1,(Pu-E824)/(H824-E824),"")</f>
      </c>
      <c r="M824" s="12">
        <f>IF(K824=1,F824+L824*(I824-F824),"")</f>
      </c>
      <c r="N824" s="12">
        <f>IF(K824=1,G824+L824*(J824-G824),"")</f>
      </c>
    </row>
    <row r="825" spans="2:14" x14ac:dyDescent="0.25">
      <c r="B825">
        <v>23</v>
      </c>
      <c r="C825">
        <v>89.06249999999997</v>
      </c>
      <c r="D825">
        <v>28</v>
      </c>
      <c r="E825" s="18">
        <v>2485.2490206956722</v>
      </c>
      <c r="F825" s="18">
        <v>3805.62414981106</v>
      </c>
      <c r="G825" s="18">
        <v>118.18743741201267</v>
      </c>
      <c r="H825" s="12">
        <f>E826</f>
      </c>
      <c r="I825" s="12">
        <f>F826</f>
      </c>
      <c r="J825" s="12">
        <f>G826</f>
      </c>
      <c r="K825">
        <f>IF(AND(Pu&gt;=MIN(E825,H825),Pu&lt;=MAX(E825,H825),E825&lt;&gt;H825),1,0)</f>
      </c>
      <c r="L825">
        <f>IF(K825=1,(Pu-E825)/(H825-E825),"")</f>
      </c>
      <c r="M825" s="12">
        <f>IF(K825=1,F825+L825*(I825-F825),"")</f>
      </c>
      <c r="N825" s="12">
        <f>IF(K825=1,G825+L825*(J825-G825),"")</f>
      </c>
    </row>
    <row r="826" spans="2:14" x14ac:dyDescent="0.25">
      <c r="B826">
        <v>23</v>
      </c>
      <c r="C826">
        <v>89.06249999999997</v>
      </c>
      <c r="D826">
        <v>29</v>
      </c>
      <c r="E826" s="18">
        <v>1644.9065599918495</v>
      </c>
      <c r="F826" s="18">
        <v>3450.7514494930533</v>
      </c>
      <c r="G826" s="18">
        <v>111.11390716326169</v>
      </c>
      <c r="H826" s="12">
        <f>E827</f>
      </c>
      <c r="I826" s="12">
        <f>F827</f>
      </c>
      <c r="J826" s="12">
        <f>G827</f>
      </c>
      <c r="K826">
        <f>IF(AND(Pu&gt;=MIN(E826,H826),Pu&lt;=MAX(E826,H826),E826&lt;&gt;H826),1,0)</f>
      </c>
      <c r="L826">
        <f>IF(K826=1,(Pu-E826)/(H826-E826),"")</f>
      </c>
      <c r="M826" s="12">
        <f>IF(K826=1,F826+L826*(I826-F826),"")</f>
      </c>
      <c r="N826" s="12">
        <f>IF(K826=1,G826+L826*(J826-G826),"")</f>
      </c>
    </row>
    <row r="827" spans="2:14" x14ac:dyDescent="0.25">
      <c r="B827">
        <v>23</v>
      </c>
      <c r="C827">
        <v>89.06249999999997</v>
      </c>
      <c r="D827">
        <v>30</v>
      </c>
      <c r="E827" s="18">
        <v>1020.0736109200847</v>
      </c>
      <c r="F827" s="18">
        <v>3159.6692496484416</v>
      </c>
      <c r="G827" s="18">
        <v>91.18358731516412</v>
      </c>
      <c r="H827" s="12">
        <f>E828</f>
      </c>
      <c r="I827" s="12">
        <f>F828</f>
      </c>
      <c r="J827" s="12">
        <f>G828</f>
      </c>
      <c r="K827">
        <f>IF(AND(Pu&gt;=MIN(E827,H827),Pu&lt;=MAX(E827,H827),E827&lt;&gt;H827),1,0)</f>
      </c>
      <c r="L827">
        <f>IF(K827=1,(Pu-E827)/(H827-E827),"")</f>
      </c>
      <c r="M827" s="12">
        <f>IF(K827=1,F827+L827*(I827-F827),"")</f>
      </c>
      <c r="N827" s="12">
        <f>IF(K827=1,G827+L827*(J827-G827),"")</f>
      </c>
    </row>
    <row r="828" spans="2:14" x14ac:dyDescent="0.25">
      <c r="B828">
        <v>23</v>
      </c>
      <c r="C828">
        <v>89.06249999999997</v>
      </c>
      <c r="D828">
        <v>31</v>
      </c>
      <c r="E828" s="18">
        <v>93.37715231093377</v>
      </c>
      <c r="F828" s="18">
        <v>2701.702122863674</v>
      </c>
      <c r="G828" s="18">
        <v>87.16167517802018</v>
      </c>
      <c r="H828" s="12">
        <f>E829</f>
      </c>
      <c r="I828" s="12">
        <f>F829</f>
      </c>
      <c r="J828" s="12">
        <f>G829</f>
      </c>
      <c r="K828">
        <f>IF(AND(Pu&gt;=MIN(E828,H828),Pu&lt;=MAX(E828,H828),E828&lt;&gt;H828),1,0)</f>
      </c>
      <c r="L828">
        <f>IF(K828=1,(Pu-E828)/(H828-E828),"")</f>
      </c>
      <c r="M828" s="12">
        <f>IF(K828=1,F828+L828*(I828-F828),"")</f>
      </c>
      <c r="N828" s="12">
        <f>IF(K828=1,G828+L828*(J828-G828),"")</f>
      </c>
    </row>
    <row r="829" spans="2:14" x14ac:dyDescent="0.25">
      <c r="B829">
        <v>23</v>
      </c>
      <c r="C829">
        <v>89.06249999999997</v>
      </c>
      <c r="D829">
        <v>32</v>
      </c>
      <c r="E829" s="18">
        <v>-606.2785605789201</v>
      </c>
      <c r="F829" s="18">
        <v>2343.456285193853</v>
      </c>
      <c r="G829" s="18">
        <v>85.780500277734</v>
      </c>
      <c r="H829" s="12">
        <f>E830</f>
      </c>
      <c r="I829" s="12">
        <f>F830</f>
      </c>
      <c r="J829" s="12">
        <f>G830</f>
      </c>
      <c r="K829">
        <f>IF(AND(Pu&gt;=MIN(E829,H829),Pu&lt;=MAX(E829,H829),E829&lt;&gt;H829),1,0)</f>
      </c>
      <c r="L829">
        <f>IF(K829=1,(Pu-E829)/(H829-E829),"")</f>
      </c>
      <c r="M829" s="12">
        <f>IF(K829=1,F829+L829*(I829-F829),"")</f>
      </c>
      <c r="N829" s="12">
        <f>IF(K829=1,G829+L829*(J829-G829),"")</f>
      </c>
    </row>
    <row r="830" spans="2:14" x14ac:dyDescent="0.25">
      <c r="B830">
        <v>23</v>
      </c>
      <c r="C830">
        <v>89.06249999999997</v>
      </c>
      <c r="D830">
        <v>33</v>
      </c>
      <c r="E830" s="18">
        <v>-1585.6812557617604</v>
      </c>
      <c r="F830" s="18">
        <v>1828.3983602807473</v>
      </c>
      <c r="G830" s="18">
        <v>79.94369595852969</v>
      </c>
      <c r="H830" s="12">
        <f>E831</f>
      </c>
      <c r="I830" s="12">
        <f>F831</f>
      </c>
      <c r="J830" s="12">
        <f>G831</f>
      </c>
      <c r="K830">
        <f>IF(AND(Pu&gt;=MIN(E830,H830),Pu&lt;=MAX(E830,H830),E830&lt;&gt;H830),1,0)</f>
      </c>
      <c r="L830">
        <f>IF(K830=1,(Pu-E830)/(H830-E830),"")</f>
      </c>
      <c r="M830" s="12">
        <f>IF(K830=1,F830+L830*(I830-F830),"")</f>
      </c>
      <c r="N830" s="12">
        <f>IF(K830=1,G830+L830*(J830-G830),"")</f>
      </c>
    </row>
    <row r="831" spans="2:14" x14ac:dyDescent="0.25">
      <c r="B831">
        <v>23</v>
      </c>
      <c r="C831">
        <v>89.06249999999997</v>
      </c>
      <c r="D831">
        <v>34</v>
      </c>
      <c r="E831" s="18">
        <v>-2379.141401888511</v>
      </c>
      <c r="F831" s="18">
        <v>1403.6325370612153</v>
      </c>
      <c r="G831" s="18">
        <v>90.60475404072757</v>
      </c>
      <c r="H831" s="12">
        <f>E832</f>
      </c>
      <c r="I831" s="12">
        <f>F832</f>
      </c>
      <c r="J831" s="12">
        <f>G832</f>
      </c>
      <c r="K831">
        <f>IF(AND(Pu&gt;=MIN(E831,H831),Pu&lt;=MAX(E831,H831),E831&lt;&gt;H831),1,0)</f>
      </c>
      <c r="L831">
        <f>IF(K831=1,(Pu-E831)/(H831-E831),"")</f>
      </c>
      <c r="M831" s="12">
        <f>IF(K831=1,F831+L831*(I831-F831),"")</f>
      </c>
      <c r="N831" s="12">
        <f>IF(K831=1,G831+L831*(J831-G831),"")</f>
      </c>
    </row>
    <row r="832" spans="2:14" x14ac:dyDescent="0.25">
      <c r="B832">
        <v>23</v>
      </c>
      <c r="C832">
        <v>89.06249999999997</v>
      </c>
      <c r="D832">
        <v>35</v>
      </c>
      <c r="E832" s="18">
        <v>-3954.5727719216625</v>
      </c>
      <c r="F832" s="18">
        <v>554.7708375865108</v>
      </c>
      <c r="G832" s="18">
        <v>93.28348983470333</v>
      </c>
      <c r="H832" s="12">
        <f>E833</f>
      </c>
      <c r="I832" s="12">
        <f>F833</f>
      </c>
      <c r="J832" s="12">
        <f>G833</f>
      </c>
      <c r="K832">
        <f>IF(AND(Pu&gt;=MIN(E832,H832),Pu&lt;=MAX(E832,H832),E832&lt;&gt;H832),1,0)</f>
      </c>
      <c r="L832">
        <f>IF(K832=1,(Pu-E832)/(H832-E832),"")</f>
      </c>
      <c r="M832" s="12">
        <f>IF(K832=1,F832+L832*(I832-F832),"")</f>
      </c>
      <c r="N832" s="12">
        <f>IF(K832=1,G832+L832*(J832-G832),"")</f>
      </c>
    </row>
    <row r="833" spans="2:7" x14ac:dyDescent="0.25">
      <c r="B833">
        <v>23</v>
      </c>
      <c r="C833">
        <v>89.06249999999997</v>
      </c>
      <c r="D833">
        <v>36</v>
      </c>
      <c r="E833" s="18">
        <v>-4381.8999865501655</v>
      </c>
      <c r="F833" s="18">
        <v>317.6592806183799</v>
      </c>
      <c r="G833" s="18">
        <v>44.30646356633028</v>
      </c>
    </row>
    <row r="835" spans="2:14" x14ac:dyDescent="0.25">
      <c r="B835">
        <v>24</v>
      </c>
      <c r="C835">
        <v>90</v>
      </c>
      <c r="D835">
        <v>1</v>
      </c>
      <c r="E835" s="18">
        <v>16809.609756687765</v>
      </c>
      <c r="F835" s="18">
        <v>2567.0413267963354</v>
      </c>
      <c r="G835" s="18">
        <v>7.119029760360717e-13</v>
      </c>
      <c r="H835" s="12">
        <f>E836</f>
      </c>
      <c r="I835" s="12">
        <f>F836</f>
      </c>
      <c r="J835" s="12">
        <f>G836</f>
      </c>
      <c r="K835">
        <f>IF(AND(Pu&gt;=MIN(E835,H835),Pu&lt;=MAX(E835,H835),E835&lt;&gt;H835),1,0)</f>
      </c>
      <c r="L835">
        <f>IF(K835=1,(Pu-E835)/(H835-E835),"")</f>
      </c>
      <c r="M835" s="12">
        <f>IF(K835=1,F835+L835*(I835-F835),"")</f>
      </c>
      <c r="N835" s="12">
        <f>IF(K835=1,G835+L835*(J835-G835),"")</f>
      </c>
    </row>
    <row r="836" spans="2:14" x14ac:dyDescent="0.25">
      <c r="B836">
        <v>24</v>
      </c>
      <c r="C836">
        <v>90</v>
      </c>
      <c r="D836">
        <v>2</v>
      </c>
      <c r="E836" s="18">
        <v>15831.862746689701</v>
      </c>
      <c r="F836" s="18">
        <v>2940.658855894903</v>
      </c>
      <c r="G836" s="18">
        <v>4.842877388000488e-14</v>
      </c>
      <c r="H836" s="12">
        <f>E837</f>
      </c>
      <c r="I836" s="12">
        <f>F837</f>
      </c>
      <c r="J836" s="12">
        <f>G837</f>
      </c>
      <c r="K836">
        <f>IF(AND(Pu&gt;=MIN(E836,H836),Pu&lt;=MAX(E836,H836),E836&lt;&gt;H836),1,0)</f>
      </c>
      <c r="L836">
        <f>IF(K836=1,(Pu-E836)/(H836-E836),"")</f>
      </c>
      <c r="M836" s="12">
        <f>IF(K836=1,F836+L836*(I836-F836),"")</f>
      </c>
      <c r="N836" s="12">
        <f>IF(K836=1,G836+L836*(J836-G836),"")</f>
      </c>
    </row>
    <row r="837" spans="2:14" x14ac:dyDescent="0.25">
      <c r="B837">
        <v>24</v>
      </c>
      <c r="C837">
        <v>90</v>
      </c>
      <c r="D837">
        <v>3</v>
      </c>
      <c r="E837" s="18">
        <v>14773.573695386063</v>
      </c>
      <c r="F837" s="18">
        <v>3296.653520312027</v>
      </c>
      <c r="G837" s="18">
        <v>5.133450031280518e-13</v>
      </c>
      <c r="H837" s="12">
        <f>E838</f>
      </c>
      <c r="I837" s="12">
        <f>F838</f>
      </c>
      <c r="J837" s="12">
        <f>G838</f>
      </c>
      <c r="K837">
        <f>IF(AND(Pu&gt;=MIN(E837,H837),Pu&lt;=MAX(E837,H837),E837&lt;&gt;H837),1,0)</f>
      </c>
      <c r="L837">
        <f>IF(K837=1,(Pu-E837)/(H837-E837),"")</f>
      </c>
      <c r="M837" s="12">
        <f>IF(K837=1,F837+L837*(I837-F837),"")</f>
      </c>
      <c r="N837" s="12">
        <f>IF(K837=1,G837+L837*(J837-G837),"")</f>
      </c>
    </row>
    <row r="838" spans="2:14" x14ac:dyDescent="0.25">
      <c r="B838">
        <v>24</v>
      </c>
      <c r="C838">
        <v>90</v>
      </c>
      <c r="D838">
        <v>4</v>
      </c>
      <c r="E838" s="18">
        <v>13844.504942638387</v>
      </c>
      <c r="F838" s="18">
        <v>3563.9991905973748</v>
      </c>
      <c r="G838" s="18">
        <v>-4.842877388000488e-14</v>
      </c>
      <c r="H838" s="12">
        <f>E839</f>
      </c>
      <c r="I838" s="12">
        <f>F839</f>
      </c>
      <c r="J838" s="12">
        <f>G839</f>
      </c>
      <c r="K838">
        <f>IF(AND(Pu&gt;=MIN(E838,H838),Pu&lt;=MAX(E838,H838),E838&lt;&gt;H838),1,0)</f>
      </c>
      <c r="L838">
        <f>IF(K838=1,(Pu-E838)/(H838-E838),"")</f>
      </c>
      <c r="M838" s="12">
        <f>IF(K838=1,F838+L838*(I838-F838),"")</f>
      </c>
      <c r="N838" s="12">
        <f>IF(K838=1,G838+L838*(J838-G838),"")</f>
      </c>
    </row>
    <row r="839" spans="2:14" x14ac:dyDescent="0.25">
      <c r="B839">
        <v>24</v>
      </c>
      <c r="C839">
        <v>90</v>
      </c>
      <c r="D839">
        <v>5</v>
      </c>
      <c r="E839" s="18">
        <v>12290.658640033142</v>
      </c>
      <c r="F839" s="18">
        <v>3928.0356747989067</v>
      </c>
      <c r="G839" s="18">
        <v>2.784654498100281e-14</v>
      </c>
      <c r="H839" s="12">
        <f>E840</f>
      </c>
      <c r="I839" s="12">
        <f>F840</f>
      </c>
      <c r="J839" s="12">
        <f>G840</f>
      </c>
      <c r="K839">
        <f>IF(AND(Pu&gt;=MIN(E839,H839),Pu&lt;=MAX(E839,H839),E839&lt;&gt;H839),1,0)</f>
      </c>
      <c r="L839">
        <f>IF(K839=1,(Pu-E839)/(H839-E839),"")</f>
      </c>
      <c r="M839" s="12">
        <f>IF(K839=1,F839+L839*(I839-F839),"")</f>
      </c>
      <c r="N839" s="12">
        <f>IF(K839=1,G839+L839*(J839-G839),"")</f>
      </c>
    </row>
    <row r="840" spans="2:14" x14ac:dyDescent="0.25">
      <c r="B840">
        <v>24</v>
      </c>
      <c r="C840">
        <v>90</v>
      </c>
      <c r="D840">
        <v>6</v>
      </c>
      <c r="E840" s="18">
        <v>10997.795364745594</v>
      </c>
      <c r="F840" s="18">
        <v>4168.679945451413</v>
      </c>
      <c r="G840" s="18">
        <v>3.8016587495803833e-13</v>
      </c>
      <c r="H840" s="12">
        <f>E841</f>
      </c>
      <c r="I840" s="12">
        <f>F841</f>
      </c>
      <c r="J840" s="12">
        <f>G841</f>
      </c>
      <c r="K840">
        <f>IF(AND(Pu&gt;=MIN(E840,H840),Pu&lt;=MAX(E840,H840),E840&lt;&gt;H840),1,0)</f>
      </c>
      <c r="L840">
        <f>IF(K840=1,(Pu-E840)/(H840-E840),"")</f>
      </c>
      <c r="M840" s="12">
        <f>IF(K840=1,F840+L840*(I840-F840),"")</f>
      </c>
      <c r="N840" s="12">
        <f>IF(K840=1,G840+L840*(J840-G840),"")</f>
      </c>
    </row>
    <row r="841" spans="2:14" x14ac:dyDescent="0.25">
      <c r="B841">
        <v>24</v>
      </c>
      <c r="C841">
        <v>90</v>
      </c>
      <c r="D841">
        <v>7</v>
      </c>
      <c r="E841" s="18">
        <v>9841.048274670951</v>
      </c>
      <c r="F841" s="18">
        <v>4343.683861094592</v>
      </c>
      <c r="G841" s="18">
        <v>-2.9299408197402954e-13</v>
      </c>
      <c r="H841" s="12">
        <f>E842</f>
      </c>
      <c r="I841" s="12">
        <f>F842</f>
      </c>
      <c r="J841" s="12">
        <f>G842</f>
      </c>
      <c r="K841">
        <f>IF(AND(Pu&gt;=MIN(E841,H841),Pu&lt;=MAX(E841,H841),E841&lt;&gt;H841),1,0)</f>
      </c>
      <c r="L841">
        <f>IF(K841=1,(Pu-E841)/(H841-E841),"")</f>
      </c>
      <c r="M841" s="12">
        <f>IF(K841=1,F841+L841*(I841-F841),"")</f>
      </c>
      <c r="N841" s="12">
        <f>IF(K841=1,G841+L841*(J841-G841),"")</f>
      </c>
    </row>
    <row r="842" spans="2:14" x14ac:dyDescent="0.25">
      <c r="B842">
        <v>24</v>
      </c>
      <c r="C842">
        <v>90</v>
      </c>
      <c r="D842">
        <v>8</v>
      </c>
      <c r="E842" s="18">
        <v>9137.567173396383</v>
      </c>
      <c r="F842" s="18">
        <v>4432.815781922306</v>
      </c>
      <c r="G842" s="18">
        <v>1.525506377220154e-13</v>
      </c>
      <c r="H842" s="12">
        <f>E843</f>
      </c>
      <c r="I842" s="12">
        <f>F843</f>
      </c>
      <c r="J842" s="12">
        <f>G843</f>
      </c>
      <c r="K842">
        <f>IF(AND(Pu&gt;=MIN(E842,H842),Pu&lt;=MAX(E842,H842),E842&lt;&gt;H842),1,0)</f>
      </c>
      <c r="L842">
        <f>IF(K842=1,(Pu-E842)/(H842-E842),"")</f>
      </c>
      <c r="M842" s="12">
        <f>IF(K842=1,F842+L842*(I842-F842),"")</f>
      </c>
      <c r="N842" s="12">
        <f>IF(K842=1,G842+L842*(J842-G842),"")</f>
      </c>
    </row>
    <row r="843" spans="2:14" x14ac:dyDescent="0.25">
      <c r="B843">
        <v>24</v>
      </c>
      <c r="C843">
        <v>90</v>
      </c>
      <c r="D843">
        <v>9</v>
      </c>
      <c r="E843" s="18">
        <v>9019.574900376023</v>
      </c>
      <c r="F843" s="18">
        <v>4503.465528893881</v>
      </c>
      <c r="G843" s="18">
        <v>3.396992882092794e-13</v>
      </c>
      <c r="H843" s="12">
        <f>E844</f>
      </c>
      <c r="I843" s="12">
        <f>F844</f>
      </c>
      <c r="J843" s="12">
        <f>G844</f>
      </c>
      <c r="K843">
        <f>IF(AND(Pu&gt;=MIN(E843,H843),Pu&lt;=MAX(E843,H843),E843&lt;&gt;H843),1,0)</f>
      </c>
      <c r="L843">
        <f>IF(K843=1,(Pu-E843)/(H843-E843),"")</f>
      </c>
      <c r="M843" s="12">
        <f>IF(K843=1,F843+L843*(I843-F843),"")</f>
      </c>
      <c r="N843" s="12">
        <f>IF(K843=1,G843+L843*(J843-G843),"")</f>
      </c>
    </row>
    <row r="844" spans="2:14" x14ac:dyDescent="0.25">
      <c r="B844">
        <v>24</v>
      </c>
      <c r="C844">
        <v>90</v>
      </c>
      <c r="D844">
        <v>10</v>
      </c>
      <c r="E844" s="18">
        <v>8867.923026841014</v>
      </c>
      <c r="F844" s="18">
        <v>4592.746680734325</v>
      </c>
      <c r="G844" s="18">
        <v>2.514570951461792e-15</v>
      </c>
      <c r="H844" s="12">
        <f>E845</f>
      </c>
      <c r="I844" s="12">
        <f>F845</f>
      </c>
      <c r="J844" s="12">
        <f>G845</f>
      </c>
      <c r="K844">
        <f>IF(AND(Pu&gt;=MIN(E844,H844),Pu&lt;=MAX(E844,H844),E844&lt;&gt;H844),1,0)</f>
      </c>
      <c r="L844">
        <f>IF(K844=1,(Pu-E844)/(H844-E844),"")</f>
      </c>
      <c r="M844" s="12">
        <f>IF(K844=1,F844+L844*(I844-F844),"")</f>
      </c>
      <c r="N844" s="12">
        <f>IF(K844=1,G844+L844*(J844-G844),"")</f>
      </c>
    </row>
    <row r="845" spans="2:14" x14ac:dyDescent="0.25">
      <c r="B845">
        <v>24</v>
      </c>
      <c r="C845">
        <v>90</v>
      </c>
      <c r="D845">
        <v>11</v>
      </c>
      <c r="E845" s="18">
        <v>8689.76807136208</v>
      </c>
      <c r="F845" s="18">
        <v>4695.528993962439</v>
      </c>
      <c r="G845" s="18">
        <v>3.042655686537425e-13</v>
      </c>
      <c r="H845" s="12">
        <f>E846</f>
      </c>
      <c r="I845" s="12">
        <f>F846</f>
      </c>
      <c r="J845" s="12">
        <f>G846</f>
      </c>
      <c r="K845">
        <f>IF(AND(Pu&gt;=MIN(E845,H845),Pu&lt;=MAX(E845,H845),E845&lt;&gt;H845),1,0)</f>
      </c>
      <c r="L845">
        <f>IF(K845=1,(Pu-E845)/(H845-E845),"")</f>
      </c>
      <c r="M845" s="12">
        <f>IF(K845=1,F845+L845*(I845-F845),"")</f>
      </c>
      <c r="N845" s="12">
        <f>IF(K845=1,G845+L845*(J845-G845),"")</f>
      </c>
    </row>
    <row r="846" spans="2:14" x14ac:dyDescent="0.25">
      <c r="B846">
        <v>24</v>
      </c>
      <c r="C846">
        <v>90</v>
      </c>
      <c r="D846">
        <v>12</v>
      </c>
      <c r="E846" s="18">
        <v>8638.59607436562</v>
      </c>
      <c r="F846" s="18">
        <v>4743.773028859493</v>
      </c>
      <c r="G846" s="18">
        <v>2.164393663406372e-13</v>
      </c>
      <c r="H846" s="12">
        <f>E847</f>
      </c>
      <c r="I846" s="12">
        <f>F847</f>
      </c>
      <c r="J846" s="12">
        <f>G847</f>
      </c>
      <c r="K846">
        <f>IF(AND(Pu&gt;=MIN(E846,H846),Pu&lt;=MAX(E846,H846),E846&lt;&gt;H846),1,0)</f>
      </c>
      <c r="L846">
        <f>IF(K846=1,(Pu-E846)/(H846-E846),"")</f>
      </c>
      <c r="M846" s="12">
        <f>IF(K846=1,F846+L846*(I846-F846),"")</f>
      </c>
      <c r="N846" s="12">
        <f>IF(K846=1,G846+L846*(J846-G846),"")</f>
      </c>
    </row>
    <row r="847" spans="2:14" x14ac:dyDescent="0.25">
      <c r="B847">
        <v>24</v>
      </c>
      <c r="C847">
        <v>90</v>
      </c>
      <c r="D847">
        <v>13</v>
      </c>
      <c r="E847" s="18">
        <v>8414.643256579859</v>
      </c>
      <c r="F847" s="18">
        <v>4869.288520414213</v>
      </c>
      <c r="G847" s="18">
        <v>3.606140554928961e-13</v>
      </c>
      <c r="H847" s="12">
        <f>E848</f>
      </c>
      <c r="I847" s="12">
        <f>F848</f>
      </c>
      <c r="J847" s="12">
        <f>G848</f>
      </c>
      <c r="K847">
        <f>IF(AND(Pu&gt;=MIN(E847,H847),Pu&lt;=MAX(E847,H847),E847&lt;&gt;H847),1,0)</f>
      </c>
      <c r="L847">
        <f>IF(K847=1,(Pu-E847)/(H847-E847),"")</f>
      </c>
      <c r="M847" s="12">
        <f>IF(K847=1,F847+L847*(I847-F847),"")</f>
      </c>
      <c r="N847" s="12">
        <f>IF(K847=1,G847+L847*(J847-G847),"")</f>
      </c>
    </row>
    <row r="848" spans="2:14" x14ac:dyDescent="0.25">
      <c r="B848">
        <v>24</v>
      </c>
      <c r="C848">
        <v>90</v>
      </c>
      <c r="D848">
        <v>14</v>
      </c>
      <c r="E848" s="18">
        <v>8388.913168679032</v>
      </c>
      <c r="F848" s="18">
        <v>4883.496395542704</v>
      </c>
      <c r="G848" s="18">
        <v>-7.697381079196929e-14</v>
      </c>
      <c r="H848" s="12">
        <f>E849</f>
      </c>
      <c r="I848" s="12">
        <f>F849</f>
      </c>
      <c r="J848" s="12">
        <f>G849</f>
      </c>
      <c r="K848">
        <f>IF(AND(Pu&gt;=MIN(E848,H848),Pu&lt;=MAX(E848,H848),E848&lt;&gt;H848),1,0)</f>
      </c>
      <c r="L848">
        <f>IF(K848=1,(Pu-E848)/(H848-E848),"")</f>
      </c>
      <c r="M848" s="12">
        <f>IF(K848=1,F848+L848*(I848-F848),"")</f>
      </c>
      <c r="N848" s="12">
        <f>IF(K848=1,G848+L848*(J848-G848),"")</f>
      </c>
    </row>
    <row r="849" spans="2:14" x14ac:dyDescent="0.25">
      <c r="B849">
        <v>24</v>
      </c>
      <c r="C849">
        <v>90</v>
      </c>
      <c r="D849">
        <v>15</v>
      </c>
      <c r="E849" s="18">
        <v>8171.19907639217</v>
      </c>
      <c r="F849" s="18">
        <v>5008.613666669041</v>
      </c>
      <c r="G849" s="18">
        <v>2.5425106287002566e-13</v>
      </c>
      <c r="H849" s="12">
        <f>E850</f>
      </c>
      <c r="I849" s="12">
        <f>F850</f>
      </c>
      <c r="J849" s="12">
        <f>G850</f>
      </c>
      <c r="K849">
        <f>IF(AND(Pu&gt;=MIN(E849,H849),Pu&lt;=MAX(E849,H849),E849&lt;&gt;H849),1,0)</f>
      </c>
      <c r="L849">
        <f>IF(K849=1,(Pu-E849)/(H849-E849),"")</f>
      </c>
      <c r="M849" s="12">
        <f>IF(K849=1,F849+L849*(I849-F849),"")</f>
      </c>
      <c r="N849" s="12">
        <f>IF(K849=1,G849+L849*(J849-G849),"")</f>
      </c>
    </row>
    <row r="850" spans="2:14" x14ac:dyDescent="0.25">
      <c r="B850">
        <v>24</v>
      </c>
      <c r="C850">
        <v>90</v>
      </c>
      <c r="D850">
        <v>16</v>
      </c>
      <c r="E850" s="18">
        <v>8137.373555066191</v>
      </c>
      <c r="F850" s="18">
        <v>5030.0785736449825</v>
      </c>
      <c r="G850" s="18">
        <v>5.202916347318225e-13</v>
      </c>
      <c r="H850" s="12">
        <f>E851</f>
      </c>
      <c r="I850" s="12">
        <f>F851</f>
      </c>
      <c r="J850" s="12">
        <f>G851</f>
      </c>
      <c r="K850">
        <f>IF(AND(Pu&gt;=MIN(E850,H850),Pu&lt;=MAX(E850,H850),E850&lt;&gt;H850),1,0)</f>
      </c>
      <c r="L850">
        <f>IF(K850=1,(Pu-E850)/(H850-E850),"")</f>
      </c>
      <c r="M850" s="12">
        <f>IF(K850=1,F850+L850*(I850-F850),"")</f>
      </c>
      <c r="N850" s="12">
        <f>IF(K850=1,G850+L850*(J850-G850),"")</f>
      </c>
    </row>
    <row r="851" spans="2:14" x14ac:dyDescent="0.25">
      <c r="B851">
        <v>24</v>
      </c>
      <c r="C851">
        <v>90</v>
      </c>
      <c r="D851">
        <v>17</v>
      </c>
      <c r="E851" s="18">
        <v>8002.273190220547</v>
      </c>
      <c r="F851" s="18">
        <v>5114.978106844529</v>
      </c>
      <c r="G851" s="18">
        <v>4.604924470186234e-13</v>
      </c>
      <c r="H851" s="12">
        <f>E852</f>
      </c>
      <c r="I851" s="12">
        <f>F852</f>
      </c>
      <c r="J851" s="12">
        <f>G852</f>
      </c>
      <c r="K851">
        <f>IF(AND(Pu&gt;=MIN(E851,H851),Pu&lt;=MAX(E851,H851),E851&lt;&gt;H851),1,0)</f>
      </c>
      <c r="L851">
        <f>IF(K851=1,(Pu-E851)/(H851-E851),"")</f>
      </c>
      <c r="M851" s="12">
        <f>IF(K851=1,F851+L851*(I851-F851),"")</f>
      </c>
      <c r="N851" s="12">
        <f>IF(K851=1,G851+L851*(J851-G851),"")</f>
      </c>
    </row>
    <row r="852" spans="2:14" x14ac:dyDescent="0.25">
      <c r="B852">
        <v>24</v>
      </c>
      <c r="C852">
        <v>90</v>
      </c>
      <c r="D852">
        <v>18</v>
      </c>
      <c r="E852" s="18">
        <v>7837.401990327624</v>
      </c>
      <c r="F852" s="18">
        <v>5216.626780150394</v>
      </c>
      <c r="G852" s="18">
        <v>4.51505184173584e-13</v>
      </c>
      <c r="H852" s="12">
        <f>E853</f>
      </c>
      <c r="I852" s="12">
        <f>F853</f>
      </c>
      <c r="J852" s="12">
        <f>G853</f>
      </c>
      <c r="K852">
        <f>IF(AND(Pu&gt;=MIN(E852,H852),Pu&lt;=MAX(E852,H852),E852&lt;&gt;H852),1,0)</f>
      </c>
      <c r="L852">
        <f>IF(K852=1,(Pu-E852)/(H852-E852),"")</f>
      </c>
      <c r="M852" s="12">
        <f>IF(K852=1,F852+L852*(I852-F852),"")</f>
      </c>
      <c r="N852" s="12">
        <f>IF(K852=1,G852+L852*(J852-G852),"")</f>
      </c>
    </row>
    <row r="853" spans="2:14" x14ac:dyDescent="0.25">
      <c r="B853">
        <v>24</v>
      </c>
      <c r="C853">
        <v>90</v>
      </c>
      <c r="D853">
        <v>19</v>
      </c>
      <c r="E853" s="18">
        <v>7722.033037113769</v>
      </c>
      <c r="F853" s="18">
        <v>5286.351069554238</v>
      </c>
      <c r="G853" s="18">
        <v>1.7515952802366678e-13</v>
      </c>
      <c r="H853" s="12">
        <f>E854</f>
      </c>
      <c r="I853" s="12">
        <f>F854</f>
      </c>
      <c r="J853" s="12">
        <f>G854</f>
      </c>
      <c r="K853">
        <f>IF(AND(Pu&gt;=MIN(E853,H853),Pu&lt;=MAX(E853,H853),E853&lt;&gt;H853),1,0)</f>
      </c>
      <c r="L853">
        <f>IF(K853=1,(Pu-E853)/(H853-E853),"")</f>
      </c>
      <c r="M853" s="12">
        <f>IF(K853=1,F853+L853*(I853-F853),"")</f>
      </c>
      <c r="N853" s="12">
        <f>IF(K853=1,G853+L853*(J853-G853),"")</f>
      </c>
    </row>
    <row r="854" spans="2:14" x14ac:dyDescent="0.25">
      <c r="B854">
        <v>24</v>
      </c>
      <c r="C854">
        <v>90</v>
      </c>
      <c r="D854">
        <v>20</v>
      </c>
      <c r="E854" s="18">
        <v>7674.873265426221</v>
      </c>
      <c r="F854" s="18">
        <v>5314.498337729369</v>
      </c>
      <c r="G854" s="18">
        <v>3.9953738451004034e-14</v>
      </c>
      <c r="H854" s="12">
        <f>E855</f>
      </c>
      <c r="I854" s="12">
        <f>F855</f>
      </c>
      <c r="J854" s="12">
        <f>G855</f>
      </c>
      <c r="K854">
        <f>IF(AND(Pu&gt;=MIN(E854,H854),Pu&lt;=MAX(E854,H854),E854&lt;&gt;H854),1,0)</f>
      </c>
      <c r="L854">
        <f>IF(K854=1,(Pu-E854)/(H854-E854),"")</f>
      </c>
      <c r="M854" s="12">
        <f>IF(K854=1,F854+L854*(I854-F854),"")</f>
      </c>
      <c r="N854" s="12">
        <f>IF(K854=1,G854+L854*(J854-G854),"")</f>
      </c>
    </row>
    <row r="855" spans="2:14" x14ac:dyDescent="0.25">
      <c r="B855">
        <v>24</v>
      </c>
      <c r="C855">
        <v>90</v>
      </c>
      <c r="D855">
        <v>21</v>
      </c>
      <c r="E855" s="18">
        <v>7513.284240003965</v>
      </c>
      <c r="F855" s="18">
        <v>5409.306186011452</v>
      </c>
      <c r="G855" s="18">
        <v>3.9422884583473205e-13</v>
      </c>
      <c r="H855" s="12">
        <f>E856</f>
      </c>
      <c r="I855" s="12">
        <f>F856</f>
      </c>
      <c r="J855" s="12">
        <f>G856</f>
      </c>
      <c r="K855">
        <f>IF(AND(Pu&gt;=MIN(E855,H855),Pu&lt;=MAX(E855,H855),E855&lt;&gt;H855),1,0)</f>
      </c>
      <c r="L855">
        <f>IF(K855=1,(Pu-E855)/(H855-E855),"")</f>
      </c>
      <c r="M855" s="12">
        <f>IF(K855=1,F855+L855*(I855-F855),"")</f>
      </c>
      <c r="N855" s="12">
        <f>IF(K855=1,G855+L855*(J855-G855),"")</f>
      </c>
    </row>
    <row r="856" spans="2:14" x14ac:dyDescent="0.25">
      <c r="B856">
        <v>24</v>
      </c>
      <c r="C856">
        <v>90</v>
      </c>
      <c r="D856">
        <v>22</v>
      </c>
      <c r="E856" s="18">
        <v>7428.415983617627</v>
      </c>
      <c r="F856" s="18">
        <v>5394.685230275164</v>
      </c>
      <c r="G856" s="18">
        <v>1.8207356333732606e-13</v>
      </c>
      <c r="H856" s="12">
        <f>E857</f>
      </c>
      <c r="I856" s="12">
        <f>F857</f>
      </c>
      <c r="J856" s="12">
        <f>G857</f>
      </c>
      <c r="K856">
        <f>IF(AND(Pu&gt;=MIN(E856,H856),Pu&lt;=MAX(E856,H856),E856&lt;&gt;H856),1,0)</f>
      </c>
      <c r="L856">
        <f>IF(K856=1,(Pu-E856)/(H856-E856),"")</f>
      </c>
      <c r="M856" s="12">
        <f>IF(K856=1,F856+L856*(I856-F856),"")</f>
      </c>
      <c r="N856" s="12">
        <f>IF(K856=1,G856+L856*(J856-G856),"")</f>
      </c>
    </row>
    <row r="857" spans="2:14" x14ac:dyDescent="0.25">
      <c r="B857">
        <v>24</v>
      </c>
      <c r="C857">
        <v>90</v>
      </c>
      <c r="D857">
        <v>23</v>
      </c>
      <c r="E857" s="18">
        <v>6915.641535927518</v>
      </c>
      <c r="F857" s="18">
        <v>5283.257062074955</v>
      </c>
      <c r="G857" s="18">
        <v>3.4356489777565e-13</v>
      </c>
      <c r="H857" s="12">
        <f>E858</f>
      </c>
      <c r="I857" s="12">
        <f>F858</f>
      </c>
      <c r="J857" s="12">
        <f>G858</f>
      </c>
      <c r="K857">
        <f>IF(AND(Pu&gt;=MIN(E857,H857),Pu&lt;=MAX(E857,H857),E857&lt;&gt;H857),1,0)</f>
      </c>
      <c r="L857">
        <f>IF(K857=1,(Pu-E857)/(H857-E857),"")</f>
      </c>
      <c r="M857" s="12">
        <f>IF(K857=1,F857+L857*(I857-F857),"")</f>
      </c>
      <c r="N857" s="12">
        <f>IF(K857=1,G857+L857*(J857-G857),"")</f>
      </c>
    </row>
    <row r="858" spans="2:14" x14ac:dyDescent="0.25">
      <c r="B858">
        <v>24</v>
      </c>
      <c r="C858">
        <v>90</v>
      </c>
      <c r="D858">
        <v>24</v>
      </c>
      <c r="E858" s="18">
        <v>6138.169553737243</v>
      </c>
      <c r="F858" s="18">
        <v>5085.790210024024</v>
      </c>
      <c r="G858" s="18">
        <v>8.08248296380043e-13</v>
      </c>
      <c r="H858" s="12">
        <f>E859</f>
      </c>
      <c r="I858" s="12">
        <f>F859</f>
      </c>
      <c r="J858" s="12">
        <f>G859</f>
      </c>
      <c r="K858">
        <f>IF(AND(Pu&gt;=MIN(E858,H858),Pu&lt;=MAX(E858,H858),E858&lt;&gt;H858),1,0)</f>
      </c>
      <c r="L858">
        <f>IF(K858=1,(Pu-E858)/(H858-E858),"")</f>
      </c>
      <c r="M858" s="12">
        <f>IF(K858=1,F858+L858*(I858-F858),"")</f>
      </c>
      <c r="N858" s="12">
        <f>IF(K858=1,G858+L858*(J858-G858),"")</f>
      </c>
    </row>
    <row r="859" spans="2:14" x14ac:dyDescent="0.25">
      <c r="B859">
        <v>24</v>
      </c>
      <c r="C859">
        <v>90</v>
      </c>
      <c r="D859">
        <v>25</v>
      </c>
      <c r="E859" s="18">
        <v>5390.89284237494</v>
      </c>
      <c r="F859" s="18">
        <v>4878.522249945448</v>
      </c>
      <c r="G859" s="18">
        <v>3.443565219640732e-13</v>
      </c>
      <c r="H859" s="12">
        <f>E860</f>
      </c>
      <c r="I859" s="12">
        <f>F860</f>
      </c>
      <c r="J859" s="12">
        <f>G860</f>
      </c>
      <c r="K859">
        <f>IF(AND(Pu&gt;=MIN(E859,H859),Pu&lt;=MAX(E859,H859),E859&lt;&gt;H859),1,0)</f>
      </c>
      <c r="L859">
        <f>IF(K859=1,(Pu-E859)/(H859-E859),"")</f>
      </c>
      <c r="M859" s="12">
        <f>IF(K859=1,F859+L859*(I859-F859),"")</f>
      </c>
      <c r="N859" s="12">
        <f>IF(K859=1,G859+L859*(J859-G859),"")</f>
      </c>
    </row>
    <row r="860" spans="2:14" x14ac:dyDescent="0.25">
      <c r="B860">
        <v>24</v>
      </c>
      <c r="C860">
        <v>90</v>
      </c>
      <c r="D860">
        <v>26</v>
      </c>
      <c r="E860" s="18">
        <v>4748.271026443948</v>
      </c>
      <c r="F860" s="18">
        <v>4677.116784799994</v>
      </c>
      <c r="G860" s="18">
        <v>8.181435987353325e-13</v>
      </c>
      <c r="H860" s="12">
        <f>E861</f>
      </c>
      <c r="I860" s="12">
        <f>F861</f>
      </c>
      <c r="J860" s="12">
        <f>G861</f>
      </c>
      <c r="K860">
        <f>IF(AND(Pu&gt;=MIN(E860,H860),Pu&lt;=MAX(E860,H860),E860&lt;&gt;H860),1,0)</f>
      </c>
      <c r="L860">
        <f>IF(K860=1,(Pu-E860)/(H860-E860),"")</f>
      </c>
      <c r="M860" s="12">
        <f>IF(K860=1,F860+L860*(I860-F860),"")</f>
      </c>
      <c r="N860" s="12">
        <f>IF(K860=1,G860+L860*(J860-G860),"")</f>
      </c>
    </row>
    <row r="861" spans="2:14" x14ac:dyDescent="0.25">
      <c r="B861">
        <v>24</v>
      </c>
      <c r="C861">
        <v>90</v>
      </c>
      <c r="D861">
        <v>27</v>
      </c>
      <c r="E861" s="18">
        <v>3741.9965983337165</v>
      </c>
      <c r="F861" s="18">
        <v>4307.475680303504</v>
      </c>
      <c r="G861" s="18">
        <v>2.8596186893992125e-13</v>
      </c>
      <c r="H861" s="12">
        <f>E862</f>
      </c>
      <c r="I861" s="12">
        <f>F862</f>
      </c>
      <c r="J861" s="12">
        <f>G862</f>
      </c>
      <c r="K861">
        <f>IF(AND(Pu&gt;=MIN(E861,H861),Pu&lt;=MAX(E861,H861),E861&lt;&gt;H861),1,0)</f>
      </c>
      <c r="L861">
        <f>IF(K861=1,(Pu-E861)/(H861-E861),"")</f>
      </c>
      <c r="M861" s="12">
        <f>IF(K861=1,F861+L861*(I861-F861),"")</f>
      </c>
      <c r="N861" s="12">
        <f>IF(K861=1,G861+L861*(J861-G861),"")</f>
      </c>
    </row>
    <row r="862" spans="2:14" x14ac:dyDescent="0.25">
      <c r="B862">
        <v>24</v>
      </c>
      <c r="C862">
        <v>90</v>
      </c>
      <c r="D862">
        <v>28</v>
      </c>
      <c r="E862" s="18">
        <v>2700.593408799118</v>
      </c>
      <c r="F862" s="18">
        <v>3896.5382444101024</v>
      </c>
      <c r="G862" s="18">
        <v>4.813075065612793e-13</v>
      </c>
      <c r="H862" s="12">
        <f>E863</f>
      </c>
      <c r="I862" s="12">
        <f>F863</f>
      </c>
      <c r="J862" s="12">
        <f>G863</f>
      </c>
      <c r="K862">
        <f>IF(AND(Pu&gt;=MIN(E862,H862),Pu&lt;=MAX(E862,H862),E862&lt;&gt;H862),1,0)</f>
      </c>
      <c r="L862">
        <f>IF(K862=1,(Pu-E862)/(H862-E862),"")</f>
      </c>
      <c r="M862" s="12">
        <f>IF(K862=1,F862+L862*(I862-F862),"")</f>
      </c>
      <c r="N862" s="12">
        <f>IF(K862=1,G862+L862*(J862-G862),"")</f>
      </c>
    </row>
    <row r="863" spans="2:14" x14ac:dyDescent="0.25">
      <c r="B863">
        <v>24</v>
      </c>
      <c r="C863">
        <v>90</v>
      </c>
      <c r="D863">
        <v>29</v>
      </c>
      <c r="E863" s="18">
        <v>1886.8351313990088</v>
      </c>
      <c r="F863" s="18">
        <v>3564.1864388148615</v>
      </c>
      <c r="G863" s="18">
        <v>6.410262978490811e-13</v>
      </c>
      <c r="H863" s="12">
        <f>E864</f>
      </c>
      <c r="I863" s="12">
        <f>F864</f>
      </c>
      <c r="J863" s="12">
        <f>G864</f>
      </c>
      <c r="K863">
        <f>IF(AND(Pu&gt;=MIN(E863,H863),Pu&lt;=MAX(E863,H863),E863&lt;&gt;H863),1,0)</f>
      </c>
      <c r="L863">
        <f>IF(K863=1,(Pu-E863)/(H863-E863),"")</f>
      </c>
      <c r="M863" s="12">
        <f>IF(K863=1,F863+L863*(I863-F863),"")</f>
      </c>
      <c r="N863" s="12">
        <f>IF(K863=1,G863+L863*(J863-G863),"")</f>
      </c>
    </row>
    <row r="864" spans="2:14" x14ac:dyDescent="0.25">
      <c r="B864">
        <v>24</v>
      </c>
      <c r="C864">
        <v>90</v>
      </c>
      <c r="D864">
        <v>30</v>
      </c>
      <c r="E864" s="18">
        <v>1327.2986735621025</v>
      </c>
      <c r="F864" s="18">
        <v>3310.3934462988473</v>
      </c>
      <c r="G864" s="18">
        <v>5.428330197529184e-13</v>
      </c>
      <c r="H864" s="12">
        <f>E865</f>
      </c>
      <c r="I864" s="12">
        <f>F865</f>
      </c>
      <c r="J864" s="12">
        <f>G865</f>
      </c>
      <c r="K864">
        <f>IF(AND(Pu&gt;=MIN(E864,H864),Pu&lt;=MAX(E864,H864),E864&lt;&gt;H864),1,0)</f>
      </c>
      <c r="L864">
        <f>IF(K864=1,(Pu-E864)/(H864-E864),"")</f>
      </c>
      <c r="M864" s="12">
        <f>IF(K864=1,F864+L864*(I864-F864),"")</f>
      </c>
      <c r="N864" s="12">
        <f>IF(K864=1,G864+L864*(J864-G864),"")</f>
      </c>
    </row>
    <row r="865" spans="2:14" x14ac:dyDescent="0.25">
      <c r="B865">
        <v>24</v>
      </c>
      <c r="C865">
        <v>90</v>
      </c>
      <c r="D865">
        <v>31</v>
      </c>
      <c r="E865" s="18">
        <v>426.0812693831821</v>
      </c>
      <c r="F865" s="18">
        <v>2870.665285145423</v>
      </c>
      <c r="G865" s="18">
        <v>5.066394805908203e-14</v>
      </c>
      <c r="H865" s="12">
        <f>E866</f>
      </c>
      <c r="I865" s="12">
        <f>F866</f>
      </c>
      <c r="J865" s="12">
        <f>G866</f>
      </c>
      <c r="K865">
        <f>IF(AND(Pu&gt;=MIN(E865,H865),Pu&lt;=MAX(E865,H865),E865&lt;&gt;H865),1,0)</f>
      </c>
      <c r="L865">
        <f>IF(K865=1,(Pu-E865)/(H865-E865),"")</f>
      </c>
      <c r="M865" s="12">
        <f>IF(K865=1,F865+L865*(I865-F865),"")</f>
      </c>
      <c r="N865" s="12">
        <f>IF(K865=1,G865+L865*(J865-G865),"")</f>
      </c>
    </row>
    <row r="866" spans="2:14" x14ac:dyDescent="0.25">
      <c r="B866">
        <v>24</v>
      </c>
      <c r="C866">
        <v>90</v>
      </c>
      <c r="D866">
        <v>32</v>
      </c>
      <c r="E866" s="18">
        <v>-249.50067829407595</v>
      </c>
      <c r="F866" s="18">
        <v>2528.595271910166</v>
      </c>
      <c r="G866" s="18">
        <v>3.752679840691327e-13</v>
      </c>
      <c r="H866" s="12">
        <f>E867</f>
      </c>
      <c r="I866" s="12">
        <f>F867</f>
      </c>
      <c r="J866" s="12">
        <f>G867</f>
      </c>
      <c r="K866">
        <f>IF(AND(Pu&gt;=MIN(E866,H866),Pu&lt;=MAX(E866,H866),E866&lt;&gt;H866),1,0)</f>
      </c>
      <c r="L866">
        <f>IF(K866=1,(Pu-E866)/(H866-E866),"")</f>
      </c>
      <c r="M866" s="12">
        <f>IF(K866=1,F866+L866*(I866-F866),"")</f>
      </c>
      <c r="N866" s="12">
        <f>IF(K866=1,G866+L866*(J866-G866),"")</f>
      </c>
    </row>
    <row r="867" spans="2:14" x14ac:dyDescent="0.25">
      <c r="B867">
        <v>24</v>
      </c>
      <c r="C867">
        <v>90</v>
      </c>
      <c r="D867">
        <v>33</v>
      </c>
      <c r="E867" s="18">
        <v>-1252.2691908270772</v>
      </c>
      <c r="F867" s="18">
        <v>2005.7125444914075</v>
      </c>
      <c r="G867" s="18">
        <v>5.066394805908203e-14</v>
      </c>
      <c r="H867" s="12">
        <f>E868</f>
      </c>
      <c r="I867" s="12">
        <f>F868</f>
      </c>
      <c r="J867" s="12">
        <f>G868</f>
      </c>
      <c r="K867">
        <f>IF(AND(Pu&gt;=MIN(E867,H867),Pu&lt;=MAX(E867,H867),E867&lt;&gt;H867),1,0)</f>
      </c>
      <c r="L867">
        <f>IF(K867=1,(Pu-E867)/(H867-E867),"")</f>
      </c>
      <c r="M867" s="12">
        <f>IF(K867=1,F867+L867*(I867-F867),"")</f>
      </c>
      <c r="N867" s="12">
        <f>IF(K867=1,G867+L867*(J867-G867),"")</f>
      </c>
    </row>
    <row r="868" spans="2:14" x14ac:dyDescent="0.25">
      <c r="B868">
        <v>24</v>
      </c>
      <c r="C868">
        <v>90</v>
      </c>
      <c r="D868">
        <v>34</v>
      </c>
      <c r="E868" s="18">
        <v>-1930.6161416728532</v>
      </c>
      <c r="F868" s="18">
        <v>1644.8412921503157</v>
      </c>
      <c r="G868" s="18">
        <v>5.066394805908203e-14</v>
      </c>
      <c r="H868" s="12">
        <f>E869</f>
      </c>
      <c r="I868" s="12">
        <f>F869</f>
      </c>
      <c r="J868" s="12">
        <f>G869</f>
      </c>
      <c r="K868">
        <f>IF(AND(Pu&gt;=MIN(E868,H868),Pu&lt;=MAX(E868,H868),E868&lt;&gt;H868),1,0)</f>
      </c>
      <c r="L868">
        <f>IF(K868=1,(Pu-E868)/(H868-E868),"")</f>
      </c>
      <c r="M868" s="12">
        <f>IF(K868=1,F868+L868*(I868-F868),"")</f>
      </c>
      <c r="N868" s="12">
        <f>IF(K868=1,G868+L868*(J868-G868),"")</f>
      </c>
    </row>
    <row r="869" spans="2:14" x14ac:dyDescent="0.25">
      <c r="B869">
        <v>24</v>
      </c>
      <c r="C869">
        <v>90</v>
      </c>
      <c r="D869">
        <v>35</v>
      </c>
      <c r="E869" s="18">
        <v>-3421.1074137993805</v>
      </c>
      <c r="F869" s="18">
        <v>845.0089851410174</v>
      </c>
      <c r="G869" s="18">
        <v>5.066394805908203e-14</v>
      </c>
      <c r="H869" s="12">
        <f>E870</f>
      </c>
      <c r="I869" s="12">
        <f>F870</f>
      </c>
      <c r="J869" s="12">
        <f>G870</f>
      </c>
      <c r="K869">
        <f>IF(AND(Pu&gt;=MIN(E869,H869),Pu&lt;=MAX(E869,H869),E869&lt;&gt;H869),1,0)</f>
      </c>
      <c r="L869">
        <f>IF(K869=1,(Pu-E869)/(H869-E869),"")</f>
      </c>
      <c r="M869" s="12">
        <f>IF(K869=1,F869+L869*(I869-F869),"")</f>
      </c>
      <c r="N869" s="12">
        <f>IF(K869=1,G869+L869*(J869-G869),"")</f>
      </c>
    </row>
    <row r="870" spans="2:7" x14ac:dyDescent="0.25">
      <c r="B870">
        <v>24</v>
      </c>
      <c r="C870">
        <v>90</v>
      </c>
      <c r="D870">
        <v>36</v>
      </c>
      <c r="E870" s="18">
        <v>-4170.409418511029</v>
      </c>
      <c r="F870" s="18">
        <v>439.3229622250255</v>
      </c>
      <c r="G870" s="18">
        <v>5.066394805908203e-14</v>
      </c>
    </row>
    <row r="872" spans="2:14" x14ac:dyDescent="0.25">
      <c r="B872">
        <v>25</v>
      </c>
      <c r="C872">
        <v>90.93750000000003</v>
      </c>
      <c r="D872">
        <v>1</v>
      </c>
      <c r="E872" s="18">
        <v>16968.6461647411</v>
      </c>
      <c r="F872" s="18">
        <v>2499.343116150725</v>
      </c>
      <c r="G872" s="18">
        <v>-85.4808336705269</v>
      </c>
      <c r="H872" s="12">
        <f>E873</f>
      </c>
      <c r="I872" s="12">
        <f>F873</f>
      </c>
      <c r="J872" s="12">
        <f>G873</f>
      </c>
      <c r="K872">
        <f>IF(AND(Pu&gt;=MIN(E872,H872),Pu&lt;=MAX(E872,H872),E872&lt;&gt;H872),1,0)</f>
      </c>
      <c r="L872">
        <f>IF(K872=1,(Pu-E872)/(H872-E872),"")</f>
      </c>
      <c r="M872" s="12">
        <f>IF(K872=1,F872+L872*(I872-F872),"")</f>
      </c>
      <c r="N872" s="12">
        <f>IF(K872=1,G872+L872*(J872-G872),"")</f>
      </c>
    </row>
    <row r="873" spans="2:14" x14ac:dyDescent="0.25">
      <c r="B873">
        <v>25</v>
      </c>
      <c r="C873">
        <v>90.93750000000003</v>
      </c>
      <c r="D873">
        <v>2</v>
      </c>
      <c r="E873" s="18">
        <v>15932.023800315428</v>
      </c>
      <c r="F873" s="18">
        <v>2901.961811204683</v>
      </c>
      <c r="G873" s="18">
        <v>-72.21784435509194</v>
      </c>
      <c r="H873" s="12">
        <f>E874</f>
      </c>
      <c r="I873" s="12">
        <f>F874</f>
      </c>
      <c r="J873" s="12">
        <f>G874</f>
      </c>
      <c r="K873">
        <f>IF(AND(Pu&gt;=MIN(E873,H873),Pu&lt;=MAX(E873,H873),E873&lt;&gt;H873),1,0)</f>
      </c>
      <c r="L873">
        <f>IF(K873=1,(Pu-E873)/(H873-E873),"")</f>
      </c>
      <c r="M873" s="12">
        <f>IF(K873=1,F873+L873*(I873-F873),"")</f>
      </c>
      <c r="N873" s="12">
        <f>IF(K873=1,G873+L873*(J873-G873),"")</f>
      </c>
    </row>
    <row r="874" spans="2:14" x14ac:dyDescent="0.25">
      <c r="B874">
        <v>25</v>
      </c>
      <c r="C874">
        <v>90.93750000000003</v>
      </c>
      <c r="D874">
        <v>3</v>
      </c>
      <c r="E874" s="18">
        <v>14826.882369966177</v>
      </c>
      <c r="F874" s="18">
        <v>3277.476389604375</v>
      </c>
      <c r="G874" s="18">
        <v>-53.82646341277841</v>
      </c>
      <c r="H874" s="12">
        <f>E875</f>
      </c>
      <c r="I874" s="12">
        <f>F875</f>
      </c>
      <c r="J874" s="12">
        <f>G875</f>
      </c>
      <c r="K874">
        <f>IF(AND(Pu&gt;=MIN(E874,H874),Pu&lt;=MAX(E874,H874),E874&lt;&gt;H874),1,0)</f>
      </c>
      <c r="L874">
        <f>IF(K874=1,(Pu-E874)/(H874-E874),"")</f>
      </c>
      <c r="M874" s="12">
        <f>IF(K874=1,F874+L874*(I874-F874),"")</f>
      </c>
      <c r="N874" s="12">
        <f>IF(K874=1,G874+L874*(J874-G874),"")</f>
      </c>
    </row>
    <row r="875" spans="2:14" x14ac:dyDescent="0.25">
      <c r="B875">
        <v>25</v>
      </c>
      <c r="C875">
        <v>90.93750000000003</v>
      </c>
      <c r="D875">
        <v>4</v>
      </c>
      <c r="E875" s="18">
        <v>13901.077462887126</v>
      </c>
      <c r="F875" s="18">
        <v>3546.0922998767114</v>
      </c>
      <c r="G875" s="18">
        <v>-63.75422177007469</v>
      </c>
      <c r="H875" s="12">
        <f>E876</f>
      </c>
      <c r="I875" s="12">
        <f>F876</f>
      </c>
      <c r="J875" s="12">
        <f>G876</f>
      </c>
      <c r="K875">
        <f>IF(AND(Pu&gt;=MIN(E875,H875),Pu&lt;=MAX(E875,H875),E875&lt;&gt;H875),1,0)</f>
      </c>
      <c r="L875">
        <f>IF(K875=1,(Pu-E875)/(H875-E875),"")</f>
      </c>
      <c r="M875" s="12">
        <f>IF(K875=1,F875+L875*(I875-F875),"")</f>
      </c>
      <c r="N875" s="12">
        <f>IF(K875=1,G875+L875*(J875-G875),"")</f>
      </c>
    </row>
    <row r="876" spans="2:14" x14ac:dyDescent="0.25">
      <c r="B876">
        <v>25</v>
      </c>
      <c r="C876">
        <v>90.93750000000003</v>
      </c>
      <c r="D876">
        <v>5</v>
      </c>
      <c r="E876" s="18">
        <v>12332.452033794856</v>
      </c>
      <c r="F876" s="18">
        <v>3915.3794760982623</v>
      </c>
      <c r="G876" s="18">
        <v>-65.98370828091295</v>
      </c>
      <c r="H876" s="12">
        <f>E877</f>
      </c>
      <c r="I876" s="12">
        <f>F877</f>
      </c>
      <c r="J876" s="12">
        <f>G877</f>
      </c>
      <c r="K876">
        <f>IF(AND(Pu&gt;=MIN(E876,H876),Pu&lt;=MAX(E876,H876),E876&lt;&gt;H876),1,0)</f>
      </c>
      <c r="L876">
        <f>IF(K876=1,(Pu-E876)/(H876-E876),"")</f>
      </c>
      <c r="M876" s="12">
        <f>IF(K876=1,F876+L876*(I876-F876),"")</f>
      </c>
      <c r="N876" s="12">
        <f>IF(K876=1,G876+L876*(J876-G876),"")</f>
      </c>
    </row>
    <row r="877" spans="2:14" x14ac:dyDescent="0.25">
      <c r="B877">
        <v>25</v>
      </c>
      <c r="C877">
        <v>90.93750000000003</v>
      </c>
      <c r="D877">
        <v>6</v>
      </c>
      <c r="E877" s="18">
        <v>11028.32452663405</v>
      </c>
      <c r="F877" s="18">
        <v>4157.625427221261</v>
      </c>
      <c r="G877" s="18">
        <v>-68.2131947917501</v>
      </c>
      <c r="H877" s="12">
        <f>E878</f>
      </c>
      <c r="I877" s="12">
        <f>F878</f>
      </c>
      <c r="J877" s="12">
        <f>G878</f>
      </c>
      <c r="K877">
        <f>IF(AND(Pu&gt;=MIN(E877,H877),Pu&lt;=MAX(E877,H877),E877&lt;&gt;H877),1,0)</f>
      </c>
      <c r="L877">
        <f>IF(K877=1,(Pu-E877)/(H877-E877),"")</f>
      </c>
      <c r="M877" s="12">
        <f>IF(K877=1,F877+L877*(I877-F877),"")</f>
      </c>
      <c r="N877" s="12">
        <f>IF(K877=1,G877+L877*(J877-G877),"")</f>
      </c>
    </row>
    <row r="878" spans="2:14" x14ac:dyDescent="0.25">
      <c r="B878">
        <v>25</v>
      </c>
      <c r="C878">
        <v>90.93750000000003</v>
      </c>
      <c r="D878">
        <v>7</v>
      </c>
      <c r="E878" s="18">
        <v>9858.337403907213</v>
      </c>
      <c r="F878" s="18">
        <v>4330.865052997037</v>
      </c>
      <c r="G878" s="18">
        <v>-77.05467767277507</v>
      </c>
      <c r="H878" s="12">
        <f>E879</f>
      </c>
      <c r="I878" s="12">
        <f>F879</f>
      </c>
      <c r="J878" s="12">
        <f>G879</f>
      </c>
      <c r="K878">
        <f>IF(AND(Pu&gt;=MIN(E878,H878),Pu&lt;=MAX(E878,H878),E878&lt;&gt;H878),1,0)</f>
      </c>
      <c r="L878">
        <f>IF(K878=1,(Pu-E878)/(H878-E878),"")</f>
      </c>
      <c r="M878" s="12">
        <f>IF(K878=1,F878+L878*(I878-F878),"")</f>
      </c>
      <c r="N878" s="12">
        <f>IF(K878=1,G878+L878*(J878-G878),"")</f>
      </c>
    </row>
    <row r="879" spans="2:14" x14ac:dyDescent="0.25">
      <c r="B879">
        <v>25</v>
      </c>
      <c r="C879">
        <v>90.93750000000003</v>
      </c>
      <c r="D879">
        <v>8</v>
      </c>
      <c r="E879" s="18">
        <v>9135.932337539918</v>
      </c>
      <c r="F879" s="18">
        <v>4420.829812699418</v>
      </c>
      <c r="G879" s="18">
        <v>-79.2577663822192</v>
      </c>
      <c r="H879" s="12">
        <f>E880</f>
      </c>
      <c r="I879" s="12">
        <f>F880</f>
      </c>
      <c r="J879" s="12">
        <f>G880</f>
      </c>
      <c r="K879">
        <f>IF(AND(Pu&gt;=MIN(E879,H879),Pu&lt;=MAX(E879,H879),E879&lt;&gt;H879),1,0)</f>
      </c>
      <c r="L879">
        <f>IF(K879=1,(Pu-E879)/(H879-E879),"")</f>
      </c>
      <c r="M879" s="12">
        <f>IF(K879=1,F879+L879*(I879-F879),"")</f>
      </c>
      <c r="N879" s="12">
        <f>IF(K879=1,G879+L879*(J879-G879),"")</f>
      </c>
    </row>
    <row r="880" spans="2:14" x14ac:dyDescent="0.25">
      <c r="B880">
        <v>25</v>
      </c>
      <c r="C880">
        <v>90.93750000000003</v>
      </c>
      <c r="D880">
        <v>9</v>
      </c>
      <c r="E880" s="18">
        <v>9003.977465691758</v>
      </c>
      <c r="F880" s="18">
        <v>4496.487284958394</v>
      </c>
      <c r="G880" s="18">
        <v>-78.1708477422481</v>
      </c>
      <c r="H880" s="12">
        <f>E881</f>
      </c>
      <c r="I880" s="12">
        <f>F881</f>
      </c>
      <c r="J880" s="12">
        <f>G881</f>
      </c>
      <c r="K880">
        <f>IF(AND(Pu&gt;=MIN(E880,H880),Pu&lt;=MAX(E880,H880),E880&lt;&gt;H880),1,0)</f>
      </c>
      <c r="L880">
        <f>IF(K880=1,(Pu-E880)/(H880-E880),"")</f>
      </c>
      <c r="M880" s="12">
        <f>IF(K880=1,F880+L880*(I880-F880),"")</f>
      </c>
      <c r="N880" s="12">
        <f>IF(K880=1,G880+L880*(J880-G880),"")</f>
      </c>
    </row>
    <row r="881" spans="2:14" x14ac:dyDescent="0.25">
      <c r="B881">
        <v>25</v>
      </c>
      <c r="C881">
        <v>90.93750000000003</v>
      </c>
      <c r="D881">
        <v>10</v>
      </c>
      <c r="E881" s="18">
        <v>8843.407967985813</v>
      </c>
      <c r="F881" s="18">
        <v>4587.786677770738</v>
      </c>
      <c r="G881" s="18">
        <v>-81.16960379962856</v>
      </c>
      <c r="H881" s="12">
        <f>E882</f>
      </c>
      <c r="I881" s="12">
        <f>F882</f>
      </c>
      <c r="J881" s="12">
        <f>G882</f>
      </c>
      <c r="K881">
        <f>IF(AND(Pu&gt;=MIN(E881,H881),Pu&lt;=MAX(E881,H881),E881&lt;&gt;H881),1,0)</f>
      </c>
      <c r="L881">
        <f>IF(K881=1,(Pu-E881)/(H881-E881),"")</f>
      </c>
      <c r="M881" s="12">
        <f>IF(K881=1,F881+L881*(I881-F881),"")</f>
      </c>
      <c r="N881" s="12">
        <f>IF(K881=1,G881+L881*(J881-G881),"")</f>
      </c>
    </row>
    <row r="882" spans="2:14" x14ac:dyDescent="0.25">
      <c r="B882">
        <v>25</v>
      </c>
      <c r="C882">
        <v>90.93750000000003</v>
      </c>
      <c r="D882">
        <v>11</v>
      </c>
      <c r="E882" s="18">
        <v>8679.881791347963</v>
      </c>
      <c r="F882" s="18">
        <v>4688.0406668677715</v>
      </c>
      <c r="G882" s="18">
        <v>-75.00086314192784</v>
      </c>
      <c r="H882" s="12">
        <f>E883</f>
      </c>
      <c r="I882" s="12">
        <f>F883</f>
      </c>
      <c r="J882" s="12">
        <f>G883</f>
      </c>
      <c r="K882">
        <f>IF(AND(Pu&gt;=MIN(E882,H882),Pu&lt;=MAX(E882,H882),E882&lt;&gt;H882),1,0)</f>
      </c>
      <c r="L882">
        <f>IF(K882=1,(Pu-E882)/(H882-E882),"")</f>
      </c>
      <c r="M882" s="12">
        <f>IF(K882=1,F882+L882*(I882-F882),"")</f>
      </c>
      <c r="N882" s="12">
        <f>IF(K882=1,G882+L882*(J882-G882),"")</f>
      </c>
    </row>
    <row r="883" spans="2:14" x14ac:dyDescent="0.25">
      <c r="B883">
        <v>25</v>
      </c>
      <c r="C883">
        <v>90.93750000000003</v>
      </c>
      <c r="D883">
        <v>12</v>
      </c>
      <c r="E883" s="18">
        <v>8592.996375717448</v>
      </c>
      <c r="F883" s="18">
        <v>4735.661034073171</v>
      </c>
      <c r="G883" s="18">
        <v>-76.6450928388469</v>
      </c>
      <c r="H883" s="12">
        <f>E884</f>
      </c>
      <c r="I883" s="12">
        <f>F884</f>
      </c>
      <c r="J883" s="12">
        <f>G884</f>
      </c>
      <c r="K883">
        <f>IF(AND(Pu&gt;=MIN(E883,H883),Pu&lt;=MAX(E883,H883),E883&lt;&gt;H883),1,0)</f>
      </c>
      <c r="L883">
        <f>IF(K883=1,(Pu-E883)/(H883-E883),"")</f>
      </c>
      <c r="M883" s="12">
        <f>IF(K883=1,F883+L883*(I883-F883),"")</f>
      </c>
      <c r="N883" s="12">
        <f>IF(K883=1,G883+L883*(J883-G883),"")</f>
      </c>
    </row>
    <row r="884" spans="2:14" x14ac:dyDescent="0.25">
      <c r="B884">
        <v>25</v>
      </c>
      <c r="C884">
        <v>90.93750000000003</v>
      </c>
      <c r="D884">
        <v>13</v>
      </c>
      <c r="E884" s="18">
        <v>8382.89168545405</v>
      </c>
      <c r="F884" s="18">
        <v>4858.032840295121</v>
      </c>
      <c r="G884" s="18">
        <v>-91.12134317842394</v>
      </c>
      <c r="H884" s="12">
        <f>E885</f>
      </c>
      <c r="I884" s="12">
        <f>F885</f>
      </c>
      <c r="J884" s="12">
        <f>G885</f>
      </c>
      <c r="K884">
        <f>IF(AND(Pu&gt;=MIN(E884,H884),Pu&lt;=MAX(E884,H884),E884&lt;&gt;H884),1,0)</f>
      </c>
      <c r="L884">
        <f>IF(K884=1,(Pu-E884)/(H884-E884),"")</f>
      </c>
      <c r="M884" s="12">
        <f>IF(K884=1,F884+L884*(I884-F884),"")</f>
      </c>
      <c r="N884" s="12">
        <f>IF(K884=1,G884+L884*(J884-G884),"")</f>
      </c>
    </row>
    <row r="885" spans="2:14" x14ac:dyDescent="0.25">
      <c r="B885">
        <v>25</v>
      </c>
      <c r="C885">
        <v>90.93750000000003</v>
      </c>
      <c r="D885">
        <v>14</v>
      </c>
      <c r="E885" s="18">
        <v>8351.201855535035</v>
      </c>
      <c r="F885" s="18">
        <v>4874.838302797864</v>
      </c>
      <c r="G885" s="18">
        <v>-91.80386852897398</v>
      </c>
      <c r="H885" s="12">
        <f>E886</f>
      </c>
      <c r="I885" s="12">
        <f>F886</f>
      </c>
      <c r="J885" s="12">
        <f>G886</f>
      </c>
      <c r="K885">
        <f>IF(AND(Pu&gt;=MIN(E885,H885),Pu&lt;=MAX(E885,H885),E885&lt;&gt;H885),1,0)</f>
      </c>
      <c r="L885">
        <f>IF(K885=1,(Pu-E885)/(H885-E885),"")</f>
      </c>
      <c r="M885" s="12">
        <f>IF(K885=1,F885+L885*(I885-F885),"")</f>
      </c>
      <c r="N885" s="12">
        <f>IF(K885=1,G885+L885*(J885-G885),"")</f>
      </c>
    </row>
    <row r="886" spans="2:14" x14ac:dyDescent="0.25">
      <c r="B886">
        <v>25</v>
      </c>
      <c r="C886">
        <v>90.93750000000003</v>
      </c>
      <c r="D886">
        <v>15</v>
      </c>
      <c r="E886" s="18">
        <v>8122.392989857709</v>
      </c>
      <c r="F886" s="18">
        <v>4999.2232256244315</v>
      </c>
      <c r="G886" s="18">
        <v>-86.5229612816549</v>
      </c>
      <c r="H886" s="12">
        <f>E887</f>
      </c>
      <c r="I886" s="12">
        <f>F887</f>
      </c>
      <c r="J886" s="12">
        <f>G887</f>
      </c>
      <c r="K886">
        <f>IF(AND(Pu&gt;=MIN(E886,H886),Pu&lt;=MAX(E886,H886),E886&lt;&gt;H886),1,0)</f>
      </c>
      <c r="L886">
        <f>IF(K886=1,(Pu-E886)/(H886-E886),"")</f>
      </c>
      <c r="M886" s="12">
        <f>IF(K886=1,F886+L886*(I886-F886),"")</f>
      </c>
      <c r="N886" s="12">
        <f>IF(K886=1,G886+L886*(J886-G886),"")</f>
      </c>
    </row>
    <row r="887" spans="2:14" x14ac:dyDescent="0.25">
      <c r="B887">
        <v>25</v>
      </c>
      <c r="C887">
        <v>90.93750000000003</v>
      </c>
      <c r="D887">
        <v>16</v>
      </c>
      <c r="E887" s="18">
        <v>8091.2431381570905</v>
      </c>
      <c r="F887" s="18">
        <v>5017.885184500635</v>
      </c>
      <c r="G887" s="18">
        <v>-87.34481342703941</v>
      </c>
      <c r="H887" s="12">
        <f>E888</f>
      </c>
      <c r="I887" s="12">
        <f>F888</f>
      </c>
      <c r="J887" s="12">
        <f>G888</f>
      </c>
      <c r="K887">
        <f>IF(AND(Pu&gt;=MIN(E887,H887),Pu&lt;=MAX(E887,H887),E887&lt;&gt;H887),1,0)</f>
      </c>
      <c r="L887">
        <f>IF(K887=1,(Pu-E887)/(H887-E887),"")</f>
      </c>
      <c r="M887" s="12">
        <f>IF(K887=1,F887+L887*(I887-F887),"")</f>
      </c>
      <c r="N887" s="12">
        <f>IF(K887=1,G887+L887*(J887-G887),"")</f>
      </c>
    </row>
    <row r="888" spans="2:14" x14ac:dyDescent="0.25">
      <c r="B888">
        <v>25</v>
      </c>
      <c r="C888">
        <v>90.93750000000003</v>
      </c>
      <c r="D888">
        <v>17</v>
      </c>
      <c r="E888" s="18">
        <v>7946.9570865069</v>
      </c>
      <c r="F888" s="18">
        <v>5103.3749638787385</v>
      </c>
      <c r="G888" s="18">
        <v>-91.25972481043267</v>
      </c>
      <c r="H888" s="12">
        <f>E889</f>
      </c>
      <c r="I888" s="12">
        <f>F889</f>
      </c>
      <c r="J888" s="12">
        <f>G889</f>
      </c>
      <c r="K888">
        <f>IF(AND(Pu&gt;=MIN(E888,H888),Pu&lt;=MAX(E888,H888),E888&lt;&gt;H888),1,0)</f>
      </c>
      <c r="L888">
        <f>IF(K888=1,(Pu-E888)/(H888-E888),"")</f>
      </c>
      <c r="M888" s="12">
        <f>IF(K888=1,F888+L888*(I888-F888),"")</f>
      </c>
      <c r="N888" s="12">
        <f>IF(K888=1,G888+L888*(J888-G888),"")</f>
      </c>
    </row>
    <row r="889" spans="2:14" x14ac:dyDescent="0.25">
      <c r="B889">
        <v>25</v>
      </c>
      <c r="C889">
        <v>90.93750000000003</v>
      </c>
      <c r="D889">
        <v>18</v>
      </c>
      <c r="E889" s="18">
        <v>7775.708291451111</v>
      </c>
      <c r="F889" s="18">
        <v>5202.690614963194</v>
      </c>
      <c r="G889" s="18">
        <v>-96.1160151017522</v>
      </c>
      <c r="H889" s="12">
        <f>E890</f>
      </c>
      <c r="I889" s="12">
        <f>F890</f>
      </c>
      <c r="J889" s="12">
        <f>G890</f>
      </c>
      <c r="K889">
        <f>IF(AND(Pu&gt;=MIN(E889,H889),Pu&lt;=MAX(E889,H889),E889&lt;&gt;H889),1,0)</f>
      </c>
      <c r="L889">
        <f>IF(K889=1,(Pu-E889)/(H889-E889),"")</f>
      </c>
      <c r="M889" s="12">
        <f>IF(K889=1,F889+L889*(I889-F889),"")</f>
      </c>
      <c r="N889" s="12">
        <f>IF(K889=1,G889+L889*(J889-G889),"")</f>
      </c>
    </row>
    <row r="890" spans="2:14" x14ac:dyDescent="0.25">
      <c r="B890">
        <v>25</v>
      </c>
      <c r="C890">
        <v>90.93750000000003</v>
      </c>
      <c r="D890">
        <v>19</v>
      </c>
      <c r="E890" s="18">
        <v>7660.184562501999</v>
      </c>
      <c r="F890" s="18">
        <v>5268.283663799836</v>
      </c>
      <c r="G890" s="18">
        <v>-99.50338407115358</v>
      </c>
      <c r="H890" s="12">
        <f>E891</f>
      </c>
      <c r="I890" s="12">
        <f>F891</f>
      </c>
      <c r="J890" s="12">
        <f>G891</f>
      </c>
      <c r="K890">
        <f>IF(AND(Pu&gt;=MIN(E890,H890),Pu&lt;=MAX(E890,H890),E890&lt;&gt;H890),1,0)</f>
      </c>
      <c r="L890">
        <f>IF(K890=1,(Pu-E890)/(H890-E890),"")</f>
      </c>
      <c r="M890" s="12">
        <f>IF(K890=1,F890+L890*(I890-F890),"")</f>
      </c>
      <c r="N890" s="12">
        <f>IF(K890=1,G890+L890*(J890-G890),"")</f>
      </c>
    </row>
    <row r="891" spans="2:14" x14ac:dyDescent="0.25">
      <c r="B891">
        <v>25</v>
      </c>
      <c r="C891">
        <v>90.93750000000003</v>
      </c>
      <c r="D891">
        <v>20</v>
      </c>
      <c r="E891" s="18">
        <v>7606.910838033652</v>
      </c>
      <c r="F891" s="18">
        <v>5298.133539728476</v>
      </c>
      <c r="G891" s="18">
        <v>-101.09183215561309</v>
      </c>
      <c r="H891" s="12">
        <f>E892</f>
      </c>
      <c r="I891" s="12">
        <f>F892</f>
      </c>
      <c r="J891" s="12">
        <f>G892</f>
      </c>
      <c r="K891">
        <f>IF(AND(Pu&gt;=MIN(E891,H891),Pu&lt;=MAX(E891,H891),E891&lt;&gt;H891),1,0)</f>
      </c>
      <c r="L891">
        <f>IF(K891=1,(Pu-E891)/(H891-E891),"")</f>
      </c>
      <c r="M891" s="12">
        <f>IF(K891=1,F891+L891*(I891-F891),"")</f>
      </c>
      <c r="N891" s="12">
        <f>IF(K891=1,G891+L891*(J891-G891),"")</f>
      </c>
    </row>
    <row r="892" spans="2:14" x14ac:dyDescent="0.25">
      <c r="B892">
        <v>25</v>
      </c>
      <c r="C892">
        <v>90.93750000000003</v>
      </c>
      <c r="D892">
        <v>21</v>
      </c>
      <c r="E892" s="18">
        <v>7439.142652367095</v>
      </c>
      <c r="F892" s="18">
        <v>5390.435848121794</v>
      </c>
      <c r="G892" s="18">
        <v>-106.18717597201473</v>
      </c>
      <c r="H892" s="12">
        <f>E893</f>
      </c>
      <c r="I892" s="12">
        <f>F893</f>
      </c>
      <c r="J892" s="12">
        <f>G893</f>
      </c>
      <c r="K892">
        <f>IF(AND(Pu&gt;=MIN(E892,H892),Pu&lt;=MAX(E892,H892),E892&lt;&gt;H892),1,0)</f>
      </c>
      <c r="L892">
        <f>IF(K892=1,(Pu-E892)/(H892-E892),"")</f>
      </c>
      <c r="M892" s="12">
        <f>IF(K892=1,F892+L892*(I892-F892),"")</f>
      </c>
      <c r="N892" s="12">
        <f>IF(K892=1,G892+L892*(J892-G892),"")</f>
      </c>
    </row>
    <row r="893" spans="2:14" x14ac:dyDescent="0.25">
      <c r="B893">
        <v>25</v>
      </c>
      <c r="C893">
        <v>90.93750000000003</v>
      </c>
      <c r="D893">
        <v>22</v>
      </c>
      <c r="E893" s="18">
        <v>7363.850717064119</v>
      </c>
      <c r="F893" s="18">
        <v>5377.21599475992</v>
      </c>
      <c r="G893" s="18">
        <v>-106.5853071191913</v>
      </c>
      <c r="H893" s="12">
        <f>E894</f>
      </c>
      <c r="I893" s="12">
        <f>F894</f>
      </c>
      <c r="J893" s="12">
        <f>G894</f>
      </c>
      <c r="K893">
        <f>IF(AND(Pu&gt;=MIN(E893,H893),Pu&lt;=MAX(E893,H893),E893&lt;&gt;H893),1,0)</f>
      </c>
      <c r="L893">
        <f>IF(K893=1,(Pu-E893)/(H893-E893),"")</f>
      </c>
      <c r="M893" s="12">
        <f>IF(K893=1,F893+L893*(I893-F893),"")</f>
      </c>
      <c r="N893" s="12">
        <f>IF(K893=1,G893+L893*(J893-G893),"")</f>
      </c>
    </row>
    <row r="894" spans="2:14" x14ac:dyDescent="0.25">
      <c r="B894">
        <v>25</v>
      </c>
      <c r="C894">
        <v>90.93750000000003</v>
      </c>
      <c r="D894">
        <v>23</v>
      </c>
      <c r="E894" s="18">
        <v>6841.720835639499</v>
      </c>
      <c r="F894" s="18">
        <v>5263.037553029488</v>
      </c>
      <c r="G894" s="18">
        <v>-93.65914889018316</v>
      </c>
      <c r="H894" s="12">
        <f>E895</f>
      </c>
      <c r="I894" s="12">
        <f>F895</f>
      </c>
      <c r="J894" s="12">
        <f>G895</f>
      </c>
      <c r="K894">
        <f>IF(AND(Pu&gt;=MIN(E894,H894),Pu&lt;=MAX(E894,H894),E894&lt;&gt;H894),1,0)</f>
      </c>
      <c r="L894">
        <f>IF(K894=1,(Pu-E894)/(H894-E894),"")</f>
      </c>
      <c r="M894" s="12">
        <f>IF(K894=1,F894+L894*(I894-F894),"")</f>
      </c>
      <c r="N894" s="12">
        <f>IF(K894=1,G894+L894*(J894-G894),"")</f>
      </c>
    </row>
    <row r="895" spans="2:14" x14ac:dyDescent="0.25">
      <c r="B895">
        <v>25</v>
      </c>
      <c r="C895">
        <v>90.93750000000003</v>
      </c>
      <c r="D895">
        <v>24</v>
      </c>
      <c r="E895" s="18">
        <v>6048.41466963808</v>
      </c>
      <c r="F895" s="18">
        <v>5058.390290535271</v>
      </c>
      <c r="G895" s="18">
        <v>-100.44889258392323</v>
      </c>
      <c r="H895" s="12">
        <f>E896</f>
      </c>
      <c r="I895" s="12">
        <f>F896</f>
      </c>
      <c r="J895" s="12">
        <f>G896</f>
      </c>
      <c r="K895">
        <f>IF(AND(Pu&gt;=MIN(E895,H895),Pu&lt;=MAX(E895,H895),E895&lt;&gt;H895),1,0)</f>
      </c>
      <c r="L895">
        <f>IF(K895=1,(Pu-E895)/(H895-E895),"")</f>
      </c>
      <c r="M895" s="12">
        <f>IF(K895=1,F895+L895*(I895-F895),"")</f>
      </c>
      <c r="N895" s="12">
        <f>IF(K895=1,G895+L895*(J895-G895),"")</f>
      </c>
    </row>
    <row r="896" spans="2:14" x14ac:dyDescent="0.25">
      <c r="B896">
        <v>25</v>
      </c>
      <c r="C896">
        <v>90.93750000000003</v>
      </c>
      <c r="D896">
        <v>25</v>
      </c>
      <c r="E896" s="18">
        <v>5278.858246567932</v>
      </c>
      <c r="F896" s="18">
        <v>4841.345811657037</v>
      </c>
      <c r="G896" s="18">
        <v>-111.38641854455929</v>
      </c>
      <c r="H896" s="12">
        <f>E897</f>
      </c>
      <c r="I896" s="12">
        <f>F897</f>
      </c>
      <c r="J896" s="12">
        <f>G897</f>
      </c>
      <c r="K896">
        <f>IF(AND(Pu&gt;=MIN(E896,H896),Pu&lt;=MAX(E896,H896),E896&lt;&gt;H896),1,0)</f>
      </c>
      <c r="L896">
        <f>IF(K896=1,(Pu-E896)/(H896-E896),"")</f>
      </c>
      <c r="M896" s="12">
        <f>IF(K896=1,F896+L896*(I896-F896),"")</f>
      </c>
      <c r="N896" s="12">
        <f>IF(K896=1,G896+L896*(J896-G896),"")</f>
      </c>
    </row>
    <row r="897" spans="2:14" x14ac:dyDescent="0.25">
      <c r="B897">
        <v>25</v>
      </c>
      <c r="C897">
        <v>90.93750000000003</v>
      </c>
      <c r="D897">
        <v>26</v>
      </c>
      <c r="E897" s="18">
        <v>4620.505610693875</v>
      </c>
      <c r="F897" s="18">
        <v>4630.787132067514</v>
      </c>
      <c r="G897" s="18">
        <v>-98.15472021870718</v>
      </c>
      <c r="H897" s="12">
        <f>E898</f>
      </c>
      <c r="I897" s="12">
        <f>F898</f>
      </c>
      <c r="J897" s="12">
        <f>G898</f>
      </c>
      <c r="K897">
        <f>IF(AND(Pu&gt;=MIN(E897,H897),Pu&lt;=MAX(E897,H897),E897&lt;&gt;H897),1,0)</f>
      </c>
      <c r="L897">
        <f>IF(K897=1,(Pu-E897)/(H897-E897),"")</f>
      </c>
      <c r="M897" s="12">
        <f>IF(K897=1,F897+L897*(I897-F897),"")</f>
      </c>
      <c r="N897" s="12">
        <f>IF(K897=1,G897+L897*(J897-G897),"")</f>
      </c>
    </row>
    <row r="898" spans="2:14" x14ac:dyDescent="0.25">
      <c r="B898">
        <v>25</v>
      </c>
      <c r="C898">
        <v>90.93750000000003</v>
      </c>
      <c r="D898">
        <v>27</v>
      </c>
      <c r="E898" s="18">
        <v>3536.593076820158</v>
      </c>
      <c r="F898" s="18">
        <v>4225.6490875531545</v>
      </c>
      <c r="G898" s="18">
        <v>-123.11459017609283</v>
      </c>
      <c r="H898" s="12">
        <f>E899</f>
      </c>
      <c r="I898" s="12">
        <f>F899</f>
      </c>
      <c r="J898" s="12">
        <f>G899</f>
      </c>
      <c r="K898">
        <f>IF(AND(Pu&gt;=MIN(E898,H898),Pu&lt;=MAX(E898,H898),E898&lt;&gt;H898),1,0)</f>
      </c>
      <c r="L898">
        <f>IF(K898=1,(Pu-E898)/(H898-E898),"")</f>
      </c>
      <c r="M898" s="12">
        <f>IF(K898=1,F898+L898*(I898-F898),"")</f>
      </c>
      <c r="N898" s="12">
        <f>IF(K898=1,G898+L898*(J898-G898),"")</f>
      </c>
    </row>
    <row r="899" spans="2:14" x14ac:dyDescent="0.25">
      <c r="B899">
        <v>25</v>
      </c>
      <c r="C899">
        <v>90.93750000000003</v>
      </c>
      <c r="D899">
        <v>28</v>
      </c>
      <c r="E899" s="18">
        <v>2485.2490206956727</v>
      </c>
      <c r="F899" s="18">
        <v>3805.6241498110608</v>
      </c>
      <c r="G899" s="18">
        <v>-118.18743741201202</v>
      </c>
      <c r="H899" s="12">
        <f>E900</f>
      </c>
      <c r="I899" s="12">
        <f>F900</f>
      </c>
      <c r="J899" s="12">
        <f>G900</f>
      </c>
      <c r="K899">
        <f>IF(AND(Pu&gt;=MIN(E899,H899),Pu&lt;=MAX(E899,H899),E899&lt;&gt;H899),1,0)</f>
      </c>
      <c r="L899">
        <f>IF(K899=1,(Pu-E899)/(H899-E899),"")</f>
      </c>
      <c r="M899" s="12">
        <f>IF(K899=1,F899+L899*(I899-F899),"")</f>
      </c>
      <c r="N899" s="12">
        <f>IF(K899=1,G899+L899*(J899-G899),"")</f>
      </c>
    </row>
    <row r="900" spans="2:14" x14ac:dyDescent="0.25">
      <c r="B900">
        <v>25</v>
      </c>
      <c r="C900">
        <v>90.93750000000003</v>
      </c>
      <c r="D900">
        <v>29</v>
      </c>
      <c r="E900" s="18">
        <v>1644.906559991855</v>
      </c>
      <c r="F900" s="18">
        <v>3450.751449493055</v>
      </c>
      <c r="G900" s="18">
        <v>-111.11390716326092</v>
      </c>
      <c r="H900" s="12">
        <f>E901</f>
      </c>
      <c r="I900" s="12">
        <f>F901</f>
      </c>
      <c r="J900" s="12">
        <f>G901</f>
      </c>
      <c r="K900">
        <f>IF(AND(Pu&gt;=MIN(E900,H900),Pu&lt;=MAX(E900,H900),E900&lt;&gt;H900),1,0)</f>
      </c>
      <c r="L900">
        <f>IF(K900=1,(Pu-E900)/(H900-E900),"")</f>
      </c>
      <c r="M900" s="12">
        <f>IF(K900=1,F900+L900*(I900-F900),"")</f>
      </c>
      <c r="N900" s="12">
        <f>IF(K900=1,G900+L900*(J900-G900),"")</f>
      </c>
    </row>
    <row r="901" spans="2:14" x14ac:dyDescent="0.25">
      <c r="B901">
        <v>25</v>
      </c>
      <c r="C901">
        <v>90.93750000000003</v>
      </c>
      <c r="D901">
        <v>30</v>
      </c>
      <c r="E901" s="18">
        <v>1020.073610920087</v>
      </c>
      <c r="F901" s="18">
        <v>3159.6692496484443</v>
      </c>
      <c r="G901" s="18">
        <v>-91.18358731516267</v>
      </c>
      <c r="H901" s="12">
        <f>E902</f>
      </c>
      <c r="I901" s="12">
        <f>F902</f>
      </c>
      <c r="J901" s="12">
        <f>G902</f>
      </c>
      <c r="K901">
        <f>IF(AND(Pu&gt;=MIN(E901,H901),Pu&lt;=MAX(E901,H901),E901&lt;&gt;H901),1,0)</f>
      </c>
      <c r="L901">
        <f>IF(K901=1,(Pu-E901)/(H901-E901),"")</f>
      </c>
      <c r="M901" s="12">
        <f>IF(K901=1,F901+L901*(I901-F901),"")</f>
      </c>
      <c r="N901" s="12">
        <f>IF(K901=1,G901+L901*(J901-G901),"")</f>
      </c>
    </row>
    <row r="902" spans="2:14" x14ac:dyDescent="0.25">
      <c r="B902">
        <v>25</v>
      </c>
      <c r="C902">
        <v>90.93750000000003</v>
      </c>
      <c r="D902">
        <v>31</v>
      </c>
      <c r="E902" s="18">
        <v>93.37715231093773</v>
      </c>
      <c r="F902" s="18">
        <v>2701.702122863676</v>
      </c>
      <c r="G902" s="18">
        <v>-87.16167517801921</v>
      </c>
      <c r="H902" s="12">
        <f>E903</f>
      </c>
      <c r="I902" s="12">
        <f>F903</f>
      </c>
      <c r="J902" s="12">
        <f>G903</f>
      </c>
      <c r="K902">
        <f>IF(AND(Pu&gt;=MIN(E902,H902),Pu&lt;=MAX(E902,H902),E902&lt;&gt;H902),1,0)</f>
      </c>
      <c r="L902">
        <f>IF(K902=1,(Pu-E902)/(H902-E902),"")</f>
      </c>
      <c r="M902" s="12">
        <f>IF(K902=1,F902+L902*(I902-F902),"")</f>
      </c>
      <c r="N902" s="12">
        <f>IF(K902=1,G902+L902*(J902-G902),"")</f>
      </c>
    </row>
    <row r="903" spans="2:14" x14ac:dyDescent="0.25">
      <c r="B903">
        <v>25</v>
      </c>
      <c r="C903">
        <v>90.93750000000003</v>
      </c>
      <c r="D903">
        <v>32</v>
      </c>
      <c r="E903" s="18">
        <v>-606.2785605789157</v>
      </c>
      <c r="F903" s="18">
        <v>2343.456285193855</v>
      </c>
      <c r="G903" s="18">
        <v>-85.78050027773308</v>
      </c>
      <c r="H903" s="12">
        <f>E904</f>
      </c>
      <c r="I903" s="12">
        <f>F904</f>
      </c>
      <c r="J903" s="12">
        <f>G904</f>
      </c>
      <c r="K903">
        <f>IF(AND(Pu&gt;=MIN(E903,H903),Pu&lt;=MAX(E903,H903),E903&lt;&gt;H903),1,0)</f>
      </c>
      <c r="L903">
        <f>IF(K903=1,(Pu-E903)/(H903-E903),"")</f>
      </c>
      <c r="M903" s="12">
        <f>IF(K903=1,F903+L903*(I903-F903),"")</f>
      </c>
      <c r="N903" s="12">
        <f>IF(K903=1,G903+L903*(J903-G903),"")</f>
      </c>
    </row>
    <row r="904" spans="2:14" x14ac:dyDescent="0.25">
      <c r="B904">
        <v>25</v>
      </c>
      <c r="C904">
        <v>90.93750000000003</v>
      </c>
      <c r="D904">
        <v>33</v>
      </c>
      <c r="E904" s="18">
        <v>-1585.6812557617595</v>
      </c>
      <c r="F904" s="18">
        <v>1828.3983602807489</v>
      </c>
      <c r="G904" s="18">
        <v>-79.94369595852856</v>
      </c>
      <c r="H904" s="12">
        <f>E905</f>
      </c>
      <c r="I904" s="12">
        <f>F905</f>
      </c>
      <c r="J904" s="12">
        <f>G905</f>
      </c>
      <c r="K904">
        <f>IF(AND(Pu&gt;=MIN(E904,H904),Pu&lt;=MAX(E904,H904),E904&lt;&gt;H904),1,0)</f>
      </c>
      <c r="L904">
        <f>IF(K904=1,(Pu-E904)/(H904-E904),"")</f>
      </c>
      <c r="M904" s="12">
        <f>IF(K904=1,F904+L904*(I904-F904),"")</f>
      </c>
      <c r="N904" s="12">
        <f>IF(K904=1,G904+L904*(J904-G904),"")</f>
      </c>
    </row>
    <row r="905" spans="2:14" x14ac:dyDescent="0.25">
      <c r="B905">
        <v>25</v>
      </c>
      <c r="C905">
        <v>90.93750000000003</v>
      </c>
      <c r="D905">
        <v>34</v>
      </c>
      <c r="E905" s="18">
        <v>-2379.1414018885057</v>
      </c>
      <c r="F905" s="18">
        <v>1403.6325370612183</v>
      </c>
      <c r="G905" s="18">
        <v>-90.6047540407264</v>
      </c>
      <c r="H905" s="12">
        <f>E906</f>
      </c>
      <c r="I905" s="12">
        <f>F906</f>
      </c>
      <c r="J905" s="12">
        <f>G906</f>
      </c>
      <c r="K905">
        <f>IF(AND(Pu&gt;=MIN(E905,H905),Pu&lt;=MAX(E905,H905),E905&lt;&gt;H905),1,0)</f>
      </c>
      <c r="L905">
        <f>IF(K905=1,(Pu-E905)/(H905-E905),"")</f>
      </c>
      <c r="M905" s="12">
        <f>IF(K905=1,F905+L905*(I905-F905),"")</f>
      </c>
      <c r="N905" s="12">
        <f>IF(K905=1,G905+L905*(J905-G905),"")</f>
      </c>
    </row>
    <row r="906" spans="2:14" x14ac:dyDescent="0.25">
      <c r="B906">
        <v>25</v>
      </c>
      <c r="C906">
        <v>90.93750000000003</v>
      </c>
      <c r="D906">
        <v>35</v>
      </c>
      <c r="E906" s="18">
        <v>-3954.5727719216584</v>
      </c>
      <c r="F906" s="18">
        <v>554.7708375865127</v>
      </c>
      <c r="G906" s="18">
        <v>-93.283489834703</v>
      </c>
      <c r="H906" s="12">
        <f>E907</f>
      </c>
      <c r="I906" s="12">
        <f>F907</f>
      </c>
      <c r="J906" s="12">
        <f>G907</f>
      </c>
      <c r="K906">
        <f>IF(AND(Pu&gt;=MIN(E906,H906),Pu&lt;=MAX(E906,H906),E906&lt;&gt;H906),1,0)</f>
      </c>
      <c r="L906">
        <f>IF(K906=1,(Pu-E906)/(H906-E906),"")</f>
      </c>
      <c r="M906" s="12">
        <f>IF(K906=1,F906+L906*(I906-F906),"")</f>
      </c>
      <c r="N906" s="12">
        <f>IF(K906=1,G906+L906*(J906-G906),"")</f>
      </c>
    </row>
    <row r="907" spans="2:7" x14ac:dyDescent="0.25">
      <c r="B907">
        <v>25</v>
      </c>
      <c r="C907">
        <v>90.93750000000003</v>
      </c>
      <c r="D907">
        <v>36</v>
      </c>
      <c r="E907" s="18">
        <v>-4381.899986550164</v>
      </c>
      <c r="F907" s="18">
        <v>317.65928061838116</v>
      </c>
      <c r="G907" s="18">
        <v>-44.30646356632977</v>
      </c>
    </row>
    <row r="909" spans="2:14" x14ac:dyDescent="0.25">
      <c r="B909">
        <v>26</v>
      </c>
      <c r="C909">
        <v>91.87500000000001</v>
      </c>
      <c r="D909">
        <v>1</v>
      </c>
      <c r="E909" s="18">
        <v>17120.654447430872</v>
      </c>
      <c r="F909" s="18">
        <v>2432.045367711989</v>
      </c>
      <c r="G909" s="18">
        <v>-166.32849443423746</v>
      </c>
      <c r="H909" s="12">
        <f>E910</f>
      </c>
      <c r="I909" s="12">
        <f>F910</f>
      </c>
      <c r="J909" s="12">
        <f>G910</f>
      </c>
      <c r="K909">
        <f>IF(AND(Pu&gt;=MIN(E909,H909),Pu&lt;=MAX(E909,H909),E909&lt;&gt;H909),1,0)</f>
      </c>
      <c r="L909">
        <f>IF(K909=1,(Pu-E909)/(H909-E909),"")</f>
      </c>
      <c r="M909" s="12">
        <f>IF(K909=1,F909+L909*(I909-F909),"")</f>
      </c>
      <c r="N909" s="12">
        <f>IF(K909=1,G909+L909*(J909-G909),"")</f>
      </c>
    </row>
    <row r="910" spans="2:14" x14ac:dyDescent="0.25">
      <c r="B910">
        <v>26</v>
      </c>
      <c r="C910">
        <v>91.87500000000001</v>
      </c>
      <c r="D910">
        <v>2</v>
      </c>
      <c r="E910" s="18">
        <v>16036.223369022333</v>
      </c>
      <c r="F910" s="18">
        <v>2860.383075928082</v>
      </c>
      <c r="G910" s="18">
        <v>-145.6290523371756</v>
      </c>
      <c r="H910" s="12">
        <f>E911</f>
      </c>
      <c r="I910" s="12">
        <f>F911</f>
      </c>
      <c r="J910" s="12">
        <f>G911</f>
      </c>
      <c r="K910">
        <f>IF(AND(Pu&gt;=MIN(E910,H910),Pu&lt;=MAX(E910,H910),E910&lt;&gt;H910),1,0)</f>
      </c>
      <c r="L910">
        <f>IF(K910=1,(Pu-E910)/(H910-E910),"")</f>
      </c>
      <c r="M910" s="12">
        <f>IF(K910=1,F910+L910*(I910-F910),"")</f>
      </c>
      <c r="N910" s="12">
        <f>IF(K910=1,G910+L910*(J910-G910),"")</f>
      </c>
    </row>
    <row r="911" spans="2:14" x14ac:dyDescent="0.25">
      <c r="B911">
        <v>26</v>
      </c>
      <c r="C911">
        <v>91.87500000000001</v>
      </c>
      <c r="D911">
        <v>3</v>
      </c>
      <c r="E911" s="18">
        <v>14896.330681049305</v>
      </c>
      <c r="F911" s="18">
        <v>3252.4987789692987</v>
      </c>
      <c r="G911" s="18">
        <v>-117.80795505058681</v>
      </c>
      <c r="H911" s="12">
        <f>E912</f>
      </c>
      <c r="I911" s="12">
        <f>F912</f>
      </c>
      <c r="J911" s="12">
        <f>G912</f>
      </c>
      <c r="K911">
        <f>IF(AND(Pu&gt;=MIN(E911,H911),Pu&lt;=MAX(E911,H911),E911&lt;&gt;H911),1,0)</f>
      </c>
      <c r="L911">
        <f>IF(K911=1,(Pu-E911)/(H911-E911),"")</f>
      </c>
      <c r="M911" s="12">
        <f>IF(K911=1,F911+L911*(I911-F911),"")</f>
      </c>
      <c r="N911" s="12">
        <f>IF(K911=1,G911+L911*(J911-G911),"")</f>
      </c>
    </row>
    <row r="912" spans="2:14" x14ac:dyDescent="0.25">
      <c r="B912">
        <v>26</v>
      </c>
      <c r="C912">
        <v>91.87500000000001</v>
      </c>
      <c r="D912">
        <v>4</v>
      </c>
      <c r="E912" s="18">
        <v>13957.216747632847</v>
      </c>
      <c r="F912" s="18">
        <v>3527.4982249963414</v>
      </c>
      <c r="G912" s="18">
        <v>-127.04867807523034</v>
      </c>
      <c r="H912" s="12">
        <f>E913</f>
      </c>
      <c r="I912" s="12">
        <f>F913</f>
      </c>
      <c r="J912" s="12">
        <f>G913</f>
      </c>
      <c r="K912">
        <f>IF(AND(Pu&gt;=MIN(E912,H912),Pu&lt;=MAX(E912,H912),E912&lt;&gt;H912),1,0)</f>
      </c>
      <c r="L912">
        <f>IF(K912=1,(Pu-E912)/(H912-E912),"")</f>
      </c>
      <c r="M912" s="12">
        <f>IF(K912=1,F912+L912*(I912-F912),"")</f>
      </c>
      <c r="N912" s="12">
        <f>IF(K912=1,G912+L912*(J912-G912),"")</f>
      </c>
    </row>
    <row r="913" spans="2:14" x14ac:dyDescent="0.25">
      <c r="B913">
        <v>26</v>
      </c>
      <c r="C913">
        <v>91.87500000000001</v>
      </c>
      <c r="D913">
        <v>5</v>
      </c>
      <c r="E913" s="18">
        <v>12373.743282600313</v>
      </c>
      <c r="F913" s="18">
        <v>3902.1632149778384</v>
      </c>
      <c r="G913" s="18">
        <v>-131.44385614719843</v>
      </c>
      <c r="H913" s="12">
        <f>E914</f>
      </c>
      <c r="I913" s="12">
        <f>F914</f>
      </c>
      <c r="J913" s="12">
        <f>G914</f>
      </c>
      <c r="K913">
        <f>IF(AND(Pu&gt;=MIN(E913,H913),Pu&lt;=MAX(E913,H913),E913&lt;&gt;H913),1,0)</f>
      </c>
      <c r="L913">
        <f>IF(K913=1,(Pu-E913)/(H913-E913),"")</f>
      </c>
      <c r="M913" s="12">
        <f>IF(K913=1,F913+L913*(I913-F913),"")</f>
      </c>
      <c r="N913" s="12">
        <f>IF(K913=1,G913+L913*(J913-G913),"")</f>
      </c>
    </row>
    <row r="914" spans="2:14" x14ac:dyDescent="0.25">
      <c r="B914">
        <v>26</v>
      </c>
      <c r="C914">
        <v>91.87500000000001</v>
      </c>
      <c r="D914">
        <v>6</v>
      </c>
      <c r="E914" s="18">
        <v>11056.046002334257</v>
      </c>
      <c r="F914" s="18">
        <v>4145.410086805897</v>
      </c>
      <c r="G914" s="18">
        <v>-137.36122421890255</v>
      </c>
      <c r="H914" s="12">
        <f>E915</f>
      </c>
      <c r="I914" s="12">
        <f>F915</f>
      </c>
      <c r="J914" s="12">
        <f>G915</f>
      </c>
      <c r="K914">
        <f>IF(AND(Pu&gt;=MIN(E914,H914),Pu&lt;=MAX(E914,H914),E914&lt;&gt;H914),1,0)</f>
      </c>
      <c r="L914">
        <f>IF(K914=1,(Pu-E914)/(H914-E914),"")</f>
      </c>
      <c r="M914" s="12">
        <f>IF(K914=1,F914+L914*(I914-F914),"")</f>
      </c>
      <c r="N914" s="12">
        <f>IF(K914=1,G914+L914*(J914-G914),"")</f>
      </c>
    </row>
    <row r="915" spans="2:14" x14ac:dyDescent="0.25">
      <c r="B915">
        <v>26</v>
      </c>
      <c r="C915">
        <v>91.87500000000001</v>
      </c>
      <c r="D915">
        <v>7</v>
      </c>
      <c r="E915" s="18">
        <v>9872.581318916385</v>
      </c>
      <c r="F915" s="18">
        <v>4316.87352393388</v>
      </c>
      <c r="G915" s="18">
        <v>-151.54247915585736</v>
      </c>
      <c r="H915" s="12">
        <f>E916</f>
      </c>
      <c r="I915" s="12">
        <f>F916</f>
      </c>
      <c r="J915" s="12">
        <f>G916</f>
      </c>
      <c r="K915">
        <f>IF(AND(Pu&gt;=MIN(E915,H915),Pu&lt;=MAX(E915,H915),E915&lt;&gt;H915),1,0)</f>
      </c>
      <c r="L915">
        <f>IF(K915=1,(Pu-E915)/(H915-E915),"")</f>
      </c>
      <c r="M915" s="12">
        <f>IF(K915=1,F915+L915*(I915-F915),"")</f>
      </c>
      <c r="N915" s="12">
        <f>IF(K915=1,G915+L915*(J915-G915),"")</f>
      </c>
    </row>
    <row r="916" spans="2:14" x14ac:dyDescent="0.25">
      <c r="B916">
        <v>26</v>
      </c>
      <c r="C916">
        <v>91.87500000000001</v>
      </c>
      <c r="D916">
        <v>8</v>
      </c>
      <c r="E916" s="18">
        <v>9133.949707035546</v>
      </c>
      <c r="F916" s="18">
        <v>4408.348668541598</v>
      </c>
      <c r="G916" s="18">
        <v>-157.68842318766005</v>
      </c>
      <c r="H916" s="12">
        <f>E917</f>
      </c>
      <c r="I916" s="12">
        <f>F917</f>
      </c>
      <c r="J916" s="12">
        <f>G917</f>
      </c>
      <c r="K916">
        <f>IF(AND(Pu&gt;=MIN(E916,H916),Pu&lt;=MAX(E916,H916),E916&lt;&gt;H916),1,0)</f>
      </c>
      <c r="L916">
        <f>IF(K916=1,(Pu-E916)/(H916-E916),"")</f>
      </c>
      <c r="M916" s="12">
        <f>IF(K916=1,F916+L916*(I916-F916),"")</f>
      </c>
      <c r="N916" s="12">
        <f>IF(K916=1,G916+L916*(J916-G916),"")</f>
      </c>
    </row>
    <row r="917" spans="2:14" x14ac:dyDescent="0.25">
      <c r="B917">
        <v>26</v>
      </c>
      <c r="C917">
        <v>91.87500000000001</v>
      </c>
      <c r="D917">
        <v>9</v>
      </c>
      <c r="E917" s="18">
        <v>8988.561575097625</v>
      </c>
      <c r="F917" s="18">
        <v>4488.901498375162</v>
      </c>
      <c r="G917" s="18">
        <v>-155.38910673148612</v>
      </c>
      <c r="H917" s="12">
        <f>E918</f>
      </c>
      <c r="I917" s="12">
        <f>F918</f>
      </c>
      <c r="J917" s="12">
        <f>G918</f>
      </c>
      <c r="K917">
        <f>IF(AND(Pu&gt;=MIN(E917,H917),Pu&lt;=MAX(E917,H917),E917&lt;&gt;H917),1,0)</f>
      </c>
      <c r="L917">
        <f>IF(K917=1,(Pu-E917)/(H917-E917),"")</f>
      </c>
      <c r="M917" s="12">
        <f>IF(K917=1,F917+L917*(I917-F917),"")</f>
      </c>
      <c r="N917" s="12">
        <f>IF(K917=1,G917+L917*(J917-G917),"")</f>
      </c>
    </row>
    <row r="918" spans="2:14" x14ac:dyDescent="0.25">
      <c r="B918">
        <v>26</v>
      </c>
      <c r="C918">
        <v>91.87500000000001</v>
      </c>
      <c r="D918">
        <v>10</v>
      </c>
      <c r="E918" s="18">
        <v>8832.808891314362</v>
      </c>
      <c r="F918" s="18">
        <v>4583.453846603848</v>
      </c>
      <c r="G918" s="18">
        <v>-152.09681805403284</v>
      </c>
      <c r="H918" s="12">
        <f>E919</f>
      </c>
      <c r="I918" s="12">
        <f>F919</f>
      </c>
      <c r="J918" s="12">
        <f>G919</f>
      </c>
      <c r="K918">
        <f>IF(AND(Pu&gt;=MIN(E918,H918),Pu&lt;=MAX(E918,H918),E918&lt;&gt;H918),1,0)</f>
      </c>
      <c r="L918">
        <f>IF(K918=1,(Pu-E918)/(H918-E918),"")</f>
      </c>
      <c r="M918" s="12">
        <f>IF(K918=1,F918+L918*(I918-F918),"")</f>
      </c>
      <c r="N918" s="12">
        <f>IF(K918=1,G918+L918*(J918-G918),"")</f>
      </c>
    </row>
    <row r="919" spans="2:14" x14ac:dyDescent="0.25">
      <c r="B919">
        <v>26</v>
      </c>
      <c r="C919">
        <v>91.87500000000001</v>
      </c>
      <c r="D919">
        <v>11</v>
      </c>
      <c r="E919" s="18">
        <v>8655.989455590816</v>
      </c>
      <c r="F919" s="18">
        <v>4678.49064888211</v>
      </c>
      <c r="G919" s="18">
        <v>-158.5696698798605</v>
      </c>
      <c r="H919" s="12">
        <f>E920</f>
      </c>
      <c r="I919" s="12">
        <f>F920</f>
      </c>
      <c r="J919" s="12">
        <f>G920</f>
      </c>
      <c r="K919">
        <f>IF(AND(Pu&gt;=MIN(E919,H919),Pu&lt;=MAX(E919,H919),E919&lt;&gt;H919),1,0)</f>
      </c>
      <c r="L919">
        <f>IF(K919=1,(Pu-E919)/(H919-E919),"")</f>
      </c>
      <c r="M919" s="12">
        <f>IF(K919=1,F919+L919*(I919-F919),"")</f>
      </c>
      <c r="N919" s="12">
        <f>IF(K919=1,G919+L919*(J919-G919),"")</f>
      </c>
    </row>
    <row r="920" spans="2:14" x14ac:dyDescent="0.25">
      <c r="B920">
        <v>26</v>
      </c>
      <c r="C920">
        <v>91.87500000000001</v>
      </c>
      <c r="D920">
        <v>12</v>
      </c>
      <c r="E920" s="18">
        <v>8561.830841137304</v>
      </c>
      <c r="F920" s="18">
        <v>4728.181717196267</v>
      </c>
      <c r="G920" s="18">
        <v>-162.1337679720166</v>
      </c>
      <c r="H920" s="12">
        <f>E921</f>
      </c>
      <c r="I920" s="12">
        <f>F921</f>
      </c>
      <c r="J920" s="12">
        <f>G921</f>
      </c>
      <c r="K920">
        <f>IF(AND(Pu&gt;=MIN(E920,H920),Pu&lt;=MAX(E920,H920),E920&lt;&gt;H920),1,0)</f>
      </c>
      <c r="L920">
        <f>IF(K920=1,(Pu-E920)/(H920-E920),"")</f>
      </c>
      <c r="M920" s="12">
        <f>IF(K920=1,F920+L920*(I920-F920),"")</f>
      </c>
      <c r="N920" s="12">
        <f>IF(K920=1,G920+L920*(J920-G920),"")</f>
      </c>
    </row>
    <row r="921" spans="2:14" x14ac:dyDescent="0.25">
      <c r="B921">
        <v>26</v>
      </c>
      <c r="C921">
        <v>91.87500000000001</v>
      </c>
      <c r="D921">
        <v>13</v>
      </c>
      <c r="E921" s="18">
        <v>8351.336168563927</v>
      </c>
      <c r="F921" s="18">
        <v>4846.095460636891</v>
      </c>
      <c r="G921" s="18">
        <v>-181.02363595867004</v>
      </c>
      <c r="H921" s="12">
        <f>E922</f>
      </c>
      <c r="I921" s="12">
        <f>F922</f>
      </c>
      <c r="J921" s="12">
        <f>G922</f>
      </c>
      <c r="K921">
        <f>IF(AND(Pu&gt;=MIN(E921,H921),Pu&lt;=MAX(E921,H921),E921&lt;&gt;H921),1,0)</f>
      </c>
      <c r="L921">
        <f>IF(K921=1,(Pu-E921)/(H921-E921),"")</f>
      </c>
      <c r="M921" s="12">
        <f>IF(K921=1,F921+L921*(I921-F921),"")</f>
      </c>
      <c r="N921" s="12">
        <f>IF(K921=1,G921+L921*(J921-G921),"")</f>
      </c>
    </row>
    <row r="922" spans="2:14" x14ac:dyDescent="0.25">
      <c r="B922">
        <v>26</v>
      </c>
      <c r="C922">
        <v>91.87500000000001</v>
      </c>
      <c r="D922">
        <v>14</v>
      </c>
      <c r="E922" s="18">
        <v>8313.574919609002</v>
      </c>
      <c r="F922" s="18">
        <v>4865.328563389199</v>
      </c>
      <c r="G922" s="18">
        <v>-182.59587055302524</v>
      </c>
      <c r="H922" s="12">
        <f>E923</f>
      </c>
      <c r="I922" s="12">
        <f>F923</f>
      </c>
      <c r="J922" s="12">
        <f>G923</f>
      </c>
      <c r="K922">
        <f>IF(AND(Pu&gt;=MIN(E922,H922),Pu&lt;=MAX(E922,H922),E922&lt;&gt;H922),1,0)</f>
      </c>
      <c r="L922">
        <f>IF(K922=1,(Pu-E922)/(H922-E922),"")</f>
      </c>
      <c r="M922" s="12">
        <f>IF(K922=1,F922+L922*(I922-F922),"")</f>
      </c>
      <c r="N922" s="12">
        <f>IF(K922=1,G922+L922*(J922-G922),"")</f>
      </c>
    </row>
    <row r="923" spans="2:14" x14ac:dyDescent="0.25">
      <c r="B923">
        <v>26</v>
      </c>
      <c r="C923">
        <v>91.87500000000001</v>
      </c>
      <c r="D923">
        <v>15</v>
      </c>
      <c r="E923" s="18">
        <v>8080.326577287284</v>
      </c>
      <c r="F923" s="18">
        <v>4986.935643522247</v>
      </c>
      <c r="G923" s="18">
        <v>-176.655643274128</v>
      </c>
      <c r="H923" s="12">
        <f>E924</f>
      </c>
      <c r="I923" s="12">
        <f>F924</f>
      </c>
      <c r="J923" s="12">
        <f>G924</f>
      </c>
      <c r="K923">
        <f>IF(AND(Pu&gt;=MIN(E923,H923),Pu&lt;=MAX(E923,H923),E923&lt;&gt;H923),1,0)</f>
      </c>
      <c r="L923">
        <f>IF(K923=1,(Pu-E923)/(H923-E923),"")</f>
      </c>
      <c r="M923" s="12">
        <f>IF(K923=1,F923+L923*(I923-F923),"")</f>
      </c>
      <c r="N923" s="12">
        <f>IF(K923=1,G923+L923*(J923-G923),"")</f>
      </c>
    </row>
    <row r="924" spans="2:14" x14ac:dyDescent="0.25">
      <c r="B924">
        <v>26</v>
      </c>
      <c r="C924">
        <v>91.87500000000001</v>
      </c>
      <c r="D924">
        <v>16</v>
      </c>
      <c r="E924" s="18">
        <v>8046.682463184074</v>
      </c>
      <c r="F924" s="18">
        <v>5004.552932782035</v>
      </c>
      <c r="G924" s="18">
        <v>-174.4436549631349</v>
      </c>
      <c r="H924" s="12">
        <f>E925</f>
      </c>
      <c r="I924" s="12">
        <f>F925</f>
      </c>
      <c r="J924" s="12">
        <f>G925</f>
      </c>
      <c r="K924">
        <f>IF(AND(Pu&gt;=MIN(E924,H924),Pu&lt;=MAX(E924,H924),E924&lt;&gt;H924),1,0)</f>
      </c>
      <c r="L924">
        <f>IF(K924=1,(Pu-E924)/(H924-E924),"")</f>
      </c>
      <c r="M924" s="12">
        <f>IF(K924=1,F924+L924*(I924-F924),"")</f>
      </c>
      <c r="N924" s="12">
        <f>IF(K924=1,G924+L924*(J924-G924),"")</f>
      </c>
    </row>
    <row r="925" spans="2:14" x14ac:dyDescent="0.25">
      <c r="B925">
        <v>26</v>
      </c>
      <c r="C925">
        <v>91.87500000000001</v>
      </c>
      <c r="D925">
        <v>17</v>
      </c>
      <c r="E925" s="18">
        <v>7891.877697851557</v>
      </c>
      <c r="F925" s="18">
        <v>5090.775292886081</v>
      </c>
      <c r="G925" s="18">
        <v>-181.61837185030123</v>
      </c>
      <c r="H925" s="12">
        <f>E926</f>
      </c>
      <c r="I925" s="12">
        <f>F926</f>
      </c>
      <c r="J925" s="12">
        <f>G926</f>
      </c>
      <c r="K925">
        <f>IF(AND(Pu&gt;=MIN(E925,H925),Pu&lt;=MAX(E925,H925),E925&lt;&gt;H925),1,0)</f>
      </c>
      <c r="L925">
        <f>IF(K925=1,(Pu-E925)/(H925-E925),"")</f>
      </c>
      <c r="M925" s="12">
        <f>IF(K925=1,F925+L925*(I925-F925),"")</f>
      </c>
      <c r="N925" s="12">
        <f>IF(K925=1,G925+L925*(J925-G925),"")</f>
      </c>
    </row>
    <row r="926" spans="2:14" x14ac:dyDescent="0.25">
      <c r="B926">
        <v>26</v>
      </c>
      <c r="C926">
        <v>91.87500000000001</v>
      </c>
      <c r="D926">
        <v>18</v>
      </c>
      <c r="E926" s="18">
        <v>7714.27085269783</v>
      </c>
      <c r="F926" s="18">
        <v>5187.700857742368</v>
      </c>
      <c r="G926" s="18">
        <v>-191.2516585220487</v>
      </c>
      <c r="H926" s="12">
        <f>E927</f>
      </c>
      <c r="I926" s="12">
        <f>F927</f>
      </c>
      <c r="J926" s="12">
        <f>G927</f>
      </c>
      <c r="K926">
        <f>IF(AND(Pu&gt;=MIN(E926,H926),Pu&lt;=MAX(E926,H926),E926&lt;&gt;H926),1,0)</f>
      </c>
      <c r="L926">
        <f>IF(K926=1,(Pu-E926)/(H926-E926),"")</f>
      </c>
      <c r="M926" s="12">
        <f>IF(K926=1,F926+L926*(I926-F926),"")</f>
      </c>
      <c r="N926" s="12">
        <f>IF(K926=1,G926+L926*(J926-G926),"")</f>
      </c>
    </row>
    <row r="927" spans="2:14" x14ac:dyDescent="0.25">
      <c r="B927">
        <v>26</v>
      </c>
      <c r="C927">
        <v>91.87500000000001</v>
      </c>
      <c r="D927">
        <v>19</v>
      </c>
      <c r="E927" s="18">
        <v>7598.7981080162035</v>
      </c>
      <c r="F927" s="18">
        <v>5249.314714606642</v>
      </c>
      <c r="G927" s="18">
        <v>-197.72471397390126</v>
      </c>
      <c r="H927" s="12">
        <f>E928</f>
      </c>
      <c r="I927" s="12">
        <f>F928</f>
      </c>
      <c r="J927" s="12">
        <f>G928</f>
      </c>
      <c r="K927">
        <f>IF(AND(Pu&gt;=MIN(E927,H927),Pu&lt;=MAX(E927,H927),E927&lt;&gt;H927),1,0)</f>
      </c>
      <c r="L927">
        <f>IF(K927=1,(Pu-E927)/(H927-E927),"")</f>
      </c>
      <c r="M927" s="12">
        <f>IF(K927=1,F927+L927*(I927-F927),"")</f>
      </c>
      <c r="N927" s="12">
        <f>IF(K927=1,G927+L927*(J927-G927),"")</f>
      </c>
    </row>
    <row r="928" spans="2:14" x14ac:dyDescent="0.25">
      <c r="B928">
        <v>26</v>
      </c>
      <c r="C928">
        <v>91.87500000000001</v>
      </c>
      <c r="D928">
        <v>20</v>
      </c>
      <c r="E928" s="18">
        <v>7539.2251722535175</v>
      </c>
      <c r="F928" s="18">
        <v>5280.657202791024</v>
      </c>
      <c r="G928" s="18">
        <v>-201.12085953850175</v>
      </c>
      <c r="H928" s="12">
        <f>E929</f>
      </c>
      <c r="I928" s="12">
        <f>F929</f>
      </c>
      <c r="J928" s="12">
        <f>G929</f>
      </c>
      <c r="K928">
        <f>IF(AND(Pu&gt;=MIN(E928,H928),Pu&lt;=MAX(E928,H928),E928&lt;&gt;H928),1,0)</f>
      </c>
      <c r="L928">
        <f>IF(K928=1,(Pu-E928)/(H928-E928),"")</f>
      </c>
      <c r="M928" s="12">
        <f>IF(K928=1,F928+L928*(I928-F928),"")</f>
      </c>
      <c r="N928" s="12">
        <f>IF(K928=1,G928+L928*(J928-G928),"")</f>
      </c>
    </row>
    <row r="929" spans="2:14" x14ac:dyDescent="0.25">
      <c r="B929">
        <v>26</v>
      </c>
      <c r="C929">
        <v>91.87500000000001</v>
      </c>
      <c r="D929">
        <v>21</v>
      </c>
      <c r="E929" s="18">
        <v>7365.299273918038</v>
      </c>
      <c r="F929" s="18">
        <v>5370.395392967315</v>
      </c>
      <c r="G929" s="18">
        <v>-211.2259748996602</v>
      </c>
      <c r="H929" s="12">
        <f>E930</f>
      </c>
      <c r="I929" s="12">
        <f>F930</f>
      </c>
      <c r="J929" s="12">
        <f>G930</f>
      </c>
      <c r="K929">
        <f>IF(AND(Pu&gt;=MIN(E929,H929),Pu&lt;=MAX(E929,H929),E929&lt;&gt;H929),1,0)</f>
      </c>
      <c r="L929">
        <f>IF(K929=1,(Pu-E929)/(H929-E929),"")</f>
      </c>
      <c r="M929" s="12">
        <f>IF(K929=1,F929+L929*(I929-F929),"")</f>
      </c>
      <c r="N929" s="12">
        <f>IF(K929=1,G929+L929*(J929-G929),"")</f>
      </c>
    </row>
    <row r="930" spans="2:14" x14ac:dyDescent="0.25">
      <c r="B930">
        <v>26</v>
      </c>
      <c r="C930">
        <v>91.87500000000001</v>
      </c>
      <c r="D930">
        <v>22</v>
      </c>
      <c r="E930" s="18">
        <v>7303.915578278788</v>
      </c>
      <c r="F930" s="18">
        <v>5358.187095720294</v>
      </c>
      <c r="G930" s="18">
        <v>-208.91140517119692</v>
      </c>
      <c r="H930" s="12">
        <f>E931</f>
      </c>
      <c r="I930" s="12">
        <f>F931</f>
      </c>
      <c r="J930" s="12">
        <f>G931</f>
      </c>
      <c r="K930">
        <f>IF(AND(Pu&gt;=MIN(E930,H930),Pu&lt;=MAX(E930,H930),E930&lt;&gt;H930),1,0)</f>
      </c>
      <c r="L930">
        <f>IF(K930=1,(Pu-E930)/(H930-E930),"")</f>
      </c>
      <c r="M930" s="12">
        <f>IF(K930=1,F930+L930*(I930-F930),"")</f>
      </c>
      <c r="N930" s="12">
        <f>IF(K930=1,G930+L930*(J930-G930),"")</f>
      </c>
    </row>
    <row r="931" spans="2:14" x14ac:dyDescent="0.25">
      <c r="B931">
        <v>26</v>
      </c>
      <c r="C931">
        <v>91.87500000000001</v>
      </c>
      <c r="D931">
        <v>23</v>
      </c>
      <c r="E931" s="18">
        <v>6768.135526753437</v>
      </c>
      <c r="F931" s="18">
        <v>5241.652568202956</v>
      </c>
      <c r="G931" s="18">
        <v>-186.42267626854132</v>
      </c>
      <c r="H931" s="12">
        <f>E932</f>
      </c>
      <c r="I931" s="12">
        <f>F932</f>
      </c>
      <c r="J931" s="12">
        <f>G932</f>
      </c>
      <c r="K931">
        <f>IF(AND(Pu&gt;=MIN(E931,H931),Pu&lt;=MAX(E931,H931),E931&lt;&gt;H931),1,0)</f>
      </c>
      <c r="L931">
        <f>IF(K931=1,(Pu-E931)/(H931-E931),"")</f>
      </c>
      <c r="M931" s="12">
        <f>IF(K931=1,F931+L931*(I931-F931),"")</f>
      </c>
      <c r="N931" s="12">
        <f>IF(K931=1,G931+L931*(J931-G931),"")</f>
      </c>
    </row>
    <row r="932" spans="2:14" x14ac:dyDescent="0.25">
      <c r="B932">
        <v>26</v>
      </c>
      <c r="C932">
        <v>91.87500000000001</v>
      </c>
      <c r="D932">
        <v>24</v>
      </c>
      <c r="E932" s="18">
        <v>5936.217699494591</v>
      </c>
      <c r="F932" s="18">
        <v>5022.724600176739</v>
      </c>
      <c r="G932" s="18">
        <v>-189.99910102858271</v>
      </c>
      <c r="H932" s="12">
        <f>E933</f>
      </c>
      <c r="I932" s="12">
        <f>F933</f>
      </c>
      <c r="J932" s="12">
        <f>G933</f>
      </c>
      <c r="K932">
        <f>IF(AND(Pu&gt;=MIN(E932,H932),Pu&lt;=MAX(E932,H932),E932&lt;&gt;H932),1,0)</f>
      </c>
      <c r="L932">
        <f>IF(K932=1,(Pu-E932)/(H932-E932),"")</f>
      </c>
      <c r="M932" s="12">
        <f>IF(K932=1,F932+L932*(I932-F932),"")</f>
      </c>
      <c r="N932" s="12">
        <f>IF(K932=1,G932+L932*(J932-G932),"")</f>
      </c>
    </row>
    <row r="933" spans="2:14" x14ac:dyDescent="0.25">
      <c r="B933">
        <v>26</v>
      </c>
      <c r="C933">
        <v>91.87500000000001</v>
      </c>
      <c r="D933">
        <v>25</v>
      </c>
      <c r="E933" s="18">
        <v>5161.659676305384</v>
      </c>
      <c r="F933" s="18">
        <v>4800.65760229332</v>
      </c>
      <c r="G933" s="18">
        <v>-223.65469461240022</v>
      </c>
      <c r="H933" s="12">
        <f>E934</f>
      </c>
      <c r="I933" s="12">
        <f>F934</f>
      </c>
      <c r="J933" s="12">
        <f>G934</f>
      </c>
      <c r="K933">
        <f>IF(AND(Pu&gt;=MIN(E933,H933),Pu&lt;=MAX(E933,H933),E933&lt;&gt;H933),1,0)</f>
      </c>
      <c r="L933">
        <f>IF(K933=1,(Pu-E933)/(H933-E933),"")</f>
      </c>
      <c r="M933" s="12">
        <f>IF(K933=1,F933+L933*(I933-F933),"")</f>
      </c>
      <c r="N933" s="12">
        <f>IF(K933=1,G933+L933*(J933-G933),"")</f>
      </c>
    </row>
    <row r="934" spans="2:14" x14ac:dyDescent="0.25">
      <c r="B934">
        <v>26</v>
      </c>
      <c r="C934">
        <v>91.87500000000001</v>
      </c>
      <c r="D934">
        <v>26</v>
      </c>
      <c r="E934" s="18">
        <v>4487.31142031567</v>
      </c>
      <c r="F934" s="18">
        <v>4580.512991759658</v>
      </c>
      <c r="G934" s="18">
        <v>-197.77878879668796</v>
      </c>
      <c r="H934" s="12">
        <f>E935</f>
      </c>
      <c r="I934" s="12">
        <f>F935</f>
      </c>
      <c r="J934" s="12">
        <f>G935</f>
      </c>
      <c r="K934">
        <f>IF(AND(Pu&gt;=MIN(E934,H934),Pu&lt;=MAX(E934,H934),E934&lt;&gt;H934),1,0)</f>
      </c>
      <c r="L934">
        <f>IF(K934=1,(Pu-E934)/(H934-E934),"")</f>
      </c>
      <c r="M934" s="12">
        <f>IF(K934=1,F934+L934*(I934-F934),"")</f>
      </c>
      <c r="N934" s="12">
        <f>IF(K934=1,G934+L934*(J934-G934),"")</f>
      </c>
    </row>
    <row r="935" spans="2:14" x14ac:dyDescent="0.25">
      <c r="B935">
        <v>26</v>
      </c>
      <c r="C935">
        <v>91.87500000000001</v>
      </c>
      <c r="D935">
        <v>27</v>
      </c>
      <c r="E935" s="18">
        <v>3335.1742162807323</v>
      </c>
      <c r="F935" s="18">
        <v>4142.813110983702</v>
      </c>
      <c r="G935" s="18">
        <v>-240.90563232181077</v>
      </c>
      <c r="H935" s="12">
        <f>E936</f>
      </c>
      <c r="I935" s="12">
        <f>F936</f>
      </c>
      <c r="J935" s="12">
        <f>G936</f>
      </c>
      <c r="K935">
        <f>IF(AND(Pu&gt;=MIN(E935,H935),Pu&lt;=MAX(E935,H935),E935&lt;&gt;H935),1,0)</f>
      </c>
      <c r="L935">
        <f>IF(K935=1,(Pu-E935)/(H935-E935),"")</f>
      </c>
      <c r="M935" s="12">
        <f>IF(K935=1,F935+L935*(I935-F935),"")</f>
      </c>
      <c r="N935" s="12">
        <f>IF(K935=1,G935+L935*(J935-G935),"")</f>
      </c>
    </row>
    <row r="936" spans="2:14" x14ac:dyDescent="0.25">
      <c r="B936">
        <v>26</v>
      </c>
      <c r="C936">
        <v>91.87500000000001</v>
      </c>
      <c r="D936">
        <v>28</v>
      </c>
      <c r="E936" s="18">
        <v>2236.8913639115262</v>
      </c>
      <c r="F936" s="18">
        <v>3693.814284915129</v>
      </c>
      <c r="G936" s="18">
        <v>-244.67167681339143</v>
      </c>
      <c r="H936" s="12">
        <f>E937</f>
      </c>
      <c r="I936" s="12">
        <f>F937</f>
      </c>
      <c r="J936" s="12">
        <f>G937</f>
      </c>
      <c r="K936">
        <f>IF(AND(Pu&gt;=MIN(E936,H936),Pu&lt;=MAX(E936,H936),E936&lt;&gt;H936),1,0)</f>
      </c>
      <c r="L936">
        <f>IF(K936=1,(Pu-E936)/(H936-E936),"")</f>
      </c>
      <c r="M936" s="12">
        <f>IF(K936=1,F936+L936*(I936-F936),"")</f>
      </c>
      <c r="N936" s="12">
        <f>IF(K936=1,G936+L936*(J936-G936),"")</f>
      </c>
    </row>
    <row r="937" spans="2:14" x14ac:dyDescent="0.25">
      <c r="B937">
        <v>26</v>
      </c>
      <c r="C937">
        <v>91.87500000000001</v>
      </c>
      <c r="D937">
        <v>29</v>
      </c>
      <c r="E937" s="18">
        <v>1380.4935979888755</v>
      </c>
      <c r="F937" s="18">
        <v>3319.285372971256</v>
      </c>
      <c r="G937" s="18">
        <v>-212.98598735070834</v>
      </c>
      <c r="H937" s="12">
        <f>E938</f>
      </c>
      <c r="I937" s="12">
        <f>F938</f>
      </c>
      <c r="J937" s="12">
        <f>G938</f>
      </c>
      <c r="K937">
        <f>IF(AND(Pu&gt;=MIN(E937,H937),Pu&lt;=MAX(E937,H937),E937&lt;&gt;H937),1,0)</f>
      </c>
      <c r="L937">
        <f>IF(K937=1,(Pu-E937)/(H937-E937),"")</f>
      </c>
      <c r="M937" s="12">
        <f>IF(K937=1,F937+L937*(I937-F937),"")</f>
      </c>
      <c r="N937" s="12">
        <f>IF(K937=1,G937+L937*(J937-G937),"")</f>
      </c>
    </row>
    <row r="938" spans="2:14" x14ac:dyDescent="0.25">
      <c r="B938">
        <v>26</v>
      </c>
      <c r="C938">
        <v>91.87500000000001</v>
      </c>
      <c r="D938">
        <v>30</v>
      </c>
      <c r="E938" s="18">
        <v>722.96406775151</v>
      </c>
      <c r="F938" s="18">
        <v>3011.38580031567</v>
      </c>
      <c r="G938" s="18">
        <v>-177.63575917219447</v>
      </c>
      <c r="H938" s="12">
        <f>E939</f>
      </c>
      <c r="I938" s="12">
        <f>F939</f>
      </c>
      <c r="J938" s="12">
        <f>G939</f>
      </c>
      <c r="K938">
        <f>IF(AND(Pu&gt;=MIN(E938,H938),Pu&lt;=MAX(E938,H938),E938&lt;&gt;H938),1,0)</f>
      </c>
      <c r="L938">
        <f>IF(K938=1,(Pu-E938)/(H938-E938),"")</f>
      </c>
      <c r="M938" s="12">
        <f>IF(K938=1,F938+L938*(I938-F938),"")</f>
      </c>
      <c r="N938" s="12">
        <f>IF(K938=1,G938+L938*(J938-G938),"")</f>
      </c>
    </row>
    <row r="939" spans="2:14" x14ac:dyDescent="0.25">
      <c r="B939">
        <v>26</v>
      </c>
      <c r="C939">
        <v>91.87500000000001</v>
      </c>
      <c r="D939">
        <v>31</v>
      </c>
      <c r="E939" s="18">
        <v>-228.7329198067393</v>
      </c>
      <c r="F939" s="18">
        <v>2535.6412974486298</v>
      </c>
      <c r="G939" s="18">
        <v>-169.5633336150705</v>
      </c>
      <c r="H939" s="12">
        <f>E940</f>
      </c>
      <c r="I939" s="12">
        <f>F940</f>
      </c>
      <c r="J939" s="12">
        <f>G940</f>
      </c>
      <c r="K939">
        <f>IF(AND(Pu&gt;=MIN(E939,H939),Pu&lt;=MAX(E939,H939),E939&lt;&gt;H939),1,0)</f>
      </c>
      <c r="L939">
        <f>IF(K939=1,(Pu-E939)/(H939-E939),"")</f>
      </c>
      <c r="M939" s="12">
        <f>IF(K939=1,F939+L939*(I939-F939),"")</f>
      </c>
      <c r="N939" s="12">
        <f>IF(K939=1,G939+L939*(J939-G939),"")</f>
      </c>
    </row>
    <row r="940" spans="2:14" x14ac:dyDescent="0.25">
      <c r="B940">
        <v>26</v>
      </c>
      <c r="C940">
        <v>91.87500000000001</v>
      </c>
      <c r="D940">
        <v>32</v>
      </c>
      <c r="E940" s="18">
        <v>-934.4881332736592</v>
      </c>
      <c r="F940" s="18">
        <v>2170.8829794013327</v>
      </c>
      <c r="G940" s="18">
        <v>-159.78995043251615</v>
      </c>
      <c r="H940" s="12">
        <f>E941</f>
      </c>
      <c r="I940" s="12">
        <f>F941</f>
      </c>
      <c r="J940" s="12">
        <f>G941</f>
      </c>
      <c r="K940">
        <f>IF(AND(Pu&gt;=MIN(E940,H940),Pu&lt;=MAX(E940,H940),E940&lt;&gt;H940),1,0)</f>
      </c>
      <c r="L940">
        <f>IF(K940=1,(Pu-E940)/(H940-E940),"")</f>
      </c>
      <c r="M940" s="12">
        <f>IF(K940=1,F940+L940*(I940-F940),"")</f>
      </c>
      <c r="N940" s="12">
        <f>IF(K940=1,G940+L940*(J940-G940),"")</f>
      </c>
    </row>
    <row r="941" spans="2:14" x14ac:dyDescent="0.25">
      <c r="B941">
        <v>26</v>
      </c>
      <c r="C941">
        <v>91.87500000000001</v>
      </c>
      <c r="D941">
        <v>33</v>
      </c>
      <c r="E941" s="18">
        <v>-1976.514873866127</v>
      </c>
      <c r="F941" s="18">
        <v>1618.2457219285861</v>
      </c>
      <c r="G941" s="18">
        <v>-161.95458477575352</v>
      </c>
      <c r="H941" s="12">
        <f>E942</f>
      </c>
      <c r="I941" s="12">
        <f>F942</f>
      </c>
      <c r="J941" s="12">
        <f>G942</f>
      </c>
      <c r="K941">
        <f>IF(AND(Pu&gt;=MIN(E941,H941),Pu&lt;=MAX(E941,H941),E941&lt;&gt;H941),1,0)</f>
      </c>
      <c r="L941">
        <f>IF(K941=1,(Pu-E941)/(H941-E941),"")</f>
      </c>
      <c r="M941" s="12">
        <f>IF(K941=1,F941+L941*(I941-F941),"")</f>
      </c>
      <c r="N941" s="12">
        <f>IF(K941=1,G941+L941*(J941-G941),"")</f>
      </c>
    </row>
    <row r="942" spans="2:14" x14ac:dyDescent="0.25">
      <c r="B942">
        <v>26</v>
      </c>
      <c r="C942">
        <v>91.87500000000001</v>
      </c>
      <c r="D942">
        <v>34</v>
      </c>
      <c r="E942" s="18">
        <v>-2814.1383838816164</v>
      </c>
      <c r="F942" s="18">
        <v>1167.291303364198</v>
      </c>
      <c r="G942" s="18">
        <v>-176.1661115367463</v>
      </c>
      <c r="H942" s="12">
        <f>E943</f>
      </c>
      <c r="I942" s="12">
        <f>F943</f>
      </c>
      <c r="J942" s="12">
        <f>G943</f>
      </c>
      <c r="K942">
        <f>IF(AND(Pu&gt;=MIN(E942,H942),Pu&lt;=MAX(E942,H942),E942&lt;&gt;H942),1,0)</f>
      </c>
      <c r="L942">
        <f>IF(K942=1,(Pu-E942)/(H942-E942),"")</f>
      </c>
      <c r="M942" s="12">
        <f>IF(K942=1,F942+L942*(I942-F942),"")</f>
      </c>
      <c r="N942" s="12">
        <f>IF(K942=1,G942+L942*(J942-G942),"")</f>
      </c>
    </row>
    <row r="943" spans="2:14" x14ac:dyDescent="0.25">
      <c r="B943">
        <v>26</v>
      </c>
      <c r="C943">
        <v>91.87500000000001</v>
      </c>
      <c r="D943">
        <v>35</v>
      </c>
      <c r="E943" s="18">
        <v>-4242.961975951355</v>
      </c>
      <c r="F943" s="18">
        <v>392.258660891846</v>
      </c>
      <c r="G943" s="18">
        <v>-123.64425085863327</v>
      </c>
      <c r="H943" s="12">
        <f>E944</f>
      </c>
      <c r="I943" s="12">
        <f>F944</f>
      </c>
      <c r="J943" s="12">
        <f>G944</f>
      </c>
      <c r="K943">
        <f>IF(AND(Pu&gt;=MIN(E943,H943),Pu&lt;=MAX(E943,H943),E943&lt;&gt;H943),1,0)</f>
      </c>
      <c r="L943">
        <f>IF(K943=1,(Pu-E943)/(H943-E943),"")</f>
      </c>
      <c r="M943" s="12">
        <f>IF(K943=1,F943+L943*(I943-F943),"")</f>
      </c>
      <c r="N943" s="12">
        <f>IF(K943=1,G943+L943*(J943-G943),"")</f>
      </c>
    </row>
    <row r="944" spans="2:7" x14ac:dyDescent="0.25">
      <c r="B944">
        <v>26</v>
      </c>
      <c r="C944">
        <v>91.87500000000001</v>
      </c>
      <c r="D944">
        <v>36</v>
      </c>
      <c r="E944" s="18">
        <v>-4580.487146715157</v>
      </c>
      <c r="F944" s="18">
        <v>201.1877455171666</v>
      </c>
      <c r="G944" s="18">
        <v>-81.70439448111838</v>
      </c>
    </row>
    <row r="946" spans="2:14" x14ac:dyDescent="0.25">
      <c r="B946">
        <v>27</v>
      </c>
      <c r="C946">
        <v>93.75000000000001</v>
      </c>
      <c r="D946">
        <v>1</v>
      </c>
      <c r="E946" s="18">
        <v>17409.466750979067</v>
      </c>
      <c r="F946" s="18">
        <v>2298.652007367016</v>
      </c>
      <c r="G946" s="18">
        <v>-316.8568330517107</v>
      </c>
      <c r="H946" s="12">
        <f>E947</f>
      </c>
      <c r="I946" s="12">
        <f>F947</f>
      </c>
      <c r="J946" s="12">
        <f>G947</f>
      </c>
      <c r="K946">
        <f>IF(AND(Pu&gt;=MIN(E946,H946),Pu&lt;=MAX(E946,H946),E946&lt;&gt;H946),1,0)</f>
      </c>
      <c r="L946">
        <f>IF(K946=1,(Pu-E946)/(H946-E946),"")</f>
      </c>
      <c r="M946" s="12">
        <f>IF(K946=1,F946+L946*(I946-F946),"")</f>
      </c>
      <c r="N946" s="12">
        <f>IF(K946=1,G946+L946*(J946-G946),"")</f>
      </c>
    </row>
    <row r="947" spans="2:14" x14ac:dyDescent="0.25">
      <c r="B947">
        <v>27</v>
      </c>
      <c r="C947">
        <v>93.75000000000001</v>
      </c>
      <c r="D947">
        <v>2</v>
      </c>
      <c r="E947" s="18">
        <v>16261.546585826272</v>
      </c>
      <c r="F947" s="18">
        <v>2765.033384337812</v>
      </c>
      <c r="G947" s="18">
        <v>-294.48419572757774</v>
      </c>
      <c r="H947" s="12">
        <f>E948</f>
      </c>
      <c r="I947" s="12">
        <f>F948</f>
      </c>
      <c r="J947" s="12">
        <f>G948</f>
      </c>
      <c r="K947">
        <f>IF(AND(Pu&gt;=MIN(E947,H947),Pu&lt;=MAX(E947,H947),E947&lt;&gt;H947),1,0)</f>
      </c>
      <c r="L947">
        <f>IF(K947=1,(Pu-E947)/(H947-E947),"")</f>
      </c>
      <c r="M947" s="12">
        <f>IF(K947=1,F947+L947*(I947-F947),"")</f>
      </c>
      <c r="N947" s="12">
        <f>IF(K947=1,G947+L947*(J947-G947),"")</f>
      </c>
    </row>
    <row r="948" spans="2:14" x14ac:dyDescent="0.25">
      <c r="B948">
        <v>27</v>
      </c>
      <c r="C948">
        <v>93.75000000000001</v>
      </c>
      <c r="D948">
        <v>3</v>
      </c>
      <c r="E948" s="18">
        <v>15045.041627587738</v>
      </c>
      <c r="F948" s="18">
        <v>3196.3642813708766</v>
      </c>
      <c r="G948" s="18">
        <v>-249.39319269277416</v>
      </c>
      <c r="H948" s="12">
        <f>E949</f>
      </c>
      <c r="I948" s="12">
        <f>F949</f>
      </c>
      <c r="J948" s="12">
        <f>G949</f>
      </c>
      <c r="K948">
        <f>IF(AND(Pu&gt;=MIN(E948,H948),Pu&lt;=MAX(E948,H948),E948&lt;&gt;H948),1,0)</f>
      </c>
      <c r="L948">
        <f>IF(K948=1,(Pu-E948)/(H948-E948),"")</f>
      </c>
      <c r="M948" s="12">
        <f>IF(K948=1,F948+L948*(I948-F948),"")</f>
      </c>
      <c r="N948" s="12">
        <f>IF(K948=1,G948+L948*(J948-G948),"")</f>
      </c>
    </row>
    <row r="949" spans="2:14" x14ac:dyDescent="0.25">
      <c r="B949">
        <v>27</v>
      </c>
      <c r="C949">
        <v>93.75000000000001</v>
      </c>
      <c r="D949">
        <v>4</v>
      </c>
      <c r="E949" s="18">
        <v>14068.38983906619</v>
      </c>
      <c r="F949" s="18">
        <v>3488.161043350781</v>
      </c>
      <c r="G949" s="18">
        <v>-252.47271986022142</v>
      </c>
      <c r="H949" s="12">
        <f>E950</f>
      </c>
      <c r="I949" s="12">
        <f>F950</f>
      </c>
      <c r="J949" s="12">
        <f>G950</f>
      </c>
      <c r="K949">
        <f>IF(AND(Pu&gt;=MIN(E949,H949),Pu&lt;=MAX(E949,H949),E949&lt;&gt;H949),1,0)</f>
      </c>
      <c r="L949">
        <f>IF(K949=1,(Pu-E949)/(H949-E949),"")</f>
      </c>
      <c r="M949" s="12">
        <f>IF(K949=1,F949+L949*(I949-F949),"")</f>
      </c>
      <c r="N949" s="12">
        <f>IF(K949=1,G949+L949*(J949-G949),"")</f>
      </c>
    </row>
    <row r="950" spans="2:14" x14ac:dyDescent="0.25">
      <c r="B950">
        <v>27</v>
      </c>
      <c r="C950">
        <v>93.75000000000001</v>
      </c>
      <c r="D950">
        <v>5</v>
      </c>
      <c r="E950" s="18">
        <v>12454.99135778586</v>
      </c>
      <c r="F950" s="18">
        <v>3873.9708468816257</v>
      </c>
      <c r="G950" s="18">
        <v>-261.02286964498006</v>
      </c>
      <c r="H950" s="12">
        <f>E951</f>
      </c>
      <c r="I950" s="12">
        <f>F951</f>
      </c>
      <c r="J950" s="12">
        <f>G951</f>
      </c>
      <c r="K950">
        <f>IF(AND(Pu&gt;=MIN(E950,H950),Pu&lt;=MAX(E950,H950),E950&lt;&gt;H950),1,0)</f>
      </c>
      <c r="L950">
        <f>IF(K950=1,(Pu-E950)/(H950-E950),"")</f>
      </c>
      <c r="M950" s="12">
        <f>IF(K950=1,F950+L950*(I950-F950),"")</f>
      </c>
      <c r="N950" s="12">
        <f>IF(K950=1,G950+L950*(J950-G950),"")</f>
      </c>
    </row>
    <row r="951" spans="2:14" x14ac:dyDescent="0.25">
      <c r="B951">
        <v>27</v>
      </c>
      <c r="C951">
        <v>93.75000000000001</v>
      </c>
      <c r="D951">
        <v>6</v>
      </c>
      <c r="E951" s="18">
        <v>11089.085421223816</v>
      </c>
      <c r="F951" s="18">
        <v>4118.5073131110385</v>
      </c>
      <c r="G951" s="18">
        <v>-270.190529242751</v>
      </c>
      <c r="H951" s="12">
        <f>E952</f>
      </c>
      <c r="I951" s="12">
        <f>F952</f>
      </c>
      <c r="J951" s="12">
        <f>G952</f>
      </c>
      <c r="K951">
        <f>IF(AND(Pu&gt;=MIN(E951,H951),Pu&lt;=MAX(E951,H951),E951&lt;&gt;H951),1,0)</f>
      </c>
      <c r="L951">
        <f>IF(K951=1,(Pu-E951)/(H951-E951),"")</f>
      </c>
      <c r="M951" s="12">
        <f>IF(K951=1,F951+L951*(I951-F951),"")</f>
      </c>
      <c r="N951" s="12">
        <f>IF(K951=1,G951+L951*(J951-G951),"")</f>
      </c>
    </row>
    <row r="952" spans="2:14" x14ac:dyDescent="0.25">
      <c r="B952">
        <v>27</v>
      </c>
      <c r="C952">
        <v>93.75000000000001</v>
      </c>
      <c r="D952">
        <v>7</v>
      </c>
      <c r="E952" s="18">
        <v>9899.875281772893</v>
      </c>
      <c r="F952" s="18">
        <v>4287.624423853694</v>
      </c>
      <c r="G952" s="18">
        <v>-298.4414315054537</v>
      </c>
      <c r="H952" s="12">
        <f>E953</f>
      </c>
      <c r="I952" s="12">
        <f>F953</f>
      </c>
      <c r="J952" s="12">
        <f>G953</f>
      </c>
      <c r="K952">
        <f>IF(AND(Pu&gt;=MIN(E952,H952),Pu&lt;=MAX(E952,H952),E952&lt;&gt;H952),1,0)</f>
      </c>
      <c r="L952">
        <f>IF(K952=1,(Pu-E952)/(H952-E952),"")</f>
      </c>
      <c r="M952" s="12">
        <f>IF(K952=1,F952+L952*(I952-F952),"")</f>
      </c>
      <c r="N952" s="12">
        <f>IF(K952=1,G952+L952*(J952-G952),"")</f>
      </c>
    </row>
    <row r="953" spans="2:14" x14ac:dyDescent="0.25">
      <c r="B953">
        <v>27</v>
      </c>
      <c r="C953">
        <v>93.75000000000001</v>
      </c>
      <c r="D953">
        <v>8</v>
      </c>
      <c r="E953" s="18">
        <v>9128.539522842062</v>
      </c>
      <c r="F953" s="18">
        <v>4381.68738793218</v>
      </c>
      <c r="G953" s="18">
        <v>-312.05890555888374</v>
      </c>
      <c r="H953" s="12">
        <f>E954</f>
      </c>
      <c r="I953" s="12">
        <f>F954</f>
      </c>
      <c r="J953" s="12">
        <f>G954</f>
      </c>
      <c r="K953">
        <f>IF(AND(Pu&gt;=MIN(E953,H953),Pu&lt;=MAX(E953,H953),E953&lt;&gt;H953),1,0)</f>
      </c>
      <c r="L953">
        <f>IF(K953=1,(Pu-E953)/(H953-E953),"")</f>
      </c>
      <c r="M953" s="12">
        <f>IF(K953=1,F953+L953*(I953-F953),"")</f>
      </c>
      <c r="N953" s="12">
        <f>IF(K953=1,G953+L953*(J953-G953),"")</f>
      </c>
    </row>
    <row r="954" spans="2:14" x14ac:dyDescent="0.25">
      <c r="B954">
        <v>27</v>
      </c>
      <c r="C954">
        <v>93.75000000000001</v>
      </c>
      <c r="D954">
        <v>9</v>
      </c>
      <c r="E954" s="18">
        <v>8987.241293208257</v>
      </c>
      <c r="F954" s="18">
        <v>4464.987430990543</v>
      </c>
      <c r="G954" s="18">
        <v>-303.3948527959054</v>
      </c>
      <c r="H954" s="12">
        <f>E955</f>
      </c>
      <c r="I954" s="12">
        <f>F955</f>
      </c>
      <c r="J954" s="12">
        <f>G955</f>
      </c>
      <c r="K954">
        <f>IF(AND(Pu&gt;=MIN(E954,H954),Pu&lt;=MAX(E954,H954),E954&lt;&gt;H954),1,0)</f>
      </c>
      <c r="L954">
        <f>IF(K954=1,(Pu-E954)/(H954-E954),"")</f>
      </c>
      <c r="M954" s="12">
        <f>IF(K954=1,F954+L954*(I954-F954),"")</f>
      </c>
      <c r="N954" s="12">
        <f>IF(K954=1,G954+L954*(J954-G954),"")</f>
      </c>
    </row>
    <row r="955" spans="2:14" x14ac:dyDescent="0.25">
      <c r="B955">
        <v>27</v>
      </c>
      <c r="C955">
        <v>93.75000000000001</v>
      </c>
      <c r="D955">
        <v>10</v>
      </c>
      <c r="E955" s="18">
        <v>8784.0780953637</v>
      </c>
      <c r="F955" s="18">
        <v>4569.7144817560575</v>
      </c>
      <c r="G955" s="18">
        <v>-310.59015138428146</v>
      </c>
      <c r="H955" s="12">
        <f>E956</f>
      </c>
      <c r="I955" s="12">
        <f>F956</f>
      </c>
      <c r="J955" s="12">
        <f>G956</f>
      </c>
      <c r="K955">
        <f>IF(AND(Pu&gt;=MIN(E955,H955),Pu&lt;=MAX(E955,H955),E955&lt;&gt;H955),1,0)</f>
      </c>
      <c r="L955">
        <f>IF(K955=1,(Pu-E955)/(H955-E955),"")</f>
      </c>
      <c r="M955" s="12">
        <f>IF(K955=1,F955+L955*(I955-F955),"")</f>
      </c>
      <c r="N955" s="12">
        <f>IF(K955=1,G955+L955*(J955-G955),"")</f>
      </c>
    </row>
    <row r="956" spans="2:14" x14ac:dyDescent="0.25">
      <c r="B956">
        <v>27</v>
      </c>
      <c r="C956">
        <v>93.75000000000001</v>
      </c>
      <c r="D956">
        <v>11</v>
      </c>
      <c r="E956" s="18">
        <v>8608.688722423605</v>
      </c>
      <c r="F956" s="18">
        <v>4657.407079096127</v>
      </c>
      <c r="G956" s="18">
        <v>-322.81971945770425</v>
      </c>
      <c r="H956" s="12">
        <f>E957</f>
      </c>
      <c r="I956" s="12">
        <f>F957</f>
      </c>
      <c r="J956" s="12">
        <f>G957</f>
      </c>
      <c r="K956">
        <f>IF(AND(Pu&gt;=MIN(E956,H956),Pu&lt;=MAX(E956,H956),E956&lt;&gt;H956),1,0)</f>
      </c>
      <c r="L956">
        <f>IF(K956=1,(Pu-E956)/(H956-E956),"")</f>
      </c>
      <c r="M956" s="12">
        <f>IF(K956=1,F956+L956*(I956-F956),"")</f>
      </c>
      <c r="N956" s="12">
        <f>IF(K956=1,G956+L956*(J956-G956),"")</f>
      </c>
    </row>
    <row r="957" spans="2:14" x14ac:dyDescent="0.25">
      <c r="B957">
        <v>27</v>
      </c>
      <c r="C957">
        <v>93.75000000000001</v>
      </c>
      <c r="D957">
        <v>12</v>
      </c>
      <c r="E957" s="18">
        <v>8499.654013559488</v>
      </c>
      <c r="F957" s="18">
        <v>4710.775077735805</v>
      </c>
      <c r="G957" s="18">
        <v>-330.67992897860034</v>
      </c>
      <c r="H957" s="12">
        <f>E958</f>
      </c>
      <c r="I957" s="12">
        <f>F958</f>
      </c>
      <c r="J957" s="12">
        <f>G958</f>
      </c>
      <c r="K957">
        <f>IF(AND(Pu&gt;=MIN(E957,H957),Pu&lt;=MAX(E957,H957),E957&lt;&gt;H957),1,0)</f>
      </c>
      <c r="L957">
        <f>IF(K957=1,(Pu-E957)/(H957-E957),"")</f>
      </c>
      <c r="M957" s="12">
        <f>IF(K957=1,F957+L957*(I957-F957),"")</f>
      </c>
      <c r="N957" s="12">
        <f>IF(K957=1,G957+L957*(J957-G957),"")</f>
      </c>
    </row>
    <row r="958" spans="2:14" x14ac:dyDescent="0.25">
      <c r="B958">
        <v>27</v>
      </c>
      <c r="C958">
        <v>93.75000000000001</v>
      </c>
      <c r="D958">
        <v>13</v>
      </c>
      <c r="E958" s="18">
        <v>8273.937461440506</v>
      </c>
      <c r="F958" s="18">
        <v>4818.632366236662</v>
      </c>
      <c r="G958" s="18">
        <v>-347.5280813717385</v>
      </c>
      <c r="H958" s="12">
        <f>E959</f>
      </c>
      <c r="I958" s="12">
        <f>F959</f>
      </c>
      <c r="J958" s="12">
        <f>G959</f>
      </c>
      <c r="K958">
        <f>IF(AND(Pu&gt;=MIN(E958,H958),Pu&lt;=MAX(E958,H958),E958&lt;&gt;H958),1,0)</f>
      </c>
      <c r="L958">
        <f>IF(K958=1,(Pu-E958)/(H958-E958),"")</f>
      </c>
      <c r="M958" s="12">
        <f>IF(K958=1,F958+L958*(I958-F958),"")</f>
      </c>
      <c r="N958" s="12">
        <f>IF(K958=1,G958+L958*(J958-G958),"")</f>
      </c>
    </row>
    <row r="959" spans="2:14" x14ac:dyDescent="0.25">
      <c r="B959">
        <v>27</v>
      </c>
      <c r="C959">
        <v>93.75000000000001</v>
      </c>
      <c r="D959">
        <v>14</v>
      </c>
      <c r="E959" s="18">
        <v>8238.478130309206</v>
      </c>
      <c r="F959" s="18">
        <v>4843.708548896526</v>
      </c>
      <c r="G959" s="18">
        <v>-361.4936238230639</v>
      </c>
      <c r="H959" s="12">
        <f>E960</f>
      </c>
      <c r="I959" s="12">
        <f>F960</f>
      </c>
      <c r="J959" s="12">
        <f>G960</f>
      </c>
      <c r="K959">
        <f>IF(AND(Pu&gt;=MIN(E959,H959),Pu&lt;=MAX(E959,H959),E959&lt;&gt;H959),1,0)</f>
      </c>
      <c r="L959">
        <f>IF(K959=1,(Pu-E959)/(H959-E959),"")</f>
      </c>
      <c r="M959" s="12">
        <f>IF(K959=1,F959+L959*(I959-F959),"")</f>
      </c>
      <c r="N959" s="12">
        <f>IF(K959=1,G959+L959*(J959-G959),"")</f>
      </c>
    </row>
    <row r="960" spans="2:14" x14ac:dyDescent="0.25">
      <c r="B960">
        <v>27</v>
      </c>
      <c r="C960">
        <v>93.75000000000001</v>
      </c>
      <c r="D960">
        <v>15</v>
      </c>
      <c r="E960" s="18">
        <v>8003.142818091997</v>
      </c>
      <c r="F960" s="18">
        <v>4957.564344656017</v>
      </c>
      <c r="G960" s="18">
        <v>-359.1325508438661</v>
      </c>
      <c r="H960" s="12">
        <f>E961</f>
      </c>
      <c r="I960" s="12">
        <f>F961</f>
      </c>
      <c r="J960" s="12">
        <f>G961</f>
      </c>
      <c r="K960">
        <f>IF(AND(Pu&gt;=MIN(E960,H960),Pu&lt;=MAX(E960,H960),E960&lt;&gt;H960),1,0)</f>
      </c>
      <c r="L960">
        <f>IF(K960=1,(Pu-E960)/(H960-E960),"")</f>
      </c>
      <c r="M960" s="12">
        <f>IF(K960=1,F960+L960*(I960-F960),"")</f>
      </c>
      <c r="N960" s="12">
        <f>IF(K960=1,G960+L960*(J960-G960),"")</f>
      </c>
    </row>
    <row r="961" spans="2:14" x14ac:dyDescent="0.25">
      <c r="B961">
        <v>27</v>
      </c>
      <c r="C961">
        <v>93.75000000000001</v>
      </c>
      <c r="D961">
        <v>16</v>
      </c>
      <c r="E961" s="18">
        <v>7977.389935414375</v>
      </c>
      <c r="F961" s="18">
        <v>4969.823602050905</v>
      </c>
      <c r="G961" s="18">
        <v>-358.6645028437376</v>
      </c>
      <c r="H961" s="12">
        <f>E962</f>
      </c>
      <c r="I961" s="12">
        <f>F962</f>
      </c>
      <c r="J961" s="12">
        <f>G962</f>
      </c>
      <c r="K961">
        <f>IF(AND(Pu&gt;=MIN(E961,H961),Pu&lt;=MAX(E961,H961),E961&lt;&gt;H961),1,0)</f>
      </c>
      <c r="L961">
        <f>IF(K961=1,(Pu-E961)/(H961-E961),"")</f>
      </c>
      <c r="M961" s="12">
        <f>IF(K961=1,F961+L961*(I961-F961),"")</f>
      </c>
      <c r="N961" s="12">
        <f>IF(K961=1,G961+L961*(J961-G961),"")</f>
      </c>
    </row>
    <row r="962" spans="2:14" x14ac:dyDescent="0.25">
      <c r="B962">
        <v>27</v>
      </c>
      <c r="C962">
        <v>93.75000000000001</v>
      </c>
      <c r="D962">
        <v>17</v>
      </c>
      <c r="E962" s="18">
        <v>7782.271997769554</v>
      </c>
      <c r="F962" s="18">
        <v>5062.5361762978255</v>
      </c>
      <c r="G962" s="18">
        <v>-359.9646989786554</v>
      </c>
      <c r="H962" s="12">
        <f>E963</f>
      </c>
      <c r="I962" s="12">
        <f>F963</f>
      </c>
      <c r="J962" s="12">
        <f>G963</f>
      </c>
      <c r="K962">
        <f>IF(AND(Pu&gt;=MIN(E962,H962),Pu&lt;=MAX(E962,H962),E962&lt;&gt;H962),1,0)</f>
      </c>
      <c r="L962">
        <f>IF(K962=1,(Pu-E962)/(H962-E962),"")</f>
      </c>
      <c r="M962" s="12">
        <f>IF(K962=1,F962+L962*(I962-F962),"")</f>
      </c>
      <c r="N962" s="12">
        <f>IF(K962=1,G962+L962*(J962-G962),"")</f>
      </c>
    </row>
    <row r="963" spans="2:14" x14ac:dyDescent="0.25">
      <c r="B963">
        <v>27</v>
      </c>
      <c r="C963">
        <v>93.75000000000001</v>
      </c>
      <c r="D963">
        <v>18</v>
      </c>
      <c r="E963" s="18">
        <v>7591.990688417529</v>
      </c>
      <c r="F963" s="18">
        <v>5154.5035973436425</v>
      </c>
      <c r="G963" s="18">
        <v>-378.9362680225466</v>
      </c>
      <c r="H963" s="12">
        <f>E964</f>
      </c>
      <c r="I963" s="12">
        <f>F964</f>
      </c>
      <c r="J963" s="12">
        <f>G964</f>
      </c>
      <c r="K963">
        <f>IF(AND(Pu&gt;=MIN(E963,H963),Pu&lt;=MAX(E963,H963),E963&lt;&gt;H963),1,0)</f>
      </c>
      <c r="L963">
        <f>IF(K963=1,(Pu-E963)/(H963-E963),"")</f>
      </c>
      <c r="M963" s="12">
        <f>IF(K963=1,F963+L963*(I963-F963),"")</f>
      </c>
      <c r="N963" s="12">
        <f>IF(K963=1,G963+L963*(J963-G963),"")</f>
      </c>
    </row>
    <row r="964" spans="2:14" x14ac:dyDescent="0.25">
      <c r="B964">
        <v>27</v>
      </c>
      <c r="C964">
        <v>93.75000000000001</v>
      </c>
      <c r="D964">
        <v>19</v>
      </c>
      <c r="E964" s="18">
        <v>7477.198739126159</v>
      </c>
      <c r="F964" s="18">
        <v>5208.591161034551</v>
      </c>
      <c r="G964" s="18">
        <v>-390.7543798946158</v>
      </c>
      <c r="H964" s="12">
        <f>E965</f>
      </c>
      <c r="I964" s="12">
        <f>F965</f>
      </c>
      <c r="J964" s="12">
        <f>G965</f>
      </c>
      <c r="K964">
        <f>IF(AND(Pu&gt;=MIN(E964,H964),Pu&lt;=MAX(E964,H964),E964&lt;&gt;H964),1,0)</f>
      </c>
      <c r="L964">
        <f>IF(K964=1,(Pu-E964)/(H964-E964),"")</f>
      </c>
      <c r="M964" s="12">
        <f>IF(K964=1,F964+L964*(I964-F964),"")</f>
      </c>
      <c r="N964" s="12">
        <f>IF(K964=1,G964+L964*(J964-G964),"")</f>
      </c>
    </row>
    <row r="965" spans="2:14" x14ac:dyDescent="0.25">
      <c r="B965">
        <v>27</v>
      </c>
      <c r="C965">
        <v>93.75000000000001</v>
      </c>
      <c r="D965">
        <v>20</v>
      </c>
      <c r="E965" s="18">
        <v>7404.493164563294</v>
      </c>
      <c r="F965" s="18">
        <v>5242.30590724326</v>
      </c>
      <c r="G965" s="18">
        <v>-398.36782485148274</v>
      </c>
      <c r="H965" s="12">
        <f>E966</f>
      </c>
      <c r="I965" s="12">
        <f>F966</f>
      </c>
      <c r="J965" s="12">
        <f>G966</f>
      </c>
      <c r="K965">
        <f>IF(AND(Pu&gt;=MIN(E965,H965),Pu&lt;=MAX(E965,H965),E965&lt;&gt;H965),1,0)</f>
      </c>
      <c r="L965">
        <f>IF(K965=1,(Pu-E965)/(H965-E965),"")</f>
      </c>
      <c r="M965" s="12">
        <f>IF(K965=1,F965+L965*(I965-F965),"")</f>
      </c>
      <c r="N965" s="12">
        <f>IF(K965=1,G965+L965*(J965-G965),"")</f>
      </c>
    </row>
    <row r="966" spans="2:14" x14ac:dyDescent="0.25">
      <c r="B966">
        <v>27</v>
      </c>
      <c r="C966">
        <v>93.75000000000001</v>
      </c>
      <c r="D966">
        <v>21</v>
      </c>
      <c r="E966" s="18">
        <v>7254.093261607333</v>
      </c>
      <c r="F966" s="18">
        <v>5330.126315830486</v>
      </c>
      <c r="G966" s="18">
        <v>-393.91951207485187</v>
      </c>
      <c r="H966" s="12">
        <f>E967</f>
      </c>
      <c r="I966" s="12">
        <f>F967</f>
      </c>
      <c r="J966" s="12">
        <f>G967</f>
      </c>
      <c r="K966">
        <f>IF(AND(Pu&gt;=MIN(E966,H966),Pu&lt;=MAX(E966,H966),E966&lt;&gt;H966),1,0)</f>
      </c>
      <c r="L966">
        <f>IF(K966=1,(Pu-E966)/(H966-E966),"")</f>
      </c>
      <c r="M966" s="12">
        <f>IF(K966=1,F966+L966*(I966-F966),"")</f>
      </c>
      <c r="N966" s="12">
        <f>IF(K966=1,G966+L966*(J966-G966),"")</f>
      </c>
    </row>
    <row r="967" spans="2:14" x14ac:dyDescent="0.25">
      <c r="B967">
        <v>27</v>
      </c>
      <c r="C967">
        <v>93.75000000000001</v>
      </c>
      <c r="D967">
        <v>22</v>
      </c>
      <c r="E967" s="18">
        <v>7211.106335695466</v>
      </c>
      <c r="F967" s="18">
        <v>5321.018637247238</v>
      </c>
      <c r="G967" s="18">
        <v>-392.14393309702</v>
      </c>
      <c r="H967" s="12">
        <f>E968</f>
      </c>
      <c r="I967" s="12">
        <f>F968</f>
      </c>
      <c r="J967" s="12">
        <f>G968</f>
      </c>
      <c r="K967">
        <f>IF(AND(Pu&gt;=MIN(E967,H967),Pu&lt;=MAX(E967,H967),E967&lt;&gt;H967),1,0)</f>
      </c>
      <c r="L967">
        <f>IF(K967=1,(Pu-E967)/(H967-E967),"")</f>
      </c>
      <c r="M967" s="12">
        <f>IF(K967=1,F967+L967*(I967-F967),"")</f>
      </c>
      <c r="N967" s="12">
        <f>IF(K967=1,G967+L967*(J967-G967),"")</f>
      </c>
    </row>
    <row r="968" spans="2:14" x14ac:dyDescent="0.25">
      <c r="B968">
        <v>27</v>
      </c>
      <c r="C968">
        <v>93.75000000000001</v>
      </c>
      <c r="D968">
        <v>23</v>
      </c>
      <c r="E968" s="18">
        <v>6649.821094051222</v>
      </c>
      <c r="F968" s="18">
        <v>5197.72092031943</v>
      </c>
      <c r="G968" s="18">
        <v>-370.1899308137955</v>
      </c>
      <c r="H968" s="12">
        <f>E969</f>
      </c>
      <c r="I968" s="12">
        <f>F969</f>
      </c>
      <c r="J968" s="12">
        <f>G969</f>
      </c>
      <c r="K968">
        <f>IF(AND(Pu&gt;=MIN(E968,H968),Pu&lt;=MAX(E968,H968),E968&lt;&gt;H968),1,0)</f>
      </c>
      <c r="L968">
        <f>IF(K968=1,(Pu-E968)/(H968-E968),"")</f>
      </c>
      <c r="M968" s="12">
        <f>IF(K968=1,F968+L968*(I968-F968),"")</f>
      </c>
      <c r="N968" s="12">
        <f>IF(K968=1,G968+L968*(J968-G968),"")</f>
      </c>
    </row>
    <row r="969" spans="2:14" x14ac:dyDescent="0.25">
      <c r="B969">
        <v>27</v>
      </c>
      <c r="C969">
        <v>93.75000000000001</v>
      </c>
      <c r="D969">
        <v>24</v>
      </c>
      <c r="E969" s="18">
        <v>5732.785038713817</v>
      </c>
      <c r="F969" s="18">
        <v>4952.632647459865</v>
      </c>
      <c r="G969" s="18">
        <v>-396.1607272614707</v>
      </c>
      <c r="H969" s="12">
        <f>E970</f>
      </c>
      <c r="I969" s="12">
        <f>F970</f>
      </c>
      <c r="J969" s="12">
        <f>G970</f>
      </c>
      <c r="K969">
        <f>IF(AND(Pu&gt;=MIN(E969,H969),Pu&lt;=MAX(E969,H969),E969&lt;&gt;H969),1,0)</f>
      </c>
      <c r="L969">
        <f>IF(K969=1,(Pu-E969)/(H969-E969),"")</f>
      </c>
      <c r="M969" s="12">
        <f>IF(K969=1,F969+L969*(I969-F969),"")</f>
      </c>
      <c r="N969" s="12">
        <f>IF(K969=1,G969+L969*(J969-G969),"")</f>
      </c>
    </row>
    <row r="970" spans="2:14" x14ac:dyDescent="0.25">
      <c r="B970">
        <v>27</v>
      </c>
      <c r="C970">
        <v>93.75000000000001</v>
      </c>
      <c r="D970">
        <v>25</v>
      </c>
      <c r="E970" s="18">
        <v>4939.48020328353</v>
      </c>
      <c r="F970" s="18">
        <v>4711.154797527584</v>
      </c>
      <c r="G970" s="18">
        <v>-431.94626640554554</v>
      </c>
      <c r="H970" s="12">
        <f>E971</f>
      </c>
      <c r="I970" s="12">
        <f>F971</f>
      </c>
      <c r="J970" s="12">
        <f>G971</f>
      </c>
      <c r="K970">
        <f>IF(AND(Pu&gt;=MIN(E970,H970),Pu&lt;=MAX(E970,H970),E970&lt;&gt;H970),1,0)</f>
      </c>
      <c r="L970">
        <f>IF(K970=1,(Pu-E970)/(H970-E970),"")</f>
      </c>
      <c r="M970" s="12">
        <f>IF(K970=1,F970+L970*(I970-F970),"")</f>
      </c>
      <c r="N970" s="12">
        <f>IF(K970=1,G970+L970*(J970-G970),"")</f>
      </c>
    </row>
    <row r="971" spans="2:14" x14ac:dyDescent="0.25">
      <c r="B971">
        <v>27</v>
      </c>
      <c r="C971">
        <v>93.75000000000001</v>
      </c>
      <c r="D971">
        <v>26</v>
      </c>
      <c r="E971" s="18">
        <v>4199.764165968693</v>
      </c>
      <c r="F971" s="18">
        <v>4457.688742777245</v>
      </c>
      <c r="G971" s="18">
        <v>-422.93074840841507</v>
      </c>
      <c r="H971" s="12">
        <f>E972</f>
      </c>
      <c r="I971" s="12">
        <f>F972</f>
      </c>
      <c r="J971" s="12">
        <f>G972</f>
      </c>
      <c r="K971">
        <f>IF(AND(Pu&gt;=MIN(E971,H971),Pu&lt;=MAX(E971,H971),E971&lt;&gt;H971),1,0)</f>
      </c>
      <c r="L971">
        <f>IF(K971=1,(Pu-E971)/(H971-E971),"")</f>
      </c>
      <c r="M971" s="12">
        <f>IF(K971=1,F971+L971*(I971-F971),"")</f>
      </c>
      <c r="N971" s="12">
        <f>IF(K971=1,G971+L971*(J971-G971),"")</f>
      </c>
    </row>
    <row r="972" spans="2:14" x14ac:dyDescent="0.25">
      <c r="B972">
        <v>27</v>
      </c>
      <c r="C972">
        <v>93.75000000000001</v>
      </c>
      <c r="D972">
        <v>27</v>
      </c>
      <c r="E972" s="18">
        <v>2878.304955537067</v>
      </c>
      <c r="F972" s="18">
        <v>3938.991865914495</v>
      </c>
      <c r="G972" s="18">
        <v>-484.4310123652148</v>
      </c>
      <c r="H972" s="12">
        <f>E973</f>
      </c>
      <c r="I972" s="12">
        <f>F973</f>
      </c>
      <c r="J972" s="12">
        <f>G973</f>
      </c>
      <c r="K972">
        <f>IF(AND(Pu&gt;=MIN(E972,H972),Pu&lt;=MAX(E972,H972),E972&lt;&gt;H972),1,0)</f>
      </c>
      <c r="L972">
        <f>IF(K972=1,(Pu-E972)/(H972-E972),"")</f>
      </c>
      <c r="M972" s="12">
        <f>IF(K972=1,F972+L972*(I972-F972),"")</f>
      </c>
      <c r="N972" s="12">
        <f>IF(K972=1,G972+L972*(J972-G972),"")</f>
      </c>
    </row>
    <row r="973" spans="2:14" x14ac:dyDescent="0.25">
      <c r="B973">
        <v>27</v>
      </c>
      <c r="C973">
        <v>93.75000000000001</v>
      </c>
      <c r="D973">
        <v>28</v>
      </c>
      <c r="E973" s="18">
        <v>1734.5083949302186</v>
      </c>
      <c r="F973" s="18">
        <v>3452.477610684561</v>
      </c>
      <c r="G973" s="18">
        <v>-470.3042795636991</v>
      </c>
      <c r="H973" s="12">
        <f>E974</f>
      </c>
      <c r="I973" s="12">
        <f>F974</f>
      </c>
      <c r="J973" s="12">
        <f>G974</f>
      </c>
      <c r="K973">
        <f>IF(AND(Pu&gt;=MIN(E973,H973),Pu&lt;=MAX(E973,H973),E973&lt;&gt;H973),1,0)</f>
      </c>
      <c r="L973">
        <f>IF(K973=1,(Pu-E973)/(H973-E973),"")</f>
      </c>
      <c r="M973" s="12">
        <f>IF(K973=1,F973+L973*(I973-F973),"")</f>
      </c>
      <c r="N973" s="12">
        <f>IF(K973=1,G973+L973*(J973-G973),"")</f>
      </c>
    </row>
    <row r="974" spans="2:14" x14ac:dyDescent="0.25">
      <c r="B974">
        <v>27</v>
      </c>
      <c r="C974">
        <v>93.75000000000001</v>
      </c>
      <c r="D974">
        <v>29</v>
      </c>
      <c r="E974" s="18">
        <v>875.2492192249756</v>
      </c>
      <c r="F974" s="18">
        <v>3060.8703500420606</v>
      </c>
      <c r="G974" s="18">
        <v>-402.59259850512547</v>
      </c>
      <c r="H974" s="12">
        <f>E975</f>
      </c>
      <c r="I974" s="12">
        <f>F975</f>
      </c>
      <c r="J974" s="12">
        <f>G975</f>
      </c>
      <c r="K974">
        <f>IF(AND(Pu&gt;=MIN(E974,H974),Pu&lt;=MAX(E974,H974),E974&lt;&gt;H974),1,0)</f>
      </c>
      <c r="L974">
        <f>IF(K974=1,(Pu-E974)/(H974-E974),"")</f>
      </c>
      <c r="M974" s="12">
        <f>IF(K974=1,F974+L974*(I974-F974),"")</f>
      </c>
      <c r="N974" s="12">
        <f>IF(K974=1,G974+L974*(J974-G974),"")</f>
      </c>
    </row>
    <row r="975" spans="2:14" x14ac:dyDescent="0.25">
      <c r="B975">
        <v>27</v>
      </c>
      <c r="C975">
        <v>93.75000000000001</v>
      </c>
      <c r="D975">
        <v>30</v>
      </c>
      <c r="E975" s="18">
        <v>156.8794923332499</v>
      </c>
      <c r="F975" s="18">
        <v>2721.9019108581997</v>
      </c>
      <c r="G975" s="18">
        <v>-337.9145845651226</v>
      </c>
      <c r="H975" s="12">
        <f>E976</f>
      </c>
      <c r="I975" s="12">
        <f>F976</f>
      </c>
      <c r="J975" s="12">
        <f>G976</f>
      </c>
      <c r="K975">
        <f>IF(AND(Pu&gt;=MIN(E975,H975),Pu&lt;=MAX(E975,H975),E975&lt;&gt;H975),1,0)</f>
      </c>
      <c r="L975">
        <f>IF(K975=1,(Pu-E975)/(H975-E975),"")</f>
      </c>
      <c r="M975" s="12">
        <f>IF(K975=1,F975+L975*(I975-F975),"")</f>
      </c>
      <c r="N975" s="12">
        <f>IF(K975=1,G975+L975*(J975-G975),"")</f>
      </c>
    </row>
    <row r="976" spans="2:14" x14ac:dyDescent="0.25">
      <c r="B976">
        <v>27</v>
      </c>
      <c r="C976">
        <v>93.75000000000001</v>
      </c>
      <c r="D976">
        <v>31</v>
      </c>
      <c r="E976" s="18">
        <v>-808.7013412793464</v>
      </c>
      <c r="F976" s="18">
        <v>2230.33648796177</v>
      </c>
      <c r="G976" s="18">
        <v>-311.1451361303762</v>
      </c>
      <c r="H976" s="12">
        <f>E977</f>
      </c>
      <c r="I976" s="12">
        <f>F977</f>
      </c>
      <c r="J976" s="12">
        <f>G977</f>
      </c>
      <c r="K976">
        <f>IF(AND(Pu&gt;=MIN(E976,H976),Pu&lt;=MAX(E976,H976),E976&lt;&gt;H976),1,0)</f>
      </c>
      <c r="L976">
        <f>IF(K976=1,(Pu-E976)/(H976-E976),"")</f>
      </c>
      <c r="M976" s="12">
        <f>IF(K976=1,F976+L976*(I976-F976),"")</f>
      </c>
      <c r="N976" s="12">
        <f>IF(K976=1,G976+L976*(J976-G976),"")</f>
      </c>
    </row>
    <row r="977" spans="2:14" x14ac:dyDescent="0.25">
      <c r="B977">
        <v>27</v>
      </c>
      <c r="C977">
        <v>93.75000000000001</v>
      </c>
      <c r="D977">
        <v>32</v>
      </c>
      <c r="E977" s="18">
        <v>-1560.0613669585132</v>
      </c>
      <c r="F977" s="18">
        <v>1835.2339497255653</v>
      </c>
      <c r="G977" s="18">
        <v>-305.367693460439</v>
      </c>
      <c r="H977" s="12">
        <f>E978</f>
      </c>
      <c r="I977" s="12">
        <f>F978</f>
      </c>
      <c r="J977" s="12">
        <f>G978</f>
      </c>
      <c r="K977">
        <f>IF(AND(Pu&gt;=MIN(E977,H977),Pu&lt;=MAX(E977,H977),E977&lt;&gt;H977),1,0)</f>
      </c>
      <c r="L977">
        <f>IF(K977=1,(Pu-E977)/(H977-E977),"")</f>
      </c>
      <c r="M977" s="12">
        <f>IF(K977=1,F977+L977*(I977-F977),"")</f>
      </c>
      <c r="N977" s="12">
        <f>IF(K977=1,G977+L977*(J977-G977),"")</f>
      </c>
    </row>
    <row r="978" spans="2:14" x14ac:dyDescent="0.25">
      <c r="B978">
        <v>27</v>
      </c>
      <c r="C978">
        <v>93.75000000000001</v>
      </c>
      <c r="D978">
        <v>33</v>
      </c>
      <c r="E978" s="18">
        <v>-2706.710925437814</v>
      </c>
      <c r="F978" s="18">
        <v>1218.8455235108377</v>
      </c>
      <c r="G978" s="18">
        <v>-319.7183116335379</v>
      </c>
      <c r="H978" s="12">
        <f>E979</f>
      </c>
      <c r="I978" s="12">
        <f>F979</f>
      </c>
      <c r="J978" s="12">
        <f>G979</f>
      </c>
      <c r="K978">
        <f>IF(AND(Pu&gt;=MIN(E978,H978),Pu&lt;=MAX(E978,H978),E978&lt;&gt;H978),1,0)</f>
      </c>
      <c r="L978">
        <f>IF(K978=1,(Pu-E978)/(H978-E978),"")</f>
      </c>
      <c r="M978" s="12">
        <f>IF(K978=1,F978+L978*(I978-F978),"")</f>
      </c>
      <c r="N978" s="12">
        <f>IF(K978=1,G978+L978*(J978-G978),"")</f>
      </c>
    </row>
    <row r="979" spans="2:14" x14ac:dyDescent="0.25">
      <c r="B979">
        <v>27</v>
      </c>
      <c r="C979">
        <v>93.75000000000001</v>
      </c>
      <c r="D979">
        <v>34</v>
      </c>
      <c r="E979" s="18">
        <v>-3600.847652966783</v>
      </c>
      <c r="F979" s="18">
        <v>733.593469173605</v>
      </c>
      <c r="G979" s="18">
        <v>-314.01128352388946</v>
      </c>
      <c r="H979" s="12">
        <f>E980</f>
      </c>
      <c r="I979" s="12">
        <f>F980</f>
      </c>
      <c r="J979" s="12">
        <f>G980</f>
      </c>
      <c r="K979">
        <f>IF(AND(Pu&gt;=MIN(E979,H979),Pu&lt;=MAX(E979,H979),E979&lt;&gt;H979),1,0)</f>
      </c>
      <c r="L979">
        <f>IF(K979=1,(Pu-E979)/(H979-E979),"")</f>
      </c>
      <c r="M979" s="12">
        <f>IF(K979=1,F979+L979*(I979-F979),"")</f>
      </c>
      <c r="N979" s="12">
        <f>IF(K979=1,G979+L979*(J979-G979),"")</f>
      </c>
    </row>
    <row r="980" spans="2:14" x14ac:dyDescent="0.25">
      <c r="B980">
        <v>27</v>
      </c>
      <c r="C980">
        <v>93.75000000000001</v>
      </c>
      <c r="D980">
        <v>35</v>
      </c>
      <c r="E980" s="18">
        <v>-4543.679923685729</v>
      </c>
      <c r="F980" s="18">
        <v>218.3131110782547</v>
      </c>
      <c r="G980" s="18">
        <v>-134.13013563687514</v>
      </c>
      <c r="H980" s="12">
        <f>E981</f>
      </c>
      <c r="I980" s="12">
        <f>F981</f>
      </c>
      <c r="J980" s="12">
        <f>G981</f>
      </c>
      <c r="K980">
        <f>IF(AND(Pu&gt;=MIN(E980,H980),Pu&lt;=MAX(E980,H980),E980&lt;&gt;H980),1,0)</f>
      </c>
      <c r="L980">
        <f>IF(K980=1,(Pu-E980)/(H980-E980),"")</f>
      </c>
      <c r="M980" s="12">
        <f>IF(K980=1,F980+L980*(I980-F980),"")</f>
      </c>
      <c r="N980" s="12">
        <f>IF(K980=1,G980+L980*(J980-G980),"")</f>
      </c>
    </row>
    <row r="981" spans="2:7" x14ac:dyDescent="0.25">
      <c r="B981">
        <v>27</v>
      </c>
      <c r="C981">
        <v>93.75000000000001</v>
      </c>
      <c r="D981">
        <v>36</v>
      </c>
      <c r="E981" s="18">
        <v>-4734.9757025555755</v>
      </c>
      <c r="F981" s="18">
        <v>110.04333845760344</v>
      </c>
      <c r="G981" s="18">
        <v>-74.10842679388865</v>
      </c>
    </row>
    <row r="983" spans="2:14" x14ac:dyDescent="0.25">
      <c r="B983">
        <v>28</v>
      </c>
      <c r="C983">
        <v>95.62499999999997</v>
      </c>
      <c r="D983">
        <v>1</v>
      </c>
      <c r="E983" s="18">
        <v>16530.011636440344</v>
      </c>
      <c r="F983" s="18">
        <v>2645.252114309735</v>
      </c>
      <c r="G983" s="18">
        <v>-449.03845818040435</v>
      </c>
      <c r="H983" s="12">
        <f>E984</f>
      </c>
      <c r="I983" s="12">
        <f>F984</f>
      </c>
      <c r="J983" s="12">
        <f>G984</f>
      </c>
      <c r="K983">
        <f>IF(AND(Pu&gt;=MIN(E983,H983),Pu&lt;=MAX(E983,H983),E983&lt;&gt;H983),1,0)</f>
      </c>
      <c r="L983">
        <f>IF(K983=1,(Pu-E983)/(H983-E983),"")</f>
      </c>
      <c r="M983" s="12">
        <f>IF(K983=1,F983+L983*(I983-F983),"")</f>
      </c>
      <c r="N983" s="12">
        <f>IF(K983=1,G983+L983*(J983-G983),"")</f>
      </c>
    </row>
    <row r="984" spans="2:14" x14ac:dyDescent="0.25">
      <c r="B984">
        <v>28</v>
      </c>
      <c r="C984">
        <v>95.62499999999997</v>
      </c>
      <c r="D984">
        <v>2</v>
      </c>
      <c r="E984" s="18">
        <v>15206.985028555098</v>
      </c>
      <c r="F984" s="18">
        <v>3131.3582828340886</v>
      </c>
      <c r="G984" s="18">
        <v>-385.6486123099468</v>
      </c>
      <c r="H984" s="12">
        <f>E985</f>
      </c>
      <c r="I984" s="12">
        <f>F985</f>
      </c>
      <c r="J984" s="12">
        <f>G985</f>
      </c>
      <c r="K984">
        <f>IF(AND(Pu&gt;=MIN(E984,H984),Pu&lt;=MAX(E984,H984),E984&lt;&gt;H984),1,0)</f>
      </c>
      <c r="L984">
        <f>IF(K984=1,(Pu-E984)/(H984-E984),"")</f>
      </c>
      <c r="M984" s="12">
        <f>IF(K984=1,F984+L984*(I984-F984),"")</f>
      </c>
      <c r="N984" s="12">
        <f>IF(K984=1,G984+L984*(J984-G984),"")</f>
      </c>
    </row>
    <row r="985" spans="2:14" x14ac:dyDescent="0.25">
      <c r="B985">
        <v>28</v>
      </c>
      <c r="C985">
        <v>95.62499999999997</v>
      </c>
      <c r="D985">
        <v>3</v>
      </c>
      <c r="E985" s="18">
        <v>14165.669857615223</v>
      </c>
      <c r="F985" s="18">
        <v>3449.6160267824657</v>
      </c>
      <c r="G985" s="18">
        <v>-367.9491416802756</v>
      </c>
      <c r="H985" s="12">
        <f>E986</f>
      </c>
      <c r="I985" s="12">
        <f>F986</f>
      </c>
      <c r="J985" s="12">
        <f>G986</f>
      </c>
      <c r="K985">
        <f>IF(AND(Pu&gt;=MIN(E985,H985),Pu&lt;=MAX(E985,H985),E985&lt;&gt;H985),1,0)</f>
      </c>
      <c r="L985">
        <f>IF(K985=1,(Pu-E985)/(H985-E985),"")</f>
      </c>
      <c r="M985" s="12">
        <f>IF(K985=1,F985+L985*(I985-F985),"")</f>
      </c>
      <c r="N985" s="12">
        <f>IF(K985=1,G985+L985*(J985-G985),"")</f>
      </c>
    </row>
    <row r="986" spans="2:14" x14ac:dyDescent="0.25">
      <c r="B986">
        <v>28</v>
      </c>
      <c r="C986">
        <v>95.62499999999997</v>
      </c>
      <c r="D986">
        <v>4</v>
      </c>
      <c r="E986" s="18">
        <v>12539.260737697003</v>
      </c>
      <c r="F986" s="18">
        <v>3839.319728681252</v>
      </c>
      <c r="G986" s="18">
        <v>-386.0922052578368</v>
      </c>
      <c r="H986" s="12">
        <f>E987</f>
      </c>
      <c r="I986" s="12">
        <f>F987</f>
      </c>
      <c r="J986" s="12">
        <f>G987</f>
      </c>
      <c r="K986">
        <f>IF(AND(Pu&gt;=MIN(E986,H986),Pu&lt;=MAX(E986,H986),E986&lt;&gt;H986),1,0)</f>
      </c>
      <c r="L986">
        <f>IF(K986=1,(Pu-E986)/(H986-E986),"")</f>
      </c>
      <c r="M986" s="12">
        <f>IF(K986=1,F986+L986*(I986-F986),"")</f>
      </c>
      <c r="N986" s="12">
        <f>IF(K986=1,G986+L986*(J986-G986),"")</f>
      </c>
    </row>
    <row r="987" spans="2:14" x14ac:dyDescent="0.25">
      <c r="B987">
        <v>28</v>
      </c>
      <c r="C987">
        <v>95.62499999999997</v>
      </c>
      <c r="D987">
        <v>5</v>
      </c>
      <c r="E987" s="18">
        <v>11134.242492863925</v>
      </c>
      <c r="F987" s="18">
        <v>4088.2521334415246</v>
      </c>
      <c r="G987" s="18">
        <v>-410.02704230658935</v>
      </c>
      <c r="H987" s="12">
        <f>E988</f>
      </c>
      <c r="I987" s="12">
        <f>F988</f>
      </c>
      <c r="J987" s="12">
        <f>G988</f>
      </c>
      <c r="K987">
        <f>IF(AND(Pu&gt;=MIN(E987,H987),Pu&lt;=MAX(E987,H987),E987&lt;&gt;H987),1,0)</f>
      </c>
      <c r="L987">
        <f>IF(K987=1,(Pu-E987)/(H987-E987),"")</f>
      </c>
      <c r="M987" s="12">
        <f>IF(K987=1,F987+L987*(I987-F987),"")</f>
      </c>
      <c r="N987" s="12">
        <f>IF(K987=1,G987+L987*(J987-G987),"")</f>
      </c>
    </row>
    <row r="988" spans="2:14" x14ac:dyDescent="0.25">
      <c r="B988">
        <v>28</v>
      </c>
      <c r="C988">
        <v>95.62499999999997</v>
      </c>
      <c r="D988">
        <v>6</v>
      </c>
      <c r="E988" s="18">
        <v>9925.727353342494</v>
      </c>
      <c r="F988" s="18">
        <v>4256.518604628838</v>
      </c>
      <c r="G988" s="18">
        <v>-443.0265553997863</v>
      </c>
      <c r="H988" s="12">
        <f>E989</f>
      </c>
      <c r="I988" s="12">
        <f>F989</f>
      </c>
      <c r="J988" s="12">
        <f>G989</f>
      </c>
      <c r="K988">
        <f>IF(AND(Pu&gt;=MIN(E988,H988),Pu&lt;=MAX(E988,H988),E988&lt;&gt;H988),1,0)</f>
      </c>
      <c r="L988">
        <f>IF(K988=1,(Pu-E988)/(H988-E988),"")</f>
      </c>
      <c r="M988" s="12">
        <f>IF(K988=1,F988+L988*(I988-F988),"")</f>
      </c>
      <c r="N988" s="12">
        <f>IF(K988=1,G988+L988*(J988-G988),"")</f>
      </c>
    </row>
    <row r="989" spans="2:14" x14ac:dyDescent="0.25">
      <c r="B989">
        <v>28</v>
      </c>
      <c r="C989">
        <v>95.62499999999997</v>
      </c>
      <c r="D989">
        <v>7</v>
      </c>
      <c r="E989" s="18">
        <v>9130.236543335086</v>
      </c>
      <c r="F989" s="18">
        <v>4352.647343644442</v>
      </c>
      <c r="G989" s="18">
        <v>-451.53989459240313</v>
      </c>
      <c r="H989" s="12">
        <f>E990</f>
      </c>
      <c r="I989" s="12">
        <f>F990</f>
      </c>
      <c r="J989" s="12">
        <f>G990</f>
      </c>
      <c r="K989">
        <f>IF(AND(Pu&gt;=MIN(E989,H989),Pu&lt;=MAX(E989,H989),E989&lt;&gt;H989),1,0)</f>
      </c>
      <c r="L989">
        <f>IF(K989=1,(Pu-E989)/(H989-E989),"")</f>
      </c>
      <c r="M989" s="12">
        <f>IF(K989=1,F989+L989*(I989-F989),"")</f>
      </c>
      <c r="N989" s="12">
        <f>IF(K989=1,G989+L989*(J989-G989),"")</f>
      </c>
    </row>
    <row r="990" spans="2:14" x14ac:dyDescent="0.25">
      <c r="B990">
        <v>28</v>
      </c>
      <c r="C990">
        <v>95.62499999999997</v>
      </c>
      <c r="D990">
        <v>8</v>
      </c>
      <c r="E990" s="18">
        <v>8982.830494178894</v>
      </c>
      <c r="F990" s="18">
        <v>4429.527634340037</v>
      </c>
      <c r="G990" s="18">
        <v>-457.6885618172341</v>
      </c>
      <c r="H990" s="12">
        <f>E991</f>
      </c>
      <c r="I990" s="12">
        <f>F991</f>
      </c>
      <c r="J990" s="12">
        <f>G991</f>
      </c>
      <c r="K990">
        <f>IF(AND(Pu&gt;=MIN(E990,H990),Pu&lt;=MAX(E990,H990),E990&lt;&gt;H990),1,0)</f>
      </c>
      <c r="L990">
        <f>IF(K990=1,(Pu-E990)/(H990-E990),"")</f>
      </c>
      <c r="M990" s="12">
        <f>IF(K990=1,F990+L990*(I990-F990),"")</f>
      </c>
      <c r="N990" s="12">
        <f>IF(K990=1,G990+L990*(J990-G990),"")</f>
      </c>
    </row>
    <row r="991" spans="2:14" x14ac:dyDescent="0.25">
      <c r="B991">
        <v>28</v>
      </c>
      <c r="C991">
        <v>95.62499999999997</v>
      </c>
      <c r="D991">
        <v>9</v>
      </c>
      <c r="E991" s="18">
        <v>8735.446186853947</v>
      </c>
      <c r="F991" s="18">
        <v>4552.830250361965</v>
      </c>
      <c r="G991" s="18">
        <v>-466.6355273612588</v>
      </c>
      <c r="H991" s="12">
        <f>E992</f>
      </c>
      <c r="I991" s="12">
        <f>F992</f>
      </c>
      <c r="J991" s="12">
        <f>G992</f>
      </c>
      <c r="K991">
        <f>IF(AND(Pu&gt;=MIN(E991,H991),Pu&lt;=MAX(E991,H991),E991&lt;&gt;H991),1,0)</f>
      </c>
      <c r="L991">
        <f>IF(K991=1,(Pu-E991)/(H991-E991),"")</f>
      </c>
      <c r="M991" s="12">
        <f>IF(K991=1,F991+L991*(I991-F991),"")</f>
      </c>
      <c r="N991" s="12">
        <f>IF(K991=1,G991+L991*(J991-G991),"")</f>
      </c>
    </row>
    <row r="992" spans="2:14" x14ac:dyDescent="0.25">
      <c r="B992">
        <v>28</v>
      </c>
      <c r="C992">
        <v>95.62499999999997</v>
      </c>
      <c r="D992">
        <v>10</v>
      </c>
      <c r="E992" s="18">
        <v>8561.901668578703</v>
      </c>
      <c r="F992" s="18">
        <v>4633.572925481902</v>
      </c>
      <c r="G992" s="18">
        <v>-483.78585883220876</v>
      </c>
      <c r="H992" s="12">
        <f>E993</f>
      </c>
      <c r="I992" s="12">
        <f>F993</f>
      </c>
      <c r="J992" s="12">
        <f>G993</f>
      </c>
      <c r="K992">
        <f>IF(AND(Pu&gt;=MIN(E992,H992),Pu&lt;=MAX(E992,H992),E992&lt;&gt;H992),1,0)</f>
      </c>
      <c r="L992">
        <f>IF(K992=1,(Pu-E992)/(H992-E992),"")</f>
      </c>
      <c r="M992" s="12">
        <f>IF(K992=1,F992+L992*(I992-F992),"")</f>
      </c>
      <c r="N992" s="12">
        <f>IF(K992=1,G992+L992*(J992-G992),"")</f>
      </c>
    </row>
    <row r="993" spans="2:14" x14ac:dyDescent="0.25">
      <c r="B993">
        <v>28</v>
      </c>
      <c r="C993">
        <v>95.62499999999997</v>
      </c>
      <c r="D993">
        <v>11</v>
      </c>
      <c r="E993" s="18">
        <v>8437.550809762764</v>
      </c>
      <c r="F993" s="18">
        <v>4690.022720599953</v>
      </c>
      <c r="G993" s="18">
        <v>-496.4909965980321</v>
      </c>
      <c r="H993" s="12">
        <f>E994</f>
      </c>
      <c r="I993" s="12">
        <f>F994</f>
      </c>
      <c r="J993" s="12">
        <f>G994</f>
      </c>
      <c r="K993">
        <f>IF(AND(Pu&gt;=MIN(E993,H993),Pu&lt;=MAX(E993,H993),E993&lt;&gt;H993),1,0)</f>
      </c>
      <c r="L993">
        <f>IF(K993=1,(Pu-E993)/(H993-E993),"")</f>
      </c>
      <c r="M993" s="12">
        <f>IF(K993=1,F993+L993*(I993-F993),"")</f>
      </c>
      <c r="N993" s="12">
        <f>IF(K993=1,G993+L993*(J993-G993),"")</f>
      </c>
    </row>
    <row r="994" spans="2:14" x14ac:dyDescent="0.25">
      <c r="B994">
        <v>28</v>
      </c>
      <c r="C994">
        <v>95.62499999999997</v>
      </c>
      <c r="D994">
        <v>12</v>
      </c>
      <c r="E994" s="18">
        <v>8211.81884964312</v>
      </c>
      <c r="F994" s="18">
        <v>4789.712952917655</v>
      </c>
      <c r="G994" s="18">
        <v>-520.3752754704375</v>
      </c>
      <c r="H994" s="12">
        <f>E995</f>
      </c>
      <c r="I994" s="12">
        <f>F995</f>
      </c>
      <c r="J994" s="12">
        <f>G995</f>
      </c>
      <c r="K994">
        <f>IF(AND(Pu&gt;=MIN(E994,H994),Pu&lt;=MAX(E994,H994),E994&lt;&gt;H994),1,0)</f>
      </c>
      <c r="L994">
        <f>IF(K994=1,(Pu-E994)/(H994-E994),"")</f>
      </c>
      <c r="M994" s="12">
        <f>IF(K994=1,F994+L994*(I994-F994),"")</f>
      </c>
      <c r="N994" s="12">
        <f>IF(K994=1,G994+L994*(J994-G994),"")</f>
      </c>
    </row>
    <row r="995" spans="2:14" x14ac:dyDescent="0.25">
      <c r="B995">
        <v>28</v>
      </c>
      <c r="C995">
        <v>95.62499999999997</v>
      </c>
      <c r="D995">
        <v>13</v>
      </c>
      <c r="E995" s="18">
        <v>8155.803477572865</v>
      </c>
      <c r="F995" s="18">
        <v>4814.869565418786</v>
      </c>
      <c r="G995" s="18">
        <v>-522.3223107597</v>
      </c>
      <c r="H995" s="12">
        <f>E996</f>
      </c>
      <c r="I995" s="12">
        <f>F996</f>
      </c>
      <c r="J995" s="12">
        <f>G996</f>
      </c>
      <c r="K995">
        <f>IF(AND(Pu&gt;=MIN(E995,H995),Pu&lt;=MAX(E995,H995),E995&lt;&gt;H995),1,0)</f>
      </c>
      <c r="L995">
        <f>IF(K995=1,(Pu-E995)/(H995-E995),"")</f>
      </c>
      <c r="M995" s="12">
        <f>IF(K995=1,F995+L995*(I995-F995),"")</f>
      </c>
      <c r="N995" s="12">
        <f>IF(K995=1,G995+L995*(J995-G995),"")</f>
      </c>
    </row>
    <row r="996" spans="2:14" x14ac:dyDescent="0.25">
      <c r="B996">
        <v>28</v>
      </c>
      <c r="C996">
        <v>95.62499999999997</v>
      </c>
      <c r="D996">
        <v>14</v>
      </c>
      <c r="E996" s="18">
        <v>7925.504620681152</v>
      </c>
      <c r="F996" s="18">
        <v>4924.554026481654</v>
      </c>
      <c r="G996" s="18">
        <v>-538.5901421976744</v>
      </c>
      <c r="H996" s="12">
        <f>E997</f>
      </c>
      <c r="I996" s="12">
        <f>F997</f>
      </c>
      <c r="J996" s="12">
        <f>G997</f>
      </c>
      <c r="K996">
        <f>IF(AND(Pu&gt;=MIN(E996,H996),Pu&lt;=MAX(E996,H996),E996&lt;&gt;H996),1,0)</f>
      </c>
      <c r="L996">
        <f>IF(K996=1,(Pu-E996)/(H996-E996),"")</f>
      </c>
      <c r="M996" s="12">
        <f>IF(K996=1,F996+L996*(I996-F996),"")</f>
      </c>
      <c r="N996" s="12">
        <f>IF(K996=1,G996+L996*(J996-G996),"")</f>
      </c>
    </row>
    <row r="997" spans="2:14" x14ac:dyDescent="0.25">
      <c r="B997">
        <v>28</v>
      </c>
      <c r="C997">
        <v>95.62499999999997</v>
      </c>
      <c r="D997">
        <v>15</v>
      </c>
      <c r="E997" s="18">
        <v>7908.075836391651</v>
      </c>
      <c r="F997" s="18">
        <v>4932.082218960522</v>
      </c>
      <c r="G997" s="18">
        <v>-539.0020332778329</v>
      </c>
      <c r="H997" s="12">
        <f>E998</f>
      </c>
      <c r="I997" s="12">
        <f>F998</f>
      </c>
      <c r="J997" s="12">
        <f>G998</f>
      </c>
      <c r="K997">
        <f>IF(AND(Pu&gt;=MIN(E997,H997),Pu&lt;=MAX(E997,H997),E997&lt;&gt;H997),1,0)</f>
      </c>
      <c r="L997">
        <f>IF(K997=1,(Pu-E997)/(H997-E997),"")</f>
      </c>
      <c r="M997" s="12">
        <f>IF(K997=1,F997+L997*(I997-F997),"")</f>
      </c>
      <c r="N997" s="12">
        <f>IF(K997=1,G997+L997*(J997-G997),"")</f>
      </c>
    </row>
    <row r="998" spans="2:14" x14ac:dyDescent="0.25">
      <c r="B998">
        <v>28</v>
      </c>
      <c r="C998">
        <v>95.62499999999997</v>
      </c>
      <c r="D998">
        <v>16</v>
      </c>
      <c r="E998" s="18">
        <v>7685.301809648921</v>
      </c>
      <c r="F998" s="18">
        <v>5026.494145599128</v>
      </c>
      <c r="G998" s="18">
        <v>-543.93387181117</v>
      </c>
      <c r="H998" s="12">
        <f>E999</f>
      </c>
      <c r="I998" s="12">
        <f>F999</f>
      </c>
      <c r="J998" s="12">
        <f>G999</f>
      </c>
      <c r="K998">
        <f>IF(AND(Pu&gt;=MIN(E998,H998),Pu&lt;=MAX(E998,H998),E998&lt;&gt;H998),1,0)</f>
      </c>
      <c r="L998">
        <f>IF(K998=1,(Pu-E998)/(H998-E998),"")</f>
      </c>
      <c r="M998" s="12">
        <f>IF(K998=1,F998+L998*(I998-F998),"")</f>
      </c>
      <c r="N998" s="12">
        <f>IF(K998=1,G998+L998*(J998-G998),"")</f>
      </c>
    </row>
    <row r="999" spans="2:14" x14ac:dyDescent="0.25">
      <c r="B999">
        <v>28</v>
      </c>
      <c r="C999">
        <v>95.62499999999997</v>
      </c>
      <c r="D999">
        <v>17</v>
      </c>
      <c r="E999" s="18">
        <v>7470.222308300372</v>
      </c>
      <c r="F999" s="18">
        <v>5116.899115051763</v>
      </c>
      <c r="G999" s="18">
        <v>-563.7270793414774</v>
      </c>
      <c r="H999" s="12">
        <f>E1000</f>
      </c>
      <c r="I999" s="12">
        <f>F1000</f>
      </c>
      <c r="J999" s="12">
        <f>G1000</f>
      </c>
      <c r="K999">
        <f>IF(AND(Pu&gt;=MIN(E999,H999),Pu&lt;=MAX(E999,H999),E999&lt;&gt;H999),1,0)</f>
      </c>
      <c r="L999">
        <f>IF(K999=1,(Pu-E999)/(H999-E999),"")</f>
      </c>
      <c r="M999" s="12">
        <f>IF(K999=1,F999+L999*(I999-F999),"")</f>
      </c>
      <c r="N999" s="12">
        <f>IF(K999=1,G999+L999*(J999-G999),"")</f>
      </c>
    </row>
    <row r="1000" spans="2:14" x14ac:dyDescent="0.25">
      <c r="B1000">
        <v>28</v>
      </c>
      <c r="C1000">
        <v>95.62499999999997</v>
      </c>
      <c r="D1000">
        <v>18</v>
      </c>
      <c r="E1000" s="18">
        <v>7373.525342013647</v>
      </c>
      <c r="F1000" s="18">
        <v>5169.010813203876</v>
      </c>
      <c r="G1000" s="18">
        <v>-568.5480013249726</v>
      </c>
      <c r="H1000" s="12">
        <f>E1001</f>
      </c>
      <c r="I1000" s="12">
        <f>F1001</f>
      </c>
      <c r="J1000" s="12">
        <f>G1001</f>
      </c>
      <c r="K1000">
        <f>IF(AND(Pu&gt;=MIN(E1000,H1000),Pu&lt;=MAX(E1000,H1000),E1000&lt;&gt;H1000),1,0)</f>
      </c>
      <c r="L1000">
        <f>IF(K1000=1,(Pu-E1000)/(H1000-E1000),"")</f>
      </c>
      <c r="M1000" s="12">
        <f>IF(K1000=1,F1000+L1000*(I1000-F1000),"")</f>
      </c>
      <c r="N1000" s="12">
        <f>IF(K1000=1,G1000+L1000*(J1000-G1000),"")</f>
      </c>
    </row>
    <row r="1001" spans="2:14" x14ac:dyDescent="0.25">
      <c r="B1001">
        <v>28</v>
      </c>
      <c r="C1001">
        <v>95.62499999999997</v>
      </c>
      <c r="D1001">
        <v>19</v>
      </c>
      <c r="E1001" s="18">
        <v>7289.677205533627</v>
      </c>
      <c r="F1001" s="18">
        <v>5204.121701530358</v>
      </c>
      <c r="G1001" s="18">
        <v>-579.2830858160004</v>
      </c>
      <c r="H1001" s="12">
        <f>E1002</f>
      </c>
      <c r="I1001" s="12">
        <f>F1002</f>
      </c>
      <c r="J1001" s="12">
        <f>G1002</f>
      </c>
      <c r="K1001">
        <f>IF(AND(Pu&gt;=MIN(E1001,H1001),Pu&lt;=MAX(E1001,H1001),E1001&lt;&gt;H1001),1,0)</f>
      </c>
      <c r="L1001">
        <f>IF(K1001=1,(Pu-E1001)/(H1001-E1001),"")</f>
      </c>
      <c r="M1001" s="12">
        <f>IF(K1001=1,F1001+L1001*(I1001-F1001),"")</f>
      </c>
      <c r="N1001" s="12">
        <f>IF(K1001=1,G1001+L1001*(J1001-G1001),"")</f>
      </c>
    </row>
    <row r="1002" spans="2:14" x14ac:dyDescent="0.25">
      <c r="B1002">
        <v>28</v>
      </c>
      <c r="C1002">
        <v>95.62499999999997</v>
      </c>
      <c r="D1002">
        <v>20</v>
      </c>
      <c r="E1002" s="18">
        <v>7122.631213124306</v>
      </c>
      <c r="F1002" s="18">
        <v>5278.556848237346</v>
      </c>
      <c r="G1002" s="18">
        <v>-586.8571565321905</v>
      </c>
      <c r="H1002" s="12">
        <f>E1003</f>
      </c>
      <c r="I1002" s="12">
        <f>F1003</f>
      </c>
      <c r="J1002" s="12">
        <f>G1003</f>
      </c>
      <c r="K1002">
        <f>IF(AND(Pu&gt;=MIN(E1002,H1002),Pu&lt;=MAX(E1002,H1002),E1002&lt;&gt;H1002),1,0)</f>
      </c>
      <c r="L1002">
        <f>IF(K1002=1,(Pu-E1002)/(H1002-E1002),"")</f>
      </c>
      <c r="M1002" s="12">
        <f>IF(K1002=1,F1002+L1002*(I1002-F1002),"")</f>
      </c>
      <c r="N1002" s="12">
        <f>IF(K1002=1,G1002+L1002*(J1002-G1002),"")</f>
      </c>
    </row>
    <row r="1003" spans="2:14" x14ac:dyDescent="0.25">
      <c r="B1003">
        <v>28</v>
      </c>
      <c r="C1003">
        <v>95.62499999999997</v>
      </c>
      <c r="D1003">
        <v>21</v>
      </c>
      <c r="E1003" s="18">
        <v>7096.22706991996</v>
      </c>
      <c r="F1003" s="18">
        <v>5272.7206516344395</v>
      </c>
      <c r="G1003" s="18">
        <v>-586.2805483719384</v>
      </c>
      <c r="H1003" s="12">
        <f>E1004</f>
      </c>
      <c r="I1003" s="12">
        <f>F1004</f>
      </c>
      <c r="J1003" s="12">
        <f>G1004</f>
      </c>
      <c r="K1003">
        <f>IF(AND(Pu&gt;=MIN(E1003,H1003),Pu&lt;=MAX(E1003,H1003),E1003&lt;&gt;H1003),1,0)</f>
      </c>
      <c r="L1003">
        <f>IF(K1003=1,(Pu-E1003)/(H1003-E1003),"")</f>
      </c>
      <c r="M1003" s="12">
        <f>IF(K1003=1,F1003+L1003*(I1003-F1003),"")</f>
      </c>
      <c r="N1003" s="12">
        <f>IF(K1003=1,G1003+L1003*(J1003-G1003),"")</f>
      </c>
    </row>
    <row r="1004" spans="2:14" x14ac:dyDescent="0.25">
      <c r="B1004">
        <v>28</v>
      </c>
      <c r="C1004">
        <v>95.62499999999997</v>
      </c>
      <c r="D1004">
        <v>22</v>
      </c>
      <c r="E1004" s="18">
        <v>6510.207920393433</v>
      </c>
      <c r="F1004" s="18">
        <v>5138.126967028062</v>
      </c>
      <c r="G1004" s="18">
        <v>-576.384409170038</v>
      </c>
      <c r="H1004" s="12">
        <f>E1005</f>
      </c>
      <c r="I1004" s="12">
        <f>F1005</f>
      </c>
      <c r="J1004" s="12">
        <f>G1005</f>
      </c>
      <c r="K1004">
        <f>IF(AND(Pu&gt;=MIN(E1004,H1004),Pu&lt;=MAX(E1004,H1004),E1004&lt;&gt;H1004),1,0)</f>
      </c>
      <c r="L1004">
        <f>IF(K1004=1,(Pu-E1004)/(H1004-E1004),"")</f>
      </c>
      <c r="M1004" s="12">
        <f>IF(K1004=1,F1004+L1004*(I1004-F1004),"")</f>
      </c>
      <c r="N1004" s="12">
        <f>IF(K1004=1,G1004+L1004*(J1004-G1004),"")</f>
      </c>
    </row>
    <row r="1005" spans="2:14" x14ac:dyDescent="0.25">
      <c r="B1005">
        <v>28</v>
      </c>
      <c r="C1005">
        <v>95.62499999999997</v>
      </c>
      <c r="D1005">
        <v>23</v>
      </c>
      <c r="E1005" s="18">
        <v>5504.7609167329765</v>
      </c>
      <c r="F1005" s="18">
        <v>4866.17647016672</v>
      </c>
      <c r="G1005" s="18">
        <v>-609.156441429872</v>
      </c>
      <c r="H1005" s="12">
        <f>E1006</f>
      </c>
      <c r="I1005" s="12">
        <f>F1006</f>
      </c>
      <c r="J1005" s="12">
        <f>G1006</f>
      </c>
      <c r="K1005">
        <f>IF(AND(Pu&gt;=MIN(E1005,H1005),Pu&lt;=MAX(E1005,H1005),E1005&lt;&gt;H1005),1,0)</f>
      </c>
      <c r="L1005">
        <f>IF(K1005=1,(Pu-E1005)/(H1005-E1005),"")</f>
      </c>
      <c r="M1005" s="12">
        <f>IF(K1005=1,F1005+L1005*(I1005-F1005),"")</f>
      </c>
      <c r="N1005" s="12">
        <f>IF(K1005=1,G1005+L1005*(J1005-G1005),"")</f>
      </c>
    </row>
    <row r="1006" spans="2:14" x14ac:dyDescent="0.25">
      <c r="B1006">
        <v>28</v>
      </c>
      <c r="C1006">
        <v>95.62499999999997</v>
      </c>
      <c r="D1006">
        <v>24</v>
      </c>
      <c r="E1006" s="18">
        <v>4669.396563250342</v>
      </c>
      <c r="F1006" s="18">
        <v>4590.7092405978</v>
      </c>
      <c r="G1006" s="18">
        <v>-647.8593037494421</v>
      </c>
      <c r="H1006" s="12">
        <f>E1007</f>
      </c>
      <c r="I1006" s="12">
        <f>F1007</f>
      </c>
      <c r="J1006" s="12">
        <f>G1007</f>
      </c>
      <c r="K1006">
        <f>IF(AND(Pu&gt;=MIN(E1006,H1006),Pu&lt;=MAX(E1006,H1006),E1006&lt;&gt;H1006),1,0)</f>
      </c>
      <c r="L1006">
        <f>IF(K1006=1,(Pu-E1006)/(H1006-E1006),"")</f>
      </c>
      <c r="M1006" s="12">
        <f>IF(K1006=1,F1006+L1006*(I1006-F1006),"")</f>
      </c>
      <c r="N1006" s="12">
        <f>IF(K1006=1,G1006+L1006*(J1006-G1006),"")</f>
      </c>
    </row>
    <row r="1007" spans="2:14" x14ac:dyDescent="0.25">
      <c r="B1007">
        <v>28</v>
      </c>
      <c r="C1007">
        <v>95.62499999999997</v>
      </c>
      <c r="D1007">
        <v>25</v>
      </c>
      <c r="E1007" s="18">
        <v>3814.8567319189747</v>
      </c>
      <c r="F1007" s="18">
        <v>4280.175070001697</v>
      </c>
      <c r="G1007" s="18">
        <v>-671.7136875294218</v>
      </c>
      <c r="H1007" s="12">
        <f>E1008</f>
      </c>
      <c r="I1007" s="12">
        <f>F1008</f>
      </c>
      <c r="J1007" s="12">
        <f>G1008</f>
      </c>
      <c r="K1007">
        <f>IF(AND(Pu&gt;=MIN(E1007,H1007),Pu&lt;=MAX(E1007,H1007),E1007&lt;&gt;H1007),1,0)</f>
      </c>
      <c r="L1007">
        <f>IF(K1007=1,(Pu-E1007)/(H1007-E1007),"")</f>
      </c>
      <c r="M1007" s="12">
        <f>IF(K1007=1,F1007+L1007*(I1007-F1007),"")</f>
      </c>
      <c r="N1007" s="12">
        <f>IF(K1007=1,G1007+L1007*(J1007-G1007),"")</f>
      </c>
    </row>
    <row r="1008" spans="2:14" x14ac:dyDescent="0.25">
      <c r="B1008">
        <v>28</v>
      </c>
      <c r="C1008">
        <v>95.62499999999997</v>
      </c>
      <c r="D1008">
        <v>26</v>
      </c>
      <c r="E1008" s="18">
        <v>2413.6684264617206</v>
      </c>
      <c r="F1008" s="18">
        <v>3719.905295648512</v>
      </c>
      <c r="G1008" s="18">
        <v>-711.044429053807</v>
      </c>
      <c r="H1008" s="12">
        <f>E1009</f>
      </c>
      <c r="I1008" s="12">
        <f>F1009</f>
      </c>
      <c r="J1008" s="12">
        <f>G1009</f>
      </c>
      <c r="K1008">
        <f>IF(AND(Pu&gt;=MIN(E1008,H1008),Pu&lt;=MAX(E1008,H1008),E1008&lt;&gt;H1008),1,0)</f>
      </c>
      <c r="L1008">
        <f>IF(K1008=1,(Pu-E1008)/(H1008-E1008),"")</f>
      </c>
      <c r="M1008" s="12">
        <f>IF(K1008=1,F1008+L1008*(I1008-F1008),"")</f>
      </c>
      <c r="N1008" s="12">
        <f>IF(K1008=1,G1008+L1008*(J1008-G1008),"")</f>
      </c>
    </row>
    <row r="1009" spans="2:14" x14ac:dyDescent="0.25">
      <c r="B1009">
        <v>28</v>
      </c>
      <c r="C1009">
        <v>95.62499999999997</v>
      </c>
      <c r="D1009">
        <v>27</v>
      </c>
      <c r="E1009" s="18">
        <v>1286.2356264977761</v>
      </c>
      <c r="F1009" s="18">
        <v>3221.5262707941088</v>
      </c>
      <c r="G1009" s="18">
        <v>-653.3022122401593</v>
      </c>
      <c r="H1009" s="12">
        <f>E1010</f>
      </c>
      <c r="I1009" s="12">
        <f>F1010</f>
      </c>
      <c r="J1009" s="12">
        <f>G1010</f>
      </c>
      <c r="K1009">
        <f>IF(AND(Pu&gt;=MIN(E1009,H1009),Pu&lt;=MAX(E1009,H1009),E1009&lt;&gt;H1009),1,0)</f>
      </c>
      <c r="L1009">
        <f>IF(K1009=1,(Pu-E1009)/(H1009-E1009),"")</f>
      </c>
      <c r="M1009" s="12">
        <f>IF(K1009=1,F1009+L1009*(I1009-F1009),"")</f>
      </c>
      <c r="N1009" s="12">
        <f>IF(K1009=1,G1009+L1009*(J1009-G1009),"")</f>
      </c>
    </row>
    <row r="1010" spans="2:14" x14ac:dyDescent="0.25">
      <c r="B1010">
        <v>28</v>
      </c>
      <c r="C1010">
        <v>95.62499999999997</v>
      </c>
      <c r="D1010">
        <v>28</v>
      </c>
      <c r="E1010" s="18">
        <v>396.93037802843565</v>
      </c>
      <c r="F1010" s="18">
        <v>2807.3748307744763</v>
      </c>
      <c r="G1010" s="18">
        <v>-574.6991044572691</v>
      </c>
      <c r="H1010" s="12">
        <f>E1011</f>
      </c>
      <c r="I1010" s="12">
        <f>F1011</f>
      </c>
      <c r="J1010" s="12">
        <f>G1011</f>
      </c>
      <c r="K1010">
        <f>IF(AND(Pu&gt;=MIN(E1010,H1010),Pu&lt;=MAX(E1010,H1010),E1010&lt;&gt;H1010),1,0)</f>
      </c>
      <c r="L1010">
        <f>IF(K1010=1,(Pu-E1010)/(H1010-E1010),"")</f>
      </c>
      <c r="M1010" s="12">
        <f>IF(K1010=1,F1010+L1010*(I1010-F1010),"")</f>
      </c>
      <c r="N1010" s="12">
        <f>IF(K1010=1,G1010+L1010*(J1010-G1010),"")</f>
      </c>
    </row>
    <row r="1011" spans="2:14" x14ac:dyDescent="0.25">
      <c r="B1011">
        <v>28</v>
      </c>
      <c r="C1011">
        <v>95.62499999999997</v>
      </c>
      <c r="D1011">
        <v>29</v>
      </c>
      <c r="E1011" s="18">
        <v>-332.1588215941761</v>
      </c>
      <c r="F1011" s="18">
        <v>2458.2892352668114</v>
      </c>
      <c r="G1011" s="18">
        <v>-493.9210882867265</v>
      </c>
      <c r="H1011" s="12">
        <f>E1012</f>
      </c>
      <c r="I1011" s="12">
        <f>F1012</f>
      </c>
      <c r="J1011" s="12">
        <f>G1012</f>
      </c>
      <c r="K1011">
        <f>IF(AND(Pu&gt;=MIN(E1011,H1011),Pu&lt;=MAX(E1011,H1011),E1011&lt;&gt;H1011),1,0)</f>
      </c>
      <c r="L1011">
        <f>IF(K1011=1,(Pu-E1011)/(H1011-E1011),"")</f>
      </c>
      <c r="M1011" s="12">
        <f>IF(K1011=1,F1011+L1011*(I1011-F1011),"")</f>
      </c>
      <c r="N1011" s="12">
        <f>IF(K1011=1,G1011+L1011*(J1011-G1011),"")</f>
      </c>
    </row>
    <row r="1012" spans="2:14" x14ac:dyDescent="0.25">
      <c r="B1012">
        <v>28</v>
      </c>
      <c r="C1012">
        <v>95.62499999999997</v>
      </c>
      <c r="D1012">
        <v>30</v>
      </c>
      <c r="E1012" s="18">
        <v>-1370.4505478527622</v>
      </c>
      <c r="F1012" s="18">
        <v>1926.3011714902427</v>
      </c>
      <c r="G1012" s="18">
        <v>-448.3808504780928</v>
      </c>
      <c r="H1012" s="12">
        <f>E1013</f>
      </c>
      <c r="I1012" s="12">
        <f>F1013</f>
      </c>
      <c r="J1012" s="12">
        <f>G1013</f>
      </c>
      <c r="K1012">
        <f>IF(AND(Pu&gt;=MIN(E1012,H1012),Pu&lt;=MAX(E1012,H1012),E1012&lt;&gt;H1012),1,0)</f>
      </c>
      <c r="L1012">
        <f>IF(K1012=1,(Pu-E1012)/(H1012-E1012),"")</f>
      </c>
      <c r="M1012" s="12">
        <f>IF(K1012=1,F1012+L1012*(I1012-F1012),"")</f>
      </c>
      <c r="N1012" s="12">
        <f>IF(K1012=1,G1012+L1012*(J1012-G1012),"")</f>
      </c>
    </row>
    <row r="1013" spans="2:14" x14ac:dyDescent="0.25">
      <c r="B1013">
        <v>28</v>
      </c>
      <c r="C1013">
        <v>95.62499999999997</v>
      </c>
      <c r="D1013">
        <v>31</v>
      </c>
      <c r="E1013" s="18">
        <v>-2163.5971805249333</v>
      </c>
      <c r="F1013" s="18">
        <v>1503.5105349483326</v>
      </c>
      <c r="G1013" s="18">
        <v>-441.74908607850756</v>
      </c>
      <c r="H1013" s="12">
        <f>E1014</f>
      </c>
      <c r="I1013" s="12">
        <f>F1014</f>
      </c>
      <c r="J1013" s="12">
        <f>G1014</f>
      </c>
      <c r="K1013">
        <f>IF(AND(Pu&gt;=MIN(E1013,H1013),Pu&lt;=MAX(E1013,H1013),E1013&lt;&gt;H1013),1,0)</f>
      </c>
      <c r="L1013">
        <f>IF(K1013=1,(Pu-E1013)/(H1013-E1013),"")</f>
      </c>
      <c r="M1013" s="12">
        <f>IF(K1013=1,F1013+L1013*(I1013-F1013),"")</f>
      </c>
      <c r="N1013" s="12">
        <f>IF(K1013=1,G1013+L1013*(J1013-G1013),"")</f>
      </c>
    </row>
    <row r="1014" spans="2:14" x14ac:dyDescent="0.25">
      <c r="B1014">
        <v>28</v>
      </c>
      <c r="C1014">
        <v>95.62499999999997</v>
      </c>
      <c r="D1014">
        <v>32</v>
      </c>
      <c r="E1014" s="18">
        <v>-3315.9726018887295</v>
      </c>
      <c r="F1014" s="18">
        <v>882.6514422424208</v>
      </c>
      <c r="G1014" s="18">
        <v>-412.4645162688031</v>
      </c>
      <c r="H1014" s="12">
        <f>E1015</f>
      </c>
      <c r="I1014" s="12">
        <f>F1015</f>
      </c>
      <c r="J1014" s="12">
        <f>G1015</f>
      </c>
      <c r="K1014">
        <f>IF(AND(Pu&gt;=MIN(E1014,H1014),Pu&lt;=MAX(E1014,H1014),E1014&lt;&gt;H1014),1,0)</f>
      </c>
      <c r="L1014">
        <f>IF(K1014=1,(Pu-E1014)/(H1014-E1014),"")</f>
      </c>
      <c r="M1014" s="12">
        <f>IF(K1014=1,F1014+L1014*(I1014-F1014),"")</f>
      </c>
      <c r="N1014" s="12">
        <f>IF(K1014=1,G1014+L1014*(J1014-G1014),"")</f>
      </c>
    </row>
    <row r="1015" spans="2:14" x14ac:dyDescent="0.25">
      <c r="B1015">
        <v>28</v>
      </c>
      <c r="C1015">
        <v>95.62499999999997</v>
      </c>
      <c r="D1015">
        <v>33</v>
      </c>
      <c r="E1015" s="18">
        <v>-3981.227864325373</v>
      </c>
      <c r="F1015" s="18">
        <v>522.2054536554828</v>
      </c>
      <c r="G1015" s="18">
        <v>-311.30535215442075</v>
      </c>
      <c r="H1015" s="12">
        <f>E1016</f>
      </c>
      <c r="I1015" s="12">
        <f>F1016</f>
      </c>
      <c r="J1015" s="12">
        <f>G1016</f>
      </c>
      <c r="K1015">
        <f>IF(AND(Pu&gt;=MIN(E1015,H1015),Pu&lt;=MAX(E1015,H1015),E1015&lt;&gt;H1015),1,0)</f>
      </c>
      <c r="L1015">
        <f>IF(K1015=1,(Pu-E1015)/(H1015-E1015),"")</f>
      </c>
      <c r="M1015" s="12">
        <f>IF(K1015=1,F1015+L1015*(I1015-F1015),"")</f>
      </c>
      <c r="N1015" s="12">
        <f>IF(K1015=1,G1015+L1015*(J1015-G1015),"")</f>
      </c>
    </row>
    <row r="1016" spans="2:14" x14ac:dyDescent="0.25">
      <c r="B1016">
        <v>28</v>
      </c>
      <c r="C1016">
        <v>95.62499999999997</v>
      </c>
      <c r="D1016">
        <v>34</v>
      </c>
      <c r="E1016" s="18">
        <v>-4653.506980435235</v>
      </c>
      <c r="F1016" s="18">
        <v>155.0511003057696</v>
      </c>
      <c r="G1016" s="18">
        <v>-111.43721621348683</v>
      </c>
      <c r="H1016" s="12">
        <f>E1017</f>
      </c>
      <c r="I1016" s="12">
        <f>F1017</f>
      </c>
      <c r="J1016" s="12">
        <f>G1017</f>
      </c>
      <c r="K1016">
        <f>IF(AND(Pu&gt;=MIN(E1016,H1016),Pu&lt;=MAX(E1016,H1016),E1016&lt;&gt;H1016),1,0)</f>
      </c>
      <c r="L1016">
        <f>IF(K1016=1,(Pu-E1016)/(H1016-E1016),"")</f>
      </c>
      <c r="M1016" s="12">
        <f>IF(K1016=1,F1016+L1016*(I1016-F1016),"")</f>
      </c>
      <c r="N1016" s="12">
        <f>IF(K1016=1,G1016+L1016*(J1016-G1016),"")</f>
      </c>
    </row>
    <row r="1017" spans="2:7" x14ac:dyDescent="0.25">
      <c r="B1017">
        <v>28</v>
      </c>
      <c r="C1017">
        <v>95.62499999999997</v>
      </c>
      <c r="D1017">
        <v>35</v>
      </c>
      <c r="E1017" s="18">
        <v>-4785.534673572296</v>
      </c>
      <c r="F1017" s="18">
        <v>80.18971274535687</v>
      </c>
      <c r="G1017" s="18">
        <v>-61.298470102946546</v>
      </c>
    </row>
    <row r="1019" spans="2:14" x14ac:dyDescent="0.25">
      <c r="B1019">
        <v>29</v>
      </c>
      <c r="C1019">
        <v>97.5</v>
      </c>
      <c r="D1019">
        <v>1</v>
      </c>
      <c r="E1019" s="18">
        <v>16783.311291715534</v>
      </c>
      <c r="F1019" s="18">
        <v>2525.9633651554827</v>
      </c>
      <c r="G1019" s="18">
        <v>-591.2537739247877</v>
      </c>
      <c r="H1019" s="12">
        <f>E1020</f>
      </c>
      <c r="I1019" s="12">
        <f>F1020</f>
      </c>
      <c r="J1019" s="12">
        <f>G1020</f>
      </c>
      <c r="K1019">
        <f>IF(AND(Pu&gt;=MIN(E1019,H1019),Pu&lt;=MAX(E1019,H1019),E1019&lt;&gt;H1019),1,0)</f>
      </c>
      <c r="L1019">
        <f>IF(K1019=1,(Pu-E1019)/(H1019-E1019),"")</f>
      </c>
      <c r="M1019" s="12">
        <f>IF(K1019=1,F1019+L1019*(I1019-F1019),"")</f>
      </c>
      <c r="N1019" s="12">
        <f>IF(K1019=1,G1019+L1019*(J1019-G1019),"")</f>
      </c>
    </row>
    <row r="1020" spans="2:14" x14ac:dyDescent="0.25">
      <c r="B1020">
        <v>29</v>
      </c>
      <c r="C1020">
        <v>97.5</v>
      </c>
      <c r="D1020">
        <v>2</v>
      </c>
      <c r="E1020" s="18">
        <v>15373.286133338686</v>
      </c>
      <c r="F1020" s="18">
        <v>3058.970852652514</v>
      </c>
      <c r="G1020" s="18">
        <v>-519.9861585847698</v>
      </c>
      <c r="H1020" s="12">
        <f>E1021</f>
      </c>
      <c r="I1020" s="12">
        <f>F1021</f>
      </c>
      <c r="J1020" s="12">
        <f>G1021</f>
      </c>
      <c r="K1020">
        <f>IF(AND(Pu&gt;=MIN(E1020,H1020),Pu&lt;=MAX(E1020,H1020),E1020&lt;&gt;H1020),1,0)</f>
      </c>
      <c r="L1020">
        <f>IF(K1020=1,(Pu-E1020)/(H1020-E1020),"")</f>
      </c>
      <c r="M1020" s="12">
        <f>IF(K1020=1,F1020+L1020*(I1020-F1020),"")</f>
      </c>
      <c r="N1020" s="12">
        <f>IF(K1020=1,G1020+L1020*(J1020-G1020),"")</f>
      </c>
    </row>
    <row r="1021" spans="2:14" x14ac:dyDescent="0.25">
      <c r="B1021">
        <v>29</v>
      </c>
      <c r="C1021">
        <v>97.5</v>
      </c>
      <c r="D1021">
        <v>3</v>
      </c>
      <c r="E1021" s="18">
        <v>14282.314957005558</v>
      </c>
      <c r="F1021" s="18">
        <v>3401.278797212363</v>
      </c>
      <c r="G1021" s="18">
        <v>-496.02592562510534</v>
      </c>
      <c r="H1021" s="12">
        <f>E1022</f>
      </c>
      <c r="I1021" s="12">
        <f>F1022</f>
      </c>
      <c r="J1021" s="12">
        <f>G1022</f>
      </c>
      <c r="K1021">
        <f>IF(AND(Pu&gt;=MIN(E1021,H1021),Pu&lt;=MAX(E1021,H1021),E1021&lt;&gt;H1021),1,0)</f>
      </c>
      <c r="L1021">
        <f>IF(K1021=1,(Pu-E1021)/(H1021-E1021),"")</f>
      </c>
      <c r="M1021" s="12">
        <f>IF(K1021=1,F1021+L1021*(I1021-F1021),"")</f>
      </c>
      <c r="N1021" s="12">
        <f>IF(K1021=1,G1021+L1021*(J1021-G1021),"")</f>
      </c>
    </row>
    <row r="1022" spans="2:14" x14ac:dyDescent="0.25">
      <c r="B1022">
        <v>29</v>
      </c>
      <c r="C1022">
        <v>97.5</v>
      </c>
      <c r="D1022">
        <v>4</v>
      </c>
      <c r="E1022" s="18">
        <v>12608.070249226412</v>
      </c>
      <c r="F1022" s="18">
        <v>3803.059258483867</v>
      </c>
      <c r="G1022" s="18">
        <v>-519.8314751403711</v>
      </c>
      <c r="H1022" s="12">
        <f>E1023</f>
      </c>
      <c r="I1022" s="12">
        <f>F1023</f>
      </c>
      <c r="J1022" s="12">
        <f>G1023</f>
      </c>
      <c r="K1022">
        <f>IF(AND(Pu&gt;=MIN(E1022,H1022),Pu&lt;=MAX(E1022,H1022),E1022&lt;&gt;H1022),1,0)</f>
      </c>
      <c r="L1022">
        <f>IF(K1022=1,(Pu-E1022)/(H1022-E1022),"")</f>
      </c>
      <c r="M1022" s="12">
        <f>IF(K1022=1,F1022+L1022*(I1022-F1022),"")</f>
      </c>
      <c r="N1022" s="12">
        <f>IF(K1022=1,G1022+L1022*(J1022-G1022),"")</f>
      </c>
    </row>
    <row r="1023" spans="2:14" x14ac:dyDescent="0.25">
      <c r="B1023">
        <v>29</v>
      </c>
      <c r="C1023">
        <v>97.5</v>
      </c>
      <c r="D1023">
        <v>5</v>
      </c>
      <c r="E1023" s="18">
        <v>11178.378356825642</v>
      </c>
      <c r="F1023" s="18">
        <v>4055.7792964663204</v>
      </c>
      <c r="G1023" s="18">
        <v>-548.2872052137427</v>
      </c>
      <c r="H1023" s="12">
        <f>E1024</f>
      </c>
      <c r="I1023" s="12">
        <f>F1024</f>
      </c>
      <c r="J1023" s="12">
        <f>G1024</f>
      </c>
      <c r="K1023">
        <f>IF(AND(Pu&gt;=MIN(E1023,H1023),Pu&lt;=MAX(E1023,H1023),E1023&lt;&gt;H1023),1,0)</f>
      </c>
      <c r="L1023">
        <f>IF(K1023=1,(Pu-E1023)/(H1023-E1023),"")</f>
      </c>
      <c r="M1023" s="12">
        <f>IF(K1023=1,F1023+L1023*(I1023-F1023),"")</f>
      </c>
      <c r="N1023" s="12">
        <f>IF(K1023=1,G1023+L1023*(J1023-G1023),"")</f>
      </c>
    </row>
    <row r="1024" spans="2:14" x14ac:dyDescent="0.25">
      <c r="B1024">
        <v>29</v>
      </c>
      <c r="C1024">
        <v>97.5</v>
      </c>
      <c r="D1024">
        <v>6</v>
      </c>
      <c r="E1024" s="18">
        <v>9950.296518298674</v>
      </c>
      <c r="F1024" s="18">
        <v>4223.348050319825</v>
      </c>
      <c r="G1024" s="18">
        <v>-585.807611331559</v>
      </c>
      <c r="H1024" s="12">
        <f>E1025</f>
      </c>
      <c r="I1024" s="12">
        <f>F1025</f>
      </c>
      <c r="J1024" s="12">
        <f>G1025</f>
      </c>
      <c r="K1024">
        <f>IF(AND(Pu&gt;=MIN(E1024,H1024),Pu&lt;=MAX(E1024,H1024),E1024&lt;&gt;H1024),1,0)</f>
      </c>
      <c r="L1024">
        <f>IF(K1024=1,(Pu-E1024)/(H1024-E1024),"")</f>
      </c>
      <c r="M1024" s="12">
        <f>IF(K1024=1,F1024+L1024*(I1024-F1024),"")</f>
      </c>
      <c r="N1024" s="12">
        <f>IF(K1024=1,G1024+L1024*(J1024-G1024),"")</f>
      </c>
    </row>
    <row r="1025" spans="2:14" x14ac:dyDescent="0.25">
      <c r="B1025">
        <v>29</v>
      </c>
      <c r="C1025">
        <v>97.5</v>
      </c>
      <c r="D1025">
        <v>7</v>
      </c>
      <c r="E1025" s="18">
        <v>9117.635316264068</v>
      </c>
      <c r="F1025" s="18">
        <v>4319.943397716331</v>
      </c>
      <c r="G1025" s="18">
        <v>-598.3120274304989</v>
      </c>
      <c r="H1025" s="12">
        <f>E1026</f>
      </c>
      <c r="I1025" s="12">
        <f>F1026</f>
      </c>
      <c r="J1025" s="12">
        <f>G1026</f>
      </c>
      <c r="K1025">
        <f>IF(AND(Pu&gt;=MIN(E1025,H1025),Pu&lt;=MAX(E1025,H1025),E1025&lt;&gt;H1025),1,0)</f>
      </c>
      <c r="L1025">
        <f>IF(K1025=1,(Pu-E1025)/(H1025-E1025),"")</f>
      </c>
      <c r="M1025" s="12">
        <f>IF(K1025=1,F1025+L1025*(I1025-F1025),"")</f>
      </c>
      <c r="N1025" s="12">
        <f>IF(K1025=1,G1025+L1025*(J1025-G1025),"")</f>
      </c>
    </row>
    <row r="1026" spans="2:14" x14ac:dyDescent="0.25">
      <c r="B1026">
        <v>29</v>
      </c>
      <c r="C1026">
        <v>97.5</v>
      </c>
      <c r="D1026">
        <v>8</v>
      </c>
      <c r="E1026" s="18">
        <v>8976.388238169377</v>
      </c>
      <c r="F1026" s="18">
        <v>4390.356707360262</v>
      </c>
      <c r="G1026" s="18">
        <v>-607.4308964249175</v>
      </c>
      <c r="H1026" s="12">
        <f>E1027</f>
      </c>
      <c r="I1026" s="12">
        <f>F1027</f>
      </c>
      <c r="J1026" s="12">
        <f>G1027</f>
      </c>
      <c r="K1026">
        <f>IF(AND(Pu&gt;=MIN(E1026,H1026),Pu&lt;=MAX(E1026,H1026),E1026&lt;&gt;H1026),1,0)</f>
      </c>
      <c r="L1026">
        <f>IF(K1026=1,(Pu-E1026)/(H1026-E1026),"")</f>
      </c>
      <c r="M1026" s="12">
        <f>IF(K1026=1,F1026+L1026*(I1026-F1026),"")</f>
      </c>
      <c r="N1026" s="12">
        <f>IF(K1026=1,G1026+L1026*(J1026-G1026),"")</f>
      </c>
    </row>
    <row r="1027" spans="2:14" x14ac:dyDescent="0.25">
      <c r="B1027">
        <v>29</v>
      </c>
      <c r="C1027">
        <v>97.5</v>
      </c>
      <c r="D1027">
        <v>9</v>
      </c>
      <c r="E1027" s="18">
        <v>8695.511322580407</v>
      </c>
      <c r="F1027" s="18">
        <v>4526.187163597768</v>
      </c>
      <c r="G1027" s="18">
        <v>-623.61486322195</v>
      </c>
      <c r="H1027" s="12">
        <f>E1028</f>
      </c>
      <c r="I1027" s="12">
        <f>F1028</f>
      </c>
      <c r="J1027" s="12">
        <f>G1028</f>
      </c>
      <c r="K1027">
        <f>IF(AND(Pu&gt;=MIN(E1027,H1027),Pu&lt;=MAX(E1027,H1027),E1027&lt;&gt;H1027),1,0)</f>
      </c>
      <c r="L1027">
        <f>IF(K1027=1,(Pu-E1027)/(H1027-E1027),"")</f>
      </c>
      <c r="M1027" s="12">
        <f>IF(K1027=1,F1027+L1027*(I1027-F1027),"")</f>
      </c>
      <c r="N1027" s="12">
        <f>IF(K1027=1,G1027+L1027*(J1027-G1027),"")</f>
      </c>
    </row>
    <row r="1028" spans="2:14" x14ac:dyDescent="0.25">
      <c r="B1028">
        <v>29</v>
      </c>
      <c r="C1028">
        <v>97.5</v>
      </c>
      <c r="D1028">
        <v>10</v>
      </c>
      <c r="E1028" s="18">
        <v>8515.478847474342</v>
      </c>
      <c r="F1028" s="18">
        <v>4606.843932615646</v>
      </c>
      <c r="G1028" s="18">
        <v>-642.0947883591992</v>
      </c>
      <c r="H1028" s="12">
        <f>E1029</f>
      </c>
      <c r="I1028" s="12">
        <f>F1029</f>
      </c>
      <c r="J1028" s="12">
        <f>G1029</f>
      </c>
      <c r="K1028">
        <f>IF(AND(Pu&gt;=MIN(E1028,H1028),Pu&lt;=MAX(E1028,H1028),E1028&lt;&gt;H1028),1,0)</f>
      </c>
      <c r="L1028">
        <f>IF(K1028=1,(Pu-E1028)/(H1028-E1028),"")</f>
      </c>
      <c r="M1028" s="12">
        <f>IF(K1028=1,F1028+L1028*(I1028-F1028),"")</f>
      </c>
      <c r="N1028" s="12">
        <f>IF(K1028=1,G1028+L1028*(J1028-G1028),"")</f>
      </c>
    </row>
    <row r="1029" spans="2:14" x14ac:dyDescent="0.25">
      <c r="B1029">
        <v>29</v>
      </c>
      <c r="C1029">
        <v>97.5</v>
      </c>
      <c r="D1029">
        <v>11</v>
      </c>
      <c r="E1029" s="18">
        <v>8375.365073182651</v>
      </c>
      <c r="F1029" s="18">
        <v>4665.802523242486</v>
      </c>
      <c r="G1029" s="18">
        <v>-660.135816225097</v>
      </c>
      <c r="H1029" s="12">
        <f>E1030</f>
      </c>
      <c r="I1029" s="12">
        <f>F1030</f>
      </c>
      <c r="J1029" s="12">
        <f>G1030</f>
      </c>
      <c r="K1029">
        <f>IF(AND(Pu&gt;=MIN(E1029,H1029),Pu&lt;=MAX(E1029,H1029),E1029&lt;&gt;H1029),1,0)</f>
      </c>
      <c r="L1029">
        <f>IF(K1029=1,(Pu-E1029)/(H1029-E1029),"")</f>
      </c>
      <c r="M1029" s="12">
        <f>IF(K1029=1,F1029+L1029*(I1029-F1029),"")</f>
      </c>
      <c r="N1029" s="12">
        <f>IF(K1029=1,G1029+L1029*(J1029-G1029),"")</f>
      </c>
    </row>
    <row r="1030" spans="2:14" x14ac:dyDescent="0.25">
      <c r="B1030">
        <v>29</v>
      </c>
      <c r="C1030">
        <v>97.5</v>
      </c>
      <c r="D1030">
        <v>12</v>
      </c>
      <c r="E1030" s="18">
        <v>8156.366166184965</v>
      </c>
      <c r="F1030" s="18">
        <v>4755.784701471265</v>
      </c>
      <c r="G1030" s="18">
        <v>-685.8633235042436</v>
      </c>
      <c r="H1030" s="12">
        <f>E1031</f>
      </c>
      <c r="I1030" s="12">
        <f>F1031</f>
      </c>
      <c r="J1030" s="12">
        <f>G1031</f>
      </c>
      <c r="K1030">
        <f>IF(AND(Pu&gt;=MIN(E1030,H1030),Pu&lt;=MAX(E1030,H1030),E1030&lt;&gt;H1030),1,0)</f>
      </c>
      <c r="L1030">
        <f>IF(K1030=1,(Pu-E1030)/(H1030-E1030),"")</f>
      </c>
      <c r="M1030" s="12">
        <f>IF(K1030=1,F1030+L1030*(I1030-F1030),"")</f>
      </c>
      <c r="N1030" s="12">
        <f>IF(K1030=1,G1030+L1030*(J1030-G1030),"")</f>
      </c>
    </row>
    <row r="1031" spans="2:14" x14ac:dyDescent="0.25">
      <c r="B1031">
        <v>29</v>
      </c>
      <c r="C1031">
        <v>97.5</v>
      </c>
      <c r="D1031">
        <v>13</v>
      </c>
      <c r="E1031" s="18">
        <v>8089.278857011081</v>
      </c>
      <c r="F1031" s="18">
        <v>4783.394749382716</v>
      </c>
      <c r="G1031" s="18">
        <v>-689.87397524186</v>
      </c>
      <c r="H1031" s="12">
        <f>E1032</f>
      </c>
      <c r="I1031" s="12">
        <f>F1032</f>
      </c>
      <c r="J1031" s="12">
        <f>G1032</f>
      </c>
      <c r="K1031">
        <f>IF(AND(Pu&gt;=MIN(E1031,H1031),Pu&lt;=MAX(E1031,H1031),E1031&lt;&gt;H1031),1,0)</f>
      </c>
      <c r="L1031">
        <f>IF(K1031=1,(Pu-E1031)/(H1031-E1031),"")</f>
      </c>
      <c r="M1031" s="12">
        <f>IF(K1031=1,F1031+L1031*(I1031-F1031),"")</f>
      </c>
      <c r="N1031" s="12">
        <f>IF(K1031=1,G1031+L1031*(J1031-G1031),"")</f>
      </c>
    </row>
    <row r="1032" spans="2:14" x14ac:dyDescent="0.25">
      <c r="B1032">
        <v>29</v>
      </c>
      <c r="C1032">
        <v>97.5</v>
      </c>
      <c r="D1032">
        <v>14</v>
      </c>
      <c r="E1032" s="18">
        <v>7831.868232785267</v>
      </c>
      <c r="F1032" s="18">
        <v>4886.196734096989</v>
      </c>
      <c r="G1032" s="18">
        <v>-705.1883761145464</v>
      </c>
      <c r="H1032" s="12">
        <f>E1033</f>
      </c>
      <c r="I1032" s="12">
        <f>F1033</f>
      </c>
      <c r="J1032" s="12">
        <f>G1033</f>
      </c>
      <c r="K1032">
        <f>IF(AND(Pu&gt;=MIN(E1032,H1032),Pu&lt;=MAX(E1032,H1032),E1032&lt;&gt;H1032),1,0)</f>
      </c>
      <c r="L1032">
        <f>IF(K1032=1,(Pu-E1032)/(H1032-E1032),"")</f>
      </c>
      <c r="M1032" s="12">
        <f>IF(K1032=1,F1032+L1032*(I1032-F1032),"")</f>
      </c>
      <c r="N1032" s="12">
        <f>IF(K1032=1,G1032+L1032*(J1032-G1032),"")</f>
      </c>
    </row>
    <row r="1033" spans="2:14" x14ac:dyDescent="0.25">
      <c r="B1033">
        <v>29</v>
      </c>
      <c r="C1033">
        <v>97.5</v>
      </c>
      <c r="D1033">
        <v>15</v>
      </c>
      <c r="E1033" s="18">
        <v>7823.173457758006</v>
      </c>
      <c r="F1033" s="18">
        <v>4889.586096813953</v>
      </c>
      <c r="G1033" s="18">
        <v>-705.7022000096438</v>
      </c>
      <c r="H1033" s="12">
        <f>E1034</f>
      </c>
      <c r="I1033" s="12">
        <f>F1034</f>
      </c>
      <c r="J1033" s="12">
        <f>G1034</f>
      </c>
      <c r="K1033">
        <f>IF(AND(Pu&gt;=MIN(E1033,H1033),Pu&lt;=MAX(E1033,H1033),E1033&lt;&gt;H1033),1,0)</f>
      </c>
      <c r="L1033">
        <f>IF(K1033=1,(Pu-E1033)/(H1033-E1033),"")</f>
      </c>
      <c r="M1033" s="12">
        <f>IF(K1033=1,F1033+L1033*(I1033-F1033),"")</f>
      </c>
      <c r="N1033" s="12">
        <f>IF(K1033=1,G1033+L1033*(J1033-G1033),"")</f>
      </c>
    </row>
    <row r="1034" spans="2:14" x14ac:dyDescent="0.25">
      <c r="B1034">
        <v>29</v>
      </c>
      <c r="C1034">
        <v>97.5</v>
      </c>
      <c r="D1034">
        <v>16</v>
      </c>
      <c r="E1034" s="18">
        <v>7611.613220078187</v>
      </c>
      <c r="F1034" s="18">
        <v>4988.74717144061</v>
      </c>
      <c r="G1034" s="18">
        <v>-719.9378198609484</v>
      </c>
      <c r="H1034" s="12">
        <f>E1035</f>
      </c>
      <c r="I1034" s="12">
        <f>F1035</f>
      </c>
      <c r="J1034" s="12">
        <f>G1035</f>
      </c>
      <c r="K1034">
        <f>IF(AND(Pu&gt;=MIN(E1034,H1034),Pu&lt;=MAX(E1034,H1034),E1034&lt;&gt;H1034),1,0)</f>
      </c>
      <c r="L1034">
        <f>IF(K1034=1,(Pu-E1034)/(H1034-E1034),"")</f>
      </c>
      <c r="M1034" s="12">
        <f>IF(K1034=1,F1034+L1034*(I1034-F1034),"")</f>
      </c>
      <c r="N1034" s="12">
        <f>IF(K1034=1,G1034+L1034*(J1034-G1034),"")</f>
      </c>
    </row>
    <row r="1035" spans="2:14" x14ac:dyDescent="0.25">
      <c r="B1035">
        <v>29</v>
      </c>
      <c r="C1035">
        <v>97.5</v>
      </c>
      <c r="D1035">
        <v>17</v>
      </c>
      <c r="E1035" s="18">
        <v>7364.724145568493</v>
      </c>
      <c r="F1035" s="18">
        <v>5079.539515962105</v>
      </c>
      <c r="G1035" s="18">
        <v>-735.2677536916514</v>
      </c>
      <c r="H1035" s="12">
        <f>E1036</f>
      </c>
      <c r="I1035" s="12">
        <f>F1036</f>
      </c>
      <c r="J1035" s="12">
        <f>G1036</f>
      </c>
      <c r="K1035">
        <f>IF(AND(Pu&gt;=MIN(E1035,H1035),Pu&lt;=MAX(E1035,H1035),E1035&lt;&gt;H1035),1,0)</f>
      </c>
      <c r="L1035">
        <f>IF(K1035=1,(Pu-E1035)/(H1035-E1035),"")</f>
      </c>
      <c r="M1035" s="12">
        <f>IF(K1035=1,F1035+L1035*(I1035-F1035),"")</f>
      </c>
      <c r="N1035" s="12">
        <f>IF(K1035=1,G1035+L1035*(J1035-G1035),"")</f>
      </c>
    </row>
    <row r="1036" spans="2:14" x14ac:dyDescent="0.25">
      <c r="B1036">
        <v>29</v>
      </c>
      <c r="C1036">
        <v>97.5</v>
      </c>
      <c r="D1036">
        <v>18</v>
      </c>
      <c r="E1036" s="18">
        <v>7253.889623999684</v>
      </c>
      <c r="F1036" s="18">
        <v>5119.254331528792</v>
      </c>
      <c r="G1036" s="18">
        <v>-754.2693046080167</v>
      </c>
      <c r="H1036" s="12">
        <f>E1037</f>
      </c>
      <c r="I1036" s="12">
        <f>F1037</f>
      </c>
      <c r="J1036" s="12">
        <f>G1037</f>
      </c>
      <c r="K1036">
        <f>IF(AND(Pu&gt;=MIN(E1036,H1036),Pu&lt;=MAX(E1036,H1036),E1036&lt;&gt;H1036),1,0)</f>
      </c>
      <c r="L1036">
        <f>IF(K1036=1,(Pu-E1036)/(H1036-E1036),"")</f>
      </c>
      <c r="M1036" s="12">
        <f>IF(K1036=1,F1036+L1036*(I1036-F1036),"")</f>
      </c>
      <c r="N1036" s="12">
        <f>IF(K1036=1,G1036+L1036*(J1036-G1036),"")</f>
      </c>
    </row>
    <row r="1037" spans="2:14" x14ac:dyDescent="0.25">
      <c r="B1037">
        <v>29</v>
      </c>
      <c r="C1037">
        <v>97.5</v>
      </c>
      <c r="D1037">
        <v>19</v>
      </c>
      <c r="E1037" s="18">
        <v>7165.500940010485</v>
      </c>
      <c r="F1037" s="18">
        <v>5152.510081964011</v>
      </c>
      <c r="G1037" s="18">
        <v>-763.2794715037113</v>
      </c>
      <c r="H1037" s="12">
        <f>E1038</f>
      </c>
      <c r="I1037" s="12">
        <f>F1038</f>
      </c>
      <c r="J1037" s="12">
        <f>G1038</f>
      </c>
      <c r="K1037">
        <f>IF(AND(Pu&gt;=MIN(E1037,H1037),Pu&lt;=MAX(E1037,H1037),E1037&lt;&gt;H1037),1,0)</f>
      </c>
      <c r="L1037">
        <f>IF(K1037=1,(Pu-E1037)/(H1037-E1037),"")</f>
      </c>
      <c r="M1037" s="12">
        <f>IF(K1037=1,F1037+L1037*(I1037-F1037),"")</f>
      </c>
      <c r="N1037" s="12">
        <f>IF(K1037=1,G1037+L1037*(J1037-G1037),"")</f>
      </c>
    </row>
    <row r="1038" spans="2:14" x14ac:dyDescent="0.25">
      <c r="B1038">
        <v>29</v>
      </c>
      <c r="C1038">
        <v>97.5</v>
      </c>
      <c r="D1038">
        <v>20</v>
      </c>
      <c r="E1038" s="18">
        <v>6977.856630387721</v>
      </c>
      <c r="F1038" s="18">
        <v>5217.654827504136</v>
      </c>
      <c r="G1038" s="18">
        <v>-784.3705374422467</v>
      </c>
      <c r="H1038" s="12">
        <f>E1039</f>
      </c>
      <c r="I1038" s="12">
        <f>F1039</f>
      </c>
      <c r="J1038" s="12">
        <f>G1039</f>
      </c>
      <c r="K1038">
        <f>IF(AND(Pu&gt;=MIN(E1038,H1038),Pu&lt;=MAX(E1038,H1038),E1038&lt;&gt;H1038),1,0)</f>
      </c>
      <c r="L1038">
        <f>IF(K1038=1,(Pu-E1038)/(H1038-E1038),"")</f>
      </c>
      <c r="M1038" s="12">
        <f>IF(K1038=1,F1038+L1038*(I1038-F1038),"")</f>
      </c>
      <c r="N1038" s="12">
        <f>IF(K1038=1,G1038+L1038*(J1038-G1038),"")</f>
      </c>
    </row>
    <row r="1039" spans="2:14" x14ac:dyDescent="0.25">
      <c r="B1039">
        <v>29</v>
      </c>
      <c r="C1039">
        <v>97.5</v>
      </c>
      <c r="D1039">
        <v>21</v>
      </c>
      <c r="E1039" s="18">
        <v>6968.465732816475</v>
      </c>
      <c r="F1039" s="18">
        <v>5215.482928769719</v>
      </c>
      <c r="G1039" s="18">
        <v>-784.3551931009575</v>
      </c>
      <c r="H1039" s="12">
        <f>E1040</f>
      </c>
      <c r="I1039" s="12">
        <f>F1040</f>
      </c>
      <c r="J1039" s="12">
        <f>G1040</f>
      </c>
      <c r="K1039">
        <f>IF(AND(Pu&gt;=MIN(E1039,H1039),Pu&lt;=MAX(E1039,H1039),E1039&lt;&gt;H1039),1,0)</f>
      </c>
      <c r="L1039">
        <f>IF(K1039=1,(Pu-E1039)/(H1039-E1039),"")</f>
      </c>
      <c r="M1039" s="12">
        <f>IF(K1039=1,F1039+L1039*(I1039-F1039),"")</f>
      </c>
      <c r="N1039" s="12">
        <f>IF(K1039=1,G1039+L1039*(J1039-G1039),"")</f>
      </c>
    </row>
    <row r="1040" spans="2:14" x14ac:dyDescent="0.25">
      <c r="B1040">
        <v>29</v>
      </c>
      <c r="C1040">
        <v>97.5</v>
      </c>
      <c r="D1040">
        <v>22</v>
      </c>
      <c r="E1040" s="18">
        <v>6341.765955305219</v>
      </c>
      <c r="F1040" s="18">
        <v>5061.25214676286</v>
      </c>
      <c r="G1040" s="18">
        <v>-791.4328049215013</v>
      </c>
      <c r="H1040" s="12">
        <f>E1041</f>
      </c>
      <c r="I1040" s="12">
        <f>F1041</f>
      </c>
      <c r="J1040" s="12">
        <f>G1041</f>
      </c>
      <c r="K1040">
        <f>IF(AND(Pu&gt;=MIN(E1040,H1040),Pu&lt;=MAX(E1040,H1040),E1040&lt;&gt;H1040),1,0)</f>
      </c>
      <c r="L1040">
        <f>IF(K1040=1,(Pu-E1040)/(H1040-E1040),"")</f>
      </c>
      <c r="M1040" s="12">
        <f>IF(K1040=1,F1040+L1040*(I1040-F1040),"")</f>
      </c>
      <c r="N1040" s="12">
        <f>IF(K1040=1,G1040+L1040*(J1040-G1040),"")</f>
      </c>
    </row>
    <row r="1041" spans="2:14" x14ac:dyDescent="0.25">
      <c r="B1041">
        <v>29</v>
      </c>
      <c r="C1041">
        <v>97.5</v>
      </c>
      <c r="D1041">
        <v>23</v>
      </c>
      <c r="E1041" s="18">
        <v>5245.196993671333</v>
      </c>
      <c r="F1041" s="18">
        <v>4756.45230176689</v>
      </c>
      <c r="G1041" s="18">
        <v>-824.626010039253</v>
      </c>
      <c r="H1041" s="12">
        <f>E1042</f>
      </c>
      <c r="I1041" s="12">
        <f>F1042</f>
      </c>
      <c r="J1041" s="12">
        <f>G1042</f>
      </c>
      <c r="K1041">
        <f>IF(AND(Pu&gt;=MIN(E1041,H1041),Pu&lt;=MAX(E1041,H1041),E1041&lt;&gt;H1041),1,0)</f>
      </c>
      <c r="L1041">
        <f>IF(K1041=1,(Pu-E1041)/(H1041-E1041),"")</f>
      </c>
      <c r="M1041" s="12">
        <f>IF(K1041=1,F1041+L1041*(I1041-F1041),"")</f>
      </c>
      <c r="N1041" s="12">
        <f>IF(K1041=1,G1041+L1041*(J1041-G1041),"")</f>
      </c>
    </row>
    <row r="1042" spans="2:14" x14ac:dyDescent="0.25">
      <c r="B1042">
        <v>29</v>
      </c>
      <c r="C1042">
        <v>97.5</v>
      </c>
      <c r="D1042">
        <v>24</v>
      </c>
      <c r="E1042" s="18">
        <v>4293.565399710411</v>
      </c>
      <c r="F1042" s="18">
        <v>4419.359274336392</v>
      </c>
      <c r="G1042" s="18">
        <v>-867.6453826913237</v>
      </c>
      <c r="H1042" s="12">
        <f>E1043</f>
      </c>
      <c r="I1042" s="12">
        <f>F1043</f>
      </c>
      <c r="J1042" s="12">
        <f>G1043</f>
      </c>
      <c r="K1042">
        <f>IF(AND(Pu&gt;=MIN(E1042,H1042),Pu&lt;=MAX(E1042,H1042),E1042&lt;&gt;H1042),1,0)</f>
      </c>
      <c r="L1042">
        <f>IF(K1042=1,(Pu-E1042)/(H1042-E1042),"")</f>
      </c>
      <c r="M1042" s="12">
        <f>IF(K1042=1,F1042+L1042*(I1042-F1042),"")</f>
      </c>
      <c r="N1042" s="12">
        <f>IF(K1042=1,G1042+L1042*(J1042-G1042),"")</f>
      </c>
    </row>
    <row r="1043" spans="2:14" x14ac:dyDescent="0.25">
      <c r="B1043">
        <v>29</v>
      </c>
      <c r="C1043">
        <v>97.5</v>
      </c>
      <c r="D1043">
        <v>25</v>
      </c>
      <c r="E1043" s="18">
        <v>3430.2262484872335</v>
      </c>
      <c r="F1043" s="18">
        <v>4093.003565597945</v>
      </c>
      <c r="G1043" s="18">
        <v>-903.3846070427126</v>
      </c>
      <c r="H1043" s="12">
        <f>E1044</f>
      </c>
      <c r="I1043" s="12">
        <f>F1044</f>
      </c>
      <c r="J1043" s="12">
        <f>G1044</f>
      </c>
      <c r="K1043">
        <f>IF(AND(Pu&gt;=MIN(E1043,H1043),Pu&lt;=MAX(E1043,H1043),E1043&lt;&gt;H1043),1,0)</f>
      </c>
      <c r="L1043">
        <f>IF(K1043=1,(Pu-E1043)/(H1043-E1043),"")</f>
      </c>
      <c r="M1043" s="12">
        <f>IF(K1043=1,F1043+L1043*(I1043-F1043),"")</f>
      </c>
      <c r="N1043" s="12">
        <f>IF(K1043=1,G1043+L1043*(J1043-G1043),"")</f>
      </c>
    </row>
    <row r="1044" spans="2:14" x14ac:dyDescent="0.25">
      <c r="B1044">
        <v>29</v>
      </c>
      <c r="C1044">
        <v>97.5</v>
      </c>
      <c r="D1044">
        <v>26</v>
      </c>
      <c r="E1044" s="18">
        <v>1984.1024818154585</v>
      </c>
      <c r="F1044" s="18">
        <v>3505.804228342965</v>
      </c>
      <c r="G1044" s="18">
        <v>-906.934081959484</v>
      </c>
      <c r="H1044" s="12">
        <f>E1045</f>
      </c>
      <c r="I1044" s="12">
        <f>F1045</f>
      </c>
      <c r="J1044" s="12">
        <f>G1045</f>
      </c>
      <c r="K1044">
        <f>IF(AND(Pu&gt;=MIN(E1044,H1044),Pu&lt;=MAX(E1044,H1044),E1044&lt;&gt;H1044),1,0)</f>
      </c>
      <c r="L1044">
        <f>IF(K1044=1,(Pu-E1044)/(H1044-E1044),"")</f>
      </c>
      <c r="M1044" s="12">
        <f>IF(K1044=1,F1044+L1044*(I1044-F1044),"")</f>
      </c>
      <c r="N1044" s="12">
        <f>IF(K1044=1,G1044+L1044*(J1044-G1044),"")</f>
      </c>
    </row>
    <row r="1045" spans="2:14" x14ac:dyDescent="0.25">
      <c r="B1045">
        <v>29</v>
      </c>
      <c r="C1045">
        <v>97.5</v>
      </c>
      <c r="D1045">
        <v>27</v>
      </c>
      <c r="E1045" s="18">
        <v>881.1741793269643</v>
      </c>
      <c r="F1045" s="18">
        <v>3005.0803158525914</v>
      </c>
      <c r="G1045" s="18">
        <v>-814.4203679553992</v>
      </c>
      <c r="H1045" s="12">
        <f>E1046</f>
      </c>
      <c r="I1045" s="12">
        <f>F1046</f>
      </c>
      <c r="J1045" s="12">
        <f>G1046</f>
      </c>
      <c r="K1045">
        <f>IF(AND(Pu&gt;=MIN(E1045,H1045),Pu&lt;=MAX(E1045,H1045),E1045&lt;&gt;H1045),1,0)</f>
      </c>
      <c r="L1045">
        <f>IF(K1045=1,(Pu-E1045)/(H1045-E1045),"")</f>
      </c>
      <c r="M1045" s="12">
        <f>IF(K1045=1,F1045+L1045*(I1045-F1045),"")</f>
      </c>
      <c r="N1045" s="12">
        <f>IF(K1045=1,G1045+L1045*(J1045-G1045),"")</f>
      </c>
    </row>
    <row r="1046" spans="2:14" x14ac:dyDescent="0.25">
      <c r="B1046">
        <v>29</v>
      </c>
      <c r="C1046">
        <v>97.5</v>
      </c>
      <c r="D1046">
        <v>28</v>
      </c>
      <c r="E1046" s="18">
        <v>-34.63383825256091</v>
      </c>
      <c r="F1046" s="18">
        <v>2570.5545997255176</v>
      </c>
      <c r="G1046" s="18">
        <v>-727.1031922293798</v>
      </c>
      <c r="H1046" s="12">
        <f>E1047</f>
      </c>
      <c r="I1046" s="12">
        <f>F1047</f>
      </c>
      <c r="J1046" s="12">
        <f>G1047</f>
      </c>
      <c r="K1046">
        <f>IF(AND(Pu&gt;=MIN(E1046,H1046),Pu&lt;=MAX(E1046,H1046),E1046&lt;&gt;H1046),1,0)</f>
      </c>
      <c r="L1046">
        <f>IF(K1046=1,(Pu-E1046)/(H1046-E1046),"")</f>
      </c>
      <c r="M1046" s="12">
        <f>IF(K1046=1,F1046+L1046*(I1046-F1046),"")</f>
      </c>
      <c r="N1046" s="12">
        <f>IF(K1046=1,G1046+L1046*(J1046-G1046),"")</f>
      </c>
    </row>
    <row r="1047" spans="2:14" x14ac:dyDescent="0.25">
      <c r="B1047">
        <v>29</v>
      </c>
      <c r="C1047">
        <v>97.5</v>
      </c>
      <c r="D1047">
        <v>29</v>
      </c>
      <c r="E1047" s="18">
        <v>-786.4402167785823</v>
      </c>
      <c r="F1047" s="18">
        <v>2204.352076735393</v>
      </c>
      <c r="G1047" s="18">
        <v>-643.8925660737341</v>
      </c>
      <c r="H1047" s="12">
        <f>E1048</f>
      </c>
      <c r="I1047" s="12">
        <f>F1048</f>
      </c>
      <c r="J1047" s="12">
        <f>G1048</f>
      </c>
      <c r="K1047">
        <f>IF(AND(Pu&gt;=MIN(E1047,H1047),Pu&lt;=MAX(E1047,H1047),E1047&lt;&gt;H1047),1,0)</f>
      </c>
      <c r="L1047">
        <f>IF(K1047=1,(Pu-E1047)/(H1047-E1047),"")</f>
      </c>
      <c r="M1047" s="12">
        <f>IF(K1047=1,F1047+L1047*(I1047-F1047),"")</f>
      </c>
      <c r="N1047" s="12">
        <f>IF(K1047=1,G1047+L1047*(J1047-G1047),"")</f>
      </c>
    </row>
    <row r="1048" spans="2:14" x14ac:dyDescent="0.25">
      <c r="B1048">
        <v>29</v>
      </c>
      <c r="C1048">
        <v>97.5</v>
      </c>
      <c r="D1048">
        <v>30</v>
      </c>
      <c r="E1048" s="18">
        <v>-1890.3809784376474</v>
      </c>
      <c r="F1048" s="18">
        <v>1639.3445942174494</v>
      </c>
      <c r="G1048" s="18">
        <v>-559.591096983974</v>
      </c>
      <c r="H1048" s="12">
        <f>E1049</f>
      </c>
      <c r="I1048" s="12">
        <f>F1049</f>
      </c>
      <c r="J1048" s="12">
        <f>G1049</f>
      </c>
      <c r="K1048">
        <f>IF(AND(Pu&gt;=MIN(E1048,H1048),Pu&lt;=MAX(E1048,H1048),E1048&lt;&gt;H1048),1,0)</f>
      </c>
      <c r="L1048">
        <f>IF(K1048=1,(Pu-E1048)/(H1048-E1048),"")</f>
      </c>
      <c r="M1048" s="12">
        <f>IF(K1048=1,F1048+L1048*(I1048-F1048),"")</f>
      </c>
      <c r="N1048" s="12">
        <f>IF(K1048=1,G1048+L1048*(J1048-G1048),"")</f>
      </c>
    </row>
    <row r="1049" spans="2:14" x14ac:dyDescent="0.25">
      <c r="B1049">
        <v>29</v>
      </c>
      <c r="C1049">
        <v>97.5</v>
      </c>
      <c r="D1049">
        <v>31</v>
      </c>
      <c r="E1049" s="18">
        <v>-2649.312384840567</v>
      </c>
      <c r="F1049" s="18">
        <v>1235.8512134349487</v>
      </c>
      <c r="G1049" s="18">
        <v>-517.1974861512743</v>
      </c>
      <c r="H1049" s="12">
        <f>E1050</f>
      </c>
      <c r="I1049" s="12">
        <f>F1050</f>
      </c>
      <c r="J1049" s="12">
        <f>G1050</f>
      </c>
      <c r="K1049">
        <f>IF(AND(Pu&gt;=MIN(E1049,H1049),Pu&lt;=MAX(E1049,H1049),E1049&lt;&gt;H1049),1,0)</f>
      </c>
      <c r="L1049">
        <f>IF(K1049=1,(Pu-E1049)/(H1049-E1049),"")</f>
      </c>
      <c r="M1049" s="12">
        <f>IF(K1049=1,F1049+L1049*(I1049-F1049),"")</f>
      </c>
      <c r="N1049" s="12">
        <f>IF(K1049=1,G1049+L1049*(J1049-G1049),"")</f>
      </c>
    </row>
    <row r="1050" spans="2:14" x14ac:dyDescent="0.25">
      <c r="B1050">
        <v>29</v>
      </c>
      <c r="C1050">
        <v>97.5</v>
      </c>
      <c r="D1050">
        <v>32</v>
      </c>
      <c r="E1050" s="18">
        <v>-3643.7605244368483</v>
      </c>
      <c r="F1050" s="18">
        <v>702.0180702320736</v>
      </c>
      <c r="G1050" s="18">
        <v>-412.8266812376208</v>
      </c>
      <c r="H1050" s="12">
        <f>E1051</f>
      </c>
      <c r="I1050" s="12">
        <f>F1051</f>
      </c>
      <c r="J1050" s="12">
        <f>G1051</f>
      </c>
      <c r="K1050">
        <f>IF(AND(Pu&gt;=MIN(E1050,H1050),Pu&lt;=MAX(E1050,H1050),E1050&lt;&gt;H1050),1,0)</f>
      </c>
      <c r="L1050">
        <f>IF(K1050=1,(Pu-E1050)/(H1050-E1050),"")</f>
      </c>
      <c r="M1050" s="12">
        <f>IF(K1050=1,F1050+L1050*(I1050-F1050),"")</f>
      </c>
      <c r="N1050" s="12">
        <f>IF(K1050=1,G1050+L1050*(J1050-G1050),"")</f>
      </c>
    </row>
    <row r="1051" spans="2:14" x14ac:dyDescent="0.25">
      <c r="B1051">
        <v>29</v>
      </c>
      <c r="C1051">
        <v>97.5</v>
      </c>
      <c r="D1051">
        <v>33</v>
      </c>
      <c r="E1051" s="18">
        <v>-4167.454496789963</v>
      </c>
      <c r="F1051" s="18">
        <v>418.59516276426484</v>
      </c>
      <c r="G1051" s="18">
        <v>-285.6020809247987</v>
      </c>
      <c r="H1051" s="12">
        <f>E1052</f>
      </c>
      <c r="I1051" s="12">
        <f>F1052</f>
      </c>
      <c r="J1051" s="12">
        <f>G1052</f>
      </c>
      <c r="K1051">
        <f>IF(AND(Pu&gt;=MIN(E1051,H1051),Pu&lt;=MAX(E1051,H1051),E1051&lt;&gt;H1051),1,0)</f>
      </c>
      <c r="L1051">
        <f>IF(K1051=1,(Pu-E1051)/(H1051-E1051),"")</f>
      </c>
      <c r="M1051" s="12">
        <f>IF(K1051=1,F1051+L1051*(I1051-F1051),"")</f>
      </c>
      <c r="N1051" s="12">
        <f>IF(K1051=1,G1051+L1051*(J1051-G1051),"")</f>
      </c>
    </row>
    <row r="1052" spans="2:14" x14ac:dyDescent="0.25">
      <c r="B1052">
        <v>29</v>
      </c>
      <c r="C1052">
        <v>97.5</v>
      </c>
      <c r="D1052">
        <v>34</v>
      </c>
      <c r="E1052" s="18">
        <v>-4716.898841175316</v>
      </c>
      <c r="F1052" s="18">
        <v>118.95228814539726</v>
      </c>
      <c r="G1052" s="18">
        <v>-92.29117491569845</v>
      </c>
      <c r="H1052" s="12">
        <f>E1053</f>
      </c>
      <c r="I1052" s="12">
        <f>F1053</f>
      </c>
      <c r="J1052" s="12">
        <f>G1053</f>
      </c>
      <c r="K1052">
        <f>IF(AND(Pu&gt;=MIN(E1052,H1052),Pu&lt;=MAX(E1052,H1052),E1052&lt;&gt;H1052),1,0)</f>
      </c>
      <c r="L1052">
        <f>IF(K1052=1,(Pu-E1052)/(H1052-E1052),"")</f>
      </c>
      <c r="M1052" s="12">
        <f>IF(K1052=1,F1052+L1052*(I1052-F1052),"")</f>
      </c>
      <c r="N1052" s="12">
        <f>IF(K1052=1,G1052+L1052*(J1052-G1052),"")</f>
      </c>
    </row>
    <row r="1053" spans="2:7" x14ac:dyDescent="0.25">
      <c r="B1053">
        <v>29</v>
      </c>
      <c r="C1053">
        <v>97.5</v>
      </c>
      <c r="D1053">
        <v>35</v>
      </c>
      <c r="E1053" s="18">
        <v>-4810.016026873855</v>
      </c>
      <c r="F1053" s="18">
        <v>65.71062741143461</v>
      </c>
      <c r="G1053" s="18">
        <v>-53.321943143680635</v>
      </c>
    </row>
    <row r="1055" spans="2:14" x14ac:dyDescent="0.25">
      <c r="B1055">
        <v>30</v>
      </c>
      <c r="C1055">
        <v>101.24999999999996</v>
      </c>
      <c r="D1055">
        <v>1</v>
      </c>
      <c r="E1055" s="18">
        <v>17263.170063934096</v>
      </c>
      <c r="F1055" s="18">
        <v>2285.6322031906607</v>
      </c>
      <c r="G1055" s="18">
        <v>-835.2411015442768</v>
      </c>
      <c r="H1055" s="12">
        <f>E1056</f>
      </c>
      <c r="I1055" s="12">
        <f>F1056</f>
      </c>
      <c r="J1055" s="12">
        <f>G1056</f>
      </c>
      <c r="K1055">
        <f>IF(AND(Pu&gt;=MIN(E1055,H1055),Pu&lt;=MAX(E1055,H1055),E1055&lt;&gt;H1055),1,0)</f>
      </c>
      <c r="L1055">
        <f>IF(K1055=1,(Pu-E1055)/(H1055-E1055),"")</f>
      </c>
      <c r="M1055" s="12">
        <f>IF(K1055=1,F1055+L1055*(I1055-F1055),"")</f>
      </c>
      <c r="N1055" s="12">
        <f>IF(K1055=1,G1055+L1055*(J1055-G1055),"")</f>
      </c>
    </row>
    <row r="1056" spans="2:14" x14ac:dyDescent="0.25">
      <c r="B1056">
        <v>30</v>
      </c>
      <c r="C1056">
        <v>101.24999999999996</v>
      </c>
      <c r="D1056">
        <v>2</v>
      </c>
      <c r="E1056" s="18">
        <v>15741.362034304238</v>
      </c>
      <c r="F1056" s="18">
        <v>2881.510060941757</v>
      </c>
      <c r="G1056" s="18">
        <v>-790.0649663666195</v>
      </c>
      <c r="H1056" s="12">
        <f>E1057</f>
      </c>
      <c r="I1056" s="12">
        <f>F1057</f>
      </c>
      <c r="J1056" s="12">
        <f>G1057</f>
      </c>
      <c r="K1056">
        <f>IF(AND(Pu&gt;=MIN(E1056,H1056),Pu&lt;=MAX(E1056,H1056),E1056&lt;&gt;H1056),1,0)</f>
      </c>
      <c r="L1056">
        <f>IF(K1056=1,(Pu-E1056)/(H1056-E1056),"")</f>
      </c>
      <c r="M1056" s="12">
        <f>IF(K1056=1,F1056+L1056*(I1056-F1056),"")</f>
      </c>
      <c r="N1056" s="12">
        <f>IF(K1056=1,G1056+L1056*(J1056-G1056),"")</f>
      </c>
    </row>
    <row r="1057" spans="2:14" x14ac:dyDescent="0.25">
      <c r="B1057">
        <v>30</v>
      </c>
      <c r="C1057">
        <v>101.24999999999996</v>
      </c>
      <c r="D1057">
        <v>3</v>
      </c>
      <c r="E1057" s="18">
        <v>14518.40433054148</v>
      </c>
      <c r="F1057" s="18">
        <v>3280.96660161576</v>
      </c>
      <c r="G1057" s="18">
        <v>-769.3366669716843</v>
      </c>
      <c r="H1057" s="12">
        <f>E1058</f>
      </c>
      <c r="I1057" s="12">
        <f>F1058</f>
      </c>
      <c r="J1057" s="12">
        <f>G1058</f>
      </c>
      <c r="K1057">
        <f>IF(AND(Pu&gt;=MIN(E1057,H1057),Pu&lt;=MAX(E1057,H1057),E1057&lt;&gt;H1057),1,0)</f>
      </c>
      <c r="L1057">
        <f>IF(K1057=1,(Pu-E1057)/(H1057-E1057),"")</f>
      </c>
      <c r="M1057" s="12">
        <f>IF(K1057=1,F1057+L1057*(I1057-F1057),"")</f>
      </c>
      <c r="N1057" s="12">
        <f>IF(K1057=1,G1057+L1057*(J1057-G1057),"")</f>
      </c>
    </row>
    <row r="1058" spans="2:14" x14ac:dyDescent="0.25">
      <c r="B1058">
        <v>30</v>
      </c>
      <c r="C1058">
        <v>101.24999999999996</v>
      </c>
      <c r="D1058">
        <v>4</v>
      </c>
      <c r="E1058" s="18">
        <v>12744.384875227199</v>
      </c>
      <c r="F1058" s="18">
        <v>3722.0877866031033</v>
      </c>
      <c r="G1058" s="18">
        <v>-784.9520355294835</v>
      </c>
      <c r="H1058" s="12">
        <f>E1059</f>
      </c>
      <c r="I1058" s="12">
        <f>F1059</f>
      </c>
      <c r="J1058" s="12">
        <f>G1059</f>
      </c>
      <c r="K1058">
        <f>IF(AND(Pu&gt;=MIN(E1058,H1058),Pu&lt;=MAX(E1058,H1058),E1058&lt;&gt;H1058),1,0)</f>
      </c>
      <c r="L1058">
        <f>IF(K1058=1,(Pu-E1058)/(H1058-E1058),"")</f>
      </c>
      <c r="M1058" s="12">
        <f>IF(K1058=1,F1058+L1058*(I1058-F1058),"")</f>
      </c>
      <c r="N1058" s="12">
        <f>IF(K1058=1,G1058+L1058*(J1058-G1058),"")</f>
      </c>
    </row>
    <row r="1059" spans="2:14" x14ac:dyDescent="0.25">
      <c r="B1059">
        <v>30</v>
      </c>
      <c r="C1059">
        <v>101.24999999999996</v>
      </c>
      <c r="D1059">
        <v>5</v>
      </c>
      <c r="E1059" s="18">
        <v>11264.270084318923</v>
      </c>
      <c r="F1059" s="18">
        <v>3983.3188391512745</v>
      </c>
      <c r="G1059" s="18">
        <v>-821.8634724321928</v>
      </c>
      <c r="H1059" s="12">
        <f>E1060</f>
      </c>
      <c r="I1059" s="12">
        <f>F1060</f>
      </c>
      <c r="J1059" s="12">
        <f>G1060</f>
      </c>
      <c r="K1059">
        <f>IF(AND(Pu&gt;=MIN(E1059,H1059),Pu&lt;=MAX(E1059,H1059),E1059&lt;&gt;H1059),1,0)</f>
      </c>
      <c r="L1059">
        <f>IF(K1059=1,(Pu-E1059)/(H1059-E1059),"")</f>
      </c>
      <c r="M1059" s="12">
        <f>IF(K1059=1,F1059+L1059*(I1059-F1059),"")</f>
      </c>
      <c r="N1059" s="12">
        <f>IF(K1059=1,G1059+L1059*(J1059-G1059),"")</f>
      </c>
    </row>
    <row r="1060" spans="2:14" x14ac:dyDescent="0.25">
      <c r="B1060">
        <v>30</v>
      </c>
      <c r="C1060">
        <v>101.24999999999996</v>
      </c>
      <c r="D1060">
        <v>6</v>
      </c>
      <c r="E1060" s="18">
        <v>9996.123651293994</v>
      </c>
      <c r="F1060" s="18">
        <v>4152.588385755386</v>
      </c>
      <c r="G1060" s="18">
        <v>-849.7102332904573</v>
      </c>
      <c r="H1060" s="12">
        <f>E1061</f>
      </c>
      <c r="I1060" s="12">
        <f>F1061</f>
      </c>
      <c r="J1060" s="12">
        <f>G1061</f>
      </c>
      <c r="K1060">
        <f>IF(AND(Pu&gt;=MIN(E1060,H1060),Pu&lt;=MAX(E1060,H1060),E1060&lt;&gt;H1060),1,0)</f>
      </c>
      <c r="L1060">
        <f>IF(K1060=1,(Pu-E1060)/(H1060-E1060),"")</f>
      </c>
      <c r="M1060" s="12">
        <f>IF(K1060=1,F1060+L1060*(I1060-F1060),"")</f>
      </c>
      <c r="N1060" s="12">
        <f>IF(K1060=1,G1060+L1060*(J1060-G1060),"")</f>
      </c>
    </row>
    <row r="1061" spans="2:14" x14ac:dyDescent="0.25">
      <c r="B1061">
        <v>30</v>
      </c>
      <c r="C1061">
        <v>101.24999999999996</v>
      </c>
      <c r="D1061">
        <v>7</v>
      </c>
      <c r="E1061" s="18">
        <v>9089.590677847846</v>
      </c>
      <c r="F1061" s="18">
        <v>4246.716281637672</v>
      </c>
      <c r="G1061" s="18">
        <v>-888.3907361739456</v>
      </c>
      <c r="H1061" s="12">
        <f>E1062</f>
      </c>
      <c r="I1061" s="12">
        <f>F1062</f>
      </c>
      <c r="J1061" s="12">
        <f>G1062</f>
      </c>
      <c r="K1061">
        <f>IF(AND(Pu&gt;=MIN(E1061,H1061),Pu&lt;=MAX(E1061,H1061),E1061&lt;&gt;H1061),1,0)</f>
      </c>
      <c r="L1061">
        <f>IF(K1061=1,(Pu-E1061)/(H1061-E1061),"")</f>
      </c>
      <c r="M1061" s="12">
        <f>IF(K1061=1,F1061+L1061*(I1061-F1061),"")</f>
      </c>
      <c r="N1061" s="12">
        <f>IF(K1061=1,G1061+L1061*(J1061-G1061),"")</f>
      </c>
    </row>
    <row r="1062" spans="2:14" x14ac:dyDescent="0.25">
      <c r="B1062">
        <v>30</v>
      </c>
      <c r="C1062">
        <v>101.24999999999996</v>
      </c>
      <c r="D1062">
        <v>8</v>
      </c>
      <c r="E1062" s="18">
        <v>8968.568382833653</v>
      </c>
      <c r="F1062" s="18">
        <v>4301.677585630804</v>
      </c>
      <c r="G1062" s="18">
        <v>-900.2478103025832</v>
      </c>
      <c r="H1062" s="12">
        <f>E1063</f>
      </c>
      <c r="I1062" s="12">
        <f>F1063</f>
      </c>
      <c r="J1062" s="12">
        <f>G1063</f>
      </c>
      <c r="K1062">
        <f>IF(AND(Pu&gt;=MIN(E1062,H1062),Pu&lt;=MAX(E1062,H1062),E1062&lt;&gt;H1062),1,0)</f>
      </c>
      <c r="L1062">
        <f>IF(K1062=1,(Pu-E1062)/(H1062-E1062),"")</f>
      </c>
      <c r="M1062" s="12">
        <f>IF(K1062=1,F1062+L1062*(I1062-F1062),"")</f>
      </c>
      <c r="N1062" s="12">
        <f>IF(K1062=1,G1062+L1062*(J1062-G1062),"")</f>
      </c>
    </row>
    <row r="1063" spans="2:14" x14ac:dyDescent="0.25">
      <c r="B1063">
        <v>30</v>
      </c>
      <c r="C1063">
        <v>101.24999999999996</v>
      </c>
      <c r="D1063">
        <v>9</v>
      </c>
      <c r="E1063" s="18">
        <v>8624.481031018415</v>
      </c>
      <c r="F1063" s="18">
        <v>4452.368642622155</v>
      </c>
      <c r="G1063" s="18">
        <v>-932.7718411391138</v>
      </c>
      <c r="H1063" s="12">
        <f>E1064</f>
      </c>
      <c r="I1063" s="12">
        <f>F1064</f>
      </c>
      <c r="J1063" s="12">
        <f>G1064</f>
      </c>
      <c r="K1063">
        <f>IF(AND(Pu&gt;=MIN(E1063,H1063),Pu&lt;=MAX(E1063,H1063),E1063&lt;&gt;H1063),1,0)</f>
      </c>
      <c r="L1063">
        <f>IF(K1063=1,(Pu-E1063)/(H1063-E1063),"")</f>
      </c>
      <c r="M1063" s="12">
        <f>IF(K1063=1,F1063+L1063*(I1063-F1063),"")</f>
      </c>
      <c r="N1063" s="12">
        <f>IF(K1063=1,G1063+L1063*(J1063-G1063),"")</f>
      </c>
    </row>
    <row r="1064" spans="2:14" x14ac:dyDescent="0.25">
      <c r="B1064">
        <v>30</v>
      </c>
      <c r="C1064">
        <v>101.24999999999996</v>
      </c>
      <c r="D1064">
        <v>10</v>
      </c>
      <c r="E1064" s="18">
        <v>8430.589065735247</v>
      </c>
      <c r="F1064" s="18">
        <v>4532.4857099829715</v>
      </c>
      <c r="G1064" s="18">
        <v>-953.4257423003344</v>
      </c>
      <c r="H1064" s="12">
        <f>E1065</f>
      </c>
      <c r="I1064" s="12">
        <f>F1065</f>
      </c>
      <c r="J1064" s="12">
        <f>G1065</f>
      </c>
      <c r="K1064">
        <f>IF(AND(Pu&gt;=MIN(E1064,H1064),Pu&lt;=MAX(E1064,H1064),E1064&lt;&gt;H1064),1,0)</f>
      </c>
      <c r="L1064">
        <f>IF(K1064=1,(Pu-E1064)/(H1064-E1064),"")</f>
      </c>
      <c r="M1064" s="12">
        <f>IF(K1064=1,F1064+L1064*(I1064-F1064),"")</f>
      </c>
      <c r="N1064" s="12">
        <f>IF(K1064=1,G1064+L1064*(J1064-G1064),"")</f>
      </c>
    </row>
    <row r="1065" spans="2:14" x14ac:dyDescent="0.25">
      <c r="B1065">
        <v>30</v>
      </c>
      <c r="C1065">
        <v>101.24999999999996</v>
      </c>
      <c r="D1065">
        <v>11</v>
      </c>
      <c r="E1065" s="18">
        <v>8245.335152608863</v>
      </c>
      <c r="F1065" s="18">
        <v>4604.882627846393</v>
      </c>
      <c r="G1065" s="18">
        <v>-979.7755807404757</v>
      </c>
      <c r="H1065" s="12">
        <f>E1066</f>
      </c>
      <c r="I1065" s="12">
        <f>F1066</f>
      </c>
      <c r="J1065" s="12">
        <f>G1066</f>
      </c>
      <c r="K1065">
        <f>IF(AND(Pu&gt;=MIN(E1065,H1065),Pu&lt;=MAX(E1065,H1065),E1065&lt;&gt;H1065),1,0)</f>
      </c>
      <c r="L1065">
        <f>IF(K1065=1,(Pu-E1065)/(H1065-E1065),"")</f>
      </c>
      <c r="M1065" s="12">
        <f>IF(K1065=1,F1065+L1065*(I1065-F1065),"")</f>
      </c>
      <c r="N1065" s="12">
        <f>IF(K1065=1,G1065+L1065*(J1065-G1065),"")</f>
      </c>
    </row>
    <row r="1066" spans="2:14" x14ac:dyDescent="0.25">
      <c r="B1066">
        <v>30</v>
      </c>
      <c r="C1066">
        <v>101.24999999999996</v>
      </c>
      <c r="D1066">
        <v>12</v>
      </c>
      <c r="E1066" s="18">
        <v>8046.305946895444</v>
      </c>
      <c r="F1066" s="18">
        <v>4677.65807168834</v>
      </c>
      <c r="G1066" s="18">
        <v>-1009.7859436445608</v>
      </c>
      <c r="H1066" s="12">
        <f>E1067</f>
      </c>
      <c r="I1066" s="12">
        <f>F1067</f>
      </c>
      <c r="J1066" s="12">
        <f>G1067</f>
      </c>
      <c r="K1066">
        <f>IF(AND(Pu&gt;=MIN(E1066,H1066),Pu&lt;=MAX(E1066,H1066),E1066&lt;&gt;H1066),1,0)</f>
      </c>
      <c r="L1066">
        <f>IF(K1066=1,(Pu-E1066)/(H1066-E1066),"")</f>
      </c>
      <c r="M1066" s="12">
        <f>IF(K1066=1,F1066+L1066*(I1066-F1066),"")</f>
      </c>
      <c r="N1066" s="12">
        <f>IF(K1066=1,G1066+L1066*(J1066-G1066),"")</f>
      </c>
    </row>
    <row r="1067" spans="2:14" x14ac:dyDescent="0.25">
      <c r="B1067">
        <v>30</v>
      </c>
      <c r="C1067">
        <v>101.24999999999996</v>
      </c>
      <c r="D1067">
        <v>13</v>
      </c>
      <c r="E1067" s="18">
        <v>7968.925344753756</v>
      </c>
      <c r="F1067" s="18">
        <v>4713.4093341252565</v>
      </c>
      <c r="G1067" s="18">
        <v>-1010.5460070140518</v>
      </c>
      <c r="H1067" s="12">
        <f>E1068</f>
      </c>
      <c r="I1067" s="12">
        <f>F1068</f>
      </c>
      <c r="J1067" s="12">
        <f>G1068</f>
      </c>
      <c r="K1067">
        <f>IF(AND(Pu&gt;=MIN(E1067,H1067),Pu&lt;=MAX(E1067,H1067),E1067&lt;&gt;H1067),1,0)</f>
      </c>
      <c r="L1067">
        <f>IF(K1067=1,(Pu-E1067)/(H1067-E1067),"")</f>
      </c>
      <c r="M1067" s="12">
        <f>IF(K1067=1,F1067+L1067*(I1067-F1067),"")</f>
      </c>
      <c r="N1067" s="12">
        <f>IF(K1067=1,G1067+L1067*(J1067-G1067),"")</f>
      </c>
    </row>
    <row r="1068" spans="2:14" x14ac:dyDescent="0.25">
      <c r="B1068">
        <v>30</v>
      </c>
      <c r="C1068">
        <v>101.24999999999996</v>
      </c>
      <c r="D1068">
        <v>14</v>
      </c>
      <c r="E1068" s="18">
        <v>7694.154644929828</v>
      </c>
      <c r="F1068" s="18">
        <v>4799.559044549446</v>
      </c>
      <c r="G1068" s="18">
        <v>-1044.421837313653</v>
      </c>
      <c r="H1068" s="12">
        <f>E1069</f>
      </c>
      <c r="I1068" s="12">
        <f>F1069</f>
      </c>
      <c r="J1068" s="12">
        <f>G1069</f>
      </c>
      <c r="K1068">
        <f>IF(AND(Pu&gt;=MIN(E1068,H1068),Pu&lt;=MAX(E1068,H1068),E1068&lt;&gt;H1068),1,0)</f>
      </c>
      <c r="L1068">
        <f>IF(K1068=1,(Pu-E1068)/(H1068-E1068),"")</f>
      </c>
      <c r="M1068" s="12">
        <f>IF(K1068=1,F1068+L1068*(I1068-F1068),"")</f>
      </c>
      <c r="N1068" s="12">
        <f>IF(K1068=1,G1068+L1068*(J1068-G1068),"")</f>
      </c>
    </row>
    <row r="1069" spans="2:14" x14ac:dyDescent="0.25">
      <c r="B1069">
        <v>30</v>
      </c>
      <c r="C1069">
        <v>101.24999999999996</v>
      </c>
      <c r="D1069">
        <v>15</v>
      </c>
      <c r="E1069" s="18">
        <v>7683.60897546197</v>
      </c>
      <c r="F1069" s="18">
        <v>4802.550066448876</v>
      </c>
      <c r="G1069" s="18">
        <v>-1045.8256694703466</v>
      </c>
      <c r="H1069" s="12">
        <f>E1070</f>
      </c>
      <c r="I1069" s="12">
        <f>F1070</f>
      </c>
      <c r="J1069" s="12">
        <f>G1070</f>
      </c>
      <c r="K1069">
        <f>IF(AND(Pu&gt;=MIN(E1069,H1069),Pu&lt;=MAX(E1069,H1069),E1069&lt;&gt;H1069),1,0)</f>
      </c>
      <c r="L1069">
        <f>IF(K1069=1,(Pu-E1069)/(H1069-E1069),"")</f>
      </c>
      <c r="M1069" s="12">
        <f>IF(K1069=1,F1069+L1069*(I1069-F1069),"")</f>
      </c>
      <c r="N1069" s="12">
        <f>IF(K1069=1,G1069+L1069*(J1069-G1069),"")</f>
      </c>
    </row>
    <row r="1070" spans="2:14" x14ac:dyDescent="0.25">
      <c r="B1070">
        <v>30</v>
      </c>
      <c r="C1070">
        <v>101.24999999999996</v>
      </c>
      <c r="D1070">
        <v>16</v>
      </c>
      <c r="E1070" s="18">
        <v>7390.869080851158</v>
      </c>
      <c r="F1070" s="18">
        <v>4878.912713131204</v>
      </c>
      <c r="G1070" s="18">
        <v>-1087.6450426691508</v>
      </c>
      <c r="H1070" s="12">
        <f>E1071</f>
      </c>
      <c r="I1070" s="12">
        <f>F1071</f>
      </c>
      <c r="J1070" s="12">
        <f>G1071</f>
      </c>
      <c r="K1070">
        <f>IF(AND(Pu&gt;=MIN(E1070,H1070),Pu&lt;=MAX(E1070,H1070),E1070&lt;&gt;H1070),1,0)</f>
      </c>
      <c r="L1070">
        <f>IF(K1070=1,(Pu-E1070)/(H1070-E1070),"")</f>
      </c>
      <c r="M1070" s="12">
        <f>IF(K1070=1,F1070+L1070*(I1070-F1070),"")</f>
      </c>
      <c r="N1070" s="12">
        <f>IF(K1070=1,G1070+L1070*(J1070-G1070),"")</f>
      </c>
    </row>
    <row r="1071" spans="2:14" x14ac:dyDescent="0.25">
      <c r="B1071">
        <v>30</v>
      </c>
      <c r="C1071">
        <v>101.24999999999996</v>
      </c>
      <c r="D1071">
        <v>17</v>
      </c>
      <c r="E1071" s="18">
        <v>7121.390564748025</v>
      </c>
      <c r="F1071" s="18">
        <v>4945.916178921033</v>
      </c>
      <c r="G1071" s="18">
        <v>-1136.6328616345813</v>
      </c>
      <c r="H1071" s="12">
        <f>E1072</f>
      </c>
      <c r="I1071" s="12">
        <f>F1072</f>
      </c>
      <c r="J1071" s="12">
        <f>G1072</f>
      </c>
      <c r="K1071">
        <f>IF(AND(Pu&gt;=MIN(E1071,H1071),Pu&lt;=MAX(E1071,H1071),E1071&lt;&gt;H1071),1,0)</f>
      </c>
      <c r="L1071">
        <f>IF(K1071=1,(Pu-E1071)/(H1071-E1071),"")</f>
      </c>
      <c r="M1071" s="12">
        <f>IF(K1071=1,F1071+L1071*(I1071-F1071),"")</f>
      </c>
      <c r="N1071" s="12">
        <f>IF(K1071=1,G1071+L1071*(J1071-G1071),"")</f>
      </c>
    </row>
    <row r="1072" spans="2:14" x14ac:dyDescent="0.25">
      <c r="B1072">
        <v>30</v>
      </c>
      <c r="C1072">
        <v>101.24999999999996</v>
      </c>
      <c r="D1072">
        <v>18</v>
      </c>
      <c r="E1072" s="18">
        <v>7002.909511011266</v>
      </c>
      <c r="F1072" s="18">
        <v>4971.444248090723</v>
      </c>
      <c r="G1072" s="18">
        <v>-1148.073504142113</v>
      </c>
      <c r="H1072" s="12">
        <f>E1073</f>
      </c>
      <c r="I1072" s="12">
        <f>F1073</f>
      </c>
      <c r="J1072" s="12">
        <f>G1073</f>
      </c>
      <c r="K1072">
        <f>IF(AND(Pu&gt;=MIN(E1072,H1072),Pu&lt;=MAX(E1072,H1072),E1072&lt;&gt;H1072),1,0)</f>
      </c>
      <c r="L1072">
        <f>IF(K1072=1,(Pu-E1072)/(H1072-E1072),"")</f>
      </c>
      <c r="M1072" s="12">
        <f>IF(K1072=1,F1072+L1072*(I1072-F1072),"")</f>
      </c>
      <c r="N1072" s="12">
        <f>IF(K1072=1,G1072+L1072*(J1072-G1072),"")</f>
      </c>
    </row>
    <row r="1073" spans="2:14" x14ac:dyDescent="0.25">
      <c r="B1073">
        <v>30</v>
      </c>
      <c r="C1073">
        <v>101.24999999999996</v>
      </c>
      <c r="D1073">
        <v>19</v>
      </c>
      <c r="E1073" s="18">
        <v>6852.244521915898</v>
      </c>
      <c r="F1073" s="18">
        <v>5001.202622016973</v>
      </c>
      <c r="G1073" s="18">
        <v>-1161.9335542701488</v>
      </c>
      <c r="H1073" s="12">
        <f>E1074</f>
      </c>
      <c r="I1073" s="12">
        <f>F1074</f>
      </c>
      <c r="J1073" s="12">
        <f>G1074</f>
      </c>
      <c r="K1073">
        <f>IF(AND(Pu&gt;=MIN(E1073,H1073),Pu&lt;=MAX(E1073,H1073),E1073&lt;&gt;H1073),1,0)</f>
      </c>
      <c r="L1073">
        <f>IF(K1073=1,(Pu-E1073)/(H1073-E1073),"")</f>
      </c>
      <c r="M1073" s="12">
        <f>IF(K1073=1,F1073+L1073*(I1073-F1073),"")</f>
      </c>
      <c r="N1073" s="12">
        <f>IF(K1073=1,G1073+L1073*(J1073-G1073),"")</f>
      </c>
    </row>
    <row r="1074" spans="2:14" x14ac:dyDescent="0.25">
      <c r="B1074">
        <v>30</v>
      </c>
      <c r="C1074">
        <v>101.24999999999996</v>
      </c>
      <c r="D1074">
        <v>20</v>
      </c>
      <c r="E1074" s="18">
        <v>6616.769455114662</v>
      </c>
      <c r="F1074" s="18">
        <v>5037.386591211393</v>
      </c>
      <c r="G1074" s="18">
        <v>-1201.5602846809259</v>
      </c>
      <c r="H1074" s="12">
        <f>E1075</f>
      </c>
      <c r="I1074" s="12">
        <f>F1075</f>
      </c>
      <c r="J1074" s="12">
        <f>G1075</f>
      </c>
      <c r="K1074">
        <f>IF(AND(Pu&gt;=MIN(E1074,H1074),Pu&lt;=MAX(E1074,H1074),E1074&lt;&gt;H1074),1,0)</f>
      </c>
      <c r="L1074">
        <f>IF(K1074=1,(Pu-E1074)/(H1074-E1074),"")</f>
      </c>
      <c r="M1074" s="12">
        <f>IF(K1074=1,F1074+L1074*(I1074-F1074),"")</f>
      </c>
      <c r="N1074" s="12">
        <f>IF(K1074=1,G1074+L1074*(J1074-G1074),"")</f>
      </c>
    </row>
    <row r="1075" spans="2:14" x14ac:dyDescent="0.25">
      <c r="B1075">
        <v>30</v>
      </c>
      <c r="C1075">
        <v>101.24999999999996</v>
      </c>
      <c r="D1075">
        <v>21</v>
      </c>
      <c r="E1075" s="18">
        <v>6601.301168973165</v>
      </c>
      <c r="F1075" s="18">
        <v>5039.434939117216</v>
      </c>
      <c r="G1075" s="18">
        <v>-1204.47755865455</v>
      </c>
      <c r="H1075" s="12">
        <f>E1076</f>
      </c>
      <c r="I1075" s="12">
        <f>F1076</f>
      </c>
      <c r="J1075" s="12">
        <f>G1076</f>
      </c>
      <c r="K1075">
        <f>IF(AND(Pu&gt;=MIN(E1075,H1075),Pu&lt;=MAX(E1075,H1075),E1075&lt;&gt;H1075),1,0)</f>
      </c>
      <c r="L1075">
        <f>IF(K1075=1,(Pu-E1075)/(H1075-E1075),"")</f>
      </c>
      <c r="M1075" s="12">
        <f>IF(K1075=1,F1075+L1075*(I1075-F1075),"")</f>
      </c>
      <c r="N1075" s="12">
        <f>IF(K1075=1,G1075+L1075*(J1075-G1075),"")</f>
      </c>
    </row>
    <row r="1076" spans="2:14" x14ac:dyDescent="0.25">
      <c r="B1076">
        <v>30</v>
      </c>
      <c r="C1076">
        <v>101.24999999999996</v>
      </c>
      <c r="D1076">
        <v>22</v>
      </c>
      <c r="E1076" s="18">
        <v>5939.341092451699</v>
      </c>
      <c r="F1076" s="18">
        <v>4860.457107130527</v>
      </c>
      <c r="G1076" s="18">
        <v>-1222.1135608456593</v>
      </c>
      <c r="H1076" s="12">
        <f>E1077</f>
      </c>
      <c r="I1076" s="12">
        <f>F1077</f>
      </c>
      <c r="J1076" s="12">
        <f>G1077</f>
      </c>
      <c r="K1076">
        <f>IF(AND(Pu&gt;=MIN(E1076,H1076),Pu&lt;=MAX(E1076,H1076),E1076&lt;&gt;H1076),1,0)</f>
      </c>
      <c r="L1076">
        <f>IF(K1076=1,(Pu-E1076)/(H1076-E1076),"")</f>
      </c>
      <c r="M1076" s="12">
        <f>IF(K1076=1,F1076+L1076*(I1076-F1076),"")</f>
      </c>
      <c r="N1076" s="12">
        <f>IF(K1076=1,G1076+L1076*(J1076-G1076),"")</f>
      </c>
    </row>
    <row r="1077" spans="2:14" x14ac:dyDescent="0.25">
      <c r="B1077">
        <v>30</v>
      </c>
      <c r="C1077">
        <v>101.24999999999996</v>
      </c>
      <c r="D1077">
        <v>23</v>
      </c>
      <c r="E1077" s="18">
        <v>4652.01344235215</v>
      </c>
      <c r="F1077" s="18">
        <v>4459.783923739458</v>
      </c>
      <c r="G1077" s="18">
        <v>-1257.1645981501813</v>
      </c>
      <c r="H1077" s="12">
        <f>E1078</f>
      </c>
      <c r="I1077" s="12">
        <f>F1078</f>
      </c>
      <c r="J1077" s="12">
        <f>G1078</f>
      </c>
      <c r="K1077">
        <f>IF(AND(Pu&gt;=MIN(E1077,H1077),Pu&lt;=MAX(E1077,H1077),E1077&lt;&gt;H1077),1,0)</f>
      </c>
      <c r="L1077">
        <f>IF(K1077=1,(Pu-E1077)/(H1077-E1077),"")</f>
      </c>
      <c r="M1077" s="12">
        <f>IF(K1077=1,F1077+L1077*(I1077-F1077),"")</f>
      </c>
      <c r="N1077" s="12">
        <f>IF(K1077=1,G1077+L1077*(J1077-G1077),"")</f>
      </c>
    </row>
    <row r="1078" spans="2:14" x14ac:dyDescent="0.25">
      <c r="B1078">
        <v>30</v>
      </c>
      <c r="C1078">
        <v>101.24999999999996</v>
      </c>
      <c r="D1078">
        <v>24</v>
      </c>
      <c r="E1078" s="18">
        <v>3587.6555360911607</v>
      </c>
      <c r="F1078" s="18">
        <v>4069.009747752625</v>
      </c>
      <c r="G1078" s="18">
        <v>-1287.3812857778441</v>
      </c>
      <c r="H1078" s="12">
        <f>E1079</f>
      </c>
      <c r="I1078" s="12">
        <f>F1079</f>
      </c>
      <c r="J1078" s="12">
        <f>G1079</f>
      </c>
      <c r="K1078">
        <f>IF(AND(Pu&gt;=MIN(E1078,H1078),Pu&lt;=MAX(E1078,H1078),E1078&lt;&gt;H1078),1,0)</f>
      </c>
      <c r="L1078">
        <f>IF(K1078=1,(Pu-E1078)/(H1078-E1078),"")</f>
      </c>
      <c r="M1078" s="12">
        <f>IF(K1078=1,F1078+L1078*(I1078-F1078),"")</f>
      </c>
      <c r="N1078" s="12">
        <f>IF(K1078=1,G1078+L1078*(J1078-G1078),"")</f>
      </c>
    </row>
    <row r="1079" spans="2:14" x14ac:dyDescent="0.25">
      <c r="B1079">
        <v>30</v>
      </c>
      <c r="C1079">
        <v>101.24999999999996</v>
      </c>
      <c r="D1079">
        <v>25</v>
      </c>
      <c r="E1079" s="18">
        <v>2692.1278418916186</v>
      </c>
      <c r="F1079" s="18">
        <v>3714.734948147205</v>
      </c>
      <c r="G1079" s="18">
        <v>-1307.757617556116</v>
      </c>
      <c r="H1079" s="12">
        <f>E1080</f>
      </c>
      <c r="I1079" s="12">
        <f>F1080</f>
      </c>
      <c r="J1079" s="12">
        <f>G1080</f>
      </c>
      <c r="K1079">
        <f>IF(AND(Pu&gt;=MIN(E1079,H1079),Pu&lt;=MAX(E1079,H1079),E1079&lt;&gt;H1079),1,0)</f>
      </c>
      <c r="L1079">
        <f>IF(K1079=1,(Pu-E1079)/(H1079-E1079),"")</f>
      </c>
      <c r="M1079" s="12">
        <f>IF(K1079=1,F1079+L1079*(I1079-F1079),"")</f>
      </c>
      <c r="N1079" s="12">
        <f>IF(K1079=1,G1079+L1079*(J1079-G1079),"")</f>
      </c>
    </row>
    <row r="1080" spans="2:14" x14ac:dyDescent="0.25">
      <c r="B1080">
        <v>30</v>
      </c>
      <c r="C1080">
        <v>101.24999999999996</v>
      </c>
      <c r="D1080">
        <v>26</v>
      </c>
      <c r="E1080" s="18">
        <v>1257.078219974298</v>
      </c>
      <c r="F1080" s="18">
        <v>3110.3479949949574</v>
      </c>
      <c r="G1080" s="18">
        <v>-1213.2757271934559</v>
      </c>
      <c r="H1080" s="12">
        <f>E1081</f>
      </c>
      <c r="I1080" s="12">
        <f>F1081</f>
      </c>
      <c r="J1080" s="12">
        <f>G1081</f>
      </c>
      <c r="K1080">
        <f>IF(AND(Pu&gt;=MIN(E1080,H1080),Pu&lt;=MAX(E1080,H1080),E1080&lt;&gt;H1080),1,0)</f>
      </c>
      <c r="L1080">
        <f>IF(K1080=1,(Pu-E1080)/(H1080-E1080),"")</f>
      </c>
      <c r="M1080" s="12">
        <f>IF(K1080=1,F1080+L1080*(I1080-F1080),"")</f>
      </c>
      <c r="N1080" s="12">
        <f>IF(K1080=1,G1080+L1080*(J1080-G1080),"")</f>
      </c>
    </row>
    <row r="1081" spans="2:14" x14ac:dyDescent="0.25">
      <c r="B1081">
        <v>30</v>
      </c>
      <c r="C1081">
        <v>101.24999999999996</v>
      </c>
      <c r="D1081">
        <v>27</v>
      </c>
      <c r="E1081" s="18">
        <v>129.05643820054698</v>
      </c>
      <c r="F1081" s="18">
        <v>2582.735943381905</v>
      </c>
      <c r="G1081" s="18">
        <v>-1105.1097822898532</v>
      </c>
      <c r="H1081" s="12">
        <f>E1082</f>
      </c>
      <c r="I1081" s="12">
        <f>F1082</f>
      </c>
      <c r="J1081" s="12">
        <f>G1082</f>
      </c>
      <c r="K1081">
        <f>IF(AND(Pu&gt;=MIN(E1081,H1081),Pu&lt;=MAX(E1081,H1081),E1081&lt;&gt;H1081),1,0)</f>
      </c>
      <c r="L1081">
        <f>IF(K1081=1,(Pu-E1081)/(H1081-E1081),"")</f>
      </c>
      <c r="M1081" s="12">
        <f>IF(K1081=1,F1081+L1081*(I1081-F1081),"")</f>
      </c>
      <c r="N1081" s="12">
        <f>IF(K1081=1,G1081+L1081*(J1081-G1081),"")</f>
      </c>
    </row>
    <row r="1082" spans="2:14" x14ac:dyDescent="0.25">
      <c r="B1082">
        <v>30</v>
      </c>
      <c r="C1082">
        <v>101.24999999999996</v>
      </c>
      <c r="D1082">
        <v>28</v>
      </c>
      <c r="E1082" s="18">
        <v>-773.7644288828251</v>
      </c>
      <c r="F1082" s="18">
        <v>2148.1773422341143</v>
      </c>
      <c r="G1082" s="18">
        <v>-976.8060300399413</v>
      </c>
      <c r="H1082" s="12">
        <f>E1083</f>
      </c>
      <c r="I1082" s="12">
        <f>F1083</f>
      </c>
      <c r="J1082" s="12">
        <f>G1083</f>
      </c>
      <c r="K1082">
        <f>IF(AND(Pu&gt;=MIN(E1082,H1082),Pu&lt;=MAX(E1082,H1082),E1082&lt;&gt;H1082),1,0)</f>
      </c>
      <c r="L1082">
        <f>IF(K1082=1,(Pu-E1082)/(H1082-E1082),"")</f>
      </c>
      <c r="M1082" s="12">
        <f>IF(K1082=1,F1082+L1082*(I1082-F1082),"")</f>
      </c>
      <c r="N1082" s="12">
        <f>IF(K1082=1,G1082+L1082*(J1082-G1082),"")</f>
      </c>
    </row>
    <row r="1083" spans="2:14" x14ac:dyDescent="0.25">
      <c r="B1083">
        <v>30</v>
      </c>
      <c r="C1083">
        <v>101.24999999999996</v>
      </c>
      <c r="D1083">
        <v>29</v>
      </c>
      <c r="E1083" s="18">
        <v>-1481.041273485879</v>
      </c>
      <c r="F1083" s="18">
        <v>1804.077584793702</v>
      </c>
      <c r="G1083" s="18">
        <v>-853.1452187201248</v>
      </c>
      <c r="H1083" s="12">
        <f>E1084</f>
      </c>
      <c r="I1083" s="12">
        <f>F1084</f>
      </c>
      <c r="J1083" s="12">
        <f>G1084</f>
      </c>
      <c r="K1083">
        <f>IF(AND(Pu&gt;=MIN(E1083,H1083),Pu&lt;=MAX(E1083,H1083),E1083&lt;&gt;H1083),1,0)</f>
      </c>
      <c r="L1083">
        <f>IF(K1083=1,(Pu-E1083)/(H1083-E1083),"")</f>
      </c>
      <c r="M1083" s="12">
        <f>IF(K1083=1,F1083+L1083*(I1083-F1083),"")</f>
      </c>
      <c r="N1083" s="12">
        <f>IF(K1083=1,G1083+L1083*(J1083-G1083),"")</f>
      </c>
    </row>
    <row r="1084" spans="2:14" x14ac:dyDescent="0.25">
      <c r="B1084">
        <v>30</v>
      </c>
      <c r="C1084">
        <v>101.24999999999996</v>
      </c>
      <c r="D1084">
        <v>30</v>
      </c>
      <c r="E1084" s="18">
        <v>-2571.1104438152993</v>
      </c>
      <c r="F1084" s="18">
        <v>1263.7538103027935</v>
      </c>
      <c r="G1084" s="18">
        <v>-666.6537301312127</v>
      </c>
      <c r="H1084" s="12">
        <f>E1085</f>
      </c>
      <c r="I1084" s="12">
        <f>F1085</f>
      </c>
      <c r="J1084" s="12">
        <f>G1085</f>
      </c>
      <c r="K1084">
        <f>IF(AND(Pu&gt;=MIN(E1084,H1084),Pu&lt;=MAX(E1084,H1084),E1084&lt;&gt;H1084),1,0)</f>
      </c>
      <c r="L1084">
        <f>IF(K1084=1,(Pu-E1084)/(H1084-E1084),"")</f>
      </c>
      <c r="M1084" s="12">
        <f>IF(K1084=1,F1084+L1084*(I1084-F1084),"")</f>
      </c>
      <c r="N1084" s="12">
        <f>IF(K1084=1,G1084+L1084*(J1084-G1084),"")</f>
      </c>
    </row>
    <row r="1085" spans="2:14" x14ac:dyDescent="0.25">
      <c r="B1085">
        <v>30</v>
      </c>
      <c r="C1085">
        <v>101.24999999999996</v>
      </c>
      <c r="D1085">
        <v>31</v>
      </c>
      <c r="E1085" s="18">
        <v>-3227.853739921252</v>
      </c>
      <c r="F1085" s="18">
        <v>917.8558065467689</v>
      </c>
      <c r="G1085" s="18">
        <v>-557.1441676807261</v>
      </c>
      <c r="H1085" s="12">
        <f>E1086</f>
      </c>
      <c r="I1085" s="12">
        <f>F1086</f>
      </c>
      <c r="J1085" s="12">
        <f>G1086</f>
      </c>
      <c r="K1085">
        <f>IF(AND(Pu&gt;=MIN(E1085,H1085),Pu&lt;=MAX(E1085,H1085),E1085&lt;&gt;H1085),1,0)</f>
      </c>
      <c r="L1085">
        <f>IF(K1085=1,(Pu-E1085)/(H1085-E1085),"")</f>
      </c>
      <c r="M1085" s="12">
        <f>IF(K1085=1,F1085+L1085*(I1085-F1085),"")</f>
      </c>
      <c r="N1085" s="12">
        <f>IF(K1085=1,G1085+L1085*(J1085-G1085),"")</f>
      </c>
    </row>
    <row r="1086" spans="2:14" x14ac:dyDescent="0.25">
      <c r="B1086">
        <v>30</v>
      </c>
      <c r="C1086">
        <v>101.24999999999996</v>
      </c>
      <c r="D1086">
        <v>32</v>
      </c>
      <c r="E1086" s="18">
        <v>-3962.9541648549457</v>
      </c>
      <c r="F1086" s="18">
        <v>525.5988107326513</v>
      </c>
      <c r="G1086" s="18">
        <v>-376.08859828777804</v>
      </c>
      <c r="H1086" s="12">
        <f>E1087</f>
      </c>
      <c r="I1086" s="12">
        <f>F1087</f>
      </c>
      <c r="J1086" s="12">
        <f>G1087</f>
      </c>
      <c r="K1086">
        <f>IF(AND(Pu&gt;=MIN(E1086,H1086),Pu&lt;=MAX(E1086,H1086),E1086&lt;&gt;H1086),1,0)</f>
      </c>
      <c r="L1086">
        <f>IF(K1086=1,(Pu-E1086)/(H1086-E1086),"")</f>
      </c>
      <c r="M1086" s="12">
        <f>IF(K1086=1,F1086+L1086*(I1086-F1086),"")</f>
      </c>
      <c r="N1086" s="12">
        <f>IF(K1086=1,G1086+L1086*(J1086-G1086),"")</f>
      </c>
    </row>
    <row r="1087" spans="2:14" x14ac:dyDescent="0.25">
      <c r="B1087">
        <v>30</v>
      </c>
      <c r="C1087">
        <v>101.24999999999996</v>
      </c>
      <c r="D1087">
        <v>33</v>
      </c>
      <c r="E1087" s="18">
        <v>-4366.760590923741</v>
      </c>
      <c r="F1087" s="18">
        <v>307.9648341597309</v>
      </c>
      <c r="G1087" s="18">
        <v>-241.24064474914965</v>
      </c>
      <c r="H1087" s="12">
        <f>E1088</f>
      </c>
      <c r="I1087" s="12">
        <f>F1088</f>
      </c>
      <c r="J1087" s="12">
        <f>G1088</f>
      </c>
      <c r="K1087">
        <f>IF(AND(Pu&gt;=MIN(E1087,H1087),Pu&lt;=MAX(E1087,H1087),E1087&lt;&gt;H1087),1,0)</f>
      </c>
      <c r="L1087">
        <f>IF(K1087=1,(Pu-E1087)/(H1087-E1087),"")</f>
      </c>
      <c r="M1087" s="12">
        <f>IF(K1087=1,F1087+L1087*(I1087-F1087),"")</f>
      </c>
      <c r="N1087" s="12">
        <f>IF(K1087=1,G1087+L1087*(J1087-G1087),"")</f>
      </c>
    </row>
    <row r="1088" spans="2:14" x14ac:dyDescent="0.25">
      <c r="B1088">
        <v>30</v>
      </c>
      <c r="C1088">
        <v>101.24999999999996</v>
      </c>
      <c r="D1088">
        <v>34</v>
      </c>
      <c r="E1088" s="18">
        <v>-4766.35784458127</v>
      </c>
      <c r="F1088" s="18">
        <v>90.28493324606525</v>
      </c>
      <c r="G1088" s="18">
        <v>-76.22235532860003</v>
      </c>
      <c r="H1088" s="12">
        <f>E1089</f>
      </c>
      <c r="I1088" s="12">
        <f>F1089</f>
      </c>
      <c r="J1088" s="12">
        <f>G1089</f>
      </c>
      <c r="K1088">
        <f>IF(AND(Pu&gt;=MIN(E1088,H1088),Pu&lt;=MAX(E1088,H1088),E1088&lt;&gt;H1088),1,0)</f>
      </c>
      <c r="L1088">
        <f>IF(K1088=1,(Pu-E1088)/(H1088-E1088),"")</f>
      </c>
      <c r="M1088" s="12">
        <f>IF(K1088=1,F1088+L1088*(I1088-F1088),"")</f>
      </c>
      <c r="N1088" s="12">
        <f>IF(K1088=1,G1088+L1088*(J1088-G1088),"")</f>
      </c>
    </row>
    <row r="1089" spans="2:7" x14ac:dyDescent="0.25">
      <c r="B1089">
        <v>30</v>
      </c>
      <c r="C1089">
        <v>101.24999999999996</v>
      </c>
      <c r="D1089">
        <v>35</v>
      </c>
      <c r="E1089" s="18">
        <v>-4832.575134548201</v>
      </c>
      <c r="F1089" s="18">
        <v>52.3033839150499</v>
      </c>
      <c r="G1089" s="18">
        <v>-45.09713177194269</v>
      </c>
    </row>
    <row r="1091" spans="2:14" x14ac:dyDescent="0.25">
      <c r="B1091">
        <v>31</v>
      </c>
      <c r="C1091">
        <v>104.99999999999999</v>
      </c>
      <c r="D1091">
        <v>1</v>
      </c>
      <c r="E1091" s="18">
        <v>17663.40830987146</v>
      </c>
      <c r="F1091" s="18">
        <v>2056.1564175509648</v>
      </c>
      <c r="G1091" s="18">
        <v>-1055.197812998474</v>
      </c>
      <c r="H1091" s="12">
        <f>E1092</f>
      </c>
      <c r="I1091" s="12">
        <f>F1092</f>
      </c>
      <c r="J1091" s="12">
        <f>G1092</f>
      </c>
      <c r="K1091">
        <f>IF(AND(Pu&gt;=MIN(E1091,H1091),Pu&lt;=MAX(E1091,H1091),E1091&lt;&gt;H1091),1,0)</f>
      </c>
      <c r="L1091">
        <f>IF(K1091=1,(Pu-E1091)/(H1091-E1091),"")</f>
      </c>
      <c r="M1091" s="12">
        <f>IF(K1091=1,F1091+L1091*(I1091-F1091),"")</f>
      </c>
      <c r="N1091" s="12">
        <f>IF(K1091=1,G1091+L1091*(J1091-G1091),"")</f>
      </c>
    </row>
    <row r="1092" spans="2:14" x14ac:dyDescent="0.25">
      <c r="B1092">
        <v>31</v>
      </c>
      <c r="C1092">
        <v>104.99999999999999</v>
      </c>
      <c r="D1092">
        <v>2</v>
      </c>
      <c r="E1092" s="18">
        <v>16145.782448705577</v>
      </c>
      <c r="F1092" s="18">
        <v>2666.706486026527</v>
      </c>
      <c r="G1092" s="18">
        <v>-1059.4849013919431</v>
      </c>
      <c r="H1092" s="12">
        <f>E1093</f>
      </c>
      <c r="I1092" s="12">
        <f>F1093</f>
      </c>
      <c r="J1092" s="12">
        <f>G1093</f>
      </c>
      <c r="K1092">
        <f>IF(AND(Pu&gt;=MIN(E1092,H1092),Pu&lt;=MAX(E1092,H1092),E1092&lt;&gt;H1092),1,0)</f>
      </c>
      <c r="L1092">
        <f>IF(K1092=1,(Pu-E1092)/(H1092-E1092),"")</f>
      </c>
      <c r="M1092" s="12">
        <f>IF(K1092=1,F1092+L1092*(I1092-F1092),"")</f>
      </c>
      <c r="N1092" s="12">
        <f>IF(K1092=1,G1092+L1092*(J1092-G1092),"")</f>
      </c>
    </row>
    <row r="1093" spans="2:14" x14ac:dyDescent="0.25">
      <c r="B1093">
        <v>31</v>
      </c>
      <c r="C1093">
        <v>104.99999999999999</v>
      </c>
      <c r="D1093">
        <v>3</v>
      </c>
      <c r="E1093" s="18">
        <v>14749.914364669468</v>
      </c>
      <c r="F1093" s="18">
        <v>3146.1892870010815</v>
      </c>
      <c r="G1093" s="18">
        <v>-1023.9341349930365</v>
      </c>
      <c r="H1093" s="12">
        <f>E1094</f>
      </c>
      <c r="I1093" s="12">
        <f>F1094</f>
      </c>
      <c r="J1093" s="12">
        <f>G1094</f>
      </c>
      <c r="K1093">
        <f>IF(AND(Pu&gt;=MIN(E1093,H1093),Pu&lt;=MAX(E1093,H1093),E1093&lt;&gt;H1093),1,0)</f>
      </c>
      <c r="L1093">
        <f>IF(K1093=1,(Pu-E1093)/(H1093-E1093),"")</f>
      </c>
      <c r="M1093" s="12">
        <f>IF(K1093=1,F1093+L1093*(I1093-F1093),"")</f>
      </c>
      <c r="N1093" s="12">
        <f>IF(K1093=1,G1093+L1093*(J1093-G1093),"")</f>
      </c>
    </row>
    <row r="1094" spans="2:14" x14ac:dyDescent="0.25">
      <c r="B1094">
        <v>31</v>
      </c>
      <c r="C1094">
        <v>104.99999999999999</v>
      </c>
      <c r="D1094">
        <v>4</v>
      </c>
      <c r="E1094" s="18">
        <v>12869.05580864831</v>
      </c>
      <c r="F1094" s="18">
        <v>3631.5006140170913</v>
      </c>
      <c r="G1094" s="18">
        <v>-1041.6427453984068</v>
      </c>
      <c r="H1094" s="12">
        <f>E1095</f>
      </c>
      <c r="I1094" s="12">
        <f>F1095</f>
      </c>
      <c r="J1094" s="12">
        <f>G1095</f>
      </c>
      <c r="K1094">
        <f>IF(AND(Pu&gt;=MIN(E1094,H1094),Pu&lt;=MAX(E1094,H1094),E1094&lt;&gt;H1094),1,0)</f>
      </c>
      <c r="L1094">
        <f>IF(K1094=1,(Pu-E1094)/(H1094-E1094),"")</f>
      </c>
      <c r="M1094" s="12">
        <f>IF(K1094=1,F1094+L1094*(I1094-F1094),"")</f>
      </c>
      <c r="N1094" s="12">
        <f>IF(K1094=1,G1094+L1094*(J1094-G1094),"")</f>
      </c>
    </row>
    <row r="1095" spans="2:14" x14ac:dyDescent="0.25">
      <c r="B1095">
        <v>31</v>
      </c>
      <c r="C1095">
        <v>104.99999999999999</v>
      </c>
      <c r="D1095">
        <v>5</v>
      </c>
      <c r="E1095" s="18">
        <v>11361.337483221054</v>
      </c>
      <c r="F1095" s="18">
        <v>3900.534426161812</v>
      </c>
      <c r="G1095" s="18">
        <v>-1085.2456143597792</v>
      </c>
      <c r="H1095" s="12">
        <f>E1096</f>
      </c>
      <c r="I1095" s="12">
        <f>F1096</f>
      </c>
      <c r="J1095" s="12">
        <f>G1096</f>
      </c>
      <c r="K1095">
        <f>IF(AND(Pu&gt;=MIN(E1095,H1095),Pu&lt;=MAX(E1095,H1095),E1095&lt;&gt;H1095),1,0)</f>
      </c>
      <c r="L1095">
        <f>IF(K1095=1,(Pu-E1095)/(H1095-E1095),"")</f>
      </c>
      <c r="M1095" s="12">
        <f>IF(K1095=1,F1095+L1095*(I1095-F1095),"")</f>
      </c>
      <c r="N1095" s="12">
        <f>IF(K1095=1,G1095+L1095*(J1095-G1095),"")</f>
      </c>
    </row>
    <row r="1096" spans="2:14" x14ac:dyDescent="0.25">
      <c r="B1096">
        <v>31</v>
      </c>
      <c r="C1096">
        <v>104.99999999999999</v>
      </c>
      <c r="D1096">
        <v>6</v>
      </c>
      <c r="E1096" s="18">
        <v>10038.276747257058</v>
      </c>
      <c r="F1096" s="18">
        <v>4068.049273976092</v>
      </c>
      <c r="G1096" s="18">
        <v>-1129.9656172656746</v>
      </c>
      <c r="H1096" s="12">
        <f>E1097</f>
      </c>
      <c r="I1096" s="12">
        <f>F1097</f>
      </c>
      <c r="J1096" s="12">
        <f>G1097</f>
      </c>
      <c r="K1096">
        <f>IF(AND(Pu&gt;=MIN(E1096,H1096),Pu&lt;=MAX(E1096,H1096),E1096&lt;&gt;H1096),1,0)</f>
      </c>
      <c r="L1096">
        <f>IF(K1096=1,(Pu-E1096)/(H1096-E1096),"")</f>
      </c>
      <c r="M1096" s="12">
        <f>IF(K1096=1,F1096+L1096*(I1096-F1096),"")</f>
      </c>
      <c r="N1096" s="12">
        <f>IF(K1096=1,G1096+L1096*(J1096-G1096),"")</f>
      </c>
    </row>
    <row r="1097" spans="2:14" x14ac:dyDescent="0.25">
      <c r="B1097">
        <v>31</v>
      </c>
      <c r="C1097">
        <v>104.99999999999999</v>
      </c>
      <c r="D1097">
        <v>7</v>
      </c>
      <c r="E1097" s="18">
        <v>9044.414289894843</v>
      </c>
      <c r="F1097" s="18">
        <v>4162.797357567723</v>
      </c>
      <c r="G1097" s="18">
        <v>-1167.6924250796233</v>
      </c>
      <c r="H1097" s="12">
        <f>E1098</f>
      </c>
      <c r="I1097" s="12">
        <f>F1098</f>
      </c>
      <c r="J1097" s="12">
        <f>G1098</f>
      </c>
      <c r="K1097">
        <f>IF(AND(Pu&gt;=MIN(E1097,H1097),Pu&lt;=MAX(E1097,H1097),E1097&lt;&gt;H1097),1,0)</f>
      </c>
      <c r="L1097">
        <f>IF(K1097=1,(Pu-E1097)/(H1097-E1097),"")</f>
      </c>
      <c r="M1097" s="12">
        <f>IF(K1097=1,F1097+L1097*(I1097-F1097),"")</f>
      </c>
      <c r="N1097" s="12">
        <f>IF(K1097=1,G1097+L1097*(J1097-G1097),"")</f>
      </c>
    </row>
    <row r="1098" spans="2:14" x14ac:dyDescent="0.25">
      <c r="B1098">
        <v>31</v>
      </c>
      <c r="C1098">
        <v>104.99999999999999</v>
      </c>
      <c r="D1098">
        <v>8</v>
      </c>
      <c r="E1098" s="18">
        <v>8943.883326849022</v>
      </c>
      <c r="F1098" s="18">
        <v>4204.192285074841</v>
      </c>
      <c r="G1098" s="18">
        <v>-1180.3600189786903</v>
      </c>
      <c r="H1098" s="12">
        <f>E1099</f>
      </c>
      <c r="I1098" s="12">
        <f>F1099</f>
      </c>
      <c r="J1098" s="12">
        <f>G1099</f>
      </c>
      <c r="K1098">
        <f>IF(AND(Pu&gt;=MIN(E1098,H1098),Pu&lt;=MAX(E1098,H1098),E1098&lt;&gt;H1098),1,0)</f>
      </c>
      <c r="L1098">
        <f>IF(K1098=1,(Pu-E1098)/(H1098-E1098),"")</f>
      </c>
      <c r="M1098" s="12">
        <f>IF(K1098=1,F1098+L1098*(I1098-F1098),"")</f>
      </c>
      <c r="N1098" s="12">
        <f>IF(K1098=1,G1098+L1098*(J1098-G1098),"")</f>
      </c>
    </row>
    <row r="1099" spans="2:14" x14ac:dyDescent="0.25">
      <c r="B1099">
        <v>31</v>
      </c>
      <c r="C1099">
        <v>104.99999999999999</v>
      </c>
      <c r="D1099">
        <v>9</v>
      </c>
      <c r="E1099" s="18">
        <v>8555.482514755733</v>
      </c>
      <c r="F1099" s="18">
        <v>4358.706013083257</v>
      </c>
      <c r="G1099" s="18">
        <v>-1241.274418058054</v>
      </c>
      <c r="H1099" s="12">
        <f>E1100</f>
      </c>
      <c r="I1099" s="12">
        <f>F1100</f>
      </c>
      <c r="J1099" s="12">
        <f>G1100</f>
      </c>
      <c r="K1099">
        <f>IF(AND(Pu&gt;=MIN(E1099,H1099),Pu&lt;=MAX(E1099,H1099),E1099&lt;&gt;H1099),1,0)</f>
      </c>
      <c r="L1099">
        <f>IF(K1099=1,(Pu-E1099)/(H1099-E1099),"")</f>
      </c>
      <c r="M1099" s="12">
        <f>IF(K1099=1,F1099+L1099*(I1099-F1099),"")</f>
      </c>
      <c r="N1099" s="12">
        <f>IF(K1099=1,G1099+L1099*(J1099-G1099),"")</f>
      </c>
    </row>
    <row r="1100" spans="2:14" x14ac:dyDescent="0.25">
      <c r="B1100">
        <v>31</v>
      </c>
      <c r="C1100">
        <v>104.99999999999999</v>
      </c>
      <c r="D1100">
        <v>10</v>
      </c>
      <c r="E1100" s="18">
        <v>8373.355973128051</v>
      </c>
      <c r="F1100" s="18">
        <v>4431.642828341769</v>
      </c>
      <c r="G1100" s="18">
        <v>-1258.9236070293755</v>
      </c>
      <c r="H1100" s="12">
        <f>E1101</f>
      </c>
      <c r="I1100" s="12">
        <f>F1101</f>
      </c>
      <c r="J1100" s="12">
        <f>G1101</f>
      </c>
      <c r="K1100">
        <f>IF(AND(Pu&gt;=MIN(E1100,H1100),Pu&lt;=MAX(E1100,H1100),E1100&lt;&gt;H1100),1,0)</f>
      </c>
      <c r="L1100">
        <f>IF(K1100=1,(Pu-E1100)/(H1100-E1100),"")</f>
      </c>
      <c r="M1100" s="12">
        <f>IF(K1100=1,F1100+L1100*(I1100-F1100),"")</f>
      </c>
      <c r="N1100" s="12">
        <f>IF(K1100=1,G1100+L1100*(J1100-G1100),"")</f>
      </c>
    </row>
    <row r="1101" spans="2:14" x14ac:dyDescent="0.25">
      <c r="B1101">
        <v>31</v>
      </c>
      <c r="C1101">
        <v>104.99999999999999</v>
      </c>
      <c r="D1101">
        <v>11</v>
      </c>
      <c r="E1101" s="18">
        <v>8137.0251466358095</v>
      </c>
      <c r="F1101" s="18">
        <v>4509.583845828993</v>
      </c>
      <c r="G1101" s="18">
        <v>-1290.9265926326295</v>
      </c>
      <c r="H1101" s="12">
        <f>E1102</f>
      </c>
      <c r="I1101" s="12">
        <f>F1102</f>
      </c>
      <c r="J1101" s="12">
        <f>G1102</f>
      </c>
      <c r="K1101">
        <f>IF(AND(Pu&gt;=MIN(E1101,H1101),Pu&lt;=MAX(E1101,H1101),E1101&lt;&gt;H1101),1,0)</f>
      </c>
      <c r="L1101">
        <f>IF(K1101=1,(Pu-E1101)/(H1101-E1101),"")</f>
      </c>
      <c r="M1101" s="12">
        <f>IF(K1101=1,F1101+L1101*(I1101-F1101),"")</f>
      </c>
      <c r="N1101" s="12">
        <f>IF(K1101=1,G1101+L1101*(J1101-G1101),"")</f>
      </c>
    </row>
    <row r="1102" spans="2:14" x14ac:dyDescent="0.25">
      <c r="B1102">
        <v>31</v>
      </c>
      <c r="C1102">
        <v>104.99999999999999</v>
      </c>
      <c r="D1102">
        <v>12</v>
      </c>
      <c r="E1102" s="18">
        <v>7916.749436181585</v>
      </c>
      <c r="F1102" s="18">
        <v>4574.997951522599</v>
      </c>
      <c r="G1102" s="18">
        <v>-1320.4219846373949</v>
      </c>
      <c r="H1102" s="12">
        <f>E1103</f>
      </c>
      <c r="I1102" s="12">
        <f>F1103</f>
      </c>
      <c r="J1102" s="12">
        <f>G1103</f>
      </c>
      <c r="K1102">
        <f>IF(AND(Pu&gt;=MIN(E1102,H1102),Pu&lt;=MAX(E1102,H1102),E1102&lt;&gt;H1102),1,0)</f>
      </c>
      <c r="L1102">
        <f>IF(K1102=1,(Pu-E1102)/(H1102-E1102),"")</f>
      </c>
      <c r="M1102" s="12">
        <f>IF(K1102=1,F1102+L1102*(I1102-F1102),"")</f>
      </c>
      <c r="N1102" s="12">
        <f>IF(K1102=1,G1102+L1102*(J1102-G1102),"")</f>
      </c>
    </row>
    <row r="1103" spans="2:14" x14ac:dyDescent="0.25">
      <c r="B1103">
        <v>31</v>
      </c>
      <c r="C1103">
        <v>104.99999999999999</v>
      </c>
      <c r="D1103">
        <v>13</v>
      </c>
      <c r="E1103" s="18">
        <v>7792.7677971207695</v>
      </c>
      <c r="F1103" s="18">
        <v>4605.309394923114</v>
      </c>
      <c r="G1103" s="18">
        <v>-1345.661312741633</v>
      </c>
      <c r="H1103" s="12">
        <f>E1104</f>
      </c>
      <c r="I1103" s="12">
        <f>F1104</f>
      </c>
      <c r="J1103" s="12">
        <f>G1104</f>
      </c>
      <c r="K1103">
        <f>IF(AND(Pu&gt;=MIN(E1103,H1103),Pu&lt;=MAX(E1103,H1103),E1103&lt;&gt;H1103),1,0)</f>
      </c>
      <c r="L1103">
        <f>IF(K1103=1,(Pu-E1103)/(H1103-E1103),"")</f>
      </c>
      <c r="M1103" s="12">
        <f>IF(K1103=1,F1103+L1103*(I1103-F1103),"")</f>
      </c>
      <c r="N1103" s="12">
        <f>IF(K1103=1,G1103+L1103*(J1103-G1103),"")</f>
      </c>
    </row>
    <row r="1104" spans="2:14" x14ac:dyDescent="0.25">
      <c r="B1104">
        <v>31</v>
      </c>
      <c r="C1104">
        <v>104.99999999999999</v>
      </c>
      <c r="D1104">
        <v>14</v>
      </c>
      <c r="E1104" s="18">
        <v>7495.972215835725</v>
      </c>
      <c r="F1104" s="18">
        <v>4666.270511280426</v>
      </c>
      <c r="G1104" s="18">
        <v>-1410.2655462678542</v>
      </c>
      <c r="H1104" s="12">
        <f>E1105</f>
      </c>
      <c r="I1104" s="12">
        <f>F1105</f>
      </c>
      <c r="J1104" s="12">
        <f>G1105</f>
      </c>
      <c r="K1104">
        <f>IF(AND(Pu&gt;=MIN(E1104,H1104),Pu&lt;=MAX(E1104,H1104),E1104&lt;&gt;H1104),1,0)</f>
      </c>
      <c r="L1104">
        <f>IF(K1104=1,(Pu-E1104)/(H1104-E1104),"")</f>
      </c>
      <c r="M1104" s="12">
        <f>IF(K1104=1,F1104+L1104*(I1104-F1104),"")</f>
      </c>
      <c r="N1104" s="12">
        <f>IF(K1104=1,G1104+L1104*(J1104-G1104),"")</f>
      </c>
    </row>
    <row r="1105" spans="2:14" x14ac:dyDescent="0.25">
      <c r="B1105">
        <v>31</v>
      </c>
      <c r="C1105">
        <v>104.99999999999999</v>
      </c>
      <c r="D1105">
        <v>15</v>
      </c>
      <c r="E1105" s="18">
        <v>7461.584612834729</v>
      </c>
      <c r="F1105" s="18">
        <v>4672.207854913317</v>
      </c>
      <c r="G1105" s="18">
        <v>-1417.6295328733327</v>
      </c>
      <c r="H1105" s="12">
        <f>E1106</f>
      </c>
      <c r="I1105" s="12">
        <f>F1106</f>
      </c>
      <c r="J1105" s="12">
        <f>G1106</f>
      </c>
      <c r="K1105">
        <f>IF(AND(Pu&gt;=MIN(E1105,H1105),Pu&lt;=MAX(E1105,H1105),E1105&lt;&gt;H1105),1,0)</f>
      </c>
      <c r="L1105">
        <f>IF(K1105=1,(Pu-E1105)/(H1105-E1105),"")</f>
      </c>
      <c r="M1105" s="12">
        <f>IF(K1105=1,F1105+L1105*(I1105-F1105),"")</f>
      </c>
      <c r="N1105" s="12">
        <f>IF(K1105=1,G1105+L1105*(J1105-G1105),"")</f>
      </c>
    </row>
    <row r="1106" spans="2:14" x14ac:dyDescent="0.25">
      <c r="B1106">
        <v>31</v>
      </c>
      <c r="C1106">
        <v>104.99999999999999</v>
      </c>
      <c r="D1106">
        <v>16</v>
      </c>
      <c r="E1106" s="18">
        <v>7125.2955977998445</v>
      </c>
      <c r="F1106" s="18">
        <v>4724.132633473328</v>
      </c>
      <c r="G1106" s="18">
        <v>-1481.5578731189341</v>
      </c>
      <c r="H1106" s="12">
        <f>E1107</f>
      </c>
      <c r="I1106" s="12">
        <f>F1107</f>
      </c>
      <c r="J1106" s="12">
        <f>G1107</f>
      </c>
      <c r="K1106">
        <f>IF(AND(Pu&gt;=MIN(E1106,H1106),Pu&lt;=MAX(E1106,H1106),E1106&lt;&gt;H1106),1,0)</f>
      </c>
      <c r="L1106">
        <f>IF(K1106=1,(Pu-E1106)/(H1106-E1106),"")</f>
      </c>
      <c r="M1106" s="12">
        <f>IF(K1106=1,F1106+L1106*(I1106-F1106),"")</f>
      </c>
      <c r="N1106" s="12">
        <f>IF(K1106=1,G1106+L1106*(J1106-G1106),"")</f>
      </c>
    </row>
    <row r="1107" spans="2:14" x14ac:dyDescent="0.25">
      <c r="B1107">
        <v>31</v>
      </c>
      <c r="C1107">
        <v>104.99999999999999</v>
      </c>
      <c r="D1107">
        <v>17</v>
      </c>
      <c r="E1107" s="18">
        <v>6824.356971017705</v>
      </c>
      <c r="F1107" s="18">
        <v>4766.3307983665</v>
      </c>
      <c r="G1107" s="18">
        <v>-1521.873301077334</v>
      </c>
      <c r="H1107" s="12">
        <f>E1108</f>
      </c>
      <c r="I1107" s="12">
        <f>F1108</f>
      </c>
      <c r="J1107" s="12">
        <f>G1108</f>
      </c>
      <c r="K1107">
        <f>IF(AND(Pu&gt;=MIN(E1107,H1107),Pu&lt;=MAX(E1107,H1107),E1107&lt;&gt;H1107),1,0)</f>
      </c>
      <c r="L1107">
        <f>IF(K1107=1,(Pu-E1107)/(H1107-E1107),"")</f>
      </c>
      <c r="M1107" s="12">
        <f>IF(K1107=1,F1107+L1107*(I1107-F1107),"")</f>
      </c>
      <c r="N1107" s="12">
        <f>IF(K1107=1,G1107+L1107*(J1107-G1107),"")</f>
      </c>
    </row>
    <row r="1108" spans="2:14" x14ac:dyDescent="0.25">
      <c r="B1108">
        <v>31</v>
      </c>
      <c r="C1108">
        <v>104.99999999999999</v>
      </c>
      <c r="D1108">
        <v>18</v>
      </c>
      <c r="E1108" s="18">
        <v>6712.760123692532</v>
      </c>
      <c r="F1108" s="18">
        <v>4779.873256335667</v>
      </c>
      <c r="G1108" s="18">
        <v>-1536.1973384305456</v>
      </c>
      <c r="H1108" s="12">
        <f>E1109</f>
      </c>
      <c r="I1108" s="12">
        <f>F1109</f>
      </c>
      <c r="J1108" s="12">
        <f>G1109</f>
      </c>
      <c r="K1108">
        <f>IF(AND(Pu&gt;=MIN(E1108,H1108),Pu&lt;=MAX(E1108,H1108),E1108&lt;&gt;H1108),1,0)</f>
      </c>
      <c r="L1108">
        <f>IF(K1108=1,(Pu-E1108)/(H1108-E1108),"")</f>
      </c>
      <c r="M1108" s="12">
        <f>IF(K1108=1,F1108+L1108*(I1108-F1108),"")</f>
      </c>
      <c r="N1108" s="12">
        <f>IF(K1108=1,G1108+L1108*(J1108-G1108),"")</f>
      </c>
    </row>
    <row r="1109" spans="2:14" x14ac:dyDescent="0.25">
      <c r="B1109">
        <v>31</v>
      </c>
      <c r="C1109">
        <v>104.99999999999999</v>
      </c>
      <c r="D1109">
        <v>19</v>
      </c>
      <c r="E1109" s="18">
        <v>6533.242087252471</v>
      </c>
      <c r="F1109" s="18">
        <v>4801.13138640711</v>
      </c>
      <c r="G1109" s="18">
        <v>-1572.7419381235368</v>
      </c>
      <c r="H1109" s="12">
        <f>E1110</f>
      </c>
      <c r="I1109" s="12">
        <f>F1110</f>
      </c>
      <c r="J1109" s="12">
        <f>G1110</f>
      </c>
      <c r="K1109">
        <f>IF(AND(Pu&gt;=MIN(E1109,H1109),Pu&lt;=MAX(E1109,H1109),E1109&lt;&gt;H1109),1,0)</f>
      </c>
      <c r="L1109">
        <f>IF(K1109=1,(Pu-E1109)/(H1109-E1109),"")</f>
      </c>
      <c r="M1109" s="12">
        <f>IF(K1109=1,F1109+L1109*(I1109-F1109),"")</f>
      </c>
      <c r="N1109" s="12">
        <f>IF(K1109=1,G1109+L1109*(J1109-G1109),"")</f>
      </c>
    </row>
    <row r="1110" spans="2:14" x14ac:dyDescent="0.25">
      <c r="B1110">
        <v>31</v>
      </c>
      <c r="C1110">
        <v>104.99999999999999</v>
      </c>
      <c r="D1110">
        <v>20</v>
      </c>
      <c r="E1110" s="18">
        <v>6243.741751378669</v>
      </c>
      <c r="F1110" s="18">
        <v>4815.363505491875</v>
      </c>
      <c r="G1110" s="18">
        <v>-1613.4587386768499</v>
      </c>
      <c r="H1110" s="12">
        <f>E1111</f>
      </c>
      <c r="I1110" s="12">
        <f>F1111</f>
      </c>
      <c r="J1110" s="12">
        <f>G1111</f>
      </c>
      <c r="K1110">
        <f>IF(AND(Pu&gt;=MIN(E1110,H1110),Pu&lt;=MAX(E1110,H1110),E1110&lt;&gt;H1110),1,0)</f>
      </c>
      <c r="L1110">
        <f>IF(K1110=1,(Pu-E1110)/(H1110-E1110),"")</f>
      </c>
      <c r="M1110" s="12">
        <f>IF(K1110=1,F1110+L1110*(I1110-F1110),"")</f>
      </c>
      <c r="N1110" s="12">
        <f>IF(K1110=1,G1110+L1110*(J1110-G1110),"")</f>
      </c>
    </row>
    <row r="1111" spans="2:14" x14ac:dyDescent="0.25">
      <c r="B1111">
        <v>31</v>
      </c>
      <c r="C1111">
        <v>104.99999999999999</v>
      </c>
      <c r="D1111">
        <v>21</v>
      </c>
      <c r="E1111" s="18">
        <v>6192.823512197097</v>
      </c>
      <c r="F1111" s="18">
        <v>4816.122040964442</v>
      </c>
      <c r="G1111" s="18">
        <v>-1620.8527463722987</v>
      </c>
      <c r="H1111" s="12">
        <f>E1112</f>
      </c>
      <c r="I1111" s="12">
        <f>F1112</f>
      </c>
      <c r="J1111" s="12">
        <f>G1112</f>
      </c>
      <c r="K1111">
        <f>IF(AND(Pu&gt;=MIN(E1111,H1111),Pu&lt;=MAX(E1111,H1111),E1111&lt;&gt;H1111),1,0)</f>
      </c>
      <c r="L1111">
        <f>IF(K1111=1,(Pu-E1111)/(H1111-E1111),"")</f>
      </c>
      <c r="M1111" s="12">
        <f>IF(K1111=1,F1111+L1111*(I1111-F1111),"")</f>
      </c>
      <c r="N1111" s="12">
        <f>IF(K1111=1,G1111+L1111*(J1111-G1111),"")</f>
      </c>
    </row>
    <row r="1112" spans="2:14" x14ac:dyDescent="0.25">
      <c r="B1112">
        <v>31</v>
      </c>
      <c r="C1112">
        <v>104.99999999999999</v>
      </c>
      <c r="D1112">
        <v>22</v>
      </c>
      <c r="E1112" s="18">
        <v>5425.43698665798</v>
      </c>
      <c r="F1112" s="18">
        <v>4593.1183903955</v>
      </c>
      <c r="G1112" s="18">
        <v>-1655.2472909918363</v>
      </c>
      <c r="H1112" s="12">
        <f>E1113</f>
      </c>
      <c r="I1112" s="12">
        <f>F1113</f>
      </c>
      <c r="J1112" s="12">
        <f>G1113</f>
      </c>
      <c r="K1112">
        <f>IF(AND(Pu&gt;=MIN(E1112,H1112),Pu&lt;=MAX(E1112,H1112),E1112&lt;&gt;H1112),1,0)</f>
      </c>
      <c r="L1112">
        <f>IF(K1112=1,(Pu-E1112)/(H1112-E1112),"")</f>
      </c>
      <c r="M1112" s="12">
        <f>IF(K1112=1,F1112+L1112*(I1112-F1112),"")</f>
      </c>
      <c r="N1112" s="12">
        <f>IF(K1112=1,G1112+L1112*(J1112-G1112),"")</f>
      </c>
    </row>
    <row r="1113" spans="2:14" x14ac:dyDescent="0.25">
      <c r="B1113">
        <v>31</v>
      </c>
      <c r="C1113">
        <v>104.99999999999999</v>
      </c>
      <c r="D1113">
        <v>23</v>
      </c>
      <c r="E1113" s="18">
        <v>4075.7816266170057</v>
      </c>
      <c r="F1113" s="18">
        <v>4134.056230516801</v>
      </c>
      <c r="G1113" s="18">
        <v>-1670.1574020308574</v>
      </c>
      <c r="H1113" s="12">
        <f>E1114</f>
      </c>
      <c r="I1113" s="12">
        <f>F1114</f>
      </c>
      <c r="J1113" s="12">
        <f>G1114</f>
      </c>
      <c r="K1113">
        <f>IF(AND(Pu&gt;=MIN(E1113,H1113),Pu&lt;=MAX(E1113,H1113),E1113&lt;&gt;H1113),1,0)</f>
      </c>
      <c r="L1113">
        <f>IF(K1113=1,(Pu-E1113)/(H1113-E1113),"")</f>
      </c>
      <c r="M1113" s="12">
        <f>IF(K1113=1,F1113+L1113*(I1113-F1113),"")</f>
      </c>
      <c r="N1113" s="12">
        <f>IF(K1113=1,G1113+L1113*(J1113-G1113),"")</f>
      </c>
    </row>
    <row r="1114" spans="2:14" x14ac:dyDescent="0.25">
      <c r="B1114">
        <v>31</v>
      </c>
      <c r="C1114">
        <v>104.99999999999999</v>
      </c>
      <c r="D1114">
        <v>24</v>
      </c>
      <c r="E1114" s="18">
        <v>2944.7997831955686</v>
      </c>
      <c r="F1114" s="18">
        <v>3722.9231706918545</v>
      </c>
      <c r="G1114" s="18">
        <v>-1657.352702716526</v>
      </c>
      <c r="H1114" s="12">
        <f>E1115</f>
      </c>
      <c r="I1114" s="12">
        <f>F1115</f>
      </c>
      <c r="J1114" s="12">
        <f>G1115</f>
      </c>
      <c r="K1114">
        <f>IF(AND(Pu&gt;=MIN(E1114,H1114),Pu&lt;=MAX(E1114,H1114),E1114&lt;&gt;H1114),1,0)</f>
      </c>
      <c r="L1114">
        <f>IF(K1114=1,(Pu-E1114)/(H1114-E1114),"")</f>
      </c>
      <c r="M1114" s="12">
        <f>IF(K1114=1,F1114+L1114*(I1114-F1114),"")</f>
      </c>
      <c r="N1114" s="12">
        <f>IF(K1114=1,G1114+L1114*(J1114-G1114),"")</f>
      </c>
    </row>
    <row r="1115" spans="2:14" x14ac:dyDescent="0.25">
      <c r="B1115">
        <v>31</v>
      </c>
      <c r="C1115">
        <v>104.99999999999999</v>
      </c>
      <c r="D1115">
        <v>25</v>
      </c>
      <c r="E1115" s="18">
        <v>2076.6295793943314</v>
      </c>
      <c r="F1115" s="18">
        <v>3361.572080990776</v>
      </c>
      <c r="G1115" s="18">
        <v>-1634.0582084930527</v>
      </c>
      <c r="H1115" s="12">
        <f>E1116</f>
      </c>
      <c r="I1115" s="12">
        <f>F1116</f>
      </c>
      <c r="J1115" s="12">
        <f>G1116</f>
      </c>
      <c r="K1115">
        <f>IF(AND(Pu&gt;=MIN(E1115,H1115),Pu&lt;=MAX(E1115,H1115),E1115&lt;&gt;H1115),1,0)</f>
      </c>
      <c r="L1115">
        <f>IF(K1115=1,(Pu-E1115)/(H1115-E1115),"")</f>
      </c>
      <c r="M1115" s="12">
        <f>IF(K1115=1,F1115+L1115*(I1115-F1115),"")</f>
      </c>
      <c r="N1115" s="12">
        <f>IF(K1115=1,G1115+L1115*(J1115-G1115),"")</f>
      </c>
    </row>
    <row r="1116" spans="2:14" x14ac:dyDescent="0.25">
      <c r="B1116">
        <v>31</v>
      </c>
      <c r="C1116">
        <v>104.99999999999999</v>
      </c>
      <c r="D1116">
        <v>26</v>
      </c>
      <c r="E1116" s="18">
        <v>712.5359908337384</v>
      </c>
      <c r="F1116" s="18">
        <v>2772.104128176499</v>
      </c>
      <c r="G1116" s="18">
        <v>-1482.8617890671019</v>
      </c>
      <c r="H1116" s="12">
        <f>E1117</f>
      </c>
      <c r="I1116" s="12">
        <f>F1117</f>
      </c>
      <c r="J1116" s="12">
        <f>G1117</f>
      </c>
      <c r="K1116">
        <f>IF(AND(Pu&gt;=MIN(E1116,H1116),Pu&lt;=MAX(E1116,H1116),E1116&lt;&gt;H1116),1,0)</f>
      </c>
      <c r="L1116">
        <f>IF(K1116=1,(Pu-E1116)/(H1116-E1116),"")</f>
      </c>
      <c r="M1116" s="12">
        <f>IF(K1116=1,F1116+L1116*(I1116-F1116),"")</f>
      </c>
      <c r="N1116" s="12">
        <f>IF(K1116=1,G1116+L1116*(J1116-G1116),"")</f>
      </c>
    </row>
    <row r="1117" spans="2:14" x14ac:dyDescent="0.25">
      <c r="B1117">
        <v>31</v>
      </c>
      <c r="C1117">
        <v>104.99999999999999</v>
      </c>
      <c r="D1117">
        <v>27</v>
      </c>
      <c r="E1117" s="18">
        <v>-374.1013551416719</v>
      </c>
      <c r="F1117" s="18">
        <v>2286.4866372736924</v>
      </c>
      <c r="G1117" s="18">
        <v>-1280.5008152471191</v>
      </c>
      <c r="H1117" s="12">
        <f>E1118</f>
      </c>
      <c r="I1117" s="12">
        <f>F1118</f>
      </c>
      <c r="J1117" s="12">
        <f>G1118</f>
      </c>
      <c r="K1117">
        <f>IF(AND(Pu&gt;=MIN(E1117,H1117),Pu&lt;=MAX(E1117,H1117),E1117&lt;&gt;H1117),1,0)</f>
      </c>
      <c r="L1117">
        <f>IF(K1117=1,(Pu-E1117)/(H1117-E1117),"")</f>
      </c>
      <c r="M1117" s="12">
        <f>IF(K1117=1,F1117+L1117*(I1117-F1117),"")</f>
      </c>
      <c r="N1117" s="12">
        <f>IF(K1117=1,G1117+L1117*(J1117-G1117),"")</f>
      </c>
    </row>
    <row r="1118" spans="2:14" x14ac:dyDescent="0.25">
      <c r="B1118">
        <v>31</v>
      </c>
      <c r="C1118">
        <v>104.99999999999999</v>
      </c>
      <c r="D1118">
        <v>28</v>
      </c>
      <c r="E1118" s="18">
        <v>-1220.543467847863</v>
      </c>
      <c r="F1118" s="18">
        <v>1883.110582904914</v>
      </c>
      <c r="G1118" s="18">
        <v>-1117.9652594935558</v>
      </c>
      <c r="H1118" s="12">
        <f>E1119</f>
      </c>
      <c r="I1118" s="12">
        <f>F1119</f>
      </c>
      <c r="J1118" s="12">
        <f>G1119</f>
      </c>
      <c r="K1118">
        <f>IF(AND(Pu&gt;=MIN(E1118,H1118),Pu&lt;=MAX(E1118,H1118),E1118&lt;&gt;H1118),1,0)</f>
      </c>
      <c r="L1118">
        <f>IF(K1118=1,(Pu-E1118)/(H1118-E1118),"")</f>
      </c>
      <c r="M1118" s="12">
        <f>IF(K1118=1,F1118+L1118*(I1118-F1118),"")</f>
      </c>
      <c r="N1118" s="12">
        <f>IF(K1118=1,G1118+L1118*(J1118-G1118),"")</f>
      </c>
    </row>
    <row r="1119" spans="2:14" x14ac:dyDescent="0.25">
      <c r="B1119">
        <v>31</v>
      </c>
      <c r="C1119">
        <v>104.99999999999999</v>
      </c>
      <c r="D1119">
        <v>29</v>
      </c>
      <c r="E1119" s="18">
        <v>-1913.593139244656</v>
      </c>
      <c r="F1119" s="18">
        <v>1547.644214661814</v>
      </c>
      <c r="G1119" s="18">
        <v>-980.4354029909032</v>
      </c>
      <c r="H1119" s="12">
        <f>E1120</f>
      </c>
      <c r="I1119" s="12">
        <f>F1120</f>
      </c>
      <c r="J1119" s="12">
        <f>G1120</f>
      </c>
      <c r="K1119">
        <f>IF(AND(Pu&gt;=MIN(E1119,H1119),Pu&lt;=MAX(E1119,H1119),E1119&lt;&gt;H1119),1,0)</f>
      </c>
      <c r="L1119">
        <f>IF(K1119=1,(Pu-E1119)/(H1119-E1119),"")</f>
      </c>
      <c r="M1119" s="12">
        <f>IF(K1119=1,F1119+L1119*(I1119-F1119),"")</f>
      </c>
      <c r="N1119" s="12">
        <f>IF(K1119=1,G1119+L1119*(J1119-G1119),"")</f>
      </c>
    </row>
    <row r="1120" spans="2:14" x14ac:dyDescent="0.25">
      <c r="B1120">
        <v>31</v>
      </c>
      <c r="C1120">
        <v>104.99999999999999</v>
      </c>
      <c r="D1120">
        <v>30</v>
      </c>
      <c r="E1120" s="18">
        <v>-2901.7269487846875</v>
      </c>
      <c r="F1120" s="18">
        <v>1068.9410776416823</v>
      </c>
      <c r="G1120" s="18">
        <v>-722.9636361433096</v>
      </c>
      <c r="H1120" s="12">
        <f>E1121</f>
      </c>
      <c r="I1120" s="12">
        <f>F1121</f>
      </c>
      <c r="J1120" s="12">
        <f>G1121</f>
      </c>
      <c r="K1120">
        <f>IF(AND(Pu&gt;=MIN(E1120,H1120),Pu&lt;=MAX(E1120,H1120),E1120&lt;&gt;H1120),1,0)</f>
      </c>
      <c r="L1120">
        <f>IF(K1120=1,(Pu-E1120)/(H1120-E1120),"")</f>
      </c>
      <c r="M1120" s="12">
        <f>IF(K1120=1,F1120+L1120*(I1120-F1120),"")</f>
      </c>
      <c r="N1120" s="12">
        <f>IF(K1120=1,G1120+L1120*(J1120-G1120),"")</f>
      </c>
    </row>
    <row r="1121" spans="2:14" x14ac:dyDescent="0.25">
      <c r="B1121">
        <v>31</v>
      </c>
      <c r="C1121">
        <v>104.99999999999999</v>
      </c>
      <c r="D1121">
        <v>31</v>
      </c>
      <c r="E1121" s="18">
        <v>-3486.2717989779653</v>
      </c>
      <c r="F1121" s="18">
        <v>773.3795503754558</v>
      </c>
      <c r="G1121" s="18">
        <v>-547.9918963617694</v>
      </c>
      <c r="H1121" s="12">
        <f>E1122</f>
      </c>
      <c r="I1121" s="12">
        <f>F1122</f>
      </c>
      <c r="J1121" s="12">
        <f>G1122</f>
      </c>
      <c r="K1121">
        <f>IF(AND(Pu&gt;=MIN(E1121,H1121),Pu&lt;=MAX(E1121,H1121),E1121&lt;&gt;H1121),1,0)</f>
      </c>
      <c r="L1121">
        <f>IF(K1121=1,(Pu-E1121)/(H1121-E1121),"")</f>
      </c>
      <c r="M1121" s="12">
        <f>IF(K1121=1,F1121+L1121*(I1121-F1121),"")</f>
      </c>
      <c r="N1121" s="12">
        <f>IF(K1121=1,G1121+L1121*(J1121-G1121),"")</f>
      </c>
    </row>
    <row r="1122" spans="2:14" x14ac:dyDescent="0.25">
      <c r="B1122">
        <v>31</v>
      </c>
      <c r="C1122">
        <v>104.99999999999999</v>
      </c>
      <c r="D1122">
        <v>32</v>
      </c>
      <c r="E1122" s="18">
        <v>-4098.960307965164</v>
      </c>
      <c r="F1122" s="18">
        <v>449.2882957497243</v>
      </c>
      <c r="G1122" s="18">
        <v>-349.87360235017</v>
      </c>
      <c r="H1122" s="12">
        <f>E1123</f>
      </c>
      <c r="I1122" s="12">
        <f>F1123</f>
      </c>
      <c r="J1122" s="12">
        <f>G1123</f>
      </c>
      <c r="K1122">
        <f>IF(AND(Pu&gt;=MIN(E1122,H1122),Pu&lt;=MAX(E1122,H1122),E1122&lt;&gt;H1122),1,0)</f>
      </c>
      <c r="L1122">
        <f>IF(K1122=1,(Pu-E1122)/(H1122-E1122),"")</f>
      </c>
      <c r="M1122" s="12">
        <f>IF(K1122=1,F1122+L1122*(I1122-F1122),"")</f>
      </c>
      <c r="N1122" s="12">
        <f>IF(K1122=1,G1122+L1122*(J1122-G1122),"")</f>
      </c>
    </row>
    <row r="1123" spans="2:14" x14ac:dyDescent="0.25">
      <c r="B1123">
        <v>31</v>
      </c>
      <c r="C1123">
        <v>104.99999999999999</v>
      </c>
      <c r="D1123">
        <v>33</v>
      </c>
      <c r="E1123" s="18">
        <v>-4431.740486689304</v>
      </c>
      <c r="F1123" s="18">
        <v>270.82521915072226</v>
      </c>
      <c r="G1123" s="18">
        <v>-223.84585890724088</v>
      </c>
      <c r="H1123" s="12">
        <f>E1124</f>
      </c>
      <c r="I1123" s="12">
        <f>F1124</f>
      </c>
      <c r="J1123" s="12">
        <f>G1124</f>
      </c>
      <c r="K1123">
        <f>IF(AND(Pu&gt;=MIN(E1123,H1123),Pu&lt;=MAX(E1123,H1123),E1123&lt;&gt;H1123),1,0)</f>
      </c>
      <c r="L1123">
        <f>IF(K1123=1,(Pu-E1123)/(H1123-E1123),"")</f>
      </c>
      <c r="M1123" s="12">
        <f>IF(K1123=1,F1123+L1123*(I1123-F1123),"")</f>
      </c>
      <c r="N1123" s="12">
        <f>IF(K1123=1,G1123+L1123*(J1123-G1123),"")</f>
      </c>
    </row>
    <row r="1124" spans="2:14" x14ac:dyDescent="0.25">
      <c r="B1124">
        <v>31</v>
      </c>
      <c r="C1124">
        <v>104.99999999999999</v>
      </c>
      <c r="D1124">
        <v>34</v>
      </c>
      <c r="E1124" s="18">
        <v>-4781.665091967298</v>
      </c>
      <c r="F1124" s="18">
        <v>80.97824293577825</v>
      </c>
      <c r="G1124" s="18">
        <v>-71.60425227818031</v>
      </c>
      <c r="H1124" s="12">
        <f>E1125</f>
      </c>
      <c r="I1124" s="12">
        <f>F1125</f>
      </c>
      <c r="J1124" s="12">
        <f>G1125</f>
      </c>
      <c r="K1124">
        <f>IF(AND(Pu&gt;=MIN(E1124,H1124),Pu&lt;=MAX(E1124,H1124),E1124&lt;&gt;H1124),1,0)</f>
      </c>
      <c r="L1124">
        <f>IF(K1124=1,(Pu-E1124)/(H1124-E1124),"")</f>
      </c>
      <c r="M1124" s="12">
        <f>IF(K1124=1,F1124+L1124*(I1124-F1124),"")</f>
      </c>
      <c r="N1124" s="12">
        <f>IF(K1124=1,G1124+L1124*(J1124-G1124),"")</f>
      </c>
    </row>
    <row r="1125" spans="2:7" x14ac:dyDescent="0.25">
      <c r="B1125">
        <v>31</v>
      </c>
      <c r="C1125">
        <v>104.99999999999999</v>
      </c>
      <c r="D1125">
        <v>35</v>
      </c>
      <c r="E1125" s="18">
        <v>-4841.369813335681</v>
      </c>
      <c r="F1125" s="18">
        <v>46.97329722521769</v>
      </c>
      <c r="G1125" s="18">
        <v>-41.91532836332642</v>
      </c>
    </row>
    <row r="1127" spans="2:14" x14ac:dyDescent="0.25">
      <c r="B1127">
        <v>32</v>
      </c>
      <c r="C1127">
        <v>108.75</v>
      </c>
      <c r="D1127">
        <v>1</v>
      </c>
      <c r="E1127" s="18">
        <v>16511.586008695693</v>
      </c>
      <c r="F1127" s="18">
        <v>2452.2879988297577</v>
      </c>
      <c r="G1127" s="18">
        <v>-1301.3803365620436</v>
      </c>
      <c r="H1127" s="12">
        <f>E1128</f>
      </c>
      <c r="I1127" s="12">
        <f>F1128</f>
      </c>
      <c r="J1127" s="12">
        <f>G1128</f>
      </c>
      <c r="K1127">
        <f>IF(AND(Pu&gt;=MIN(E1127,H1127),Pu&lt;=MAX(E1127,H1127),E1127&lt;&gt;H1127),1,0)</f>
      </c>
      <c r="L1127">
        <f>IF(K1127=1,(Pu-E1127)/(H1127-E1127),"")</f>
      </c>
      <c r="M1127" s="12">
        <f>IF(K1127=1,F1127+L1127*(I1127-F1127),"")</f>
      </c>
      <c r="N1127" s="12">
        <f>IF(K1127=1,G1127+L1127*(J1127-G1127),"")</f>
      </c>
    </row>
    <row r="1128" spans="2:14" x14ac:dyDescent="0.25">
      <c r="B1128">
        <v>32</v>
      </c>
      <c r="C1128">
        <v>108.75</v>
      </c>
      <c r="D1128">
        <v>2</v>
      </c>
      <c r="E1128" s="18">
        <v>15052.80819291857</v>
      </c>
      <c r="F1128" s="18">
        <v>2973.958144454625</v>
      </c>
      <c r="G1128" s="18">
        <v>-1275.0181485984065</v>
      </c>
      <c r="H1128" s="12">
        <f>E1129</f>
      </c>
      <c r="I1128" s="12">
        <f>F1129</f>
      </c>
      <c r="J1128" s="12">
        <f>G1129</f>
      </c>
      <c r="K1128">
        <f>IF(AND(Pu&gt;=MIN(E1128,H1128),Pu&lt;=MAX(E1128,H1128),E1128&lt;&gt;H1128),1,0)</f>
      </c>
      <c r="L1128">
        <f>IF(K1128=1,(Pu-E1128)/(H1128-E1128),"")</f>
      </c>
      <c r="M1128" s="12">
        <f>IF(K1128=1,F1128+L1128*(I1128-F1128),"")</f>
      </c>
      <c r="N1128" s="12">
        <f>IF(K1128=1,G1128+L1128*(J1128-G1128),"")</f>
      </c>
    </row>
    <row r="1129" spans="2:14" x14ac:dyDescent="0.25">
      <c r="B1129">
        <v>32</v>
      </c>
      <c r="C1129">
        <v>108.75</v>
      </c>
      <c r="D1129">
        <v>3</v>
      </c>
      <c r="E1129" s="18">
        <v>13018.385928705822</v>
      </c>
      <c r="F1129" s="18">
        <v>3516.0080709181875</v>
      </c>
      <c r="G1129" s="18">
        <v>-1313.0524894856253</v>
      </c>
      <c r="H1129" s="12">
        <f>E1130</f>
      </c>
      <c r="I1129" s="12">
        <f>F1130</f>
      </c>
      <c r="J1129" s="12">
        <f>G1130</f>
      </c>
      <c r="K1129">
        <f>IF(AND(Pu&gt;=MIN(E1129,H1129),Pu&lt;=MAX(E1129,H1129),E1129&lt;&gt;H1129),1,0)</f>
      </c>
      <c r="L1129">
        <f>IF(K1129=1,(Pu-E1129)/(H1129-E1129),"")</f>
      </c>
      <c r="M1129" s="12">
        <f>IF(K1129=1,F1129+L1129*(I1129-F1129),"")</f>
      </c>
      <c r="N1129" s="12">
        <f>IF(K1129=1,G1129+L1129*(J1129-G1129),"")</f>
      </c>
    </row>
    <row r="1130" spans="2:14" x14ac:dyDescent="0.25">
      <c r="B1130">
        <v>32</v>
      </c>
      <c r="C1130">
        <v>108.75</v>
      </c>
      <c r="D1130">
        <v>4</v>
      </c>
      <c r="E1130" s="18">
        <v>11430.699482546475</v>
      </c>
      <c r="F1130" s="18">
        <v>3806.4012788328796</v>
      </c>
      <c r="G1130" s="18">
        <v>-1350.7395900894671</v>
      </c>
      <c r="H1130" s="12">
        <f>E1131</f>
      </c>
      <c r="I1130" s="12">
        <f>F1131</f>
      </c>
      <c r="J1130" s="12">
        <f>G1131</f>
      </c>
      <c r="K1130">
        <f>IF(AND(Pu&gt;=MIN(E1130,H1130),Pu&lt;=MAX(E1130,H1130),E1130&lt;&gt;H1130),1,0)</f>
      </c>
      <c r="L1130">
        <f>IF(K1130=1,(Pu-E1130)/(H1130-E1130),"")</f>
      </c>
      <c r="M1130" s="12">
        <f>IF(K1130=1,F1130+L1130*(I1130-F1130),"")</f>
      </c>
      <c r="N1130" s="12">
        <f>IF(K1130=1,G1130+L1130*(J1130-G1130),"")</f>
      </c>
    </row>
    <row r="1131" spans="2:14" x14ac:dyDescent="0.25">
      <c r="B1131">
        <v>32</v>
      </c>
      <c r="C1131">
        <v>108.75</v>
      </c>
      <c r="D1131">
        <v>5</v>
      </c>
      <c r="E1131" s="18">
        <v>10075.169882549097</v>
      </c>
      <c r="F1131" s="18">
        <v>3968.8021620930567</v>
      </c>
      <c r="G1131" s="18">
        <v>-1412.7405320337862</v>
      </c>
      <c r="H1131" s="12">
        <f>E1132</f>
      </c>
      <c r="I1131" s="12">
        <f>F1132</f>
      </c>
      <c r="J1131" s="12">
        <f>G1132</f>
      </c>
      <c r="K1131">
        <f>IF(AND(Pu&gt;=MIN(E1131,H1131),Pu&lt;=MAX(E1131,H1131),E1131&lt;&gt;H1131),1,0)</f>
      </c>
      <c r="L1131">
        <f>IF(K1131=1,(Pu-E1131)/(H1131-E1131),"")</f>
      </c>
      <c r="M1131" s="12">
        <f>IF(K1131=1,F1131+L1131*(I1131-F1131),"")</f>
      </c>
      <c r="N1131" s="12">
        <f>IF(K1131=1,G1131+L1131*(J1131-G1131),"")</f>
      </c>
    </row>
    <row r="1132" spans="2:14" x14ac:dyDescent="0.25">
      <c r="B1132">
        <v>32</v>
      </c>
      <c r="C1132">
        <v>108.75</v>
      </c>
      <c r="D1132">
        <v>6</v>
      </c>
      <c r="E1132" s="18">
        <v>8994.790214855873</v>
      </c>
      <c r="F1132" s="18">
        <v>4055.86324359208</v>
      </c>
      <c r="G1132" s="18">
        <v>-1463.241993984668</v>
      </c>
      <c r="H1132" s="12">
        <f>E1133</f>
      </c>
      <c r="I1132" s="12">
        <f>F1133</f>
      </c>
      <c r="J1132" s="12">
        <f>G1133</f>
      </c>
      <c r="K1132">
        <f>IF(AND(Pu&gt;=MIN(E1132,H1132),Pu&lt;=MAX(E1132,H1132),E1132&lt;&gt;H1132),1,0)</f>
      </c>
      <c r="L1132">
        <f>IF(K1132=1,(Pu-E1132)/(H1132-E1132),"")</f>
      </c>
      <c r="M1132" s="12">
        <f>IF(K1132=1,F1132+L1132*(I1132-F1132),"")</f>
      </c>
      <c r="N1132" s="12">
        <f>IF(K1132=1,G1132+L1132*(J1132-G1132),"")</f>
      </c>
    </row>
    <row r="1133" spans="2:14" x14ac:dyDescent="0.25">
      <c r="B1133">
        <v>32</v>
      </c>
      <c r="C1133">
        <v>108.75</v>
      </c>
      <c r="D1133">
        <v>7</v>
      </c>
      <c r="E1133" s="18">
        <v>8927.30149116144</v>
      </c>
      <c r="F1133" s="18">
        <v>4088.4728421418517</v>
      </c>
      <c r="G1133" s="18">
        <v>-1466.7534294843265</v>
      </c>
      <c r="H1133" s="12">
        <f>E1134</f>
      </c>
      <c r="I1133" s="12">
        <f>F1134</f>
      </c>
      <c r="J1133" s="12">
        <f>G1134</f>
      </c>
      <c r="K1133">
        <f>IF(AND(Pu&gt;=MIN(E1133,H1133),Pu&lt;=MAX(E1133,H1133),E1133&lt;&gt;H1133),1,0)</f>
      </c>
      <c r="L1133">
        <f>IF(K1133=1,(Pu-E1133)/(H1133-E1133),"")</f>
      </c>
      <c r="M1133" s="12">
        <f>IF(K1133=1,F1133+L1133*(I1133-F1133),"")</f>
      </c>
      <c r="N1133" s="12">
        <f>IF(K1133=1,G1133+L1133*(J1133-G1133),"")</f>
      </c>
    </row>
    <row r="1134" spans="2:14" x14ac:dyDescent="0.25">
      <c r="B1134">
        <v>32</v>
      </c>
      <c r="C1134">
        <v>108.75</v>
      </c>
      <c r="D1134">
        <v>8</v>
      </c>
      <c r="E1134" s="18">
        <v>8466.393728827474</v>
      </c>
      <c r="F1134" s="18">
        <v>4243.284269146532</v>
      </c>
      <c r="G1134" s="18">
        <v>-1539.721505954266</v>
      </c>
      <c r="H1134" s="12">
        <f>E1135</f>
      </c>
      <c r="I1134" s="12">
        <f>F1135</f>
      </c>
      <c r="J1134" s="12">
        <f>G1135</f>
      </c>
      <c r="K1134">
        <f>IF(AND(Pu&gt;=MIN(E1134,H1134),Pu&lt;=MAX(E1134,H1134),E1134&lt;&gt;H1134),1,0)</f>
      </c>
      <c r="L1134">
        <f>IF(K1134=1,(Pu-E1134)/(H1134-E1134),"")</f>
      </c>
      <c r="M1134" s="12">
        <f>IF(K1134=1,F1134+L1134*(I1134-F1134),"")</f>
      </c>
      <c r="N1134" s="12">
        <f>IF(K1134=1,G1134+L1134*(J1134-G1134),"")</f>
      </c>
    </row>
    <row r="1135" spans="2:14" x14ac:dyDescent="0.25">
      <c r="B1135">
        <v>32</v>
      </c>
      <c r="C1135">
        <v>108.75</v>
      </c>
      <c r="D1135">
        <v>9</v>
      </c>
      <c r="E1135" s="18">
        <v>8274.354632031555</v>
      </c>
      <c r="F1135" s="18">
        <v>4302.147641889359</v>
      </c>
      <c r="G1135" s="18">
        <v>-1571.0716685285129</v>
      </c>
      <c r="H1135" s="12">
        <f>E1136</f>
      </c>
      <c r="I1135" s="12">
        <f>F1136</f>
      </c>
      <c r="J1135" s="12">
        <f>G1136</f>
      </c>
      <c r="K1135">
        <f>IF(AND(Pu&gt;=MIN(E1135,H1135),Pu&lt;=MAX(E1135,H1135),E1135&lt;&gt;H1135),1,0)</f>
      </c>
      <c r="L1135">
        <f>IF(K1135=1,(Pu-E1135)/(H1135-E1135),"")</f>
      </c>
      <c r="M1135" s="12">
        <f>IF(K1135=1,F1135+L1135*(I1135-F1135),"")</f>
      </c>
      <c r="N1135" s="12">
        <f>IF(K1135=1,G1135+L1135*(J1135-G1135),"")</f>
      </c>
    </row>
    <row r="1136" spans="2:14" x14ac:dyDescent="0.25">
      <c r="B1136">
        <v>32</v>
      </c>
      <c r="C1136">
        <v>108.75</v>
      </c>
      <c r="D1136">
        <v>10</v>
      </c>
      <c r="E1136" s="18">
        <v>8001.170742821059</v>
      </c>
      <c r="F1136" s="18">
        <v>4371.810815786597</v>
      </c>
      <c r="G1136" s="18">
        <v>-1623.7908728310797</v>
      </c>
      <c r="H1136" s="12">
        <f>E1137</f>
      </c>
      <c r="I1136" s="12">
        <f>F1137</f>
      </c>
      <c r="J1136" s="12">
        <f>G1137</f>
      </c>
      <c r="K1136">
        <f>IF(AND(Pu&gt;=MIN(E1136,H1136),Pu&lt;=MAX(E1136,H1136),E1136&lt;&gt;H1136),1,0)</f>
      </c>
      <c r="L1136">
        <f>IF(K1136=1,(Pu-E1136)/(H1136-E1136),"")</f>
      </c>
      <c r="M1136" s="12">
        <f>IF(K1136=1,F1136+L1136*(I1136-F1136),"")</f>
      </c>
      <c r="N1136" s="12">
        <f>IF(K1136=1,G1136+L1136*(J1136-G1136),"")</f>
      </c>
    </row>
    <row r="1137" spans="2:14" x14ac:dyDescent="0.25">
      <c r="B1137">
        <v>32</v>
      </c>
      <c r="C1137">
        <v>108.75</v>
      </c>
      <c r="D1137">
        <v>11</v>
      </c>
      <c r="E1137" s="18">
        <v>7759.29052360629</v>
      </c>
      <c r="F1137" s="18">
        <v>4423.630929474507</v>
      </c>
      <c r="G1137" s="18">
        <v>-1662.6125085046538</v>
      </c>
      <c r="H1137" s="12">
        <f>E1138</f>
      </c>
      <c r="I1137" s="12">
        <f>F1138</f>
      </c>
      <c r="J1137" s="12">
        <f>G1138</f>
      </c>
      <c r="K1137">
        <f>IF(AND(Pu&gt;=MIN(E1137,H1137),Pu&lt;=MAX(E1137,H1137),E1137&lt;&gt;H1137),1,0)</f>
      </c>
      <c r="L1137">
        <f>IF(K1137=1,(Pu-E1137)/(H1137-E1137),"")</f>
      </c>
      <c r="M1137" s="12">
        <f>IF(K1137=1,F1137+L1137*(I1137-F1137),"")</f>
      </c>
      <c r="N1137" s="12">
        <f>IF(K1137=1,G1137+L1137*(J1137-G1137),"")</f>
      </c>
    </row>
    <row r="1138" spans="2:14" x14ac:dyDescent="0.25">
      <c r="B1138">
        <v>32</v>
      </c>
      <c r="C1138">
        <v>108.75</v>
      </c>
      <c r="D1138">
        <v>12</v>
      </c>
      <c r="E1138" s="18">
        <v>7581.070663554019</v>
      </c>
      <c r="F1138" s="18">
        <v>4457.037603054362</v>
      </c>
      <c r="G1138" s="18">
        <v>-1693.8695802620425</v>
      </c>
      <c r="H1138" s="12">
        <f>E1139</f>
      </c>
      <c r="I1138" s="12">
        <f>F1139</f>
      </c>
      <c r="J1138" s="12">
        <f>G1139</f>
      </c>
      <c r="K1138">
        <f>IF(AND(Pu&gt;=MIN(E1138,H1138),Pu&lt;=MAX(E1138,H1138),E1138&lt;&gt;H1138),1,0)</f>
      </c>
      <c r="L1138">
        <f>IF(K1138=1,(Pu-E1138)/(H1138-E1138),"")</f>
      </c>
      <c r="M1138" s="12">
        <f>IF(K1138=1,F1138+L1138*(I1138-F1138),"")</f>
      </c>
      <c r="N1138" s="12">
        <f>IF(K1138=1,G1138+L1138*(J1138-G1138),"")</f>
      </c>
    </row>
    <row r="1139" spans="2:14" x14ac:dyDescent="0.25">
      <c r="B1139">
        <v>32</v>
      </c>
      <c r="C1139">
        <v>108.75</v>
      </c>
      <c r="D1139">
        <v>13</v>
      </c>
      <c r="E1139" s="18">
        <v>7266.851117634137</v>
      </c>
      <c r="F1139" s="18">
        <v>4504.228984845662</v>
      </c>
      <c r="G1139" s="18">
        <v>-1760.3745193558402</v>
      </c>
      <c r="H1139" s="12">
        <f>E1140</f>
      </c>
      <c r="I1139" s="12">
        <f>F1140</f>
      </c>
      <c r="J1139" s="12">
        <f>G1140</f>
      </c>
      <c r="K1139">
        <f>IF(AND(Pu&gt;=MIN(E1139,H1139),Pu&lt;=MAX(E1139,H1139),E1139&lt;&gt;H1139),1,0)</f>
      </c>
      <c r="L1139">
        <f>IF(K1139=1,(Pu-E1139)/(H1139-E1139),"")</f>
      </c>
      <c r="M1139" s="12">
        <f>IF(K1139=1,F1139+L1139*(I1139-F1139),"")</f>
      </c>
      <c r="N1139" s="12">
        <f>IF(K1139=1,G1139+L1139*(J1139-G1139),"")</f>
      </c>
    </row>
    <row r="1140" spans="2:14" x14ac:dyDescent="0.25">
      <c r="B1140">
        <v>32</v>
      </c>
      <c r="C1140">
        <v>108.75</v>
      </c>
      <c r="D1140">
        <v>14</v>
      </c>
      <c r="E1140" s="18">
        <v>7208.230915374144</v>
      </c>
      <c r="F1140" s="18">
        <v>4511.696199577186</v>
      </c>
      <c r="G1140" s="18">
        <v>-1773.841405000188</v>
      </c>
      <c r="H1140" s="12">
        <f>E1141</f>
      </c>
      <c r="I1140" s="12">
        <f>F1141</f>
      </c>
      <c r="J1140" s="12">
        <f>G1141</f>
      </c>
      <c r="K1140">
        <f>IF(AND(Pu&gt;=MIN(E1140,H1140),Pu&lt;=MAX(E1140,H1140),E1140&lt;&gt;H1140),1,0)</f>
      </c>
      <c r="L1140">
        <f>IF(K1140=1,(Pu-E1140)/(H1140-E1140),"")</f>
      </c>
      <c r="M1140" s="12">
        <f>IF(K1140=1,F1140+L1140*(I1140-F1140),"")</f>
      </c>
      <c r="N1140" s="12">
        <f>IF(K1140=1,G1140+L1140*(J1140-G1140),"")</f>
      </c>
    </row>
    <row r="1141" spans="2:14" x14ac:dyDescent="0.25">
      <c r="B1141">
        <v>32</v>
      </c>
      <c r="C1141">
        <v>108.75</v>
      </c>
      <c r="D1141">
        <v>15</v>
      </c>
      <c r="E1141" s="18">
        <v>6878.609495616884</v>
      </c>
      <c r="F1141" s="18">
        <v>4549.798758695703</v>
      </c>
      <c r="G1141" s="18">
        <v>-1837.4148550659934</v>
      </c>
      <c r="H1141" s="12">
        <f>E1142</f>
      </c>
      <c r="I1141" s="12">
        <f>F1142</f>
      </c>
      <c r="J1141" s="12">
        <f>G1142</f>
      </c>
      <c r="K1141">
        <f>IF(AND(Pu&gt;=MIN(E1141,H1141),Pu&lt;=MAX(E1141,H1141),E1141&lt;&gt;H1141),1,0)</f>
      </c>
      <c r="L1141">
        <f>IF(K1141=1,(Pu-E1141)/(H1141-E1141),"")</f>
      </c>
      <c r="M1141" s="12">
        <f>IF(K1141=1,F1141+L1141*(I1141-F1141),"")</f>
      </c>
      <c r="N1141" s="12">
        <f>IF(K1141=1,G1141+L1141*(J1141-G1141),"")</f>
      </c>
    </row>
    <row r="1142" spans="2:14" x14ac:dyDescent="0.25">
      <c r="B1142">
        <v>32</v>
      </c>
      <c r="C1142">
        <v>108.75</v>
      </c>
      <c r="D1142">
        <v>16</v>
      </c>
      <c r="E1142" s="18">
        <v>6521.389766233923</v>
      </c>
      <c r="F1142" s="18">
        <v>4563.377989575233</v>
      </c>
      <c r="G1142" s="18">
        <v>-1901.1937080000291</v>
      </c>
      <c r="H1142" s="12">
        <f>E1143</f>
      </c>
      <c r="I1142" s="12">
        <f>F1143</f>
      </c>
      <c r="J1142" s="12">
        <f>G1143</f>
      </c>
      <c r="K1142">
        <f>IF(AND(Pu&gt;=MIN(E1142,H1142),Pu&lt;=MAX(E1142,H1142),E1142&lt;&gt;H1142),1,0)</f>
      </c>
      <c r="L1142">
        <f>IF(K1142=1,(Pu-E1142)/(H1142-E1142),"")</f>
      </c>
      <c r="M1142" s="12">
        <f>IF(K1142=1,F1142+L1142*(I1142-F1142),"")</f>
      </c>
      <c r="N1142" s="12">
        <f>IF(K1142=1,G1142+L1142*(J1142-G1142),"")</f>
      </c>
    </row>
    <row r="1143" spans="2:14" x14ac:dyDescent="0.25">
      <c r="B1143">
        <v>32</v>
      </c>
      <c r="C1143">
        <v>108.75</v>
      </c>
      <c r="D1143">
        <v>17</v>
      </c>
      <c r="E1143" s="18">
        <v>6403.448777903587</v>
      </c>
      <c r="F1143" s="18">
        <v>4561.429442047418</v>
      </c>
      <c r="G1143" s="18">
        <v>-1921.5642267057963</v>
      </c>
      <c r="H1143" s="12">
        <f>E1144</f>
      </c>
      <c r="I1143" s="12">
        <f>F1144</f>
      </c>
      <c r="J1143" s="12">
        <f>G1144</f>
      </c>
      <c r="K1143">
        <f>IF(AND(Pu&gt;=MIN(E1143,H1143),Pu&lt;=MAX(E1143,H1143),E1143&lt;&gt;H1143),1,0)</f>
      </c>
      <c r="L1143">
        <f>IF(K1143=1,(Pu-E1143)/(H1143-E1143),"")</f>
      </c>
      <c r="M1143" s="12">
        <f>IF(K1143=1,F1143+L1143*(I1143-F1143),"")</f>
      </c>
      <c r="N1143" s="12">
        <f>IF(K1143=1,G1143+L1143*(J1143-G1143),"")</f>
      </c>
    </row>
    <row r="1144" spans="2:14" x14ac:dyDescent="0.25">
      <c r="B1144">
        <v>32</v>
      </c>
      <c r="C1144">
        <v>108.75</v>
      </c>
      <c r="D1144">
        <v>18</v>
      </c>
      <c r="E1144" s="18">
        <v>6113.181498731053</v>
      </c>
      <c r="F1144" s="18">
        <v>4548.6413653966965</v>
      </c>
      <c r="G1144" s="18">
        <v>-1972.3672587322542</v>
      </c>
      <c r="H1144" s="12">
        <f>E1145</f>
      </c>
      <c r="I1144" s="12">
        <f>F1145</f>
      </c>
      <c r="J1144" s="12">
        <f>G1145</f>
      </c>
      <c r="K1144">
        <f>IF(AND(Pu&gt;=MIN(E1144,H1144),Pu&lt;=MAX(E1144,H1144),E1144&lt;&gt;H1144),1,0)</f>
      </c>
      <c r="L1144">
        <f>IF(K1144=1,(Pu-E1144)/(H1144-E1144),"")</f>
      </c>
      <c r="M1144" s="12">
        <f>IF(K1144=1,F1144+L1144*(I1144-F1144),"")</f>
      </c>
      <c r="N1144" s="12">
        <f>IF(K1144=1,G1144+L1144*(J1144-G1144),"")</f>
      </c>
    </row>
    <row r="1145" spans="2:14" x14ac:dyDescent="0.25">
      <c r="B1145">
        <v>32</v>
      </c>
      <c r="C1145">
        <v>108.75</v>
      </c>
      <c r="D1145">
        <v>19</v>
      </c>
      <c r="E1145" s="18">
        <v>5769.121183532347</v>
      </c>
      <c r="F1145" s="18">
        <v>4522.198405312413</v>
      </c>
      <c r="G1145" s="18">
        <v>-2032.831445293728</v>
      </c>
      <c r="H1145" s="12">
        <f>E1146</f>
      </c>
      <c r="I1145" s="12">
        <f>F1146</f>
      </c>
      <c r="J1145" s="12">
        <f>G1146</f>
      </c>
      <c r="K1145">
        <f>IF(AND(Pu&gt;=MIN(E1145,H1145),Pu&lt;=MAX(E1145,H1145),E1145&lt;&gt;H1145),1,0)</f>
      </c>
      <c r="L1145">
        <f>IF(K1145=1,(Pu-E1145)/(H1145-E1145),"")</f>
      </c>
      <c r="M1145" s="12">
        <f>IF(K1145=1,F1145+L1145*(I1145-F1145),"")</f>
      </c>
      <c r="N1145" s="12">
        <f>IF(K1145=1,G1145+L1145*(J1145-G1145),"")</f>
      </c>
    </row>
    <row r="1146" spans="2:14" x14ac:dyDescent="0.25">
      <c r="B1146">
        <v>32</v>
      </c>
      <c r="C1146">
        <v>108.75</v>
      </c>
      <c r="D1146">
        <v>20</v>
      </c>
      <c r="E1146" s="18">
        <v>5673.498046806424</v>
      </c>
      <c r="F1146" s="18">
        <v>4513.88907216168</v>
      </c>
      <c r="G1146" s="18">
        <v>-2049.3921726076464</v>
      </c>
      <c r="H1146" s="12">
        <f>E1147</f>
      </c>
      <c r="I1146" s="12">
        <f>F1147</f>
      </c>
      <c r="J1146" s="12">
        <f>G1147</f>
      </c>
      <c r="K1146">
        <f>IF(AND(Pu&gt;=MIN(E1146,H1146),Pu&lt;=MAX(E1146,H1146),E1146&lt;&gt;H1146),1,0)</f>
      </c>
      <c r="L1146">
        <f>IF(K1146=1,(Pu-E1146)/(H1146-E1146),"")</f>
      </c>
      <c r="M1146" s="12">
        <f>IF(K1146=1,F1146+L1146*(I1146-F1146),"")</f>
      </c>
      <c r="N1146" s="12">
        <f>IF(K1146=1,G1146+L1146*(J1146-G1146),"")</f>
      </c>
    </row>
    <row r="1147" spans="2:14" x14ac:dyDescent="0.25">
      <c r="B1147">
        <v>32</v>
      </c>
      <c r="C1147">
        <v>108.75</v>
      </c>
      <c r="D1147">
        <v>21</v>
      </c>
      <c r="E1147" s="18">
        <v>4932.561593287386</v>
      </c>
      <c r="F1147" s="18">
        <v>4291.081081754186</v>
      </c>
      <c r="G1147" s="18">
        <v>-2052.4321875537144</v>
      </c>
      <c r="H1147" s="12">
        <f>E1148</f>
      </c>
      <c r="I1147" s="12">
        <f>F1148</f>
      </c>
      <c r="J1147" s="12">
        <f>G1148</f>
      </c>
      <c r="K1147">
        <f>IF(AND(Pu&gt;=MIN(E1147,H1147),Pu&lt;=MAX(E1147,H1147),E1147&lt;&gt;H1147),1,0)</f>
      </c>
      <c r="L1147">
        <f>IF(K1147=1,(Pu-E1147)/(H1147-E1147),"")</f>
      </c>
      <c r="M1147" s="12">
        <f>IF(K1147=1,F1147+L1147*(I1147-F1147),"")</f>
      </c>
      <c r="N1147" s="12">
        <f>IF(K1147=1,G1147+L1147*(J1147-G1147),"")</f>
      </c>
    </row>
    <row r="1148" spans="2:14" x14ac:dyDescent="0.25">
      <c r="B1148">
        <v>32</v>
      </c>
      <c r="C1148">
        <v>108.75</v>
      </c>
      <c r="D1148">
        <v>22</v>
      </c>
      <c r="E1148" s="18">
        <v>3570.5034623062534</v>
      </c>
      <c r="F1148" s="18">
        <v>3821.498787650778</v>
      </c>
      <c r="G1148" s="18">
        <v>-2036.001515702619</v>
      </c>
      <c r="H1148" s="12">
        <f>E1149</f>
      </c>
      <c r="I1148" s="12">
        <f>F1149</f>
      </c>
      <c r="J1148" s="12">
        <f>G1149</f>
      </c>
      <c r="K1148">
        <f>IF(AND(Pu&gt;=MIN(E1148,H1148),Pu&lt;=MAX(E1148,H1148),E1148&lt;&gt;H1148),1,0)</f>
      </c>
      <c r="L1148">
        <f>IF(K1148=1,(Pu-E1148)/(H1148-E1148),"")</f>
      </c>
      <c r="M1148" s="12">
        <f>IF(K1148=1,F1148+L1148*(I1148-F1148),"")</f>
      </c>
      <c r="N1148" s="12">
        <f>IF(K1148=1,G1148+L1148*(J1148-G1148),"")</f>
      </c>
    </row>
    <row r="1149" spans="2:14" x14ac:dyDescent="0.25">
      <c r="B1149">
        <v>32</v>
      </c>
      <c r="C1149">
        <v>108.75</v>
      </c>
      <c r="D1149">
        <v>23</v>
      </c>
      <c r="E1149" s="18">
        <v>2446.0240693352703</v>
      </c>
      <c r="F1149" s="18">
        <v>3400.626500086329</v>
      </c>
      <c r="G1149" s="18">
        <v>-1977.3041283230298</v>
      </c>
      <c r="H1149" s="12">
        <f>E1150</f>
      </c>
      <c r="I1149" s="12">
        <f>F1150</f>
      </c>
      <c r="J1149" s="12">
        <f>G1150</f>
      </c>
      <c r="K1149">
        <f>IF(AND(Pu&gt;=MIN(E1149,H1149),Pu&lt;=MAX(E1149,H1149),E1149&lt;&gt;H1149),1,0)</f>
      </c>
      <c r="L1149">
        <f>IF(K1149=1,(Pu-E1149)/(H1149-E1149),"")</f>
      </c>
      <c r="M1149" s="12">
        <f>IF(K1149=1,F1149+L1149*(I1149-F1149),"")</f>
      </c>
      <c r="N1149" s="12">
        <f>IF(K1149=1,G1149+L1149*(J1149-G1149),"")</f>
      </c>
    </row>
    <row r="1150" spans="2:14" x14ac:dyDescent="0.25">
      <c r="B1150">
        <v>32</v>
      </c>
      <c r="C1150">
        <v>108.75</v>
      </c>
      <c r="D1150">
        <v>24</v>
      </c>
      <c r="E1150" s="18">
        <v>1626.6216808432223</v>
      </c>
      <c r="F1150" s="18">
        <v>3077.186624807154</v>
      </c>
      <c r="G1150" s="18">
        <v>-1867.152630938062</v>
      </c>
      <c r="H1150" s="12">
        <f>E1151</f>
      </c>
      <c r="I1150" s="12">
        <f>F1151</f>
      </c>
      <c r="J1150" s="12">
        <f>G1151</f>
      </c>
      <c r="K1150">
        <f>IF(AND(Pu&gt;=MIN(E1150,H1150),Pu&lt;=MAX(E1150,H1150),E1150&lt;&gt;H1150),1,0)</f>
      </c>
      <c r="L1150">
        <f>IF(K1150=1,(Pu-E1150)/(H1150-E1150),"")</f>
      </c>
      <c r="M1150" s="12">
        <f>IF(K1150=1,F1150+L1150*(I1150-F1150),"")</f>
      </c>
      <c r="N1150" s="12">
        <f>IF(K1150=1,G1150+L1150*(J1150-G1150),"")</f>
      </c>
    </row>
    <row r="1151" spans="2:14" x14ac:dyDescent="0.25">
      <c r="B1151">
        <v>32</v>
      </c>
      <c r="C1151">
        <v>108.75</v>
      </c>
      <c r="D1151">
        <v>25</v>
      </c>
      <c r="E1151" s="18">
        <v>348.9428233791363</v>
      </c>
      <c r="F1151" s="18">
        <v>2533.0453506689278</v>
      </c>
      <c r="G1151" s="18">
        <v>-1651.8362114933552</v>
      </c>
      <c r="H1151" s="12">
        <f>E1152</f>
      </c>
      <c r="I1151" s="12">
        <f>F1152</f>
      </c>
      <c r="J1151" s="12">
        <f>G1152</f>
      </c>
      <c r="K1151">
        <f>IF(AND(Pu&gt;=MIN(E1151,H1151),Pu&lt;=MAX(E1151,H1151),E1151&lt;&gt;H1151),1,0)</f>
      </c>
      <c r="L1151">
        <f>IF(K1151=1,(Pu-E1151)/(H1151-E1151),"")</f>
      </c>
      <c r="M1151" s="12">
        <f>IF(K1151=1,F1151+L1151*(I1151-F1151),"")</f>
      </c>
      <c r="N1151" s="12">
        <f>IF(K1151=1,G1151+L1151*(J1151-G1151),"")</f>
      </c>
    </row>
    <row r="1152" spans="2:14" x14ac:dyDescent="0.25">
      <c r="B1152">
        <v>32</v>
      </c>
      <c r="C1152">
        <v>108.75</v>
      </c>
      <c r="D1152">
        <v>26</v>
      </c>
      <c r="E1152" s="18">
        <v>-714.5063278201858</v>
      </c>
      <c r="F1152" s="18">
        <v>2076.9081872026504</v>
      </c>
      <c r="G1152" s="18">
        <v>-1403.4885743210868</v>
      </c>
      <c r="H1152" s="12">
        <f>E1153</f>
      </c>
      <c r="I1152" s="12">
        <f>F1153</f>
      </c>
      <c r="J1152" s="12">
        <f>G1153</f>
      </c>
      <c r="K1152">
        <f>IF(AND(Pu&gt;=MIN(E1152,H1152),Pu&lt;=MAX(E1152,H1152),E1152&lt;&gt;H1152),1,0)</f>
      </c>
      <c r="L1152">
        <f>IF(K1152=1,(Pu-E1152)/(H1152-E1152),"")</f>
      </c>
      <c r="M1152" s="12">
        <f>IF(K1152=1,F1152+L1152*(I1152-F1152),"")</f>
      </c>
      <c r="N1152" s="12">
        <f>IF(K1152=1,G1152+L1152*(J1152-G1152),"")</f>
      </c>
    </row>
    <row r="1153" spans="2:14" x14ac:dyDescent="0.25">
      <c r="B1153">
        <v>32</v>
      </c>
      <c r="C1153">
        <v>108.75</v>
      </c>
      <c r="D1153">
        <v>27</v>
      </c>
      <c r="E1153" s="18">
        <v>-1538.8238149456508</v>
      </c>
      <c r="F1153" s="18">
        <v>1687.4537812111805</v>
      </c>
      <c r="G1153" s="18">
        <v>-1230.8573551712743</v>
      </c>
      <c r="H1153" s="12">
        <f>E1154</f>
      </c>
      <c r="I1153" s="12">
        <f>F1154</f>
      </c>
      <c r="J1153" s="12">
        <f>G1154</f>
      </c>
      <c r="K1153">
        <f>IF(AND(Pu&gt;=MIN(E1153,H1153),Pu&lt;=MAX(E1153,H1153),E1153&lt;&gt;H1153),1,0)</f>
      </c>
      <c r="L1153">
        <f>IF(K1153=1,(Pu-E1153)/(H1153-E1153),"")</f>
      </c>
      <c r="M1153" s="12">
        <f>IF(K1153=1,F1153+L1153*(I1153-F1153),"")</f>
      </c>
      <c r="N1153" s="12">
        <f>IF(K1153=1,G1153+L1153*(J1153-G1153),"")</f>
      </c>
    </row>
    <row r="1154" spans="2:14" x14ac:dyDescent="0.25">
      <c r="B1154">
        <v>32</v>
      </c>
      <c r="C1154">
        <v>108.75</v>
      </c>
      <c r="D1154">
        <v>28</v>
      </c>
      <c r="E1154" s="18">
        <v>-2137.2375570639924</v>
      </c>
      <c r="F1154" s="18">
        <v>1403.6439378948073</v>
      </c>
      <c r="G1154" s="18">
        <v>-1067.500475213986</v>
      </c>
      <c r="H1154" s="12">
        <f>E1155</f>
      </c>
      <c r="I1154" s="12">
        <f>F1155</f>
      </c>
      <c r="J1154" s="12">
        <f>G1155</f>
      </c>
      <c r="K1154">
        <f>IF(AND(Pu&gt;=MIN(E1154,H1154),Pu&lt;=MAX(E1154,H1154),E1154&lt;&gt;H1154),1,0)</f>
      </c>
      <c r="L1154">
        <f>IF(K1154=1,(Pu-E1154)/(H1154-E1154),"")</f>
      </c>
      <c r="M1154" s="12">
        <f>IF(K1154=1,F1154+L1154*(I1154-F1154),"")</f>
      </c>
      <c r="N1154" s="12">
        <f>IF(K1154=1,G1154+L1154*(J1154-G1154),"")</f>
      </c>
    </row>
    <row r="1155" spans="2:14" x14ac:dyDescent="0.25">
      <c r="B1155">
        <v>32</v>
      </c>
      <c r="C1155">
        <v>108.75</v>
      </c>
      <c r="D1155">
        <v>29</v>
      </c>
      <c r="E1155" s="18">
        <v>-3025.3508069295744</v>
      </c>
      <c r="F1155" s="18">
        <v>979.5459343125225</v>
      </c>
      <c r="G1155" s="18">
        <v>-777.9370734509192</v>
      </c>
      <c r="H1155" s="12">
        <f>E1156</f>
      </c>
      <c r="I1155" s="12">
        <f>F1156</f>
      </c>
      <c r="J1155" s="12">
        <f>G1156</f>
      </c>
      <c r="K1155">
        <f>IF(AND(Pu&gt;=MIN(E1155,H1155),Pu&lt;=MAX(E1155,H1155),E1155&lt;&gt;H1155),1,0)</f>
      </c>
      <c r="L1155">
        <f>IF(K1155=1,(Pu-E1155)/(H1155-E1155),"")</f>
      </c>
      <c r="M1155" s="12">
        <f>IF(K1155=1,F1155+L1155*(I1155-F1155),"")</f>
      </c>
      <c r="N1155" s="12">
        <f>IF(K1155=1,G1155+L1155*(J1155-G1155),"")</f>
      </c>
    </row>
    <row r="1156" spans="2:14" x14ac:dyDescent="0.25">
      <c r="B1156">
        <v>32</v>
      </c>
      <c r="C1156">
        <v>108.75</v>
      </c>
      <c r="D1156">
        <v>30</v>
      </c>
      <c r="E1156" s="18">
        <v>-3634.368741538103</v>
      </c>
      <c r="F1156" s="18">
        <v>687.7466735404058</v>
      </c>
      <c r="G1156" s="18">
        <v>-547.4227937567144</v>
      </c>
      <c r="H1156" s="12">
        <f>E1157</f>
      </c>
      <c r="I1156" s="12">
        <f>F1157</f>
      </c>
      <c r="J1156" s="12">
        <f>G1157</f>
      </c>
      <c r="K1156">
        <f>IF(AND(Pu&gt;=MIN(E1156,H1156),Pu&lt;=MAX(E1156,H1156),E1156&lt;&gt;H1156),1,0)</f>
      </c>
      <c r="L1156">
        <f>IF(K1156=1,(Pu-E1156)/(H1156-E1156),"")</f>
      </c>
      <c r="M1156" s="12">
        <f>IF(K1156=1,F1156+L1156*(I1156-F1156),"")</f>
      </c>
      <c r="N1156" s="12">
        <f>IF(K1156=1,G1156+L1156*(J1156-G1156),"")</f>
      </c>
    </row>
    <row r="1157" spans="2:14" x14ac:dyDescent="0.25">
      <c r="B1157">
        <v>32</v>
      </c>
      <c r="C1157">
        <v>108.75</v>
      </c>
      <c r="D1157">
        <v>31</v>
      </c>
      <c r="E1157" s="18">
        <v>-4193.329611610245</v>
      </c>
      <c r="F1157" s="18">
        <v>395.79643239172657</v>
      </c>
      <c r="G1157" s="18">
        <v>-334.9747378815457</v>
      </c>
      <c r="H1157" s="12">
        <f>E1158</f>
      </c>
      <c r="I1157" s="12">
        <f>F1158</f>
      </c>
      <c r="J1157" s="12">
        <f>G1158</f>
      </c>
      <c r="K1157">
        <f>IF(AND(Pu&gt;=MIN(E1157,H1157),Pu&lt;=MAX(E1157,H1157),E1157&lt;&gt;H1157),1,0)</f>
      </c>
      <c r="L1157">
        <f>IF(K1157=1,(Pu-E1157)/(H1157-E1157),"")</f>
      </c>
      <c r="M1157" s="12">
        <f>IF(K1157=1,F1157+L1157*(I1157-F1157),"")</f>
      </c>
      <c r="N1157" s="12">
        <f>IF(K1157=1,G1157+L1157*(J1157-G1157),"")</f>
      </c>
    </row>
    <row r="1158" spans="2:14" x14ac:dyDescent="0.25">
      <c r="B1158">
        <v>32</v>
      </c>
      <c r="C1158">
        <v>108.75</v>
      </c>
      <c r="D1158">
        <v>32</v>
      </c>
      <c r="E1158" s="18">
        <v>-4463.861737099345</v>
      </c>
      <c r="F1158" s="18">
        <v>251.8151037431558</v>
      </c>
      <c r="G1158" s="18">
        <v>-216.3658319851813</v>
      </c>
      <c r="H1158" s="12">
        <f>E1159</f>
      </c>
      <c r="I1158" s="12">
        <f>F1159</f>
      </c>
      <c r="J1158" s="12">
        <f>G1159</f>
      </c>
      <c r="K1158">
        <f>IF(AND(Pu&gt;=MIN(E1158,H1158),Pu&lt;=MAX(E1158,H1158),E1158&lt;&gt;H1158),1,0)</f>
      </c>
      <c r="L1158">
        <f>IF(K1158=1,(Pu-E1158)/(H1158-E1158),"")</f>
      </c>
      <c r="M1158" s="12">
        <f>IF(K1158=1,F1158+L1158*(I1158-F1158),"")</f>
      </c>
      <c r="N1158" s="12">
        <f>IF(K1158=1,G1158+L1158*(J1158-G1158),"")</f>
      </c>
    </row>
    <row r="1159" spans="2:14" x14ac:dyDescent="0.25">
      <c r="B1159">
        <v>32</v>
      </c>
      <c r="C1159">
        <v>108.75</v>
      </c>
      <c r="D1159">
        <v>33</v>
      </c>
      <c r="E1159" s="18">
        <v>-4785.974592544654</v>
      </c>
      <c r="F1159" s="18">
        <v>77.97150265170582</v>
      </c>
      <c r="G1159" s="18">
        <v>-71.36740990734027</v>
      </c>
      <c r="H1159" s="12">
        <f>E1160</f>
      </c>
      <c r="I1159" s="12">
        <f>F1160</f>
      </c>
      <c r="J1159" s="12">
        <f>G1160</f>
      </c>
      <c r="K1159">
        <f>IF(AND(Pu&gt;=MIN(E1159,H1159),Pu&lt;=MAX(E1159,H1159),E1159&lt;&gt;H1159),1,0)</f>
      </c>
      <c r="L1159">
        <f>IF(K1159=1,(Pu-E1159)/(H1159-E1159),"")</f>
      </c>
      <c r="M1159" s="12">
        <f>IF(K1159=1,F1159+L1159*(I1159-F1159),"")</f>
      </c>
      <c r="N1159" s="12">
        <f>IF(K1159=1,G1159+L1159*(J1159-G1159),"")</f>
      </c>
    </row>
    <row r="1160" spans="2:7" x14ac:dyDescent="0.25">
      <c r="B1160">
        <v>32</v>
      </c>
      <c r="C1160">
        <v>108.75</v>
      </c>
      <c r="D1160">
        <v>34</v>
      </c>
      <c r="E1160" s="18">
        <v>-4843.845808683277</v>
      </c>
      <c r="F1160" s="18">
        <v>45.30433874412473</v>
      </c>
      <c r="G1160" s="18">
        <v>-41.48261098540385</v>
      </c>
    </row>
    <row r="1162" spans="2:14" x14ac:dyDescent="0.25">
      <c r="B1162">
        <v>33</v>
      </c>
      <c r="C1162">
        <v>112.50000000000003</v>
      </c>
      <c r="D1162">
        <v>1</v>
      </c>
      <c r="E1162" s="18">
        <v>16814.898789611638</v>
      </c>
      <c r="F1162" s="18">
        <v>2254.7026095068622</v>
      </c>
      <c r="G1162" s="18">
        <v>-1508.2944838845108</v>
      </c>
      <c r="H1162" s="12">
        <f>E1163</f>
      </c>
      <c r="I1162" s="12">
        <f>F1163</f>
      </c>
      <c r="J1162" s="12">
        <f>G1163</f>
      </c>
      <c r="K1162">
        <f>IF(AND(Pu&gt;=MIN(E1162,H1162),Pu&lt;=MAX(E1162,H1162),E1162&lt;&gt;H1162),1,0)</f>
      </c>
      <c r="L1162">
        <f>IF(K1162=1,(Pu-E1162)/(H1162-E1162),"")</f>
      </c>
      <c r="M1162" s="12">
        <f>IF(K1162=1,F1162+L1162*(I1162-F1162),"")</f>
      </c>
      <c r="N1162" s="12">
        <f>IF(K1162=1,G1162+L1162*(J1162-G1162),"")</f>
      </c>
    </row>
    <row r="1163" spans="2:14" x14ac:dyDescent="0.25">
      <c r="B1163">
        <v>33</v>
      </c>
      <c r="C1163">
        <v>112.50000000000003</v>
      </c>
      <c r="D1163">
        <v>2</v>
      </c>
      <c r="E1163" s="18">
        <v>15377.106870623626</v>
      </c>
      <c r="F1163" s="18">
        <v>2774.054238062353</v>
      </c>
      <c r="G1163" s="18">
        <v>-1532.0633058590226</v>
      </c>
      <c r="H1163" s="12">
        <f>E1164</f>
      </c>
      <c r="I1163" s="12">
        <f>F1164</f>
      </c>
      <c r="J1163" s="12">
        <f>G1164</f>
      </c>
      <c r="K1163">
        <f>IF(AND(Pu&gt;=MIN(E1163,H1163),Pu&lt;=MAX(E1163,H1163),E1163&lt;&gt;H1163),1,0)</f>
      </c>
      <c r="L1163">
        <f>IF(K1163=1,(Pu-E1163)/(H1163-E1163),"")</f>
      </c>
      <c r="M1163" s="12">
        <f>IF(K1163=1,F1163+L1163*(I1163-F1163),"")</f>
      </c>
      <c r="N1163" s="12">
        <f>IF(K1163=1,G1163+L1163*(J1163-G1163),"")</f>
      </c>
    </row>
    <row r="1164" spans="2:14" x14ac:dyDescent="0.25">
      <c r="B1164">
        <v>33</v>
      </c>
      <c r="C1164">
        <v>112.50000000000003</v>
      </c>
      <c r="D1164">
        <v>3</v>
      </c>
      <c r="E1164" s="18">
        <v>13151.198951284558</v>
      </c>
      <c r="F1164" s="18">
        <v>3390.421570352492</v>
      </c>
      <c r="G1164" s="18">
        <v>-1570.3467931775983</v>
      </c>
      <c r="H1164" s="12">
        <f>E1165</f>
      </c>
      <c r="I1164" s="12">
        <f>F1165</f>
      </c>
      <c r="J1164" s="12">
        <f>G1165</f>
      </c>
      <c r="K1164">
        <f>IF(AND(Pu&gt;=MIN(E1164,H1164),Pu&lt;=MAX(E1164,H1164),E1164&lt;&gt;H1164),1,0)</f>
      </c>
      <c r="L1164">
        <f>IF(K1164=1,(Pu-E1164)/(H1164-E1164),"")</f>
      </c>
      <c r="M1164" s="12">
        <f>IF(K1164=1,F1164+L1164*(I1164-F1164),"")</f>
      </c>
      <c r="N1164" s="12">
        <f>IF(K1164=1,G1164+L1164*(J1164-G1164),"")</f>
      </c>
    </row>
    <row r="1165" spans="2:14" x14ac:dyDescent="0.25">
      <c r="B1165">
        <v>33</v>
      </c>
      <c r="C1165">
        <v>112.50000000000003</v>
      </c>
      <c r="D1165">
        <v>4</v>
      </c>
      <c r="E1165" s="18">
        <v>11508.788798035559</v>
      </c>
      <c r="F1165" s="18">
        <v>3688.578861270081</v>
      </c>
      <c r="G1165" s="18">
        <v>-1632.4081175275028</v>
      </c>
      <c r="H1165" s="12">
        <f>E1166</f>
      </c>
      <c r="I1165" s="12">
        <f>F1166</f>
      </c>
      <c r="J1165" s="12">
        <f>G1166</f>
      </c>
      <c r="K1165">
        <f>IF(AND(Pu&gt;=MIN(E1165,H1165),Pu&lt;=MAX(E1165,H1165),E1165&lt;&gt;H1165),1,0)</f>
      </c>
      <c r="L1165">
        <f>IF(K1165=1,(Pu-E1165)/(H1165-E1165),"")</f>
      </c>
      <c r="M1165" s="12">
        <f>IF(K1165=1,F1165+L1165*(I1165-F1165),"")</f>
      </c>
      <c r="N1165" s="12">
        <f>IF(K1165=1,G1165+L1165*(J1165-G1165),"")</f>
      </c>
    </row>
    <row r="1166" spans="2:14" x14ac:dyDescent="0.25">
      <c r="B1166">
        <v>33</v>
      </c>
      <c r="C1166">
        <v>112.50000000000003</v>
      </c>
      <c r="D1166">
        <v>5</v>
      </c>
      <c r="E1166" s="18">
        <v>10095.092707554333</v>
      </c>
      <c r="F1166" s="18">
        <v>3845.3651100722445</v>
      </c>
      <c r="G1166" s="18">
        <v>-1706.3269446189706</v>
      </c>
      <c r="H1166" s="12">
        <f>E1167</f>
      </c>
      <c r="I1166" s="12">
        <f>F1167</f>
      </c>
      <c r="J1166" s="12">
        <f>G1167</f>
      </c>
      <c r="K1166">
        <f>IF(AND(Pu&gt;=MIN(E1166,H1166),Pu&lt;=MAX(E1166,H1166),E1166&lt;&gt;H1166),1,0)</f>
      </c>
      <c r="L1166">
        <f>IF(K1166=1,(Pu-E1166)/(H1166-E1166),"")</f>
      </c>
      <c r="M1166" s="12">
        <f>IF(K1166=1,F1166+L1166*(I1166-F1166),"")</f>
      </c>
      <c r="N1166" s="12">
        <f>IF(K1166=1,G1166+L1166*(J1166-G1166),"")</f>
      </c>
    </row>
    <row r="1167" spans="2:14" x14ac:dyDescent="0.25">
      <c r="B1167">
        <v>33</v>
      </c>
      <c r="C1167">
        <v>112.50000000000003</v>
      </c>
      <c r="D1167">
        <v>6</v>
      </c>
      <c r="E1167" s="18">
        <v>8946.634448049084</v>
      </c>
      <c r="F1167" s="18">
        <v>3931.575802754913</v>
      </c>
      <c r="G1167" s="18">
        <v>-1757.296840606175</v>
      </c>
      <c r="H1167" s="12">
        <f>E1168</f>
      </c>
      <c r="I1167" s="12">
        <f>F1168</f>
      </c>
      <c r="J1167" s="12">
        <f>G1168</f>
      </c>
      <c r="K1167">
        <f>IF(AND(Pu&gt;=MIN(E1167,H1167),Pu&lt;=MAX(E1167,H1167),E1167&lt;&gt;H1167),1,0)</f>
      </c>
      <c r="L1167">
        <f>IF(K1167=1,(Pu-E1167)/(H1167-E1167),"")</f>
      </c>
      <c r="M1167" s="12">
        <f>IF(K1167=1,F1167+L1167*(I1167-F1167),"")</f>
      </c>
      <c r="N1167" s="12">
        <f>IF(K1167=1,G1167+L1167*(J1167-G1167),"")</f>
      </c>
    </row>
    <row r="1168" spans="2:14" x14ac:dyDescent="0.25">
      <c r="B1168">
        <v>33</v>
      </c>
      <c r="C1168">
        <v>112.50000000000003</v>
      </c>
      <c r="D1168">
        <v>7</v>
      </c>
      <c r="E1168" s="18">
        <v>8887.276942053</v>
      </c>
      <c r="F1168" s="18">
        <v>3949.3388545431526</v>
      </c>
      <c r="G1168" s="18">
        <v>-1767.8799311438622</v>
      </c>
      <c r="H1168" s="12">
        <f>E1169</f>
      </c>
      <c r="I1168" s="12">
        <f>F1169</f>
      </c>
      <c r="J1168" s="12">
        <f>G1169</f>
      </c>
      <c r="K1168">
        <f>IF(AND(Pu&gt;=MIN(E1168,H1168),Pu&lt;=MAX(E1168,H1168),E1168&lt;&gt;H1168),1,0)</f>
      </c>
      <c r="L1168">
        <f>IF(K1168=1,(Pu-E1168)/(H1168-E1168),"")</f>
      </c>
      <c r="M1168" s="12">
        <f>IF(K1168=1,F1168+L1168*(I1168-F1168),"")</f>
      </c>
      <c r="N1168" s="12">
        <f>IF(K1168=1,G1168+L1168*(J1168-G1168),"")</f>
      </c>
    </row>
    <row r="1169" spans="2:14" x14ac:dyDescent="0.25">
      <c r="B1169">
        <v>33</v>
      </c>
      <c r="C1169">
        <v>112.50000000000003</v>
      </c>
      <c r="D1169">
        <v>8</v>
      </c>
      <c r="E1169" s="18">
        <v>8352.05881509638</v>
      </c>
      <c r="F1169" s="18">
        <v>4095.325748093368</v>
      </c>
      <c r="G1169" s="18">
        <v>-1867.2111033791803</v>
      </c>
      <c r="H1169" s="12">
        <f>E1170</f>
      </c>
      <c r="I1169" s="12">
        <f>F1170</f>
      </c>
      <c r="J1169" s="12">
        <f>G1170</f>
      </c>
      <c r="K1169">
        <f>IF(AND(Pu&gt;=MIN(E1169,H1169),Pu&lt;=MAX(E1169,H1169),E1169&lt;&gt;H1169),1,0)</f>
      </c>
      <c r="L1169">
        <f>IF(K1169=1,(Pu-E1169)/(H1169-E1169),"")</f>
      </c>
      <c r="M1169" s="12">
        <f>IF(K1169=1,F1169+L1169*(I1169-F1169),"")</f>
      </c>
      <c r="N1169" s="12">
        <f>IF(K1169=1,G1169+L1169*(J1169-G1169),"")</f>
      </c>
    </row>
    <row r="1170" spans="2:14" x14ac:dyDescent="0.25">
      <c r="B1170">
        <v>33</v>
      </c>
      <c r="C1170">
        <v>112.50000000000003</v>
      </c>
      <c r="D1170">
        <v>9</v>
      </c>
      <c r="E1170" s="18">
        <v>8177.118685582036</v>
      </c>
      <c r="F1170" s="18">
        <v>4137.205139841022</v>
      </c>
      <c r="G1170" s="18">
        <v>-1896.1166489792868</v>
      </c>
      <c r="H1170" s="12">
        <f>E1171</f>
      </c>
      <c r="I1170" s="12">
        <f>F1171</f>
      </c>
      <c r="J1170" s="12">
        <f>G1171</f>
      </c>
      <c r="K1170">
        <f>IF(AND(Pu&gt;=MIN(E1170,H1170),Pu&lt;=MAX(E1170,H1170),E1170&lt;&gt;H1170),1,0)</f>
      </c>
      <c r="L1170">
        <f>IF(K1170=1,(Pu-E1170)/(H1170-E1170),"")</f>
      </c>
      <c r="M1170" s="12">
        <f>IF(K1170=1,F1170+L1170*(I1170-F1170),"")</f>
      </c>
      <c r="N1170" s="12">
        <f>IF(K1170=1,G1170+L1170*(J1170-G1170),"")</f>
      </c>
    </row>
    <row r="1171" spans="2:14" x14ac:dyDescent="0.25">
      <c r="B1171">
        <v>33</v>
      </c>
      <c r="C1171">
        <v>112.50000000000003</v>
      </c>
      <c r="D1171">
        <v>10</v>
      </c>
      <c r="E1171" s="18">
        <v>7840.690116110156</v>
      </c>
      <c r="F1171" s="18">
        <v>4209.9990244999035</v>
      </c>
      <c r="G1171" s="18">
        <v>-1946.7734366775198</v>
      </c>
      <c r="H1171" s="12">
        <f>E1172</f>
      </c>
      <c r="I1171" s="12">
        <f>F1172</f>
      </c>
      <c r="J1171" s="12">
        <f>G1172</f>
      </c>
      <c r="K1171">
        <f>IF(AND(Pu&gt;=MIN(E1171,H1171),Pu&lt;=MAX(E1171,H1171),E1171&lt;&gt;H1171),1,0)</f>
      </c>
      <c r="L1171">
        <f>IF(K1171=1,(Pu-E1171)/(H1171-E1171),"")</f>
      </c>
      <c r="M1171" s="12">
        <f>IF(K1171=1,F1171+L1171*(I1171-F1171),"")</f>
      </c>
      <c r="N1171" s="12">
        <f>IF(K1171=1,G1171+L1171*(J1171-G1171),"")</f>
      </c>
    </row>
    <row r="1172" spans="2:14" x14ac:dyDescent="0.25">
      <c r="B1172">
        <v>33</v>
      </c>
      <c r="C1172">
        <v>112.50000000000003</v>
      </c>
      <c r="D1172">
        <v>11</v>
      </c>
      <c r="E1172" s="18">
        <v>7616.409017491844</v>
      </c>
      <c r="F1172" s="18">
        <v>4253.382070170122</v>
      </c>
      <c r="G1172" s="18">
        <v>-1993.6870380916077</v>
      </c>
      <c r="H1172" s="12">
        <f>E1173</f>
      </c>
      <c r="I1172" s="12">
        <f>F1173</f>
      </c>
      <c r="J1172" s="12">
        <f>G1173</f>
      </c>
      <c r="K1172">
        <f>IF(AND(Pu&gt;=MIN(E1172,H1172),Pu&lt;=MAX(E1172,H1172),E1172&lt;&gt;H1172),1,0)</f>
      </c>
      <c r="L1172">
        <f>IF(K1172=1,(Pu-E1172)/(H1172-E1172),"")</f>
      </c>
      <c r="M1172" s="12">
        <f>IF(K1172=1,F1172+L1172*(I1172-F1172),"")</f>
      </c>
      <c r="N1172" s="12">
        <f>IF(K1172=1,G1172+L1172*(J1172-G1172),"")</f>
      </c>
    </row>
    <row r="1173" spans="2:14" x14ac:dyDescent="0.25">
      <c r="B1173">
        <v>33</v>
      </c>
      <c r="C1173">
        <v>112.50000000000003</v>
      </c>
      <c r="D1173">
        <v>12</v>
      </c>
      <c r="E1173" s="18">
        <v>7396.087263031321</v>
      </c>
      <c r="F1173" s="18">
        <v>4289.271883666651</v>
      </c>
      <c r="G1173" s="18">
        <v>-2030.6989567322744</v>
      </c>
      <c r="H1173" s="12">
        <f>E1174</f>
      </c>
      <c r="I1173" s="12">
        <f>F1174</f>
      </c>
      <c r="J1173" s="12">
        <f>G1174</f>
      </c>
      <c r="K1173">
        <f>IF(AND(Pu&gt;=MIN(E1173,H1173),Pu&lt;=MAX(E1173,H1173),E1173&lt;&gt;H1173),1,0)</f>
      </c>
      <c r="L1173">
        <f>IF(K1173=1,(Pu-E1173)/(H1173-E1173),"")</f>
      </c>
      <c r="M1173" s="12">
        <f>IF(K1173=1,F1173+L1173*(I1173-F1173),"")</f>
      </c>
      <c r="N1173" s="12">
        <f>IF(K1173=1,G1173+L1173*(J1173-G1173),"")</f>
      </c>
    </row>
    <row r="1174" spans="2:14" x14ac:dyDescent="0.25">
      <c r="B1174">
        <v>33</v>
      </c>
      <c r="C1174">
        <v>112.50000000000003</v>
      </c>
      <c r="D1174">
        <v>13</v>
      </c>
      <c r="E1174" s="18">
        <v>7064.075923016946</v>
      </c>
      <c r="F1174" s="18">
        <v>4330.491626431118</v>
      </c>
      <c r="G1174" s="18">
        <v>-2090.0229347754503</v>
      </c>
      <c r="H1174" s="12">
        <f>E1175</f>
      </c>
      <c r="I1174" s="12">
        <f>F1175</f>
      </c>
      <c r="J1174" s="12">
        <f>G1175</f>
      </c>
      <c r="K1174">
        <f>IF(AND(Pu&gt;=MIN(E1174,H1174),Pu&lt;=MAX(E1174,H1174),E1174&lt;&gt;H1174),1,0)</f>
      </c>
      <c r="L1174">
        <f>IF(K1174=1,(Pu-E1174)/(H1174-E1174),"")</f>
      </c>
      <c r="M1174" s="12">
        <f>IF(K1174=1,F1174+L1174*(I1174-F1174),"")</f>
      </c>
      <c r="N1174" s="12">
        <f>IF(K1174=1,G1174+L1174*(J1174-G1174),"")</f>
      </c>
    </row>
    <row r="1175" spans="2:14" x14ac:dyDescent="0.25">
      <c r="B1175">
        <v>33</v>
      </c>
      <c r="C1175">
        <v>112.50000000000003</v>
      </c>
      <c r="D1175">
        <v>14</v>
      </c>
      <c r="E1175" s="18">
        <v>6975.426984652724</v>
      </c>
      <c r="F1175" s="18">
        <v>4336.861036579453</v>
      </c>
      <c r="G1175" s="18">
        <v>-2104.3833485586983</v>
      </c>
      <c r="H1175" s="12">
        <f>E1176</f>
      </c>
      <c r="I1175" s="12">
        <f>F1176</f>
      </c>
      <c r="J1175" s="12">
        <f>G1176</f>
      </c>
      <c r="K1175">
        <f>IF(AND(Pu&gt;=MIN(E1175,H1175),Pu&lt;=MAX(E1175,H1175),E1175&lt;&gt;H1175),1,0)</f>
      </c>
      <c r="L1175">
        <f>IF(K1175=1,(Pu-E1175)/(H1175-E1175),"")</f>
      </c>
      <c r="M1175" s="12">
        <f>IF(K1175=1,F1175+L1175*(I1175-F1175),"")</f>
      </c>
      <c r="N1175" s="12">
        <f>IF(K1175=1,G1175+L1175*(J1175-G1175),"")</f>
      </c>
    </row>
    <row r="1176" spans="2:14" x14ac:dyDescent="0.25">
      <c r="B1176">
        <v>33</v>
      </c>
      <c r="C1176">
        <v>112.50000000000003</v>
      </c>
      <c r="D1176">
        <v>15</v>
      </c>
      <c r="E1176" s="18">
        <v>6568.150209313231</v>
      </c>
      <c r="F1176" s="18">
        <v>4334.399286575391</v>
      </c>
      <c r="G1176" s="18">
        <v>-2187.0541843102765</v>
      </c>
      <c r="H1176" s="12">
        <f>E1177</f>
      </c>
      <c r="I1176" s="12">
        <f>F1177</f>
      </c>
      <c r="J1176" s="12">
        <f>G1177</f>
      </c>
      <c r="K1176">
        <f>IF(AND(Pu&gt;=MIN(E1176,H1176),Pu&lt;=MAX(E1176,H1176),E1176&lt;&gt;H1176),1,0)</f>
      </c>
      <c r="L1176">
        <f>IF(K1176=1,(Pu-E1176)/(H1176-E1176),"")</f>
      </c>
      <c r="M1176" s="12">
        <f>IF(K1176=1,F1176+L1176*(I1176-F1176),"")</f>
      </c>
      <c r="N1176" s="12">
        <f>IF(K1176=1,G1176+L1176*(J1176-G1176),"")</f>
      </c>
    </row>
    <row r="1177" spans="2:14" x14ac:dyDescent="0.25">
      <c r="B1177">
        <v>33</v>
      </c>
      <c r="C1177">
        <v>112.50000000000003</v>
      </c>
      <c r="D1177">
        <v>16</v>
      </c>
      <c r="E1177" s="18">
        <v>6112.852471681787</v>
      </c>
      <c r="F1177" s="18">
        <v>4301.381742183834</v>
      </c>
      <c r="G1177" s="18">
        <v>-2281.098921092091</v>
      </c>
      <c r="H1177" s="12">
        <f>E1178</f>
      </c>
      <c r="I1177" s="12">
        <f>F1178</f>
      </c>
      <c r="J1177" s="12">
        <f>G1178</f>
      </c>
      <c r="K1177">
        <f>IF(AND(Pu&gt;=MIN(E1177,H1177),Pu&lt;=MAX(E1177,H1177),E1177&lt;&gt;H1177),1,0)</f>
      </c>
      <c r="L1177">
        <f>IF(K1177=1,(Pu-E1177)/(H1177-E1177),"")</f>
      </c>
      <c r="M1177" s="12">
        <f>IF(K1177=1,F1177+L1177*(I1177-F1177),"")</f>
      </c>
      <c r="N1177" s="12">
        <f>IF(K1177=1,G1177+L1177*(J1177-G1177),"")</f>
      </c>
    </row>
    <row r="1178" spans="2:14" x14ac:dyDescent="0.25">
      <c r="B1178">
        <v>33</v>
      </c>
      <c r="C1178">
        <v>112.50000000000003</v>
      </c>
      <c r="D1178">
        <v>17</v>
      </c>
      <c r="E1178" s="18">
        <v>6001.468218471754</v>
      </c>
      <c r="F1178" s="18">
        <v>4290.041526700462</v>
      </c>
      <c r="G1178" s="18">
        <v>-2304.1173255844783</v>
      </c>
      <c r="H1178" s="12">
        <f>E1179</f>
      </c>
      <c r="I1178" s="12">
        <f>F1179</f>
      </c>
      <c r="J1178" s="12">
        <f>G1179</f>
      </c>
      <c r="K1178">
        <f>IF(AND(Pu&gt;=MIN(E1178,H1178),Pu&lt;=MAX(E1178,H1178),E1178&lt;&gt;H1178),1,0)</f>
      </c>
      <c r="L1178">
        <f>IF(K1178=1,(Pu-E1178)/(H1178-E1178),"")</f>
      </c>
      <c r="M1178" s="12">
        <f>IF(K1178=1,F1178+L1178*(I1178-F1178),"")</f>
      </c>
      <c r="N1178" s="12">
        <f>IF(K1178=1,G1178+L1178*(J1178-G1178),"")</f>
      </c>
    </row>
    <row r="1179" spans="2:14" x14ac:dyDescent="0.25">
      <c r="B1179">
        <v>33</v>
      </c>
      <c r="C1179">
        <v>112.50000000000003</v>
      </c>
      <c r="D1179">
        <v>18</v>
      </c>
      <c r="E1179" s="18">
        <v>5642.4717456296485</v>
      </c>
      <c r="F1179" s="18">
        <v>4251.563017183486</v>
      </c>
      <c r="G1179" s="18">
        <v>-2377.412301218635</v>
      </c>
      <c r="H1179" s="12">
        <f>E1180</f>
      </c>
      <c r="I1179" s="12">
        <f>F1180</f>
      </c>
      <c r="J1179" s="12">
        <f>G1180</f>
      </c>
      <c r="K1179">
        <f>IF(AND(Pu&gt;=MIN(E1179,H1179),Pu&lt;=MAX(E1179,H1179),E1179&lt;&gt;H1179),1,0)</f>
      </c>
      <c r="L1179">
        <f>IF(K1179=1,(Pu-E1179)/(H1179-E1179),"")</f>
      </c>
      <c r="M1179" s="12">
        <f>IF(K1179=1,F1179+L1179*(I1179-F1179),"")</f>
      </c>
      <c r="N1179" s="12">
        <f>IF(K1179=1,G1179+L1179*(J1179-G1179),"")</f>
      </c>
    </row>
    <row r="1180" spans="2:14" x14ac:dyDescent="0.25">
      <c r="B1180">
        <v>33</v>
      </c>
      <c r="C1180">
        <v>112.50000000000003</v>
      </c>
      <c r="D1180">
        <v>19</v>
      </c>
      <c r="E1180" s="18">
        <v>5330.436071549471</v>
      </c>
      <c r="F1180" s="18">
        <v>4215.189744400422</v>
      </c>
      <c r="G1180" s="18">
        <v>-2428.8558933269915</v>
      </c>
      <c r="H1180" s="12">
        <f>E1181</f>
      </c>
      <c r="I1180" s="12">
        <f>F1181</f>
      </c>
      <c r="J1180" s="12">
        <f>G1181</f>
      </c>
      <c r="K1180">
        <f>IF(AND(Pu&gt;=MIN(E1180,H1180),Pu&lt;=MAX(E1180,H1180),E1180&lt;&gt;H1180),1,0)</f>
      </c>
      <c r="L1180">
        <f>IF(K1180=1,(Pu-E1180)/(H1180-E1180),"")</f>
      </c>
      <c r="M1180" s="12">
        <f>IF(K1180=1,F1180+L1180*(I1180-F1180),"")</f>
      </c>
      <c r="N1180" s="12">
        <f>IF(K1180=1,G1180+L1180*(J1180-G1180),"")</f>
      </c>
    </row>
    <row r="1181" spans="2:14" x14ac:dyDescent="0.25">
      <c r="B1181">
        <v>33</v>
      </c>
      <c r="C1181">
        <v>112.50000000000003</v>
      </c>
      <c r="D1181">
        <v>20</v>
      </c>
      <c r="E1181" s="18">
        <v>5208.752604383593</v>
      </c>
      <c r="F1181" s="18">
        <v>4200.243508931341</v>
      </c>
      <c r="G1181" s="18">
        <v>-2446.1374143572134</v>
      </c>
      <c r="H1181" s="12">
        <f>E1182</f>
      </c>
      <c r="I1181" s="12">
        <f>F1182</f>
      </c>
      <c r="J1181" s="12">
        <f>G1182</f>
      </c>
      <c r="K1181">
        <f>IF(AND(Pu&gt;=MIN(E1181,H1181),Pu&lt;=MAX(E1181,H1181),E1181&lt;&gt;H1181),1,0)</f>
      </c>
      <c r="L1181">
        <f>IF(K1181=1,(Pu-E1181)/(H1181-E1181),"")</f>
      </c>
      <c r="M1181" s="12">
        <f>IF(K1181=1,F1181+L1181*(I1181-F1181),"")</f>
      </c>
      <c r="N1181" s="12">
        <f>IF(K1181=1,G1181+L1181*(J1181-G1181),"")</f>
      </c>
    </row>
    <row r="1182" spans="2:14" x14ac:dyDescent="0.25">
      <c r="B1182">
        <v>33</v>
      </c>
      <c r="C1182">
        <v>112.50000000000003</v>
      </c>
      <c r="D1182">
        <v>21</v>
      </c>
      <c r="E1182" s="18">
        <v>4513.463354364549</v>
      </c>
      <c r="F1182" s="18">
        <v>3987.641152552744</v>
      </c>
      <c r="G1182" s="18">
        <v>-2418.991259038967</v>
      </c>
      <c r="H1182" s="12">
        <f>E1183</f>
      </c>
      <c r="I1182" s="12">
        <f>F1183</f>
      </c>
      <c r="J1182" s="12">
        <f>G1183</f>
      </c>
      <c r="K1182">
        <f>IF(AND(Pu&gt;=MIN(E1182,H1182),Pu&lt;=MAX(E1182,H1182),E1182&lt;&gt;H1182),1,0)</f>
      </c>
      <c r="L1182">
        <f>IF(K1182=1,(Pu-E1182)/(H1182-E1182),"")</f>
      </c>
      <c r="M1182" s="12">
        <f>IF(K1182=1,F1182+L1182*(I1182-F1182),"")</f>
      </c>
      <c r="N1182" s="12">
        <f>IF(K1182=1,G1182+L1182*(J1182-G1182),"")</f>
      </c>
    </row>
    <row r="1183" spans="2:14" x14ac:dyDescent="0.25">
      <c r="B1183">
        <v>33</v>
      </c>
      <c r="C1183">
        <v>112.50000000000003</v>
      </c>
      <c r="D1183">
        <v>22</v>
      </c>
      <c r="E1183" s="18">
        <v>3126.4395761714045</v>
      </c>
      <c r="F1183" s="18">
        <v>3523.910717819835</v>
      </c>
      <c r="G1183" s="18">
        <v>-2351.2900876867166</v>
      </c>
      <c r="H1183" s="12">
        <f>E1184</f>
      </c>
      <c r="I1183" s="12">
        <f>F1184</f>
      </c>
      <c r="J1183" s="12">
        <f>G1184</f>
      </c>
      <c r="K1183">
        <f>IF(AND(Pu&gt;=MIN(E1183,H1183),Pu&lt;=MAX(E1183,H1183),E1183&lt;&gt;H1183),1,0)</f>
      </c>
      <c r="L1183">
        <f>IF(K1183=1,(Pu-E1183)/(H1183-E1183),"")</f>
      </c>
      <c r="M1183" s="12">
        <f>IF(K1183=1,F1183+L1183*(I1183-F1183),"")</f>
      </c>
      <c r="N1183" s="12">
        <f>IF(K1183=1,G1183+L1183*(J1183-G1183),"")</f>
      </c>
    </row>
    <row r="1184" spans="2:14" x14ac:dyDescent="0.25">
      <c r="B1184">
        <v>33</v>
      </c>
      <c r="C1184">
        <v>112.50000000000003</v>
      </c>
      <c r="D1184">
        <v>23</v>
      </c>
      <c r="E1184" s="18">
        <v>2149.2332623270518</v>
      </c>
      <c r="F1184" s="18">
        <v>3166.1188077797733</v>
      </c>
      <c r="G1184" s="18">
        <v>-2205.072166565771</v>
      </c>
      <c r="H1184" s="12">
        <f>E1185</f>
      </c>
      <c r="I1184" s="12">
        <f>F1185</f>
      </c>
      <c r="J1184" s="12">
        <f>G1185</f>
      </c>
      <c r="K1184">
        <f>IF(AND(Pu&gt;=MIN(E1184,H1184),Pu&lt;=MAX(E1184,H1184),E1184&lt;&gt;H1184),1,0)</f>
      </c>
      <c r="L1184">
        <f>IF(K1184=1,(Pu-E1184)/(H1184-E1184),"")</f>
      </c>
      <c r="M1184" s="12">
        <f>IF(K1184=1,F1184+L1184*(I1184-F1184),"")</f>
      </c>
      <c r="N1184" s="12">
        <f>IF(K1184=1,G1184+L1184*(J1184-G1184),"")</f>
      </c>
    </row>
    <row r="1185" spans="2:14" x14ac:dyDescent="0.25">
      <c r="B1185">
        <v>33</v>
      </c>
      <c r="C1185">
        <v>112.50000000000003</v>
      </c>
      <c r="D1185">
        <v>24</v>
      </c>
      <c r="E1185" s="18">
        <v>1339.4138877299874</v>
      </c>
      <c r="F1185" s="18">
        <v>2865.908895724604</v>
      </c>
      <c r="G1185" s="18">
        <v>-2047.3483058707914</v>
      </c>
      <c r="H1185" s="12">
        <f>E1186</f>
      </c>
      <c r="I1185" s="12">
        <f>F1186</f>
      </c>
      <c r="J1185" s="12">
        <f>G1186</f>
      </c>
      <c r="K1185">
        <f>IF(AND(Pu&gt;=MIN(E1185,H1185),Pu&lt;=MAX(E1185,H1185),E1185&lt;&gt;H1185),1,0)</f>
      </c>
      <c r="L1185">
        <f>IF(K1185=1,(Pu-E1185)/(H1185-E1185),"")</f>
      </c>
      <c r="M1185" s="12">
        <f>IF(K1185=1,F1185+L1185*(I1185-F1185),"")</f>
      </c>
      <c r="N1185" s="12">
        <f>IF(K1185=1,G1185+L1185*(J1185-G1185),"")</f>
      </c>
    </row>
    <row r="1186" spans="2:14" x14ac:dyDescent="0.25">
      <c r="B1186">
        <v>33</v>
      </c>
      <c r="C1186">
        <v>112.50000000000003</v>
      </c>
      <c r="D1186">
        <v>25</v>
      </c>
      <c r="E1186" s="18">
        <v>138.74949451086232</v>
      </c>
      <c r="F1186" s="18">
        <v>2370.530049951688</v>
      </c>
      <c r="G1186" s="18">
        <v>-1799.9992068689921</v>
      </c>
      <c r="H1186" s="12">
        <f>E1187</f>
      </c>
      <c r="I1186" s="12">
        <f>F1187</f>
      </c>
      <c r="J1186" s="12">
        <f>G1187</f>
      </c>
      <c r="K1186">
        <f>IF(AND(Pu&gt;=MIN(E1186,H1186),Pu&lt;=MAX(E1186,H1186),E1186&lt;&gt;H1186),1,0)</f>
      </c>
      <c r="L1186">
        <f>IF(K1186=1,(Pu-E1186)/(H1186-E1186),"")</f>
      </c>
      <c r="M1186" s="12">
        <f>IF(K1186=1,F1186+L1186*(I1186-F1186),"")</f>
      </c>
      <c r="N1186" s="12">
        <f>IF(K1186=1,G1186+L1186*(J1186-G1186),"")</f>
      </c>
    </row>
    <row r="1187" spans="2:14" x14ac:dyDescent="0.25">
      <c r="B1187">
        <v>33</v>
      </c>
      <c r="C1187">
        <v>112.50000000000003</v>
      </c>
      <c r="D1187">
        <v>26</v>
      </c>
      <c r="E1187" s="18">
        <v>-906.9697535023262</v>
      </c>
      <c r="F1187" s="18">
        <v>1922.9408873872278</v>
      </c>
      <c r="G1187" s="18">
        <v>-1547.5091332937093</v>
      </c>
      <c r="H1187" s="12">
        <f>E1188</f>
      </c>
      <c r="I1187" s="12">
        <f>F1188</f>
      </c>
      <c r="J1187" s="12">
        <f>G1188</f>
      </c>
      <c r="K1187">
        <f>IF(AND(Pu&gt;=MIN(E1187,H1187),Pu&lt;=MAX(E1187,H1187),E1187&lt;&gt;H1187),1,0)</f>
      </c>
      <c r="L1187">
        <f>IF(K1187=1,(Pu-E1187)/(H1187-E1187),"")</f>
      </c>
      <c r="M1187" s="12">
        <f>IF(K1187=1,F1187+L1187*(I1187-F1187),"")</f>
      </c>
      <c r="N1187" s="12">
        <f>IF(K1187=1,G1187+L1187*(J1187-G1187),"")</f>
      </c>
    </row>
    <row r="1188" spans="2:14" x14ac:dyDescent="0.25">
      <c r="B1188">
        <v>33</v>
      </c>
      <c r="C1188">
        <v>112.50000000000003</v>
      </c>
      <c r="D1188">
        <v>27</v>
      </c>
      <c r="E1188" s="18">
        <v>-1688.3397115715738</v>
      </c>
      <c r="F1188" s="18">
        <v>1580.852644157661</v>
      </c>
      <c r="G1188" s="18">
        <v>-1312.9111655412378</v>
      </c>
      <c r="H1188" s="12">
        <f>E1189</f>
      </c>
      <c r="I1188" s="12">
        <f>F1189</f>
      </c>
      <c r="J1188" s="12">
        <f>G1189</f>
      </c>
      <c r="K1188">
        <f>IF(AND(Pu&gt;=MIN(E1188,H1188),Pu&lt;=MAX(E1188,H1188),E1188&lt;&gt;H1188),1,0)</f>
      </c>
      <c r="L1188">
        <f>IF(K1188=1,(Pu-E1188)/(H1188-E1188),"")</f>
      </c>
      <c r="M1188" s="12">
        <f>IF(K1188=1,F1188+L1188*(I1188-F1188),"")</f>
      </c>
      <c r="N1188" s="12">
        <f>IF(K1188=1,G1188+L1188*(J1188-G1188),"")</f>
      </c>
    </row>
    <row r="1189" spans="2:14" x14ac:dyDescent="0.25">
      <c r="B1189">
        <v>33</v>
      </c>
      <c r="C1189">
        <v>112.50000000000003</v>
      </c>
      <c r="D1189">
        <v>28</v>
      </c>
      <c r="E1189" s="18">
        <v>-2275.454590127479</v>
      </c>
      <c r="F1189" s="18">
        <v>1304.9445910612924</v>
      </c>
      <c r="G1189" s="18">
        <v>-1136.528945649857</v>
      </c>
      <c r="H1189" s="12">
        <f>E1190</f>
      </c>
      <c r="I1189" s="12">
        <f>F1190</f>
      </c>
      <c r="J1189" s="12">
        <f>G1190</f>
      </c>
      <c r="K1189">
        <f>IF(AND(Pu&gt;=MIN(E1189,H1189),Pu&lt;=MAX(E1189,H1189),E1189&lt;&gt;H1189),1,0)</f>
      </c>
      <c r="L1189">
        <f>IF(K1189=1,(Pu-E1189)/(H1189-E1189),"")</f>
      </c>
      <c r="M1189" s="12">
        <f>IF(K1189=1,F1189+L1189*(I1189-F1189),"")</f>
      </c>
      <c r="N1189" s="12">
        <f>IF(K1189=1,G1189+L1189*(J1189-G1189),"")</f>
      </c>
    </row>
    <row r="1190" spans="2:14" x14ac:dyDescent="0.25">
      <c r="B1190">
        <v>33</v>
      </c>
      <c r="C1190">
        <v>112.50000000000003</v>
      </c>
      <c r="D1190">
        <v>29</v>
      </c>
      <c r="E1190" s="18">
        <v>-3083.6596757969046</v>
      </c>
      <c r="F1190" s="18">
        <v>925.1172357397146</v>
      </c>
      <c r="G1190" s="18">
        <v>-832.741395834731</v>
      </c>
      <c r="H1190" s="12">
        <f>E1191</f>
      </c>
      <c r="I1190" s="12">
        <f>F1191</f>
      </c>
      <c r="J1190" s="12">
        <f>G1191</f>
      </c>
      <c r="K1190">
        <f>IF(AND(Pu&gt;=MIN(E1190,H1190),Pu&lt;=MAX(E1190,H1190),E1190&lt;&gt;H1190),1,0)</f>
      </c>
      <c r="L1190">
        <f>IF(K1190=1,(Pu-E1190)/(H1190-E1190),"")</f>
      </c>
      <c r="M1190" s="12">
        <f>IF(K1190=1,F1190+L1190*(I1190-F1190),"")</f>
      </c>
      <c r="N1190" s="12">
        <f>IF(K1190=1,G1190+L1190*(J1190-G1190),"")</f>
      </c>
    </row>
    <row r="1191" spans="2:14" x14ac:dyDescent="0.25">
      <c r="B1191">
        <v>33</v>
      </c>
      <c r="C1191">
        <v>112.50000000000003</v>
      </c>
      <c r="D1191">
        <v>30</v>
      </c>
      <c r="E1191" s="18">
        <v>-3613.6918217220064</v>
      </c>
      <c r="F1191" s="18">
        <v>679.3389649477625</v>
      </c>
      <c r="G1191" s="18">
        <v>-600.2957680390049</v>
      </c>
      <c r="H1191" s="12">
        <f>E1192</f>
      </c>
      <c r="I1191" s="12">
        <f>F1192</f>
      </c>
      <c r="J1191" s="12">
        <f>G1192</f>
      </c>
      <c r="K1191">
        <f>IF(AND(Pu&gt;=MIN(E1191,H1191),Pu&lt;=MAX(E1191,H1191),E1191&lt;&gt;H1191),1,0)</f>
      </c>
      <c r="L1191">
        <f>IF(K1191=1,(Pu-E1191)/(H1191-E1191),"")</f>
      </c>
      <c r="M1191" s="12">
        <f>IF(K1191=1,F1191+L1191*(I1191-F1191),"")</f>
      </c>
      <c r="N1191" s="12">
        <f>IF(K1191=1,G1191+L1191*(J1191-G1191),"")</f>
      </c>
    </row>
    <row r="1192" spans="2:14" x14ac:dyDescent="0.25">
      <c r="B1192">
        <v>33</v>
      </c>
      <c r="C1192">
        <v>112.50000000000003</v>
      </c>
      <c r="D1192">
        <v>31</v>
      </c>
      <c r="E1192" s="18">
        <v>-4214.713638623313</v>
      </c>
      <c r="F1192" s="18">
        <v>380.575653695939</v>
      </c>
      <c r="G1192" s="18">
        <v>-340.3525151511228</v>
      </c>
      <c r="H1192" s="12">
        <f>E1193</f>
      </c>
      <c r="I1192" s="12">
        <f>F1193</f>
      </c>
      <c r="J1192" s="12">
        <f>G1193</f>
      </c>
      <c r="K1192">
        <f>IF(AND(Pu&gt;=MIN(E1192,H1192),Pu&lt;=MAX(E1192,H1192),E1192&lt;&gt;H1192),1,0)</f>
      </c>
      <c r="L1192">
        <f>IF(K1192=1,(Pu-E1192)/(H1192-E1192),"")</f>
      </c>
      <c r="M1192" s="12">
        <f>IF(K1192=1,F1192+L1192*(I1192-F1192),"")</f>
      </c>
      <c r="N1192" s="12">
        <f>IF(K1192=1,G1192+L1192*(J1192-G1192),"")</f>
      </c>
    </row>
    <row r="1193" spans="2:14" x14ac:dyDescent="0.25">
      <c r="B1193">
        <v>33</v>
      </c>
      <c r="C1193">
        <v>112.50000000000003</v>
      </c>
      <c r="D1193">
        <v>32</v>
      </c>
      <c r="E1193" s="18">
        <v>-4478.584778780305</v>
      </c>
      <c r="F1193" s="18">
        <v>242.01730694370727</v>
      </c>
      <c r="G1193" s="18">
        <v>-216.61344527419723</v>
      </c>
      <c r="H1193" s="12">
        <f>E1194</f>
      </c>
      <c r="I1193" s="12">
        <f>F1194</f>
      </c>
      <c r="J1193" s="12">
        <f>G1194</f>
      </c>
      <c r="K1193">
        <f>IF(AND(Pu&gt;=MIN(E1193,H1193),Pu&lt;=MAX(E1193,H1193),E1193&lt;&gt;H1193),1,0)</f>
      </c>
      <c r="L1193">
        <f>IF(K1193=1,(Pu-E1193)/(H1193-E1193),"")</f>
      </c>
      <c r="M1193" s="12">
        <f>IF(K1193=1,F1193+L1193*(I1193-F1193),"")</f>
      </c>
      <c r="N1193" s="12">
        <f>IF(K1193=1,G1193+L1193*(J1193-G1193),"")</f>
      </c>
    </row>
    <row r="1194" spans="2:14" x14ac:dyDescent="0.25">
      <c r="B1194">
        <v>33</v>
      </c>
      <c r="C1194">
        <v>112.50000000000003</v>
      </c>
      <c r="D1194">
        <v>33</v>
      </c>
      <c r="E1194" s="18">
        <v>-4782.8153578103675</v>
      </c>
      <c r="F1194" s="18">
        <v>79.08736354176501</v>
      </c>
      <c r="G1194" s="18">
        <v>-74.71811875860293</v>
      </c>
      <c r="H1194" s="12">
        <f>E1195</f>
      </c>
      <c r="I1194" s="12">
        <f>F1195</f>
      </c>
      <c r="J1194" s="12">
        <f>G1195</f>
      </c>
      <c r="K1194">
        <f>IF(AND(Pu&gt;=MIN(E1194,H1194),Pu&lt;=MAX(E1194,H1194),E1194&lt;&gt;H1194),1,0)</f>
      </c>
      <c r="L1194">
        <f>IF(K1194=1,(Pu-E1194)/(H1194-E1194),"")</f>
      </c>
      <c r="M1194" s="12">
        <f>IF(K1194=1,F1194+L1194*(I1194-F1194),"")</f>
      </c>
      <c r="N1194" s="12">
        <f>IF(K1194=1,G1194+L1194*(J1194-G1194),"")</f>
      </c>
    </row>
    <row r="1195" spans="2:7" x14ac:dyDescent="0.25">
      <c r="B1195">
        <v>33</v>
      </c>
      <c r="C1195">
        <v>112.50000000000003</v>
      </c>
      <c r="D1195">
        <v>34</v>
      </c>
      <c r="E1195" s="18">
        <v>-4842.030691046409</v>
      </c>
      <c r="F1195" s="18">
        <v>46.053861708290654</v>
      </c>
      <c r="G1195" s="18">
        <v>-43.1834374827654</v>
      </c>
    </row>
    <row r="1197" spans="2:14" x14ac:dyDescent="0.25">
      <c r="B1197">
        <v>34</v>
      </c>
      <c r="C1197">
        <v>119.99999999999997</v>
      </c>
      <c r="D1197">
        <v>1</v>
      </c>
      <c r="E1197" s="18">
        <v>17151.549870387913</v>
      </c>
      <c r="F1197" s="18">
        <v>1978.9936013105284</v>
      </c>
      <c r="G1197" s="18">
        <v>-1789.094458032571</v>
      </c>
      <c r="H1197" s="12">
        <f>E1198</f>
      </c>
      <c r="I1197" s="12">
        <f>F1198</f>
      </c>
      <c r="J1197" s="12">
        <f>G1198</f>
      </c>
      <c r="K1197">
        <f>IF(AND(Pu&gt;=MIN(E1197,H1197),Pu&lt;=MAX(E1197,H1197),E1197&lt;&gt;H1197),1,0)</f>
      </c>
      <c r="L1197">
        <f>IF(K1197=1,(Pu-E1197)/(H1197-E1197),"")</f>
      </c>
      <c r="M1197" s="12">
        <f>IF(K1197=1,F1197+L1197*(I1197-F1197),"")</f>
      </c>
      <c r="N1197" s="12">
        <f>IF(K1197=1,G1197+L1197*(J1197-G1197),"")</f>
      </c>
    </row>
    <row r="1198" spans="2:14" x14ac:dyDescent="0.25">
      <c r="B1198">
        <v>34</v>
      </c>
      <c r="C1198">
        <v>119.99999999999997</v>
      </c>
      <c r="D1198">
        <v>2</v>
      </c>
      <c r="E1198" s="18">
        <v>15882.24164946921</v>
      </c>
      <c r="F1198" s="18">
        <v>2396.9774802670377</v>
      </c>
      <c r="G1198" s="18">
        <v>-1970.384406635878</v>
      </c>
      <c r="H1198" s="12">
        <f>E1199</f>
      </c>
      <c r="I1198" s="12">
        <f>F1199</f>
      </c>
      <c r="J1198" s="12">
        <f>G1199</f>
      </c>
      <c r="K1198">
        <f>IF(AND(Pu&gt;=MIN(E1198,H1198),Pu&lt;=MAX(E1198,H1198),E1198&lt;&gt;H1198),1,0)</f>
      </c>
      <c r="L1198">
        <f>IF(K1198=1,(Pu-E1198)/(H1198-E1198),"")</f>
      </c>
      <c r="M1198" s="12">
        <f>IF(K1198=1,F1198+L1198*(I1198-F1198),"")</f>
      </c>
      <c r="N1198" s="12">
        <f>IF(K1198=1,G1198+L1198*(J1198-G1198),"")</f>
      </c>
    </row>
    <row r="1199" spans="2:14" x14ac:dyDescent="0.25">
      <c r="B1199">
        <v>34</v>
      </c>
      <c r="C1199">
        <v>119.99999999999997</v>
      </c>
      <c r="D1199">
        <v>3</v>
      </c>
      <c r="E1199" s="18">
        <v>13411.205693231297</v>
      </c>
      <c r="F1199" s="18">
        <v>3086.1350145600977</v>
      </c>
      <c r="G1199" s="18">
        <v>-2071.1970074855753</v>
      </c>
      <c r="H1199" s="12">
        <f>E1200</f>
      </c>
      <c r="I1199" s="12">
        <f>F1200</f>
      </c>
      <c r="J1199" s="12">
        <f>G1200</f>
      </c>
      <c r="K1199">
        <f>IF(AND(Pu&gt;=MIN(E1199,H1199),Pu&lt;=MAX(E1199,H1199),E1199&lt;&gt;H1199),1,0)</f>
      </c>
      <c r="L1199">
        <f>IF(K1199=1,(Pu-E1199)/(H1199-E1199),"")</f>
      </c>
      <c r="M1199" s="12">
        <f>IF(K1199=1,F1199+L1199*(I1199-F1199),"")</f>
      </c>
      <c r="N1199" s="12">
        <f>IF(K1199=1,G1199+L1199*(J1199-G1199),"")</f>
      </c>
    </row>
    <row r="1200" spans="2:14" x14ac:dyDescent="0.25">
      <c r="B1200">
        <v>34</v>
      </c>
      <c r="C1200">
        <v>119.99999999999997</v>
      </c>
      <c r="D1200">
        <v>4</v>
      </c>
      <c r="E1200" s="18">
        <v>11622.680744264457</v>
      </c>
      <c r="F1200" s="18">
        <v>3392.6673926179596</v>
      </c>
      <c r="G1200" s="18">
        <v>-2186.0284705359704</v>
      </c>
      <c r="H1200" s="12">
        <f>E1201</f>
      </c>
      <c r="I1200" s="12">
        <f>F1201</f>
      </c>
      <c r="J1200" s="12">
        <f>G1201</f>
      </c>
      <c r="K1200">
        <f>IF(AND(Pu&gt;=MIN(E1200,H1200),Pu&lt;=MAX(E1200,H1200),E1200&lt;&gt;H1200),1,0)</f>
      </c>
      <c r="L1200">
        <f>IF(K1200=1,(Pu-E1200)/(H1200-E1200),"")</f>
      </c>
      <c r="M1200" s="12">
        <f>IF(K1200=1,F1200+L1200*(I1200-F1200),"")</f>
      </c>
      <c r="N1200" s="12">
        <f>IF(K1200=1,G1200+L1200*(J1200-G1200),"")</f>
      </c>
    </row>
    <row r="1201" spans="2:14" x14ac:dyDescent="0.25">
      <c r="B1201">
        <v>34</v>
      </c>
      <c r="C1201">
        <v>119.99999999999997</v>
      </c>
      <c r="D1201">
        <v>5</v>
      </c>
      <c r="E1201" s="18">
        <v>10109.359766858222</v>
      </c>
      <c r="F1201" s="18">
        <v>3536.402271939413</v>
      </c>
      <c r="G1201" s="18">
        <v>-2295.2985058711015</v>
      </c>
      <c r="H1201" s="12">
        <f>E1202</f>
      </c>
      <c r="I1201" s="12">
        <f>F1202</f>
      </c>
      <c r="J1201" s="12">
        <f>G1202</f>
      </c>
      <c r="K1201">
        <f>IF(AND(Pu&gt;=MIN(E1201,H1201),Pu&lt;=MAX(E1201,H1201),E1201&lt;&gt;H1201),1,0)</f>
      </c>
      <c r="L1201">
        <f>IF(K1201=1,(Pu-E1201)/(H1201-E1201),"")</f>
      </c>
      <c r="M1201" s="12">
        <f>IF(K1201=1,F1201+L1201*(I1201-F1201),"")</f>
      </c>
      <c r="N1201" s="12">
        <f>IF(K1201=1,G1201+L1201*(J1201-G1201),"")</f>
      </c>
    </row>
    <row r="1202" spans="2:14" x14ac:dyDescent="0.25">
      <c r="B1202">
        <v>34</v>
      </c>
      <c r="C1202">
        <v>119.99999999999997</v>
      </c>
      <c r="D1202">
        <v>6</v>
      </c>
      <c r="E1202" s="18">
        <v>8792.157526062832</v>
      </c>
      <c r="F1202" s="18">
        <v>3613.0310474925145</v>
      </c>
      <c r="G1202" s="18">
        <v>-2365.2959646508216</v>
      </c>
      <c r="H1202" s="12">
        <f>E1203</f>
      </c>
      <c r="I1202" s="12">
        <f>F1203</f>
      </c>
      <c r="J1202" s="12">
        <f>G1203</f>
      </c>
      <c r="K1202">
        <f>IF(AND(Pu&gt;=MIN(E1202,H1202),Pu&lt;=MAX(E1202,H1202),E1202&lt;&gt;H1202),1,0)</f>
      </c>
      <c r="L1202">
        <f>IF(K1202=1,(Pu-E1202)/(H1202-E1202),"")</f>
      </c>
      <c r="M1202" s="12">
        <f>IF(K1202=1,F1202+L1202*(I1202-F1202),"")</f>
      </c>
      <c r="N1202" s="12">
        <f>IF(K1202=1,G1202+L1202*(J1202-G1202),"")</f>
      </c>
    </row>
    <row r="1203" spans="2:14" x14ac:dyDescent="0.25">
      <c r="B1203">
        <v>34</v>
      </c>
      <c r="C1203">
        <v>119.99999999999997</v>
      </c>
      <c r="D1203">
        <v>7</v>
      </c>
      <c r="E1203" s="18">
        <v>8783.27839142531</v>
      </c>
      <c r="F1203" s="18">
        <v>3615.186553960359</v>
      </c>
      <c r="G1203" s="18">
        <v>-2366.954172840144</v>
      </c>
      <c r="H1203" s="12">
        <f>E1204</f>
      </c>
      <c r="I1203" s="12">
        <f>F1204</f>
      </c>
      <c r="J1203" s="12">
        <f>G1204</f>
      </c>
      <c r="K1203">
        <f>IF(AND(Pu&gt;=MIN(E1203,H1203),Pu&lt;=MAX(E1203,H1203),E1203&lt;&gt;H1203),1,0)</f>
      </c>
      <c r="L1203">
        <f>IF(K1203=1,(Pu-E1203)/(H1203-E1203),"")</f>
      </c>
      <c r="M1203" s="12">
        <f>IF(K1203=1,F1203+L1203*(I1203-F1203),"")</f>
      </c>
      <c r="N1203" s="12">
        <f>IF(K1203=1,G1203+L1203*(J1203-G1203),"")</f>
      </c>
    </row>
    <row r="1204" spans="2:14" x14ac:dyDescent="0.25">
      <c r="B1204">
        <v>34</v>
      </c>
      <c r="C1204">
        <v>119.99999999999997</v>
      </c>
      <c r="D1204">
        <v>8</v>
      </c>
      <c r="E1204" s="18">
        <v>8167.683811897219</v>
      </c>
      <c r="F1204" s="18">
        <v>3751.7473500434953</v>
      </c>
      <c r="G1204" s="18">
        <v>-2486.860569245446</v>
      </c>
      <c r="H1204" s="12">
        <f>E1205</f>
      </c>
      <c r="I1204" s="12">
        <f>F1205</f>
      </c>
      <c r="J1204" s="12">
        <f>G1205</f>
      </c>
      <c r="K1204">
        <f>IF(AND(Pu&gt;=MIN(E1204,H1204),Pu&lt;=MAX(E1204,H1204),E1204&lt;&gt;H1204),1,0)</f>
      </c>
      <c r="L1204">
        <f>IF(K1204=1,(Pu-E1204)/(H1204-E1204),"")</f>
      </c>
      <c r="M1204" s="12">
        <f>IF(K1204=1,F1204+L1204*(I1204-F1204),"")</f>
      </c>
      <c r="N1204" s="12">
        <f>IF(K1204=1,G1204+L1204*(J1204-G1204),"")</f>
      </c>
    </row>
    <row r="1205" spans="2:14" x14ac:dyDescent="0.25">
      <c r="B1205">
        <v>34</v>
      </c>
      <c r="C1205">
        <v>119.99999999999997</v>
      </c>
      <c r="D1205">
        <v>9</v>
      </c>
      <c r="E1205" s="18">
        <v>8031.185067861217</v>
      </c>
      <c r="F1205" s="18">
        <v>3775.098628074049</v>
      </c>
      <c r="G1205" s="18">
        <v>-2507.9775305509966</v>
      </c>
      <c r="H1205" s="12">
        <f>E1206</f>
      </c>
      <c r="I1205" s="12">
        <f>F1206</f>
      </c>
      <c r="J1205" s="12">
        <f>G1206</f>
      </c>
      <c r="K1205">
        <f>IF(AND(Pu&gt;=MIN(E1205,H1205),Pu&lt;=MAX(E1205,H1205),E1205&lt;&gt;H1205),1,0)</f>
      </c>
      <c r="L1205">
        <f>IF(K1205=1,(Pu-E1205)/(H1205-E1205),"")</f>
      </c>
      <c r="M1205" s="12">
        <f>IF(K1205=1,F1205+L1205*(I1205-F1205),"")</f>
      </c>
      <c r="N1205" s="12">
        <f>IF(K1205=1,G1205+L1205*(J1205-G1205),"")</f>
      </c>
    </row>
    <row r="1206" spans="2:14" x14ac:dyDescent="0.25">
      <c r="B1206">
        <v>34</v>
      </c>
      <c r="C1206">
        <v>119.99999999999997</v>
      </c>
      <c r="D1206">
        <v>10</v>
      </c>
      <c r="E1206" s="18">
        <v>7575.440020854545</v>
      </c>
      <c r="F1206" s="18">
        <v>3834.720593014749</v>
      </c>
      <c r="G1206" s="18">
        <v>-2582.4507020280125</v>
      </c>
      <c r="H1206" s="12">
        <f>E1207</f>
      </c>
      <c r="I1206" s="12">
        <f>F1207</f>
      </c>
      <c r="J1206" s="12">
        <f>G1207</f>
      </c>
      <c r="K1206">
        <f>IF(AND(Pu&gt;=MIN(E1206,H1206),Pu&lt;=MAX(E1206,H1206),E1206&lt;&gt;H1206),1,0)</f>
      </c>
      <c r="L1206">
        <f>IF(K1206=1,(Pu-E1206)/(H1206-E1206),"")</f>
      </c>
      <c r="M1206" s="12">
        <f>IF(K1206=1,F1206+L1206*(I1206-F1206),"")</f>
      </c>
      <c r="N1206" s="12">
        <f>IF(K1206=1,G1206+L1206*(J1206-G1206),"")</f>
      </c>
    </row>
    <row r="1207" spans="2:14" x14ac:dyDescent="0.25">
      <c r="B1207">
        <v>34</v>
      </c>
      <c r="C1207">
        <v>119.99999999999997</v>
      </c>
      <c r="D1207">
        <v>11</v>
      </c>
      <c r="E1207" s="18">
        <v>7331.84528866347</v>
      </c>
      <c r="F1207" s="18">
        <v>3855.4247178588353</v>
      </c>
      <c r="G1207" s="18">
        <v>-2624.987539784702</v>
      </c>
      <c r="H1207" s="12">
        <f>E1208</f>
      </c>
      <c r="I1207" s="12">
        <f>F1208</f>
      </c>
      <c r="J1207" s="12">
        <f>G1208</f>
      </c>
      <c r="K1207">
        <f>IF(AND(Pu&gt;=MIN(E1207,H1207),Pu&lt;=MAX(E1207,H1207),E1207&lt;&gt;H1207),1,0)</f>
      </c>
      <c r="L1207">
        <f>IF(K1207=1,(Pu-E1207)/(H1207-E1207),"")</f>
      </c>
      <c r="M1207" s="12">
        <f>IF(K1207=1,F1207+L1207*(I1207-F1207),"")</f>
      </c>
      <c r="N1207" s="12">
        <f>IF(K1207=1,G1207+L1207*(J1207-G1207),"")</f>
      </c>
    </row>
    <row r="1208" spans="2:14" x14ac:dyDescent="0.25">
      <c r="B1208">
        <v>34</v>
      </c>
      <c r="C1208">
        <v>119.99999999999997</v>
      </c>
      <c r="D1208">
        <v>12</v>
      </c>
      <c r="E1208" s="18">
        <v>6991.055497237571</v>
      </c>
      <c r="F1208" s="18">
        <v>3866.8934528266172</v>
      </c>
      <c r="G1208" s="18">
        <v>-2682.3093617898635</v>
      </c>
      <c r="H1208" s="12">
        <f>E1209</f>
      </c>
      <c r="I1208" s="12">
        <f>F1209</f>
      </c>
      <c r="J1208" s="12">
        <f>G1209</f>
      </c>
      <c r="K1208">
        <f>IF(AND(Pu&gt;=MIN(E1208,H1208),Pu&lt;=MAX(E1208,H1208),E1208&lt;&gt;H1208),1,0)</f>
      </c>
      <c r="L1208">
        <f>IF(K1208=1,(Pu-E1208)/(H1208-E1208),"")</f>
      </c>
      <c r="M1208" s="12">
        <f>IF(K1208=1,F1208+L1208*(I1208-F1208),"")</f>
      </c>
      <c r="N1208" s="12">
        <f>IF(K1208=1,G1208+L1208*(J1208-G1208),"")</f>
      </c>
    </row>
    <row r="1209" spans="2:14" x14ac:dyDescent="0.25">
      <c r="B1209">
        <v>34</v>
      </c>
      <c r="C1209">
        <v>119.99999999999997</v>
      </c>
      <c r="D1209">
        <v>13</v>
      </c>
      <c r="E1209" s="18">
        <v>6580.669346883263</v>
      </c>
      <c r="F1209" s="18">
        <v>3857.9223810285825</v>
      </c>
      <c r="G1209" s="18">
        <v>-2746.382194908626</v>
      </c>
      <c r="H1209" s="12">
        <f>E1210</f>
      </c>
      <c r="I1209" s="12">
        <f>F1210</f>
      </c>
      <c r="J1209" s="12">
        <f>G1210</f>
      </c>
      <c r="K1209">
        <f>IF(AND(Pu&gt;=MIN(E1209,H1209),Pu&lt;=MAX(E1209,H1209),E1209&lt;&gt;H1209),1,0)</f>
      </c>
      <c r="L1209">
        <f>IF(K1209=1,(Pu-E1209)/(H1209-E1209),"")</f>
      </c>
      <c r="M1209" s="12">
        <f>IF(K1209=1,F1209+L1209*(I1209-F1209),"")</f>
      </c>
      <c r="N1209" s="12">
        <f>IF(K1209=1,G1209+L1209*(J1209-G1209),"")</f>
      </c>
    </row>
    <row r="1210" spans="2:14" x14ac:dyDescent="0.25">
      <c r="B1210">
        <v>34</v>
      </c>
      <c r="C1210">
        <v>119.99999999999997</v>
      </c>
      <c r="D1210">
        <v>14</v>
      </c>
      <c r="E1210" s="18">
        <v>6383.26377028388</v>
      </c>
      <c r="F1210" s="18">
        <v>3840.996785439064</v>
      </c>
      <c r="G1210" s="18">
        <v>-2781.6542011786632</v>
      </c>
      <c r="H1210" s="12">
        <f>E1211</f>
      </c>
      <c r="I1210" s="12">
        <f>F1211</f>
      </c>
      <c r="J1210" s="12">
        <f>G1211</f>
      </c>
      <c r="K1210">
        <f>IF(AND(Pu&gt;=MIN(E1210,H1210),Pu&lt;=MAX(E1210,H1210),E1210&lt;&gt;H1210),1,0)</f>
      </c>
      <c r="L1210">
        <f>IF(K1210=1,(Pu-E1210)/(H1210-E1210),"")</f>
      </c>
      <c r="M1210" s="12">
        <f>IF(K1210=1,F1210+L1210*(I1210-F1210),"")</f>
      </c>
      <c r="N1210" s="12">
        <f>IF(K1210=1,G1210+L1210*(J1210-G1210),"")</f>
      </c>
    </row>
    <row r="1211" spans="2:14" x14ac:dyDescent="0.25">
      <c r="B1211">
        <v>34</v>
      </c>
      <c r="C1211">
        <v>119.99999999999997</v>
      </c>
      <c r="D1211">
        <v>15</v>
      </c>
      <c r="E1211" s="18">
        <v>5835.618951792578</v>
      </c>
      <c r="F1211" s="18">
        <v>3794.0732378980265</v>
      </c>
      <c r="G1211" s="18">
        <v>-2886.360000701312</v>
      </c>
      <c r="H1211" s="12">
        <f>E1212</f>
      </c>
      <c r="I1211" s="12">
        <f>F1212</f>
      </c>
      <c r="J1211" s="12">
        <f>G1212</f>
      </c>
      <c r="K1211">
        <f>IF(AND(Pu&gt;=MIN(E1211,H1211),Pu&lt;=MAX(E1211,H1211),E1211&lt;&gt;H1211),1,0)</f>
      </c>
      <c r="L1211">
        <f>IF(K1211=1,(Pu-E1211)/(H1211-E1211),"")</f>
      </c>
      <c r="M1211" s="12">
        <f>IF(K1211=1,F1211+L1211*(I1211-F1211),"")</f>
      </c>
      <c r="N1211" s="12">
        <f>IF(K1211=1,G1211+L1211*(J1211-G1211),"")</f>
      </c>
    </row>
    <row r="1212" spans="2:14" x14ac:dyDescent="0.25">
      <c r="B1212">
        <v>34</v>
      </c>
      <c r="C1212">
        <v>119.99999999999997</v>
      </c>
      <c r="D1212">
        <v>16</v>
      </c>
      <c r="E1212" s="18">
        <v>5340.802852948378</v>
      </c>
      <c r="F1212" s="18">
        <v>3738.388690606899</v>
      </c>
      <c r="G1212" s="18">
        <v>-2966.3367157767193</v>
      </c>
      <c r="H1212" s="12">
        <f>E1213</f>
      </c>
      <c r="I1212" s="12">
        <f>F1213</f>
      </c>
      <c r="J1212" s="12">
        <f>G1213</f>
      </c>
      <c r="K1212">
        <f>IF(AND(Pu&gt;=MIN(E1212,H1212),Pu&lt;=MAX(E1212,H1212),E1212&lt;&gt;H1212),1,0)</f>
      </c>
      <c r="L1212">
        <f>IF(K1212=1,(Pu-E1212)/(H1212-E1212),"")</f>
      </c>
      <c r="M1212" s="12">
        <f>IF(K1212=1,F1212+L1212*(I1212-F1212),"")</f>
      </c>
      <c r="N1212" s="12">
        <f>IF(K1212=1,G1212+L1212*(J1212-G1212),"")</f>
      </c>
    </row>
    <row r="1213" spans="2:14" x14ac:dyDescent="0.25">
      <c r="B1213">
        <v>34</v>
      </c>
      <c r="C1213">
        <v>119.99999999999997</v>
      </c>
      <c r="D1213">
        <v>17</v>
      </c>
      <c r="E1213" s="18">
        <v>5291.5681968844965</v>
      </c>
      <c r="F1213" s="18">
        <v>3732.142163355285</v>
      </c>
      <c r="G1213" s="18">
        <v>-2973.649412753964</v>
      </c>
      <c r="H1213" s="12">
        <f>E1214</f>
      </c>
      <c r="I1213" s="12">
        <f>F1214</f>
      </c>
      <c r="J1213" s="12">
        <f>G1214</f>
      </c>
      <c r="K1213">
        <f>IF(AND(Pu&gt;=MIN(E1213,H1213),Pu&lt;=MAX(E1213,H1213),E1213&lt;&gt;H1213),1,0)</f>
      </c>
      <c r="L1213">
        <f>IF(K1213=1,(Pu-E1213)/(H1213-E1213),"")</f>
      </c>
      <c r="M1213" s="12">
        <f>IF(K1213=1,F1213+L1213*(I1213-F1213),"")</f>
      </c>
      <c r="N1213" s="12">
        <f>IF(K1213=1,G1213+L1213*(J1213-G1213),"")</f>
      </c>
    </row>
    <row r="1214" spans="2:14" x14ac:dyDescent="0.25">
      <c r="B1214">
        <v>34</v>
      </c>
      <c r="C1214">
        <v>119.99999999999997</v>
      </c>
      <c r="D1214">
        <v>18</v>
      </c>
      <c r="E1214" s="18">
        <v>4914.404803098334</v>
      </c>
      <c r="F1214" s="18">
        <v>3685.579867402675</v>
      </c>
      <c r="G1214" s="18">
        <v>-3026.653486384617</v>
      </c>
      <c r="H1214" s="12">
        <f>E1215</f>
      </c>
      <c r="I1214" s="12">
        <f>F1215</f>
      </c>
      <c r="J1214" s="12">
        <f>G1215</f>
      </c>
      <c r="K1214">
        <f>IF(AND(Pu&gt;=MIN(E1214,H1214),Pu&lt;=MAX(E1214,H1214),E1214&lt;&gt;H1214),1,0)</f>
      </c>
      <c r="L1214">
        <f>IF(K1214=1,(Pu-E1214)/(H1214-E1214),"")</f>
      </c>
      <c r="M1214" s="12">
        <f>IF(K1214=1,F1214+L1214*(I1214-F1214),"")</f>
      </c>
      <c r="N1214" s="12">
        <f>IF(K1214=1,G1214+L1214*(J1214-G1214),"")</f>
      </c>
    </row>
    <row r="1215" spans="2:14" x14ac:dyDescent="0.25">
      <c r="B1215">
        <v>34</v>
      </c>
      <c r="C1215">
        <v>119.99999999999997</v>
      </c>
      <c r="D1215">
        <v>19</v>
      </c>
      <c r="E1215" s="18">
        <v>4678.776680704159</v>
      </c>
      <c r="F1215" s="18">
        <v>3656.7308908689674</v>
      </c>
      <c r="G1215" s="18">
        <v>-3056.354693710963</v>
      </c>
      <c r="H1215" s="12">
        <f>E1216</f>
      </c>
      <c r="I1215" s="12">
        <f>F1216</f>
      </c>
      <c r="J1215" s="12">
        <f>G1216</f>
      </c>
      <c r="K1215">
        <f>IF(AND(Pu&gt;=MIN(E1215,H1215),Pu&lt;=MAX(E1215,H1215),E1215&lt;&gt;H1215),1,0)</f>
      </c>
      <c r="L1215">
        <f>IF(K1215=1,(Pu-E1215)/(H1215-E1215),"")</f>
      </c>
      <c r="M1215" s="12">
        <f>IF(K1215=1,F1215+L1215*(I1215-F1215),"")</f>
      </c>
      <c r="N1215" s="12">
        <f>IF(K1215=1,G1215+L1215*(J1215-G1215),"")</f>
      </c>
    </row>
    <row r="1216" spans="2:14" x14ac:dyDescent="0.25">
      <c r="B1216">
        <v>34</v>
      </c>
      <c r="C1216">
        <v>119.99999999999997</v>
      </c>
      <c r="D1216">
        <v>20</v>
      </c>
      <c r="E1216" s="18">
        <v>4514.10107220696</v>
      </c>
      <c r="F1216" s="18">
        <v>3636.5992311156742</v>
      </c>
      <c r="G1216" s="18">
        <v>-3075.5587008274288</v>
      </c>
      <c r="H1216" s="12">
        <f>E1217</f>
      </c>
      <c r="I1216" s="12">
        <f>F1217</f>
      </c>
      <c r="J1216" s="12">
        <f>G1217</f>
      </c>
      <c r="K1216">
        <f>IF(AND(Pu&gt;=MIN(E1216,H1216),Pu&lt;=MAX(E1216,H1216),E1216&lt;&gt;H1216),1,0)</f>
      </c>
      <c r="L1216">
        <f>IF(K1216=1,(Pu-E1216)/(H1216-E1216),"")</f>
      </c>
      <c r="M1216" s="12">
        <f>IF(K1216=1,F1216+L1216*(I1216-F1216),"")</f>
      </c>
      <c r="N1216" s="12">
        <f>IF(K1216=1,G1216+L1216*(J1216-G1216),"")</f>
      </c>
    </row>
    <row r="1217" spans="2:14" x14ac:dyDescent="0.25">
      <c r="B1217">
        <v>34</v>
      </c>
      <c r="C1217">
        <v>119.99999999999997</v>
      </c>
      <c r="D1217">
        <v>21</v>
      </c>
      <c r="E1217" s="18">
        <v>3940.5372921336634</v>
      </c>
      <c r="F1217" s="18">
        <v>3466.617072068661</v>
      </c>
      <c r="G1217" s="18">
        <v>-3018.8170540382757</v>
      </c>
      <c r="H1217" s="12">
        <f>E1218</f>
      </c>
      <c r="I1217" s="12">
        <f>F1218</f>
      </c>
      <c r="J1217" s="12">
        <f>G1218</f>
      </c>
      <c r="K1217">
        <f>IF(AND(Pu&gt;=MIN(E1217,H1217),Pu&lt;=MAX(E1217,H1217),E1217&lt;&gt;H1217),1,0)</f>
      </c>
      <c r="L1217">
        <f>IF(K1217=1,(Pu-E1217)/(H1217-E1217),"")</f>
      </c>
      <c r="M1217" s="12">
        <f>IF(K1217=1,F1217+L1217*(I1217-F1217),"")</f>
      </c>
      <c r="N1217" s="12">
        <f>IF(K1217=1,G1217+L1217*(J1217-G1217),"")</f>
      </c>
    </row>
    <row r="1218" spans="2:14" x14ac:dyDescent="0.25">
      <c r="B1218">
        <v>34</v>
      </c>
      <c r="C1218">
        <v>119.99999999999997</v>
      </c>
      <c r="D1218">
        <v>22</v>
      </c>
      <c r="E1218" s="18">
        <v>2766.6024874851687</v>
      </c>
      <c r="F1218" s="18">
        <v>3119.750700136904</v>
      </c>
      <c r="G1218" s="18">
        <v>-2788.420761352589</v>
      </c>
      <c r="H1218" s="12">
        <f>E1219</f>
      </c>
      <c r="I1218" s="12">
        <f>F1219</f>
      </c>
      <c r="J1218" s="12">
        <f>G1219</f>
      </c>
      <c r="K1218">
        <f>IF(AND(Pu&gt;=MIN(E1218,H1218),Pu&lt;=MAX(E1218,H1218),E1218&lt;&gt;H1218),1,0)</f>
      </c>
      <c r="L1218">
        <f>IF(K1218=1,(Pu-E1218)/(H1218-E1218),"")</f>
      </c>
      <c r="M1218" s="12">
        <f>IF(K1218=1,F1218+L1218*(I1218-F1218),"")</f>
      </c>
      <c r="N1218" s="12">
        <f>IF(K1218=1,G1218+L1218*(J1218-G1218),"")</f>
      </c>
    </row>
    <row r="1219" spans="2:14" x14ac:dyDescent="0.25">
      <c r="B1219">
        <v>34</v>
      </c>
      <c r="C1219">
        <v>119.99999999999997</v>
      </c>
      <c r="D1219">
        <v>23</v>
      </c>
      <c r="E1219" s="18">
        <v>1829.7799324162504</v>
      </c>
      <c r="F1219" s="18">
        <v>2827.0555561559895</v>
      </c>
      <c r="G1219" s="18">
        <v>-2568.4626102592074</v>
      </c>
      <c r="H1219" s="12">
        <f>E1220</f>
      </c>
      <c r="I1219" s="12">
        <f>F1220</f>
      </c>
      <c r="J1219" s="12">
        <f>G1220</f>
      </c>
      <c r="K1219">
        <f>IF(AND(Pu&gt;=MIN(E1219,H1219),Pu&lt;=MAX(E1219,H1219),E1219&lt;&gt;H1219),1,0)</f>
      </c>
      <c r="L1219">
        <f>IF(K1219=1,(Pu-E1219)/(H1219-E1219),"")</f>
      </c>
      <c r="M1219" s="12">
        <f>IF(K1219=1,F1219+L1219*(I1219-F1219),"")</f>
      </c>
      <c r="N1219" s="12">
        <f>IF(K1219=1,G1219+L1219*(J1219-G1219),"")</f>
      </c>
    </row>
    <row r="1220" spans="2:14" x14ac:dyDescent="0.25">
      <c r="B1220">
        <v>34</v>
      </c>
      <c r="C1220">
        <v>119.99999999999997</v>
      </c>
      <c r="D1220">
        <v>24</v>
      </c>
      <c r="E1220" s="18">
        <v>1105.196101761282</v>
      </c>
      <c r="F1220" s="18">
        <v>2572.139131892274</v>
      </c>
      <c r="G1220" s="18">
        <v>-2389.4489548338297</v>
      </c>
      <c r="H1220" s="12">
        <f>E1221</f>
      </c>
      <c r="I1220" s="12">
        <f>F1221</f>
      </c>
      <c r="J1220" s="12">
        <f>G1221</f>
      </c>
      <c r="K1220">
        <f>IF(AND(Pu&gt;=MIN(E1220,H1220),Pu&lt;=MAX(E1220,H1220),E1220&lt;&gt;H1220),1,0)</f>
      </c>
      <c r="L1220">
        <f>IF(K1220=1,(Pu-E1220)/(H1220-E1220),"")</f>
      </c>
      <c r="M1220" s="12">
        <f>IF(K1220=1,F1220+L1220*(I1220-F1220),"")</f>
      </c>
      <c r="N1220" s="12">
        <f>IF(K1220=1,G1220+L1220*(J1220-G1220),"")</f>
      </c>
    </row>
    <row r="1221" spans="2:14" x14ac:dyDescent="0.25">
      <c r="B1221">
        <v>34</v>
      </c>
      <c r="C1221">
        <v>119.99999999999997</v>
      </c>
      <c r="D1221">
        <v>25</v>
      </c>
      <c r="E1221" s="18">
        <v>-138.74970359877045</v>
      </c>
      <c r="F1221" s="18">
        <v>2116.626391156025</v>
      </c>
      <c r="G1221" s="18">
        <v>-2062.2108856082746</v>
      </c>
      <c r="H1221" s="12">
        <f>E1222</f>
      </c>
      <c r="I1221" s="12">
        <f>F1222</f>
      </c>
      <c r="J1221" s="12">
        <f>G1222</f>
      </c>
      <c r="K1221">
        <f>IF(AND(Pu&gt;=MIN(E1221,H1221),Pu&lt;=MAX(E1221,H1221),E1221&lt;&gt;H1221),1,0)</f>
      </c>
      <c r="L1221">
        <f>IF(K1221=1,(Pu-E1221)/(H1221-E1221),"")</f>
      </c>
      <c r="M1221" s="12">
        <f>IF(K1221=1,F1221+L1221*(I1221-F1221),"")</f>
      </c>
      <c r="N1221" s="12">
        <f>IF(K1221=1,G1221+L1221*(J1221-G1221),"")</f>
      </c>
    </row>
    <row r="1222" spans="2:14" x14ac:dyDescent="0.25">
      <c r="B1222">
        <v>34</v>
      </c>
      <c r="C1222">
        <v>119.99999999999997</v>
      </c>
      <c r="D1222">
        <v>26</v>
      </c>
      <c r="E1222" s="18">
        <v>-1016.0801956652919</v>
      </c>
      <c r="F1222" s="18">
        <v>1760.468971811804</v>
      </c>
      <c r="G1222" s="18">
        <v>-1773.8013881121826</v>
      </c>
      <c r="H1222" s="12">
        <f>E1223</f>
      </c>
      <c r="I1222" s="12">
        <f>F1223</f>
      </c>
      <c r="J1222" s="12">
        <f>G1223</f>
      </c>
      <c r="K1222">
        <f>IF(AND(Pu&gt;=MIN(E1222,H1222),Pu&lt;=MAX(E1222,H1222),E1222&lt;&gt;H1222),1,0)</f>
      </c>
      <c r="L1222">
        <f>IF(K1222=1,(Pu-E1222)/(H1222-E1222),"")</f>
      </c>
      <c r="M1222" s="12">
        <f>IF(K1222=1,F1222+L1222*(I1222-F1222),"")</f>
      </c>
      <c r="N1222" s="12">
        <f>IF(K1222=1,G1222+L1222*(J1222-G1222),"")</f>
      </c>
    </row>
    <row r="1223" spans="2:14" x14ac:dyDescent="0.25">
      <c r="B1223">
        <v>34</v>
      </c>
      <c r="C1223">
        <v>119.99999999999997</v>
      </c>
      <c r="D1223">
        <v>27</v>
      </c>
      <c r="E1223" s="18">
        <v>-1760.955918606662</v>
      </c>
      <c r="F1223" s="18">
        <v>1457.914782830063</v>
      </c>
      <c r="G1223" s="18">
        <v>-1489.4291097478651</v>
      </c>
      <c r="H1223" s="12">
        <f>E1224</f>
      </c>
      <c r="I1223" s="12">
        <f>F1224</f>
      </c>
      <c r="J1223" s="12">
        <f>G1224</f>
      </c>
      <c r="K1223">
        <f>IF(AND(Pu&gt;=MIN(E1223,H1223),Pu&lt;=MAX(E1223,H1223),E1223&lt;&gt;H1223),1,0)</f>
      </c>
      <c r="L1223">
        <f>IF(K1223=1,(Pu-E1223)/(H1223-E1223),"")</f>
      </c>
      <c r="M1223" s="12">
        <f>IF(K1223=1,F1223+L1223*(I1223-F1223),"")</f>
      </c>
      <c r="N1223" s="12">
        <f>IF(K1223=1,G1223+L1223*(J1223-G1223),"")</f>
      </c>
    </row>
    <row r="1224" spans="2:14" x14ac:dyDescent="0.25">
      <c r="B1224">
        <v>34</v>
      </c>
      <c r="C1224">
        <v>119.99999999999997</v>
      </c>
      <c r="D1224">
        <v>28</v>
      </c>
      <c r="E1224" s="18">
        <v>-2318.680655738514</v>
      </c>
      <c r="F1224" s="18">
        <v>1227.2583492852584</v>
      </c>
      <c r="G1224" s="18">
        <v>-1261.4056752876097</v>
      </c>
      <c r="H1224" s="12">
        <f>E1225</f>
      </c>
      <c r="I1224" s="12">
        <f>F1225</f>
      </c>
      <c r="J1224" s="12">
        <f>G1225</f>
      </c>
      <c r="K1224">
        <f>IF(AND(Pu&gt;=MIN(E1224,H1224),Pu&lt;=MAX(E1224,H1224),E1224&lt;&gt;H1224),1,0)</f>
      </c>
      <c r="L1224">
        <f>IF(K1224=1,(Pu-E1224)/(H1224-E1224),"")</f>
      </c>
      <c r="M1224" s="12">
        <f>IF(K1224=1,F1224+L1224*(I1224-F1224),"")</f>
      </c>
      <c r="N1224" s="12">
        <f>IF(K1224=1,G1224+L1224*(J1224-G1224),"")</f>
      </c>
    </row>
    <row r="1225" spans="2:14" x14ac:dyDescent="0.25">
      <c r="B1225">
        <v>34</v>
      </c>
      <c r="C1225">
        <v>119.99999999999997</v>
      </c>
      <c r="D1225">
        <v>29</v>
      </c>
      <c r="E1225" s="18">
        <v>-3034.712182261941</v>
      </c>
      <c r="F1225" s="18">
        <v>901.8234604880942</v>
      </c>
      <c r="G1225" s="18">
        <v>-956.5727243086723</v>
      </c>
      <c r="H1225" s="12">
        <f>E1226</f>
      </c>
      <c r="I1225" s="12">
        <f>F1226</f>
      </c>
      <c r="J1225" s="12">
        <f>G1226</f>
      </c>
      <c r="K1225">
        <f>IF(AND(Pu&gt;=MIN(E1225,H1225),Pu&lt;=MAX(E1225,H1225),E1225&lt;&gt;H1225),1,0)</f>
      </c>
      <c r="L1225">
        <f>IF(K1225=1,(Pu-E1225)/(H1225-E1225),"")</f>
      </c>
      <c r="M1225" s="12">
        <f>IF(K1225=1,F1225+L1225*(I1225-F1225),"")</f>
      </c>
      <c r="N1225" s="12">
        <f>IF(K1225=1,G1225+L1225*(J1225-G1225),"")</f>
      </c>
    </row>
    <row r="1226" spans="2:14" x14ac:dyDescent="0.25">
      <c r="B1226">
        <v>34</v>
      </c>
      <c r="C1226">
        <v>119.99999999999997</v>
      </c>
      <c r="D1226">
        <v>30</v>
      </c>
      <c r="E1226" s="18">
        <v>-3524.9862540718254</v>
      </c>
      <c r="F1226" s="18">
        <v>678.9550682965547</v>
      </c>
      <c r="G1226" s="18">
        <v>-727.4925109588734</v>
      </c>
      <c r="H1226" s="12">
        <f>E1227</f>
      </c>
      <c r="I1226" s="12">
        <f>F1227</f>
      </c>
      <c r="J1226" s="12">
        <f>G1227</f>
      </c>
      <c r="K1226">
        <f>IF(AND(Pu&gt;=MIN(E1226,H1226),Pu&lt;=MAX(E1226,H1226),E1226&lt;&gt;H1226),1,0)</f>
      </c>
      <c r="L1226">
        <f>IF(K1226=1,(Pu-E1226)/(H1226-E1226),"")</f>
      </c>
      <c r="M1226" s="12">
        <f>IF(K1226=1,F1226+L1226*(I1226-F1226),"")</f>
      </c>
      <c r="N1226" s="12">
        <f>IF(K1226=1,G1226+L1226*(J1226-G1226),"")</f>
      </c>
    </row>
    <row r="1227" spans="2:14" x14ac:dyDescent="0.25">
      <c r="B1227">
        <v>34</v>
      </c>
      <c r="C1227">
        <v>119.99999999999997</v>
      </c>
      <c r="D1227">
        <v>31</v>
      </c>
      <c r="E1227" s="18">
        <v>-4165.790534891285</v>
      </c>
      <c r="F1227" s="18">
        <v>393.73076702780946</v>
      </c>
      <c r="G1227" s="18">
        <v>-391.8939143311253</v>
      </c>
      <c r="H1227" s="12">
        <f>E1228</f>
      </c>
      <c r="I1227" s="12">
        <f>F1228</f>
      </c>
      <c r="J1227" s="12">
        <f>G1228</f>
      </c>
      <c r="K1227">
        <f>IF(AND(Pu&gt;=MIN(E1227,H1227),Pu&lt;=MAX(E1227,H1227),E1227&lt;&gt;H1227),1,0)</f>
      </c>
      <c r="L1227">
        <f>IF(K1227=1,(Pu-E1227)/(H1227-E1227),"")</f>
      </c>
      <c r="M1227" s="12">
        <f>IF(K1227=1,F1227+L1227*(I1227-F1227),"")</f>
      </c>
      <c r="N1227" s="12">
        <f>IF(K1227=1,G1227+L1227*(J1227-G1227),"")</f>
      </c>
    </row>
    <row r="1228" spans="2:14" x14ac:dyDescent="0.25">
      <c r="B1228">
        <v>34</v>
      </c>
      <c r="C1228">
        <v>119.99999999999997</v>
      </c>
      <c r="D1228">
        <v>32</v>
      </c>
      <c r="E1228" s="18">
        <v>-4453.366846654076</v>
      </c>
      <c r="F1228" s="18">
        <v>247.8974387110945</v>
      </c>
      <c r="G1228" s="18">
        <v>-249.16938921574402</v>
      </c>
      <c r="H1228" s="12">
        <f>E1229</f>
      </c>
      <c r="I1228" s="12">
        <f>F1229</f>
      </c>
      <c r="J1228" s="12">
        <f>G1229</f>
      </c>
      <c r="K1228">
        <f>IF(AND(Pu&gt;=MIN(E1228,H1228),Pu&lt;=MAX(E1228,H1228),E1228&lt;&gt;H1228),1,0)</f>
      </c>
      <c r="L1228">
        <f>IF(K1228=1,(Pu-E1228)/(H1228-E1228),"")</f>
      </c>
      <c r="M1228" s="12">
        <f>IF(K1228=1,F1228+L1228*(I1228-F1228),"")</f>
      </c>
      <c r="N1228" s="12">
        <f>IF(K1228=1,G1228+L1228*(J1228-G1228),"")</f>
      </c>
    </row>
    <row r="1229" spans="2:14" x14ac:dyDescent="0.25">
      <c r="B1229">
        <v>34</v>
      </c>
      <c r="C1229">
        <v>119.99999999999997</v>
      </c>
      <c r="D1229">
        <v>33</v>
      </c>
      <c r="E1229" s="18">
        <v>-4751.973705170276</v>
      </c>
      <c r="F1229" s="18">
        <v>93.71675642398179</v>
      </c>
      <c r="G1229" s="18">
        <v>-95.73536492958569</v>
      </c>
      <c r="H1229" s="12">
        <f>E1230</f>
      </c>
      <c r="I1229" s="12">
        <f>F1230</f>
      </c>
      <c r="J1229" s="12">
        <f>G1230</f>
      </c>
      <c r="K1229">
        <f>IF(AND(Pu&gt;=MIN(E1229,H1229),Pu&lt;=MAX(E1229,H1229),E1229&lt;&gt;H1229),1,0)</f>
      </c>
      <c r="L1229">
        <f>IF(K1229=1,(Pu-E1229)/(H1229-E1229),"")</f>
      </c>
      <c r="M1229" s="12">
        <f>IF(K1229=1,F1229+L1229*(I1229-F1229),"")</f>
      </c>
      <c r="N1229" s="12">
        <f>IF(K1229=1,G1229+L1229*(J1229-G1229),"")</f>
      </c>
    </row>
    <row r="1230" spans="2:7" x14ac:dyDescent="0.25">
      <c r="B1230">
        <v>34</v>
      </c>
      <c r="C1230">
        <v>119.99999999999997</v>
      </c>
      <c r="D1230">
        <v>34</v>
      </c>
      <c r="E1230" s="18">
        <v>-4824.310821405298</v>
      </c>
      <c r="F1230" s="18">
        <v>54.99797517302214</v>
      </c>
      <c r="G1230" s="18">
        <v>-54.69501404165336</v>
      </c>
    </row>
    <row r="1232" spans="2:14" x14ac:dyDescent="0.25">
      <c r="B1232">
        <v>35</v>
      </c>
      <c r="C1232">
        <v>127.5</v>
      </c>
      <c r="D1232">
        <v>1</v>
      </c>
      <c r="E1232" s="18">
        <v>17240.970911213913</v>
      </c>
      <c r="F1232" s="18">
        <v>1780.5435478726463</v>
      </c>
      <c r="G1232" s="18">
        <v>-2030.3233853825634</v>
      </c>
      <c r="H1232" s="12">
        <f>E1233</f>
      </c>
      <c r="I1232" s="12">
        <f>F1233</f>
      </c>
      <c r="J1232" s="12">
        <f>G1233</f>
      </c>
      <c r="K1232">
        <f>IF(AND(Pu&gt;=MIN(E1232,H1232),Pu&lt;=MAX(E1232,H1232),E1232&lt;&gt;H1232),1,0)</f>
      </c>
      <c r="L1232">
        <f>IF(K1232=1,(Pu-E1232)/(H1232-E1232),"")</f>
      </c>
      <c r="M1232" s="12">
        <f>IF(K1232=1,F1232+L1232*(I1232-F1232),"")</f>
      </c>
      <c r="N1232" s="12">
        <f>IF(K1232=1,G1232+L1232*(J1232-G1232),"")</f>
      </c>
    </row>
    <row r="1233" spans="2:14" x14ac:dyDescent="0.25">
      <c r="B1233">
        <v>35</v>
      </c>
      <c r="C1233">
        <v>127.5</v>
      </c>
      <c r="D1233">
        <v>2</v>
      </c>
      <c r="E1233" s="18">
        <v>16074.851902904878</v>
      </c>
      <c r="F1233" s="18">
        <v>2108.787576729389</v>
      </c>
      <c r="G1233" s="18">
        <v>-2292.597506692548</v>
      </c>
      <c r="H1233" s="12">
        <f>E1234</f>
      </c>
      <c r="I1233" s="12">
        <f>F1234</f>
      </c>
      <c r="J1233" s="12">
        <f>G1234</f>
      </c>
      <c r="K1233">
        <f>IF(AND(Pu&gt;=MIN(E1233,H1233),Pu&lt;=MAX(E1233,H1233),E1233&lt;&gt;H1233),1,0)</f>
      </c>
      <c r="L1233">
        <f>IF(K1233=1,(Pu-E1233)/(H1233-E1233),"")</f>
      </c>
      <c r="M1233" s="12">
        <f>IF(K1233=1,F1233+L1233*(I1233-F1233),"")</f>
      </c>
      <c r="N1233" s="12">
        <f>IF(K1233=1,G1233+L1233*(J1233-G1233),"")</f>
      </c>
    </row>
    <row r="1234" spans="2:14" x14ac:dyDescent="0.25">
      <c r="B1234">
        <v>35</v>
      </c>
      <c r="C1234">
        <v>127.5</v>
      </c>
      <c r="D1234">
        <v>3</v>
      </c>
      <c r="E1234" s="18">
        <v>13712.088993565589</v>
      </c>
      <c r="F1234" s="18">
        <v>2670.1717725744247</v>
      </c>
      <c r="G1234" s="18">
        <v>-2599.1519431033744</v>
      </c>
      <c r="H1234" s="12">
        <f>E1235</f>
      </c>
      <c r="I1234" s="12">
        <f>F1235</f>
      </c>
      <c r="J1234" s="12">
        <f>G1235</f>
      </c>
      <c r="K1234">
        <f>IF(AND(Pu&gt;=MIN(E1234,H1234),Pu&lt;=MAX(E1234,H1234),E1234&lt;&gt;H1234),1,0)</f>
      </c>
      <c r="L1234">
        <f>IF(K1234=1,(Pu-E1234)/(H1234-E1234),"")</f>
      </c>
      <c r="M1234" s="12">
        <f>IF(K1234=1,F1234+L1234*(I1234-F1234),"")</f>
      </c>
      <c r="N1234" s="12">
        <f>IF(K1234=1,G1234+L1234*(J1234-G1234),"")</f>
      </c>
    </row>
    <row r="1235" spans="2:14" x14ac:dyDescent="0.25">
      <c r="B1235">
        <v>35</v>
      </c>
      <c r="C1235">
        <v>127.5</v>
      </c>
      <c r="D1235">
        <v>4</v>
      </c>
      <c r="E1235" s="18">
        <v>11670.087284860623</v>
      </c>
      <c r="F1235" s="18">
        <v>3022.0299518652264</v>
      </c>
      <c r="G1235" s="18">
        <v>-2730.69252122603</v>
      </c>
      <c r="H1235" s="12">
        <f>E1236</f>
      </c>
      <c r="I1235" s="12">
        <f>F1236</f>
      </c>
      <c r="J1235" s="12">
        <f>G1236</f>
      </c>
      <c r="K1235">
        <f>IF(AND(Pu&gt;=MIN(E1235,H1235),Pu&lt;=MAX(E1235,H1235),E1235&lt;&gt;H1235),1,0)</f>
      </c>
      <c r="L1235">
        <f>IF(K1235=1,(Pu-E1235)/(H1235-E1235),"")</f>
      </c>
      <c r="M1235" s="12">
        <f>IF(K1235=1,F1235+L1235*(I1235-F1235),"")</f>
      </c>
      <c r="N1235" s="12">
        <f>IF(K1235=1,G1235+L1235*(J1235-G1235),"")</f>
      </c>
    </row>
    <row r="1236" spans="2:14" x14ac:dyDescent="0.25">
      <c r="B1236">
        <v>35</v>
      </c>
      <c r="C1236">
        <v>127.5</v>
      </c>
      <c r="D1236">
        <v>5</v>
      </c>
      <c r="E1236" s="18">
        <v>10102.952490165482</v>
      </c>
      <c r="F1236" s="18">
        <v>3168.6035930765424</v>
      </c>
      <c r="G1236" s="18">
        <v>-2843.8623134216577</v>
      </c>
      <c r="H1236" s="12">
        <f>E1237</f>
      </c>
      <c r="I1236" s="12">
        <f>F1237</f>
      </c>
      <c r="J1236" s="12">
        <f>G1237</f>
      </c>
      <c r="K1236">
        <f>IF(AND(Pu&gt;=MIN(E1236,H1236),Pu&lt;=MAX(E1236,H1236),E1236&lt;&gt;H1236),1,0)</f>
      </c>
      <c r="L1236">
        <f>IF(K1236=1,(Pu-E1236)/(H1236-E1236),"")</f>
      </c>
      <c r="M1236" s="12">
        <f>IF(K1236=1,F1236+L1236*(I1236-F1236),"")</f>
      </c>
      <c r="N1236" s="12">
        <f>IF(K1236=1,G1236+L1236*(J1236-G1236),"")</f>
      </c>
    </row>
    <row r="1237" spans="2:14" x14ac:dyDescent="0.25">
      <c r="B1237">
        <v>35</v>
      </c>
      <c r="C1237">
        <v>127.5</v>
      </c>
      <c r="D1237">
        <v>6</v>
      </c>
      <c r="E1237" s="18">
        <v>8725.048820077162</v>
      </c>
      <c r="F1237" s="18">
        <v>3224.100981847969</v>
      </c>
      <c r="G1237" s="18">
        <v>-2936.438934307374</v>
      </c>
      <c r="H1237" s="12">
        <f>E1238</f>
      </c>
      <c r="I1237" s="12">
        <f>F1238</f>
      </c>
      <c r="J1237" s="12">
        <f>G1238</f>
      </c>
      <c r="K1237">
        <f>IF(AND(Pu&gt;=MIN(E1237,H1237),Pu&lt;=MAX(E1237,H1237),E1237&lt;&gt;H1237),1,0)</f>
      </c>
      <c r="L1237">
        <f>IF(K1237=1,(Pu-E1237)/(H1237-E1237),"")</f>
      </c>
      <c r="M1237" s="12">
        <f>IF(K1237=1,F1237+L1237*(I1237-F1237),"")</f>
      </c>
      <c r="N1237" s="12">
        <f>IF(K1237=1,G1237+L1237*(J1237-G1237),"")</f>
      </c>
    </row>
    <row r="1238" spans="2:14" x14ac:dyDescent="0.25">
      <c r="B1238">
        <v>35</v>
      </c>
      <c r="C1238">
        <v>127.5</v>
      </c>
      <c r="D1238">
        <v>7</v>
      </c>
      <c r="E1238" s="18">
        <v>8651.512731717816</v>
      </c>
      <c r="F1238" s="18">
        <v>3224.9287974791773</v>
      </c>
      <c r="G1238" s="18">
        <v>-2941.6681424533144</v>
      </c>
      <c r="H1238" s="12">
        <f>E1239</f>
      </c>
      <c r="I1238" s="12">
        <f>F1239</f>
      </c>
      <c r="J1238" s="12">
        <f>G1239</f>
      </c>
      <c r="K1238">
        <f>IF(AND(Pu&gt;=MIN(E1238,H1238),Pu&lt;=MAX(E1238,H1238),E1238&lt;&gt;H1238),1,0)</f>
      </c>
      <c r="L1238">
        <f>IF(K1238=1,(Pu-E1238)/(H1238-E1238),"")</f>
      </c>
      <c r="M1238" s="12">
        <f>IF(K1238=1,F1238+L1238*(I1238-F1238),"")</f>
      </c>
      <c r="N1238" s="12">
        <f>IF(K1238=1,G1238+L1238*(J1238-G1238),"")</f>
      </c>
    </row>
    <row r="1239" spans="2:14" x14ac:dyDescent="0.25">
      <c r="B1239">
        <v>35</v>
      </c>
      <c r="C1239">
        <v>127.5</v>
      </c>
      <c r="D1239">
        <v>8</v>
      </c>
      <c r="E1239" s="18">
        <v>7946.944829767796</v>
      </c>
      <c r="F1239" s="18">
        <v>3307.736763891845</v>
      </c>
      <c r="G1239" s="18">
        <v>-3094.089388964821</v>
      </c>
      <c r="H1239" s="12">
        <f>E1240</f>
      </c>
      <c r="I1239" s="12">
        <f>F1240</f>
      </c>
      <c r="J1239" s="12">
        <f>G1240</f>
      </c>
      <c r="K1239">
        <f>IF(AND(Pu&gt;=MIN(E1239,H1239),Pu&lt;=MAX(E1239,H1239),E1239&lt;&gt;H1239),1,0)</f>
      </c>
      <c r="L1239">
        <f>IF(K1239=1,(Pu-E1239)/(H1239-E1239),"")</f>
      </c>
      <c r="M1239" s="12">
        <f>IF(K1239=1,F1239+L1239*(I1239-F1239),"")</f>
      </c>
      <c r="N1239" s="12">
        <f>IF(K1239=1,G1239+L1239*(J1239-G1239),"")</f>
      </c>
    </row>
    <row r="1240" spans="2:14" x14ac:dyDescent="0.25">
      <c r="B1240">
        <v>35</v>
      </c>
      <c r="C1240">
        <v>127.5</v>
      </c>
      <c r="D1240">
        <v>9</v>
      </c>
      <c r="E1240" s="18">
        <v>7840.886826764488</v>
      </c>
      <c r="F1240" s="18">
        <v>3316.8301749262496</v>
      </c>
      <c r="G1240" s="18">
        <v>-3114.8945182794814</v>
      </c>
      <c r="H1240" s="12">
        <f>E1241</f>
      </c>
      <c r="I1240" s="12">
        <f>F1241</f>
      </c>
      <c r="J1240" s="12">
        <f>G1241</f>
      </c>
      <c r="K1240">
        <f>IF(AND(Pu&gt;=MIN(E1240,H1240),Pu&lt;=MAX(E1240,H1240),E1240&lt;&gt;H1240),1,0)</f>
      </c>
      <c r="L1240">
        <f>IF(K1240=1,(Pu-E1240)/(H1240-E1240),"")</f>
      </c>
      <c r="M1240" s="12">
        <f>IF(K1240=1,F1240+L1240*(I1240-F1240),"")</f>
      </c>
      <c r="N1240" s="12">
        <f>IF(K1240=1,G1240+L1240*(J1240-G1240),"")</f>
      </c>
    </row>
    <row r="1241" spans="2:14" x14ac:dyDescent="0.25">
      <c r="B1241">
        <v>35</v>
      </c>
      <c r="C1241">
        <v>127.5</v>
      </c>
      <c r="D1241">
        <v>10</v>
      </c>
      <c r="E1241" s="18">
        <v>7217.847579819414</v>
      </c>
      <c r="F1241" s="18">
        <v>3336.1402498864554</v>
      </c>
      <c r="G1241" s="18">
        <v>-3227.2822096199247</v>
      </c>
      <c r="H1241" s="12">
        <f>E1242</f>
      </c>
      <c r="I1241" s="12">
        <f>F1242</f>
      </c>
      <c r="J1241" s="12">
        <f>G1242</f>
      </c>
      <c r="K1241">
        <f>IF(AND(Pu&gt;=MIN(E1241,H1241),Pu&lt;=MAX(E1241,H1241),E1241&lt;&gt;H1241),1,0)</f>
      </c>
      <c r="L1241">
        <f>IF(K1241=1,(Pu-E1241)/(H1241-E1241),"")</f>
      </c>
      <c r="M1241" s="12">
        <f>IF(K1241=1,F1241+L1241*(I1241-F1241),"")</f>
      </c>
      <c r="N1241" s="12">
        <f>IF(K1241=1,G1241+L1241*(J1241-G1241),"")</f>
      </c>
    </row>
    <row r="1242" spans="2:14" x14ac:dyDescent="0.25">
      <c r="B1242">
        <v>35</v>
      </c>
      <c r="C1242">
        <v>127.5</v>
      </c>
      <c r="D1242">
        <v>11</v>
      </c>
      <c r="E1242" s="18">
        <v>7014.954482798881</v>
      </c>
      <c r="F1242" s="18">
        <v>3335.722666062638</v>
      </c>
      <c r="G1242" s="18">
        <v>-3264.496663857234</v>
      </c>
      <c r="H1242" s="12">
        <f>E1243</f>
      </c>
      <c r="I1242" s="12">
        <f>F1243</f>
      </c>
      <c r="J1242" s="12">
        <f>G1243</f>
      </c>
      <c r="K1242">
        <f>IF(AND(Pu&gt;=MIN(E1242,H1242),Pu&lt;=MAX(E1242,H1242),E1242&lt;&gt;H1242),1,0)</f>
      </c>
      <c r="L1242">
        <f>IF(K1242=1,(Pu-E1242)/(H1242-E1242),"")</f>
      </c>
      <c r="M1242" s="12">
        <f>IF(K1242=1,F1242+L1242*(I1242-F1242),"")</f>
      </c>
      <c r="N1242" s="12">
        <f>IF(K1242=1,G1242+L1242*(J1242-G1242),"")</f>
      </c>
    </row>
    <row r="1243" spans="2:14" x14ac:dyDescent="0.25">
      <c r="B1243">
        <v>35</v>
      </c>
      <c r="C1243">
        <v>127.5</v>
      </c>
      <c r="D1243">
        <v>12</v>
      </c>
      <c r="E1243" s="18">
        <v>6539.746528573216</v>
      </c>
      <c r="F1243" s="18">
        <v>3326.0238832072278</v>
      </c>
      <c r="G1243" s="18">
        <v>-3328.941610262977</v>
      </c>
      <c r="H1243" s="12">
        <f>E1244</f>
      </c>
      <c r="I1243" s="12">
        <f>F1244</f>
      </c>
      <c r="J1243" s="12">
        <f>G1244</f>
      </c>
      <c r="K1243">
        <f>IF(AND(Pu&gt;=MIN(E1243,H1243),Pu&lt;=MAX(E1243,H1243),E1243&lt;&gt;H1243),1,0)</f>
      </c>
      <c r="L1243">
        <f>IF(K1243=1,(Pu-E1243)/(H1243-E1243),"")</f>
      </c>
      <c r="M1243" s="12">
        <f>IF(K1243=1,F1243+L1243*(I1243-F1243),"")</f>
      </c>
      <c r="N1243" s="12">
        <f>IF(K1243=1,G1243+L1243*(J1243-G1243),"")</f>
      </c>
    </row>
    <row r="1244" spans="2:14" x14ac:dyDescent="0.25">
      <c r="B1244">
        <v>35</v>
      </c>
      <c r="C1244">
        <v>127.5</v>
      </c>
      <c r="D1244">
        <v>13</v>
      </c>
      <c r="E1244" s="18">
        <v>6182.620534339377</v>
      </c>
      <c r="F1244" s="18">
        <v>3312.712269179462</v>
      </c>
      <c r="G1244" s="18">
        <v>-3375.4416966343842</v>
      </c>
      <c r="H1244" s="12">
        <f>E1245</f>
      </c>
      <c r="I1244" s="12">
        <f>F1245</f>
      </c>
      <c r="J1244" s="12">
        <f>G1245</f>
      </c>
      <c r="K1244">
        <f>IF(AND(Pu&gt;=MIN(E1244,H1244),Pu&lt;=MAX(E1244,H1244),E1244&lt;&gt;H1244),1,0)</f>
      </c>
      <c r="L1244">
        <f>IF(K1244=1,(Pu-E1244)/(H1244-E1244),"")</f>
      </c>
      <c r="M1244" s="12">
        <f>IF(K1244=1,F1244+L1244*(I1244-F1244),"")</f>
      </c>
      <c r="N1244" s="12">
        <f>IF(K1244=1,G1244+L1244*(J1244-G1244),"")</f>
      </c>
    </row>
    <row r="1245" spans="2:14" x14ac:dyDescent="0.25">
      <c r="B1245">
        <v>35</v>
      </c>
      <c r="C1245">
        <v>127.5</v>
      </c>
      <c r="D1245">
        <v>14</v>
      </c>
      <c r="E1245" s="18">
        <v>5925.855331761587</v>
      </c>
      <c r="F1245" s="18">
        <v>3304.1807100443457</v>
      </c>
      <c r="G1245" s="18">
        <v>-3407.090813267684</v>
      </c>
      <c r="H1245" s="12">
        <f>E1246</f>
      </c>
      <c r="I1245" s="12">
        <f>F1246</f>
      </c>
      <c r="J1245" s="12">
        <f>G1246</f>
      </c>
      <c r="K1245">
        <f>IF(AND(Pu&gt;=MIN(E1245,H1245),Pu&lt;=MAX(E1245,H1245),E1245&lt;&gt;H1245),1,0)</f>
      </c>
      <c r="L1245">
        <f>IF(K1245=1,(Pu-E1245)/(H1245-E1245),"")</f>
      </c>
      <c r="M1245" s="12">
        <f>IF(K1245=1,F1245+L1245*(I1245-F1245),"")</f>
      </c>
      <c r="N1245" s="12">
        <f>IF(K1245=1,G1245+L1245*(J1245-G1245),"")</f>
      </c>
    </row>
    <row r="1246" spans="2:14" x14ac:dyDescent="0.25">
      <c r="B1246">
        <v>35</v>
      </c>
      <c r="C1246">
        <v>127.5</v>
      </c>
      <c r="D1246">
        <v>15</v>
      </c>
      <c r="E1246" s="18">
        <v>5406.98315921175</v>
      </c>
      <c r="F1246" s="18">
        <v>3285.9428084997903</v>
      </c>
      <c r="G1246" s="18">
        <v>-3451.416781751432</v>
      </c>
      <c r="H1246" s="12">
        <f>E1247</f>
      </c>
      <c r="I1246" s="12">
        <f>F1247</f>
      </c>
      <c r="J1246" s="12">
        <f>G1247</f>
      </c>
      <c r="K1246">
        <f>IF(AND(Pu&gt;=MIN(E1246,H1246),Pu&lt;=MAX(E1246,H1246),E1246&lt;&gt;H1246),1,0)</f>
      </c>
      <c r="L1246">
        <f>IF(K1246=1,(Pu-E1246)/(H1246-E1246),"")</f>
      </c>
      <c r="M1246" s="12">
        <f>IF(K1246=1,F1246+L1246*(I1246-F1246),"")</f>
      </c>
      <c r="N1246" s="12">
        <f>IF(K1246=1,G1246+L1246*(J1246-G1246),"")</f>
      </c>
    </row>
    <row r="1247" spans="2:14" x14ac:dyDescent="0.25">
      <c r="B1247">
        <v>35</v>
      </c>
      <c r="C1247">
        <v>127.5</v>
      </c>
      <c r="D1247">
        <v>16</v>
      </c>
      <c r="E1247" s="18">
        <v>4949.052247029327</v>
      </c>
      <c r="F1247" s="18">
        <v>3258.3282482877294</v>
      </c>
      <c r="G1247" s="18">
        <v>-3487.2291846858902</v>
      </c>
      <c r="H1247" s="12">
        <f>E1248</f>
      </c>
      <c r="I1247" s="12">
        <f>F1248</f>
      </c>
      <c r="J1247" s="12">
        <f>G1248</f>
      </c>
      <c r="K1247">
        <f>IF(AND(Pu&gt;=MIN(E1247,H1247),Pu&lt;=MAX(E1247,H1247),E1247&lt;&gt;H1247),1,0)</f>
      </c>
      <c r="L1247">
        <f>IF(K1247=1,(Pu-E1247)/(H1247-E1247),"")</f>
      </c>
      <c r="M1247" s="12">
        <f>IF(K1247=1,F1247+L1247*(I1247-F1247),"")</f>
      </c>
      <c r="N1247" s="12">
        <f>IF(K1247=1,G1247+L1247*(J1247-G1247),"")</f>
      </c>
    </row>
    <row r="1248" spans="2:14" x14ac:dyDescent="0.25">
      <c r="B1248">
        <v>35</v>
      </c>
      <c r="C1248">
        <v>127.5</v>
      </c>
      <c r="D1248">
        <v>17</v>
      </c>
      <c r="E1248" s="18">
        <v>4947.162039955549</v>
      </c>
      <c r="F1248" s="18">
        <v>3258.2223143825454</v>
      </c>
      <c r="G1248" s="18">
        <v>-3487.366714136932</v>
      </c>
      <c r="H1248" s="12">
        <f>E1249</f>
      </c>
      <c r="I1248" s="12">
        <f>F1249</f>
      </c>
      <c r="J1248" s="12">
        <f>G1249</f>
      </c>
      <c r="K1248">
        <f>IF(AND(Pu&gt;=MIN(E1248,H1248),Pu&lt;=MAX(E1248,H1248),E1248&lt;&gt;H1248),1,0)</f>
      </c>
      <c r="L1248">
        <f>IF(K1248=1,(Pu-E1248)/(H1248-E1248),"")</f>
      </c>
      <c r="M1248" s="12">
        <f>IF(K1248=1,F1248+L1248*(I1248-F1248),"")</f>
      </c>
      <c r="N1248" s="12">
        <f>IF(K1248=1,G1248+L1248*(J1248-G1248),"")</f>
      </c>
    </row>
    <row r="1249" spans="2:14" x14ac:dyDescent="0.25">
      <c r="B1249">
        <v>35</v>
      </c>
      <c r="C1249">
        <v>127.5</v>
      </c>
      <c r="D1249">
        <v>18</v>
      </c>
      <c r="E1249" s="18">
        <v>4538.583215755162</v>
      </c>
      <c r="F1249" s="18">
        <v>3244.823312497523</v>
      </c>
      <c r="G1249" s="18">
        <v>-3513.3716640488947</v>
      </c>
      <c r="H1249" s="12">
        <f>E1250</f>
      </c>
      <c r="I1249" s="12">
        <f>F1250</f>
      </c>
      <c r="J1249" s="12">
        <f>G1250</f>
      </c>
      <c r="K1249">
        <f>IF(AND(Pu&gt;=MIN(E1249,H1249),Pu&lt;=MAX(E1249,H1249),E1249&lt;&gt;H1249),1,0)</f>
      </c>
      <c r="L1249">
        <f>IF(K1249=1,(Pu-E1249)/(H1249-E1249),"")</f>
      </c>
      <c r="M1249" s="12">
        <f>IF(K1249=1,F1249+L1249*(I1249-F1249),"")</f>
      </c>
      <c r="N1249" s="12">
        <f>IF(K1249=1,G1249+L1249*(J1249-G1249),"")</f>
      </c>
    </row>
    <row r="1250" spans="2:14" x14ac:dyDescent="0.25">
      <c r="B1250">
        <v>35</v>
      </c>
      <c r="C1250">
        <v>127.5</v>
      </c>
      <c r="D1250">
        <v>19</v>
      </c>
      <c r="E1250" s="18">
        <v>4383.112375444733</v>
      </c>
      <c r="F1250" s="18">
        <v>3233.1873160091213</v>
      </c>
      <c r="G1250" s="18">
        <v>-3520.728981301948</v>
      </c>
      <c r="H1250" s="12">
        <f>E1251</f>
      </c>
      <c r="I1250" s="12">
        <f>F1251</f>
      </c>
      <c r="J1250" s="12">
        <f>G1251</f>
      </c>
      <c r="K1250">
        <f>IF(AND(Pu&gt;=MIN(E1250,H1250),Pu&lt;=MAX(E1250,H1250),E1250&lt;&gt;H1250),1,0)</f>
      </c>
      <c r="L1250">
        <f>IF(K1250=1,(Pu-E1250)/(H1250-E1250),"")</f>
      </c>
      <c r="M1250" s="12">
        <f>IF(K1250=1,F1250+L1250*(I1250-F1250),"")</f>
      </c>
      <c r="N1250" s="12">
        <f>IF(K1250=1,G1250+L1250*(J1250-G1250),"")</f>
      </c>
    </row>
    <row r="1251" spans="2:14" x14ac:dyDescent="0.25">
      <c r="B1251">
        <v>35</v>
      </c>
      <c r="C1251">
        <v>127.5</v>
      </c>
      <c r="D1251">
        <v>20</v>
      </c>
      <c r="E1251" s="18">
        <v>4222.55919839939</v>
      </c>
      <c r="F1251" s="18">
        <v>3218.5347080094293</v>
      </c>
      <c r="G1251" s="18">
        <v>-3539.8630594330984</v>
      </c>
      <c r="H1251" s="12">
        <f>E1252</f>
      </c>
      <c r="I1251" s="12">
        <f>F1252</f>
      </c>
      <c r="J1251" s="12">
        <f>G1252</f>
      </c>
      <c r="K1251">
        <f>IF(AND(Pu&gt;=MIN(E1251,H1251),Pu&lt;=MAX(E1251,H1251),E1251&lt;&gt;H1251),1,0)</f>
      </c>
      <c r="L1251">
        <f>IF(K1251=1,(Pu-E1251)/(H1251-E1251),"")</f>
      </c>
      <c r="M1251" s="12">
        <f>IF(K1251=1,F1251+L1251*(I1251-F1251),"")</f>
      </c>
      <c r="N1251" s="12">
        <f>IF(K1251=1,G1251+L1251*(J1251-G1251),"")</f>
      </c>
    </row>
    <row r="1252" spans="2:14" x14ac:dyDescent="0.25">
      <c r="B1252">
        <v>35</v>
      </c>
      <c r="C1252">
        <v>127.5</v>
      </c>
      <c r="D1252">
        <v>21</v>
      </c>
      <c r="E1252" s="18">
        <v>3783.228509361673</v>
      </c>
      <c r="F1252" s="18">
        <v>3101.700816027854</v>
      </c>
      <c r="G1252" s="18">
        <v>-3446.0045177007773</v>
      </c>
      <c r="H1252" s="12">
        <f>E1253</f>
      </c>
      <c r="I1252" s="12">
        <f>F1253</f>
      </c>
      <c r="J1252" s="12">
        <f>G1253</f>
      </c>
      <c r="K1252">
        <f>IF(AND(Pu&gt;=MIN(E1252,H1252),Pu&lt;=MAX(E1252,H1252),E1252&lt;&gt;H1252),1,0)</f>
      </c>
      <c r="L1252">
        <f>IF(K1252=1,(Pu-E1252)/(H1252-E1252),"")</f>
      </c>
      <c r="M1252" s="12">
        <f>IF(K1252=1,F1252+L1252*(I1252-F1252),"")</f>
      </c>
      <c r="N1252" s="12">
        <f>IF(K1252=1,G1252+L1252*(J1252-G1252),"")</f>
      </c>
    </row>
    <row r="1253" spans="2:14" x14ac:dyDescent="0.25">
      <c r="B1253">
        <v>35</v>
      </c>
      <c r="C1253">
        <v>127.5</v>
      </c>
      <c r="D1253">
        <v>22</v>
      </c>
      <c r="E1253" s="18">
        <v>2682.675450158798</v>
      </c>
      <c r="F1253" s="18">
        <v>2800.9458532333288</v>
      </c>
      <c r="G1253" s="18">
        <v>-3180.015134658396</v>
      </c>
      <c r="H1253" s="12">
        <f>E1254</f>
      </c>
      <c r="I1253" s="12">
        <f>F1254</f>
      </c>
      <c r="J1253" s="12">
        <f>G1254</f>
      </c>
      <c r="K1253">
        <f>IF(AND(Pu&gt;=MIN(E1253,H1253),Pu&lt;=MAX(E1253,H1253),E1253&lt;&gt;H1253),1,0)</f>
      </c>
      <c r="L1253">
        <f>IF(K1253=1,(Pu-E1253)/(H1253-E1253),"")</f>
      </c>
      <c r="M1253" s="12">
        <f>IF(K1253=1,F1253+L1253*(I1253-F1253),"")</f>
      </c>
      <c r="N1253" s="12">
        <f>IF(K1253=1,G1253+L1253*(J1253-G1253),"")</f>
      </c>
    </row>
    <row r="1254" spans="2:14" x14ac:dyDescent="0.25">
      <c r="B1254">
        <v>35</v>
      </c>
      <c r="C1254">
        <v>127.5</v>
      </c>
      <c r="D1254">
        <v>23</v>
      </c>
      <c r="E1254" s="18">
        <v>1805.7444834750586</v>
      </c>
      <c r="F1254" s="18">
        <v>2559.643233563963</v>
      </c>
      <c r="G1254" s="18">
        <v>-2937.6343695927967</v>
      </c>
      <c r="H1254" s="12">
        <f>E1255</f>
      </c>
      <c r="I1254" s="12">
        <f>F1255</f>
      </c>
      <c r="J1254" s="12">
        <f>G1255</f>
      </c>
      <c r="K1254">
        <f>IF(AND(Pu&gt;=MIN(E1254,H1254),Pu&lt;=MAX(E1254,H1254),E1254&lt;&gt;H1254),1,0)</f>
      </c>
      <c r="L1254">
        <f>IF(K1254=1,(Pu-E1254)/(H1254-E1254),"")</f>
      </c>
      <c r="M1254" s="12">
        <f>IF(K1254=1,F1254+L1254*(I1254-F1254),"")</f>
      </c>
      <c r="N1254" s="12">
        <f>IF(K1254=1,G1254+L1254*(J1254-G1254),"")</f>
      </c>
    </row>
    <row r="1255" spans="2:14" x14ac:dyDescent="0.25">
      <c r="B1255">
        <v>35</v>
      </c>
      <c r="C1255">
        <v>127.5</v>
      </c>
      <c r="D1255">
        <v>24</v>
      </c>
      <c r="E1255" s="18">
        <v>1041.8468397774911</v>
      </c>
      <c r="F1255" s="18">
        <v>2342.9729542617292</v>
      </c>
      <c r="G1255" s="18">
        <v>-2718.128003037198</v>
      </c>
      <c r="H1255" s="12">
        <f>E1256</f>
      </c>
      <c r="I1255" s="12">
        <f>F1256</f>
      </c>
      <c r="J1255" s="12">
        <f>G1256</f>
      </c>
      <c r="K1255">
        <f>IF(AND(Pu&gt;=MIN(E1255,H1255),Pu&lt;=MAX(E1255,H1255),E1255&lt;&gt;H1255),1,0)</f>
      </c>
      <c r="L1255">
        <f>IF(K1255=1,(Pu-E1255)/(H1255-E1255),"")</f>
      </c>
      <c r="M1255" s="12">
        <f>IF(K1255=1,F1255+L1255*(I1255-F1255),"")</f>
      </c>
      <c r="N1255" s="12">
        <f>IF(K1255=1,G1255+L1255*(J1255-G1255),"")</f>
      </c>
    </row>
    <row r="1256" spans="2:14" x14ac:dyDescent="0.25">
      <c r="B1256">
        <v>35</v>
      </c>
      <c r="C1256">
        <v>127.5</v>
      </c>
      <c r="D1256">
        <v>25</v>
      </c>
      <c r="E1256" s="18">
        <v>-73.80265027541007</v>
      </c>
      <c r="F1256" s="18">
        <v>1971.1986116317685</v>
      </c>
      <c r="G1256" s="18">
        <v>-2342.418903218023</v>
      </c>
      <c r="H1256" s="12">
        <f>E1257</f>
      </c>
      <c r="I1256" s="12">
        <f>F1257</f>
      </c>
      <c r="J1256" s="12">
        <f>G1257</f>
      </c>
      <c r="K1256">
        <f>IF(AND(Pu&gt;=MIN(E1256,H1256),Pu&lt;=MAX(E1256,H1256),E1256&lt;&gt;H1256),1,0)</f>
      </c>
      <c r="L1256">
        <f>IF(K1256=1,(Pu-E1256)/(H1256-E1256),"")</f>
      </c>
      <c r="M1256" s="12">
        <f>IF(K1256=1,F1256+L1256*(I1256-F1256),"")</f>
      </c>
      <c r="N1256" s="12">
        <f>IF(K1256=1,G1256+L1256*(J1256-G1256),"")</f>
      </c>
    </row>
    <row r="1257" spans="2:14" x14ac:dyDescent="0.25">
      <c r="B1257">
        <v>35</v>
      </c>
      <c r="C1257">
        <v>127.5</v>
      </c>
      <c r="D1257">
        <v>26</v>
      </c>
      <c r="E1257" s="18">
        <v>-926.4325517546446</v>
      </c>
      <c r="F1257" s="18">
        <v>1686.5587795017516</v>
      </c>
      <c r="G1257" s="18">
        <v>-1998.87474541935</v>
      </c>
      <c r="H1257" s="12">
        <f>E1258</f>
      </c>
      <c r="I1257" s="12">
        <f>F1258</f>
      </c>
      <c r="J1257" s="12">
        <f>G1258</f>
      </c>
      <c r="K1257">
        <f>IF(AND(Pu&gt;=MIN(E1257,H1257),Pu&lt;=MAX(E1257,H1257),E1257&lt;&gt;H1257),1,0)</f>
      </c>
      <c r="L1257">
        <f>IF(K1257=1,(Pu-E1257)/(H1257-E1257),"")</f>
      </c>
      <c r="M1257" s="12">
        <f>IF(K1257=1,F1257+L1257*(I1257-F1257),"")</f>
      </c>
      <c r="N1257" s="12">
        <f>IF(K1257=1,G1257+L1257*(J1257-G1257),"")</f>
      </c>
    </row>
    <row r="1258" spans="2:14" x14ac:dyDescent="0.25">
      <c r="B1258">
        <v>35</v>
      </c>
      <c r="C1258">
        <v>127.5</v>
      </c>
      <c r="D1258">
        <v>27</v>
      </c>
      <c r="E1258" s="18">
        <v>-1607.8201116735256</v>
      </c>
      <c r="F1258" s="18">
        <v>1421.48551731251</v>
      </c>
      <c r="G1258" s="18">
        <v>-1713.947767279237</v>
      </c>
      <c r="H1258" s="12">
        <f>E1259</f>
      </c>
      <c r="I1258" s="12">
        <f>F1259</f>
      </c>
      <c r="J1258" s="12">
        <f>G1259</f>
      </c>
      <c r="K1258">
        <f>IF(AND(Pu&gt;=MIN(E1258,H1258),Pu&lt;=MAX(E1258,H1258),E1258&lt;&gt;H1258),1,0)</f>
      </c>
      <c r="L1258">
        <f>IF(K1258=1,(Pu-E1258)/(H1258-E1258),"")</f>
      </c>
      <c r="M1258" s="12">
        <f>IF(K1258=1,F1258+L1258*(I1258-F1258),"")</f>
      </c>
      <c r="N1258" s="12">
        <f>IF(K1258=1,G1258+L1258*(J1258-G1258),"")</f>
      </c>
    </row>
    <row r="1259" spans="2:14" x14ac:dyDescent="0.25">
      <c r="B1259">
        <v>35</v>
      </c>
      <c r="C1259">
        <v>127.5</v>
      </c>
      <c r="D1259">
        <v>28</v>
      </c>
      <c r="E1259" s="18">
        <v>-2149.6144090501</v>
      </c>
      <c r="F1259" s="18">
        <v>1211.4664843465653</v>
      </c>
      <c r="G1259" s="18">
        <v>-1468.2636278113325</v>
      </c>
      <c r="H1259" s="12">
        <f>E1260</f>
      </c>
      <c r="I1259" s="12">
        <f>F1260</f>
      </c>
      <c r="J1259" s="12">
        <f>G1260</f>
      </c>
      <c r="K1259">
        <f>IF(AND(Pu&gt;=MIN(E1259,H1259),Pu&lt;=MAX(E1259,H1259),E1259&lt;&gt;H1259),1,0)</f>
      </c>
      <c r="L1259">
        <f>IF(K1259=1,(Pu-E1259)/(H1259-E1259),"")</f>
      </c>
      <c r="M1259" s="12">
        <f>IF(K1259=1,F1259+L1259*(I1259-F1259),"")</f>
      </c>
      <c r="N1259" s="12">
        <f>IF(K1259=1,G1259+L1259*(J1259-G1259),"")</f>
      </c>
    </row>
    <row r="1260" spans="2:14" x14ac:dyDescent="0.25">
      <c r="B1260">
        <v>35</v>
      </c>
      <c r="C1260">
        <v>127.5</v>
      </c>
      <c r="D1260">
        <v>29</v>
      </c>
      <c r="E1260" s="18">
        <v>-2896.5689277094502</v>
      </c>
      <c r="F1260" s="18">
        <v>917.748977299305</v>
      </c>
      <c r="G1260" s="18">
        <v>-1102.7476610624626</v>
      </c>
      <c r="H1260" s="12">
        <f>E1261</f>
      </c>
      <c r="I1260" s="12">
        <f>F1261</f>
      </c>
      <c r="J1260" s="12">
        <f>G1261</f>
      </c>
      <c r="K1260">
        <f>IF(AND(Pu&gt;=MIN(E1260,H1260),Pu&lt;=MAX(E1260,H1260),E1260&lt;&gt;H1260),1,0)</f>
      </c>
      <c r="L1260">
        <f>IF(K1260=1,(Pu-E1260)/(H1260-E1260),"")</f>
      </c>
      <c r="M1260" s="12">
        <f>IF(K1260=1,F1260+L1260*(I1260-F1260),"")</f>
      </c>
      <c r="N1260" s="12">
        <f>IF(K1260=1,G1260+L1260*(J1260-G1260),"")</f>
      </c>
    </row>
    <row r="1261" spans="2:14" x14ac:dyDescent="0.25">
      <c r="B1261">
        <v>35</v>
      </c>
      <c r="C1261">
        <v>127.5</v>
      </c>
      <c r="D1261">
        <v>30</v>
      </c>
      <c r="E1261" s="18">
        <v>-3358.516728857874</v>
      </c>
      <c r="F1261" s="18">
        <v>713.6666047248254</v>
      </c>
      <c r="G1261" s="18">
        <v>-879.9712482434927</v>
      </c>
      <c r="H1261" s="12">
        <f>E1262</f>
      </c>
      <c r="I1261" s="12">
        <f>F1262</f>
      </c>
      <c r="J1261" s="12">
        <f>G1262</f>
      </c>
      <c r="K1261">
        <f>IF(AND(Pu&gt;=MIN(E1261,H1261),Pu&lt;=MAX(E1261,H1261),E1261&lt;&gt;H1261),1,0)</f>
      </c>
      <c r="L1261">
        <f>IF(K1261=1,(Pu-E1261)/(H1261-E1261),"")</f>
      </c>
      <c r="M1261" s="12">
        <f>IF(K1261=1,F1261+L1261*(I1261-F1261),"")</f>
      </c>
      <c r="N1261" s="12">
        <f>IF(K1261=1,G1261+L1261*(J1261-G1261),"")</f>
      </c>
    </row>
    <row r="1262" spans="2:14" x14ac:dyDescent="0.25">
      <c r="B1262">
        <v>35</v>
      </c>
      <c r="C1262">
        <v>127.5</v>
      </c>
      <c r="D1262">
        <v>31</v>
      </c>
      <c r="E1262" s="18">
        <v>-3930.037555899862</v>
      </c>
      <c r="F1262" s="18">
        <v>466.22900872332843</v>
      </c>
      <c r="G1262" s="18">
        <v>-564.8037109305774</v>
      </c>
      <c r="H1262" s="12">
        <f>E1263</f>
      </c>
      <c r="I1262" s="12">
        <f>F1263</f>
      </c>
      <c r="J1262" s="12">
        <f>G1263</f>
      </c>
      <c r="K1262">
        <f>IF(AND(Pu&gt;=MIN(E1262,H1262),Pu&lt;=MAX(E1262,H1262),E1262&lt;&gt;H1262),1,0)</f>
      </c>
      <c r="L1262">
        <f>IF(K1262=1,(Pu-E1262)/(H1262-E1262),"")</f>
      </c>
      <c r="M1262" s="12">
        <f>IF(K1262=1,F1262+L1262*(I1262-F1262),"")</f>
      </c>
      <c r="N1262" s="12">
        <f>IF(K1262=1,G1262+L1262*(J1262-G1262),"")</f>
      </c>
    </row>
    <row r="1263" spans="2:14" x14ac:dyDescent="0.25">
      <c r="B1263">
        <v>35</v>
      </c>
      <c r="C1263">
        <v>127.5</v>
      </c>
      <c r="D1263">
        <v>32</v>
      </c>
      <c r="E1263" s="18">
        <v>-4363.739205148029</v>
      </c>
      <c r="F1263" s="18">
        <v>278.308797881917</v>
      </c>
      <c r="G1263" s="18">
        <v>-322.79945380980087</v>
      </c>
      <c r="H1263" s="12">
        <f>E1264</f>
      </c>
      <c r="I1263" s="12">
        <f>F1264</f>
      </c>
      <c r="J1263" s="12">
        <f>G1264</f>
      </c>
      <c r="K1263">
        <f>IF(AND(Pu&gt;=MIN(E1263,H1263),Pu&lt;=MAX(E1263,H1263),E1263&lt;&gt;H1263),1,0)</f>
      </c>
      <c r="L1263">
        <f>IF(K1263=1,(Pu-E1263)/(H1263-E1263),"")</f>
      </c>
      <c r="M1263" s="12">
        <f>IF(K1263=1,F1263+L1263*(I1263-F1263),"")</f>
      </c>
      <c r="N1263" s="12">
        <f>IF(K1263=1,G1263+L1263*(J1263-G1263),"")</f>
      </c>
    </row>
    <row r="1264" spans="2:14" x14ac:dyDescent="0.25">
      <c r="B1264">
        <v>35</v>
      </c>
      <c r="C1264">
        <v>127.5</v>
      </c>
      <c r="D1264">
        <v>33</v>
      </c>
      <c r="E1264" s="18">
        <v>-4657.013969913402</v>
      </c>
      <c r="F1264" s="18">
        <v>136.11219108180026</v>
      </c>
      <c r="G1264" s="18">
        <v>-160.15938593845988</v>
      </c>
      <c r="H1264" s="12">
        <f>E1265</f>
      </c>
      <c r="I1264" s="12">
        <f>F1265</f>
      </c>
      <c r="J1264" s="12">
        <f>G1265</f>
      </c>
      <c r="K1264">
        <f>IF(AND(Pu&gt;=MIN(E1264,H1264),Pu&lt;=MAX(E1264,H1264),E1264&lt;&gt;H1264),1,0)</f>
      </c>
      <c r="L1264">
        <f>IF(K1264=1,(Pu-E1264)/(H1264-E1264),"")</f>
      </c>
      <c r="M1264" s="12">
        <f>IF(K1264=1,F1264+L1264*(I1264-F1264),"")</f>
      </c>
      <c r="N1264" s="12">
        <f>IF(K1264=1,G1264+L1264*(J1264-G1264),"")</f>
      </c>
    </row>
    <row r="1265" spans="2:7" x14ac:dyDescent="0.25">
      <c r="B1265">
        <v>35</v>
      </c>
      <c r="C1265">
        <v>127.5</v>
      </c>
      <c r="D1265">
        <v>34</v>
      </c>
      <c r="E1265" s="18">
        <v>-4757.859740001194</v>
      </c>
      <c r="F1265" s="18">
        <v>86.4029204801246</v>
      </c>
      <c r="G1265" s="18">
        <v>-98.59753545235519</v>
      </c>
    </row>
    <row r="1267" spans="2:14" x14ac:dyDescent="0.25">
      <c r="B1267">
        <v>36</v>
      </c>
      <c r="C1267">
        <v>134.99999999999994</v>
      </c>
      <c r="D1267">
        <v>1</v>
      </c>
      <c r="E1267" s="18">
        <v>17156.854368171884</v>
      </c>
      <c r="F1267" s="18">
        <v>1615.3528500759435</v>
      </c>
      <c r="G1267" s="18">
        <v>-2271.298480199724</v>
      </c>
      <c r="H1267" s="12">
        <f>E1268</f>
      </c>
      <c r="I1267" s="12">
        <f>F1268</f>
      </c>
      <c r="J1267" s="12">
        <f>G1268</f>
      </c>
      <c r="K1267">
        <f>IF(AND(Pu&gt;=MIN(E1267,H1267),Pu&lt;=MAX(E1267,H1267),E1267&lt;&gt;H1267),1,0)</f>
      </c>
      <c r="L1267">
        <f>IF(K1267=1,(Pu-E1267)/(H1267-E1267),"")</f>
      </c>
      <c r="M1267" s="12">
        <f>IF(K1267=1,F1267+L1267*(I1267-F1267),"")</f>
      </c>
      <c r="N1267" s="12">
        <f>IF(K1267=1,G1267+L1267*(J1267-G1267),"")</f>
      </c>
    </row>
    <row r="1268" spans="2:14" x14ac:dyDescent="0.25">
      <c r="B1268">
        <v>36</v>
      </c>
      <c r="C1268">
        <v>134.99999999999994</v>
      </c>
      <c r="D1268">
        <v>2</v>
      </c>
      <c r="E1268" s="18">
        <v>16054.115154264686</v>
      </c>
      <c r="F1268" s="18">
        <v>1841.9269098499708</v>
      </c>
      <c r="G1268" s="18">
        <v>-2613.546970888617</v>
      </c>
      <c r="H1268" s="12">
        <f>E1269</f>
      </c>
      <c r="I1268" s="12">
        <f>F1269</f>
      </c>
      <c r="J1268" s="12">
        <f>G1269</f>
      </c>
      <c r="K1268">
        <f>IF(AND(Pu&gt;=MIN(E1268,H1268),Pu&lt;=MAX(E1268,H1268),E1268&lt;&gt;H1268),1,0)</f>
      </c>
      <c r="L1268">
        <f>IF(K1268=1,(Pu-E1268)/(H1268-E1268),"")</f>
      </c>
      <c r="M1268" s="12">
        <f>IF(K1268=1,F1268+L1268*(I1268-F1268),"")</f>
      </c>
      <c r="N1268" s="12">
        <f>IF(K1268=1,G1268+L1268*(J1268-G1268),"")</f>
      </c>
    </row>
    <row r="1269" spans="2:14" x14ac:dyDescent="0.25">
      <c r="B1269">
        <v>36</v>
      </c>
      <c r="C1269">
        <v>134.99999999999994</v>
      </c>
      <c r="D1269">
        <v>3</v>
      </c>
      <c r="E1269" s="18">
        <v>13866.670264618517</v>
      </c>
      <c r="F1269" s="18">
        <v>2244.5215761691743</v>
      </c>
      <c r="G1269" s="18">
        <v>-3047.045498784185</v>
      </c>
      <c r="H1269" s="12">
        <f>E1270</f>
      </c>
      <c r="I1269" s="12">
        <f>F1270</f>
      </c>
      <c r="J1269" s="12">
        <f>G1270</f>
      </c>
      <c r="K1269">
        <f>IF(AND(Pu&gt;=MIN(E1269,H1269),Pu&lt;=MAX(E1269,H1269),E1269&lt;&gt;H1269),1,0)</f>
      </c>
      <c r="L1269">
        <f>IF(K1269=1,(Pu-E1269)/(H1269-E1269),"")</f>
      </c>
      <c r="M1269" s="12">
        <f>IF(K1269=1,F1269+L1269*(I1269-F1269),"")</f>
      </c>
      <c r="N1269" s="12">
        <f>IF(K1269=1,G1269+L1269*(J1269-G1269),"")</f>
      </c>
    </row>
    <row r="1270" spans="2:14" x14ac:dyDescent="0.25">
      <c r="B1270">
        <v>36</v>
      </c>
      <c r="C1270">
        <v>134.99999999999994</v>
      </c>
      <c r="D1270">
        <v>4</v>
      </c>
      <c r="E1270" s="18">
        <v>11796.370396030605</v>
      </c>
      <c r="F1270" s="18">
        <v>2589.33057081541</v>
      </c>
      <c r="G1270" s="18">
        <v>-3226.4842826303156</v>
      </c>
      <c r="H1270" s="12">
        <f>E1271</f>
      </c>
      <c r="I1270" s="12">
        <f>F1271</f>
      </c>
      <c r="J1270" s="12">
        <f>G1271</f>
      </c>
      <c r="K1270">
        <f>IF(AND(Pu&gt;=MIN(E1270,H1270),Pu&lt;=MAX(E1270,H1270),E1270&lt;&gt;H1270),1,0)</f>
      </c>
      <c r="L1270">
        <f>IF(K1270=1,(Pu-E1270)/(H1270-E1270),"")</f>
      </c>
      <c r="M1270" s="12">
        <f>IF(K1270=1,F1270+L1270*(I1270-F1270),"")</f>
      </c>
      <c r="N1270" s="12">
        <f>IF(K1270=1,G1270+L1270*(J1270-G1270),"")</f>
      </c>
    </row>
    <row r="1271" spans="2:14" x14ac:dyDescent="0.25">
      <c r="B1271">
        <v>36</v>
      </c>
      <c r="C1271">
        <v>134.99999999999994</v>
      </c>
      <c r="D1271">
        <v>5</v>
      </c>
      <c r="E1271" s="18">
        <v>10079.152738452793</v>
      </c>
      <c r="F1271" s="18">
        <v>2749.417495863785</v>
      </c>
      <c r="G1271" s="18">
        <v>-3341.7341495830474</v>
      </c>
      <c r="H1271" s="12">
        <f>E1272</f>
      </c>
      <c r="I1271" s="12">
        <f>F1272</f>
      </c>
      <c r="J1271" s="12">
        <f>G1272</f>
      </c>
      <c r="K1271">
        <f>IF(AND(Pu&gt;=MIN(E1271,H1271),Pu&lt;=MAX(E1271,H1271),E1271&lt;&gt;H1271),1,0)</f>
      </c>
      <c r="L1271">
        <f>IF(K1271=1,(Pu-E1271)/(H1271-E1271),"")</f>
      </c>
      <c r="M1271" s="12">
        <f>IF(K1271=1,F1271+L1271*(I1271-F1271),"")</f>
      </c>
      <c r="N1271" s="12">
        <f>IF(K1271=1,G1271+L1271*(J1271-G1271),"")</f>
      </c>
    </row>
    <row r="1272" spans="2:14" x14ac:dyDescent="0.25">
      <c r="B1272">
        <v>36</v>
      </c>
      <c r="C1272">
        <v>134.99999999999994</v>
      </c>
      <c r="D1272">
        <v>6</v>
      </c>
      <c r="E1272" s="18">
        <v>8791.494961409317</v>
      </c>
      <c r="F1272" s="18">
        <v>2768.318318215705</v>
      </c>
      <c r="G1272" s="18">
        <v>-3447.0487624537063</v>
      </c>
      <c r="H1272" s="12">
        <f>E1273</f>
      </c>
      <c r="I1272" s="12">
        <f>F1273</f>
      </c>
      <c r="J1272" s="12">
        <f>G1273</f>
      </c>
      <c r="K1272">
        <f>IF(AND(Pu&gt;=MIN(E1272,H1272),Pu&lt;=MAX(E1272,H1272),E1272&lt;&gt;H1272),1,0)</f>
      </c>
      <c r="L1272">
        <f>IF(K1272=1,(Pu-E1272)/(H1272-E1272),"")</f>
      </c>
      <c r="M1272" s="12">
        <f>IF(K1272=1,F1272+L1272*(I1272-F1272),"")</f>
      </c>
      <c r="N1272" s="12">
        <f>IF(K1272=1,G1272+L1272*(J1272-G1272),"")</f>
      </c>
    </row>
    <row r="1273" spans="2:14" x14ac:dyDescent="0.25">
      <c r="B1273">
        <v>36</v>
      </c>
      <c r="C1273">
        <v>134.99999999999994</v>
      </c>
      <c r="D1273">
        <v>7</v>
      </c>
      <c r="E1273" s="18">
        <v>8641.625675061685</v>
      </c>
      <c r="F1273" s="18">
        <v>2784.7806177805624</v>
      </c>
      <c r="G1273" s="18">
        <v>-3484.5817070745948</v>
      </c>
      <c r="H1273" s="12">
        <f>E1274</f>
      </c>
      <c r="I1273" s="12">
        <f>F1274</f>
      </c>
      <c r="J1273" s="12">
        <f>G1274</f>
      </c>
      <c r="K1273">
        <f>IF(AND(Pu&gt;=MIN(E1273,H1273),Pu&lt;=MAX(E1273,H1273),E1273&lt;&gt;H1273),1,0)</f>
      </c>
      <c r="L1273">
        <f>IF(K1273=1,(Pu-E1273)/(H1273-E1273),"")</f>
      </c>
      <c r="M1273" s="12">
        <f>IF(K1273=1,F1273+L1273*(I1273-F1273),"")</f>
      </c>
      <c r="N1273" s="12">
        <f>IF(K1273=1,G1273+L1273*(J1273-G1273),"")</f>
      </c>
    </row>
    <row r="1274" spans="2:14" x14ac:dyDescent="0.25">
      <c r="B1274">
        <v>36</v>
      </c>
      <c r="C1274">
        <v>134.99999999999994</v>
      </c>
      <c r="D1274">
        <v>8</v>
      </c>
      <c r="E1274" s="18">
        <v>8037.932149517717</v>
      </c>
      <c r="F1274" s="18">
        <v>2833.9100030087648</v>
      </c>
      <c r="G1274" s="18">
        <v>-3624.172193605857</v>
      </c>
      <c r="H1274" s="12">
        <f>E1275</f>
      </c>
      <c r="I1274" s="12">
        <f>F1275</f>
      </c>
      <c r="J1274" s="12">
        <f>G1275</f>
      </c>
      <c r="K1274">
        <f>IF(AND(Pu&gt;=MIN(E1274,H1274),Pu&lt;=MAX(E1274,H1274),E1274&lt;&gt;H1274),1,0)</f>
      </c>
      <c r="L1274">
        <f>IF(K1274=1,(Pu-E1274)/(H1274-E1274),"")</f>
      </c>
      <c r="M1274" s="12">
        <f>IF(K1274=1,F1274+L1274*(I1274-F1274),"")</f>
      </c>
      <c r="N1274" s="12">
        <f>IF(K1274=1,G1274+L1274*(J1274-G1274),"")</f>
      </c>
    </row>
    <row r="1275" spans="2:14" x14ac:dyDescent="0.25">
      <c r="B1275">
        <v>36</v>
      </c>
      <c r="C1275">
        <v>134.99999999999994</v>
      </c>
      <c r="D1275">
        <v>9</v>
      </c>
      <c r="E1275" s="18">
        <v>7693.980858859477</v>
      </c>
      <c r="F1275" s="18">
        <v>2838.4713301059473</v>
      </c>
      <c r="G1275" s="18">
        <v>-3700.245683340926</v>
      </c>
      <c r="H1275" s="12">
        <f>E1276</f>
      </c>
      <c r="I1275" s="12">
        <f>F1276</f>
      </c>
      <c r="J1275" s="12">
        <f>G1276</f>
      </c>
      <c r="K1275">
        <f>IF(AND(Pu&gt;=MIN(E1275,H1275),Pu&lt;=MAX(E1275,H1275),E1275&lt;&gt;H1275),1,0)</f>
      </c>
      <c r="L1275">
        <f>IF(K1275=1,(Pu-E1275)/(H1275-E1275),"")</f>
      </c>
      <c r="M1275" s="12">
        <f>IF(K1275=1,F1275+L1275*(I1275-F1275),"")</f>
      </c>
      <c r="N1275" s="12">
        <f>IF(K1275=1,G1275+L1275*(J1275-G1275),"")</f>
      </c>
    </row>
    <row r="1276" spans="2:14" x14ac:dyDescent="0.25">
      <c r="B1276">
        <v>36</v>
      </c>
      <c r="C1276">
        <v>134.99999999999994</v>
      </c>
      <c r="D1276">
        <v>10</v>
      </c>
      <c r="E1276" s="18">
        <v>7278.563720777526</v>
      </c>
      <c r="F1276" s="18">
        <v>2842.3216367183186</v>
      </c>
      <c r="G1276" s="18">
        <v>-3780.4700071897896</v>
      </c>
      <c r="H1276" s="12">
        <f>E1277</f>
      </c>
      <c r="I1276" s="12">
        <f>F1277</f>
      </c>
      <c r="J1276" s="12">
        <f>G1277</f>
      </c>
      <c r="K1276">
        <f>IF(AND(Pu&gt;=MIN(E1276,H1276),Pu&lt;=MAX(E1276,H1276),E1276&lt;&gt;H1276),1,0)</f>
      </c>
      <c r="L1276">
        <f>IF(K1276=1,(Pu-E1276)/(H1276-E1276),"")</f>
      </c>
      <c r="M1276" s="12">
        <f>IF(K1276=1,F1276+L1276*(I1276-F1276),"")</f>
      </c>
      <c r="N1276" s="12">
        <f>IF(K1276=1,G1276+L1276*(J1276-G1276),"")</f>
      </c>
    </row>
    <row r="1277" spans="2:14" x14ac:dyDescent="0.25">
      <c r="B1277">
        <v>36</v>
      </c>
      <c r="C1277">
        <v>134.99999999999994</v>
      </c>
      <c r="D1277">
        <v>11</v>
      </c>
      <c r="E1277" s="18">
        <v>6883.121068144161</v>
      </c>
      <c r="F1277" s="18">
        <v>2839.522508541197</v>
      </c>
      <c r="G1277" s="18">
        <v>-3852.811704334859</v>
      </c>
      <c r="H1277" s="12">
        <f>E1278</f>
      </c>
      <c r="I1277" s="12">
        <f>F1278</f>
      </c>
      <c r="J1277" s="12">
        <f>G1278</f>
      </c>
      <c r="K1277">
        <f>IF(AND(Pu&gt;=MIN(E1277,H1277),Pu&lt;=MAX(E1277,H1277),E1277&lt;&gt;H1277),1,0)</f>
      </c>
      <c r="L1277">
        <f>IF(K1277=1,(Pu-E1277)/(H1277-E1277),"")</f>
      </c>
      <c r="M1277" s="12">
        <f>IF(K1277=1,F1277+L1277*(I1277-F1277),"")</f>
      </c>
      <c r="N1277" s="12">
        <f>IF(K1277=1,G1277+L1277*(J1277-G1277),"")</f>
      </c>
    </row>
    <row r="1278" spans="2:14" x14ac:dyDescent="0.25">
      <c r="B1278">
        <v>36</v>
      </c>
      <c r="C1278">
        <v>134.99999999999994</v>
      </c>
      <c r="D1278">
        <v>12</v>
      </c>
      <c r="E1278" s="18">
        <v>6645.332581263442</v>
      </c>
      <c r="F1278" s="18">
        <v>2840.103830951515</v>
      </c>
      <c r="G1278" s="18">
        <v>-3893.113749511523</v>
      </c>
      <c r="H1278" s="12">
        <f>E1279</f>
      </c>
      <c r="I1278" s="12">
        <f>F1279</f>
      </c>
      <c r="J1278" s="12">
        <f>G1279</f>
      </c>
      <c r="K1278">
        <f>IF(AND(Pu&gt;=MIN(E1278,H1278),Pu&lt;=MAX(E1278,H1278),E1278&lt;&gt;H1278),1,0)</f>
      </c>
      <c r="L1278">
        <f>IF(K1278=1,(Pu-E1278)/(H1278-E1278),"")</f>
      </c>
      <c r="M1278" s="12">
        <f>IF(K1278=1,F1278+L1278*(I1278-F1278),"")</f>
      </c>
      <c r="N1278" s="12">
        <f>IF(K1278=1,G1278+L1278*(J1278-G1278),"")</f>
      </c>
    </row>
    <row r="1279" spans="2:14" x14ac:dyDescent="0.25">
      <c r="B1279">
        <v>36</v>
      </c>
      <c r="C1279">
        <v>134.99999999999994</v>
      </c>
      <c r="D1279">
        <v>13</v>
      </c>
      <c r="E1279" s="18">
        <v>6136.746653181991</v>
      </c>
      <c r="F1279" s="18">
        <v>2847.8981969765805</v>
      </c>
      <c r="G1279" s="18">
        <v>-3954.618170088705</v>
      </c>
      <c r="H1279" s="12">
        <f>E1280</f>
      </c>
      <c r="I1279" s="12">
        <f>F1280</f>
      </c>
      <c r="J1279" s="12">
        <f>G1280</f>
      </c>
      <c r="K1279">
        <f>IF(AND(Pu&gt;=MIN(E1279,H1279),Pu&lt;=MAX(E1279,H1279),E1279&lt;&gt;H1279),1,0)</f>
      </c>
      <c r="L1279">
        <f>IF(K1279=1,(Pu-E1279)/(H1279-E1279),"")</f>
      </c>
      <c r="M1279" s="12">
        <f>IF(K1279=1,F1279+L1279*(I1279-F1279),"")</f>
      </c>
      <c r="N1279" s="12">
        <f>IF(K1279=1,G1279+L1279*(J1279-G1279),"")</f>
      </c>
    </row>
    <row r="1280" spans="2:14" x14ac:dyDescent="0.25">
      <c r="B1280">
        <v>36</v>
      </c>
      <c r="C1280">
        <v>134.99999999999994</v>
      </c>
      <c r="D1280">
        <v>14</v>
      </c>
      <c r="E1280" s="18">
        <v>6082.441733702442</v>
      </c>
      <c r="F1280" s="18">
        <v>2847.634290583134</v>
      </c>
      <c r="G1280" s="18">
        <v>-3959.694815268563</v>
      </c>
      <c r="H1280" s="12">
        <f>E1281</f>
      </c>
      <c r="I1280" s="12">
        <f>F1281</f>
      </c>
      <c r="J1280" s="12">
        <f>G1281</f>
      </c>
      <c r="K1280">
        <f>IF(AND(Pu&gt;=MIN(E1280,H1280),Pu&lt;=MAX(E1280,H1280),E1280&lt;&gt;H1280),1,0)</f>
      </c>
      <c r="L1280">
        <f>IF(K1280=1,(Pu-E1280)/(H1280-E1280),"")</f>
      </c>
      <c r="M1280" s="12">
        <f>IF(K1280=1,F1280+L1280*(I1280-F1280),"")</f>
      </c>
      <c r="N1280" s="12">
        <f>IF(K1280=1,G1280+L1280*(J1280-G1280),"")</f>
      </c>
    </row>
    <row r="1281" spans="2:14" x14ac:dyDescent="0.25">
      <c r="B1281">
        <v>36</v>
      </c>
      <c r="C1281">
        <v>134.99999999999994</v>
      </c>
      <c r="D1281">
        <v>15</v>
      </c>
      <c r="E1281" s="18">
        <v>5600.867852997784</v>
      </c>
      <c r="F1281" s="18">
        <v>2859.0130058403506</v>
      </c>
      <c r="G1281" s="18">
        <v>-3994.254113128253</v>
      </c>
      <c r="H1281" s="12">
        <f>E1282</f>
      </c>
      <c r="I1281" s="12">
        <f>F1282</f>
      </c>
      <c r="J1281" s="12">
        <f>G1282</f>
      </c>
      <c r="K1281">
        <f>IF(AND(Pu&gt;=MIN(E1281,H1281),Pu&lt;=MAX(E1281,H1281),E1281&lt;&gt;H1281),1,0)</f>
      </c>
      <c r="L1281">
        <f>IF(K1281=1,(Pu-E1281)/(H1281-E1281),"")</f>
      </c>
      <c r="M1281" s="12">
        <f>IF(K1281=1,F1281+L1281*(I1281-F1281),"")</f>
      </c>
      <c r="N1281" s="12">
        <f>IF(K1281=1,G1281+L1281*(J1281-G1281),"")</f>
      </c>
    </row>
    <row r="1282" spans="2:14" x14ac:dyDescent="0.25">
      <c r="B1282">
        <v>36</v>
      </c>
      <c r="C1282">
        <v>134.99999999999994</v>
      </c>
      <c r="D1282">
        <v>16</v>
      </c>
      <c r="E1282" s="18">
        <v>5171.454845072877</v>
      </c>
      <c r="F1282" s="18">
        <v>2866.7591136163737</v>
      </c>
      <c r="G1282" s="18">
        <v>-4024.2552828345897</v>
      </c>
      <c r="H1282" s="12">
        <f>E1283</f>
      </c>
      <c r="I1282" s="12">
        <f>F1283</f>
      </c>
      <c r="J1282" s="12">
        <f>G1283</f>
      </c>
      <c r="K1282">
        <f>IF(AND(Pu&gt;=MIN(E1282,H1282),Pu&lt;=MAX(E1282,H1282),E1282&lt;&gt;H1282),1,0)</f>
      </c>
      <c r="L1282">
        <f>IF(K1282=1,(Pu-E1282)/(H1282-E1282),"")</f>
      </c>
      <c r="M1282" s="12">
        <f>IF(K1282=1,F1282+L1282*(I1282-F1282),"")</f>
      </c>
      <c r="N1282" s="12">
        <f>IF(K1282=1,G1282+L1282*(J1282-G1282),"")</f>
      </c>
    </row>
    <row r="1283" spans="2:14" x14ac:dyDescent="0.25">
      <c r="B1283">
        <v>36</v>
      </c>
      <c r="C1283">
        <v>134.99999999999994</v>
      </c>
      <c r="D1283">
        <v>17</v>
      </c>
      <c r="E1283" s="18">
        <v>5027.412537577054</v>
      </c>
      <c r="F1283" s="18">
        <v>2871.348354882356</v>
      </c>
      <c r="G1283" s="18">
        <v>-4025.0165380028684</v>
      </c>
      <c r="H1283" s="12">
        <f>E1284</f>
      </c>
      <c r="I1283" s="12">
        <f>F1284</f>
      </c>
      <c r="J1283" s="12">
        <f>G1284</f>
      </c>
      <c r="K1283">
        <f>IF(AND(Pu&gt;=MIN(E1283,H1283),Pu&lt;=MAX(E1283,H1283),E1283&lt;&gt;H1283),1,0)</f>
      </c>
      <c r="L1283">
        <f>IF(K1283=1,(Pu-E1283)/(H1283-E1283),"")</f>
      </c>
      <c r="M1283" s="12">
        <f>IF(K1283=1,F1283+L1283*(I1283-F1283),"")</f>
      </c>
      <c r="N1283" s="12">
        <f>IF(K1283=1,G1283+L1283*(J1283-G1283),"")</f>
      </c>
    </row>
    <row r="1284" spans="2:14" x14ac:dyDescent="0.25">
      <c r="B1284">
        <v>36</v>
      </c>
      <c r="C1284">
        <v>134.99999999999994</v>
      </c>
      <c r="D1284">
        <v>18</v>
      </c>
      <c r="E1284" s="18">
        <v>4797.902945121804</v>
      </c>
      <c r="F1284" s="18">
        <v>2874.0577404616147</v>
      </c>
      <c r="G1284" s="18">
        <v>-4027.8032068988396</v>
      </c>
      <c r="H1284" s="12">
        <f>E1285</f>
      </c>
      <c r="I1284" s="12">
        <f>F1285</f>
      </c>
      <c r="J1284" s="12">
        <f>G1285</f>
      </c>
      <c r="K1284">
        <f>IF(AND(Pu&gt;=MIN(E1284,H1284),Pu&lt;=MAX(E1284,H1284),E1284&lt;&gt;H1284),1,0)</f>
      </c>
      <c r="L1284">
        <f>IF(K1284=1,(Pu-E1284)/(H1284-E1284),"")</f>
      </c>
      <c r="M1284" s="12">
        <f>IF(K1284=1,F1284+L1284*(I1284-F1284),"")</f>
      </c>
      <c r="N1284" s="12">
        <f>IF(K1284=1,G1284+L1284*(J1284-G1284),"")</f>
      </c>
    </row>
    <row r="1285" spans="2:14" x14ac:dyDescent="0.25">
      <c r="B1285">
        <v>36</v>
      </c>
      <c r="C1285">
        <v>134.99999999999994</v>
      </c>
      <c r="D1285">
        <v>19</v>
      </c>
      <c r="E1285" s="18">
        <v>4505.4841350912</v>
      </c>
      <c r="F1285" s="18">
        <v>2879.442021873067</v>
      </c>
      <c r="G1285" s="18">
        <v>-4029.802959700158</v>
      </c>
      <c r="H1285" s="12">
        <f>E1286</f>
      </c>
      <c r="I1285" s="12">
        <f>F1286</f>
      </c>
      <c r="J1285" s="12">
        <f>G1286</f>
      </c>
      <c r="K1285">
        <f>IF(AND(Pu&gt;=MIN(E1285,H1285),Pu&lt;=MAX(E1285,H1285),E1285&lt;&gt;H1285),1,0)</f>
      </c>
      <c r="L1285">
        <f>IF(K1285=1,(Pu-E1285)/(H1285-E1285),"")</f>
      </c>
      <c r="M1285" s="12">
        <f>IF(K1285=1,F1285+L1285*(I1285-F1285),"")</f>
      </c>
      <c r="N1285" s="12">
        <f>IF(K1285=1,G1285+L1285*(J1285-G1285),"")</f>
      </c>
    </row>
    <row r="1286" spans="2:14" x14ac:dyDescent="0.25">
      <c r="B1286">
        <v>36</v>
      </c>
      <c r="C1286">
        <v>134.99999999999994</v>
      </c>
      <c r="D1286">
        <v>20</v>
      </c>
      <c r="E1286" s="18">
        <v>4456.3248768306075</v>
      </c>
      <c r="F1286" s="18">
        <v>2880.4086417883004</v>
      </c>
      <c r="G1286" s="18">
        <v>-4029.90623046836</v>
      </c>
      <c r="H1286" s="12">
        <f>E1287</f>
      </c>
      <c r="I1286" s="12">
        <f>F1287</f>
      </c>
      <c r="J1286" s="12">
        <f>G1287</f>
      </c>
      <c r="K1286">
        <f>IF(AND(Pu&gt;=MIN(E1286,H1286),Pu&lt;=MAX(E1286,H1286),E1286&lt;&gt;H1286),1,0)</f>
      </c>
      <c r="L1286">
        <f>IF(K1286=1,(Pu-E1286)/(H1286-E1286),"")</f>
      </c>
      <c r="M1286" s="12">
        <f>IF(K1286=1,F1286+L1286*(I1286-F1286),"")</f>
      </c>
      <c r="N1286" s="12">
        <f>IF(K1286=1,G1286+L1286*(J1286-G1286),"")</f>
      </c>
    </row>
    <row r="1287" spans="2:14" x14ac:dyDescent="0.25">
      <c r="B1287">
        <v>36</v>
      </c>
      <c r="C1287">
        <v>134.99999999999994</v>
      </c>
      <c r="D1287">
        <v>21</v>
      </c>
      <c r="E1287" s="18">
        <v>3821.171854375846</v>
      </c>
      <c r="F1287" s="18">
        <v>2770.927011613126</v>
      </c>
      <c r="G1287" s="18">
        <v>-3863.6864991836824</v>
      </c>
      <c r="H1287" s="12">
        <f>E1288</f>
      </c>
      <c r="I1287" s="12">
        <f>F1288</f>
      </c>
      <c r="J1287" s="12">
        <f>G1288</f>
      </c>
      <c r="K1287">
        <f>IF(AND(Pu&gt;=MIN(E1287,H1287),Pu&lt;=MAX(E1287,H1287),E1287&lt;&gt;H1287),1,0)</f>
      </c>
      <c r="L1287">
        <f>IF(K1287=1,(Pu-E1287)/(H1287-E1287),"")</f>
      </c>
      <c r="M1287" s="12">
        <f>IF(K1287=1,F1287+L1287*(I1287-F1287),"")</f>
      </c>
      <c r="N1287" s="12">
        <f>IF(K1287=1,G1287+L1287*(J1287-G1287),"")</f>
      </c>
    </row>
    <row r="1288" spans="2:14" x14ac:dyDescent="0.25">
      <c r="B1288">
        <v>36</v>
      </c>
      <c r="C1288">
        <v>134.99999999999994</v>
      </c>
      <c r="D1288">
        <v>22</v>
      </c>
      <c r="E1288" s="18">
        <v>2797.986239945818</v>
      </c>
      <c r="F1288" s="18">
        <v>2526.1935490541264</v>
      </c>
      <c r="G1288" s="18">
        <v>-3588.170857246875</v>
      </c>
      <c r="H1288" s="12">
        <f>E1289</f>
      </c>
      <c r="I1288" s="12">
        <f>F1289</f>
      </c>
      <c r="J1288" s="12">
        <f>G1289</f>
      </c>
      <c r="K1288">
        <f>IF(AND(Pu&gt;=MIN(E1288,H1288),Pu&lt;=MAX(E1288,H1288),E1288&lt;&gt;H1288),1,0)</f>
      </c>
      <c r="L1288">
        <f>IF(K1288=1,(Pu-E1288)/(H1288-E1288),"")</f>
      </c>
      <c r="M1288" s="12">
        <f>IF(K1288=1,F1288+L1288*(I1288-F1288),"")</f>
      </c>
      <c r="N1288" s="12">
        <f>IF(K1288=1,G1288+L1288*(J1288-G1288),"")</f>
      </c>
    </row>
    <row r="1289" spans="2:14" x14ac:dyDescent="0.25">
      <c r="B1289">
        <v>36</v>
      </c>
      <c r="C1289">
        <v>134.99999999999994</v>
      </c>
      <c r="D1289">
        <v>23</v>
      </c>
      <c r="E1289" s="18">
        <v>1936.3810065652328</v>
      </c>
      <c r="F1289" s="18">
        <v>2308.4113700647217</v>
      </c>
      <c r="G1289" s="18">
        <v>-3337.154978066631</v>
      </c>
      <c r="H1289" s="12">
        <f>E1290</f>
      </c>
      <c r="I1289" s="12">
        <f>F1290</f>
      </c>
      <c r="J1289" s="12">
        <f>G1290</f>
      </c>
      <c r="K1289">
        <f>IF(AND(Pu&gt;=MIN(E1289,H1289),Pu&lt;=MAX(E1289,H1289),E1289&lt;&gt;H1289),1,0)</f>
      </c>
      <c r="L1289">
        <f>IF(K1289=1,(Pu-E1289)/(H1289-E1289),"")</f>
      </c>
      <c r="M1289" s="12">
        <f>IF(K1289=1,F1289+L1289*(I1289-F1289),"")</f>
      </c>
      <c r="N1289" s="12">
        <f>IF(K1289=1,G1289+L1289*(J1289-G1289),"")</f>
      </c>
    </row>
    <row r="1290" spans="2:14" x14ac:dyDescent="0.25">
      <c r="B1290">
        <v>36</v>
      </c>
      <c r="C1290">
        <v>134.99999999999994</v>
      </c>
      <c r="D1290">
        <v>24</v>
      </c>
      <c r="E1290" s="18">
        <v>1260.4248861334268</v>
      </c>
      <c r="F1290" s="18">
        <v>2147.067321945881</v>
      </c>
      <c r="G1290" s="18">
        <v>-3088.3746305438</v>
      </c>
      <c r="H1290" s="12">
        <f>E1291</f>
      </c>
      <c r="I1290" s="12">
        <f>F1291</f>
      </c>
      <c r="J1290" s="12">
        <f>G1291</f>
      </c>
      <c r="K1290">
        <f>IF(AND(Pu&gt;=MIN(E1290,H1290),Pu&lt;=MAX(E1290,H1290),E1290&lt;&gt;H1290),1,0)</f>
      </c>
      <c r="L1290">
        <f>IF(K1290=1,(Pu-E1290)/(H1290-E1290),"")</f>
      </c>
      <c r="M1290" s="12">
        <f>IF(K1290=1,F1290+L1290*(I1290-F1290),"")</f>
      </c>
      <c r="N1290" s="12">
        <f>IF(K1290=1,G1290+L1290*(J1290-G1290),"")</f>
      </c>
    </row>
    <row r="1291" spans="2:14" x14ac:dyDescent="0.25">
      <c r="B1291">
        <v>36</v>
      </c>
      <c r="C1291">
        <v>134.99999999999994</v>
      </c>
      <c r="D1291">
        <v>25</v>
      </c>
      <c r="E1291" s="18">
        <v>137.66053666695151</v>
      </c>
      <c r="F1291" s="18">
        <v>1874.4339530830343</v>
      </c>
      <c r="G1291" s="18">
        <v>-2634.8426915214986</v>
      </c>
      <c r="H1291" s="12">
        <f>E1292</f>
      </c>
      <c r="I1291" s="12">
        <f>F1292</f>
      </c>
      <c r="J1291" s="12">
        <f>G1292</f>
      </c>
      <c r="K1291">
        <f>IF(AND(Pu&gt;=MIN(E1291,H1291),Pu&lt;=MAX(E1291,H1291),E1291&lt;&gt;H1291),1,0)</f>
      </c>
      <c r="L1291">
        <f>IF(K1291=1,(Pu-E1291)/(H1291-E1291),"")</f>
      </c>
      <c r="M1291" s="12">
        <f>IF(K1291=1,F1291+L1291*(I1291-F1291),"")</f>
      </c>
      <c r="N1291" s="12">
        <f>IF(K1291=1,G1291+L1291*(J1291-G1291),"")</f>
      </c>
    </row>
    <row r="1292" spans="2:14" x14ac:dyDescent="0.25">
      <c r="B1292">
        <v>36</v>
      </c>
      <c r="C1292">
        <v>134.99999999999994</v>
      </c>
      <c r="D1292">
        <v>26</v>
      </c>
      <c r="E1292" s="18">
        <v>-635.6505109007446</v>
      </c>
      <c r="F1292" s="18">
        <v>1632.0766936224377</v>
      </c>
      <c r="G1292" s="18">
        <v>-2305.9046859946916</v>
      </c>
      <c r="H1292" s="12">
        <f>E1293</f>
      </c>
      <c r="I1292" s="12">
        <f>F1293</f>
      </c>
      <c r="J1292" s="12">
        <f>G1293</f>
      </c>
      <c r="K1292">
        <f>IF(AND(Pu&gt;=MIN(E1292,H1292),Pu&lt;=MAX(E1292,H1292),E1292&lt;&gt;H1292),1,0)</f>
      </c>
      <c r="L1292">
        <f>IF(K1292=1,(Pu-E1292)/(H1292-E1292),"")</f>
      </c>
      <c r="M1292" s="12">
        <f>IF(K1292=1,F1292+L1292*(I1292-F1292),"")</f>
      </c>
      <c r="N1292" s="12">
        <f>IF(K1292=1,G1292+L1292*(J1292-G1292),"")</f>
      </c>
    </row>
    <row r="1293" spans="2:14" x14ac:dyDescent="0.25">
      <c r="B1293">
        <v>36</v>
      </c>
      <c r="C1293">
        <v>134.99999999999994</v>
      </c>
      <c r="D1293">
        <v>27</v>
      </c>
      <c r="E1293" s="18">
        <v>-1308.451894479557</v>
      </c>
      <c r="F1293" s="18">
        <v>1425.5913274210654</v>
      </c>
      <c r="G1293" s="18">
        <v>-1988.9089477457078</v>
      </c>
      <c r="H1293" s="12">
        <f>E1294</f>
      </c>
      <c r="I1293" s="12">
        <f>F1294</f>
      </c>
      <c r="J1293" s="12">
        <f>G1294</f>
      </c>
      <c r="K1293">
        <f>IF(AND(Pu&gt;=MIN(E1293,H1293),Pu&lt;=MAX(E1293,H1293),E1293&lt;&gt;H1293),1,0)</f>
      </c>
      <c r="L1293">
        <f>IF(K1293=1,(Pu-E1293)/(H1293-E1293),"")</f>
      </c>
      <c r="M1293" s="12">
        <f>IF(K1293=1,F1293+L1293*(I1293-F1293),"")</f>
      </c>
      <c r="N1293" s="12">
        <f>IF(K1293=1,G1293+L1293*(J1293-G1293),"")</f>
      </c>
    </row>
    <row r="1294" spans="2:14" x14ac:dyDescent="0.25">
      <c r="B1294">
        <v>36</v>
      </c>
      <c r="C1294">
        <v>134.99999999999994</v>
      </c>
      <c r="D1294">
        <v>28</v>
      </c>
      <c r="E1294" s="18">
        <v>-1827.005870765204</v>
      </c>
      <c r="F1294" s="18">
        <v>1247.1116943574548</v>
      </c>
      <c r="G1294" s="18">
        <v>-1729.7976427520068</v>
      </c>
      <c r="H1294" s="12">
        <f>E1295</f>
      </c>
      <c r="I1294" s="12">
        <f>F1295</f>
      </c>
      <c r="J1294" s="12">
        <f>G1295</f>
      </c>
      <c r="K1294">
        <f>IF(AND(Pu&gt;=MIN(E1294,H1294),Pu&lt;=MAX(E1294,H1294),E1294&lt;&gt;H1294),1,0)</f>
      </c>
      <c r="L1294">
        <f>IF(K1294=1,(Pu-E1294)/(H1294-E1294),"")</f>
      </c>
      <c r="M1294" s="12">
        <f>IF(K1294=1,F1294+L1294*(I1294-F1294),"")</f>
      </c>
      <c r="N1294" s="12">
        <f>IF(K1294=1,G1294+L1294*(J1294-G1294),"")</f>
      </c>
    </row>
    <row r="1295" spans="2:14" x14ac:dyDescent="0.25">
      <c r="B1295">
        <v>36</v>
      </c>
      <c r="C1295">
        <v>134.99999999999994</v>
      </c>
      <c r="D1295">
        <v>29</v>
      </c>
      <c r="E1295" s="18">
        <v>-2596.9880725986163</v>
      </c>
      <c r="F1295" s="18">
        <v>962.9940356902699</v>
      </c>
      <c r="G1295" s="18">
        <v>-1344.6211033109914</v>
      </c>
      <c r="H1295" s="12">
        <f>E1296</f>
      </c>
      <c r="I1295" s="12">
        <f>F1296</f>
      </c>
      <c r="J1295" s="12">
        <f>G1296</f>
      </c>
      <c r="K1295">
        <f>IF(AND(Pu&gt;=MIN(E1295,H1295),Pu&lt;=MAX(E1295,H1295),E1295&lt;&gt;H1295),1,0)</f>
      </c>
      <c r="L1295">
        <f>IF(K1295=1,(Pu-E1295)/(H1295-E1295),"")</f>
      </c>
      <c r="M1295" s="12">
        <f>IF(K1295=1,F1295+L1295*(I1295-F1295),"")</f>
      </c>
      <c r="N1295" s="12">
        <f>IF(K1295=1,G1295+L1295*(J1295-G1295),"")</f>
      </c>
    </row>
    <row r="1296" spans="2:14" x14ac:dyDescent="0.25">
      <c r="B1296">
        <v>36</v>
      </c>
      <c r="C1296">
        <v>134.99999999999994</v>
      </c>
      <c r="D1296">
        <v>30</v>
      </c>
      <c r="E1296" s="18">
        <v>-3111.390937188753</v>
      </c>
      <c r="F1296" s="18">
        <v>781.9059609454749</v>
      </c>
      <c r="G1296" s="18">
        <v>-1057.79470519044</v>
      </c>
      <c r="H1296" s="12">
        <f>E1297</f>
      </c>
      <c r="I1296" s="12">
        <f>F1297</f>
      </c>
      <c r="J1296" s="12">
        <f>G1297</f>
      </c>
      <c r="K1296">
        <f>IF(AND(Pu&gt;=MIN(E1296,H1296),Pu&lt;=MAX(E1296,H1296),E1296&lt;&gt;H1296),1,0)</f>
      </c>
      <c r="L1296">
        <f>IF(K1296=1,(Pu-E1296)/(H1296-E1296),"")</f>
      </c>
      <c r="M1296" s="12">
        <f>IF(K1296=1,F1296+L1296*(I1296-F1296),"")</f>
      </c>
      <c r="N1296" s="12">
        <f>IF(K1296=1,G1296+L1296*(J1296-G1296),"")</f>
      </c>
    </row>
    <row r="1297" spans="2:14" x14ac:dyDescent="0.25">
      <c r="B1297">
        <v>36</v>
      </c>
      <c r="C1297">
        <v>134.99999999999994</v>
      </c>
      <c r="D1297">
        <v>31</v>
      </c>
      <c r="E1297" s="18">
        <v>-3655.5616370864345</v>
      </c>
      <c r="F1297" s="18">
        <v>549.283124286698</v>
      </c>
      <c r="G1297" s="18">
        <v>-760.9306287349422</v>
      </c>
      <c r="H1297" s="12">
        <f>E1298</f>
      </c>
      <c r="I1297" s="12">
        <f>F1298</f>
      </c>
      <c r="J1297" s="12">
        <f>G1298</f>
      </c>
      <c r="K1297">
        <f>IF(AND(Pu&gt;=MIN(E1297,H1297),Pu&lt;=MAX(E1297,H1297),E1297&lt;&gt;H1297),1,0)</f>
      </c>
      <c r="L1297">
        <f>IF(K1297=1,(Pu-E1297)/(H1297-E1297),"")</f>
      </c>
      <c r="M1297" s="12">
        <f>IF(K1297=1,F1297+L1297*(I1297-F1297),"")</f>
      </c>
      <c r="N1297" s="12">
        <f>IF(K1297=1,G1297+L1297*(J1297-G1297),"")</f>
      </c>
    </row>
    <row r="1298" spans="2:14" x14ac:dyDescent="0.25">
      <c r="B1298">
        <v>36</v>
      </c>
      <c r="C1298">
        <v>134.99999999999994</v>
      </c>
      <c r="D1298">
        <v>32</v>
      </c>
      <c r="E1298" s="18">
        <v>-4073.914411544401</v>
      </c>
      <c r="F1298" s="18">
        <v>368.2620401394012</v>
      </c>
      <c r="G1298" s="18">
        <v>-530.5316176641464</v>
      </c>
      <c r="H1298" s="12">
        <f>E1299</f>
      </c>
      <c r="I1298" s="12">
        <f>F1299</f>
      </c>
      <c r="J1298" s="12">
        <f>G1299</f>
      </c>
      <c r="K1298">
        <f>IF(AND(Pu&gt;=MIN(E1298,H1298),Pu&lt;=MAX(E1298,H1298),E1298&lt;&gt;H1298),1,0)</f>
      </c>
      <c r="L1298">
        <f>IF(K1298=1,(Pu-E1298)/(H1298-E1298),"")</f>
      </c>
      <c r="M1298" s="12">
        <f>IF(K1298=1,F1298+L1298*(I1298-F1298),"")</f>
      </c>
      <c r="N1298" s="12">
        <f>IF(K1298=1,G1298+L1298*(J1298-G1298),"")</f>
      </c>
    </row>
    <row r="1299" spans="2:14" x14ac:dyDescent="0.25">
      <c r="B1299">
        <v>36</v>
      </c>
      <c r="C1299">
        <v>134.99999999999994</v>
      </c>
      <c r="D1299">
        <v>33</v>
      </c>
      <c r="E1299" s="18">
        <v>-4520.652717266332</v>
      </c>
      <c r="F1299" s="18">
        <v>192.4696597808914</v>
      </c>
      <c r="G1299" s="18">
        <v>-252.67115852577206</v>
      </c>
      <c r="H1299" s="12">
        <f>E1300</f>
      </c>
      <c r="I1299" s="12">
        <f>F1300</f>
      </c>
      <c r="J1299" s="12">
        <f>G1300</f>
      </c>
      <c r="K1299">
        <f>IF(AND(Pu&gt;=MIN(E1299,H1299),Pu&lt;=MAX(E1299,H1299),E1299&lt;&gt;H1299),1,0)</f>
      </c>
      <c r="L1299">
        <f>IF(K1299=1,(Pu-E1299)/(H1299-E1299),"")</f>
      </c>
      <c r="M1299" s="12">
        <f>IF(K1299=1,F1299+L1299*(I1299-F1299),"")</f>
      </c>
      <c r="N1299" s="12">
        <f>IF(K1299=1,G1299+L1299*(J1299-G1299),"")</f>
      </c>
    </row>
    <row r="1300" spans="2:7" x14ac:dyDescent="0.25">
      <c r="B1300">
        <v>36</v>
      </c>
      <c r="C1300">
        <v>134.99999999999994</v>
      </c>
      <c r="D1300">
        <v>34</v>
      </c>
      <c r="E1300" s="18">
        <v>-4629.738809930116</v>
      </c>
      <c r="F1300" s="18">
        <v>141.6504596332703</v>
      </c>
      <c r="G1300" s="18">
        <v>-185.48904447858288</v>
      </c>
    </row>
    <row r="1302" spans="2:14" x14ac:dyDescent="0.25">
      <c r="B1302">
        <v>37</v>
      </c>
      <c r="C1302">
        <v>142.5</v>
      </c>
      <c r="D1302">
        <v>1</v>
      </c>
      <c r="E1302" s="18">
        <v>17130.35198143765</v>
      </c>
      <c r="F1302" s="18">
        <v>1386.5948194127202</v>
      </c>
      <c r="G1302" s="18">
        <v>-2475.2713501517433</v>
      </c>
      <c r="H1302" s="12">
        <f>E1303</f>
      </c>
      <c r="I1302" s="12">
        <f>F1303</f>
      </c>
      <c r="J1302" s="12">
        <f>G1303</f>
      </c>
      <c r="K1302">
        <f>IF(AND(Pu&gt;=MIN(E1302,H1302),Pu&lt;=MAX(E1302,H1302),E1302&lt;&gt;H1302),1,0)</f>
      </c>
      <c r="L1302">
        <f>IF(K1302=1,(Pu-E1302)/(H1302-E1302),"")</f>
      </c>
      <c r="M1302" s="12">
        <f>IF(K1302=1,F1302+L1302*(I1302-F1302),"")</f>
      </c>
      <c r="N1302" s="12">
        <f>IF(K1302=1,G1302+L1302*(J1302-G1302),"")</f>
      </c>
    </row>
    <row r="1303" spans="2:14" x14ac:dyDescent="0.25">
      <c r="B1303">
        <v>37</v>
      </c>
      <c r="C1303">
        <v>142.5</v>
      </c>
      <c r="D1303">
        <v>2</v>
      </c>
      <c r="E1303" s="18">
        <v>16031.034284205192</v>
      </c>
      <c r="F1303" s="18">
        <v>1532.3700077664575</v>
      </c>
      <c r="G1303" s="18">
        <v>-2881.011992098324</v>
      </c>
      <c r="H1303" s="12">
        <f>E1304</f>
      </c>
      <c r="I1303" s="12">
        <f>F1304</f>
      </c>
      <c r="J1303" s="12">
        <f>G1304</f>
      </c>
      <c r="K1303">
        <f>IF(AND(Pu&gt;=MIN(E1303,H1303),Pu&lt;=MAX(E1303,H1303),E1303&lt;&gt;H1303),1,0)</f>
      </c>
      <c r="L1303">
        <f>IF(K1303=1,(Pu-E1303)/(H1303-E1303),"")</f>
      </c>
      <c r="M1303" s="12">
        <f>IF(K1303=1,F1303+L1303*(I1303-F1303),"")</f>
      </c>
      <c r="N1303" s="12">
        <f>IF(K1303=1,G1303+L1303*(J1303-G1303),"")</f>
      </c>
    </row>
    <row r="1304" spans="2:14" x14ac:dyDescent="0.25">
      <c r="B1304">
        <v>37</v>
      </c>
      <c r="C1304">
        <v>142.5</v>
      </c>
      <c r="D1304">
        <v>3</v>
      </c>
      <c r="E1304" s="18">
        <v>14056.067100767774</v>
      </c>
      <c r="F1304" s="18">
        <v>1834.0641143833318</v>
      </c>
      <c r="G1304" s="18">
        <v>-3353.656603413953</v>
      </c>
      <c r="H1304" s="12">
        <f>E1305</f>
      </c>
      <c r="I1304" s="12">
        <f>F1305</f>
      </c>
      <c r="J1304" s="12">
        <f>G1305</f>
      </c>
      <c r="K1304">
        <f>IF(AND(Pu&gt;=MIN(E1304,H1304),Pu&lt;=MAX(E1304,H1304),E1304&lt;&gt;H1304),1,0)</f>
      </c>
      <c r="L1304">
        <f>IF(K1304=1,(Pu-E1304)/(H1304-E1304),"")</f>
      </c>
      <c r="M1304" s="12">
        <f>IF(K1304=1,F1304+L1304*(I1304-F1304),"")</f>
      </c>
      <c r="N1304" s="12">
        <f>IF(K1304=1,G1304+L1304*(J1304-G1304),"")</f>
      </c>
    </row>
    <row r="1305" spans="2:14" x14ac:dyDescent="0.25">
      <c r="B1305">
        <v>37</v>
      </c>
      <c r="C1305">
        <v>142.5</v>
      </c>
      <c r="D1305">
        <v>4</v>
      </c>
      <c r="E1305" s="18">
        <v>11981.939232214976</v>
      </c>
      <c r="F1305" s="18">
        <v>2114.5602207116863</v>
      </c>
      <c r="G1305" s="18">
        <v>-3607.5846896788903</v>
      </c>
      <c r="H1305" s="12">
        <f>E1306</f>
      </c>
      <c r="I1305" s="12">
        <f>F1306</f>
      </c>
      <c r="J1305" s="12">
        <f>G1306</f>
      </c>
      <c r="K1305">
        <f>IF(AND(Pu&gt;=MIN(E1305,H1305),Pu&lt;=MAX(E1305,H1305),E1305&lt;&gt;H1305),1,0)</f>
      </c>
      <c r="L1305">
        <f>IF(K1305=1,(Pu-E1305)/(H1305-E1305),"")</f>
      </c>
      <c r="M1305" s="12">
        <f>IF(K1305=1,F1305+L1305*(I1305-F1305),"")</f>
      </c>
      <c r="N1305" s="12">
        <f>IF(K1305=1,G1305+L1305*(J1305-G1305),"")</f>
      </c>
    </row>
    <row r="1306" spans="2:14" x14ac:dyDescent="0.25">
      <c r="B1306">
        <v>37</v>
      </c>
      <c r="C1306">
        <v>142.5</v>
      </c>
      <c r="D1306">
        <v>5</v>
      </c>
      <c r="E1306" s="18">
        <v>10073.117279584716</v>
      </c>
      <c r="F1306" s="18">
        <v>2245.7853829052237</v>
      </c>
      <c r="G1306" s="18">
        <v>-3769.8750508149633</v>
      </c>
      <c r="H1306" s="12">
        <f>E1307</f>
      </c>
      <c r="I1306" s="12">
        <f>F1307</f>
      </c>
      <c r="J1306" s="12">
        <f>G1307</f>
      </c>
      <c r="K1306">
        <f>IF(AND(Pu&gt;=MIN(E1306,H1306),Pu&lt;=MAX(E1306,H1306),E1306&lt;&gt;H1306),1,0)</f>
      </c>
      <c r="L1306">
        <f>IF(K1306=1,(Pu-E1306)/(H1306-E1306),"")</f>
      </c>
      <c r="M1306" s="12">
        <f>IF(K1306=1,F1306+L1306*(I1306-F1306),"")</f>
      </c>
      <c r="N1306" s="12">
        <f>IF(K1306=1,G1306+L1306*(J1306-G1306),"")</f>
      </c>
    </row>
    <row r="1307" spans="2:14" x14ac:dyDescent="0.25">
      <c r="B1307">
        <v>37</v>
      </c>
      <c r="C1307">
        <v>142.5</v>
      </c>
      <c r="D1307">
        <v>6</v>
      </c>
      <c r="E1307" s="18">
        <v>8773.07022351979</v>
      </c>
      <c r="F1307" s="18">
        <v>2278.433139024345</v>
      </c>
      <c r="G1307" s="18">
        <v>-3851.669575461793</v>
      </c>
      <c r="H1307" s="12">
        <f>E1308</f>
      </c>
      <c r="I1307" s="12">
        <f>F1308</f>
      </c>
      <c r="J1307" s="12">
        <f>G1308</f>
      </c>
      <c r="K1307">
        <f>IF(AND(Pu&gt;=MIN(E1307,H1307),Pu&lt;=MAX(E1307,H1307),E1307&lt;&gt;H1307),1,0)</f>
      </c>
      <c r="L1307">
        <f>IF(K1307=1,(Pu-E1307)/(H1307-E1307),"")</f>
      </c>
      <c r="M1307" s="12">
        <f>IF(K1307=1,F1307+L1307*(I1307-F1307),"")</f>
      </c>
      <c r="N1307" s="12">
        <f>IF(K1307=1,G1307+L1307*(J1307-G1307),"")</f>
      </c>
    </row>
    <row r="1308" spans="2:14" x14ac:dyDescent="0.25">
      <c r="B1308">
        <v>37</v>
      </c>
      <c r="C1308">
        <v>142.5</v>
      </c>
      <c r="D1308">
        <v>7</v>
      </c>
      <c r="E1308" s="18">
        <v>8518.961820789427</v>
      </c>
      <c r="F1308" s="18">
        <v>2290.4944385136264</v>
      </c>
      <c r="G1308" s="18">
        <v>-3905.7834679178864</v>
      </c>
      <c r="H1308" s="12">
        <f>E1309</f>
      </c>
      <c r="I1308" s="12">
        <f>F1309</f>
      </c>
      <c r="J1308" s="12">
        <f>G1309</f>
      </c>
      <c r="K1308">
        <f>IF(AND(Pu&gt;=MIN(E1308,H1308),Pu&lt;=MAX(E1308,H1308),E1308&lt;&gt;H1308),1,0)</f>
      </c>
      <c r="L1308">
        <f>IF(K1308=1,(Pu-E1308)/(H1308-E1308),"")</f>
      </c>
      <c r="M1308" s="12">
        <f>IF(K1308=1,F1308+L1308*(I1308-F1308),"")</f>
      </c>
      <c r="N1308" s="12">
        <f>IF(K1308=1,G1308+L1308*(J1308-G1308),"")</f>
      </c>
    </row>
    <row r="1309" spans="2:14" x14ac:dyDescent="0.25">
      <c r="B1309">
        <v>37</v>
      </c>
      <c r="C1309">
        <v>142.5</v>
      </c>
      <c r="D1309">
        <v>8</v>
      </c>
      <c r="E1309" s="18">
        <v>7861.196735605935</v>
      </c>
      <c r="F1309" s="18">
        <v>2313.8278406447744</v>
      </c>
      <c r="G1309" s="18">
        <v>-4048.9292875322967</v>
      </c>
      <c r="H1309" s="12">
        <f>E1310</f>
      </c>
      <c r="I1309" s="12">
        <f>F1310</f>
      </c>
      <c r="J1309" s="12">
        <f>G1310</f>
      </c>
      <c r="K1309">
        <f>IF(AND(Pu&gt;=MIN(E1309,H1309),Pu&lt;=MAX(E1309,H1309),E1309&lt;&gt;H1309),1,0)</f>
      </c>
      <c r="L1309">
        <f>IF(K1309=1,(Pu-E1309)/(H1309-E1309),"")</f>
      </c>
      <c r="M1309" s="12">
        <f>IF(K1309=1,F1309+L1309*(I1309-F1309),"")</f>
      </c>
      <c r="N1309" s="12">
        <f>IF(K1309=1,G1309+L1309*(J1309-G1309),"")</f>
      </c>
    </row>
    <row r="1310" spans="2:14" x14ac:dyDescent="0.25">
      <c r="B1310">
        <v>37</v>
      </c>
      <c r="C1310">
        <v>142.5</v>
      </c>
      <c r="D1310">
        <v>9</v>
      </c>
      <c r="E1310" s="18">
        <v>7474.701719620837</v>
      </c>
      <c r="F1310" s="18">
        <v>2316.3461041312034</v>
      </c>
      <c r="G1310" s="18">
        <v>-4123.676905863724</v>
      </c>
      <c r="H1310" s="12">
        <f>E1311</f>
      </c>
      <c r="I1310" s="12">
        <f>F1311</f>
      </c>
      <c r="J1310" s="12">
        <f>G1311</f>
      </c>
      <c r="K1310">
        <f>IF(AND(Pu&gt;=MIN(E1310,H1310),Pu&lt;=MAX(E1310,H1310),E1310&lt;&gt;H1310),1,0)</f>
      </c>
      <c r="L1310">
        <f>IF(K1310=1,(Pu-E1310)/(H1310-E1310),"")</f>
      </c>
      <c r="M1310" s="12">
        <f>IF(K1310=1,F1310+L1310*(I1310-F1310),"")</f>
      </c>
      <c r="N1310" s="12">
        <f>IF(K1310=1,G1310+L1310*(J1310-G1310),"")</f>
      </c>
    </row>
    <row r="1311" spans="2:14" x14ac:dyDescent="0.25">
      <c r="B1311">
        <v>37</v>
      </c>
      <c r="C1311">
        <v>142.5</v>
      </c>
      <c r="D1311">
        <v>10</v>
      </c>
      <c r="E1311" s="18">
        <v>7119.887847977936</v>
      </c>
      <c r="F1311" s="18">
        <v>2318.914566069974</v>
      </c>
      <c r="G1311" s="18">
        <v>-4187.884156629038</v>
      </c>
      <c r="H1311" s="12">
        <f>E1312</f>
      </c>
      <c r="I1311" s="12">
        <f>F1312</f>
      </c>
      <c r="J1311" s="12">
        <f>G1312</f>
      </c>
      <c r="K1311">
        <f>IF(AND(Pu&gt;=MIN(E1311,H1311),Pu&lt;=MAX(E1311,H1311),E1311&lt;&gt;H1311),1,0)</f>
      </c>
      <c r="L1311">
        <f>IF(K1311=1,(Pu-E1311)/(H1311-E1311),"")</f>
      </c>
      <c r="M1311" s="12">
        <f>IF(K1311=1,F1311+L1311*(I1311-F1311),"")</f>
      </c>
      <c r="N1311" s="12">
        <f>IF(K1311=1,G1311+L1311*(J1311-G1311),"")</f>
      </c>
    </row>
    <row r="1312" spans="2:14" x14ac:dyDescent="0.25">
      <c r="B1312">
        <v>37</v>
      </c>
      <c r="C1312">
        <v>142.5</v>
      </c>
      <c r="D1312">
        <v>11</v>
      </c>
      <c r="E1312" s="18">
        <v>6681.172053710413</v>
      </c>
      <c r="F1312" s="18">
        <v>2330.7801603271305</v>
      </c>
      <c r="G1312" s="18">
        <v>-4264.763508380164</v>
      </c>
      <c r="H1312" s="12">
        <f>E1313</f>
      </c>
      <c r="I1312" s="12">
        <f>F1313</f>
      </c>
      <c r="J1312" s="12">
        <f>G1313</f>
      </c>
      <c r="K1312">
        <f>IF(AND(Pu&gt;=MIN(E1312,H1312),Pu&lt;=MAX(E1312,H1312),E1312&lt;&gt;H1312),1,0)</f>
      </c>
      <c r="L1312">
        <f>IF(K1312=1,(Pu-E1312)/(H1312-E1312),"")</f>
      </c>
      <c r="M1312" s="12">
        <f>IF(K1312=1,F1312+L1312*(I1312-F1312),"")</f>
      </c>
      <c r="N1312" s="12">
        <f>IF(K1312=1,G1312+L1312*(J1312-G1312),"")</f>
      </c>
    </row>
    <row r="1313" spans="2:14" x14ac:dyDescent="0.25">
      <c r="B1313">
        <v>37</v>
      </c>
      <c r="C1313">
        <v>142.5</v>
      </c>
      <c r="D1313">
        <v>12</v>
      </c>
      <c r="E1313" s="18">
        <v>6512.830740455847</v>
      </c>
      <c r="F1313" s="18">
        <v>2329.780605955606</v>
      </c>
      <c r="G1313" s="18">
        <v>-4289.156631181019</v>
      </c>
      <c r="H1313" s="12">
        <f>E1314</f>
      </c>
      <c r="I1313" s="12">
        <f>F1314</f>
      </c>
      <c r="J1313" s="12">
        <f>G1314</f>
      </c>
      <c r="K1313">
        <f>IF(AND(Pu&gt;=MIN(E1313,H1313),Pu&lt;=MAX(E1313,H1313),E1313&lt;&gt;H1313),1,0)</f>
      </c>
      <c r="L1313">
        <f>IF(K1313=1,(Pu-E1313)/(H1313-E1313),"")</f>
      </c>
      <c r="M1313" s="12">
        <f>IF(K1313=1,F1313+L1313*(I1313-F1313),"")</f>
      </c>
      <c r="N1313" s="12">
        <f>IF(K1313=1,G1313+L1313*(J1313-G1313),"")</f>
      </c>
    </row>
    <row r="1314" spans="2:14" x14ac:dyDescent="0.25">
      <c r="B1314">
        <v>37</v>
      </c>
      <c r="C1314">
        <v>142.5</v>
      </c>
      <c r="D1314">
        <v>13</v>
      </c>
      <c r="E1314" s="18">
        <v>6009.031890328884</v>
      </c>
      <c r="F1314" s="18">
        <v>2331.432684213403</v>
      </c>
      <c r="G1314" s="18">
        <v>-4361.217433010268</v>
      </c>
      <c r="H1314" s="12">
        <f>E1315</f>
      </c>
      <c r="I1314" s="12">
        <f>F1315</f>
      </c>
      <c r="J1314" s="12">
        <f>G1315</f>
      </c>
      <c r="K1314">
        <f>IF(AND(Pu&gt;=MIN(E1314,H1314),Pu&lt;=MAX(E1314,H1314),E1314&lt;&gt;H1314),1,0)</f>
      </c>
      <c r="L1314">
        <f>IF(K1314=1,(Pu-E1314)/(H1314-E1314),"")</f>
      </c>
      <c r="M1314" s="12">
        <f>IF(K1314=1,F1314+L1314*(I1314-F1314),"")</f>
      </c>
      <c r="N1314" s="12">
        <f>IF(K1314=1,G1314+L1314*(J1314-G1314),"")</f>
      </c>
    </row>
    <row r="1315" spans="2:14" x14ac:dyDescent="0.25">
      <c r="B1315">
        <v>37</v>
      </c>
      <c r="C1315">
        <v>142.5</v>
      </c>
      <c r="D1315">
        <v>14</v>
      </c>
      <c r="E1315" s="18">
        <v>6000.326561328588</v>
      </c>
      <c r="F1315" s="18">
        <v>2331.5372367727437</v>
      </c>
      <c r="G1315" s="18">
        <v>-4362.458028376062</v>
      </c>
      <c r="H1315" s="12">
        <f>E1316</f>
      </c>
      <c r="I1315" s="12">
        <f>F1316</f>
      </c>
      <c r="J1315" s="12">
        <f>G1316</f>
      </c>
      <c r="K1315">
        <f>IF(AND(Pu&gt;=MIN(E1315,H1315),Pu&lt;=MAX(E1315,H1315),E1315&lt;&gt;H1315),1,0)</f>
      </c>
      <c r="L1315">
        <f>IF(K1315=1,(Pu-E1315)/(H1315-E1315),"")</f>
      </c>
      <c r="M1315" s="12">
        <f>IF(K1315=1,F1315+L1315*(I1315-F1315),"")</f>
      </c>
      <c r="N1315" s="12">
        <f>IF(K1315=1,G1315+L1315*(J1315-G1315),"")</f>
      </c>
    </row>
    <row r="1316" spans="2:14" x14ac:dyDescent="0.25">
      <c r="B1316">
        <v>37</v>
      </c>
      <c r="C1316">
        <v>142.5</v>
      </c>
      <c r="D1316">
        <v>15</v>
      </c>
      <c r="E1316" s="18">
        <v>5566.375342938827</v>
      </c>
      <c r="F1316" s="18">
        <v>2346.99943297438</v>
      </c>
      <c r="G1316" s="18">
        <v>-4411.319308969828</v>
      </c>
      <c r="H1316" s="12">
        <f>E1317</f>
      </c>
      <c r="I1316" s="12">
        <f>F1317</f>
      </c>
      <c r="J1316" s="12">
        <f>G1317</f>
      </c>
      <c r="K1316">
        <f>IF(AND(Pu&gt;=MIN(E1316,H1316),Pu&lt;=MAX(E1316,H1316),E1316&lt;&gt;H1316),1,0)</f>
      </c>
      <c r="L1316">
        <f>IF(K1316=1,(Pu-E1316)/(H1316-E1316),"")</f>
      </c>
      <c r="M1316" s="12">
        <f>IF(K1316=1,F1316+L1316*(I1316-F1316),"")</f>
      </c>
      <c r="N1316" s="12">
        <f>IF(K1316=1,G1316+L1316*(J1316-G1316),"")</f>
      </c>
    </row>
    <row r="1317" spans="2:14" x14ac:dyDescent="0.25">
      <c r="B1317">
        <v>37</v>
      </c>
      <c r="C1317">
        <v>142.5</v>
      </c>
      <c r="D1317">
        <v>16</v>
      </c>
      <c r="E1317" s="18">
        <v>5199.974010851178</v>
      </c>
      <c r="F1317" s="18">
        <v>2363.0152297430536</v>
      </c>
      <c r="G1317" s="18">
        <v>-4438.301777193385</v>
      </c>
      <c r="H1317" s="12">
        <f>E1318</f>
      </c>
      <c r="I1317" s="12">
        <f>F1318</f>
      </c>
      <c r="J1317" s="12">
        <f>G1318</f>
      </c>
      <c r="K1317">
        <f>IF(AND(Pu&gt;=MIN(E1317,H1317),Pu&lt;=MAX(E1317,H1317),E1317&lt;&gt;H1317),1,0)</f>
      </c>
      <c r="L1317">
        <f>IF(K1317=1,(Pu-E1317)/(H1317-E1317),"")</f>
      </c>
      <c r="M1317" s="12">
        <f>IF(K1317=1,F1317+L1317*(I1317-F1317),"")</f>
      </c>
      <c r="N1317" s="12">
        <f>IF(K1317=1,G1317+L1317*(J1317-G1317),"")</f>
      </c>
    </row>
    <row r="1318" spans="2:14" x14ac:dyDescent="0.25">
      <c r="B1318">
        <v>37</v>
      </c>
      <c r="C1318">
        <v>142.5</v>
      </c>
      <c r="D1318">
        <v>17</v>
      </c>
      <c r="E1318" s="18">
        <v>5036.049788124887</v>
      </c>
      <c r="F1318" s="18">
        <v>2374.539355868867</v>
      </c>
      <c r="G1318" s="18">
        <v>-4446.127697708687</v>
      </c>
      <c r="H1318" s="12">
        <f>E1319</f>
      </c>
      <c r="I1318" s="12">
        <f>F1319</f>
      </c>
      <c r="J1318" s="12">
        <f>G1319</f>
      </c>
      <c r="K1318">
        <f>IF(AND(Pu&gt;=MIN(E1318,H1318),Pu&lt;=MAX(E1318,H1318),E1318&lt;&gt;H1318),1,0)</f>
      </c>
      <c r="L1318">
        <f>IF(K1318=1,(Pu-E1318)/(H1318-E1318),"")</f>
      </c>
      <c r="M1318" s="12">
        <f>IF(K1318=1,F1318+L1318*(I1318-F1318),"")</f>
      </c>
      <c r="N1318" s="12">
        <f>IF(K1318=1,G1318+L1318*(J1318-G1318),"")</f>
      </c>
    </row>
    <row r="1319" spans="2:14" x14ac:dyDescent="0.25">
      <c r="B1319">
        <v>37</v>
      </c>
      <c r="C1319">
        <v>142.5</v>
      </c>
      <c r="D1319">
        <v>18</v>
      </c>
      <c r="E1319" s="18">
        <v>4847.142208209965</v>
      </c>
      <c r="F1319" s="18">
        <v>2389.7588131792486</v>
      </c>
      <c r="G1319" s="18">
        <v>-4451.5691278609465</v>
      </c>
      <c r="H1319" s="12">
        <f>E1320</f>
      </c>
      <c r="I1319" s="12">
        <f>F1320</f>
      </c>
      <c r="J1319" s="12">
        <f>G1320</f>
      </c>
      <c r="K1319">
        <f>IF(AND(Pu&gt;=MIN(E1319,H1319),Pu&lt;=MAX(E1319,H1319),E1319&lt;&gt;H1319),1,0)</f>
      </c>
      <c r="L1319">
        <f>IF(K1319=1,(Pu-E1319)/(H1319-E1319),"")</f>
      </c>
      <c r="M1319" s="12">
        <f>IF(K1319=1,F1319+L1319*(I1319-F1319),"")</f>
      </c>
      <c r="N1319" s="12">
        <f>IF(K1319=1,G1319+L1319*(J1319-G1319),"")</f>
      </c>
    </row>
    <row r="1320" spans="2:14" x14ac:dyDescent="0.25">
      <c r="B1320">
        <v>37</v>
      </c>
      <c r="C1320">
        <v>142.5</v>
      </c>
      <c r="D1320">
        <v>19</v>
      </c>
      <c r="E1320" s="18">
        <v>4528.0170294670215</v>
      </c>
      <c r="F1320" s="18">
        <v>2428.0624886544065</v>
      </c>
      <c r="G1320" s="18">
        <v>-4453.10397418385</v>
      </c>
      <c r="H1320" s="12">
        <f>E1321</f>
      </c>
      <c r="I1320" s="12">
        <f>F1321</f>
      </c>
      <c r="J1320" s="12">
        <f>G1321</f>
      </c>
      <c r="K1320">
        <f>IF(AND(Pu&gt;=MIN(E1320,H1320),Pu&lt;=MAX(E1320,H1320),E1320&lt;&gt;H1320),1,0)</f>
      </c>
      <c r="L1320">
        <f>IF(K1320=1,(Pu-E1320)/(H1320-E1320),"")</f>
      </c>
      <c r="M1320" s="12">
        <f>IF(K1320=1,F1320+L1320*(I1320-F1320),"")</f>
      </c>
      <c r="N1320" s="12">
        <f>IF(K1320=1,G1320+L1320*(J1320-G1320),"")</f>
      </c>
    </row>
    <row r="1321" spans="2:14" x14ac:dyDescent="0.25">
      <c r="B1321">
        <v>37</v>
      </c>
      <c r="C1321">
        <v>142.5</v>
      </c>
      <c r="D1321">
        <v>20</v>
      </c>
      <c r="E1321" s="18">
        <v>4515.240129831893</v>
      </c>
      <c r="F1321" s="18">
        <v>2428.7278123153324</v>
      </c>
      <c r="G1321" s="18">
        <v>-4453.186024962649</v>
      </c>
      <c r="H1321" s="12">
        <f>E1322</f>
      </c>
      <c r="I1321" s="12">
        <f>F1322</f>
      </c>
      <c r="J1321" s="12">
        <f>G1322</f>
      </c>
      <c r="K1321">
        <f>IF(AND(Pu&gt;=MIN(E1321,H1321),Pu&lt;=MAX(E1321,H1321),E1321&lt;&gt;H1321),1,0)</f>
      </c>
      <c r="L1321">
        <f>IF(K1321=1,(Pu-E1321)/(H1321-E1321),"")</f>
      </c>
      <c r="M1321" s="12">
        <f>IF(K1321=1,F1321+L1321*(I1321-F1321),"")</f>
      </c>
      <c r="N1321" s="12">
        <f>IF(K1321=1,G1321+L1321*(J1321-G1321),"")</f>
      </c>
    </row>
    <row r="1322" spans="2:14" x14ac:dyDescent="0.25">
      <c r="B1322">
        <v>37</v>
      </c>
      <c r="C1322">
        <v>142.5</v>
      </c>
      <c r="D1322">
        <v>21</v>
      </c>
      <c r="E1322" s="18">
        <v>3851.025987064097</v>
      </c>
      <c r="F1322" s="18">
        <v>2340.657845749772</v>
      </c>
      <c r="G1322" s="18">
        <v>-4261.371542055722</v>
      </c>
      <c r="H1322" s="12">
        <f>E1323</f>
      </c>
      <c r="I1322" s="12">
        <f>F1323</f>
      </c>
      <c r="J1322" s="12">
        <f>G1323</f>
      </c>
      <c r="K1322">
        <f>IF(AND(Pu&gt;=MIN(E1322,H1322),Pu&lt;=MAX(E1322,H1322),E1322&lt;&gt;H1322),1,0)</f>
      </c>
      <c r="L1322">
        <f>IF(K1322=1,(Pu-E1322)/(H1322-E1322),"")</f>
      </c>
      <c r="M1322" s="12">
        <f>IF(K1322=1,F1322+L1322*(I1322-F1322),"")</f>
      </c>
      <c r="N1322" s="12">
        <f>IF(K1322=1,G1322+L1322*(J1322-G1322),"")</f>
      </c>
    </row>
    <row r="1323" spans="2:14" x14ac:dyDescent="0.25">
      <c r="B1323">
        <v>37</v>
      </c>
      <c r="C1323">
        <v>142.5</v>
      </c>
      <c r="D1323">
        <v>22</v>
      </c>
      <c r="E1323" s="18">
        <v>2722.510462739408</v>
      </c>
      <c r="F1323" s="18">
        <v>2177.494485184503</v>
      </c>
      <c r="G1323" s="18">
        <v>-3903.3996098000907</v>
      </c>
      <c r="H1323" s="12">
        <f>E1324</f>
      </c>
      <c r="I1323" s="12">
        <f>F1324</f>
      </c>
      <c r="J1323" s="12">
        <f>G1324</f>
      </c>
      <c r="K1323">
        <f>IF(AND(Pu&gt;=MIN(E1323,H1323),Pu&lt;=MAX(E1323,H1323),E1323&lt;&gt;H1323),1,0)</f>
      </c>
      <c r="L1323">
        <f>IF(K1323=1,(Pu-E1323)/(H1323-E1323),"")</f>
      </c>
      <c r="M1323" s="12">
        <f>IF(K1323=1,F1323+L1323*(I1323-F1323),"")</f>
      </c>
      <c r="N1323" s="12">
        <f>IF(K1323=1,G1323+L1323*(J1323-G1323),"")</f>
      </c>
    </row>
    <row r="1324" spans="2:14" x14ac:dyDescent="0.25">
      <c r="B1324">
        <v>37</v>
      </c>
      <c r="C1324">
        <v>142.5</v>
      </c>
      <c r="D1324">
        <v>23</v>
      </c>
      <c r="E1324" s="18">
        <v>1900.5612818092181</v>
      </c>
      <c r="F1324" s="18">
        <v>2016.5927912915413</v>
      </c>
      <c r="G1324" s="18">
        <v>-3588.273124965318</v>
      </c>
      <c r="H1324" s="12">
        <f>E1325</f>
      </c>
      <c r="I1324" s="12">
        <f>F1325</f>
      </c>
      <c r="J1324" s="12">
        <f>G1325</f>
      </c>
      <c r="K1324">
        <f>IF(AND(Pu&gt;=MIN(E1324,H1324),Pu&lt;=MAX(E1324,H1324),E1324&lt;&gt;H1324),1,0)</f>
      </c>
      <c r="L1324">
        <f>IF(K1324=1,(Pu-E1324)/(H1324-E1324),"")</f>
      </c>
      <c r="M1324" s="12">
        <f>IF(K1324=1,F1324+L1324*(I1324-F1324),"")</f>
      </c>
      <c r="N1324" s="12">
        <f>IF(K1324=1,G1324+L1324*(J1324-G1324),"")</f>
      </c>
    </row>
    <row r="1325" spans="2:14" x14ac:dyDescent="0.25">
      <c r="B1325">
        <v>37</v>
      </c>
      <c r="C1325">
        <v>142.5</v>
      </c>
      <c r="D1325">
        <v>24</v>
      </c>
      <c r="E1325" s="18">
        <v>1219.6368387583634</v>
      </c>
      <c r="F1325" s="18">
        <v>1866.0255574306502</v>
      </c>
      <c r="G1325" s="18">
        <v>-3322.2150856324233</v>
      </c>
      <c r="H1325" s="12">
        <f>E1326</f>
      </c>
      <c r="I1325" s="12">
        <f>F1326</f>
      </c>
      <c r="J1325" s="12">
        <f>G1326</f>
      </c>
      <c r="K1325">
        <f>IF(AND(Pu&gt;=MIN(E1325,H1325),Pu&lt;=MAX(E1325,H1325),E1325&lt;&gt;H1325),1,0)</f>
      </c>
      <c r="L1325">
        <f>IF(K1325=1,(Pu-E1325)/(H1325-E1325),"")</f>
      </c>
      <c r="M1325" s="12">
        <f>IF(K1325=1,F1325+L1325*(I1325-F1325),"")</f>
      </c>
      <c r="N1325" s="12">
        <f>IF(K1325=1,G1325+L1325*(J1325-G1325),"")</f>
      </c>
    </row>
    <row r="1326" spans="2:14" x14ac:dyDescent="0.25">
      <c r="B1326">
        <v>37</v>
      </c>
      <c r="C1326">
        <v>142.5</v>
      </c>
      <c r="D1326">
        <v>25</v>
      </c>
      <c r="E1326" s="18">
        <v>118.27386586423091</v>
      </c>
      <c r="F1326" s="18">
        <v>1628.2604160421881</v>
      </c>
      <c r="G1326" s="18">
        <v>-2815.4592902228287</v>
      </c>
      <c r="H1326" s="12">
        <f>E1327</f>
      </c>
      <c r="I1326" s="12">
        <f>F1327</f>
      </c>
      <c r="J1326" s="12">
        <f>G1327</f>
      </c>
      <c r="K1326">
        <f>IF(AND(Pu&gt;=MIN(E1326,H1326),Pu&lt;=MAX(E1326,H1326),E1326&lt;&gt;H1326),1,0)</f>
      </c>
      <c r="L1326">
        <f>IF(K1326=1,(Pu-E1326)/(H1326-E1326),"")</f>
      </c>
      <c r="M1326" s="12">
        <f>IF(K1326=1,F1326+L1326*(I1326-F1326),"")</f>
      </c>
      <c r="N1326" s="12">
        <f>IF(K1326=1,G1326+L1326*(J1326-G1326),"")</f>
      </c>
    </row>
    <row r="1327" spans="2:14" x14ac:dyDescent="0.25">
      <c r="B1327">
        <v>37</v>
      </c>
      <c r="C1327">
        <v>142.5</v>
      </c>
      <c r="D1327">
        <v>26</v>
      </c>
      <c r="E1327" s="18">
        <v>-756.9528368067168</v>
      </c>
      <c r="F1327" s="18">
        <v>1436.0524971655782</v>
      </c>
      <c r="G1327" s="18">
        <v>-2385.8837014465034</v>
      </c>
      <c r="H1327" s="12">
        <f>E1328</f>
      </c>
      <c r="I1327" s="12">
        <f>F1328</f>
      </c>
      <c r="J1327" s="12">
        <f>G1328</f>
      </c>
      <c r="K1327">
        <f>IF(AND(Pu&gt;=MIN(E1327,H1327),Pu&lt;=MAX(E1327,H1327),E1327&lt;&gt;H1327),1,0)</f>
      </c>
      <c r="L1327">
        <f>IF(K1327=1,(Pu-E1327)/(H1327-E1327),"")</f>
      </c>
      <c r="M1327" s="12">
        <f>IF(K1327=1,F1327+L1327*(I1327-F1327),"")</f>
      </c>
      <c r="N1327" s="12">
        <f>IF(K1327=1,G1327+L1327*(J1327-G1327),"")</f>
      </c>
    </row>
    <row r="1328" spans="2:14" x14ac:dyDescent="0.25">
      <c r="B1328">
        <v>37</v>
      </c>
      <c r="C1328">
        <v>142.5</v>
      </c>
      <c r="D1328">
        <v>27</v>
      </c>
      <c r="E1328" s="18">
        <v>-1408.817274496146</v>
      </c>
      <c r="F1328" s="18">
        <v>1248.900760240161</v>
      </c>
      <c r="G1328" s="18">
        <v>-2049.3518824605403</v>
      </c>
      <c r="H1328" s="12">
        <f>E1329</f>
      </c>
      <c r="I1328" s="12">
        <f>F1329</f>
      </c>
      <c r="J1328" s="12">
        <f>G1329</f>
      </c>
      <c r="K1328">
        <f>IF(AND(Pu&gt;=MIN(E1328,H1328),Pu&lt;=MAX(E1328,H1328),E1328&lt;&gt;H1328),1,0)</f>
      </c>
      <c r="L1328">
        <f>IF(K1328=1,(Pu-E1328)/(H1328-E1328),"")</f>
      </c>
      <c r="M1328" s="12">
        <f>IF(K1328=1,F1328+L1328*(I1328-F1328),"")</f>
      </c>
      <c r="N1328" s="12">
        <f>IF(K1328=1,G1328+L1328*(J1328-G1328),"")</f>
      </c>
    </row>
    <row r="1329" spans="2:14" x14ac:dyDescent="0.25">
      <c r="B1329">
        <v>37</v>
      </c>
      <c r="C1329">
        <v>142.5</v>
      </c>
      <c r="D1329">
        <v>28</v>
      </c>
      <c r="E1329" s="18">
        <v>-1981.5362572786967</v>
      </c>
      <c r="F1329" s="18">
        <v>1082.6840971674828</v>
      </c>
      <c r="G1329" s="18">
        <v>-1745.6102181649364</v>
      </c>
      <c r="H1329" s="12">
        <f>E1330</f>
      </c>
      <c r="I1329" s="12">
        <f>F1330</f>
      </c>
      <c r="J1329" s="12">
        <f>G1330</f>
      </c>
      <c r="K1329">
        <f>IF(AND(Pu&gt;=MIN(E1329,H1329),Pu&lt;=MAX(E1329,H1329),E1329&lt;&gt;H1329),1,0)</f>
      </c>
      <c r="L1329">
        <f>IF(K1329=1,(Pu-E1329)/(H1329-E1329),"")</f>
      </c>
      <c r="M1329" s="12">
        <f>IF(K1329=1,F1329+L1329*(I1329-F1329),"")</f>
      </c>
      <c r="N1329" s="12">
        <f>IF(K1329=1,G1329+L1329*(J1329-G1329),"")</f>
      </c>
    </row>
    <row r="1330" spans="2:14" x14ac:dyDescent="0.25">
      <c r="B1330">
        <v>37</v>
      </c>
      <c r="C1330">
        <v>142.5</v>
      </c>
      <c r="D1330">
        <v>29</v>
      </c>
      <c r="E1330" s="18">
        <v>-2738.488683948811</v>
      </c>
      <c r="F1330" s="18">
        <v>836.6419332264651</v>
      </c>
      <c r="G1330" s="18">
        <v>-1327.2730990723533</v>
      </c>
      <c r="H1330" s="12">
        <f>E1331</f>
      </c>
      <c r="I1330" s="12">
        <f>F1331</f>
      </c>
      <c r="J1330" s="12">
        <f>G1331</f>
      </c>
      <c r="K1330">
        <f>IF(AND(Pu&gt;=MIN(E1330,H1330),Pu&lt;=MAX(E1330,H1330),E1330&lt;&gt;H1330),1,0)</f>
      </c>
      <c r="L1330">
        <f>IF(K1330=1,(Pu-E1330)/(H1330-E1330),"")</f>
      </c>
      <c r="M1330" s="12">
        <f>IF(K1330=1,F1330+L1330*(I1330-F1330),"")</f>
      </c>
      <c r="N1330" s="12">
        <f>IF(K1330=1,G1330+L1330*(J1330-G1330),"")</f>
      </c>
    </row>
    <row r="1331" spans="2:14" x14ac:dyDescent="0.25">
      <c r="B1331">
        <v>37</v>
      </c>
      <c r="C1331">
        <v>142.5</v>
      </c>
      <c r="D1331">
        <v>30</v>
      </c>
      <c r="E1331" s="18">
        <v>-3244.8512930037314</v>
      </c>
      <c r="F1331" s="18">
        <v>662.7801828525203</v>
      </c>
      <c r="G1331" s="18">
        <v>-1033.1448626111346</v>
      </c>
      <c r="H1331" s="12">
        <f>E1332</f>
      </c>
      <c r="I1331" s="12">
        <f>F1332</f>
      </c>
      <c r="J1331" s="12">
        <f>G1332</f>
      </c>
      <c r="K1331">
        <f>IF(AND(Pu&gt;=MIN(E1331,H1331),Pu&lt;=MAX(E1331,H1331),E1331&lt;&gt;H1331),1,0)</f>
      </c>
      <c r="L1331">
        <f>IF(K1331=1,(Pu-E1331)/(H1331-E1331),"")</f>
      </c>
      <c r="M1331" s="12">
        <f>IF(K1331=1,F1331+L1331*(I1331-F1331),"")</f>
      </c>
      <c r="N1331" s="12">
        <f>IF(K1331=1,G1331+L1331*(J1331-G1331),"")</f>
      </c>
    </row>
    <row r="1332" spans="2:14" x14ac:dyDescent="0.25">
      <c r="B1332">
        <v>37</v>
      </c>
      <c r="C1332">
        <v>142.5</v>
      </c>
      <c r="D1332">
        <v>31</v>
      </c>
      <c r="E1332" s="18">
        <v>-3892.0786289639914</v>
      </c>
      <c r="F1332" s="18">
        <v>412.97729825960346</v>
      </c>
      <c r="G1332" s="18">
        <v>-665.0858043621272</v>
      </c>
      <c r="H1332" s="12">
        <f>E1333</f>
      </c>
      <c r="I1332" s="12">
        <f>F1333</f>
      </c>
      <c r="J1332" s="12">
        <f>G1333</f>
      </c>
      <c r="K1332">
        <f>IF(AND(Pu&gt;=MIN(E1332,H1332),Pu&lt;=MAX(E1332,H1332),E1332&lt;&gt;H1332),1,0)</f>
      </c>
      <c r="L1332">
        <f>IF(K1332=1,(Pu-E1332)/(H1332-E1332),"")</f>
      </c>
      <c r="M1332" s="12">
        <f>IF(K1332=1,F1332+L1332*(I1332-F1332),"")</f>
      </c>
      <c r="N1332" s="12">
        <f>IF(K1332=1,G1332+L1332*(J1332-G1332),"")</f>
      </c>
    </row>
    <row r="1333" spans="2:14" x14ac:dyDescent="0.25">
      <c r="B1333">
        <v>37</v>
      </c>
      <c r="C1333">
        <v>142.5</v>
      </c>
      <c r="D1333">
        <v>32</v>
      </c>
      <c r="E1333" s="18">
        <v>-4195.364875586088</v>
      </c>
      <c r="F1333" s="18">
        <v>293.67157962480934</v>
      </c>
      <c r="G1333" s="18">
        <v>-477.5502340120387</v>
      </c>
      <c r="H1333" s="12">
        <f>E1334</f>
      </c>
      <c r="I1333" s="12">
        <f>F1334</f>
      </c>
      <c r="J1333" s="12">
        <f>G1334</f>
      </c>
      <c r="K1333">
        <f>IF(AND(Pu&gt;=MIN(E1333,H1333),Pu&lt;=MAX(E1333,H1333),E1333&lt;&gt;H1333),1,0)</f>
      </c>
      <c r="L1333">
        <f>IF(K1333=1,(Pu-E1333)/(H1333-E1333),"")</f>
      </c>
      <c r="M1333" s="12">
        <f>IF(K1333=1,F1333+L1333*(I1333-F1333),"")</f>
      </c>
      <c r="N1333" s="12">
        <f>IF(K1333=1,G1333+L1333*(J1333-G1333),"")</f>
      </c>
    </row>
    <row r="1334" spans="2:14" x14ac:dyDescent="0.25">
      <c r="B1334">
        <v>37</v>
      </c>
      <c r="C1334">
        <v>142.5</v>
      </c>
      <c r="D1334">
        <v>33</v>
      </c>
      <c r="E1334" s="18">
        <v>-4642.1517605796125</v>
      </c>
      <c r="F1334" s="18">
        <v>127.16432927884003</v>
      </c>
      <c r="G1334" s="18">
        <v>-185.34484120457643</v>
      </c>
      <c r="H1334" s="12">
        <f>E1335</f>
      </c>
      <c r="I1334" s="12">
        <f>F1335</f>
      </c>
      <c r="J1334" s="12">
        <f>G1335</f>
      </c>
      <c r="K1334">
        <f>IF(AND(Pu&gt;=MIN(E1334,H1334),Pu&lt;=MAX(E1334,H1334),E1334&lt;&gt;H1334),1,0)</f>
      </c>
      <c r="L1334">
        <f>IF(K1334=1,(Pu-E1334)/(H1334-E1334),"")</f>
      </c>
      <c r="M1334" s="12">
        <f>IF(K1334=1,F1334+L1334*(I1334-F1334),"")</f>
      </c>
      <c r="N1334" s="12">
        <f>IF(K1334=1,G1334+L1334*(J1334-G1334),"")</f>
      </c>
    </row>
    <row r="1335" spans="2:7" x14ac:dyDescent="0.25">
      <c r="B1335">
        <v>37</v>
      </c>
      <c r="C1335">
        <v>142.5</v>
      </c>
      <c r="D1335">
        <v>34</v>
      </c>
      <c r="E1335" s="18">
        <v>-4747.449212554726</v>
      </c>
      <c r="F1335" s="18">
        <v>78.82192243246666</v>
      </c>
      <c r="G1335" s="18">
        <v>-117.75586478571397</v>
      </c>
    </row>
    <row r="1337" spans="2:14" x14ac:dyDescent="0.25">
      <c r="B1337">
        <v>38</v>
      </c>
      <c r="C1337">
        <v>150.00000000000003</v>
      </c>
      <c r="D1337">
        <v>1</v>
      </c>
      <c r="E1337" s="18">
        <v>16949.26077094792</v>
      </c>
      <c r="F1337" s="18">
        <v>1136.516022669311</v>
      </c>
      <c r="G1337" s="18">
        <v>-2731.6233415084075</v>
      </c>
      <c r="H1337" s="12">
        <f>E1338</f>
      </c>
      <c r="I1337" s="12">
        <f>F1338</f>
      </c>
      <c r="J1337" s="12">
        <f>G1338</f>
      </c>
      <c r="K1337">
        <f>IF(AND(Pu&gt;=MIN(E1337,H1337),Pu&lt;=MAX(E1337,H1337),E1337&lt;&gt;H1337),1,0)</f>
      </c>
      <c r="L1337">
        <f>IF(K1337=1,(Pu-E1337)/(H1337-E1337),"")</f>
      </c>
      <c r="M1337" s="12">
        <f>IF(K1337=1,F1337+L1337*(I1337-F1337),"")</f>
      </c>
      <c r="N1337" s="12">
        <f>IF(K1337=1,G1337+L1337*(J1337-G1337),"")</f>
      </c>
    </row>
    <row r="1338" spans="2:14" x14ac:dyDescent="0.25">
      <c r="B1338">
        <v>38</v>
      </c>
      <c r="C1338">
        <v>150.00000000000003</v>
      </c>
      <c r="D1338">
        <v>2</v>
      </c>
      <c r="E1338" s="18">
        <v>15945.736422416207</v>
      </c>
      <c r="F1338" s="18">
        <v>1220.295850237285</v>
      </c>
      <c r="G1338" s="18">
        <v>-3123.208121018222</v>
      </c>
      <c r="H1338" s="12">
        <f>E1339</f>
      </c>
      <c r="I1338" s="12">
        <f>F1339</f>
      </c>
      <c r="J1338" s="12">
        <f>G1339</f>
      </c>
      <c r="K1338">
        <f>IF(AND(Pu&gt;=MIN(E1338,H1338),Pu&lt;=MAX(E1338,H1338),E1338&lt;&gt;H1338),1,0)</f>
      </c>
      <c r="L1338">
        <f>IF(K1338=1,(Pu-E1338)/(H1338-E1338),"")</f>
      </c>
      <c r="M1338" s="12">
        <f>IF(K1338=1,F1338+L1338*(I1338-F1338),"")</f>
      </c>
      <c r="N1338" s="12">
        <f>IF(K1338=1,G1338+L1338*(J1338-G1338),"")</f>
      </c>
    </row>
    <row r="1339" spans="2:14" x14ac:dyDescent="0.25">
      <c r="B1339">
        <v>38</v>
      </c>
      <c r="C1339">
        <v>150.00000000000003</v>
      </c>
      <c r="D1339">
        <v>3</v>
      </c>
      <c r="E1339" s="18">
        <v>14128.36391210848</v>
      </c>
      <c r="F1339" s="18">
        <v>1432.7102899734373</v>
      </c>
      <c r="G1339" s="18">
        <v>-3596.510578607639</v>
      </c>
      <c r="H1339" s="12">
        <f>E1340</f>
      </c>
      <c r="I1339" s="12">
        <f>F1340</f>
      </c>
      <c r="J1339" s="12">
        <f>G1340</f>
      </c>
      <c r="K1339">
        <f>IF(AND(Pu&gt;=MIN(E1339,H1339),Pu&lt;=MAX(E1339,H1339),E1339&lt;&gt;H1339),1,0)</f>
      </c>
      <c r="L1339">
        <f>IF(K1339=1,(Pu-E1339)/(H1339-E1339),"")</f>
      </c>
      <c r="M1339" s="12">
        <f>IF(K1339=1,F1339+L1339*(I1339-F1339),"")</f>
      </c>
      <c r="N1339" s="12">
        <f>IF(K1339=1,G1339+L1339*(J1339-G1339),"")</f>
      </c>
    </row>
    <row r="1340" spans="2:14" x14ac:dyDescent="0.25">
      <c r="B1340">
        <v>38</v>
      </c>
      <c r="C1340">
        <v>150.00000000000003</v>
      </c>
      <c r="D1340">
        <v>4</v>
      </c>
      <c r="E1340" s="18">
        <v>12100.540691478107</v>
      </c>
      <c r="F1340" s="18">
        <v>1645.6460063746297</v>
      </c>
      <c r="G1340" s="18">
        <v>-3908.301404706538</v>
      </c>
      <c r="H1340" s="12">
        <f>E1341</f>
      </c>
      <c r="I1340" s="12">
        <f>F1341</f>
      </c>
      <c r="J1340" s="12">
        <f>G1341</f>
      </c>
      <c r="K1340">
        <f>IF(AND(Pu&gt;=MIN(E1340,H1340),Pu&lt;=MAX(E1340,H1340),E1340&lt;&gt;H1340),1,0)</f>
      </c>
      <c r="L1340">
        <f>IF(K1340=1,(Pu-E1340)/(H1340-E1340),"")</f>
      </c>
      <c r="M1340" s="12">
        <f>IF(K1340=1,F1340+L1340*(I1340-F1340),"")</f>
      </c>
      <c r="N1340" s="12">
        <f>IF(K1340=1,G1340+L1340*(J1340-G1340),"")</f>
      </c>
    </row>
    <row r="1341" spans="2:14" x14ac:dyDescent="0.25">
      <c r="B1341">
        <v>38</v>
      </c>
      <c r="C1341">
        <v>150.00000000000003</v>
      </c>
      <c r="D1341">
        <v>5</v>
      </c>
      <c r="E1341" s="18">
        <v>10059.625066330871</v>
      </c>
      <c r="F1341" s="18">
        <v>1804.2418757287103</v>
      </c>
      <c r="G1341" s="18">
        <v>-4070.7527865870024</v>
      </c>
      <c r="H1341" s="12">
        <f>E1342</f>
      </c>
      <c r="I1341" s="12">
        <f>F1342</f>
      </c>
      <c r="J1341" s="12">
        <f>G1342</f>
      </c>
      <c r="K1341">
        <f>IF(AND(Pu&gt;=MIN(E1341,H1341),Pu&lt;=MAX(E1341,H1341),E1341&lt;&gt;H1341),1,0)</f>
      </c>
      <c r="L1341">
        <f>IF(K1341=1,(Pu-E1341)/(H1341-E1341),"")</f>
      </c>
      <c r="M1341" s="12">
        <f>IF(K1341=1,F1341+L1341*(I1341-F1341),"")</f>
      </c>
      <c r="N1341" s="12">
        <f>IF(K1341=1,G1341+L1341*(J1341-G1341),"")</f>
      </c>
    </row>
    <row r="1342" spans="2:14" x14ac:dyDescent="0.25">
      <c r="B1342">
        <v>38</v>
      </c>
      <c r="C1342">
        <v>150.00000000000003</v>
      </c>
      <c r="D1342">
        <v>6</v>
      </c>
      <c r="E1342" s="18">
        <v>8691.31874850863</v>
      </c>
      <c r="F1342" s="18">
        <v>1787.0400065559838</v>
      </c>
      <c r="G1342" s="18">
        <v>-4169.332745253193</v>
      </c>
      <c r="H1342" s="12">
        <f>E1343</f>
      </c>
      <c r="I1342" s="12">
        <f>F1343</f>
      </c>
      <c r="J1342" s="12">
        <f>G1343</f>
      </c>
      <c r="K1342">
        <f>IF(AND(Pu&gt;=MIN(E1342,H1342),Pu&lt;=MAX(E1342,H1342),E1342&lt;&gt;H1342),1,0)</f>
      </c>
      <c r="L1342">
        <f>IF(K1342=1,(Pu-E1342)/(H1342-E1342),"")</f>
      </c>
      <c r="M1342" s="12">
        <f>IF(K1342=1,F1342+L1342*(I1342-F1342),"")</f>
      </c>
      <c r="N1342" s="12">
        <f>IF(K1342=1,G1342+L1342*(J1342-G1342),"")</f>
      </c>
    </row>
    <row r="1343" spans="2:14" x14ac:dyDescent="0.25">
      <c r="B1343">
        <v>38</v>
      </c>
      <c r="C1343">
        <v>150.00000000000003</v>
      </c>
      <c r="D1343">
        <v>7</v>
      </c>
      <c r="E1343" s="18">
        <v>8375.540671102342</v>
      </c>
      <c r="F1343" s="18">
        <v>1794.9401931470152</v>
      </c>
      <c r="G1343" s="18">
        <v>-4238.476219115122</v>
      </c>
      <c r="H1343" s="12">
        <f>E1344</f>
      </c>
      <c r="I1343" s="12">
        <f>F1344</f>
      </c>
      <c r="J1343" s="12">
        <f>G1344</f>
      </c>
      <c r="K1343">
        <f>IF(AND(Pu&gt;=MIN(E1343,H1343),Pu&lt;=MAX(E1343,H1343),E1343&lt;&gt;H1343),1,0)</f>
      </c>
      <c r="L1343">
        <f>IF(K1343=1,(Pu-E1343)/(H1343-E1343),"")</f>
      </c>
      <c r="M1343" s="12">
        <f>IF(K1343=1,F1343+L1343*(I1343-F1343),"")</f>
      </c>
      <c r="N1343" s="12">
        <f>IF(K1343=1,G1343+L1343*(J1343-G1343),"")</f>
      </c>
    </row>
    <row r="1344" spans="2:14" x14ac:dyDescent="0.25">
      <c r="B1344">
        <v>38</v>
      </c>
      <c r="C1344">
        <v>150.00000000000003</v>
      </c>
      <c r="D1344">
        <v>8</v>
      </c>
      <c r="E1344" s="18">
        <v>7800.497644257992</v>
      </c>
      <c r="F1344" s="18">
        <v>1809.9584523253218</v>
      </c>
      <c r="G1344" s="18">
        <v>-4372.309368485363</v>
      </c>
      <c r="H1344" s="12">
        <f>E1345</f>
      </c>
      <c r="I1344" s="12">
        <f>F1345</f>
      </c>
      <c r="J1344" s="12">
        <f>G1345</f>
      </c>
      <c r="K1344">
        <f>IF(AND(Pu&gt;=MIN(E1344,H1344),Pu&lt;=MAX(E1344,H1344),E1344&lt;&gt;H1344),1,0)</f>
      </c>
      <c r="L1344">
        <f>IF(K1344=1,(Pu-E1344)/(H1344-E1344),"")</f>
      </c>
      <c r="M1344" s="12">
        <f>IF(K1344=1,F1344+L1344*(I1344-F1344),"")</f>
      </c>
      <c r="N1344" s="12">
        <f>IF(K1344=1,G1344+L1344*(J1344-G1344),"")</f>
      </c>
    </row>
    <row r="1345" spans="2:14" x14ac:dyDescent="0.25">
      <c r="B1345">
        <v>38</v>
      </c>
      <c r="C1345">
        <v>150.00000000000003</v>
      </c>
      <c r="D1345">
        <v>9</v>
      </c>
      <c r="E1345" s="18">
        <v>7364.869920898578</v>
      </c>
      <c r="F1345" s="18">
        <v>1814.7425094440962</v>
      </c>
      <c r="G1345" s="18">
        <v>-4456.480881079365</v>
      </c>
      <c r="H1345" s="12">
        <f>E1346</f>
      </c>
      <c r="I1345" s="12">
        <f>F1346</f>
      </c>
      <c r="J1345" s="12">
        <f>G1346</f>
      </c>
      <c r="K1345">
        <f>IF(AND(Pu&gt;=MIN(E1345,H1345),Pu&lt;=MAX(E1345,H1345),E1345&lt;&gt;H1345),1,0)</f>
      </c>
      <c r="L1345">
        <f>IF(K1345=1,(Pu-E1345)/(H1345-E1345),"")</f>
      </c>
      <c r="M1345" s="12">
        <f>IF(K1345=1,F1345+L1345*(I1345-F1345),"")</f>
      </c>
      <c r="N1345" s="12">
        <f>IF(K1345=1,G1345+L1345*(J1345-G1345),"")</f>
      </c>
    </row>
    <row r="1346" spans="2:14" x14ac:dyDescent="0.25">
      <c r="B1346">
        <v>38</v>
      </c>
      <c r="C1346">
        <v>150.00000000000003</v>
      </c>
      <c r="D1346">
        <v>10</v>
      </c>
      <c r="E1346" s="18">
        <v>7069.168362173625</v>
      </c>
      <c r="F1346" s="18">
        <v>1816.044410305275</v>
      </c>
      <c r="G1346" s="18">
        <v>-4512.660446218565</v>
      </c>
      <c r="H1346" s="12">
        <f>E1347</f>
      </c>
      <c r="I1346" s="12">
        <f>F1347</f>
      </c>
      <c r="J1346" s="12">
        <f>G1347</f>
      </c>
      <c r="K1346">
        <f>IF(AND(Pu&gt;=MIN(E1346,H1346),Pu&lt;=MAX(E1346,H1346),E1346&lt;&gt;H1346),1,0)</f>
      </c>
      <c r="L1346">
        <f>IF(K1346=1,(Pu-E1346)/(H1346-E1346),"")</f>
      </c>
      <c r="M1346" s="12">
        <f>IF(K1346=1,F1346+L1346*(I1346-F1346),"")</f>
      </c>
      <c r="N1346" s="12">
        <f>IF(K1346=1,G1346+L1346*(J1346-G1346),"")</f>
      </c>
    </row>
    <row r="1347" spans="2:14" x14ac:dyDescent="0.25">
      <c r="B1347">
        <v>38</v>
      </c>
      <c r="C1347">
        <v>150.00000000000003</v>
      </c>
      <c r="D1347">
        <v>11</v>
      </c>
      <c r="E1347" s="18">
        <v>6604.237462450877</v>
      </c>
      <c r="F1347" s="18">
        <v>1824.6387514899368</v>
      </c>
      <c r="G1347" s="18">
        <v>-4589.900766621835</v>
      </c>
      <c r="H1347" s="12">
        <f>E1348</f>
      </c>
      <c r="I1347" s="12">
        <f>F1348</f>
      </c>
      <c r="J1347" s="12">
        <f>G1348</f>
      </c>
      <c r="K1347">
        <f>IF(AND(Pu&gt;=MIN(E1347,H1347),Pu&lt;=MAX(E1347,H1347),E1347&lt;&gt;H1347),1,0)</f>
      </c>
      <c r="L1347">
        <f>IF(K1347=1,(Pu-E1347)/(H1347-E1347),"")</f>
      </c>
      <c r="M1347" s="12">
        <f>IF(K1347=1,F1347+L1347*(I1347-F1347),"")</f>
      </c>
      <c r="N1347" s="12">
        <f>IF(K1347=1,G1347+L1347*(J1347-G1347),"")</f>
      </c>
    </row>
    <row r="1348" spans="2:14" x14ac:dyDescent="0.25">
      <c r="B1348">
        <v>38</v>
      </c>
      <c r="C1348">
        <v>150.00000000000003</v>
      </c>
      <c r="D1348">
        <v>12</v>
      </c>
      <c r="E1348" s="18">
        <v>6479.079269653515</v>
      </c>
      <c r="F1348" s="18">
        <v>1827.4550551743073</v>
      </c>
      <c r="G1348" s="18">
        <v>-4611.876974075012</v>
      </c>
      <c r="H1348" s="12">
        <f>E1349</f>
      </c>
      <c r="I1348" s="12">
        <f>F1349</f>
      </c>
      <c r="J1348" s="12">
        <f>G1349</f>
      </c>
      <c r="K1348">
        <f>IF(AND(Pu&gt;=MIN(E1348,H1348),Pu&lt;=MAX(E1348,H1348),E1348&lt;&gt;H1348),1,0)</f>
      </c>
      <c r="L1348">
        <f>IF(K1348=1,(Pu-E1348)/(H1348-E1348),"")</f>
      </c>
      <c r="M1348" s="12">
        <f>IF(K1348=1,F1348+L1348*(I1348-F1348),"")</f>
      </c>
      <c r="N1348" s="12">
        <f>IF(K1348=1,G1348+L1348*(J1348-G1348),"")</f>
      </c>
    </row>
    <row r="1349" spans="2:14" x14ac:dyDescent="0.25">
      <c r="B1349">
        <v>38</v>
      </c>
      <c r="C1349">
        <v>150.00000000000003</v>
      </c>
      <c r="D1349">
        <v>13</v>
      </c>
      <c r="E1349" s="18">
        <v>6015.5831421205485</v>
      </c>
      <c r="F1349" s="18">
        <v>1839.7091926541043</v>
      </c>
      <c r="G1349" s="18">
        <v>-4680.595031632149</v>
      </c>
      <c r="H1349" s="12">
        <f>E1350</f>
      </c>
      <c r="I1349" s="12">
        <f>F1350</f>
      </c>
      <c r="J1349" s="12">
        <f>G1350</f>
      </c>
      <c r="K1349">
        <f>IF(AND(Pu&gt;=MIN(E1349,H1349),Pu&lt;=MAX(E1349,H1349),E1349&lt;&gt;H1349),1,0)</f>
      </c>
      <c r="L1349">
        <f>IF(K1349=1,(Pu-E1349)/(H1349-E1349),"")</f>
      </c>
      <c r="M1349" s="12">
        <f>IF(K1349=1,F1349+L1349*(I1349-F1349),"")</f>
      </c>
      <c r="N1349" s="12">
        <f>IF(K1349=1,G1349+L1349*(J1349-G1349),"")</f>
      </c>
    </row>
    <row r="1350" spans="2:14" x14ac:dyDescent="0.25">
      <c r="B1350">
        <v>38</v>
      </c>
      <c r="C1350">
        <v>150.00000000000003</v>
      </c>
      <c r="D1350">
        <v>14</v>
      </c>
      <c r="E1350" s="18">
        <v>5988.316611793604</v>
      </c>
      <c r="F1350" s="18">
        <v>1840.703002688839</v>
      </c>
      <c r="G1350" s="18">
        <v>-4684.087904081895</v>
      </c>
      <c r="H1350" s="12">
        <f>E1351</f>
      </c>
      <c r="I1350" s="12">
        <f>F1351</f>
      </c>
      <c r="J1350" s="12">
        <f>G1351</f>
      </c>
      <c r="K1350">
        <f>IF(AND(Pu&gt;=MIN(E1350,H1350),Pu&lt;=MAX(E1350,H1350),E1350&lt;&gt;H1350),1,0)</f>
      </c>
      <c r="L1350">
        <f>IF(K1350=1,(Pu-E1350)/(H1350-E1350),"")</f>
      </c>
      <c r="M1350" s="12">
        <f>IF(K1350=1,F1350+L1350*(I1350-F1350),"")</f>
      </c>
      <c r="N1350" s="12">
        <f>IF(K1350=1,G1350+L1350*(J1350-G1350),"")</f>
      </c>
    </row>
    <row r="1351" spans="2:14" x14ac:dyDescent="0.25">
      <c r="B1351">
        <v>38</v>
      </c>
      <c r="C1351">
        <v>150.00000000000003</v>
      </c>
      <c r="D1351">
        <v>15</v>
      </c>
      <c r="E1351" s="18">
        <v>5642.598504339468</v>
      </c>
      <c r="F1351" s="18">
        <v>1867.9482586957217</v>
      </c>
      <c r="G1351" s="18">
        <v>-4731.855533695885</v>
      </c>
      <c r="H1351" s="12">
        <f>E1352</f>
      </c>
      <c r="I1351" s="12">
        <f>F1352</f>
      </c>
      <c r="J1351" s="12">
        <f>G1352</f>
      </c>
      <c r="K1351">
        <f>IF(AND(Pu&gt;=MIN(E1351,H1351),Pu&lt;=MAX(E1351,H1351),E1351&lt;&gt;H1351),1,0)</f>
      </c>
      <c r="L1351">
        <f>IF(K1351=1,(Pu-E1351)/(H1351-E1351),"")</f>
      </c>
      <c r="M1351" s="12">
        <f>IF(K1351=1,F1351+L1351*(I1351-F1351),"")</f>
      </c>
      <c r="N1351" s="12">
        <f>IF(K1351=1,G1351+L1351*(J1351-G1351),"")</f>
      </c>
    </row>
    <row r="1352" spans="2:14" x14ac:dyDescent="0.25">
      <c r="B1352">
        <v>38</v>
      </c>
      <c r="C1352">
        <v>150.00000000000003</v>
      </c>
      <c r="D1352">
        <v>16</v>
      </c>
      <c r="E1352" s="18">
        <v>5296.7252129223425</v>
      </c>
      <c r="F1352" s="18">
        <v>1897.679039948368</v>
      </c>
      <c r="G1352" s="18">
        <v>-4780.337913905708</v>
      </c>
      <c r="H1352" s="12">
        <f>E1353</f>
      </c>
      <c r="I1352" s="12">
        <f>F1353</f>
      </c>
      <c r="J1352" s="12">
        <f>G1353</f>
      </c>
      <c r="K1352">
        <f>IF(AND(Pu&gt;=MIN(E1352,H1352),Pu&lt;=MAX(E1352,H1352),E1352&lt;&gt;H1352),1,0)</f>
      </c>
      <c r="L1352">
        <f>IF(K1352=1,(Pu-E1352)/(H1352-E1352),"")</f>
      </c>
      <c r="M1352" s="12">
        <f>IF(K1352=1,F1352+L1352*(I1352-F1352),"")</f>
      </c>
      <c r="N1352" s="12">
        <f>IF(K1352=1,G1352+L1352*(J1352-G1352),"")</f>
      </c>
    </row>
    <row r="1353" spans="2:14" x14ac:dyDescent="0.25">
      <c r="B1353">
        <v>38</v>
      </c>
      <c r="C1353">
        <v>150.00000000000003</v>
      </c>
      <c r="D1353">
        <v>17</v>
      </c>
      <c r="E1353" s="18">
        <v>5129.989658107724</v>
      </c>
      <c r="F1353" s="18">
        <v>1906.211006451928</v>
      </c>
      <c r="G1353" s="18">
        <v>-4805.736097717999</v>
      </c>
      <c r="H1353" s="12">
        <f>E1354</f>
      </c>
      <c r="I1353" s="12">
        <f>F1354</f>
      </c>
      <c r="J1353" s="12">
        <f>G1354</f>
      </c>
      <c r="K1353">
        <f>IF(AND(Pu&gt;=MIN(E1353,H1353),Pu&lt;=MAX(E1353,H1353),E1353&lt;&gt;H1353),1,0)</f>
      </c>
      <c r="L1353">
        <f>IF(K1353=1,(Pu-E1353)/(H1353-E1353),"")</f>
      </c>
      <c r="M1353" s="12">
        <f>IF(K1353=1,F1353+L1353*(I1353-F1353),"")</f>
      </c>
      <c r="N1353" s="12">
        <f>IF(K1353=1,G1353+L1353*(J1353-G1353),"")</f>
      </c>
    </row>
    <row r="1354" spans="2:14" x14ac:dyDescent="0.25">
      <c r="B1354">
        <v>38</v>
      </c>
      <c r="C1354">
        <v>150.00000000000003</v>
      </c>
      <c r="D1354">
        <v>18</v>
      </c>
      <c r="E1354" s="18">
        <v>5001.484302338401</v>
      </c>
      <c r="F1354" s="18">
        <v>1913.2523535069347</v>
      </c>
      <c r="G1354" s="18">
        <v>-4824.999098836255</v>
      </c>
      <c r="H1354" s="12">
        <f>E1355</f>
      </c>
      <c r="I1354" s="12">
        <f>F1355</f>
      </c>
      <c r="J1354" s="12">
        <f>G1355</f>
      </c>
      <c r="K1354">
        <f>IF(AND(Pu&gt;=MIN(E1354,H1354),Pu&lt;=MAX(E1354,H1354),E1354&lt;&gt;H1354),1,0)</f>
      </c>
      <c r="L1354">
        <f>IF(K1354=1,(Pu-E1354)/(H1354-E1354),"")</f>
      </c>
      <c r="M1354" s="12">
        <f>IF(K1354=1,F1354+L1354*(I1354-F1354),"")</f>
      </c>
      <c r="N1354" s="12">
        <f>IF(K1354=1,G1354+L1354*(J1354-G1354),"")</f>
      </c>
    </row>
    <row r="1355" spans="2:14" x14ac:dyDescent="0.25">
      <c r="B1355">
        <v>38</v>
      </c>
      <c r="C1355">
        <v>150.00000000000003</v>
      </c>
      <c r="D1355">
        <v>19</v>
      </c>
      <c r="E1355" s="18">
        <v>4712.47390386089</v>
      </c>
      <c r="F1355" s="18">
        <v>1932.0039260876265</v>
      </c>
      <c r="G1355" s="18">
        <v>-4863.813696206679</v>
      </c>
      <c r="H1355" s="12">
        <f>E1356</f>
      </c>
      <c r="I1355" s="12">
        <f>F1356</f>
      </c>
      <c r="J1355" s="12">
        <f>G1356</f>
      </c>
      <c r="K1355">
        <f>IF(AND(Pu&gt;=MIN(E1355,H1355),Pu&lt;=MAX(E1355,H1355),E1355&lt;&gt;H1355),1,0)</f>
      </c>
      <c r="L1355">
        <f>IF(K1355=1,(Pu-E1355)/(H1355-E1355),"")</f>
      </c>
      <c r="M1355" s="12">
        <f>IF(K1355=1,F1355+L1355*(I1355-F1355),"")</f>
      </c>
      <c r="N1355" s="12">
        <f>IF(K1355=1,G1355+L1355*(J1355-G1355),"")</f>
      </c>
    </row>
    <row r="1356" spans="2:14" x14ac:dyDescent="0.25">
      <c r="B1356">
        <v>38</v>
      </c>
      <c r="C1356">
        <v>150.00000000000003</v>
      </c>
      <c r="D1356">
        <v>20</v>
      </c>
      <c r="E1356" s="18">
        <v>4685.570839166042</v>
      </c>
      <c r="F1356" s="18">
        <v>1929.8310268551934</v>
      </c>
      <c r="G1356" s="18">
        <v>-4856.939750307195</v>
      </c>
      <c r="H1356" s="12">
        <f>E1357</f>
      </c>
      <c r="I1356" s="12">
        <f>F1357</f>
      </c>
      <c r="J1356" s="12">
        <f>G1357</f>
      </c>
      <c r="K1356">
        <f>IF(AND(Pu&gt;=MIN(E1356,H1356),Pu&lt;=MAX(E1356,H1356),E1356&lt;&gt;H1356),1,0)</f>
      </c>
      <c r="L1356">
        <f>IF(K1356=1,(Pu-E1356)/(H1356-E1356),"")</f>
      </c>
      <c r="M1356" s="12">
        <f>IF(K1356=1,F1356+L1356*(I1356-F1356),"")</f>
      </c>
      <c r="N1356" s="12">
        <f>IF(K1356=1,G1356+L1356*(J1356-G1356),"")</f>
      </c>
    </row>
    <row r="1357" spans="2:14" x14ac:dyDescent="0.25">
      <c r="B1357">
        <v>38</v>
      </c>
      <c r="C1357">
        <v>150.00000000000003</v>
      </c>
      <c r="D1357">
        <v>21</v>
      </c>
      <c r="E1357" s="18">
        <v>4007.67618167793</v>
      </c>
      <c r="F1357" s="18">
        <v>1879.5911216046215</v>
      </c>
      <c r="G1357" s="18">
        <v>-4672.734534068367</v>
      </c>
      <c r="H1357" s="12">
        <f>E1358</f>
      </c>
      <c r="I1357" s="12">
        <f>F1358</f>
      </c>
      <c r="J1357" s="12">
        <f>G1358</f>
      </c>
      <c r="K1357">
        <f>IF(AND(Pu&gt;=MIN(E1357,H1357),Pu&lt;=MAX(E1357,H1357),E1357&lt;&gt;H1357),1,0)</f>
      </c>
      <c r="L1357">
        <f>IF(K1357=1,(Pu-E1357)/(H1357-E1357),"")</f>
      </c>
      <c r="M1357" s="12">
        <f>IF(K1357=1,F1357+L1357*(I1357-F1357),"")</f>
      </c>
      <c r="N1357" s="12">
        <f>IF(K1357=1,G1357+L1357*(J1357-G1357),"")</f>
      </c>
    </row>
    <row r="1358" spans="2:14" x14ac:dyDescent="0.25">
      <c r="B1358">
        <v>38</v>
      </c>
      <c r="C1358">
        <v>150.00000000000003</v>
      </c>
      <c r="D1358">
        <v>22</v>
      </c>
      <c r="E1358" s="18">
        <v>2959.3446803062097</v>
      </c>
      <c r="F1358" s="18">
        <v>1797.0321267261943</v>
      </c>
      <c r="G1358" s="18">
        <v>-4284.923638916931</v>
      </c>
      <c r="H1358" s="12">
        <f>E1359</f>
      </c>
      <c r="I1358" s="12">
        <f>F1359</f>
      </c>
      <c r="J1358" s="12">
        <f>G1359</f>
      </c>
      <c r="K1358">
        <f>IF(AND(Pu&gt;=MIN(E1358,H1358),Pu&lt;=MAX(E1358,H1358),E1358&lt;&gt;H1358),1,0)</f>
      </c>
      <c r="L1358">
        <f>IF(K1358=1,(Pu-E1358)/(H1358-E1358),"")</f>
      </c>
      <c r="M1358" s="12">
        <f>IF(K1358=1,F1358+L1358*(I1358-F1358),"")</f>
      </c>
      <c r="N1358" s="12">
        <f>IF(K1358=1,G1358+L1358*(J1358-G1358),"")</f>
      </c>
    </row>
    <row r="1359" spans="2:14" x14ac:dyDescent="0.25">
      <c r="B1359">
        <v>38</v>
      </c>
      <c r="C1359">
        <v>150.00000000000003</v>
      </c>
      <c r="D1359">
        <v>23</v>
      </c>
      <c r="E1359" s="18">
        <v>2067.70714817442</v>
      </c>
      <c r="F1359" s="18">
        <v>1714.5684129288454</v>
      </c>
      <c r="G1359" s="18">
        <v>-3917.810074907689</v>
      </c>
      <c r="H1359" s="12">
        <f>E1360</f>
      </c>
      <c r="I1359" s="12">
        <f>F1360</f>
      </c>
      <c r="J1359" s="12">
        <f>G1360</f>
      </c>
      <c r="K1359">
        <f>IF(AND(Pu&gt;=MIN(E1359,H1359),Pu&lt;=MAX(E1359,H1359),E1359&lt;&gt;H1359),1,0)</f>
      </c>
      <c r="L1359">
        <f>IF(K1359=1,(Pu-E1359)/(H1359-E1359),"")</f>
      </c>
      <c r="M1359" s="12">
        <f>IF(K1359=1,F1359+L1359*(I1359-F1359),"")</f>
      </c>
      <c r="N1359" s="12">
        <f>IF(K1359=1,G1359+L1359*(J1359-G1359),"")</f>
      </c>
    </row>
    <row r="1360" spans="2:14" x14ac:dyDescent="0.25">
      <c r="B1360">
        <v>38</v>
      </c>
      <c r="C1360">
        <v>150.00000000000003</v>
      </c>
      <c r="D1360">
        <v>24</v>
      </c>
      <c r="E1360" s="18">
        <v>1371.4152479407012</v>
      </c>
      <c r="F1360" s="18">
        <v>1615.9593776675067</v>
      </c>
      <c r="G1360" s="18">
        <v>-3589.563186410068</v>
      </c>
      <c r="H1360" s="12">
        <f>E1361</f>
      </c>
      <c r="I1360" s="12">
        <f>F1361</f>
      </c>
      <c r="J1360" s="12">
        <f>G1361</f>
      </c>
      <c r="K1360">
        <f>IF(AND(Pu&gt;=MIN(E1360,H1360),Pu&lt;=MAX(E1360,H1360),E1360&lt;&gt;H1360),1,0)</f>
      </c>
      <c r="L1360">
        <f>IF(K1360=1,(Pu-E1360)/(H1360-E1360),"")</f>
      </c>
      <c r="M1360" s="12">
        <f>IF(K1360=1,F1360+L1360*(I1360-F1360),"")</f>
      </c>
      <c r="N1360" s="12">
        <f>IF(K1360=1,G1360+L1360*(J1360-G1360),"")</f>
      </c>
    </row>
    <row r="1361" spans="2:14" x14ac:dyDescent="0.25">
      <c r="B1361">
        <v>38</v>
      </c>
      <c r="C1361">
        <v>150.00000000000003</v>
      </c>
      <c r="D1361">
        <v>25</v>
      </c>
      <c r="E1361" s="18">
        <v>241.9184650325026</v>
      </c>
      <c r="F1361" s="18">
        <v>1407.895401836125</v>
      </c>
      <c r="G1361" s="18">
        <v>-3048.380310586584</v>
      </c>
      <c r="H1361" s="12">
        <f>E1362</f>
      </c>
      <c r="I1361" s="12">
        <f>F1362</f>
      </c>
      <c r="J1361" s="12">
        <f>G1362</f>
      </c>
      <c r="K1361">
        <f>IF(AND(Pu&gt;=MIN(E1361,H1361),Pu&lt;=MAX(E1361,H1361),E1361&lt;&gt;H1361),1,0)</f>
      </c>
      <c r="L1361">
        <f>IF(K1361=1,(Pu-E1361)/(H1361-E1361),"")</f>
      </c>
      <c r="M1361" s="12">
        <f>IF(K1361=1,F1361+L1361*(I1361-F1361),"")</f>
      </c>
      <c r="N1361" s="12">
        <f>IF(K1361=1,G1361+L1361*(J1361-G1361),"")</f>
      </c>
    </row>
    <row r="1362" spans="2:14" x14ac:dyDescent="0.25">
      <c r="B1362">
        <v>38</v>
      </c>
      <c r="C1362">
        <v>150.00000000000003</v>
      </c>
      <c r="D1362">
        <v>26</v>
      </c>
      <c r="E1362" s="18">
        <v>-613.9655466050363</v>
      </c>
      <c r="F1362" s="18">
        <v>1250.6584897246223</v>
      </c>
      <c r="G1362" s="18">
        <v>-2588.0660943087214</v>
      </c>
      <c r="H1362" s="12">
        <f>E1363</f>
      </c>
      <c r="I1362" s="12">
        <f>F1363</f>
      </c>
      <c r="J1362" s="12">
        <f>G1363</f>
      </c>
      <c r="K1362">
        <f>IF(AND(Pu&gt;=MIN(E1362,H1362),Pu&lt;=MAX(E1362,H1362),E1362&lt;&gt;H1362),1,0)</f>
      </c>
      <c r="L1362">
        <f>IF(K1362=1,(Pu-E1362)/(H1362-E1362),"")</f>
      </c>
      <c r="M1362" s="12">
        <f>IF(K1362=1,F1362+L1362*(I1362-F1362),"")</f>
      </c>
      <c r="N1362" s="12">
        <f>IF(K1362=1,G1362+L1362*(J1362-G1362),"")</f>
      </c>
    </row>
    <row r="1363" spans="2:14" x14ac:dyDescent="0.25">
      <c r="B1363">
        <v>38</v>
      </c>
      <c r="C1363">
        <v>150.00000000000003</v>
      </c>
      <c r="D1363">
        <v>27</v>
      </c>
      <c r="E1363" s="18">
        <v>-1380.8549232990545</v>
      </c>
      <c r="F1363" s="18">
        <v>1092.6445009346553</v>
      </c>
      <c r="G1363" s="18">
        <v>-2169.4585504971283</v>
      </c>
      <c r="H1363" s="12">
        <f>E1364</f>
      </c>
      <c r="I1363" s="12">
        <f>F1364</f>
      </c>
      <c r="J1363" s="12">
        <f>G1364</f>
      </c>
      <c r="K1363">
        <f>IF(AND(Pu&gt;=MIN(E1363,H1363),Pu&lt;=MAX(E1363,H1363),E1363&lt;&gt;H1363),1,0)</f>
      </c>
      <c r="L1363">
        <f>IF(K1363=1,(Pu-E1363)/(H1363-E1363),"")</f>
      </c>
      <c r="M1363" s="12">
        <f>IF(K1363=1,F1363+L1363*(I1363-F1363),"")</f>
      </c>
      <c r="N1363" s="12">
        <f>IF(K1363=1,G1363+L1363*(J1363-G1363),"")</f>
      </c>
    </row>
    <row r="1364" spans="2:14" x14ac:dyDescent="0.25">
      <c r="B1364">
        <v>38</v>
      </c>
      <c r="C1364">
        <v>150.00000000000003</v>
      </c>
      <c r="D1364">
        <v>28</v>
      </c>
      <c r="E1364" s="18">
        <v>-1964.1388874435092</v>
      </c>
      <c r="F1364" s="18">
        <v>952.1943351372413</v>
      </c>
      <c r="G1364" s="18">
        <v>-1840.8093458009741</v>
      </c>
      <c r="H1364" s="12">
        <f>E1365</f>
      </c>
      <c r="I1364" s="12">
        <f>F1365</f>
      </c>
      <c r="J1364" s="12">
        <f>G1365</f>
      </c>
      <c r="K1364">
        <f>IF(AND(Pu&gt;=MIN(E1364,H1364),Pu&lt;=MAX(E1364,H1364),E1364&lt;&gt;H1364),1,0)</f>
      </c>
      <c r="L1364">
        <f>IF(K1364=1,(Pu-E1364)/(H1364-E1364),"")</f>
      </c>
      <c r="M1364" s="12">
        <f>IF(K1364=1,F1364+L1364*(I1364-F1364),"")</f>
      </c>
      <c r="N1364" s="12">
        <f>IF(K1364=1,G1364+L1364*(J1364-G1364),"")</f>
      </c>
    </row>
    <row r="1365" spans="2:14" x14ac:dyDescent="0.25">
      <c r="B1365">
        <v>38</v>
      </c>
      <c r="C1365">
        <v>150.00000000000003</v>
      </c>
      <c r="D1365">
        <v>29</v>
      </c>
      <c r="E1365" s="18">
        <v>-2783.2246201678868</v>
      </c>
      <c r="F1365" s="18">
        <v>740.0480468766999</v>
      </c>
      <c r="G1365" s="18">
        <v>-1352.5251931253367</v>
      </c>
      <c r="H1365" s="12">
        <f>E1366</f>
      </c>
      <c r="I1365" s="12">
        <f>F1366</f>
      </c>
      <c r="J1365" s="12">
        <f>G1366</f>
      </c>
      <c r="K1365">
        <f>IF(AND(Pu&gt;=MIN(E1365,H1365),Pu&lt;=MAX(E1365,H1365),E1365&lt;&gt;H1365),1,0)</f>
      </c>
      <c r="L1365">
        <f>IF(K1365=1,(Pu-E1365)/(H1365-E1365),"")</f>
      </c>
      <c r="M1365" s="12">
        <f>IF(K1365=1,F1365+L1365*(I1365-F1365),"")</f>
      </c>
      <c r="N1365" s="12">
        <f>IF(K1365=1,G1365+L1365*(J1365-G1365),"")</f>
      </c>
    </row>
    <row r="1366" spans="2:14" x14ac:dyDescent="0.25">
      <c r="B1366">
        <v>38</v>
      </c>
      <c r="C1366">
        <v>150.00000000000003</v>
      </c>
      <c r="D1366">
        <v>30</v>
      </c>
      <c r="E1366" s="18">
        <v>-3319.2869619290605</v>
      </c>
      <c r="F1366" s="18">
        <v>565.4101545306833</v>
      </c>
      <c r="G1366" s="18">
        <v>-1036.1206534125176</v>
      </c>
      <c r="H1366" s="12">
        <f>E1367</f>
      </c>
      <c r="I1366" s="12">
        <f>F1367</f>
      </c>
      <c r="J1366" s="12">
        <f>G1367</f>
      </c>
      <c r="K1366">
        <f>IF(AND(Pu&gt;=MIN(E1366,H1366),Pu&lt;=MAX(E1366,H1366),E1366&lt;&gt;H1366),1,0)</f>
      </c>
      <c r="L1366">
        <f>IF(K1366=1,(Pu-E1366)/(H1366-E1366),"")</f>
      </c>
      <c r="M1366" s="12">
        <f>IF(K1366=1,F1366+L1366*(I1366-F1366),"")</f>
      </c>
      <c r="N1366" s="12">
        <f>IF(K1366=1,G1366+L1366*(J1366-G1366),"")</f>
      </c>
    </row>
    <row r="1367" spans="2:14" x14ac:dyDescent="0.25">
      <c r="B1367">
        <v>38</v>
      </c>
      <c r="C1367">
        <v>150.00000000000003</v>
      </c>
      <c r="D1367">
        <v>31</v>
      </c>
      <c r="E1367" s="18">
        <v>-3978.9238721698343</v>
      </c>
      <c r="F1367" s="18">
        <v>352.1871989369499</v>
      </c>
      <c r="G1367" s="18">
        <v>-631.1694611511884</v>
      </c>
      <c r="H1367" s="12">
        <f>E1368</f>
      </c>
      <c r="I1367" s="12">
        <f>F1368</f>
      </c>
      <c r="J1367" s="12">
        <f>G1368</f>
      </c>
      <c r="K1367">
        <f>IF(AND(Pu&gt;=MIN(E1367,H1367),Pu&lt;=MAX(E1367,H1367),E1367&lt;&gt;H1367),1,0)</f>
      </c>
      <c r="L1367">
        <f>IF(K1367=1,(Pu-E1367)/(H1367-E1367),"")</f>
      </c>
      <c r="M1367" s="12">
        <f>IF(K1367=1,F1367+L1367*(I1367-F1367),"")</f>
      </c>
      <c r="N1367" s="12">
        <f>IF(K1367=1,G1367+L1367*(J1367-G1367),"")</f>
      </c>
    </row>
    <row r="1368" spans="2:14" x14ac:dyDescent="0.25">
      <c r="B1368">
        <v>38</v>
      </c>
      <c r="C1368">
        <v>150.00000000000003</v>
      </c>
      <c r="D1368">
        <v>32</v>
      </c>
      <c r="E1368" s="18">
        <v>-4256.552525519962</v>
      </c>
      <c r="F1368" s="18">
        <v>248.91244334919767</v>
      </c>
      <c r="G1368" s="18">
        <v>-450.30857290360876</v>
      </c>
      <c r="H1368" s="12">
        <f>E1369</f>
      </c>
      <c r="I1368" s="12">
        <f>F1369</f>
      </c>
      <c r="J1368" s="12">
        <f>G1369</f>
      </c>
      <c r="K1368">
        <f>IF(AND(Pu&gt;=MIN(E1368,H1368),Pu&lt;=MAX(E1368,H1368),E1368&lt;&gt;H1368),1,0)</f>
      </c>
      <c r="L1368">
        <f>IF(K1368=1,(Pu-E1368)/(H1368-E1368),"")</f>
      </c>
      <c r="M1368" s="12">
        <f>IF(K1368=1,F1368+L1368*(I1368-F1368),"")</f>
      </c>
      <c r="N1368" s="12">
        <f>IF(K1368=1,G1368+L1368*(J1368-G1368),"")</f>
      </c>
    </row>
    <row r="1369" spans="2:14" x14ac:dyDescent="0.25">
      <c r="B1369">
        <v>38</v>
      </c>
      <c r="C1369">
        <v>150.00000000000003</v>
      </c>
      <c r="D1369">
        <v>33</v>
      </c>
      <c r="E1369" s="18">
        <v>-4700.047916994775</v>
      </c>
      <c r="F1369" s="18">
        <v>88.7338371187801</v>
      </c>
      <c r="G1369" s="18">
        <v>-154.38980543909432</v>
      </c>
      <c r="H1369" s="12">
        <f>E1370</f>
      </c>
      <c r="I1369" s="12">
        <f>F1370</f>
      </c>
      <c r="J1369" s="12">
        <f>G1370</f>
      </c>
      <c r="K1369">
        <f>IF(AND(Pu&gt;=MIN(E1369,H1369),Pu&lt;=MAX(E1369,H1369),E1369&lt;&gt;H1369),1,0)</f>
      </c>
      <c r="L1369">
        <f>IF(K1369=1,(Pu-E1369)/(H1369-E1369),"")</f>
      </c>
      <c r="M1369" s="12">
        <f>IF(K1369=1,F1369+L1369*(I1369-F1369),"")</f>
      </c>
      <c r="N1369" s="12">
        <f>IF(K1369=1,G1369+L1369*(J1369-G1369),"")</f>
      </c>
    </row>
    <row r="1370" spans="2:7" x14ac:dyDescent="0.25">
      <c r="B1370">
        <v>38</v>
      </c>
      <c r="C1370">
        <v>150.00000000000003</v>
      </c>
      <c r="D1370">
        <v>34</v>
      </c>
      <c r="E1370" s="18">
        <v>-4810.3453739334</v>
      </c>
      <c r="F1370" s="18">
        <v>45.84327624392679</v>
      </c>
      <c r="G1370" s="18">
        <v>-79.32295181241041</v>
      </c>
    </row>
    <row r="1372" spans="2:14" x14ac:dyDescent="0.25">
      <c r="B1372">
        <v>39</v>
      </c>
      <c r="C1372">
        <v>157.49999999999997</v>
      </c>
      <c r="D1372">
        <v>1</v>
      </c>
      <c r="E1372" s="18">
        <v>16697.570121403427</v>
      </c>
      <c r="F1372" s="18">
        <v>868.7950921899711</v>
      </c>
      <c r="G1372" s="18">
        <v>-2987.143994213129</v>
      </c>
      <c r="H1372" s="12">
        <f>E1373</f>
      </c>
      <c r="I1372" s="12">
        <f>F1373</f>
      </c>
      <c r="J1372" s="12">
        <f>G1373</f>
      </c>
      <c r="K1372">
        <f>IF(AND(Pu&gt;=MIN(E1372,H1372),Pu&lt;=MAX(E1372,H1372),E1372&lt;&gt;H1372),1,0)</f>
      </c>
      <c r="L1372">
        <f>IF(K1372=1,(Pu-E1372)/(H1372-E1372),"")</f>
      </c>
      <c r="M1372" s="12">
        <f>IF(K1372=1,F1372+L1372*(I1372-F1372),"")</f>
      </c>
      <c r="N1372" s="12">
        <f>IF(K1372=1,G1372+L1372*(J1372-G1372),"")</f>
      </c>
    </row>
    <row r="1373" spans="2:14" x14ac:dyDescent="0.25">
      <c r="B1373">
        <v>39</v>
      </c>
      <c r="C1373">
        <v>157.49999999999997</v>
      </c>
      <c r="D1373">
        <v>2</v>
      </c>
      <c r="E1373" s="18">
        <v>15829.271685990756</v>
      </c>
      <c r="F1373" s="18">
        <v>908.1547224195568</v>
      </c>
      <c r="G1373" s="18">
        <v>-3321.945674811396</v>
      </c>
      <c r="H1373" s="12">
        <f>E1374</f>
      </c>
      <c r="I1373" s="12">
        <f>F1374</f>
      </c>
      <c r="J1373" s="12">
        <f>G1374</f>
      </c>
      <c r="K1373">
        <f>IF(AND(Pu&gt;=MIN(E1373,H1373),Pu&lt;=MAX(E1373,H1373),E1373&lt;&gt;H1373),1,0)</f>
      </c>
      <c r="L1373">
        <f>IF(K1373=1,(Pu-E1373)/(H1373-E1373),"")</f>
      </c>
      <c r="M1373" s="12">
        <f>IF(K1373=1,F1373+L1373*(I1373-F1373),"")</f>
      </c>
      <c r="N1373" s="12">
        <f>IF(K1373=1,G1373+L1373*(J1373-G1373),"")</f>
      </c>
    </row>
    <row r="1374" spans="2:14" x14ac:dyDescent="0.25">
      <c r="B1374">
        <v>39</v>
      </c>
      <c r="C1374">
        <v>157.49999999999997</v>
      </c>
      <c r="D1374">
        <v>3</v>
      </c>
      <c r="E1374" s="18">
        <v>14136.469163529016</v>
      </c>
      <c r="F1374" s="18">
        <v>1041.7785452556723</v>
      </c>
      <c r="G1374" s="18">
        <v>-3793.7896351517625</v>
      </c>
      <c r="H1374" s="12">
        <f>E1375</f>
      </c>
      <c r="I1374" s="12">
        <f>F1375</f>
      </c>
      <c r="J1374" s="12">
        <f>G1375</f>
      </c>
      <c r="K1374">
        <f>IF(AND(Pu&gt;=MIN(E1374,H1374),Pu&lt;=MAX(E1374,H1374),E1374&lt;&gt;H1374),1,0)</f>
      </c>
      <c r="L1374">
        <f>IF(K1374=1,(Pu-E1374)/(H1374-E1374),"")</f>
      </c>
      <c r="M1374" s="12">
        <f>IF(K1374=1,F1374+L1374*(I1374-F1374),"")</f>
      </c>
      <c r="N1374" s="12">
        <f>IF(K1374=1,G1374+L1374*(J1374-G1374),"")</f>
      </c>
    </row>
    <row r="1375" spans="2:14" x14ac:dyDescent="0.25">
      <c r="B1375">
        <v>39</v>
      </c>
      <c r="C1375">
        <v>157.49999999999997</v>
      </c>
      <c r="D1375">
        <v>4</v>
      </c>
      <c r="E1375" s="18">
        <v>12176.361807154222</v>
      </c>
      <c r="F1375" s="18">
        <v>1245.2221381027339</v>
      </c>
      <c r="G1375" s="18">
        <v>-4107.44970477967</v>
      </c>
      <c r="H1375" s="12">
        <f>E1376</f>
      </c>
      <c r="I1375" s="12">
        <f>F1376</f>
      </c>
      <c r="J1375" s="12">
        <f>G1376</f>
      </c>
      <c r="K1375">
        <f>IF(AND(Pu&gt;=MIN(E1375,H1375),Pu&lt;=MAX(E1375,H1375),E1375&lt;&gt;H1375),1,0)</f>
      </c>
      <c r="L1375">
        <f>IF(K1375=1,(Pu-E1375)/(H1375-E1375),"")</f>
      </c>
      <c r="M1375" s="12">
        <f>IF(K1375=1,F1375+L1375*(I1375-F1375),"")</f>
      </c>
      <c r="N1375" s="12">
        <f>IF(K1375=1,G1375+L1375*(J1375-G1375),"")</f>
      </c>
    </row>
    <row r="1376" spans="2:14" x14ac:dyDescent="0.25">
      <c r="B1376">
        <v>39</v>
      </c>
      <c r="C1376">
        <v>157.49999999999997</v>
      </c>
      <c r="D1376">
        <v>5</v>
      </c>
      <c r="E1376" s="18">
        <v>10011.82765847252</v>
      </c>
      <c r="F1376" s="18">
        <v>1320.0252053289005</v>
      </c>
      <c r="G1376" s="18">
        <v>-4315.934691552101</v>
      </c>
      <c r="H1376" s="12">
        <f>E1377</f>
      </c>
      <c r="I1376" s="12">
        <f>F1377</f>
      </c>
      <c r="J1376" s="12">
        <f>G1377</f>
      </c>
      <c r="K1376">
        <f>IF(AND(Pu&gt;=MIN(E1376,H1376),Pu&lt;=MAX(E1376,H1376),E1376&lt;&gt;H1376),1,0)</f>
      </c>
      <c r="L1376">
        <f>IF(K1376=1,(Pu-E1376)/(H1376-E1376),"")</f>
      </c>
      <c r="M1376" s="12">
        <f>IF(K1376=1,F1376+L1376*(I1376-F1376),"")</f>
      </c>
      <c r="N1376" s="12">
        <f>IF(K1376=1,G1376+L1376*(J1376-G1376),"")</f>
      </c>
    </row>
    <row r="1377" spans="2:14" x14ac:dyDescent="0.25">
      <c r="B1377">
        <v>39</v>
      </c>
      <c r="C1377">
        <v>157.49999999999997</v>
      </c>
      <c r="D1377">
        <v>6</v>
      </c>
      <c r="E1377" s="18">
        <v>8660.155100207085</v>
      </c>
      <c r="F1377" s="18">
        <v>1343.584758104852</v>
      </c>
      <c r="G1377" s="18">
        <v>-4388.265007291906</v>
      </c>
      <c r="H1377" s="12">
        <f>E1378</f>
      </c>
      <c r="I1377" s="12">
        <f>F1378</f>
      </c>
      <c r="J1377" s="12">
        <f>G1378</f>
      </c>
      <c r="K1377">
        <f>IF(AND(Pu&gt;=MIN(E1377,H1377),Pu&lt;=MAX(E1377,H1377),E1377&lt;&gt;H1377),1,0)</f>
      </c>
      <c r="L1377">
        <f>IF(K1377=1,(Pu-E1377)/(H1377-E1377),"")</f>
      </c>
      <c r="M1377" s="12">
        <f>IF(K1377=1,F1377+L1377*(I1377-F1377),"")</f>
      </c>
      <c r="N1377" s="12">
        <f>IF(K1377=1,G1377+L1377*(J1377-G1377),"")</f>
      </c>
    </row>
    <row r="1378" spans="2:14" x14ac:dyDescent="0.25">
      <c r="B1378">
        <v>39</v>
      </c>
      <c r="C1378">
        <v>157.49999999999997</v>
      </c>
      <c r="D1378">
        <v>7</v>
      </c>
      <c r="E1378" s="18">
        <v>8272.73076767409</v>
      </c>
      <c r="F1378" s="18">
        <v>1351.517668771808</v>
      </c>
      <c r="G1378" s="18">
        <v>-4472.2454061621875</v>
      </c>
      <c r="H1378" s="12">
        <f>E1379</f>
      </c>
      <c r="I1378" s="12">
        <f>F1379</f>
      </c>
      <c r="J1378" s="12">
        <f>G1379</f>
      </c>
      <c r="K1378">
        <f>IF(AND(Pu&gt;=MIN(E1378,H1378),Pu&lt;=MAX(E1378,H1378),E1378&lt;&gt;H1378),1,0)</f>
      </c>
      <c r="L1378">
        <f>IF(K1378=1,(Pu-E1378)/(H1378-E1378),"")</f>
      </c>
      <c r="M1378" s="12">
        <f>IF(K1378=1,F1378+L1378*(I1378-F1378),"")</f>
      </c>
      <c r="N1378" s="12">
        <f>IF(K1378=1,G1378+L1378*(J1378-G1378),"")</f>
      </c>
    </row>
    <row r="1379" spans="2:14" x14ac:dyDescent="0.25">
      <c r="B1379">
        <v>39</v>
      </c>
      <c r="C1379">
        <v>157.49999999999997</v>
      </c>
      <c r="D1379">
        <v>8</v>
      </c>
      <c r="E1379" s="18">
        <v>7747.556952446062</v>
      </c>
      <c r="F1379" s="18">
        <v>1352.786427932691</v>
      </c>
      <c r="G1379" s="18">
        <v>-4591.263068263154</v>
      </c>
      <c r="H1379" s="12">
        <f>E1380</f>
      </c>
      <c r="I1379" s="12">
        <f>F1380</f>
      </c>
      <c r="J1379" s="12">
        <f>G1380</f>
      </c>
      <c r="K1379">
        <f>IF(AND(Pu&gt;=MIN(E1379,H1379),Pu&lt;=MAX(E1379,H1379),E1379&lt;&gt;H1379),1,0)</f>
      </c>
      <c r="L1379">
        <f>IF(K1379=1,(Pu-E1379)/(H1379-E1379),"")</f>
      </c>
      <c r="M1379" s="12">
        <f>IF(K1379=1,F1379+L1379*(I1379-F1379),"")</f>
      </c>
      <c r="N1379" s="12">
        <f>IF(K1379=1,G1379+L1379*(J1379-G1379),"")</f>
      </c>
    </row>
    <row r="1380" spans="2:14" x14ac:dyDescent="0.25">
      <c r="B1380">
        <v>39</v>
      </c>
      <c r="C1380">
        <v>157.49999999999997</v>
      </c>
      <c r="D1380">
        <v>9</v>
      </c>
      <c r="E1380" s="18">
        <v>7266.02787475148</v>
      </c>
      <c r="F1380" s="18">
        <v>1351.5204595890946</v>
      </c>
      <c r="G1380" s="18">
        <v>-4698.639263074952</v>
      </c>
      <c r="H1380" s="12">
        <f>E1381</f>
      </c>
      <c r="I1380" s="12">
        <f>F1381</f>
      </c>
      <c r="J1380" s="12">
        <f>G1381</f>
      </c>
      <c r="K1380">
        <f>IF(AND(Pu&gt;=MIN(E1380,H1380),Pu&lt;=MAX(E1380,H1380),E1380&lt;&gt;H1380),1,0)</f>
      </c>
      <c r="L1380">
        <f>IF(K1380=1,(Pu-E1380)/(H1380-E1380),"")</f>
      </c>
      <c r="M1380" s="12">
        <f>IF(K1380=1,F1380+L1380*(I1380-F1380),"")</f>
      </c>
      <c r="N1380" s="12">
        <f>IF(K1380=1,G1380+L1380*(J1380-G1380),"")</f>
      </c>
    </row>
    <row r="1381" spans="2:14" x14ac:dyDescent="0.25">
      <c r="B1381">
        <v>39</v>
      </c>
      <c r="C1381">
        <v>157.49999999999997</v>
      </c>
      <c r="D1381">
        <v>10</v>
      </c>
      <c r="E1381" s="18">
        <v>7044.017016872771</v>
      </c>
      <c r="F1381" s="18">
        <v>1346.5050648033264</v>
      </c>
      <c r="G1381" s="18">
        <v>-4744.209137203646</v>
      </c>
      <c r="H1381" s="12">
        <f>E1382</f>
      </c>
      <c r="I1381" s="12">
        <f>F1382</f>
      </c>
      <c r="J1381" s="12">
        <f>G1382</f>
      </c>
      <c r="K1381">
        <f>IF(AND(Pu&gt;=MIN(E1381,H1381),Pu&lt;=MAX(E1381,H1381),E1381&lt;&gt;H1381),1,0)</f>
      </c>
      <c r="L1381">
        <f>IF(K1381=1,(Pu-E1381)/(H1381-E1381),"")</f>
      </c>
      <c r="M1381" s="12">
        <f>IF(K1381=1,F1381+L1381*(I1381-F1381),"")</f>
      </c>
      <c r="N1381" s="12">
        <f>IF(K1381=1,G1381+L1381*(J1381-G1381),"")</f>
      </c>
    </row>
    <row r="1382" spans="2:14" x14ac:dyDescent="0.25">
      <c r="B1382">
        <v>39</v>
      </c>
      <c r="C1382">
        <v>157.49999999999997</v>
      </c>
      <c r="D1382">
        <v>11</v>
      </c>
      <c r="E1382" s="18">
        <v>6600.5356017419335</v>
      </c>
      <c r="F1382" s="18">
        <v>1334.5506880253713</v>
      </c>
      <c r="G1382" s="18">
        <v>-4838.736688422331</v>
      </c>
      <c r="H1382" s="12">
        <f>E1383</f>
      </c>
      <c r="I1382" s="12">
        <f>F1383</f>
      </c>
      <c r="J1382" s="12">
        <f>G1383</f>
      </c>
      <c r="K1382">
        <f>IF(AND(Pu&gt;=MIN(E1382,H1382),Pu&lt;=MAX(E1382,H1382),E1382&lt;&gt;H1382),1,0)</f>
      </c>
      <c r="L1382">
        <f>IF(K1382=1,(Pu-E1382)/(H1382-E1382),"")</f>
      </c>
      <c r="M1382" s="12">
        <f>IF(K1382=1,F1382+L1382*(I1382-F1382),"")</f>
      </c>
      <c r="N1382" s="12">
        <f>IF(K1382=1,G1382+L1382*(J1382-G1382),"")</f>
      </c>
    </row>
    <row r="1383" spans="2:14" x14ac:dyDescent="0.25">
      <c r="B1383">
        <v>39</v>
      </c>
      <c r="C1383">
        <v>157.49999999999997</v>
      </c>
      <c r="D1383">
        <v>12</v>
      </c>
      <c r="E1383" s="18">
        <v>6529.105789345294</v>
      </c>
      <c r="F1383" s="18">
        <v>1335.6481981878178</v>
      </c>
      <c r="G1383" s="18">
        <v>-4851.653742432867</v>
      </c>
      <c r="H1383" s="12">
        <f>E1384</f>
      </c>
      <c r="I1383" s="12">
        <f>F1384</f>
      </c>
      <c r="J1383" s="12">
        <f>G1384</f>
      </c>
      <c r="K1383">
        <f>IF(AND(Pu&gt;=MIN(E1383,H1383),Pu&lt;=MAX(E1383,H1383),E1383&lt;&gt;H1383),1,0)</f>
      </c>
      <c r="L1383">
        <f>IF(K1383=1,(Pu-E1383)/(H1383-E1383),"")</f>
      </c>
      <c r="M1383" s="12">
        <f>IF(K1383=1,F1383+L1383*(I1383-F1383),"")</f>
      </c>
      <c r="N1383" s="12">
        <f>IF(K1383=1,G1383+L1383*(J1383-G1383),"")</f>
      </c>
    </row>
    <row r="1384" spans="2:14" x14ac:dyDescent="0.25">
      <c r="B1384">
        <v>39</v>
      </c>
      <c r="C1384">
        <v>157.49999999999997</v>
      </c>
      <c r="D1384">
        <v>13</v>
      </c>
      <c r="E1384" s="18">
        <v>6112.3642477051535</v>
      </c>
      <c r="F1384" s="18">
        <v>1360.043137881943</v>
      </c>
      <c r="G1384" s="18">
        <v>-4935.821861904623</v>
      </c>
      <c r="H1384" s="12">
        <f>E1385</f>
      </c>
      <c r="I1384" s="12">
        <f>F1385</f>
      </c>
      <c r="J1384" s="12">
        <f>G1385</f>
      </c>
      <c r="K1384">
        <f>IF(AND(Pu&gt;=MIN(E1384,H1384),Pu&lt;=MAX(E1384,H1384),E1384&lt;&gt;H1384),1,0)</f>
      </c>
      <c r="L1384">
        <f>IF(K1384=1,(Pu-E1384)/(H1384-E1384),"")</f>
      </c>
      <c r="M1384" s="12">
        <f>IF(K1384=1,F1384+L1384*(I1384-F1384),"")</f>
      </c>
      <c r="N1384" s="12">
        <f>IF(K1384=1,G1384+L1384*(J1384-G1384),"")</f>
      </c>
    </row>
    <row r="1385" spans="2:14" x14ac:dyDescent="0.25">
      <c r="B1385">
        <v>39</v>
      </c>
      <c r="C1385">
        <v>157.49999999999997</v>
      </c>
      <c r="D1385">
        <v>14</v>
      </c>
      <c r="E1385" s="18">
        <v>6056.90769240512</v>
      </c>
      <c r="F1385" s="18">
        <v>1362.5077848318963</v>
      </c>
      <c r="G1385" s="18">
        <v>-4947.6122424743035</v>
      </c>
      <c r="H1385" s="12">
        <f>E1386</f>
      </c>
      <c r="I1385" s="12">
        <f>F1386</f>
      </c>
      <c r="J1385" s="12">
        <f>G1386</f>
      </c>
      <c r="K1385">
        <f>IF(AND(Pu&gt;=MIN(E1385,H1385),Pu&lt;=MAX(E1385,H1385),E1385&lt;&gt;H1385),1,0)</f>
      </c>
      <c r="L1385">
        <f>IF(K1385=1,(Pu-E1385)/(H1385-E1385),"")</f>
      </c>
      <c r="M1385" s="12">
        <f>IF(K1385=1,F1385+L1385*(I1385-F1385),"")</f>
      </c>
      <c r="N1385" s="12">
        <f>IF(K1385=1,G1385+L1385*(J1385-G1385),"")</f>
      </c>
    </row>
    <row r="1386" spans="2:14" x14ac:dyDescent="0.25">
      <c r="B1386">
        <v>39</v>
      </c>
      <c r="C1386">
        <v>157.49999999999997</v>
      </c>
      <c r="D1386">
        <v>15</v>
      </c>
      <c r="E1386" s="18">
        <v>5780.020901174457</v>
      </c>
      <c r="F1386" s="18">
        <v>1375.653020384987</v>
      </c>
      <c r="G1386" s="18">
        <v>-5011.460593990091</v>
      </c>
      <c r="H1386" s="12">
        <f>E1387</f>
      </c>
      <c r="I1386" s="12">
        <f>F1387</f>
      </c>
      <c r="J1386" s="12">
        <f>G1387</f>
      </c>
      <c r="K1386">
        <f>IF(AND(Pu&gt;=MIN(E1386,H1386),Pu&lt;=MAX(E1386,H1386),E1386&lt;&gt;H1386),1,0)</f>
      </c>
      <c r="L1386">
        <f>IF(K1386=1,(Pu-E1386)/(H1386-E1386),"")</f>
      </c>
      <c r="M1386" s="12">
        <f>IF(K1386=1,F1386+L1386*(I1386-F1386),"")</f>
      </c>
      <c r="N1386" s="12">
        <f>IF(K1386=1,G1386+L1386*(J1386-G1386),"")</f>
      </c>
    </row>
    <row r="1387" spans="2:14" x14ac:dyDescent="0.25">
      <c r="B1387">
        <v>39</v>
      </c>
      <c r="C1387">
        <v>157.49999999999997</v>
      </c>
      <c r="D1387">
        <v>16</v>
      </c>
      <c r="E1387" s="18">
        <v>5473.420017581624</v>
      </c>
      <c r="F1387" s="18">
        <v>1400.2302128915544</v>
      </c>
      <c r="G1387" s="18">
        <v>-5080.423064299656</v>
      </c>
      <c r="H1387" s="12">
        <f>E1388</f>
      </c>
      <c r="I1387" s="12">
        <f>F1388</f>
      </c>
      <c r="J1387" s="12">
        <f>G1388</f>
      </c>
      <c r="K1387">
        <f>IF(AND(Pu&gt;=MIN(E1387,H1387),Pu&lt;=MAX(E1387,H1387),E1387&lt;&gt;H1387),1,0)</f>
      </c>
      <c r="L1387">
        <f>IF(K1387=1,(Pu-E1387)/(H1387-E1387),"")</f>
      </c>
      <c r="M1387" s="12">
        <f>IF(K1387=1,F1387+L1387*(I1387-F1387),"")</f>
      </c>
      <c r="N1387" s="12">
        <f>IF(K1387=1,G1387+L1387*(J1387-G1387),"")</f>
      </c>
    </row>
    <row r="1388" spans="2:14" x14ac:dyDescent="0.25">
      <c r="B1388">
        <v>39</v>
      </c>
      <c r="C1388">
        <v>157.49999999999997</v>
      </c>
      <c r="D1388">
        <v>17</v>
      </c>
      <c r="E1388" s="18">
        <v>5273.078862357542</v>
      </c>
      <c r="F1388" s="18">
        <v>1415.314286073927</v>
      </c>
      <c r="G1388" s="18">
        <v>-5120.94270996015</v>
      </c>
      <c r="H1388" s="12">
        <f>E1389</f>
      </c>
      <c r="I1388" s="12">
        <f>F1389</f>
      </c>
      <c r="J1388" s="12">
        <f>G1389</f>
      </c>
      <c r="K1388">
        <f>IF(AND(Pu&gt;=MIN(E1388,H1388),Pu&lt;=MAX(E1388,H1388),E1388&lt;&gt;H1388),1,0)</f>
      </c>
      <c r="L1388">
        <f>IF(K1388=1,(Pu-E1388)/(H1388-E1388),"")</f>
      </c>
      <c r="M1388" s="12">
        <f>IF(K1388=1,F1388+L1388*(I1388-F1388),"")</f>
      </c>
      <c r="N1388" s="12">
        <f>IF(K1388=1,G1388+L1388*(J1388-G1388),"")</f>
      </c>
    </row>
    <row r="1389" spans="2:14" x14ac:dyDescent="0.25">
      <c r="B1389">
        <v>39</v>
      </c>
      <c r="C1389">
        <v>157.49999999999997</v>
      </c>
      <c r="D1389">
        <v>18</v>
      </c>
      <c r="E1389" s="18">
        <v>5168.521467496137</v>
      </c>
      <c r="F1389" s="18">
        <v>1423.5778932251462</v>
      </c>
      <c r="G1389" s="18">
        <v>-5142.067748172541</v>
      </c>
      <c r="H1389" s="12">
        <f>E1390</f>
      </c>
      <c r="I1389" s="12">
        <f>F1390</f>
      </c>
      <c r="J1389" s="12">
        <f>G1390</f>
      </c>
      <c r="K1389">
        <f>IF(AND(Pu&gt;=MIN(E1389,H1389),Pu&lt;=MAX(E1389,H1389),E1389&lt;&gt;H1389),1,0)</f>
      </c>
      <c r="L1389">
        <f>IF(K1389=1,(Pu-E1389)/(H1389-E1389),"")</f>
      </c>
      <c r="M1389" s="12">
        <f>IF(K1389=1,F1389+L1389*(I1389-F1389),"")</f>
      </c>
      <c r="N1389" s="12">
        <f>IF(K1389=1,G1389+L1389*(J1389-G1389),"")</f>
      </c>
    </row>
    <row r="1390" spans="2:14" x14ac:dyDescent="0.25">
      <c r="B1390">
        <v>39</v>
      </c>
      <c r="C1390">
        <v>157.49999999999997</v>
      </c>
      <c r="D1390">
        <v>19</v>
      </c>
      <c r="E1390" s="18">
        <v>4891.244997979235</v>
      </c>
      <c r="F1390" s="18">
        <v>1435.9711198830166</v>
      </c>
      <c r="G1390" s="18">
        <v>-5198.528634661523</v>
      </c>
      <c r="H1390" s="12">
        <f>E1391</f>
      </c>
      <c r="I1390" s="12">
        <f>F1391</f>
      </c>
      <c r="J1390" s="12">
        <f>G1391</f>
      </c>
      <c r="K1390">
        <f>IF(AND(Pu&gt;=MIN(E1390,H1390),Pu&lt;=MAX(E1390,H1390),E1390&lt;&gt;H1390),1,0)</f>
      </c>
      <c r="L1390">
        <f>IF(K1390=1,(Pu-E1390)/(H1390-E1390),"")</f>
      </c>
      <c r="M1390" s="12">
        <f>IF(K1390=1,F1390+L1390*(I1390-F1390),"")</f>
      </c>
      <c r="N1390" s="12">
        <f>IF(K1390=1,G1390+L1390*(J1390-G1390),"")</f>
      </c>
    </row>
    <row r="1391" spans="2:14" x14ac:dyDescent="0.25">
      <c r="B1391">
        <v>39</v>
      </c>
      <c r="C1391">
        <v>157.49999999999997</v>
      </c>
      <c r="D1391">
        <v>20</v>
      </c>
      <c r="E1391" s="18">
        <v>4828.257125597352</v>
      </c>
      <c r="F1391" s="18">
        <v>1432.4880311946185</v>
      </c>
      <c r="G1391" s="18">
        <v>-5180.748215847794</v>
      </c>
      <c r="H1391" s="12">
        <f>E1392</f>
      </c>
      <c r="I1391" s="12">
        <f>F1392</f>
      </c>
      <c r="J1391" s="12">
        <f>G1392</f>
      </c>
      <c r="K1391">
        <f>IF(AND(Pu&gt;=MIN(E1391,H1391),Pu&lt;=MAX(E1391,H1391),E1391&lt;&gt;H1391),1,0)</f>
      </c>
      <c r="L1391">
        <f>IF(K1391=1,(Pu-E1391)/(H1391-E1391),"")</f>
      </c>
      <c r="M1391" s="12">
        <f>IF(K1391=1,F1391+L1391*(I1391-F1391),"")</f>
      </c>
      <c r="N1391" s="12">
        <f>IF(K1391=1,G1391+L1391*(J1391-G1391),"")</f>
      </c>
    </row>
    <row r="1392" spans="2:14" x14ac:dyDescent="0.25">
      <c r="B1392">
        <v>39</v>
      </c>
      <c r="C1392">
        <v>157.49999999999997</v>
      </c>
      <c r="D1392">
        <v>21</v>
      </c>
      <c r="E1392" s="18">
        <v>4259.141910674292</v>
      </c>
      <c r="F1392" s="18">
        <v>1408.4438635274773</v>
      </c>
      <c r="G1392" s="18">
        <v>-5005.967910998009</v>
      </c>
      <c r="H1392" s="12">
        <f>E1393</f>
      </c>
      <c r="I1392" s="12">
        <f>F1393</f>
      </c>
      <c r="J1392" s="12">
        <f>G1393</f>
      </c>
      <c r="K1392">
        <f>IF(AND(Pu&gt;=MIN(E1392,H1392),Pu&lt;=MAX(E1392,H1392),E1392&lt;&gt;H1392),1,0)</f>
      </c>
      <c r="L1392">
        <f>IF(K1392=1,(Pu-E1392)/(H1392-E1392),"")</f>
      </c>
      <c r="M1392" s="12">
        <f>IF(K1392=1,F1392+L1392*(I1392-F1392),"")</f>
      </c>
      <c r="N1392" s="12">
        <f>IF(K1392=1,G1392+L1392*(J1392-G1392),"")</f>
      </c>
    </row>
    <row r="1393" spans="2:14" x14ac:dyDescent="0.25">
      <c r="B1393">
        <v>39</v>
      </c>
      <c r="C1393">
        <v>157.49999999999997</v>
      </c>
      <c r="D1393">
        <v>22</v>
      </c>
      <c r="E1393" s="18">
        <v>3311.326442870314</v>
      </c>
      <c r="F1393" s="18">
        <v>1367.7005081589443</v>
      </c>
      <c r="G1393" s="18">
        <v>-4686.507771944972</v>
      </c>
      <c r="H1393" s="12">
        <f>E1394</f>
      </c>
      <c r="I1393" s="12">
        <f>F1394</f>
      </c>
      <c r="J1393" s="12">
        <f>G1394</f>
      </c>
      <c r="K1393">
        <f>IF(AND(Pu&gt;=MIN(E1393,H1393),Pu&lt;=MAX(E1393,H1393),E1393&lt;&gt;H1393),1,0)</f>
      </c>
      <c r="L1393">
        <f>IF(K1393=1,(Pu-E1393)/(H1393-E1393),"")</f>
      </c>
      <c r="M1393" s="12">
        <f>IF(K1393=1,F1393+L1393*(I1393-F1393),"")</f>
      </c>
      <c r="N1393" s="12">
        <f>IF(K1393=1,G1393+L1393*(J1393-G1393),"")</f>
      </c>
    </row>
    <row r="1394" spans="2:14" x14ac:dyDescent="0.25">
      <c r="B1394">
        <v>39</v>
      </c>
      <c r="C1394">
        <v>157.49999999999997</v>
      </c>
      <c r="D1394">
        <v>23</v>
      </c>
      <c r="E1394" s="18">
        <v>2514.9034268846676</v>
      </c>
      <c r="F1394" s="18">
        <v>1339.9449560133085</v>
      </c>
      <c r="G1394" s="18">
        <v>-4340.21401712959</v>
      </c>
      <c r="H1394" s="12">
        <f>E1395</f>
      </c>
      <c r="I1394" s="12">
        <f>F1395</f>
      </c>
      <c r="J1394" s="12">
        <f>G1395</f>
      </c>
      <c r="K1394">
        <f>IF(AND(Pu&gt;=MIN(E1394,H1394),Pu&lt;=MAX(E1394,H1394),E1394&lt;&gt;H1394),1,0)</f>
      </c>
      <c r="L1394">
        <f>IF(K1394=1,(Pu-E1394)/(H1394-E1394),"")</f>
      </c>
      <c r="M1394" s="12">
        <f>IF(K1394=1,F1394+L1394*(I1394-F1394),"")</f>
      </c>
      <c r="N1394" s="12">
        <f>IF(K1394=1,G1394+L1394*(J1394-G1394),"")</f>
      </c>
    </row>
    <row r="1395" spans="2:14" x14ac:dyDescent="0.25">
      <c r="B1395">
        <v>39</v>
      </c>
      <c r="C1395">
        <v>157.49999999999997</v>
      </c>
      <c r="D1395">
        <v>24</v>
      </c>
      <c r="E1395" s="18">
        <v>1751.2191898598392</v>
      </c>
      <c r="F1395" s="18">
        <v>1306.0381114882343</v>
      </c>
      <c r="G1395" s="18">
        <v>-3986.0650641966554</v>
      </c>
      <c r="H1395" s="12">
        <f>E1396</f>
      </c>
      <c r="I1395" s="12">
        <f>F1396</f>
      </c>
      <c r="J1395" s="12">
        <f>G1396</f>
      </c>
      <c r="K1395">
        <f>IF(AND(Pu&gt;=MIN(E1395,H1395),Pu&lt;=MAX(E1395,H1395),E1395&lt;&gt;H1395),1,0)</f>
      </c>
      <c r="L1395">
        <f>IF(K1395=1,(Pu-E1395)/(H1395-E1395),"")</f>
      </c>
      <c r="M1395" s="12">
        <f>IF(K1395=1,F1395+L1395*(I1395-F1395),"")</f>
      </c>
      <c r="N1395" s="12">
        <f>IF(K1395=1,G1395+L1395*(J1395-G1395),"")</f>
      </c>
    </row>
    <row r="1396" spans="2:14" x14ac:dyDescent="0.25">
      <c r="B1396">
        <v>39</v>
      </c>
      <c r="C1396">
        <v>157.49999999999997</v>
      </c>
      <c r="D1396">
        <v>25</v>
      </c>
      <c r="E1396" s="18">
        <v>600.0206378851675</v>
      </c>
      <c r="F1396" s="18">
        <v>1193.856451530675</v>
      </c>
      <c r="G1396" s="18">
        <v>-3381.4877647060807</v>
      </c>
      <c r="H1396" s="12">
        <f>E1397</f>
      </c>
      <c r="I1396" s="12">
        <f>F1397</f>
      </c>
      <c r="J1396" s="12">
        <f>G1397</f>
      </c>
      <c r="K1396">
        <f>IF(AND(Pu&gt;=MIN(E1396,H1396),Pu&lt;=MAX(E1396,H1396),E1396&lt;&gt;H1396),1,0)</f>
      </c>
      <c r="L1396">
        <f>IF(K1396=1,(Pu-E1396)/(H1396-E1396),"")</f>
      </c>
      <c r="M1396" s="12">
        <f>IF(K1396=1,F1396+L1396*(I1396-F1396),"")</f>
      </c>
      <c r="N1396" s="12">
        <f>IF(K1396=1,G1396+L1396*(J1396-G1396),"")</f>
      </c>
    </row>
    <row r="1397" spans="2:14" x14ac:dyDescent="0.25">
      <c r="B1397">
        <v>39</v>
      </c>
      <c r="C1397">
        <v>157.49999999999997</v>
      </c>
      <c r="D1397">
        <v>26</v>
      </c>
      <c r="E1397" s="18">
        <v>-310.5779810579907</v>
      </c>
      <c r="F1397" s="18">
        <v>1065.5727539584884</v>
      </c>
      <c r="G1397" s="18">
        <v>-2881.624273526499</v>
      </c>
      <c r="H1397" s="12">
        <f>E1398</f>
      </c>
      <c r="I1397" s="12">
        <f>F1398</f>
      </c>
      <c r="J1397" s="12">
        <f>G1398</f>
      </c>
      <c r="K1397">
        <f>IF(AND(Pu&gt;=MIN(E1397,H1397),Pu&lt;=MAX(E1397,H1397),E1397&lt;&gt;H1397),1,0)</f>
      </c>
      <c r="L1397">
        <f>IF(K1397=1,(Pu-E1397)/(H1397-E1397),"")</f>
      </c>
      <c r="M1397" s="12">
        <f>IF(K1397=1,F1397+L1397*(I1397-F1397),"")</f>
      </c>
      <c r="N1397" s="12">
        <f>IF(K1397=1,G1397+L1397*(J1397-G1397),"")</f>
      </c>
    </row>
    <row r="1398" spans="2:14" x14ac:dyDescent="0.25">
      <c r="B1398">
        <v>39</v>
      </c>
      <c r="C1398">
        <v>157.49999999999997</v>
      </c>
      <c r="D1398">
        <v>27</v>
      </c>
      <c r="E1398" s="18">
        <v>-1094.9016605889178</v>
      </c>
      <c r="F1398" s="18">
        <v>929.9836439035183</v>
      </c>
      <c r="G1398" s="18">
        <v>-2435.571499489681</v>
      </c>
      <c r="H1398" s="12">
        <f>E1399</f>
      </c>
      <c r="I1398" s="12">
        <f>F1399</f>
      </c>
      <c r="J1398" s="12">
        <f>G1399</f>
      </c>
      <c r="K1398">
        <f>IF(AND(Pu&gt;=MIN(E1398,H1398),Pu&lt;=MAX(E1398,H1398),E1398&lt;&gt;H1398),1,0)</f>
      </c>
      <c r="L1398">
        <f>IF(K1398=1,(Pu-E1398)/(H1398-E1398),"")</f>
      </c>
      <c r="M1398" s="12">
        <f>IF(K1398=1,F1398+L1398*(I1398-F1398),"")</f>
      </c>
      <c r="N1398" s="12">
        <f>IF(K1398=1,G1398+L1398*(J1398-G1398),"")</f>
      </c>
    </row>
    <row r="1399" spans="2:14" x14ac:dyDescent="0.25">
      <c r="B1399">
        <v>39</v>
      </c>
      <c r="C1399">
        <v>157.49999999999997</v>
      </c>
      <c r="D1399">
        <v>28</v>
      </c>
      <c r="E1399" s="18">
        <v>-1716.6056623690451</v>
      </c>
      <c r="F1399" s="18">
        <v>824.9862839284134</v>
      </c>
      <c r="G1399" s="18">
        <v>-2060.495409557309</v>
      </c>
      <c r="H1399" s="12">
        <f>E1400</f>
      </c>
      <c r="I1399" s="12">
        <f>F1400</f>
      </c>
      <c r="J1399" s="12">
        <f>G1400</f>
      </c>
      <c r="K1399">
        <f>IF(AND(Pu&gt;=MIN(E1399,H1399),Pu&lt;=MAX(E1399,H1399),E1399&lt;&gt;H1399),1,0)</f>
      </c>
      <c r="L1399">
        <f>IF(K1399=1,(Pu-E1399)/(H1399-E1399),"")</f>
      </c>
      <c r="M1399" s="12">
        <f>IF(K1399=1,F1399+L1399*(I1399-F1399),"")</f>
      </c>
      <c r="N1399" s="12">
        <f>IF(K1399=1,G1399+L1399*(J1399-G1399),"")</f>
      </c>
    </row>
    <row r="1400" spans="2:14" x14ac:dyDescent="0.25">
      <c r="B1400">
        <v>39</v>
      </c>
      <c r="C1400">
        <v>157.49999999999997</v>
      </c>
      <c r="D1400">
        <v>29</v>
      </c>
      <c r="E1400" s="18">
        <v>-2647.60587136094</v>
      </c>
      <c r="F1400" s="18">
        <v>646.8083773552843</v>
      </c>
      <c r="G1400" s="18">
        <v>-1492.9211169860364</v>
      </c>
      <c r="H1400" s="12">
        <f>E1401</f>
      </c>
      <c r="I1400" s="12">
        <f>F1401</f>
      </c>
      <c r="J1400" s="12">
        <f>G1401</f>
      </c>
      <c r="K1400">
        <f>IF(AND(Pu&gt;=MIN(E1400,H1400),Pu&lt;=MAX(E1400,H1400),E1400&lt;&gt;H1400),1,0)</f>
      </c>
      <c r="L1400">
        <f>IF(K1400=1,(Pu-E1400)/(H1400-E1400),"")</f>
      </c>
      <c r="M1400" s="12">
        <f>IF(K1400=1,F1400+L1400*(I1400-F1400),"")</f>
      </c>
      <c r="N1400" s="12">
        <f>IF(K1400=1,G1400+L1400*(J1400-G1400),"")</f>
      </c>
    </row>
    <row r="1401" spans="2:14" x14ac:dyDescent="0.25">
      <c r="B1401">
        <v>39</v>
      </c>
      <c r="C1401">
        <v>157.49999999999997</v>
      </c>
      <c r="D1401">
        <v>30</v>
      </c>
      <c r="E1401" s="18">
        <v>-3287.3876456339117</v>
      </c>
      <c r="F1401" s="18">
        <v>485.0935176079864</v>
      </c>
      <c r="G1401" s="18">
        <v>-1101.9109895959646</v>
      </c>
      <c r="H1401" s="12">
        <f>E1402</f>
      </c>
      <c r="I1401" s="12">
        <f>F1402</f>
      </c>
      <c r="J1401" s="12">
        <f>G1402</f>
      </c>
      <c r="K1401">
        <f>IF(AND(Pu&gt;=MIN(E1401,H1401),Pu&lt;=MAX(E1401,H1401),E1401&lt;&gt;H1401),1,0)</f>
      </c>
      <c r="L1401">
        <f>IF(K1401=1,(Pu-E1401)/(H1401-E1401),"")</f>
      </c>
      <c r="M1401" s="12">
        <f>IF(K1401=1,F1401+L1401*(I1401-F1401),"")</f>
      </c>
      <c r="N1401" s="12">
        <f>IF(K1401=1,G1401+L1401*(J1401-G1401),"")</f>
      </c>
    </row>
    <row r="1402" spans="2:14" x14ac:dyDescent="0.25">
      <c r="B1402">
        <v>39</v>
      </c>
      <c r="C1402">
        <v>157.49999999999997</v>
      </c>
      <c r="D1402">
        <v>31</v>
      </c>
      <c r="E1402" s="18">
        <v>-3921.463485383802</v>
      </c>
      <c r="F1402" s="18">
        <v>321.8603077402548</v>
      </c>
      <c r="G1402" s="18">
        <v>-683.9607470805661</v>
      </c>
      <c r="H1402" s="12">
        <f>E1403</f>
      </c>
      <c r="I1402" s="12">
        <f>F1403</f>
      </c>
      <c r="J1402" s="12">
        <f>G1403</f>
      </c>
      <c r="K1402">
        <f>IF(AND(Pu&gt;=MIN(E1402,H1402),Pu&lt;=MAX(E1402,H1402),E1402&lt;&gt;H1402),1,0)</f>
      </c>
      <c r="L1402">
        <f>IF(K1402=1,(Pu-E1402)/(H1402-E1402),"")</f>
      </c>
      <c r="M1402" s="12">
        <f>IF(K1402=1,F1402+L1402*(I1402-F1402),"")</f>
      </c>
      <c r="N1402" s="12">
        <f>IF(K1402=1,G1402+L1402*(J1402-G1402),"")</f>
      </c>
    </row>
    <row r="1403" spans="2:14" x14ac:dyDescent="0.25">
      <c r="B1403">
        <v>39</v>
      </c>
      <c r="C1403">
        <v>157.49999999999997</v>
      </c>
      <c r="D1403">
        <v>32</v>
      </c>
      <c r="E1403" s="18">
        <v>-4273.218492975461</v>
      </c>
      <c r="F1403" s="18">
        <v>223.52689354957903</v>
      </c>
      <c r="G1403" s="18">
        <v>-447.9247200393831</v>
      </c>
      <c r="H1403" s="12">
        <f>E1404</f>
      </c>
      <c r="I1403" s="12">
        <f>F1404</f>
      </c>
      <c r="J1403" s="12">
        <f>G1404</f>
      </c>
      <c r="K1403">
        <f>IF(AND(Pu&gt;=MIN(E1403,H1403),Pu&lt;=MAX(E1403,H1403),E1403&lt;&gt;H1403),1,0)</f>
      </c>
      <c r="L1403">
        <f>IF(K1403=1,(Pu-E1403)/(H1403-E1403),"")</f>
      </c>
      <c r="M1403" s="12">
        <f>IF(K1403=1,F1403+L1403*(I1403-F1403),"")</f>
      </c>
      <c r="N1403" s="12">
        <f>IF(K1403=1,G1403+L1403*(J1403-G1403),"")</f>
      </c>
    </row>
    <row r="1404" spans="2:14" x14ac:dyDescent="0.25">
      <c r="B1404">
        <v>39</v>
      </c>
      <c r="C1404">
        <v>157.49999999999997</v>
      </c>
      <c r="D1404">
        <v>33</v>
      </c>
      <c r="E1404" s="18">
        <v>-4678.39102320413</v>
      </c>
      <c r="F1404" s="18">
        <v>87.63255030028985</v>
      </c>
      <c r="G1404" s="18">
        <v>-171.58850796840412</v>
      </c>
      <c r="H1404" s="12">
        <f>E1405</f>
      </c>
      <c r="I1404" s="12">
        <f>F1405</f>
      </c>
      <c r="J1404" s="12">
        <f>G1405</f>
      </c>
      <c r="K1404">
        <f>IF(AND(Pu&gt;=MIN(E1404,H1404),Pu&lt;=MAX(E1404,H1404),E1404&lt;&gt;H1404),1,0)</f>
      </c>
      <c r="L1404">
        <f>IF(K1404=1,(Pu-E1404)/(H1404-E1404),"")</f>
      </c>
      <c r="M1404" s="12">
        <f>IF(K1404=1,F1404+L1404*(I1404-F1404),"")</f>
      </c>
      <c r="N1404" s="12">
        <f>IF(K1404=1,G1404+L1404*(J1404-G1404),"")</f>
      </c>
    </row>
    <row r="1405" spans="2:7" x14ac:dyDescent="0.25">
      <c r="B1405">
        <v>39</v>
      </c>
      <c r="C1405">
        <v>157.49999999999997</v>
      </c>
      <c r="D1405">
        <v>34</v>
      </c>
      <c r="E1405" s="18">
        <v>-4824.154049701967</v>
      </c>
      <c r="F1405" s="18">
        <v>38.0574305032311</v>
      </c>
      <c r="G1405" s="18">
        <v>-70.77567313320833</v>
      </c>
    </row>
    <row r="1407" spans="2:14" x14ac:dyDescent="0.25">
      <c r="B1407">
        <v>40</v>
      </c>
      <c r="C1407">
        <v>161.25</v>
      </c>
      <c r="D1407">
        <v>1</v>
      </c>
      <c r="E1407" s="18">
        <v>17595.35023414</v>
      </c>
      <c r="F1407" s="18">
        <v>713.5694762875685</v>
      </c>
      <c r="G1407" s="18">
        <v>-2620.3604149080343</v>
      </c>
      <c r="H1407" s="12">
        <f>E1408</f>
      </c>
      <c r="I1407" s="12">
        <f>F1408</f>
      </c>
      <c r="J1407" s="12">
        <f>G1408</f>
      </c>
      <c r="K1407">
        <f>IF(AND(Pu&gt;=MIN(E1407,H1407),Pu&lt;=MAX(E1407,H1407),E1407&lt;&gt;H1407),1,0)</f>
      </c>
      <c r="L1407">
        <f>IF(K1407=1,(Pu-E1407)/(H1407-E1407),"")</f>
      </c>
      <c r="M1407" s="12">
        <f>IF(K1407=1,F1407+L1407*(I1407-F1407),"")</f>
      </c>
      <c r="N1407" s="12">
        <f>IF(K1407=1,G1407+L1407*(J1407-G1407),"")</f>
      </c>
    </row>
    <row r="1408" spans="2:14" x14ac:dyDescent="0.25">
      <c r="B1408">
        <v>40</v>
      </c>
      <c r="C1408">
        <v>161.25</v>
      </c>
      <c r="D1408">
        <v>2</v>
      </c>
      <c r="E1408" s="18">
        <v>16593.12154914897</v>
      </c>
      <c r="F1408" s="18">
        <v>727.6682884826605</v>
      </c>
      <c r="G1408" s="18">
        <v>-3090.645585739427</v>
      </c>
      <c r="H1408" s="12">
        <f>E1409</f>
      </c>
      <c r="I1408" s="12">
        <f>F1409</f>
      </c>
      <c r="J1408" s="12">
        <f>G1409</f>
      </c>
      <c r="K1408">
        <f>IF(AND(Pu&gt;=MIN(E1408,H1408),Pu&lt;=MAX(E1408,H1408),E1408&lt;&gt;H1408),1,0)</f>
      </c>
      <c r="L1408">
        <f>IF(K1408=1,(Pu-E1408)/(H1408-E1408),"")</f>
      </c>
      <c r="M1408" s="12">
        <f>IF(K1408=1,F1408+L1408*(I1408-F1408),"")</f>
      </c>
      <c r="N1408" s="12">
        <f>IF(K1408=1,G1408+L1408*(J1408-G1408),"")</f>
      </c>
    </row>
    <row r="1409" spans="2:14" x14ac:dyDescent="0.25">
      <c r="B1409">
        <v>40</v>
      </c>
      <c r="C1409">
        <v>161.25</v>
      </c>
      <c r="D1409">
        <v>3</v>
      </c>
      <c r="E1409" s="18">
        <v>15745.473119355664</v>
      </c>
      <c r="F1409" s="18">
        <v>743.8077061893746</v>
      </c>
      <c r="G1409" s="18">
        <v>-3418.5121994776096</v>
      </c>
      <c r="H1409" s="12">
        <f>E1410</f>
      </c>
      <c r="I1409" s="12">
        <f>F1410</f>
      </c>
      <c r="J1409" s="12">
        <f>G1410</f>
      </c>
      <c r="K1409">
        <f>IF(AND(Pu&gt;=MIN(E1409,H1409),Pu&lt;=MAX(E1409,H1409),E1409&lt;&gt;H1409),1,0)</f>
      </c>
      <c r="L1409">
        <f>IF(K1409=1,(Pu-E1409)/(H1409-E1409),"")</f>
      </c>
      <c r="M1409" s="12">
        <f>IF(K1409=1,F1409+L1409*(I1409-F1409),"")</f>
      </c>
      <c r="N1409" s="12">
        <f>IF(K1409=1,G1409+L1409*(J1409-G1409),"")</f>
      </c>
    </row>
    <row r="1410" spans="2:14" x14ac:dyDescent="0.25">
      <c r="B1410">
        <v>40</v>
      </c>
      <c r="C1410">
        <v>161.25</v>
      </c>
      <c r="D1410">
        <v>4</v>
      </c>
      <c r="E1410" s="18">
        <v>14137.405144976467</v>
      </c>
      <c r="F1410" s="18">
        <v>872.3742477400667</v>
      </c>
      <c r="G1410" s="18">
        <v>-3865.08010246035</v>
      </c>
      <c r="H1410" s="12">
        <f>E1411</f>
      </c>
      <c r="I1410" s="12">
        <f>F1411</f>
      </c>
      <c r="J1410" s="12">
        <f>G1411</f>
      </c>
      <c r="K1410">
        <f>IF(AND(Pu&gt;=MIN(E1410,H1410),Pu&lt;=MAX(E1410,H1410),E1410&lt;&gt;H1410),1,0)</f>
      </c>
      <c r="L1410">
        <f>IF(K1410=1,(Pu-E1410)/(H1410-E1410),"")</f>
      </c>
      <c r="M1410" s="12">
        <f>IF(K1410=1,F1410+L1410*(I1410-F1410),"")</f>
      </c>
      <c r="N1410" s="12">
        <f>IF(K1410=1,G1410+L1410*(J1410-G1410),"")</f>
      </c>
    </row>
    <row r="1411" spans="2:14" x14ac:dyDescent="0.25">
      <c r="B1411">
        <v>40</v>
      </c>
      <c r="C1411">
        <v>161.25</v>
      </c>
      <c r="D1411">
        <v>5</v>
      </c>
      <c r="E1411" s="18">
        <v>12184.12712374925</v>
      </c>
      <c r="F1411" s="18">
        <v>1042.3682964495124</v>
      </c>
      <c r="G1411" s="18">
        <v>-4189.484857254671</v>
      </c>
      <c r="H1411" s="12">
        <f>E1412</f>
      </c>
      <c r="I1411" s="12">
        <f>F1412</f>
      </c>
      <c r="J1411" s="12">
        <f>G1412</f>
      </c>
      <c r="K1411">
        <f>IF(AND(Pu&gt;=MIN(E1411,H1411),Pu&lt;=MAX(E1411,H1411),E1411&lt;&gt;H1411),1,0)</f>
      </c>
      <c r="L1411">
        <f>IF(K1411=1,(Pu-E1411)/(H1411-E1411),"")</f>
      </c>
      <c r="M1411" s="12">
        <f>IF(K1411=1,F1411+L1411*(I1411-F1411),"")</f>
      </c>
      <c r="N1411" s="12">
        <f>IF(K1411=1,G1411+L1411*(J1411-G1411),"")</f>
      </c>
    </row>
    <row r="1412" spans="2:14" x14ac:dyDescent="0.25">
      <c r="B1412">
        <v>40</v>
      </c>
      <c r="C1412">
        <v>161.25</v>
      </c>
      <c r="D1412">
        <v>6</v>
      </c>
      <c r="E1412" s="18">
        <v>9992.352840351361</v>
      </c>
      <c r="F1412" s="18">
        <v>1101.3035962784484</v>
      </c>
      <c r="G1412" s="18">
        <v>-4407.341953511043</v>
      </c>
      <c r="H1412" s="12">
        <f>E1413</f>
      </c>
      <c r="I1412" s="12">
        <f>F1413</f>
      </c>
      <c r="J1412" s="12">
        <f>G1413</f>
      </c>
      <c r="K1412">
        <f>IF(AND(Pu&gt;=MIN(E1412,H1412),Pu&lt;=MAX(E1412,H1412),E1412&lt;&gt;H1412),1,0)</f>
      </c>
      <c r="L1412">
        <f>IF(K1412=1,(Pu-E1412)/(H1412-E1412),"")</f>
      </c>
      <c r="M1412" s="12">
        <f>IF(K1412=1,F1412+L1412*(I1412-F1412),"")</f>
      </c>
      <c r="N1412" s="12">
        <f>IF(K1412=1,G1412+L1412*(J1412-G1412),"")</f>
      </c>
    </row>
    <row r="1413" spans="2:14" x14ac:dyDescent="0.25">
      <c r="B1413">
        <v>40</v>
      </c>
      <c r="C1413">
        <v>161.25</v>
      </c>
      <c r="D1413">
        <v>7</v>
      </c>
      <c r="E1413" s="18">
        <v>8688.78989375458</v>
      </c>
      <c r="F1413" s="18">
        <v>1116.7829140414344</v>
      </c>
      <c r="G1413" s="18">
        <v>-4481.197285218685</v>
      </c>
      <c r="H1413" s="12">
        <f>E1414</f>
      </c>
      <c r="I1413" s="12">
        <f>F1414</f>
      </c>
      <c r="J1413" s="12">
        <f>G1414</f>
      </c>
      <c r="K1413">
        <f>IF(AND(Pu&gt;=MIN(E1413,H1413),Pu&lt;=MAX(E1413,H1413),E1413&lt;&gt;H1413),1,0)</f>
      </c>
      <c r="L1413">
        <f>IF(K1413=1,(Pu-E1413)/(H1413-E1413),"")</f>
      </c>
      <c r="M1413" s="12">
        <f>IF(K1413=1,F1413+L1413*(I1413-F1413),"")</f>
      </c>
      <c r="N1413" s="12">
        <f>IF(K1413=1,G1413+L1413*(J1413-G1413),"")</f>
      </c>
    </row>
    <row r="1414" spans="2:14" x14ac:dyDescent="0.25">
      <c r="B1414">
        <v>40</v>
      </c>
      <c r="C1414">
        <v>161.25</v>
      </c>
      <c r="D1414">
        <v>8</v>
      </c>
      <c r="E1414" s="18">
        <v>8241.02639543978</v>
      </c>
      <c r="F1414" s="18">
        <v>1132.1064017680696</v>
      </c>
      <c r="G1414" s="18">
        <v>-4568.54003376145</v>
      </c>
      <c r="H1414" s="12">
        <f>E1415</f>
      </c>
      <c r="I1414" s="12">
        <f>F1415</f>
      </c>
      <c r="J1414" s="12">
        <f>G1415</f>
      </c>
      <c r="K1414">
        <f>IF(AND(Pu&gt;=MIN(E1414,H1414),Pu&lt;=MAX(E1414,H1414),E1414&lt;&gt;H1414),1,0)</f>
      </c>
      <c r="L1414">
        <f>IF(K1414=1,(Pu-E1414)/(H1414-E1414),"")</f>
      </c>
      <c r="M1414" s="12">
        <f>IF(K1414=1,F1414+L1414*(I1414-F1414),"")</f>
      </c>
      <c r="N1414" s="12">
        <f>IF(K1414=1,G1414+L1414*(J1414-G1414),"")</f>
      </c>
    </row>
    <row r="1415" spans="2:14" x14ac:dyDescent="0.25">
      <c r="B1415">
        <v>40</v>
      </c>
      <c r="C1415">
        <v>161.25</v>
      </c>
      <c r="D1415">
        <v>9</v>
      </c>
      <c r="E1415" s="18">
        <v>7728.81154602517</v>
      </c>
      <c r="F1415" s="18">
        <v>1135.6978261822305</v>
      </c>
      <c r="G1415" s="18">
        <v>-4674.448082893692</v>
      </c>
      <c r="H1415" s="12">
        <f>E1416</f>
      </c>
      <c r="I1415" s="12">
        <f>F1416</f>
      </c>
      <c r="J1415" s="12">
        <f>G1416</f>
      </c>
      <c r="K1415">
        <f>IF(AND(Pu&gt;=MIN(E1415,H1415),Pu&lt;=MAX(E1415,H1415),E1415&lt;&gt;H1415),1,0)</f>
      </c>
      <c r="L1415">
        <f>IF(K1415=1,(Pu-E1415)/(H1415-E1415),"")</f>
      </c>
      <c r="M1415" s="12">
        <f>IF(K1415=1,F1415+L1415*(I1415-F1415),"")</f>
      </c>
      <c r="N1415" s="12">
        <f>IF(K1415=1,G1415+L1415*(J1415-G1415),"")</f>
      </c>
    </row>
    <row r="1416" spans="2:14" x14ac:dyDescent="0.25">
      <c r="B1416">
        <v>40</v>
      </c>
      <c r="C1416">
        <v>161.25</v>
      </c>
      <c r="D1416">
        <v>10</v>
      </c>
      <c r="E1416" s="18">
        <v>7231.078626817706</v>
      </c>
      <c r="F1416" s="18">
        <v>1129.4632036616947</v>
      </c>
      <c r="G1416" s="18">
        <v>-4782.298226174503</v>
      </c>
      <c r="H1416" s="12">
        <f>E1417</f>
      </c>
      <c r="I1416" s="12">
        <f>F1417</f>
      </c>
      <c r="J1416" s="12">
        <f>G1417</f>
      </c>
      <c r="K1416">
        <f>IF(AND(Pu&gt;=MIN(E1416,H1416),Pu&lt;=MAX(E1416,H1416),E1416&lt;&gt;H1416),1,0)</f>
      </c>
      <c r="L1416">
        <f>IF(K1416=1,(Pu-E1416)/(H1416-E1416),"")</f>
      </c>
      <c r="M1416" s="12">
        <f>IF(K1416=1,F1416+L1416*(I1416-F1416),"")</f>
      </c>
      <c r="N1416" s="12">
        <f>IF(K1416=1,G1416+L1416*(J1416-G1416),"")</f>
      </c>
    </row>
    <row r="1417" spans="2:14" x14ac:dyDescent="0.25">
      <c r="B1417">
        <v>40</v>
      </c>
      <c r="C1417">
        <v>161.25</v>
      </c>
      <c r="D1417">
        <v>11</v>
      </c>
      <c r="E1417" s="18">
        <v>7027.6537296225515</v>
      </c>
      <c r="F1417" s="18">
        <v>1126.3369845626792</v>
      </c>
      <c r="G1417" s="18">
        <v>-4826.885585196596</v>
      </c>
      <c r="H1417" s="12">
        <f>E1418</f>
      </c>
      <c r="I1417" s="12">
        <f>F1418</f>
      </c>
      <c r="J1417" s="12">
        <f>G1418</f>
      </c>
      <c r="K1417">
        <f>IF(AND(Pu&gt;=MIN(E1417,H1417),Pu&lt;=MAX(E1417,H1417),E1417&lt;&gt;H1417),1,0)</f>
      </c>
      <c r="L1417">
        <f>IF(K1417=1,(Pu-E1417)/(H1417-E1417),"")</f>
      </c>
      <c r="M1417" s="12">
        <f>IF(K1417=1,F1417+L1417*(I1417-F1417),"")</f>
      </c>
      <c r="N1417" s="12">
        <f>IF(K1417=1,G1417+L1417*(J1417-G1417),"")</f>
      </c>
    </row>
    <row r="1418" spans="2:14" x14ac:dyDescent="0.25">
      <c r="B1418">
        <v>40</v>
      </c>
      <c r="C1418">
        <v>161.25</v>
      </c>
      <c r="D1418">
        <v>12</v>
      </c>
      <c r="E1418" s="18">
        <v>6596.591119409909</v>
      </c>
      <c r="F1418" s="18">
        <v>1124.4154762384421</v>
      </c>
      <c r="G1418" s="18">
        <v>-4917.1344486570815</v>
      </c>
      <c r="H1418" s="12">
        <f>E1419</f>
      </c>
      <c r="I1418" s="12">
        <f>F1419</f>
      </c>
      <c r="J1418" s="12">
        <f>G1419</f>
      </c>
      <c r="K1418">
        <f>IF(AND(Pu&gt;=MIN(E1418,H1418),Pu&lt;=MAX(E1418,H1418),E1418&lt;&gt;H1418),1,0)</f>
      </c>
      <c r="L1418">
        <f>IF(K1418=1,(Pu-E1418)/(H1418-E1418),"")</f>
      </c>
      <c r="M1418" s="12">
        <f>IF(K1418=1,F1418+L1418*(I1418-F1418),"")</f>
      </c>
      <c r="N1418" s="12">
        <f>IF(K1418=1,G1418+L1418*(J1418-G1418),"")</f>
      </c>
    </row>
    <row r="1419" spans="2:14" x14ac:dyDescent="0.25">
      <c r="B1419">
        <v>40</v>
      </c>
      <c r="C1419">
        <v>161.25</v>
      </c>
      <c r="D1419">
        <v>13</v>
      </c>
      <c r="E1419" s="18">
        <v>6547.3649029525795</v>
      </c>
      <c r="F1419" s="18">
        <v>1123.95571457537</v>
      </c>
      <c r="G1419" s="18">
        <v>-4928.107781847064</v>
      </c>
      <c r="H1419" s="12">
        <f>E1420</f>
      </c>
      <c r="I1419" s="12">
        <f>F1420</f>
      </c>
      <c r="J1419" s="12">
        <f>G1420</f>
      </c>
      <c r="K1419">
        <f>IF(AND(Pu&gt;=MIN(E1419,H1419),Pu&lt;=MAX(E1419,H1419),E1419&lt;&gt;H1419),1,0)</f>
      </c>
      <c r="L1419">
        <f>IF(K1419=1,(Pu-E1419)/(H1419-E1419),"")</f>
      </c>
      <c r="M1419" s="12">
        <f>IF(K1419=1,F1419+L1419*(I1419-F1419),"")</f>
      </c>
      <c r="N1419" s="12">
        <f>IF(K1419=1,G1419+L1419*(J1419-G1419),"")</f>
      </c>
    </row>
    <row r="1420" spans="2:14" x14ac:dyDescent="0.25">
      <c r="B1420">
        <v>40</v>
      </c>
      <c r="C1420">
        <v>161.25</v>
      </c>
      <c r="D1420">
        <v>14</v>
      </c>
      <c r="E1420" s="18">
        <v>6166.009307501838</v>
      </c>
      <c r="F1420" s="18">
        <v>1121.4398326998617</v>
      </c>
      <c r="G1420" s="18">
        <v>-5033.500795491171</v>
      </c>
      <c r="H1420" s="12">
        <f>E1421</f>
      </c>
      <c r="I1420" s="12">
        <f>F1421</f>
      </c>
      <c r="J1420" s="12">
        <f>G1421</f>
      </c>
      <c r="K1420">
        <f>IF(AND(Pu&gt;=MIN(E1420,H1420),Pu&lt;=MAX(E1420,H1420),E1420&lt;&gt;H1420),1,0)</f>
      </c>
      <c r="L1420">
        <f>IF(K1420=1,(Pu-E1420)/(H1420-E1420),"")</f>
      </c>
      <c r="M1420" s="12">
        <f>IF(K1420=1,F1420+L1420*(I1420-F1420),"")</f>
      </c>
      <c r="N1420" s="12">
        <f>IF(K1420=1,G1420+L1420*(J1420-G1420),"")</f>
      </c>
    </row>
    <row r="1421" spans="2:14" x14ac:dyDescent="0.25">
      <c r="B1421">
        <v>40</v>
      </c>
      <c r="C1421">
        <v>161.25</v>
      </c>
      <c r="D1421">
        <v>15</v>
      </c>
      <c r="E1421" s="18">
        <v>6099.45878685956</v>
      </c>
      <c r="F1421" s="18">
        <v>1124.7025245972984</v>
      </c>
      <c r="G1421" s="18">
        <v>-5052.598677292899</v>
      </c>
      <c r="H1421" s="12">
        <f>E1422</f>
      </c>
      <c r="I1421" s="12">
        <f>F1422</f>
      </c>
      <c r="J1421" s="12">
        <f>G1422</f>
      </c>
      <c r="K1421">
        <f>IF(AND(Pu&gt;=MIN(E1421,H1421),Pu&lt;=MAX(E1421,H1421),E1421&lt;&gt;H1421),1,0)</f>
      </c>
      <c r="L1421">
        <f>IF(K1421=1,(Pu-E1421)/(H1421-E1421),"")</f>
      </c>
      <c r="M1421" s="12">
        <f>IF(K1421=1,F1421+L1421*(I1421-F1421),"")</f>
      </c>
      <c r="N1421" s="12">
        <f>IF(K1421=1,G1421+L1421*(J1421-G1421),"")</f>
      </c>
    </row>
    <row r="1422" spans="2:14" x14ac:dyDescent="0.25">
      <c r="B1422">
        <v>40</v>
      </c>
      <c r="C1422">
        <v>161.25</v>
      </c>
      <c r="D1422">
        <v>16</v>
      </c>
      <c r="E1422" s="18">
        <v>5849.536717996096</v>
      </c>
      <c r="F1422" s="18">
        <v>1134.524552171136</v>
      </c>
      <c r="G1422" s="18">
        <v>-5126.595185532456</v>
      </c>
      <c r="H1422" s="12">
        <f>E1423</f>
      </c>
      <c r="I1422" s="12">
        <f>F1423</f>
      </c>
      <c r="J1422" s="12">
        <f>G1423</f>
      </c>
      <c r="K1422">
        <f>IF(AND(Pu&gt;=MIN(E1422,H1422),Pu&lt;=MAX(E1422,H1422),E1422&lt;&gt;H1422),1,0)</f>
      </c>
      <c r="L1422">
        <f>IF(K1422=1,(Pu-E1422)/(H1422-E1422),"")</f>
      </c>
      <c r="M1422" s="12">
        <f>IF(K1422=1,F1422+L1422*(I1422-F1422),"")</f>
      </c>
      <c r="N1422" s="12">
        <f>IF(K1422=1,G1422+L1422*(J1422-G1422),"")</f>
      </c>
    </row>
    <row r="1423" spans="2:14" x14ac:dyDescent="0.25">
      <c r="B1423">
        <v>40</v>
      </c>
      <c r="C1423">
        <v>161.25</v>
      </c>
      <c r="D1423">
        <v>17</v>
      </c>
      <c r="E1423" s="18">
        <v>5557.7152784947</v>
      </c>
      <c r="F1423" s="18">
        <v>1142.9238954200623</v>
      </c>
      <c r="G1423" s="18">
        <v>-5205.835385924828</v>
      </c>
      <c r="H1423" s="12">
        <f>E1424</f>
      </c>
      <c r="I1423" s="12">
        <f>F1424</f>
      </c>
      <c r="J1423" s="12">
        <f>G1424</f>
      </c>
      <c r="K1423">
        <f>IF(AND(Pu&gt;=MIN(E1423,H1423),Pu&lt;=MAX(E1423,H1423),E1423&lt;&gt;H1423),1,0)</f>
      </c>
      <c r="L1423">
        <f>IF(K1423=1,(Pu-E1423)/(H1423-E1423),"")</f>
      </c>
      <c r="M1423" s="12">
        <f>IF(K1423=1,F1423+L1423*(I1423-F1423),"")</f>
      </c>
      <c r="N1423" s="12">
        <f>IF(K1423=1,G1423+L1423*(J1423-G1423),"")</f>
      </c>
    </row>
    <row r="1424" spans="2:14" x14ac:dyDescent="0.25">
      <c r="B1424">
        <v>40</v>
      </c>
      <c r="C1424">
        <v>161.25</v>
      </c>
      <c r="D1424">
        <v>18</v>
      </c>
      <c r="E1424" s="18">
        <v>5359.503946763979</v>
      </c>
      <c r="F1424" s="18">
        <v>1151.5010438346374</v>
      </c>
      <c r="G1424" s="18">
        <v>-5259.240455354328</v>
      </c>
      <c r="H1424" s="12">
        <f>E1425</f>
      </c>
      <c r="I1424" s="12">
        <f>F1425</f>
      </c>
      <c r="J1424" s="12">
        <f>G1425</f>
      </c>
      <c r="K1424">
        <f>IF(AND(Pu&gt;=MIN(E1424,H1424),Pu&lt;=MAX(E1424,H1424),E1424&lt;&gt;H1424),1,0)</f>
      </c>
      <c r="L1424">
        <f>IF(K1424=1,(Pu-E1424)/(H1424-E1424),"")</f>
      </c>
      <c r="M1424" s="12">
        <f>IF(K1424=1,F1424+L1424*(I1424-F1424),"")</f>
      </c>
      <c r="N1424" s="12">
        <f>IF(K1424=1,G1424+L1424*(J1424-G1424),"")</f>
      </c>
    </row>
    <row r="1425" spans="2:14" x14ac:dyDescent="0.25">
      <c r="B1425">
        <v>40</v>
      </c>
      <c r="C1425">
        <v>161.25</v>
      </c>
      <c r="D1425">
        <v>19</v>
      </c>
      <c r="E1425" s="18">
        <v>5275.148946071076</v>
      </c>
      <c r="F1425" s="18">
        <v>1156.2215104743477</v>
      </c>
      <c r="G1425" s="18">
        <v>-5281.024689603149</v>
      </c>
      <c r="H1425" s="12">
        <f>E1426</f>
      </c>
      <c r="I1425" s="12">
        <f>F1426</f>
      </c>
      <c r="J1425" s="12">
        <f>G1426</f>
      </c>
      <c r="K1425">
        <f>IF(AND(Pu&gt;=MIN(E1425,H1425),Pu&lt;=MAX(E1425,H1425),E1425&lt;&gt;H1425),1,0)</f>
      </c>
      <c r="L1425">
        <f>IF(K1425=1,(Pu-E1425)/(H1425-E1425),"")</f>
      </c>
      <c r="M1425" s="12">
        <f>IF(K1425=1,F1425+L1425*(I1425-F1425),"")</f>
      </c>
      <c r="N1425" s="12">
        <f>IF(K1425=1,G1425+L1425*(J1425-G1425),"")</f>
      </c>
    </row>
    <row r="1426" spans="2:14" x14ac:dyDescent="0.25">
      <c r="B1426">
        <v>40</v>
      </c>
      <c r="C1426">
        <v>161.25</v>
      </c>
      <c r="D1426">
        <v>20</v>
      </c>
      <c r="E1426" s="18">
        <v>5019.6425348266785</v>
      </c>
      <c r="F1426" s="18">
        <v>1190.820397424219</v>
      </c>
      <c r="G1426" s="18">
        <v>-5338.795816749516</v>
      </c>
      <c r="H1426" s="12">
        <f>E1427</f>
      </c>
      <c r="I1426" s="12">
        <f>F1427</f>
      </c>
      <c r="J1426" s="12">
        <f>G1427</f>
      </c>
      <c r="K1426">
        <f>IF(AND(Pu&gt;=MIN(E1426,H1426),Pu&lt;=MAX(E1426,H1426),E1426&lt;&gt;H1426),1,0)</f>
      </c>
      <c r="L1426">
        <f>IF(K1426=1,(Pu-E1426)/(H1426-E1426),"")</f>
      </c>
      <c r="M1426" s="12">
        <f>IF(K1426=1,F1426+L1426*(I1426-F1426),"")</f>
      </c>
      <c r="N1426" s="12">
        <f>IF(K1426=1,G1426+L1426*(J1426-G1426),"")</f>
      </c>
    </row>
    <row r="1427" spans="2:14" x14ac:dyDescent="0.25">
      <c r="B1427">
        <v>40</v>
      </c>
      <c r="C1427">
        <v>161.25</v>
      </c>
      <c r="D1427">
        <v>21</v>
      </c>
      <c r="E1427" s="18">
        <v>4942.194972815118</v>
      </c>
      <c r="F1427" s="18">
        <v>1188.2204640271116</v>
      </c>
      <c r="G1427" s="18">
        <v>-5316.627124028173</v>
      </c>
      <c r="H1427" s="12">
        <f>E1428</f>
      </c>
      <c r="I1427" s="12">
        <f>F1428</f>
      </c>
      <c r="J1427" s="12">
        <f>G1428</f>
      </c>
      <c r="K1427">
        <f>IF(AND(Pu&gt;=MIN(E1427,H1427),Pu&lt;=MAX(E1427,H1427),E1427&lt;&gt;H1427),1,0)</f>
      </c>
      <c r="L1427">
        <f>IF(K1427=1,(Pu-E1427)/(H1427-E1427),"")</f>
      </c>
      <c r="M1427" s="12">
        <f>IF(K1427=1,F1427+L1427*(I1427-F1427),"")</f>
      </c>
      <c r="N1427" s="12">
        <f>IF(K1427=1,G1427+L1427*(J1427-G1427),"")</f>
      </c>
    </row>
    <row r="1428" spans="2:14" x14ac:dyDescent="0.25">
      <c r="B1428">
        <v>40</v>
      </c>
      <c r="C1428">
        <v>161.25</v>
      </c>
      <c r="D1428">
        <v>22</v>
      </c>
      <c r="E1428" s="18">
        <v>4414.626289388929</v>
      </c>
      <c r="F1428" s="18">
        <v>1179.4758492807157</v>
      </c>
      <c r="G1428" s="18">
        <v>-5159.667023441032</v>
      </c>
      <c r="H1428" s="12">
        <f>E1429</f>
      </c>
      <c r="I1428" s="12">
        <f>F1429</f>
      </c>
      <c r="J1428" s="12">
        <f>G1429</f>
      </c>
      <c r="K1428">
        <f>IF(AND(Pu&gt;=MIN(E1428,H1428),Pu&lt;=MAX(E1428,H1428),E1428&lt;&gt;H1428),1,0)</f>
      </c>
      <c r="L1428">
        <f>IF(K1428=1,(Pu-E1428)/(H1428-E1428),"")</f>
      </c>
      <c r="M1428" s="12">
        <f>IF(K1428=1,F1428+L1428*(I1428-F1428),"")</f>
      </c>
      <c r="N1428" s="12">
        <f>IF(K1428=1,G1428+L1428*(J1428-G1428),"")</f>
      </c>
    </row>
    <row r="1429" spans="2:14" x14ac:dyDescent="0.25">
      <c r="B1429">
        <v>40</v>
      </c>
      <c r="C1429">
        <v>161.25</v>
      </c>
      <c r="D1429">
        <v>23</v>
      </c>
      <c r="E1429" s="18">
        <v>3490.387167257818</v>
      </c>
      <c r="F1429" s="18">
        <v>1156.6316436266811</v>
      </c>
      <c r="G1429" s="18">
        <v>-4852.150274070127</v>
      </c>
      <c r="H1429" s="12">
        <f>E1430</f>
      </c>
      <c r="I1429" s="12">
        <f>F1430</f>
      </c>
      <c r="J1429" s="12">
        <f>G1430</f>
      </c>
      <c r="K1429">
        <f>IF(AND(Pu&gt;=MIN(E1429,H1429),Pu&lt;=MAX(E1429,H1429),E1429&lt;&gt;H1429),1,0)</f>
      </c>
      <c r="L1429">
        <f>IF(K1429=1,(Pu-E1429)/(H1429-E1429),"")</f>
      </c>
      <c r="M1429" s="12">
        <f>IF(K1429=1,F1429+L1429*(I1429-F1429),"")</f>
      </c>
      <c r="N1429" s="12">
        <f>IF(K1429=1,G1429+L1429*(J1429-G1429),"")</f>
      </c>
    </row>
    <row r="1430" spans="2:14" x14ac:dyDescent="0.25">
      <c r="B1430">
        <v>40</v>
      </c>
      <c r="C1430">
        <v>161.25</v>
      </c>
      <c r="D1430">
        <v>24</v>
      </c>
      <c r="E1430" s="18">
        <v>2753.1897870857797</v>
      </c>
      <c r="F1430" s="18">
        <v>1127.804834098306</v>
      </c>
      <c r="G1430" s="18">
        <v>-4543.704954053261</v>
      </c>
      <c r="H1430" s="12">
        <f>E1431</f>
      </c>
      <c r="I1430" s="12">
        <f>F1431</f>
      </c>
      <c r="J1430" s="12">
        <f>G1431</f>
      </c>
      <c r="K1430">
        <f>IF(AND(Pu&gt;=MIN(E1430,H1430),Pu&lt;=MAX(E1430,H1430),E1430&lt;&gt;H1430),1,0)</f>
      </c>
      <c r="L1430">
        <f>IF(K1430=1,(Pu-E1430)/(H1430-E1430),"")</f>
      </c>
      <c r="M1430" s="12">
        <f>IF(K1430=1,F1430+L1430*(I1430-F1430),"")</f>
      </c>
      <c r="N1430" s="12">
        <f>IF(K1430=1,G1430+L1430*(J1430-G1430),"")</f>
      </c>
    </row>
    <row r="1431" spans="2:14" x14ac:dyDescent="0.25">
      <c r="B1431">
        <v>40</v>
      </c>
      <c r="C1431">
        <v>161.25</v>
      </c>
      <c r="D1431">
        <v>25</v>
      </c>
      <c r="E1431" s="18">
        <v>2036.7673773649235</v>
      </c>
      <c r="F1431" s="18">
        <v>1100.6483485156427</v>
      </c>
      <c r="G1431" s="18">
        <v>-4224.896905622079</v>
      </c>
      <c r="H1431" s="12">
        <f>E1432</f>
      </c>
      <c r="I1431" s="12">
        <f>F1432</f>
      </c>
      <c r="J1431" s="12">
        <f>G1432</f>
      </c>
      <c r="K1431">
        <f>IF(AND(Pu&gt;=MIN(E1431,H1431),Pu&lt;=MAX(E1431,H1431),E1431&lt;&gt;H1431),1,0)</f>
      </c>
      <c r="L1431">
        <f>IF(K1431=1,(Pu-E1431)/(H1431-E1431),"")</f>
      </c>
      <c r="M1431" s="12">
        <f>IF(K1431=1,F1431+L1431*(I1431-F1431),"")</f>
      </c>
      <c r="N1431" s="12">
        <f>IF(K1431=1,G1431+L1431*(J1431-G1431),"")</f>
      </c>
    </row>
    <row r="1432" spans="2:14" x14ac:dyDescent="0.25">
      <c r="B1432">
        <v>40</v>
      </c>
      <c r="C1432">
        <v>161.25</v>
      </c>
      <c r="D1432">
        <v>26</v>
      </c>
      <c r="E1432" s="18">
        <v>922.7945931107165</v>
      </c>
      <c r="F1432" s="18">
        <v>1056.265414264725</v>
      </c>
      <c r="G1432" s="18">
        <v>-3635.0559483023853</v>
      </c>
      <c r="H1432" s="12">
        <f>E1433</f>
      </c>
      <c r="I1432" s="12">
        <f>F1433</f>
      </c>
      <c r="J1432" s="12">
        <f>G1433</f>
      </c>
      <c r="K1432">
        <f>IF(AND(Pu&gt;=MIN(E1432,H1432),Pu&lt;=MAX(E1432,H1432),E1432&lt;&gt;H1432),1,0)</f>
      </c>
      <c r="L1432">
        <f>IF(K1432=1,(Pu-E1432)/(H1432-E1432),"")</f>
      </c>
      <c r="M1432" s="12">
        <f>IF(K1432=1,F1432+L1432*(I1432-F1432),"")</f>
      </c>
      <c r="N1432" s="12">
        <f>IF(K1432=1,G1432+L1432*(J1432-G1432),"")</f>
      </c>
    </row>
    <row r="1433" spans="2:14" x14ac:dyDescent="0.25">
      <c r="B1433">
        <v>40</v>
      </c>
      <c r="C1433">
        <v>161.25</v>
      </c>
      <c r="D1433">
        <v>27</v>
      </c>
      <c r="E1433" s="18">
        <v>-82.18207430452424</v>
      </c>
      <c r="F1433" s="18">
        <v>947.3367911908091</v>
      </c>
      <c r="G1433" s="18">
        <v>-3079.657586787374</v>
      </c>
      <c r="H1433" s="12">
        <f>E1434</f>
      </c>
      <c r="I1433" s="12">
        <f>F1434</f>
      </c>
      <c r="J1433" s="12">
        <f>G1434</f>
      </c>
      <c r="K1433">
        <f>IF(AND(Pu&gt;=MIN(E1433,H1433),Pu&lt;=MAX(E1433,H1433),E1433&lt;&gt;H1433),1,0)</f>
      </c>
      <c r="L1433">
        <f>IF(K1433=1,(Pu-E1433)/(H1433-E1433),"")</f>
      </c>
      <c r="M1433" s="12">
        <f>IF(K1433=1,F1433+L1433*(I1433-F1433),"")</f>
      </c>
      <c r="N1433" s="12">
        <f>IF(K1433=1,G1433+L1433*(J1433-G1433),"")</f>
      </c>
    </row>
    <row r="1434" spans="2:14" x14ac:dyDescent="0.25">
      <c r="B1434">
        <v>40</v>
      </c>
      <c r="C1434">
        <v>161.25</v>
      </c>
      <c r="D1434">
        <v>28</v>
      </c>
      <c r="E1434" s="18">
        <v>-854.4058592036713</v>
      </c>
      <c r="F1434" s="18">
        <v>846.4743607871025</v>
      </c>
      <c r="G1434" s="18">
        <v>-2623.638748374898</v>
      </c>
      <c r="H1434" s="12">
        <f>E1435</f>
      </c>
      <c r="I1434" s="12">
        <f>F1435</f>
      </c>
      <c r="J1434" s="12">
        <f>G1435</f>
      </c>
      <c r="K1434">
        <f>IF(AND(Pu&gt;=MIN(E1434,H1434),Pu&lt;=MAX(E1434,H1434),E1434&lt;&gt;H1434),1,0)</f>
      </c>
      <c r="L1434">
        <f>IF(K1434=1,(Pu-E1434)/(H1434-E1434),"")</f>
      </c>
      <c r="M1434" s="12">
        <f>IF(K1434=1,F1434+L1434*(I1434-F1434),"")</f>
      </c>
      <c r="N1434" s="12">
        <f>IF(K1434=1,G1434+L1434*(J1434-G1434),"")</f>
      </c>
    </row>
    <row r="1435" spans="2:14" x14ac:dyDescent="0.25">
      <c r="B1435">
        <v>40</v>
      </c>
      <c r="C1435">
        <v>161.25</v>
      </c>
      <c r="D1435">
        <v>29</v>
      </c>
      <c r="E1435" s="18">
        <v>-1493.7407178759845</v>
      </c>
      <c r="F1435" s="18">
        <v>750.9985396823153</v>
      </c>
      <c r="G1435" s="18">
        <v>-2235.8665681392076</v>
      </c>
      <c r="H1435" s="12">
        <f>E1436</f>
      </c>
      <c r="I1435" s="12">
        <f>F1436</f>
      </c>
      <c r="J1435" s="12">
        <f>G1436</f>
      </c>
      <c r="K1435">
        <f>IF(AND(Pu&gt;=MIN(E1435,H1435),Pu&lt;=MAX(E1435,H1435),E1435&lt;&gt;H1435),1,0)</f>
      </c>
      <c r="L1435">
        <f>IF(K1435=1,(Pu-E1435)/(H1435-E1435),"")</f>
      </c>
      <c r="M1435" s="12">
        <f>IF(K1435=1,F1435+L1435*(I1435-F1435),"")</f>
      </c>
      <c r="N1435" s="12">
        <f>IF(K1435=1,G1435+L1435*(J1435-G1435),"")</f>
      </c>
    </row>
    <row r="1436" spans="2:14" x14ac:dyDescent="0.25">
      <c r="B1436">
        <v>40</v>
      </c>
      <c r="C1436">
        <v>161.25</v>
      </c>
      <c r="D1436">
        <v>30</v>
      </c>
      <c r="E1436" s="18">
        <v>-2480.087801672654</v>
      </c>
      <c r="F1436" s="18">
        <v>585.8053483907338</v>
      </c>
      <c r="G1436" s="18">
        <v>-1629.8156378317692</v>
      </c>
      <c r="H1436" s="12">
        <f>E1437</f>
      </c>
      <c r="I1436" s="12">
        <f>F1437</f>
      </c>
      <c r="J1436" s="12">
        <f>G1437</f>
      </c>
      <c r="K1436">
        <f>IF(AND(Pu&gt;=MIN(E1436,H1436),Pu&lt;=MAX(E1436,H1436),E1436&lt;&gt;H1436),1,0)</f>
      </c>
      <c r="L1436">
        <f>IF(K1436=1,(Pu-E1436)/(H1436-E1436),"")</f>
      </c>
      <c r="M1436" s="12">
        <f>IF(K1436=1,F1436+L1436*(I1436-F1436),"")</f>
      </c>
      <c r="N1436" s="12">
        <f>IF(K1436=1,G1436+L1436*(J1436-G1436),"")</f>
      </c>
    </row>
    <row r="1437" spans="2:14" x14ac:dyDescent="0.25">
      <c r="B1437">
        <v>40</v>
      </c>
      <c r="C1437">
        <v>161.25</v>
      </c>
      <c r="D1437">
        <v>31</v>
      </c>
      <c r="E1437" s="18">
        <v>-3138.1186450358805</v>
      </c>
      <c r="F1437" s="18">
        <v>466.2212893569458</v>
      </c>
      <c r="G1437" s="18">
        <v>-1212.358825537965</v>
      </c>
      <c r="H1437" s="12">
        <f>E1438</f>
      </c>
      <c r="I1437" s="12">
        <f>F1438</f>
      </c>
      <c r="J1437" s="12">
        <f>G1438</f>
      </c>
      <c r="K1437">
        <f>IF(AND(Pu&gt;=MIN(E1437,H1437),Pu&lt;=MAX(E1437,H1437),E1437&lt;&gt;H1437),1,0)</f>
      </c>
      <c r="L1437">
        <f>IF(K1437=1,(Pu-E1437)/(H1437-E1437),"")</f>
      </c>
      <c r="M1437" s="12">
        <f>IF(K1437=1,F1437+L1437*(I1437-F1437),"")</f>
      </c>
      <c r="N1437" s="12">
        <f>IF(K1437=1,G1437+L1437*(J1437-G1437),"")</f>
      </c>
    </row>
    <row r="1438" spans="2:14" x14ac:dyDescent="0.25">
      <c r="B1438">
        <v>40</v>
      </c>
      <c r="C1438">
        <v>161.25</v>
      </c>
      <c r="D1438">
        <v>32</v>
      </c>
      <c r="E1438" s="18">
        <v>-3847.873901584247</v>
      </c>
      <c r="F1438" s="18">
        <v>319.4726274696619</v>
      </c>
      <c r="G1438" s="18">
        <v>-739.1395852158163</v>
      </c>
      <c r="H1438" s="12">
        <f>E1439</f>
      </c>
      <c r="I1438" s="12">
        <f>F1439</f>
      </c>
      <c r="J1438" s="12">
        <f>G1439</f>
      </c>
      <c r="K1438">
        <f>IF(AND(Pu&gt;=MIN(E1438,H1438),Pu&lt;=MAX(E1438,H1438),E1438&lt;&gt;H1438),1,0)</f>
      </c>
      <c r="L1438">
        <f>IF(K1438=1,(Pu-E1438)/(H1438-E1438),"")</f>
      </c>
      <c r="M1438" s="12">
        <f>IF(K1438=1,F1438+L1438*(I1438-F1438),"")</f>
      </c>
      <c r="N1438" s="12">
        <f>IF(K1438=1,G1438+L1438*(J1438-G1438),"")</f>
      </c>
    </row>
    <row r="1439" spans="2:14" x14ac:dyDescent="0.25">
      <c r="B1439">
        <v>40</v>
      </c>
      <c r="C1439">
        <v>161.25</v>
      </c>
      <c r="D1439">
        <v>33</v>
      </c>
      <c r="E1439" s="18">
        <v>-4235.019195014233</v>
      </c>
      <c r="F1439" s="18">
        <v>224.1638423682681</v>
      </c>
      <c r="G1439" s="18">
        <v>-476.7157539190167</v>
      </c>
      <c r="H1439" s="12">
        <f>E1440</f>
      </c>
      <c r="I1439" s="12">
        <f>F1440</f>
      </c>
      <c r="J1439" s="12">
        <f>G1440</f>
      </c>
      <c r="K1439">
        <f>IF(AND(Pu&gt;=MIN(E1439,H1439),Pu&lt;=MAX(E1439,H1439),E1439&lt;&gt;H1439),1,0)</f>
      </c>
      <c r="L1439">
        <f>IF(K1439=1,(Pu-E1439)/(H1439-E1439),"")</f>
      </c>
      <c r="M1439" s="12">
        <f>IF(K1439=1,F1439+L1439*(I1439-F1439),"")</f>
      </c>
      <c r="N1439" s="12">
        <f>IF(K1439=1,G1439+L1439*(J1439-G1439),"")</f>
      </c>
    </row>
    <row r="1440" spans="2:14" x14ac:dyDescent="0.25">
      <c r="B1440">
        <v>40</v>
      </c>
      <c r="C1440">
        <v>161.25</v>
      </c>
      <c r="D1440">
        <v>34</v>
      </c>
      <c r="E1440" s="18">
        <v>-4653.056511781504</v>
      </c>
      <c r="F1440" s="18">
        <v>93.00944403722141</v>
      </c>
      <c r="G1440" s="18">
        <v>-189.75203642278387</v>
      </c>
      <c r="H1440" s="12">
        <f>E1441</f>
      </c>
      <c r="I1440" s="12">
        <f>F1441</f>
      </c>
      <c r="J1440" s="12">
        <f>G1441</f>
      </c>
      <c r="K1440">
        <f>IF(AND(Pu&gt;=MIN(E1440,H1440),Pu&lt;=MAX(E1440,H1440),E1440&lt;&gt;H1440),1,0)</f>
      </c>
      <c r="L1440">
        <f>IF(K1440=1,(Pu-E1440)/(H1440-E1440),"")</f>
      </c>
      <c r="M1440" s="12">
        <f>IF(K1440=1,F1440+L1440*(I1440-F1440),"")</f>
      </c>
      <c r="N1440" s="12">
        <f>IF(K1440=1,G1440+L1440*(J1440-G1440),"")</f>
      </c>
    </row>
    <row r="1441" spans="2:7" x14ac:dyDescent="0.25">
      <c r="B1441">
        <v>40</v>
      </c>
      <c r="C1441">
        <v>161.25</v>
      </c>
      <c r="D1441">
        <v>35</v>
      </c>
      <c r="E1441" s="18">
        <v>-4822.920703763153</v>
      </c>
      <c r="F1441" s="18">
        <v>37.48897478986947</v>
      </c>
      <c r="G1441" s="18">
        <v>-72.04289324875504</v>
      </c>
    </row>
    <row r="1443" spans="2:14" x14ac:dyDescent="0.25">
      <c r="B1443">
        <v>41</v>
      </c>
      <c r="C1443">
        <v>165.00000000000003</v>
      </c>
      <c r="D1443">
        <v>1</v>
      </c>
      <c r="E1443" s="18">
        <v>17396.10657075295</v>
      </c>
      <c r="F1443" s="18">
        <v>579.4296736754601</v>
      </c>
      <c r="G1443" s="18">
        <v>-2763.8778796086435</v>
      </c>
      <c r="H1443" s="12">
        <f>E1444</f>
      </c>
      <c r="I1443" s="12">
        <f>F1444</f>
      </c>
      <c r="J1443" s="12">
        <f>G1444</f>
      </c>
      <c r="K1443">
        <f>IF(AND(Pu&gt;=MIN(E1443,H1443),Pu&lt;=MAX(E1443,H1443),E1443&lt;&gt;H1443),1,0)</f>
      </c>
      <c r="L1443">
        <f>IF(K1443=1,(Pu-E1443)/(H1443-E1443),"")</f>
      </c>
      <c r="M1443" s="12">
        <f>IF(K1443=1,F1443+L1443*(I1443-F1443),"")</f>
      </c>
      <c r="N1443" s="12">
        <f>IF(K1443=1,G1443+L1443*(J1443-G1443),"")</f>
      </c>
    </row>
    <row r="1444" spans="2:14" x14ac:dyDescent="0.25">
      <c r="B1444">
        <v>41</v>
      </c>
      <c r="C1444">
        <v>165.00000000000003</v>
      </c>
      <c r="D1444">
        <v>2</v>
      </c>
      <c r="E1444" s="18">
        <v>16475.90301280042</v>
      </c>
      <c r="F1444" s="18">
        <v>582.7666758925652</v>
      </c>
      <c r="G1444" s="18">
        <v>-3187.231243990304</v>
      </c>
      <c r="H1444" s="12">
        <f>E1445</f>
      </c>
      <c r="I1444" s="12">
        <f>F1445</f>
      </c>
      <c r="J1444" s="12">
        <f>G1445</f>
      </c>
      <c r="K1444">
        <f>IF(AND(Pu&gt;=MIN(E1444,H1444),Pu&lt;=MAX(E1444,H1444),E1444&lt;&gt;H1444),1,0)</f>
      </c>
      <c r="L1444">
        <f>IF(K1444=1,(Pu-E1444)/(H1444-E1444),"")</f>
      </c>
      <c r="M1444" s="12">
        <f>IF(K1444=1,F1444+L1444*(I1444-F1444),"")</f>
      </c>
      <c r="N1444" s="12">
        <f>IF(K1444=1,G1444+L1444*(J1444-G1444),"")</f>
      </c>
    </row>
    <row r="1445" spans="2:14" x14ac:dyDescent="0.25">
      <c r="B1445">
        <v>41</v>
      </c>
      <c r="C1445">
        <v>165.00000000000003</v>
      </c>
      <c r="D1445">
        <v>3</v>
      </c>
      <c r="E1445" s="18">
        <v>15662.525400173536</v>
      </c>
      <c r="F1445" s="18">
        <v>582.0806869617588</v>
      </c>
      <c r="G1445" s="18">
        <v>-3504.0991976258324</v>
      </c>
      <c r="H1445" s="12">
        <f>E1446</f>
      </c>
      <c r="I1445" s="12">
        <f>F1446</f>
      </c>
      <c r="J1445" s="12">
        <f>G1446</f>
      </c>
      <c r="K1445">
        <f>IF(AND(Pu&gt;=MIN(E1445,H1445),Pu&lt;=MAX(E1445,H1445),E1445&lt;&gt;H1445),1,0)</f>
      </c>
      <c r="L1445">
        <f>IF(K1445=1,(Pu-E1445)/(H1445-E1445),"")</f>
      </c>
      <c r="M1445" s="12">
        <f>IF(K1445=1,F1445+L1445*(I1445-F1445),"")</f>
      </c>
      <c r="N1445" s="12">
        <f>IF(K1445=1,G1445+L1445*(J1445-G1445),"")</f>
      </c>
    </row>
    <row r="1446" spans="2:14" x14ac:dyDescent="0.25">
      <c r="B1446">
        <v>41</v>
      </c>
      <c r="C1446">
        <v>165.00000000000003</v>
      </c>
      <c r="D1446">
        <v>4</v>
      </c>
      <c r="E1446" s="18">
        <v>14136.571625898703</v>
      </c>
      <c r="F1446" s="18">
        <v>694.3301302141061</v>
      </c>
      <c r="G1446" s="18">
        <v>-3930.2511160737404</v>
      </c>
      <c r="H1446" s="12">
        <f>E1447</f>
      </c>
      <c r="I1446" s="12">
        <f>F1447</f>
      </c>
      <c r="J1446" s="12">
        <f>G1447</f>
      </c>
      <c r="K1446">
        <f>IF(AND(Pu&gt;=MIN(E1446,H1446),Pu&lt;=MAX(E1446,H1446),E1446&lt;&gt;H1446),1,0)</f>
      </c>
      <c r="L1446">
        <f>IF(K1446=1,(Pu-E1446)/(H1446-E1446),"")</f>
      </c>
      <c r="M1446" s="12">
        <f>IF(K1446=1,F1446+L1446*(I1446-F1446),"")</f>
      </c>
      <c r="N1446" s="12">
        <f>IF(K1446=1,G1446+L1446*(J1446-G1446),"")</f>
      </c>
    </row>
    <row r="1447" spans="2:14" x14ac:dyDescent="0.25">
      <c r="B1447">
        <v>41</v>
      </c>
      <c r="C1447">
        <v>165.00000000000003</v>
      </c>
      <c r="D1447">
        <v>5</v>
      </c>
      <c r="E1447" s="18">
        <v>12156.552910497609</v>
      </c>
      <c r="F1447" s="18">
        <v>835.143795647377</v>
      </c>
      <c r="G1447" s="18">
        <v>-4265.002102429779</v>
      </c>
      <c r="H1447" s="12">
        <f>E1448</f>
      </c>
      <c r="I1447" s="12">
        <f>F1448</f>
      </c>
      <c r="J1447" s="12">
        <f>G1448</f>
      </c>
      <c r="K1447">
        <f>IF(AND(Pu&gt;=MIN(E1447,H1447),Pu&lt;=MAX(E1447,H1447),E1447&lt;&gt;H1447),1,0)</f>
      </c>
      <c r="L1447">
        <f>IF(K1447=1,(Pu-E1447)/(H1447-E1447),"")</f>
      </c>
      <c r="M1447" s="12">
        <f>IF(K1447=1,F1447+L1447*(I1447-F1447),"")</f>
      </c>
      <c r="N1447" s="12">
        <f>IF(K1447=1,G1447+L1447*(J1447-G1447),"")</f>
      </c>
    </row>
    <row r="1448" spans="2:14" x14ac:dyDescent="0.25">
      <c r="B1448">
        <v>41</v>
      </c>
      <c r="C1448">
        <v>165.00000000000003</v>
      </c>
      <c r="D1448">
        <v>6</v>
      </c>
      <c r="E1448" s="18">
        <v>9972.307857529007</v>
      </c>
      <c r="F1448" s="18">
        <v>875.0352409616513</v>
      </c>
      <c r="G1448" s="18">
        <v>-4489.314043146301</v>
      </c>
      <c r="H1448" s="12">
        <f>E1449</f>
      </c>
      <c r="I1448" s="12">
        <f>F1449</f>
      </c>
      <c r="J1448" s="12">
        <f>G1449</f>
      </c>
      <c r="K1448">
        <f>IF(AND(Pu&gt;=MIN(E1448,H1448),Pu&lt;=MAX(E1448,H1448),E1448&lt;&gt;H1448),1,0)</f>
      </c>
      <c r="L1448">
        <f>IF(K1448=1,(Pu-E1448)/(H1448-E1448),"")</f>
      </c>
      <c r="M1448" s="12">
        <f>IF(K1448=1,F1448+L1448*(I1448-F1448),"")</f>
      </c>
      <c r="N1448" s="12">
        <f>IF(K1448=1,G1448+L1448*(J1448-G1448),"")</f>
      </c>
    </row>
    <row r="1449" spans="2:14" x14ac:dyDescent="0.25">
      <c r="B1449">
        <v>41</v>
      </c>
      <c r="C1449">
        <v>165.00000000000003</v>
      </c>
      <c r="D1449">
        <v>7</v>
      </c>
      <c r="E1449" s="18">
        <v>8734.688734939806</v>
      </c>
      <c r="F1449" s="18">
        <v>893.8606206080433</v>
      </c>
      <c r="G1449" s="18">
        <v>-4561.875849733287</v>
      </c>
      <c r="H1449" s="12">
        <f>E1450</f>
      </c>
      <c r="I1449" s="12">
        <f>F1450</f>
      </c>
      <c r="J1449" s="12">
        <f>G1450</f>
      </c>
      <c r="K1449">
        <f>IF(AND(Pu&gt;=MIN(E1449,H1449),Pu&lt;=MAX(E1449,H1449),E1449&lt;&gt;H1449),1,0)</f>
      </c>
      <c r="L1449">
        <f>IF(K1449=1,(Pu-E1449)/(H1449-E1449),"")</f>
      </c>
      <c r="M1449" s="12">
        <f>IF(K1449=1,F1449+L1449*(I1449-F1449),"")</f>
      </c>
      <c r="N1449" s="12">
        <f>IF(K1449=1,G1449+L1449*(J1449-G1449),"")</f>
      </c>
    </row>
    <row r="1450" spans="2:14" x14ac:dyDescent="0.25">
      <c r="B1450">
        <v>41</v>
      </c>
      <c r="C1450">
        <v>165.00000000000003</v>
      </c>
      <c r="D1450">
        <v>8</v>
      </c>
      <c r="E1450" s="18">
        <v>8245.773779081792</v>
      </c>
      <c r="F1450" s="18">
        <v>907.3631683527544</v>
      </c>
      <c r="G1450" s="18">
        <v>-4658.148345196055</v>
      </c>
      <c r="H1450" s="12">
        <f>E1451</f>
      </c>
      <c r="I1450" s="12">
        <f>F1451</f>
      </c>
      <c r="J1450" s="12">
        <f>G1451</f>
      </c>
      <c r="K1450">
        <f>IF(AND(Pu&gt;=MIN(E1450,H1450),Pu&lt;=MAX(E1450,H1450),E1450&lt;&gt;H1450),1,0)</f>
      </c>
      <c r="L1450">
        <f>IF(K1450=1,(Pu-E1450)/(H1450-E1450),"")</f>
      </c>
      <c r="M1450" s="12">
        <f>IF(K1450=1,F1450+L1450*(I1450-F1450),"")</f>
      </c>
      <c r="N1450" s="12">
        <f>IF(K1450=1,G1450+L1450*(J1450-G1450),"")</f>
      </c>
    </row>
    <row r="1451" spans="2:14" x14ac:dyDescent="0.25">
      <c r="B1451">
        <v>41</v>
      </c>
      <c r="C1451">
        <v>165.00000000000003</v>
      </c>
      <c r="D1451">
        <v>9</v>
      </c>
      <c r="E1451" s="18">
        <v>7737.173933369425</v>
      </c>
      <c r="F1451" s="18">
        <v>916.4555671933116</v>
      </c>
      <c r="G1451" s="18">
        <v>-4750.264955764166</v>
      </c>
      <c r="H1451" s="12">
        <f>E1452</f>
      </c>
      <c r="I1451" s="12">
        <f>F1452</f>
      </c>
      <c r="J1451" s="12">
        <f>G1452</f>
      </c>
      <c r="K1451">
        <f>IF(AND(Pu&gt;=MIN(E1451,H1451),Pu&lt;=MAX(E1451,H1451),E1451&lt;&gt;H1451),1,0)</f>
      </c>
      <c r="L1451">
        <f>IF(K1451=1,(Pu-E1451)/(H1451-E1451),"")</f>
      </c>
      <c r="M1451" s="12">
        <f>IF(K1451=1,F1451+L1451*(I1451-F1451),"")</f>
      </c>
      <c r="N1451" s="12">
        <f>IF(K1451=1,G1451+L1451*(J1451-G1451),"")</f>
      </c>
    </row>
    <row r="1452" spans="2:14" x14ac:dyDescent="0.25">
      <c r="B1452">
        <v>41</v>
      </c>
      <c r="C1452">
        <v>165.00000000000003</v>
      </c>
      <c r="D1452">
        <v>10</v>
      </c>
      <c r="E1452" s="18">
        <v>7205.7711126279355</v>
      </c>
      <c r="F1452" s="18">
        <v>913.766623526203</v>
      </c>
      <c r="G1452" s="18">
        <v>-4850.110139087778</v>
      </c>
      <c r="H1452" s="12">
        <f>E1453</f>
      </c>
      <c r="I1452" s="12">
        <f>F1453</f>
      </c>
      <c r="J1452" s="12">
        <f>G1453</f>
      </c>
      <c r="K1452">
        <f>IF(AND(Pu&gt;=MIN(E1452,H1452),Pu&lt;=MAX(E1452,H1452),E1452&lt;&gt;H1452),1,0)</f>
      </c>
      <c r="L1452">
        <f>IF(K1452=1,(Pu-E1452)/(H1452-E1452),"")</f>
      </c>
      <c r="M1452" s="12">
        <f>IF(K1452=1,F1452+L1452*(I1452-F1452),"")</f>
      </c>
      <c r="N1452" s="12">
        <f>IF(K1452=1,G1452+L1452*(J1452-G1452),"")</f>
      </c>
    </row>
    <row r="1453" spans="2:14" x14ac:dyDescent="0.25">
      <c r="B1453">
        <v>41</v>
      </c>
      <c r="C1453">
        <v>165.00000000000003</v>
      </c>
      <c r="D1453">
        <v>11</v>
      </c>
      <c r="E1453" s="18">
        <v>7049.082190654339</v>
      </c>
      <c r="F1453" s="18">
        <v>919.6486870383968</v>
      </c>
      <c r="G1453" s="18">
        <v>-4884.397044569142</v>
      </c>
      <c r="H1453" s="12">
        <f>E1454</f>
      </c>
      <c r="I1453" s="12">
        <f>F1454</f>
      </c>
      <c r="J1453" s="12">
        <f>G1454</f>
      </c>
      <c r="K1453">
        <f>IF(AND(Pu&gt;=MIN(E1453,H1453),Pu&lt;=MAX(E1453,H1453),E1453&lt;&gt;H1453),1,0)</f>
      </c>
      <c r="L1453">
        <f>IF(K1453=1,(Pu-E1453)/(H1453-E1453),"")</f>
      </c>
      <c r="M1453" s="12">
        <f>IF(K1453=1,F1453+L1453*(I1453-F1453),"")</f>
      </c>
      <c r="N1453" s="12">
        <f>IF(K1453=1,G1453+L1453*(J1453-G1453),"")</f>
      </c>
    </row>
    <row r="1454" spans="2:14" x14ac:dyDescent="0.25">
      <c r="B1454">
        <v>41</v>
      </c>
      <c r="C1454">
        <v>165.00000000000003</v>
      </c>
      <c r="D1454">
        <v>12</v>
      </c>
      <c r="E1454" s="18">
        <v>6590.36858579897</v>
      </c>
      <c r="F1454" s="18">
        <v>904.7189860755551</v>
      </c>
      <c r="G1454" s="18">
        <v>-4986.195319205001</v>
      </c>
      <c r="H1454" s="12">
        <f>E1455</f>
      </c>
      <c r="I1454" s="12">
        <f>F1455</f>
      </c>
      <c r="J1454" s="12">
        <f>G1455</f>
      </c>
      <c r="K1454">
        <f>IF(AND(Pu&gt;=MIN(E1454,H1454),Pu&lt;=MAX(E1454,H1454),E1454&lt;&gt;H1454),1,0)</f>
      </c>
      <c r="L1454">
        <f>IF(K1454=1,(Pu-E1454)/(H1454-E1454),"")</f>
      </c>
      <c r="M1454" s="12">
        <f>IF(K1454=1,F1454+L1454*(I1454-F1454),"")</f>
      </c>
      <c r="N1454" s="12">
        <f>IF(K1454=1,G1454+L1454*(J1454-G1454),"")</f>
      </c>
    </row>
    <row r="1455" spans="2:14" x14ac:dyDescent="0.25">
      <c r="B1455">
        <v>41</v>
      </c>
      <c r="C1455">
        <v>165.00000000000003</v>
      </c>
      <c r="D1455">
        <v>13</v>
      </c>
      <c r="E1455" s="18">
        <v>6560.692891888024</v>
      </c>
      <c r="F1455" s="18">
        <v>903.805661298582</v>
      </c>
      <c r="G1455" s="18">
        <v>-4993.661552970468</v>
      </c>
      <c r="H1455" s="12">
        <f>E1456</f>
      </c>
      <c r="I1455" s="12">
        <f>F1456</f>
      </c>
      <c r="J1455" s="12">
        <f>G1456</f>
      </c>
      <c r="K1455">
        <f>IF(AND(Pu&gt;=MIN(E1455,H1455),Pu&lt;=MAX(E1455,H1455),E1455&lt;&gt;H1455),1,0)</f>
      </c>
      <c r="L1455">
        <f>IF(K1455=1,(Pu-E1455)/(H1455-E1455),"")</f>
      </c>
      <c r="M1455" s="12">
        <f>IF(K1455=1,F1455+L1455*(I1455-F1455),"")</f>
      </c>
      <c r="N1455" s="12">
        <f>IF(K1455=1,G1455+L1455*(J1455-G1455),"")</f>
      </c>
    </row>
    <row r="1456" spans="2:14" x14ac:dyDescent="0.25">
      <c r="B1456">
        <v>41</v>
      </c>
      <c r="C1456">
        <v>165.00000000000003</v>
      </c>
      <c r="D1456">
        <v>14</v>
      </c>
      <c r="E1456" s="18">
        <v>6190.548810270715</v>
      </c>
      <c r="F1456" s="18">
        <v>900.907593278856</v>
      </c>
      <c r="G1456" s="18">
        <v>-5100.5526612048625</v>
      </c>
      <c r="H1456" s="12">
        <f>E1457</f>
      </c>
      <c r="I1456" s="12">
        <f>F1457</f>
      </c>
      <c r="J1456" s="12">
        <f>G1457</f>
      </c>
      <c r="K1456">
        <f>IF(AND(Pu&gt;=MIN(E1456,H1456),Pu&lt;=MAX(E1456,H1456),E1456&lt;&gt;H1456),1,0)</f>
      </c>
      <c r="L1456">
        <f>IF(K1456=1,(Pu-E1456)/(H1456-E1456),"")</f>
      </c>
      <c r="M1456" s="12">
        <f>IF(K1456=1,F1456+L1456*(I1456-F1456),"")</f>
      </c>
      <c r="N1456" s="12">
        <f>IF(K1456=1,G1456+L1456*(J1456-G1456),"")</f>
      </c>
    </row>
    <row r="1457" spans="2:14" x14ac:dyDescent="0.25">
      <c r="B1457">
        <v>41</v>
      </c>
      <c r="C1457">
        <v>165.00000000000003</v>
      </c>
      <c r="D1457">
        <v>15</v>
      </c>
      <c r="E1457" s="18">
        <v>6114.654426135443</v>
      </c>
      <c r="F1457" s="18">
        <v>902.7030904022881</v>
      </c>
      <c r="G1457" s="18">
        <v>-5125.458631849007</v>
      </c>
      <c r="H1457" s="12">
        <f>E1458</f>
      </c>
      <c r="I1457" s="12">
        <f>F1458</f>
      </c>
      <c r="J1457" s="12">
        <f>G1458</f>
      </c>
      <c r="K1457">
        <f>IF(AND(Pu&gt;=MIN(E1457,H1457),Pu&lt;=MAX(E1457,H1457),E1457&lt;&gt;H1457),1,0)</f>
      </c>
      <c r="L1457">
        <f>IF(K1457=1,(Pu-E1457)/(H1457-E1457),"")</f>
      </c>
      <c r="M1457" s="12">
        <f>IF(K1457=1,F1457+L1457*(I1457-F1457),"")</f>
      </c>
      <c r="N1457" s="12">
        <f>IF(K1457=1,G1457+L1457*(J1457-G1457),"")</f>
      </c>
    </row>
    <row r="1458" spans="2:14" x14ac:dyDescent="0.25">
      <c r="B1458">
        <v>41</v>
      </c>
      <c r="C1458">
        <v>165.00000000000003</v>
      </c>
      <c r="D1458">
        <v>16</v>
      </c>
      <c r="E1458" s="18">
        <v>5891.323464519997</v>
      </c>
      <c r="F1458" s="18">
        <v>901.2478302164787</v>
      </c>
      <c r="G1458" s="18">
        <v>-5211.133094338877</v>
      </c>
      <c r="H1458" s="12">
        <f>E1459</f>
      </c>
      <c r="I1458" s="12">
        <f>F1459</f>
      </c>
      <c r="J1458" s="12">
        <f>G1459</f>
      </c>
      <c r="K1458">
        <f>IF(AND(Pu&gt;=MIN(E1458,H1458),Pu&lt;=MAX(E1458,H1458),E1458&lt;&gt;H1458),1,0)</f>
      </c>
      <c r="L1458">
        <f>IF(K1458=1,(Pu-E1458)/(H1458-E1458),"")</f>
      </c>
      <c r="M1458" s="12">
        <f>IF(K1458=1,F1458+L1458*(I1458-F1458),"")</f>
      </c>
      <c r="N1458" s="12">
        <f>IF(K1458=1,G1458+L1458*(J1458-G1458),"")</f>
      </c>
    </row>
    <row r="1459" spans="2:14" x14ac:dyDescent="0.25">
      <c r="B1459">
        <v>41</v>
      </c>
      <c r="C1459">
        <v>165.00000000000003</v>
      </c>
      <c r="D1459">
        <v>17</v>
      </c>
      <c r="E1459" s="18">
        <v>5623.7098271129735</v>
      </c>
      <c r="F1459" s="18">
        <v>897.6225169893597</v>
      </c>
      <c r="G1459" s="18">
        <v>-5305.7023993696075</v>
      </c>
      <c r="H1459" s="12">
        <f>E1460</f>
      </c>
      <c r="I1459" s="12">
        <f>F1460</f>
      </c>
      <c r="J1459" s="12">
        <f>G1460</f>
      </c>
      <c r="K1459">
        <f>IF(AND(Pu&gt;=MIN(E1459,H1459),Pu&lt;=MAX(E1459,H1459),E1459&lt;&gt;H1459),1,0)</f>
      </c>
      <c r="L1459">
        <f>IF(K1459=1,(Pu-E1459)/(H1459-E1459),"")</f>
      </c>
      <c r="M1459" s="12">
        <f>IF(K1459=1,F1459+L1459*(I1459-F1459),"")</f>
      </c>
      <c r="N1459" s="12">
        <f>IF(K1459=1,G1459+L1459*(J1459-G1459),"")</f>
      </c>
    </row>
    <row r="1460" spans="2:14" x14ac:dyDescent="0.25">
      <c r="B1460">
        <v>41</v>
      </c>
      <c r="C1460">
        <v>165.00000000000003</v>
      </c>
      <c r="D1460">
        <v>18</v>
      </c>
      <c r="E1460" s="18">
        <v>5443.505084947015</v>
      </c>
      <c r="F1460" s="18">
        <v>904.2645899400596</v>
      </c>
      <c r="G1460" s="18">
        <v>-5369.986902443823</v>
      </c>
      <c r="H1460" s="12">
        <f>E1461</f>
      </c>
      <c r="I1460" s="12">
        <f>F1461</f>
      </c>
      <c r="J1460" s="12">
        <f>G1461</f>
      </c>
      <c r="K1460">
        <f>IF(AND(Pu&gt;=MIN(E1460,H1460),Pu&lt;=MAX(E1460,H1460),E1460&lt;&gt;H1460),1,0)</f>
      </c>
      <c r="L1460">
        <f>IF(K1460=1,(Pu-E1460)/(H1460-E1460),"")</f>
      </c>
      <c r="M1460" s="12">
        <f>IF(K1460=1,F1460+L1460*(I1460-F1460),"")</f>
      </c>
      <c r="N1460" s="12">
        <f>IF(K1460=1,G1460+L1460*(J1460-G1460),"")</f>
      </c>
    </row>
    <row r="1461" spans="2:14" x14ac:dyDescent="0.25">
      <c r="B1461">
        <v>41</v>
      </c>
      <c r="C1461">
        <v>165.00000000000003</v>
      </c>
      <c r="D1461">
        <v>19</v>
      </c>
      <c r="E1461" s="18">
        <v>5388.979766827857</v>
      </c>
      <c r="F1461" s="18">
        <v>909.1776070684376</v>
      </c>
      <c r="G1461" s="18">
        <v>-5389.465880448009</v>
      </c>
      <c r="H1461" s="12">
        <f>E1462</f>
      </c>
      <c r="I1461" s="12">
        <f>F1462</f>
      </c>
      <c r="J1461" s="12">
        <f>G1462</f>
      </c>
      <c r="K1461">
        <f>IF(AND(Pu&gt;=MIN(E1461,H1461),Pu&lt;=MAX(E1461,H1461),E1461&lt;&gt;H1461),1,0)</f>
      </c>
      <c r="L1461">
        <f>IF(K1461=1,(Pu-E1461)/(H1461-E1461),"")</f>
      </c>
      <c r="M1461" s="12">
        <f>IF(K1461=1,F1461+L1461*(I1461-F1461),"")</f>
      </c>
      <c r="N1461" s="12">
        <f>IF(K1461=1,G1461+L1461*(J1461-G1461),"")</f>
      </c>
    </row>
    <row r="1462" spans="2:14" x14ac:dyDescent="0.25">
      <c r="B1462">
        <v>41</v>
      </c>
      <c r="C1462">
        <v>165.00000000000003</v>
      </c>
      <c r="D1462">
        <v>20</v>
      </c>
      <c r="E1462" s="18">
        <v>5190.594334869805</v>
      </c>
      <c r="F1462" s="18">
        <v>941.4781320015721</v>
      </c>
      <c r="G1462" s="18">
        <v>-5467.883620355339</v>
      </c>
      <c r="H1462" s="12">
        <f>E1463</f>
      </c>
      <c r="I1462" s="12">
        <f>F1463</f>
      </c>
      <c r="J1462" s="12">
        <f>G1463</f>
      </c>
      <c r="K1462">
        <f>IF(AND(Pu&gt;=MIN(E1462,H1462),Pu&lt;=MAX(E1462,H1462),E1462&lt;&gt;H1462),1,0)</f>
      </c>
      <c r="L1462">
        <f>IF(K1462=1,(Pu-E1462)/(H1462-E1462),"")</f>
      </c>
      <c r="M1462" s="12">
        <f>IF(K1462=1,F1462+L1462*(I1462-F1462),"")</f>
      </c>
      <c r="N1462" s="12">
        <f>IF(K1462=1,G1462+L1462*(J1462-G1462),"")</f>
      </c>
    </row>
    <row r="1463" spans="2:14" x14ac:dyDescent="0.25">
      <c r="B1463">
        <v>41</v>
      </c>
      <c r="C1463">
        <v>165.00000000000003</v>
      </c>
      <c r="D1463">
        <v>21</v>
      </c>
      <c r="E1463" s="18">
        <v>5092.34802547863</v>
      </c>
      <c r="F1463" s="18">
        <v>941.4980107466797</v>
      </c>
      <c r="G1463" s="18">
        <v>-5443.752774860546</v>
      </c>
      <c r="H1463" s="12">
        <f>E1464</f>
      </c>
      <c r="I1463" s="12">
        <f>F1464</f>
      </c>
      <c r="J1463" s="12">
        <f>G1464</f>
      </c>
      <c r="K1463">
        <f>IF(AND(Pu&gt;=MIN(E1463,H1463),Pu&lt;=MAX(E1463,H1463),E1463&lt;&gt;H1463),1,0)</f>
      </c>
      <c r="L1463">
        <f>IF(K1463=1,(Pu-E1463)/(H1463-E1463),"")</f>
      </c>
      <c r="M1463" s="12">
        <f>IF(K1463=1,F1463+L1463*(I1463-F1463),"")</f>
      </c>
      <c r="N1463" s="12">
        <f>IF(K1463=1,G1463+L1463*(J1463-G1463),"")</f>
      </c>
    </row>
    <row r="1464" spans="2:14" x14ac:dyDescent="0.25">
      <c r="B1464">
        <v>41</v>
      </c>
      <c r="C1464">
        <v>165.00000000000003</v>
      </c>
      <c r="D1464">
        <v>22</v>
      </c>
      <c r="E1464" s="18">
        <v>4551.972183619792</v>
      </c>
      <c r="F1464" s="18">
        <v>929.5604458302605</v>
      </c>
      <c r="G1464" s="18">
        <v>-5295.80950199972</v>
      </c>
      <c r="H1464" s="12">
        <f>E1465</f>
      </c>
      <c r="I1464" s="12">
        <f>F1465</f>
      </c>
      <c r="J1464" s="12">
        <f>G1465</f>
      </c>
      <c r="K1464">
        <f>IF(AND(Pu&gt;=MIN(E1464,H1464),Pu&lt;=MAX(E1464,H1464),E1464&lt;&gt;H1464),1,0)</f>
      </c>
      <c r="L1464">
        <f>IF(K1464=1,(Pu-E1464)/(H1464-E1464),"")</f>
      </c>
      <c r="M1464" s="12">
        <f>IF(K1464=1,F1464+L1464*(I1464-F1464),"")</f>
      </c>
      <c r="N1464" s="12">
        <f>IF(K1464=1,G1464+L1464*(J1464-G1464),"")</f>
      </c>
    </row>
    <row r="1465" spans="2:14" x14ac:dyDescent="0.25">
      <c r="B1465">
        <v>41</v>
      </c>
      <c r="C1465">
        <v>165.00000000000003</v>
      </c>
      <c r="D1465">
        <v>23</v>
      </c>
      <c r="E1465" s="18">
        <v>3686.4329229913847</v>
      </c>
      <c r="F1465" s="18">
        <v>926.5214109324239</v>
      </c>
      <c r="G1465" s="18">
        <v>-5005.017792736545</v>
      </c>
      <c r="H1465" s="12">
        <f>E1466</f>
      </c>
      <c r="I1465" s="12">
        <f>F1466</f>
      </c>
      <c r="J1465" s="12">
        <f>G1466</f>
      </c>
      <c r="K1465">
        <f>IF(AND(Pu&gt;=MIN(E1465,H1465),Pu&lt;=MAX(E1465,H1465),E1465&lt;&gt;H1465),1,0)</f>
      </c>
      <c r="L1465">
        <f>IF(K1465=1,(Pu-E1465)/(H1465-E1465),"")</f>
      </c>
      <c r="M1465" s="12">
        <f>IF(K1465=1,F1465+L1465*(I1465-F1465),"")</f>
      </c>
      <c r="N1465" s="12">
        <f>IF(K1465=1,G1465+L1465*(J1465-G1465),"")</f>
      </c>
    </row>
    <row r="1466" spans="2:14" x14ac:dyDescent="0.25">
      <c r="B1466">
        <v>41</v>
      </c>
      <c r="C1466">
        <v>165.00000000000003</v>
      </c>
      <c r="D1466">
        <v>24</v>
      </c>
      <c r="E1466" s="18">
        <v>2976.4431973136184</v>
      </c>
      <c r="F1466" s="18">
        <v>907.3150138145302</v>
      </c>
      <c r="G1466" s="18">
        <v>-4729.235573576314</v>
      </c>
      <c r="H1466" s="12">
        <f>E1467</f>
      </c>
      <c r="I1466" s="12">
        <f>F1467</f>
      </c>
      <c r="J1466" s="12">
        <f>G1467</f>
      </c>
      <c r="K1466">
        <f>IF(AND(Pu&gt;=MIN(E1466,H1466),Pu&lt;=MAX(E1466,H1466),E1466&lt;&gt;H1466),1,0)</f>
      </c>
      <c r="L1466">
        <f>IF(K1466=1,(Pu-E1466)/(H1466-E1466),"")</f>
      </c>
      <c r="M1466" s="12">
        <f>IF(K1466=1,F1466+L1466*(I1466-F1466),"")</f>
      </c>
      <c r="N1466" s="12">
        <f>IF(K1466=1,G1466+L1466*(J1466-G1466),"")</f>
      </c>
    </row>
    <row r="1467" spans="2:14" x14ac:dyDescent="0.25">
      <c r="B1467">
        <v>41</v>
      </c>
      <c r="C1467">
        <v>165.00000000000003</v>
      </c>
      <c r="D1467">
        <v>25</v>
      </c>
      <c r="E1467" s="18">
        <v>2349.807962248302</v>
      </c>
      <c r="F1467" s="18">
        <v>895.0438876689824</v>
      </c>
      <c r="G1467" s="18">
        <v>-4448.226446298178</v>
      </c>
      <c r="H1467" s="12">
        <f>E1468</f>
      </c>
      <c r="I1467" s="12">
        <f>F1468</f>
      </c>
      <c r="J1467" s="12">
        <f>G1468</f>
      </c>
      <c r="K1467">
        <f>IF(AND(Pu&gt;=MIN(E1467,H1467),Pu&lt;=MAX(E1467,H1467),E1467&lt;&gt;H1467),1,0)</f>
      </c>
      <c r="L1467">
        <f>IF(K1467=1,(Pu-E1467)/(H1467-E1467),"")</f>
      </c>
      <c r="M1467" s="12">
        <f>IF(K1467=1,F1467+L1467*(I1467-F1467),"")</f>
      </c>
      <c r="N1467" s="12">
        <f>IF(K1467=1,G1467+L1467*(J1467-G1467),"")</f>
      </c>
    </row>
    <row r="1468" spans="2:14" x14ac:dyDescent="0.25">
      <c r="B1468">
        <v>41</v>
      </c>
      <c r="C1468">
        <v>165.00000000000003</v>
      </c>
      <c r="D1468">
        <v>26</v>
      </c>
      <c r="E1468" s="18">
        <v>1241.720465260898</v>
      </c>
      <c r="F1468" s="18">
        <v>895.4579259150789</v>
      </c>
      <c r="G1468" s="18">
        <v>-3881.673401813122</v>
      </c>
      <c r="H1468" s="12">
        <f>E1469</f>
      </c>
      <c r="I1468" s="12">
        <f>F1469</f>
      </c>
      <c r="J1468" s="12">
        <f>G1469</f>
      </c>
      <c r="K1468">
        <f>IF(AND(Pu&gt;=MIN(E1468,H1468),Pu&lt;=MAX(E1468,H1468),E1468&lt;&gt;H1468),1,0)</f>
      </c>
      <c r="L1468">
        <f>IF(K1468=1,(Pu-E1468)/(H1468-E1468),"")</f>
      </c>
      <c r="M1468" s="12">
        <f>IF(K1468=1,F1468+L1468*(I1468-F1468),"")</f>
      </c>
      <c r="N1468" s="12">
        <f>IF(K1468=1,G1468+L1468*(J1468-G1468),"")</f>
      </c>
    </row>
    <row r="1469" spans="2:14" x14ac:dyDescent="0.25">
      <c r="B1469">
        <v>41</v>
      </c>
      <c r="C1469">
        <v>165.00000000000003</v>
      </c>
      <c r="D1469">
        <v>27</v>
      </c>
      <c r="E1469" s="18">
        <v>288.84645464080137</v>
      </c>
      <c r="F1469" s="18">
        <v>806.520599925532</v>
      </c>
      <c r="G1469" s="18">
        <v>-3357.9672920729777</v>
      </c>
      <c r="H1469" s="12">
        <f>E1470</f>
      </c>
      <c r="I1469" s="12">
        <f>F1470</f>
      </c>
      <c r="J1469" s="12">
        <f>G1470</f>
      </c>
      <c r="K1469">
        <f>IF(AND(Pu&gt;=MIN(E1469,H1469),Pu&lt;=MAX(E1469,H1469),E1469&lt;&gt;H1469),1,0)</f>
      </c>
      <c r="L1469">
        <f>IF(K1469=1,(Pu-E1469)/(H1469-E1469),"")</f>
      </c>
      <c r="M1469" s="12">
        <f>IF(K1469=1,F1469+L1469*(I1469-F1469),"")</f>
      </c>
      <c r="N1469" s="12">
        <f>IF(K1469=1,G1469+L1469*(J1469-G1469),"")</f>
      </c>
    </row>
    <row r="1470" spans="2:14" x14ac:dyDescent="0.25">
      <c r="B1470">
        <v>41</v>
      </c>
      <c r="C1470">
        <v>165.00000000000003</v>
      </c>
      <c r="D1470">
        <v>28</v>
      </c>
      <c r="E1470" s="18">
        <v>-526.223372236627</v>
      </c>
      <c r="F1470" s="18">
        <v>735.6234994578191</v>
      </c>
      <c r="G1470" s="18">
        <v>-2870.4881847179745</v>
      </c>
      <c r="H1470" s="12">
        <f>E1471</f>
      </c>
      <c r="I1470" s="12">
        <f>F1471</f>
      </c>
      <c r="J1470" s="12">
        <f>G1471</f>
      </c>
      <c r="K1470">
        <f>IF(AND(Pu&gt;=MIN(E1470,H1470),Pu&lt;=MAX(E1470,H1470),E1470&lt;&gt;H1470),1,0)</f>
      </c>
      <c r="L1470">
        <f>IF(K1470=1,(Pu-E1470)/(H1470-E1470),"")</f>
      </c>
      <c r="M1470" s="12">
        <f>IF(K1470=1,F1470+L1470*(I1470-F1470),"")</f>
      </c>
      <c r="N1470" s="12">
        <f>IF(K1470=1,G1470+L1470*(J1470-G1470),"")</f>
      </c>
    </row>
    <row r="1471" spans="2:14" x14ac:dyDescent="0.25">
      <c r="B1471">
        <v>41</v>
      </c>
      <c r="C1471">
        <v>165.00000000000003</v>
      </c>
      <c r="D1471">
        <v>29</v>
      </c>
      <c r="E1471" s="18">
        <v>-1185.5245906956904</v>
      </c>
      <c r="F1471" s="18">
        <v>659.7086826954611</v>
      </c>
      <c r="G1471" s="18">
        <v>-2469.1091873330156</v>
      </c>
      <c r="H1471" s="12">
        <f>E1472</f>
      </c>
      <c r="I1471" s="12">
        <f>F1472</f>
      </c>
      <c r="J1471" s="12">
        <f>G1472</f>
      </c>
      <c r="K1471">
        <f>IF(AND(Pu&gt;=MIN(E1471,H1471),Pu&lt;=MAX(E1471,H1471),E1471&lt;&gt;H1471),1,0)</f>
      </c>
      <c r="L1471">
        <f>IF(K1471=1,(Pu-E1471)/(H1471-E1471),"")</f>
      </c>
      <c r="M1471" s="12">
        <f>IF(K1471=1,F1471+L1471*(I1471-F1471),"")</f>
      </c>
      <c r="N1471" s="12">
        <f>IF(K1471=1,G1471+L1471*(J1471-G1471),"")</f>
      </c>
    </row>
    <row r="1472" spans="2:14" x14ac:dyDescent="0.25">
      <c r="B1472">
        <v>41</v>
      </c>
      <c r="C1472">
        <v>165.00000000000003</v>
      </c>
      <c r="D1472">
        <v>30</v>
      </c>
      <c r="E1472" s="18">
        <v>-2234.190002889511</v>
      </c>
      <c r="F1472" s="18">
        <v>506.39910814759355</v>
      </c>
      <c r="G1472" s="18">
        <v>-1820.375393599587</v>
      </c>
      <c r="H1472" s="12">
        <f>E1473</f>
      </c>
      <c r="I1472" s="12">
        <f>F1473</f>
      </c>
      <c r="J1472" s="12">
        <f>G1473</f>
      </c>
      <c r="K1472">
        <f>IF(AND(Pu&gt;=MIN(E1472,H1472),Pu&lt;=MAX(E1472,H1472),E1472&lt;&gt;H1472),1,0)</f>
      </c>
      <c r="L1472">
        <f>IF(K1472=1,(Pu-E1472)/(H1472-E1472),"")</f>
      </c>
      <c r="M1472" s="12">
        <f>IF(K1472=1,F1472+L1472*(I1472-F1472),"")</f>
      </c>
      <c r="N1472" s="12">
        <f>IF(K1472=1,G1472+L1472*(J1472-G1472),"")</f>
      </c>
    </row>
    <row r="1473" spans="2:14" x14ac:dyDescent="0.25">
      <c r="B1473">
        <v>41</v>
      </c>
      <c r="C1473">
        <v>165.00000000000003</v>
      </c>
      <c r="D1473">
        <v>31</v>
      </c>
      <c r="E1473" s="18">
        <v>-2902.4657805182105</v>
      </c>
      <c r="F1473" s="18">
        <v>435.9321750877936</v>
      </c>
      <c r="G1473" s="18">
        <v>-1381.5608141453104</v>
      </c>
      <c r="H1473" s="12">
        <f>E1474</f>
      </c>
      <c r="I1473" s="12">
        <f>F1474</f>
      </c>
      <c r="J1473" s="12">
        <f>G1474</f>
      </c>
      <c r="K1473">
        <f>IF(AND(Pu&gt;=MIN(E1473,H1473),Pu&lt;=MAX(E1473,H1473),E1473&lt;&gt;H1473),1,0)</f>
      </c>
      <c r="L1473">
        <f>IF(K1473=1,(Pu-E1473)/(H1473-E1473),"")</f>
      </c>
      <c r="M1473" s="12">
        <f>IF(K1473=1,F1473+L1473*(I1473-F1473),"")</f>
      </c>
      <c r="N1473" s="12">
        <f>IF(K1473=1,G1473+L1473*(J1473-G1473),"")</f>
      </c>
    </row>
    <row r="1474" spans="2:14" x14ac:dyDescent="0.25">
      <c r="B1474">
        <v>41</v>
      </c>
      <c r="C1474">
        <v>165.00000000000003</v>
      </c>
      <c r="D1474">
        <v>32</v>
      </c>
      <c r="E1474" s="18">
        <v>-3719.8528882899723</v>
      </c>
      <c r="F1474" s="18">
        <v>322.07937412419733</v>
      </c>
      <c r="G1474" s="18">
        <v>-830.9820788408127</v>
      </c>
      <c r="H1474" s="12">
        <f>E1475</f>
      </c>
      <c r="I1474" s="12">
        <f>F1475</f>
      </c>
      <c r="J1474" s="12">
        <f>G1475</f>
      </c>
      <c r="K1474">
        <f>IF(AND(Pu&gt;=MIN(E1474,H1474),Pu&lt;=MAX(E1474,H1474),E1474&lt;&gt;H1474),1,0)</f>
      </c>
      <c r="L1474">
        <f>IF(K1474=1,(Pu-E1474)/(H1474-E1474),"")</f>
      </c>
      <c r="M1474" s="12">
        <f>IF(K1474=1,F1474+L1474*(I1474-F1474),"")</f>
      </c>
      <c r="N1474" s="12">
        <f>IF(K1474=1,G1474+L1474*(J1474-G1474),"")</f>
      </c>
    </row>
    <row r="1475" spans="2:14" x14ac:dyDescent="0.25">
      <c r="B1475">
        <v>41</v>
      </c>
      <c r="C1475">
        <v>165.00000000000003</v>
      </c>
      <c r="D1475">
        <v>33</v>
      </c>
      <c r="E1475" s="18">
        <v>-4125.061666977996</v>
      </c>
      <c r="F1475" s="18">
        <v>235.16260783643065</v>
      </c>
      <c r="G1475" s="18">
        <v>-554.3985385139315</v>
      </c>
      <c r="H1475" s="12">
        <f>E1476</f>
      </c>
      <c r="I1475" s="12">
        <f>F1476</f>
      </c>
      <c r="J1475" s="12">
        <f>G1476</f>
      </c>
      <c r="K1475">
        <f>IF(AND(Pu&gt;=MIN(E1475,H1475),Pu&lt;=MAX(E1475,H1475),E1475&lt;&gt;H1475),1,0)</f>
      </c>
      <c r="L1475">
        <f>IF(K1475=1,(Pu-E1475)/(H1475-E1475),"")</f>
      </c>
      <c r="M1475" s="12">
        <f>IF(K1475=1,F1475+L1475*(I1475-F1475),"")</f>
      </c>
      <c r="N1475" s="12">
        <f>IF(K1475=1,G1475+L1475*(J1475-G1475),"")</f>
      </c>
    </row>
    <row r="1476" spans="2:14" x14ac:dyDescent="0.25">
      <c r="B1476">
        <v>41</v>
      </c>
      <c r="C1476">
        <v>165.00000000000003</v>
      </c>
      <c r="D1476">
        <v>34</v>
      </c>
      <c r="E1476" s="18">
        <v>-4617.20958817048</v>
      </c>
      <c r="F1476" s="18">
        <v>101.48036361480375</v>
      </c>
      <c r="G1476" s="18">
        <v>-215.3180128511745</v>
      </c>
      <c r="H1476" s="12">
        <f>E1477</f>
      </c>
      <c r="I1476" s="12">
        <f>F1477</f>
      </c>
      <c r="J1476" s="12">
        <f>G1477</f>
      </c>
      <c r="K1476">
        <f>IF(AND(Pu&gt;=MIN(E1476,H1476),Pu&lt;=MAX(E1476,H1476),E1476&lt;&gt;H1476),1,0)</f>
      </c>
      <c r="L1476">
        <f>IF(K1476=1,(Pu-E1476)/(H1476-E1476),"")</f>
      </c>
      <c r="M1476" s="12">
        <f>IF(K1476=1,F1476+L1476*(I1476-F1476),"")</f>
      </c>
      <c r="N1476" s="12">
        <f>IF(K1476=1,G1476+L1476*(J1476-G1476),"")</f>
      </c>
    </row>
    <row r="1477" spans="2:7" x14ac:dyDescent="0.25">
      <c r="B1477">
        <v>41</v>
      </c>
      <c r="C1477">
        <v>165.00000000000003</v>
      </c>
      <c r="D1477">
        <v>35</v>
      </c>
      <c r="E1477" s="18">
        <v>-4815.937325645018</v>
      </c>
      <c r="F1477" s="18">
        <v>38.758689132852034</v>
      </c>
      <c r="G1477" s="18">
        <v>-77.4281656160695</v>
      </c>
    </row>
    <row r="1479" spans="2:14" x14ac:dyDescent="0.25">
      <c r="B1479">
        <v>42</v>
      </c>
      <c r="C1479">
        <v>168.75000000000006</v>
      </c>
      <c r="D1479">
        <v>1</v>
      </c>
      <c r="E1479" s="18">
        <v>17212.131651709293</v>
      </c>
      <c r="F1479" s="18">
        <v>437.2921604065481</v>
      </c>
      <c r="G1479" s="18">
        <v>-2891.0599009281773</v>
      </c>
      <c r="H1479" s="12">
        <f>E1480</f>
      </c>
      <c r="I1479" s="12">
        <f>F1480</f>
      </c>
      <c r="J1479" s="12">
        <f>G1480</f>
      </c>
      <c r="K1479">
        <f>IF(AND(Pu&gt;=MIN(E1479,H1479),Pu&lt;=MAX(E1479,H1479),E1479&lt;&gt;H1479),1,0)</f>
      </c>
      <c r="L1479">
        <f>IF(K1479=1,(Pu-E1479)/(H1479-E1479),"")</f>
      </c>
      <c r="M1479" s="12">
        <f>IF(K1479=1,F1479+L1479*(I1479-F1479),"")</f>
      </c>
      <c r="N1479" s="12">
        <f>IF(K1479=1,G1479+L1479*(J1479-G1479),"")</f>
      </c>
    </row>
    <row r="1480" spans="2:14" x14ac:dyDescent="0.25">
      <c r="B1480">
        <v>42</v>
      </c>
      <c r="C1480">
        <v>168.75000000000006</v>
      </c>
      <c r="D1480">
        <v>2</v>
      </c>
      <c r="E1480" s="18">
        <v>16342.52758434668</v>
      </c>
      <c r="F1480" s="18">
        <v>429.2768282020757</v>
      </c>
      <c r="G1480" s="18">
        <v>-3281.024141100633</v>
      </c>
      <c r="H1480" s="12">
        <f>E1481</f>
      </c>
      <c r="I1480" s="12">
        <f>F1481</f>
      </c>
      <c r="J1480" s="12">
        <f>G1481</f>
      </c>
      <c r="K1480">
        <f>IF(AND(Pu&gt;=MIN(E1480,H1480),Pu&lt;=MAX(E1480,H1480),E1480&lt;&gt;H1480),1,0)</f>
      </c>
      <c r="L1480">
        <f>IF(K1480=1,(Pu-E1480)/(H1480-E1480),"")</f>
      </c>
      <c r="M1480" s="12">
        <f>IF(K1480=1,F1480+L1480*(I1480-F1480),"")</f>
      </c>
      <c r="N1480" s="12">
        <f>IF(K1480=1,G1480+L1480*(J1480-G1480),"")</f>
      </c>
    </row>
    <row r="1481" spans="2:14" x14ac:dyDescent="0.25">
      <c r="B1481">
        <v>42</v>
      </c>
      <c r="C1481">
        <v>168.75000000000006</v>
      </c>
      <c r="D1481">
        <v>3</v>
      </c>
      <c r="E1481" s="18">
        <v>15563.068231220448</v>
      </c>
      <c r="F1481" s="18">
        <v>438.19305807779716</v>
      </c>
      <c r="G1481" s="18">
        <v>-3576.8598320332694</v>
      </c>
      <c r="H1481" s="12">
        <f>E1482</f>
      </c>
      <c r="I1481" s="12">
        <f>F1482</f>
      </c>
      <c r="J1481" s="12">
        <f>G1482</f>
      </c>
      <c r="K1481">
        <f>IF(AND(Pu&gt;=MIN(E1481,H1481),Pu&lt;=MAX(E1481,H1481),E1481&lt;&gt;H1481),1,0)</f>
      </c>
      <c r="L1481">
        <f>IF(K1481=1,(Pu-E1481)/(H1481-E1481),"")</f>
      </c>
      <c r="M1481" s="12">
        <f>IF(K1481=1,F1481+L1481*(I1481-F1481),"")</f>
      </c>
      <c r="N1481" s="12">
        <f>IF(K1481=1,G1481+L1481*(J1481-G1481),"")</f>
      </c>
    </row>
    <row r="1482" spans="2:14" x14ac:dyDescent="0.25">
      <c r="B1482">
        <v>42</v>
      </c>
      <c r="C1482">
        <v>168.75000000000006</v>
      </c>
      <c r="D1482">
        <v>4</v>
      </c>
      <c r="E1482" s="18">
        <v>14126.97291117877</v>
      </c>
      <c r="F1482" s="18">
        <v>516.8123487241322</v>
      </c>
      <c r="G1482" s="18">
        <v>-3984.7388237978707</v>
      </c>
      <c r="H1482" s="12">
        <f>E1483</f>
      </c>
      <c r="I1482" s="12">
        <f>F1483</f>
      </c>
      <c r="J1482" s="12">
        <f>G1483</f>
      </c>
      <c r="K1482">
        <f>IF(AND(Pu&gt;=MIN(E1482,H1482),Pu&lt;=MAX(E1482,H1482),E1482&lt;&gt;H1482),1,0)</f>
      </c>
      <c r="L1482">
        <f>IF(K1482=1,(Pu-E1482)/(H1482-E1482),"")</f>
      </c>
      <c r="M1482" s="12">
        <f>IF(K1482=1,F1482+L1482*(I1482-F1482),"")</f>
      </c>
      <c r="N1482" s="12">
        <f>IF(K1482=1,G1482+L1482*(J1482-G1482),"")</f>
      </c>
    </row>
    <row r="1483" spans="2:14" x14ac:dyDescent="0.25">
      <c r="B1483">
        <v>42</v>
      </c>
      <c r="C1483">
        <v>168.75000000000006</v>
      </c>
      <c r="D1483">
        <v>5</v>
      </c>
      <c r="E1483" s="18">
        <v>12105.193622497398</v>
      </c>
      <c r="F1483" s="18">
        <v>628.6681212625582</v>
      </c>
      <c r="G1483" s="18">
        <v>-4331.8422760313315</v>
      </c>
      <c r="H1483" s="12">
        <f>E1484</f>
      </c>
      <c r="I1483" s="12">
        <f>F1484</f>
      </c>
      <c r="J1483" s="12">
        <f>G1484</f>
      </c>
      <c r="K1483">
        <f>IF(AND(Pu&gt;=MIN(E1483,H1483),Pu&lt;=MAX(E1483,H1483),E1483&lt;&gt;H1483),1,0)</f>
      </c>
      <c r="L1483">
        <f>IF(K1483=1,(Pu-E1483)/(H1483-E1483),"")</f>
      </c>
      <c r="M1483" s="12">
        <f>IF(K1483=1,F1483+L1483*(I1483-F1483),"")</f>
      </c>
      <c r="N1483" s="12">
        <f>IF(K1483=1,G1483+L1483*(J1483-G1483),"")</f>
      </c>
    </row>
    <row r="1484" spans="2:14" x14ac:dyDescent="0.25">
      <c r="B1484">
        <v>42</v>
      </c>
      <c r="C1484">
        <v>168.75000000000006</v>
      </c>
      <c r="D1484">
        <v>6</v>
      </c>
      <c r="E1484" s="18">
        <v>9951.502847855538</v>
      </c>
      <c r="F1484" s="18">
        <v>652.9395448221915</v>
      </c>
      <c r="G1484" s="18">
        <v>-4558.848832161496</v>
      </c>
      <c r="H1484" s="12">
        <f>E1485</f>
      </c>
      <c r="I1484" s="12">
        <f>F1485</f>
      </c>
      <c r="J1484" s="12">
        <f>G1485</f>
      </c>
      <c r="K1484">
        <f>IF(AND(Pu&gt;=MIN(E1484,H1484),Pu&lt;=MAX(E1484,H1484),E1484&lt;&gt;H1484),1,0)</f>
      </c>
      <c r="L1484">
        <f>IF(K1484=1,(Pu-E1484)/(H1484-E1484),"")</f>
      </c>
      <c r="M1484" s="12">
        <f>IF(K1484=1,F1484+L1484*(I1484-F1484),"")</f>
      </c>
      <c r="N1484" s="12">
        <f>IF(K1484=1,G1484+L1484*(J1484-G1484),"")</f>
      </c>
    </row>
    <row r="1485" spans="2:14" x14ac:dyDescent="0.25">
      <c r="B1485">
        <v>42</v>
      </c>
      <c r="C1485">
        <v>168.75000000000006</v>
      </c>
      <c r="D1485">
        <v>7</v>
      </c>
      <c r="E1485" s="18">
        <v>8792.875148562773</v>
      </c>
      <c r="F1485" s="18">
        <v>667.6772366798049</v>
      </c>
      <c r="G1485" s="18">
        <v>-4632.46399838557</v>
      </c>
      <c r="H1485" s="12">
        <f>E1486</f>
      </c>
      <c r="I1485" s="12">
        <f>F1486</f>
      </c>
      <c r="J1485" s="12">
        <f>G1486</f>
      </c>
      <c r="K1485">
        <f>IF(AND(Pu&gt;=MIN(E1485,H1485),Pu&lt;=MAX(E1485,H1485),E1485&lt;&gt;H1485),1,0)</f>
      </c>
      <c r="L1485">
        <f>IF(K1485=1,(Pu-E1485)/(H1485-E1485),"")</f>
      </c>
      <c r="M1485" s="12">
        <f>IF(K1485=1,F1485+L1485*(I1485-F1485),"")</f>
      </c>
      <c r="N1485" s="12">
        <f>IF(K1485=1,G1485+L1485*(J1485-G1485),"")</f>
      </c>
    </row>
    <row r="1486" spans="2:14" x14ac:dyDescent="0.25">
      <c r="B1486">
        <v>42</v>
      </c>
      <c r="C1486">
        <v>168.75000000000006</v>
      </c>
      <c r="D1486">
        <v>8</v>
      </c>
      <c r="E1486" s="18">
        <v>8271.985126402926</v>
      </c>
      <c r="F1486" s="18">
        <v>683.6784062462634</v>
      </c>
      <c r="G1486" s="18">
        <v>-4734.5907103537065</v>
      </c>
      <c r="H1486" s="12">
        <f>E1487</f>
      </c>
      <c r="I1486" s="12">
        <f>F1487</f>
      </c>
      <c r="J1486" s="12">
        <f>G1487</f>
      </c>
      <c r="K1486">
        <f>IF(AND(Pu&gt;=MIN(E1486,H1486),Pu&lt;=MAX(E1486,H1486),E1486&lt;&gt;H1486),1,0)</f>
      </c>
      <c r="L1486">
        <f>IF(K1486=1,(Pu-E1486)/(H1486-E1486),"")</f>
      </c>
      <c r="M1486" s="12">
        <f>IF(K1486=1,F1486+L1486*(I1486-F1486),"")</f>
      </c>
      <c r="N1486" s="12">
        <f>IF(K1486=1,G1486+L1486*(J1486-G1486),"")</f>
      </c>
    </row>
    <row r="1487" spans="2:14" x14ac:dyDescent="0.25">
      <c r="B1487">
        <v>42</v>
      </c>
      <c r="C1487">
        <v>168.75000000000006</v>
      </c>
      <c r="D1487">
        <v>9</v>
      </c>
      <c r="E1487" s="18">
        <v>7794.438330587626</v>
      </c>
      <c r="F1487" s="18">
        <v>690.902973072128</v>
      </c>
      <c r="G1487" s="18">
        <v>-4814.911632202111</v>
      </c>
      <c r="H1487" s="12">
        <f>E1488</f>
      </c>
      <c r="I1487" s="12">
        <f>F1488</f>
      </c>
      <c r="J1487" s="12">
        <f>G1488</f>
      </c>
      <c r="K1487">
        <f>IF(AND(Pu&gt;=MIN(E1487,H1487),Pu&lt;=MAX(E1487,H1487),E1487&lt;&gt;H1487),1,0)</f>
      </c>
      <c r="L1487">
        <f>IF(K1487=1,(Pu-E1487)/(H1487-E1487),"")</f>
      </c>
      <c r="M1487" s="12">
        <f>IF(K1487=1,F1487+L1487*(I1487-F1487),"")</f>
      </c>
      <c r="N1487" s="12">
        <f>IF(K1487=1,G1487+L1487*(J1487-G1487),"")</f>
      </c>
    </row>
    <row r="1488" spans="2:14" x14ac:dyDescent="0.25">
      <c r="B1488">
        <v>42</v>
      </c>
      <c r="C1488">
        <v>168.75000000000006</v>
      </c>
      <c r="D1488">
        <v>10</v>
      </c>
      <c r="E1488" s="18">
        <v>7224.644878865104</v>
      </c>
      <c r="F1488" s="18">
        <v>705.7376513588457</v>
      </c>
      <c r="G1488" s="18">
        <v>-4903.923940888565</v>
      </c>
      <c r="H1488" s="12">
        <f>E1489</f>
      </c>
      <c r="I1488" s="12">
        <f>F1489</f>
      </c>
      <c r="J1488" s="12">
        <f>G1489</f>
      </c>
      <c r="K1488">
        <f>IF(AND(Pu&gt;=MIN(E1488,H1488),Pu&lt;=MAX(E1488,H1488),E1488&lt;&gt;H1488),1,0)</f>
      </c>
      <c r="L1488">
        <f>IF(K1488=1,(Pu-E1488)/(H1488-E1488),"")</f>
      </c>
      <c r="M1488" s="12">
        <f>IF(K1488=1,F1488+L1488*(I1488-F1488),"")</f>
      </c>
      <c r="N1488" s="12">
        <f>IF(K1488=1,G1488+L1488*(J1488-G1488),"")</f>
      </c>
    </row>
    <row r="1489" spans="2:14" x14ac:dyDescent="0.25">
      <c r="B1489">
        <v>42</v>
      </c>
      <c r="C1489">
        <v>168.75000000000006</v>
      </c>
      <c r="D1489">
        <v>11</v>
      </c>
      <c r="E1489" s="18">
        <v>7068.864747238218</v>
      </c>
      <c r="F1489" s="18">
        <v>704.7574928682423</v>
      </c>
      <c r="G1489" s="18">
        <v>-4932.139023813641</v>
      </c>
      <c r="H1489" s="12">
        <f>E1490</f>
      </c>
      <c r="I1489" s="12">
        <f>F1490</f>
      </c>
      <c r="J1489" s="12">
        <f>G1490</f>
      </c>
      <c r="K1489">
        <f>IF(AND(Pu&gt;=MIN(E1489,H1489),Pu&lt;=MAX(E1489,H1489),E1489&lt;&gt;H1489),1,0)</f>
      </c>
      <c r="L1489">
        <f>IF(K1489=1,(Pu-E1489)/(H1489-E1489),"")</f>
      </c>
      <c r="M1489" s="12">
        <f>IF(K1489=1,F1489+L1489*(I1489-F1489),"")</f>
      </c>
      <c r="N1489" s="12">
        <f>IF(K1489=1,G1489+L1489*(J1489-G1489),"")</f>
      </c>
    </row>
    <row r="1490" spans="2:14" x14ac:dyDescent="0.25">
      <c r="B1490">
        <v>42</v>
      </c>
      <c r="C1490">
        <v>168.75000000000006</v>
      </c>
      <c r="D1490">
        <v>12</v>
      </c>
      <c r="E1490" s="18">
        <v>6583.292222246626</v>
      </c>
      <c r="F1490" s="18">
        <v>686.2280614489096</v>
      </c>
      <c r="G1490" s="18">
        <v>-5043.509118539437</v>
      </c>
      <c r="H1490" s="12">
        <f>E1491</f>
      </c>
      <c r="I1490" s="12">
        <f>F1491</f>
      </c>
      <c r="J1490" s="12">
        <f>G1491</f>
      </c>
      <c r="K1490">
        <f>IF(AND(Pu&gt;=MIN(E1490,H1490),Pu&lt;=MAX(E1490,H1490),E1490&lt;&gt;H1490),1,0)</f>
      </c>
      <c r="L1490">
        <f>IF(K1490=1,(Pu-E1490)/(H1490-E1490),"")</f>
      </c>
      <c r="M1490" s="12">
        <f>IF(K1490=1,F1490+L1490*(I1490-F1490),"")</f>
      </c>
      <c r="N1490" s="12">
        <f>IF(K1490=1,G1490+L1490*(J1490-G1490),"")</f>
      </c>
    </row>
    <row r="1491" spans="2:14" x14ac:dyDescent="0.25">
      <c r="B1491">
        <v>42</v>
      </c>
      <c r="C1491">
        <v>168.75000000000006</v>
      </c>
      <c r="D1491">
        <v>13</v>
      </c>
      <c r="E1491" s="18">
        <v>6571.611923140387</v>
      </c>
      <c r="F1491" s="18">
        <v>685.4800497636169</v>
      </c>
      <c r="G1491" s="18">
        <v>-5046.684172296077</v>
      </c>
      <c r="H1491" s="12">
        <f>E1492</f>
      </c>
      <c r="I1491" s="12">
        <f>F1492</f>
      </c>
      <c r="J1491" s="12">
        <f>G1492</f>
      </c>
      <c r="K1491">
        <f>IF(AND(Pu&gt;=MIN(E1491,H1491),Pu&lt;=MAX(E1491,H1491),E1491&lt;&gt;H1491),1,0)</f>
      </c>
      <c r="L1491">
        <f>IF(K1491=1,(Pu-E1491)/(H1491-E1491),"")</f>
      </c>
      <c r="M1491" s="12">
        <f>IF(K1491=1,F1491+L1491*(I1491-F1491),"")</f>
      </c>
      <c r="N1491" s="12">
        <f>IF(K1491=1,G1491+L1491*(J1491-G1491),"")</f>
      </c>
    </row>
    <row r="1492" spans="2:14" x14ac:dyDescent="0.25">
      <c r="B1492">
        <v>42</v>
      </c>
      <c r="C1492">
        <v>168.75000000000006</v>
      </c>
      <c r="D1492">
        <v>14</v>
      </c>
      <c r="E1492" s="18">
        <v>6228.623279910239</v>
      </c>
      <c r="F1492" s="18">
        <v>673.6014512698572</v>
      </c>
      <c r="G1492" s="18">
        <v>-5160.155550416888</v>
      </c>
      <c r="H1492" s="12">
        <f>E1493</f>
      </c>
      <c r="I1492" s="12">
        <f>F1493</f>
      </c>
      <c r="J1492" s="12">
        <f>G1493</f>
      </c>
      <c r="K1492">
        <f>IF(AND(Pu&gt;=MIN(E1492,H1492),Pu&lt;=MAX(E1492,H1492),E1492&lt;&gt;H1492),1,0)</f>
      </c>
      <c r="L1492">
        <f>IF(K1492=1,(Pu-E1492)/(H1492-E1492),"")</f>
      </c>
      <c r="M1492" s="12">
        <f>IF(K1492=1,F1492+L1492*(I1492-F1492),"")</f>
      </c>
      <c r="N1492" s="12">
        <f>IF(K1492=1,G1492+L1492*(J1492-G1492),"")</f>
      </c>
    </row>
    <row r="1493" spans="2:14" x14ac:dyDescent="0.25">
      <c r="B1493">
        <v>42</v>
      </c>
      <c r="C1493">
        <v>168.75000000000006</v>
      </c>
      <c r="D1493">
        <v>15</v>
      </c>
      <c r="E1493" s="18">
        <v>6143.325518787707</v>
      </c>
      <c r="F1493" s="18">
        <v>673.1173499959967</v>
      </c>
      <c r="G1493" s="18">
        <v>-5191.834444504662</v>
      </c>
      <c r="H1493" s="12">
        <f>E1494</f>
      </c>
      <c r="I1493" s="12">
        <f>F1494</f>
      </c>
      <c r="J1493" s="12">
        <f>G1494</f>
      </c>
      <c r="K1493">
        <f>IF(AND(Pu&gt;=MIN(E1493,H1493),Pu&lt;=MAX(E1493,H1493),E1493&lt;&gt;H1493),1,0)</f>
      </c>
      <c r="L1493">
        <f>IF(K1493=1,(Pu-E1493)/(H1493-E1493),"")</f>
      </c>
      <c r="M1493" s="12">
        <f>IF(K1493=1,F1493+L1493*(I1493-F1493),"")</f>
      </c>
      <c r="N1493" s="12">
        <f>IF(K1493=1,G1493+L1493*(J1493-G1493),"")</f>
      </c>
    </row>
    <row r="1494" spans="2:14" x14ac:dyDescent="0.25">
      <c r="B1494">
        <v>42</v>
      </c>
      <c r="C1494">
        <v>168.75000000000006</v>
      </c>
      <c r="D1494">
        <v>16</v>
      </c>
      <c r="E1494" s="18">
        <v>5928.205392904385</v>
      </c>
      <c r="F1494" s="18">
        <v>673.9559203512583</v>
      </c>
      <c r="G1494" s="18">
        <v>-5272.606173013727</v>
      </c>
      <c r="H1494" s="12">
        <f>E1495</f>
      </c>
      <c r="I1494" s="12">
        <f>F1495</f>
      </c>
      <c r="J1494" s="12">
        <f>G1495</f>
      </c>
      <c r="K1494">
        <f>IF(AND(Pu&gt;=MIN(E1494,H1494),Pu&lt;=MAX(E1494,H1494),E1494&lt;&gt;H1494),1,0)</f>
      </c>
      <c r="L1494">
        <f>IF(K1494=1,(Pu-E1494)/(H1494-E1494),"")</f>
      </c>
      <c r="M1494" s="12">
        <f>IF(K1494=1,F1494+L1494*(I1494-F1494),"")</f>
      </c>
      <c r="N1494" s="12">
        <f>IF(K1494=1,G1494+L1494*(J1494-G1494),"")</f>
      </c>
    </row>
    <row r="1495" spans="2:14" x14ac:dyDescent="0.25">
      <c r="B1495">
        <v>42</v>
      </c>
      <c r="C1495">
        <v>168.75000000000006</v>
      </c>
      <c r="D1495">
        <v>17</v>
      </c>
      <c r="E1495" s="18">
        <v>5675.255343311125</v>
      </c>
      <c r="F1495" s="18">
        <v>676.0772244584521</v>
      </c>
      <c r="G1495" s="18">
        <v>-5372.897539909577</v>
      </c>
      <c r="H1495" s="12">
        <f>E1496</f>
      </c>
      <c r="I1495" s="12">
        <f>F1496</f>
      </c>
      <c r="J1495" s="12">
        <f>G1496</f>
      </c>
      <c r="K1495">
        <f>IF(AND(Pu&gt;=MIN(E1495,H1495),Pu&lt;=MAX(E1495,H1495),E1495&lt;&gt;H1495),1,0)</f>
      </c>
      <c r="L1495">
        <f>IF(K1495=1,(Pu-E1495)/(H1495-E1495),"")</f>
      </c>
      <c r="M1495" s="12">
        <f>IF(K1495=1,F1495+L1495*(I1495-F1495),"")</f>
      </c>
      <c r="N1495" s="12">
        <f>IF(K1495=1,G1495+L1495*(J1495-G1495),"")</f>
      </c>
    </row>
    <row r="1496" spans="2:14" x14ac:dyDescent="0.25">
      <c r="B1496">
        <v>42</v>
      </c>
      <c r="C1496">
        <v>168.75000000000006</v>
      </c>
      <c r="D1496">
        <v>18</v>
      </c>
      <c r="E1496" s="18">
        <v>5525.861622845332</v>
      </c>
      <c r="F1496" s="18">
        <v>674.8141253194966</v>
      </c>
      <c r="G1496" s="18">
        <v>-5449.572175980191</v>
      </c>
      <c r="H1496" s="12">
        <f>E1497</f>
      </c>
      <c r="I1496" s="12">
        <f>F1497</f>
      </c>
      <c r="J1496" s="12">
        <f>G1497</f>
      </c>
      <c r="K1496">
        <f>IF(AND(Pu&gt;=MIN(E1496,H1496),Pu&lt;=MAX(E1496,H1496),E1496&lt;&gt;H1496),1,0)</f>
      </c>
      <c r="L1496">
        <f>IF(K1496=1,(Pu-E1496)/(H1496-E1496),"")</f>
      </c>
      <c r="M1496" s="12">
        <f>IF(K1496=1,F1496+L1496*(I1496-F1496),"")</f>
      </c>
      <c r="N1496" s="12">
        <f>IF(K1496=1,G1496+L1496*(J1496-G1496),"")</f>
      </c>
    </row>
    <row r="1497" spans="2:14" x14ac:dyDescent="0.25">
      <c r="B1497">
        <v>42</v>
      </c>
      <c r="C1497">
        <v>168.75000000000006</v>
      </c>
      <c r="D1497">
        <v>19</v>
      </c>
      <c r="E1497" s="18">
        <v>5502.583771275222</v>
      </c>
      <c r="F1497" s="18">
        <v>686.0451980968041</v>
      </c>
      <c r="G1497" s="18">
        <v>-5470.217268356406</v>
      </c>
      <c r="H1497" s="12">
        <f>E1498</f>
      </c>
      <c r="I1497" s="12">
        <f>F1498</f>
      </c>
      <c r="J1497" s="12">
        <f>G1498</f>
      </c>
      <c r="K1497">
        <f>IF(AND(Pu&gt;=MIN(E1497,H1497),Pu&lt;=MAX(E1497,H1497),E1497&lt;&gt;H1497),1,0)</f>
      </c>
      <c r="L1497">
        <f>IF(K1497=1,(Pu-E1497)/(H1497-E1497),"")</f>
      </c>
      <c r="M1497" s="12">
        <f>IF(K1497=1,F1497+L1497*(I1497-F1497),"")</f>
      </c>
      <c r="N1497" s="12">
        <f>IF(K1497=1,G1497+L1497*(J1497-G1497),"")</f>
      </c>
    </row>
    <row r="1498" spans="2:14" x14ac:dyDescent="0.25">
      <c r="B1498">
        <v>42</v>
      </c>
      <c r="C1498">
        <v>168.75000000000006</v>
      </c>
      <c r="D1498">
        <v>20</v>
      </c>
      <c r="E1498" s="18">
        <v>5306.270338386781</v>
      </c>
      <c r="F1498" s="18">
        <v>699.943267835376</v>
      </c>
      <c r="G1498" s="18">
        <v>-5556.215332623594</v>
      </c>
      <c r="H1498" s="12">
        <f>E1499</f>
      </c>
      <c r="I1498" s="12">
        <f>F1499</f>
      </c>
      <c r="J1498" s="12">
        <f>G1499</f>
      </c>
      <c r="K1498">
        <f>IF(AND(Pu&gt;=MIN(E1498,H1498),Pu&lt;=MAX(E1498,H1498),E1498&lt;&gt;H1498),1,0)</f>
      </c>
      <c r="L1498">
        <f>IF(K1498=1,(Pu-E1498)/(H1498-E1498),"")</f>
      </c>
      <c r="M1498" s="12">
        <f>IF(K1498=1,F1498+L1498*(I1498-F1498),"")</f>
      </c>
      <c r="N1498" s="12">
        <f>IF(K1498=1,G1498+L1498*(J1498-G1498),"")</f>
      </c>
    </row>
    <row r="1499" spans="2:14" x14ac:dyDescent="0.25">
      <c r="B1499">
        <v>42</v>
      </c>
      <c r="C1499">
        <v>168.75000000000006</v>
      </c>
      <c r="D1499">
        <v>21</v>
      </c>
      <c r="E1499" s="18">
        <v>5194.779190795304</v>
      </c>
      <c r="F1499" s="18">
        <v>698.3177172395767</v>
      </c>
      <c r="G1499" s="18">
        <v>-5531.174007568944</v>
      </c>
      <c r="H1499" s="12">
        <f>E1500</f>
      </c>
      <c r="I1499" s="12">
        <f>F1500</f>
      </c>
      <c r="J1499" s="12">
        <f>G1500</f>
      </c>
      <c r="K1499">
        <f>IF(AND(Pu&gt;=MIN(E1499,H1499),Pu&lt;=MAX(E1499,H1499),E1499&lt;&gt;H1499),1,0)</f>
      </c>
      <c r="L1499">
        <f>IF(K1499=1,(Pu-E1499)/(H1499-E1499),"")</f>
      </c>
      <c r="M1499" s="12">
        <f>IF(K1499=1,F1499+L1499*(I1499-F1499),"")</f>
      </c>
      <c r="N1499" s="12">
        <f>IF(K1499=1,G1499+L1499*(J1499-G1499),"")</f>
      </c>
    </row>
    <row r="1500" spans="2:14" x14ac:dyDescent="0.25">
      <c r="B1500">
        <v>42</v>
      </c>
      <c r="C1500">
        <v>168.75000000000006</v>
      </c>
      <c r="D1500">
        <v>22</v>
      </c>
      <c r="E1500" s="18">
        <v>4669.041727671873</v>
      </c>
      <c r="F1500" s="18">
        <v>685.5554072040899</v>
      </c>
      <c r="G1500" s="18">
        <v>-5406.394847846454</v>
      </c>
      <c r="H1500" s="12">
        <f>E1501</f>
      </c>
      <c r="I1500" s="12">
        <f>F1501</f>
      </c>
      <c r="J1500" s="12">
        <f>G1501</f>
      </c>
      <c r="K1500">
        <f>IF(AND(Pu&gt;=MIN(E1500,H1500),Pu&lt;=MAX(E1500,H1500),E1500&lt;&gt;H1500),1,0)</f>
      </c>
      <c r="L1500">
        <f>IF(K1500=1,(Pu-E1500)/(H1500-E1500),"")</f>
      </c>
      <c r="M1500" s="12">
        <f>IF(K1500=1,F1500+L1500*(I1500-F1500),"")</f>
      </c>
      <c r="N1500" s="12">
        <f>IF(K1500=1,G1500+L1500*(J1500-G1500),"")</f>
      </c>
    </row>
    <row r="1501" spans="2:14" x14ac:dyDescent="0.25">
      <c r="B1501">
        <v>42</v>
      </c>
      <c r="C1501">
        <v>168.75000000000006</v>
      </c>
      <c r="D1501">
        <v>23</v>
      </c>
      <c r="E1501" s="18">
        <v>3881.5972847476405</v>
      </c>
      <c r="F1501" s="18">
        <v>681.5749756695947</v>
      </c>
      <c r="G1501" s="18">
        <v>-5143.84336962395</v>
      </c>
      <c r="H1501" s="12">
        <f>E1502</f>
      </c>
      <c r="I1501" s="12">
        <f>F1502</f>
      </c>
      <c r="J1501" s="12">
        <f>G1502</f>
      </c>
      <c r="K1501">
        <f>IF(AND(Pu&gt;=MIN(E1501,H1501),Pu&lt;=MAX(E1501,H1501),E1501&lt;&gt;H1501),1,0)</f>
      </c>
      <c r="L1501">
        <f>IF(K1501=1,(Pu-E1501)/(H1501-E1501),"")</f>
      </c>
      <c r="M1501" s="12">
        <f>IF(K1501=1,F1501+L1501*(I1501-F1501),"")</f>
      </c>
      <c r="N1501" s="12">
        <f>IF(K1501=1,G1501+L1501*(J1501-G1501),"")</f>
      </c>
    </row>
    <row r="1502" spans="2:14" x14ac:dyDescent="0.25">
      <c r="B1502">
        <v>42</v>
      </c>
      <c r="C1502">
        <v>168.75000000000006</v>
      </c>
      <c r="D1502">
        <v>24</v>
      </c>
      <c r="E1502" s="18">
        <v>3162.3083706457815</v>
      </c>
      <c r="F1502" s="18">
        <v>682.9600200648456</v>
      </c>
      <c r="G1502" s="18">
        <v>-4883.525516328733</v>
      </c>
      <c r="H1502" s="12">
        <f>E1503</f>
      </c>
      <c r="I1502" s="12">
        <f>F1503</f>
      </c>
      <c r="J1502" s="12">
        <f>G1503</f>
      </c>
      <c r="K1502">
        <f>IF(AND(Pu&gt;=MIN(E1502,H1502),Pu&lt;=MAX(E1502,H1502),E1502&lt;&gt;H1502),1,0)</f>
      </c>
      <c r="L1502">
        <f>IF(K1502=1,(Pu-E1502)/(H1502-E1502),"")</f>
      </c>
      <c r="M1502" s="12">
        <f>IF(K1502=1,F1502+L1502*(I1502-F1502),"")</f>
      </c>
      <c r="N1502" s="12">
        <f>IF(K1502=1,G1502+L1502*(J1502-G1502),"")</f>
      </c>
    </row>
    <row r="1503" spans="2:14" x14ac:dyDescent="0.25">
      <c r="B1503">
        <v>42</v>
      </c>
      <c r="C1503">
        <v>168.75000000000006</v>
      </c>
      <c r="D1503">
        <v>25</v>
      </c>
      <c r="E1503" s="18">
        <v>2646.8760689332476</v>
      </c>
      <c r="F1503" s="18">
        <v>677.254101291242</v>
      </c>
      <c r="G1503" s="18">
        <v>-4652.541795589491</v>
      </c>
      <c r="H1503" s="12">
        <f>E1504</f>
      </c>
      <c r="I1503" s="12">
        <f>F1504</f>
      </c>
      <c r="J1503" s="12">
        <f>G1504</f>
      </c>
      <c r="K1503">
        <f>IF(AND(Pu&gt;=MIN(E1503,H1503),Pu&lt;=MAX(E1503,H1503),E1503&lt;&gt;H1503),1,0)</f>
      </c>
      <c r="L1503">
        <f>IF(K1503=1,(Pu-E1503)/(H1503-E1503),"")</f>
      </c>
      <c r="M1503" s="12">
        <f>IF(K1503=1,F1503+L1503*(I1503-F1503),"")</f>
      </c>
      <c r="N1503" s="12">
        <f>IF(K1503=1,G1503+L1503*(J1503-G1503),"")</f>
      </c>
    </row>
    <row r="1504" spans="2:14" x14ac:dyDescent="0.25">
      <c r="B1504">
        <v>42</v>
      </c>
      <c r="C1504">
        <v>168.75000000000006</v>
      </c>
      <c r="D1504">
        <v>26</v>
      </c>
      <c r="E1504" s="18">
        <v>1615.4573760730384</v>
      </c>
      <c r="F1504" s="18">
        <v>694.6942864750495</v>
      </c>
      <c r="G1504" s="18">
        <v>-4146.739297406915</v>
      </c>
      <c r="H1504" s="12">
        <f>E1505</f>
      </c>
      <c r="I1504" s="12">
        <f>F1505</f>
      </c>
      <c r="J1504" s="12">
        <f>G1505</f>
      </c>
      <c r="K1504">
        <f>IF(AND(Pu&gt;=MIN(E1504,H1504),Pu&lt;=MAX(E1504,H1504),E1504&lt;&gt;H1504),1,0)</f>
      </c>
      <c r="L1504">
        <f>IF(K1504=1,(Pu-E1504)/(H1504-E1504),"")</f>
      </c>
      <c r="M1504" s="12">
        <f>IF(K1504=1,F1504+L1504*(I1504-F1504),"")</f>
      </c>
      <c r="N1504" s="12">
        <f>IF(K1504=1,G1504+L1504*(J1504-G1504),"")</f>
      </c>
    </row>
    <row r="1505" spans="2:14" x14ac:dyDescent="0.25">
      <c r="B1505">
        <v>42</v>
      </c>
      <c r="C1505">
        <v>168.75000000000006</v>
      </c>
      <c r="D1505">
        <v>27</v>
      </c>
      <c r="E1505" s="18">
        <v>691.6245101146103</v>
      </c>
      <c r="F1505" s="18">
        <v>658.1931576570792</v>
      </c>
      <c r="G1505" s="18">
        <v>-3641.5725017912746</v>
      </c>
      <c r="H1505" s="12">
        <f>E1506</f>
      </c>
      <c r="I1505" s="12">
        <f>F1506</f>
      </c>
      <c r="J1505" s="12">
        <f>G1506</f>
      </c>
      <c r="K1505">
        <f>IF(AND(Pu&gt;=MIN(E1505,H1505),Pu&lt;=MAX(E1505,H1505),E1505&lt;&gt;H1505),1,0)</f>
      </c>
      <c r="L1505">
        <f>IF(K1505=1,(Pu-E1505)/(H1505-E1505),"")</f>
      </c>
      <c r="M1505" s="12">
        <f>IF(K1505=1,F1505+L1505*(I1505-F1505),"")</f>
      </c>
      <c r="N1505" s="12">
        <f>IF(K1505=1,G1505+L1505*(J1505-G1505),"")</f>
      </c>
    </row>
    <row r="1506" spans="2:14" x14ac:dyDescent="0.25">
      <c r="B1506">
        <v>42</v>
      </c>
      <c r="C1506">
        <v>168.75000000000006</v>
      </c>
      <c r="D1506">
        <v>28</v>
      </c>
      <c r="E1506" s="18">
        <v>-111.92034839184237</v>
      </c>
      <c r="F1506" s="18">
        <v>595.9434938960303</v>
      </c>
      <c r="G1506" s="18">
        <v>-3169.4259622507234</v>
      </c>
      <c r="H1506" s="12">
        <f>E1507</f>
      </c>
      <c r="I1506" s="12">
        <f>F1507</f>
      </c>
      <c r="J1506" s="12">
        <f>G1507</f>
      </c>
      <c r="K1506">
        <f>IF(AND(Pu&gt;=MIN(E1506,H1506),Pu&lt;=MAX(E1506,H1506),E1506&lt;&gt;H1506),1,0)</f>
      </c>
      <c r="L1506">
        <f>IF(K1506=1,(Pu-E1506)/(H1506-E1506),"")</f>
      </c>
      <c r="M1506" s="12">
        <f>IF(K1506=1,F1506+L1506*(I1506-F1506),"")</f>
      </c>
      <c r="N1506" s="12">
        <f>IF(K1506=1,G1506+L1506*(J1506-G1506),"")</f>
      </c>
    </row>
    <row r="1507" spans="2:14" x14ac:dyDescent="0.25">
      <c r="B1507">
        <v>42</v>
      </c>
      <c r="C1507">
        <v>168.75000000000006</v>
      </c>
      <c r="D1507">
        <v>29</v>
      </c>
      <c r="E1507" s="18">
        <v>-772.1386527664555</v>
      </c>
      <c r="F1507" s="18">
        <v>526.942160628122</v>
      </c>
      <c r="G1507" s="18">
        <v>-2772.7381976166876</v>
      </c>
      <c r="H1507" s="12">
        <f>E1508</f>
      </c>
      <c r="I1507" s="12">
        <f>F1508</f>
      </c>
      <c r="J1507" s="12">
        <f>G1508</f>
      </c>
      <c r="K1507">
        <f>IF(AND(Pu&gt;=MIN(E1507,H1507),Pu&lt;=MAX(E1507,H1507),E1507&lt;&gt;H1507),1,0)</f>
      </c>
      <c r="L1507">
        <f>IF(K1507=1,(Pu-E1507)/(H1507-E1507),"")</f>
      </c>
      <c r="M1507" s="12">
        <f>IF(K1507=1,F1507+L1507*(I1507-F1507),"")</f>
      </c>
      <c r="N1507" s="12">
        <f>IF(K1507=1,G1507+L1507*(J1507-G1507),"")</f>
      </c>
    </row>
    <row r="1508" spans="2:14" x14ac:dyDescent="0.25">
      <c r="B1508">
        <v>42</v>
      </c>
      <c r="C1508">
        <v>168.75000000000006</v>
      </c>
      <c r="D1508">
        <v>30</v>
      </c>
      <c r="E1508" s="18">
        <v>-1824.312992224594</v>
      </c>
      <c r="F1508" s="18">
        <v>419.85227059349813</v>
      </c>
      <c r="G1508" s="18">
        <v>-2115.545583351767</v>
      </c>
      <c r="H1508" s="12">
        <f>E1509</f>
      </c>
      <c r="I1508" s="12">
        <f>F1509</f>
      </c>
      <c r="J1508" s="12">
        <f>G1509</f>
      </c>
      <c r="K1508">
        <f>IF(AND(Pu&gt;=MIN(E1508,H1508),Pu&lt;=MAX(E1508,H1508),E1508&lt;&gt;H1508),1,0)</f>
      </c>
      <c r="L1508">
        <f>IF(K1508=1,(Pu-E1508)/(H1508-E1508),"")</f>
      </c>
      <c r="M1508" s="12">
        <f>IF(K1508=1,F1508+L1508*(I1508-F1508),"")</f>
      </c>
      <c r="N1508" s="12">
        <f>IF(K1508=1,G1508+L1508*(J1508-G1508),"")</f>
      </c>
    </row>
    <row r="1509" spans="2:14" x14ac:dyDescent="0.25">
      <c r="B1509">
        <v>42</v>
      </c>
      <c r="C1509">
        <v>168.75000000000006</v>
      </c>
      <c r="D1509">
        <v>31</v>
      </c>
      <c r="E1509" s="18">
        <v>-2523.341553590127</v>
      </c>
      <c r="F1509" s="18">
        <v>377.90696103430577</v>
      </c>
      <c r="G1509" s="18">
        <v>-1649.051351948454</v>
      </c>
      <c r="H1509" s="12">
        <f>E1510</f>
      </c>
      <c r="I1509" s="12">
        <f>F1510</f>
      </c>
      <c r="J1509" s="12">
        <f>G1510</f>
      </c>
      <c r="K1509">
        <f>IF(AND(Pu&gt;=MIN(E1509,H1509),Pu&lt;=MAX(E1509,H1509),E1509&lt;&gt;H1509),1,0)</f>
      </c>
      <c r="L1509">
        <f>IF(K1509=1,(Pu-E1509)/(H1509-E1509),"")</f>
      </c>
      <c r="M1509" s="12">
        <f>IF(K1509=1,F1509+L1509*(I1509-F1509),"")</f>
      </c>
      <c r="N1509" s="12">
        <f>IF(K1509=1,G1509+L1509*(J1509-G1509),"")</f>
      </c>
    </row>
    <row r="1510" spans="2:14" x14ac:dyDescent="0.25">
      <c r="B1510">
        <v>42</v>
      </c>
      <c r="C1510">
        <v>168.75000000000006</v>
      </c>
      <c r="D1510">
        <v>32</v>
      </c>
      <c r="E1510" s="18">
        <v>-3457.6890278687865</v>
      </c>
      <c r="F1510" s="18">
        <v>319.8284541569797</v>
      </c>
      <c r="G1510" s="18">
        <v>-1015.1517345451005</v>
      </c>
      <c r="H1510" s="12">
        <f>E1511</f>
      </c>
      <c r="I1510" s="12">
        <f>F1511</f>
      </c>
      <c r="J1510" s="12">
        <f>G1511</f>
      </c>
      <c r="K1510">
        <f>IF(AND(Pu&gt;=MIN(E1510,H1510),Pu&lt;=MAX(E1510,H1510),E1510&lt;&gt;H1510),1,0)</f>
      </c>
      <c r="L1510">
        <f>IF(K1510=1,(Pu-E1510)/(H1510-E1510),"")</f>
      </c>
      <c r="M1510" s="12">
        <f>IF(K1510=1,F1510+L1510*(I1510-F1510),"")</f>
      </c>
      <c r="N1510" s="12">
        <f>IF(K1510=1,G1510+L1510*(J1510-G1510),"")</f>
      </c>
    </row>
    <row r="1511" spans="2:14" x14ac:dyDescent="0.25">
      <c r="B1511">
        <v>42</v>
      </c>
      <c r="C1511">
        <v>168.75000000000006</v>
      </c>
      <c r="D1511">
        <v>33</v>
      </c>
      <c r="E1511" s="18">
        <v>-3977.8171666616163</v>
      </c>
      <c r="F1511" s="18">
        <v>250.62375413634442</v>
      </c>
      <c r="G1511" s="18">
        <v>-658.4873089789396</v>
      </c>
      <c r="H1511" s="12">
        <f>E1512</f>
      </c>
      <c r="I1511" s="12">
        <f>F1512</f>
      </c>
      <c r="J1511" s="12">
        <f>G1512</f>
      </c>
      <c r="K1511">
        <f>IF(AND(Pu&gt;=MIN(E1511,H1511),Pu&lt;=MAX(E1511,H1511),E1511&lt;&gt;H1511),1,0)</f>
      </c>
      <c r="L1511">
        <f>IF(K1511=1,(Pu-E1511)/(H1511-E1511),"")</f>
      </c>
      <c r="M1511" s="12">
        <f>IF(K1511=1,F1511+L1511*(I1511-F1511),"")</f>
      </c>
      <c r="N1511" s="12">
        <f>IF(K1511=1,G1511+L1511*(J1511-G1511),"")</f>
      </c>
    </row>
    <row r="1512" spans="2:14" x14ac:dyDescent="0.25">
      <c r="B1512">
        <v>42</v>
      </c>
      <c r="C1512">
        <v>168.75000000000006</v>
      </c>
      <c r="D1512">
        <v>34</v>
      </c>
      <c r="E1512" s="18">
        <v>-4564.551744120474</v>
      </c>
      <c r="F1512" s="18">
        <v>113.51890832181667</v>
      </c>
      <c r="G1512" s="18">
        <v>-253.00623412120837</v>
      </c>
      <c r="H1512" s="12">
        <f>E1513</f>
      </c>
      <c r="I1512" s="12">
        <f>F1513</f>
      </c>
      <c r="J1512" s="12">
        <f>G1513</f>
      </c>
      <c r="K1512">
        <f>IF(AND(Pu&gt;=MIN(E1512,H1512),Pu&lt;=MAX(E1512,H1512),E1512&lt;&gt;H1512),1,0)</f>
      </c>
      <c r="L1512">
        <f>IF(K1512=1,(Pu-E1512)/(H1512-E1512),"")</f>
      </c>
      <c r="M1512" s="12">
        <f>IF(K1512=1,F1512+L1512*(I1512-F1512),"")</f>
      </c>
      <c r="N1512" s="12">
        <f>IF(K1512=1,G1512+L1512*(J1512-G1512),"")</f>
      </c>
    </row>
    <row r="1513" spans="2:7" x14ac:dyDescent="0.25">
      <c r="B1513">
        <v>42</v>
      </c>
      <c r="C1513">
        <v>168.75000000000006</v>
      </c>
      <c r="D1513">
        <v>35</v>
      </c>
      <c r="E1513" s="18">
        <v>-4799.7160831371775</v>
      </c>
      <c r="F1513" s="18">
        <v>42.38069129818917</v>
      </c>
      <c r="G1513" s="18">
        <v>-89.55253294625643</v>
      </c>
    </row>
    <row r="1515" spans="2:14" x14ac:dyDescent="0.25">
      <c r="B1515">
        <v>43</v>
      </c>
      <c r="C1515">
        <v>172.49999999999997</v>
      </c>
      <c r="D1515">
        <v>1</v>
      </c>
      <c r="E1515" s="18">
        <v>17041.11927125074</v>
      </c>
      <c r="F1515" s="18">
        <v>298.0481382390429</v>
      </c>
      <c r="G1515" s="18">
        <v>-3000.9233066719034</v>
      </c>
      <c r="H1515" s="12">
        <f>E1516</f>
      </c>
      <c r="I1515" s="12">
        <f>F1516</f>
      </c>
      <c r="J1515" s="12">
        <f>G1516</f>
      </c>
      <c r="K1515">
        <f>IF(AND(Pu&gt;=MIN(E1515,H1515),Pu&lt;=MAX(E1515,H1515),E1515&lt;&gt;H1515),1,0)</f>
      </c>
      <c r="L1515">
        <f>IF(K1515=1,(Pu-E1515)/(H1515-E1515),"")</f>
      </c>
      <c r="M1515" s="12">
        <f>IF(K1515=1,F1515+L1515*(I1515-F1515),"")</f>
      </c>
      <c r="N1515" s="12">
        <f>IF(K1515=1,G1515+L1515*(J1515-G1515),"")</f>
      </c>
    </row>
    <row r="1516" spans="2:14" x14ac:dyDescent="0.25">
      <c r="B1516">
        <v>43</v>
      </c>
      <c r="C1516">
        <v>172.49999999999997</v>
      </c>
      <c r="D1516">
        <v>2</v>
      </c>
      <c r="E1516" s="18">
        <v>16225.136624395936</v>
      </c>
      <c r="F1516" s="18">
        <v>281.46424152246374</v>
      </c>
      <c r="G1516" s="18">
        <v>-3357.855170205657</v>
      </c>
      <c r="H1516" s="12">
        <f>E1517</f>
      </c>
      <c r="I1516" s="12">
        <f>F1517</f>
      </c>
      <c r="J1516" s="12">
        <f>G1517</f>
      </c>
      <c r="K1516">
        <f>IF(AND(Pu&gt;=MIN(E1516,H1516),Pu&lt;=MAX(E1516,H1516),E1516&lt;&gt;H1516),1,0)</f>
      </c>
      <c r="L1516">
        <f>IF(K1516=1,(Pu-E1516)/(H1516-E1516),"")</f>
      </c>
      <c r="M1516" s="12">
        <f>IF(K1516=1,F1516+L1516*(I1516-F1516),"")</f>
      </c>
      <c r="N1516" s="12">
        <f>IF(K1516=1,G1516+L1516*(J1516-G1516),"")</f>
      </c>
    </row>
    <row r="1517" spans="2:14" x14ac:dyDescent="0.25">
      <c r="B1517">
        <v>43</v>
      </c>
      <c r="C1517">
        <v>172.49999999999997</v>
      </c>
      <c r="D1517">
        <v>3</v>
      </c>
      <c r="E1517" s="18">
        <v>15485.334508502207</v>
      </c>
      <c r="F1517" s="18">
        <v>298.720739061903</v>
      </c>
      <c r="G1517" s="18">
        <v>-3632.1826974091837</v>
      </c>
      <c r="H1517" s="12">
        <f>E1518</f>
      </c>
      <c r="I1517" s="12">
        <f>F1518</f>
      </c>
      <c r="J1517" s="12">
        <f>G1518</f>
      </c>
      <c r="K1517">
        <f>IF(AND(Pu&gt;=MIN(E1517,H1517),Pu&lt;=MAX(E1517,H1517),E1517&lt;&gt;H1517),1,0)</f>
      </c>
      <c r="L1517">
        <f>IF(K1517=1,(Pu-E1517)/(H1517-E1517),"")</f>
      </c>
      <c r="M1517" s="12">
        <f>IF(K1517=1,F1517+L1517*(I1517-F1517),"")</f>
      </c>
      <c r="N1517" s="12">
        <f>IF(K1517=1,G1517+L1517*(J1517-G1517),"")</f>
      </c>
    </row>
    <row r="1518" spans="2:14" x14ac:dyDescent="0.25">
      <c r="B1518">
        <v>43</v>
      </c>
      <c r="C1518">
        <v>172.49999999999997</v>
      </c>
      <c r="D1518">
        <v>4</v>
      </c>
      <c r="E1518" s="18">
        <v>14105.258920460139</v>
      </c>
      <c r="F1518" s="18">
        <v>342.468709484437</v>
      </c>
      <c r="G1518" s="18">
        <v>-4030.4098060556676</v>
      </c>
      <c r="H1518" s="12">
        <f>E1519</f>
      </c>
      <c r="I1518" s="12">
        <f>F1519</f>
      </c>
      <c r="J1518" s="12">
        <f>G1519</f>
      </c>
      <c r="K1518">
        <f>IF(AND(Pu&gt;=MIN(E1518,H1518),Pu&lt;=MAX(E1518,H1518),E1518&lt;&gt;H1518),1,0)</f>
      </c>
      <c r="L1518">
        <f>IF(K1518=1,(Pu-E1518)/(H1518-E1518),"")</f>
      </c>
      <c r="M1518" s="12">
        <f>IF(K1518=1,F1518+L1518*(I1518-F1518),"")</f>
      </c>
      <c r="N1518" s="12">
        <f>IF(K1518=1,G1518+L1518*(J1518-G1518),"")</f>
      </c>
    </row>
    <row r="1519" spans="2:14" x14ac:dyDescent="0.25">
      <c r="B1519">
        <v>43</v>
      </c>
      <c r="C1519">
        <v>172.49999999999997</v>
      </c>
      <c r="D1519">
        <v>5</v>
      </c>
      <c r="E1519" s="18">
        <v>12016.79407073657</v>
      </c>
      <c r="F1519" s="18">
        <v>421.1871681425268</v>
      </c>
      <c r="G1519" s="18">
        <v>-4392.014358353618</v>
      </c>
      <c r="H1519" s="12">
        <f>E1520</f>
      </c>
      <c r="I1519" s="12">
        <f>F1520</f>
      </c>
      <c r="J1519" s="12">
        <f>G1520</f>
      </c>
      <c r="K1519">
        <f>IF(AND(Pu&gt;=MIN(E1519,H1519),Pu&lt;=MAX(E1519,H1519),E1519&lt;&gt;H1519),1,0)</f>
      </c>
      <c r="L1519">
        <f>IF(K1519=1,(Pu-E1519)/(H1519-E1519),"")</f>
      </c>
      <c r="M1519" s="12">
        <f>IF(K1519=1,F1519+L1519*(I1519-F1519),"")</f>
      </c>
      <c r="N1519" s="12">
        <f>IF(K1519=1,G1519+L1519*(J1519-G1519),"")</f>
      </c>
    </row>
    <row r="1520" spans="2:14" x14ac:dyDescent="0.25">
      <c r="B1520">
        <v>43</v>
      </c>
      <c r="C1520">
        <v>172.49999999999997</v>
      </c>
      <c r="D1520">
        <v>6</v>
      </c>
      <c r="E1520" s="18">
        <v>9929.719432428054</v>
      </c>
      <c r="F1520" s="18">
        <v>432.76741289860735</v>
      </c>
      <c r="G1520" s="18">
        <v>-4617.709031120589</v>
      </c>
      <c r="H1520" s="12">
        <f>E1521</f>
      </c>
      <c r="I1520" s="12">
        <f>F1521</f>
      </c>
      <c r="J1520" s="12">
        <f>G1521</f>
      </c>
      <c r="K1520">
        <f>IF(AND(Pu&gt;=MIN(E1520,H1520),Pu&lt;=MAX(E1520,H1520),E1520&lt;&gt;H1520),1,0)</f>
      </c>
      <c r="L1520">
        <f>IF(K1520=1,(Pu-E1520)/(H1520-E1520),"")</f>
      </c>
      <c r="M1520" s="12">
        <f>IF(K1520=1,F1520+L1520*(I1520-F1520),"")</f>
      </c>
      <c r="N1520" s="12">
        <f>IF(K1520=1,G1520+L1520*(J1520-G1520),"")</f>
      </c>
    </row>
    <row r="1521" spans="2:14" x14ac:dyDescent="0.25">
      <c r="B1521">
        <v>43</v>
      </c>
      <c r="C1521">
        <v>172.49999999999997</v>
      </c>
      <c r="D1521">
        <v>7</v>
      </c>
      <c r="E1521" s="18">
        <v>8848.813736068716</v>
      </c>
      <c r="F1521" s="18">
        <v>443.5658065348866</v>
      </c>
      <c r="G1521" s="18">
        <v>-4691.802793414547</v>
      </c>
      <c r="H1521" s="12">
        <f>E1522</f>
      </c>
      <c r="I1521" s="12">
        <f>F1522</f>
      </c>
      <c r="J1521" s="12">
        <f>G1522</f>
      </c>
      <c r="K1521">
        <f>IF(AND(Pu&gt;=MIN(E1521,H1521),Pu&lt;=MAX(E1521,H1521),E1521&lt;&gt;H1521),1,0)</f>
      </c>
      <c r="L1521">
        <f>IF(K1521=1,(Pu-E1521)/(H1521-E1521),"")</f>
      </c>
      <c r="M1521" s="12">
        <f>IF(K1521=1,F1521+L1521*(I1521-F1521),"")</f>
      </c>
      <c r="N1521" s="12">
        <f>IF(K1521=1,G1521+L1521*(J1521-G1521),"")</f>
      </c>
    </row>
    <row r="1522" spans="2:14" x14ac:dyDescent="0.25">
      <c r="B1522">
        <v>43</v>
      </c>
      <c r="C1522">
        <v>172.49999999999997</v>
      </c>
      <c r="D1522">
        <v>8</v>
      </c>
      <c r="E1522" s="18">
        <v>8328.041605711665</v>
      </c>
      <c r="F1522" s="18">
        <v>460.45895366587746</v>
      </c>
      <c r="G1522" s="18">
        <v>-4802.045868739323</v>
      </c>
      <c r="H1522" s="12">
        <f>E1523</f>
      </c>
      <c r="I1522" s="12">
        <f>F1523</f>
      </c>
      <c r="J1522" s="12">
        <f>G1523</f>
      </c>
      <c r="K1522">
        <f>IF(AND(Pu&gt;=MIN(E1522,H1522),Pu&lt;=MAX(E1522,H1522),E1522&lt;&gt;H1522),1,0)</f>
      </c>
      <c r="L1522">
        <f>IF(K1522=1,(Pu-E1522)/(H1522-E1522),"")</f>
      </c>
      <c r="M1522" s="12">
        <f>IF(K1522=1,F1522+L1522*(I1522-F1522),"")</f>
      </c>
      <c r="N1522" s="12">
        <f>IF(K1522=1,G1522+L1522*(J1522-G1522),"")</f>
      </c>
    </row>
    <row r="1523" spans="2:14" x14ac:dyDescent="0.25">
      <c r="B1523">
        <v>43</v>
      </c>
      <c r="C1523">
        <v>172.49999999999997</v>
      </c>
      <c r="D1523">
        <v>9</v>
      </c>
      <c r="E1523" s="18">
        <v>7902.626386426944</v>
      </c>
      <c r="F1523" s="18">
        <v>472.6198396505143</v>
      </c>
      <c r="G1523" s="18">
        <v>-4865.901597043412</v>
      </c>
      <c r="H1523" s="12">
        <f>E1524</f>
      </c>
      <c r="I1523" s="12">
        <f>F1524</f>
      </c>
      <c r="J1523" s="12">
        <f>G1524</f>
      </c>
      <c r="K1523">
        <f>IF(AND(Pu&gt;=MIN(E1523,H1523),Pu&lt;=MAX(E1523,H1523),E1523&lt;&gt;H1523),1,0)</f>
      </c>
      <c r="L1523">
        <f>IF(K1523=1,(Pu-E1523)/(H1523-E1523),"")</f>
      </c>
      <c r="M1523" s="12">
        <f>IF(K1523=1,F1523+L1523*(I1523-F1523),"")</f>
      </c>
      <c r="N1523" s="12">
        <f>IF(K1523=1,G1523+L1523*(J1523-G1523),"")</f>
      </c>
    </row>
    <row r="1524" spans="2:14" x14ac:dyDescent="0.25">
      <c r="B1524">
        <v>43</v>
      </c>
      <c r="C1524">
        <v>172.49999999999997</v>
      </c>
      <c r="D1524">
        <v>10</v>
      </c>
      <c r="E1524" s="18">
        <v>7242.8813024819765</v>
      </c>
      <c r="F1524" s="18">
        <v>490.5876912560479</v>
      </c>
      <c r="G1524" s="18">
        <v>-4949.711987010477</v>
      </c>
      <c r="H1524" s="12">
        <f>E1525</f>
      </c>
      <c r="I1524" s="12">
        <f>F1525</f>
      </c>
      <c r="J1524" s="12">
        <f>G1525</f>
      </c>
      <c r="K1524">
        <f>IF(AND(Pu&gt;=MIN(E1524,H1524),Pu&lt;=MAX(E1524,H1524),E1524&lt;&gt;H1524),1,0)</f>
      </c>
      <c r="L1524">
        <f>IF(K1524=1,(Pu-E1524)/(H1524-E1524),"")</f>
      </c>
      <c r="M1524" s="12">
        <f>IF(K1524=1,F1524+L1524*(I1524-F1524),"")</f>
      </c>
      <c r="N1524" s="12">
        <f>IF(K1524=1,G1524+L1524*(J1524-G1524),"")</f>
      </c>
    </row>
    <row r="1525" spans="2:14" x14ac:dyDescent="0.25">
      <c r="B1525">
        <v>43</v>
      </c>
      <c r="C1525">
        <v>172.49999999999997</v>
      </c>
      <c r="D1525">
        <v>11</v>
      </c>
      <c r="E1525" s="18">
        <v>7114.473264626914</v>
      </c>
      <c r="F1525" s="18">
        <v>481.66128287885675</v>
      </c>
      <c r="G1525" s="18">
        <v>-4974.105451928347</v>
      </c>
      <c r="H1525" s="12">
        <f>E1526</f>
      </c>
      <c r="I1525" s="12">
        <f>F1526</f>
      </c>
      <c r="J1525" s="12">
        <f>G1526</f>
      </c>
      <c r="K1525">
        <f>IF(AND(Pu&gt;=MIN(E1525,H1525),Pu&lt;=MAX(E1525,H1525),E1525&lt;&gt;H1525),1,0)</f>
      </c>
      <c r="L1525">
        <f>IF(K1525=1,(Pu-E1525)/(H1525-E1525),"")</f>
      </c>
      <c r="M1525" s="12">
        <f>IF(K1525=1,F1525+L1525*(I1525-F1525),"")</f>
      </c>
      <c r="N1525" s="12">
        <f>IF(K1525=1,G1525+L1525*(J1525-G1525),"")</f>
      </c>
    </row>
    <row r="1526" spans="2:14" x14ac:dyDescent="0.25">
      <c r="B1526">
        <v>43</v>
      </c>
      <c r="C1526">
        <v>172.49999999999997</v>
      </c>
      <c r="D1526">
        <v>12</v>
      </c>
      <c r="E1526" s="18">
        <v>6582.88511717608</v>
      </c>
      <c r="F1526" s="18">
        <v>463.8663772347108</v>
      </c>
      <c r="G1526" s="18">
        <v>-5088.727460058327</v>
      </c>
      <c r="H1526" s="12">
        <f>E1527</f>
      </c>
      <c r="I1526" s="12">
        <f>F1527</f>
      </c>
      <c r="J1526" s="12">
        <f>G1527</f>
      </c>
      <c r="K1526">
        <f>IF(AND(Pu&gt;=MIN(E1526,H1526),Pu&lt;=MAX(E1526,H1526),E1526&lt;&gt;H1526),1,0)</f>
      </c>
      <c r="L1526">
        <f>IF(K1526=1,(Pu-E1526)/(H1526-E1526),"")</f>
      </c>
      <c r="M1526" s="12">
        <f>IF(K1526=1,F1526+L1526*(I1526-F1526),"")</f>
      </c>
      <c r="N1526" s="12">
        <f>IF(K1526=1,G1526+L1526*(J1526-G1526),"")</f>
      </c>
    </row>
    <row r="1527" spans="2:14" x14ac:dyDescent="0.25">
      <c r="B1527">
        <v>43</v>
      </c>
      <c r="C1527">
        <v>172.49999999999997</v>
      </c>
      <c r="D1527">
        <v>13</v>
      </c>
      <c r="E1527" s="18">
        <v>6577.527633456963</v>
      </c>
      <c r="F1527" s="18">
        <v>463.500631377914</v>
      </c>
      <c r="G1527" s="18">
        <v>-5090.337804998408</v>
      </c>
      <c r="H1527" s="12">
        <f>E1528</f>
      </c>
      <c r="I1527" s="12">
        <f>F1528</f>
      </c>
      <c r="J1527" s="12">
        <f>G1528</f>
      </c>
      <c r="K1527">
        <f>IF(AND(Pu&gt;=MIN(E1527,H1527),Pu&lt;=MAX(E1527,H1527),E1527&lt;&gt;H1527),1,0)</f>
      </c>
      <c r="L1527">
        <f>IF(K1527=1,(Pu-E1527)/(H1527-E1527),"")</f>
      </c>
      <c r="M1527" s="12">
        <f>IF(K1527=1,F1527+L1527*(I1527-F1527),"")</f>
      </c>
      <c r="N1527" s="12">
        <f>IF(K1527=1,G1527+L1527*(J1527-G1527),"")</f>
      </c>
    </row>
    <row r="1528" spans="2:14" x14ac:dyDescent="0.25">
      <c r="B1528">
        <v>43</v>
      </c>
      <c r="C1528">
        <v>172.49999999999997</v>
      </c>
      <c r="D1528">
        <v>14</v>
      </c>
      <c r="E1528" s="18">
        <v>6268.072928191419</v>
      </c>
      <c r="F1528" s="18">
        <v>447.80314559701503</v>
      </c>
      <c r="G1528" s="18">
        <v>-5209.786136702757</v>
      </c>
      <c r="H1528" s="12">
        <f>E1529</f>
      </c>
      <c r="I1528" s="12">
        <f>F1529</f>
      </c>
      <c r="J1528" s="12">
        <f>G1529</f>
      </c>
      <c r="K1528">
        <f>IF(AND(Pu&gt;=MIN(E1528,H1528),Pu&lt;=MAX(E1528,H1528),E1528&lt;&gt;H1528),1,0)</f>
      </c>
      <c r="L1528">
        <f>IF(K1528=1,(Pu-E1528)/(H1528-E1528),"")</f>
      </c>
      <c r="M1528" s="12">
        <f>IF(K1528=1,F1528+L1528*(I1528-F1528),"")</f>
      </c>
      <c r="N1528" s="12">
        <f>IF(K1528=1,G1528+L1528*(J1528-G1528),"")</f>
      </c>
    </row>
    <row r="1529" spans="2:14" x14ac:dyDescent="0.25">
      <c r="B1529">
        <v>43</v>
      </c>
      <c r="C1529">
        <v>172.49999999999997</v>
      </c>
      <c r="D1529">
        <v>15</v>
      </c>
      <c r="E1529" s="18">
        <v>6174.3719316975685</v>
      </c>
      <c r="F1529" s="18">
        <v>444.16329038561224</v>
      </c>
      <c r="G1529" s="18">
        <v>-5249.017412220305</v>
      </c>
      <c r="H1529" s="12">
        <f>E1530</f>
      </c>
      <c r="I1529" s="12">
        <f>F1530</f>
      </c>
      <c r="J1529" s="12">
        <f>G1530</f>
      </c>
      <c r="K1529">
        <f>IF(AND(Pu&gt;=MIN(E1529,H1529),Pu&lt;=MAX(E1529,H1529),E1529&lt;&gt;H1529),1,0)</f>
      </c>
      <c r="L1529">
        <f>IF(K1529=1,(Pu-E1529)/(H1529-E1529),"")</f>
      </c>
      <c r="M1529" s="12">
        <f>IF(K1529=1,F1529+L1529*(I1529-F1529),"")</f>
      </c>
      <c r="N1529" s="12">
        <f>IF(K1529=1,G1529+L1529*(J1529-G1529),"")</f>
      </c>
    </row>
    <row r="1530" spans="2:14" x14ac:dyDescent="0.25">
      <c r="B1530">
        <v>43</v>
      </c>
      <c r="C1530">
        <v>172.49999999999997</v>
      </c>
      <c r="D1530">
        <v>16</v>
      </c>
      <c r="E1530" s="18">
        <v>5989.694455563271</v>
      </c>
      <c r="F1530" s="18">
        <v>441.1106264295866</v>
      </c>
      <c r="G1530" s="18">
        <v>-5327.679514455752</v>
      </c>
      <c r="H1530" s="12">
        <f>E1531</f>
      </c>
      <c r="I1530" s="12">
        <f>F1531</f>
      </c>
      <c r="J1530" s="12">
        <f>G1531</f>
      </c>
      <c r="K1530">
        <f>IF(AND(Pu&gt;=MIN(E1530,H1530),Pu&lt;=MAX(E1530,H1530),E1530&lt;&gt;H1530),1,0)</f>
      </c>
      <c r="L1530">
        <f>IF(K1530=1,(Pu-E1530)/(H1530-E1530),"")</f>
      </c>
      <c r="M1530" s="12">
        <f>IF(K1530=1,F1530+L1530*(I1530-F1530),"")</f>
      </c>
      <c r="N1530" s="12">
        <f>IF(K1530=1,G1530+L1530*(J1530-G1530),"")</f>
      </c>
    </row>
    <row r="1531" spans="2:14" x14ac:dyDescent="0.25">
      <c r="B1531">
        <v>43</v>
      </c>
      <c r="C1531">
        <v>172.49999999999997</v>
      </c>
      <c r="D1531">
        <v>17</v>
      </c>
      <c r="E1531" s="18">
        <v>5773.461675109462</v>
      </c>
      <c r="F1531" s="18">
        <v>463.32148163520407</v>
      </c>
      <c r="G1531" s="18">
        <v>-5434.208963310091</v>
      </c>
      <c r="H1531" s="12">
        <f>E1532</f>
      </c>
      <c r="I1531" s="12">
        <f>F1532</f>
      </c>
      <c r="J1531" s="12">
        <f>G1532</f>
      </c>
      <c r="K1531">
        <f>IF(AND(Pu&gt;=MIN(E1531,H1531),Pu&lt;=MAX(E1531,H1531),E1531&lt;&gt;H1531),1,0)</f>
      </c>
      <c r="L1531">
        <f>IF(K1531=1,(Pu-E1531)/(H1531-E1531),"")</f>
      </c>
      <c r="M1531" s="12">
        <f>IF(K1531=1,F1531+L1531*(I1531-F1531),"")</f>
      </c>
      <c r="N1531" s="12">
        <f>IF(K1531=1,G1531+L1531*(J1531-G1531),"")</f>
      </c>
    </row>
    <row r="1532" spans="2:14" x14ac:dyDescent="0.25">
      <c r="B1532">
        <v>43</v>
      </c>
      <c r="C1532">
        <v>172.49999999999997</v>
      </c>
      <c r="D1532">
        <v>18</v>
      </c>
      <c r="E1532" s="18">
        <v>5611.189122213627</v>
      </c>
      <c r="F1532" s="18">
        <v>464.76219715184146</v>
      </c>
      <c r="G1532" s="18">
        <v>-5515.717289334334</v>
      </c>
      <c r="H1532" s="12">
        <f>E1533</f>
      </c>
      <c r="I1532" s="12">
        <f>F1533</f>
      </c>
      <c r="J1532" s="12">
        <f>G1533</f>
      </c>
      <c r="K1532">
        <f>IF(AND(Pu&gt;=MIN(E1532,H1532),Pu&lt;=MAX(E1532,H1532),E1532&lt;&gt;H1532),1,0)</f>
      </c>
      <c r="L1532">
        <f>IF(K1532=1,(Pu-E1532)/(H1532-E1532),"")</f>
      </c>
      <c r="M1532" s="12">
        <f>IF(K1532=1,F1532+L1532*(I1532-F1532),"")</f>
      </c>
      <c r="N1532" s="12">
        <f>IF(K1532=1,G1532+L1532*(J1532-G1532),"")</f>
      </c>
    </row>
    <row r="1533" spans="2:14" x14ac:dyDescent="0.25">
      <c r="B1533">
        <v>43</v>
      </c>
      <c r="C1533">
        <v>172.49999999999997</v>
      </c>
      <c r="D1533">
        <v>19</v>
      </c>
      <c r="E1533" s="18">
        <v>5584.031078943407</v>
      </c>
      <c r="F1533" s="18">
        <v>465.29956281695036</v>
      </c>
      <c r="G1533" s="18">
        <v>-5529.630100298919</v>
      </c>
      <c r="H1533" s="12">
        <f>E1534</f>
      </c>
      <c r="I1533" s="12">
        <f>F1534</f>
      </c>
      <c r="J1533" s="12">
        <f>G1534</f>
      </c>
      <c r="K1533">
        <f>IF(AND(Pu&gt;=MIN(E1533,H1533),Pu&lt;=MAX(E1533,H1533),E1533&lt;&gt;H1533),1,0)</f>
      </c>
      <c r="L1533">
        <f>IF(K1533=1,(Pu-E1533)/(H1533-E1533),"")</f>
      </c>
      <c r="M1533" s="12">
        <f>IF(K1533=1,F1533+L1533*(I1533-F1533),"")</f>
      </c>
      <c r="N1533" s="12">
        <f>IF(K1533=1,G1533+L1533*(J1533-G1533),"")</f>
      </c>
    </row>
    <row r="1534" spans="2:14" x14ac:dyDescent="0.25">
      <c r="B1534">
        <v>43</v>
      </c>
      <c r="C1534">
        <v>172.49999999999997</v>
      </c>
      <c r="D1534">
        <v>20</v>
      </c>
      <c r="E1534" s="18">
        <v>5400.921056229421</v>
      </c>
      <c r="F1534" s="18">
        <v>470.02928329912845</v>
      </c>
      <c r="G1534" s="18">
        <v>-5623.403484269307</v>
      </c>
      <c r="H1534" s="12">
        <f>E1535</f>
      </c>
      <c r="I1534" s="12">
        <f>F1535</f>
      </c>
      <c r="J1534" s="12">
        <f>G1535</f>
      </c>
      <c r="K1534">
        <f>IF(AND(Pu&gt;=MIN(E1534,H1534),Pu&lt;=MAX(E1534,H1534),E1534&lt;&gt;H1534),1,0)</f>
      </c>
      <c r="L1534">
        <f>IF(K1534=1,(Pu-E1534)/(H1534-E1534),"")</f>
      </c>
      <c r="M1534" s="12">
        <f>IF(K1534=1,F1534+L1534*(I1534-F1534),"")</f>
      </c>
      <c r="N1534" s="12">
        <f>IF(K1534=1,G1534+L1534*(J1534-G1534),"")</f>
      </c>
    </row>
    <row r="1535" spans="2:14" x14ac:dyDescent="0.25">
      <c r="B1535">
        <v>43</v>
      </c>
      <c r="C1535">
        <v>172.49999999999997</v>
      </c>
      <c r="D1535">
        <v>21</v>
      </c>
      <c r="E1535" s="18">
        <v>5272.424247811193</v>
      </c>
      <c r="F1535" s="18">
        <v>466.5566308331975</v>
      </c>
      <c r="G1535" s="18">
        <v>-5595.851532289664</v>
      </c>
      <c r="H1535" s="12">
        <f>E1536</f>
      </c>
      <c r="I1535" s="12">
        <f>F1536</f>
      </c>
      <c r="J1535" s="12">
        <f>G1536</f>
      </c>
      <c r="K1535">
        <f>IF(AND(Pu&gt;=MIN(E1535,H1535),Pu&lt;=MAX(E1535,H1535),E1535&lt;&gt;H1535),1,0)</f>
      </c>
      <c r="L1535">
        <f>IF(K1535=1,(Pu-E1535)/(H1535-E1535),"")</f>
      </c>
      <c r="M1535" s="12">
        <f>IF(K1535=1,F1535+L1535*(I1535-F1535),"")</f>
      </c>
      <c r="N1535" s="12">
        <f>IF(K1535=1,G1535+L1535*(J1535-G1535),"")</f>
      </c>
    </row>
    <row r="1536" spans="2:14" x14ac:dyDescent="0.25">
      <c r="B1536">
        <v>43</v>
      </c>
      <c r="C1536">
        <v>172.49999999999997</v>
      </c>
      <c r="D1536">
        <v>22</v>
      </c>
      <c r="E1536" s="18">
        <v>4793.8050081595175</v>
      </c>
      <c r="F1536" s="18">
        <v>460.39547768350633</v>
      </c>
      <c r="G1536" s="18">
        <v>-5479.421168555352</v>
      </c>
      <c r="H1536" s="12">
        <f>E1537</f>
      </c>
      <c r="I1536" s="12">
        <f>F1537</f>
      </c>
      <c r="J1536" s="12">
        <f>G1537</f>
      </c>
      <c r="K1536">
        <f>IF(AND(Pu&gt;=MIN(E1536,H1536),Pu&lt;=MAX(E1536,H1536),E1536&lt;&gt;H1536),1,0)</f>
      </c>
      <c r="L1536">
        <f>IF(K1536=1,(Pu-E1536)/(H1536-E1536),"")</f>
      </c>
      <c r="M1536" s="12">
        <f>IF(K1536=1,F1536+L1536*(I1536-F1536),"")</f>
      </c>
      <c r="N1536" s="12">
        <f>IF(K1536=1,G1536+L1536*(J1536-G1536),"")</f>
      </c>
    </row>
    <row r="1537" spans="2:14" x14ac:dyDescent="0.25">
      <c r="B1537">
        <v>43</v>
      </c>
      <c r="C1537">
        <v>172.49999999999997</v>
      </c>
      <c r="D1537">
        <v>23</v>
      </c>
      <c r="E1537" s="18">
        <v>4039.790292126014</v>
      </c>
      <c r="F1537" s="18">
        <v>443.3878551381784</v>
      </c>
      <c r="G1537" s="18">
        <v>-5247.478420991542</v>
      </c>
      <c r="H1537" s="12">
        <f>E1538</f>
      </c>
      <c r="I1537" s="12">
        <f>F1538</f>
      </c>
      <c r="J1537" s="12">
        <f>G1538</f>
      </c>
      <c r="K1537">
        <f>IF(AND(Pu&gt;=MIN(E1537,H1537),Pu&lt;=MAX(E1537,H1537),E1537&lt;&gt;H1537),1,0)</f>
      </c>
      <c r="L1537">
        <f>IF(K1537=1,(Pu-E1537)/(H1537-E1537),"")</f>
      </c>
      <c r="M1537" s="12">
        <f>IF(K1537=1,F1537+L1537*(I1537-F1537),"")</f>
      </c>
      <c r="N1537" s="12">
        <f>IF(K1537=1,G1537+L1537*(J1537-G1537),"")</f>
      </c>
    </row>
    <row r="1538" spans="2:14" x14ac:dyDescent="0.25">
      <c r="B1538">
        <v>43</v>
      </c>
      <c r="C1538">
        <v>172.49999999999997</v>
      </c>
      <c r="D1538">
        <v>24</v>
      </c>
      <c r="E1538" s="18">
        <v>3396.367430385669</v>
      </c>
      <c r="F1538" s="18">
        <v>442.3114038677639</v>
      </c>
      <c r="G1538" s="18">
        <v>-5022.9654882174</v>
      </c>
      <c r="H1538" s="12">
        <f>E1539</f>
      </c>
      <c r="I1538" s="12">
        <f>F1539</f>
      </c>
      <c r="J1538" s="12">
        <f>G1539</f>
      </c>
      <c r="K1538">
        <f>IF(AND(Pu&gt;=MIN(E1538,H1538),Pu&lt;=MAX(E1538,H1538),E1538&lt;&gt;H1538),1,0)</f>
      </c>
      <c r="L1538">
        <f>IF(K1538=1,(Pu-E1538)/(H1538-E1538),"")</f>
      </c>
      <c r="M1538" s="12">
        <f>IF(K1538=1,F1538+L1538*(I1538-F1538),"")</f>
      </c>
      <c r="N1538" s="12">
        <f>IF(K1538=1,G1538+L1538*(J1538-G1538),"")</f>
      </c>
    </row>
    <row r="1539" spans="2:14" x14ac:dyDescent="0.25">
      <c r="B1539">
        <v>43</v>
      </c>
      <c r="C1539">
        <v>172.49999999999997</v>
      </c>
      <c r="D1539">
        <v>25</v>
      </c>
      <c r="E1539" s="18">
        <v>2901.4924190631004</v>
      </c>
      <c r="F1539" s="18">
        <v>464.83312314094945</v>
      </c>
      <c r="G1539" s="18">
        <v>-4817.31007545857</v>
      </c>
      <c r="H1539" s="12">
        <f>E1540</f>
      </c>
      <c r="I1539" s="12">
        <f>F1540</f>
      </c>
      <c r="J1539" s="12">
        <f>G1540</f>
      </c>
      <c r="K1539">
        <f>IF(AND(Pu&gt;=MIN(E1539,H1539),Pu&lt;=MAX(E1539,H1539),E1539&lt;&gt;H1539),1,0)</f>
      </c>
      <c r="L1539">
        <f>IF(K1539=1,(Pu-E1539)/(H1539-E1539),"")</f>
      </c>
      <c r="M1539" s="12">
        <f>IF(K1539=1,F1539+L1539*(I1539-F1539),"")</f>
      </c>
      <c r="N1539" s="12">
        <f>IF(K1539=1,G1539+L1539*(J1539-G1539),"")</f>
      </c>
    </row>
    <row r="1540" spans="2:14" x14ac:dyDescent="0.25">
      <c r="B1540">
        <v>43</v>
      </c>
      <c r="C1540">
        <v>172.49999999999997</v>
      </c>
      <c r="D1540">
        <v>26</v>
      </c>
      <c r="E1540" s="18">
        <v>2014.4826875246472</v>
      </c>
      <c r="F1540" s="18">
        <v>452.4582542450683</v>
      </c>
      <c r="G1540" s="18">
        <v>-4408.996524107064</v>
      </c>
      <c r="H1540" s="12">
        <f>E1541</f>
      </c>
      <c r="I1540" s="12">
        <f>F1541</f>
      </c>
      <c r="J1540" s="12">
        <f>G1541</f>
      </c>
      <c r="K1540">
        <f>IF(AND(Pu&gt;=MIN(E1540,H1540),Pu&lt;=MAX(E1540,H1540),E1540&lt;&gt;H1540),1,0)</f>
      </c>
      <c r="L1540">
        <f>IF(K1540=1,(Pu-E1540)/(H1540-E1540),"")</f>
      </c>
      <c r="M1540" s="12">
        <f>IF(K1540=1,F1540+L1540*(I1540-F1540),"")</f>
      </c>
      <c r="N1540" s="12">
        <f>IF(K1540=1,G1540+L1540*(J1540-G1540),"")</f>
      </c>
    </row>
    <row r="1541" spans="2:14" x14ac:dyDescent="0.25">
      <c r="B1541">
        <v>43</v>
      </c>
      <c r="C1541">
        <v>172.49999999999997</v>
      </c>
      <c r="D1541">
        <v>27</v>
      </c>
      <c r="E1541" s="18">
        <v>1143.2743463896097</v>
      </c>
      <c r="F1541" s="18">
        <v>482.7948733357447</v>
      </c>
      <c r="G1541" s="18">
        <v>-3944.2102403067847</v>
      </c>
      <c r="H1541" s="12">
        <f>E1542</f>
      </c>
      <c r="I1541" s="12">
        <f>F1542</f>
      </c>
      <c r="J1541" s="12">
        <f>G1542</f>
      </c>
      <c r="K1541">
        <f>IF(AND(Pu&gt;=MIN(E1541,H1541),Pu&lt;=MAX(E1541,H1541),E1541&lt;&gt;H1541),1,0)</f>
      </c>
      <c r="L1541">
        <f>IF(K1541=1,(Pu-E1541)/(H1541-E1541),"")</f>
      </c>
      <c r="M1541" s="12">
        <f>IF(K1541=1,F1541+L1541*(I1541-F1541),"")</f>
      </c>
      <c r="N1541" s="12">
        <f>IF(K1541=1,G1541+L1541*(J1541-G1541),"")</f>
      </c>
    </row>
    <row r="1542" spans="2:14" x14ac:dyDescent="0.25">
      <c r="B1542">
        <v>43</v>
      </c>
      <c r="C1542">
        <v>172.49999999999997</v>
      </c>
      <c r="D1542">
        <v>28</v>
      </c>
      <c r="E1542" s="18">
        <v>361.66929462870894</v>
      </c>
      <c r="F1542" s="18">
        <v>431.84963106917974</v>
      </c>
      <c r="G1542" s="18">
        <v>-3495.5962369580157</v>
      </c>
      <c r="H1542" s="12">
        <f>E1543</f>
      </c>
      <c r="I1542" s="12">
        <f>F1543</f>
      </c>
      <c r="J1542" s="12">
        <f>G1543</f>
      </c>
      <c r="K1542">
        <f>IF(AND(Pu&gt;=MIN(E1542,H1542),Pu&lt;=MAX(E1542,H1542),E1542&lt;&gt;H1542),1,0)</f>
      </c>
      <c r="L1542">
        <f>IF(K1542=1,(Pu-E1542)/(H1542-E1542),"")</f>
      </c>
      <c r="M1542" s="12">
        <f>IF(K1542=1,F1542+L1542*(I1542-F1542),"")</f>
      </c>
      <c r="N1542" s="12">
        <f>IF(K1542=1,G1542+L1542*(J1542-G1542),"")</f>
      </c>
    </row>
    <row r="1543" spans="2:14" x14ac:dyDescent="0.25">
      <c r="B1543">
        <v>43</v>
      </c>
      <c r="C1543">
        <v>172.49999999999997</v>
      </c>
      <c r="D1543">
        <v>29</v>
      </c>
      <c r="E1543" s="18">
        <v>-306.463122606314</v>
      </c>
      <c r="F1543" s="18">
        <v>373.896569926867</v>
      </c>
      <c r="G1543" s="18">
        <v>-3101.066758986856</v>
      </c>
      <c r="H1543" s="12">
        <f>E1544</f>
      </c>
      <c r="I1543" s="12">
        <f>F1544</f>
      </c>
      <c r="J1543" s="12">
        <f>G1544</f>
      </c>
      <c r="K1543">
        <f>IF(AND(Pu&gt;=MIN(E1543,H1543),Pu&lt;=MAX(E1543,H1543),E1543&lt;&gt;H1543),1,0)</f>
      </c>
      <c r="L1543">
        <f>IF(K1543=1,(Pu-E1543)/(H1543-E1543),"")</f>
      </c>
      <c r="M1543" s="12">
        <f>IF(K1543=1,F1543+L1543*(I1543-F1543),"")</f>
      </c>
      <c r="N1543" s="12">
        <f>IF(K1543=1,G1543+L1543*(J1543-G1543),"")</f>
      </c>
    </row>
    <row r="1544" spans="2:14" x14ac:dyDescent="0.25">
      <c r="B1544">
        <v>43</v>
      </c>
      <c r="C1544">
        <v>172.49999999999997</v>
      </c>
      <c r="D1544">
        <v>30</v>
      </c>
      <c r="E1544" s="18">
        <v>-1275.959303282928</v>
      </c>
      <c r="F1544" s="18">
        <v>300.22376189138186</v>
      </c>
      <c r="G1544" s="18">
        <v>-2497.7359197378687</v>
      </c>
      <c r="H1544" s="12">
        <f>E1545</f>
      </c>
      <c r="I1544" s="12">
        <f>F1545</f>
      </c>
      <c r="J1544" s="12">
        <f>G1545</f>
      </c>
      <c r="K1544">
        <f>IF(AND(Pu&gt;=MIN(E1544,H1544),Pu&lt;=MAX(E1544,H1544),E1544&lt;&gt;H1544),1,0)</f>
      </c>
      <c r="L1544">
        <f>IF(K1544=1,(Pu-E1544)/(H1544-E1544),"")</f>
      </c>
      <c r="M1544" s="12">
        <f>IF(K1544=1,F1544+L1544*(I1544-F1544),"")</f>
      </c>
      <c r="N1544" s="12">
        <f>IF(K1544=1,G1544+L1544*(J1544-G1544),"")</f>
      </c>
    </row>
    <row r="1545" spans="2:14" x14ac:dyDescent="0.25">
      <c r="B1545">
        <v>43</v>
      </c>
      <c r="C1545">
        <v>172.49999999999997</v>
      </c>
      <c r="D1545">
        <v>31</v>
      </c>
      <c r="E1545" s="18">
        <v>-1949.4005304438483</v>
      </c>
      <c r="F1545" s="18">
        <v>278.3174460309364</v>
      </c>
      <c r="G1545" s="18">
        <v>-2051.6073628233894</v>
      </c>
      <c r="H1545" s="12">
        <f>E1546</f>
      </c>
      <c r="I1545" s="12">
        <f>F1546</f>
      </c>
      <c r="J1545" s="12">
        <f>G1546</f>
      </c>
      <c r="K1545">
        <f>IF(AND(Pu&gt;=MIN(E1545,H1545),Pu&lt;=MAX(E1545,H1545),E1545&lt;&gt;H1545),1,0)</f>
      </c>
      <c r="L1545">
        <f>IF(K1545=1,(Pu-E1545)/(H1545-E1545),"")</f>
      </c>
      <c r="M1545" s="12">
        <f>IF(K1545=1,F1545+L1545*(I1545-F1545),"")</f>
      </c>
      <c r="N1545" s="12">
        <f>IF(K1545=1,G1545+L1545*(J1545-G1545),"")</f>
      </c>
    </row>
    <row r="1546" spans="2:14" x14ac:dyDescent="0.25">
      <c r="B1546">
        <v>43</v>
      </c>
      <c r="C1546">
        <v>172.49999999999997</v>
      </c>
      <c r="D1546">
        <v>32</v>
      </c>
      <c r="E1546" s="18">
        <v>-2942.143390186249</v>
      </c>
      <c r="F1546" s="18">
        <v>264.2010546318895</v>
      </c>
      <c r="G1546" s="18">
        <v>-1375.7497205393372</v>
      </c>
      <c r="H1546" s="12">
        <f>E1547</f>
      </c>
      <c r="I1546" s="12">
        <f>F1547</f>
      </c>
      <c r="J1546" s="12">
        <f>G1547</f>
      </c>
      <c r="K1546">
        <f>IF(AND(Pu&gt;=MIN(E1546,H1546),Pu&lt;=MAX(E1546,H1546),E1546&lt;&gt;H1546),1,0)</f>
      </c>
      <c r="L1546">
        <f>IF(K1546=1,(Pu-E1546)/(H1546-E1546),"")</f>
      </c>
      <c r="M1546" s="12">
        <f>IF(K1546=1,F1546+L1546*(I1546-F1546),"")</f>
      </c>
      <c r="N1546" s="12">
        <f>IF(K1546=1,G1546+L1546*(J1546-G1546),"")</f>
      </c>
    </row>
    <row r="1547" spans="2:14" x14ac:dyDescent="0.25">
      <c r="B1547">
        <v>43</v>
      </c>
      <c r="C1547">
        <v>172.49999999999997</v>
      </c>
      <c r="D1547">
        <v>33</v>
      </c>
      <c r="E1547" s="18">
        <v>-3639.912776546157</v>
      </c>
      <c r="F1547" s="18">
        <v>253.4566836349106</v>
      </c>
      <c r="G1547" s="18">
        <v>-895.4774945085369</v>
      </c>
      <c r="H1547" s="12">
        <f>E1548</f>
      </c>
      <c r="I1547" s="12">
        <f>F1548</f>
      </c>
      <c r="J1547" s="12">
        <f>G1548</f>
      </c>
      <c r="K1547">
        <f>IF(AND(Pu&gt;=MIN(E1547,H1547),Pu&lt;=MAX(E1547,H1547),E1547&lt;&gt;H1547),1,0)</f>
      </c>
      <c r="L1547">
        <f>IF(K1547=1,(Pu-E1547)/(H1547-E1547),"")</f>
      </c>
      <c r="M1547" s="12">
        <f>IF(K1547=1,F1547+L1547*(I1547-F1547),"")</f>
      </c>
      <c r="N1547" s="12">
        <f>IF(K1547=1,G1547+L1547*(J1547-G1547),"")</f>
      </c>
    </row>
    <row r="1548" spans="2:14" x14ac:dyDescent="0.25">
      <c r="B1548">
        <v>43</v>
      </c>
      <c r="C1548">
        <v>172.49999999999997</v>
      </c>
      <c r="D1548">
        <v>34</v>
      </c>
      <c r="E1548" s="18">
        <v>-4474.244277452039</v>
      </c>
      <c r="F1548" s="18">
        <v>129.8083954682467</v>
      </c>
      <c r="G1548" s="18">
        <v>-318.1415728017734</v>
      </c>
      <c r="H1548" s="12">
        <f>E1549</f>
      </c>
      <c r="I1548" s="12">
        <f>F1549</f>
      </c>
      <c r="J1548" s="12">
        <f>G1549</f>
      </c>
      <c r="K1548">
        <f>IF(AND(Pu&gt;=MIN(E1548,H1548),Pu&lt;=MAX(E1548,H1548),E1548&lt;&gt;H1548),1,0)</f>
      </c>
      <c r="L1548">
        <f>IF(K1548=1,(Pu-E1548)/(H1548-E1548),"")</f>
      </c>
      <c r="M1548" s="12">
        <f>IF(K1548=1,F1548+L1548*(I1548-F1548),"")</f>
      </c>
      <c r="N1548" s="12">
        <f>IF(K1548=1,G1548+L1548*(J1548-G1548),"")</f>
      </c>
    </row>
    <row r="1549" spans="2:7" x14ac:dyDescent="0.25">
      <c r="B1549">
        <v>43</v>
      </c>
      <c r="C1549">
        <v>172.49999999999997</v>
      </c>
      <c r="D1549">
        <v>35</v>
      </c>
      <c r="E1549" s="18">
        <v>-4762.430918586395</v>
      </c>
      <c r="F1549" s="18">
        <v>49.76403488220736</v>
      </c>
      <c r="G1549" s="18">
        <v>-117.16086337664166</v>
      </c>
    </row>
    <row r="1551" spans="2:14" x14ac:dyDescent="0.25">
      <c r="B1551">
        <v>44</v>
      </c>
      <c r="C1551">
        <v>176.24999999999997</v>
      </c>
      <c r="D1551">
        <v>1</v>
      </c>
      <c r="E1551" s="18">
        <v>17489.580345636376</v>
      </c>
      <c r="F1551" s="18">
        <v>156.72155539172786</v>
      </c>
      <c r="G1551" s="18">
        <v>-2799.512446181112</v>
      </c>
      <c r="H1551" s="12">
        <f>E1552</f>
      </c>
      <c r="I1551" s="12">
        <f>F1552</f>
      </c>
      <c r="J1551" s="12">
        <f>G1552</f>
      </c>
      <c r="K1551">
        <f>IF(AND(Pu&gt;=MIN(E1551,H1551),Pu&lt;=MAX(E1551,H1551),E1551&lt;&gt;H1551),1,0)</f>
      </c>
      <c r="L1551">
        <f>IF(K1551=1,(Pu-E1551)/(H1551-E1551),"")</f>
      </c>
      <c r="M1551" s="12">
        <f>IF(K1551=1,F1551+L1551*(I1551-F1551),"")</f>
      </c>
      <c r="N1551" s="12">
        <f>IF(K1551=1,G1551+L1551*(J1551-G1551),"")</f>
      </c>
    </row>
    <row r="1552" spans="2:14" x14ac:dyDescent="0.25">
      <c r="B1552">
        <v>44</v>
      </c>
      <c r="C1552">
        <v>176.24999999999997</v>
      </c>
      <c r="D1552">
        <v>2</v>
      </c>
      <c r="E1552" s="18">
        <v>16878.345566701537</v>
      </c>
      <c r="F1552" s="18">
        <v>142.84572011692788</v>
      </c>
      <c r="G1552" s="18">
        <v>-3099.049468698059</v>
      </c>
      <c r="H1552" s="12">
        <f>E1553</f>
      </c>
      <c r="I1552" s="12">
        <f>F1553</f>
      </c>
      <c r="J1552" s="12">
        <f>G1553</f>
      </c>
      <c r="K1552">
        <f>IF(AND(Pu&gt;=MIN(E1552,H1552),Pu&lt;=MAX(E1552,H1552),E1552&lt;&gt;H1552),1,0)</f>
      </c>
      <c r="L1552">
        <f>IF(K1552=1,(Pu-E1552)/(H1552-E1552),"")</f>
      </c>
      <c r="M1552" s="12">
        <f>IF(K1552=1,F1552+L1552*(I1552-F1552),"")</f>
      </c>
      <c r="N1552" s="12">
        <f>IF(K1552=1,G1552+L1552*(J1552-G1552),"")</f>
      </c>
    </row>
    <row r="1553" spans="2:14" x14ac:dyDescent="0.25">
      <c r="B1553">
        <v>44</v>
      </c>
      <c r="C1553">
        <v>176.24999999999997</v>
      </c>
      <c r="D1553">
        <v>3</v>
      </c>
      <c r="E1553" s="18">
        <v>16117.629243441328</v>
      </c>
      <c r="F1553" s="18">
        <v>137.6809669191064</v>
      </c>
      <c r="G1553" s="18">
        <v>-3421.724571851592</v>
      </c>
      <c r="H1553" s="12">
        <f>E1554</f>
      </c>
      <c r="I1553" s="12">
        <f>F1554</f>
      </c>
      <c r="J1553" s="12">
        <f>G1554</f>
      </c>
      <c r="K1553">
        <f>IF(AND(Pu&gt;=MIN(E1553,H1553),Pu&lt;=MAX(E1553,H1553),E1553&lt;&gt;H1553),1,0)</f>
      </c>
      <c r="L1553">
        <f>IF(K1553=1,(Pu-E1553)/(H1553-E1553),"")</f>
      </c>
      <c r="M1553" s="12">
        <f>IF(K1553=1,F1553+L1553*(I1553-F1553),"")</f>
      </c>
      <c r="N1553" s="12">
        <f>IF(K1553=1,G1553+L1553*(J1553-G1553),"")</f>
      </c>
    </row>
    <row r="1554" spans="2:14" x14ac:dyDescent="0.25">
      <c r="B1554">
        <v>44</v>
      </c>
      <c r="C1554">
        <v>176.24999999999997</v>
      </c>
      <c r="D1554">
        <v>4</v>
      </c>
      <c r="E1554" s="18">
        <v>15391.4085544829</v>
      </c>
      <c r="F1554" s="18">
        <v>151.13577089118647</v>
      </c>
      <c r="G1554" s="18">
        <v>-3684.573826082487</v>
      </c>
      <c r="H1554" s="12">
        <f>E1555</f>
      </c>
      <c r="I1554" s="12">
        <f>F1555</f>
      </c>
      <c r="J1554" s="12">
        <f>G1555</f>
      </c>
      <c r="K1554">
        <f>IF(AND(Pu&gt;=MIN(E1554,H1554),Pu&lt;=MAX(E1554,H1554),E1554&lt;&gt;H1554),1,0)</f>
      </c>
      <c r="L1554">
        <f>IF(K1554=1,(Pu-E1554)/(H1554-E1554),"")</f>
      </c>
      <c r="M1554" s="12">
        <f>IF(K1554=1,F1554+L1554*(I1554-F1554),"")</f>
      </c>
      <c r="N1554" s="12">
        <f>IF(K1554=1,G1554+L1554*(J1554-G1554),"")</f>
      </c>
    </row>
    <row r="1555" spans="2:14" x14ac:dyDescent="0.25">
      <c r="B1555">
        <v>44</v>
      </c>
      <c r="C1555">
        <v>176.24999999999997</v>
      </c>
      <c r="D1555">
        <v>5</v>
      </c>
      <c r="E1555" s="18">
        <v>14044.877329044895</v>
      </c>
      <c r="F1555" s="18">
        <v>170.30320025577979</v>
      </c>
      <c r="G1555" s="18">
        <v>-4070.0867917360497</v>
      </c>
      <c r="H1555" s="12">
        <f>E1556</f>
      </c>
      <c r="I1555" s="12">
        <f>F1556</f>
      </c>
      <c r="J1555" s="12">
        <f>G1556</f>
      </c>
      <c r="K1555">
        <f>IF(AND(Pu&gt;=MIN(E1555,H1555),Pu&lt;=MAX(E1555,H1555),E1555&lt;&gt;H1555),1,0)</f>
      </c>
      <c r="L1555">
        <f>IF(K1555=1,(Pu-E1555)/(H1555-E1555),"")</f>
      </c>
      <c r="M1555" s="12">
        <f>IF(K1555=1,F1555+L1555*(I1555-F1555),"")</f>
      </c>
      <c r="N1555" s="12">
        <f>IF(K1555=1,G1555+L1555*(J1555-G1555),"")</f>
      </c>
    </row>
    <row r="1556" spans="2:14" x14ac:dyDescent="0.25">
      <c r="B1556">
        <v>44</v>
      </c>
      <c r="C1556">
        <v>176.24999999999997</v>
      </c>
      <c r="D1556">
        <v>6</v>
      </c>
      <c r="E1556" s="18">
        <v>11938.483522307406</v>
      </c>
      <c r="F1556" s="18">
        <v>208.29046851694216</v>
      </c>
      <c r="G1556" s="18">
        <v>-4441.243970742903</v>
      </c>
      <c r="H1556" s="12">
        <f>E1557</f>
      </c>
      <c r="I1556" s="12">
        <f>F1557</f>
      </c>
      <c r="J1556" s="12">
        <f>G1557</f>
      </c>
      <c r="K1556">
        <f>IF(AND(Pu&gt;=MIN(E1556,H1556),Pu&lt;=MAX(E1556,H1556),E1556&lt;&gt;H1556),1,0)</f>
      </c>
      <c r="L1556">
        <f>IF(K1556=1,(Pu-E1556)/(H1556-E1556),"")</f>
      </c>
      <c r="M1556" s="12">
        <f>IF(K1556=1,F1556+L1556*(I1556-F1556),"")</f>
      </c>
      <c r="N1556" s="12">
        <f>IF(K1556=1,G1556+L1556*(J1556-G1556),"")</f>
      </c>
    </row>
    <row r="1557" spans="2:14" x14ac:dyDescent="0.25">
      <c r="B1557">
        <v>44</v>
      </c>
      <c r="C1557">
        <v>176.24999999999997</v>
      </c>
      <c r="D1557">
        <v>7</v>
      </c>
      <c r="E1557" s="18">
        <v>9906.70082313848</v>
      </c>
      <c r="F1557" s="18">
        <v>212.33395804541735</v>
      </c>
      <c r="G1557" s="18">
        <v>-4667.223124604636</v>
      </c>
      <c r="H1557" s="12">
        <f>E1558</f>
      </c>
      <c r="I1557" s="12">
        <f>F1558</f>
      </c>
      <c r="J1557" s="12">
        <f>G1558</f>
      </c>
      <c r="K1557">
        <f>IF(AND(Pu&gt;=MIN(E1557,H1557),Pu&lt;=MAX(E1557,H1557),E1557&lt;&gt;H1557),1,0)</f>
      </c>
      <c r="L1557">
        <f>IF(K1557=1,(Pu-E1557)/(H1557-E1557),"")</f>
      </c>
      <c r="M1557" s="12">
        <f>IF(K1557=1,F1557+L1557*(I1557-F1557),"")</f>
      </c>
      <c r="N1557" s="12">
        <f>IF(K1557=1,G1557+L1557*(J1557-G1557),"")</f>
      </c>
    </row>
    <row r="1558" spans="2:14" x14ac:dyDescent="0.25">
      <c r="B1558">
        <v>44</v>
      </c>
      <c r="C1558">
        <v>176.24999999999997</v>
      </c>
      <c r="D1558">
        <v>8</v>
      </c>
      <c r="E1558" s="18">
        <v>8916.334864531293</v>
      </c>
      <c r="F1558" s="18">
        <v>226.40137590395912</v>
      </c>
      <c r="G1558" s="18">
        <v>-4741.215745525986</v>
      </c>
      <c r="H1558" s="12">
        <f>E1559</f>
      </c>
      <c r="I1558" s="12">
        <f>F1559</f>
      </c>
      <c r="J1558" s="12">
        <f>G1559</f>
      </c>
      <c r="K1558">
        <f>IF(AND(Pu&gt;=MIN(E1558,H1558),Pu&lt;=MAX(E1558,H1558),E1558&lt;&gt;H1558),1,0)</f>
      </c>
      <c r="L1558">
        <f>IF(K1558=1,(Pu-E1558)/(H1558-E1558),"")</f>
      </c>
      <c r="M1558" s="12">
        <f>IF(K1558=1,F1558+L1558*(I1558-F1558),"")</f>
      </c>
      <c r="N1558" s="12">
        <f>IF(K1558=1,G1558+L1558*(J1558-G1558),"")</f>
      </c>
    </row>
    <row r="1559" spans="2:14" x14ac:dyDescent="0.25">
      <c r="B1559">
        <v>44</v>
      </c>
      <c r="C1559">
        <v>176.24999999999997</v>
      </c>
      <c r="D1559">
        <v>9</v>
      </c>
      <c r="E1559" s="18">
        <v>8386.970999330522</v>
      </c>
      <c r="F1559" s="18">
        <v>231.9965304873341</v>
      </c>
      <c r="G1559" s="18">
        <v>-4848.219215135551</v>
      </c>
      <c r="H1559" s="12">
        <f>E1560</f>
      </c>
      <c r="I1559" s="12">
        <f>F1560</f>
      </c>
      <c r="J1559" s="12">
        <f>G1560</f>
      </c>
      <c r="K1559">
        <f>IF(AND(Pu&gt;=MIN(E1559,H1559),Pu&lt;=MAX(E1559,H1559),E1559&lt;&gt;H1559),1,0)</f>
      </c>
      <c r="L1559">
        <f>IF(K1559=1,(Pu-E1559)/(H1559-E1559),"")</f>
      </c>
      <c r="M1559" s="12">
        <f>IF(K1559=1,F1559+L1559*(I1559-F1559),"")</f>
      </c>
      <c r="N1559" s="12">
        <f>IF(K1559=1,G1559+L1559*(J1559-G1559),"")</f>
      </c>
    </row>
    <row r="1560" spans="2:14" x14ac:dyDescent="0.25">
      <c r="B1560">
        <v>44</v>
      </c>
      <c r="C1560">
        <v>176.24999999999997</v>
      </c>
      <c r="D1560">
        <v>10</v>
      </c>
      <c r="E1560" s="18">
        <v>8019.0840288643385</v>
      </c>
      <c r="F1560" s="18">
        <v>239.31939692266198</v>
      </c>
      <c r="G1560" s="18">
        <v>-4904.121717071064</v>
      </c>
      <c r="H1560" s="12">
        <f>E1561</f>
      </c>
      <c r="I1560" s="12">
        <f>F1561</f>
      </c>
      <c r="J1560" s="12">
        <f>G1561</f>
      </c>
      <c r="K1560">
        <f>IF(AND(Pu&gt;=MIN(E1560,H1560),Pu&lt;=MAX(E1560,H1560),E1560&lt;&gt;H1560),1,0)</f>
      </c>
      <c r="L1560">
        <f>IF(K1560=1,(Pu-E1560)/(H1560-E1560),"")</f>
      </c>
      <c r="M1560" s="12">
        <f>IF(K1560=1,F1560+L1560*(I1560-F1560),"")</f>
      </c>
      <c r="N1560" s="12">
        <f>IF(K1560=1,G1560+L1560*(J1560-G1560),"")</f>
      </c>
    </row>
    <row r="1561" spans="2:14" x14ac:dyDescent="0.25">
      <c r="B1561">
        <v>44</v>
      </c>
      <c r="C1561">
        <v>176.24999999999997</v>
      </c>
      <c r="D1561">
        <v>11</v>
      </c>
      <c r="E1561" s="18">
        <v>7315.608757818488</v>
      </c>
      <c r="F1561" s="18">
        <v>251.13863425640082</v>
      </c>
      <c r="G1561" s="18">
        <v>-4992.831996362466</v>
      </c>
      <c r="H1561" s="12">
        <f>E1562</f>
      </c>
      <c r="I1561" s="12">
        <f>F1562</f>
      </c>
      <c r="J1561" s="12">
        <f>G1562</f>
      </c>
      <c r="K1561">
        <f>IF(AND(Pu&gt;=MIN(E1561,H1561),Pu&lt;=MAX(E1561,H1561),E1561&lt;&gt;H1561),1,0)</f>
      </c>
      <c r="L1561">
        <f>IF(K1561=1,(Pu-E1561)/(H1561-E1561),"")</f>
      </c>
      <c r="M1561" s="12">
        <f>IF(K1561=1,F1561+L1561*(I1561-F1561),"")</f>
      </c>
      <c r="N1561" s="12">
        <f>IF(K1561=1,G1561+L1561*(J1561-G1561),"")</f>
      </c>
    </row>
    <row r="1562" spans="2:14" x14ac:dyDescent="0.25">
      <c r="B1562">
        <v>44</v>
      </c>
      <c r="C1562">
        <v>176.24999999999997</v>
      </c>
      <c r="D1562">
        <v>12</v>
      </c>
      <c r="E1562" s="18">
        <v>7182.966982638483</v>
      </c>
      <c r="F1562" s="18">
        <v>253.303483186578</v>
      </c>
      <c r="G1562" s="18">
        <v>-5007.609924792719</v>
      </c>
      <c r="H1562" s="12">
        <f>E1563</f>
      </c>
      <c r="I1562" s="12">
        <f>F1563</f>
      </c>
      <c r="J1562" s="12">
        <f>G1563</f>
      </c>
      <c r="K1562">
        <f>IF(AND(Pu&gt;=MIN(E1562,H1562),Pu&lt;=MAX(E1562,H1562),E1562&lt;&gt;H1562),1,0)</f>
      </c>
      <c r="L1562">
        <f>IF(K1562=1,(Pu-E1562)/(H1562-E1562),"")</f>
      </c>
      <c r="M1562" s="12">
        <f>IF(K1562=1,F1562+L1562*(I1562-F1562),"")</f>
      </c>
      <c r="N1562" s="12">
        <f>IF(K1562=1,G1562+L1562*(J1562-G1562),"")</f>
      </c>
    </row>
    <row r="1563" spans="2:14" x14ac:dyDescent="0.25">
      <c r="B1563">
        <v>44</v>
      </c>
      <c r="C1563">
        <v>176.24999999999997</v>
      </c>
      <c r="D1563">
        <v>13</v>
      </c>
      <c r="E1563" s="18">
        <v>6624.810838235838</v>
      </c>
      <c r="F1563" s="18">
        <v>233.4310259415987</v>
      </c>
      <c r="G1563" s="18">
        <v>-5125.674887778431</v>
      </c>
      <c r="H1563" s="12">
        <f>E1564</f>
      </c>
      <c r="I1563" s="12">
        <f>F1564</f>
      </c>
      <c r="J1563" s="12">
        <f>G1564</f>
      </c>
      <c r="K1563">
        <f>IF(AND(Pu&gt;=MIN(E1563,H1563),Pu&lt;=MAX(E1563,H1563),E1563&lt;&gt;H1563),1,0)</f>
      </c>
      <c r="L1563">
        <f>IF(K1563=1,(Pu-E1563)/(H1563-E1563),"")</f>
      </c>
      <c r="M1563" s="12">
        <f>IF(K1563=1,F1563+L1563*(I1563-F1563),"")</f>
      </c>
      <c r="N1563" s="12">
        <f>IF(K1563=1,G1563+L1563*(J1563-G1563),"")</f>
      </c>
    </row>
    <row r="1564" spans="2:14" x14ac:dyDescent="0.25">
      <c r="B1564">
        <v>44</v>
      </c>
      <c r="C1564">
        <v>176.24999999999997</v>
      </c>
      <c r="D1564">
        <v>14</v>
      </c>
      <c r="E1564" s="18">
        <v>6603.222847806236</v>
      </c>
      <c r="F1564" s="18">
        <v>233.7043909076646</v>
      </c>
      <c r="G1564" s="18">
        <v>-5133.8986775167195</v>
      </c>
      <c r="H1564" s="12">
        <f>E1565</f>
      </c>
      <c r="I1564" s="12">
        <f>F1565</f>
      </c>
      <c r="J1564" s="12">
        <f>G1565</f>
      </c>
      <c r="K1564">
        <f>IF(AND(Pu&gt;=MIN(E1564,H1564),Pu&lt;=MAX(E1564,H1564),E1564&lt;&gt;H1564),1,0)</f>
      </c>
      <c r="L1564">
        <f>IF(K1564=1,(Pu-E1564)/(H1564-E1564),"")</f>
      </c>
      <c r="M1564" s="12">
        <f>IF(K1564=1,F1564+L1564*(I1564-F1564),"")</f>
      </c>
      <c r="N1564" s="12">
        <f>IF(K1564=1,G1564+L1564*(J1564-G1564),"")</f>
      </c>
    </row>
    <row r="1565" spans="2:14" x14ac:dyDescent="0.25">
      <c r="B1565">
        <v>44</v>
      </c>
      <c r="C1565">
        <v>176.24999999999997</v>
      </c>
      <c r="D1565">
        <v>15</v>
      </c>
      <c r="E1565" s="18">
        <v>6313.82777939694</v>
      </c>
      <c r="F1565" s="18">
        <v>219.67683962110655</v>
      </c>
      <c r="G1565" s="18">
        <v>-5251.693197892086</v>
      </c>
      <c r="H1565" s="12">
        <f>E1566</f>
      </c>
      <c r="I1565" s="12">
        <f>F1566</f>
      </c>
      <c r="J1565" s="12">
        <f>G1566</f>
      </c>
      <c r="K1565">
        <f>IF(AND(Pu&gt;=MIN(E1565,H1565),Pu&lt;=MAX(E1565,H1565),E1565&lt;&gt;H1565),1,0)</f>
      </c>
      <c r="L1565">
        <f>IF(K1565=1,(Pu-E1565)/(H1565-E1565),"")</f>
      </c>
      <c r="M1565" s="12">
        <f>IF(K1565=1,F1565+L1565*(I1565-F1565),"")</f>
      </c>
      <c r="N1565" s="12">
        <f>IF(K1565=1,G1565+L1565*(J1565-G1565),"")</f>
      </c>
    </row>
    <row r="1566" spans="2:14" x14ac:dyDescent="0.25">
      <c r="B1566">
        <v>44</v>
      </c>
      <c r="C1566">
        <v>176.24999999999997</v>
      </c>
      <c r="D1566">
        <v>16</v>
      </c>
      <c r="E1566" s="18">
        <v>6217.555399468104</v>
      </c>
      <c r="F1566" s="18">
        <v>217.66636533649077</v>
      </c>
      <c r="G1566" s="18">
        <v>-5295.262928537341</v>
      </c>
      <c r="H1566" s="12">
        <f>E1567</f>
      </c>
      <c r="I1566" s="12">
        <f>F1567</f>
      </c>
      <c r="J1566" s="12">
        <f>G1567</f>
      </c>
      <c r="K1566">
        <f>IF(AND(Pu&gt;=MIN(E1566,H1566),Pu&lt;=MAX(E1566,H1566),E1566&lt;&gt;H1566),1,0)</f>
      </c>
      <c r="L1566">
        <f>IF(K1566=1,(Pu-E1566)/(H1566-E1566),"")</f>
      </c>
      <c r="M1566" s="12">
        <f>IF(K1566=1,F1566+L1566*(I1566-F1566),"")</f>
      </c>
      <c r="N1566" s="12">
        <f>IF(K1566=1,G1566+L1566*(J1566-G1566),"")</f>
      </c>
    </row>
    <row r="1567" spans="2:14" x14ac:dyDescent="0.25">
      <c r="B1567">
        <v>44</v>
      </c>
      <c r="C1567">
        <v>176.24999999999997</v>
      </c>
      <c r="D1567">
        <v>17</v>
      </c>
      <c r="E1567" s="18">
        <v>6074.4414977979595</v>
      </c>
      <c r="F1567" s="18">
        <v>218.73550874520618</v>
      </c>
      <c r="G1567" s="18">
        <v>-5365.402604929751</v>
      </c>
      <c r="H1567" s="12">
        <f>E1568</f>
      </c>
      <c r="I1567" s="12">
        <f>F1568</f>
      </c>
      <c r="J1567" s="12">
        <f>G1568</f>
      </c>
      <c r="K1567">
        <f>IF(AND(Pu&gt;=MIN(E1567,H1567),Pu&lt;=MAX(E1567,H1567),E1567&lt;&gt;H1567),1,0)</f>
      </c>
      <c r="L1567">
        <f>IF(K1567=1,(Pu-E1567)/(H1567-E1567),"")</f>
      </c>
      <c r="M1567" s="12">
        <f>IF(K1567=1,F1567+L1567*(I1567-F1567),"")</f>
      </c>
      <c r="N1567" s="12">
        <f>IF(K1567=1,G1567+L1567*(J1567-G1567),"")</f>
      </c>
    </row>
    <row r="1568" spans="2:14" x14ac:dyDescent="0.25">
      <c r="B1568">
        <v>44</v>
      </c>
      <c r="C1568">
        <v>176.24999999999997</v>
      </c>
      <c r="D1568">
        <v>18</v>
      </c>
      <c r="E1568" s="18">
        <v>5874.567076134596</v>
      </c>
      <c r="F1568" s="18">
        <v>233.42423059499762</v>
      </c>
      <c r="G1568" s="18">
        <v>-5479.515501755565</v>
      </c>
      <c r="H1568" s="12">
        <f>E1569</f>
      </c>
      <c r="I1568" s="12">
        <f>F1569</f>
      </c>
      <c r="J1568" s="12">
        <f>G1569</f>
      </c>
      <c r="K1568">
        <f>IF(AND(Pu&gt;=MIN(E1568,H1568),Pu&lt;=MAX(E1568,H1568),E1568&lt;&gt;H1568),1,0)</f>
      </c>
      <c r="L1568">
        <f>IF(K1568=1,(Pu-E1568)/(H1568-E1568),"")</f>
      </c>
      <c r="M1568" s="12">
        <f>IF(K1568=1,F1568+L1568*(I1568-F1568),"")</f>
      </c>
      <c r="N1568" s="12">
        <f>IF(K1568=1,G1568+L1568*(J1568-G1568),"")</f>
      </c>
    </row>
    <row r="1569" spans="2:14" x14ac:dyDescent="0.25">
      <c r="B1569">
        <v>44</v>
      </c>
      <c r="C1569">
        <v>176.24999999999997</v>
      </c>
      <c r="D1569">
        <v>19</v>
      </c>
      <c r="E1569" s="18">
        <v>5700.459645686823</v>
      </c>
      <c r="F1569" s="18">
        <v>236.18191780184833</v>
      </c>
      <c r="G1569" s="18">
        <v>-5576.667251985947</v>
      </c>
      <c r="H1569" s="12">
        <f>E1570</f>
      </c>
      <c r="I1569" s="12">
        <f>F1570</f>
      </c>
      <c r="J1569" s="12">
        <f>G1570</f>
      </c>
      <c r="K1569">
        <f>IF(AND(Pu&gt;=MIN(E1569,H1569),Pu&lt;=MAX(E1569,H1569),E1569&lt;&gt;H1569),1,0)</f>
      </c>
      <c r="L1569">
        <f>IF(K1569=1,(Pu-E1569)/(H1569-E1569),"")</f>
      </c>
      <c r="M1569" s="12">
        <f>IF(K1569=1,F1569+L1569*(I1569-F1569),"")</f>
      </c>
      <c r="N1569" s="12">
        <f>IF(K1569=1,G1569+L1569*(J1569-G1569),"")</f>
      </c>
    </row>
    <row r="1570" spans="2:14" x14ac:dyDescent="0.25">
      <c r="B1570">
        <v>44</v>
      </c>
      <c r="C1570">
        <v>176.24999999999997</v>
      </c>
      <c r="D1570">
        <v>20</v>
      </c>
      <c r="E1570" s="18">
        <v>5684.756704261397</v>
      </c>
      <c r="F1570" s="18">
        <v>235.64027974727827</v>
      </c>
      <c r="G1570" s="18">
        <v>-5586.008511510725</v>
      </c>
      <c r="H1570" s="12">
        <f>E1571</f>
      </c>
      <c r="I1570" s="12">
        <f>F1571</f>
      </c>
      <c r="J1570" s="12">
        <f>G1571</f>
      </c>
      <c r="K1570">
        <f>IF(AND(Pu&gt;=MIN(E1570,H1570),Pu&lt;=MAX(E1570,H1570),E1570&lt;&gt;H1570),1,0)</f>
      </c>
      <c r="L1570">
        <f>IF(K1570=1,(Pu-E1570)/(H1570-E1570),"")</f>
      </c>
      <c r="M1570" s="12">
        <f>IF(K1570=1,F1570+L1570*(I1570-F1570),"")</f>
      </c>
      <c r="N1570" s="12">
        <f>IF(K1570=1,G1570+L1570*(J1570-G1570),"")</f>
      </c>
    </row>
    <row r="1571" spans="2:14" x14ac:dyDescent="0.25">
      <c r="B1571">
        <v>44</v>
      </c>
      <c r="C1571">
        <v>176.24999999999997</v>
      </c>
      <c r="D1571">
        <v>21</v>
      </c>
      <c r="E1571" s="18">
        <v>5511.624668275603</v>
      </c>
      <c r="F1571" s="18">
        <v>229.28415071179185</v>
      </c>
      <c r="G1571" s="18">
        <v>-5686.417094913698</v>
      </c>
      <c r="H1571" s="12">
        <f>E1572</f>
      </c>
      <c r="I1571" s="12">
        <f>F1572</f>
      </c>
      <c r="J1571" s="12">
        <f>G1572</f>
      </c>
      <c r="K1571">
        <f>IF(AND(Pu&gt;=MIN(E1571,H1571),Pu&lt;=MAX(E1571,H1571),E1571&lt;&gt;H1571),1,0)</f>
      </c>
      <c r="L1571">
        <f>IF(K1571=1,(Pu-E1571)/(H1571-E1571),"")</f>
      </c>
      <c r="M1571" s="12">
        <f>IF(K1571=1,F1571+L1571*(I1571-F1571),"")</f>
      </c>
      <c r="N1571" s="12">
        <f>IF(K1571=1,G1571+L1571*(J1571-G1571),"")</f>
      </c>
    </row>
    <row r="1572" spans="2:14" x14ac:dyDescent="0.25">
      <c r="B1572">
        <v>44</v>
      </c>
      <c r="C1572">
        <v>176.24999999999997</v>
      </c>
      <c r="D1572">
        <v>22</v>
      </c>
      <c r="E1572" s="18">
        <v>5379.462674564293</v>
      </c>
      <c r="F1572" s="18">
        <v>230.57573720679636</v>
      </c>
      <c r="G1572" s="18">
        <v>-5653.926013363931</v>
      </c>
      <c r="H1572" s="12">
        <f>E1573</f>
      </c>
      <c r="I1572" s="12">
        <f>F1573</f>
      </c>
      <c r="J1572" s="12">
        <f>G1573</f>
      </c>
      <c r="K1572">
        <f>IF(AND(Pu&gt;=MIN(E1572,H1572),Pu&lt;=MAX(E1572,H1572),E1572&lt;&gt;H1572),1,0)</f>
      </c>
      <c r="L1572">
        <f>IF(K1572=1,(Pu-E1572)/(H1572-E1572),"")</f>
      </c>
      <c r="M1572" s="12">
        <f>IF(K1572=1,F1572+L1572*(I1572-F1572),"")</f>
      </c>
      <c r="N1572" s="12">
        <f>IF(K1572=1,G1572+L1572*(J1572-G1572),"")</f>
      </c>
    </row>
    <row r="1573" spans="2:14" x14ac:dyDescent="0.25">
      <c r="B1573">
        <v>44</v>
      </c>
      <c r="C1573">
        <v>176.24999999999997</v>
      </c>
      <c r="D1573">
        <v>23</v>
      </c>
      <c r="E1573" s="18">
        <v>4912.133044962688</v>
      </c>
      <c r="F1573" s="18">
        <v>236.8693797111935</v>
      </c>
      <c r="G1573" s="18">
        <v>-5534.031717476984</v>
      </c>
      <c r="H1573" s="12">
        <f>E1574</f>
      </c>
      <c r="I1573" s="12">
        <f>F1574</f>
      </c>
      <c r="J1573" s="12">
        <f>G1574</f>
      </c>
      <c r="K1573">
        <f>IF(AND(Pu&gt;=MIN(E1573,H1573),Pu&lt;=MAX(E1573,H1573),E1573&lt;&gt;H1573),1,0)</f>
      </c>
      <c r="L1573">
        <f>IF(K1573=1,(Pu-E1573)/(H1573-E1573),"")</f>
      </c>
      <c r="M1573" s="12">
        <f>IF(K1573=1,F1573+L1573*(I1573-F1573),"")</f>
      </c>
      <c r="N1573" s="12">
        <f>IF(K1573=1,G1573+L1573*(J1573-G1573),"")</f>
      </c>
    </row>
    <row r="1574" spans="2:14" x14ac:dyDescent="0.25">
      <c r="B1574">
        <v>44</v>
      </c>
      <c r="C1574">
        <v>176.24999999999997</v>
      </c>
      <c r="D1574">
        <v>24</v>
      </c>
      <c r="E1574" s="18">
        <v>4165.0298437599295</v>
      </c>
      <c r="F1574" s="18">
        <v>215.03328956795775</v>
      </c>
      <c r="G1574" s="18">
        <v>-5322.34174005902</v>
      </c>
      <c r="H1574" s="12">
        <f>E1575</f>
      </c>
      <c r="I1574" s="12">
        <f>F1575</f>
      </c>
      <c r="J1574" s="12">
        <f>G1575</f>
      </c>
      <c r="K1574">
        <f>IF(AND(Pu&gt;=MIN(E1574,H1574),Pu&lt;=MAX(E1574,H1574),E1574&lt;&gt;H1574),1,0)</f>
      </c>
      <c r="L1574">
        <f>IF(K1574=1,(Pu-E1574)/(H1574-E1574),"")</f>
      </c>
      <c r="M1574" s="12">
        <f>IF(K1574=1,F1574+L1574*(I1574-F1574),"")</f>
      </c>
      <c r="N1574" s="12">
        <f>IF(K1574=1,G1574+L1574*(J1574-G1574),"")</f>
      </c>
    </row>
    <row r="1575" spans="2:14" x14ac:dyDescent="0.25">
      <c r="B1575">
        <v>44</v>
      </c>
      <c r="C1575">
        <v>176.24999999999997</v>
      </c>
      <c r="D1575">
        <v>25</v>
      </c>
      <c r="E1575" s="18">
        <v>3610.549677551411</v>
      </c>
      <c r="F1575" s="18">
        <v>222.7252704946789</v>
      </c>
      <c r="G1575" s="18">
        <v>-5127.978576936041</v>
      </c>
      <c r="H1575" s="12">
        <f>E1576</f>
      </c>
      <c r="I1575" s="12">
        <f>F1576</f>
      </c>
      <c r="J1575" s="12">
        <f>G1576</f>
      </c>
      <c r="K1575">
        <f>IF(AND(Pu&gt;=MIN(E1575,H1575),Pu&lt;=MAX(E1575,H1575),E1575&lt;&gt;H1575),1,0)</f>
      </c>
      <c r="L1575">
        <f>IF(K1575=1,(Pu-E1575)/(H1575-E1575),"")</f>
      </c>
      <c r="M1575" s="12">
        <f>IF(K1575=1,F1575+L1575*(I1575-F1575),"")</f>
      </c>
      <c r="N1575" s="12">
        <f>IF(K1575=1,G1575+L1575*(J1575-G1575),"")</f>
      </c>
    </row>
    <row r="1576" spans="2:14" x14ac:dyDescent="0.25">
      <c r="B1576">
        <v>44</v>
      </c>
      <c r="C1576">
        <v>176.24999999999997</v>
      </c>
      <c r="D1576">
        <v>26</v>
      </c>
      <c r="E1576" s="18">
        <v>3105.3017298352675</v>
      </c>
      <c r="F1576" s="18">
        <v>237.92281729982864</v>
      </c>
      <c r="G1576" s="18">
        <v>-4935.34024470983</v>
      </c>
      <c r="H1576" s="12">
        <f>E1577</f>
      </c>
      <c r="I1576" s="12">
        <f>F1577</f>
      </c>
      <c r="J1576" s="12">
        <f>G1577</f>
      </c>
      <c r="K1576">
        <f>IF(AND(Pu&gt;=MIN(E1576,H1576),Pu&lt;=MAX(E1576,H1576),E1576&lt;&gt;H1576),1,0)</f>
      </c>
      <c r="L1576">
        <f>IF(K1576=1,(Pu-E1576)/(H1576-E1576),"")</f>
      </c>
      <c r="M1576" s="12">
        <f>IF(K1576=1,F1576+L1576*(I1576-F1576),"")</f>
      </c>
      <c r="N1576" s="12">
        <f>IF(K1576=1,G1576+L1576*(J1576-G1576),"")</f>
      </c>
    </row>
    <row r="1577" spans="2:14" x14ac:dyDescent="0.25">
      <c r="B1577">
        <v>44</v>
      </c>
      <c r="C1577">
        <v>176.24999999999997</v>
      </c>
      <c r="D1577">
        <v>27</v>
      </c>
      <c r="E1577" s="18">
        <v>2330.682652190502</v>
      </c>
      <c r="F1577" s="18">
        <v>220.25100451799807</v>
      </c>
      <c r="G1577" s="18">
        <v>-4596.729040115486</v>
      </c>
      <c r="H1577" s="12">
        <f>E1578</f>
      </c>
      <c r="I1577" s="12">
        <f>F1578</f>
      </c>
      <c r="J1577" s="12">
        <f>G1578</f>
      </c>
      <c r="K1577">
        <f>IF(AND(Pu&gt;=MIN(E1577,H1577),Pu&lt;=MAX(E1577,H1577),E1577&lt;&gt;H1577),1,0)</f>
      </c>
      <c r="L1577">
        <f>IF(K1577=1,(Pu-E1577)/(H1577-E1577),"")</f>
      </c>
      <c r="M1577" s="12">
        <f>IF(K1577=1,F1577+L1577*(I1577-F1577),"")</f>
      </c>
      <c r="N1577" s="12">
        <f>IF(K1577=1,G1577+L1577*(J1577-G1577),"")</f>
      </c>
    </row>
    <row r="1578" spans="2:14" x14ac:dyDescent="0.25">
      <c r="B1578">
        <v>44</v>
      </c>
      <c r="C1578">
        <v>176.24999999999997</v>
      </c>
      <c r="D1578">
        <v>28</v>
      </c>
      <c r="E1578" s="18">
        <v>1663.6078708069792</v>
      </c>
      <c r="F1578" s="18">
        <v>244.63450973770168</v>
      </c>
      <c r="G1578" s="18">
        <v>-4259.374731074121</v>
      </c>
      <c r="H1578" s="12">
        <f>E1579</f>
      </c>
      <c r="I1578" s="12">
        <f>F1579</f>
      </c>
      <c r="J1578" s="12">
        <f>G1579</f>
      </c>
      <c r="K1578">
        <f>IF(AND(Pu&gt;=MIN(E1578,H1578),Pu&lt;=MAX(E1578,H1578),E1578&lt;&gt;H1578),1,0)</f>
      </c>
      <c r="L1578">
        <f>IF(K1578=1,(Pu-E1578)/(H1578-E1578),"")</f>
      </c>
      <c r="M1578" s="12">
        <f>IF(K1578=1,F1578+L1578*(I1578-F1578),"")</f>
      </c>
      <c r="N1578" s="12">
        <f>IF(K1578=1,G1578+L1578*(J1578-G1578),"")</f>
      </c>
    </row>
    <row r="1579" spans="2:14" x14ac:dyDescent="0.25">
      <c r="B1579">
        <v>44</v>
      </c>
      <c r="C1579">
        <v>176.24999999999997</v>
      </c>
      <c r="D1579">
        <v>29</v>
      </c>
      <c r="E1579" s="18">
        <v>873.6803506119796</v>
      </c>
      <c r="F1579" s="18">
        <v>240.89033518120564</v>
      </c>
      <c r="G1579" s="18">
        <v>-3831.1550203229635</v>
      </c>
      <c r="H1579" s="12">
        <f>E1580</f>
      </c>
      <c r="I1579" s="12">
        <f>F1580</f>
      </c>
      <c r="J1579" s="12">
        <f>G1580</f>
      </c>
      <c r="K1579">
        <f>IF(AND(Pu&gt;=MIN(E1579,H1579),Pu&lt;=MAX(E1579,H1579),E1579&lt;&gt;H1579),1,0)</f>
      </c>
      <c r="L1579">
        <f>IF(K1579=1,(Pu-E1579)/(H1579-E1579),"")</f>
      </c>
      <c r="M1579" s="12">
        <f>IF(K1579=1,F1579+L1579*(I1579-F1579),"")</f>
      </c>
      <c r="N1579" s="12">
        <f>IF(K1579=1,G1579+L1579*(J1579-G1579),"")</f>
      </c>
    </row>
    <row r="1580" spans="2:14" x14ac:dyDescent="0.25">
      <c r="B1580">
        <v>44</v>
      </c>
      <c r="C1580">
        <v>176.24999999999997</v>
      </c>
      <c r="D1580">
        <v>30</v>
      </c>
      <c r="E1580" s="18">
        <v>229.61747664307524</v>
      </c>
      <c r="F1580" s="18">
        <v>192.03503054490537</v>
      </c>
      <c r="G1580" s="18">
        <v>-3461.90220149886</v>
      </c>
      <c r="H1580" s="12">
        <f>E1581</f>
      </c>
      <c r="I1580" s="12">
        <f>F1581</f>
      </c>
      <c r="J1580" s="12">
        <f>G1581</f>
      </c>
      <c r="K1580">
        <f>IF(AND(Pu&gt;=MIN(E1580,H1580),Pu&lt;=MAX(E1580,H1580),E1580&lt;&gt;H1580),1,0)</f>
      </c>
      <c r="L1580">
        <f>IF(K1580=1,(Pu-E1580)/(H1580-E1580),"")</f>
      </c>
      <c r="M1580" s="12">
        <f>IF(K1580=1,F1580+L1580*(I1580-F1580),"")</f>
      </c>
      <c r="N1580" s="12">
        <f>IF(K1580=1,G1580+L1580*(J1580-G1580),"")</f>
      </c>
    </row>
    <row r="1581" spans="2:14" x14ac:dyDescent="0.25">
      <c r="B1581">
        <v>44</v>
      </c>
      <c r="C1581">
        <v>176.24999999999997</v>
      </c>
      <c r="D1581">
        <v>31</v>
      </c>
      <c r="E1581" s="18">
        <v>-665.8203735066063</v>
      </c>
      <c r="F1581" s="18">
        <v>165.91414458648396</v>
      </c>
      <c r="G1581" s="18">
        <v>-2907.828542772913</v>
      </c>
      <c r="H1581" s="12">
        <f>E1582</f>
      </c>
      <c r="I1581" s="12">
        <f>F1582</f>
      </c>
      <c r="J1581" s="12">
        <f>G1582</f>
      </c>
      <c r="K1581">
        <f>IF(AND(Pu&gt;=MIN(E1581,H1581),Pu&lt;=MAX(E1581,H1581),E1581&lt;&gt;H1581),1,0)</f>
      </c>
      <c r="L1581">
        <f>IF(K1581=1,(Pu-E1581)/(H1581-E1581),"")</f>
      </c>
      <c r="M1581" s="12">
        <f>IF(K1581=1,F1581+L1581*(I1581-F1581),"")</f>
      </c>
      <c r="N1581" s="12">
        <f>IF(K1581=1,G1581+L1581*(J1581-G1581),"")</f>
      </c>
    </row>
    <row r="1582" spans="2:14" x14ac:dyDescent="0.25">
      <c r="B1582">
        <v>44</v>
      </c>
      <c r="C1582">
        <v>176.24999999999997</v>
      </c>
      <c r="D1582">
        <v>32</v>
      </c>
      <c r="E1582" s="18">
        <v>-1315.9689572409359</v>
      </c>
      <c r="F1582" s="18">
        <v>155.61902621972538</v>
      </c>
      <c r="G1582" s="18">
        <v>-2484.9541531577934</v>
      </c>
      <c r="H1582" s="12">
        <f>E1583</f>
      </c>
      <c r="I1582" s="12">
        <f>F1583</f>
      </c>
      <c r="J1582" s="12">
        <f>G1583</f>
      </c>
      <c r="K1582">
        <f>IF(AND(Pu&gt;=MIN(E1582,H1582),Pu&lt;=MAX(E1582,H1582),E1582&lt;&gt;H1582),1,0)</f>
      </c>
      <c r="L1582">
        <f>IF(K1582=1,(Pu-E1582)/(H1582-E1582),"")</f>
      </c>
      <c r="M1582" s="12">
        <f>IF(K1582=1,F1582+L1582*(I1582-F1582),"")</f>
      </c>
      <c r="N1582" s="12">
        <f>IF(K1582=1,G1582+L1582*(J1582-G1582),"")</f>
      </c>
    </row>
    <row r="1583" spans="2:14" x14ac:dyDescent="0.25">
      <c r="B1583">
        <v>44</v>
      </c>
      <c r="C1583">
        <v>176.24999999999997</v>
      </c>
      <c r="D1583">
        <v>33</v>
      </c>
      <c r="E1583" s="18">
        <v>-2217.330788609227</v>
      </c>
      <c r="F1583" s="18">
        <v>141.20961085791453</v>
      </c>
      <c r="G1583" s="18">
        <v>-1880.90896110513</v>
      </c>
      <c r="H1583" s="12">
        <f>E1584</f>
      </c>
      <c r="I1583" s="12">
        <f>F1584</f>
      </c>
      <c r="J1583" s="12">
        <f>G1584</f>
      </c>
      <c r="K1583">
        <f>IF(AND(Pu&gt;=MIN(E1583,H1583),Pu&lt;=MAX(E1583,H1583),E1583&lt;&gt;H1583),1,0)</f>
      </c>
      <c r="L1583">
        <f>IF(K1583=1,(Pu-E1583)/(H1583-E1583),"")</f>
      </c>
      <c r="M1583" s="12">
        <f>IF(K1583=1,F1583+L1583*(I1583-F1583),"")</f>
      </c>
      <c r="N1583" s="12">
        <f>IF(K1583=1,G1583+L1583*(J1583-G1583),"")</f>
      </c>
    </row>
    <row r="1584" spans="2:14" x14ac:dyDescent="0.25">
      <c r="B1584">
        <v>44</v>
      </c>
      <c r="C1584">
        <v>176.24999999999997</v>
      </c>
      <c r="D1584">
        <v>34</v>
      </c>
      <c r="E1584" s="18">
        <v>-2894.1542720978055</v>
      </c>
      <c r="F1584" s="18">
        <v>143.74803556509212</v>
      </c>
      <c r="G1584" s="18">
        <v>-1417.6828610513971</v>
      </c>
      <c r="H1584" s="12">
        <f>E1585</f>
      </c>
      <c r="I1584" s="12">
        <f>F1585</f>
      </c>
      <c r="J1584" s="12">
        <f>G1585</f>
      </c>
      <c r="K1584">
        <f>IF(AND(Pu&gt;=MIN(E1584,H1584),Pu&lt;=MAX(E1584,H1584),E1584&lt;&gt;H1584),1,0)</f>
      </c>
      <c r="L1584">
        <f>IF(K1584=1,(Pu-E1584)/(H1584-E1584),"")</f>
      </c>
      <c r="M1584" s="12">
        <f>IF(K1584=1,F1584+L1584*(I1584-F1584),"")</f>
      </c>
      <c r="N1584" s="12">
        <f>IF(K1584=1,G1584+L1584*(J1584-G1584),"")</f>
      </c>
    </row>
    <row r="1585" spans="2:14" x14ac:dyDescent="0.25">
      <c r="B1585">
        <v>44</v>
      </c>
      <c r="C1585">
        <v>176.24999999999997</v>
      </c>
      <c r="D1585">
        <v>35</v>
      </c>
      <c r="E1585" s="18">
        <v>-4118.232507514975</v>
      </c>
      <c r="F1585" s="18">
        <v>141.97292868439413</v>
      </c>
      <c r="G1585" s="18">
        <v>-571.4427180016179</v>
      </c>
      <c r="H1585" s="12">
        <f>E1586</f>
      </c>
      <c r="I1585" s="12">
        <f>F1586</f>
      </c>
      <c r="J1585" s="12">
        <f>G1586</f>
      </c>
      <c r="K1585">
        <f>IF(AND(Pu&gt;=MIN(E1585,H1585),Pu&lt;=MAX(E1585,H1585),E1585&lt;&gt;H1585),1,0)</f>
      </c>
      <c r="L1585">
        <f>IF(K1585=1,(Pu-E1585)/(H1585-E1585),"")</f>
      </c>
      <c r="M1585" s="12">
        <f>IF(K1585=1,F1585+L1585*(I1585-F1585),"")</f>
      </c>
      <c r="N1585" s="12">
        <f>IF(K1585=1,G1585+L1585*(J1585-G1585),"")</f>
      </c>
    </row>
    <row r="1586" spans="2:7" x14ac:dyDescent="0.25">
      <c r="B1586">
        <v>44</v>
      </c>
      <c r="C1586">
        <v>176.24999999999997</v>
      </c>
      <c r="D1586">
        <v>36</v>
      </c>
      <c r="E1586" s="18">
        <v>-4615.2962228393235</v>
      </c>
      <c r="F1586" s="18">
        <v>67.60447026018238</v>
      </c>
      <c r="G1586" s="18">
        <v>-224.11114236534738</v>
      </c>
    </row>
    <row r="1588" spans="2:14" x14ac:dyDescent="0.25">
      <c r="B1588">
        <v>45</v>
      </c>
      <c r="C1588">
        <v>178.12499999999994</v>
      </c>
      <c r="D1588">
        <v>1</v>
      </c>
      <c r="E1588" s="18">
        <v>17391.47632749269</v>
      </c>
      <c r="F1588" s="18">
        <v>78.10757448925288</v>
      </c>
      <c r="G1588" s="18">
        <v>-2854.677485971236</v>
      </c>
      <c r="H1588" s="12">
        <f>E1589</f>
      </c>
      <c r="I1588" s="12">
        <f>F1589</f>
      </c>
      <c r="J1588" s="12">
        <f>G1589</f>
      </c>
      <c r="K1588">
        <f>IF(AND(Pu&gt;=MIN(E1588,H1588),Pu&lt;=MAX(E1588,H1588),E1588&lt;&gt;H1588),1,0)</f>
      </c>
      <c r="L1588">
        <f>IF(K1588=1,(Pu-E1588)/(H1588-E1588),"")</f>
      </c>
      <c r="M1588" s="12">
        <f>IF(K1588=1,F1588+L1588*(I1588-F1588),"")</f>
      </c>
      <c r="N1588" s="12">
        <f>IF(K1588=1,G1588+L1588*(J1588-G1588),"")</f>
      </c>
    </row>
    <row r="1589" spans="2:14" x14ac:dyDescent="0.25">
      <c r="B1589">
        <v>45</v>
      </c>
      <c r="C1589">
        <v>178.12499999999994</v>
      </c>
      <c r="D1589">
        <v>2</v>
      </c>
      <c r="E1589" s="18">
        <v>16800.998190039496</v>
      </c>
      <c r="F1589" s="18">
        <v>70.32289134426935</v>
      </c>
      <c r="G1589" s="18">
        <v>-3139.3576255766943</v>
      </c>
      <c r="H1589" s="12">
        <f>E1590</f>
      </c>
      <c r="I1589" s="12">
        <f>F1590</f>
      </c>
      <c r="J1589" s="12">
        <f>G1590</f>
      </c>
      <c r="K1589">
        <f>IF(AND(Pu&gt;=MIN(E1589,H1589),Pu&lt;=MAX(E1589,H1589),E1589&lt;&gt;H1589),1,0)</f>
      </c>
      <c r="L1589">
        <f>IF(K1589=1,(Pu-E1589)/(H1589-E1589),"")</f>
      </c>
      <c r="M1589" s="12">
        <f>IF(K1589=1,F1589+L1589*(I1589-F1589),"")</f>
      </c>
      <c r="N1589" s="12">
        <f>IF(K1589=1,G1589+L1589*(J1589-G1589),"")</f>
      </c>
    </row>
    <row r="1590" spans="2:14" x14ac:dyDescent="0.25">
      <c r="B1590">
        <v>45</v>
      </c>
      <c r="C1590">
        <v>178.12499999999994</v>
      </c>
      <c r="D1590">
        <v>3</v>
      </c>
      <c r="E1590" s="18">
        <v>16077.057559257484</v>
      </c>
      <c r="F1590" s="18">
        <v>72.550510616939</v>
      </c>
      <c r="G1590" s="18">
        <v>-3445.450650297477</v>
      </c>
      <c r="H1590" s="12">
        <f>E1591</f>
      </c>
      <c r="I1590" s="12">
        <f>F1591</f>
      </c>
      <c r="J1590" s="12">
        <f>G1591</f>
      </c>
      <c r="K1590">
        <f>IF(AND(Pu&gt;=MIN(E1590,H1590),Pu&lt;=MAX(E1590,H1590),E1590&lt;&gt;H1590),1,0)</f>
      </c>
      <c r="L1590">
        <f>IF(K1590=1,(Pu-E1590)/(H1590-E1590),"")</f>
      </c>
      <c r="M1590" s="12">
        <f>IF(K1590=1,F1590+L1590*(I1590-F1590),"")</f>
      </c>
      <c r="N1590" s="12">
        <f>IF(K1590=1,G1590+L1590*(J1590-G1590),"")</f>
      </c>
    </row>
    <row r="1591" spans="2:14" x14ac:dyDescent="0.25">
      <c r="B1591">
        <v>45</v>
      </c>
      <c r="C1591">
        <v>178.12499999999994</v>
      </c>
      <c r="D1591">
        <v>4</v>
      </c>
      <c r="E1591" s="18">
        <v>15342.031418567401</v>
      </c>
      <c r="F1591" s="18">
        <v>75.83947642959058</v>
      </c>
      <c r="G1591" s="18">
        <v>-3707.6916840662466</v>
      </c>
      <c r="H1591" s="12">
        <f>E1592</f>
      </c>
      <c r="I1591" s="12">
        <f>F1592</f>
      </c>
      <c r="J1591" s="12">
        <f>G1592</f>
      </c>
      <c r="K1591">
        <f>IF(AND(Pu&gt;=MIN(E1591,H1591),Pu&lt;=MAX(E1591,H1591),E1591&lt;&gt;H1591),1,0)</f>
      </c>
      <c r="L1591">
        <f>IF(K1591=1,(Pu-E1591)/(H1591-E1591),"")</f>
      </c>
      <c r="M1591" s="12">
        <f>IF(K1591=1,F1591+L1591*(I1591-F1591),"")</f>
      </c>
      <c r="N1591" s="12">
        <f>IF(K1591=1,G1591+L1591*(J1591-G1591),"")</f>
      </c>
    </row>
    <row r="1592" spans="2:14" x14ac:dyDescent="0.25">
      <c r="B1592">
        <v>45</v>
      </c>
      <c r="C1592">
        <v>178.12499999999994</v>
      </c>
      <c r="D1592">
        <v>5</v>
      </c>
      <c r="E1592" s="18">
        <v>14019.230632081051</v>
      </c>
      <c r="F1592" s="18">
        <v>89.41466289912678</v>
      </c>
      <c r="G1592" s="18">
        <v>-4085.97978210326</v>
      </c>
      <c r="H1592" s="12">
        <f>E1593</f>
      </c>
      <c r="I1592" s="12">
        <f>F1593</f>
      </c>
      <c r="J1592" s="12">
        <f>G1593</f>
      </c>
      <c r="K1592">
        <f>IF(AND(Pu&gt;=MIN(E1592,H1592),Pu&lt;=MAX(E1592,H1592),E1592&lt;&gt;H1592),1,0)</f>
      </c>
      <c r="L1592">
        <f>IF(K1592=1,(Pu-E1592)/(H1592-E1592),"")</f>
      </c>
      <c r="M1592" s="12">
        <f>IF(K1592=1,F1592+L1592*(I1592-F1592),"")</f>
      </c>
      <c r="N1592" s="12">
        <f>IF(K1592=1,G1592+L1592*(J1592-G1592),"")</f>
      </c>
    </row>
    <row r="1593" spans="2:14" x14ac:dyDescent="0.25">
      <c r="B1593">
        <v>45</v>
      </c>
      <c r="C1593">
        <v>178.12499999999994</v>
      </c>
      <c r="D1593">
        <v>6</v>
      </c>
      <c r="E1593" s="18">
        <v>11892.814235497679</v>
      </c>
      <c r="F1593" s="18">
        <v>104.47898246626589</v>
      </c>
      <c r="G1593" s="18">
        <v>-4460.051252550411</v>
      </c>
      <c r="H1593" s="12">
        <f>E1594</f>
      </c>
      <c r="I1593" s="12">
        <f>F1594</f>
      </c>
      <c r="J1593" s="12">
        <f>G1594</f>
      </c>
      <c r="K1593">
        <f>IF(AND(Pu&gt;=MIN(E1593,H1593),Pu&lt;=MAX(E1593,H1593),E1593&lt;&gt;H1593),1,0)</f>
      </c>
      <c r="L1593">
        <f>IF(K1593=1,(Pu-E1593)/(H1593-E1593),"")</f>
      </c>
      <c r="M1593" s="12">
        <f>IF(K1593=1,F1593+L1593*(I1593-F1593),"")</f>
      </c>
      <c r="N1593" s="12">
        <f>IF(K1593=1,G1593+L1593*(J1593-G1593),"")</f>
      </c>
    </row>
    <row r="1594" spans="2:14" x14ac:dyDescent="0.25">
      <c r="B1594">
        <v>45</v>
      </c>
      <c r="C1594">
        <v>178.12499999999994</v>
      </c>
      <c r="D1594">
        <v>7</v>
      </c>
      <c r="E1594" s="18">
        <v>9894.634399280174</v>
      </c>
      <c r="F1594" s="18">
        <v>101.33115909349475</v>
      </c>
      <c r="G1594" s="18">
        <v>-4688.795447420103</v>
      </c>
      <c r="H1594" s="12">
        <f>E1595</f>
      </c>
      <c r="I1594" s="12">
        <f>F1595</f>
      </c>
      <c r="J1594" s="12">
        <f>G1595</f>
      </c>
      <c r="K1594">
        <f>IF(AND(Pu&gt;=MIN(E1594,H1594),Pu&lt;=MAX(E1594,H1594),E1594&lt;&gt;H1594),1,0)</f>
      </c>
      <c r="L1594">
        <f>IF(K1594=1,(Pu-E1594)/(H1594-E1594),"")</f>
      </c>
      <c r="M1594" s="12">
        <f>IF(K1594=1,F1594+L1594*(I1594-F1594),"")</f>
      </c>
      <c r="N1594" s="12">
        <f>IF(K1594=1,G1594+L1594*(J1594-G1594),"")</f>
      </c>
    </row>
    <row r="1595" spans="2:14" x14ac:dyDescent="0.25">
      <c r="B1595">
        <v>45</v>
      </c>
      <c r="C1595">
        <v>178.12499999999994</v>
      </c>
      <c r="D1595">
        <v>8</v>
      </c>
      <c r="E1595" s="18">
        <v>8942.912871942443</v>
      </c>
      <c r="F1595" s="18">
        <v>113.55533208531182</v>
      </c>
      <c r="G1595" s="18">
        <v>-4762.511810738264</v>
      </c>
      <c r="H1595" s="12">
        <f>E1596</f>
      </c>
      <c r="I1595" s="12">
        <f>F1596</f>
      </c>
      <c r="J1595" s="12">
        <f>G1596</f>
      </c>
      <c r="K1595">
        <f>IF(AND(Pu&gt;=MIN(E1595,H1595),Pu&lt;=MAX(E1595,H1595),E1595&lt;&gt;H1595),1,0)</f>
      </c>
      <c r="L1595">
        <f>IF(K1595=1,(Pu-E1595)/(H1595-E1595),"")</f>
      </c>
      <c r="M1595" s="12">
        <f>IF(K1595=1,F1595+L1595*(I1595-F1595),"")</f>
      </c>
      <c r="N1595" s="12">
        <f>IF(K1595=1,G1595+L1595*(J1595-G1595),"")</f>
      </c>
    </row>
    <row r="1596" spans="2:14" x14ac:dyDescent="0.25">
      <c r="B1596">
        <v>45</v>
      </c>
      <c r="C1596">
        <v>178.12499999999994</v>
      </c>
      <c r="D1596">
        <v>9</v>
      </c>
      <c r="E1596" s="18">
        <v>8419.846826728332</v>
      </c>
      <c r="F1596" s="18">
        <v>117.27876652400737</v>
      </c>
      <c r="G1596" s="18">
        <v>-4864.010584805821</v>
      </c>
      <c r="H1596" s="12">
        <f>E1597</f>
      </c>
      <c r="I1596" s="12">
        <f>F1597</f>
      </c>
      <c r="J1596" s="12">
        <f>G1597</f>
      </c>
      <c r="K1596">
        <f>IF(AND(Pu&gt;=MIN(E1596,H1596),Pu&lt;=MAX(E1596,H1596),E1596&lt;&gt;H1596),1,0)</f>
      </c>
      <c r="L1596">
        <f>IF(K1596=1,(Pu-E1596)/(H1596-E1596),"")</f>
      </c>
      <c r="M1596" s="12">
        <f>IF(K1596=1,F1596+L1596*(I1596-F1596),"")</f>
      </c>
      <c r="N1596" s="12">
        <f>IF(K1596=1,G1596+L1596*(J1596-G1596),"")</f>
      </c>
    </row>
    <row r="1597" spans="2:14" x14ac:dyDescent="0.25">
      <c r="B1597">
        <v>45</v>
      </c>
      <c r="C1597">
        <v>178.12499999999994</v>
      </c>
      <c r="D1597">
        <v>10</v>
      </c>
      <c r="E1597" s="18">
        <v>8073.903676985097</v>
      </c>
      <c r="F1597" s="18">
        <v>120.13826141890519</v>
      </c>
      <c r="G1597" s="18">
        <v>-4917.851961705694</v>
      </c>
      <c r="H1597" s="12">
        <f>E1598</f>
      </c>
      <c r="I1597" s="12">
        <f>F1598</f>
      </c>
      <c r="J1597" s="12">
        <f>G1598</f>
      </c>
      <c r="K1597">
        <f>IF(AND(Pu&gt;=MIN(E1597,H1597),Pu&lt;=MAX(E1597,H1597),E1597&lt;&gt;H1597),1,0)</f>
      </c>
      <c r="L1597">
        <f>IF(K1597=1,(Pu-E1597)/(H1597-E1597),"")</f>
      </c>
      <c r="M1597" s="12">
        <f>IF(K1597=1,F1597+L1597*(I1597-F1597),"")</f>
      </c>
      <c r="N1597" s="12">
        <f>IF(K1597=1,G1597+L1597*(J1597-G1597),"")</f>
      </c>
    </row>
    <row r="1598" spans="2:14" x14ac:dyDescent="0.25">
      <c r="B1598">
        <v>45</v>
      </c>
      <c r="C1598">
        <v>178.12499999999994</v>
      </c>
      <c r="D1598">
        <v>11</v>
      </c>
      <c r="E1598" s="18">
        <v>7366.637321100923</v>
      </c>
      <c r="F1598" s="18">
        <v>126.25222746168043</v>
      </c>
      <c r="G1598" s="18">
        <v>-5012.774261655251</v>
      </c>
      <c r="H1598" s="12">
        <f>E1599</f>
      </c>
      <c r="I1598" s="12">
        <f>F1599</f>
      </c>
      <c r="J1598" s="12">
        <f>G1599</f>
      </c>
      <c r="K1598">
        <f>IF(AND(Pu&gt;=MIN(E1598,H1598),Pu&lt;=MAX(E1598,H1598),E1598&lt;&gt;H1598),1,0)</f>
      </c>
      <c r="L1598">
        <f>IF(K1598=1,(Pu-E1598)/(H1598-E1598),"")</f>
      </c>
      <c r="M1598" s="12">
        <f>IF(K1598=1,F1598+L1598*(I1598-F1598),"")</f>
      </c>
      <c r="N1598" s="12">
        <f>IF(K1598=1,G1598+L1598*(J1598-G1598),"")</f>
      </c>
    </row>
    <row r="1599" spans="2:14" x14ac:dyDescent="0.25">
      <c r="B1599">
        <v>45</v>
      </c>
      <c r="C1599">
        <v>178.12499999999994</v>
      </c>
      <c r="D1599">
        <v>12</v>
      </c>
      <c r="E1599" s="18">
        <v>7253.800446750893</v>
      </c>
      <c r="F1599" s="18">
        <v>127.26018193755453</v>
      </c>
      <c r="G1599" s="18">
        <v>-5026.194073778877</v>
      </c>
      <c r="H1599" s="12">
        <f>E1600</f>
      </c>
      <c r="I1599" s="12">
        <f>F1600</f>
      </c>
      <c r="J1599" s="12">
        <f>G1600</f>
      </c>
      <c r="K1599">
        <f>IF(AND(Pu&gt;=MIN(E1599,H1599),Pu&lt;=MAX(E1599,H1599),E1599&lt;&gt;H1599),1,0)</f>
      </c>
      <c r="L1599">
        <f>IF(K1599=1,(Pu-E1599)/(H1599-E1599),"")</f>
      </c>
      <c r="M1599" s="12">
        <f>IF(K1599=1,F1599+L1599*(I1599-F1599),"")</f>
      </c>
      <c r="N1599" s="12">
        <f>IF(K1599=1,G1599+L1599*(J1599-G1599),"")</f>
      </c>
    </row>
    <row r="1600" spans="2:14" x14ac:dyDescent="0.25">
      <c r="B1600">
        <v>45</v>
      </c>
      <c r="C1600">
        <v>178.12499999999994</v>
      </c>
      <c r="D1600">
        <v>13</v>
      </c>
      <c r="E1600" s="18">
        <v>6647.60298499669</v>
      </c>
      <c r="F1600" s="18">
        <v>121.80209386967827</v>
      </c>
      <c r="G1600" s="18">
        <v>-5138.145789415319</v>
      </c>
      <c r="H1600" s="12">
        <f>E1601</f>
      </c>
      <c r="I1600" s="12">
        <f>F1601</f>
      </c>
      <c r="J1600" s="12">
        <f>G1601</f>
      </c>
      <c r="K1600">
        <f>IF(AND(Pu&gt;=MIN(E1600,H1600),Pu&lt;=MAX(E1600,H1600),E1600&lt;&gt;H1600),1,0)</f>
      </c>
      <c r="L1600">
        <f>IF(K1600=1,(Pu-E1600)/(H1600-E1600),"")</f>
      </c>
      <c r="M1600" s="12">
        <f>IF(K1600=1,F1600+L1600*(I1600-F1600),"")</f>
      </c>
      <c r="N1600" s="12">
        <f>IF(K1600=1,G1600+L1600*(J1600-G1600),"")</f>
      </c>
    </row>
    <row r="1601" spans="2:14" x14ac:dyDescent="0.25">
      <c r="B1601">
        <v>45</v>
      </c>
      <c r="C1601">
        <v>178.12499999999994</v>
      </c>
      <c r="D1601">
        <v>14</v>
      </c>
      <c r="E1601" s="18">
        <v>6617.51999697707</v>
      </c>
      <c r="F1601" s="18">
        <v>122.02716851231627</v>
      </c>
      <c r="G1601" s="18">
        <v>-5149.777148606522</v>
      </c>
      <c r="H1601" s="12">
        <f>E1602</f>
      </c>
      <c r="I1601" s="12">
        <f>F1602</f>
      </c>
      <c r="J1601" s="12">
        <f>G1602</f>
      </c>
      <c r="K1601">
        <f>IF(AND(Pu&gt;=MIN(E1601,H1601),Pu&lt;=MAX(E1601,H1601),E1601&lt;&gt;H1601),1,0)</f>
      </c>
      <c r="L1601">
        <f>IF(K1601=1,(Pu-E1601)/(H1601-E1601),"")</f>
      </c>
      <c r="M1601" s="12">
        <f>IF(K1601=1,F1601+L1601*(I1601-F1601),"")</f>
      </c>
      <c r="N1601" s="12">
        <f>IF(K1601=1,G1601+L1601*(J1601-G1601),"")</f>
      </c>
    </row>
    <row r="1602" spans="2:14" x14ac:dyDescent="0.25">
      <c r="B1602">
        <v>45</v>
      </c>
      <c r="C1602">
        <v>178.12499999999994</v>
      </c>
      <c r="D1602">
        <v>15</v>
      </c>
      <c r="E1602" s="18">
        <v>6352.914463480642</v>
      </c>
      <c r="F1602" s="18">
        <v>105.75650685854843</v>
      </c>
      <c r="G1602" s="18">
        <v>-5268.315480059112</v>
      </c>
      <c r="H1602" s="12">
        <f>E1603</f>
      </c>
      <c r="I1602" s="12">
        <f>F1603</f>
      </c>
      <c r="J1602" s="12">
        <f>G1603</f>
      </c>
      <c r="K1602">
        <f>IF(AND(Pu&gt;=MIN(E1602,H1602),Pu&lt;=MAX(E1602,H1602),E1602&lt;&gt;H1602),1,0)</f>
      </c>
      <c r="L1602">
        <f>IF(K1602=1,(Pu-E1602)/(H1602-E1602),"")</f>
      </c>
      <c r="M1602" s="12">
        <f>IF(K1602=1,F1602+L1602*(I1602-F1602),"")</f>
      </c>
      <c r="N1602" s="12">
        <f>IF(K1602=1,G1602+L1602*(J1602-G1602),"")</f>
      </c>
    </row>
    <row r="1603" spans="2:14" x14ac:dyDescent="0.25">
      <c r="B1603">
        <v>45</v>
      </c>
      <c r="C1603">
        <v>178.12499999999994</v>
      </c>
      <c r="D1603">
        <v>16</v>
      </c>
      <c r="E1603" s="18">
        <v>6255.594798297267</v>
      </c>
      <c r="F1603" s="18">
        <v>106.14158953870223</v>
      </c>
      <c r="G1603" s="18">
        <v>-5313.173666420694</v>
      </c>
      <c r="H1603" s="12">
        <f>E1604</f>
      </c>
      <c r="I1603" s="12">
        <f>F1604</f>
      </c>
      <c r="J1603" s="12">
        <f>G1604</f>
      </c>
      <c r="K1603">
        <f>IF(AND(Pu&gt;=MIN(E1603,H1603),Pu&lt;=MAX(E1603,H1603),E1603&lt;&gt;H1603),1,0)</f>
      </c>
      <c r="L1603">
        <f>IF(K1603=1,(Pu-E1603)/(H1603-E1603),"")</f>
      </c>
      <c r="M1603" s="12">
        <f>IF(K1603=1,F1603+L1603*(I1603-F1603),"")</f>
      </c>
      <c r="N1603" s="12">
        <f>IF(K1603=1,G1603+L1603*(J1603-G1603),"")</f>
      </c>
    </row>
    <row r="1604" spans="2:14" x14ac:dyDescent="0.25">
      <c r="B1604">
        <v>45</v>
      </c>
      <c r="C1604">
        <v>178.12499999999994</v>
      </c>
      <c r="D1604">
        <v>17</v>
      </c>
      <c r="E1604" s="18">
        <v>6135.074176270868</v>
      </c>
      <c r="F1604" s="18">
        <v>115.01124912594203</v>
      </c>
      <c r="G1604" s="18">
        <v>-5384.410881518748</v>
      </c>
      <c r="H1604" s="12">
        <f>E1605</f>
      </c>
      <c r="I1604" s="12">
        <f>F1605</f>
      </c>
      <c r="J1604" s="12">
        <f>G1605</f>
      </c>
      <c r="K1604">
        <f>IF(AND(Pu&gt;=MIN(E1604,H1604),Pu&lt;=MAX(E1604,H1604),E1604&lt;&gt;H1604),1,0)</f>
      </c>
      <c r="L1604">
        <f>IF(K1604=1,(Pu-E1604)/(H1604-E1604),"")</f>
      </c>
      <c r="M1604" s="12">
        <f>IF(K1604=1,F1604+L1604*(I1604-F1604),"")</f>
      </c>
      <c r="N1604" s="12">
        <f>IF(K1604=1,G1604+L1604*(J1604-G1604),"")</f>
      </c>
    </row>
    <row r="1605" spans="2:14" x14ac:dyDescent="0.25">
      <c r="B1605">
        <v>45</v>
      </c>
      <c r="C1605">
        <v>178.12499999999994</v>
      </c>
      <c r="D1605">
        <v>18</v>
      </c>
      <c r="E1605" s="18">
        <v>5928.202192213528</v>
      </c>
      <c r="F1605" s="18">
        <v>117.11850023174172</v>
      </c>
      <c r="G1605" s="18">
        <v>-5498.670055250076</v>
      </c>
      <c r="H1605" s="12">
        <f>E1606</f>
      </c>
      <c r="I1605" s="12">
        <f>F1606</f>
      </c>
      <c r="J1605" s="12">
        <f>G1606</f>
      </c>
      <c r="K1605">
        <f>IF(AND(Pu&gt;=MIN(E1605,H1605),Pu&lt;=MAX(E1605,H1605),E1605&lt;&gt;H1605),1,0)</f>
      </c>
      <c r="L1605">
        <f>IF(K1605=1,(Pu-E1605)/(H1605-E1605),"")</f>
      </c>
      <c r="M1605" s="12">
        <f>IF(K1605=1,F1605+L1605*(I1605-F1605),"")</f>
      </c>
      <c r="N1605" s="12">
        <f>IF(K1605=1,G1605+L1605*(J1605-G1605),"")</f>
      </c>
    </row>
    <row r="1606" spans="2:14" x14ac:dyDescent="0.25">
      <c r="B1606">
        <v>45</v>
      </c>
      <c r="C1606">
        <v>178.12499999999994</v>
      </c>
      <c r="D1606">
        <v>19</v>
      </c>
      <c r="E1606" s="18">
        <v>5745.629471121566</v>
      </c>
      <c r="F1606" s="18">
        <v>120.39666005816407</v>
      </c>
      <c r="G1606" s="18">
        <v>-5603.988435964237</v>
      </c>
      <c r="H1606" s="12">
        <f>E1607</f>
      </c>
      <c r="I1606" s="12">
        <f>F1607</f>
      </c>
      <c r="J1606" s="12">
        <f>G1607</f>
      </c>
      <c r="K1606">
        <f>IF(AND(Pu&gt;=MIN(E1606,H1606),Pu&lt;=MAX(E1606,H1606),E1606&lt;&gt;H1606),1,0)</f>
      </c>
      <c r="L1606">
        <f>IF(K1606=1,(Pu-E1606)/(H1606-E1606),"")</f>
      </c>
      <c r="M1606" s="12">
        <f>IF(K1606=1,F1606+L1606*(I1606-F1606),"")</f>
      </c>
      <c r="N1606" s="12">
        <f>IF(K1606=1,G1606+L1606*(J1606-G1606),"")</f>
      </c>
    </row>
    <row r="1607" spans="2:14" x14ac:dyDescent="0.25">
      <c r="B1607">
        <v>45</v>
      </c>
      <c r="C1607">
        <v>178.12499999999994</v>
      </c>
      <c r="D1607">
        <v>20</v>
      </c>
      <c r="E1607" s="18">
        <v>5735.170854552943</v>
      </c>
      <c r="F1607" s="18">
        <v>119.66860818698946</v>
      </c>
      <c r="G1607" s="18">
        <v>-5610.574901129794</v>
      </c>
      <c r="H1607" s="12">
        <f>E1608</f>
      </c>
      <c r="I1607" s="12">
        <f>F1608</f>
      </c>
      <c r="J1607" s="12">
        <f>G1608</f>
      </c>
      <c r="K1607">
        <f>IF(AND(Pu&gt;=MIN(E1607,H1607),Pu&lt;=MAX(E1607,H1607),E1607&lt;&gt;H1607),1,0)</f>
      </c>
      <c r="L1607">
        <f>IF(K1607=1,(Pu-E1607)/(H1607-E1607),"")</f>
      </c>
      <c r="M1607" s="12">
        <f>IF(K1607=1,F1607+L1607*(I1607-F1607),"")</f>
      </c>
      <c r="N1607" s="12">
        <f>IF(K1607=1,G1607+L1607*(J1607-G1607),"")</f>
      </c>
    </row>
    <row r="1608" spans="2:14" x14ac:dyDescent="0.25">
      <c r="B1608">
        <v>45</v>
      </c>
      <c r="C1608">
        <v>178.12499999999994</v>
      </c>
      <c r="D1608">
        <v>21</v>
      </c>
      <c r="E1608" s="18">
        <v>5580.818143925855</v>
      </c>
      <c r="F1608" s="18">
        <v>114.9963288409623</v>
      </c>
      <c r="G1608" s="18">
        <v>-5711.273193725632</v>
      </c>
      <c r="H1608" s="12">
        <f>E1609</f>
      </c>
      <c r="I1608" s="12">
        <f>F1609</f>
      </c>
      <c r="J1608" s="12">
        <f>G1609</f>
      </c>
      <c r="K1608">
        <f>IF(AND(Pu&gt;=MIN(E1608,H1608),Pu&lt;=MAX(E1608,H1608),E1608&lt;&gt;H1608),1,0)</f>
      </c>
      <c r="L1608">
        <f>IF(K1608=1,(Pu-E1608)/(H1608-E1608),"")</f>
      </c>
      <c r="M1608" s="12">
        <f>IF(K1608=1,F1608+L1608*(I1608-F1608),"")</f>
      </c>
      <c r="N1608" s="12">
        <f>IF(K1608=1,G1608+L1608*(J1608-G1608),"")</f>
      </c>
    </row>
    <row r="1609" spans="2:14" x14ac:dyDescent="0.25">
      <c r="B1609">
        <v>45</v>
      </c>
      <c r="C1609">
        <v>178.12499999999994</v>
      </c>
      <c r="D1609">
        <v>22</v>
      </c>
      <c r="E1609" s="18">
        <v>5441.943337728231</v>
      </c>
      <c r="F1609" s="18">
        <v>115.90827521078573</v>
      </c>
      <c r="G1609" s="18">
        <v>-5677.362049487343</v>
      </c>
      <c r="H1609" s="12">
        <f>E1610</f>
      </c>
      <c r="I1609" s="12">
        <f>F1610</f>
      </c>
      <c r="J1609" s="12">
        <f>G1610</f>
      </c>
      <c r="K1609">
        <f>IF(AND(Pu&gt;=MIN(E1609,H1609),Pu&lt;=MAX(E1609,H1609),E1609&lt;&gt;H1609),1,0)</f>
      </c>
      <c r="L1609">
        <f>IF(K1609=1,(Pu-E1609)/(H1609-E1609),"")</f>
      </c>
      <c r="M1609" s="12">
        <f>IF(K1609=1,F1609+L1609*(I1609-F1609),"")</f>
      </c>
      <c r="N1609" s="12">
        <f>IF(K1609=1,G1609+L1609*(J1609-G1609),"")</f>
      </c>
    </row>
    <row r="1610" spans="2:14" x14ac:dyDescent="0.25">
      <c r="B1610">
        <v>45</v>
      </c>
      <c r="C1610">
        <v>178.12499999999994</v>
      </c>
      <c r="D1610">
        <v>23</v>
      </c>
      <c r="E1610" s="18">
        <v>4980.360057648453</v>
      </c>
      <c r="F1610" s="18">
        <v>119.10578113549974</v>
      </c>
      <c r="G1610" s="18">
        <v>-5560.864116806003</v>
      </c>
      <c r="H1610" s="12">
        <f>E1611</f>
      </c>
      <c r="I1610" s="12">
        <f>F1611</f>
      </c>
      <c r="J1610" s="12">
        <f>G1611</f>
      </c>
      <c r="K1610">
        <f>IF(AND(Pu&gt;=MIN(E1610,H1610),Pu&lt;=MAX(E1610,H1610),E1610&lt;&gt;H1610),1,0)</f>
      </c>
      <c r="L1610">
        <f>IF(K1610=1,(Pu-E1610)/(H1610-E1610),"")</f>
      </c>
      <c r="M1610" s="12">
        <f>IF(K1610=1,F1610+L1610*(I1610-F1610),"")</f>
      </c>
      <c r="N1610" s="12">
        <f>IF(K1610=1,G1610+L1610*(J1610-G1610),"")</f>
      </c>
    </row>
    <row r="1611" spans="2:14" x14ac:dyDescent="0.25">
      <c r="B1611">
        <v>45</v>
      </c>
      <c r="C1611">
        <v>178.12499999999994</v>
      </c>
      <c r="D1611">
        <v>24</v>
      </c>
      <c r="E1611" s="18">
        <v>4226.554649596918</v>
      </c>
      <c r="F1611" s="18">
        <v>99.90200987997609</v>
      </c>
      <c r="G1611" s="18">
        <v>-5355.300815949712</v>
      </c>
      <c r="H1611" s="12">
        <f>E1612</f>
      </c>
      <c r="I1611" s="12">
        <f>F1612</f>
      </c>
      <c r="J1611" s="12">
        <f>G1612</f>
      </c>
      <c r="K1611">
        <f>IF(AND(Pu&gt;=MIN(E1611,H1611),Pu&lt;=MAX(E1611,H1611),E1611&lt;&gt;H1611),1,0)</f>
      </c>
      <c r="L1611">
        <f>IF(K1611=1,(Pu-E1611)/(H1611-E1611),"")</f>
      </c>
      <c r="M1611" s="12">
        <f>IF(K1611=1,F1611+L1611*(I1611-F1611),"")</f>
      </c>
      <c r="N1611" s="12">
        <f>IF(K1611=1,G1611+L1611*(J1611-G1611),"")</f>
      </c>
    </row>
    <row r="1612" spans="2:14" x14ac:dyDescent="0.25">
      <c r="B1612">
        <v>45</v>
      </c>
      <c r="C1612">
        <v>178.12499999999994</v>
      </c>
      <c r="D1612">
        <v>25</v>
      </c>
      <c r="E1612" s="18">
        <v>3697.9135411032703</v>
      </c>
      <c r="F1612" s="18">
        <v>111.60930436023895</v>
      </c>
      <c r="G1612" s="18">
        <v>-5167.166289284258</v>
      </c>
      <c r="H1612" s="12">
        <f>E1613</f>
      </c>
      <c r="I1612" s="12">
        <f>F1613</f>
      </c>
      <c r="J1612" s="12">
        <f>G1613</f>
      </c>
      <c r="K1612">
        <f>IF(AND(Pu&gt;=MIN(E1612,H1612),Pu&lt;=MAX(E1612,H1612),E1612&lt;&gt;H1612),1,0)</f>
      </c>
      <c r="L1612">
        <f>IF(K1612=1,(Pu-E1612)/(H1612-E1612),"")</f>
      </c>
      <c r="M1612" s="12">
        <f>IF(K1612=1,F1612+L1612*(I1612-F1612),"")</f>
      </c>
      <c r="N1612" s="12">
        <f>IF(K1612=1,G1612+L1612*(J1612-G1612),"")</f>
      </c>
    </row>
    <row r="1613" spans="2:14" x14ac:dyDescent="0.25">
      <c r="B1613">
        <v>45</v>
      </c>
      <c r="C1613">
        <v>178.12499999999994</v>
      </c>
      <c r="D1613">
        <v>26</v>
      </c>
      <c r="E1613" s="18">
        <v>3212.353321157365</v>
      </c>
      <c r="F1613" s="18">
        <v>117.95406247522162</v>
      </c>
      <c r="G1613" s="18">
        <v>-4985.686441566269</v>
      </c>
      <c r="H1613" s="12">
        <f>E1614</f>
      </c>
      <c r="I1613" s="12">
        <f>F1614</f>
      </c>
      <c r="J1613" s="12">
        <f>G1614</f>
      </c>
      <c r="K1613">
        <f>IF(AND(Pu&gt;=MIN(E1613,H1613),Pu&lt;=MAX(E1613,H1613),E1613&lt;&gt;H1613),1,0)</f>
      </c>
      <c r="L1613">
        <f>IF(K1613=1,(Pu-E1613)/(H1613-E1613),"")</f>
      </c>
      <c r="M1613" s="12">
        <f>IF(K1613=1,F1613+L1613*(I1613-F1613),"")</f>
      </c>
      <c r="N1613" s="12">
        <f>IF(K1613=1,G1613+L1613*(J1613-G1613),"")</f>
      </c>
    </row>
    <row r="1614" spans="2:14" x14ac:dyDescent="0.25">
      <c r="B1614">
        <v>45</v>
      </c>
      <c r="C1614">
        <v>178.12499999999994</v>
      </c>
      <c r="D1614">
        <v>27</v>
      </c>
      <c r="E1614" s="18">
        <v>2456.513047282801</v>
      </c>
      <c r="F1614" s="18">
        <v>109.2603161753854</v>
      </c>
      <c r="G1614" s="18">
        <v>-4663.281731969177</v>
      </c>
      <c r="H1614" s="12">
        <f>E1615</f>
      </c>
      <c r="I1614" s="12">
        <f>F1615</f>
      </c>
      <c r="J1614" s="12">
        <f>G1615</f>
      </c>
      <c r="K1614">
        <f>IF(AND(Pu&gt;=MIN(E1614,H1614),Pu&lt;=MAX(E1614,H1614),E1614&lt;&gt;H1614),1,0)</f>
      </c>
      <c r="L1614">
        <f>IF(K1614=1,(Pu-E1614)/(H1614-E1614),"")</f>
      </c>
      <c r="M1614" s="12">
        <f>IF(K1614=1,F1614+L1614*(I1614-F1614),"")</f>
      </c>
      <c r="N1614" s="12">
        <f>IF(K1614=1,G1614+L1614*(J1614-G1614),"")</f>
      </c>
    </row>
    <row r="1615" spans="2:14" x14ac:dyDescent="0.25">
      <c r="B1615">
        <v>45</v>
      </c>
      <c r="C1615">
        <v>178.12499999999994</v>
      </c>
      <c r="D1615">
        <v>28</v>
      </c>
      <c r="E1615" s="18">
        <v>1877.578864426078</v>
      </c>
      <c r="F1615" s="18">
        <v>118.26840104591999</v>
      </c>
      <c r="G1615" s="18">
        <v>-4379.130084874306</v>
      </c>
      <c r="H1615" s="12">
        <f>E1616</f>
      </c>
      <c r="I1615" s="12">
        <f>F1616</f>
      </c>
      <c r="J1615" s="12">
        <f>G1616</f>
      </c>
      <c r="K1615">
        <f>IF(AND(Pu&gt;=MIN(E1615,H1615),Pu&lt;=MAX(E1615,H1615),E1615&lt;&gt;H1615),1,0)</f>
      </c>
      <c r="L1615">
        <f>IF(K1615=1,(Pu-E1615)/(H1615-E1615),"")</f>
      </c>
      <c r="M1615" s="12">
        <f>IF(K1615=1,F1615+L1615*(I1615-F1615),"")</f>
      </c>
      <c r="N1615" s="12">
        <f>IF(K1615=1,G1615+L1615*(J1615-G1615),"")</f>
      </c>
    </row>
    <row r="1616" spans="2:14" x14ac:dyDescent="0.25">
      <c r="B1616">
        <v>45</v>
      </c>
      <c r="C1616">
        <v>178.12499999999994</v>
      </c>
      <c r="D1616">
        <v>29</v>
      </c>
      <c r="E1616" s="18">
        <v>1138.6956400735316</v>
      </c>
      <c r="F1616" s="18">
        <v>127.0579365400924</v>
      </c>
      <c r="G1616" s="18">
        <v>-3992.7302795091587</v>
      </c>
      <c r="H1616" s="12">
        <f>E1617</f>
      </c>
      <c r="I1616" s="12">
        <f>F1617</f>
      </c>
      <c r="J1616" s="12">
        <f>G1617</f>
      </c>
      <c r="K1616">
        <f>IF(AND(Pu&gt;=MIN(E1616,H1616),Pu&lt;=MAX(E1616,H1616),E1616&lt;&gt;H1616),1,0)</f>
      </c>
      <c r="L1616">
        <f>IF(K1616=1,(Pu-E1616)/(H1616-E1616),"")</f>
      </c>
      <c r="M1616" s="12">
        <f>IF(K1616=1,F1616+L1616*(I1616-F1616),"")</f>
      </c>
      <c r="N1616" s="12">
        <f>IF(K1616=1,G1616+L1616*(J1616-G1616),"")</f>
      </c>
    </row>
    <row r="1617" spans="2:14" x14ac:dyDescent="0.25">
      <c r="B1617">
        <v>45</v>
      </c>
      <c r="C1617">
        <v>178.12499999999994</v>
      </c>
      <c r="D1617">
        <v>30</v>
      </c>
      <c r="E1617" s="18">
        <v>512.4762726801417</v>
      </c>
      <c r="F1617" s="18">
        <v>89.8568429276539</v>
      </c>
      <c r="G1617" s="18">
        <v>-3644.878604548763</v>
      </c>
      <c r="H1617" s="12">
        <f>E1618</f>
      </c>
      <c r="I1617" s="12">
        <f>F1618</f>
      </c>
      <c r="J1617" s="12">
        <f>G1618</f>
      </c>
      <c r="K1617">
        <f>IF(AND(Pu&gt;=MIN(E1617,H1617),Pu&lt;=MAX(E1617,H1617),E1617&lt;&gt;H1617),1,0)</f>
      </c>
      <c r="L1617">
        <f>IF(K1617=1,(Pu-E1617)/(H1617-E1617),"")</f>
      </c>
      <c r="M1617" s="12">
        <f>IF(K1617=1,F1617+L1617*(I1617-F1617),"")</f>
      </c>
      <c r="N1617" s="12">
        <f>IF(K1617=1,G1617+L1617*(J1617-G1617),"")</f>
      </c>
    </row>
    <row r="1618" spans="2:14" x14ac:dyDescent="0.25">
      <c r="B1618">
        <v>45</v>
      </c>
      <c r="C1618">
        <v>178.12499999999994</v>
      </c>
      <c r="D1618">
        <v>31</v>
      </c>
      <c r="E1618" s="18">
        <v>-325.4308571629523</v>
      </c>
      <c r="F1618" s="18">
        <v>86.8873858534453</v>
      </c>
      <c r="G1618" s="18">
        <v>-3130.281250635332</v>
      </c>
      <c r="H1618" s="12">
        <f>E1619</f>
      </c>
      <c r="I1618" s="12">
        <f>F1619</f>
      </c>
      <c r="J1618" s="12">
        <f>G1619</f>
      </c>
      <c r="K1618">
        <f>IF(AND(Pu&gt;=MIN(E1618,H1618),Pu&lt;=MAX(E1618,H1618),E1618&lt;&gt;H1618),1,0)</f>
      </c>
      <c r="L1618">
        <f>IF(K1618=1,(Pu-E1618)/(H1618-E1618),"")</f>
      </c>
      <c r="M1618" s="12">
        <f>IF(K1618=1,F1618+L1618*(I1618-F1618),"")</f>
      </c>
      <c r="N1618" s="12">
        <f>IF(K1618=1,G1618+L1618*(J1618-G1618),"")</f>
      </c>
    </row>
    <row r="1619" spans="2:14" x14ac:dyDescent="0.25">
      <c r="B1619">
        <v>45</v>
      </c>
      <c r="C1619">
        <v>178.12499999999994</v>
      </c>
      <c r="D1619">
        <v>32</v>
      </c>
      <c r="E1619" s="18">
        <v>-955.4037697220236</v>
      </c>
      <c r="F1619" s="18">
        <v>81.64268141877018</v>
      </c>
      <c r="G1619" s="18">
        <v>-2725.5786502524693</v>
      </c>
      <c r="H1619" s="12">
        <f>E1620</f>
      </c>
      <c r="I1619" s="12">
        <f>F1620</f>
      </c>
      <c r="J1619" s="12">
        <f>G1620</f>
      </c>
      <c r="K1619">
        <f>IF(AND(Pu&gt;=MIN(E1619,H1619),Pu&lt;=MAX(E1619,H1619),E1619&lt;&gt;H1619),1,0)</f>
      </c>
      <c r="L1619">
        <f>IF(K1619=1,(Pu-E1619)/(H1619-E1619),"")</f>
      </c>
      <c r="M1619" s="12">
        <f>IF(K1619=1,F1619+L1619*(I1619-F1619),"")</f>
      </c>
      <c r="N1619" s="12">
        <f>IF(K1619=1,G1619+L1619*(J1619-G1619),"")</f>
      </c>
    </row>
    <row r="1620" spans="2:14" x14ac:dyDescent="0.25">
      <c r="B1620">
        <v>45</v>
      </c>
      <c r="C1620">
        <v>178.12499999999994</v>
      </c>
      <c r="D1620">
        <v>33</v>
      </c>
      <c r="E1620" s="18">
        <v>-1852.1238229096757</v>
      </c>
      <c r="F1620" s="18">
        <v>77.81010637805402</v>
      </c>
      <c r="G1620" s="18">
        <v>-2130.5378494238535</v>
      </c>
      <c r="H1620" s="12">
        <f>E1621</f>
      </c>
      <c r="I1620" s="12">
        <f>F1621</f>
      </c>
      <c r="J1620" s="12">
        <f>G1621</f>
      </c>
      <c r="K1620">
        <f>IF(AND(Pu&gt;=MIN(E1620,H1620),Pu&lt;=MAX(E1620,H1620),E1620&lt;&gt;H1620),1,0)</f>
      </c>
      <c r="L1620">
        <f>IF(K1620=1,(Pu-E1620)/(H1620-E1620),"")</f>
      </c>
      <c r="M1620" s="12">
        <f>IF(K1620=1,F1620+L1620*(I1620-F1620),"")</f>
      </c>
      <c r="N1620" s="12">
        <f>IF(K1620=1,G1620+L1620*(J1620-G1620),"")</f>
      </c>
    </row>
    <row r="1621" spans="2:14" x14ac:dyDescent="0.25">
      <c r="B1621">
        <v>45</v>
      </c>
      <c r="C1621">
        <v>178.12499999999994</v>
      </c>
      <c r="D1621">
        <v>34</v>
      </c>
      <c r="E1621" s="18">
        <v>-2454.5978223827865</v>
      </c>
      <c r="F1621" s="18">
        <v>72.9318815029667</v>
      </c>
      <c r="G1621" s="18">
        <v>-1721.4937011906313</v>
      </c>
      <c r="H1621" s="12">
        <f>E1622</f>
      </c>
      <c r="I1621" s="12">
        <f>F1622</f>
      </c>
      <c r="J1621" s="12">
        <f>G1622</f>
      </c>
      <c r="K1621">
        <f>IF(AND(Pu&gt;=MIN(E1621,H1621),Pu&lt;=MAX(E1621,H1621),E1621&lt;&gt;H1621),1,0)</f>
      </c>
      <c r="L1621">
        <f>IF(K1621=1,(Pu-E1621)/(H1621-E1621),"")</f>
      </c>
      <c r="M1621" s="12">
        <f>IF(K1621=1,F1621+L1621*(I1621-F1621),"")</f>
      </c>
      <c r="N1621" s="12">
        <f>IF(K1621=1,G1621+L1621*(J1621-G1621),"")</f>
      </c>
    </row>
    <row r="1622" spans="2:14" x14ac:dyDescent="0.25">
      <c r="B1622">
        <v>45</v>
      </c>
      <c r="C1622">
        <v>178.12499999999994</v>
      </c>
      <c r="D1622">
        <v>35</v>
      </c>
      <c r="E1622" s="18">
        <v>-3653.348167546829</v>
      </c>
      <c r="F1622" s="18">
        <v>85.85896905985399</v>
      </c>
      <c r="G1622" s="18">
        <v>-897.389955765433</v>
      </c>
      <c r="H1622" s="12">
        <f>E1623</f>
      </c>
      <c r="I1622" s="12">
        <f>F1623</f>
      </c>
      <c r="J1622" s="12">
        <f>G1623</f>
      </c>
      <c r="K1622">
        <f>IF(AND(Pu&gt;=MIN(E1622,H1622),Pu&lt;=MAX(E1622,H1622),E1622&lt;&gt;H1622),1,0)</f>
      </c>
      <c r="L1622">
        <f>IF(K1622=1,(Pu-E1622)/(H1622-E1622),"")</f>
      </c>
      <c r="M1622" s="12">
        <f>IF(K1622=1,F1622+L1622*(I1622-F1622),"")</f>
      </c>
      <c r="N1622" s="12">
        <f>IF(K1622=1,G1622+L1622*(J1622-G1622),"")</f>
      </c>
    </row>
    <row r="1623" spans="2:7" x14ac:dyDescent="0.25">
      <c r="B1623">
        <v>45</v>
      </c>
      <c r="C1623">
        <v>178.12499999999994</v>
      </c>
      <c r="D1623">
        <v>36</v>
      </c>
      <c r="E1623" s="18">
        <v>-4407.4036733353605</v>
      </c>
      <c r="F1623" s="18">
        <v>50.59090707257234</v>
      </c>
      <c r="G1623" s="18">
        <v>-375.9047063844104</v>
      </c>
    </row>
    <row r="1625" spans="2:14" x14ac:dyDescent="0.25">
      <c r="B1625">
        <v>46</v>
      </c>
      <c r="C1625">
        <v>179.06249999999997</v>
      </c>
      <c r="D1625">
        <v>1</v>
      </c>
      <c r="E1625" s="18">
        <v>17343.653759972938</v>
      </c>
      <c r="F1625" s="18">
        <v>38.84147978270277</v>
      </c>
      <c r="G1625" s="18">
        <v>-2880.5493749126767</v>
      </c>
      <c r="H1625" s="12">
        <f>E1626</f>
      </c>
      <c r="I1625" s="12">
        <f>F1626</f>
      </c>
      <c r="J1625" s="12">
        <f>G1626</f>
      </c>
      <c r="K1625">
        <f>IF(AND(Pu&gt;=MIN(E1625,H1625),Pu&lt;=MAX(E1625,H1625),E1625&lt;&gt;H1625),1,0)</f>
      </c>
      <c r="L1625">
        <f>IF(K1625=1,(Pu-E1625)/(H1625-E1625),"")</f>
      </c>
      <c r="M1625" s="12">
        <f>IF(K1625=1,F1625+L1625*(I1625-F1625),"")</f>
      </c>
      <c r="N1625" s="12">
        <f>IF(K1625=1,G1625+L1625*(J1625-G1625),"")</f>
      </c>
    </row>
    <row r="1626" spans="2:14" x14ac:dyDescent="0.25">
      <c r="B1626">
        <v>46</v>
      </c>
      <c r="C1626">
        <v>179.06249999999997</v>
      </c>
      <c r="D1626">
        <v>2</v>
      </c>
      <c r="E1626" s="18">
        <v>16764.64642506096</v>
      </c>
      <c r="F1626" s="18">
        <v>34.87465632603185</v>
      </c>
      <c r="G1626" s="18">
        <v>-3157.5370745414943</v>
      </c>
      <c r="H1626" s="12">
        <f>E1627</f>
      </c>
      <c r="I1626" s="12">
        <f>F1627</f>
      </c>
      <c r="J1626" s="12">
        <f>G1627</f>
      </c>
      <c r="K1626">
        <f>IF(AND(Pu&gt;=MIN(E1626,H1626),Pu&lt;=MAX(E1626,H1626),E1626&lt;&gt;H1626),1,0)</f>
      </c>
      <c r="L1626">
        <f>IF(K1626=1,(Pu-E1626)/(H1626-E1626),"")</f>
      </c>
      <c r="M1626" s="12">
        <f>IF(K1626=1,F1626+L1626*(I1626-F1626),"")</f>
      </c>
      <c r="N1626" s="12">
        <f>IF(K1626=1,G1626+L1626*(J1626-G1626),"")</f>
      </c>
    </row>
    <row r="1627" spans="2:14" x14ac:dyDescent="0.25">
      <c r="B1627">
        <v>46</v>
      </c>
      <c r="C1627">
        <v>179.06249999999997</v>
      </c>
      <c r="D1627">
        <v>3</v>
      </c>
      <c r="E1627" s="18">
        <v>16050.011924417855</v>
      </c>
      <c r="F1627" s="18">
        <v>36.2985541564793</v>
      </c>
      <c r="G1627" s="18">
        <v>-3459.305796975313</v>
      </c>
      <c r="H1627" s="12">
        <f>E1628</f>
      </c>
      <c r="I1627" s="12">
        <f>F1628</f>
      </c>
      <c r="J1627" s="12">
        <f>G1628</f>
      </c>
      <c r="K1627">
        <f>IF(AND(Pu&gt;=MIN(E1627,H1627),Pu&lt;=MAX(E1627,H1627),E1627&lt;&gt;H1627),1,0)</f>
      </c>
      <c r="L1627">
        <f>IF(K1627=1,(Pu-E1627)/(H1627-E1627),"")</f>
      </c>
      <c r="M1627" s="12">
        <f>IF(K1627=1,F1627+L1627*(I1627-F1627),"")</f>
      </c>
      <c r="N1627" s="12">
        <f>IF(K1627=1,G1627+L1627*(J1627-G1627),"")</f>
      </c>
    </row>
    <row r="1628" spans="2:14" x14ac:dyDescent="0.25">
      <c r="B1628">
        <v>46</v>
      </c>
      <c r="C1628">
        <v>179.06249999999997</v>
      </c>
      <c r="D1628">
        <v>4</v>
      </c>
      <c r="E1628" s="18">
        <v>15317.188085605385</v>
      </c>
      <c r="F1628" s="18">
        <v>37.999826443295596</v>
      </c>
      <c r="G1628" s="18">
        <v>-3718.621005722944</v>
      </c>
      <c r="H1628" s="12">
        <f>E1629</f>
      </c>
      <c r="I1628" s="12">
        <f>F1629</f>
      </c>
      <c r="J1628" s="12">
        <f>G1629</f>
      </c>
      <c r="K1628">
        <f>IF(AND(Pu&gt;=MIN(E1628,H1628),Pu&lt;=MAX(E1628,H1628),E1628&lt;&gt;H1628),1,0)</f>
      </c>
      <c r="L1628">
        <f>IF(K1628=1,(Pu-E1628)/(H1628-E1628),"")</f>
      </c>
      <c r="M1628" s="12">
        <f>IF(K1628=1,F1628+L1628*(I1628-F1628),"")</f>
      </c>
      <c r="N1628" s="12">
        <f>IF(K1628=1,G1628+L1628*(J1628-G1628),"")</f>
      </c>
    </row>
    <row r="1629" spans="2:14" x14ac:dyDescent="0.25">
      <c r="B1629">
        <v>46</v>
      </c>
      <c r="C1629">
        <v>179.06249999999997</v>
      </c>
      <c r="D1629">
        <v>5</v>
      </c>
      <c r="E1629" s="18">
        <v>13997.961513146174</v>
      </c>
      <c r="F1629" s="18">
        <v>44.89198211060597</v>
      </c>
      <c r="G1629" s="18">
        <v>-4094.8544084359182</v>
      </c>
      <c r="H1629" s="12">
        <f>E1630</f>
      </c>
      <c r="I1629" s="12">
        <f>F1630</f>
      </c>
      <c r="J1629" s="12">
        <f>G1630</f>
      </c>
      <c r="K1629">
        <f>IF(AND(Pu&gt;=MIN(E1629,H1629),Pu&lt;=MAX(E1629,H1629),E1629&lt;&gt;H1629),1,0)</f>
      </c>
      <c r="L1629">
        <f>IF(K1629=1,(Pu-E1629)/(H1629-E1629),"")</f>
      </c>
      <c r="M1629" s="12">
        <f>IF(K1629=1,F1629+L1629*(I1629-F1629),"")</f>
      </c>
      <c r="N1629" s="12">
        <f>IF(K1629=1,G1629+L1629*(J1629-G1629),"")</f>
      </c>
    </row>
    <row r="1630" spans="2:14" x14ac:dyDescent="0.25">
      <c r="B1630">
        <v>46</v>
      </c>
      <c r="C1630">
        <v>179.06249999999997</v>
      </c>
      <c r="D1630">
        <v>6</v>
      </c>
      <c r="E1630" s="18">
        <v>11869.768450906739</v>
      </c>
      <c r="F1630" s="18">
        <v>52.339492920763405</v>
      </c>
      <c r="G1630" s="18">
        <v>-4468.631588399882</v>
      </c>
      <c r="H1630" s="12">
        <f>E1631</f>
      </c>
      <c r="I1630" s="12">
        <f>F1631</f>
      </c>
      <c r="J1630" s="12">
        <f>G1631</f>
      </c>
      <c r="K1630">
        <f>IF(AND(Pu&gt;=MIN(E1630,H1630),Pu&lt;=MAX(E1630,H1630),E1630&lt;&gt;H1630),1,0)</f>
      </c>
      <c r="L1630">
        <f>IF(K1630=1,(Pu-E1630)/(H1630-E1630),"")</f>
      </c>
      <c r="M1630" s="12">
        <f>IF(K1630=1,F1630+L1630*(I1630-F1630),"")</f>
      </c>
      <c r="N1630" s="12">
        <f>IF(K1630=1,G1630+L1630*(J1630-G1630),"")</f>
      </c>
    </row>
    <row r="1631" spans="2:14" x14ac:dyDescent="0.25">
      <c r="B1631">
        <v>46</v>
      </c>
      <c r="C1631">
        <v>179.06249999999997</v>
      </c>
      <c r="D1631">
        <v>7</v>
      </c>
      <c r="E1631" s="18">
        <v>9886.276153649333</v>
      </c>
      <c r="F1631" s="18">
        <v>46.65792814016333</v>
      </c>
      <c r="G1631" s="18">
        <v>-4697.963629952544</v>
      </c>
      <c r="H1631" s="12">
        <f>E1632</f>
      </c>
      <c r="I1631" s="12">
        <f>F1632</f>
      </c>
      <c r="J1631" s="12">
        <f>G1632</f>
      </c>
      <c r="K1631">
        <f>IF(AND(Pu&gt;=MIN(E1631,H1631),Pu&lt;=MAX(E1631,H1631),E1631&lt;&gt;H1631),1,0)</f>
      </c>
      <c r="L1631">
        <f>IF(K1631=1,(Pu-E1631)/(H1631-E1631),"")</f>
      </c>
      <c r="M1631" s="12">
        <f>IF(K1631=1,F1631+L1631*(I1631-F1631),"")</f>
      </c>
      <c r="N1631" s="12">
        <f>IF(K1631=1,G1631+L1631*(J1631-G1631),"")</f>
      </c>
    </row>
    <row r="1632" spans="2:14" x14ac:dyDescent="0.25">
      <c r="B1632">
        <v>46</v>
      </c>
      <c r="C1632">
        <v>179.06249999999997</v>
      </c>
      <c r="D1632">
        <v>8</v>
      </c>
      <c r="E1632" s="18">
        <v>8956.094611186876</v>
      </c>
      <c r="F1632" s="18">
        <v>56.82632862230977</v>
      </c>
      <c r="G1632" s="18">
        <v>-4772.3497827054625</v>
      </c>
      <c r="H1632" s="12">
        <f>E1633</f>
      </c>
      <c r="I1632" s="12">
        <f>F1633</f>
      </c>
      <c r="J1632" s="12">
        <f>G1633</f>
      </c>
      <c r="K1632">
        <f>IF(AND(Pu&gt;=MIN(E1632,H1632),Pu&lt;=MAX(E1632,H1632),E1632&lt;&gt;H1632),1,0)</f>
      </c>
      <c r="L1632">
        <f>IF(K1632=1,(Pu-E1632)/(H1632-E1632),"")</f>
      </c>
      <c r="M1632" s="12">
        <f>IF(K1632=1,F1632+L1632*(I1632-F1632),"")</f>
      </c>
      <c r="N1632" s="12">
        <f>IF(K1632=1,G1632+L1632*(J1632-G1632),"")</f>
      </c>
    </row>
    <row r="1633" spans="2:14" x14ac:dyDescent="0.25">
      <c r="B1633">
        <v>46</v>
      </c>
      <c r="C1633">
        <v>179.06249999999997</v>
      </c>
      <c r="D1633">
        <v>9</v>
      </c>
      <c r="E1633" s="18">
        <v>8435.059353715527</v>
      </c>
      <c r="F1633" s="18">
        <v>58.8081632533929</v>
      </c>
      <c r="G1633" s="18">
        <v>-4870.506868663599</v>
      </c>
      <c r="H1633" s="12">
        <f>E1634</f>
      </c>
      <c r="I1633" s="12">
        <f>F1634</f>
      </c>
      <c r="J1633" s="12">
        <f>G1634</f>
      </c>
      <c r="K1633">
        <f>IF(AND(Pu&gt;=MIN(E1633,H1633),Pu&lt;=MAX(E1633,H1633),E1633&lt;&gt;H1633),1,0)</f>
      </c>
      <c r="L1633">
        <f>IF(K1633=1,(Pu-E1633)/(H1633-E1633),"")</f>
      </c>
      <c r="M1633" s="12">
        <f>IF(K1633=1,F1633+L1633*(I1633-F1633),"")</f>
      </c>
      <c r="N1633" s="12">
        <f>IF(K1633=1,G1633+L1633*(J1633-G1633),"")</f>
      </c>
    </row>
    <row r="1634" spans="2:14" x14ac:dyDescent="0.25">
      <c r="B1634">
        <v>46</v>
      </c>
      <c r="C1634">
        <v>179.06249999999997</v>
      </c>
      <c r="D1634">
        <v>10</v>
      </c>
      <c r="E1634" s="18">
        <v>8101.314946239593</v>
      </c>
      <c r="F1634" s="18">
        <v>60.208036078964426</v>
      </c>
      <c r="G1634" s="18">
        <v>-4923.723270989461</v>
      </c>
      <c r="H1634" s="12">
        <f>E1635</f>
      </c>
      <c r="I1634" s="12">
        <f>F1635</f>
      </c>
      <c r="J1634" s="12">
        <f>G1635</f>
      </c>
      <c r="K1634">
        <f>IF(AND(Pu&gt;=MIN(E1634,H1634),Pu&lt;=MAX(E1634,H1634),E1634&lt;&gt;H1634),1,0)</f>
      </c>
      <c r="L1634">
        <f>IF(K1634=1,(Pu-E1634)/(H1634-E1634),"")</f>
      </c>
      <c r="M1634" s="12">
        <f>IF(K1634=1,F1634+L1634*(I1634-F1634),"")</f>
      </c>
      <c r="N1634" s="12">
        <f>IF(K1634=1,G1634+L1634*(J1634-G1634),"")</f>
      </c>
    </row>
    <row r="1635" spans="2:14" x14ac:dyDescent="0.25">
      <c r="B1635">
        <v>46</v>
      </c>
      <c r="C1635">
        <v>179.06249999999997</v>
      </c>
      <c r="D1635">
        <v>11</v>
      </c>
      <c r="E1635" s="18">
        <v>7392.205640761796</v>
      </c>
      <c r="F1635" s="18">
        <v>63.31866372839023</v>
      </c>
      <c r="G1635" s="18">
        <v>-5021.802361364519</v>
      </c>
      <c r="H1635" s="12">
        <f>E1636</f>
      </c>
      <c r="I1635" s="12">
        <f>F1636</f>
      </c>
      <c r="J1635" s="12">
        <f>G1636</f>
      </c>
      <c r="K1635">
        <f>IF(AND(Pu&gt;=MIN(E1635,H1635),Pu&lt;=MAX(E1635,H1635),E1635&lt;&gt;H1635),1,0)</f>
      </c>
      <c r="L1635">
        <f>IF(K1635=1,(Pu-E1635)/(H1635-E1635),"")</f>
      </c>
      <c r="M1635" s="12">
        <f>IF(K1635=1,F1635+L1635*(I1635-F1635),"")</f>
      </c>
      <c r="N1635" s="12">
        <f>IF(K1635=1,G1635+L1635*(J1635-G1635),"")</f>
      </c>
    </row>
    <row r="1636" spans="2:14" x14ac:dyDescent="0.25">
      <c r="B1636">
        <v>46</v>
      </c>
      <c r="C1636">
        <v>179.06249999999997</v>
      </c>
      <c r="D1636">
        <v>12</v>
      </c>
      <c r="E1636" s="18">
        <v>7289.460755377657</v>
      </c>
      <c r="F1636" s="18">
        <v>63.78440417052342</v>
      </c>
      <c r="G1636" s="18">
        <v>-5034.4642683296115</v>
      </c>
      <c r="H1636" s="12">
        <f>E1637</f>
      </c>
      <c r="I1636" s="12">
        <f>F1637</f>
      </c>
      <c r="J1636" s="12">
        <f>G1637</f>
      </c>
      <c r="K1636">
        <f>IF(AND(Pu&gt;=MIN(E1636,H1636),Pu&lt;=MAX(E1636,H1636),E1636&lt;&gt;H1636),1,0)</f>
      </c>
      <c r="L1636">
        <f>IF(K1636=1,(Pu-E1636)/(H1636-E1636),"")</f>
      </c>
      <c r="M1636" s="12">
        <f>IF(K1636=1,F1636+L1636*(I1636-F1636),"")</f>
      </c>
      <c r="N1636" s="12">
        <f>IF(K1636=1,G1636+L1636*(J1636-G1636),"")</f>
      </c>
    </row>
    <row r="1637" spans="2:14" x14ac:dyDescent="0.25">
      <c r="B1637">
        <v>46</v>
      </c>
      <c r="C1637">
        <v>179.06249999999997</v>
      </c>
      <c r="D1637">
        <v>13</v>
      </c>
      <c r="E1637" s="18">
        <v>6668.239247503234</v>
      </c>
      <c r="F1637" s="18">
        <v>61.194117494334414</v>
      </c>
      <c r="G1637" s="18">
        <v>-5145.28969094893</v>
      </c>
      <c r="H1637" s="12">
        <f>E1638</f>
      </c>
      <c r="I1637" s="12">
        <f>F1638</f>
      </c>
      <c r="J1637" s="12">
        <f>G1638</f>
      </c>
      <c r="K1637">
        <f>IF(AND(Pu&gt;=MIN(E1637,H1637),Pu&lt;=MAX(E1637,H1637),E1637&lt;&gt;H1637),1,0)</f>
      </c>
      <c r="L1637">
        <f>IF(K1637=1,(Pu-E1637)/(H1637-E1637),"")</f>
      </c>
      <c r="M1637" s="12">
        <f>IF(K1637=1,F1637+L1637*(I1637-F1637),"")</f>
      </c>
      <c r="N1637" s="12">
        <f>IF(K1637=1,G1637+L1637*(J1637-G1637),"")</f>
      </c>
    </row>
    <row r="1638" spans="2:14" x14ac:dyDescent="0.25">
      <c r="B1638">
        <v>46</v>
      </c>
      <c r="C1638">
        <v>179.06249999999997</v>
      </c>
      <c r="D1638">
        <v>14</v>
      </c>
      <c r="E1638" s="18">
        <v>6633.895440880829</v>
      </c>
      <c r="F1638" s="18">
        <v>61.329164124741155</v>
      </c>
      <c r="G1638" s="18">
        <v>-5158.714259035724</v>
      </c>
      <c r="H1638" s="12">
        <f>E1639</f>
      </c>
      <c r="I1638" s="12">
        <f>F1639</f>
      </c>
      <c r="J1638" s="12">
        <f>G1639</f>
      </c>
      <c r="K1638">
        <f>IF(AND(Pu&gt;=MIN(E1638,H1638),Pu&lt;=MAX(E1638,H1638),E1638&lt;&gt;H1638),1,0)</f>
      </c>
      <c r="L1638">
        <f>IF(K1638=1,(Pu-E1638)/(H1638-E1638),"")</f>
      </c>
      <c r="M1638" s="12">
        <f>IF(K1638=1,F1638+L1638*(I1638-F1638),"")</f>
      </c>
      <c r="N1638" s="12">
        <f>IF(K1638=1,G1638+L1638*(J1638-G1638),"")</f>
      </c>
    </row>
    <row r="1639" spans="2:14" x14ac:dyDescent="0.25">
      <c r="B1639">
        <v>46</v>
      </c>
      <c r="C1639">
        <v>179.06249999999997</v>
      </c>
      <c r="D1639">
        <v>15</v>
      </c>
      <c r="E1639" s="18">
        <v>6377.274142161347</v>
      </c>
      <c r="F1639" s="18">
        <v>49.125555128671486</v>
      </c>
      <c r="G1639" s="18">
        <v>-5275.229193745343</v>
      </c>
      <c r="H1639" s="12">
        <f>E1640</f>
      </c>
      <c r="I1639" s="12">
        <f>F1640</f>
      </c>
      <c r="J1639" s="12">
        <f>G1640</f>
      </c>
      <c r="K1639">
        <f>IF(AND(Pu&gt;=MIN(E1639,H1639),Pu&lt;=MAX(E1639,H1639),E1639&lt;&gt;H1639),1,0)</f>
      </c>
      <c r="L1639">
        <f>IF(K1639=1,(Pu-E1639)/(H1639-E1639),"")</f>
      </c>
      <c r="M1639" s="12">
        <f>IF(K1639=1,F1639+L1639*(I1639-F1639),"")</f>
      </c>
      <c r="N1639" s="12">
        <f>IF(K1639=1,G1639+L1639*(J1639-G1639),"")</f>
      </c>
    </row>
    <row r="1640" spans="2:14" x14ac:dyDescent="0.25">
      <c r="B1640">
        <v>46</v>
      </c>
      <c r="C1640">
        <v>179.06249999999997</v>
      </c>
      <c r="D1640">
        <v>16</v>
      </c>
      <c r="E1640" s="18">
        <v>6292.712082015463</v>
      </c>
      <c r="F1640" s="18">
        <v>57.561651654286116</v>
      </c>
      <c r="G1640" s="18">
        <v>-5324.975018849273</v>
      </c>
      <c r="H1640" s="12">
        <f>E1641</f>
      </c>
      <c r="I1640" s="12">
        <f>F1641</f>
      </c>
      <c r="J1640" s="12">
        <f>G1641</f>
      </c>
      <c r="K1640">
        <f>IF(AND(Pu&gt;=MIN(E1640,H1640),Pu&lt;=MAX(E1640,H1640),E1640&lt;&gt;H1640),1,0)</f>
      </c>
      <c r="L1640">
        <f>IF(K1640=1,(Pu-E1640)/(H1640-E1640),"")</f>
      </c>
      <c r="M1640" s="12">
        <f>IF(K1640=1,F1640+L1640*(I1640-F1640),"")</f>
      </c>
      <c r="N1640" s="12">
        <f>IF(K1640=1,G1640+L1640*(J1640-G1640),"")</f>
      </c>
    </row>
    <row r="1641" spans="2:14" x14ac:dyDescent="0.25">
      <c r="B1641">
        <v>46</v>
      </c>
      <c r="C1641">
        <v>179.06249999999997</v>
      </c>
      <c r="D1641">
        <v>17</v>
      </c>
      <c r="E1641" s="18">
        <v>6159.854918394719</v>
      </c>
      <c r="F1641" s="18">
        <v>57.9039327573434</v>
      </c>
      <c r="G1641" s="18">
        <v>-5392.01825131391</v>
      </c>
      <c r="H1641" s="12">
        <f>E1642</f>
      </c>
      <c r="I1641" s="12">
        <f>F1642</f>
      </c>
      <c r="J1641" s="12">
        <f>G1642</f>
      </c>
      <c r="K1641">
        <f>IF(AND(Pu&gt;=MIN(E1641,H1641),Pu&lt;=MAX(E1641,H1641),E1641&lt;&gt;H1641),1,0)</f>
      </c>
      <c r="L1641">
        <f>IF(K1641=1,(Pu-E1641)/(H1641-E1641),"")</f>
      </c>
      <c r="M1641" s="12">
        <f>IF(K1641=1,F1641+L1641*(I1641-F1641),"")</f>
      </c>
      <c r="N1641" s="12">
        <f>IF(K1641=1,G1641+L1641*(J1641-G1641),"")</f>
      </c>
    </row>
    <row r="1642" spans="2:14" x14ac:dyDescent="0.25">
      <c r="B1642">
        <v>46</v>
      </c>
      <c r="C1642">
        <v>179.06249999999997</v>
      </c>
      <c r="D1642">
        <v>18</v>
      </c>
      <c r="E1642" s="18">
        <v>5955.57517588301</v>
      </c>
      <c r="F1642" s="18">
        <v>58.67731011311163</v>
      </c>
      <c r="G1642" s="18">
        <v>-5507.485919857044</v>
      </c>
      <c r="H1642" s="12">
        <f>E1643</f>
      </c>
      <c r="I1642" s="12">
        <f>F1643</f>
      </c>
      <c r="J1642" s="12">
        <f>G1643</f>
      </c>
      <c r="K1642">
        <f>IF(AND(Pu&gt;=MIN(E1642,H1642),Pu&lt;=MAX(E1642,H1642),E1642&lt;&gt;H1642),1,0)</f>
      </c>
      <c r="L1642">
        <f>IF(K1642=1,(Pu-E1642)/(H1642-E1642),"")</f>
      </c>
      <c r="M1642" s="12">
        <f>IF(K1642=1,F1642+L1642*(I1642-F1642),"")</f>
      </c>
      <c r="N1642" s="12">
        <f>IF(K1642=1,G1642+L1642*(J1642-G1642),"")</f>
      </c>
    </row>
    <row r="1643" spans="2:14" x14ac:dyDescent="0.25">
      <c r="B1643">
        <v>46</v>
      </c>
      <c r="C1643">
        <v>179.06249999999997</v>
      </c>
      <c r="D1643">
        <v>19</v>
      </c>
      <c r="E1643" s="18">
        <v>5768.97150128118</v>
      </c>
      <c r="F1643" s="18">
        <v>61.563138961200366</v>
      </c>
      <c r="G1643" s="18">
        <v>-5616.732805881785</v>
      </c>
      <c r="H1643" s="12">
        <f>E1644</f>
      </c>
      <c r="I1643" s="12">
        <f>F1644</f>
      </c>
      <c r="J1643" s="12">
        <f>G1644</f>
      </c>
      <c r="K1643">
        <f>IF(AND(Pu&gt;=MIN(E1643,H1643),Pu&lt;=MAX(E1643,H1643),E1643&lt;&gt;H1643),1,0)</f>
      </c>
      <c r="L1643">
        <f>IF(K1643=1,(Pu-E1643)/(H1643-E1643),"")</f>
      </c>
      <c r="M1643" s="12">
        <f>IF(K1643=1,F1643+L1643*(I1643-F1643),"")</f>
      </c>
      <c r="N1643" s="12">
        <f>IF(K1643=1,G1643+L1643*(J1643-G1643),"")</f>
      </c>
    </row>
    <row r="1644" spans="2:14" x14ac:dyDescent="0.25">
      <c r="B1644">
        <v>46</v>
      </c>
      <c r="C1644">
        <v>179.06249999999997</v>
      </c>
      <c r="D1644">
        <v>20</v>
      </c>
      <c r="E1644" s="18">
        <v>5760.382683985854</v>
      </c>
      <c r="F1644" s="18">
        <v>61.24275457975269</v>
      </c>
      <c r="G1644" s="18">
        <v>-5621.979687889686</v>
      </c>
      <c r="H1644" s="12">
        <f>E1645</f>
      </c>
      <c r="I1644" s="12">
        <f>F1645</f>
      </c>
      <c r="J1644" s="12">
        <f>G1645</f>
      </c>
      <c r="K1644">
        <f>IF(AND(Pu&gt;=MIN(E1644,H1644),Pu&lt;=MAX(E1644,H1644),E1644&lt;&gt;H1644),1,0)</f>
      </c>
      <c r="L1644">
        <f>IF(K1644=1,(Pu-E1644)/(H1644-E1644),"")</f>
      </c>
      <c r="M1644" s="12">
        <f>IF(K1644=1,F1644+L1644*(I1644-F1644),"")</f>
      </c>
      <c r="N1644" s="12">
        <f>IF(K1644=1,G1644+L1644*(J1644-G1644),"")</f>
      </c>
    </row>
    <row r="1645" spans="2:14" x14ac:dyDescent="0.25">
      <c r="B1645">
        <v>46</v>
      </c>
      <c r="C1645">
        <v>179.06249999999997</v>
      </c>
      <c r="D1645">
        <v>21</v>
      </c>
      <c r="E1645" s="18">
        <v>5615.946890931653</v>
      </c>
      <c r="F1645" s="18">
        <v>57.654038695121116</v>
      </c>
      <c r="G1645" s="18">
        <v>-5722.680574395443</v>
      </c>
      <c r="H1645" s="12">
        <f>E1646</f>
      </c>
      <c r="I1645" s="12">
        <f>F1646</f>
      </c>
      <c r="J1645" s="12">
        <f>G1646</f>
      </c>
      <c r="K1645">
        <f>IF(AND(Pu&gt;=MIN(E1645,H1645),Pu&lt;=MAX(E1645,H1645),E1645&lt;&gt;H1645),1,0)</f>
      </c>
      <c r="L1645">
        <f>IF(K1645=1,(Pu-E1645)/(H1645-E1645),"")</f>
      </c>
      <c r="M1645" s="12">
        <f>IF(K1645=1,F1645+L1645*(I1645-F1645),"")</f>
      </c>
      <c r="N1645" s="12">
        <f>IF(K1645=1,G1645+L1645*(J1645-G1645),"")</f>
      </c>
    </row>
    <row r="1646" spans="2:14" x14ac:dyDescent="0.25">
      <c r="B1646">
        <v>46</v>
      </c>
      <c r="C1646">
        <v>179.06249999999997</v>
      </c>
      <c r="D1646">
        <v>22</v>
      </c>
      <c r="E1646" s="18">
        <v>5473.335099442656</v>
      </c>
      <c r="F1646" s="18">
        <v>58.12903605398519</v>
      </c>
      <c r="G1646" s="18">
        <v>-5688.1513385802</v>
      </c>
      <c r="H1646" s="12">
        <f>E1647</f>
      </c>
      <c r="I1646" s="12">
        <f>F1647</f>
      </c>
      <c r="J1646" s="12">
        <f>G1647</f>
      </c>
      <c r="K1646">
        <f>IF(AND(Pu&gt;=MIN(E1646,H1646),Pu&lt;=MAX(E1646,H1646),E1646&lt;&gt;H1646),1,0)</f>
      </c>
      <c r="L1646">
        <f>IF(K1646=1,(Pu-E1646)/(H1646-E1646),"")</f>
      </c>
      <c r="M1646" s="12">
        <f>IF(K1646=1,F1646+L1646*(I1646-F1646),"")</f>
      </c>
      <c r="N1646" s="12">
        <f>IF(K1646=1,G1646+L1646*(J1646-G1646),"")</f>
      </c>
    </row>
    <row r="1647" spans="2:14" x14ac:dyDescent="0.25">
      <c r="B1647">
        <v>46</v>
      </c>
      <c r="C1647">
        <v>179.06249999999997</v>
      </c>
      <c r="D1647">
        <v>23</v>
      </c>
      <c r="E1647" s="18">
        <v>5014.634866906762</v>
      </c>
      <c r="F1647" s="18">
        <v>59.74119688616936</v>
      </c>
      <c r="G1647" s="18">
        <v>-5573.334328943307</v>
      </c>
      <c r="H1647" s="12">
        <f>E1648</f>
      </c>
      <c r="I1647" s="12">
        <f>F1648</f>
      </c>
      <c r="J1647" s="12">
        <f>G1648</f>
      </c>
      <c r="K1647">
        <f>IF(AND(Pu&gt;=MIN(E1647,H1647),Pu&lt;=MAX(E1647,H1647),E1647&lt;&gt;H1647),1,0)</f>
      </c>
      <c r="L1647">
        <f>IF(K1647=1,(Pu-E1647)/(H1647-E1647),"")</f>
      </c>
      <c r="M1647" s="12">
        <f>IF(K1647=1,F1647+L1647*(I1647-F1647),"")</f>
      </c>
      <c r="N1647" s="12">
        <f>IF(K1647=1,G1647+L1647*(J1647-G1647),"")</f>
      </c>
    </row>
    <row r="1648" spans="2:14" x14ac:dyDescent="0.25">
      <c r="B1648">
        <v>46</v>
      </c>
      <c r="C1648">
        <v>179.06249999999997</v>
      </c>
      <c r="D1648">
        <v>24</v>
      </c>
      <c r="E1648" s="18">
        <v>4245.079618854725</v>
      </c>
      <c r="F1648" s="18">
        <v>53.88478075798026</v>
      </c>
      <c r="G1648" s="18">
        <v>-5363.831379719478</v>
      </c>
      <c r="H1648" s="12">
        <f>E1649</f>
      </c>
      <c r="I1648" s="12">
        <f>F1649</f>
      </c>
      <c r="J1648" s="12">
        <f>G1649</f>
      </c>
      <c r="K1648">
        <f>IF(AND(Pu&gt;=MIN(E1648,H1648),Pu&lt;=MAX(E1648,H1648),E1648&lt;&gt;H1648),1,0)</f>
      </c>
      <c r="L1648">
        <f>IF(K1648=1,(Pu-E1648)/(H1648-E1648),"")</f>
      </c>
      <c r="M1648" s="12">
        <f>IF(K1648=1,F1648+L1648*(I1648-F1648),"")</f>
      </c>
      <c r="N1648" s="12">
        <f>IF(K1648=1,G1648+L1648*(J1648-G1648),"")</f>
      </c>
    </row>
    <row r="1649" spans="2:14" x14ac:dyDescent="0.25">
      <c r="B1649">
        <v>46</v>
      </c>
      <c r="C1649">
        <v>179.06249999999997</v>
      </c>
      <c r="D1649">
        <v>25</v>
      </c>
      <c r="E1649" s="18">
        <v>3741.027838012179</v>
      </c>
      <c r="F1649" s="18">
        <v>55.961524065848685</v>
      </c>
      <c r="G1649" s="18">
        <v>-5185.404987376141</v>
      </c>
      <c r="H1649" s="12">
        <f>E1650</f>
      </c>
      <c r="I1649" s="12">
        <f>F1650</f>
      </c>
      <c r="J1649" s="12">
        <f>G1650</f>
      </c>
      <c r="K1649">
        <f>IF(AND(Pu&gt;=MIN(E1649,H1649),Pu&lt;=MAX(E1649,H1649),E1649&lt;&gt;H1649),1,0)</f>
      </c>
      <c r="L1649">
        <f>IF(K1649=1,(Pu-E1649)/(H1649-E1649),"")</f>
      </c>
      <c r="M1649" s="12">
        <f>IF(K1649=1,F1649+L1649*(I1649-F1649),"")</f>
      </c>
      <c r="N1649" s="12">
        <f>IF(K1649=1,G1649+L1649*(J1649-G1649),"")</f>
      </c>
    </row>
    <row r="1650" spans="2:14" x14ac:dyDescent="0.25">
      <c r="B1650">
        <v>46</v>
      </c>
      <c r="C1650">
        <v>179.06249999999997</v>
      </c>
      <c r="D1650">
        <v>26</v>
      </c>
      <c r="E1650" s="18">
        <v>3262.907158530716</v>
      </c>
      <c r="F1650" s="18">
        <v>58.724192398209276</v>
      </c>
      <c r="G1650" s="18">
        <v>-5008.226425027319</v>
      </c>
      <c r="H1650" s="12">
        <f>E1651</f>
      </c>
      <c r="I1650" s="12">
        <f>F1651</f>
      </c>
      <c r="J1650" s="12">
        <f>G1651</f>
      </c>
      <c r="K1650">
        <f>IF(AND(Pu&gt;=MIN(E1650,H1650),Pu&lt;=MAX(E1650,H1650),E1650&lt;&gt;H1650),1,0)</f>
      </c>
      <c r="L1650">
        <f>IF(K1650=1,(Pu-E1650)/(H1650-E1650),"")</f>
      </c>
      <c r="M1650" s="12">
        <f>IF(K1650=1,F1650+L1650*(I1650-F1650),"")</f>
      </c>
      <c r="N1650" s="12">
        <f>IF(K1650=1,G1650+L1650*(J1650-G1650),"")</f>
      </c>
    </row>
    <row r="1651" spans="2:14" x14ac:dyDescent="0.25">
      <c r="B1651">
        <v>46</v>
      </c>
      <c r="C1651">
        <v>179.06249999999997</v>
      </c>
      <c r="D1651">
        <v>27</v>
      </c>
      <c r="E1651" s="18">
        <v>2516.711059665428</v>
      </c>
      <c r="F1651" s="18">
        <v>54.376953564417974</v>
      </c>
      <c r="G1651" s="18">
        <v>-4693.730358264185</v>
      </c>
      <c r="H1651" s="12">
        <f>E1652</f>
      </c>
      <c r="I1651" s="12">
        <f>F1652</f>
      </c>
      <c r="J1651" s="12">
        <f>G1652</f>
      </c>
      <c r="K1651">
        <f>IF(AND(Pu&gt;=MIN(E1651,H1651),Pu&lt;=MAX(E1651,H1651),E1651&lt;&gt;H1651),1,0)</f>
      </c>
      <c r="L1651">
        <f>IF(K1651=1,(Pu-E1651)/(H1651-E1651),"")</f>
      </c>
      <c r="M1651" s="12">
        <f>IF(K1651=1,F1651+L1651*(I1651-F1651),"")</f>
      </c>
      <c r="N1651" s="12">
        <f>IF(K1651=1,G1651+L1651*(J1651-G1651),"")</f>
      </c>
    </row>
    <row r="1652" spans="2:14" x14ac:dyDescent="0.25">
      <c r="B1652">
        <v>46</v>
      </c>
      <c r="C1652">
        <v>179.06249999999997</v>
      </c>
      <c r="D1652">
        <v>28</v>
      </c>
      <c r="E1652" s="18">
        <v>1950.0143460882825</v>
      </c>
      <c r="F1652" s="18">
        <v>59.10961784610761</v>
      </c>
      <c r="G1652" s="18">
        <v>-4417.782741957646</v>
      </c>
      <c r="H1652" s="12">
        <f>E1653</f>
      </c>
      <c r="I1652" s="12">
        <f>F1653</f>
      </c>
      <c r="J1652" s="12">
        <f>G1653</f>
      </c>
      <c r="K1652">
        <f>IF(AND(Pu&gt;=MIN(E1652,H1652),Pu&lt;=MAX(E1652,H1652),E1652&lt;&gt;H1652),1,0)</f>
      </c>
      <c r="L1652">
        <f>IF(K1652=1,(Pu-E1652)/(H1652-E1652),"")</f>
      </c>
      <c r="M1652" s="12">
        <f>IF(K1652=1,F1652+L1652*(I1652-F1652),"")</f>
      </c>
      <c r="N1652" s="12">
        <f>IF(K1652=1,G1652+L1652*(J1652-G1652),"")</f>
      </c>
    </row>
    <row r="1653" spans="2:14" x14ac:dyDescent="0.25">
      <c r="B1653">
        <v>46</v>
      </c>
      <c r="C1653">
        <v>179.06249999999997</v>
      </c>
      <c r="D1653">
        <v>29</v>
      </c>
      <c r="E1653" s="18">
        <v>1269.263492578596</v>
      </c>
      <c r="F1653" s="18">
        <v>64.76497972613838</v>
      </c>
      <c r="G1653" s="18">
        <v>-4065.70785598639</v>
      </c>
      <c r="H1653" s="12">
        <f>E1654</f>
      </c>
      <c r="I1653" s="12">
        <f>F1654</f>
      </c>
      <c r="J1653" s="12">
        <f>G1654</f>
      </c>
      <c r="K1653">
        <f>IF(AND(Pu&gt;=MIN(E1653,H1653),Pu&lt;=MAX(E1653,H1653),E1653&lt;&gt;H1653),1,0)</f>
      </c>
      <c r="L1653">
        <f>IF(K1653=1,(Pu-E1653)/(H1653-E1653),"")</f>
      </c>
      <c r="M1653" s="12">
        <f>IF(K1653=1,F1653+L1653*(I1653-F1653),"")</f>
      </c>
      <c r="N1653" s="12">
        <f>IF(K1653=1,G1653+L1653*(J1653-G1653),"")</f>
      </c>
    </row>
    <row r="1654" spans="2:14" x14ac:dyDescent="0.25">
      <c r="B1654">
        <v>46</v>
      </c>
      <c r="C1654">
        <v>179.06249999999997</v>
      </c>
      <c r="D1654">
        <v>30</v>
      </c>
      <c r="E1654" s="18">
        <v>646.3075802162202</v>
      </c>
      <c r="F1654" s="18">
        <v>42.6472079033253</v>
      </c>
      <c r="G1654" s="18">
        <v>-3726.7984247378035</v>
      </c>
      <c r="H1654" s="12">
        <f>E1655</f>
      </c>
      <c r="I1654" s="12">
        <f>F1655</f>
      </c>
      <c r="J1654" s="12">
        <f>G1655</f>
      </c>
      <c r="K1654">
        <f>IF(AND(Pu&gt;=MIN(E1654,H1654),Pu&lt;=MAX(E1654,H1654),E1654&lt;&gt;H1654),1,0)</f>
      </c>
      <c r="L1654">
        <f>IF(K1654=1,(Pu-E1654)/(H1654-E1654),"")</f>
      </c>
      <c r="M1654" s="12">
        <f>IF(K1654=1,F1654+L1654*(I1654-F1654),"")</f>
      </c>
      <c r="N1654" s="12">
        <f>IF(K1654=1,G1654+L1654*(J1654-G1654),"")</f>
      </c>
    </row>
    <row r="1655" spans="2:14" x14ac:dyDescent="0.25">
      <c r="B1655">
        <v>46</v>
      </c>
      <c r="C1655">
        <v>179.06249999999997</v>
      </c>
      <c r="D1655">
        <v>31</v>
      </c>
      <c r="E1655" s="18">
        <v>-147.74840200011892</v>
      </c>
      <c r="F1655" s="18">
        <v>44.51729266391204</v>
      </c>
      <c r="G1655" s="18">
        <v>-3244.6305274465103</v>
      </c>
      <c r="H1655" s="12">
        <f>E1656</f>
      </c>
      <c r="I1655" s="12">
        <f>F1656</f>
      </c>
      <c r="J1655" s="12">
        <f>G1656</f>
      </c>
      <c r="K1655">
        <f>IF(AND(Pu&gt;=MIN(E1655,H1655),Pu&lt;=MAX(E1655,H1655),E1655&lt;&gt;H1655),1,0)</f>
      </c>
      <c r="L1655">
        <f>IF(K1655=1,(Pu-E1655)/(H1655-E1655),"")</f>
      </c>
      <c r="M1655" s="12">
        <f>IF(K1655=1,F1655+L1655*(I1655-F1655),"")</f>
      </c>
      <c r="N1655" s="12">
        <f>IF(K1655=1,G1655+L1655*(J1655-G1655),"")</f>
      </c>
    </row>
    <row r="1656" spans="2:14" x14ac:dyDescent="0.25">
      <c r="B1656">
        <v>46</v>
      </c>
      <c r="C1656">
        <v>179.06249999999997</v>
      </c>
      <c r="D1656">
        <v>32</v>
      </c>
      <c r="E1656" s="18">
        <v>-767.6422400899058</v>
      </c>
      <c r="F1656" s="18">
        <v>41.86495204004</v>
      </c>
      <c r="G1656" s="18">
        <v>-2849.2129345862504</v>
      </c>
      <c r="H1656" s="12">
        <f>E1657</f>
      </c>
      <c r="I1656" s="12">
        <f>F1657</f>
      </c>
      <c r="J1656" s="12">
        <f>G1657</f>
      </c>
      <c r="K1656">
        <f>IF(AND(Pu&gt;=MIN(E1656,H1656),Pu&lt;=MAX(E1656,H1656),E1656&lt;&gt;H1656),1,0)</f>
      </c>
      <c r="L1656">
        <f>IF(K1656=1,(Pu-E1656)/(H1656-E1656),"")</f>
      </c>
      <c r="M1656" s="12">
        <f>IF(K1656=1,F1656+L1656*(I1656-F1656),"")</f>
      </c>
      <c r="N1656" s="12">
        <f>IF(K1656=1,G1656+L1656*(J1656-G1656),"")</f>
      </c>
    </row>
    <row r="1657" spans="2:14" x14ac:dyDescent="0.25">
      <c r="B1657">
        <v>46</v>
      </c>
      <c r="C1657">
        <v>179.06249999999997</v>
      </c>
      <c r="D1657">
        <v>33</v>
      </c>
      <c r="E1657" s="18">
        <v>-1644.414922041391</v>
      </c>
      <c r="F1657" s="18">
        <v>39.91391767776491</v>
      </c>
      <c r="G1657" s="18">
        <v>-2270.9034838452485</v>
      </c>
      <c r="H1657" s="12">
        <f>E1658</f>
      </c>
      <c r="I1657" s="12">
        <f>F1658</f>
      </c>
      <c r="J1657" s="12">
        <f>G1658</f>
      </c>
      <c r="K1657">
        <f>IF(AND(Pu&gt;=MIN(E1657,H1657),Pu&lt;=MAX(E1657,H1657),E1657&lt;&gt;H1657),1,0)</f>
      </c>
      <c r="L1657">
        <f>IF(K1657=1,(Pu-E1657)/(H1657-E1657),"")</f>
      </c>
      <c r="M1657" s="12">
        <f>IF(K1657=1,F1657+L1657*(I1657-F1657),"")</f>
      </c>
      <c r="N1657" s="12">
        <f>IF(K1657=1,G1657+L1657*(J1657-G1657),"")</f>
      </c>
    </row>
    <row r="1658" spans="2:14" x14ac:dyDescent="0.25">
      <c r="B1658">
        <v>46</v>
      </c>
      <c r="C1658">
        <v>179.06249999999997</v>
      </c>
      <c r="D1658">
        <v>34</v>
      </c>
      <c r="E1658" s="18">
        <v>-2244.251166554604</v>
      </c>
      <c r="F1658" s="18">
        <v>33.10231205687241</v>
      </c>
      <c r="G1658" s="18">
        <v>-1865.6047055293113</v>
      </c>
      <c r="H1658" s="12">
        <f>E1659</f>
      </c>
      <c r="I1658" s="12">
        <f>F1659</f>
      </c>
      <c r="J1658" s="12">
        <f>G1659</f>
      </c>
      <c r="K1658">
        <f>IF(AND(Pu&gt;=MIN(E1658,H1658),Pu&lt;=MAX(E1658,H1658),E1658&lt;&gt;H1658),1,0)</f>
      </c>
      <c r="L1658">
        <f>IF(K1658=1,(Pu-E1658)/(H1658-E1658),"")</f>
      </c>
      <c r="M1658" s="12">
        <f>IF(K1658=1,F1658+L1658*(I1658-F1658),"")</f>
      </c>
      <c r="N1658" s="12">
        <f>IF(K1658=1,G1658+L1658*(J1658-G1658),"")</f>
      </c>
    </row>
    <row r="1659" spans="2:14" x14ac:dyDescent="0.25">
      <c r="B1659">
        <v>46</v>
      </c>
      <c r="C1659">
        <v>179.06249999999997</v>
      </c>
      <c r="D1659">
        <v>35</v>
      </c>
      <c r="E1659" s="18">
        <v>-3374.6406793095716</v>
      </c>
      <c r="F1659" s="18">
        <v>43.92926933412561</v>
      </c>
      <c r="G1659" s="18">
        <v>-1090.6229396309336</v>
      </c>
      <c r="H1659" s="12">
        <f>E1660</f>
      </c>
      <c r="I1659" s="12">
        <f>F1660</f>
      </c>
      <c r="J1659" s="12">
        <f>G1660</f>
      </c>
      <c r="K1659">
        <f>IF(AND(Pu&gt;=MIN(E1659,H1659),Pu&lt;=MAX(E1659,H1659),E1659&lt;&gt;H1659),1,0)</f>
      </c>
      <c r="L1659">
        <f>IF(K1659=1,(Pu-E1659)/(H1659-E1659),"")</f>
      </c>
      <c r="M1659" s="12">
        <f>IF(K1659=1,F1659+L1659*(I1659-F1659),"")</f>
      </c>
      <c r="N1659" s="12">
        <f>IF(K1659=1,G1659+L1659*(J1659-G1659),"")</f>
      </c>
    </row>
    <row r="1660" spans="2:7" x14ac:dyDescent="0.25">
      <c r="B1660">
        <v>46</v>
      </c>
      <c r="C1660">
        <v>179.06249999999997</v>
      </c>
      <c r="D1660">
        <v>36</v>
      </c>
      <c r="E1660" s="18">
        <v>-4260.136771791481</v>
      </c>
      <c r="F1660" s="18">
        <v>38.42087199900357</v>
      </c>
      <c r="G1660" s="18">
        <v>-481.0808845290992</v>
      </c>
    </row>
    <row r="1662" spans="2:14" x14ac:dyDescent="0.25">
      <c r="B1662">
        <v>47</v>
      </c>
      <c r="C1662">
        <v>180</v>
      </c>
      <c r="D1662">
        <v>1</v>
      </c>
      <c r="E1662" s="18">
        <v>17297.339801581682</v>
      </c>
      <c r="F1662" s="18">
        <v>-2.9057264328002935e-14</v>
      </c>
      <c r="G1662" s="18">
        <v>-2904.9395861180205</v>
      </c>
      <c r="H1662" s="12">
        <f>E1663</f>
      </c>
      <c r="I1662" s="12">
        <f>F1663</f>
      </c>
      <c r="J1662" s="12">
        <f>G1663</f>
      </c>
      <c r="K1662">
        <f>IF(AND(Pu&gt;=MIN(E1662,H1662),Pu&lt;=MAX(E1662,H1662),E1662&lt;&gt;H1662),1,0)</f>
      </c>
      <c r="L1662">
        <f>IF(K1662=1,(Pu-E1662)/(H1662-E1662),"")</f>
      </c>
      <c r="M1662" s="12">
        <f>IF(K1662=1,F1662+L1662*(I1662-F1662),"")</f>
      </c>
      <c r="N1662" s="12">
        <f>IF(K1662=1,G1662+L1662*(J1662-G1662),"")</f>
      </c>
    </row>
    <row r="1663" spans="2:14" x14ac:dyDescent="0.25">
      <c r="B1663">
        <v>47</v>
      </c>
      <c r="C1663">
        <v>180</v>
      </c>
      <c r="D1663">
        <v>2</v>
      </c>
      <c r="E1663" s="18">
        <v>16729.912727771847</v>
      </c>
      <c r="F1663" s="18">
        <v>2.6635825634002686e-14</v>
      </c>
      <c r="G1663" s="18">
        <v>-3174.4158204826354</v>
      </c>
      <c r="H1663" s="12">
        <f>E1664</f>
      </c>
      <c r="I1663" s="12">
        <f>F1664</f>
      </c>
      <c r="J1663" s="12">
        <f>G1664</f>
      </c>
      <c r="K1663">
        <f>IF(AND(Pu&gt;=MIN(E1663,H1663),Pu&lt;=MAX(E1663,H1663),E1663&lt;&gt;H1663),1,0)</f>
      </c>
      <c r="L1663">
        <f>IF(K1663=1,(Pu-E1663)/(H1663-E1663),"")</f>
      </c>
      <c r="M1663" s="12">
        <f>IF(K1663=1,F1663+L1663*(I1663-F1663),"")</f>
      </c>
      <c r="N1663" s="12">
        <f>IF(K1663=1,G1663+L1663*(J1663-G1663),"")</f>
      </c>
    </row>
    <row r="1664" spans="2:14" x14ac:dyDescent="0.25">
      <c r="B1664">
        <v>47</v>
      </c>
      <c r="C1664">
        <v>180</v>
      </c>
      <c r="D1664">
        <v>3</v>
      </c>
      <c r="E1664" s="18">
        <v>16022.71723703223</v>
      </c>
      <c r="F1664" s="18">
        <v>1.7706770449876783e-13</v>
      </c>
      <c r="G1664" s="18">
        <v>-3472.6935989597428</v>
      </c>
      <c r="H1664" s="12">
        <f>E1665</f>
      </c>
      <c r="I1664" s="12">
        <f>F1665</f>
      </c>
      <c r="J1664" s="12">
        <f>G1665</f>
      </c>
      <c r="K1664">
        <f>IF(AND(Pu&gt;=MIN(E1664,H1664),Pu&lt;=MAX(E1664,H1664),E1664&lt;&gt;H1664),1,0)</f>
      </c>
      <c r="L1664">
        <f>IF(K1664=1,(Pu-E1664)/(H1664-E1664),"")</f>
      </c>
      <c r="M1664" s="12">
        <f>IF(K1664=1,F1664+L1664*(I1664-F1664),"")</f>
      </c>
      <c r="N1664" s="12">
        <f>IF(K1664=1,G1664+L1664*(J1664-G1664),"")</f>
      </c>
    </row>
    <row r="1665" spans="2:14" x14ac:dyDescent="0.25">
      <c r="B1665">
        <v>47</v>
      </c>
      <c r="C1665">
        <v>180</v>
      </c>
      <c r="D1665">
        <v>4</v>
      </c>
      <c r="E1665" s="18">
        <v>15292.219635048315</v>
      </c>
      <c r="F1665" s="18">
        <v>2.618180587887764e-13</v>
      </c>
      <c r="G1665" s="18">
        <v>-3729.143103246616</v>
      </c>
      <c r="H1665" s="12">
        <f>E1666</f>
      </c>
      <c r="I1665" s="12">
        <f>F1666</f>
      </c>
      <c r="J1665" s="12">
        <f>G1666</f>
      </c>
      <c r="K1665">
        <f>IF(AND(Pu&gt;=MIN(E1665,H1665),Pu&lt;=MAX(E1665,H1665),E1665&lt;&gt;H1665),1,0)</f>
      </c>
      <c r="L1665">
        <f>IF(K1665=1,(Pu-E1665)/(H1665-E1665),"")</f>
      </c>
      <c r="M1665" s="12">
        <f>IF(K1665=1,F1665+L1665*(I1665-F1665),"")</f>
      </c>
      <c r="N1665" s="12">
        <f>IF(K1665=1,G1665+L1665*(J1665-G1665),"")</f>
      </c>
    </row>
    <row r="1666" spans="2:14" x14ac:dyDescent="0.25">
      <c r="B1666">
        <v>47</v>
      </c>
      <c r="C1666">
        <v>180</v>
      </c>
      <c r="D1666">
        <v>5</v>
      </c>
      <c r="E1666" s="18">
        <v>13975.53143193564</v>
      </c>
      <c r="F1666" s="18">
        <v>3.167032472756712e-13</v>
      </c>
      <c r="G1666" s="18">
        <v>-4103.448613066527</v>
      </c>
      <c r="H1666" s="12">
        <f>E1667</f>
      </c>
      <c r="I1666" s="12">
        <f>F1667</f>
      </c>
      <c r="J1666" s="12">
        <f>G1667</f>
      </c>
      <c r="K1666">
        <f>IF(AND(Pu&gt;=MIN(E1666,H1666),Pu&lt;=MAX(E1666,H1666),E1666&lt;&gt;H1666),1,0)</f>
      </c>
      <c r="L1666">
        <f>IF(K1666=1,(Pu-E1666)/(H1666-E1666),"")</f>
      </c>
      <c r="M1666" s="12">
        <f>IF(K1666=1,F1666+L1666*(I1666-F1666),"")</f>
      </c>
      <c r="N1666" s="12">
        <f>IF(K1666=1,G1666+L1666*(J1666-G1666),"")</f>
      </c>
    </row>
    <row r="1667" spans="2:14" x14ac:dyDescent="0.25">
      <c r="B1667">
        <v>47</v>
      </c>
      <c r="C1667">
        <v>180</v>
      </c>
      <c r="D1667">
        <v>6</v>
      </c>
      <c r="E1667" s="18">
        <v>11846.560160231176</v>
      </c>
      <c r="F1667" s="18">
        <v>2.3730099201202394e-13</v>
      </c>
      <c r="G1667" s="18">
        <v>-4476.675218242387</v>
      </c>
      <c r="H1667" s="12">
        <f>E1668</f>
      </c>
      <c r="I1667" s="12">
        <f>F1668</f>
      </c>
      <c r="J1667" s="12">
        <f>G1668</f>
      </c>
      <c r="K1667">
        <f>IF(AND(Pu&gt;=MIN(E1667,H1667),Pu&lt;=MAX(E1667,H1667),E1667&lt;&gt;H1667),1,0)</f>
      </c>
      <c r="L1667">
        <f>IF(K1667=1,(Pu-E1667)/(H1667-E1667),"")</f>
      </c>
      <c r="M1667" s="12">
        <f>IF(K1667=1,F1667+L1667*(I1667-F1667),"")</f>
      </c>
      <c r="N1667" s="12">
        <f>IF(K1667=1,G1667+L1667*(J1667-G1667),"")</f>
      </c>
    </row>
    <row r="1668" spans="2:14" x14ac:dyDescent="0.25">
      <c r="B1668">
        <v>47</v>
      </c>
      <c r="C1668">
        <v>180</v>
      </c>
      <c r="D1668">
        <v>7</v>
      </c>
      <c r="E1668" s="18">
        <v>9888.847323308555</v>
      </c>
      <c r="F1668" s="18">
        <v>3.7774443626403813e-13</v>
      </c>
      <c r="G1668" s="18">
        <v>-4705.730394301221</v>
      </c>
      <c r="H1668" s="12">
        <f>E1669</f>
      </c>
      <c r="I1668" s="12">
        <f>F1669</f>
      </c>
      <c r="J1668" s="12">
        <f>G1669</f>
      </c>
      <c r="K1668">
        <f>IF(AND(Pu&gt;=MIN(E1668,H1668),Pu&lt;=MAX(E1668,H1668),E1668&lt;&gt;H1668),1,0)</f>
      </c>
      <c r="L1668">
        <f>IF(K1668=1,(Pu-E1668)/(H1668-E1668),"")</f>
      </c>
      <c r="M1668" s="12">
        <f>IF(K1668=1,F1668+L1668*(I1668-F1668),"")</f>
      </c>
      <c r="N1668" s="12">
        <f>IF(K1668=1,G1668+L1668*(J1668-G1668),"")</f>
      </c>
    </row>
    <row r="1669" spans="2:14" x14ac:dyDescent="0.25">
      <c r="B1669">
        <v>47</v>
      </c>
      <c r="C1669">
        <v>180</v>
      </c>
      <c r="D1669">
        <v>8</v>
      </c>
      <c r="E1669" s="18">
        <v>8968.920285263712</v>
      </c>
      <c r="F1669" s="18">
        <v>3.9711594581604005e-13</v>
      </c>
      <c r="G1669" s="18">
        <v>-4781.543944731382</v>
      </c>
      <c r="H1669" s="12">
        <f>E1670</f>
      </c>
      <c r="I1669" s="12">
        <f>F1670</f>
      </c>
      <c r="J1669" s="12">
        <f>G1670</f>
      </c>
      <c r="K1669">
        <f>IF(AND(Pu&gt;=MIN(E1669,H1669),Pu&lt;=MAX(E1669,H1669),E1669&lt;&gt;H1669),1,0)</f>
      </c>
      <c r="L1669">
        <f>IF(K1669=1,(Pu-E1669)/(H1669-E1669),"")</f>
      </c>
      <c r="M1669" s="12">
        <f>IF(K1669=1,F1669+L1669*(I1669-F1669),"")</f>
      </c>
      <c r="N1669" s="12">
        <f>IF(K1669=1,G1669+L1669*(J1669-G1669),"")</f>
      </c>
    </row>
    <row r="1670" spans="2:14" x14ac:dyDescent="0.25">
      <c r="B1670">
        <v>47</v>
      </c>
      <c r="C1670">
        <v>180</v>
      </c>
      <c r="D1670">
        <v>9</v>
      </c>
      <c r="E1670" s="18">
        <v>8450.330106614007</v>
      </c>
      <c r="F1670" s="18">
        <v>7.23691119088067e-13</v>
      </c>
      <c r="G1670" s="18">
        <v>-4876.4240019138215</v>
      </c>
      <c r="H1670" s="12">
        <f>E1671</f>
      </c>
      <c r="I1670" s="12">
        <f>F1671</f>
      </c>
      <c r="J1670" s="12">
        <f>G1671</f>
      </c>
      <c r="K1670">
        <f>IF(AND(Pu&gt;=MIN(E1670,H1670),Pu&lt;=MAX(E1670,H1670),E1670&lt;&gt;H1670),1,0)</f>
      </c>
      <c r="L1670">
        <f>IF(K1670=1,(Pu-E1670)/(H1670-E1670),"")</f>
      </c>
      <c r="M1670" s="12">
        <f>IF(K1670=1,F1670+L1670*(I1670-F1670),"")</f>
      </c>
      <c r="N1670" s="12">
        <f>IF(K1670=1,G1670+L1670*(J1670-G1670),"")</f>
      </c>
    </row>
    <row r="1671" spans="2:14" x14ac:dyDescent="0.25">
      <c r="B1671">
        <v>47</v>
      </c>
      <c r="C1671">
        <v>180</v>
      </c>
      <c r="D1671">
        <v>10</v>
      </c>
      <c r="E1671" s="18">
        <v>8128.7477992608</v>
      </c>
      <c r="F1671" s="18">
        <v>5.833804607391358e-13</v>
      </c>
      <c r="G1671" s="18">
        <v>-4928.9401559176595</v>
      </c>
      <c r="H1671" s="12">
        <f>E1672</f>
      </c>
      <c r="I1671" s="12">
        <f>F1672</f>
      </c>
      <c r="J1671" s="12">
        <f>G1672</f>
      </c>
      <c r="K1671">
        <f>IF(AND(Pu&gt;=MIN(E1671,H1671),Pu&lt;=MAX(E1671,H1671),E1671&lt;&gt;H1671),1,0)</f>
      </c>
      <c r="L1671">
        <f>IF(K1671=1,(Pu-E1671)/(H1671-E1671),"")</f>
      </c>
      <c r="M1671" s="12">
        <f>IF(K1671=1,F1671+L1671*(I1671-F1671),"")</f>
      </c>
      <c r="N1671" s="12">
        <f>IF(K1671=1,G1671+L1671*(J1671-G1671),"")</f>
      </c>
    </row>
    <row r="1672" spans="2:14" x14ac:dyDescent="0.25">
      <c r="B1672">
        <v>47</v>
      </c>
      <c r="C1672">
        <v>180</v>
      </c>
      <c r="D1672">
        <v>11</v>
      </c>
      <c r="E1672" s="18">
        <v>7417.830399151904</v>
      </c>
      <c r="F1672" s="18">
        <v>4.2587121327718104e-13</v>
      </c>
      <c r="G1672" s="18">
        <v>-5030.212884648077</v>
      </c>
      <c r="H1672" s="12">
        <f>E1673</f>
      </c>
      <c r="I1672" s="12">
        <f>F1673</f>
      </c>
      <c r="J1672" s="12">
        <f>G1673</f>
      </c>
      <c r="K1672">
        <f>IF(AND(Pu&gt;=MIN(E1672,H1672),Pu&lt;=MAX(E1672,H1672),E1672&lt;&gt;H1672),1,0)</f>
      </c>
      <c r="L1672">
        <f>IF(K1672=1,(Pu-E1672)/(H1672-E1672),"")</f>
      </c>
      <c r="M1672" s="12">
        <f>IF(K1672=1,F1672+L1672*(I1672-F1672),"")</f>
      </c>
      <c r="N1672" s="12">
        <f>IF(K1672=1,G1672+L1672*(J1672-G1672),"")</f>
      </c>
    </row>
    <row r="1673" spans="2:14" x14ac:dyDescent="0.25">
      <c r="B1673">
        <v>47</v>
      </c>
      <c r="C1673">
        <v>180</v>
      </c>
      <c r="D1673">
        <v>12</v>
      </c>
      <c r="E1673" s="18">
        <v>7325.142058883315</v>
      </c>
      <c r="F1673" s="18">
        <v>4.485249519348144e-13</v>
      </c>
      <c r="G1673" s="18">
        <v>-5042.038033189336</v>
      </c>
      <c r="H1673" s="12">
        <f>E1674</f>
      </c>
      <c r="I1673" s="12">
        <f>F1674</f>
      </c>
      <c r="J1673" s="12">
        <f>G1674</f>
      </c>
      <c r="K1673">
        <f>IF(AND(Pu&gt;=MIN(E1673,H1673),Pu&lt;=MAX(E1673,H1673),E1673&lt;&gt;H1673),1,0)</f>
      </c>
      <c r="L1673">
        <f>IF(K1673=1,(Pu-E1673)/(H1673-E1673),"")</f>
      </c>
      <c r="M1673" s="12">
        <f>IF(K1673=1,F1673+L1673*(I1673-F1673),"")</f>
      </c>
      <c r="N1673" s="12">
        <f>IF(K1673=1,G1673+L1673*(J1673-G1673),"")</f>
      </c>
    </row>
    <row r="1674" spans="2:14" x14ac:dyDescent="0.25">
      <c r="B1674">
        <v>47</v>
      </c>
      <c r="C1674">
        <v>180</v>
      </c>
      <c r="D1674">
        <v>13</v>
      </c>
      <c r="E1674" s="18">
        <v>6690.036525100961</v>
      </c>
      <c r="F1674" s="18">
        <v>6.022863090038299e-13</v>
      </c>
      <c r="G1674" s="18">
        <v>-5152.029088310793</v>
      </c>
      <c r="H1674" s="12">
        <f>E1675</f>
      </c>
      <c r="I1674" s="12">
        <f>F1675</f>
      </c>
      <c r="J1674" s="12">
        <f>G1675</f>
      </c>
      <c r="K1674">
        <f>IF(AND(Pu&gt;=MIN(E1674,H1674),Pu&lt;=MAX(E1674,H1674),E1674&lt;&gt;H1674),1,0)</f>
      </c>
      <c r="L1674">
        <f>IF(K1674=1,(Pu-E1674)/(H1674-E1674),"")</f>
      </c>
      <c r="M1674" s="12">
        <f>IF(K1674=1,F1674+L1674*(I1674-F1674),"")</f>
      </c>
      <c r="N1674" s="12">
        <f>IF(K1674=1,G1674+L1674*(J1674-G1674),"")</f>
      </c>
    </row>
    <row r="1675" spans="2:14" x14ac:dyDescent="0.25">
      <c r="B1675">
        <v>47</v>
      </c>
      <c r="C1675">
        <v>180</v>
      </c>
      <c r="D1675">
        <v>14</v>
      </c>
      <c r="E1675" s="18">
        <v>6651.42181816507</v>
      </c>
      <c r="F1675" s="18">
        <v>5.624907883970015e-13</v>
      </c>
      <c r="G1675" s="18">
        <v>-5167.311535405986</v>
      </c>
      <c r="H1675" s="12">
        <f>E1676</f>
      </c>
      <c r="I1675" s="12">
        <f>F1676</f>
      </c>
      <c r="J1675" s="12">
        <f>G1676</f>
      </c>
      <c r="K1675">
        <f>IF(AND(Pu&gt;=MIN(E1675,H1675),Pu&lt;=MAX(E1675,H1675),E1675&lt;&gt;H1675),1,0)</f>
      </c>
      <c r="L1675">
        <f>IF(K1675=1,(Pu-E1675)/(H1675-E1675),"")</f>
      </c>
      <c r="M1675" s="12">
        <f>IF(K1675=1,F1675+L1675*(I1675-F1675),"")</f>
      </c>
      <c r="N1675" s="12">
        <f>IF(K1675=1,G1675+L1675*(J1675-G1675),"")</f>
      </c>
    </row>
    <row r="1676" spans="2:14" x14ac:dyDescent="0.25">
      <c r="B1676">
        <v>47</v>
      </c>
      <c r="C1676">
        <v>180</v>
      </c>
      <c r="D1676">
        <v>15</v>
      </c>
      <c r="E1676" s="18">
        <v>6387.7695020610745</v>
      </c>
      <c r="F1676" s="18">
        <v>6.440095603466033e-13</v>
      </c>
      <c r="G1676" s="18">
        <v>-5278.75725335699</v>
      </c>
      <c r="H1676" s="12">
        <f>E1677</f>
      </c>
      <c r="I1676" s="12">
        <f>F1677</f>
      </c>
      <c r="J1676" s="12">
        <f>G1677</f>
      </c>
      <c r="K1676">
        <f>IF(AND(Pu&gt;=MIN(E1676,H1676),Pu&lt;=MAX(E1676,H1676),E1676&lt;&gt;H1676),1,0)</f>
      </c>
      <c r="L1676">
        <f>IF(K1676=1,(Pu-E1676)/(H1676-E1676),"")</f>
      </c>
      <c r="M1676" s="12">
        <f>IF(K1676=1,F1676+L1676*(I1676-F1676),"")</f>
      </c>
      <c r="N1676" s="12">
        <f>IF(K1676=1,G1676+L1676*(J1676-G1676),"")</f>
      </c>
    </row>
    <row r="1677" spans="2:14" x14ac:dyDescent="0.25">
      <c r="B1677">
        <v>47</v>
      </c>
      <c r="C1677">
        <v>180</v>
      </c>
      <c r="D1677">
        <v>16</v>
      </c>
      <c r="E1677" s="18">
        <v>6315.8646166966855</v>
      </c>
      <c r="F1677" s="18">
        <v>5.567903319994608e-13</v>
      </c>
      <c r="G1677" s="18">
        <v>-5333.448612364298</v>
      </c>
      <c r="H1677" s="12">
        <f>E1678</f>
      </c>
      <c r="I1677" s="12">
        <f>F1678</f>
      </c>
      <c r="J1677" s="12">
        <f>G1678</f>
      </c>
      <c r="K1677">
        <f>IF(AND(Pu&gt;=MIN(E1677,H1677),Pu&lt;=MAX(E1677,H1677),E1677&lt;&gt;H1677),1,0)</f>
      </c>
      <c r="L1677">
        <f>IF(K1677=1,(Pu-E1677)/(H1677-E1677),"")</f>
      </c>
      <c r="M1677" s="12">
        <f>IF(K1677=1,F1677+L1677*(I1677-F1677),"")</f>
      </c>
      <c r="N1677" s="12">
        <f>IF(K1677=1,G1677+L1677*(J1677-G1677),"")</f>
      </c>
    </row>
    <row r="1678" spans="2:14" x14ac:dyDescent="0.25">
      <c r="B1678">
        <v>47</v>
      </c>
      <c r="C1678">
        <v>180</v>
      </c>
      <c r="D1678">
        <v>17</v>
      </c>
      <c r="E1678" s="18">
        <v>6186.480189423867</v>
      </c>
      <c r="F1678" s="18">
        <v>7.390975952148437e-13</v>
      </c>
      <c r="G1678" s="18">
        <v>-5399.452569193414</v>
      </c>
      <c r="H1678" s="12">
        <f>E1679</f>
      </c>
      <c r="I1678" s="12">
        <f>F1679</f>
      </c>
      <c r="J1678" s="12">
        <f>G1679</f>
      </c>
      <c r="K1678">
        <f>IF(AND(Pu&gt;=MIN(E1678,H1678),Pu&lt;=MAX(E1678,H1678),E1678&lt;&gt;H1678),1,0)</f>
      </c>
      <c r="L1678">
        <f>IF(K1678=1,(Pu-E1678)/(H1678-E1678),"")</f>
      </c>
      <c r="M1678" s="12">
        <f>IF(K1678=1,F1678+L1678*(I1678-F1678),"")</f>
      </c>
      <c r="N1678" s="12">
        <f>IF(K1678=1,G1678+L1678*(J1678-G1678),"")</f>
      </c>
    </row>
    <row r="1679" spans="2:14" x14ac:dyDescent="0.25">
      <c r="B1679">
        <v>47</v>
      </c>
      <c r="C1679">
        <v>180</v>
      </c>
      <c r="D1679">
        <v>18</v>
      </c>
      <c r="E1679" s="18">
        <v>5983.3591877689405</v>
      </c>
      <c r="F1679" s="18">
        <v>7.390975952148437e-13</v>
      </c>
      <c r="G1679" s="18">
        <v>-5515.8116053209815</v>
      </c>
      <c r="H1679" s="12">
        <f>E1680</f>
      </c>
      <c r="I1679" s="12">
        <f>F1680</f>
      </c>
      <c r="J1679" s="12">
        <f>G1680</f>
      </c>
      <c r="K1679">
        <f>IF(AND(Pu&gt;=MIN(E1679,H1679),Pu&lt;=MAX(E1679,H1679),E1679&lt;&gt;H1679),1,0)</f>
      </c>
      <c r="L1679">
        <f>IF(K1679=1,(Pu-E1679)/(H1679-E1679),"")</f>
      </c>
      <c r="M1679" s="12">
        <f>IF(K1679=1,F1679+L1679*(I1679-F1679),"")</f>
      </c>
      <c r="N1679" s="12">
        <f>IF(K1679=1,G1679+L1679*(J1679-G1679),"")</f>
      </c>
    </row>
    <row r="1680" spans="2:14" x14ac:dyDescent="0.25">
      <c r="B1680">
        <v>47</v>
      </c>
      <c r="C1680">
        <v>180</v>
      </c>
      <c r="D1680">
        <v>19</v>
      </c>
      <c r="E1680" s="18">
        <v>5796.696457440434</v>
      </c>
      <c r="F1680" s="18">
        <v>2.916786405775282e-13</v>
      </c>
      <c r="G1680" s="18">
        <v>-5628.108710523913</v>
      </c>
      <c r="H1680" s="12">
        <f>E1681</f>
      </c>
      <c r="I1680" s="12">
        <f>F1681</f>
      </c>
      <c r="J1680" s="12">
        <f>G1681</f>
      </c>
      <c r="K1680">
        <f>IF(AND(Pu&gt;=MIN(E1680,H1680),Pu&lt;=MAX(E1680,H1680),E1680&lt;&gt;H1680),1,0)</f>
      </c>
      <c r="L1680">
        <f>IF(K1680=1,(Pu-E1680)/(H1680-E1680),"")</f>
      </c>
      <c r="M1680" s="12">
        <f>IF(K1680=1,F1680+L1680*(I1680-F1680),"")</f>
      </c>
      <c r="N1680" s="12">
        <f>IF(K1680=1,G1680+L1680*(J1680-G1680),"")</f>
      </c>
    </row>
    <row r="1681" spans="2:14" x14ac:dyDescent="0.25">
      <c r="B1681">
        <v>47</v>
      </c>
      <c r="C1681">
        <v>180</v>
      </c>
      <c r="D1681">
        <v>20</v>
      </c>
      <c r="E1681" s="18">
        <v>5790.279802863845</v>
      </c>
      <c r="F1681" s="18">
        <v>7.867813110351563e-13</v>
      </c>
      <c r="G1681" s="18">
        <v>-5631.878733589163</v>
      </c>
      <c r="H1681" s="12">
        <f>E1682</f>
      </c>
      <c r="I1681" s="12">
        <f>F1682</f>
      </c>
      <c r="J1681" s="12">
        <f>G1682</f>
      </c>
      <c r="K1681">
        <f>IF(AND(Pu&gt;=MIN(E1681,H1681),Pu&lt;=MAX(E1681,H1681),E1681&lt;&gt;H1681),1,0)</f>
      </c>
      <c r="L1681">
        <f>IF(K1681=1,(Pu-E1681)/(H1681-E1681),"")</f>
      </c>
      <c r="M1681" s="12">
        <f>IF(K1681=1,F1681+L1681*(I1681-F1681),"")</f>
      </c>
      <c r="N1681" s="12">
        <f>IF(K1681=1,G1681+L1681*(J1681-G1681),"")</f>
      </c>
    </row>
    <row r="1682" spans="2:14" x14ac:dyDescent="0.25">
      <c r="B1682">
        <v>47</v>
      </c>
      <c r="C1682">
        <v>180</v>
      </c>
      <c r="D1682">
        <v>21</v>
      </c>
      <c r="E1682" s="18">
        <v>5651.216252728246</v>
      </c>
      <c r="F1682" s="18">
        <v>7.267110049724578e-13</v>
      </c>
      <c r="G1682" s="18">
        <v>-5733.468299427718</v>
      </c>
      <c r="H1682" s="12">
        <f>E1683</f>
      </c>
      <c r="I1682" s="12">
        <f>F1683</f>
      </c>
      <c r="J1682" s="12">
        <f>G1683</f>
      </c>
      <c r="K1682">
        <f>IF(AND(Pu&gt;=MIN(E1682,H1682),Pu&lt;=MAX(E1682,H1682),E1682&lt;&gt;H1682),1,0)</f>
      </c>
      <c r="L1682">
        <f>IF(K1682=1,(Pu-E1682)/(H1682-E1682),"")</f>
      </c>
      <c r="M1682" s="12">
        <f>IF(K1682=1,F1682+L1682*(I1682-F1682),"")</f>
      </c>
      <c r="N1682" s="12">
        <f>IF(K1682=1,G1682+L1682*(J1682-G1682),"")</f>
      </c>
    </row>
    <row r="1683" spans="2:14" x14ac:dyDescent="0.25">
      <c r="B1683">
        <v>47</v>
      </c>
      <c r="C1683">
        <v>180</v>
      </c>
      <c r="D1683">
        <v>22</v>
      </c>
      <c r="E1683" s="18">
        <v>5504.854629905381</v>
      </c>
      <c r="F1683" s="18">
        <v>9.420327842235565e-13</v>
      </c>
      <c r="G1683" s="18">
        <v>-5698.333205209385</v>
      </c>
      <c r="H1683" s="12">
        <f>E1684</f>
      </c>
      <c r="I1683" s="12">
        <f>F1684</f>
      </c>
      <c r="J1683" s="12">
        <f>G1684</f>
      </c>
      <c r="K1683">
        <f>IF(AND(Pu&gt;=MIN(E1683,H1683),Pu&lt;=MAX(E1683,H1683),E1683&lt;&gt;H1683),1,0)</f>
      </c>
      <c r="L1683">
        <f>IF(K1683=1,(Pu-E1683)/(H1683-E1683),"")</f>
      </c>
      <c r="M1683" s="12">
        <f>IF(K1683=1,F1683+L1683*(I1683-F1683),"")</f>
      </c>
      <c r="N1683" s="12">
        <f>IF(K1683=1,G1683+L1683*(J1683-G1683),"")</f>
      </c>
    </row>
    <row r="1684" spans="2:14" x14ac:dyDescent="0.25">
      <c r="B1684">
        <v>47</v>
      </c>
      <c r="C1684">
        <v>180</v>
      </c>
      <c r="D1684">
        <v>23</v>
      </c>
      <c r="E1684" s="18">
        <v>5049.04640640462</v>
      </c>
      <c r="F1684" s="18">
        <v>9.451992809772491e-13</v>
      </c>
      <c r="G1684" s="18">
        <v>-5585.186971903691</v>
      </c>
      <c r="H1684" s="12">
        <f>E1685</f>
      </c>
      <c r="I1684" s="12">
        <f>F1685</f>
      </c>
      <c r="J1684" s="12">
        <f>G1685</f>
      </c>
      <c r="K1684">
        <f>IF(AND(Pu&gt;=MIN(E1684,H1684),Pu&lt;=MAX(E1684,H1684),E1684&lt;&gt;H1684),1,0)</f>
      </c>
      <c r="L1684">
        <f>IF(K1684=1,(Pu-E1684)/(H1684-E1684),"")</f>
      </c>
      <c r="M1684" s="12">
        <f>IF(K1684=1,F1684+L1684*(I1684-F1684),"")</f>
      </c>
      <c r="N1684" s="12">
        <f>IF(K1684=1,G1684+L1684*(J1684-G1684),"")</f>
      </c>
    </row>
    <row r="1685" spans="2:14" x14ac:dyDescent="0.25">
      <c r="B1685">
        <v>47</v>
      </c>
      <c r="C1685">
        <v>180</v>
      </c>
      <c r="D1685">
        <v>24</v>
      </c>
      <c r="E1685" s="18">
        <v>4284.305543640048</v>
      </c>
      <c r="F1685" s="18">
        <v>3.6256387829780576e-13</v>
      </c>
      <c r="G1685" s="18">
        <v>-5378.699560897038</v>
      </c>
      <c r="H1685" s="12">
        <f>E1686</f>
      </c>
      <c r="I1685" s="12">
        <f>F1686</f>
      </c>
      <c r="J1685" s="12">
        <f>G1686</f>
      </c>
      <c r="K1685">
        <f>IF(AND(Pu&gt;=MIN(E1685,H1685),Pu&lt;=MAX(E1685,H1685),E1685&lt;&gt;H1685),1,0)</f>
      </c>
      <c r="L1685">
        <f>IF(K1685=1,(Pu-E1685)/(H1685-E1685),"")</f>
      </c>
      <c r="M1685" s="12">
        <f>IF(K1685=1,F1685+L1685*(I1685-F1685),"")</f>
      </c>
      <c r="N1685" s="12">
        <f>IF(K1685=1,G1685+L1685*(J1685-G1685),"")</f>
      </c>
    </row>
    <row r="1686" spans="2:14" x14ac:dyDescent="0.25">
      <c r="B1686">
        <v>47</v>
      </c>
      <c r="C1686">
        <v>180</v>
      </c>
      <c r="D1686">
        <v>25</v>
      </c>
      <c r="E1686" s="18">
        <v>3784.314729613817</v>
      </c>
      <c r="F1686" s="18">
        <v>2.2482126951217653e-13</v>
      </c>
      <c r="G1686" s="18">
        <v>-5202.993558868951</v>
      </c>
      <c r="H1686" s="12">
        <f>E1687</f>
      </c>
      <c r="I1686" s="12">
        <f>F1687</f>
      </c>
      <c r="J1686" s="12">
        <f>G1687</f>
      </c>
      <c r="K1686">
        <f>IF(AND(Pu&gt;=MIN(E1686,H1686),Pu&lt;=MAX(E1686,H1686),E1686&lt;&gt;H1686),1,0)</f>
      </c>
      <c r="L1686">
        <f>IF(K1686=1,(Pu-E1686)/(H1686-E1686),"")</f>
      </c>
      <c r="M1686" s="12">
        <f>IF(K1686=1,F1686+L1686*(I1686-F1686),"")</f>
      </c>
      <c r="N1686" s="12">
        <f>IF(K1686=1,G1686+L1686*(J1686-G1686),"")</f>
      </c>
    </row>
    <row r="1687" spans="2:14" x14ac:dyDescent="0.25">
      <c r="B1687">
        <v>47</v>
      </c>
      <c r="C1687">
        <v>180</v>
      </c>
      <c r="D1687">
        <v>26</v>
      </c>
      <c r="E1687" s="18">
        <v>3311.3366740421484</v>
      </c>
      <c r="F1687" s="18">
        <v>2.3483157636320856e-13</v>
      </c>
      <c r="G1687" s="18">
        <v>-5029.004565411307</v>
      </c>
      <c r="H1687" s="12">
        <f>E1688</f>
      </c>
      <c r="I1687" s="12">
        <f>F1688</f>
      </c>
      <c r="J1687" s="12">
        <f>G1688</f>
      </c>
      <c r="K1687">
        <f>IF(AND(Pu&gt;=MIN(E1687,H1687),Pu&lt;=MAX(E1687,H1687),E1687&lt;&gt;H1687),1,0)</f>
      </c>
      <c r="L1687">
        <f>IF(K1687=1,(Pu-E1687)/(H1687-E1687),"")</f>
      </c>
      <c r="M1687" s="12">
        <f>IF(K1687=1,F1687+L1687*(I1687-F1687),"")</f>
      </c>
      <c r="N1687" s="12">
        <f>IF(K1687=1,G1687+L1687*(J1687-G1687),"")</f>
      </c>
    </row>
    <row r="1688" spans="2:14" x14ac:dyDescent="0.25">
      <c r="B1688">
        <v>47</v>
      </c>
      <c r="C1688">
        <v>180</v>
      </c>
      <c r="D1688">
        <v>27</v>
      </c>
      <c r="E1688" s="18">
        <v>2574.899154066652</v>
      </c>
      <c r="F1688" s="18">
        <v>1.1906027793884276e-12</v>
      </c>
      <c r="G1688" s="18">
        <v>-4722.2414814277345</v>
      </c>
      <c r="H1688" s="12">
        <f>E1689</f>
      </c>
      <c r="I1688" s="12">
        <f>F1689</f>
      </c>
      <c r="J1688" s="12">
        <f>G1689</f>
      </c>
      <c r="K1688">
        <f>IF(AND(Pu&gt;=MIN(E1688,H1688),Pu&lt;=MAX(E1688,H1688),E1688&lt;&gt;H1688),1,0)</f>
      </c>
      <c r="L1688">
        <f>IF(K1688=1,(Pu-E1688)/(H1688-E1688),"")</f>
      </c>
      <c r="M1688" s="12">
        <f>IF(K1688=1,F1688+L1688*(I1688-F1688),"")</f>
      </c>
      <c r="N1688" s="12">
        <f>IF(K1688=1,G1688+L1688*(J1688-G1688),"")</f>
      </c>
    </row>
    <row r="1689" spans="2:14" x14ac:dyDescent="0.25">
      <c r="B1689">
        <v>47</v>
      </c>
      <c r="C1689">
        <v>180</v>
      </c>
      <c r="D1689">
        <v>28</v>
      </c>
      <c r="E1689" s="18">
        <v>2019.8487026371038</v>
      </c>
      <c r="F1689" s="18">
        <v>6.522983312606812e-13</v>
      </c>
      <c r="G1689" s="18">
        <v>-4454.00094209611</v>
      </c>
      <c r="H1689" s="12">
        <f>E1690</f>
      </c>
      <c r="I1689" s="12">
        <f>F1690</f>
      </c>
      <c r="J1689" s="12">
        <f>G1690</f>
      </c>
      <c r="K1689">
        <f>IF(AND(Pu&gt;=MIN(E1689,H1689),Pu&lt;=MAX(E1689,H1689),E1689&lt;&gt;H1689),1,0)</f>
      </c>
      <c r="L1689">
        <f>IF(K1689=1,(Pu-E1689)/(H1689-E1689),"")</f>
      </c>
      <c r="M1689" s="12">
        <f>IF(K1689=1,F1689+L1689*(I1689-F1689),"")</f>
      </c>
      <c r="N1689" s="12">
        <f>IF(K1689=1,G1689+L1689*(J1689-G1689),"")</f>
      </c>
    </row>
    <row r="1690" spans="2:14" x14ac:dyDescent="0.25">
      <c r="B1690">
        <v>47</v>
      </c>
      <c r="C1690">
        <v>180</v>
      </c>
      <c r="D1690">
        <v>29</v>
      </c>
      <c r="E1690" s="18">
        <v>1404.8757191032937</v>
      </c>
      <c r="F1690" s="18">
        <v>6.522983312606812e-13</v>
      </c>
      <c r="G1690" s="18">
        <v>-4140.186483837538</v>
      </c>
      <c r="H1690" s="12">
        <f>E1691</f>
      </c>
      <c r="I1690" s="12">
        <f>F1691</f>
      </c>
      <c r="J1690" s="12">
        <f>G1691</f>
      </c>
      <c r="K1690">
        <f>IF(AND(Pu&gt;=MIN(E1690,H1690),Pu&lt;=MAX(E1690,H1690),E1690&lt;&gt;H1690),1,0)</f>
      </c>
      <c r="L1690">
        <f>IF(K1690=1,(Pu-E1690)/(H1690-E1690),"")</f>
      </c>
      <c r="M1690" s="12">
        <f>IF(K1690=1,F1690+L1690*(I1690-F1690),"")</f>
      </c>
      <c r="N1690" s="12">
        <f>IF(K1690=1,G1690+L1690*(J1690-G1690),"")</f>
      </c>
    </row>
    <row r="1691" spans="2:14" x14ac:dyDescent="0.25">
      <c r="B1691">
        <v>47</v>
      </c>
      <c r="C1691">
        <v>180</v>
      </c>
      <c r="D1691">
        <v>30</v>
      </c>
      <c r="E1691" s="18">
        <v>768.976523413474</v>
      </c>
      <c r="F1691" s="18">
        <v>5.509704351425172e-13</v>
      </c>
      <c r="G1691" s="18">
        <v>-3798.6060422465284</v>
      </c>
      <c r="H1691" s="12">
        <f>E1692</f>
      </c>
      <c r="I1691" s="12">
        <f>F1692</f>
      </c>
      <c r="J1691" s="12">
        <f>G1692</f>
      </c>
      <c r="K1691">
        <f>IF(AND(Pu&gt;=MIN(E1691,H1691),Pu&lt;=MAX(E1691,H1691),E1691&lt;&gt;H1691),1,0)</f>
      </c>
      <c r="L1691">
        <f>IF(K1691=1,(Pu-E1691)/(H1691-E1691),"")</f>
      </c>
      <c r="M1691" s="12">
        <f>IF(K1691=1,F1691+L1691*(I1691-F1691),"")</f>
      </c>
      <c r="N1691" s="12">
        <f>IF(K1691=1,G1691+L1691*(J1691-G1691),"")</f>
      </c>
    </row>
    <row r="1692" spans="2:14" x14ac:dyDescent="0.25">
      <c r="B1692">
        <v>47</v>
      </c>
      <c r="C1692">
        <v>180</v>
      </c>
      <c r="D1692">
        <v>31</v>
      </c>
      <c r="E1692" s="18">
        <v>35.30287773313925</v>
      </c>
      <c r="F1692" s="18">
        <v>4.3064355850219723e-13</v>
      </c>
      <c r="G1692" s="18">
        <v>-3361.166303786528</v>
      </c>
      <c r="H1692" s="12">
        <f>E1693</f>
      </c>
      <c r="I1692" s="12">
        <f>F1693</f>
      </c>
      <c r="J1692" s="12">
        <f>G1693</f>
      </c>
      <c r="K1692">
        <f>IF(AND(Pu&gt;=MIN(E1692,H1692),Pu&lt;=MAX(E1692,H1692),E1692&lt;&gt;H1692),1,0)</f>
      </c>
      <c r="L1692">
        <f>IF(K1692=1,(Pu-E1692)/(H1692-E1692),"")</f>
      </c>
      <c r="M1692" s="12">
        <f>IF(K1692=1,F1692+L1692*(I1692-F1692),"")</f>
      </c>
      <c r="N1692" s="12">
        <f>IF(K1692=1,G1692+L1692*(J1692-G1692),"")</f>
      </c>
    </row>
    <row r="1693" spans="2:14" x14ac:dyDescent="0.25">
      <c r="B1693">
        <v>47</v>
      </c>
      <c r="C1693">
        <v>180</v>
      </c>
      <c r="D1693">
        <v>32</v>
      </c>
      <c r="E1693" s="18">
        <v>-574.504586400628</v>
      </c>
      <c r="F1693" s="18">
        <v>0</v>
      </c>
      <c r="G1693" s="18">
        <v>-2975.185055264661</v>
      </c>
      <c r="H1693" s="12">
        <f>E1694</f>
      </c>
      <c r="I1693" s="12">
        <f>F1694</f>
      </c>
      <c r="J1693" s="12">
        <f>G1694</f>
      </c>
      <c r="K1693">
        <f>IF(AND(Pu&gt;=MIN(E1693,H1693),Pu&lt;=MAX(E1693,H1693),E1693&lt;&gt;H1693),1,0)</f>
      </c>
      <c r="L1693">
        <f>IF(K1693=1,(Pu-E1693)/(H1693-E1693),"")</f>
      </c>
      <c r="M1693" s="12">
        <f>IF(K1693=1,F1693+L1693*(I1693-F1693),"")</f>
      </c>
      <c r="N1693" s="12">
        <f>IF(K1693=1,G1693+L1693*(J1693-G1693),"")</f>
      </c>
    </row>
    <row r="1694" spans="2:14" x14ac:dyDescent="0.25">
      <c r="B1694">
        <v>47</v>
      </c>
      <c r="C1694">
        <v>180</v>
      </c>
      <c r="D1694">
        <v>33</v>
      </c>
      <c r="E1694" s="18">
        <v>-1431.175767644359</v>
      </c>
      <c r="F1694" s="18">
        <v>-1.2032687664031982e-13</v>
      </c>
      <c r="G1694" s="18">
        <v>-2413.8869032707044</v>
      </c>
      <c r="H1694" s="12">
        <f>E1695</f>
      </c>
      <c r="I1694" s="12">
        <f>F1695</f>
      </c>
      <c r="J1694" s="12">
        <f>G1695</f>
      </c>
      <c r="K1694">
        <f>IF(AND(Pu&gt;=MIN(E1694,H1694),Pu&lt;=MAX(E1694,H1694),E1694&lt;&gt;H1694),1,0)</f>
      </c>
      <c r="L1694">
        <f>IF(K1694=1,(Pu-E1694)/(H1694-E1694),"")</f>
      </c>
      <c r="M1694" s="12">
        <f>IF(K1694=1,F1694+L1694*(I1694-F1694),"")</f>
      </c>
      <c r="N1694" s="12">
        <f>IF(K1694=1,G1694+L1694*(J1694-G1694),"")</f>
      </c>
    </row>
    <row r="1695" spans="2:14" x14ac:dyDescent="0.25">
      <c r="B1695">
        <v>47</v>
      </c>
      <c r="C1695">
        <v>180</v>
      </c>
      <c r="D1695">
        <v>34</v>
      </c>
      <c r="E1695" s="18">
        <v>-2045.564081232139</v>
      </c>
      <c r="F1695" s="18">
        <v>-5.3830444812774654e-14</v>
      </c>
      <c r="G1695" s="18">
        <v>-2000.7457123839126</v>
      </c>
      <c r="H1695" s="12">
        <f>E1696</f>
      </c>
      <c r="I1695" s="12">
        <f>F1696</f>
      </c>
      <c r="J1695" s="12">
        <f>G1696</f>
      </c>
      <c r="K1695">
        <f>IF(AND(Pu&gt;=MIN(E1695,H1695),Pu&lt;=MAX(E1695,H1695),E1695&lt;&gt;H1695),1,0)</f>
      </c>
      <c r="L1695">
        <f>IF(K1695=1,(Pu-E1695)/(H1695-E1695),"")</f>
      </c>
      <c r="M1695" s="12">
        <f>IF(K1695=1,F1695+L1695*(I1695-F1695),"")</f>
      </c>
      <c r="N1695" s="12">
        <f>IF(K1695=1,G1695+L1695*(J1695-G1695),"")</f>
      </c>
    </row>
    <row r="1696" spans="2:14" x14ac:dyDescent="0.25">
      <c r="B1696">
        <v>47</v>
      </c>
      <c r="C1696">
        <v>180</v>
      </c>
      <c r="D1696">
        <v>35</v>
      </c>
      <c r="E1696" s="18">
        <v>-3089.4117889203435</v>
      </c>
      <c r="F1696" s="18">
        <v>0</v>
      </c>
      <c r="G1696" s="18">
        <v>-1287.3803102185711</v>
      </c>
      <c r="H1696" s="12">
        <f>E1697</f>
      </c>
      <c r="I1696" s="12">
        <f>F1697</f>
      </c>
      <c r="J1696" s="12">
        <f>G1697</f>
      </c>
      <c r="K1696">
        <f>IF(AND(Pu&gt;=MIN(E1696,H1696),Pu&lt;=MAX(E1696,H1696),E1696&lt;&gt;H1696),1,0)</f>
      </c>
      <c r="L1696">
        <f>IF(K1696=1,(Pu-E1696)/(H1696-E1696),"")</f>
      </c>
      <c r="M1696" s="12">
        <f>IF(K1696=1,F1696+L1696*(I1696-F1696),"")</f>
      </c>
      <c r="N1696" s="12">
        <f>IF(K1696=1,G1696+L1696*(J1696-G1696),"")</f>
      </c>
    </row>
    <row r="1697" spans="2:7" x14ac:dyDescent="0.25">
      <c r="B1697">
        <v>47</v>
      </c>
      <c r="C1697">
        <v>180</v>
      </c>
      <c r="D1697">
        <v>36</v>
      </c>
      <c r="E1697" s="18">
        <v>-3963.2733126826433</v>
      </c>
      <c r="F1697" s="18">
        <v>0</v>
      </c>
      <c r="G1697" s="18">
        <v>-687.136908384896</v>
      </c>
    </row>
    <row r="1699" spans="2:14" x14ac:dyDescent="0.25">
      <c r="B1699">
        <v>48</v>
      </c>
      <c r="C1699">
        <v>180.93750000000003</v>
      </c>
      <c r="D1699">
        <v>1</v>
      </c>
      <c r="E1699" s="18">
        <v>17343.653759972934</v>
      </c>
      <c r="F1699" s="18">
        <v>-38.841479782701974</v>
      </c>
      <c r="G1699" s="18">
        <v>-2880.549374912677</v>
      </c>
      <c r="H1699" s="12">
        <f>E1700</f>
      </c>
      <c r="I1699" s="12">
        <f>F1700</f>
      </c>
      <c r="J1699" s="12">
        <f>G1700</f>
      </c>
      <c r="K1699">
        <f>IF(AND(Pu&gt;=MIN(E1699,H1699),Pu&lt;=MAX(E1699,H1699),E1699&lt;&gt;H1699),1,0)</f>
      </c>
      <c r="L1699">
        <f>IF(K1699=1,(Pu-E1699)/(H1699-E1699),"")</f>
      </c>
      <c r="M1699" s="12">
        <f>IF(K1699=1,F1699+L1699*(I1699-F1699),"")</f>
      </c>
      <c r="N1699" s="12">
        <f>IF(K1699=1,G1699+L1699*(J1699-G1699),"")</f>
      </c>
    </row>
    <row r="1700" spans="2:14" x14ac:dyDescent="0.25">
      <c r="B1700">
        <v>48</v>
      </c>
      <c r="C1700">
        <v>180.93750000000003</v>
      </c>
      <c r="D1700">
        <v>2</v>
      </c>
      <c r="E1700" s="18">
        <v>16764.64642506096</v>
      </c>
      <c r="F1700" s="18">
        <v>-34.874656326031854</v>
      </c>
      <c r="G1700" s="18">
        <v>-3157.537074541494</v>
      </c>
      <c r="H1700" s="12">
        <f>E1701</f>
      </c>
      <c r="I1700" s="12">
        <f>F1701</f>
      </c>
      <c r="J1700" s="12">
        <f>G1701</f>
      </c>
      <c r="K1700">
        <f>IF(AND(Pu&gt;=MIN(E1700,H1700),Pu&lt;=MAX(E1700,H1700),E1700&lt;&gt;H1700),1,0)</f>
      </c>
      <c r="L1700">
        <f>IF(K1700=1,(Pu-E1700)/(H1700-E1700),"")</f>
      </c>
      <c r="M1700" s="12">
        <f>IF(K1700=1,F1700+L1700*(I1700-F1700),"")</f>
      </c>
      <c r="N1700" s="12">
        <f>IF(K1700=1,G1700+L1700*(J1700-G1700),"")</f>
      </c>
    </row>
    <row r="1701" spans="2:14" x14ac:dyDescent="0.25">
      <c r="B1701">
        <v>48</v>
      </c>
      <c r="C1701">
        <v>180.93750000000003</v>
      </c>
      <c r="D1701">
        <v>3</v>
      </c>
      <c r="E1701" s="18">
        <v>16050.011924417853</v>
      </c>
      <c r="F1701" s="18">
        <v>-36.29855415647886</v>
      </c>
      <c r="G1701" s="18">
        <v>-3459.3057969753136</v>
      </c>
      <c r="H1701" s="12">
        <f>E1702</f>
      </c>
      <c r="I1701" s="12">
        <f>F1702</f>
      </c>
      <c r="J1701" s="12">
        <f>G1702</f>
      </c>
      <c r="K1701">
        <f>IF(AND(Pu&gt;=MIN(E1701,H1701),Pu&lt;=MAX(E1701,H1701),E1701&lt;&gt;H1701),1,0)</f>
      </c>
      <c r="L1701">
        <f>IF(K1701=1,(Pu-E1701)/(H1701-E1701),"")</f>
      </c>
      <c r="M1701" s="12">
        <f>IF(K1701=1,F1701+L1701*(I1701-F1701),"")</f>
      </c>
      <c r="N1701" s="12">
        <f>IF(K1701=1,G1701+L1701*(J1701-G1701),"")</f>
      </c>
    </row>
    <row r="1702" spans="2:14" x14ac:dyDescent="0.25">
      <c r="B1702">
        <v>48</v>
      </c>
      <c r="C1702">
        <v>180.93750000000003</v>
      </c>
      <c r="D1702">
        <v>4</v>
      </c>
      <c r="E1702" s="18">
        <v>15317.188085605389</v>
      </c>
      <c r="F1702" s="18">
        <v>-37.999826443294744</v>
      </c>
      <c r="G1702" s="18">
        <v>-3718.621005722945</v>
      </c>
      <c r="H1702" s="12">
        <f>E1703</f>
      </c>
      <c r="I1702" s="12">
        <f>F1703</f>
      </c>
      <c r="J1702" s="12">
        <f>G1703</f>
      </c>
      <c r="K1702">
        <f>IF(AND(Pu&gt;=MIN(E1702,H1702),Pu&lt;=MAX(E1702,H1702),E1702&lt;&gt;H1702),1,0)</f>
      </c>
      <c r="L1702">
        <f>IF(K1702=1,(Pu-E1702)/(H1702-E1702),"")</f>
      </c>
      <c r="M1702" s="12">
        <f>IF(K1702=1,F1702+L1702*(I1702-F1702),"")</f>
      </c>
      <c r="N1702" s="12">
        <f>IF(K1702=1,G1702+L1702*(J1702-G1702),"")</f>
      </c>
    </row>
    <row r="1703" spans="2:14" x14ac:dyDescent="0.25">
      <c r="B1703">
        <v>48</v>
      </c>
      <c r="C1703">
        <v>180.93750000000003</v>
      </c>
      <c r="D1703">
        <v>5</v>
      </c>
      <c r="E1703" s="18">
        <v>13997.961513146172</v>
      </c>
      <c r="F1703" s="18">
        <v>-44.89198211060578</v>
      </c>
      <c r="G1703" s="18">
        <v>-4094.854408435919</v>
      </c>
      <c r="H1703" s="12">
        <f>E1704</f>
      </c>
      <c r="I1703" s="12">
        <f>F1704</f>
      </c>
      <c r="J1703" s="12">
        <f>G1704</f>
      </c>
      <c r="K1703">
        <f>IF(AND(Pu&gt;=MIN(E1703,H1703),Pu&lt;=MAX(E1703,H1703),E1703&lt;&gt;H1703),1,0)</f>
      </c>
      <c r="L1703">
        <f>IF(K1703=1,(Pu-E1703)/(H1703-E1703),"")</f>
      </c>
      <c r="M1703" s="12">
        <f>IF(K1703=1,F1703+L1703*(I1703-F1703),"")</f>
      </c>
      <c r="N1703" s="12">
        <f>IF(K1703=1,G1703+L1703*(J1703-G1703),"")</f>
      </c>
    </row>
    <row r="1704" spans="2:14" x14ac:dyDescent="0.25">
      <c r="B1704">
        <v>48</v>
      </c>
      <c r="C1704">
        <v>180.93750000000003</v>
      </c>
      <c r="D1704">
        <v>6</v>
      </c>
      <c r="E1704" s="18">
        <v>11869.768450906739</v>
      </c>
      <c r="F1704" s="18">
        <v>-52.33949292076282</v>
      </c>
      <c r="G1704" s="18">
        <v>-4468.631588399882</v>
      </c>
      <c r="H1704" s="12">
        <f>E1705</f>
      </c>
      <c r="I1704" s="12">
        <f>F1705</f>
      </c>
      <c r="J1704" s="12">
        <f>G1705</f>
      </c>
      <c r="K1704">
        <f>IF(AND(Pu&gt;=MIN(E1704,H1704),Pu&lt;=MAX(E1704,H1704),E1704&lt;&gt;H1704),1,0)</f>
      </c>
      <c r="L1704">
        <f>IF(K1704=1,(Pu-E1704)/(H1704-E1704),"")</f>
      </c>
      <c r="M1704" s="12">
        <f>IF(K1704=1,F1704+L1704*(I1704-F1704),"")</f>
      </c>
      <c r="N1704" s="12">
        <f>IF(K1704=1,G1704+L1704*(J1704-G1704),"")</f>
      </c>
    </row>
    <row r="1705" spans="2:14" x14ac:dyDescent="0.25">
      <c r="B1705">
        <v>48</v>
      </c>
      <c r="C1705">
        <v>180.93750000000003</v>
      </c>
      <c r="D1705">
        <v>7</v>
      </c>
      <c r="E1705" s="18">
        <v>9886.276153649333</v>
      </c>
      <c r="F1705" s="18">
        <v>-46.65792814016253</v>
      </c>
      <c r="G1705" s="18">
        <v>-4697.963629952544</v>
      </c>
      <c r="H1705" s="12">
        <f>E1706</f>
      </c>
      <c r="I1705" s="12">
        <f>F1706</f>
      </c>
      <c r="J1705" s="12">
        <f>G1706</f>
      </c>
      <c r="K1705">
        <f>IF(AND(Pu&gt;=MIN(E1705,H1705),Pu&lt;=MAX(E1705,H1705),E1705&lt;&gt;H1705),1,0)</f>
      </c>
      <c r="L1705">
        <f>IF(K1705=1,(Pu-E1705)/(H1705-E1705),"")</f>
      </c>
      <c r="M1705" s="12">
        <f>IF(K1705=1,F1705+L1705*(I1705-F1705),"")</f>
      </c>
      <c r="N1705" s="12">
        <f>IF(K1705=1,G1705+L1705*(J1705-G1705),"")</f>
      </c>
    </row>
    <row r="1706" spans="2:14" x14ac:dyDescent="0.25">
      <c r="B1706">
        <v>48</v>
      </c>
      <c r="C1706">
        <v>180.93750000000003</v>
      </c>
      <c r="D1706">
        <v>8</v>
      </c>
      <c r="E1706" s="18">
        <v>8956.094611186876</v>
      </c>
      <c r="F1706" s="18">
        <v>-56.826328622309376</v>
      </c>
      <c r="G1706" s="18">
        <v>-4772.3497827054625</v>
      </c>
      <c r="H1706" s="12">
        <f>E1707</f>
      </c>
      <c r="I1706" s="12">
        <f>F1707</f>
      </c>
      <c r="J1706" s="12">
        <f>G1707</f>
      </c>
      <c r="K1706">
        <f>IF(AND(Pu&gt;=MIN(E1706,H1706),Pu&lt;=MAX(E1706,H1706),E1706&lt;&gt;H1706),1,0)</f>
      </c>
      <c r="L1706">
        <f>IF(K1706=1,(Pu-E1706)/(H1706-E1706),"")</f>
      </c>
      <c r="M1706" s="12">
        <f>IF(K1706=1,F1706+L1706*(I1706-F1706),"")</f>
      </c>
      <c r="N1706" s="12">
        <f>IF(K1706=1,G1706+L1706*(J1706-G1706),"")</f>
      </c>
    </row>
    <row r="1707" spans="2:14" x14ac:dyDescent="0.25">
      <c r="B1707">
        <v>48</v>
      </c>
      <c r="C1707">
        <v>180.93750000000003</v>
      </c>
      <c r="D1707">
        <v>9</v>
      </c>
      <c r="E1707" s="18">
        <v>8435.059353715531</v>
      </c>
      <c r="F1707" s="18">
        <v>-58.808163253391754</v>
      </c>
      <c r="G1707" s="18">
        <v>-4870.5068686636</v>
      </c>
      <c r="H1707" s="12">
        <f>E1708</f>
      </c>
      <c r="I1707" s="12">
        <f>F1708</f>
      </c>
      <c r="J1707" s="12">
        <f>G1708</f>
      </c>
      <c r="K1707">
        <f>IF(AND(Pu&gt;=MIN(E1707,H1707),Pu&lt;=MAX(E1707,H1707),E1707&lt;&gt;H1707),1,0)</f>
      </c>
      <c r="L1707">
        <f>IF(K1707=1,(Pu-E1707)/(H1707-E1707),"")</f>
      </c>
      <c r="M1707" s="12">
        <f>IF(K1707=1,F1707+L1707*(I1707-F1707),"")</f>
      </c>
      <c r="N1707" s="12">
        <f>IF(K1707=1,G1707+L1707*(J1707-G1707),"")</f>
      </c>
    </row>
    <row r="1708" spans="2:14" x14ac:dyDescent="0.25">
      <c r="B1708">
        <v>48</v>
      </c>
      <c r="C1708">
        <v>180.93750000000003</v>
      </c>
      <c r="D1708">
        <v>10</v>
      </c>
      <c r="E1708" s="18">
        <v>8101.3149462395995</v>
      </c>
      <c r="F1708" s="18">
        <v>-60.208036078963175</v>
      </c>
      <c r="G1708" s="18">
        <v>-4923.723270989461</v>
      </c>
      <c r="H1708" s="12">
        <f>E1709</f>
      </c>
      <c r="I1708" s="12">
        <f>F1709</f>
      </c>
      <c r="J1708" s="12">
        <f>G1709</f>
      </c>
      <c r="K1708">
        <f>IF(AND(Pu&gt;=MIN(E1708,H1708),Pu&lt;=MAX(E1708,H1708),E1708&lt;&gt;H1708),1,0)</f>
      </c>
      <c r="L1708">
        <f>IF(K1708=1,(Pu-E1708)/(H1708-E1708),"")</f>
      </c>
      <c r="M1708" s="12">
        <f>IF(K1708=1,F1708+L1708*(I1708-F1708),"")</f>
      </c>
      <c r="N1708" s="12">
        <f>IF(K1708=1,G1708+L1708*(J1708-G1708),"")</f>
      </c>
    </row>
    <row r="1709" spans="2:14" x14ac:dyDescent="0.25">
      <c r="B1709">
        <v>48</v>
      </c>
      <c r="C1709">
        <v>180.93750000000003</v>
      </c>
      <c r="D1709">
        <v>11</v>
      </c>
      <c r="E1709" s="18">
        <v>7392.2056407618</v>
      </c>
      <c r="F1709" s="18">
        <v>-63.31866372838911</v>
      </c>
      <c r="G1709" s="18">
        <v>-5021.802361364519</v>
      </c>
      <c r="H1709" s="12">
        <f>E1710</f>
      </c>
      <c r="I1709" s="12">
        <f>F1710</f>
      </c>
      <c r="J1709" s="12">
        <f>G1710</f>
      </c>
      <c r="K1709">
        <f>IF(AND(Pu&gt;=MIN(E1709,H1709),Pu&lt;=MAX(E1709,H1709),E1709&lt;&gt;H1709),1,0)</f>
      </c>
      <c r="L1709">
        <f>IF(K1709=1,(Pu-E1709)/(H1709-E1709),"")</f>
      </c>
      <c r="M1709" s="12">
        <f>IF(K1709=1,F1709+L1709*(I1709-F1709),"")</f>
      </c>
      <c r="N1709" s="12">
        <f>IF(K1709=1,G1709+L1709*(J1709-G1709),"")</f>
      </c>
    </row>
    <row r="1710" spans="2:14" x14ac:dyDescent="0.25">
      <c r="B1710">
        <v>48</v>
      </c>
      <c r="C1710">
        <v>180.93750000000003</v>
      </c>
      <c r="D1710">
        <v>12</v>
      </c>
      <c r="E1710" s="18">
        <v>7289.46075537766</v>
      </c>
      <c r="F1710" s="18">
        <v>-63.78440417052209</v>
      </c>
      <c r="G1710" s="18">
        <v>-5034.4642683296115</v>
      </c>
      <c r="H1710" s="12">
        <f>E1711</f>
      </c>
      <c r="I1710" s="12">
        <f>F1711</f>
      </c>
      <c r="J1710" s="12">
        <f>G1711</f>
      </c>
      <c r="K1710">
        <f>IF(AND(Pu&gt;=MIN(E1710,H1710),Pu&lt;=MAX(E1710,H1710),E1710&lt;&gt;H1710),1,0)</f>
      </c>
      <c r="L1710">
        <f>IF(K1710=1,(Pu-E1710)/(H1710-E1710),"")</f>
      </c>
      <c r="M1710" s="12">
        <f>IF(K1710=1,F1710+L1710*(I1710-F1710),"")</f>
      </c>
      <c r="N1710" s="12">
        <f>IF(K1710=1,G1710+L1710*(J1710-G1710),"")</f>
      </c>
    </row>
    <row r="1711" spans="2:14" x14ac:dyDescent="0.25">
      <c r="B1711">
        <v>48</v>
      </c>
      <c r="C1711">
        <v>180.93750000000003</v>
      </c>
      <c r="D1711">
        <v>13</v>
      </c>
      <c r="E1711" s="18">
        <v>6668.239247503237</v>
      </c>
      <c r="F1711" s="18">
        <v>-61.19411749433355</v>
      </c>
      <c r="G1711" s="18">
        <v>-5145.289690948929</v>
      </c>
      <c r="H1711" s="12">
        <f>E1712</f>
      </c>
      <c r="I1711" s="12">
        <f>F1712</f>
      </c>
      <c r="J1711" s="12">
        <f>G1712</f>
      </c>
      <c r="K1711">
        <f>IF(AND(Pu&gt;=MIN(E1711,H1711),Pu&lt;=MAX(E1711,H1711),E1711&lt;&gt;H1711),1,0)</f>
      </c>
      <c r="L1711">
        <f>IF(K1711=1,(Pu-E1711)/(H1711-E1711),"")</f>
      </c>
      <c r="M1711" s="12">
        <f>IF(K1711=1,F1711+L1711*(I1711-F1711),"")</f>
      </c>
      <c r="N1711" s="12">
        <f>IF(K1711=1,G1711+L1711*(J1711-G1711),"")</f>
      </c>
    </row>
    <row r="1712" spans="2:14" x14ac:dyDescent="0.25">
      <c r="B1712">
        <v>48</v>
      </c>
      <c r="C1712">
        <v>180.93750000000003</v>
      </c>
      <c r="D1712">
        <v>14</v>
      </c>
      <c r="E1712" s="18">
        <v>6633.895440880832</v>
      </c>
      <c r="F1712" s="18">
        <v>-61.32916412474011</v>
      </c>
      <c r="G1712" s="18">
        <v>-5158.714259035726</v>
      </c>
      <c r="H1712" s="12">
        <f>E1713</f>
      </c>
      <c r="I1712" s="12">
        <f>F1713</f>
      </c>
      <c r="J1712" s="12">
        <f>G1713</f>
      </c>
      <c r="K1712">
        <f>IF(AND(Pu&gt;=MIN(E1712,H1712),Pu&lt;=MAX(E1712,H1712),E1712&lt;&gt;H1712),1,0)</f>
      </c>
      <c r="L1712">
        <f>IF(K1712=1,(Pu-E1712)/(H1712-E1712),"")</f>
      </c>
      <c r="M1712" s="12">
        <f>IF(K1712=1,F1712+L1712*(I1712-F1712),"")</f>
      </c>
      <c r="N1712" s="12">
        <f>IF(K1712=1,G1712+L1712*(J1712-G1712),"")</f>
      </c>
    </row>
    <row r="1713" spans="2:14" x14ac:dyDescent="0.25">
      <c r="B1713">
        <v>48</v>
      </c>
      <c r="C1713">
        <v>180.93750000000003</v>
      </c>
      <c r="D1713">
        <v>15</v>
      </c>
      <c r="E1713" s="18">
        <v>6377.274142161349</v>
      </c>
      <c r="F1713" s="18">
        <v>-49.12555512867073</v>
      </c>
      <c r="G1713" s="18">
        <v>-5275.229193745343</v>
      </c>
      <c r="H1713" s="12">
        <f>E1714</f>
      </c>
      <c r="I1713" s="12">
        <f>F1714</f>
      </c>
      <c r="J1713" s="12">
        <f>G1714</f>
      </c>
      <c r="K1713">
        <f>IF(AND(Pu&gt;=MIN(E1713,H1713),Pu&lt;=MAX(E1713,H1713),E1713&lt;&gt;H1713),1,0)</f>
      </c>
      <c r="L1713">
        <f>IF(K1713=1,(Pu-E1713)/(H1713-E1713),"")</f>
      </c>
      <c r="M1713" s="12">
        <f>IF(K1713=1,F1713+L1713*(I1713-F1713),"")</f>
      </c>
      <c r="N1713" s="12">
        <f>IF(K1713=1,G1713+L1713*(J1713-G1713),"")</f>
      </c>
    </row>
    <row r="1714" spans="2:14" x14ac:dyDescent="0.25">
      <c r="B1714">
        <v>48</v>
      </c>
      <c r="C1714">
        <v>180.93750000000003</v>
      </c>
      <c r="D1714">
        <v>16</v>
      </c>
      <c r="E1714" s="18">
        <v>6292.712082015462</v>
      </c>
      <c r="F1714" s="18">
        <v>-57.56165165428551</v>
      </c>
      <c r="G1714" s="18">
        <v>-5324.975018849275</v>
      </c>
      <c r="H1714" s="12">
        <f>E1715</f>
      </c>
      <c r="I1714" s="12">
        <f>F1715</f>
      </c>
      <c r="J1714" s="12">
        <f>G1715</f>
      </c>
      <c r="K1714">
        <f>IF(AND(Pu&gt;=MIN(E1714,H1714),Pu&lt;=MAX(E1714,H1714),E1714&lt;&gt;H1714),1,0)</f>
      </c>
      <c r="L1714">
        <f>IF(K1714=1,(Pu-E1714)/(H1714-E1714),"")</f>
      </c>
      <c r="M1714" s="12">
        <f>IF(K1714=1,F1714+L1714*(I1714-F1714),"")</f>
      </c>
      <c r="N1714" s="12">
        <f>IF(K1714=1,G1714+L1714*(J1714-G1714),"")</f>
      </c>
    </row>
    <row r="1715" spans="2:14" x14ac:dyDescent="0.25">
      <c r="B1715">
        <v>48</v>
      </c>
      <c r="C1715">
        <v>180.93750000000003</v>
      </c>
      <c r="D1715">
        <v>17</v>
      </c>
      <c r="E1715" s="18">
        <v>6159.854918394719</v>
      </c>
      <c r="F1715" s="18">
        <v>-57.9039327573425</v>
      </c>
      <c r="G1715" s="18">
        <v>-5392.018251313908</v>
      </c>
      <c r="H1715" s="12">
        <f>E1716</f>
      </c>
      <c r="I1715" s="12">
        <f>F1716</f>
      </c>
      <c r="J1715" s="12">
        <f>G1716</f>
      </c>
      <c r="K1715">
        <f>IF(AND(Pu&gt;=MIN(E1715,H1715),Pu&lt;=MAX(E1715,H1715),E1715&lt;&gt;H1715),1,0)</f>
      </c>
      <c r="L1715">
        <f>IF(K1715=1,(Pu-E1715)/(H1715-E1715),"")</f>
      </c>
      <c r="M1715" s="12">
        <f>IF(K1715=1,F1715+L1715*(I1715-F1715),"")</f>
      </c>
      <c r="N1715" s="12">
        <f>IF(K1715=1,G1715+L1715*(J1715-G1715),"")</f>
      </c>
    </row>
    <row r="1716" spans="2:14" x14ac:dyDescent="0.25">
      <c r="B1716">
        <v>48</v>
      </c>
      <c r="C1716">
        <v>180.93750000000003</v>
      </c>
      <c r="D1716">
        <v>18</v>
      </c>
      <c r="E1716" s="18">
        <v>5955.575175883011</v>
      </c>
      <c r="F1716" s="18">
        <v>-58.67731011311088</v>
      </c>
      <c r="G1716" s="18">
        <v>-5507.485919857044</v>
      </c>
      <c r="H1716" s="12">
        <f>E1717</f>
      </c>
      <c r="I1716" s="12">
        <f>F1717</f>
      </c>
      <c r="J1716" s="12">
        <f>G1717</f>
      </c>
      <c r="K1716">
        <f>IF(AND(Pu&gt;=MIN(E1716,H1716),Pu&lt;=MAX(E1716,H1716),E1716&lt;&gt;H1716),1,0)</f>
      </c>
      <c r="L1716">
        <f>IF(K1716=1,(Pu-E1716)/(H1716-E1716),"")</f>
      </c>
      <c r="M1716" s="12">
        <f>IF(K1716=1,F1716+L1716*(I1716-F1716),"")</f>
      </c>
      <c r="N1716" s="12">
        <f>IF(K1716=1,G1716+L1716*(J1716-G1716),"")</f>
      </c>
    </row>
    <row r="1717" spans="2:14" x14ac:dyDescent="0.25">
      <c r="B1717">
        <v>48</v>
      </c>
      <c r="C1717">
        <v>180.93750000000003</v>
      </c>
      <c r="D1717">
        <v>19</v>
      </c>
      <c r="E1717" s="18">
        <v>5768.97150128118</v>
      </c>
      <c r="F1717" s="18">
        <v>-61.5631389612</v>
      </c>
      <c r="G1717" s="18">
        <v>-5616.732805881785</v>
      </c>
      <c r="H1717" s="12">
        <f>E1718</f>
      </c>
      <c r="I1717" s="12">
        <f>F1718</f>
      </c>
      <c r="J1717" s="12">
        <f>G1718</f>
      </c>
      <c r="K1717">
        <f>IF(AND(Pu&gt;=MIN(E1717,H1717),Pu&lt;=MAX(E1717,H1717),E1717&lt;&gt;H1717),1,0)</f>
      </c>
      <c r="L1717">
        <f>IF(K1717=1,(Pu-E1717)/(H1717-E1717),"")</f>
      </c>
      <c r="M1717" s="12">
        <f>IF(K1717=1,F1717+L1717*(I1717-F1717),"")</f>
      </c>
      <c r="N1717" s="12">
        <f>IF(K1717=1,G1717+L1717*(J1717-G1717),"")</f>
      </c>
    </row>
    <row r="1718" spans="2:14" x14ac:dyDescent="0.25">
      <c r="B1718">
        <v>48</v>
      </c>
      <c r="C1718">
        <v>180.93750000000003</v>
      </c>
      <c r="D1718">
        <v>20</v>
      </c>
      <c r="E1718" s="18">
        <v>5760.382683985854</v>
      </c>
      <c r="F1718" s="18">
        <v>-61.24275457975194</v>
      </c>
      <c r="G1718" s="18">
        <v>-5621.979687889686</v>
      </c>
      <c r="H1718" s="12">
        <f>E1719</f>
      </c>
      <c r="I1718" s="12">
        <f>F1719</f>
      </c>
      <c r="J1718" s="12">
        <f>G1719</f>
      </c>
      <c r="K1718">
        <f>IF(AND(Pu&gt;=MIN(E1718,H1718),Pu&lt;=MAX(E1718,H1718),E1718&lt;&gt;H1718),1,0)</f>
      </c>
      <c r="L1718">
        <f>IF(K1718=1,(Pu-E1718)/(H1718-E1718),"")</f>
      </c>
      <c r="M1718" s="12">
        <f>IF(K1718=1,F1718+L1718*(I1718-F1718),"")</f>
      </c>
      <c r="N1718" s="12">
        <f>IF(K1718=1,G1718+L1718*(J1718-G1718),"")</f>
      </c>
    </row>
    <row r="1719" spans="2:14" x14ac:dyDescent="0.25">
      <c r="B1719">
        <v>48</v>
      </c>
      <c r="C1719">
        <v>180.93750000000003</v>
      </c>
      <c r="D1719">
        <v>21</v>
      </c>
      <c r="E1719" s="18">
        <v>5615.946890931654</v>
      </c>
      <c r="F1719" s="18">
        <v>-57.65403869512061</v>
      </c>
      <c r="G1719" s="18">
        <v>-5722.680574395441</v>
      </c>
      <c r="H1719" s="12">
        <f>E1720</f>
      </c>
      <c r="I1719" s="12">
        <f>F1720</f>
      </c>
      <c r="J1719" s="12">
        <f>G1720</f>
      </c>
      <c r="K1719">
        <f>IF(AND(Pu&gt;=MIN(E1719,H1719),Pu&lt;=MAX(E1719,H1719),E1719&lt;&gt;H1719),1,0)</f>
      </c>
      <c r="L1719">
        <f>IF(K1719=1,(Pu-E1719)/(H1719-E1719),"")</f>
      </c>
      <c r="M1719" s="12">
        <f>IF(K1719=1,F1719+L1719*(I1719-F1719),"")</f>
      </c>
      <c r="N1719" s="12">
        <f>IF(K1719=1,G1719+L1719*(J1719-G1719),"")</f>
      </c>
    </row>
    <row r="1720" spans="2:14" x14ac:dyDescent="0.25">
      <c r="B1720">
        <v>48</v>
      </c>
      <c r="C1720">
        <v>180.93750000000003</v>
      </c>
      <c r="D1720">
        <v>22</v>
      </c>
      <c r="E1720" s="18">
        <v>5473.335099442658</v>
      </c>
      <c r="F1720" s="18">
        <v>-58.129036053984244</v>
      </c>
      <c r="G1720" s="18">
        <v>-5688.151338580202</v>
      </c>
      <c r="H1720" s="12">
        <f>E1721</f>
      </c>
      <c r="I1720" s="12">
        <f>F1721</f>
      </c>
      <c r="J1720" s="12">
        <f>G1721</f>
      </c>
      <c r="K1720">
        <f>IF(AND(Pu&gt;=MIN(E1720,H1720),Pu&lt;=MAX(E1720,H1720),E1720&lt;&gt;H1720),1,0)</f>
      </c>
      <c r="L1720">
        <f>IF(K1720=1,(Pu-E1720)/(H1720-E1720),"")</f>
      </c>
      <c r="M1720" s="12">
        <f>IF(K1720=1,F1720+L1720*(I1720-F1720),"")</f>
      </c>
      <c r="N1720" s="12">
        <f>IF(K1720=1,G1720+L1720*(J1720-G1720),"")</f>
      </c>
    </row>
    <row r="1721" spans="2:14" x14ac:dyDescent="0.25">
      <c r="B1721">
        <v>48</v>
      </c>
      <c r="C1721">
        <v>180.93750000000003</v>
      </c>
      <c r="D1721">
        <v>23</v>
      </c>
      <c r="E1721" s="18">
        <v>5014.634866906763</v>
      </c>
      <c r="F1721" s="18">
        <v>-59.7411968861686</v>
      </c>
      <c r="G1721" s="18">
        <v>-5573.334328943307</v>
      </c>
      <c r="H1721" s="12">
        <f>E1722</f>
      </c>
      <c r="I1721" s="12">
        <f>F1722</f>
      </c>
      <c r="J1721" s="12">
        <f>G1722</f>
      </c>
      <c r="K1721">
        <f>IF(AND(Pu&gt;=MIN(E1721,H1721),Pu&lt;=MAX(E1721,H1721),E1721&lt;&gt;H1721),1,0)</f>
      </c>
      <c r="L1721">
        <f>IF(K1721=1,(Pu-E1721)/(H1721-E1721),"")</f>
      </c>
      <c r="M1721" s="12">
        <f>IF(K1721=1,F1721+L1721*(I1721-F1721),"")</f>
      </c>
      <c r="N1721" s="12">
        <f>IF(K1721=1,G1721+L1721*(J1721-G1721),"")</f>
      </c>
    </row>
    <row r="1722" spans="2:14" x14ac:dyDescent="0.25">
      <c r="B1722">
        <v>48</v>
      </c>
      <c r="C1722">
        <v>180.93750000000003</v>
      </c>
      <c r="D1722">
        <v>24</v>
      </c>
      <c r="E1722" s="18">
        <v>4245.079618854726</v>
      </c>
      <c r="F1722" s="18">
        <v>-53.88478075798004</v>
      </c>
      <c r="G1722" s="18">
        <v>-5363.831379719478</v>
      </c>
      <c r="H1722" s="12">
        <f>E1723</f>
      </c>
      <c r="I1722" s="12">
        <f>F1723</f>
      </c>
      <c r="J1722" s="12">
        <f>G1723</f>
      </c>
      <c r="K1722">
        <f>IF(AND(Pu&gt;=MIN(E1722,H1722),Pu&lt;=MAX(E1722,H1722),E1722&lt;&gt;H1722),1,0)</f>
      </c>
      <c r="L1722">
        <f>IF(K1722=1,(Pu-E1722)/(H1722-E1722),"")</f>
      </c>
      <c r="M1722" s="12">
        <f>IF(K1722=1,F1722+L1722*(I1722-F1722),"")</f>
      </c>
      <c r="N1722" s="12">
        <f>IF(K1722=1,G1722+L1722*(J1722-G1722),"")</f>
      </c>
    </row>
    <row r="1723" spans="2:14" x14ac:dyDescent="0.25">
      <c r="B1723">
        <v>48</v>
      </c>
      <c r="C1723">
        <v>180.93750000000003</v>
      </c>
      <c r="D1723">
        <v>25</v>
      </c>
      <c r="E1723" s="18">
        <v>3741.027838012183</v>
      </c>
      <c r="F1723" s="18">
        <v>-55.96152406584839</v>
      </c>
      <c r="G1723" s="18">
        <v>-5185.404987376142</v>
      </c>
      <c r="H1723" s="12">
        <f>E1724</f>
      </c>
      <c r="I1723" s="12">
        <f>F1724</f>
      </c>
      <c r="J1723" s="12">
        <f>G1724</f>
      </c>
      <c r="K1723">
        <f>IF(AND(Pu&gt;=MIN(E1723,H1723),Pu&lt;=MAX(E1723,H1723),E1723&lt;&gt;H1723),1,0)</f>
      </c>
      <c r="L1723">
        <f>IF(K1723=1,(Pu-E1723)/(H1723-E1723),"")</f>
      </c>
      <c r="M1723" s="12">
        <f>IF(K1723=1,F1723+L1723*(I1723-F1723),"")</f>
      </c>
      <c r="N1723" s="12">
        <f>IF(K1723=1,G1723+L1723*(J1723-G1723),"")</f>
      </c>
    </row>
    <row r="1724" spans="2:14" x14ac:dyDescent="0.25">
      <c r="B1724">
        <v>48</v>
      </c>
      <c r="C1724">
        <v>180.93750000000003</v>
      </c>
      <c r="D1724">
        <v>26</v>
      </c>
      <c r="E1724" s="18">
        <v>3262.907158530716</v>
      </c>
      <c r="F1724" s="18">
        <v>-58.72419239820841</v>
      </c>
      <c r="G1724" s="18">
        <v>-5008.226425027318</v>
      </c>
      <c r="H1724" s="12">
        <f>E1725</f>
      </c>
      <c r="I1724" s="12">
        <f>F1725</f>
      </c>
      <c r="J1724" s="12">
        <f>G1725</f>
      </c>
      <c r="K1724">
        <f>IF(AND(Pu&gt;=MIN(E1724,H1724),Pu&lt;=MAX(E1724,H1724),E1724&lt;&gt;H1724),1,0)</f>
      </c>
      <c r="L1724">
        <f>IF(K1724=1,(Pu-E1724)/(H1724-E1724),"")</f>
      </c>
      <c r="M1724" s="12">
        <f>IF(K1724=1,F1724+L1724*(I1724-F1724),"")</f>
      </c>
      <c r="N1724" s="12">
        <f>IF(K1724=1,G1724+L1724*(J1724-G1724),"")</f>
      </c>
    </row>
    <row r="1725" spans="2:14" x14ac:dyDescent="0.25">
      <c r="B1725">
        <v>48</v>
      </c>
      <c r="C1725">
        <v>180.93750000000003</v>
      </c>
      <c r="D1725">
        <v>27</v>
      </c>
      <c r="E1725" s="18">
        <v>2516.7110596654243</v>
      </c>
      <c r="F1725" s="18">
        <v>-54.37695356441708</v>
      </c>
      <c r="G1725" s="18">
        <v>-4693.730358264181</v>
      </c>
      <c r="H1725" s="12">
        <f>E1726</f>
      </c>
      <c r="I1725" s="12">
        <f>F1726</f>
      </c>
      <c r="J1725" s="12">
        <f>G1726</f>
      </c>
      <c r="K1725">
        <f>IF(AND(Pu&gt;=MIN(E1725,H1725),Pu&lt;=MAX(E1725,H1725),E1725&lt;&gt;H1725),1,0)</f>
      </c>
      <c r="L1725">
        <f>IF(K1725=1,(Pu-E1725)/(H1725-E1725),"")</f>
      </c>
      <c r="M1725" s="12">
        <f>IF(K1725=1,F1725+L1725*(I1725-F1725),"")</f>
      </c>
      <c r="N1725" s="12">
        <f>IF(K1725=1,G1725+L1725*(J1725-G1725),"")</f>
      </c>
    </row>
    <row r="1726" spans="2:14" x14ac:dyDescent="0.25">
      <c r="B1726">
        <v>48</v>
      </c>
      <c r="C1726">
        <v>180.93750000000003</v>
      </c>
      <c r="D1726">
        <v>28</v>
      </c>
      <c r="E1726" s="18">
        <v>1950.0143460882832</v>
      </c>
      <c r="F1726" s="18">
        <v>-59.10961784610742</v>
      </c>
      <c r="G1726" s="18">
        <v>-4417.782741957647</v>
      </c>
      <c r="H1726" s="12">
        <f>E1727</f>
      </c>
      <c r="I1726" s="12">
        <f>F1727</f>
      </c>
      <c r="J1726" s="12">
        <f>G1727</f>
      </c>
      <c r="K1726">
        <f>IF(AND(Pu&gt;=MIN(E1726,H1726),Pu&lt;=MAX(E1726,H1726),E1726&lt;&gt;H1726),1,0)</f>
      </c>
      <c r="L1726">
        <f>IF(K1726=1,(Pu-E1726)/(H1726-E1726),"")</f>
      </c>
      <c r="M1726" s="12">
        <f>IF(K1726=1,F1726+L1726*(I1726-F1726),"")</f>
      </c>
      <c r="N1726" s="12">
        <f>IF(K1726=1,G1726+L1726*(J1726-G1726),"")</f>
      </c>
    </row>
    <row r="1727" spans="2:14" x14ac:dyDescent="0.25">
      <c r="B1727">
        <v>48</v>
      </c>
      <c r="C1727">
        <v>180.93750000000003</v>
      </c>
      <c r="D1727">
        <v>29</v>
      </c>
      <c r="E1727" s="18">
        <v>1269.2634925785987</v>
      </c>
      <c r="F1727" s="18">
        <v>-64.76497972613785</v>
      </c>
      <c r="G1727" s="18">
        <v>-4065.707855986391</v>
      </c>
      <c r="H1727" s="12">
        <f>E1728</f>
      </c>
      <c r="I1727" s="12">
        <f>F1728</f>
      </c>
      <c r="J1727" s="12">
        <f>G1728</f>
      </c>
      <c r="K1727">
        <f>IF(AND(Pu&gt;=MIN(E1727,H1727),Pu&lt;=MAX(E1727,H1727),E1727&lt;&gt;H1727),1,0)</f>
      </c>
      <c r="L1727">
        <f>IF(K1727=1,(Pu-E1727)/(H1727-E1727),"")</f>
      </c>
      <c r="M1727" s="12">
        <f>IF(K1727=1,F1727+L1727*(I1727-F1727),"")</f>
      </c>
      <c r="N1727" s="12">
        <f>IF(K1727=1,G1727+L1727*(J1727-G1727),"")</f>
      </c>
    </row>
    <row r="1728" spans="2:14" x14ac:dyDescent="0.25">
      <c r="B1728">
        <v>48</v>
      </c>
      <c r="C1728">
        <v>180.93750000000003</v>
      </c>
      <c r="D1728">
        <v>30</v>
      </c>
      <c r="E1728" s="18">
        <v>646.3075802162242</v>
      </c>
      <c r="F1728" s="18">
        <v>-42.64720790332485</v>
      </c>
      <c r="G1728" s="18">
        <v>-3726.798424737806</v>
      </c>
      <c r="H1728" s="12">
        <f>E1729</f>
      </c>
      <c r="I1728" s="12">
        <f>F1729</f>
      </c>
      <c r="J1728" s="12">
        <f>G1729</f>
      </c>
      <c r="K1728">
        <f>IF(AND(Pu&gt;=MIN(E1728,H1728),Pu&lt;=MAX(E1728,H1728),E1728&lt;&gt;H1728),1,0)</f>
      </c>
      <c r="L1728">
        <f>IF(K1728=1,(Pu-E1728)/(H1728-E1728),"")</f>
      </c>
      <c r="M1728" s="12">
        <f>IF(K1728=1,F1728+L1728*(I1728-F1728),"")</f>
      </c>
      <c r="N1728" s="12">
        <f>IF(K1728=1,G1728+L1728*(J1728-G1728),"")</f>
      </c>
    </row>
    <row r="1729" spans="2:14" x14ac:dyDescent="0.25">
      <c r="B1729">
        <v>48</v>
      </c>
      <c r="C1729">
        <v>180.93750000000003</v>
      </c>
      <c r="D1729">
        <v>31</v>
      </c>
      <c r="E1729" s="18">
        <v>-147.74840200011656</v>
      </c>
      <c r="F1729" s="18">
        <v>-44.51729266391144</v>
      </c>
      <c r="G1729" s="18">
        <v>-3244.630527446511</v>
      </c>
      <c r="H1729" s="12">
        <f>E1730</f>
      </c>
      <c r="I1729" s="12">
        <f>F1730</f>
      </c>
      <c r="J1729" s="12">
        <f>G1730</f>
      </c>
      <c r="K1729">
        <f>IF(AND(Pu&gt;=MIN(E1729,H1729),Pu&lt;=MAX(E1729,H1729),E1729&lt;&gt;H1729),1,0)</f>
      </c>
      <c r="L1729">
        <f>IF(K1729=1,(Pu-E1729)/(H1729-E1729),"")</f>
      </c>
      <c r="M1729" s="12">
        <f>IF(K1729=1,F1729+L1729*(I1729-F1729),"")</f>
      </c>
      <c r="N1729" s="12">
        <f>IF(K1729=1,G1729+L1729*(J1729-G1729),"")</f>
      </c>
    </row>
    <row r="1730" spans="2:14" x14ac:dyDescent="0.25">
      <c r="B1730">
        <v>48</v>
      </c>
      <c r="C1730">
        <v>180.93750000000003</v>
      </c>
      <c r="D1730">
        <v>32</v>
      </c>
      <c r="E1730" s="18">
        <v>-767.6422400899023</v>
      </c>
      <c r="F1730" s="18">
        <v>-41.86495204003936</v>
      </c>
      <c r="G1730" s="18">
        <v>-2849.2129345862522</v>
      </c>
      <c r="H1730" s="12">
        <f>E1731</f>
      </c>
      <c r="I1730" s="12">
        <f>F1731</f>
      </c>
      <c r="J1730" s="12">
        <f>G1731</f>
      </c>
      <c r="K1730">
        <f>IF(AND(Pu&gt;=MIN(E1730,H1730),Pu&lt;=MAX(E1730,H1730),E1730&lt;&gt;H1730),1,0)</f>
      </c>
      <c r="L1730">
        <f>IF(K1730=1,(Pu-E1730)/(H1730-E1730),"")</f>
      </c>
      <c r="M1730" s="12">
        <f>IF(K1730=1,F1730+L1730*(I1730-F1730),"")</f>
      </c>
      <c r="N1730" s="12">
        <f>IF(K1730=1,G1730+L1730*(J1730-G1730),"")</f>
      </c>
    </row>
    <row r="1731" spans="2:14" x14ac:dyDescent="0.25">
      <c r="B1731">
        <v>48</v>
      </c>
      <c r="C1731">
        <v>180.93750000000003</v>
      </c>
      <c r="D1731">
        <v>33</v>
      </c>
      <c r="E1731" s="18">
        <v>-1644.4149220413835</v>
      </c>
      <c r="F1731" s="18">
        <v>-39.9139176777646</v>
      </c>
      <c r="G1731" s="18">
        <v>-2270.9034838452544</v>
      </c>
      <c r="H1731" s="12">
        <f>E1732</f>
      </c>
      <c r="I1731" s="12">
        <f>F1732</f>
      </c>
      <c r="J1731" s="12">
        <f>G1732</f>
      </c>
      <c r="K1731">
        <f>IF(AND(Pu&gt;=MIN(E1731,H1731),Pu&lt;=MAX(E1731,H1731),E1731&lt;&gt;H1731),1,0)</f>
      </c>
      <c r="L1731">
        <f>IF(K1731=1,(Pu-E1731)/(H1731-E1731),"")</f>
      </c>
      <c r="M1731" s="12">
        <f>IF(K1731=1,F1731+L1731*(I1731-F1731),"")</f>
      </c>
      <c r="N1731" s="12">
        <f>IF(K1731=1,G1731+L1731*(J1731-G1731),"")</f>
      </c>
    </row>
    <row r="1732" spans="2:14" x14ac:dyDescent="0.25">
      <c r="B1732">
        <v>48</v>
      </c>
      <c r="C1732">
        <v>180.93750000000003</v>
      </c>
      <c r="D1732">
        <v>34</v>
      </c>
      <c r="E1732" s="18">
        <v>-2244.2511665546012</v>
      </c>
      <c r="F1732" s="18">
        <v>-33.10231205687192</v>
      </c>
      <c r="G1732" s="18">
        <v>-1865.6047055293127</v>
      </c>
      <c r="H1732" s="12">
        <f>E1733</f>
      </c>
      <c r="I1732" s="12">
        <f>F1733</f>
      </c>
      <c r="J1732" s="12">
        <f>G1733</f>
      </c>
      <c r="K1732">
        <f>IF(AND(Pu&gt;=MIN(E1732,H1732),Pu&lt;=MAX(E1732,H1732),E1732&lt;&gt;H1732),1,0)</f>
      </c>
      <c r="L1732">
        <f>IF(K1732=1,(Pu-E1732)/(H1732-E1732),"")</f>
      </c>
      <c r="M1732" s="12">
        <f>IF(K1732=1,F1732+L1732*(I1732-F1732),"")</f>
      </c>
      <c r="N1732" s="12">
        <f>IF(K1732=1,G1732+L1732*(J1732-G1732),"")</f>
      </c>
    </row>
    <row r="1733" spans="2:14" x14ac:dyDescent="0.25">
      <c r="B1733">
        <v>48</v>
      </c>
      <c r="C1733">
        <v>180.93750000000003</v>
      </c>
      <c r="D1733">
        <v>35</v>
      </c>
      <c r="E1733" s="18">
        <v>-3374.6406793095653</v>
      </c>
      <c r="F1733" s="18">
        <v>-43.92926933412506</v>
      </c>
      <c r="G1733" s="18">
        <v>-1090.6229396309382</v>
      </c>
      <c r="H1733" s="12">
        <f>E1734</f>
      </c>
      <c r="I1733" s="12">
        <f>F1734</f>
      </c>
      <c r="J1733" s="12">
        <f>G1734</f>
      </c>
      <c r="K1733">
        <f>IF(AND(Pu&gt;=MIN(E1733,H1733),Pu&lt;=MAX(E1733,H1733),E1733&lt;&gt;H1733),1,0)</f>
      </c>
      <c r="L1733">
        <f>IF(K1733=1,(Pu-E1733)/(H1733-E1733),"")</f>
      </c>
      <c r="M1733" s="12">
        <f>IF(K1733=1,F1733+L1733*(I1733-F1733),"")</f>
      </c>
      <c r="N1733" s="12">
        <f>IF(K1733=1,G1733+L1733*(J1733-G1733),"")</f>
      </c>
    </row>
    <row r="1734" spans="2:7" x14ac:dyDescent="0.25">
      <c r="B1734">
        <v>48</v>
      </c>
      <c r="C1734">
        <v>180.93750000000003</v>
      </c>
      <c r="D1734">
        <v>36</v>
      </c>
      <c r="E1734" s="18">
        <v>-4260.136771791475</v>
      </c>
      <c r="F1734" s="18">
        <v>-38.42087199900338</v>
      </c>
      <c r="G1734" s="18">
        <v>-481.0808845291013</v>
      </c>
    </row>
    <row r="1736" spans="2:14" x14ac:dyDescent="0.25">
      <c r="B1736">
        <v>49</v>
      </c>
      <c r="C1736">
        <v>181.87500000000006</v>
      </c>
      <c r="D1736">
        <v>1</v>
      </c>
      <c r="E1736" s="18">
        <v>17391.476327492688</v>
      </c>
      <c r="F1736" s="18">
        <v>-78.10757448925207</v>
      </c>
      <c r="G1736" s="18">
        <v>-2854.677485971236</v>
      </c>
      <c r="H1736" s="12">
        <f>E1737</f>
      </c>
      <c r="I1736" s="12">
        <f>F1737</f>
      </c>
      <c r="J1736" s="12">
        <f>G1737</f>
      </c>
      <c r="K1736">
        <f>IF(AND(Pu&gt;=MIN(E1736,H1736),Pu&lt;=MAX(E1736,H1736),E1736&lt;&gt;H1736),1,0)</f>
      </c>
      <c r="L1736">
        <f>IF(K1736=1,(Pu-E1736)/(H1736-E1736),"")</f>
      </c>
      <c r="M1736" s="12">
        <f>IF(K1736=1,F1736+L1736*(I1736-F1736),"")</f>
      </c>
      <c r="N1736" s="12">
        <f>IF(K1736=1,G1736+L1736*(J1736-G1736),"")</f>
      </c>
    </row>
    <row r="1737" spans="2:14" x14ac:dyDescent="0.25">
      <c r="B1737">
        <v>49</v>
      </c>
      <c r="C1737">
        <v>181.87500000000006</v>
      </c>
      <c r="D1737">
        <v>2</v>
      </c>
      <c r="E1737" s="18">
        <v>16800.998190039496</v>
      </c>
      <c r="F1737" s="18">
        <v>-70.32289134426942</v>
      </c>
      <c r="G1737" s="18">
        <v>-3139.3576255766934</v>
      </c>
      <c r="H1737" s="12">
        <f>E1738</f>
      </c>
      <c r="I1737" s="12">
        <f>F1738</f>
      </c>
      <c r="J1737" s="12">
        <f>G1738</f>
      </c>
      <c r="K1737">
        <f>IF(AND(Pu&gt;=MIN(E1737,H1737),Pu&lt;=MAX(E1737,H1737),E1737&lt;&gt;H1737),1,0)</f>
      </c>
      <c r="L1737">
        <f>IF(K1737=1,(Pu-E1737)/(H1737-E1737),"")</f>
      </c>
      <c r="M1737" s="12">
        <f>IF(K1737=1,F1737+L1737*(I1737-F1737),"")</f>
      </c>
      <c r="N1737" s="12">
        <f>IF(K1737=1,G1737+L1737*(J1737-G1737),"")</f>
      </c>
    </row>
    <row r="1738" spans="2:14" x14ac:dyDescent="0.25">
      <c r="B1738">
        <v>49</v>
      </c>
      <c r="C1738">
        <v>181.87500000000006</v>
      </c>
      <c r="D1738">
        <v>3</v>
      </c>
      <c r="E1738" s="18">
        <v>16077.057559257484</v>
      </c>
      <c r="F1738" s="18">
        <v>-72.55051061693867</v>
      </c>
      <c r="G1738" s="18">
        <v>-3445.4506502974778</v>
      </c>
      <c r="H1738" s="12">
        <f>E1739</f>
      </c>
      <c r="I1738" s="12">
        <f>F1739</f>
      </c>
      <c r="J1738" s="12">
        <f>G1739</f>
      </c>
      <c r="K1738">
        <f>IF(AND(Pu&gt;=MIN(E1738,H1738),Pu&lt;=MAX(E1738,H1738),E1738&lt;&gt;H1738),1,0)</f>
      </c>
      <c r="L1738">
        <f>IF(K1738=1,(Pu-E1738)/(H1738-E1738),"")</f>
      </c>
      <c r="M1738" s="12">
        <f>IF(K1738=1,F1738+L1738*(I1738-F1738),"")</f>
      </c>
      <c r="N1738" s="12">
        <f>IF(K1738=1,G1738+L1738*(J1738-G1738),"")</f>
      </c>
    </row>
    <row r="1739" spans="2:14" x14ac:dyDescent="0.25">
      <c r="B1739">
        <v>49</v>
      </c>
      <c r="C1739">
        <v>181.87500000000006</v>
      </c>
      <c r="D1739">
        <v>4</v>
      </c>
      <c r="E1739" s="18">
        <v>15342.031418567401</v>
      </c>
      <c r="F1739" s="18">
        <v>-75.83947642958988</v>
      </c>
      <c r="G1739" s="18">
        <v>-3707.6916840662466</v>
      </c>
      <c r="H1739" s="12">
        <f>E1740</f>
      </c>
      <c r="I1739" s="12">
        <f>F1740</f>
      </c>
      <c r="J1739" s="12">
        <f>G1740</f>
      </c>
      <c r="K1739">
        <f>IF(AND(Pu&gt;=MIN(E1739,H1739),Pu&lt;=MAX(E1739,H1739),E1739&lt;&gt;H1739),1,0)</f>
      </c>
      <c r="L1739">
        <f>IF(K1739=1,(Pu-E1739)/(H1739-E1739),"")</f>
      </c>
      <c r="M1739" s="12">
        <f>IF(K1739=1,F1739+L1739*(I1739-F1739),"")</f>
      </c>
      <c r="N1739" s="12">
        <f>IF(K1739=1,G1739+L1739*(J1739-G1739),"")</f>
      </c>
    </row>
    <row r="1740" spans="2:14" x14ac:dyDescent="0.25">
      <c r="B1740">
        <v>49</v>
      </c>
      <c r="C1740">
        <v>181.87500000000006</v>
      </c>
      <c r="D1740">
        <v>5</v>
      </c>
      <c r="E1740" s="18">
        <v>14019.230632081051</v>
      </c>
      <c r="F1740" s="18">
        <v>-89.41466289912663</v>
      </c>
      <c r="G1740" s="18">
        <v>-4085.97978210326</v>
      </c>
      <c r="H1740" s="12">
        <f>E1741</f>
      </c>
      <c r="I1740" s="12">
        <f>F1741</f>
      </c>
      <c r="J1740" s="12">
        <f>G1741</f>
      </c>
      <c r="K1740">
        <f>IF(AND(Pu&gt;=MIN(E1740,H1740),Pu&lt;=MAX(E1740,H1740),E1740&lt;&gt;H1740),1,0)</f>
      </c>
      <c r="L1740">
        <f>IF(K1740=1,(Pu-E1740)/(H1740-E1740),"")</f>
      </c>
      <c r="M1740" s="12">
        <f>IF(K1740=1,F1740+L1740*(I1740-F1740),"")</f>
      </c>
      <c r="N1740" s="12">
        <f>IF(K1740=1,G1740+L1740*(J1740-G1740),"")</f>
      </c>
    </row>
    <row r="1741" spans="2:14" x14ac:dyDescent="0.25">
      <c r="B1741">
        <v>49</v>
      </c>
      <c r="C1741">
        <v>181.87500000000006</v>
      </c>
      <c r="D1741">
        <v>6</v>
      </c>
      <c r="E1741" s="18">
        <v>11892.814235497679</v>
      </c>
      <c r="F1741" s="18">
        <v>-104.47898246626575</v>
      </c>
      <c r="G1741" s="18">
        <v>-4460.051252550411</v>
      </c>
      <c r="H1741" s="12">
        <f>E1742</f>
      </c>
      <c r="I1741" s="12">
        <f>F1742</f>
      </c>
      <c r="J1741" s="12">
        <f>G1742</f>
      </c>
      <c r="K1741">
        <f>IF(AND(Pu&gt;=MIN(E1741,H1741),Pu&lt;=MAX(E1741,H1741),E1741&lt;&gt;H1741),1,0)</f>
      </c>
      <c r="L1741">
        <f>IF(K1741=1,(Pu-E1741)/(H1741-E1741),"")</f>
      </c>
      <c r="M1741" s="12">
        <f>IF(K1741=1,F1741+L1741*(I1741-F1741),"")</f>
      </c>
      <c r="N1741" s="12">
        <f>IF(K1741=1,G1741+L1741*(J1741-G1741),"")</f>
      </c>
    </row>
    <row r="1742" spans="2:14" x14ac:dyDescent="0.25">
      <c r="B1742">
        <v>49</v>
      </c>
      <c r="C1742">
        <v>181.87500000000006</v>
      </c>
      <c r="D1742">
        <v>7</v>
      </c>
      <c r="E1742" s="18">
        <v>9894.634399280169</v>
      </c>
      <c r="F1742" s="18">
        <v>-101.33115909349365</v>
      </c>
      <c r="G1742" s="18">
        <v>-4688.795447420104</v>
      </c>
      <c r="H1742" s="12">
        <f>E1743</f>
      </c>
      <c r="I1742" s="12">
        <f>F1743</f>
      </c>
      <c r="J1742" s="12">
        <f>G1743</f>
      </c>
      <c r="K1742">
        <f>IF(AND(Pu&gt;=MIN(E1742,H1742),Pu&lt;=MAX(E1742,H1742),E1742&lt;&gt;H1742),1,0)</f>
      </c>
      <c r="L1742">
        <f>IF(K1742=1,(Pu-E1742)/(H1742-E1742),"")</f>
      </c>
      <c r="M1742" s="12">
        <f>IF(K1742=1,F1742+L1742*(I1742-F1742),"")</f>
      </c>
      <c r="N1742" s="12">
        <f>IF(K1742=1,G1742+L1742*(J1742-G1742),"")</f>
      </c>
    </row>
    <row r="1743" spans="2:14" x14ac:dyDescent="0.25">
      <c r="B1743">
        <v>49</v>
      </c>
      <c r="C1743">
        <v>181.87500000000006</v>
      </c>
      <c r="D1743">
        <v>8</v>
      </c>
      <c r="E1743" s="18">
        <v>8942.91287194244</v>
      </c>
      <c r="F1743" s="18">
        <v>-113.55533208531158</v>
      </c>
      <c r="G1743" s="18">
        <v>-4762.511810738264</v>
      </c>
      <c r="H1743" s="12">
        <f>E1744</f>
      </c>
      <c r="I1743" s="12">
        <f>F1744</f>
      </c>
      <c r="J1743" s="12">
        <f>G1744</f>
      </c>
      <c r="K1743">
        <f>IF(AND(Pu&gt;=MIN(E1743,H1743),Pu&lt;=MAX(E1743,H1743),E1743&lt;&gt;H1743),1,0)</f>
      </c>
      <c r="L1743">
        <f>IF(K1743=1,(Pu-E1743)/(H1743-E1743),"")</f>
      </c>
      <c r="M1743" s="12">
        <f>IF(K1743=1,F1743+L1743*(I1743-F1743),"")</f>
      </c>
      <c r="N1743" s="12">
        <f>IF(K1743=1,G1743+L1743*(J1743-G1743),"")</f>
      </c>
    </row>
    <row r="1744" spans="2:14" x14ac:dyDescent="0.25">
      <c r="B1744">
        <v>49</v>
      </c>
      <c r="C1744">
        <v>181.87500000000006</v>
      </c>
      <c r="D1744">
        <v>9</v>
      </c>
      <c r="E1744" s="18">
        <v>8419.846826728333</v>
      </c>
      <c r="F1744" s="18">
        <v>-117.27876652400622</v>
      </c>
      <c r="G1744" s="18">
        <v>-4864.010584805821</v>
      </c>
      <c r="H1744" s="12">
        <f>E1745</f>
      </c>
      <c r="I1744" s="12">
        <f>F1745</f>
      </c>
      <c r="J1744" s="12">
        <f>G1745</f>
      </c>
      <c r="K1744">
        <f>IF(AND(Pu&gt;=MIN(E1744,H1744),Pu&lt;=MAX(E1744,H1744),E1744&lt;&gt;H1744),1,0)</f>
      </c>
      <c r="L1744">
        <f>IF(K1744=1,(Pu-E1744)/(H1744-E1744),"")</f>
      </c>
      <c r="M1744" s="12">
        <f>IF(K1744=1,F1744+L1744*(I1744-F1744),"")</f>
      </c>
      <c r="N1744" s="12">
        <f>IF(K1744=1,G1744+L1744*(J1744-G1744),"")</f>
      </c>
    </row>
    <row r="1745" spans="2:14" x14ac:dyDescent="0.25">
      <c r="B1745">
        <v>49</v>
      </c>
      <c r="C1745">
        <v>181.87500000000006</v>
      </c>
      <c r="D1745">
        <v>10</v>
      </c>
      <c r="E1745" s="18">
        <v>8073.903676985097</v>
      </c>
      <c r="F1745" s="18">
        <v>-120.13826141890465</v>
      </c>
      <c r="G1745" s="18">
        <v>-4917.851961705694</v>
      </c>
      <c r="H1745" s="12">
        <f>E1746</f>
      </c>
      <c r="I1745" s="12">
        <f>F1746</f>
      </c>
      <c r="J1745" s="12">
        <f>G1746</f>
      </c>
      <c r="K1745">
        <f>IF(AND(Pu&gt;=MIN(E1745,H1745),Pu&lt;=MAX(E1745,H1745),E1745&lt;&gt;H1745),1,0)</f>
      </c>
      <c r="L1745">
        <f>IF(K1745=1,(Pu-E1745)/(H1745-E1745),"")</f>
      </c>
      <c r="M1745" s="12">
        <f>IF(K1745=1,F1745+L1745*(I1745-F1745),"")</f>
      </c>
      <c r="N1745" s="12">
        <f>IF(K1745=1,G1745+L1745*(J1745-G1745),"")</f>
      </c>
    </row>
    <row r="1746" spans="2:14" x14ac:dyDescent="0.25">
      <c r="B1746">
        <v>49</v>
      </c>
      <c r="C1746">
        <v>181.87500000000006</v>
      </c>
      <c r="D1746">
        <v>11</v>
      </c>
      <c r="E1746" s="18">
        <v>7366.637321100919</v>
      </c>
      <c r="F1746" s="18">
        <v>-126.25222746167934</v>
      </c>
      <c r="G1746" s="18">
        <v>-5012.774261655251</v>
      </c>
      <c r="H1746" s="12">
        <f>E1747</f>
      </c>
      <c r="I1746" s="12">
        <f>F1747</f>
      </c>
      <c r="J1746" s="12">
        <f>G1747</f>
      </c>
      <c r="K1746">
        <f>IF(AND(Pu&gt;=MIN(E1746,H1746),Pu&lt;=MAX(E1746,H1746),E1746&lt;&gt;H1746),1,0)</f>
      </c>
      <c r="L1746">
        <f>IF(K1746=1,(Pu-E1746)/(H1746-E1746),"")</f>
      </c>
      <c r="M1746" s="12">
        <f>IF(K1746=1,F1746+L1746*(I1746-F1746),"")</f>
      </c>
      <c r="N1746" s="12">
        <f>IF(K1746=1,G1746+L1746*(J1746-G1746),"")</f>
      </c>
    </row>
    <row r="1747" spans="2:14" x14ac:dyDescent="0.25">
      <c r="B1747">
        <v>49</v>
      </c>
      <c r="C1747">
        <v>181.87500000000006</v>
      </c>
      <c r="D1747">
        <v>12</v>
      </c>
      <c r="E1747" s="18">
        <v>7253.800446750893</v>
      </c>
      <c r="F1747" s="18">
        <v>-127.26018193755377</v>
      </c>
      <c r="G1747" s="18">
        <v>-5026.194073778878</v>
      </c>
      <c r="H1747" s="12">
        <f>E1748</f>
      </c>
      <c r="I1747" s="12">
        <f>F1748</f>
      </c>
      <c r="J1747" s="12">
        <f>G1748</f>
      </c>
      <c r="K1747">
        <f>IF(AND(Pu&gt;=MIN(E1747,H1747),Pu&lt;=MAX(E1747,H1747),E1747&lt;&gt;H1747),1,0)</f>
      </c>
      <c r="L1747">
        <f>IF(K1747=1,(Pu-E1747)/(H1747-E1747),"")</f>
      </c>
      <c r="M1747" s="12">
        <f>IF(K1747=1,F1747+L1747*(I1747-F1747),"")</f>
      </c>
      <c r="N1747" s="12">
        <f>IF(K1747=1,G1747+L1747*(J1747-G1747),"")</f>
      </c>
    </row>
    <row r="1748" spans="2:14" x14ac:dyDescent="0.25">
      <c r="B1748">
        <v>49</v>
      </c>
      <c r="C1748">
        <v>181.87500000000006</v>
      </c>
      <c r="D1748">
        <v>13</v>
      </c>
      <c r="E1748" s="18">
        <v>6647.60298499669</v>
      </c>
      <c r="F1748" s="18">
        <v>-121.80209386967762</v>
      </c>
      <c r="G1748" s="18">
        <v>-5138.145789415321</v>
      </c>
      <c r="H1748" s="12">
        <f>E1749</f>
      </c>
      <c r="I1748" s="12">
        <f>F1749</f>
      </c>
      <c r="J1748" s="12">
        <f>G1749</f>
      </c>
      <c r="K1748">
        <f>IF(AND(Pu&gt;=MIN(E1748,H1748),Pu&lt;=MAX(E1748,H1748),E1748&lt;&gt;H1748),1,0)</f>
      </c>
      <c r="L1748">
        <f>IF(K1748=1,(Pu-E1748)/(H1748-E1748),"")</f>
      </c>
      <c r="M1748" s="12">
        <f>IF(K1748=1,F1748+L1748*(I1748-F1748),"")</f>
      </c>
      <c r="N1748" s="12">
        <f>IF(K1748=1,G1748+L1748*(J1748-G1748),"")</f>
      </c>
    </row>
    <row r="1749" spans="2:14" x14ac:dyDescent="0.25">
      <c r="B1749">
        <v>49</v>
      </c>
      <c r="C1749">
        <v>181.87500000000006</v>
      </c>
      <c r="D1749">
        <v>14</v>
      </c>
      <c r="E1749" s="18">
        <v>6617.51999697707</v>
      </c>
      <c r="F1749" s="18">
        <v>-122.0271685123157</v>
      </c>
      <c r="G1749" s="18">
        <v>-5149.777148606522</v>
      </c>
      <c r="H1749" s="12">
        <f>E1750</f>
      </c>
      <c r="I1749" s="12">
        <f>F1750</f>
      </c>
      <c r="J1749" s="12">
        <f>G1750</f>
      </c>
      <c r="K1749">
        <f>IF(AND(Pu&gt;=MIN(E1749,H1749),Pu&lt;=MAX(E1749,H1749),E1749&lt;&gt;H1749),1,0)</f>
      </c>
      <c r="L1749">
        <f>IF(K1749=1,(Pu-E1749)/(H1749-E1749),"")</f>
      </c>
      <c r="M1749" s="12">
        <f>IF(K1749=1,F1749+L1749*(I1749-F1749),"")</f>
      </c>
      <c r="N1749" s="12">
        <f>IF(K1749=1,G1749+L1749*(J1749-G1749),"")</f>
      </c>
    </row>
    <row r="1750" spans="2:14" x14ac:dyDescent="0.25">
      <c r="B1750">
        <v>49</v>
      </c>
      <c r="C1750">
        <v>181.87500000000006</v>
      </c>
      <c r="D1750">
        <v>15</v>
      </c>
      <c r="E1750" s="18">
        <v>6352.914463480644</v>
      </c>
      <c r="F1750" s="18">
        <v>-105.75650685854735</v>
      </c>
      <c r="G1750" s="18">
        <v>-5268.315480059113</v>
      </c>
      <c r="H1750" s="12">
        <f>E1751</f>
      </c>
      <c r="I1750" s="12">
        <f>F1751</f>
      </c>
      <c r="J1750" s="12">
        <f>G1751</f>
      </c>
      <c r="K1750">
        <f>IF(AND(Pu&gt;=MIN(E1750,H1750),Pu&lt;=MAX(E1750,H1750),E1750&lt;&gt;H1750),1,0)</f>
      </c>
      <c r="L1750">
        <f>IF(K1750=1,(Pu-E1750)/(H1750-E1750),"")</f>
      </c>
      <c r="M1750" s="12">
        <f>IF(K1750=1,F1750+L1750*(I1750-F1750),"")</f>
      </c>
      <c r="N1750" s="12">
        <f>IF(K1750=1,G1750+L1750*(J1750-G1750),"")</f>
      </c>
    </row>
    <row r="1751" spans="2:14" x14ac:dyDescent="0.25">
      <c r="B1751">
        <v>49</v>
      </c>
      <c r="C1751">
        <v>181.87500000000006</v>
      </c>
      <c r="D1751">
        <v>16</v>
      </c>
      <c r="E1751" s="18">
        <v>6255.5947982972675</v>
      </c>
      <c r="F1751" s="18">
        <v>-106.1415895387011</v>
      </c>
      <c r="G1751" s="18">
        <v>-5313.173666420694</v>
      </c>
      <c r="H1751" s="12">
        <f>E1752</f>
      </c>
      <c r="I1751" s="12">
        <f>F1752</f>
      </c>
      <c r="J1751" s="12">
        <f>G1752</f>
      </c>
      <c r="K1751">
        <f>IF(AND(Pu&gt;=MIN(E1751,H1751),Pu&lt;=MAX(E1751,H1751),E1751&lt;&gt;H1751),1,0)</f>
      </c>
      <c r="L1751">
        <f>IF(K1751=1,(Pu-E1751)/(H1751-E1751),"")</f>
      </c>
      <c r="M1751" s="12">
        <f>IF(K1751=1,F1751+L1751*(I1751-F1751),"")</f>
      </c>
      <c r="N1751" s="12">
        <f>IF(K1751=1,G1751+L1751*(J1751-G1751),"")</f>
      </c>
    </row>
    <row r="1752" spans="2:14" x14ac:dyDescent="0.25">
      <c r="B1752">
        <v>49</v>
      </c>
      <c r="C1752">
        <v>181.87500000000006</v>
      </c>
      <c r="D1752">
        <v>17</v>
      </c>
      <c r="E1752" s="18">
        <v>6135.074176270867</v>
      </c>
      <c r="F1752" s="18">
        <v>-115.0112491259415</v>
      </c>
      <c r="G1752" s="18">
        <v>-5384.410881518748</v>
      </c>
      <c r="H1752" s="12">
        <f>E1753</f>
      </c>
      <c r="I1752" s="12">
        <f>F1753</f>
      </c>
      <c r="J1752" s="12">
        <f>G1753</f>
      </c>
      <c r="K1752">
        <f>IF(AND(Pu&gt;=MIN(E1752,H1752),Pu&lt;=MAX(E1752,H1752),E1752&lt;&gt;H1752),1,0)</f>
      </c>
      <c r="L1752">
        <f>IF(K1752=1,(Pu-E1752)/(H1752-E1752),"")</f>
      </c>
      <c r="M1752" s="12">
        <f>IF(K1752=1,F1752+L1752*(I1752-F1752),"")</f>
      </c>
      <c r="N1752" s="12">
        <f>IF(K1752=1,G1752+L1752*(J1752-G1752),"")</f>
      </c>
    </row>
    <row r="1753" spans="2:14" x14ac:dyDescent="0.25">
      <c r="B1753">
        <v>49</v>
      </c>
      <c r="C1753">
        <v>181.87500000000006</v>
      </c>
      <c r="D1753">
        <v>18</v>
      </c>
      <c r="E1753" s="18">
        <v>5928.20219221353</v>
      </c>
      <c r="F1753" s="18">
        <v>-117.11850023174105</v>
      </c>
      <c r="G1753" s="18">
        <v>-5498.670055250076</v>
      </c>
      <c r="H1753" s="12">
        <f>E1754</f>
      </c>
      <c r="I1753" s="12">
        <f>F1754</f>
      </c>
      <c r="J1753" s="12">
        <f>G1754</f>
      </c>
      <c r="K1753">
        <f>IF(AND(Pu&gt;=MIN(E1753,H1753),Pu&lt;=MAX(E1753,H1753),E1753&lt;&gt;H1753),1,0)</f>
      </c>
      <c r="L1753">
        <f>IF(K1753=1,(Pu-E1753)/(H1753-E1753),"")</f>
      </c>
      <c r="M1753" s="12">
        <f>IF(K1753=1,F1753+L1753*(I1753-F1753),"")</f>
      </c>
      <c r="N1753" s="12">
        <f>IF(K1753=1,G1753+L1753*(J1753-G1753),"")</f>
      </c>
    </row>
    <row r="1754" spans="2:14" x14ac:dyDescent="0.25">
      <c r="B1754">
        <v>49</v>
      </c>
      <c r="C1754">
        <v>181.87500000000006</v>
      </c>
      <c r="D1754">
        <v>19</v>
      </c>
      <c r="E1754" s="18">
        <v>5745.629471121562</v>
      </c>
      <c r="F1754" s="18">
        <v>-120.39666005816339</v>
      </c>
      <c r="G1754" s="18">
        <v>-5603.988435964236</v>
      </c>
      <c r="H1754" s="12">
        <f>E1755</f>
      </c>
      <c r="I1754" s="12">
        <f>F1755</f>
      </c>
      <c r="J1754" s="12">
        <f>G1755</f>
      </c>
      <c r="K1754">
        <f>IF(AND(Pu&gt;=MIN(E1754,H1754),Pu&lt;=MAX(E1754,H1754),E1754&lt;&gt;H1754),1,0)</f>
      </c>
      <c r="L1754">
        <f>IF(K1754=1,(Pu-E1754)/(H1754-E1754),"")</f>
      </c>
      <c r="M1754" s="12">
        <f>IF(K1754=1,F1754+L1754*(I1754-F1754),"")</f>
      </c>
      <c r="N1754" s="12">
        <f>IF(K1754=1,G1754+L1754*(J1754-G1754),"")</f>
      </c>
    </row>
    <row r="1755" spans="2:14" x14ac:dyDescent="0.25">
      <c r="B1755">
        <v>49</v>
      </c>
      <c r="C1755">
        <v>181.87500000000006</v>
      </c>
      <c r="D1755">
        <v>20</v>
      </c>
      <c r="E1755" s="18">
        <v>5735.170854552947</v>
      </c>
      <c r="F1755" s="18">
        <v>-119.66860818698888</v>
      </c>
      <c r="G1755" s="18">
        <v>-5610.574901129796</v>
      </c>
      <c r="H1755" s="12">
        <f>E1756</f>
      </c>
      <c r="I1755" s="12">
        <f>F1756</f>
      </c>
      <c r="J1755" s="12">
        <f>G1756</f>
      </c>
      <c r="K1755">
        <f>IF(AND(Pu&gt;=MIN(E1755,H1755),Pu&lt;=MAX(E1755,H1755),E1755&lt;&gt;H1755),1,0)</f>
      </c>
      <c r="L1755">
        <f>IF(K1755=1,(Pu-E1755)/(H1755-E1755),"")</f>
      </c>
      <c r="M1755" s="12">
        <f>IF(K1755=1,F1755+L1755*(I1755-F1755),"")</f>
      </c>
      <c r="N1755" s="12">
        <f>IF(K1755=1,G1755+L1755*(J1755-G1755),"")</f>
      </c>
    </row>
    <row r="1756" spans="2:14" x14ac:dyDescent="0.25">
      <c r="B1756">
        <v>49</v>
      </c>
      <c r="C1756">
        <v>181.87500000000006</v>
      </c>
      <c r="D1756">
        <v>21</v>
      </c>
      <c r="E1756" s="18">
        <v>5580.818143925858</v>
      </c>
      <c r="F1756" s="18">
        <v>-114.99632884096157</v>
      </c>
      <c r="G1756" s="18">
        <v>-5711.273193725633</v>
      </c>
      <c r="H1756" s="12">
        <f>E1757</f>
      </c>
      <c r="I1756" s="12">
        <f>F1757</f>
      </c>
      <c r="J1756" s="12">
        <f>G1757</f>
      </c>
      <c r="K1756">
        <f>IF(AND(Pu&gt;=MIN(E1756,H1756),Pu&lt;=MAX(E1756,H1756),E1756&lt;&gt;H1756),1,0)</f>
      </c>
      <c r="L1756">
        <f>IF(K1756=1,(Pu-E1756)/(H1756-E1756),"")</f>
      </c>
      <c r="M1756" s="12">
        <f>IF(K1756=1,F1756+L1756*(I1756-F1756),"")</f>
      </c>
      <c r="N1756" s="12">
        <f>IF(K1756=1,G1756+L1756*(J1756-G1756),"")</f>
      </c>
    </row>
    <row r="1757" spans="2:14" x14ac:dyDescent="0.25">
      <c r="B1757">
        <v>49</v>
      </c>
      <c r="C1757">
        <v>181.87500000000006</v>
      </c>
      <c r="D1757">
        <v>22</v>
      </c>
      <c r="E1757" s="18">
        <v>5441.943337728231</v>
      </c>
      <c r="F1757" s="18">
        <v>-115.90827521078505</v>
      </c>
      <c r="G1757" s="18">
        <v>-5677.362049487343</v>
      </c>
      <c r="H1757" s="12">
        <f>E1758</f>
      </c>
      <c r="I1757" s="12">
        <f>F1758</f>
      </c>
      <c r="J1757" s="12">
        <f>G1758</f>
      </c>
      <c r="K1757">
        <f>IF(AND(Pu&gt;=MIN(E1757,H1757),Pu&lt;=MAX(E1757,H1757),E1757&lt;&gt;H1757),1,0)</f>
      </c>
      <c r="L1757">
        <f>IF(K1757=1,(Pu-E1757)/(H1757-E1757),"")</f>
      </c>
      <c r="M1757" s="12">
        <f>IF(K1757=1,F1757+L1757*(I1757-F1757),"")</f>
      </c>
      <c r="N1757" s="12">
        <f>IF(K1757=1,G1757+L1757*(J1757-G1757),"")</f>
      </c>
    </row>
    <row r="1758" spans="2:14" x14ac:dyDescent="0.25">
      <c r="B1758">
        <v>49</v>
      </c>
      <c r="C1758">
        <v>181.87500000000006</v>
      </c>
      <c r="D1758">
        <v>23</v>
      </c>
      <c r="E1758" s="18">
        <v>4980.360057648453</v>
      </c>
      <c r="F1758" s="18">
        <v>-119.10578113549923</v>
      </c>
      <c r="G1758" s="18">
        <v>-5560.864116806003</v>
      </c>
      <c r="H1758" s="12">
        <f>E1759</f>
      </c>
      <c r="I1758" s="12">
        <f>F1759</f>
      </c>
      <c r="J1758" s="12">
        <f>G1759</f>
      </c>
      <c r="K1758">
        <f>IF(AND(Pu&gt;=MIN(E1758,H1758),Pu&lt;=MAX(E1758,H1758),E1758&lt;&gt;H1758),1,0)</f>
      </c>
      <c r="L1758">
        <f>IF(K1758=1,(Pu-E1758)/(H1758-E1758),"")</f>
      </c>
      <c r="M1758" s="12">
        <f>IF(K1758=1,F1758+L1758*(I1758-F1758),"")</f>
      </c>
      <c r="N1758" s="12">
        <f>IF(K1758=1,G1758+L1758*(J1758-G1758),"")</f>
      </c>
    </row>
    <row r="1759" spans="2:14" x14ac:dyDescent="0.25">
      <c r="B1759">
        <v>49</v>
      </c>
      <c r="C1759">
        <v>181.87500000000006</v>
      </c>
      <c r="D1759">
        <v>24</v>
      </c>
      <c r="E1759" s="18">
        <v>4226.55464959692</v>
      </c>
      <c r="F1759" s="18">
        <v>-99.90200987997557</v>
      </c>
      <c r="G1759" s="18">
        <v>-5355.300815949712</v>
      </c>
      <c r="H1759" s="12">
        <f>E1760</f>
      </c>
      <c r="I1759" s="12">
        <f>F1760</f>
      </c>
      <c r="J1759" s="12">
        <f>G1760</f>
      </c>
      <c r="K1759">
        <f>IF(AND(Pu&gt;=MIN(E1759,H1759),Pu&lt;=MAX(E1759,H1759),E1759&lt;&gt;H1759),1,0)</f>
      </c>
      <c r="L1759">
        <f>IF(K1759=1,(Pu-E1759)/(H1759-E1759),"")</f>
      </c>
      <c r="M1759" s="12">
        <f>IF(K1759=1,F1759+L1759*(I1759-F1759),"")</f>
      </c>
      <c r="N1759" s="12">
        <f>IF(K1759=1,G1759+L1759*(J1759-G1759),"")</f>
      </c>
    </row>
    <row r="1760" spans="2:14" x14ac:dyDescent="0.25">
      <c r="B1760">
        <v>49</v>
      </c>
      <c r="C1760">
        <v>181.87500000000006</v>
      </c>
      <c r="D1760">
        <v>25</v>
      </c>
      <c r="E1760" s="18">
        <v>3697.91354110327</v>
      </c>
      <c r="F1760" s="18">
        <v>-111.60930436023793</v>
      </c>
      <c r="G1760" s="18">
        <v>-5167.166289284256</v>
      </c>
      <c r="H1760" s="12">
        <f>E1761</f>
      </c>
      <c r="I1760" s="12">
        <f>F1761</f>
      </c>
      <c r="J1760" s="12">
        <f>G1761</f>
      </c>
      <c r="K1760">
        <f>IF(AND(Pu&gt;=MIN(E1760,H1760),Pu&lt;=MAX(E1760,H1760),E1760&lt;&gt;H1760),1,0)</f>
      </c>
      <c r="L1760">
        <f>IF(K1760=1,(Pu-E1760)/(H1760-E1760),"")</f>
      </c>
      <c r="M1760" s="12">
        <f>IF(K1760=1,F1760+L1760*(I1760-F1760),"")</f>
      </c>
      <c r="N1760" s="12">
        <f>IF(K1760=1,G1760+L1760*(J1760-G1760),"")</f>
      </c>
    </row>
    <row r="1761" spans="2:14" x14ac:dyDescent="0.25">
      <c r="B1761">
        <v>49</v>
      </c>
      <c r="C1761">
        <v>181.87500000000006</v>
      </c>
      <c r="D1761">
        <v>26</v>
      </c>
      <c r="E1761" s="18">
        <v>3212.3533211573626</v>
      </c>
      <c r="F1761" s="18">
        <v>-117.95406247522105</v>
      </c>
      <c r="G1761" s="18">
        <v>-4985.686441566269</v>
      </c>
      <c r="H1761" s="12">
        <f>E1762</f>
      </c>
      <c r="I1761" s="12">
        <f>F1762</f>
      </c>
      <c r="J1761" s="12">
        <f>G1762</f>
      </c>
      <c r="K1761">
        <f>IF(AND(Pu&gt;=MIN(E1761,H1761),Pu&lt;=MAX(E1761,H1761),E1761&lt;&gt;H1761),1,0)</f>
      </c>
      <c r="L1761">
        <f>IF(K1761=1,(Pu-E1761)/(H1761-E1761),"")</f>
      </c>
      <c r="M1761" s="12">
        <f>IF(K1761=1,F1761+L1761*(I1761-F1761),"")</f>
      </c>
      <c r="N1761" s="12">
        <f>IF(K1761=1,G1761+L1761*(J1761-G1761),"")</f>
      </c>
    </row>
    <row r="1762" spans="2:14" x14ac:dyDescent="0.25">
      <c r="B1762">
        <v>49</v>
      </c>
      <c r="C1762">
        <v>181.87500000000006</v>
      </c>
      <c r="D1762">
        <v>27</v>
      </c>
      <c r="E1762" s="18">
        <v>2456.513047282801</v>
      </c>
      <c r="F1762" s="18">
        <v>-109.260316175385</v>
      </c>
      <c r="G1762" s="18">
        <v>-4663.281731969177</v>
      </c>
      <c r="H1762" s="12">
        <f>E1763</f>
      </c>
      <c r="I1762" s="12">
        <f>F1763</f>
      </c>
      <c r="J1762" s="12">
        <f>G1763</f>
      </c>
      <c r="K1762">
        <f>IF(AND(Pu&gt;=MIN(E1762,H1762),Pu&lt;=MAX(E1762,H1762),E1762&lt;&gt;H1762),1,0)</f>
      </c>
      <c r="L1762">
        <f>IF(K1762=1,(Pu-E1762)/(H1762-E1762),"")</f>
      </c>
      <c r="M1762" s="12">
        <f>IF(K1762=1,F1762+L1762*(I1762-F1762),"")</f>
      </c>
      <c r="N1762" s="12">
        <f>IF(K1762=1,G1762+L1762*(J1762-G1762),"")</f>
      </c>
    </row>
    <row r="1763" spans="2:14" x14ac:dyDescent="0.25">
      <c r="B1763">
        <v>49</v>
      </c>
      <c r="C1763">
        <v>181.87500000000006</v>
      </c>
      <c r="D1763">
        <v>28</v>
      </c>
      <c r="E1763" s="18">
        <v>1877.578864426078</v>
      </c>
      <c r="F1763" s="18">
        <v>-118.26840104591928</v>
      </c>
      <c r="G1763" s="18">
        <v>-4379.130084874305</v>
      </c>
      <c r="H1763" s="12">
        <f>E1764</f>
      </c>
      <c r="I1763" s="12">
        <f>F1764</f>
      </c>
      <c r="J1763" s="12">
        <f>G1764</f>
      </c>
      <c r="K1763">
        <f>IF(AND(Pu&gt;=MIN(E1763,H1763),Pu&lt;=MAX(E1763,H1763),E1763&lt;&gt;H1763),1,0)</f>
      </c>
      <c r="L1763">
        <f>IF(K1763=1,(Pu-E1763)/(H1763-E1763),"")</f>
      </c>
      <c r="M1763" s="12">
        <f>IF(K1763=1,F1763+L1763*(I1763-F1763),"")</f>
      </c>
      <c r="N1763" s="12">
        <f>IF(K1763=1,G1763+L1763*(J1763-G1763),"")</f>
      </c>
    </row>
    <row r="1764" spans="2:14" x14ac:dyDescent="0.25">
      <c r="B1764">
        <v>49</v>
      </c>
      <c r="C1764">
        <v>181.87500000000006</v>
      </c>
      <c r="D1764">
        <v>29</v>
      </c>
      <c r="E1764" s="18">
        <v>1138.6956400735326</v>
      </c>
      <c r="F1764" s="18">
        <v>-127.05793654009183</v>
      </c>
      <c r="G1764" s="18">
        <v>-3992.7302795091605</v>
      </c>
      <c r="H1764" s="12">
        <f>E1765</f>
      </c>
      <c r="I1764" s="12">
        <f>F1765</f>
      </c>
      <c r="J1764" s="12">
        <f>G1765</f>
      </c>
      <c r="K1764">
        <f>IF(AND(Pu&gt;=MIN(E1764,H1764),Pu&lt;=MAX(E1764,H1764),E1764&lt;&gt;H1764),1,0)</f>
      </c>
      <c r="L1764">
        <f>IF(K1764=1,(Pu-E1764)/(H1764-E1764),"")</f>
      </c>
      <c r="M1764" s="12">
        <f>IF(K1764=1,F1764+L1764*(I1764-F1764),"")</f>
      </c>
      <c r="N1764" s="12">
        <f>IF(K1764=1,G1764+L1764*(J1764-G1764),"")</f>
      </c>
    </row>
    <row r="1765" spans="2:14" x14ac:dyDescent="0.25">
      <c r="B1765">
        <v>49</v>
      </c>
      <c r="C1765">
        <v>181.87500000000006</v>
      </c>
      <c r="D1765">
        <v>30</v>
      </c>
      <c r="E1765" s="18">
        <v>512.4762726801409</v>
      </c>
      <c r="F1765" s="18">
        <v>-89.85684292765295</v>
      </c>
      <c r="G1765" s="18">
        <v>-3644.8786045487636</v>
      </c>
      <c r="H1765" s="12">
        <f>E1766</f>
      </c>
      <c r="I1765" s="12">
        <f>F1766</f>
      </c>
      <c r="J1765" s="12">
        <f>G1766</f>
      </c>
      <c r="K1765">
        <f>IF(AND(Pu&gt;=MIN(E1765,H1765),Pu&lt;=MAX(E1765,H1765),E1765&lt;&gt;H1765),1,0)</f>
      </c>
      <c r="L1765">
        <f>IF(K1765=1,(Pu-E1765)/(H1765-E1765),"")</f>
      </c>
      <c r="M1765" s="12">
        <f>IF(K1765=1,F1765+L1765*(I1765-F1765),"")</f>
      </c>
      <c r="N1765" s="12">
        <f>IF(K1765=1,G1765+L1765*(J1765-G1765),"")</f>
      </c>
    </row>
    <row r="1766" spans="2:14" x14ac:dyDescent="0.25">
      <c r="B1766">
        <v>49</v>
      </c>
      <c r="C1766">
        <v>181.87500000000006</v>
      </c>
      <c r="D1766">
        <v>31</v>
      </c>
      <c r="E1766" s="18">
        <v>-325.4308571629519</v>
      </c>
      <c r="F1766" s="18">
        <v>-86.8873858534443</v>
      </c>
      <c r="G1766" s="18">
        <v>-3130.281250635332</v>
      </c>
      <c r="H1766" s="12">
        <f>E1767</f>
      </c>
      <c r="I1766" s="12">
        <f>F1767</f>
      </c>
      <c r="J1766" s="12">
        <f>G1767</f>
      </c>
      <c r="K1766">
        <f>IF(AND(Pu&gt;=MIN(E1766,H1766),Pu&lt;=MAX(E1766,H1766),E1766&lt;&gt;H1766),1,0)</f>
      </c>
      <c r="L1766">
        <f>IF(K1766=1,(Pu-E1766)/(H1766-E1766),"")</f>
      </c>
      <c r="M1766" s="12">
        <f>IF(K1766=1,F1766+L1766*(I1766-F1766),"")</f>
      </c>
      <c r="N1766" s="12">
        <f>IF(K1766=1,G1766+L1766*(J1766-G1766),"")</f>
      </c>
    </row>
    <row r="1767" spans="2:14" x14ac:dyDescent="0.25">
      <c r="B1767">
        <v>49</v>
      </c>
      <c r="C1767">
        <v>181.87500000000006</v>
      </c>
      <c r="D1767">
        <v>32</v>
      </c>
      <c r="E1767" s="18">
        <v>-955.403769722024</v>
      </c>
      <c r="F1767" s="18">
        <v>-81.64268141876933</v>
      </c>
      <c r="G1767" s="18">
        <v>-2725.5786502524693</v>
      </c>
      <c r="H1767" s="12">
        <f>E1768</f>
      </c>
      <c r="I1767" s="12">
        <f>F1768</f>
      </c>
      <c r="J1767" s="12">
        <f>G1768</f>
      </c>
      <c r="K1767">
        <f>IF(AND(Pu&gt;=MIN(E1767,H1767),Pu&lt;=MAX(E1767,H1767),E1767&lt;&gt;H1767),1,0)</f>
      </c>
      <c r="L1767">
        <f>IF(K1767=1,(Pu-E1767)/(H1767-E1767),"")</f>
      </c>
      <c r="M1767" s="12">
        <f>IF(K1767=1,F1767+L1767*(I1767-F1767),"")</f>
      </c>
      <c r="N1767" s="12">
        <f>IF(K1767=1,G1767+L1767*(J1767-G1767),"")</f>
      </c>
    </row>
    <row r="1768" spans="2:14" x14ac:dyDescent="0.25">
      <c r="B1768">
        <v>49</v>
      </c>
      <c r="C1768">
        <v>181.87500000000006</v>
      </c>
      <c r="D1768">
        <v>33</v>
      </c>
      <c r="E1768" s="18">
        <v>-1852.1238229096746</v>
      </c>
      <c r="F1768" s="18">
        <v>-77.81010637805373</v>
      </c>
      <c r="G1768" s="18">
        <v>-2130.5378494238535</v>
      </c>
      <c r="H1768" s="12">
        <f>E1769</f>
      </c>
      <c r="I1768" s="12">
        <f>F1769</f>
      </c>
      <c r="J1768" s="12">
        <f>G1769</f>
      </c>
      <c r="K1768">
        <f>IF(AND(Pu&gt;=MIN(E1768,H1768),Pu&lt;=MAX(E1768,H1768),E1768&lt;&gt;H1768),1,0)</f>
      </c>
      <c r="L1768">
        <f>IF(K1768=1,(Pu-E1768)/(H1768-E1768),"")</f>
      </c>
      <c r="M1768" s="12">
        <f>IF(K1768=1,F1768+L1768*(I1768-F1768),"")</f>
      </c>
      <c r="N1768" s="12">
        <f>IF(K1768=1,G1768+L1768*(J1768-G1768),"")</f>
      </c>
    </row>
    <row r="1769" spans="2:14" x14ac:dyDescent="0.25">
      <c r="B1769">
        <v>49</v>
      </c>
      <c r="C1769">
        <v>181.87500000000006</v>
      </c>
      <c r="D1769">
        <v>34</v>
      </c>
      <c r="E1769" s="18">
        <v>-2454.5978223827865</v>
      </c>
      <c r="F1769" s="18">
        <v>-72.93188150296633</v>
      </c>
      <c r="G1769" s="18">
        <v>-1721.4937011906313</v>
      </c>
      <c r="H1769" s="12">
        <f>E1770</f>
      </c>
      <c r="I1769" s="12">
        <f>F1770</f>
      </c>
      <c r="J1769" s="12">
        <f>G1770</f>
      </c>
      <c r="K1769">
        <f>IF(AND(Pu&gt;=MIN(E1769,H1769),Pu&lt;=MAX(E1769,H1769),E1769&lt;&gt;H1769),1,0)</f>
      </c>
      <c r="L1769">
        <f>IF(K1769=1,(Pu-E1769)/(H1769-E1769),"")</f>
      </c>
      <c r="M1769" s="12">
        <f>IF(K1769=1,F1769+L1769*(I1769-F1769),"")</f>
      </c>
      <c r="N1769" s="12">
        <f>IF(K1769=1,G1769+L1769*(J1769-G1769),"")</f>
      </c>
    </row>
    <row r="1770" spans="2:14" x14ac:dyDescent="0.25">
      <c r="B1770">
        <v>49</v>
      </c>
      <c r="C1770">
        <v>181.87500000000006</v>
      </c>
      <c r="D1770">
        <v>35</v>
      </c>
      <c r="E1770" s="18">
        <v>-3653.348167546829</v>
      </c>
      <c r="F1770" s="18">
        <v>-85.85896905985351</v>
      </c>
      <c r="G1770" s="18">
        <v>-897.3899557654329</v>
      </c>
      <c r="H1770" s="12">
        <f>E1771</f>
      </c>
      <c r="I1770" s="12">
        <f>F1771</f>
      </c>
      <c r="J1770" s="12">
        <f>G1771</f>
      </c>
      <c r="K1770">
        <f>IF(AND(Pu&gt;=MIN(E1770,H1770),Pu&lt;=MAX(E1770,H1770),E1770&lt;&gt;H1770),1,0)</f>
      </c>
      <c r="L1770">
        <f>IF(K1770=1,(Pu-E1770)/(H1770-E1770),"")</f>
      </c>
      <c r="M1770" s="12">
        <f>IF(K1770=1,F1770+L1770*(I1770-F1770),"")</f>
      </c>
      <c r="N1770" s="12">
        <f>IF(K1770=1,G1770+L1770*(J1770-G1770),"")</f>
      </c>
    </row>
    <row r="1771" spans="2:7" x14ac:dyDescent="0.25">
      <c r="B1771">
        <v>49</v>
      </c>
      <c r="C1771">
        <v>181.87500000000006</v>
      </c>
      <c r="D1771">
        <v>36</v>
      </c>
      <c r="E1771" s="18">
        <v>-4407.4036733353605</v>
      </c>
      <c r="F1771" s="18">
        <v>-50.59090707257205</v>
      </c>
      <c r="G1771" s="18">
        <v>-375.90470638440996</v>
      </c>
    </row>
    <row r="1773" spans="2:14" x14ac:dyDescent="0.25">
      <c r="B1773">
        <v>50</v>
      </c>
      <c r="C1773">
        <v>183.75000000000003</v>
      </c>
      <c r="D1773">
        <v>1</v>
      </c>
      <c r="E1773" s="18">
        <v>17489.580345636376</v>
      </c>
      <c r="F1773" s="18">
        <v>-156.72155539172672</v>
      </c>
      <c r="G1773" s="18">
        <v>-2799.512446181111</v>
      </c>
      <c r="H1773" s="12">
        <f>E1774</f>
      </c>
      <c r="I1773" s="12">
        <f>F1774</f>
      </c>
      <c r="J1773" s="12">
        <f>G1774</f>
      </c>
      <c r="K1773">
        <f>IF(AND(Pu&gt;=MIN(E1773,H1773),Pu&lt;=MAX(E1773,H1773),E1773&lt;&gt;H1773),1,0)</f>
      </c>
      <c r="L1773">
        <f>IF(K1773=1,(Pu-E1773)/(H1773-E1773),"")</f>
      </c>
      <c r="M1773" s="12">
        <f>IF(K1773=1,F1773+L1773*(I1773-F1773),"")</f>
      </c>
      <c r="N1773" s="12">
        <f>IF(K1773=1,G1773+L1773*(J1773-G1773),"")</f>
      </c>
    </row>
    <row r="1774" spans="2:14" x14ac:dyDescent="0.25">
      <c r="B1774">
        <v>50</v>
      </c>
      <c r="C1774">
        <v>183.75000000000003</v>
      </c>
      <c r="D1774">
        <v>2</v>
      </c>
      <c r="E1774" s="18">
        <v>16878.34556670153</v>
      </c>
      <c r="F1774" s="18">
        <v>-142.84572011692697</v>
      </c>
      <c r="G1774" s="18">
        <v>-3099.049468698061</v>
      </c>
      <c r="H1774" s="12">
        <f>E1775</f>
      </c>
      <c r="I1774" s="12">
        <f>F1775</f>
      </c>
      <c r="J1774" s="12">
        <f>G1775</f>
      </c>
      <c r="K1774">
        <f>IF(AND(Pu&gt;=MIN(E1774,H1774),Pu&lt;=MAX(E1774,H1774),E1774&lt;&gt;H1774),1,0)</f>
      </c>
      <c r="L1774">
        <f>IF(K1774=1,(Pu-E1774)/(H1774-E1774),"")</f>
      </c>
      <c r="M1774" s="12">
        <f>IF(K1774=1,F1774+L1774*(I1774-F1774),"")</f>
      </c>
      <c r="N1774" s="12">
        <f>IF(K1774=1,G1774+L1774*(J1774-G1774),"")</f>
      </c>
    </row>
    <row r="1775" spans="2:14" x14ac:dyDescent="0.25">
      <c r="B1775">
        <v>50</v>
      </c>
      <c r="C1775">
        <v>183.75000000000003</v>
      </c>
      <c r="D1775">
        <v>3</v>
      </c>
      <c r="E1775" s="18">
        <v>16117.62924344133</v>
      </c>
      <c r="F1775" s="18">
        <v>-137.68096691910606</v>
      </c>
      <c r="G1775" s="18">
        <v>-3421.7245718515915</v>
      </c>
      <c r="H1775" s="12">
        <f>E1776</f>
      </c>
      <c r="I1775" s="12">
        <f>F1776</f>
      </c>
      <c r="J1775" s="12">
        <f>G1776</f>
      </c>
      <c r="K1775">
        <f>IF(AND(Pu&gt;=MIN(E1775,H1775),Pu&lt;=MAX(E1775,H1775),E1775&lt;&gt;H1775),1,0)</f>
      </c>
      <c r="L1775">
        <f>IF(K1775=1,(Pu-E1775)/(H1775-E1775),"")</f>
      </c>
      <c r="M1775" s="12">
        <f>IF(K1775=1,F1775+L1775*(I1775-F1775),"")</f>
      </c>
      <c r="N1775" s="12">
        <f>IF(K1775=1,G1775+L1775*(J1775-G1775),"")</f>
      </c>
    </row>
    <row r="1776" spans="2:14" x14ac:dyDescent="0.25">
      <c r="B1776">
        <v>50</v>
      </c>
      <c r="C1776">
        <v>183.75000000000003</v>
      </c>
      <c r="D1776">
        <v>4</v>
      </c>
      <c r="E1776" s="18">
        <v>15391.408554482894</v>
      </c>
      <c r="F1776" s="18">
        <v>-151.13577089118627</v>
      </c>
      <c r="G1776" s="18">
        <v>-3684.5738260824883</v>
      </c>
      <c r="H1776" s="12">
        <f>E1777</f>
      </c>
      <c r="I1776" s="12">
        <f>F1777</f>
      </c>
      <c r="J1776" s="12">
        <f>G1777</f>
      </c>
      <c r="K1776">
        <f>IF(AND(Pu&gt;=MIN(E1776,H1776),Pu&lt;=MAX(E1776,H1776),E1776&lt;&gt;H1776),1,0)</f>
      </c>
      <c r="L1776">
        <f>IF(K1776=1,(Pu-E1776)/(H1776-E1776),"")</f>
      </c>
      <c r="M1776" s="12">
        <f>IF(K1776=1,F1776+L1776*(I1776-F1776),"")</f>
      </c>
      <c r="N1776" s="12">
        <f>IF(K1776=1,G1776+L1776*(J1776-G1776),"")</f>
      </c>
    </row>
    <row r="1777" spans="2:14" x14ac:dyDescent="0.25">
      <c r="B1777">
        <v>50</v>
      </c>
      <c r="C1777">
        <v>183.75000000000003</v>
      </c>
      <c r="D1777">
        <v>5</v>
      </c>
      <c r="E1777" s="18">
        <v>14044.877329044897</v>
      </c>
      <c r="F1777" s="18">
        <v>-170.3032002557794</v>
      </c>
      <c r="G1777" s="18">
        <v>-4070.0867917360497</v>
      </c>
      <c r="H1777" s="12">
        <f>E1778</f>
      </c>
      <c r="I1777" s="12">
        <f>F1778</f>
      </c>
      <c r="J1777" s="12">
        <f>G1778</f>
      </c>
      <c r="K1777">
        <f>IF(AND(Pu&gt;=MIN(E1777,H1777),Pu&lt;=MAX(E1777,H1777),E1777&lt;&gt;H1777),1,0)</f>
      </c>
      <c r="L1777">
        <f>IF(K1777=1,(Pu-E1777)/(H1777-E1777),"")</f>
      </c>
      <c r="M1777" s="12">
        <f>IF(K1777=1,F1777+L1777*(I1777-F1777),"")</f>
      </c>
      <c r="N1777" s="12">
        <f>IF(K1777=1,G1777+L1777*(J1777-G1777),"")</f>
      </c>
    </row>
    <row r="1778" spans="2:14" x14ac:dyDescent="0.25">
      <c r="B1778">
        <v>50</v>
      </c>
      <c r="C1778">
        <v>183.75000000000003</v>
      </c>
      <c r="D1778">
        <v>6</v>
      </c>
      <c r="E1778" s="18">
        <v>11938.483522307408</v>
      </c>
      <c r="F1778" s="18">
        <v>-208.29046851694142</v>
      </c>
      <c r="G1778" s="18">
        <v>-4441.243970742902</v>
      </c>
      <c r="H1778" s="12">
        <f>E1779</f>
      </c>
      <c r="I1778" s="12">
        <f>F1779</f>
      </c>
      <c r="J1778" s="12">
        <f>G1779</f>
      </c>
      <c r="K1778">
        <f>IF(AND(Pu&gt;=MIN(E1778,H1778),Pu&lt;=MAX(E1778,H1778),E1778&lt;&gt;H1778),1,0)</f>
      </c>
      <c r="L1778">
        <f>IF(K1778=1,(Pu-E1778)/(H1778-E1778),"")</f>
      </c>
      <c r="M1778" s="12">
        <f>IF(K1778=1,F1778+L1778*(I1778-F1778),"")</f>
      </c>
      <c r="N1778" s="12">
        <f>IF(K1778=1,G1778+L1778*(J1778-G1778),"")</f>
      </c>
    </row>
    <row r="1779" spans="2:14" x14ac:dyDescent="0.25">
      <c r="B1779">
        <v>50</v>
      </c>
      <c r="C1779">
        <v>183.75000000000003</v>
      </c>
      <c r="D1779">
        <v>7</v>
      </c>
      <c r="E1779" s="18">
        <v>9906.700823138484</v>
      </c>
      <c r="F1779" s="18">
        <v>-212.33395804541615</v>
      </c>
      <c r="G1779" s="18">
        <v>-4667.223124604636</v>
      </c>
      <c r="H1779" s="12">
        <f>E1780</f>
      </c>
      <c r="I1779" s="12">
        <f>F1780</f>
      </c>
      <c r="J1779" s="12">
        <f>G1780</f>
      </c>
      <c r="K1779">
        <f>IF(AND(Pu&gt;=MIN(E1779,H1779),Pu&lt;=MAX(E1779,H1779),E1779&lt;&gt;H1779),1,0)</f>
      </c>
      <c r="L1779">
        <f>IF(K1779=1,(Pu-E1779)/(H1779-E1779),"")</f>
      </c>
      <c r="M1779" s="12">
        <f>IF(K1779=1,F1779+L1779*(I1779-F1779),"")</f>
      </c>
      <c r="N1779" s="12">
        <f>IF(K1779=1,G1779+L1779*(J1779-G1779),"")</f>
      </c>
    </row>
    <row r="1780" spans="2:14" x14ac:dyDescent="0.25">
      <c r="B1780">
        <v>50</v>
      </c>
      <c r="C1780">
        <v>183.75000000000003</v>
      </c>
      <c r="D1780">
        <v>8</v>
      </c>
      <c r="E1780" s="18">
        <v>8916.334864531293</v>
      </c>
      <c r="F1780" s="18">
        <v>-226.40137590395818</v>
      </c>
      <c r="G1780" s="18">
        <v>-4741.215745525986</v>
      </c>
      <c r="H1780" s="12">
        <f>E1781</f>
      </c>
      <c r="I1780" s="12">
        <f>F1781</f>
      </c>
      <c r="J1780" s="12">
        <f>G1781</f>
      </c>
      <c r="K1780">
        <f>IF(AND(Pu&gt;=MIN(E1780,H1780),Pu&lt;=MAX(E1780,H1780),E1780&lt;&gt;H1780),1,0)</f>
      </c>
      <c r="L1780">
        <f>IF(K1780=1,(Pu-E1780)/(H1780-E1780),"")</f>
      </c>
      <c r="M1780" s="12">
        <f>IF(K1780=1,F1780+L1780*(I1780-F1780),"")</f>
      </c>
      <c r="N1780" s="12">
        <f>IF(K1780=1,G1780+L1780*(J1780-G1780),"")</f>
      </c>
    </row>
    <row r="1781" spans="2:14" x14ac:dyDescent="0.25">
      <c r="B1781">
        <v>50</v>
      </c>
      <c r="C1781">
        <v>183.75000000000003</v>
      </c>
      <c r="D1781">
        <v>9</v>
      </c>
      <c r="E1781" s="18">
        <v>8386.970999330522</v>
      </c>
      <c r="F1781" s="18">
        <v>-231.99653048733327</v>
      </c>
      <c r="G1781" s="18">
        <v>-4848.219215135551</v>
      </c>
      <c r="H1781" s="12">
        <f>E1782</f>
      </c>
      <c r="I1781" s="12">
        <f>F1782</f>
      </c>
      <c r="J1781" s="12">
        <f>G1782</f>
      </c>
      <c r="K1781">
        <f>IF(AND(Pu&gt;=MIN(E1781,H1781),Pu&lt;=MAX(E1781,H1781),E1781&lt;&gt;H1781),1,0)</f>
      </c>
      <c r="L1781">
        <f>IF(K1781=1,(Pu-E1781)/(H1781-E1781),"")</f>
      </c>
      <c r="M1781" s="12">
        <f>IF(K1781=1,F1781+L1781*(I1781-F1781),"")</f>
      </c>
      <c r="N1781" s="12">
        <f>IF(K1781=1,G1781+L1781*(J1781-G1781),"")</f>
      </c>
    </row>
    <row r="1782" spans="2:14" x14ac:dyDescent="0.25">
      <c r="B1782">
        <v>50</v>
      </c>
      <c r="C1782">
        <v>183.75000000000003</v>
      </c>
      <c r="D1782">
        <v>10</v>
      </c>
      <c r="E1782" s="18">
        <v>8019.084028864336</v>
      </c>
      <c r="F1782" s="18">
        <v>-239.31939692266076</v>
      </c>
      <c r="G1782" s="18">
        <v>-4904.121717071064</v>
      </c>
      <c r="H1782" s="12">
        <f>E1783</f>
      </c>
      <c r="I1782" s="12">
        <f>F1783</f>
      </c>
      <c r="J1782" s="12">
        <f>G1783</f>
      </c>
      <c r="K1782">
        <f>IF(AND(Pu&gt;=MIN(E1782,H1782),Pu&lt;=MAX(E1782,H1782),E1782&lt;&gt;H1782),1,0)</f>
      </c>
      <c r="L1782">
        <f>IF(K1782=1,(Pu-E1782)/(H1782-E1782),"")</f>
      </c>
      <c r="M1782" s="12">
        <f>IF(K1782=1,F1782+L1782*(I1782-F1782),"")</f>
      </c>
      <c r="N1782" s="12">
        <f>IF(K1782=1,G1782+L1782*(J1782-G1782),"")</f>
      </c>
    </row>
    <row r="1783" spans="2:14" x14ac:dyDescent="0.25">
      <c r="B1783">
        <v>50</v>
      </c>
      <c r="C1783">
        <v>183.75000000000003</v>
      </c>
      <c r="D1783">
        <v>11</v>
      </c>
      <c r="E1783" s="18">
        <v>7315.608757818491</v>
      </c>
      <c r="F1783" s="18">
        <v>-251.13863425640034</v>
      </c>
      <c r="G1783" s="18">
        <v>-4992.8319963624635</v>
      </c>
      <c r="H1783" s="12">
        <f>E1784</f>
      </c>
      <c r="I1783" s="12">
        <f>F1784</f>
      </c>
      <c r="J1783" s="12">
        <f>G1784</f>
      </c>
      <c r="K1783">
        <f>IF(AND(Pu&gt;=MIN(E1783,H1783),Pu&lt;=MAX(E1783,H1783),E1783&lt;&gt;H1783),1,0)</f>
      </c>
      <c r="L1783">
        <f>IF(K1783=1,(Pu-E1783)/(H1783-E1783),"")</f>
      </c>
      <c r="M1783" s="12">
        <f>IF(K1783=1,F1783+L1783*(I1783-F1783),"")</f>
      </c>
      <c r="N1783" s="12">
        <f>IF(K1783=1,G1783+L1783*(J1783-G1783),"")</f>
      </c>
    </row>
    <row r="1784" spans="2:14" x14ac:dyDescent="0.25">
      <c r="B1784">
        <v>50</v>
      </c>
      <c r="C1784">
        <v>183.75000000000003</v>
      </c>
      <c r="D1784">
        <v>12</v>
      </c>
      <c r="E1784" s="18">
        <v>7182.966982638487</v>
      </c>
      <c r="F1784" s="18">
        <v>-253.30348318657738</v>
      </c>
      <c r="G1784" s="18">
        <v>-5007.609924792719</v>
      </c>
      <c r="H1784" s="12">
        <f>E1785</f>
      </c>
      <c r="I1784" s="12">
        <f>F1785</f>
      </c>
      <c r="J1784" s="12">
        <f>G1785</f>
      </c>
      <c r="K1784">
        <f>IF(AND(Pu&gt;=MIN(E1784,H1784),Pu&lt;=MAX(E1784,H1784),E1784&lt;&gt;H1784),1,0)</f>
      </c>
      <c r="L1784">
        <f>IF(K1784=1,(Pu-E1784)/(H1784-E1784),"")</f>
      </c>
      <c r="M1784" s="12">
        <f>IF(K1784=1,F1784+L1784*(I1784-F1784),"")</f>
      </c>
      <c r="N1784" s="12">
        <f>IF(K1784=1,G1784+L1784*(J1784-G1784),"")</f>
      </c>
    </row>
    <row r="1785" spans="2:14" x14ac:dyDescent="0.25">
      <c r="B1785">
        <v>50</v>
      </c>
      <c r="C1785">
        <v>183.75000000000003</v>
      </c>
      <c r="D1785">
        <v>13</v>
      </c>
      <c r="E1785" s="18">
        <v>6624.810838235838</v>
      </c>
      <c r="F1785" s="18">
        <v>-233.43102594159836</v>
      </c>
      <c r="G1785" s="18">
        <v>-5125.674887778431</v>
      </c>
      <c r="H1785" s="12">
        <f>E1786</f>
      </c>
      <c r="I1785" s="12">
        <f>F1786</f>
      </c>
      <c r="J1785" s="12">
        <f>G1786</f>
      </c>
      <c r="K1785">
        <f>IF(AND(Pu&gt;=MIN(E1785,H1785),Pu&lt;=MAX(E1785,H1785),E1785&lt;&gt;H1785),1,0)</f>
      </c>
      <c r="L1785">
        <f>IF(K1785=1,(Pu-E1785)/(H1785-E1785),"")</f>
      </c>
      <c r="M1785" s="12">
        <f>IF(K1785=1,F1785+L1785*(I1785-F1785),"")</f>
      </c>
      <c r="N1785" s="12">
        <f>IF(K1785=1,G1785+L1785*(J1785-G1785),"")</f>
      </c>
    </row>
    <row r="1786" spans="2:14" x14ac:dyDescent="0.25">
      <c r="B1786">
        <v>50</v>
      </c>
      <c r="C1786">
        <v>183.75000000000003</v>
      </c>
      <c r="D1786">
        <v>14</v>
      </c>
      <c r="E1786" s="18">
        <v>6603.222847806233</v>
      </c>
      <c r="F1786" s="18">
        <v>-233.70439090766382</v>
      </c>
      <c r="G1786" s="18">
        <v>-5133.8986775167195</v>
      </c>
      <c r="H1786" s="12">
        <f>E1787</f>
      </c>
      <c r="I1786" s="12">
        <f>F1787</f>
      </c>
      <c r="J1786" s="12">
        <f>G1787</f>
      </c>
      <c r="K1786">
        <f>IF(AND(Pu&gt;=MIN(E1786,H1786),Pu&lt;=MAX(E1786,H1786),E1786&lt;&gt;H1786),1,0)</f>
      </c>
      <c r="L1786">
        <f>IF(K1786=1,(Pu-E1786)/(H1786-E1786),"")</f>
      </c>
      <c r="M1786" s="12">
        <f>IF(K1786=1,F1786+L1786*(I1786-F1786),"")</f>
      </c>
      <c r="N1786" s="12">
        <f>IF(K1786=1,G1786+L1786*(J1786-G1786),"")</f>
      </c>
    </row>
    <row r="1787" spans="2:14" x14ac:dyDescent="0.25">
      <c r="B1787">
        <v>50</v>
      </c>
      <c r="C1787">
        <v>183.75000000000003</v>
      </c>
      <c r="D1787">
        <v>15</v>
      </c>
      <c r="E1787" s="18">
        <v>6313.82777939694</v>
      </c>
      <c r="F1787" s="18">
        <v>-219.67683962110615</v>
      </c>
      <c r="G1787" s="18">
        <v>-5251.693197892087</v>
      </c>
      <c r="H1787" s="12">
        <f>E1788</f>
      </c>
      <c r="I1787" s="12">
        <f>F1788</f>
      </c>
      <c r="J1787" s="12">
        <f>G1788</f>
      </c>
      <c r="K1787">
        <f>IF(AND(Pu&gt;=MIN(E1787,H1787),Pu&lt;=MAX(E1787,H1787),E1787&lt;&gt;H1787),1,0)</f>
      </c>
      <c r="L1787">
        <f>IF(K1787=1,(Pu-E1787)/(H1787-E1787),"")</f>
      </c>
      <c r="M1787" s="12">
        <f>IF(K1787=1,F1787+L1787*(I1787-F1787),"")</f>
      </c>
      <c r="N1787" s="12">
        <f>IF(K1787=1,G1787+L1787*(J1787-G1787),"")</f>
      </c>
    </row>
    <row r="1788" spans="2:14" x14ac:dyDescent="0.25">
      <c r="B1788">
        <v>50</v>
      </c>
      <c r="C1788">
        <v>183.75000000000003</v>
      </c>
      <c r="D1788">
        <v>16</v>
      </c>
      <c r="E1788" s="18">
        <v>6217.555399468104</v>
      </c>
      <c r="F1788" s="18">
        <v>-217.66636533649037</v>
      </c>
      <c r="G1788" s="18">
        <v>-5295.262928537341</v>
      </c>
      <c r="H1788" s="12">
        <f>E1789</f>
      </c>
      <c r="I1788" s="12">
        <f>F1789</f>
      </c>
      <c r="J1788" s="12">
        <f>G1789</f>
      </c>
      <c r="K1788">
        <f>IF(AND(Pu&gt;=MIN(E1788,H1788),Pu&lt;=MAX(E1788,H1788),E1788&lt;&gt;H1788),1,0)</f>
      </c>
      <c r="L1788">
        <f>IF(K1788=1,(Pu-E1788)/(H1788-E1788),"")</f>
      </c>
      <c r="M1788" s="12">
        <f>IF(K1788=1,F1788+L1788*(I1788-F1788),"")</f>
      </c>
      <c r="N1788" s="12">
        <f>IF(K1788=1,G1788+L1788*(J1788-G1788),"")</f>
      </c>
    </row>
    <row r="1789" spans="2:14" x14ac:dyDescent="0.25">
      <c r="B1789">
        <v>50</v>
      </c>
      <c r="C1789">
        <v>183.75000000000003</v>
      </c>
      <c r="D1789">
        <v>17</v>
      </c>
      <c r="E1789" s="18">
        <v>6074.4414977979595</v>
      </c>
      <c r="F1789" s="18">
        <v>-218.73550874520538</v>
      </c>
      <c r="G1789" s="18">
        <v>-5365.402604929751</v>
      </c>
      <c r="H1789" s="12">
        <f>E1790</f>
      </c>
      <c r="I1789" s="12">
        <f>F1790</f>
      </c>
      <c r="J1789" s="12">
        <f>G1790</f>
      </c>
      <c r="K1789">
        <f>IF(AND(Pu&gt;=MIN(E1789,H1789),Pu&lt;=MAX(E1789,H1789),E1789&lt;&gt;H1789),1,0)</f>
      </c>
      <c r="L1789">
        <f>IF(K1789=1,(Pu-E1789)/(H1789-E1789),"")</f>
      </c>
      <c r="M1789" s="12">
        <f>IF(K1789=1,F1789+L1789*(I1789-F1789),"")</f>
      </c>
      <c r="N1789" s="12">
        <f>IF(K1789=1,G1789+L1789*(J1789-G1789),"")</f>
      </c>
    </row>
    <row r="1790" spans="2:14" x14ac:dyDescent="0.25">
      <c r="B1790">
        <v>50</v>
      </c>
      <c r="C1790">
        <v>183.75000000000003</v>
      </c>
      <c r="D1790">
        <v>18</v>
      </c>
      <c r="E1790" s="18">
        <v>5874.567076134596</v>
      </c>
      <c r="F1790" s="18">
        <v>-233.42423059499708</v>
      </c>
      <c r="G1790" s="18">
        <v>-5479.515501755565</v>
      </c>
      <c r="H1790" s="12">
        <f>E1791</f>
      </c>
      <c r="I1790" s="12">
        <f>F1791</f>
      </c>
      <c r="J1790" s="12">
        <f>G1791</f>
      </c>
      <c r="K1790">
        <f>IF(AND(Pu&gt;=MIN(E1790,H1790),Pu&lt;=MAX(E1790,H1790),E1790&lt;&gt;H1790),1,0)</f>
      </c>
      <c r="L1790">
        <f>IF(K1790=1,(Pu-E1790)/(H1790-E1790),"")</f>
      </c>
      <c r="M1790" s="12">
        <f>IF(K1790=1,F1790+L1790*(I1790-F1790),"")</f>
      </c>
      <c r="N1790" s="12">
        <f>IF(K1790=1,G1790+L1790*(J1790-G1790),"")</f>
      </c>
    </row>
    <row r="1791" spans="2:14" x14ac:dyDescent="0.25">
      <c r="B1791">
        <v>50</v>
      </c>
      <c r="C1791">
        <v>183.75000000000003</v>
      </c>
      <c r="D1791">
        <v>19</v>
      </c>
      <c r="E1791" s="18">
        <v>5700.459645686823</v>
      </c>
      <c r="F1791" s="18">
        <v>-236.18191780184765</v>
      </c>
      <c r="G1791" s="18">
        <v>-5576.6672519859485</v>
      </c>
      <c r="H1791" s="12">
        <f>E1792</f>
      </c>
      <c r="I1791" s="12">
        <f>F1792</f>
      </c>
      <c r="J1791" s="12">
        <f>G1792</f>
      </c>
      <c r="K1791">
        <f>IF(AND(Pu&gt;=MIN(E1791,H1791),Pu&lt;=MAX(E1791,H1791),E1791&lt;&gt;H1791),1,0)</f>
      </c>
      <c r="L1791">
        <f>IF(K1791=1,(Pu-E1791)/(H1791-E1791),"")</f>
      </c>
      <c r="M1791" s="12">
        <f>IF(K1791=1,F1791+L1791*(I1791-F1791),"")</f>
      </c>
      <c r="N1791" s="12">
        <f>IF(K1791=1,G1791+L1791*(J1791-G1791),"")</f>
      </c>
    </row>
    <row r="1792" spans="2:14" x14ac:dyDescent="0.25">
      <c r="B1792">
        <v>50</v>
      </c>
      <c r="C1792">
        <v>183.75000000000003</v>
      </c>
      <c r="D1792">
        <v>20</v>
      </c>
      <c r="E1792" s="18">
        <v>5684.756704261399</v>
      </c>
      <c r="F1792" s="18">
        <v>-235.64027974727745</v>
      </c>
      <c r="G1792" s="18">
        <v>-5586.008511510728</v>
      </c>
      <c r="H1792" s="12">
        <f>E1793</f>
      </c>
      <c r="I1792" s="12">
        <f>F1793</f>
      </c>
      <c r="J1792" s="12">
        <f>G1793</f>
      </c>
      <c r="K1792">
        <f>IF(AND(Pu&gt;=MIN(E1792,H1792),Pu&lt;=MAX(E1792,H1792),E1792&lt;&gt;H1792),1,0)</f>
      </c>
      <c r="L1792">
        <f>IF(K1792=1,(Pu-E1792)/(H1792-E1792),"")</f>
      </c>
      <c r="M1792" s="12">
        <f>IF(K1792=1,F1792+L1792*(I1792-F1792),"")</f>
      </c>
      <c r="N1792" s="12">
        <f>IF(K1792=1,G1792+L1792*(J1792-G1792),"")</f>
      </c>
    </row>
    <row r="1793" spans="2:14" x14ac:dyDescent="0.25">
      <c r="B1793">
        <v>50</v>
      </c>
      <c r="C1793">
        <v>183.75000000000003</v>
      </c>
      <c r="D1793">
        <v>21</v>
      </c>
      <c r="E1793" s="18">
        <v>5511.624668275603</v>
      </c>
      <c r="F1793" s="18">
        <v>-229.28415071179057</v>
      </c>
      <c r="G1793" s="18">
        <v>-5686.417094913698</v>
      </c>
      <c r="H1793" s="12">
        <f>E1794</f>
      </c>
      <c r="I1793" s="12">
        <f>F1794</f>
      </c>
      <c r="J1793" s="12">
        <f>G1794</f>
      </c>
      <c r="K1793">
        <f>IF(AND(Pu&gt;=MIN(E1793,H1793),Pu&lt;=MAX(E1793,H1793),E1793&lt;&gt;H1793),1,0)</f>
      </c>
      <c r="L1793">
        <f>IF(K1793=1,(Pu-E1793)/(H1793-E1793),"")</f>
      </c>
      <c r="M1793" s="12">
        <f>IF(K1793=1,F1793+L1793*(I1793-F1793),"")</f>
      </c>
      <c r="N1793" s="12">
        <f>IF(K1793=1,G1793+L1793*(J1793-G1793),"")</f>
      </c>
    </row>
    <row r="1794" spans="2:14" x14ac:dyDescent="0.25">
      <c r="B1794">
        <v>50</v>
      </c>
      <c r="C1794">
        <v>183.75000000000003</v>
      </c>
      <c r="D1794">
        <v>22</v>
      </c>
      <c r="E1794" s="18">
        <v>5379.462674564295</v>
      </c>
      <c r="F1794" s="18">
        <v>-230.5757372067962</v>
      </c>
      <c r="G1794" s="18">
        <v>-5653.926013363931</v>
      </c>
      <c r="H1794" s="12">
        <f>E1795</f>
      </c>
      <c r="I1794" s="12">
        <f>F1795</f>
      </c>
      <c r="J1794" s="12">
        <f>G1795</f>
      </c>
      <c r="K1794">
        <f>IF(AND(Pu&gt;=MIN(E1794,H1794),Pu&lt;=MAX(E1794,H1794),E1794&lt;&gt;H1794),1,0)</f>
      </c>
      <c r="L1794">
        <f>IF(K1794=1,(Pu-E1794)/(H1794-E1794),"")</f>
      </c>
      <c r="M1794" s="12">
        <f>IF(K1794=1,F1794+L1794*(I1794-F1794),"")</f>
      </c>
      <c r="N1794" s="12">
        <f>IF(K1794=1,G1794+L1794*(J1794-G1794),"")</f>
      </c>
    </row>
    <row r="1795" spans="2:14" x14ac:dyDescent="0.25">
      <c r="B1795">
        <v>50</v>
      </c>
      <c r="C1795">
        <v>183.75000000000003</v>
      </c>
      <c r="D1795">
        <v>23</v>
      </c>
      <c r="E1795" s="18">
        <v>4912.1330449626885</v>
      </c>
      <c r="F1795" s="18">
        <v>-236.86937971119247</v>
      </c>
      <c r="G1795" s="18">
        <v>-5534.031717476985</v>
      </c>
      <c r="H1795" s="12">
        <f>E1796</f>
      </c>
      <c r="I1795" s="12">
        <f>F1796</f>
      </c>
      <c r="J1795" s="12">
        <f>G1796</f>
      </c>
      <c r="K1795">
        <f>IF(AND(Pu&gt;=MIN(E1795,H1795),Pu&lt;=MAX(E1795,H1795),E1795&lt;&gt;H1795),1,0)</f>
      </c>
      <c r="L1795">
        <f>IF(K1795=1,(Pu-E1795)/(H1795-E1795),"")</f>
      </c>
      <c r="M1795" s="12">
        <f>IF(K1795=1,F1795+L1795*(I1795-F1795),"")</f>
      </c>
      <c r="N1795" s="12">
        <f>IF(K1795=1,G1795+L1795*(J1795-G1795),"")</f>
      </c>
    </row>
    <row r="1796" spans="2:14" x14ac:dyDescent="0.25">
      <c r="B1796">
        <v>50</v>
      </c>
      <c r="C1796">
        <v>183.75000000000003</v>
      </c>
      <c r="D1796">
        <v>24</v>
      </c>
      <c r="E1796" s="18">
        <v>4165.029843759931</v>
      </c>
      <c r="F1796" s="18">
        <v>-215.03328956795684</v>
      </c>
      <c r="G1796" s="18">
        <v>-5322.34174005902</v>
      </c>
      <c r="H1796" s="12">
        <f>E1797</f>
      </c>
      <c r="I1796" s="12">
        <f>F1797</f>
      </c>
      <c r="J1796" s="12">
        <f>G1797</f>
      </c>
      <c r="K1796">
        <f>IF(AND(Pu&gt;=MIN(E1796,H1796),Pu&lt;=MAX(E1796,H1796),E1796&lt;&gt;H1796),1,0)</f>
      </c>
      <c r="L1796">
        <f>IF(K1796=1,(Pu-E1796)/(H1796-E1796),"")</f>
      </c>
      <c r="M1796" s="12">
        <f>IF(K1796=1,F1796+L1796*(I1796-F1796),"")</f>
      </c>
      <c r="N1796" s="12">
        <f>IF(K1796=1,G1796+L1796*(J1796-G1796),"")</f>
      </c>
    </row>
    <row r="1797" spans="2:14" x14ac:dyDescent="0.25">
      <c r="B1797">
        <v>50</v>
      </c>
      <c r="C1797">
        <v>183.75000000000003</v>
      </c>
      <c r="D1797">
        <v>25</v>
      </c>
      <c r="E1797" s="18">
        <v>3610.5496775514102</v>
      </c>
      <c r="F1797" s="18">
        <v>-222.72527049467857</v>
      </c>
      <c r="G1797" s="18">
        <v>-5127.978576936041</v>
      </c>
      <c r="H1797" s="12">
        <f>E1798</f>
      </c>
      <c r="I1797" s="12">
        <f>F1798</f>
      </c>
      <c r="J1797" s="12">
        <f>G1798</f>
      </c>
      <c r="K1797">
        <f>IF(AND(Pu&gt;=MIN(E1797,H1797),Pu&lt;=MAX(E1797,H1797),E1797&lt;&gt;H1797),1,0)</f>
      </c>
      <c r="L1797">
        <f>IF(K1797=1,(Pu-E1797)/(H1797-E1797),"")</f>
      </c>
      <c r="M1797" s="12">
        <f>IF(K1797=1,F1797+L1797*(I1797-F1797),"")</f>
      </c>
      <c r="N1797" s="12">
        <f>IF(K1797=1,G1797+L1797*(J1797-G1797),"")</f>
      </c>
    </row>
    <row r="1798" spans="2:14" x14ac:dyDescent="0.25">
      <c r="B1798">
        <v>50</v>
      </c>
      <c r="C1798">
        <v>183.75000000000003</v>
      </c>
      <c r="D1798">
        <v>26</v>
      </c>
      <c r="E1798" s="18">
        <v>3105.3017298352675</v>
      </c>
      <c r="F1798" s="18">
        <v>-237.92281729982776</v>
      </c>
      <c r="G1798" s="18">
        <v>-4935.34024470983</v>
      </c>
      <c r="H1798" s="12">
        <f>E1799</f>
      </c>
      <c r="I1798" s="12">
        <f>F1799</f>
      </c>
      <c r="J1798" s="12">
        <f>G1799</f>
      </c>
      <c r="K1798">
        <f>IF(AND(Pu&gt;=MIN(E1798,H1798),Pu&lt;=MAX(E1798,H1798),E1798&lt;&gt;H1798),1,0)</f>
      </c>
      <c r="L1798">
        <f>IF(K1798=1,(Pu-E1798)/(H1798-E1798),"")</f>
      </c>
      <c r="M1798" s="12">
        <f>IF(K1798=1,F1798+L1798*(I1798-F1798),"")</f>
      </c>
      <c r="N1798" s="12">
        <f>IF(K1798=1,G1798+L1798*(J1798-G1798),"")</f>
      </c>
    </row>
    <row r="1799" spans="2:14" x14ac:dyDescent="0.25">
      <c r="B1799">
        <v>50</v>
      </c>
      <c r="C1799">
        <v>183.75000000000003</v>
      </c>
      <c r="D1799">
        <v>27</v>
      </c>
      <c r="E1799" s="18">
        <v>2330.682652190504</v>
      </c>
      <c r="F1799" s="18">
        <v>-220.251004517998</v>
      </c>
      <c r="G1799" s="18">
        <v>-4596.729040115486</v>
      </c>
      <c r="H1799" s="12">
        <f>E1800</f>
      </c>
      <c r="I1799" s="12">
        <f>F1800</f>
      </c>
      <c r="J1799" s="12">
        <f>G1800</f>
      </c>
      <c r="K1799">
        <f>IF(AND(Pu&gt;=MIN(E1799,H1799),Pu&lt;=MAX(E1799,H1799),E1799&lt;&gt;H1799),1,0)</f>
      </c>
      <c r="L1799">
        <f>IF(K1799=1,(Pu-E1799)/(H1799-E1799),"")</f>
      </c>
      <c r="M1799" s="12">
        <f>IF(K1799=1,F1799+L1799*(I1799-F1799),"")</f>
      </c>
      <c r="N1799" s="12">
        <f>IF(K1799=1,G1799+L1799*(J1799-G1799),"")</f>
      </c>
    </row>
    <row r="1800" spans="2:14" x14ac:dyDescent="0.25">
      <c r="B1800">
        <v>50</v>
      </c>
      <c r="C1800">
        <v>183.75000000000003</v>
      </c>
      <c r="D1800">
        <v>28</v>
      </c>
      <c r="E1800" s="18">
        <v>1663.6078708069826</v>
      </c>
      <c r="F1800" s="18">
        <v>-244.6345097377008</v>
      </c>
      <c r="G1800" s="18">
        <v>-4259.374731074124</v>
      </c>
      <c r="H1800" s="12">
        <f>E1801</f>
      </c>
      <c r="I1800" s="12">
        <f>F1801</f>
      </c>
      <c r="J1800" s="12">
        <f>G1801</f>
      </c>
      <c r="K1800">
        <f>IF(AND(Pu&gt;=MIN(E1800,H1800),Pu&lt;=MAX(E1800,H1800),E1800&lt;&gt;H1800),1,0)</f>
      </c>
      <c r="L1800">
        <f>IF(K1800=1,(Pu-E1800)/(H1800-E1800),"")</f>
      </c>
      <c r="M1800" s="12">
        <f>IF(K1800=1,F1800+L1800*(I1800-F1800),"")</f>
      </c>
      <c r="N1800" s="12">
        <f>IF(K1800=1,G1800+L1800*(J1800-G1800),"")</f>
      </c>
    </row>
    <row r="1801" spans="2:14" x14ac:dyDescent="0.25">
      <c r="B1801">
        <v>50</v>
      </c>
      <c r="C1801">
        <v>183.75000000000003</v>
      </c>
      <c r="D1801">
        <v>29</v>
      </c>
      <c r="E1801" s="18">
        <v>873.6803506119828</v>
      </c>
      <c r="F1801" s="18">
        <v>-240.89033518120536</v>
      </c>
      <c r="G1801" s="18">
        <v>-3831.1550203229667</v>
      </c>
      <c r="H1801" s="12">
        <f>E1802</f>
      </c>
      <c r="I1801" s="12">
        <f>F1802</f>
      </c>
      <c r="J1801" s="12">
        <f>G1802</f>
      </c>
      <c r="K1801">
        <f>IF(AND(Pu&gt;=MIN(E1801,H1801),Pu&lt;=MAX(E1801,H1801),E1801&lt;&gt;H1801),1,0)</f>
      </c>
      <c r="L1801">
        <f>IF(K1801=1,(Pu-E1801)/(H1801-E1801),"")</f>
      </c>
      <c r="M1801" s="12">
        <f>IF(K1801=1,F1801+L1801*(I1801-F1801),"")</f>
      </c>
      <c r="N1801" s="12">
        <f>IF(K1801=1,G1801+L1801*(J1801-G1801),"")</f>
      </c>
    </row>
    <row r="1802" spans="2:14" x14ac:dyDescent="0.25">
      <c r="B1802">
        <v>50</v>
      </c>
      <c r="C1802">
        <v>183.75000000000003</v>
      </c>
      <c r="D1802">
        <v>30</v>
      </c>
      <c r="E1802" s="18">
        <v>229.61747664308155</v>
      </c>
      <c r="F1802" s="18">
        <v>-192.03503054490457</v>
      </c>
      <c r="G1802" s="18">
        <v>-3461.9022014988627</v>
      </c>
      <c r="H1802" s="12">
        <f>E1803</f>
      </c>
      <c r="I1802" s="12">
        <f>F1803</f>
      </c>
      <c r="J1802" s="12">
        <f>G1803</f>
      </c>
      <c r="K1802">
        <f>IF(AND(Pu&gt;=MIN(E1802,H1802),Pu&lt;=MAX(E1802,H1802),E1802&lt;&gt;H1802),1,0)</f>
      </c>
      <c r="L1802">
        <f>IF(K1802=1,(Pu-E1802)/(H1802-E1802),"")</f>
      </c>
      <c r="M1802" s="12">
        <f>IF(K1802=1,F1802+L1802*(I1802-F1802),"")</f>
      </c>
      <c r="N1802" s="12">
        <f>IF(K1802=1,G1802+L1802*(J1802-G1802),"")</f>
      </c>
    </row>
    <row r="1803" spans="2:14" x14ac:dyDescent="0.25">
      <c r="B1803">
        <v>50</v>
      </c>
      <c r="C1803">
        <v>183.75000000000003</v>
      </c>
      <c r="D1803">
        <v>31</v>
      </c>
      <c r="E1803" s="18">
        <v>-665.820373506604</v>
      </c>
      <c r="F1803" s="18">
        <v>-165.9141445864834</v>
      </c>
      <c r="G1803" s="18">
        <v>-2907.828542772914</v>
      </c>
      <c r="H1803" s="12">
        <f>E1804</f>
      </c>
      <c r="I1803" s="12">
        <f>F1804</f>
      </c>
      <c r="J1803" s="12">
        <f>G1804</f>
      </c>
      <c r="K1803">
        <f>IF(AND(Pu&gt;=MIN(E1803,H1803),Pu&lt;=MAX(E1803,H1803),E1803&lt;&gt;H1803),1,0)</f>
      </c>
      <c r="L1803">
        <f>IF(K1803=1,(Pu-E1803)/(H1803-E1803),"")</f>
      </c>
      <c r="M1803" s="12">
        <f>IF(K1803=1,F1803+L1803*(I1803-F1803),"")</f>
      </c>
      <c r="N1803" s="12">
        <f>IF(K1803=1,G1803+L1803*(J1803-G1803),"")</f>
      </c>
    </row>
    <row r="1804" spans="2:14" x14ac:dyDescent="0.25">
      <c r="B1804">
        <v>50</v>
      </c>
      <c r="C1804">
        <v>183.75000000000003</v>
      </c>
      <c r="D1804">
        <v>32</v>
      </c>
      <c r="E1804" s="18">
        <v>-1315.9689572409302</v>
      </c>
      <c r="F1804" s="18">
        <v>-155.6190262197247</v>
      </c>
      <c r="G1804" s="18">
        <v>-2484.9541531577947</v>
      </c>
      <c r="H1804" s="12">
        <f>E1805</f>
      </c>
      <c r="I1804" s="12">
        <f>F1805</f>
      </c>
      <c r="J1804" s="12">
        <f>G1805</f>
      </c>
      <c r="K1804">
        <f>IF(AND(Pu&gt;=MIN(E1804,H1804),Pu&lt;=MAX(E1804,H1804),E1804&lt;&gt;H1804),1,0)</f>
      </c>
      <c r="L1804">
        <f>IF(K1804=1,(Pu-E1804)/(H1804-E1804),"")</f>
      </c>
      <c r="M1804" s="12">
        <f>IF(K1804=1,F1804+L1804*(I1804-F1804),"")</f>
      </c>
      <c r="N1804" s="12">
        <f>IF(K1804=1,G1804+L1804*(J1804-G1804),"")</f>
      </c>
    </row>
    <row r="1805" spans="2:14" x14ac:dyDescent="0.25">
      <c r="B1805">
        <v>50</v>
      </c>
      <c r="C1805">
        <v>183.75000000000003</v>
      </c>
      <c r="D1805">
        <v>33</v>
      </c>
      <c r="E1805" s="18">
        <v>-2217.3307886092234</v>
      </c>
      <c r="F1805" s="18">
        <v>-141.20961085791387</v>
      </c>
      <c r="G1805" s="18">
        <v>-1880.908961105131</v>
      </c>
      <c r="H1805" s="12">
        <f>E1806</f>
      </c>
      <c r="I1805" s="12">
        <f>F1806</f>
      </c>
      <c r="J1805" s="12">
        <f>G1806</f>
      </c>
      <c r="K1805">
        <f>IF(AND(Pu&gt;=MIN(E1805,H1805),Pu&lt;=MAX(E1805,H1805),E1805&lt;&gt;H1805),1,0)</f>
      </c>
      <c r="L1805">
        <f>IF(K1805=1,(Pu-E1805)/(H1805-E1805),"")</f>
      </c>
      <c r="M1805" s="12">
        <f>IF(K1805=1,F1805+L1805*(I1805-F1805),"")</f>
      </c>
      <c r="N1805" s="12">
        <f>IF(K1805=1,G1805+L1805*(J1805-G1805),"")</f>
      </c>
    </row>
    <row r="1806" spans="2:14" x14ac:dyDescent="0.25">
      <c r="B1806">
        <v>50</v>
      </c>
      <c r="C1806">
        <v>183.75000000000003</v>
      </c>
      <c r="D1806">
        <v>34</v>
      </c>
      <c r="E1806" s="18">
        <v>-2894.1542720978023</v>
      </c>
      <c r="F1806" s="18">
        <v>-143.74803556509178</v>
      </c>
      <c r="G1806" s="18">
        <v>-1417.6828610513994</v>
      </c>
      <c r="H1806" s="12">
        <f>E1807</f>
      </c>
      <c r="I1806" s="12">
        <f>F1807</f>
      </c>
      <c r="J1806" s="12">
        <f>G1807</f>
      </c>
      <c r="K1806">
        <f>IF(AND(Pu&gt;=MIN(E1806,H1806),Pu&lt;=MAX(E1806,H1806),E1806&lt;&gt;H1806),1,0)</f>
      </c>
      <c r="L1806">
        <f>IF(K1806=1,(Pu-E1806)/(H1806-E1806),"")</f>
      </c>
      <c r="M1806" s="12">
        <f>IF(K1806=1,F1806+L1806*(I1806-F1806),"")</f>
      </c>
      <c r="N1806" s="12">
        <f>IF(K1806=1,G1806+L1806*(J1806-G1806),"")</f>
      </c>
    </row>
    <row r="1807" spans="2:14" x14ac:dyDescent="0.25">
      <c r="B1807">
        <v>50</v>
      </c>
      <c r="C1807">
        <v>183.75000000000003</v>
      </c>
      <c r="D1807">
        <v>35</v>
      </c>
      <c r="E1807" s="18">
        <v>-4118.232507514972</v>
      </c>
      <c r="F1807" s="18">
        <v>-141.97292868439385</v>
      </c>
      <c r="G1807" s="18">
        <v>-571.4427180016208</v>
      </c>
      <c r="H1807" s="12">
        <f>E1808</f>
      </c>
      <c r="I1807" s="12">
        <f>F1808</f>
      </c>
      <c r="J1807" s="12">
        <f>G1808</f>
      </c>
      <c r="K1807">
        <f>IF(AND(Pu&gt;=MIN(E1807,H1807),Pu&lt;=MAX(E1807,H1807),E1807&lt;&gt;H1807),1,0)</f>
      </c>
      <c r="L1807">
        <f>IF(K1807=1,(Pu-E1807)/(H1807-E1807),"")</f>
      </c>
      <c r="M1807" s="12">
        <f>IF(K1807=1,F1807+L1807*(I1807-F1807),"")</f>
      </c>
      <c r="N1807" s="12">
        <f>IF(K1807=1,G1807+L1807*(J1807-G1807),"")</f>
      </c>
    </row>
    <row r="1808" spans="2:7" x14ac:dyDescent="0.25">
      <c r="B1808">
        <v>50</v>
      </c>
      <c r="C1808">
        <v>183.75000000000003</v>
      </c>
      <c r="D1808">
        <v>36</v>
      </c>
      <c r="E1808" s="18">
        <v>-4615.296222839323</v>
      </c>
      <c r="F1808" s="18">
        <v>-67.60447026018235</v>
      </c>
      <c r="G1808" s="18">
        <v>-224.11114236534803</v>
      </c>
    </row>
    <row r="1810" spans="2:14" x14ac:dyDescent="0.25">
      <c r="B1810">
        <v>51</v>
      </c>
      <c r="C1810">
        <v>187.50000000000003</v>
      </c>
      <c r="D1810">
        <v>1</v>
      </c>
      <c r="E1810" s="18">
        <v>17041.119271250744</v>
      </c>
      <c r="F1810" s="18">
        <v>-298.0481382390425</v>
      </c>
      <c r="G1810" s="18">
        <v>-3000.9233066719053</v>
      </c>
      <c r="H1810" s="12">
        <f>E1811</f>
      </c>
      <c r="I1810" s="12">
        <f>F1811</f>
      </c>
      <c r="J1810" s="12">
        <f>G1811</f>
      </c>
      <c r="K1810">
        <f>IF(AND(Pu&gt;=MIN(E1810,H1810),Pu&lt;=MAX(E1810,H1810),E1810&lt;&gt;H1810),1,0)</f>
      </c>
      <c r="L1810">
        <f>IF(K1810=1,(Pu-E1810)/(H1810-E1810),"")</f>
      </c>
      <c r="M1810" s="12">
        <f>IF(K1810=1,F1810+L1810*(I1810-F1810),"")</f>
      </c>
      <c r="N1810" s="12">
        <f>IF(K1810=1,G1810+L1810*(J1810-G1810),"")</f>
      </c>
    </row>
    <row r="1811" spans="2:14" x14ac:dyDescent="0.25">
      <c r="B1811">
        <v>51</v>
      </c>
      <c r="C1811">
        <v>187.50000000000003</v>
      </c>
      <c r="D1811">
        <v>2</v>
      </c>
      <c r="E1811" s="18">
        <v>16225.136624395933</v>
      </c>
      <c r="F1811" s="18">
        <v>-281.46424152246357</v>
      </c>
      <c r="G1811" s="18">
        <v>-3357.855170205658</v>
      </c>
      <c r="H1811" s="12">
        <f>E1812</f>
      </c>
      <c r="I1811" s="12">
        <f>F1812</f>
      </c>
      <c r="J1811" s="12">
        <f>G1812</f>
      </c>
      <c r="K1811">
        <f>IF(AND(Pu&gt;=MIN(E1811,H1811),Pu&lt;=MAX(E1811,H1811),E1811&lt;&gt;H1811),1,0)</f>
      </c>
      <c r="L1811">
        <f>IF(K1811=1,(Pu-E1811)/(H1811-E1811),"")</f>
      </c>
      <c r="M1811" s="12">
        <f>IF(K1811=1,F1811+L1811*(I1811-F1811),"")</f>
      </c>
      <c r="N1811" s="12">
        <f>IF(K1811=1,G1811+L1811*(J1811-G1811),"")</f>
      </c>
    </row>
    <row r="1812" spans="2:14" x14ac:dyDescent="0.25">
      <c r="B1812">
        <v>51</v>
      </c>
      <c r="C1812">
        <v>187.50000000000003</v>
      </c>
      <c r="D1812">
        <v>3</v>
      </c>
      <c r="E1812" s="18">
        <v>15485.334508502203</v>
      </c>
      <c r="F1812" s="18">
        <v>-298.72073906190286</v>
      </c>
      <c r="G1812" s="18">
        <v>-3632.182697409183</v>
      </c>
      <c r="H1812" s="12">
        <f>E1813</f>
      </c>
      <c r="I1812" s="12">
        <f>F1813</f>
      </c>
      <c r="J1812" s="12">
        <f>G1813</f>
      </c>
      <c r="K1812">
        <f>IF(AND(Pu&gt;=MIN(E1812,H1812),Pu&lt;=MAX(E1812,H1812),E1812&lt;&gt;H1812),1,0)</f>
      </c>
      <c r="L1812">
        <f>IF(K1812=1,(Pu-E1812)/(H1812-E1812),"")</f>
      </c>
      <c r="M1812" s="12">
        <f>IF(K1812=1,F1812+L1812*(I1812-F1812),"")</f>
      </c>
      <c r="N1812" s="12">
        <f>IF(K1812=1,G1812+L1812*(J1812-G1812),"")</f>
      </c>
    </row>
    <row r="1813" spans="2:14" x14ac:dyDescent="0.25">
      <c r="B1813">
        <v>51</v>
      </c>
      <c r="C1813">
        <v>187.50000000000003</v>
      </c>
      <c r="D1813">
        <v>4</v>
      </c>
      <c r="E1813" s="18">
        <v>14105.258920460139</v>
      </c>
      <c r="F1813" s="18">
        <v>-342.4687094844359</v>
      </c>
      <c r="G1813" s="18">
        <v>-4030.409806055668</v>
      </c>
      <c r="H1813" s="12">
        <f>E1814</f>
      </c>
      <c r="I1813" s="12">
        <f>F1814</f>
      </c>
      <c r="J1813" s="12">
        <f>G1814</f>
      </c>
      <c r="K1813">
        <f>IF(AND(Pu&gt;=MIN(E1813,H1813),Pu&lt;=MAX(E1813,H1813),E1813&lt;&gt;H1813),1,0)</f>
      </c>
      <c r="L1813">
        <f>IF(K1813=1,(Pu-E1813)/(H1813-E1813),"")</f>
      </c>
      <c r="M1813" s="12">
        <f>IF(K1813=1,F1813+L1813*(I1813-F1813),"")</f>
      </c>
      <c r="N1813" s="12">
        <f>IF(K1813=1,G1813+L1813*(J1813-G1813),"")</f>
      </c>
    </row>
    <row r="1814" spans="2:14" x14ac:dyDescent="0.25">
      <c r="B1814">
        <v>51</v>
      </c>
      <c r="C1814">
        <v>187.50000000000003</v>
      </c>
      <c r="D1814">
        <v>5</v>
      </c>
      <c r="E1814" s="18">
        <v>12016.794070736567</v>
      </c>
      <c r="F1814" s="18">
        <v>-421.18716814252633</v>
      </c>
      <c r="G1814" s="18">
        <v>-4392.014358353618</v>
      </c>
      <c r="H1814" s="12">
        <f>E1815</f>
      </c>
      <c r="I1814" s="12">
        <f>F1815</f>
      </c>
      <c r="J1814" s="12">
        <f>G1815</f>
      </c>
      <c r="K1814">
        <f>IF(AND(Pu&gt;=MIN(E1814,H1814),Pu&lt;=MAX(E1814,H1814),E1814&lt;&gt;H1814),1,0)</f>
      </c>
      <c r="L1814">
        <f>IF(K1814=1,(Pu-E1814)/(H1814-E1814),"")</f>
      </c>
      <c r="M1814" s="12">
        <f>IF(K1814=1,F1814+L1814*(I1814-F1814),"")</f>
      </c>
      <c r="N1814" s="12">
        <f>IF(K1814=1,G1814+L1814*(J1814-G1814),"")</f>
      </c>
    </row>
    <row r="1815" spans="2:14" x14ac:dyDescent="0.25">
      <c r="B1815">
        <v>51</v>
      </c>
      <c r="C1815">
        <v>187.50000000000003</v>
      </c>
      <c r="D1815">
        <v>6</v>
      </c>
      <c r="E1815" s="18">
        <v>9929.719432428057</v>
      </c>
      <c r="F1815" s="18">
        <v>-432.7674128986066</v>
      </c>
      <c r="G1815" s="18">
        <v>-4617.709031120589</v>
      </c>
      <c r="H1815" s="12">
        <f>E1816</f>
      </c>
      <c r="I1815" s="12">
        <f>F1816</f>
      </c>
      <c r="J1815" s="12">
        <f>G1816</f>
      </c>
      <c r="K1815">
        <f>IF(AND(Pu&gt;=MIN(E1815,H1815),Pu&lt;=MAX(E1815,H1815),E1815&lt;&gt;H1815),1,0)</f>
      </c>
      <c r="L1815">
        <f>IF(K1815=1,(Pu-E1815)/(H1815-E1815),"")</f>
      </c>
      <c r="M1815" s="12">
        <f>IF(K1815=1,F1815+L1815*(I1815-F1815),"")</f>
      </c>
      <c r="N1815" s="12">
        <f>IF(K1815=1,G1815+L1815*(J1815-G1815),"")</f>
      </c>
    </row>
    <row r="1816" spans="2:14" x14ac:dyDescent="0.25">
      <c r="B1816">
        <v>51</v>
      </c>
      <c r="C1816">
        <v>187.50000000000003</v>
      </c>
      <c r="D1816">
        <v>7</v>
      </c>
      <c r="E1816" s="18">
        <v>8848.81373606872</v>
      </c>
      <c r="F1816" s="18">
        <v>-443.56580653488595</v>
      </c>
      <c r="G1816" s="18">
        <v>-4691.802793414547</v>
      </c>
      <c r="H1816" s="12">
        <f>E1817</f>
      </c>
      <c r="I1816" s="12">
        <f>F1817</f>
      </c>
      <c r="J1816" s="12">
        <f>G1817</f>
      </c>
      <c r="K1816">
        <f>IF(AND(Pu&gt;=MIN(E1816,H1816),Pu&lt;=MAX(E1816,H1816),E1816&lt;&gt;H1816),1,0)</f>
      </c>
      <c r="L1816">
        <f>IF(K1816=1,(Pu-E1816)/(H1816-E1816),"")</f>
      </c>
      <c r="M1816" s="12">
        <f>IF(K1816=1,F1816+L1816*(I1816-F1816),"")</f>
      </c>
      <c r="N1816" s="12">
        <f>IF(K1816=1,G1816+L1816*(J1816-G1816),"")</f>
      </c>
    </row>
    <row r="1817" spans="2:14" x14ac:dyDescent="0.25">
      <c r="B1817">
        <v>51</v>
      </c>
      <c r="C1817">
        <v>187.50000000000003</v>
      </c>
      <c r="D1817">
        <v>8</v>
      </c>
      <c r="E1817" s="18">
        <v>8328.041605711665</v>
      </c>
      <c r="F1817" s="18">
        <v>-460.4589536658762</v>
      </c>
      <c r="G1817" s="18">
        <v>-4802.045868739324</v>
      </c>
      <c r="H1817" s="12">
        <f>E1818</f>
      </c>
      <c r="I1817" s="12">
        <f>F1818</f>
      </c>
      <c r="J1817" s="12">
        <f>G1818</f>
      </c>
      <c r="K1817">
        <f>IF(AND(Pu&gt;=MIN(E1817,H1817),Pu&lt;=MAX(E1817,H1817),E1817&lt;&gt;H1817),1,0)</f>
      </c>
      <c r="L1817">
        <f>IF(K1817=1,(Pu-E1817)/(H1817-E1817),"")</f>
      </c>
      <c r="M1817" s="12">
        <f>IF(K1817=1,F1817+L1817*(I1817-F1817),"")</f>
      </c>
      <c r="N1817" s="12">
        <f>IF(K1817=1,G1817+L1817*(J1817-G1817),"")</f>
      </c>
    </row>
    <row r="1818" spans="2:14" x14ac:dyDescent="0.25">
      <c r="B1818">
        <v>51</v>
      </c>
      <c r="C1818">
        <v>187.50000000000003</v>
      </c>
      <c r="D1818">
        <v>9</v>
      </c>
      <c r="E1818" s="18">
        <v>7902.626386426946</v>
      </c>
      <c r="F1818" s="18">
        <v>-472.61983965051303</v>
      </c>
      <c r="G1818" s="18">
        <v>-4865.901597043412</v>
      </c>
      <c r="H1818" s="12">
        <f>E1819</f>
      </c>
      <c r="I1818" s="12">
        <f>F1819</f>
      </c>
      <c r="J1818" s="12">
        <f>G1819</f>
      </c>
      <c r="K1818">
        <f>IF(AND(Pu&gt;=MIN(E1818,H1818),Pu&lt;=MAX(E1818,H1818),E1818&lt;&gt;H1818),1,0)</f>
      </c>
      <c r="L1818">
        <f>IF(K1818=1,(Pu-E1818)/(H1818-E1818),"")</f>
      </c>
      <c r="M1818" s="12">
        <f>IF(K1818=1,F1818+L1818*(I1818-F1818),"")</f>
      </c>
      <c r="N1818" s="12">
        <f>IF(K1818=1,G1818+L1818*(J1818-G1818),"")</f>
      </c>
    </row>
    <row r="1819" spans="2:14" x14ac:dyDescent="0.25">
      <c r="B1819">
        <v>51</v>
      </c>
      <c r="C1819">
        <v>187.50000000000003</v>
      </c>
      <c r="D1819">
        <v>10</v>
      </c>
      <c r="E1819" s="18">
        <v>7242.881302481977</v>
      </c>
      <c r="F1819" s="18">
        <v>-490.5876912560469</v>
      </c>
      <c r="G1819" s="18">
        <v>-4949.711987010478</v>
      </c>
      <c r="H1819" s="12">
        <f>E1820</f>
      </c>
      <c r="I1819" s="12">
        <f>F1820</f>
      </c>
      <c r="J1819" s="12">
        <f>G1820</f>
      </c>
      <c r="K1819">
        <f>IF(AND(Pu&gt;=MIN(E1819,H1819),Pu&lt;=MAX(E1819,H1819),E1819&lt;&gt;H1819),1,0)</f>
      </c>
      <c r="L1819">
        <f>IF(K1819=1,(Pu-E1819)/(H1819-E1819),"")</f>
      </c>
      <c r="M1819" s="12">
        <f>IF(K1819=1,F1819+L1819*(I1819-F1819),"")</f>
      </c>
      <c r="N1819" s="12">
        <f>IF(K1819=1,G1819+L1819*(J1819-G1819),"")</f>
      </c>
    </row>
    <row r="1820" spans="2:14" x14ac:dyDescent="0.25">
      <c r="B1820">
        <v>51</v>
      </c>
      <c r="C1820">
        <v>187.50000000000003</v>
      </c>
      <c r="D1820">
        <v>11</v>
      </c>
      <c r="E1820" s="18">
        <v>7114.473264626917</v>
      </c>
      <c r="F1820" s="18">
        <v>-481.6612828788558</v>
      </c>
      <c r="G1820" s="18">
        <v>-4974.105451928347</v>
      </c>
      <c r="H1820" s="12">
        <f>E1821</f>
      </c>
      <c r="I1820" s="12">
        <f>F1821</f>
      </c>
      <c r="J1820" s="12">
        <f>G1821</f>
      </c>
      <c r="K1820">
        <f>IF(AND(Pu&gt;=MIN(E1820,H1820),Pu&lt;=MAX(E1820,H1820),E1820&lt;&gt;H1820),1,0)</f>
      </c>
      <c r="L1820">
        <f>IF(K1820=1,(Pu-E1820)/(H1820-E1820),"")</f>
      </c>
      <c r="M1820" s="12">
        <f>IF(K1820=1,F1820+L1820*(I1820-F1820),"")</f>
      </c>
      <c r="N1820" s="12">
        <f>IF(K1820=1,G1820+L1820*(J1820-G1820),"")</f>
      </c>
    </row>
    <row r="1821" spans="2:14" x14ac:dyDescent="0.25">
      <c r="B1821">
        <v>51</v>
      </c>
      <c r="C1821">
        <v>187.50000000000003</v>
      </c>
      <c r="D1821">
        <v>12</v>
      </c>
      <c r="E1821" s="18">
        <v>6582.8851171760825</v>
      </c>
      <c r="F1821" s="18">
        <v>-463.8663772347101</v>
      </c>
      <c r="G1821" s="18">
        <v>-5088.727460058328</v>
      </c>
      <c r="H1821" s="12">
        <f>E1822</f>
      </c>
      <c r="I1821" s="12">
        <f>F1822</f>
      </c>
      <c r="J1821" s="12">
        <f>G1822</f>
      </c>
      <c r="K1821">
        <f>IF(AND(Pu&gt;=MIN(E1821,H1821),Pu&lt;=MAX(E1821,H1821),E1821&lt;&gt;H1821),1,0)</f>
      </c>
      <c r="L1821">
        <f>IF(K1821=1,(Pu-E1821)/(H1821-E1821),"")</f>
      </c>
      <c r="M1821" s="12">
        <f>IF(K1821=1,F1821+L1821*(I1821-F1821),"")</f>
      </c>
      <c r="N1821" s="12">
        <f>IF(K1821=1,G1821+L1821*(J1821-G1821),"")</f>
      </c>
    </row>
    <row r="1822" spans="2:14" x14ac:dyDescent="0.25">
      <c r="B1822">
        <v>51</v>
      </c>
      <c r="C1822">
        <v>187.50000000000003</v>
      </c>
      <c r="D1822">
        <v>13</v>
      </c>
      <c r="E1822" s="18">
        <v>6577.527633456965</v>
      </c>
      <c r="F1822" s="18">
        <v>-463.500631377913</v>
      </c>
      <c r="G1822" s="18">
        <v>-5090.337804998409</v>
      </c>
      <c r="H1822" s="12">
        <f>E1823</f>
      </c>
      <c r="I1822" s="12">
        <f>F1823</f>
      </c>
      <c r="J1822" s="12">
        <f>G1823</f>
      </c>
      <c r="K1822">
        <f>IF(AND(Pu&gt;=MIN(E1822,H1822),Pu&lt;=MAX(E1822,H1822),E1822&lt;&gt;H1822),1,0)</f>
      </c>
      <c r="L1822">
        <f>IF(K1822=1,(Pu-E1822)/(H1822-E1822),"")</f>
      </c>
      <c r="M1822" s="12">
        <f>IF(K1822=1,F1822+L1822*(I1822-F1822),"")</f>
      </c>
      <c r="N1822" s="12">
        <f>IF(K1822=1,G1822+L1822*(J1822-G1822),"")</f>
      </c>
    </row>
    <row r="1823" spans="2:14" x14ac:dyDescent="0.25">
      <c r="B1823">
        <v>51</v>
      </c>
      <c r="C1823">
        <v>187.50000000000003</v>
      </c>
      <c r="D1823">
        <v>14</v>
      </c>
      <c r="E1823" s="18">
        <v>6268.072928191424</v>
      </c>
      <c r="F1823" s="18">
        <v>-447.8031455970143</v>
      </c>
      <c r="G1823" s="18">
        <v>-5209.786136702757</v>
      </c>
      <c r="H1823" s="12">
        <f>E1824</f>
      </c>
      <c r="I1823" s="12">
        <f>F1824</f>
      </c>
      <c r="J1823" s="12">
        <f>G1824</f>
      </c>
      <c r="K1823">
        <f>IF(AND(Pu&gt;=MIN(E1823,H1823),Pu&lt;=MAX(E1823,H1823),E1823&lt;&gt;H1823),1,0)</f>
      </c>
      <c r="L1823">
        <f>IF(K1823=1,(Pu-E1823)/(H1823-E1823),"")</f>
      </c>
      <c r="M1823" s="12">
        <f>IF(K1823=1,F1823+L1823*(I1823-F1823),"")</f>
      </c>
      <c r="N1823" s="12">
        <f>IF(K1823=1,G1823+L1823*(J1823-G1823),"")</f>
      </c>
    </row>
    <row r="1824" spans="2:14" x14ac:dyDescent="0.25">
      <c r="B1824">
        <v>51</v>
      </c>
      <c r="C1824">
        <v>187.50000000000003</v>
      </c>
      <c r="D1824">
        <v>15</v>
      </c>
      <c r="E1824" s="18">
        <v>6174.371931697574</v>
      </c>
      <c r="F1824" s="18">
        <v>-444.1632903856116</v>
      </c>
      <c r="G1824" s="18">
        <v>-5249.017412220307</v>
      </c>
      <c r="H1824" s="12">
        <f>E1825</f>
      </c>
      <c r="I1824" s="12">
        <f>F1825</f>
      </c>
      <c r="J1824" s="12">
        <f>G1825</f>
      </c>
      <c r="K1824">
        <f>IF(AND(Pu&gt;=MIN(E1824,H1824),Pu&lt;=MAX(E1824,H1824),E1824&lt;&gt;H1824),1,0)</f>
      </c>
      <c r="L1824">
        <f>IF(K1824=1,(Pu-E1824)/(H1824-E1824),"")</f>
      </c>
      <c r="M1824" s="12">
        <f>IF(K1824=1,F1824+L1824*(I1824-F1824),"")</f>
      </c>
      <c r="N1824" s="12">
        <f>IF(K1824=1,G1824+L1824*(J1824-G1824),"")</f>
      </c>
    </row>
    <row r="1825" spans="2:14" x14ac:dyDescent="0.25">
      <c r="B1825">
        <v>51</v>
      </c>
      <c r="C1825">
        <v>187.50000000000003</v>
      </c>
      <c r="D1825">
        <v>16</v>
      </c>
      <c r="E1825" s="18">
        <v>5989.6944555632745</v>
      </c>
      <c r="F1825" s="18">
        <v>-441.1106264295857</v>
      </c>
      <c r="G1825" s="18">
        <v>-5327.679514455752</v>
      </c>
      <c r="H1825" s="12">
        <f>E1826</f>
      </c>
      <c r="I1825" s="12">
        <f>F1826</f>
      </c>
      <c r="J1825" s="12">
        <f>G1826</f>
      </c>
      <c r="K1825">
        <f>IF(AND(Pu&gt;=MIN(E1825,H1825),Pu&lt;=MAX(E1825,H1825),E1825&lt;&gt;H1825),1,0)</f>
      </c>
      <c r="L1825">
        <f>IF(K1825=1,(Pu-E1825)/(H1825-E1825),"")</f>
      </c>
      <c r="M1825" s="12">
        <f>IF(K1825=1,F1825+L1825*(I1825-F1825),"")</f>
      </c>
      <c r="N1825" s="12">
        <f>IF(K1825=1,G1825+L1825*(J1825-G1825),"")</f>
      </c>
    </row>
    <row r="1826" spans="2:14" x14ac:dyDescent="0.25">
      <c r="B1826">
        <v>51</v>
      </c>
      <c r="C1826">
        <v>187.50000000000003</v>
      </c>
      <c r="D1826">
        <v>17</v>
      </c>
      <c r="E1826" s="18">
        <v>5773.461675109465</v>
      </c>
      <c r="F1826" s="18">
        <v>-463.32148163520316</v>
      </c>
      <c r="G1826" s="18">
        <v>-5434.208963310092</v>
      </c>
      <c r="H1826" s="12">
        <f>E1827</f>
      </c>
      <c r="I1826" s="12">
        <f>F1827</f>
      </c>
      <c r="J1826" s="12">
        <f>G1827</f>
      </c>
      <c r="K1826">
        <f>IF(AND(Pu&gt;=MIN(E1826,H1826),Pu&lt;=MAX(E1826,H1826),E1826&lt;&gt;H1826),1,0)</f>
      </c>
      <c r="L1826">
        <f>IF(K1826=1,(Pu-E1826)/(H1826-E1826),"")</f>
      </c>
      <c r="M1826" s="12">
        <f>IF(K1826=1,F1826+L1826*(I1826-F1826),"")</f>
      </c>
      <c r="N1826" s="12">
        <f>IF(K1826=1,G1826+L1826*(J1826-G1826),"")</f>
      </c>
    </row>
    <row r="1827" spans="2:14" x14ac:dyDescent="0.25">
      <c r="B1827">
        <v>51</v>
      </c>
      <c r="C1827">
        <v>187.50000000000003</v>
      </c>
      <c r="D1827">
        <v>18</v>
      </c>
      <c r="E1827" s="18">
        <v>5611.189122213628</v>
      </c>
      <c r="F1827" s="18">
        <v>-464.7621971518407</v>
      </c>
      <c r="G1827" s="18">
        <v>-5515.717289334334</v>
      </c>
      <c r="H1827" s="12">
        <f>E1828</f>
      </c>
      <c r="I1827" s="12">
        <f>F1828</f>
      </c>
      <c r="J1827" s="12">
        <f>G1828</f>
      </c>
      <c r="K1827">
        <f>IF(AND(Pu&gt;=MIN(E1827,H1827),Pu&lt;=MAX(E1827,H1827),E1827&lt;&gt;H1827),1,0)</f>
      </c>
      <c r="L1827">
        <f>IF(K1827=1,(Pu-E1827)/(H1827-E1827),"")</f>
      </c>
      <c r="M1827" s="12">
        <f>IF(K1827=1,F1827+L1827*(I1827-F1827),"")</f>
      </c>
      <c r="N1827" s="12">
        <f>IF(K1827=1,G1827+L1827*(J1827-G1827),"")</f>
      </c>
    </row>
    <row r="1828" spans="2:14" x14ac:dyDescent="0.25">
      <c r="B1828">
        <v>51</v>
      </c>
      <c r="C1828">
        <v>187.50000000000003</v>
      </c>
      <c r="D1828">
        <v>19</v>
      </c>
      <c r="E1828" s="18">
        <v>5584.03107894341</v>
      </c>
      <c r="F1828" s="18">
        <v>-465.2995628169493</v>
      </c>
      <c r="G1828" s="18">
        <v>-5529.630100298921</v>
      </c>
      <c r="H1828" s="12">
        <f>E1829</f>
      </c>
      <c r="I1828" s="12">
        <f>F1829</f>
      </c>
      <c r="J1828" s="12">
        <f>G1829</f>
      </c>
      <c r="K1828">
        <f>IF(AND(Pu&gt;=MIN(E1828,H1828),Pu&lt;=MAX(E1828,H1828),E1828&lt;&gt;H1828),1,0)</f>
      </c>
      <c r="L1828">
        <f>IF(K1828=1,(Pu-E1828)/(H1828-E1828),"")</f>
      </c>
      <c r="M1828" s="12">
        <f>IF(K1828=1,F1828+L1828*(I1828-F1828),"")</f>
      </c>
      <c r="N1828" s="12">
        <f>IF(K1828=1,G1828+L1828*(J1828-G1828),"")</f>
      </c>
    </row>
    <row r="1829" spans="2:14" x14ac:dyDescent="0.25">
      <c r="B1829">
        <v>51</v>
      </c>
      <c r="C1829">
        <v>187.50000000000003</v>
      </c>
      <c r="D1829">
        <v>20</v>
      </c>
      <c r="E1829" s="18">
        <v>5400.921056229422</v>
      </c>
      <c r="F1829" s="18">
        <v>-470.02928329912726</v>
      </c>
      <c r="G1829" s="18">
        <v>-5623.403484269309</v>
      </c>
      <c r="H1829" s="12">
        <f>E1830</f>
      </c>
      <c r="I1829" s="12">
        <f>F1830</f>
      </c>
      <c r="J1829" s="12">
        <f>G1830</f>
      </c>
      <c r="K1829">
        <f>IF(AND(Pu&gt;=MIN(E1829,H1829),Pu&lt;=MAX(E1829,H1829),E1829&lt;&gt;H1829),1,0)</f>
      </c>
      <c r="L1829">
        <f>IF(K1829=1,(Pu-E1829)/(H1829-E1829),"")</f>
      </c>
      <c r="M1829" s="12">
        <f>IF(K1829=1,F1829+L1829*(I1829-F1829),"")</f>
      </c>
      <c r="N1829" s="12">
        <f>IF(K1829=1,G1829+L1829*(J1829-G1829),"")</f>
      </c>
    </row>
    <row r="1830" spans="2:14" x14ac:dyDescent="0.25">
      <c r="B1830">
        <v>51</v>
      </c>
      <c r="C1830">
        <v>187.50000000000003</v>
      </c>
      <c r="D1830">
        <v>21</v>
      </c>
      <c r="E1830" s="18">
        <v>5272.424247811193</v>
      </c>
      <c r="F1830" s="18">
        <v>-466.55663083319706</v>
      </c>
      <c r="G1830" s="18">
        <v>-5595.851532289664</v>
      </c>
      <c r="H1830" s="12">
        <f>E1831</f>
      </c>
      <c r="I1830" s="12">
        <f>F1831</f>
      </c>
      <c r="J1830" s="12">
        <f>G1831</f>
      </c>
      <c r="K1830">
        <f>IF(AND(Pu&gt;=MIN(E1830,H1830),Pu&lt;=MAX(E1830,H1830),E1830&lt;&gt;H1830),1,0)</f>
      </c>
      <c r="L1830">
        <f>IF(K1830=1,(Pu-E1830)/(H1830-E1830),"")</f>
      </c>
      <c r="M1830" s="12">
        <f>IF(K1830=1,F1830+L1830*(I1830-F1830),"")</f>
      </c>
      <c r="N1830" s="12">
        <f>IF(K1830=1,G1830+L1830*(J1830-G1830),"")</f>
      </c>
    </row>
    <row r="1831" spans="2:14" x14ac:dyDescent="0.25">
      <c r="B1831">
        <v>51</v>
      </c>
      <c r="C1831">
        <v>187.50000000000003</v>
      </c>
      <c r="D1831">
        <v>22</v>
      </c>
      <c r="E1831" s="18">
        <v>4793.805008159519</v>
      </c>
      <c r="F1831" s="18">
        <v>-460.395477683505</v>
      </c>
      <c r="G1831" s="18">
        <v>-5479.421168555353</v>
      </c>
      <c r="H1831" s="12">
        <f>E1832</f>
      </c>
      <c r="I1831" s="12">
        <f>F1832</f>
      </c>
      <c r="J1831" s="12">
        <f>G1832</f>
      </c>
      <c r="K1831">
        <f>IF(AND(Pu&gt;=MIN(E1831,H1831),Pu&lt;=MAX(E1831,H1831),E1831&lt;&gt;H1831),1,0)</f>
      </c>
      <c r="L1831">
        <f>IF(K1831=1,(Pu-E1831)/(H1831-E1831),"")</f>
      </c>
      <c r="M1831" s="12">
        <f>IF(K1831=1,F1831+L1831*(I1831-F1831),"")</f>
      </c>
      <c r="N1831" s="12">
        <f>IF(K1831=1,G1831+L1831*(J1831-G1831),"")</f>
      </c>
    </row>
    <row r="1832" spans="2:14" x14ac:dyDescent="0.25">
      <c r="B1832">
        <v>51</v>
      </c>
      <c r="C1832">
        <v>187.50000000000003</v>
      </c>
      <c r="D1832">
        <v>23</v>
      </c>
      <c r="E1832" s="18">
        <v>4039.7902921260115</v>
      </c>
      <c r="F1832" s="18">
        <v>-443.3878551381783</v>
      </c>
      <c r="G1832" s="18">
        <v>-5247.478420991542</v>
      </c>
      <c r="H1832" s="12">
        <f>E1833</f>
      </c>
      <c r="I1832" s="12">
        <f>F1833</f>
      </c>
      <c r="J1832" s="12">
        <f>G1833</f>
      </c>
      <c r="K1832">
        <f>IF(AND(Pu&gt;=MIN(E1832,H1832),Pu&lt;=MAX(E1832,H1832),E1832&lt;&gt;H1832),1,0)</f>
      </c>
      <c r="L1832">
        <f>IF(K1832=1,(Pu-E1832)/(H1832-E1832),"")</f>
      </c>
      <c r="M1832" s="12">
        <f>IF(K1832=1,F1832+L1832*(I1832-F1832),"")</f>
      </c>
      <c r="N1832" s="12">
        <f>IF(K1832=1,G1832+L1832*(J1832-G1832),"")</f>
      </c>
    </row>
    <row r="1833" spans="2:14" x14ac:dyDescent="0.25">
      <c r="B1833">
        <v>51</v>
      </c>
      <c r="C1833">
        <v>187.50000000000003</v>
      </c>
      <c r="D1833">
        <v>24</v>
      </c>
      <c r="E1833" s="18">
        <v>3396.3674303856724</v>
      </c>
      <c r="F1833" s="18">
        <v>-442.31140386776303</v>
      </c>
      <c r="G1833" s="18">
        <v>-5022.965488217403</v>
      </c>
      <c r="H1833" s="12">
        <f>E1834</f>
      </c>
      <c r="I1833" s="12">
        <f>F1834</f>
      </c>
      <c r="J1833" s="12">
        <f>G1834</f>
      </c>
      <c r="K1833">
        <f>IF(AND(Pu&gt;=MIN(E1833,H1833),Pu&lt;=MAX(E1833,H1833),E1833&lt;&gt;H1833),1,0)</f>
      </c>
      <c r="L1833">
        <f>IF(K1833=1,(Pu-E1833)/(H1833-E1833),"")</f>
      </c>
      <c r="M1833" s="12">
        <f>IF(K1833=1,F1833+L1833*(I1833-F1833),"")</f>
      </c>
      <c r="N1833" s="12">
        <f>IF(K1833=1,G1833+L1833*(J1833-G1833),"")</f>
      </c>
    </row>
    <row r="1834" spans="2:14" x14ac:dyDescent="0.25">
      <c r="B1834">
        <v>51</v>
      </c>
      <c r="C1834">
        <v>187.50000000000003</v>
      </c>
      <c r="D1834">
        <v>25</v>
      </c>
      <c r="E1834" s="18">
        <v>2901.492419063105</v>
      </c>
      <c r="F1834" s="18">
        <v>-464.833123140949</v>
      </c>
      <c r="G1834" s="18">
        <v>-4817.31007545857</v>
      </c>
      <c r="H1834" s="12">
        <f>E1835</f>
      </c>
      <c r="I1834" s="12">
        <f>F1835</f>
      </c>
      <c r="J1834" s="12">
        <f>G1835</f>
      </c>
      <c r="K1834">
        <f>IF(AND(Pu&gt;=MIN(E1834,H1834),Pu&lt;=MAX(E1834,H1834),E1834&lt;&gt;H1834),1,0)</f>
      </c>
      <c r="L1834">
        <f>IF(K1834=1,(Pu-E1834)/(H1834-E1834),"")</f>
      </c>
      <c r="M1834" s="12">
        <f>IF(K1834=1,F1834+L1834*(I1834-F1834),"")</f>
      </c>
      <c r="N1834" s="12">
        <f>IF(K1834=1,G1834+L1834*(J1834-G1834),"")</f>
      </c>
    </row>
    <row r="1835" spans="2:14" x14ac:dyDescent="0.25">
      <c r="B1835">
        <v>51</v>
      </c>
      <c r="C1835">
        <v>187.50000000000003</v>
      </c>
      <c r="D1835">
        <v>26</v>
      </c>
      <c r="E1835" s="18">
        <v>2014.4826875246506</v>
      </c>
      <c r="F1835" s="18">
        <v>-452.4582542450674</v>
      </c>
      <c r="G1835" s="18">
        <v>-4408.996524107067</v>
      </c>
      <c r="H1835" s="12">
        <f>E1836</f>
      </c>
      <c r="I1835" s="12">
        <f>F1836</f>
      </c>
      <c r="J1835" s="12">
        <f>G1836</f>
      </c>
      <c r="K1835">
        <f>IF(AND(Pu&gt;=MIN(E1835,H1835),Pu&lt;=MAX(E1835,H1835),E1835&lt;&gt;H1835),1,0)</f>
      </c>
      <c r="L1835">
        <f>IF(K1835=1,(Pu-E1835)/(H1835-E1835),"")</f>
      </c>
      <c r="M1835" s="12">
        <f>IF(K1835=1,F1835+L1835*(I1835-F1835),"")</f>
      </c>
      <c r="N1835" s="12">
        <f>IF(K1835=1,G1835+L1835*(J1835-G1835),"")</f>
      </c>
    </row>
    <row r="1836" spans="2:14" x14ac:dyDescent="0.25">
      <c r="B1836">
        <v>51</v>
      </c>
      <c r="C1836">
        <v>187.50000000000003</v>
      </c>
      <c r="D1836">
        <v>27</v>
      </c>
      <c r="E1836" s="18">
        <v>1143.2743463896143</v>
      </c>
      <c r="F1836" s="18">
        <v>-482.7948733357435</v>
      </c>
      <c r="G1836" s="18">
        <v>-3944.2102403067884</v>
      </c>
      <c r="H1836" s="12">
        <f>E1837</f>
      </c>
      <c r="I1836" s="12">
        <f>F1837</f>
      </c>
      <c r="J1836" s="12">
        <f>G1837</f>
      </c>
      <c r="K1836">
        <f>IF(AND(Pu&gt;=MIN(E1836,H1836),Pu&lt;=MAX(E1836,H1836),E1836&lt;&gt;H1836),1,0)</f>
      </c>
      <c r="L1836">
        <f>IF(K1836=1,(Pu-E1836)/(H1836-E1836),"")</f>
      </c>
      <c r="M1836" s="12">
        <f>IF(K1836=1,F1836+L1836*(I1836-F1836),"")</f>
      </c>
      <c r="N1836" s="12">
        <f>IF(K1836=1,G1836+L1836*(J1836-G1836),"")</f>
      </c>
    </row>
    <row r="1837" spans="2:14" x14ac:dyDescent="0.25">
      <c r="B1837">
        <v>51</v>
      </c>
      <c r="C1837">
        <v>187.50000000000003</v>
      </c>
      <c r="D1837">
        <v>28</v>
      </c>
      <c r="E1837" s="18">
        <v>361.669294628716</v>
      </c>
      <c r="F1837" s="18">
        <v>-431.84963106917934</v>
      </c>
      <c r="G1837" s="18">
        <v>-3495.5962369580197</v>
      </c>
      <c r="H1837" s="12">
        <f>E1838</f>
      </c>
      <c r="I1837" s="12">
        <f>F1838</f>
      </c>
      <c r="J1837" s="12">
        <f>G1838</f>
      </c>
      <c r="K1837">
        <f>IF(AND(Pu&gt;=MIN(E1837,H1837),Pu&lt;=MAX(E1837,H1837),E1837&lt;&gt;H1837),1,0)</f>
      </c>
      <c r="L1837">
        <f>IF(K1837=1,(Pu-E1837)/(H1837-E1837),"")</f>
      </c>
      <c r="M1837" s="12">
        <f>IF(K1837=1,F1837+L1837*(I1837-F1837),"")</f>
      </c>
      <c r="N1837" s="12">
        <f>IF(K1837=1,G1837+L1837*(J1837-G1837),"")</f>
      </c>
    </row>
    <row r="1838" spans="2:14" x14ac:dyDescent="0.25">
      <c r="B1838">
        <v>51</v>
      </c>
      <c r="C1838">
        <v>187.50000000000003</v>
      </c>
      <c r="D1838">
        <v>29</v>
      </c>
      <c r="E1838" s="18">
        <v>-306.4631226063041</v>
      </c>
      <c r="F1838" s="18">
        <v>-373.8965699268674</v>
      </c>
      <c r="G1838" s="18">
        <v>-3101.0667589868613</v>
      </c>
      <c r="H1838" s="12">
        <f>E1839</f>
      </c>
      <c r="I1838" s="12">
        <f>F1839</f>
      </c>
      <c r="J1838" s="12">
        <f>G1839</f>
      </c>
      <c r="K1838">
        <f>IF(AND(Pu&gt;=MIN(E1838,H1838),Pu&lt;=MAX(E1838,H1838),E1838&lt;&gt;H1838),1,0)</f>
      </c>
      <c r="L1838">
        <f>IF(K1838=1,(Pu-E1838)/(H1838-E1838),"")</f>
      </c>
      <c r="M1838" s="12">
        <f>IF(K1838=1,F1838+L1838*(I1838-F1838),"")</f>
      </c>
      <c r="N1838" s="12">
        <f>IF(K1838=1,G1838+L1838*(J1838-G1838),"")</f>
      </c>
    </row>
    <row r="1839" spans="2:14" x14ac:dyDescent="0.25">
      <c r="B1839">
        <v>51</v>
      </c>
      <c r="C1839">
        <v>187.50000000000003</v>
      </c>
      <c r="D1839">
        <v>30</v>
      </c>
      <c r="E1839" s="18">
        <v>-1275.95930328292</v>
      </c>
      <c r="F1839" s="18">
        <v>-300.22376189138186</v>
      </c>
      <c r="G1839" s="18">
        <v>-2497.735919737874</v>
      </c>
      <c r="H1839" s="12">
        <f>E1840</f>
      </c>
      <c r="I1839" s="12">
        <f>F1840</f>
      </c>
      <c r="J1839" s="12">
        <f>G1840</f>
      </c>
      <c r="K1839">
        <f>IF(AND(Pu&gt;=MIN(E1839,H1839),Pu&lt;=MAX(E1839,H1839),E1839&lt;&gt;H1839),1,0)</f>
      </c>
      <c r="L1839">
        <f>IF(K1839=1,(Pu-E1839)/(H1839-E1839),"")</f>
      </c>
      <c r="M1839" s="12">
        <f>IF(K1839=1,F1839+L1839*(I1839-F1839),"")</f>
      </c>
      <c r="N1839" s="12">
        <f>IF(K1839=1,G1839+L1839*(J1839-G1839),"")</f>
      </c>
    </row>
    <row r="1840" spans="2:14" x14ac:dyDescent="0.25">
      <c r="B1840">
        <v>51</v>
      </c>
      <c r="C1840">
        <v>187.50000000000003</v>
      </c>
      <c r="D1840">
        <v>31</v>
      </c>
      <c r="E1840" s="18">
        <v>-1949.4005304438415</v>
      </c>
      <c r="F1840" s="18">
        <v>-278.31744603093597</v>
      </c>
      <c r="G1840" s="18">
        <v>-2051.6073628233944</v>
      </c>
      <c r="H1840" s="12">
        <f>E1841</f>
      </c>
      <c r="I1840" s="12">
        <f>F1841</f>
      </c>
      <c r="J1840" s="12">
        <f>G1841</f>
      </c>
      <c r="K1840">
        <f>IF(AND(Pu&gt;=MIN(E1840,H1840),Pu&lt;=MAX(E1840,H1840),E1840&lt;&gt;H1840),1,0)</f>
      </c>
      <c r="L1840">
        <f>IF(K1840=1,(Pu-E1840)/(H1840-E1840),"")</f>
      </c>
      <c r="M1840" s="12">
        <f>IF(K1840=1,F1840+L1840*(I1840-F1840),"")</f>
      </c>
      <c r="N1840" s="12">
        <f>IF(K1840=1,G1840+L1840*(J1840-G1840),"")</f>
      </c>
    </row>
    <row r="1841" spans="2:14" x14ac:dyDescent="0.25">
      <c r="B1841">
        <v>51</v>
      </c>
      <c r="C1841">
        <v>187.50000000000003</v>
      </c>
      <c r="D1841">
        <v>32</v>
      </c>
      <c r="E1841" s="18">
        <v>-2942.1433901862442</v>
      </c>
      <c r="F1841" s="18">
        <v>-264.2010546318891</v>
      </c>
      <c r="G1841" s="18">
        <v>-1375.749720539341</v>
      </c>
      <c r="H1841" s="12">
        <f>E1842</f>
      </c>
      <c r="I1841" s="12">
        <f>F1842</f>
      </c>
      <c r="J1841" s="12">
        <f>G1842</f>
      </c>
      <c r="K1841">
        <f>IF(AND(Pu&gt;=MIN(E1841,H1841),Pu&lt;=MAX(E1841,H1841),E1841&lt;&gt;H1841),1,0)</f>
      </c>
      <c r="L1841">
        <f>IF(K1841=1,(Pu-E1841)/(H1841-E1841),"")</f>
      </c>
      <c r="M1841" s="12">
        <f>IF(K1841=1,F1841+L1841*(I1841-F1841),"")</f>
      </c>
      <c r="N1841" s="12">
        <f>IF(K1841=1,G1841+L1841*(J1841-G1841),"")</f>
      </c>
    </row>
    <row r="1842" spans="2:14" x14ac:dyDescent="0.25">
      <c r="B1842">
        <v>51</v>
      </c>
      <c r="C1842">
        <v>187.50000000000003</v>
      </c>
      <c r="D1842">
        <v>33</v>
      </c>
      <c r="E1842" s="18">
        <v>-3639.9127765461535</v>
      </c>
      <c r="F1842" s="18">
        <v>-253.4566836349106</v>
      </c>
      <c r="G1842" s="18">
        <v>-895.47749450854</v>
      </c>
      <c r="H1842" s="12">
        <f>E1843</f>
      </c>
      <c r="I1842" s="12">
        <f>F1843</f>
      </c>
      <c r="J1842" s="12">
        <f>G1843</f>
      </c>
      <c r="K1842">
        <f>IF(AND(Pu&gt;=MIN(E1842,H1842),Pu&lt;=MAX(E1842,H1842),E1842&lt;&gt;H1842),1,0)</f>
      </c>
      <c r="L1842">
        <f>IF(K1842=1,(Pu-E1842)/(H1842-E1842),"")</f>
      </c>
      <c r="M1842" s="12">
        <f>IF(K1842=1,F1842+L1842*(I1842-F1842),"")</f>
      </c>
      <c r="N1842" s="12">
        <f>IF(K1842=1,G1842+L1842*(J1842-G1842),"")</f>
      </c>
    </row>
    <row r="1843" spans="2:14" x14ac:dyDescent="0.25">
      <c r="B1843">
        <v>51</v>
      </c>
      <c r="C1843">
        <v>187.50000000000003</v>
      </c>
      <c r="D1843">
        <v>34</v>
      </c>
      <c r="E1843" s="18">
        <v>-4474.244277452038</v>
      </c>
      <c r="F1843" s="18">
        <v>-129.80839546824706</v>
      </c>
      <c r="G1843" s="18">
        <v>-318.14157280177415</v>
      </c>
      <c r="H1843" s="12">
        <f>E1844</f>
      </c>
      <c r="I1843" s="12">
        <f>F1844</f>
      </c>
      <c r="J1843" s="12">
        <f>G1844</f>
      </c>
      <c r="K1843">
        <f>IF(AND(Pu&gt;=MIN(E1843,H1843),Pu&lt;=MAX(E1843,H1843),E1843&lt;&gt;H1843),1,0)</f>
      </c>
      <c r="L1843">
        <f>IF(K1843=1,(Pu-E1843)/(H1843-E1843),"")</f>
      </c>
      <c r="M1843" s="12">
        <f>IF(K1843=1,F1843+L1843*(I1843-F1843),"")</f>
      </c>
      <c r="N1843" s="12">
        <f>IF(K1843=1,G1843+L1843*(J1843-G1843),"")</f>
      </c>
    </row>
    <row r="1844" spans="2:7" x14ac:dyDescent="0.25">
      <c r="B1844">
        <v>51</v>
      </c>
      <c r="C1844">
        <v>187.50000000000003</v>
      </c>
      <c r="D1844">
        <v>35</v>
      </c>
      <c r="E1844" s="18">
        <v>-4762.430918586394</v>
      </c>
      <c r="F1844" s="18">
        <v>-49.764034882207426</v>
      </c>
      <c r="G1844" s="18">
        <v>-117.16086337664213</v>
      </c>
    </row>
    <row r="1846" spans="2:14" x14ac:dyDescent="0.25">
      <c r="B1846">
        <v>52</v>
      </c>
      <c r="C1846">
        <v>191.24999999999994</v>
      </c>
      <c r="D1846">
        <v>1</v>
      </c>
      <c r="E1846" s="18">
        <v>17212.131651709293</v>
      </c>
      <c r="F1846" s="18">
        <v>-437.2921604065479</v>
      </c>
      <c r="G1846" s="18">
        <v>-2891.0599009281786</v>
      </c>
      <c r="H1846" s="12">
        <f>E1847</f>
      </c>
      <c r="I1846" s="12">
        <f>F1847</f>
      </c>
      <c r="J1846" s="12">
        <f>G1847</f>
      </c>
      <c r="K1846">
        <f>IF(AND(Pu&gt;=MIN(E1846,H1846),Pu&lt;=MAX(E1846,H1846),E1846&lt;&gt;H1846),1,0)</f>
      </c>
      <c r="L1846">
        <f>IF(K1846=1,(Pu-E1846)/(H1846-E1846),"")</f>
      </c>
      <c r="M1846" s="12">
        <f>IF(K1846=1,F1846+L1846*(I1846-F1846),"")</f>
      </c>
      <c r="N1846" s="12">
        <f>IF(K1846=1,G1846+L1846*(J1846-G1846),"")</f>
      </c>
    </row>
    <row r="1847" spans="2:14" x14ac:dyDescent="0.25">
      <c r="B1847">
        <v>52</v>
      </c>
      <c r="C1847">
        <v>191.24999999999994</v>
      </c>
      <c r="D1847">
        <v>2</v>
      </c>
      <c r="E1847" s="18">
        <v>16342.527584346682</v>
      </c>
      <c r="F1847" s="18">
        <v>-429.27682820207565</v>
      </c>
      <c r="G1847" s="18">
        <v>-3281.0241411006323</v>
      </c>
      <c r="H1847" s="12">
        <f>E1848</f>
      </c>
      <c r="I1847" s="12">
        <f>F1848</f>
      </c>
      <c r="J1847" s="12">
        <f>G1848</f>
      </c>
      <c r="K1847">
        <f>IF(AND(Pu&gt;=MIN(E1847,H1847),Pu&lt;=MAX(E1847,H1847),E1847&lt;&gt;H1847),1,0)</f>
      </c>
      <c r="L1847">
        <f>IF(K1847=1,(Pu-E1847)/(H1847-E1847),"")</f>
      </c>
      <c r="M1847" s="12">
        <f>IF(K1847=1,F1847+L1847*(I1847-F1847),"")</f>
      </c>
      <c r="N1847" s="12">
        <f>IF(K1847=1,G1847+L1847*(J1847-G1847),"")</f>
      </c>
    </row>
    <row r="1848" spans="2:14" x14ac:dyDescent="0.25">
      <c r="B1848">
        <v>52</v>
      </c>
      <c r="C1848">
        <v>191.24999999999994</v>
      </c>
      <c r="D1848">
        <v>3</v>
      </c>
      <c r="E1848" s="18">
        <v>15563.068231220443</v>
      </c>
      <c r="F1848" s="18">
        <v>-438.193058077796</v>
      </c>
      <c r="G1848" s="18">
        <v>-3576.8598320332694</v>
      </c>
      <c r="H1848" s="12">
        <f>E1849</f>
      </c>
      <c r="I1848" s="12">
        <f>F1849</f>
      </c>
      <c r="J1848" s="12">
        <f>G1849</f>
      </c>
      <c r="K1848">
        <f>IF(AND(Pu&gt;=MIN(E1848,H1848),Pu&lt;=MAX(E1848,H1848),E1848&lt;&gt;H1848),1,0)</f>
      </c>
      <c r="L1848">
        <f>IF(K1848=1,(Pu-E1848)/(H1848-E1848),"")</f>
      </c>
      <c r="M1848" s="12">
        <f>IF(K1848=1,F1848+L1848*(I1848-F1848),"")</f>
      </c>
      <c r="N1848" s="12">
        <f>IF(K1848=1,G1848+L1848*(J1848-G1848),"")</f>
      </c>
    </row>
    <row r="1849" spans="2:14" x14ac:dyDescent="0.25">
      <c r="B1849">
        <v>52</v>
      </c>
      <c r="C1849">
        <v>191.24999999999994</v>
      </c>
      <c r="D1849">
        <v>4</v>
      </c>
      <c r="E1849" s="18">
        <v>14126.972911178767</v>
      </c>
      <c r="F1849" s="18">
        <v>-516.8123487241313</v>
      </c>
      <c r="G1849" s="18">
        <v>-3984.738823797872</v>
      </c>
      <c r="H1849" s="12">
        <f>E1850</f>
      </c>
      <c r="I1849" s="12">
        <f>F1850</f>
      </c>
      <c r="J1849" s="12">
        <f>G1850</f>
      </c>
      <c r="K1849">
        <f>IF(AND(Pu&gt;=MIN(E1849,H1849),Pu&lt;=MAX(E1849,H1849),E1849&lt;&gt;H1849),1,0)</f>
      </c>
      <c r="L1849">
        <f>IF(K1849=1,(Pu-E1849)/(H1849-E1849),"")</f>
      </c>
      <c r="M1849" s="12">
        <f>IF(K1849=1,F1849+L1849*(I1849-F1849),"")</f>
      </c>
      <c r="N1849" s="12">
        <f>IF(K1849=1,G1849+L1849*(J1849-G1849),"")</f>
      </c>
    </row>
    <row r="1850" spans="2:14" x14ac:dyDescent="0.25">
      <c r="B1850">
        <v>52</v>
      </c>
      <c r="C1850">
        <v>191.24999999999994</v>
      </c>
      <c r="D1850">
        <v>5</v>
      </c>
      <c r="E1850" s="18">
        <v>12105.193622497398</v>
      </c>
      <c r="F1850" s="18">
        <v>-628.6681212625572</v>
      </c>
      <c r="G1850" s="18">
        <v>-4331.8422760313315</v>
      </c>
      <c r="H1850" s="12">
        <f>E1851</f>
      </c>
      <c r="I1850" s="12">
        <f>F1851</f>
      </c>
      <c r="J1850" s="12">
        <f>G1851</f>
      </c>
      <c r="K1850">
        <f>IF(AND(Pu&gt;=MIN(E1850,H1850),Pu&lt;=MAX(E1850,H1850),E1850&lt;&gt;H1850),1,0)</f>
      </c>
      <c r="L1850">
        <f>IF(K1850=1,(Pu-E1850)/(H1850-E1850),"")</f>
      </c>
      <c r="M1850" s="12">
        <f>IF(K1850=1,F1850+L1850*(I1850-F1850),"")</f>
      </c>
      <c r="N1850" s="12">
        <f>IF(K1850=1,G1850+L1850*(J1850-G1850),"")</f>
      </c>
    </row>
    <row r="1851" spans="2:14" x14ac:dyDescent="0.25">
      <c r="B1851">
        <v>52</v>
      </c>
      <c r="C1851">
        <v>191.24999999999994</v>
      </c>
      <c r="D1851">
        <v>6</v>
      </c>
      <c r="E1851" s="18">
        <v>9951.502847855538</v>
      </c>
      <c r="F1851" s="18">
        <v>-652.9395448221908</v>
      </c>
      <c r="G1851" s="18">
        <v>-4558.848832161497</v>
      </c>
      <c r="H1851" s="12">
        <f>E1852</f>
      </c>
      <c r="I1851" s="12">
        <f>F1852</f>
      </c>
      <c r="J1851" s="12">
        <f>G1852</f>
      </c>
      <c r="K1851">
        <f>IF(AND(Pu&gt;=MIN(E1851,H1851),Pu&lt;=MAX(E1851,H1851),E1851&lt;&gt;H1851),1,0)</f>
      </c>
      <c r="L1851">
        <f>IF(K1851=1,(Pu-E1851)/(H1851-E1851),"")</f>
      </c>
      <c r="M1851" s="12">
        <f>IF(K1851=1,F1851+L1851*(I1851-F1851),"")</f>
      </c>
      <c r="N1851" s="12">
        <f>IF(K1851=1,G1851+L1851*(J1851-G1851),"")</f>
      </c>
    </row>
    <row r="1852" spans="2:14" x14ac:dyDescent="0.25">
      <c r="B1852">
        <v>52</v>
      </c>
      <c r="C1852">
        <v>191.24999999999994</v>
      </c>
      <c r="D1852">
        <v>7</v>
      </c>
      <c r="E1852" s="18">
        <v>8792.875148562776</v>
      </c>
      <c r="F1852" s="18">
        <v>-667.6772366798039</v>
      </c>
      <c r="G1852" s="18">
        <v>-4632.46399838557</v>
      </c>
      <c r="H1852" s="12">
        <f>E1853</f>
      </c>
      <c r="I1852" s="12">
        <f>F1853</f>
      </c>
      <c r="J1852" s="12">
        <f>G1853</f>
      </c>
      <c r="K1852">
        <f>IF(AND(Pu&gt;=MIN(E1852,H1852),Pu&lt;=MAX(E1852,H1852),E1852&lt;&gt;H1852),1,0)</f>
      </c>
      <c r="L1852">
        <f>IF(K1852=1,(Pu-E1852)/(H1852-E1852),"")</f>
      </c>
      <c r="M1852" s="12">
        <f>IF(K1852=1,F1852+L1852*(I1852-F1852),"")</f>
      </c>
      <c r="N1852" s="12">
        <f>IF(K1852=1,G1852+L1852*(J1852-G1852),"")</f>
      </c>
    </row>
    <row r="1853" spans="2:14" x14ac:dyDescent="0.25">
      <c r="B1853">
        <v>52</v>
      </c>
      <c r="C1853">
        <v>191.24999999999994</v>
      </c>
      <c r="D1853">
        <v>8</v>
      </c>
      <c r="E1853" s="18">
        <v>8271.985126402926</v>
      </c>
      <c r="F1853" s="18">
        <v>-683.6784062462623</v>
      </c>
      <c r="G1853" s="18">
        <v>-4734.5907103537065</v>
      </c>
      <c r="H1853" s="12">
        <f>E1854</f>
      </c>
      <c r="I1853" s="12">
        <f>F1854</f>
      </c>
      <c r="J1853" s="12">
        <f>G1854</f>
      </c>
      <c r="K1853">
        <f>IF(AND(Pu&gt;=MIN(E1853,H1853),Pu&lt;=MAX(E1853,H1853),E1853&lt;&gt;H1853),1,0)</f>
      </c>
      <c r="L1853">
        <f>IF(K1853=1,(Pu-E1853)/(H1853-E1853),"")</f>
      </c>
      <c r="M1853" s="12">
        <f>IF(K1853=1,F1853+L1853*(I1853-F1853),"")</f>
      </c>
      <c r="N1853" s="12">
        <f>IF(K1853=1,G1853+L1853*(J1853-G1853),"")</f>
      </c>
    </row>
    <row r="1854" spans="2:14" x14ac:dyDescent="0.25">
      <c r="B1854">
        <v>52</v>
      </c>
      <c r="C1854">
        <v>191.24999999999994</v>
      </c>
      <c r="D1854">
        <v>9</v>
      </c>
      <c r="E1854" s="18">
        <v>7794.438330587627</v>
      </c>
      <c r="F1854" s="18">
        <v>-690.9029730721273</v>
      </c>
      <c r="G1854" s="18">
        <v>-4814.911632202113</v>
      </c>
      <c r="H1854" s="12">
        <f>E1855</f>
      </c>
      <c r="I1854" s="12">
        <f>F1855</f>
      </c>
      <c r="J1854" s="12">
        <f>G1855</f>
      </c>
      <c r="K1854">
        <f>IF(AND(Pu&gt;=MIN(E1854,H1854),Pu&lt;=MAX(E1854,H1854),E1854&lt;&gt;H1854),1,0)</f>
      </c>
      <c r="L1854">
        <f>IF(K1854=1,(Pu-E1854)/(H1854-E1854),"")</f>
      </c>
      <c r="M1854" s="12">
        <f>IF(K1854=1,F1854+L1854*(I1854-F1854),"")</f>
      </c>
      <c r="N1854" s="12">
        <f>IF(K1854=1,G1854+L1854*(J1854-G1854),"")</f>
      </c>
    </row>
    <row r="1855" spans="2:14" x14ac:dyDescent="0.25">
      <c r="B1855">
        <v>52</v>
      </c>
      <c r="C1855">
        <v>191.24999999999994</v>
      </c>
      <c r="D1855">
        <v>10</v>
      </c>
      <c r="E1855" s="18">
        <v>7224.644878865107</v>
      </c>
      <c r="F1855" s="18">
        <v>-705.7376513588449</v>
      </c>
      <c r="G1855" s="18">
        <v>-4903.923940888565</v>
      </c>
      <c r="H1855" s="12">
        <f>E1856</f>
      </c>
      <c r="I1855" s="12">
        <f>F1856</f>
      </c>
      <c r="J1855" s="12">
        <f>G1856</f>
      </c>
      <c r="K1855">
        <f>IF(AND(Pu&gt;=MIN(E1855,H1855),Pu&lt;=MAX(E1855,H1855),E1855&lt;&gt;H1855),1,0)</f>
      </c>
      <c r="L1855">
        <f>IF(K1855=1,(Pu-E1855)/(H1855-E1855),"")</f>
      </c>
      <c r="M1855" s="12">
        <f>IF(K1855=1,F1855+L1855*(I1855-F1855),"")</f>
      </c>
      <c r="N1855" s="12">
        <f>IF(K1855=1,G1855+L1855*(J1855-G1855),"")</f>
      </c>
    </row>
    <row r="1856" spans="2:14" x14ac:dyDescent="0.25">
      <c r="B1856">
        <v>52</v>
      </c>
      <c r="C1856">
        <v>191.24999999999994</v>
      </c>
      <c r="D1856">
        <v>11</v>
      </c>
      <c r="E1856" s="18">
        <v>7068.864747238219</v>
      </c>
      <c r="F1856" s="18">
        <v>-704.7574928682412</v>
      </c>
      <c r="G1856" s="18">
        <v>-4932.139023813641</v>
      </c>
      <c r="H1856" s="12">
        <f>E1857</f>
      </c>
      <c r="I1856" s="12">
        <f>F1857</f>
      </c>
      <c r="J1856" s="12">
        <f>G1857</f>
      </c>
      <c r="K1856">
        <f>IF(AND(Pu&gt;=MIN(E1856,H1856),Pu&lt;=MAX(E1856,H1856),E1856&lt;&gt;H1856),1,0)</f>
      </c>
      <c r="L1856">
        <f>IF(K1856=1,(Pu-E1856)/(H1856-E1856),"")</f>
      </c>
      <c r="M1856" s="12">
        <f>IF(K1856=1,F1856+L1856*(I1856-F1856),"")</f>
      </c>
      <c r="N1856" s="12">
        <f>IF(K1856=1,G1856+L1856*(J1856-G1856),"")</f>
      </c>
    </row>
    <row r="1857" spans="2:14" x14ac:dyDescent="0.25">
      <c r="B1857">
        <v>52</v>
      </c>
      <c r="C1857">
        <v>191.24999999999994</v>
      </c>
      <c r="D1857">
        <v>12</v>
      </c>
      <c r="E1857" s="18">
        <v>6583.292222246627</v>
      </c>
      <c r="F1857" s="18">
        <v>-686.2280614489086</v>
      </c>
      <c r="G1857" s="18">
        <v>-5043.509118539437</v>
      </c>
      <c r="H1857" s="12">
        <f>E1858</f>
      </c>
      <c r="I1857" s="12">
        <f>F1858</f>
      </c>
      <c r="J1857" s="12">
        <f>G1858</f>
      </c>
      <c r="K1857">
        <f>IF(AND(Pu&gt;=MIN(E1857,H1857),Pu&lt;=MAX(E1857,H1857),E1857&lt;&gt;H1857),1,0)</f>
      </c>
      <c r="L1857">
        <f>IF(K1857=1,(Pu-E1857)/(H1857-E1857),"")</f>
      </c>
      <c r="M1857" s="12">
        <f>IF(K1857=1,F1857+L1857*(I1857-F1857),"")</f>
      </c>
      <c r="N1857" s="12">
        <f>IF(K1857=1,G1857+L1857*(J1857-G1857),"")</f>
      </c>
    </row>
    <row r="1858" spans="2:14" x14ac:dyDescent="0.25">
      <c r="B1858">
        <v>52</v>
      </c>
      <c r="C1858">
        <v>191.24999999999994</v>
      </c>
      <c r="D1858">
        <v>13</v>
      </c>
      <c r="E1858" s="18">
        <v>6571.61192314039</v>
      </c>
      <c r="F1858" s="18">
        <v>-685.4800497636162</v>
      </c>
      <c r="G1858" s="18">
        <v>-5046.684172296075</v>
      </c>
      <c r="H1858" s="12">
        <f>E1859</f>
      </c>
      <c r="I1858" s="12">
        <f>F1859</f>
      </c>
      <c r="J1858" s="12">
        <f>G1859</f>
      </c>
      <c r="K1858">
        <f>IF(AND(Pu&gt;=MIN(E1858,H1858),Pu&lt;=MAX(E1858,H1858),E1858&lt;&gt;H1858),1,0)</f>
      </c>
      <c r="L1858">
        <f>IF(K1858=1,(Pu-E1858)/(H1858-E1858),"")</f>
      </c>
      <c r="M1858" s="12">
        <f>IF(K1858=1,F1858+L1858*(I1858-F1858),"")</f>
      </c>
      <c r="N1858" s="12">
        <f>IF(K1858=1,G1858+L1858*(J1858-G1858),"")</f>
      </c>
    </row>
    <row r="1859" spans="2:14" x14ac:dyDescent="0.25">
      <c r="B1859">
        <v>52</v>
      </c>
      <c r="C1859">
        <v>191.24999999999994</v>
      </c>
      <c r="D1859">
        <v>14</v>
      </c>
      <c r="E1859" s="18">
        <v>6228.623279910236</v>
      </c>
      <c r="F1859" s="18">
        <v>-673.6014512698564</v>
      </c>
      <c r="G1859" s="18">
        <v>-5160.155550416888</v>
      </c>
      <c r="H1859" s="12">
        <f>E1860</f>
      </c>
      <c r="I1859" s="12">
        <f>F1860</f>
      </c>
      <c r="J1859" s="12">
        <f>G1860</f>
      </c>
      <c r="K1859">
        <f>IF(AND(Pu&gt;=MIN(E1859,H1859),Pu&lt;=MAX(E1859,H1859),E1859&lt;&gt;H1859),1,0)</f>
      </c>
      <c r="L1859">
        <f>IF(K1859=1,(Pu-E1859)/(H1859-E1859),"")</f>
      </c>
      <c r="M1859" s="12">
        <f>IF(K1859=1,F1859+L1859*(I1859-F1859),"")</f>
      </c>
      <c r="N1859" s="12">
        <f>IF(K1859=1,G1859+L1859*(J1859-G1859),"")</f>
      </c>
    </row>
    <row r="1860" spans="2:14" x14ac:dyDescent="0.25">
      <c r="B1860">
        <v>52</v>
      </c>
      <c r="C1860">
        <v>191.24999999999994</v>
      </c>
      <c r="D1860">
        <v>15</v>
      </c>
      <c r="E1860" s="18">
        <v>6143.325518787707</v>
      </c>
      <c r="F1860" s="18">
        <v>-673.1173499959962</v>
      </c>
      <c r="G1860" s="18">
        <v>-5191.834444504662</v>
      </c>
      <c r="H1860" s="12">
        <f>E1861</f>
      </c>
      <c r="I1860" s="12">
        <f>F1861</f>
      </c>
      <c r="J1860" s="12">
        <f>G1861</f>
      </c>
      <c r="K1860">
        <f>IF(AND(Pu&gt;=MIN(E1860,H1860),Pu&lt;=MAX(E1860,H1860),E1860&lt;&gt;H1860),1,0)</f>
      </c>
      <c r="L1860">
        <f>IF(K1860=1,(Pu-E1860)/(H1860-E1860),"")</f>
      </c>
      <c r="M1860" s="12">
        <f>IF(K1860=1,F1860+L1860*(I1860-F1860),"")</f>
      </c>
      <c r="N1860" s="12">
        <f>IF(K1860=1,G1860+L1860*(J1860-G1860),"")</f>
      </c>
    </row>
    <row r="1861" spans="2:14" x14ac:dyDescent="0.25">
      <c r="B1861">
        <v>52</v>
      </c>
      <c r="C1861">
        <v>191.24999999999994</v>
      </c>
      <c r="D1861">
        <v>16</v>
      </c>
      <c r="E1861" s="18">
        <v>5928.205392904385</v>
      </c>
      <c r="F1861" s="18">
        <v>-673.9559203512571</v>
      </c>
      <c r="G1861" s="18">
        <v>-5272.606173013728</v>
      </c>
      <c r="H1861" s="12">
        <f>E1862</f>
      </c>
      <c r="I1861" s="12">
        <f>F1862</f>
      </c>
      <c r="J1861" s="12">
        <f>G1862</f>
      </c>
      <c r="K1861">
        <f>IF(AND(Pu&gt;=MIN(E1861,H1861),Pu&lt;=MAX(E1861,H1861),E1861&lt;&gt;H1861),1,0)</f>
      </c>
      <c r="L1861">
        <f>IF(K1861=1,(Pu-E1861)/(H1861-E1861),"")</f>
      </c>
      <c r="M1861" s="12">
        <f>IF(K1861=1,F1861+L1861*(I1861-F1861),"")</f>
      </c>
      <c r="N1861" s="12">
        <f>IF(K1861=1,G1861+L1861*(J1861-G1861),"")</f>
      </c>
    </row>
    <row r="1862" spans="2:14" x14ac:dyDescent="0.25">
      <c r="B1862">
        <v>52</v>
      </c>
      <c r="C1862">
        <v>191.24999999999994</v>
      </c>
      <c r="D1862">
        <v>17</v>
      </c>
      <c r="E1862" s="18">
        <v>5675.255343311127</v>
      </c>
      <c r="F1862" s="18">
        <v>-676.0772244584515</v>
      </c>
      <c r="G1862" s="18">
        <v>-5372.897539909578</v>
      </c>
      <c r="H1862" s="12">
        <f>E1863</f>
      </c>
      <c r="I1862" s="12">
        <f>F1863</f>
      </c>
      <c r="J1862" s="12">
        <f>G1863</f>
      </c>
      <c r="K1862">
        <f>IF(AND(Pu&gt;=MIN(E1862,H1862),Pu&lt;=MAX(E1862,H1862),E1862&lt;&gt;H1862),1,0)</f>
      </c>
      <c r="L1862">
        <f>IF(K1862=1,(Pu-E1862)/(H1862-E1862),"")</f>
      </c>
      <c r="M1862" s="12">
        <f>IF(K1862=1,F1862+L1862*(I1862-F1862),"")</f>
      </c>
      <c r="N1862" s="12">
        <f>IF(K1862=1,G1862+L1862*(J1862-G1862),"")</f>
      </c>
    </row>
    <row r="1863" spans="2:14" x14ac:dyDescent="0.25">
      <c r="B1863">
        <v>52</v>
      </c>
      <c r="C1863">
        <v>191.24999999999994</v>
      </c>
      <c r="D1863">
        <v>18</v>
      </c>
      <c r="E1863" s="18">
        <v>5525.861622845333</v>
      </c>
      <c r="F1863" s="18">
        <v>-674.814125319496</v>
      </c>
      <c r="G1863" s="18">
        <v>-5449.57217598019</v>
      </c>
      <c r="H1863" s="12">
        <f>E1864</f>
      </c>
      <c r="I1863" s="12">
        <f>F1864</f>
      </c>
      <c r="J1863" s="12">
        <f>G1864</f>
      </c>
      <c r="K1863">
        <f>IF(AND(Pu&gt;=MIN(E1863,H1863),Pu&lt;=MAX(E1863,H1863),E1863&lt;&gt;H1863),1,0)</f>
      </c>
      <c r="L1863">
        <f>IF(K1863=1,(Pu-E1863)/(H1863-E1863),"")</f>
      </c>
      <c r="M1863" s="12">
        <f>IF(K1863=1,F1863+L1863*(I1863-F1863),"")</f>
      </c>
      <c r="N1863" s="12">
        <f>IF(K1863=1,G1863+L1863*(J1863-G1863),"")</f>
      </c>
    </row>
    <row r="1864" spans="2:14" x14ac:dyDescent="0.25">
      <c r="B1864">
        <v>52</v>
      </c>
      <c r="C1864">
        <v>191.24999999999994</v>
      </c>
      <c r="D1864">
        <v>19</v>
      </c>
      <c r="E1864" s="18">
        <v>5502.58377127522</v>
      </c>
      <c r="F1864" s="18">
        <v>-686.0451980968033</v>
      </c>
      <c r="G1864" s="18">
        <v>-5470.217268356406</v>
      </c>
      <c r="H1864" s="12">
        <f>E1865</f>
      </c>
      <c r="I1864" s="12">
        <f>F1865</f>
      </c>
      <c r="J1864" s="12">
        <f>G1865</f>
      </c>
      <c r="K1864">
        <f>IF(AND(Pu&gt;=MIN(E1864,H1864),Pu&lt;=MAX(E1864,H1864),E1864&lt;&gt;H1864),1,0)</f>
      </c>
      <c r="L1864">
        <f>IF(K1864=1,(Pu-E1864)/(H1864-E1864),"")</f>
      </c>
      <c r="M1864" s="12">
        <f>IF(K1864=1,F1864+L1864*(I1864-F1864),"")</f>
      </c>
      <c r="N1864" s="12">
        <f>IF(K1864=1,G1864+L1864*(J1864-G1864),"")</f>
      </c>
    </row>
    <row r="1865" spans="2:14" x14ac:dyDescent="0.25">
      <c r="B1865">
        <v>52</v>
      </c>
      <c r="C1865">
        <v>191.24999999999994</v>
      </c>
      <c r="D1865">
        <v>20</v>
      </c>
      <c r="E1865" s="18">
        <v>5306.270338386781</v>
      </c>
      <c r="F1865" s="18">
        <v>-699.9432678353747</v>
      </c>
      <c r="G1865" s="18">
        <v>-5556.215332623594</v>
      </c>
      <c r="H1865" s="12">
        <f>E1866</f>
      </c>
      <c r="I1865" s="12">
        <f>F1866</f>
      </c>
      <c r="J1865" s="12">
        <f>G1866</f>
      </c>
      <c r="K1865">
        <f>IF(AND(Pu&gt;=MIN(E1865,H1865),Pu&lt;=MAX(E1865,H1865),E1865&lt;&gt;H1865),1,0)</f>
      </c>
      <c r="L1865">
        <f>IF(K1865=1,(Pu-E1865)/(H1865-E1865),"")</f>
      </c>
      <c r="M1865" s="12">
        <f>IF(K1865=1,F1865+L1865*(I1865-F1865),"")</f>
      </c>
      <c r="N1865" s="12">
        <f>IF(K1865=1,G1865+L1865*(J1865-G1865),"")</f>
      </c>
    </row>
    <row r="1866" spans="2:14" x14ac:dyDescent="0.25">
      <c r="B1866">
        <v>52</v>
      </c>
      <c r="C1866">
        <v>191.24999999999994</v>
      </c>
      <c r="D1866">
        <v>21</v>
      </c>
      <c r="E1866" s="18">
        <v>5194.779190795308</v>
      </c>
      <c r="F1866" s="18">
        <v>-698.3177172395751</v>
      </c>
      <c r="G1866" s="18">
        <v>-5531.174007568946</v>
      </c>
      <c r="H1866" s="12">
        <f>E1867</f>
      </c>
      <c r="I1866" s="12">
        <f>F1867</f>
      </c>
      <c r="J1866" s="12">
        <f>G1867</f>
      </c>
      <c r="K1866">
        <f>IF(AND(Pu&gt;=MIN(E1866,H1866),Pu&lt;=MAX(E1866,H1866),E1866&lt;&gt;H1866),1,0)</f>
      </c>
      <c r="L1866">
        <f>IF(K1866=1,(Pu-E1866)/(H1866-E1866),"")</f>
      </c>
      <c r="M1866" s="12">
        <f>IF(K1866=1,F1866+L1866*(I1866-F1866),"")</f>
      </c>
      <c r="N1866" s="12">
        <f>IF(K1866=1,G1866+L1866*(J1866-G1866),"")</f>
      </c>
    </row>
    <row r="1867" spans="2:14" x14ac:dyDescent="0.25">
      <c r="B1867">
        <v>52</v>
      </c>
      <c r="C1867">
        <v>191.24999999999994</v>
      </c>
      <c r="D1867">
        <v>22</v>
      </c>
      <c r="E1867" s="18">
        <v>4669.041727671871</v>
      </c>
      <c r="F1867" s="18">
        <v>-685.5554072040893</v>
      </c>
      <c r="G1867" s="18">
        <v>-5406.394847846453</v>
      </c>
      <c r="H1867" s="12">
        <f>E1868</f>
      </c>
      <c r="I1867" s="12">
        <f>F1868</f>
      </c>
      <c r="J1867" s="12">
        <f>G1868</f>
      </c>
      <c r="K1867">
        <f>IF(AND(Pu&gt;=MIN(E1867,H1867),Pu&lt;=MAX(E1867,H1867),E1867&lt;&gt;H1867),1,0)</f>
      </c>
      <c r="L1867">
        <f>IF(K1867=1,(Pu-E1867)/(H1867-E1867),"")</f>
      </c>
      <c r="M1867" s="12">
        <f>IF(K1867=1,F1867+L1867*(I1867-F1867),"")</f>
      </c>
      <c r="N1867" s="12">
        <f>IF(K1867=1,G1867+L1867*(J1867-G1867),"")</f>
      </c>
    </row>
    <row r="1868" spans="2:14" x14ac:dyDescent="0.25">
      <c r="B1868">
        <v>52</v>
      </c>
      <c r="C1868">
        <v>191.24999999999994</v>
      </c>
      <c r="D1868">
        <v>23</v>
      </c>
      <c r="E1868" s="18">
        <v>3881.597284747637</v>
      </c>
      <c r="F1868" s="18">
        <v>-681.574975669594</v>
      </c>
      <c r="G1868" s="18">
        <v>-5143.843369623948</v>
      </c>
      <c r="H1868" s="12">
        <f>E1869</f>
      </c>
      <c r="I1868" s="12">
        <f>F1869</f>
      </c>
      <c r="J1868" s="12">
        <f>G1869</f>
      </c>
      <c r="K1868">
        <f>IF(AND(Pu&gt;=MIN(E1868,H1868),Pu&lt;=MAX(E1868,H1868),E1868&lt;&gt;H1868),1,0)</f>
      </c>
      <c r="L1868">
        <f>IF(K1868=1,(Pu-E1868)/(H1868-E1868),"")</f>
      </c>
      <c r="M1868" s="12">
        <f>IF(K1868=1,F1868+L1868*(I1868-F1868),"")</f>
      </c>
      <c r="N1868" s="12">
        <f>IF(K1868=1,G1868+L1868*(J1868-G1868),"")</f>
      </c>
    </row>
    <row r="1869" spans="2:14" x14ac:dyDescent="0.25">
      <c r="B1869">
        <v>52</v>
      </c>
      <c r="C1869">
        <v>191.24999999999994</v>
      </c>
      <c r="D1869">
        <v>24</v>
      </c>
      <c r="E1869" s="18">
        <v>3162.308370645781</v>
      </c>
      <c r="F1869" s="18">
        <v>-682.9600200648446</v>
      </c>
      <c r="G1869" s="18">
        <v>-4883.525516328733</v>
      </c>
      <c r="H1869" s="12">
        <f>E1870</f>
      </c>
      <c r="I1869" s="12">
        <f>F1870</f>
      </c>
      <c r="J1869" s="12">
        <f>G1870</f>
      </c>
      <c r="K1869">
        <f>IF(AND(Pu&gt;=MIN(E1869,H1869),Pu&lt;=MAX(E1869,H1869),E1869&lt;&gt;H1869),1,0)</f>
      </c>
      <c r="L1869">
        <f>IF(K1869=1,(Pu-E1869)/(H1869-E1869),"")</f>
      </c>
      <c r="M1869" s="12">
        <f>IF(K1869=1,F1869+L1869*(I1869-F1869),"")</f>
      </c>
      <c r="N1869" s="12">
        <f>IF(K1869=1,G1869+L1869*(J1869-G1869),"")</f>
      </c>
    </row>
    <row r="1870" spans="2:14" x14ac:dyDescent="0.25">
      <c r="B1870">
        <v>52</v>
      </c>
      <c r="C1870">
        <v>191.24999999999994</v>
      </c>
      <c r="D1870">
        <v>25</v>
      </c>
      <c r="E1870" s="18">
        <v>2646.8760689332503</v>
      </c>
      <c r="F1870" s="18">
        <v>-677.2541012912415</v>
      </c>
      <c r="G1870" s="18">
        <v>-4652.541795589493</v>
      </c>
      <c r="H1870" s="12">
        <f>E1871</f>
      </c>
      <c r="I1870" s="12">
        <f>F1871</f>
      </c>
      <c r="J1870" s="12">
        <f>G1871</f>
      </c>
      <c r="K1870">
        <f>IF(AND(Pu&gt;=MIN(E1870,H1870),Pu&lt;=MAX(E1870,H1870),E1870&lt;&gt;H1870),1,0)</f>
      </c>
      <c r="L1870">
        <f>IF(K1870=1,(Pu-E1870)/(H1870-E1870),"")</f>
      </c>
      <c r="M1870" s="12">
        <f>IF(K1870=1,F1870+L1870*(I1870-F1870),"")</f>
      </c>
      <c r="N1870" s="12">
        <f>IF(K1870=1,G1870+L1870*(J1870-G1870),"")</f>
      </c>
    </row>
    <row r="1871" spans="2:14" x14ac:dyDescent="0.25">
      <c r="B1871">
        <v>52</v>
      </c>
      <c r="C1871">
        <v>191.24999999999994</v>
      </c>
      <c r="D1871">
        <v>26</v>
      </c>
      <c r="E1871" s="18">
        <v>1615.4573760730423</v>
      </c>
      <c r="F1871" s="18">
        <v>-694.6942864750489</v>
      </c>
      <c r="G1871" s="18">
        <v>-4146.739297406918</v>
      </c>
      <c r="H1871" s="12">
        <f>E1872</f>
      </c>
      <c r="I1871" s="12">
        <f>F1872</f>
      </c>
      <c r="J1871" s="12">
        <f>G1872</f>
      </c>
      <c r="K1871">
        <f>IF(AND(Pu&gt;=MIN(E1871,H1871),Pu&lt;=MAX(E1871,H1871),E1871&lt;&gt;H1871),1,0)</f>
      </c>
      <c r="L1871">
        <f>IF(K1871=1,(Pu-E1871)/(H1871-E1871),"")</f>
      </c>
      <c r="M1871" s="12">
        <f>IF(K1871=1,F1871+L1871*(I1871-F1871),"")</f>
      </c>
      <c r="N1871" s="12">
        <f>IF(K1871=1,G1871+L1871*(J1871-G1871),"")</f>
      </c>
    </row>
    <row r="1872" spans="2:14" x14ac:dyDescent="0.25">
      <c r="B1872">
        <v>52</v>
      </c>
      <c r="C1872">
        <v>191.24999999999994</v>
      </c>
      <c r="D1872">
        <v>27</v>
      </c>
      <c r="E1872" s="18">
        <v>691.624510114617</v>
      </c>
      <c r="F1872" s="18">
        <v>-658.1931576570788</v>
      </c>
      <c r="G1872" s="18">
        <v>-3641.572501791278</v>
      </c>
      <c r="H1872" s="12">
        <f>E1873</f>
      </c>
      <c r="I1872" s="12">
        <f>F1873</f>
      </c>
      <c r="J1872" s="12">
        <f>G1873</f>
      </c>
      <c r="K1872">
        <f>IF(AND(Pu&gt;=MIN(E1872,H1872),Pu&lt;=MAX(E1872,H1872),E1872&lt;&gt;H1872),1,0)</f>
      </c>
      <c r="L1872">
        <f>IF(K1872=1,(Pu-E1872)/(H1872-E1872),"")</f>
      </c>
      <c r="M1872" s="12">
        <f>IF(K1872=1,F1872+L1872*(I1872-F1872),"")</f>
      </c>
      <c r="N1872" s="12">
        <f>IF(K1872=1,G1872+L1872*(J1872-G1872),"")</f>
      </c>
    </row>
    <row r="1873" spans="2:14" x14ac:dyDescent="0.25">
      <c r="B1873">
        <v>52</v>
      </c>
      <c r="C1873">
        <v>191.24999999999994</v>
      </c>
      <c r="D1873">
        <v>28</v>
      </c>
      <c r="E1873" s="18">
        <v>-111.92034839184237</v>
      </c>
      <c r="F1873" s="18">
        <v>-595.9434938960297</v>
      </c>
      <c r="G1873" s="18">
        <v>-3169.425962250724</v>
      </c>
      <c r="H1873" s="12">
        <f>E1874</f>
      </c>
      <c r="I1873" s="12">
        <f>F1874</f>
      </c>
      <c r="J1873" s="12">
        <f>G1874</f>
      </c>
      <c r="K1873">
        <f>IF(AND(Pu&gt;=MIN(E1873,H1873),Pu&lt;=MAX(E1873,H1873),E1873&lt;&gt;H1873),1,0)</f>
      </c>
      <c r="L1873">
        <f>IF(K1873=1,(Pu-E1873)/(H1873-E1873),"")</f>
      </c>
      <c r="M1873" s="12">
        <f>IF(K1873=1,F1873+L1873*(I1873-F1873),"")</f>
      </c>
      <c r="N1873" s="12">
        <f>IF(K1873=1,G1873+L1873*(J1873-G1873),"")</f>
      </c>
    </row>
    <row r="1874" spans="2:14" x14ac:dyDescent="0.25">
      <c r="B1874">
        <v>52</v>
      </c>
      <c r="C1874">
        <v>191.24999999999994</v>
      </c>
      <c r="D1874">
        <v>29</v>
      </c>
      <c r="E1874" s="18">
        <v>-772.1386527664512</v>
      </c>
      <c r="F1874" s="18">
        <v>-526.9421606281217</v>
      </c>
      <c r="G1874" s="18">
        <v>-2772.7381976166903</v>
      </c>
      <c r="H1874" s="12">
        <f>E1875</f>
      </c>
      <c r="I1874" s="12">
        <f>F1875</f>
      </c>
      <c r="J1874" s="12">
        <f>G1875</f>
      </c>
      <c r="K1874">
        <f>IF(AND(Pu&gt;=MIN(E1874,H1874),Pu&lt;=MAX(E1874,H1874),E1874&lt;&gt;H1874),1,0)</f>
      </c>
      <c r="L1874">
        <f>IF(K1874=1,(Pu-E1874)/(H1874-E1874),"")</f>
      </c>
      <c r="M1874" s="12">
        <f>IF(K1874=1,F1874+L1874*(I1874-F1874),"")</f>
      </c>
      <c r="N1874" s="12">
        <f>IF(K1874=1,G1874+L1874*(J1874-G1874),"")</f>
      </c>
    </row>
    <row r="1875" spans="2:14" x14ac:dyDescent="0.25">
      <c r="B1875">
        <v>52</v>
      </c>
      <c r="C1875">
        <v>191.24999999999994</v>
      </c>
      <c r="D1875">
        <v>30</v>
      </c>
      <c r="E1875" s="18">
        <v>-1824.3129922245917</v>
      </c>
      <c r="F1875" s="18">
        <v>-419.8522705934978</v>
      </c>
      <c r="G1875" s="18">
        <v>-2115.5455833517676</v>
      </c>
      <c r="H1875" s="12">
        <f>E1876</f>
      </c>
      <c r="I1875" s="12">
        <f>F1876</f>
      </c>
      <c r="J1875" s="12">
        <f>G1876</f>
      </c>
      <c r="K1875">
        <f>IF(AND(Pu&gt;=MIN(E1875,H1875),Pu&lt;=MAX(E1875,H1875),E1875&lt;&gt;H1875),1,0)</f>
      </c>
      <c r="L1875">
        <f>IF(K1875=1,(Pu-E1875)/(H1875-E1875),"")</f>
      </c>
      <c r="M1875" s="12">
        <f>IF(K1875=1,F1875+L1875*(I1875-F1875),"")</f>
      </c>
      <c r="N1875" s="12">
        <f>IF(K1875=1,G1875+L1875*(J1875-G1875),"")</f>
      </c>
    </row>
    <row r="1876" spans="2:14" x14ac:dyDescent="0.25">
      <c r="B1876">
        <v>52</v>
      </c>
      <c r="C1876">
        <v>191.24999999999994</v>
      </c>
      <c r="D1876">
        <v>31</v>
      </c>
      <c r="E1876" s="18">
        <v>-2523.3415535901268</v>
      </c>
      <c r="F1876" s="18">
        <v>-377.90696103430525</v>
      </c>
      <c r="G1876" s="18">
        <v>-1649.0513519484552</v>
      </c>
      <c r="H1876" s="12">
        <f>E1877</f>
      </c>
      <c r="I1876" s="12">
        <f>F1877</f>
      </c>
      <c r="J1876" s="12">
        <f>G1877</f>
      </c>
      <c r="K1876">
        <f>IF(AND(Pu&gt;=MIN(E1876,H1876),Pu&lt;=MAX(E1876,H1876),E1876&lt;&gt;H1876),1,0)</f>
      </c>
      <c r="L1876">
        <f>IF(K1876=1,(Pu-E1876)/(H1876-E1876),"")</f>
      </c>
      <c r="M1876" s="12">
        <f>IF(K1876=1,F1876+L1876*(I1876-F1876),"")</f>
      </c>
      <c r="N1876" s="12">
        <f>IF(K1876=1,G1876+L1876*(J1876-G1876),"")</f>
      </c>
    </row>
    <row r="1877" spans="2:14" x14ac:dyDescent="0.25">
      <c r="B1877">
        <v>52</v>
      </c>
      <c r="C1877">
        <v>191.24999999999994</v>
      </c>
      <c r="D1877">
        <v>32</v>
      </c>
      <c r="E1877" s="18">
        <v>-3457.6890278687847</v>
      </c>
      <c r="F1877" s="18">
        <v>-319.82845415697994</v>
      </c>
      <c r="G1877" s="18">
        <v>-1015.151734545102</v>
      </c>
      <c r="H1877" s="12">
        <f>E1878</f>
      </c>
      <c r="I1877" s="12">
        <f>F1878</f>
      </c>
      <c r="J1877" s="12">
        <f>G1878</f>
      </c>
      <c r="K1877">
        <f>IF(AND(Pu&gt;=MIN(E1877,H1877),Pu&lt;=MAX(E1877,H1877),E1877&lt;&gt;H1877),1,0)</f>
      </c>
      <c r="L1877">
        <f>IF(K1877=1,(Pu-E1877)/(H1877-E1877),"")</f>
      </c>
      <c r="M1877" s="12">
        <f>IF(K1877=1,F1877+L1877*(I1877-F1877),"")</f>
      </c>
      <c r="N1877" s="12">
        <f>IF(K1877=1,G1877+L1877*(J1877-G1877),"")</f>
      </c>
    </row>
    <row r="1878" spans="2:14" x14ac:dyDescent="0.25">
      <c r="B1878">
        <v>52</v>
      </c>
      <c r="C1878">
        <v>191.24999999999994</v>
      </c>
      <c r="D1878">
        <v>33</v>
      </c>
      <c r="E1878" s="18">
        <v>-3977.8171666616145</v>
      </c>
      <c r="F1878" s="18">
        <v>-250.62375413634442</v>
      </c>
      <c r="G1878" s="18">
        <v>-658.4873089789401</v>
      </c>
      <c r="H1878" s="12">
        <f>E1879</f>
      </c>
      <c r="I1878" s="12">
        <f>F1879</f>
      </c>
      <c r="J1878" s="12">
        <f>G1879</f>
      </c>
      <c r="K1878">
        <f>IF(AND(Pu&gt;=MIN(E1878,H1878),Pu&lt;=MAX(E1878,H1878),E1878&lt;&gt;H1878),1,0)</f>
      </c>
      <c r="L1878">
        <f>IF(K1878=1,(Pu-E1878)/(H1878-E1878),"")</f>
      </c>
      <c r="M1878" s="12">
        <f>IF(K1878=1,F1878+L1878*(I1878-F1878),"")</f>
      </c>
      <c r="N1878" s="12">
        <f>IF(K1878=1,G1878+L1878*(J1878-G1878),"")</f>
      </c>
    </row>
    <row r="1879" spans="2:14" x14ac:dyDescent="0.25">
      <c r="B1879">
        <v>52</v>
      </c>
      <c r="C1879">
        <v>191.24999999999994</v>
      </c>
      <c r="D1879">
        <v>34</v>
      </c>
      <c r="E1879" s="18">
        <v>-4564.551744120474</v>
      </c>
      <c r="F1879" s="18">
        <v>-113.5189083218168</v>
      </c>
      <c r="G1879" s="18">
        <v>-253.00623412120856</v>
      </c>
      <c r="H1879" s="12">
        <f>E1880</f>
      </c>
      <c r="I1879" s="12">
        <f>F1880</f>
      </c>
      <c r="J1879" s="12">
        <f>G1880</f>
      </c>
      <c r="K1879">
        <f>IF(AND(Pu&gt;=MIN(E1879,H1879),Pu&lt;=MAX(E1879,H1879),E1879&lt;&gt;H1879),1,0)</f>
      </c>
      <c r="L1879">
        <f>IF(K1879=1,(Pu-E1879)/(H1879-E1879),"")</f>
      </c>
      <c r="M1879" s="12">
        <f>IF(K1879=1,F1879+L1879*(I1879-F1879),"")</f>
      </c>
      <c r="N1879" s="12">
        <f>IF(K1879=1,G1879+L1879*(J1879-G1879),"")</f>
      </c>
    </row>
    <row r="1880" spans="2:7" x14ac:dyDescent="0.25">
      <c r="B1880">
        <v>52</v>
      </c>
      <c r="C1880">
        <v>191.24999999999994</v>
      </c>
      <c r="D1880">
        <v>35</v>
      </c>
      <c r="E1880" s="18">
        <v>-4799.7160831371775</v>
      </c>
      <c r="F1880" s="18">
        <v>-42.38069129818915</v>
      </c>
      <c r="G1880" s="18">
        <v>-89.55253294625665</v>
      </c>
    </row>
    <row r="1882" spans="2:14" x14ac:dyDescent="0.25">
      <c r="B1882">
        <v>53</v>
      </c>
      <c r="C1882">
        <v>195</v>
      </c>
      <c r="D1882">
        <v>1</v>
      </c>
      <c r="E1882" s="18">
        <v>17396.106570752956</v>
      </c>
      <c r="F1882" s="18">
        <v>-579.4296736754595</v>
      </c>
      <c r="G1882" s="18">
        <v>-2763.877879608644</v>
      </c>
      <c r="H1882" s="12">
        <f>E1883</f>
      </c>
      <c r="I1882" s="12">
        <f>F1883</f>
      </c>
      <c r="J1882" s="12">
        <f>G1883</f>
      </c>
      <c r="K1882">
        <f>IF(AND(Pu&gt;=MIN(E1882,H1882),Pu&lt;=MAX(E1882,H1882),E1882&lt;&gt;H1882),1,0)</f>
      </c>
      <c r="L1882">
        <f>IF(K1882=1,(Pu-E1882)/(H1882-E1882),"")</f>
      </c>
      <c r="M1882" s="12">
        <f>IF(K1882=1,F1882+L1882*(I1882-F1882),"")</f>
      </c>
      <c r="N1882" s="12">
        <f>IF(K1882=1,G1882+L1882*(J1882-G1882),"")</f>
      </c>
    </row>
    <row r="1883" spans="2:14" x14ac:dyDescent="0.25">
      <c r="B1883">
        <v>53</v>
      </c>
      <c r="C1883">
        <v>195</v>
      </c>
      <c r="D1883">
        <v>2</v>
      </c>
      <c r="E1883" s="18">
        <v>16475.903012800416</v>
      </c>
      <c r="F1883" s="18">
        <v>-582.7666758925643</v>
      </c>
      <c r="G1883" s="18">
        <v>-3187.2312439903058</v>
      </c>
      <c r="H1883" s="12">
        <f>E1884</f>
      </c>
      <c r="I1883" s="12">
        <f>F1884</f>
      </c>
      <c r="J1883" s="12">
        <f>G1884</f>
      </c>
      <c r="K1883">
        <f>IF(AND(Pu&gt;=MIN(E1883,H1883),Pu&lt;=MAX(E1883,H1883),E1883&lt;&gt;H1883),1,0)</f>
      </c>
      <c r="L1883">
        <f>IF(K1883=1,(Pu-E1883)/(H1883-E1883),"")</f>
      </c>
      <c r="M1883" s="12">
        <f>IF(K1883=1,F1883+L1883*(I1883-F1883),"")</f>
      </c>
      <c r="N1883" s="12">
        <f>IF(K1883=1,G1883+L1883*(J1883-G1883),"")</f>
      </c>
    </row>
    <row r="1884" spans="2:14" x14ac:dyDescent="0.25">
      <c r="B1884">
        <v>53</v>
      </c>
      <c r="C1884">
        <v>195</v>
      </c>
      <c r="D1884">
        <v>3</v>
      </c>
      <c r="E1884" s="18">
        <v>15662.525400173536</v>
      </c>
      <c r="F1884" s="18">
        <v>-582.0806869617576</v>
      </c>
      <c r="G1884" s="18">
        <v>-3504.099197625833</v>
      </c>
      <c r="H1884" s="12">
        <f>E1885</f>
      </c>
      <c r="I1884" s="12">
        <f>F1885</f>
      </c>
      <c r="J1884" s="12">
        <f>G1885</f>
      </c>
      <c r="K1884">
        <f>IF(AND(Pu&gt;=MIN(E1884,H1884),Pu&lt;=MAX(E1884,H1884),E1884&lt;&gt;H1884),1,0)</f>
      </c>
      <c r="L1884">
        <f>IF(K1884=1,(Pu-E1884)/(H1884-E1884),"")</f>
      </c>
      <c r="M1884" s="12">
        <f>IF(K1884=1,F1884+L1884*(I1884-F1884),"")</f>
      </c>
      <c r="N1884" s="12">
        <f>IF(K1884=1,G1884+L1884*(J1884-G1884),"")</f>
      </c>
    </row>
    <row r="1885" spans="2:14" x14ac:dyDescent="0.25">
      <c r="B1885">
        <v>53</v>
      </c>
      <c r="C1885">
        <v>195</v>
      </c>
      <c r="D1885">
        <v>4</v>
      </c>
      <c r="E1885" s="18">
        <v>14136.571625898703</v>
      </c>
      <c r="F1885" s="18">
        <v>-694.3301302141049</v>
      </c>
      <c r="G1885" s="18">
        <v>-3930.2511160737417</v>
      </c>
      <c r="H1885" s="12">
        <f>E1886</f>
      </c>
      <c r="I1885" s="12">
        <f>F1886</f>
      </c>
      <c r="J1885" s="12">
        <f>G1886</f>
      </c>
      <c r="K1885">
        <f>IF(AND(Pu&gt;=MIN(E1885,H1885),Pu&lt;=MAX(E1885,H1885),E1885&lt;&gt;H1885),1,0)</f>
      </c>
      <c r="L1885">
        <f>IF(K1885=1,(Pu-E1885)/(H1885-E1885),"")</f>
      </c>
      <c r="M1885" s="12">
        <f>IF(K1885=1,F1885+L1885*(I1885-F1885),"")</f>
      </c>
      <c r="N1885" s="12">
        <f>IF(K1885=1,G1885+L1885*(J1885-G1885),"")</f>
      </c>
    </row>
    <row r="1886" spans="2:14" x14ac:dyDescent="0.25">
      <c r="B1886">
        <v>53</v>
      </c>
      <c r="C1886">
        <v>195</v>
      </c>
      <c r="D1886">
        <v>5</v>
      </c>
      <c r="E1886" s="18">
        <v>12156.552910497605</v>
      </c>
      <c r="F1886" s="18">
        <v>-835.143795647375</v>
      </c>
      <c r="G1886" s="18">
        <v>-4265.002102429779</v>
      </c>
      <c r="H1886" s="12">
        <f>E1887</f>
      </c>
      <c r="I1886" s="12">
        <f>F1887</f>
      </c>
      <c r="J1886" s="12">
        <f>G1887</f>
      </c>
      <c r="K1886">
        <f>IF(AND(Pu&gt;=MIN(E1886,H1886),Pu&lt;=MAX(E1886,H1886),E1886&lt;&gt;H1886),1,0)</f>
      </c>
      <c r="L1886">
        <f>IF(K1886=1,(Pu-E1886)/(H1886-E1886),"")</f>
      </c>
      <c r="M1886" s="12">
        <f>IF(K1886=1,F1886+L1886*(I1886-F1886),"")</f>
      </c>
      <c r="N1886" s="12">
        <f>IF(K1886=1,G1886+L1886*(J1886-G1886),"")</f>
      </c>
    </row>
    <row r="1887" spans="2:14" x14ac:dyDescent="0.25">
      <c r="B1887">
        <v>53</v>
      </c>
      <c r="C1887">
        <v>195</v>
      </c>
      <c r="D1887">
        <v>6</v>
      </c>
      <c r="E1887" s="18">
        <v>9972.307857529007</v>
      </c>
      <c r="F1887" s="18">
        <v>-875.0352409616505</v>
      </c>
      <c r="G1887" s="18">
        <v>-4489.314043146301</v>
      </c>
      <c r="H1887" s="12">
        <f>E1888</f>
      </c>
      <c r="I1887" s="12">
        <f>F1888</f>
      </c>
      <c r="J1887" s="12">
        <f>G1888</f>
      </c>
      <c r="K1887">
        <f>IF(AND(Pu&gt;=MIN(E1887,H1887),Pu&lt;=MAX(E1887,H1887),E1887&lt;&gt;H1887),1,0)</f>
      </c>
      <c r="L1887">
        <f>IF(K1887=1,(Pu-E1887)/(H1887-E1887),"")</f>
      </c>
      <c r="M1887" s="12">
        <f>IF(K1887=1,F1887+L1887*(I1887-F1887),"")</f>
      </c>
      <c r="N1887" s="12">
        <f>IF(K1887=1,G1887+L1887*(J1887-G1887),"")</f>
      </c>
    </row>
    <row r="1888" spans="2:14" x14ac:dyDescent="0.25">
      <c r="B1888">
        <v>53</v>
      </c>
      <c r="C1888">
        <v>195</v>
      </c>
      <c r="D1888">
        <v>7</v>
      </c>
      <c r="E1888" s="18">
        <v>8734.688734939808</v>
      </c>
      <c r="F1888" s="18">
        <v>-893.8606206080422</v>
      </c>
      <c r="G1888" s="18">
        <v>-4561.875849733289</v>
      </c>
      <c r="H1888" s="12">
        <f>E1889</f>
      </c>
      <c r="I1888" s="12">
        <f>F1889</f>
      </c>
      <c r="J1888" s="12">
        <f>G1889</f>
      </c>
      <c r="K1888">
        <f>IF(AND(Pu&gt;=MIN(E1888,H1888),Pu&lt;=MAX(E1888,H1888),E1888&lt;&gt;H1888),1,0)</f>
      </c>
      <c r="L1888">
        <f>IF(K1888=1,(Pu-E1888)/(H1888-E1888),"")</f>
      </c>
      <c r="M1888" s="12">
        <f>IF(K1888=1,F1888+L1888*(I1888-F1888),"")</f>
      </c>
      <c r="N1888" s="12">
        <f>IF(K1888=1,G1888+L1888*(J1888-G1888),"")</f>
      </c>
    </row>
    <row r="1889" spans="2:14" x14ac:dyDescent="0.25">
      <c r="B1889">
        <v>53</v>
      </c>
      <c r="C1889">
        <v>195</v>
      </c>
      <c r="D1889">
        <v>8</v>
      </c>
      <c r="E1889" s="18">
        <v>8245.773779081792</v>
      </c>
      <c r="F1889" s="18">
        <v>-907.3631683527528</v>
      </c>
      <c r="G1889" s="18">
        <v>-4658.148345196055</v>
      </c>
      <c r="H1889" s="12">
        <f>E1890</f>
      </c>
      <c r="I1889" s="12">
        <f>F1890</f>
      </c>
      <c r="J1889" s="12">
        <f>G1890</f>
      </c>
      <c r="K1889">
        <f>IF(AND(Pu&gt;=MIN(E1889,H1889),Pu&lt;=MAX(E1889,H1889),E1889&lt;&gt;H1889),1,0)</f>
      </c>
      <c r="L1889">
        <f>IF(K1889=1,(Pu-E1889)/(H1889-E1889),"")</f>
      </c>
      <c r="M1889" s="12">
        <f>IF(K1889=1,F1889+L1889*(I1889-F1889),"")</f>
      </c>
      <c r="N1889" s="12">
        <f>IF(K1889=1,G1889+L1889*(J1889-G1889),"")</f>
      </c>
    </row>
    <row r="1890" spans="2:14" x14ac:dyDescent="0.25">
      <c r="B1890">
        <v>53</v>
      </c>
      <c r="C1890">
        <v>195</v>
      </c>
      <c r="D1890">
        <v>9</v>
      </c>
      <c r="E1890" s="18">
        <v>7737.173933369425</v>
      </c>
      <c r="F1890" s="18">
        <v>-916.45556719331</v>
      </c>
      <c r="G1890" s="18">
        <v>-4750.264955764166</v>
      </c>
      <c r="H1890" s="12">
        <f>E1891</f>
      </c>
      <c r="I1890" s="12">
        <f>F1891</f>
      </c>
      <c r="J1890" s="12">
        <f>G1891</f>
      </c>
      <c r="K1890">
        <f>IF(AND(Pu&gt;=MIN(E1890,H1890),Pu&lt;=MAX(E1890,H1890),E1890&lt;&gt;H1890),1,0)</f>
      </c>
      <c r="L1890">
        <f>IF(K1890=1,(Pu-E1890)/(H1890-E1890),"")</f>
      </c>
      <c r="M1890" s="12">
        <f>IF(K1890=1,F1890+L1890*(I1890-F1890),"")</f>
      </c>
      <c r="N1890" s="12">
        <f>IF(K1890=1,G1890+L1890*(J1890-G1890),"")</f>
      </c>
    </row>
    <row r="1891" spans="2:14" x14ac:dyDescent="0.25">
      <c r="B1891">
        <v>53</v>
      </c>
      <c r="C1891">
        <v>195</v>
      </c>
      <c r="D1891">
        <v>10</v>
      </c>
      <c r="E1891" s="18">
        <v>7205.771112627938</v>
      </c>
      <c r="F1891" s="18">
        <v>-913.7666235262013</v>
      </c>
      <c r="G1891" s="18">
        <v>-4850.110139087779</v>
      </c>
      <c r="H1891" s="12">
        <f>E1892</f>
      </c>
      <c r="I1891" s="12">
        <f>F1892</f>
      </c>
      <c r="J1891" s="12">
        <f>G1892</f>
      </c>
      <c r="K1891">
        <f>IF(AND(Pu&gt;=MIN(E1891,H1891),Pu&lt;=MAX(E1891,H1891),E1891&lt;&gt;H1891),1,0)</f>
      </c>
      <c r="L1891">
        <f>IF(K1891=1,(Pu-E1891)/(H1891-E1891),"")</f>
      </c>
      <c r="M1891" s="12">
        <f>IF(K1891=1,F1891+L1891*(I1891-F1891),"")</f>
      </c>
      <c r="N1891" s="12">
        <f>IF(K1891=1,G1891+L1891*(J1891-G1891),"")</f>
      </c>
    </row>
    <row r="1892" spans="2:14" x14ac:dyDescent="0.25">
      <c r="B1892">
        <v>53</v>
      </c>
      <c r="C1892">
        <v>195</v>
      </c>
      <c r="D1892">
        <v>11</v>
      </c>
      <c r="E1892" s="18">
        <v>7049.082190654341</v>
      </c>
      <c r="F1892" s="18">
        <v>-919.6486870383959</v>
      </c>
      <c r="G1892" s="18">
        <v>-4884.397044569142</v>
      </c>
      <c r="H1892" s="12">
        <f>E1893</f>
      </c>
      <c r="I1892" s="12">
        <f>F1893</f>
      </c>
      <c r="J1892" s="12">
        <f>G1893</f>
      </c>
      <c r="K1892">
        <f>IF(AND(Pu&gt;=MIN(E1892,H1892),Pu&lt;=MAX(E1892,H1892),E1892&lt;&gt;H1892),1,0)</f>
      </c>
      <c r="L1892">
        <f>IF(K1892=1,(Pu-E1892)/(H1892-E1892),"")</f>
      </c>
      <c r="M1892" s="12">
        <f>IF(K1892=1,F1892+L1892*(I1892-F1892),"")</f>
      </c>
      <c r="N1892" s="12">
        <f>IF(K1892=1,G1892+L1892*(J1892-G1892),"")</f>
      </c>
    </row>
    <row r="1893" spans="2:14" x14ac:dyDescent="0.25">
      <c r="B1893">
        <v>53</v>
      </c>
      <c r="C1893">
        <v>195</v>
      </c>
      <c r="D1893">
        <v>12</v>
      </c>
      <c r="E1893" s="18">
        <v>6590.368585798973</v>
      </c>
      <c r="F1893" s="18">
        <v>-904.7189860755541</v>
      </c>
      <c r="G1893" s="18">
        <v>-4986.195319205001</v>
      </c>
      <c r="H1893" s="12">
        <f>E1894</f>
      </c>
      <c r="I1893" s="12">
        <f>F1894</f>
      </c>
      <c r="J1893" s="12">
        <f>G1894</f>
      </c>
      <c r="K1893">
        <f>IF(AND(Pu&gt;=MIN(E1893,H1893),Pu&lt;=MAX(E1893,H1893),E1893&lt;&gt;H1893),1,0)</f>
      </c>
      <c r="L1893">
        <f>IF(K1893=1,(Pu-E1893)/(H1893-E1893),"")</f>
      </c>
      <c r="M1893" s="12">
        <f>IF(K1893=1,F1893+L1893*(I1893-F1893),"")</f>
      </c>
      <c r="N1893" s="12">
        <f>IF(K1893=1,G1893+L1893*(J1893-G1893),"")</f>
      </c>
    </row>
    <row r="1894" spans="2:14" x14ac:dyDescent="0.25">
      <c r="B1894">
        <v>53</v>
      </c>
      <c r="C1894">
        <v>195</v>
      </c>
      <c r="D1894">
        <v>13</v>
      </c>
      <c r="E1894" s="18">
        <v>6560.692891888024</v>
      </c>
      <c r="F1894" s="18">
        <v>-903.8056612985808</v>
      </c>
      <c r="G1894" s="18">
        <v>-4993.661552970468</v>
      </c>
      <c r="H1894" s="12">
        <f>E1895</f>
      </c>
      <c r="I1894" s="12">
        <f>F1895</f>
      </c>
      <c r="J1894" s="12">
        <f>G1895</f>
      </c>
      <c r="K1894">
        <f>IF(AND(Pu&gt;=MIN(E1894,H1894),Pu&lt;=MAX(E1894,H1894),E1894&lt;&gt;H1894),1,0)</f>
      </c>
      <c r="L1894">
        <f>IF(K1894=1,(Pu-E1894)/(H1894-E1894),"")</f>
      </c>
      <c r="M1894" s="12">
        <f>IF(K1894=1,F1894+L1894*(I1894-F1894),"")</f>
      </c>
      <c r="N1894" s="12">
        <f>IF(K1894=1,G1894+L1894*(J1894-G1894),"")</f>
      </c>
    </row>
    <row r="1895" spans="2:14" x14ac:dyDescent="0.25">
      <c r="B1895">
        <v>53</v>
      </c>
      <c r="C1895">
        <v>195</v>
      </c>
      <c r="D1895">
        <v>14</v>
      </c>
      <c r="E1895" s="18">
        <v>6190.5488102707195</v>
      </c>
      <c r="F1895" s="18">
        <v>-900.9075932788546</v>
      </c>
      <c r="G1895" s="18">
        <v>-5100.5526612048625</v>
      </c>
      <c r="H1895" s="12">
        <f>E1896</f>
      </c>
      <c r="I1895" s="12">
        <f>F1896</f>
      </c>
      <c r="J1895" s="12">
        <f>G1896</f>
      </c>
      <c r="K1895">
        <f>IF(AND(Pu&gt;=MIN(E1895,H1895),Pu&lt;=MAX(E1895,H1895),E1895&lt;&gt;H1895),1,0)</f>
      </c>
      <c r="L1895">
        <f>IF(K1895=1,(Pu-E1895)/(H1895-E1895),"")</f>
      </c>
      <c r="M1895" s="12">
        <f>IF(K1895=1,F1895+L1895*(I1895-F1895),"")</f>
      </c>
      <c r="N1895" s="12">
        <f>IF(K1895=1,G1895+L1895*(J1895-G1895),"")</f>
      </c>
    </row>
    <row r="1896" spans="2:14" x14ac:dyDescent="0.25">
      <c r="B1896">
        <v>53</v>
      </c>
      <c r="C1896">
        <v>195</v>
      </c>
      <c r="D1896">
        <v>15</v>
      </c>
      <c r="E1896" s="18">
        <v>6114.654426135449</v>
      </c>
      <c r="F1896" s="18">
        <v>-902.7030904022865</v>
      </c>
      <c r="G1896" s="18">
        <v>-5125.458631849007</v>
      </c>
      <c r="H1896" s="12">
        <f>E1897</f>
      </c>
      <c r="I1896" s="12">
        <f>F1897</f>
      </c>
      <c r="J1896" s="12">
        <f>G1897</f>
      </c>
      <c r="K1896">
        <f>IF(AND(Pu&gt;=MIN(E1896,H1896),Pu&lt;=MAX(E1896,H1896),E1896&lt;&gt;H1896),1,0)</f>
      </c>
      <c r="L1896">
        <f>IF(K1896=1,(Pu-E1896)/(H1896-E1896),"")</f>
      </c>
      <c r="M1896" s="12">
        <f>IF(K1896=1,F1896+L1896*(I1896-F1896),"")</f>
      </c>
      <c r="N1896" s="12">
        <f>IF(K1896=1,G1896+L1896*(J1896-G1896),"")</f>
      </c>
    </row>
    <row r="1897" spans="2:14" x14ac:dyDescent="0.25">
      <c r="B1897">
        <v>53</v>
      </c>
      <c r="C1897">
        <v>195</v>
      </c>
      <c r="D1897">
        <v>16</v>
      </c>
      <c r="E1897" s="18">
        <v>5891.323464519997</v>
      </c>
      <c r="F1897" s="18">
        <v>-901.2478302164774</v>
      </c>
      <c r="G1897" s="18">
        <v>-5211.133094338877</v>
      </c>
      <c r="H1897" s="12">
        <f>E1898</f>
      </c>
      <c r="I1897" s="12">
        <f>F1898</f>
      </c>
      <c r="J1897" s="12">
        <f>G1898</f>
      </c>
      <c r="K1897">
        <f>IF(AND(Pu&gt;=MIN(E1897,H1897),Pu&lt;=MAX(E1897,H1897),E1897&lt;&gt;H1897),1,0)</f>
      </c>
      <c r="L1897">
        <f>IF(K1897=1,(Pu-E1897)/(H1897-E1897),"")</f>
      </c>
      <c r="M1897" s="12">
        <f>IF(K1897=1,F1897+L1897*(I1897-F1897),"")</f>
      </c>
      <c r="N1897" s="12">
        <f>IF(K1897=1,G1897+L1897*(J1897-G1897),"")</f>
      </c>
    </row>
    <row r="1898" spans="2:14" x14ac:dyDescent="0.25">
      <c r="B1898">
        <v>53</v>
      </c>
      <c r="C1898">
        <v>195</v>
      </c>
      <c r="D1898">
        <v>17</v>
      </c>
      <c r="E1898" s="18">
        <v>5623.7098271129735</v>
      </c>
      <c r="F1898" s="18">
        <v>-897.6225169893586</v>
      </c>
      <c r="G1898" s="18">
        <v>-5305.7023993696075</v>
      </c>
      <c r="H1898" s="12">
        <f>E1899</f>
      </c>
      <c r="I1898" s="12">
        <f>F1899</f>
      </c>
      <c r="J1898" s="12">
        <f>G1899</f>
      </c>
      <c r="K1898">
        <f>IF(AND(Pu&gt;=MIN(E1898,H1898),Pu&lt;=MAX(E1898,H1898),E1898&lt;&gt;H1898),1,0)</f>
      </c>
      <c r="L1898">
        <f>IF(K1898=1,(Pu-E1898)/(H1898-E1898),"")</f>
      </c>
      <c r="M1898" s="12">
        <f>IF(K1898=1,F1898+L1898*(I1898-F1898),"")</f>
      </c>
      <c r="N1898" s="12">
        <f>IF(K1898=1,G1898+L1898*(J1898-G1898),"")</f>
      </c>
    </row>
    <row r="1899" spans="2:14" x14ac:dyDescent="0.25">
      <c r="B1899">
        <v>53</v>
      </c>
      <c r="C1899">
        <v>195</v>
      </c>
      <c r="D1899">
        <v>18</v>
      </c>
      <c r="E1899" s="18">
        <v>5443.50508494702</v>
      </c>
      <c r="F1899" s="18">
        <v>-904.2645899400587</v>
      </c>
      <c r="G1899" s="18">
        <v>-5369.986902443824</v>
      </c>
      <c r="H1899" s="12">
        <f>E1900</f>
      </c>
      <c r="I1899" s="12">
        <f>F1900</f>
      </c>
      <c r="J1899" s="12">
        <f>G1900</f>
      </c>
      <c r="K1899">
        <f>IF(AND(Pu&gt;=MIN(E1899,H1899),Pu&lt;=MAX(E1899,H1899),E1899&lt;&gt;H1899),1,0)</f>
      </c>
      <c r="L1899">
        <f>IF(K1899=1,(Pu-E1899)/(H1899-E1899),"")</f>
      </c>
      <c r="M1899" s="12">
        <f>IF(K1899=1,F1899+L1899*(I1899-F1899),"")</f>
      </c>
      <c r="N1899" s="12">
        <f>IF(K1899=1,G1899+L1899*(J1899-G1899),"")</f>
      </c>
    </row>
    <row r="1900" spans="2:14" x14ac:dyDescent="0.25">
      <c r="B1900">
        <v>53</v>
      </c>
      <c r="C1900">
        <v>195</v>
      </c>
      <c r="D1900">
        <v>19</v>
      </c>
      <c r="E1900" s="18">
        <v>5388.979766827862</v>
      </c>
      <c r="F1900" s="18">
        <v>-909.1776070684359</v>
      </c>
      <c r="G1900" s="18">
        <v>-5389.4658804480105</v>
      </c>
      <c r="H1900" s="12">
        <f>E1901</f>
      </c>
      <c r="I1900" s="12">
        <f>F1901</f>
      </c>
      <c r="J1900" s="12">
        <f>G1901</f>
      </c>
      <c r="K1900">
        <f>IF(AND(Pu&gt;=MIN(E1900,H1900),Pu&lt;=MAX(E1900,H1900),E1900&lt;&gt;H1900),1,0)</f>
      </c>
      <c r="L1900">
        <f>IF(K1900=1,(Pu-E1900)/(H1900-E1900),"")</f>
      </c>
      <c r="M1900" s="12">
        <f>IF(K1900=1,F1900+L1900*(I1900-F1900),"")</f>
      </c>
      <c r="N1900" s="12">
        <f>IF(K1900=1,G1900+L1900*(J1900-G1900),"")</f>
      </c>
    </row>
    <row r="1901" spans="2:14" x14ac:dyDescent="0.25">
      <c r="B1901">
        <v>53</v>
      </c>
      <c r="C1901">
        <v>195</v>
      </c>
      <c r="D1901">
        <v>20</v>
      </c>
      <c r="E1901" s="18">
        <v>5190.59433486981</v>
      </c>
      <c r="F1901" s="18">
        <v>-941.4781320015701</v>
      </c>
      <c r="G1901" s="18">
        <v>-5467.883620355341</v>
      </c>
      <c r="H1901" s="12">
        <f>E1902</f>
      </c>
      <c r="I1901" s="12">
        <f>F1902</f>
      </c>
      <c r="J1901" s="12">
        <f>G1902</f>
      </c>
      <c r="K1901">
        <f>IF(AND(Pu&gt;=MIN(E1901,H1901),Pu&lt;=MAX(E1901,H1901),E1901&lt;&gt;H1901),1,0)</f>
      </c>
      <c r="L1901">
        <f>IF(K1901=1,(Pu-E1901)/(H1901-E1901),"")</f>
      </c>
      <c r="M1901" s="12">
        <f>IF(K1901=1,F1901+L1901*(I1901-F1901),"")</f>
      </c>
      <c r="N1901" s="12">
        <f>IF(K1901=1,G1901+L1901*(J1901-G1901),"")</f>
      </c>
    </row>
    <row r="1902" spans="2:14" x14ac:dyDescent="0.25">
      <c r="B1902">
        <v>53</v>
      </c>
      <c r="C1902">
        <v>195</v>
      </c>
      <c r="D1902">
        <v>21</v>
      </c>
      <c r="E1902" s="18">
        <v>5092.348025478629</v>
      </c>
      <c r="F1902" s="18">
        <v>-941.4980107466782</v>
      </c>
      <c r="G1902" s="18">
        <v>-5443.752774860546</v>
      </c>
      <c r="H1902" s="12">
        <f>E1903</f>
      </c>
      <c r="I1902" s="12">
        <f>F1903</f>
      </c>
      <c r="J1902" s="12">
        <f>G1903</f>
      </c>
      <c r="K1902">
        <f>IF(AND(Pu&gt;=MIN(E1902,H1902),Pu&lt;=MAX(E1902,H1902),E1902&lt;&gt;H1902),1,0)</f>
      </c>
      <c r="L1902">
        <f>IF(K1902=1,(Pu-E1902)/(H1902-E1902),"")</f>
      </c>
      <c r="M1902" s="12">
        <f>IF(K1902=1,F1902+L1902*(I1902-F1902),"")</f>
      </c>
      <c r="N1902" s="12">
        <f>IF(K1902=1,G1902+L1902*(J1902-G1902),"")</f>
      </c>
    </row>
    <row r="1903" spans="2:14" x14ac:dyDescent="0.25">
      <c r="B1903">
        <v>53</v>
      </c>
      <c r="C1903">
        <v>195</v>
      </c>
      <c r="D1903">
        <v>22</v>
      </c>
      <c r="E1903" s="18">
        <v>4551.972183619795</v>
      </c>
      <c r="F1903" s="18">
        <v>-929.5604458302588</v>
      </c>
      <c r="G1903" s="18">
        <v>-5295.809501999722</v>
      </c>
      <c r="H1903" s="12">
        <f>E1904</f>
      </c>
      <c r="I1903" s="12">
        <f>F1904</f>
      </c>
      <c r="J1903" s="12">
        <f>G1904</f>
      </c>
      <c r="K1903">
        <f>IF(AND(Pu&gt;=MIN(E1903,H1903),Pu&lt;=MAX(E1903,H1903),E1903&lt;&gt;H1903),1,0)</f>
      </c>
      <c r="L1903">
        <f>IF(K1903=1,(Pu-E1903)/(H1903-E1903),"")</f>
      </c>
      <c r="M1903" s="12">
        <f>IF(K1903=1,F1903+L1903*(I1903-F1903),"")</f>
      </c>
      <c r="N1903" s="12">
        <f>IF(K1903=1,G1903+L1903*(J1903-G1903),"")</f>
      </c>
    </row>
    <row r="1904" spans="2:14" x14ac:dyDescent="0.25">
      <c r="B1904">
        <v>53</v>
      </c>
      <c r="C1904">
        <v>195</v>
      </c>
      <c r="D1904">
        <v>23</v>
      </c>
      <c r="E1904" s="18">
        <v>3686.4329229913837</v>
      </c>
      <c r="F1904" s="18">
        <v>-926.5214109324231</v>
      </c>
      <c r="G1904" s="18">
        <v>-5005.017792736547</v>
      </c>
      <c r="H1904" s="12">
        <f>E1905</f>
      </c>
      <c r="I1904" s="12">
        <f>F1905</f>
      </c>
      <c r="J1904" s="12">
        <f>G1905</f>
      </c>
      <c r="K1904">
        <f>IF(AND(Pu&gt;=MIN(E1904,H1904),Pu&lt;=MAX(E1904,H1904),E1904&lt;&gt;H1904),1,0)</f>
      </c>
      <c r="L1904">
        <f>IF(K1904=1,(Pu-E1904)/(H1904-E1904),"")</f>
      </c>
      <c r="M1904" s="12">
        <f>IF(K1904=1,F1904+L1904*(I1904-F1904),"")</f>
      </c>
      <c r="N1904" s="12">
        <f>IF(K1904=1,G1904+L1904*(J1904-G1904),"")</f>
      </c>
    </row>
    <row r="1905" spans="2:14" x14ac:dyDescent="0.25">
      <c r="B1905">
        <v>53</v>
      </c>
      <c r="C1905">
        <v>195</v>
      </c>
      <c r="D1905">
        <v>24</v>
      </c>
      <c r="E1905" s="18">
        <v>2976.443197313615</v>
      </c>
      <c r="F1905" s="18">
        <v>-907.3150138145289</v>
      </c>
      <c r="G1905" s="18">
        <v>-4729.235573576314</v>
      </c>
      <c r="H1905" s="12">
        <f>E1906</f>
      </c>
      <c r="I1905" s="12">
        <f>F1906</f>
      </c>
      <c r="J1905" s="12">
        <f>G1906</f>
      </c>
      <c r="K1905">
        <f>IF(AND(Pu&gt;=MIN(E1905,H1905),Pu&lt;=MAX(E1905,H1905),E1905&lt;&gt;H1905),1,0)</f>
      </c>
      <c r="L1905">
        <f>IF(K1905=1,(Pu-E1905)/(H1905-E1905),"")</f>
      </c>
      <c r="M1905" s="12">
        <f>IF(K1905=1,F1905+L1905*(I1905-F1905),"")</f>
      </c>
      <c r="N1905" s="12">
        <f>IF(K1905=1,G1905+L1905*(J1905-G1905),"")</f>
      </c>
    </row>
    <row r="1906" spans="2:14" x14ac:dyDescent="0.25">
      <c r="B1906">
        <v>53</v>
      </c>
      <c r="C1906">
        <v>195</v>
      </c>
      <c r="D1906">
        <v>25</v>
      </c>
      <c r="E1906" s="18">
        <v>2349.807962248301</v>
      </c>
      <c r="F1906" s="18">
        <v>-895.043887668981</v>
      </c>
      <c r="G1906" s="18">
        <v>-4448.226446298177</v>
      </c>
      <c r="H1906" s="12">
        <f>E1907</f>
      </c>
      <c r="I1906" s="12">
        <f>F1907</f>
      </c>
      <c r="J1906" s="12">
        <f>G1907</f>
      </c>
      <c r="K1906">
        <f>IF(AND(Pu&gt;=MIN(E1906,H1906),Pu&lt;=MAX(E1906,H1906),E1906&lt;&gt;H1906),1,0)</f>
      </c>
      <c r="L1906">
        <f>IF(K1906=1,(Pu-E1906)/(H1906-E1906),"")</f>
      </c>
      <c r="M1906" s="12">
        <f>IF(K1906=1,F1906+L1906*(I1906-F1906),"")</f>
      </c>
      <c r="N1906" s="12">
        <f>IF(K1906=1,G1906+L1906*(J1906-G1906),"")</f>
      </c>
    </row>
    <row r="1907" spans="2:14" x14ac:dyDescent="0.25">
      <c r="B1907">
        <v>53</v>
      </c>
      <c r="C1907">
        <v>195</v>
      </c>
      <c r="D1907">
        <v>26</v>
      </c>
      <c r="E1907" s="18">
        <v>1241.7204652609</v>
      </c>
      <c r="F1907" s="18">
        <v>-895.457925915078</v>
      </c>
      <c r="G1907" s="18">
        <v>-3881.673401813124</v>
      </c>
      <c r="H1907" s="12">
        <f>E1908</f>
      </c>
      <c r="I1907" s="12">
        <f>F1908</f>
      </c>
      <c r="J1907" s="12">
        <f>G1908</f>
      </c>
      <c r="K1907">
        <f>IF(AND(Pu&gt;=MIN(E1907,H1907),Pu&lt;=MAX(E1907,H1907),E1907&lt;&gt;H1907),1,0)</f>
      </c>
      <c r="L1907">
        <f>IF(K1907=1,(Pu-E1907)/(H1907-E1907),"")</f>
      </c>
      <c r="M1907" s="12">
        <f>IF(K1907=1,F1907+L1907*(I1907-F1907),"")</f>
      </c>
      <c r="N1907" s="12">
        <f>IF(K1907=1,G1907+L1907*(J1907-G1907),"")</f>
      </c>
    </row>
    <row r="1908" spans="2:14" x14ac:dyDescent="0.25">
      <c r="B1908">
        <v>53</v>
      </c>
      <c r="C1908">
        <v>195</v>
      </c>
      <c r="D1908">
        <v>27</v>
      </c>
      <c r="E1908" s="18">
        <v>288.8464546408021</v>
      </c>
      <c r="F1908" s="18">
        <v>-806.5205999255312</v>
      </c>
      <c r="G1908" s="18">
        <v>-3357.9672920729804</v>
      </c>
      <c r="H1908" s="12">
        <f>E1909</f>
      </c>
      <c r="I1908" s="12">
        <f>F1909</f>
      </c>
      <c r="J1908" s="12">
        <f>G1909</f>
      </c>
      <c r="K1908">
        <f>IF(AND(Pu&gt;=MIN(E1908,H1908),Pu&lt;=MAX(E1908,H1908),E1908&lt;&gt;H1908),1,0)</f>
      </c>
      <c r="L1908">
        <f>IF(K1908=1,(Pu-E1908)/(H1908-E1908),"")</f>
      </c>
      <c r="M1908" s="12">
        <f>IF(K1908=1,F1908+L1908*(I1908-F1908),"")</f>
      </c>
      <c r="N1908" s="12">
        <f>IF(K1908=1,G1908+L1908*(J1908-G1908),"")</f>
      </c>
    </row>
    <row r="1909" spans="2:14" x14ac:dyDescent="0.25">
      <c r="B1909">
        <v>53</v>
      </c>
      <c r="C1909">
        <v>195</v>
      </c>
      <c r="D1909">
        <v>28</v>
      </c>
      <c r="E1909" s="18">
        <v>-526.2233722366237</v>
      </c>
      <c r="F1909" s="18">
        <v>-735.6234994578185</v>
      </c>
      <c r="G1909" s="18">
        <v>-2870.4881847179768</v>
      </c>
      <c r="H1909" s="12">
        <f>E1910</f>
      </c>
      <c r="I1909" s="12">
        <f>F1910</f>
      </c>
      <c r="J1909" s="12">
        <f>G1910</f>
      </c>
      <c r="K1909">
        <f>IF(AND(Pu&gt;=MIN(E1909,H1909),Pu&lt;=MAX(E1909,H1909),E1909&lt;&gt;H1909),1,0)</f>
      </c>
      <c r="L1909">
        <f>IF(K1909=1,(Pu-E1909)/(H1909-E1909),"")</f>
      </c>
      <c r="M1909" s="12">
        <f>IF(K1909=1,F1909+L1909*(I1909-F1909),"")</f>
      </c>
      <c r="N1909" s="12">
        <f>IF(K1909=1,G1909+L1909*(J1909-G1909),"")</f>
      </c>
    </row>
    <row r="1910" spans="2:14" x14ac:dyDescent="0.25">
      <c r="B1910">
        <v>53</v>
      </c>
      <c r="C1910">
        <v>195</v>
      </c>
      <c r="D1910">
        <v>29</v>
      </c>
      <c r="E1910" s="18">
        <v>-1185.5245906956873</v>
      </c>
      <c r="F1910" s="18">
        <v>-659.7086826954607</v>
      </c>
      <c r="G1910" s="18">
        <v>-2469.1091873330183</v>
      </c>
      <c r="H1910" s="12">
        <f>E1911</f>
      </c>
      <c r="I1910" s="12">
        <f>F1911</f>
      </c>
      <c r="J1910" s="12">
        <f>G1911</f>
      </c>
      <c r="K1910">
        <f>IF(AND(Pu&gt;=MIN(E1910,H1910),Pu&lt;=MAX(E1910,H1910),E1910&lt;&gt;H1910),1,0)</f>
      </c>
      <c r="L1910">
        <f>IF(K1910=1,(Pu-E1910)/(H1910-E1910),"")</f>
      </c>
      <c r="M1910" s="12">
        <f>IF(K1910=1,F1910+L1910*(I1910-F1910),"")</f>
      </c>
      <c r="N1910" s="12">
        <f>IF(K1910=1,G1910+L1910*(J1910-G1910),"")</f>
      </c>
    </row>
    <row r="1911" spans="2:14" x14ac:dyDescent="0.25">
      <c r="B1911">
        <v>53</v>
      </c>
      <c r="C1911">
        <v>195</v>
      </c>
      <c r="D1911">
        <v>30</v>
      </c>
      <c r="E1911" s="18">
        <v>-2234.1900028895097</v>
      </c>
      <c r="F1911" s="18">
        <v>-506.39910814759276</v>
      </c>
      <c r="G1911" s="18">
        <v>-1820.3753935995885</v>
      </c>
      <c r="H1911" s="12">
        <f>E1912</f>
      </c>
      <c r="I1911" s="12">
        <f>F1912</f>
      </c>
      <c r="J1911" s="12">
        <f>G1912</f>
      </c>
      <c r="K1911">
        <f>IF(AND(Pu&gt;=MIN(E1911,H1911),Pu&lt;=MAX(E1911,H1911),E1911&lt;&gt;H1911),1,0)</f>
      </c>
      <c r="L1911">
        <f>IF(K1911=1,(Pu-E1911)/(H1911-E1911),"")</f>
      </c>
      <c r="M1911" s="12">
        <f>IF(K1911=1,F1911+L1911*(I1911-F1911),"")</f>
      </c>
      <c r="N1911" s="12">
        <f>IF(K1911=1,G1911+L1911*(J1911-G1911),"")</f>
      </c>
    </row>
    <row r="1912" spans="2:14" x14ac:dyDescent="0.25">
      <c r="B1912">
        <v>53</v>
      </c>
      <c r="C1912">
        <v>195</v>
      </c>
      <c r="D1912">
        <v>31</v>
      </c>
      <c r="E1912" s="18">
        <v>-2902.46578051821</v>
      </c>
      <c r="F1912" s="18">
        <v>-435.93217508779287</v>
      </c>
      <c r="G1912" s="18">
        <v>-1381.560814145311</v>
      </c>
      <c r="H1912" s="12">
        <f>E1913</f>
      </c>
      <c r="I1912" s="12">
        <f>F1913</f>
      </c>
      <c r="J1912" s="12">
        <f>G1913</f>
      </c>
      <c r="K1912">
        <f>IF(AND(Pu&gt;=MIN(E1912,H1912),Pu&lt;=MAX(E1912,H1912),E1912&lt;&gt;H1912),1,0)</f>
      </c>
      <c r="L1912">
        <f>IF(K1912=1,(Pu-E1912)/(H1912-E1912),"")</f>
      </c>
      <c r="M1912" s="12">
        <f>IF(K1912=1,F1912+L1912*(I1912-F1912),"")</f>
      </c>
      <c r="N1912" s="12">
        <f>IF(K1912=1,G1912+L1912*(J1912-G1912),"")</f>
      </c>
    </row>
    <row r="1913" spans="2:14" x14ac:dyDescent="0.25">
      <c r="B1913">
        <v>53</v>
      </c>
      <c r="C1913">
        <v>195</v>
      </c>
      <c r="D1913">
        <v>32</v>
      </c>
      <c r="E1913" s="18">
        <v>-3719.8528882899714</v>
      </c>
      <c r="F1913" s="18">
        <v>-322.0793741241973</v>
      </c>
      <c r="G1913" s="18">
        <v>-830.982078840813</v>
      </c>
      <c r="H1913" s="12">
        <f>E1914</f>
      </c>
      <c r="I1913" s="12">
        <f>F1914</f>
      </c>
      <c r="J1913" s="12">
        <f>G1914</f>
      </c>
      <c r="K1913">
        <f>IF(AND(Pu&gt;=MIN(E1913,H1913),Pu&lt;=MAX(E1913,H1913),E1913&lt;&gt;H1913),1,0)</f>
      </c>
      <c r="L1913">
        <f>IF(K1913=1,(Pu-E1913)/(H1913-E1913),"")</f>
      </c>
      <c r="M1913" s="12">
        <f>IF(K1913=1,F1913+L1913*(I1913-F1913),"")</f>
      </c>
      <c r="N1913" s="12">
        <f>IF(K1913=1,G1913+L1913*(J1913-G1913),"")</f>
      </c>
    </row>
    <row r="1914" spans="2:14" x14ac:dyDescent="0.25">
      <c r="B1914">
        <v>53</v>
      </c>
      <c r="C1914">
        <v>195</v>
      </c>
      <c r="D1914">
        <v>33</v>
      </c>
      <c r="E1914" s="18">
        <v>-4125.061666977996</v>
      </c>
      <c r="F1914" s="18">
        <v>-235.16260783643048</v>
      </c>
      <c r="G1914" s="18">
        <v>-554.3985385139318</v>
      </c>
      <c r="H1914" s="12">
        <f>E1915</f>
      </c>
      <c r="I1914" s="12">
        <f>F1915</f>
      </c>
      <c r="J1914" s="12">
        <f>G1915</f>
      </c>
      <c r="K1914">
        <f>IF(AND(Pu&gt;=MIN(E1914,H1914),Pu&lt;=MAX(E1914,H1914),E1914&lt;&gt;H1914),1,0)</f>
      </c>
      <c r="L1914">
        <f>IF(K1914=1,(Pu-E1914)/(H1914-E1914),"")</f>
      </c>
      <c r="M1914" s="12">
        <f>IF(K1914=1,F1914+L1914*(I1914-F1914),"")</f>
      </c>
      <c r="N1914" s="12">
        <f>IF(K1914=1,G1914+L1914*(J1914-G1914),"")</f>
      </c>
    </row>
    <row r="1915" spans="2:14" x14ac:dyDescent="0.25">
      <c r="B1915">
        <v>53</v>
      </c>
      <c r="C1915">
        <v>195</v>
      </c>
      <c r="D1915">
        <v>34</v>
      </c>
      <c r="E1915" s="18">
        <v>-4617.20958817048</v>
      </c>
      <c r="F1915" s="18">
        <v>-101.4803636148037</v>
      </c>
      <c r="G1915" s="18">
        <v>-215.31801285117425</v>
      </c>
      <c r="H1915" s="12">
        <f>E1916</f>
      </c>
      <c r="I1915" s="12">
        <f>F1916</f>
      </c>
      <c r="J1915" s="12">
        <f>G1916</f>
      </c>
      <c r="K1915">
        <f>IF(AND(Pu&gt;=MIN(E1915,H1915),Pu&lt;=MAX(E1915,H1915),E1915&lt;&gt;H1915),1,0)</f>
      </c>
      <c r="L1915">
        <f>IF(K1915=1,(Pu-E1915)/(H1915-E1915),"")</f>
      </c>
      <c r="M1915" s="12">
        <f>IF(K1915=1,F1915+L1915*(I1915-F1915),"")</f>
      </c>
      <c r="N1915" s="12">
        <f>IF(K1915=1,G1915+L1915*(J1915-G1915),"")</f>
      </c>
    </row>
    <row r="1916" spans="2:7" x14ac:dyDescent="0.25">
      <c r="B1916">
        <v>53</v>
      </c>
      <c r="C1916">
        <v>195</v>
      </c>
      <c r="D1916">
        <v>35</v>
      </c>
      <c r="E1916" s="18">
        <v>-4815.937325645018</v>
      </c>
      <c r="F1916" s="18">
        <v>-38.75868913285207</v>
      </c>
      <c r="G1916" s="18">
        <v>-77.42816561606963</v>
      </c>
    </row>
    <row r="1918" spans="2:14" x14ac:dyDescent="0.25">
      <c r="B1918">
        <v>54</v>
      </c>
      <c r="C1918">
        <v>198.75</v>
      </c>
      <c r="D1918">
        <v>1</v>
      </c>
      <c r="E1918" s="18">
        <v>17595.350234139998</v>
      </c>
      <c r="F1918" s="18">
        <v>-713.5694762875682</v>
      </c>
      <c r="G1918" s="18">
        <v>-2620.3604149080356</v>
      </c>
      <c r="H1918" s="12">
        <f>E1919</f>
      </c>
      <c r="I1918" s="12">
        <f>F1919</f>
      </c>
      <c r="J1918" s="12">
        <f>G1919</f>
      </c>
      <c r="K1918">
        <f>IF(AND(Pu&gt;=MIN(E1918,H1918),Pu&lt;=MAX(E1918,H1918),E1918&lt;&gt;H1918),1,0)</f>
      </c>
      <c r="L1918">
        <f>IF(K1918=1,(Pu-E1918)/(H1918-E1918),"")</f>
      </c>
      <c r="M1918" s="12">
        <f>IF(K1918=1,F1918+L1918*(I1918-F1918),"")</f>
      </c>
      <c r="N1918" s="12">
        <f>IF(K1918=1,G1918+L1918*(J1918-G1918),"")</f>
      </c>
    </row>
    <row r="1919" spans="2:14" x14ac:dyDescent="0.25">
      <c r="B1919">
        <v>54</v>
      </c>
      <c r="C1919">
        <v>198.75</v>
      </c>
      <c r="D1919">
        <v>2</v>
      </c>
      <c r="E1919" s="18">
        <v>16593.12154914897</v>
      </c>
      <c r="F1919" s="18">
        <v>-727.6682884826595</v>
      </c>
      <c r="G1919" s="18">
        <v>-3090.645585739427</v>
      </c>
      <c r="H1919" s="12">
        <f>E1920</f>
      </c>
      <c r="I1919" s="12">
        <f>F1920</f>
      </c>
      <c r="J1919" s="12">
        <f>G1920</f>
      </c>
      <c r="K1919">
        <f>IF(AND(Pu&gt;=MIN(E1919,H1919),Pu&lt;=MAX(E1919,H1919),E1919&lt;&gt;H1919),1,0)</f>
      </c>
      <c r="L1919">
        <f>IF(K1919=1,(Pu-E1919)/(H1919-E1919),"")</f>
      </c>
      <c r="M1919" s="12">
        <f>IF(K1919=1,F1919+L1919*(I1919-F1919),"")</f>
      </c>
      <c r="N1919" s="12">
        <f>IF(K1919=1,G1919+L1919*(J1919-G1919),"")</f>
      </c>
    </row>
    <row r="1920" spans="2:14" x14ac:dyDescent="0.25">
      <c r="B1920">
        <v>54</v>
      </c>
      <c r="C1920">
        <v>198.75</v>
      </c>
      <c r="D1920">
        <v>3</v>
      </c>
      <c r="E1920" s="18">
        <v>15745.473119355664</v>
      </c>
      <c r="F1920" s="18">
        <v>-743.8077061893744</v>
      </c>
      <c r="G1920" s="18">
        <v>-3418.5121994776096</v>
      </c>
      <c r="H1920" s="12">
        <f>E1921</f>
      </c>
      <c r="I1920" s="12">
        <f>F1921</f>
      </c>
      <c r="J1920" s="12">
        <f>G1921</f>
      </c>
      <c r="K1920">
        <f>IF(AND(Pu&gt;=MIN(E1920,H1920),Pu&lt;=MAX(E1920,H1920),E1920&lt;&gt;H1920),1,0)</f>
      </c>
      <c r="L1920">
        <f>IF(K1920=1,(Pu-E1920)/(H1920-E1920),"")</f>
      </c>
      <c r="M1920" s="12">
        <f>IF(K1920=1,F1920+L1920*(I1920-F1920),"")</f>
      </c>
      <c r="N1920" s="12">
        <f>IF(K1920=1,G1920+L1920*(J1920-G1920),"")</f>
      </c>
    </row>
    <row r="1921" spans="2:14" x14ac:dyDescent="0.25">
      <c r="B1921">
        <v>54</v>
      </c>
      <c r="C1921">
        <v>198.75</v>
      </c>
      <c r="D1921">
        <v>4</v>
      </c>
      <c r="E1921" s="18">
        <v>14137.405144976468</v>
      </c>
      <c r="F1921" s="18">
        <v>-872.3742477400668</v>
      </c>
      <c r="G1921" s="18">
        <v>-3865.08010246035</v>
      </c>
      <c r="H1921" s="12">
        <f>E1922</f>
      </c>
      <c r="I1921" s="12">
        <f>F1922</f>
      </c>
      <c r="J1921" s="12">
        <f>G1922</f>
      </c>
      <c r="K1921">
        <f>IF(AND(Pu&gt;=MIN(E1921,H1921),Pu&lt;=MAX(E1921,H1921),E1921&lt;&gt;H1921),1,0)</f>
      </c>
      <c r="L1921">
        <f>IF(K1921=1,(Pu-E1921)/(H1921-E1921),"")</f>
      </c>
      <c r="M1921" s="12">
        <f>IF(K1921=1,F1921+L1921*(I1921-F1921),"")</f>
      </c>
      <c r="N1921" s="12">
        <f>IF(K1921=1,G1921+L1921*(J1921-G1921),"")</f>
      </c>
    </row>
    <row r="1922" spans="2:14" x14ac:dyDescent="0.25">
      <c r="B1922">
        <v>54</v>
      </c>
      <c r="C1922">
        <v>198.75</v>
      </c>
      <c r="D1922">
        <v>5</v>
      </c>
      <c r="E1922" s="18">
        <v>12184.127123749251</v>
      </c>
      <c r="F1922" s="18">
        <v>-1042.368296449512</v>
      </c>
      <c r="G1922" s="18">
        <v>-4189.4848572546725</v>
      </c>
      <c r="H1922" s="12">
        <f>E1923</f>
      </c>
      <c r="I1922" s="12">
        <f>F1923</f>
      </c>
      <c r="J1922" s="12">
        <f>G1923</f>
      </c>
      <c r="K1922">
        <f>IF(AND(Pu&gt;=MIN(E1922,H1922),Pu&lt;=MAX(E1922,H1922),E1922&lt;&gt;H1922),1,0)</f>
      </c>
      <c r="L1922">
        <f>IF(K1922=1,(Pu-E1922)/(H1922-E1922),"")</f>
      </c>
      <c r="M1922" s="12">
        <f>IF(K1922=1,F1922+L1922*(I1922-F1922),"")</f>
      </c>
      <c r="N1922" s="12">
        <f>IF(K1922=1,G1922+L1922*(J1922-G1922),"")</f>
      </c>
    </row>
    <row r="1923" spans="2:14" x14ac:dyDescent="0.25">
      <c r="B1923">
        <v>54</v>
      </c>
      <c r="C1923">
        <v>198.75</v>
      </c>
      <c r="D1923">
        <v>6</v>
      </c>
      <c r="E1923" s="18">
        <v>9992.352840351361</v>
      </c>
      <c r="F1923" s="18">
        <v>-1101.3035962784477</v>
      </c>
      <c r="G1923" s="18">
        <v>-4407.341953511044</v>
      </c>
      <c r="H1923" s="12">
        <f>E1924</f>
      </c>
      <c r="I1923" s="12">
        <f>F1924</f>
      </c>
      <c r="J1923" s="12">
        <f>G1924</f>
      </c>
      <c r="K1923">
        <f>IF(AND(Pu&gt;=MIN(E1923,H1923),Pu&lt;=MAX(E1923,H1923),E1923&lt;&gt;H1923),1,0)</f>
      </c>
      <c r="L1923">
        <f>IF(K1923=1,(Pu-E1923)/(H1923-E1923),"")</f>
      </c>
      <c r="M1923" s="12">
        <f>IF(K1923=1,F1923+L1923*(I1923-F1923),"")</f>
      </c>
      <c r="N1923" s="12">
        <f>IF(K1923=1,G1923+L1923*(J1923-G1923),"")</f>
      </c>
    </row>
    <row r="1924" spans="2:14" x14ac:dyDescent="0.25">
      <c r="B1924">
        <v>54</v>
      </c>
      <c r="C1924">
        <v>198.75</v>
      </c>
      <c r="D1924">
        <v>7</v>
      </c>
      <c r="E1924" s="18">
        <v>8688.78989375458</v>
      </c>
      <c r="F1924" s="18">
        <v>-1116.782914041434</v>
      </c>
      <c r="G1924" s="18">
        <v>-4481.197285218685</v>
      </c>
      <c r="H1924" s="12">
        <f>E1925</f>
      </c>
      <c r="I1924" s="12">
        <f>F1925</f>
      </c>
      <c r="J1924" s="12">
        <f>G1925</f>
      </c>
      <c r="K1924">
        <f>IF(AND(Pu&gt;=MIN(E1924,H1924),Pu&lt;=MAX(E1924,H1924),E1924&lt;&gt;H1924),1,0)</f>
      </c>
      <c r="L1924">
        <f>IF(K1924=1,(Pu-E1924)/(H1924-E1924),"")</f>
      </c>
      <c r="M1924" s="12">
        <f>IF(K1924=1,F1924+L1924*(I1924-F1924),"")</f>
      </c>
      <c r="N1924" s="12">
        <f>IF(K1924=1,G1924+L1924*(J1924-G1924),"")</f>
      </c>
    </row>
    <row r="1925" spans="2:14" x14ac:dyDescent="0.25">
      <c r="B1925">
        <v>54</v>
      </c>
      <c r="C1925">
        <v>198.75</v>
      </c>
      <c r="D1925">
        <v>8</v>
      </c>
      <c r="E1925" s="18">
        <v>8241.026395439781</v>
      </c>
      <c r="F1925" s="18">
        <v>-1132.1064017680692</v>
      </c>
      <c r="G1925" s="18">
        <v>-4568.540033761451</v>
      </c>
      <c r="H1925" s="12">
        <f>E1926</f>
      </c>
      <c r="I1925" s="12">
        <f>F1926</f>
      </c>
      <c r="J1925" s="12">
        <f>G1926</f>
      </c>
      <c r="K1925">
        <f>IF(AND(Pu&gt;=MIN(E1925,H1925),Pu&lt;=MAX(E1925,H1925),E1925&lt;&gt;H1925),1,0)</f>
      </c>
      <c r="L1925">
        <f>IF(K1925=1,(Pu-E1925)/(H1925-E1925),"")</f>
      </c>
      <c r="M1925" s="12">
        <f>IF(K1925=1,F1925+L1925*(I1925-F1925),"")</f>
      </c>
      <c r="N1925" s="12">
        <f>IF(K1925=1,G1925+L1925*(J1925-G1925),"")</f>
      </c>
    </row>
    <row r="1926" spans="2:14" x14ac:dyDescent="0.25">
      <c r="B1926">
        <v>54</v>
      </c>
      <c r="C1926">
        <v>198.75</v>
      </c>
      <c r="D1926">
        <v>9</v>
      </c>
      <c r="E1926" s="18">
        <v>7728.811546025173</v>
      </c>
      <c r="F1926" s="18">
        <v>-1135.69782618223</v>
      </c>
      <c r="G1926" s="18">
        <v>-4674.448082893693</v>
      </c>
      <c r="H1926" s="12">
        <f>E1927</f>
      </c>
      <c r="I1926" s="12">
        <f>F1927</f>
      </c>
      <c r="J1926" s="12">
        <f>G1927</f>
      </c>
      <c r="K1926">
        <f>IF(AND(Pu&gt;=MIN(E1926,H1926),Pu&lt;=MAX(E1926,H1926),E1926&lt;&gt;H1926),1,0)</f>
      </c>
      <c r="L1926">
        <f>IF(K1926=1,(Pu-E1926)/(H1926-E1926),"")</f>
      </c>
      <c r="M1926" s="12">
        <f>IF(K1926=1,F1926+L1926*(I1926-F1926),"")</f>
      </c>
      <c r="N1926" s="12">
        <f>IF(K1926=1,G1926+L1926*(J1926-G1926),"")</f>
      </c>
    </row>
    <row r="1927" spans="2:14" x14ac:dyDescent="0.25">
      <c r="B1927">
        <v>54</v>
      </c>
      <c r="C1927">
        <v>198.75</v>
      </c>
      <c r="D1927">
        <v>10</v>
      </c>
      <c r="E1927" s="18">
        <v>7231.078626817705</v>
      </c>
      <c r="F1927" s="18">
        <v>-1129.4632036616945</v>
      </c>
      <c r="G1927" s="18">
        <v>-4782.298226174504</v>
      </c>
      <c r="H1927" s="12">
        <f>E1928</f>
      </c>
      <c r="I1927" s="12">
        <f>F1928</f>
      </c>
      <c r="J1927" s="12">
        <f>G1928</f>
      </c>
      <c r="K1927">
        <f>IF(AND(Pu&gt;=MIN(E1927,H1927),Pu&lt;=MAX(E1927,H1927),E1927&lt;&gt;H1927),1,0)</f>
      </c>
      <c r="L1927">
        <f>IF(K1927=1,(Pu-E1927)/(H1927-E1927),"")</f>
      </c>
      <c r="M1927" s="12">
        <f>IF(K1927=1,F1927+L1927*(I1927-F1927),"")</f>
      </c>
      <c r="N1927" s="12">
        <f>IF(K1927=1,G1927+L1927*(J1927-G1927),"")</f>
      </c>
    </row>
    <row r="1928" spans="2:14" x14ac:dyDescent="0.25">
      <c r="B1928">
        <v>54</v>
      </c>
      <c r="C1928">
        <v>198.75</v>
      </c>
      <c r="D1928">
        <v>11</v>
      </c>
      <c r="E1928" s="18">
        <v>7027.65372962255</v>
      </c>
      <c r="F1928" s="18">
        <v>-1126.3369845626783</v>
      </c>
      <c r="G1928" s="18">
        <v>-4826.885585196598</v>
      </c>
      <c r="H1928" s="12">
        <f>E1929</f>
      </c>
      <c r="I1928" s="12">
        <f>F1929</f>
      </c>
      <c r="J1928" s="12">
        <f>G1929</f>
      </c>
      <c r="K1928">
        <f>IF(AND(Pu&gt;=MIN(E1928,H1928),Pu&lt;=MAX(E1928,H1928),E1928&lt;&gt;H1928),1,0)</f>
      </c>
      <c r="L1928">
        <f>IF(K1928=1,(Pu-E1928)/(H1928-E1928),"")</f>
      </c>
      <c r="M1928" s="12">
        <f>IF(K1928=1,F1928+L1928*(I1928-F1928),"")</f>
      </c>
      <c r="N1928" s="12">
        <f>IF(K1928=1,G1928+L1928*(J1928-G1928),"")</f>
      </c>
    </row>
    <row r="1929" spans="2:14" x14ac:dyDescent="0.25">
      <c r="B1929">
        <v>54</v>
      </c>
      <c r="C1929">
        <v>198.75</v>
      </c>
      <c r="D1929">
        <v>12</v>
      </c>
      <c r="E1929" s="18">
        <v>6596.591119409909</v>
      </c>
      <c r="F1929" s="18">
        <v>-1124.4154762384412</v>
      </c>
      <c r="G1929" s="18">
        <v>-4917.134448657083</v>
      </c>
      <c r="H1929" s="12">
        <f>E1930</f>
      </c>
      <c r="I1929" s="12">
        <f>F1930</f>
      </c>
      <c r="J1929" s="12">
        <f>G1930</f>
      </c>
      <c r="K1929">
        <f>IF(AND(Pu&gt;=MIN(E1929,H1929),Pu&lt;=MAX(E1929,H1929),E1929&lt;&gt;H1929),1,0)</f>
      </c>
      <c r="L1929">
        <f>IF(K1929=1,(Pu-E1929)/(H1929-E1929),"")</f>
      </c>
      <c r="M1929" s="12">
        <f>IF(K1929=1,F1929+L1929*(I1929-F1929),"")</f>
      </c>
      <c r="N1929" s="12">
        <f>IF(K1929=1,G1929+L1929*(J1929-G1929),"")</f>
      </c>
    </row>
    <row r="1930" spans="2:14" x14ac:dyDescent="0.25">
      <c r="B1930">
        <v>54</v>
      </c>
      <c r="C1930">
        <v>198.75</v>
      </c>
      <c r="D1930">
        <v>13</v>
      </c>
      <c r="E1930" s="18">
        <v>6547.364902952579</v>
      </c>
      <c r="F1930" s="18">
        <v>-1123.9557145753695</v>
      </c>
      <c r="G1930" s="18">
        <v>-4928.107781847065</v>
      </c>
      <c r="H1930" s="12">
        <f>E1931</f>
      </c>
      <c r="I1930" s="12">
        <f>F1931</f>
      </c>
      <c r="J1930" s="12">
        <f>G1931</f>
      </c>
      <c r="K1930">
        <f>IF(AND(Pu&gt;=MIN(E1930,H1930),Pu&lt;=MAX(E1930,H1930),E1930&lt;&gt;H1930),1,0)</f>
      </c>
      <c r="L1930">
        <f>IF(K1930=1,(Pu-E1930)/(H1930-E1930),"")</f>
      </c>
      <c r="M1930" s="12">
        <f>IF(K1930=1,F1930+L1930*(I1930-F1930),"")</f>
      </c>
      <c r="N1930" s="12">
        <f>IF(K1930=1,G1930+L1930*(J1930-G1930),"")</f>
      </c>
    </row>
    <row r="1931" spans="2:14" x14ac:dyDescent="0.25">
      <c r="B1931">
        <v>54</v>
      </c>
      <c r="C1931">
        <v>198.75</v>
      </c>
      <c r="D1931">
        <v>14</v>
      </c>
      <c r="E1931" s="18">
        <v>6166.009307501835</v>
      </c>
      <c r="F1931" s="18">
        <v>-1121.4398326998614</v>
      </c>
      <c r="G1931" s="18">
        <v>-5033.500795491169</v>
      </c>
      <c r="H1931" s="12">
        <f>E1932</f>
      </c>
      <c r="I1931" s="12">
        <f>F1932</f>
      </c>
      <c r="J1931" s="12">
        <f>G1932</f>
      </c>
      <c r="K1931">
        <f>IF(AND(Pu&gt;=MIN(E1931,H1931),Pu&lt;=MAX(E1931,H1931),E1931&lt;&gt;H1931),1,0)</f>
      </c>
      <c r="L1931">
        <f>IF(K1931=1,(Pu-E1931)/(H1931-E1931),"")</f>
      </c>
      <c r="M1931" s="12">
        <f>IF(K1931=1,F1931+L1931*(I1931-F1931),"")</f>
      </c>
      <c r="N1931" s="12">
        <f>IF(K1931=1,G1931+L1931*(J1931-G1931),"")</f>
      </c>
    </row>
    <row r="1932" spans="2:14" x14ac:dyDescent="0.25">
      <c r="B1932">
        <v>54</v>
      </c>
      <c r="C1932">
        <v>198.75</v>
      </c>
      <c r="D1932">
        <v>15</v>
      </c>
      <c r="E1932" s="18">
        <v>6099.45878685956</v>
      </c>
      <c r="F1932" s="18">
        <v>-1124.7025245972982</v>
      </c>
      <c r="G1932" s="18">
        <v>-5052.5986772929</v>
      </c>
      <c r="H1932" s="12">
        <f>E1933</f>
      </c>
      <c r="I1932" s="12">
        <f>F1933</f>
      </c>
      <c r="J1932" s="12">
        <f>G1933</f>
      </c>
      <c r="K1932">
        <f>IF(AND(Pu&gt;=MIN(E1932,H1932),Pu&lt;=MAX(E1932,H1932),E1932&lt;&gt;H1932),1,0)</f>
      </c>
      <c r="L1932">
        <f>IF(K1932=1,(Pu-E1932)/(H1932-E1932),"")</f>
      </c>
      <c r="M1932" s="12">
        <f>IF(K1932=1,F1932+L1932*(I1932-F1932),"")</f>
      </c>
      <c r="N1932" s="12">
        <f>IF(K1932=1,G1932+L1932*(J1932-G1932),"")</f>
      </c>
    </row>
    <row r="1933" spans="2:14" x14ac:dyDescent="0.25">
      <c r="B1933">
        <v>54</v>
      </c>
      <c r="C1933">
        <v>198.75</v>
      </c>
      <c r="D1933">
        <v>16</v>
      </c>
      <c r="E1933" s="18">
        <v>5849.536717996094</v>
      </c>
      <c r="F1933" s="18">
        <v>-1134.5245521711358</v>
      </c>
      <c r="G1933" s="18">
        <v>-5126.595185532456</v>
      </c>
      <c r="H1933" s="12">
        <f>E1934</f>
      </c>
      <c r="I1933" s="12">
        <f>F1934</f>
      </c>
      <c r="J1933" s="12">
        <f>G1934</f>
      </c>
      <c r="K1933">
        <f>IF(AND(Pu&gt;=MIN(E1933,H1933),Pu&lt;=MAX(E1933,H1933),E1933&lt;&gt;H1933),1,0)</f>
      </c>
      <c r="L1933">
        <f>IF(K1933=1,(Pu-E1933)/(H1933-E1933),"")</f>
      </c>
      <c r="M1933" s="12">
        <f>IF(K1933=1,F1933+L1933*(I1933-F1933),"")</f>
      </c>
      <c r="N1933" s="12">
        <f>IF(K1933=1,G1933+L1933*(J1933-G1933),"")</f>
      </c>
    </row>
    <row r="1934" spans="2:14" x14ac:dyDescent="0.25">
      <c r="B1934">
        <v>54</v>
      </c>
      <c r="C1934">
        <v>198.75</v>
      </c>
      <c r="D1934">
        <v>17</v>
      </c>
      <c r="E1934" s="18">
        <v>5557.715278494698</v>
      </c>
      <c r="F1934" s="18">
        <v>-1142.9238954200619</v>
      </c>
      <c r="G1934" s="18">
        <v>-5205.835385924828</v>
      </c>
      <c r="H1934" s="12">
        <f>E1935</f>
      </c>
      <c r="I1934" s="12">
        <f>F1935</f>
      </c>
      <c r="J1934" s="12">
        <f>G1935</f>
      </c>
      <c r="K1934">
        <f>IF(AND(Pu&gt;=MIN(E1934,H1934),Pu&lt;=MAX(E1934,H1934),E1934&lt;&gt;H1934),1,0)</f>
      </c>
      <c r="L1934">
        <f>IF(K1934=1,(Pu-E1934)/(H1934-E1934),"")</f>
      </c>
      <c r="M1934" s="12">
        <f>IF(K1934=1,F1934+L1934*(I1934-F1934),"")</f>
      </c>
      <c r="N1934" s="12">
        <f>IF(K1934=1,G1934+L1934*(J1934-G1934),"")</f>
      </c>
    </row>
    <row r="1935" spans="2:14" x14ac:dyDescent="0.25">
      <c r="B1935">
        <v>54</v>
      </c>
      <c r="C1935">
        <v>198.75</v>
      </c>
      <c r="D1935">
        <v>18</v>
      </c>
      <c r="E1935" s="18">
        <v>5359.503946763977</v>
      </c>
      <c r="F1935" s="18">
        <v>-1151.5010438346367</v>
      </c>
      <c r="G1935" s="18">
        <v>-5259.240455354328</v>
      </c>
      <c r="H1935" s="12">
        <f>E1936</f>
      </c>
      <c r="I1935" s="12">
        <f>F1936</f>
      </c>
      <c r="J1935" s="12">
        <f>G1936</f>
      </c>
      <c r="K1935">
        <f>IF(AND(Pu&gt;=MIN(E1935,H1935),Pu&lt;=MAX(E1935,H1935),E1935&lt;&gt;H1935),1,0)</f>
      </c>
      <c r="L1935">
        <f>IF(K1935=1,(Pu-E1935)/(H1935-E1935),"")</f>
      </c>
      <c r="M1935" s="12">
        <f>IF(K1935=1,F1935+L1935*(I1935-F1935),"")</f>
      </c>
      <c r="N1935" s="12">
        <f>IF(K1935=1,G1935+L1935*(J1935-G1935),"")</f>
      </c>
    </row>
    <row r="1936" spans="2:14" x14ac:dyDescent="0.25">
      <c r="B1936">
        <v>54</v>
      </c>
      <c r="C1936">
        <v>198.75</v>
      </c>
      <c r="D1936">
        <v>19</v>
      </c>
      <c r="E1936" s="18">
        <v>5275.148946071076</v>
      </c>
      <c r="F1936" s="18">
        <v>-1156.2215104743475</v>
      </c>
      <c r="G1936" s="18">
        <v>-5281.0246896031485</v>
      </c>
      <c r="H1936" s="12">
        <f>E1937</f>
      </c>
      <c r="I1936" s="12">
        <f>F1937</f>
      </c>
      <c r="J1936" s="12">
        <f>G1937</f>
      </c>
      <c r="K1936">
        <f>IF(AND(Pu&gt;=MIN(E1936,H1936),Pu&lt;=MAX(E1936,H1936),E1936&lt;&gt;H1936),1,0)</f>
      </c>
      <c r="L1936">
        <f>IF(K1936=1,(Pu-E1936)/(H1936-E1936),"")</f>
      </c>
      <c r="M1936" s="12">
        <f>IF(K1936=1,F1936+L1936*(I1936-F1936),"")</f>
      </c>
      <c r="N1936" s="12">
        <f>IF(K1936=1,G1936+L1936*(J1936-G1936),"")</f>
      </c>
    </row>
    <row r="1937" spans="2:14" x14ac:dyDescent="0.25">
      <c r="B1937">
        <v>54</v>
      </c>
      <c r="C1937">
        <v>198.75</v>
      </c>
      <c r="D1937">
        <v>20</v>
      </c>
      <c r="E1937" s="18">
        <v>5019.642534826676</v>
      </c>
      <c r="F1937" s="18">
        <v>-1190.820397424218</v>
      </c>
      <c r="G1937" s="18">
        <v>-5338.795816749516</v>
      </c>
      <c r="H1937" s="12">
        <f>E1938</f>
      </c>
      <c r="I1937" s="12">
        <f>F1938</f>
      </c>
      <c r="J1937" s="12">
        <f>G1938</f>
      </c>
      <c r="K1937">
        <f>IF(AND(Pu&gt;=MIN(E1937,H1937),Pu&lt;=MAX(E1937,H1937),E1937&lt;&gt;H1937),1,0)</f>
      </c>
      <c r="L1937">
        <f>IF(K1937=1,(Pu-E1937)/(H1937-E1937),"")</f>
      </c>
      <c r="M1937" s="12">
        <f>IF(K1937=1,F1937+L1937*(I1937-F1937),"")</f>
      </c>
      <c r="N1937" s="12">
        <f>IF(K1937=1,G1937+L1937*(J1937-G1937),"")</f>
      </c>
    </row>
    <row r="1938" spans="2:14" x14ac:dyDescent="0.25">
      <c r="B1938">
        <v>54</v>
      </c>
      <c r="C1938">
        <v>198.75</v>
      </c>
      <c r="D1938">
        <v>21</v>
      </c>
      <c r="E1938" s="18">
        <v>4942.1949728151185</v>
      </c>
      <c r="F1938" s="18">
        <v>-1188.2204640271102</v>
      </c>
      <c r="G1938" s="18">
        <v>-5316.627124028173</v>
      </c>
      <c r="H1938" s="12">
        <f>E1939</f>
      </c>
      <c r="I1938" s="12">
        <f>F1939</f>
      </c>
      <c r="J1938" s="12">
        <f>G1939</f>
      </c>
      <c r="K1938">
        <f>IF(AND(Pu&gt;=MIN(E1938,H1938),Pu&lt;=MAX(E1938,H1938),E1938&lt;&gt;H1938),1,0)</f>
      </c>
      <c r="L1938">
        <f>IF(K1938=1,(Pu-E1938)/(H1938-E1938),"")</f>
      </c>
      <c r="M1938" s="12">
        <f>IF(K1938=1,F1938+L1938*(I1938-F1938),"")</f>
      </c>
      <c r="N1938" s="12">
        <f>IF(K1938=1,G1938+L1938*(J1938-G1938),"")</f>
      </c>
    </row>
    <row r="1939" spans="2:14" x14ac:dyDescent="0.25">
      <c r="B1939">
        <v>54</v>
      </c>
      <c r="C1939">
        <v>198.75</v>
      </c>
      <c r="D1939">
        <v>22</v>
      </c>
      <c r="E1939" s="18">
        <v>4414.626289388926</v>
      </c>
      <c r="F1939" s="18">
        <v>-1179.475849280715</v>
      </c>
      <c r="G1939" s="18">
        <v>-5159.667023441031</v>
      </c>
      <c r="H1939" s="12">
        <f>E1940</f>
      </c>
      <c r="I1939" s="12">
        <f>F1940</f>
      </c>
      <c r="J1939" s="12">
        <f>G1940</f>
      </c>
      <c r="K1939">
        <f>IF(AND(Pu&gt;=MIN(E1939,H1939),Pu&lt;=MAX(E1939,H1939),E1939&lt;&gt;H1939),1,0)</f>
      </c>
      <c r="L1939">
        <f>IF(K1939=1,(Pu-E1939)/(H1939-E1939),"")</f>
      </c>
      <c r="M1939" s="12">
        <f>IF(K1939=1,F1939+L1939*(I1939-F1939),"")</f>
      </c>
      <c r="N1939" s="12">
        <f>IF(K1939=1,G1939+L1939*(J1939-G1939),"")</f>
      </c>
    </row>
    <row r="1940" spans="2:14" x14ac:dyDescent="0.25">
      <c r="B1940">
        <v>54</v>
      </c>
      <c r="C1940">
        <v>198.75</v>
      </c>
      <c r="D1940">
        <v>23</v>
      </c>
      <c r="E1940" s="18">
        <v>3490.3871672578216</v>
      </c>
      <c r="F1940" s="18">
        <v>-1156.6316436266804</v>
      </c>
      <c r="G1940" s="18">
        <v>-4852.150274070128</v>
      </c>
      <c r="H1940" s="12">
        <f>E1941</f>
      </c>
      <c r="I1940" s="12">
        <f>F1941</f>
      </c>
      <c r="J1940" s="12">
        <f>G1941</f>
      </c>
      <c r="K1940">
        <f>IF(AND(Pu&gt;=MIN(E1940,H1940),Pu&lt;=MAX(E1940,H1940),E1940&lt;&gt;H1940),1,0)</f>
      </c>
      <c r="L1940">
        <f>IF(K1940=1,(Pu-E1940)/(H1940-E1940),"")</f>
      </c>
      <c r="M1940" s="12">
        <f>IF(K1940=1,F1940+L1940*(I1940-F1940),"")</f>
      </c>
      <c r="N1940" s="12">
        <f>IF(K1940=1,G1940+L1940*(J1940-G1940),"")</f>
      </c>
    </row>
    <row r="1941" spans="2:14" x14ac:dyDescent="0.25">
      <c r="B1941">
        <v>54</v>
      </c>
      <c r="C1941">
        <v>198.75</v>
      </c>
      <c r="D1941">
        <v>24</v>
      </c>
      <c r="E1941" s="18">
        <v>2753.1897870857815</v>
      </c>
      <c r="F1941" s="18">
        <v>-1127.8048340983053</v>
      </c>
      <c r="G1941" s="18">
        <v>-4543.704954053263</v>
      </c>
      <c r="H1941" s="12">
        <f>E1942</f>
      </c>
      <c r="I1941" s="12">
        <f>F1942</f>
      </c>
      <c r="J1941" s="12">
        <f>G1942</f>
      </c>
      <c r="K1941">
        <f>IF(AND(Pu&gt;=MIN(E1941,H1941),Pu&lt;=MAX(E1941,H1941),E1941&lt;&gt;H1941),1,0)</f>
      </c>
      <c r="L1941">
        <f>IF(K1941=1,(Pu-E1941)/(H1941-E1941),"")</f>
      </c>
      <c r="M1941" s="12">
        <f>IF(K1941=1,F1941+L1941*(I1941-F1941),"")</f>
      </c>
      <c r="N1941" s="12">
        <f>IF(K1941=1,G1941+L1941*(J1941-G1941),"")</f>
      </c>
    </row>
    <row r="1942" spans="2:14" x14ac:dyDescent="0.25">
      <c r="B1942">
        <v>54</v>
      </c>
      <c r="C1942">
        <v>198.75</v>
      </c>
      <c r="D1942">
        <v>25</v>
      </c>
      <c r="E1942" s="18">
        <v>2036.7673773649258</v>
      </c>
      <c r="F1942" s="18">
        <v>-1100.6483485156414</v>
      </c>
      <c r="G1942" s="18">
        <v>-4224.896905622079</v>
      </c>
      <c r="H1942" s="12">
        <f>E1943</f>
      </c>
      <c r="I1942" s="12">
        <f>F1943</f>
      </c>
      <c r="J1942" s="12">
        <f>G1943</f>
      </c>
      <c r="K1942">
        <f>IF(AND(Pu&gt;=MIN(E1942,H1942),Pu&lt;=MAX(E1942,H1942),E1942&lt;&gt;H1942),1,0)</f>
      </c>
      <c r="L1942">
        <f>IF(K1942=1,(Pu-E1942)/(H1942-E1942),"")</f>
      </c>
      <c r="M1942" s="12">
        <f>IF(K1942=1,F1942+L1942*(I1942-F1942),"")</f>
      </c>
      <c r="N1942" s="12">
        <f>IF(K1942=1,G1942+L1942*(J1942-G1942),"")</f>
      </c>
    </row>
    <row r="1943" spans="2:14" x14ac:dyDescent="0.25">
      <c r="B1943">
        <v>54</v>
      </c>
      <c r="C1943">
        <v>198.75</v>
      </c>
      <c r="D1943">
        <v>26</v>
      </c>
      <c r="E1943" s="18">
        <v>922.7945931107186</v>
      </c>
      <c r="F1943" s="18">
        <v>-1056.2654142647243</v>
      </c>
      <c r="G1943" s="18">
        <v>-3635.0559483023867</v>
      </c>
      <c r="H1943" s="12">
        <f>E1944</f>
      </c>
      <c r="I1943" s="12">
        <f>F1944</f>
      </c>
      <c r="J1943" s="12">
        <f>G1944</f>
      </c>
      <c r="K1943">
        <f>IF(AND(Pu&gt;=MIN(E1943,H1943),Pu&lt;=MAX(E1943,H1943),E1943&lt;&gt;H1943),1,0)</f>
      </c>
      <c r="L1943">
        <f>IF(K1943=1,(Pu-E1943)/(H1943-E1943),"")</f>
      </c>
      <c r="M1943" s="12">
        <f>IF(K1943=1,F1943+L1943*(I1943-F1943),"")</f>
      </c>
      <c r="N1943" s="12">
        <f>IF(K1943=1,G1943+L1943*(J1943-G1943),"")</f>
      </c>
    </row>
    <row r="1944" spans="2:14" x14ac:dyDescent="0.25">
      <c r="B1944">
        <v>54</v>
      </c>
      <c r="C1944">
        <v>198.75</v>
      </c>
      <c r="D1944">
        <v>27</v>
      </c>
      <c r="E1944" s="18">
        <v>-82.18207430452226</v>
      </c>
      <c r="F1944" s="18">
        <v>-947.3367911908083</v>
      </c>
      <c r="G1944" s="18">
        <v>-3079.657586787376</v>
      </c>
      <c r="H1944" s="12">
        <f>E1945</f>
      </c>
      <c r="I1944" s="12">
        <f>F1945</f>
      </c>
      <c r="J1944" s="12">
        <f>G1945</f>
      </c>
      <c r="K1944">
        <f>IF(AND(Pu&gt;=MIN(E1944,H1944),Pu&lt;=MAX(E1944,H1944),E1944&lt;&gt;H1944),1,0)</f>
      </c>
      <c r="L1944">
        <f>IF(K1944=1,(Pu-E1944)/(H1944-E1944),"")</f>
      </c>
      <c r="M1944" s="12">
        <f>IF(K1944=1,F1944+L1944*(I1944-F1944),"")</f>
      </c>
      <c r="N1944" s="12">
        <f>IF(K1944=1,G1944+L1944*(J1944-G1944),"")</f>
      </c>
    </row>
    <row r="1945" spans="2:14" x14ac:dyDescent="0.25">
      <c r="B1945">
        <v>54</v>
      </c>
      <c r="C1945">
        <v>198.75</v>
      </c>
      <c r="D1945">
        <v>28</v>
      </c>
      <c r="E1945" s="18">
        <v>-854.4058592036705</v>
      </c>
      <c r="F1945" s="18">
        <v>-846.4743607871018</v>
      </c>
      <c r="G1945" s="18">
        <v>-2623.638748374898</v>
      </c>
      <c r="H1945" s="12">
        <f>E1946</f>
      </c>
      <c r="I1945" s="12">
        <f>F1946</f>
      </c>
      <c r="J1945" s="12">
        <f>G1946</f>
      </c>
      <c r="K1945">
        <f>IF(AND(Pu&gt;=MIN(E1945,H1945),Pu&lt;=MAX(E1945,H1945),E1945&lt;&gt;H1945),1,0)</f>
      </c>
      <c r="L1945">
        <f>IF(K1945=1,(Pu-E1945)/(H1945-E1945),"")</f>
      </c>
      <c r="M1945" s="12">
        <f>IF(K1945=1,F1945+L1945*(I1945-F1945),"")</f>
      </c>
      <c r="N1945" s="12">
        <f>IF(K1945=1,G1945+L1945*(J1945-G1945),"")</f>
      </c>
    </row>
    <row r="1946" spans="2:14" x14ac:dyDescent="0.25">
      <c r="B1946">
        <v>54</v>
      </c>
      <c r="C1946">
        <v>198.75</v>
      </c>
      <c r="D1946">
        <v>29</v>
      </c>
      <c r="E1946" s="18">
        <v>-1493.7407178759845</v>
      </c>
      <c r="F1946" s="18">
        <v>-750.998539682315</v>
      </c>
      <c r="G1946" s="18">
        <v>-2235.8665681392085</v>
      </c>
      <c r="H1946" s="12">
        <f>E1947</f>
      </c>
      <c r="I1946" s="12">
        <f>F1947</f>
      </c>
      <c r="J1946" s="12">
        <f>G1947</f>
      </c>
      <c r="K1946">
        <f>IF(AND(Pu&gt;=MIN(E1946,H1946),Pu&lt;=MAX(E1946,H1946),E1946&lt;&gt;H1946),1,0)</f>
      </c>
      <c r="L1946">
        <f>IF(K1946=1,(Pu-E1946)/(H1946-E1946),"")</f>
      </c>
      <c r="M1946" s="12">
        <f>IF(K1946=1,F1946+L1946*(I1946-F1946),"")</f>
      </c>
      <c r="N1946" s="12">
        <f>IF(K1946=1,G1946+L1946*(J1946-G1946),"")</f>
      </c>
    </row>
    <row r="1947" spans="2:14" x14ac:dyDescent="0.25">
      <c r="B1947">
        <v>54</v>
      </c>
      <c r="C1947">
        <v>198.75</v>
      </c>
      <c r="D1947">
        <v>30</v>
      </c>
      <c r="E1947" s="18">
        <v>-2480.0878016726538</v>
      </c>
      <c r="F1947" s="18">
        <v>-585.8053483907333</v>
      </c>
      <c r="G1947" s="18">
        <v>-1629.815637831769</v>
      </c>
      <c r="H1947" s="12">
        <f>E1948</f>
      </c>
      <c r="I1947" s="12">
        <f>F1948</f>
      </c>
      <c r="J1947" s="12">
        <f>G1948</f>
      </c>
      <c r="K1947">
        <f>IF(AND(Pu&gt;=MIN(E1947,H1947),Pu&lt;=MAX(E1947,H1947),E1947&lt;&gt;H1947),1,0)</f>
      </c>
      <c r="L1947">
        <f>IF(K1947=1,(Pu-E1947)/(H1947-E1947),"")</f>
      </c>
      <c r="M1947" s="12">
        <f>IF(K1947=1,F1947+L1947*(I1947-F1947),"")</f>
      </c>
      <c r="N1947" s="12">
        <f>IF(K1947=1,G1947+L1947*(J1947-G1947),"")</f>
      </c>
    </row>
    <row r="1948" spans="2:14" x14ac:dyDescent="0.25">
      <c r="B1948">
        <v>54</v>
      </c>
      <c r="C1948">
        <v>198.75</v>
      </c>
      <c r="D1948">
        <v>31</v>
      </c>
      <c r="E1948" s="18">
        <v>-3138.118645035879</v>
      </c>
      <c r="F1948" s="18">
        <v>-466.22128935694576</v>
      </c>
      <c r="G1948" s="18">
        <v>-1212.3588255379661</v>
      </c>
      <c r="H1948" s="12">
        <f>E1949</f>
      </c>
      <c r="I1948" s="12">
        <f>F1949</f>
      </c>
      <c r="J1948" s="12">
        <f>G1949</f>
      </c>
      <c r="K1948">
        <f>IF(AND(Pu&gt;=MIN(E1948,H1948),Pu&lt;=MAX(E1948,H1948),E1948&lt;&gt;H1948),1,0)</f>
      </c>
      <c r="L1948">
        <f>IF(K1948=1,(Pu-E1948)/(H1948-E1948),"")</f>
      </c>
      <c r="M1948" s="12">
        <f>IF(K1948=1,F1948+L1948*(I1948-F1948),"")</f>
      </c>
      <c r="N1948" s="12">
        <f>IF(K1948=1,G1948+L1948*(J1948-G1948),"")</f>
      </c>
    </row>
    <row r="1949" spans="2:14" x14ac:dyDescent="0.25">
      <c r="B1949">
        <v>54</v>
      </c>
      <c r="C1949">
        <v>198.75</v>
      </c>
      <c r="D1949">
        <v>32</v>
      </c>
      <c r="E1949" s="18">
        <v>-3847.873901584246</v>
      </c>
      <c r="F1949" s="18">
        <v>-319.4726274696623</v>
      </c>
      <c r="G1949" s="18">
        <v>-739.1395852158171</v>
      </c>
      <c r="H1949" s="12">
        <f>E1950</f>
      </c>
      <c r="I1949" s="12">
        <f>F1950</f>
      </c>
      <c r="J1949" s="12">
        <f>G1950</f>
      </c>
      <c r="K1949">
        <f>IF(AND(Pu&gt;=MIN(E1949,H1949),Pu&lt;=MAX(E1949,H1949),E1949&lt;&gt;H1949),1,0)</f>
      </c>
      <c r="L1949">
        <f>IF(K1949=1,(Pu-E1949)/(H1949-E1949),"")</f>
      </c>
      <c r="M1949" s="12">
        <f>IF(K1949=1,F1949+L1949*(I1949-F1949),"")</f>
      </c>
      <c r="N1949" s="12">
        <f>IF(K1949=1,G1949+L1949*(J1949-G1949),"")</f>
      </c>
    </row>
    <row r="1950" spans="2:14" x14ac:dyDescent="0.25">
      <c r="B1950">
        <v>54</v>
      </c>
      <c r="C1950">
        <v>198.75</v>
      </c>
      <c r="D1950">
        <v>33</v>
      </c>
      <c r="E1950" s="18">
        <v>-4235.0191950142325</v>
      </c>
      <c r="F1950" s="18">
        <v>-224.16384236826835</v>
      </c>
      <c r="G1950" s="18">
        <v>-476.71575391901774</v>
      </c>
      <c r="H1950" s="12">
        <f>E1951</f>
      </c>
      <c r="I1950" s="12">
        <f>F1951</f>
      </c>
      <c r="J1950" s="12">
        <f>G1951</f>
      </c>
      <c r="K1950">
        <f>IF(AND(Pu&gt;=MIN(E1950,H1950),Pu&lt;=MAX(E1950,H1950),E1950&lt;&gt;H1950),1,0)</f>
      </c>
      <c r="L1950">
        <f>IF(K1950=1,(Pu-E1950)/(H1950-E1950),"")</f>
      </c>
      <c r="M1950" s="12">
        <f>IF(K1950=1,F1950+L1950*(I1950-F1950),"")</f>
      </c>
      <c r="N1950" s="12">
        <f>IF(K1950=1,G1950+L1950*(J1950-G1950),"")</f>
      </c>
    </row>
    <row r="1951" spans="2:14" x14ac:dyDescent="0.25">
      <c r="B1951">
        <v>54</v>
      </c>
      <c r="C1951">
        <v>198.75</v>
      </c>
      <c r="D1951">
        <v>34</v>
      </c>
      <c r="E1951" s="18">
        <v>-4653.056511781503</v>
      </c>
      <c r="F1951" s="18">
        <v>-93.00944403722157</v>
      </c>
      <c r="G1951" s="18">
        <v>-189.7520364227842</v>
      </c>
      <c r="H1951" s="12">
        <f>E1952</f>
      </c>
      <c r="I1951" s="12">
        <f>F1952</f>
      </c>
      <c r="J1951" s="12">
        <f>G1952</f>
      </c>
      <c r="K1951">
        <f>IF(AND(Pu&gt;=MIN(E1951,H1951),Pu&lt;=MAX(E1951,H1951),E1951&lt;&gt;H1951),1,0)</f>
      </c>
      <c r="L1951">
        <f>IF(K1951=1,(Pu-E1951)/(H1951-E1951),"")</f>
      </c>
      <c r="M1951" s="12">
        <f>IF(K1951=1,F1951+L1951*(I1951-F1951),"")</f>
      </c>
      <c r="N1951" s="12">
        <f>IF(K1951=1,G1951+L1951*(J1951-G1951),"")</f>
      </c>
    </row>
    <row r="1952" spans="2:7" x14ac:dyDescent="0.25">
      <c r="B1952">
        <v>54</v>
      </c>
      <c r="C1952">
        <v>198.75</v>
      </c>
      <c r="D1952">
        <v>35</v>
      </c>
      <c r="E1952" s="18">
        <v>-4822.920703763153</v>
      </c>
      <c r="F1952" s="18">
        <v>-37.48897478986954</v>
      </c>
      <c r="G1952" s="18">
        <v>-72.04289324875508</v>
      </c>
    </row>
    <row r="1954" spans="2:14" x14ac:dyDescent="0.25">
      <c r="B1954">
        <v>55</v>
      </c>
      <c r="C1954">
        <v>202.50000000000003</v>
      </c>
      <c r="D1954">
        <v>1</v>
      </c>
      <c r="E1954" s="18">
        <v>16697.570121403427</v>
      </c>
      <c r="F1954" s="18">
        <v>-868.7950921899701</v>
      </c>
      <c r="G1954" s="18">
        <v>-2987.143994213129</v>
      </c>
      <c r="H1954" s="12">
        <f>E1955</f>
      </c>
      <c r="I1954" s="12">
        <f>F1955</f>
      </c>
      <c r="J1954" s="12">
        <f>G1955</f>
      </c>
      <c r="K1954">
        <f>IF(AND(Pu&gt;=MIN(E1954,H1954),Pu&lt;=MAX(E1954,H1954),E1954&lt;&gt;H1954),1,0)</f>
      </c>
      <c r="L1954">
        <f>IF(K1954=1,(Pu-E1954)/(H1954-E1954),"")</f>
      </c>
      <c r="M1954" s="12">
        <f>IF(K1954=1,F1954+L1954*(I1954-F1954),"")</f>
      </c>
      <c r="N1954" s="12">
        <f>IF(K1954=1,G1954+L1954*(J1954-G1954),"")</f>
      </c>
    </row>
    <row r="1955" spans="2:14" x14ac:dyDescent="0.25">
      <c r="B1955">
        <v>55</v>
      </c>
      <c r="C1955">
        <v>202.50000000000003</v>
      </c>
      <c r="D1955">
        <v>2</v>
      </c>
      <c r="E1955" s="18">
        <v>15829.271685990756</v>
      </c>
      <c r="F1955" s="18">
        <v>-908.154722419556</v>
      </c>
      <c r="G1955" s="18">
        <v>-3321.945674811396</v>
      </c>
      <c r="H1955" s="12">
        <f>E1956</f>
      </c>
      <c r="I1955" s="12">
        <f>F1956</f>
      </c>
      <c r="J1955" s="12">
        <f>G1956</f>
      </c>
      <c r="K1955">
        <f>IF(AND(Pu&gt;=MIN(E1955,H1955),Pu&lt;=MAX(E1955,H1955),E1955&lt;&gt;H1955),1,0)</f>
      </c>
      <c r="L1955">
        <f>IF(K1955=1,(Pu-E1955)/(H1955-E1955),"")</f>
      </c>
      <c r="M1955" s="12">
        <f>IF(K1955=1,F1955+L1955*(I1955-F1955),"")</f>
      </c>
      <c r="N1955" s="12">
        <f>IF(K1955=1,G1955+L1955*(J1955-G1955),"")</f>
      </c>
    </row>
    <row r="1956" spans="2:14" x14ac:dyDescent="0.25">
      <c r="B1956">
        <v>55</v>
      </c>
      <c r="C1956">
        <v>202.50000000000003</v>
      </c>
      <c r="D1956">
        <v>3</v>
      </c>
      <c r="E1956" s="18">
        <v>14136.469163529016</v>
      </c>
      <c r="F1956" s="18">
        <v>-1041.7785452556716</v>
      </c>
      <c r="G1956" s="18">
        <v>-3793.7896351517634</v>
      </c>
      <c r="H1956" s="12">
        <f>E1957</f>
      </c>
      <c r="I1956" s="12">
        <f>F1957</f>
      </c>
      <c r="J1956" s="12">
        <f>G1957</f>
      </c>
      <c r="K1956">
        <f>IF(AND(Pu&gt;=MIN(E1956,H1956),Pu&lt;=MAX(E1956,H1956),E1956&lt;&gt;H1956),1,0)</f>
      </c>
      <c r="L1956">
        <f>IF(K1956=1,(Pu-E1956)/(H1956-E1956),"")</f>
      </c>
      <c r="M1956" s="12">
        <f>IF(K1956=1,F1956+L1956*(I1956-F1956),"")</f>
      </c>
      <c r="N1956" s="12">
        <f>IF(K1956=1,G1956+L1956*(J1956-G1956),"")</f>
      </c>
    </row>
    <row r="1957" spans="2:14" x14ac:dyDescent="0.25">
      <c r="B1957">
        <v>55</v>
      </c>
      <c r="C1957">
        <v>202.50000000000003</v>
      </c>
      <c r="D1957">
        <v>4</v>
      </c>
      <c r="E1957" s="18">
        <v>12176.361807154222</v>
      </c>
      <c r="F1957" s="18">
        <v>-1245.2221381027334</v>
      </c>
      <c r="G1957" s="18">
        <v>-4107.44970477967</v>
      </c>
      <c r="H1957" s="12">
        <f>E1958</f>
      </c>
      <c r="I1957" s="12">
        <f>F1958</f>
      </c>
      <c r="J1957" s="12">
        <f>G1958</f>
      </c>
      <c r="K1957">
        <f>IF(AND(Pu&gt;=MIN(E1957,H1957),Pu&lt;=MAX(E1957,H1957),E1957&lt;&gt;H1957),1,0)</f>
      </c>
      <c r="L1957">
        <f>IF(K1957=1,(Pu-E1957)/(H1957-E1957),"")</f>
      </c>
      <c r="M1957" s="12">
        <f>IF(K1957=1,F1957+L1957*(I1957-F1957),"")</f>
      </c>
      <c r="N1957" s="12">
        <f>IF(K1957=1,G1957+L1957*(J1957-G1957),"")</f>
      </c>
    </row>
    <row r="1958" spans="2:14" x14ac:dyDescent="0.25">
      <c r="B1958">
        <v>55</v>
      </c>
      <c r="C1958">
        <v>202.50000000000003</v>
      </c>
      <c r="D1958">
        <v>5</v>
      </c>
      <c r="E1958" s="18">
        <v>10011.827658472517</v>
      </c>
      <c r="F1958" s="18">
        <v>-1320.0252053288993</v>
      </c>
      <c r="G1958" s="18">
        <v>-4315.934691552101</v>
      </c>
      <c r="H1958" s="12">
        <f>E1959</f>
      </c>
      <c r="I1958" s="12">
        <f>F1959</f>
      </c>
      <c r="J1958" s="12">
        <f>G1959</f>
      </c>
      <c r="K1958">
        <f>IF(AND(Pu&gt;=MIN(E1958,H1958),Pu&lt;=MAX(E1958,H1958),E1958&lt;&gt;H1958),1,0)</f>
      </c>
      <c r="L1958">
        <f>IF(K1958=1,(Pu-E1958)/(H1958-E1958),"")</f>
      </c>
      <c r="M1958" s="12">
        <f>IF(K1958=1,F1958+L1958*(I1958-F1958),"")</f>
      </c>
      <c r="N1958" s="12">
        <f>IF(K1958=1,G1958+L1958*(J1958-G1958),"")</f>
      </c>
    </row>
    <row r="1959" spans="2:14" x14ac:dyDescent="0.25">
      <c r="B1959">
        <v>55</v>
      </c>
      <c r="C1959">
        <v>202.50000000000003</v>
      </c>
      <c r="D1959">
        <v>6</v>
      </c>
      <c r="E1959" s="18">
        <v>8660.155100207083</v>
      </c>
      <c r="F1959" s="18">
        <v>-1343.584758104851</v>
      </c>
      <c r="G1959" s="18">
        <v>-4388.265007291908</v>
      </c>
      <c r="H1959" s="12">
        <f>E1960</f>
      </c>
      <c r="I1959" s="12">
        <f>F1960</f>
      </c>
      <c r="J1959" s="12">
        <f>G1960</f>
      </c>
      <c r="K1959">
        <f>IF(AND(Pu&gt;=MIN(E1959,H1959),Pu&lt;=MAX(E1959,H1959),E1959&lt;&gt;H1959),1,0)</f>
      </c>
      <c r="L1959">
        <f>IF(K1959=1,(Pu-E1959)/(H1959-E1959),"")</f>
      </c>
      <c r="M1959" s="12">
        <f>IF(K1959=1,F1959+L1959*(I1959-F1959),"")</f>
      </c>
      <c r="N1959" s="12">
        <f>IF(K1959=1,G1959+L1959*(J1959-G1959),"")</f>
      </c>
    </row>
    <row r="1960" spans="2:14" x14ac:dyDescent="0.25">
      <c r="B1960">
        <v>55</v>
      </c>
      <c r="C1960">
        <v>202.50000000000003</v>
      </c>
      <c r="D1960">
        <v>7</v>
      </c>
      <c r="E1960" s="18">
        <v>8272.730767674086</v>
      </c>
      <c r="F1960" s="18">
        <v>-1351.5176687718076</v>
      </c>
      <c r="G1960" s="18">
        <v>-4472.2454061621875</v>
      </c>
      <c r="H1960" s="12">
        <f>E1961</f>
      </c>
      <c r="I1960" s="12">
        <f>F1961</f>
      </c>
      <c r="J1960" s="12">
        <f>G1961</f>
      </c>
      <c r="K1960">
        <f>IF(AND(Pu&gt;=MIN(E1960,H1960),Pu&lt;=MAX(E1960,H1960),E1960&lt;&gt;H1960),1,0)</f>
      </c>
      <c r="L1960">
        <f>IF(K1960=1,(Pu-E1960)/(H1960-E1960),"")</f>
      </c>
      <c r="M1960" s="12">
        <f>IF(K1960=1,F1960+L1960*(I1960-F1960),"")</f>
      </c>
      <c r="N1960" s="12">
        <f>IF(K1960=1,G1960+L1960*(J1960-G1960),"")</f>
      </c>
    </row>
    <row r="1961" spans="2:14" x14ac:dyDescent="0.25">
      <c r="B1961">
        <v>55</v>
      </c>
      <c r="C1961">
        <v>202.50000000000003</v>
      </c>
      <c r="D1961">
        <v>8</v>
      </c>
      <c r="E1961" s="18">
        <v>7747.556952446062</v>
      </c>
      <c r="F1961" s="18">
        <v>-1352.78642793269</v>
      </c>
      <c r="G1961" s="18">
        <v>-4591.2630682631525</v>
      </c>
      <c r="H1961" s="12">
        <f>E1962</f>
      </c>
      <c r="I1961" s="12">
        <f>F1962</f>
      </c>
      <c r="J1961" s="12">
        <f>G1962</f>
      </c>
      <c r="K1961">
        <f>IF(AND(Pu&gt;=MIN(E1961,H1961),Pu&lt;=MAX(E1961,H1961),E1961&lt;&gt;H1961),1,0)</f>
      </c>
      <c r="L1961">
        <f>IF(K1961=1,(Pu-E1961)/(H1961-E1961),"")</f>
      </c>
      <c r="M1961" s="12">
        <f>IF(K1961=1,F1961+L1961*(I1961-F1961),"")</f>
      </c>
      <c r="N1961" s="12">
        <f>IF(K1961=1,G1961+L1961*(J1961-G1961),"")</f>
      </c>
    </row>
    <row r="1962" spans="2:14" x14ac:dyDescent="0.25">
      <c r="B1962">
        <v>55</v>
      </c>
      <c r="C1962">
        <v>202.50000000000003</v>
      </c>
      <c r="D1962">
        <v>9</v>
      </c>
      <c r="E1962" s="18">
        <v>7266.02787475148</v>
      </c>
      <c r="F1962" s="18">
        <v>-1351.5204595890937</v>
      </c>
      <c r="G1962" s="18">
        <v>-4698.639263074952</v>
      </c>
      <c r="H1962" s="12">
        <f>E1963</f>
      </c>
      <c r="I1962" s="12">
        <f>F1963</f>
      </c>
      <c r="J1962" s="12">
        <f>G1963</f>
      </c>
      <c r="K1962">
        <f>IF(AND(Pu&gt;=MIN(E1962,H1962),Pu&lt;=MAX(E1962,H1962),E1962&lt;&gt;H1962),1,0)</f>
      </c>
      <c r="L1962">
        <f>IF(K1962=1,(Pu-E1962)/(H1962-E1962),"")</f>
      </c>
      <c r="M1962" s="12">
        <f>IF(K1962=1,F1962+L1962*(I1962-F1962),"")</f>
      </c>
      <c r="N1962" s="12">
        <f>IF(K1962=1,G1962+L1962*(J1962-G1962),"")</f>
      </c>
    </row>
    <row r="1963" spans="2:14" x14ac:dyDescent="0.25">
      <c r="B1963">
        <v>55</v>
      </c>
      <c r="C1963">
        <v>202.50000000000003</v>
      </c>
      <c r="D1963">
        <v>10</v>
      </c>
      <c r="E1963" s="18">
        <v>7044.017016872769</v>
      </c>
      <c r="F1963" s="18">
        <v>-1346.5050648033255</v>
      </c>
      <c r="G1963" s="18">
        <v>-4744.209137203646</v>
      </c>
      <c r="H1963" s="12">
        <f>E1964</f>
      </c>
      <c r="I1963" s="12">
        <f>F1964</f>
      </c>
      <c r="J1963" s="12">
        <f>G1964</f>
      </c>
      <c r="K1963">
        <f>IF(AND(Pu&gt;=MIN(E1963,H1963),Pu&lt;=MAX(E1963,H1963),E1963&lt;&gt;H1963),1,0)</f>
      </c>
      <c r="L1963">
        <f>IF(K1963=1,(Pu-E1963)/(H1963-E1963),"")</f>
      </c>
      <c r="M1963" s="12">
        <f>IF(K1963=1,F1963+L1963*(I1963-F1963),"")</f>
      </c>
      <c r="N1963" s="12">
        <f>IF(K1963=1,G1963+L1963*(J1963-G1963),"")</f>
      </c>
    </row>
    <row r="1964" spans="2:14" x14ac:dyDescent="0.25">
      <c r="B1964">
        <v>55</v>
      </c>
      <c r="C1964">
        <v>202.50000000000003</v>
      </c>
      <c r="D1964">
        <v>11</v>
      </c>
      <c r="E1964" s="18">
        <v>6600.5356017419335</v>
      </c>
      <c r="F1964" s="18">
        <v>-1334.5506880253706</v>
      </c>
      <c r="G1964" s="18">
        <v>-4838.736688422332</v>
      </c>
      <c r="H1964" s="12">
        <f>E1965</f>
      </c>
      <c r="I1964" s="12">
        <f>F1965</f>
      </c>
      <c r="J1964" s="12">
        <f>G1965</f>
      </c>
      <c r="K1964">
        <f>IF(AND(Pu&gt;=MIN(E1964,H1964),Pu&lt;=MAX(E1964,H1964),E1964&lt;&gt;H1964),1,0)</f>
      </c>
      <c r="L1964">
        <f>IF(K1964=1,(Pu-E1964)/(H1964-E1964),"")</f>
      </c>
      <c r="M1964" s="12">
        <f>IF(K1964=1,F1964+L1964*(I1964-F1964),"")</f>
      </c>
      <c r="N1964" s="12">
        <f>IF(K1964=1,G1964+L1964*(J1964-G1964),"")</f>
      </c>
    </row>
    <row r="1965" spans="2:14" x14ac:dyDescent="0.25">
      <c r="B1965">
        <v>55</v>
      </c>
      <c r="C1965">
        <v>202.50000000000003</v>
      </c>
      <c r="D1965">
        <v>12</v>
      </c>
      <c r="E1965" s="18">
        <v>6529.105789345293</v>
      </c>
      <c r="F1965" s="18">
        <v>-1335.6481981878173</v>
      </c>
      <c r="G1965" s="18">
        <v>-4851.653742432867</v>
      </c>
      <c r="H1965" s="12">
        <f>E1966</f>
      </c>
      <c r="I1965" s="12">
        <f>F1966</f>
      </c>
      <c r="J1965" s="12">
        <f>G1966</f>
      </c>
      <c r="K1965">
        <f>IF(AND(Pu&gt;=MIN(E1965,H1965),Pu&lt;=MAX(E1965,H1965),E1965&lt;&gt;H1965),1,0)</f>
      </c>
      <c r="L1965">
        <f>IF(K1965=1,(Pu-E1965)/(H1965-E1965),"")</f>
      </c>
      <c r="M1965" s="12">
        <f>IF(K1965=1,F1965+L1965*(I1965-F1965),"")</f>
      </c>
      <c r="N1965" s="12">
        <f>IF(K1965=1,G1965+L1965*(J1965-G1965),"")</f>
      </c>
    </row>
    <row r="1966" spans="2:14" x14ac:dyDescent="0.25">
      <c r="B1966">
        <v>55</v>
      </c>
      <c r="C1966">
        <v>202.50000000000003</v>
      </c>
      <c r="D1966">
        <v>13</v>
      </c>
      <c r="E1966" s="18">
        <v>6112.3642477051535</v>
      </c>
      <c r="F1966" s="18">
        <v>-1360.0431378819428</v>
      </c>
      <c r="G1966" s="18">
        <v>-4935.821861904623</v>
      </c>
      <c r="H1966" s="12">
        <f>E1967</f>
      </c>
      <c r="I1966" s="12">
        <f>F1967</f>
      </c>
      <c r="J1966" s="12">
        <f>G1967</f>
      </c>
      <c r="K1966">
        <f>IF(AND(Pu&gt;=MIN(E1966,H1966),Pu&lt;=MAX(E1966,H1966),E1966&lt;&gt;H1966),1,0)</f>
      </c>
      <c r="L1966">
        <f>IF(K1966=1,(Pu-E1966)/(H1966-E1966),"")</f>
      </c>
      <c r="M1966" s="12">
        <f>IF(K1966=1,F1966+L1966*(I1966-F1966),"")</f>
      </c>
      <c r="N1966" s="12">
        <f>IF(K1966=1,G1966+L1966*(J1966-G1966),"")</f>
      </c>
    </row>
    <row r="1967" spans="2:14" x14ac:dyDescent="0.25">
      <c r="B1967">
        <v>55</v>
      </c>
      <c r="C1967">
        <v>202.50000000000003</v>
      </c>
      <c r="D1967">
        <v>14</v>
      </c>
      <c r="E1967" s="18">
        <v>6056.90769240512</v>
      </c>
      <c r="F1967" s="18">
        <v>-1362.5077848318958</v>
      </c>
      <c r="G1967" s="18">
        <v>-4947.6122424743035</v>
      </c>
      <c r="H1967" s="12">
        <f>E1968</f>
      </c>
      <c r="I1967" s="12">
        <f>F1968</f>
      </c>
      <c r="J1967" s="12">
        <f>G1968</f>
      </c>
      <c r="K1967">
        <f>IF(AND(Pu&gt;=MIN(E1967,H1967),Pu&lt;=MAX(E1967,H1967),E1967&lt;&gt;H1967),1,0)</f>
      </c>
      <c r="L1967">
        <f>IF(K1967=1,(Pu-E1967)/(H1967-E1967),"")</f>
      </c>
      <c r="M1967" s="12">
        <f>IF(K1967=1,F1967+L1967*(I1967-F1967),"")</f>
      </c>
      <c r="N1967" s="12">
        <f>IF(K1967=1,G1967+L1967*(J1967-G1967),"")</f>
      </c>
    </row>
    <row r="1968" spans="2:14" x14ac:dyDescent="0.25">
      <c r="B1968">
        <v>55</v>
      </c>
      <c r="C1968">
        <v>202.50000000000003</v>
      </c>
      <c r="D1968">
        <v>15</v>
      </c>
      <c r="E1968" s="18">
        <v>5780.020901174461</v>
      </c>
      <c r="F1968" s="18">
        <v>-1375.6530203849854</v>
      </c>
      <c r="G1968" s="18">
        <v>-5011.460593990093</v>
      </c>
      <c r="H1968" s="12">
        <f>E1969</f>
      </c>
      <c r="I1968" s="12">
        <f>F1969</f>
      </c>
      <c r="J1968" s="12">
        <f>G1969</f>
      </c>
      <c r="K1968">
        <f>IF(AND(Pu&gt;=MIN(E1968,H1968),Pu&lt;=MAX(E1968,H1968),E1968&lt;&gt;H1968),1,0)</f>
      </c>
      <c r="L1968">
        <f>IF(K1968=1,(Pu-E1968)/(H1968-E1968),"")</f>
      </c>
      <c r="M1968" s="12">
        <f>IF(K1968=1,F1968+L1968*(I1968-F1968),"")</f>
      </c>
      <c r="N1968" s="12">
        <f>IF(K1968=1,G1968+L1968*(J1968-G1968),"")</f>
      </c>
    </row>
    <row r="1969" spans="2:14" x14ac:dyDescent="0.25">
      <c r="B1969">
        <v>55</v>
      </c>
      <c r="C1969">
        <v>202.50000000000003</v>
      </c>
      <c r="D1969">
        <v>16</v>
      </c>
      <c r="E1969" s="18">
        <v>5473.420017581623</v>
      </c>
      <c r="F1969" s="18">
        <v>-1400.2302128915526</v>
      </c>
      <c r="G1969" s="18">
        <v>-5080.423064299658</v>
      </c>
      <c r="H1969" s="12">
        <f>E1970</f>
      </c>
      <c r="I1969" s="12">
        <f>F1970</f>
      </c>
      <c r="J1969" s="12">
        <f>G1970</f>
      </c>
      <c r="K1969">
        <f>IF(AND(Pu&gt;=MIN(E1969,H1969),Pu&lt;=MAX(E1969,H1969),E1969&lt;&gt;H1969),1,0)</f>
      </c>
      <c r="L1969">
        <f>IF(K1969=1,(Pu-E1969)/(H1969-E1969),"")</f>
      </c>
      <c r="M1969" s="12">
        <f>IF(K1969=1,F1969+L1969*(I1969-F1969),"")</f>
      </c>
      <c r="N1969" s="12">
        <f>IF(K1969=1,G1969+L1969*(J1969-G1969),"")</f>
      </c>
    </row>
    <row r="1970" spans="2:14" x14ac:dyDescent="0.25">
      <c r="B1970">
        <v>55</v>
      </c>
      <c r="C1970">
        <v>202.50000000000003</v>
      </c>
      <c r="D1970">
        <v>17</v>
      </c>
      <c r="E1970" s="18">
        <v>5273.078862357542</v>
      </c>
      <c r="F1970" s="18">
        <v>-1415.3142860739265</v>
      </c>
      <c r="G1970" s="18">
        <v>-5120.94270996015</v>
      </c>
      <c r="H1970" s="12">
        <f>E1971</f>
      </c>
      <c r="I1970" s="12">
        <f>F1971</f>
      </c>
      <c r="J1970" s="12">
        <f>G1971</f>
      </c>
      <c r="K1970">
        <f>IF(AND(Pu&gt;=MIN(E1970,H1970),Pu&lt;=MAX(E1970,H1970),E1970&lt;&gt;H1970),1,0)</f>
      </c>
      <c r="L1970">
        <f>IF(K1970=1,(Pu-E1970)/(H1970-E1970),"")</f>
      </c>
      <c r="M1970" s="12">
        <f>IF(K1970=1,F1970+L1970*(I1970-F1970),"")</f>
      </c>
      <c r="N1970" s="12">
        <f>IF(K1970=1,G1970+L1970*(J1970-G1970),"")</f>
      </c>
    </row>
    <row r="1971" spans="2:14" x14ac:dyDescent="0.25">
      <c r="B1971">
        <v>55</v>
      </c>
      <c r="C1971">
        <v>202.50000000000003</v>
      </c>
      <c r="D1971">
        <v>18</v>
      </c>
      <c r="E1971" s="18">
        <v>5168.521467496139</v>
      </c>
      <c r="F1971" s="18">
        <v>-1423.5778932251446</v>
      </c>
      <c r="G1971" s="18">
        <v>-5142.067748172542</v>
      </c>
      <c r="H1971" s="12">
        <f>E1972</f>
      </c>
      <c r="I1971" s="12">
        <f>F1972</f>
      </c>
      <c r="J1971" s="12">
        <f>G1972</f>
      </c>
      <c r="K1971">
        <f>IF(AND(Pu&gt;=MIN(E1971,H1971),Pu&lt;=MAX(E1971,H1971),E1971&lt;&gt;H1971),1,0)</f>
      </c>
      <c r="L1971">
        <f>IF(K1971=1,(Pu-E1971)/(H1971-E1971),"")</f>
      </c>
      <c r="M1971" s="12">
        <f>IF(K1971=1,F1971+L1971*(I1971-F1971),"")</f>
      </c>
      <c r="N1971" s="12">
        <f>IF(K1971=1,G1971+L1971*(J1971-G1971),"")</f>
      </c>
    </row>
    <row r="1972" spans="2:14" x14ac:dyDescent="0.25">
      <c r="B1972">
        <v>55</v>
      </c>
      <c r="C1972">
        <v>202.50000000000003</v>
      </c>
      <c r="D1972">
        <v>19</v>
      </c>
      <c r="E1972" s="18">
        <v>4891.244997979237</v>
      </c>
      <c r="F1972" s="18">
        <v>-1435.971119883016</v>
      </c>
      <c r="G1972" s="18">
        <v>-5198.528634661525</v>
      </c>
      <c r="H1972" s="12">
        <f>E1973</f>
      </c>
      <c r="I1972" s="12">
        <f>F1973</f>
      </c>
      <c r="J1972" s="12">
        <f>G1973</f>
      </c>
      <c r="K1972">
        <f>IF(AND(Pu&gt;=MIN(E1972,H1972),Pu&lt;=MAX(E1972,H1972),E1972&lt;&gt;H1972),1,0)</f>
      </c>
      <c r="L1972">
        <f>IF(K1972=1,(Pu-E1972)/(H1972-E1972),"")</f>
      </c>
      <c r="M1972" s="12">
        <f>IF(K1972=1,F1972+L1972*(I1972-F1972),"")</f>
      </c>
      <c r="N1972" s="12">
        <f>IF(K1972=1,G1972+L1972*(J1972-G1972),"")</f>
      </c>
    </row>
    <row r="1973" spans="2:14" x14ac:dyDescent="0.25">
      <c r="B1973">
        <v>55</v>
      </c>
      <c r="C1973">
        <v>202.50000000000003</v>
      </c>
      <c r="D1973">
        <v>20</v>
      </c>
      <c r="E1973" s="18">
        <v>4828.257125597352</v>
      </c>
      <c r="F1973" s="18">
        <v>-1432.4880311946174</v>
      </c>
      <c r="G1973" s="18">
        <v>-5180.748215847795</v>
      </c>
      <c r="H1973" s="12">
        <f>E1974</f>
      </c>
      <c r="I1973" s="12">
        <f>F1974</f>
      </c>
      <c r="J1973" s="12">
        <f>G1974</f>
      </c>
      <c r="K1973">
        <f>IF(AND(Pu&gt;=MIN(E1973,H1973),Pu&lt;=MAX(E1973,H1973),E1973&lt;&gt;H1973),1,0)</f>
      </c>
      <c r="L1973">
        <f>IF(K1973=1,(Pu-E1973)/(H1973-E1973),"")</f>
      </c>
      <c r="M1973" s="12">
        <f>IF(K1973=1,F1973+L1973*(I1973-F1973),"")</f>
      </c>
      <c r="N1973" s="12">
        <f>IF(K1973=1,G1973+L1973*(J1973-G1973),"")</f>
      </c>
    </row>
    <row r="1974" spans="2:14" x14ac:dyDescent="0.25">
      <c r="B1974">
        <v>55</v>
      </c>
      <c r="C1974">
        <v>202.50000000000003</v>
      </c>
      <c r="D1974">
        <v>21</v>
      </c>
      <c r="E1974" s="18">
        <v>4259.1419106742915</v>
      </c>
      <c r="F1974" s="18">
        <v>-1408.443863527476</v>
      </c>
      <c r="G1974" s="18">
        <v>-5005.96791099801</v>
      </c>
      <c r="H1974" s="12">
        <f>E1975</f>
      </c>
      <c r="I1974" s="12">
        <f>F1975</f>
      </c>
      <c r="J1974" s="12">
        <f>G1975</f>
      </c>
      <c r="K1974">
        <f>IF(AND(Pu&gt;=MIN(E1974,H1974),Pu&lt;=MAX(E1974,H1974),E1974&lt;&gt;H1974),1,0)</f>
      </c>
      <c r="L1974">
        <f>IF(K1974=1,(Pu-E1974)/(H1974-E1974),"")</f>
      </c>
      <c r="M1974" s="12">
        <f>IF(K1974=1,F1974+L1974*(I1974-F1974),"")</f>
      </c>
      <c r="N1974" s="12">
        <f>IF(K1974=1,G1974+L1974*(J1974-G1974),"")</f>
      </c>
    </row>
    <row r="1975" spans="2:14" x14ac:dyDescent="0.25">
      <c r="B1975">
        <v>55</v>
      </c>
      <c r="C1975">
        <v>202.50000000000003</v>
      </c>
      <c r="D1975">
        <v>22</v>
      </c>
      <c r="E1975" s="18">
        <v>3311.3264428703155</v>
      </c>
      <c r="F1975" s="18">
        <v>-1367.7005081589434</v>
      </c>
      <c r="G1975" s="18">
        <v>-4686.507771944973</v>
      </c>
      <c r="H1975" s="12">
        <f>E1976</f>
      </c>
      <c r="I1975" s="12">
        <f>F1976</f>
      </c>
      <c r="J1975" s="12">
        <f>G1976</f>
      </c>
      <c r="K1975">
        <f>IF(AND(Pu&gt;=MIN(E1975,H1975),Pu&lt;=MAX(E1975,H1975),E1975&lt;&gt;H1975),1,0)</f>
      </c>
      <c r="L1975">
        <f>IF(K1975=1,(Pu-E1975)/(H1975-E1975),"")</f>
      </c>
      <c r="M1975" s="12">
        <f>IF(K1975=1,F1975+L1975*(I1975-F1975),"")</f>
      </c>
      <c r="N1975" s="12">
        <f>IF(K1975=1,G1975+L1975*(J1975-G1975),"")</f>
      </c>
    </row>
    <row r="1976" spans="2:14" x14ac:dyDescent="0.25">
      <c r="B1976">
        <v>55</v>
      </c>
      <c r="C1976">
        <v>202.50000000000003</v>
      </c>
      <c r="D1976">
        <v>23</v>
      </c>
      <c r="E1976" s="18">
        <v>2514.903426884667</v>
      </c>
      <c r="F1976" s="18">
        <v>-1339.9449560133075</v>
      </c>
      <c r="G1976" s="18">
        <v>-4340.214017129591</v>
      </c>
      <c r="H1976" s="12">
        <f>E1977</f>
      </c>
      <c r="I1976" s="12">
        <f>F1977</f>
      </c>
      <c r="J1976" s="12">
        <f>G1977</f>
      </c>
      <c r="K1976">
        <f>IF(AND(Pu&gt;=MIN(E1976,H1976),Pu&lt;=MAX(E1976,H1976),E1976&lt;&gt;H1976),1,0)</f>
      </c>
      <c r="L1976">
        <f>IF(K1976=1,(Pu-E1976)/(H1976-E1976),"")</f>
      </c>
      <c r="M1976" s="12">
        <f>IF(K1976=1,F1976+L1976*(I1976-F1976),"")</f>
      </c>
      <c r="N1976" s="12">
        <f>IF(K1976=1,G1976+L1976*(J1976-G1976),"")</f>
      </c>
    </row>
    <row r="1977" spans="2:14" x14ac:dyDescent="0.25">
      <c r="B1977">
        <v>55</v>
      </c>
      <c r="C1977">
        <v>202.50000000000003</v>
      </c>
      <c r="D1977">
        <v>24</v>
      </c>
      <c r="E1977" s="18">
        <v>1751.2191898598392</v>
      </c>
      <c r="F1977" s="18">
        <v>-1306.0381114882332</v>
      </c>
      <c r="G1977" s="18">
        <v>-3986.0650641966554</v>
      </c>
      <c r="H1977" s="12">
        <f>E1978</f>
      </c>
      <c r="I1977" s="12">
        <f>F1978</f>
      </c>
      <c r="J1977" s="12">
        <f>G1978</f>
      </c>
      <c r="K1977">
        <f>IF(AND(Pu&gt;=MIN(E1977,H1977),Pu&lt;=MAX(E1977,H1977),E1977&lt;&gt;H1977),1,0)</f>
      </c>
      <c r="L1977">
        <f>IF(K1977=1,(Pu-E1977)/(H1977-E1977),"")</f>
      </c>
      <c r="M1977" s="12">
        <f>IF(K1977=1,F1977+L1977*(I1977-F1977),"")</f>
      </c>
      <c r="N1977" s="12">
        <f>IF(K1977=1,G1977+L1977*(J1977-G1977),"")</f>
      </c>
    </row>
    <row r="1978" spans="2:14" x14ac:dyDescent="0.25">
      <c r="B1978">
        <v>55</v>
      </c>
      <c r="C1978">
        <v>202.50000000000003</v>
      </c>
      <c r="D1978">
        <v>25</v>
      </c>
      <c r="E1978" s="18">
        <v>600.0206378851675</v>
      </c>
      <c r="F1978" s="18">
        <v>-1193.8564515306741</v>
      </c>
      <c r="G1978" s="18">
        <v>-3381.4877647060807</v>
      </c>
      <c r="H1978" s="12">
        <f>E1979</f>
      </c>
      <c r="I1978" s="12">
        <f>F1979</f>
      </c>
      <c r="J1978" s="12">
        <f>G1979</f>
      </c>
      <c r="K1978">
        <f>IF(AND(Pu&gt;=MIN(E1978,H1978),Pu&lt;=MAX(E1978,H1978),E1978&lt;&gt;H1978),1,0)</f>
      </c>
      <c r="L1978">
        <f>IF(K1978=1,(Pu-E1978)/(H1978-E1978),"")</f>
      </c>
      <c r="M1978" s="12">
        <f>IF(K1978=1,F1978+L1978*(I1978-F1978),"")</f>
      </c>
      <c r="N1978" s="12">
        <f>IF(K1978=1,G1978+L1978*(J1978-G1978),"")</f>
      </c>
    </row>
    <row r="1979" spans="2:14" x14ac:dyDescent="0.25">
      <c r="B1979">
        <v>55</v>
      </c>
      <c r="C1979">
        <v>202.50000000000003</v>
      </c>
      <c r="D1979">
        <v>26</v>
      </c>
      <c r="E1979" s="18">
        <v>-310.5779810579899</v>
      </c>
      <c r="F1979" s="18">
        <v>-1065.572753958488</v>
      </c>
      <c r="G1979" s="18">
        <v>-2881.6242735264996</v>
      </c>
      <c r="H1979" s="12">
        <f>E1980</f>
      </c>
      <c r="I1979" s="12">
        <f>F1980</f>
      </c>
      <c r="J1979" s="12">
        <f>G1980</f>
      </c>
      <c r="K1979">
        <f>IF(AND(Pu&gt;=MIN(E1979,H1979),Pu&lt;=MAX(E1979,H1979),E1979&lt;&gt;H1979),1,0)</f>
      </c>
      <c r="L1979">
        <f>IF(K1979=1,(Pu-E1979)/(H1979-E1979),"")</f>
      </c>
      <c r="M1979" s="12">
        <f>IF(K1979=1,F1979+L1979*(I1979-F1979),"")</f>
      </c>
      <c r="N1979" s="12">
        <f>IF(K1979=1,G1979+L1979*(J1979-G1979),"")</f>
      </c>
    </row>
    <row r="1980" spans="2:14" x14ac:dyDescent="0.25">
      <c r="B1980">
        <v>55</v>
      </c>
      <c r="C1980">
        <v>202.50000000000003</v>
      </c>
      <c r="D1980">
        <v>27</v>
      </c>
      <c r="E1980" s="18">
        <v>-1094.9016605889178</v>
      </c>
      <c r="F1980" s="18">
        <v>-929.983643903518</v>
      </c>
      <c r="G1980" s="18">
        <v>-2435.571499489682</v>
      </c>
      <c r="H1980" s="12">
        <f>E1981</f>
      </c>
      <c r="I1980" s="12">
        <f>F1981</f>
      </c>
      <c r="J1980" s="12">
        <f>G1981</f>
      </c>
      <c r="K1980">
        <f>IF(AND(Pu&gt;=MIN(E1980,H1980),Pu&lt;=MAX(E1980,H1980),E1980&lt;&gt;H1980),1,0)</f>
      </c>
      <c r="L1980">
        <f>IF(K1980=1,(Pu-E1980)/(H1980-E1980),"")</f>
      </c>
      <c r="M1980" s="12">
        <f>IF(K1980=1,F1980+L1980*(I1980-F1980),"")</f>
      </c>
      <c r="N1980" s="12">
        <f>IF(K1980=1,G1980+L1980*(J1980-G1980),"")</f>
      </c>
    </row>
    <row r="1981" spans="2:14" x14ac:dyDescent="0.25">
      <c r="B1981">
        <v>55</v>
      </c>
      <c r="C1981">
        <v>202.50000000000003</v>
      </c>
      <c r="D1981">
        <v>28</v>
      </c>
      <c r="E1981" s="18">
        <v>-1716.6056623690436</v>
      </c>
      <c r="F1981" s="18">
        <v>-824.9862839284133</v>
      </c>
      <c r="G1981" s="18">
        <v>-2060.4954095573094</v>
      </c>
      <c r="H1981" s="12">
        <f>E1982</f>
      </c>
      <c r="I1981" s="12">
        <f>F1982</f>
      </c>
      <c r="J1981" s="12">
        <f>G1982</f>
      </c>
      <c r="K1981">
        <f>IF(AND(Pu&gt;=MIN(E1981,H1981),Pu&lt;=MAX(E1981,H1981),E1981&lt;&gt;H1981),1,0)</f>
      </c>
      <c r="L1981">
        <f>IF(K1981=1,(Pu-E1981)/(H1981-E1981),"")</f>
      </c>
      <c r="M1981" s="12">
        <f>IF(K1981=1,F1981+L1981*(I1981-F1981),"")</f>
      </c>
      <c r="N1981" s="12">
        <f>IF(K1981=1,G1981+L1981*(J1981-G1981),"")</f>
      </c>
    </row>
    <row r="1982" spans="2:14" x14ac:dyDescent="0.25">
      <c r="B1982">
        <v>55</v>
      </c>
      <c r="C1982">
        <v>202.50000000000003</v>
      </c>
      <c r="D1982">
        <v>29</v>
      </c>
      <c r="E1982" s="18">
        <v>-2647.6058713609405</v>
      </c>
      <c r="F1982" s="18">
        <v>-646.8083773552838</v>
      </c>
      <c r="G1982" s="18">
        <v>-1492.9211169860362</v>
      </c>
      <c r="H1982" s="12">
        <f>E1983</f>
      </c>
      <c r="I1982" s="12">
        <f>F1983</f>
      </c>
      <c r="J1982" s="12">
        <f>G1983</f>
      </c>
      <c r="K1982">
        <f>IF(AND(Pu&gt;=MIN(E1982,H1982),Pu&lt;=MAX(E1982,H1982),E1982&lt;&gt;H1982),1,0)</f>
      </c>
      <c r="L1982">
        <f>IF(K1982=1,(Pu-E1982)/(H1982-E1982),"")</f>
      </c>
      <c r="M1982" s="12">
        <f>IF(K1982=1,F1982+L1982*(I1982-F1982),"")</f>
      </c>
      <c r="N1982" s="12">
        <f>IF(K1982=1,G1982+L1982*(J1982-G1982),"")</f>
      </c>
    </row>
    <row r="1983" spans="2:14" x14ac:dyDescent="0.25">
      <c r="B1983">
        <v>55</v>
      </c>
      <c r="C1983">
        <v>202.50000000000003</v>
      </c>
      <c r="D1983">
        <v>30</v>
      </c>
      <c r="E1983" s="18">
        <v>-3287.3876456339103</v>
      </c>
      <c r="F1983" s="18">
        <v>-485.0935176079869</v>
      </c>
      <c r="G1983" s="18">
        <v>-1101.910989595966</v>
      </c>
      <c r="H1983" s="12">
        <f>E1984</f>
      </c>
      <c r="I1983" s="12">
        <f>F1984</f>
      </c>
      <c r="J1983" s="12">
        <f>G1984</f>
      </c>
      <c r="K1983">
        <f>IF(AND(Pu&gt;=MIN(E1983,H1983),Pu&lt;=MAX(E1983,H1983),E1983&lt;&gt;H1983),1,0)</f>
      </c>
      <c r="L1983">
        <f>IF(K1983=1,(Pu-E1983)/(H1983-E1983),"")</f>
      </c>
      <c r="M1983" s="12">
        <f>IF(K1983=1,F1983+L1983*(I1983-F1983),"")</f>
      </c>
      <c r="N1983" s="12">
        <f>IF(K1983=1,G1983+L1983*(J1983-G1983),"")</f>
      </c>
    </row>
    <row r="1984" spans="2:14" x14ac:dyDescent="0.25">
      <c r="B1984">
        <v>55</v>
      </c>
      <c r="C1984">
        <v>202.50000000000003</v>
      </c>
      <c r="D1984">
        <v>31</v>
      </c>
      <c r="E1984" s="18">
        <v>-3921.463485383802</v>
      </c>
      <c r="F1984" s="18">
        <v>-321.8603077402549</v>
      </c>
      <c r="G1984" s="18">
        <v>-683.9607470805666</v>
      </c>
      <c r="H1984" s="12">
        <f>E1985</f>
      </c>
      <c r="I1984" s="12">
        <f>F1985</f>
      </c>
      <c r="J1984" s="12">
        <f>G1985</f>
      </c>
      <c r="K1984">
        <f>IF(AND(Pu&gt;=MIN(E1984,H1984),Pu&lt;=MAX(E1984,H1984),E1984&lt;&gt;H1984),1,0)</f>
      </c>
      <c r="L1984">
        <f>IF(K1984=1,(Pu-E1984)/(H1984-E1984),"")</f>
      </c>
      <c r="M1984" s="12">
        <f>IF(K1984=1,F1984+L1984*(I1984-F1984),"")</f>
      </c>
      <c r="N1984" s="12">
        <f>IF(K1984=1,G1984+L1984*(J1984-G1984),"")</f>
      </c>
    </row>
    <row r="1985" spans="2:14" x14ac:dyDescent="0.25">
      <c r="B1985">
        <v>55</v>
      </c>
      <c r="C1985">
        <v>202.50000000000003</v>
      </c>
      <c r="D1985">
        <v>32</v>
      </c>
      <c r="E1985" s="18">
        <v>-4273.21849297546</v>
      </c>
      <c r="F1985" s="18">
        <v>-223.52689354957917</v>
      </c>
      <c r="G1985" s="18">
        <v>-447.92472003938343</v>
      </c>
      <c r="H1985" s="12">
        <f>E1986</f>
      </c>
      <c r="I1985" s="12">
        <f>F1986</f>
      </c>
      <c r="J1985" s="12">
        <f>G1986</f>
      </c>
      <c r="K1985">
        <f>IF(AND(Pu&gt;=MIN(E1985,H1985),Pu&lt;=MAX(E1985,H1985),E1985&lt;&gt;H1985),1,0)</f>
      </c>
      <c r="L1985">
        <f>IF(K1985=1,(Pu-E1985)/(H1985-E1985),"")</f>
      </c>
      <c r="M1985" s="12">
        <f>IF(K1985=1,F1985+L1985*(I1985-F1985),"")</f>
      </c>
      <c r="N1985" s="12">
        <f>IF(K1985=1,G1985+L1985*(J1985-G1985),"")</f>
      </c>
    </row>
    <row r="1986" spans="2:14" x14ac:dyDescent="0.25">
      <c r="B1986">
        <v>55</v>
      </c>
      <c r="C1986">
        <v>202.50000000000003</v>
      </c>
      <c r="D1986">
        <v>33</v>
      </c>
      <c r="E1986" s="18">
        <v>-4678.39102320413</v>
      </c>
      <c r="F1986" s="18">
        <v>-87.63255030029006</v>
      </c>
      <c r="G1986" s="18">
        <v>-171.58850796840466</v>
      </c>
      <c r="H1986" s="12">
        <f>E1987</f>
      </c>
      <c r="I1986" s="12">
        <f>F1987</f>
      </c>
      <c r="J1986" s="12">
        <f>G1987</f>
      </c>
      <c r="K1986">
        <f>IF(AND(Pu&gt;=MIN(E1986,H1986),Pu&lt;=MAX(E1986,H1986),E1986&lt;&gt;H1986),1,0)</f>
      </c>
      <c r="L1986">
        <f>IF(K1986=1,(Pu-E1986)/(H1986-E1986),"")</f>
      </c>
      <c r="M1986" s="12">
        <f>IF(K1986=1,F1986+L1986*(I1986-F1986),"")</f>
      </c>
      <c r="N1986" s="12">
        <f>IF(K1986=1,G1986+L1986*(J1986-G1986),"")</f>
      </c>
    </row>
    <row r="1987" spans="2:7" x14ac:dyDescent="0.25">
      <c r="B1987">
        <v>55</v>
      </c>
      <c r="C1987">
        <v>202.50000000000003</v>
      </c>
      <c r="D1987">
        <v>34</v>
      </c>
      <c r="E1987" s="18">
        <v>-4824.154049701968</v>
      </c>
      <c r="F1987" s="18">
        <v>-38.057430503231</v>
      </c>
      <c r="G1987" s="18">
        <v>-70.77567313320827</v>
      </c>
    </row>
    <row r="1989" spans="2:14" x14ac:dyDescent="0.25">
      <c r="B1989">
        <v>56</v>
      </c>
      <c r="C1989">
        <v>209.99999999999997</v>
      </c>
      <c r="D1989">
        <v>1</v>
      </c>
      <c r="E1989" s="18">
        <v>16949.26077094792</v>
      </c>
      <c r="F1989" s="18">
        <v>-1136.5160226693106</v>
      </c>
      <c r="G1989" s="18">
        <v>-2731.6233415084075</v>
      </c>
      <c r="H1989" s="12">
        <f>E1990</f>
      </c>
      <c r="I1989" s="12">
        <f>F1990</f>
      </c>
      <c r="J1989" s="12">
        <f>G1990</f>
      </c>
      <c r="K1989">
        <f>IF(AND(Pu&gt;=MIN(E1989,H1989),Pu&lt;=MAX(E1989,H1989),E1989&lt;&gt;H1989),1,0)</f>
      </c>
      <c r="L1989">
        <f>IF(K1989=1,(Pu-E1989)/(H1989-E1989),"")</f>
      </c>
      <c r="M1989" s="12">
        <f>IF(K1989=1,F1989+L1989*(I1989-F1989),"")</f>
      </c>
      <c r="N1989" s="12">
        <f>IF(K1989=1,G1989+L1989*(J1989-G1989),"")</f>
      </c>
    </row>
    <row r="1990" spans="2:14" x14ac:dyDescent="0.25">
      <c r="B1990">
        <v>56</v>
      </c>
      <c r="C1990">
        <v>209.99999999999997</v>
      </c>
      <c r="D1990">
        <v>2</v>
      </c>
      <c r="E1990" s="18">
        <v>15945.736422416207</v>
      </c>
      <c r="F1990" s="18">
        <v>-1220.295850237285</v>
      </c>
      <c r="G1990" s="18">
        <v>-3123.208121018222</v>
      </c>
      <c r="H1990" s="12">
        <f>E1991</f>
      </c>
      <c r="I1990" s="12">
        <f>F1991</f>
      </c>
      <c r="J1990" s="12">
        <f>G1991</f>
      </c>
      <c r="K1990">
        <f>IF(AND(Pu&gt;=MIN(E1990,H1990),Pu&lt;=MAX(E1990,H1990),E1990&lt;&gt;H1990),1,0)</f>
      </c>
      <c r="L1990">
        <f>IF(K1990=1,(Pu-E1990)/(H1990-E1990),"")</f>
      </c>
      <c r="M1990" s="12">
        <f>IF(K1990=1,F1990+L1990*(I1990-F1990),"")</f>
      </c>
      <c r="N1990" s="12">
        <f>IF(K1990=1,G1990+L1990*(J1990-G1990),"")</f>
      </c>
    </row>
    <row r="1991" spans="2:14" x14ac:dyDescent="0.25">
      <c r="B1991">
        <v>56</v>
      </c>
      <c r="C1991">
        <v>209.99999999999997</v>
      </c>
      <c r="D1991">
        <v>3</v>
      </c>
      <c r="E1991" s="18">
        <v>14128.36391210848</v>
      </c>
      <c r="F1991" s="18">
        <v>-1432.7102899734364</v>
      </c>
      <c r="G1991" s="18">
        <v>-3596.5105786076397</v>
      </c>
      <c r="H1991" s="12">
        <f>E1992</f>
      </c>
      <c r="I1991" s="12">
        <f>F1992</f>
      </c>
      <c r="J1991" s="12">
        <f>G1992</f>
      </c>
      <c r="K1991">
        <f>IF(AND(Pu&gt;=MIN(E1991,H1991),Pu&lt;=MAX(E1991,H1991),E1991&lt;&gt;H1991),1,0)</f>
      </c>
      <c r="L1991">
        <f>IF(K1991=1,(Pu-E1991)/(H1991-E1991),"")</f>
      </c>
      <c r="M1991" s="12">
        <f>IF(K1991=1,F1991+L1991*(I1991-F1991),"")</f>
      </c>
      <c r="N1991" s="12">
        <f>IF(K1991=1,G1991+L1991*(J1991-G1991),"")</f>
      </c>
    </row>
    <row r="1992" spans="2:14" x14ac:dyDescent="0.25">
      <c r="B1992">
        <v>56</v>
      </c>
      <c r="C1992">
        <v>209.99999999999997</v>
      </c>
      <c r="D1992">
        <v>4</v>
      </c>
      <c r="E1992" s="18">
        <v>12100.540691478107</v>
      </c>
      <c r="F1992" s="18">
        <v>-1645.646006374628</v>
      </c>
      <c r="G1992" s="18">
        <v>-3908.301404706538</v>
      </c>
      <c r="H1992" s="12">
        <f>E1993</f>
      </c>
      <c r="I1992" s="12">
        <f>F1993</f>
      </c>
      <c r="J1992" s="12">
        <f>G1993</f>
      </c>
      <c r="K1992">
        <f>IF(AND(Pu&gt;=MIN(E1992,H1992),Pu&lt;=MAX(E1992,H1992),E1992&lt;&gt;H1992),1,0)</f>
      </c>
      <c r="L1992">
        <f>IF(K1992=1,(Pu-E1992)/(H1992-E1992),"")</f>
      </c>
      <c r="M1992" s="12">
        <f>IF(K1992=1,F1992+L1992*(I1992-F1992),"")</f>
      </c>
      <c r="N1992" s="12">
        <f>IF(K1992=1,G1992+L1992*(J1992-G1992),"")</f>
      </c>
    </row>
    <row r="1993" spans="2:14" x14ac:dyDescent="0.25">
      <c r="B1993">
        <v>56</v>
      </c>
      <c r="C1993">
        <v>209.99999999999997</v>
      </c>
      <c r="D1993">
        <v>5</v>
      </c>
      <c r="E1993" s="18">
        <v>10059.625066330873</v>
      </c>
      <c r="F1993" s="18">
        <v>-1804.2418757287091</v>
      </c>
      <c r="G1993" s="18">
        <v>-4070.7527865870024</v>
      </c>
      <c r="H1993" s="12">
        <f>E1994</f>
      </c>
      <c r="I1993" s="12">
        <f>F1994</f>
      </c>
      <c r="J1993" s="12">
        <f>G1994</f>
      </c>
      <c r="K1993">
        <f>IF(AND(Pu&gt;=MIN(E1993,H1993),Pu&lt;=MAX(E1993,H1993),E1993&lt;&gt;H1993),1,0)</f>
      </c>
      <c r="L1993">
        <f>IF(K1993=1,(Pu-E1993)/(H1993-E1993),"")</f>
      </c>
      <c r="M1993" s="12">
        <f>IF(K1993=1,F1993+L1993*(I1993-F1993),"")</f>
      </c>
      <c r="N1993" s="12">
        <f>IF(K1993=1,G1993+L1993*(J1993-G1993),"")</f>
      </c>
    </row>
    <row r="1994" spans="2:14" x14ac:dyDescent="0.25">
      <c r="B1994">
        <v>56</v>
      </c>
      <c r="C1994">
        <v>209.99999999999997</v>
      </c>
      <c r="D1994">
        <v>6</v>
      </c>
      <c r="E1994" s="18">
        <v>8691.31874850863</v>
      </c>
      <c r="F1994" s="18">
        <v>-1787.0400065559834</v>
      </c>
      <c r="G1994" s="18">
        <v>-4169.332745253193</v>
      </c>
      <c r="H1994" s="12">
        <f>E1995</f>
      </c>
      <c r="I1994" s="12">
        <f>F1995</f>
      </c>
      <c r="J1994" s="12">
        <f>G1995</f>
      </c>
      <c r="K1994">
        <f>IF(AND(Pu&gt;=MIN(E1994,H1994),Pu&lt;=MAX(E1994,H1994),E1994&lt;&gt;H1994),1,0)</f>
      </c>
      <c r="L1994">
        <f>IF(K1994=1,(Pu-E1994)/(H1994-E1994),"")</f>
      </c>
      <c r="M1994" s="12">
        <f>IF(K1994=1,F1994+L1994*(I1994-F1994),"")</f>
      </c>
      <c r="N1994" s="12">
        <f>IF(K1994=1,G1994+L1994*(J1994-G1994),"")</f>
      </c>
    </row>
    <row r="1995" spans="2:14" x14ac:dyDescent="0.25">
      <c r="B1995">
        <v>56</v>
      </c>
      <c r="C1995">
        <v>209.99999999999997</v>
      </c>
      <c r="D1995">
        <v>7</v>
      </c>
      <c r="E1995" s="18">
        <v>8375.54067110234</v>
      </c>
      <c r="F1995" s="18">
        <v>-1794.9401931470138</v>
      </c>
      <c r="G1995" s="18">
        <v>-4238.476219115122</v>
      </c>
      <c r="H1995" s="12">
        <f>E1996</f>
      </c>
      <c r="I1995" s="12">
        <f>F1996</f>
      </c>
      <c r="J1995" s="12">
        <f>G1996</f>
      </c>
      <c r="K1995">
        <f>IF(AND(Pu&gt;=MIN(E1995,H1995),Pu&lt;=MAX(E1995,H1995),E1995&lt;&gt;H1995),1,0)</f>
      </c>
      <c r="L1995">
        <f>IF(K1995=1,(Pu-E1995)/(H1995-E1995),"")</f>
      </c>
      <c r="M1995" s="12">
        <f>IF(K1995=1,F1995+L1995*(I1995-F1995),"")</f>
      </c>
      <c r="N1995" s="12">
        <f>IF(K1995=1,G1995+L1995*(J1995-G1995),"")</f>
      </c>
    </row>
    <row r="1996" spans="2:14" x14ac:dyDescent="0.25">
      <c r="B1996">
        <v>56</v>
      </c>
      <c r="C1996">
        <v>209.99999999999997</v>
      </c>
      <c r="D1996">
        <v>8</v>
      </c>
      <c r="E1996" s="18">
        <v>7800.497644257992</v>
      </c>
      <c r="F1996" s="18">
        <v>-1809.9584523253206</v>
      </c>
      <c r="G1996" s="18">
        <v>-4372.309368485363</v>
      </c>
      <c r="H1996" s="12">
        <f>E1997</f>
      </c>
      <c r="I1996" s="12">
        <f>F1997</f>
      </c>
      <c r="J1996" s="12">
        <f>G1997</f>
      </c>
      <c r="K1996">
        <f>IF(AND(Pu&gt;=MIN(E1996,H1996),Pu&lt;=MAX(E1996,H1996),E1996&lt;&gt;H1996),1,0)</f>
      </c>
      <c r="L1996">
        <f>IF(K1996=1,(Pu-E1996)/(H1996-E1996),"")</f>
      </c>
      <c r="M1996" s="12">
        <f>IF(K1996=1,F1996+L1996*(I1996-F1996),"")</f>
      </c>
      <c r="N1996" s="12">
        <f>IF(K1996=1,G1996+L1996*(J1996-G1996),"")</f>
      </c>
    </row>
    <row r="1997" spans="2:14" x14ac:dyDescent="0.25">
      <c r="B1997">
        <v>56</v>
      </c>
      <c r="C1997">
        <v>209.99999999999997</v>
      </c>
      <c r="D1997">
        <v>9</v>
      </c>
      <c r="E1997" s="18">
        <v>7364.869920898578</v>
      </c>
      <c r="F1997" s="18">
        <v>-1814.7425094440955</v>
      </c>
      <c r="G1997" s="18">
        <v>-4456.480881079365</v>
      </c>
      <c r="H1997" s="12">
        <f>E1998</f>
      </c>
      <c r="I1997" s="12">
        <f>F1998</f>
      </c>
      <c r="J1997" s="12">
        <f>G1998</f>
      </c>
      <c r="K1997">
        <f>IF(AND(Pu&gt;=MIN(E1997,H1997),Pu&lt;=MAX(E1997,H1997),E1997&lt;&gt;H1997),1,0)</f>
      </c>
      <c r="L1997">
        <f>IF(K1997=1,(Pu-E1997)/(H1997-E1997),"")</f>
      </c>
      <c r="M1997" s="12">
        <f>IF(K1997=1,F1997+L1997*(I1997-F1997),"")</f>
      </c>
      <c r="N1997" s="12">
        <f>IF(K1997=1,G1997+L1997*(J1997-G1997),"")</f>
      </c>
    </row>
    <row r="1998" spans="2:14" x14ac:dyDescent="0.25">
      <c r="B1998">
        <v>56</v>
      </c>
      <c r="C1998">
        <v>209.99999999999997</v>
      </c>
      <c r="D1998">
        <v>10</v>
      </c>
      <c r="E1998" s="18">
        <v>7069.168362173618</v>
      </c>
      <c r="F1998" s="18">
        <v>-1816.0444103052737</v>
      </c>
      <c r="G1998" s="18">
        <v>-4512.660446218564</v>
      </c>
      <c r="H1998" s="12">
        <f>E1999</f>
      </c>
      <c r="I1998" s="12">
        <f>F1999</f>
      </c>
      <c r="J1998" s="12">
        <f>G1999</f>
      </c>
      <c r="K1998">
        <f>IF(AND(Pu&gt;=MIN(E1998,H1998),Pu&lt;=MAX(E1998,H1998),E1998&lt;&gt;H1998),1,0)</f>
      </c>
      <c r="L1998">
        <f>IF(K1998=1,(Pu-E1998)/(H1998-E1998),"")</f>
      </c>
      <c r="M1998" s="12">
        <f>IF(K1998=1,F1998+L1998*(I1998-F1998),"")</f>
      </c>
      <c r="N1998" s="12">
        <f>IF(K1998=1,G1998+L1998*(J1998-G1998),"")</f>
      </c>
    </row>
    <row r="1999" spans="2:14" x14ac:dyDescent="0.25">
      <c r="B1999">
        <v>56</v>
      </c>
      <c r="C1999">
        <v>209.99999999999997</v>
      </c>
      <c r="D1999">
        <v>11</v>
      </c>
      <c r="E1999" s="18">
        <v>6604.237462450877</v>
      </c>
      <c r="F1999" s="18">
        <v>-1824.6387514899368</v>
      </c>
      <c r="G1999" s="18">
        <v>-4589.900766621835</v>
      </c>
      <c r="H1999" s="12">
        <f>E2000</f>
      </c>
      <c r="I1999" s="12">
        <f>F2000</f>
      </c>
      <c r="J1999" s="12">
        <f>G2000</f>
      </c>
      <c r="K1999">
        <f>IF(AND(Pu&gt;=MIN(E1999,H1999),Pu&lt;=MAX(E1999,H1999),E1999&lt;&gt;H1999),1,0)</f>
      </c>
      <c r="L1999">
        <f>IF(K1999=1,(Pu-E1999)/(H1999-E1999),"")</f>
      </c>
      <c r="M1999" s="12">
        <f>IF(K1999=1,F1999+L1999*(I1999-F1999),"")</f>
      </c>
      <c r="N1999" s="12">
        <f>IF(K1999=1,G1999+L1999*(J1999-G1999),"")</f>
      </c>
    </row>
    <row r="2000" spans="2:14" x14ac:dyDescent="0.25">
      <c r="B2000">
        <v>56</v>
      </c>
      <c r="C2000">
        <v>209.99999999999997</v>
      </c>
      <c r="D2000">
        <v>12</v>
      </c>
      <c r="E2000" s="18">
        <v>6479.079269653519</v>
      </c>
      <c r="F2000" s="18">
        <v>-1827.4550551743066</v>
      </c>
      <c r="G2000" s="18">
        <v>-4611.876974075012</v>
      </c>
      <c r="H2000" s="12">
        <f>E2001</f>
      </c>
      <c r="I2000" s="12">
        <f>F2001</f>
      </c>
      <c r="J2000" s="12">
        <f>G2001</f>
      </c>
      <c r="K2000">
        <f>IF(AND(Pu&gt;=MIN(E2000,H2000),Pu&lt;=MAX(E2000,H2000),E2000&lt;&gt;H2000),1,0)</f>
      </c>
      <c r="L2000">
        <f>IF(K2000=1,(Pu-E2000)/(H2000-E2000),"")</f>
      </c>
      <c r="M2000" s="12">
        <f>IF(K2000=1,F2000+L2000*(I2000-F2000),"")</f>
      </c>
      <c r="N2000" s="12">
        <f>IF(K2000=1,G2000+L2000*(J2000-G2000),"")</f>
      </c>
    </row>
    <row r="2001" spans="2:14" x14ac:dyDescent="0.25">
      <c r="B2001">
        <v>56</v>
      </c>
      <c r="C2001">
        <v>209.99999999999997</v>
      </c>
      <c r="D2001">
        <v>13</v>
      </c>
      <c r="E2001" s="18">
        <v>6015.583142120543</v>
      </c>
      <c r="F2001" s="18">
        <v>-1839.7091926541038</v>
      </c>
      <c r="G2001" s="18">
        <v>-4680.595031632149</v>
      </c>
      <c r="H2001" s="12">
        <f>E2002</f>
      </c>
      <c r="I2001" s="12">
        <f>F2002</f>
      </c>
      <c r="J2001" s="12">
        <f>G2002</f>
      </c>
      <c r="K2001">
        <f>IF(AND(Pu&gt;=MIN(E2001,H2001),Pu&lt;=MAX(E2001,H2001),E2001&lt;&gt;H2001),1,0)</f>
      </c>
      <c r="L2001">
        <f>IF(K2001=1,(Pu-E2001)/(H2001-E2001),"")</f>
      </c>
      <c r="M2001" s="12">
        <f>IF(K2001=1,F2001+L2001*(I2001-F2001),"")</f>
      </c>
      <c r="N2001" s="12">
        <f>IF(K2001=1,G2001+L2001*(J2001-G2001),"")</f>
      </c>
    </row>
    <row r="2002" spans="2:14" x14ac:dyDescent="0.25">
      <c r="B2002">
        <v>56</v>
      </c>
      <c r="C2002">
        <v>209.99999999999997</v>
      </c>
      <c r="D2002">
        <v>14</v>
      </c>
      <c r="E2002" s="18">
        <v>5988.316611793603</v>
      </c>
      <c r="F2002" s="18">
        <v>-1840.7030026888385</v>
      </c>
      <c r="G2002" s="18">
        <v>-4684.087904081895</v>
      </c>
      <c r="H2002" s="12">
        <f>E2003</f>
      </c>
      <c r="I2002" s="12">
        <f>F2003</f>
      </c>
      <c r="J2002" s="12">
        <f>G2003</f>
      </c>
      <c r="K2002">
        <f>IF(AND(Pu&gt;=MIN(E2002,H2002),Pu&lt;=MAX(E2002,H2002),E2002&lt;&gt;H2002),1,0)</f>
      </c>
      <c r="L2002">
        <f>IF(K2002=1,(Pu-E2002)/(H2002-E2002),"")</f>
      </c>
      <c r="M2002" s="12">
        <f>IF(K2002=1,F2002+L2002*(I2002-F2002),"")</f>
      </c>
      <c r="N2002" s="12">
        <f>IF(K2002=1,G2002+L2002*(J2002-G2002),"")</f>
      </c>
    </row>
    <row r="2003" spans="2:14" x14ac:dyDescent="0.25">
      <c r="B2003">
        <v>56</v>
      </c>
      <c r="C2003">
        <v>209.99999999999997</v>
      </c>
      <c r="D2003">
        <v>15</v>
      </c>
      <c r="E2003" s="18">
        <v>5642.598504339467</v>
      </c>
      <c r="F2003" s="18">
        <v>-1867.9482586957204</v>
      </c>
      <c r="G2003" s="18">
        <v>-4731.855533695888</v>
      </c>
      <c r="H2003" s="12">
        <f>E2004</f>
      </c>
      <c r="I2003" s="12">
        <f>F2004</f>
      </c>
      <c r="J2003" s="12">
        <f>G2004</f>
      </c>
      <c r="K2003">
        <f>IF(AND(Pu&gt;=MIN(E2003,H2003),Pu&lt;=MAX(E2003,H2003),E2003&lt;&gt;H2003),1,0)</f>
      </c>
      <c r="L2003">
        <f>IF(K2003=1,(Pu-E2003)/(H2003-E2003),"")</f>
      </c>
      <c r="M2003" s="12">
        <f>IF(K2003=1,F2003+L2003*(I2003-F2003),"")</f>
      </c>
      <c r="N2003" s="12">
        <f>IF(K2003=1,G2003+L2003*(J2003-G2003),"")</f>
      </c>
    </row>
    <row r="2004" spans="2:14" x14ac:dyDescent="0.25">
      <c r="B2004">
        <v>56</v>
      </c>
      <c r="C2004">
        <v>209.99999999999997</v>
      </c>
      <c r="D2004">
        <v>16</v>
      </c>
      <c r="E2004" s="18">
        <v>5296.725212922347</v>
      </c>
      <c r="F2004" s="18">
        <v>-1897.6790399483673</v>
      </c>
      <c r="G2004" s="18">
        <v>-4780.337913905708</v>
      </c>
      <c r="H2004" s="12">
        <f>E2005</f>
      </c>
      <c r="I2004" s="12">
        <f>F2005</f>
      </c>
      <c r="J2004" s="12">
        <f>G2005</f>
      </c>
      <c r="K2004">
        <f>IF(AND(Pu&gt;=MIN(E2004,H2004),Pu&lt;=MAX(E2004,H2004),E2004&lt;&gt;H2004),1,0)</f>
      </c>
      <c r="L2004">
        <f>IF(K2004=1,(Pu-E2004)/(H2004-E2004),"")</f>
      </c>
      <c r="M2004" s="12">
        <f>IF(K2004=1,F2004+L2004*(I2004-F2004),"")</f>
      </c>
      <c r="N2004" s="12">
        <f>IF(K2004=1,G2004+L2004*(J2004-G2004),"")</f>
      </c>
    </row>
    <row r="2005" spans="2:14" x14ac:dyDescent="0.25">
      <c r="B2005">
        <v>56</v>
      </c>
      <c r="C2005">
        <v>209.99999999999997</v>
      </c>
      <c r="D2005">
        <v>17</v>
      </c>
      <c r="E2005" s="18">
        <v>5129.9896581077255</v>
      </c>
      <c r="F2005" s="18">
        <v>-1906.2110064519268</v>
      </c>
      <c r="G2005" s="18">
        <v>-4805.736097718</v>
      </c>
      <c r="H2005" s="12">
        <f>E2006</f>
      </c>
      <c r="I2005" s="12">
        <f>F2006</f>
      </c>
      <c r="J2005" s="12">
        <f>G2006</f>
      </c>
      <c r="K2005">
        <f>IF(AND(Pu&gt;=MIN(E2005,H2005),Pu&lt;=MAX(E2005,H2005),E2005&lt;&gt;H2005),1,0)</f>
      </c>
      <c r="L2005">
        <f>IF(K2005=1,(Pu-E2005)/(H2005-E2005),"")</f>
      </c>
      <c r="M2005" s="12">
        <f>IF(K2005=1,F2005+L2005*(I2005-F2005),"")</f>
      </c>
      <c r="N2005" s="12">
        <f>IF(K2005=1,G2005+L2005*(J2005-G2005),"")</f>
      </c>
    </row>
    <row r="2006" spans="2:14" x14ac:dyDescent="0.25">
      <c r="B2006">
        <v>56</v>
      </c>
      <c r="C2006">
        <v>209.99999999999997</v>
      </c>
      <c r="D2006">
        <v>18</v>
      </c>
      <c r="E2006" s="18">
        <v>5001.484302338405</v>
      </c>
      <c r="F2006" s="18">
        <v>-1913.2523535069338</v>
      </c>
      <c r="G2006" s="18">
        <v>-4824.999098836255</v>
      </c>
      <c r="H2006" s="12">
        <f>E2007</f>
      </c>
      <c r="I2006" s="12">
        <f>F2007</f>
      </c>
      <c r="J2006" s="12">
        <f>G2007</f>
      </c>
      <c r="K2006">
        <f>IF(AND(Pu&gt;=MIN(E2006,H2006),Pu&lt;=MAX(E2006,H2006),E2006&lt;&gt;H2006),1,0)</f>
      </c>
      <c r="L2006">
        <f>IF(K2006=1,(Pu-E2006)/(H2006-E2006),"")</f>
      </c>
      <c r="M2006" s="12">
        <f>IF(K2006=1,F2006+L2006*(I2006-F2006),"")</f>
      </c>
      <c r="N2006" s="12">
        <f>IF(K2006=1,G2006+L2006*(J2006-G2006),"")</f>
      </c>
    </row>
    <row r="2007" spans="2:14" x14ac:dyDescent="0.25">
      <c r="B2007">
        <v>56</v>
      </c>
      <c r="C2007">
        <v>209.99999999999997</v>
      </c>
      <c r="D2007">
        <v>19</v>
      </c>
      <c r="E2007" s="18">
        <v>4712.473903860887</v>
      </c>
      <c r="F2007" s="18">
        <v>-1932.0039260876254</v>
      </c>
      <c r="G2007" s="18">
        <v>-4863.813696206679</v>
      </c>
      <c r="H2007" s="12">
        <f>E2008</f>
      </c>
      <c r="I2007" s="12">
        <f>F2008</f>
      </c>
      <c r="J2007" s="12">
        <f>G2008</f>
      </c>
      <c r="K2007">
        <f>IF(AND(Pu&gt;=MIN(E2007,H2007),Pu&lt;=MAX(E2007,H2007),E2007&lt;&gt;H2007),1,0)</f>
      </c>
      <c r="L2007">
        <f>IF(K2007=1,(Pu-E2007)/(H2007-E2007),"")</f>
      </c>
      <c r="M2007" s="12">
        <f>IF(K2007=1,F2007+L2007*(I2007-F2007),"")</f>
      </c>
      <c r="N2007" s="12">
        <f>IF(K2007=1,G2007+L2007*(J2007-G2007),"")</f>
      </c>
    </row>
    <row r="2008" spans="2:14" x14ac:dyDescent="0.25">
      <c r="B2008">
        <v>56</v>
      </c>
      <c r="C2008">
        <v>209.99999999999997</v>
      </c>
      <c r="D2008">
        <v>20</v>
      </c>
      <c r="E2008" s="18">
        <v>4685.570839166038</v>
      </c>
      <c r="F2008" s="18">
        <v>-1929.8310268551922</v>
      </c>
      <c r="G2008" s="18">
        <v>-4856.939750307197</v>
      </c>
      <c r="H2008" s="12">
        <f>E2009</f>
      </c>
      <c r="I2008" s="12">
        <f>F2009</f>
      </c>
      <c r="J2008" s="12">
        <f>G2009</f>
      </c>
      <c r="K2008">
        <f>IF(AND(Pu&gt;=MIN(E2008,H2008),Pu&lt;=MAX(E2008,H2008),E2008&lt;&gt;H2008),1,0)</f>
      </c>
      <c r="L2008">
        <f>IF(K2008=1,(Pu-E2008)/(H2008-E2008),"")</f>
      </c>
      <c r="M2008" s="12">
        <f>IF(K2008=1,F2008+L2008*(I2008-F2008),"")</f>
      </c>
      <c r="N2008" s="12">
        <f>IF(K2008=1,G2008+L2008*(J2008-G2008),"")</f>
      </c>
    </row>
    <row r="2009" spans="2:14" x14ac:dyDescent="0.25">
      <c r="B2009">
        <v>56</v>
      </c>
      <c r="C2009">
        <v>209.99999999999997</v>
      </c>
      <c r="D2009">
        <v>21</v>
      </c>
      <c r="E2009" s="18">
        <v>4007.676181677933</v>
      </c>
      <c r="F2009" s="18">
        <v>-1879.5911216046209</v>
      </c>
      <c r="G2009" s="18">
        <v>-4672.734534068369</v>
      </c>
      <c r="H2009" s="12">
        <f>E2010</f>
      </c>
      <c r="I2009" s="12">
        <f>F2010</f>
      </c>
      <c r="J2009" s="12">
        <f>G2010</f>
      </c>
      <c r="K2009">
        <f>IF(AND(Pu&gt;=MIN(E2009,H2009),Pu&lt;=MAX(E2009,H2009),E2009&lt;&gt;H2009),1,0)</f>
      </c>
      <c r="L2009">
        <f>IF(K2009=1,(Pu-E2009)/(H2009-E2009),"")</f>
      </c>
      <c r="M2009" s="12">
        <f>IF(K2009=1,F2009+L2009*(I2009-F2009),"")</f>
      </c>
      <c r="N2009" s="12">
        <f>IF(K2009=1,G2009+L2009*(J2009-G2009),"")</f>
      </c>
    </row>
    <row r="2010" spans="2:14" x14ac:dyDescent="0.25">
      <c r="B2010">
        <v>56</v>
      </c>
      <c r="C2010">
        <v>209.99999999999997</v>
      </c>
      <c r="D2010">
        <v>22</v>
      </c>
      <c r="E2010" s="18">
        <v>2959.3446803062106</v>
      </c>
      <c r="F2010" s="18">
        <v>-1797.0321267261932</v>
      </c>
      <c r="G2010" s="18">
        <v>-4284.923638916932</v>
      </c>
      <c r="H2010" s="12">
        <f>E2011</f>
      </c>
      <c r="I2010" s="12">
        <f>F2011</f>
      </c>
      <c r="J2010" s="12">
        <f>G2011</f>
      </c>
      <c r="K2010">
        <f>IF(AND(Pu&gt;=MIN(E2010,H2010),Pu&lt;=MAX(E2010,H2010),E2010&lt;&gt;H2010),1,0)</f>
      </c>
      <c r="L2010">
        <f>IF(K2010=1,(Pu-E2010)/(H2010-E2010),"")</f>
      </c>
      <c r="M2010" s="12">
        <f>IF(K2010=1,F2010+L2010*(I2010-F2010),"")</f>
      </c>
      <c r="N2010" s="12">
        <f>IF(K2010=1,G2010+L2010*(J2010-G2010),"")</f>
      </c>
    </row>
    <row r="2011" spans="2:14" x14ac:dyDescent="0.25">
      <c r="B2011">
        <v>56</v>
      </c>
      <c r="C2011">
        <v>209.99999999999997</v>
      </c>
      <c r="D2011">
        <v>23</v>
      </c>
      <c r="E2011" s="18">
        <v>2067.7071481744206</v>
      </c>
      <c r="F2011" s="18">
        <v>-1714.5684129288443</v>
      </c>
      <c r="G2011" s="18">
        <v>-3917.810074907689</v>
      </c>
      <c r="H2011" s="12">
        <f>E2012</f>
      </c>
      <c r="I2011" s="12">
        <f>F2012</f>
      </c>
      <c r="J2011" s="12">
        <f>G2012</f>
      </c>
      <c r="K2011">
        <f>IF(AND(Pu&gt;=MIN(E2011,H2011),Pu&lt;=MAX(E2011,H2011),E2011&lt;&gt;H2011),1,0)</f>
      </c>
      <c r="L2011">
        <f>IF(K2011=1,(Pu-E2011)/(H2011-E2011),"")</f>
      </c>
      <c r="M2011" s="12">
        <f>IF(K2011=1,F2011+L2011*(I2011-F2011),"")</f>
      </c>
      <c r="N2011" s="12">
        <f>IF(K2011=1,G2011+L2011*(J2011-G2011),"")</f>
      </c>
    </row>
    <row r="2012" spans="2:14" x14ac:dyDescent="0.25">
      <c r="B2012">
        <v>56</v>
      </c>
      <c r="C2012">
        <v>209.99999999999997</v>
      </c>
      <c r="D2012">
        <v>24</v>
      </c>
      <c r="E2012" s="18">
        <v>1371.4152479407012</v>
      </c>
      <c r="F2012" s="18">
        <v>-1615.959377667506</v>
      </c>
      <c r="G2012" s="18">
        <v>-3589.563186410069</v>
      </c>
      <c r="H2012" s="12">
        <f>E2013</f>
      </c>
      <c r="I2012" s="12">
        <f>F2013</f>
      </c>
      <c r="J2012" s="12">
        <f>G2013</f>
      </c>
      <c r="K2012">
        <f>IF(AND(Pu&gt;=MIN(E2012,H2012),Pu&lt;=MAX(E2012,H2012),E2012&lt;&gt;H2012),1,0)</f>
      </c>
      <c r="L2012">
        <f>IF(K2012=1,(Pu-E2012)/(H2012-E2012),"")</f>
      </c>
      <c r="M2012" s="12">
        <f>IF(K2012=1,F2012+L2012*(I2012-F2012),"")</f>
      </c>
      <c r="N2012" s="12">
        <f>IF(K2012=1,G2012+L2012*(J2012-G2012),"")</f>
      </c>
    </row>
    <row r="2013" spans="2:14" x14ac:dyDescent="0.25">
      <c r="B2013">
        <v>56</v>
      </c>
      <c r="C2013">
        <v>209.99999999999997</v>
      </c>
      <c r="D2013">
        <v>25</v>
      </c>
      <c r="E2013" s="18">
        <v>241.91846503250338</v>
      </c>
      <c r="F2013" s="18">
        <v>-1407.8954018361248</v>
      </c>
      <c r="G2013" s="18">
        <v>-3048.3803105865854</v>
      </c>
      <c r="H2013" s="12">
        <f>E2014</f>
      </c>
      <c r="I2013" s="12">
        <f>F2014</f>
      </c>
      <c r="J2013" s="12">
        <f>G2014</f>
      </c>
      <c r="K2013">
        <f>IF(AND(Pu&gt;=MIN(E2013,H2013),Pu&lt;=MAX(E2013,H2013),E2013&lt;&gt;H2013),1,0)</f>
      </c>
      <c r="L2013">
        <f>IF(K2013=1,(Pu-E2013)/(H2013-E2013),"")</f>
      </c>
      <c r="M2013" s="12">
        <f>IF(K2013=1,F2013+L2013*(I2013-F2013),"")</f>
      </c>
      <c r="N2013" s="12">
        <f>IF(K2013=1,G2013+L2013*(J2013-G2013),"")</f>
      </c>
    </row>
    <row r="2014" spans="2:14" x14ac:dyDescent="0.25">
      <c r="B2014">
        <v>56</v>
      </c>
      <c r="C2014">
        <v>209.99999999999997</v>
      </c>
      <c r="D2014">
        <v>26</v>
      </c>
      <c r="E2014" s="18">
        <v>-613.9655466050351</v>
      </c>
      <c r="F2014" s="18">
        <v>-1250.6584897246223</v>
      </c>
      <c r="G2014" s="18">
        <v>-2588.066094308722</v>
      </c>
      <c r="H2014" s="12">
        <f>E2015</f>
      </c>
      <c r="I2014" s="12">
        <f>F2015</f>
      </c>
      <c r="J2014" s="12">
        <f>G2015</f>
      </c>
      <c r="K2014">
        <f>IF(AND(Pu&gt;=MIN(E2014,H2014),Pu&lt;=MAX(E2014,H2014),E2014&lt;&gt;H2014),1,0)</f>
      </c>
      <c r="L2014">
        <f>IF(K2014=1,(Pu-E2014)/(H2014-E2014),"")</f>
      </c>
      <c r="M2014" s="12">
        <f>IF(K2014=1,F2014+L2014*(I2014-F2014),"")</f>
      </c>
      <c r="N2014" s="12">
        <f>IF(K2014=1,G2014+L2014*(J2014-G2014),"")</f>
      </c>
    </row>
    <row r="2015" spans="2:14" x14ac:dyDescent="0.25">
      <c r="B2015">
        <v>56</v>
      </c>
      <c r="C2015">
        <v>209.99999999999997</v>
      </c>
      <c r="D2015">
        <v>27</v>
      </c>
      <c r="E2015" s="18">
        <v>-1380.854923299054</v>
      </c>
      <c r="F2015" s="18">
        <v>-1092.6445009346553</v>
      </c>
      <c r="G2015" s="18">
        <v>-2169.4585504971283</v>
      </c>
      <c r="H2015" s="12">
        <f>E2016</f>
      </c>
      <c r="I2015" s="12">
        <f>F2016</f>
      </c>
      <c r="J2015" s="12">
        <f>G2016</f>
      </c>
      <c r="K2015">
        <f>IF(AND(Pu&gt;=MIN(E2015,H2015),Pu&lt;=MAX(E2015,H2015),E2015&lt;&gt;H2015),1,0)</f>
      </c>
      <c r="L2015">
        <f>IF(K2015=1,(Pu-E2015)/(H2015-E2015),"")</f>
      </c>
      <c r="M2015" s="12">
        <f>IF(K2015=1,F2015+L2015*(I2015-F2015),"")</f>
      </c>
      <c r="N2015" s="12">
        <f>IF(K2015=1,G2015+L2015*(J2015-G2015),"")</f>
      </c>
    </row>
    <row r="2016" spans="2:14" x14ac:dyDescent="0.25">
      <c r="B2016">
        <v>56</v>
      </c>
      <c r="C2016">
        <v>209.99999999999997</v>
      </c>
      <c r="D2016">
        <v>28</v>
      </c>
      <c r="E2016" s="18">
        <v>-1964.1388874435097</v>
      </c>
      <c r="F2016" s="18">
        <v>-952.1943351372415</v>
      </c>
      <c r="G2016" s="18">
        <v>-1840.8093458009741</v>
      </c>
      <c r="H2016" s="12">
        <f>E2017</f>
      </c>
      <c r="I2016" s="12">
        <f>F2017</f>
      </c>
      <c r="J2016" s="12">
        <f>G2017</f>
      </c>
      <c r="K2016">
        <f>IF(AND(Pu&gt;=MIN(E2016,H2016),Pu&lt;=MAX(E2016,H2016),E2016&lt;&gt;H2016),1,0)</f>
      </c>
      <c r="L2016">
        <f>IF(K2016=1,(Pu-E2016)/(H2016-E2016),"")</f>
      </c>
      <c r="M2016" s="12">
        <f>IF(K2016=1,F2016+L2016*(I2016-F2016),"")</f>
      </c>
      <c r="N2016" s="12">
        <f>IF(K2016=1,G2016+L2016*(J2016-G2016),"")</f>
      </c>
    </row>
    <row r="2017" spans="2:14" x14ac:dyDescent="0.25">
      <c r="B2017">
        <v>56</v>
      </c>
      <c r="C2017">
        <v>209.99999999999997</v>
      </c>
      <c r="D2017">
        <v>29</v>
      </c>
      <c r="E2017" s="18">
        <v>-2783.2246201678854</v>
      </c>
      <c r="F2017" s="18">
        <v>-740.0480468766998</v>
      </c>
      <c r="G2017" s="18">
        <v>-1352.5251931253372</v>
      </c>
      <c r="H2017" s="12">
        <f>E2018</f>
      </c>
      <c r="I2017" s="12">
        <f>F2018</f>
      </c>
      <c r="J2017" s="12">
        <f>G2018</f>
      </c>
      <c r="K2017">
        <f>IF(AND(Pu&gt;=MIN(E2017,H2017),Pu&lt;=MAX(E2017,H2017),E2017&lt;&gt;H2017),1,0)</f>
      </c>
      <c r="L2017">
        <f>IF(K2017=1,(Pu-E2017)/(H2017-E2017),"")</f>
      </c>
      <c r="M2017" s="12">
        <f>IF(K2017=1,F2017+L2017*(I2017-F2017),"")</f>
      </c>
      <c r="N2017" s="12">
        <f>IF(K2017=1,G2017+L2017*(J2017-G2017),"")</f>
      </c>
    </row>
    <row r="2018" spans="2:14" x14ac:dyDescent="0.25">
      <c r="B2018">
        <v>56</v>
      </c>
      <c r="C2018">
        <v>209.99999999999997</v>
      </c>
      <c r="D2018">
        <v>30</v>
      </c>
      <c r="E2018" s="18">
        <v>-3319.286961929062</v>
      </c>
      <c r="F2018" s="18">
        <v>-565.4101545306827</v>
      </c>
      <c r="G2018" s="18">
        <v>-1036.120653412517</v>
      </c>
      <c r="H2018" s="12">
        <f>E2019</f>
      </c>
      <c r="I2018" s="12">
        <f>F2019</f>
      </c>
      <c r="J2018" s="12">
        <f>G2019</f>
      </c>
      <c r="K2018">
        <f>IF(AND(Pu&gt;=MIN(E2018,H2018),Pu&lt;=MAX(E2018,H2018),E2018&lt;&gt;H2018),1,0)</f>
      </c>
      <c r="L2018">
        <f>IF(K2018=1,(Pu-E2018)/(H2018-E2018),"")</f>
      </c>
      <c r="M2018" s="12">
        <f>IF(K2018=1,F2018+L2018*(I2018-F2018),"")</f>
      </c>
      <c r="N2018" s="12">
        <f>IF(K2018=1,G2018+L2018*(J2018-G2018),"")</f>
      </c>
    </row>
    <row r="2019" spans="2:14" x14ac:dyDescent="0.25">
      <c r="B2019">
        <v>56</v>
      </c>
      <c r="C2019">
        <v>209.99999999999997</v>
      </c>
      <c r="D2019">
        <v>31</v>
      </c>
      <c r="E2019" s="18">
        <v>-3978.9238721698357</v>
      </c>
      <c r="F2019" s="18">
        <v>-352.1871989369494</v>
      </c>
      <c r="G2019" s="18">
        <v>-631.1694611511879</v>
      </c>
      <c r="H2019" s="12">
        <f>E2020</f>
      </c>
      <c r="I2019" s="12">
        <f>F2020</f>
      </c>
      <c r="J2019" s="12">
        <f>G2020</f>
      </c>
      <c r="K2019">
        <f>IF(AND(Pu&gt;=MIN(E2019,H2019),Pu&lt;=MAX(E2019,H2019),E2019&lt;&gt;H2019),1,0)</f>
      </c>
      <c r="L2019">
        <f>IF(K2019=1,(Pu-E2019)/(H2019-E2019),"")</f>
      </c>
      <c r="M2019" s="12">
        <f>IF(K2019=1,F2019+L2019*(I2019-F2019),"")</f>
      </c>
      <c r="N2019" s="12">
        <f>IF(K2019=1,G2019+L2019*(J2019-G2019),"")</f>
      </c>
    </row>
    <row r="2020" spans="2:14" x14ac:dyDescent="0.25">
      <c r="B2020">
        <v>56</v>
      </c>
      <c r="C2020">
        <v>209.99999999999997</v>
      </c>
      <c r="D2020">
        <v>32</v>
      </c>
      <c r="E2020" s="18">
        <v>-4256.552525519962</v>
      </c>
      <c r="F2020" s="18">
        <v>-248.91244334919753</v>
      </c>
      <c r="G2020" s="18">
        <v>-450.3085729036082</v>
      </c>
      <c r="H2020" s="12">
        <f>E2021</f>
      </c>
      <c r="I2020" s="12">
        <f>F2021</f>
      </c>
      <c r="J2020" s="12">
        <f>G2021</f>
      </c>
      <c r="K2020">
        <f>IF(AND(Pu&gt;=MIN(E2020,H2020),Pu&lt;=MAX(E2020,H2020),E2020&lt;&gt;H2020),1,0)</f>
      </c>
      <c r="L2020">
        <f>IF(K2020=1,(Pu-E2020)/(H2020-E2020),"")</f>
      </c>
      <c r="M2020" s="12">
        <f>IF(K2020=1,F2020+L2020*(I2020-F2020),"")</f>
      </c>
      <c r="N2020" s="12">
        <f>IF(K2020=1,G2020+L2020*(J2020-G2020),"")</f>
      </c>
    </row>
    <row r="2021" spans="2:14" x14ac:dyDescent="0.25">
      <c r="B2021">
        <v>56</v>
      </c>
      <c r="C2021">
        <v>209.99999999999997</v>
      </c>
      <c r="D2021">
        <v>33</v>
      </c>
      <c r="E2021" s="18">
        <v>-4700.047916994775</v>
      </c>
      <c r="F2021" s="18">
        <v>-88.73383711877943</v>
      </c>
      <c r="G2021" s="18">
        <v>-154.38980543909344</v>
      </c>
      <c r="H2021" s="12">
        <f>E2022</f>
      </c>
      <c r="I2021" s="12">
        <f>F2022</f>
      </c>
      <c r="J2021" s="12">
        <f>G2022</f>
      </c>
      <c r="K2021">
        <f>IF(AND(Pu&gt;=MIN(E2021,H2021),Pu&lt;=MAX(E2021,H2021),E2021&lt;&gt;H2021),1,0)</f>
      </c>
      <c r="L2021">
        <f>IF(K2021=1,(Pu-E2021)/(H2021-E2021),"")</f>
      </c>
      <c r="M2021" s="12">
        <f>IF(K2021=1,F2021+L2021*(I2021-F2021),"")</f>
      </c>
      <c r="N2021" s="12">
        <f>IF(K2021=1,G2021+L2021*(J2021-G2021),"")</f>
      </c>
    </row>
    <row r="2022" spans="2:7" x14ac:dyDescent="0.25">
      <c r="B2022">
        <v>56</v>
      </c>
      <c r="C2022">
        <v>209.99999999999997</v>
      </c>
      <c r="D2022">
        <v>34</v>
      </c>
      <c r="E2022" s="18">
        <v>-4810.3453739334</v>
      </c>
      <c r="F2022" s="18">
        <v>-45.84327624392663</v>
      </c>
      <c r="G2022" s="18">
        <v>-79.3229518124103</v>
      </c>
    </row>
    <row r="2024" spans="2:14" x14ac:dyDescent="0.25">
      <c r="B2024">
        <v>57</v>
      </c>
      <c r="C2024">
        <v>217.5</v>
      </c>
      <c r="D2024">
        <v>1</v>
      </c>
      <c r="E2024" s="18">
        <v>17130.351981437652</v>
      </c>
      <c r="F2024" s="18">
        <v>-1386.5948194127197</v>
      </c>
      <c r="G2024" s="18">
        <v>-2475.271350151744</v>
      </c>
      <c r="H2024" s="12">
        <f>E2025</f>
      </c>
      <c r="I2024" s="12">
        <f>F2025</f>
      </c>
      <c r="J2024" s="12">
        <f>G2025</f>
      </c>
      <c r="K2024">
        <f>IF(AND(Pu&gt;=MIN(E2024,H2024),Pu&lt;=MAX(E2024,H2024),E2024&lt;&gt;H2024),1,0)</f>
      </c>
      <c r="L2024">
        <f>IF(K2024=1,(Pu-E2024)/(H2024-E2024),"")</f>
      </c>
      <c r="M2024" s="12">
        <f>IF(K2024=1,F2024+L2024*(I2024-F2024),"")</f>
      </c>
      <c r="N2024" s="12">
        <f>IF(K2024=1,G2024+L2024*(J2024-G2024),"")</f>
      </c>
    </row>
    <row r="2025" spans="2:14" x14ac:dyDescent="0.25">
      <c r="B2025">
        <v>57</v>
      </c>
      <c r="C2025">
        <v>217.5</v>
      </c>
      <c r="D2025">
        <v>2</v>
      </c>
      <c r="E2025" s="18">
        <v>16031.034284205192</v>
      </c>
      <c r="F2025" s="18">
        <v>-1532.3700077664557</v>
      </c>
      <c r="G2025" s="18">
        <v>-2881.0119920983266</v>
      </c>
      <c r="H2025" s="12">
        <f>E2026</f>
      </c>
      <c r="I2025" s="12">
        <f>F2026</f>
      </c>
      <c r="J2025" s="12">
        <f>G2026</f>
      </c>
      <c r="K2025">
        <f>IF(AND(Pu&gt;=MIN(E2025,H2025),Pu&lt;=MAX(E2025,H2025),E2025&lt;&gt;H2025),1,0)</f>
      </c>
      <c r="L2025">
        <f>IF(K2025=1,(Pu-E2025)/(H2025-E2025),"")</f>
      </c>
      <c r="M2025" s="12">
        <f>IF(K2025=1,F2025+L2025*(I2025-F2025),"")</f>
      </c>
      <c r="N2025" s="12">
        <f>IF(K2025=1,G2025+L2025*(J2025-G2025),"")</f>
      </c>
    </row>
    <row r="2026" spans="2:14" x14ac:dyDescent="0.25">
      <c r="B2026">
        <v>57</v>
      </c>
      <c r="C2026">
        <v>217.5</v>
      </c>
      <c r="D2026">
        <v>3</v>
      </c>
      <c r="E2026" s="18">
        <v>14056.067100767774</v>
      </c>
      <c r="F2026" s="18">
        <v>-1834.06411438333</v>
      </c>
      <c r="G2026" s="18">
        <v>-3353.6566034139546</v>
      </c>
      <c r="H2026" s="12">
        <f>E2027</f>
      </c>
      <c r="I2026" s="12">
        <f>F2027</f>
      </c>
      <c r="J2026" s="12">
        <f>G2027</f>
      </c>
      <c r="K2026">
        <f>IF(AND(Pu&gt;=MIN(E2026,H2026),Pu&lt;=MAX(E2026,H2026),E2026&lt;&gt;H2026),1,0)</f>
      </c>
      <c r="L2026">
        <f>IF(K2026=1,(Pu-E2026)/(H2026-E2026),"")</f>
      </c>
      <c r="M2026" s="12">
        <f>IF(K2026=1,F2026+L2026*(I2026-F2026),"")</f>
      </c>
      <c r="N2026" s="12">
        <f>IF(K2026=1,G2026+L2026*(J2026-G2026),"")</f>
      </c>
    </row>
    <row r="2027" spans="2:14" x14ac:dyDescent="0.25">
      <c r="B2027">
        <v>57</v>
      </c>
      <c r="C2027">
        <v>217.5</v>
      </c>
      <c r="D2027">
        <v>4</v>
      </c>
      <c r="E2027" s="18">
        <v>11981.939232214978</v>
      </c>
      <c r="F2027" s="18">
        <v>-2114.5602207116845</v>
      </c>
      <c r="G2027" s="18">
        <v>-3607.584689678892</v>
      </c>
      <c r="H2027" s="12">
        <f>E2028</f>
      </c>
      <c r="I2027" s="12">
        <f>F2028</f>
      </c>
      <c r="J2027" s="12">
        <f>G2028</f>
      </c>
      <c r="K2027">
        <f>IF(AND(Pu&gt;=MIN(E2027,H2027),Pu&lt;=MAX(E2027,H2027),E2027&lt;&gt;H2027),1,0)</f>
      </c>
      <c r="L2027">
        <f>IF(K2027=1,(Pu-E2027)/(H2027-E2027),"")</f>
      </c>
      <c r="M2027" s="12">
        <f>IF(K2027=1,F2027+L2027*(I2027-F2027),"")</f>
      </c>
      <c r="N2027" s="12">
        <f>IF(K2027=1,G2027+L2027*(J2027-G2027),"")</f>
      </c>
    </row>
    <row r="2028" spans="2:14" x14ac:dyDescent="0.25">
      <c r="B2028">
        <v>57</v>
      </c>
      <c r="C2028">
        <v>217.5</v>
      </c>
      <c r="D2028">
        <v>5</v>
      </c>
      <c r="E2028" s="18">
        <v>10073.117279584716</v>
      </c>
      <c r="F2028" s="18">
        <v>-2245.7853829052206</v>
      </c>
      <c r="G2028" s="18">
        <v>-3769.875050814965</v>
      </c>
      <c r="H2028" s="12">
        <f>E2029</f>
      </c>
      <c r="I2028" s="12">
        <f>F2029</f>
      </c>
      <c r="J2028" s="12">
        <f>G2029</f>
      </c>
      <c r="K2028">
        <f>IF(AND(Pu&gt;=MIN(E2028,H2028),Pu&lt;=MAX(E2028,H2028),E2028&lt;&gt;H2028),1,0)</f>
      </c>
      <c r="L2028">
        <f>IF(K2028=1,(Pu-E2028)/(H2028-E2028),"")</f>
      </c>
      <c r="M2028" s="12">
        <f>IF(K2028=1,F2028+L2028*(I2028-F2028),"")</f>
      </c>
      <c r="N2028" s="12">
        <f>IF(K2028=1,G2028+L2028*(J2028-G2028),"")</f>
      </c>
    </row>
    <row r="2029" spans="2:14" x14ac:dyDescent="0.25">
      <c r="B2029">
        <v>57</v>
      </c>
      <c r="C2029">
        <v>217.5</v>
      </c>
      <c r="D2029">
        <v>6</v>
      </c>
      <c r="E2029" s="18">
        <v>8773.07022351979</v>
      </c>
      <c r="F2029" s="18">
        <v>-2278.4331390243424</v>
      </c>
      <c r="G2029" s="18">
        <v>-3851.6695754617945</v>
      </c>
      <c r="H2029" s="12">
        <f>E2030</f>
      </c>
      <c r="I2029" s="12">
        <f>F2030</f>
      </c>
      <c r="J2029" s="12">
        <f>G2030</f>
      </c>
      <c r="K2029">
        <f>IF(AND(Pu&gt;=MIN(E2029,H2029),Pu&lt;=MAX(E2029,H2029),E2029&lt;&gt;H2029),1,0)</f>
      </c>
      <c r="L2029">
        <f>IF(K2029=1,(Pu-E2029)/(H2029-E2029),"")</f>
      </c>
      <c r="M2029" s="12">
        <f>IF(K2029=1,F2029+L2029*(I2029-F2029),"")</f>
      </c>
      <c r="N2029" s="12">
        <f>IF(K2029=1,G2029+L2029*(J2029-G2029),"")</f>
      </c>
    </row>
    <row r="2030" spans="2:14" x14ac:dyDescent="0.25">
      <c r="B2030">
        <v>57</v>
      </c>
      <c r="C2030">
        <v>217.5</v>
      </c>
      <c r="D2030">
        <v>7</v>
      </c>
      <c r="E2030" s="18">
        <v>8518.961820789427</v>
      </c>
      <c r="F2030" s="18">
        <v>-2290.4944385136246</v>
      </c>
      <c r="G2030" s="18">
        <v>-3905.783467917889</v>
      </c>
      <c r="H2030" s="12">
        <f>E2031</f>
      </c>
      <c r="I2030" s="12">
        <f>F2031</f>
      </c>
      <c r="J2030" s="12">
        <f>G2031</f>
      </c>
      <c r="K2030">
        <f>IF(AND(Pu&gt;=MIN(E2030,H2030),Pu&lt;=MAX(E2030,H2030),E2030&lt;&gt;H2030),1,0)</f>
      </c>
      <c r="L2030">
        <f>IF(K2030=1,(Pu-E2030)/(H2030-E2030),"")</f>
      </c>
      <c r="M2030" s="12">
        <f>IF(K2030=1,F2030+L2030*(I2030-F2030),"")</f>
      </c>
      <c r="N2030" s="12">
        <f>IF(K2030=1,G2030+L2030*(J2030-G2030),"")</f>
      </c>
    </row>
    <row r="2031" spans="2:14" x14ac:dyDescent="0.25">
      <c r="B2031">
        <v>57</v>
      </c>
      <c r="C2031">
        <v>217.5</v>
      </c>
      <c r="D2031">
        <v>8</v>
      </c>
      <c r="E2031" s="18">
        <v>7861.196735605932</v>
      </c>
      <c r="F2031" s="18">
        <v>-2313.827840644772</v>
      </c>
      <c r="G2031" s="18">
        <v>-4048.9292875322994</v>
      </c>
      <c r="H2031" s="12">
        <f>E2032</f>
      </c>
      <c r="I2031" s="12">
        <f>F2032</f>
      </c>
      <c r="J2031" s="12">
        <f>G2032</f>
      </c>
      <c r="K2031">
        <f>IF(AND(Pu&gt;=MIN(E2031,H2031),Pu&lt;=MAX(E2031,H2031),E2031&lt;&gt;H2031),1,0)</f>
      </c>
      <c r="L2031">
        <f>IF(K2031=1,(Pu-E2031)/(H2031-E2031),"")</f>
      </c>
      <c r="M2031" s="12">
        <f>IF(K2031=1,F2031+L2031*(I2031-F2031),"")</f>
      </c>
      <c r="N2031" s="12">
        <f>IF(K2031=1,G2031+L2031*(J2031-G2031),"")</f>
      </c>
    </row>
    <row r="2032" spans="2:14" x14ac:dyDescent="0.25">
      <c r="B2032">
        <v>57</v>
      </c>
      <c r="C2032">
        <v>217.5</v>
      </c>
      <c r="D2032">
        <v>9</v>
      </c>
      <c r="E2032" s="18">
        <v>7474.701719620838</v>
      </c>
      <c r="F2032" s="18">
        <v>-2316.3461041312007</v>
      </c>
      <c r="G2032" s="18">
        <v>-4123.676905863726</v>
      </c>
      <c r="H2032" s="12">
        <f>E2033</f>
      </c>
      <c r="I2032" s="12">
        <f>F2033</f>
      </c>
      <c r="J2032" s="12">
        <f>G2033</f>
      </c>
      <c r="K2032">
        <f>IF(AND(Pu&gt;=MIN(E2032,H2032),Pu&lt;=MAX(E2032,H2032),E2032&lt;&gt;H2032),1,0)</f>
      </c>
      <c r="L2032">
        <f>IF(K2032=1,(Pu-E2032)/(H2032-E2032),"")</f>
      </c>
      <c r="M2032" s="12">
        <f>IF(K2032=1,F2032+L2032*(I2032-F2032),"")</f>
      </c>
      <c r="N2032" s="12">
        <f>IF(K2032=1,G2032+L2032*(J2032-G2032),"")</f>
      </c>
    </row>
    <row r="2033" spans="2:14" x14ac:dyDescent="0.25">
      <c r="B2033">
        <v>57</v>
      </c>
      <c r="C2033">
        <v>217.5</v>
      </c>
      <c r="D2033">
        <v>10</v>
      </c>
      <c r="E2033" s="18">
        <v>7119.887847977933</v>
      </c>
      <c r="F2033" s="18">
        <v>-2318.9145660699724</v>
      </c>
      <c r="G2033" s="18">
        <v>-4187.884156629041</v>
      </c>
      <c r="H2033" s="12">
        <f>E2034</f>
      </c>
      <c r="I2033" s="12">
        <f>F2034</f>
      </c>
      <c r="J2033" s="12">
        <f>G2034</f>
      </c>
      <c r="K2033">
        <f>IF(AND(Pu&gt;=MIN(E2033,H2033),Pu&lt;=MAX(E2033,H2033),E2033&lt;&gt;H2033),1,0)</f>
      </c>
      <c r="L2033">
        <f>IF(K2033=1,(Pu-E2033)/(H2033-E2033),"")</f>
      </c>
      <c r="M2033" s="12">
        <f>IF(K2033=1,F2033+L2033*(I2033-F2033),"")</f>
      </c>
      <c r="N2033" s="12">
        <f>IF(K2033=1,G2033+L2033*(J2033-G2033),"")</f>
      </c>
    </row>
    <row r="2034" spans="2:14" x14ac:dyDescent="0.25">
      <c r="B2034">
        <v>57</v>
      </c>
      <c r="C2034">
        <v>217.5</v>
      </c>
      <c r="D2034">
        <v>11</v>
      </c>
      <c r="E2034" s="18">
        <v>6681.172053710412</v>
      </c>
      <c r="F2034" s="18">
        <v>-2330.780160327128</v>
      </c>
      <c r="G2034" s="18">
        <v>-4264.763508380167</v>
      </c>
      <c r="H2034" s="12">
        <f>E2035</f>
      </c>
      <c r="I2034" s="12">
        <f>F2035</f>
      </c>
      <c r="J2034" s="12">
        <f>G2035</f>
      </c>
      <c r="K2034">
        <f>IF(AND(Pu&gt;=MIN(E2034,H2034),Pu&lt;=MAX(E2034,H2034),E2034&lt;&gt;H2034),1,0)</f>
      </c>
      <c r="L2034">
        <f>IF(K2034=1,(Pu-E2034)/(H2034-E2034),"")</f>
      </c>
      <c r="M2034" s="12">
        <f>IF(K2034=1,F2034+L2034*(I2034-F2034),"")</f>
      </c>
      <c r="N2034" s="12">
        <f>IF(K2034=1,G2034+L2034*(J2034-G2034),"")</f>
      </c>
    </row>
    <row r="2035" spans="2:14" x14ac:dyDescent="0.25">
      <c r="B2035">
        <v>57</v>
      </c>
      <c r="C2035">
        <v>217.5</v>
      </c>
      <c r="D2035">
        <v>12</v>
      </c>
      <c r="E2035" s="18">
        <v>6512.830740455853</v>
      </c>
      <c r="F2035" s="18">
        <v>-2329.7806059556037</v>
      </c>
      <c r="G2035" s="18">
        <v>-4289.156631181022</v>
      </c>
      <c r="H2035" s="12">
        <f>E2036</f>
      </c>
      <c r="I2035" s="12">
        <f>F2036</f>
      </c>
      <c r="J2035" s="12">
        <f>G2036</f>
      </c>
      <c r="K2035">
        <f>IF(AND(Pu&gt;=MIN(E2035,H2035),Pu&lt;=MAX(E2035,H2035),E2035&lt;&gt;H2035),1,0)</f>
      </c>
      <c r="L2035">
        <f>IF(K2035=1,(Pu-E2035)/(H2035-E2035),"")</f>
      </c>
      <c r="M2035" s="12">
        <f>IF(K2035=1,F2035+L2035*(I2035-F2035),"")</f>
      </c>
      <c r="N2035" s="12">
        <f>IF(K2035=1,G2035+L2035*(J2035-G2035),"")</f>
      </c>
    </row>
    <row r="2036" spans="2:14" x14ac:dyDescent="0.25">
      <c r="B2036">
        <v>57</v>
      </c>
      <c r="C2036">
        <v>217.5</v>
      </c>
      <c r="D2036">
        <v>13</v>
      </c>
      <c r="E2036" s="18">
        <v>6009.031890328883</v>
      </c>
      <c r="F2036" s="18">
        <v>-2331.4326842134005</v>
      </c>
      <c r="G2036" s="18">
        <v>-4361.217433010271</v>
      </c>
      <c r="H2036" s="12">
        <f>E2037</f>
      </c>
      <c r="I2036" s="12">
        <f>F2037</f>
      </c>
      <c r="J2036" s="12">
        <f>G2037</f>
      </c>
      <c r="K2036">
        <f>IF(AND(Pu&gt;=MIN(E2036,H2036),Pu&lt;=MAX(E2036,H2036),E2036&lt;&gt;H2036),1,0)</f>
      </c>
      <c r="L2036">
        <f>IF(K2036=1,(Pu-E2036)/(H2036-E2036),"")</f>
      </c>
      <c r="M2036" s="12">
        <f>IF(K2036=1,F2036+L2036*(I2036-F2036),"")</f>
      </c>
      <c r="N2036" s="12">
        <f>IF(K2036=1,G2036+L2036*(J2036-G2036),"")</f>
      </c>
    </row>
    <row r="2037" spans="2:14" x14ac:dyDescent="0.25">
      <c r="B2037">
        <v>57</v>
      </c>
      <c r="C2037">
        <v>217.5</v>
      </c>
      <c r="D2037">
        <v>14</v>
      </c>
      <c r="E2037" s="18">
        <v>6000.326561328586</v>
      </c>
      <c r="F2037" s="18">
        <v>-2331.5372367727414</v>
      </c>
      <c r="G2037" s="18">
        <v>-4362.458028376064</v>
      </c>
      <c r="H2037" s="12">
        <f>E2038</f>
      </c>
      <c r="I2037" s="12">
        <f>F2038</f>
      </c>
      <c r="J2037" s="12">
        <f>G2038</f>
      </c>
      <c r="K2037">
        <f>IF(AND(Pu&gt;=MIN(E2037,H2037),Pu&lt;=MAX(E2037,H2037),E2037&lt;&gt;H2037),1,0)</f>
      </c>
      <c r="L2037">
        <f>IF(K2037=1,(Pu-E2037)/(H2037-E2037),"")</f>
      </c>
      <c r="M2037" s="12">
        <f>IF(K2037=1,F2037+L2037*(I2037-F2037),"")</f>
      </c>
      <c r="N2037" s="12">
        <f>IF(K2037=1,G2037+L2037*(J2037-G2037),"")</f>
      </c>
    </row>
    <row r="2038" spans="2:14" x14ac:dyDescent="0.25">
      <c r="B2038">
        <v>57</v>
      </c>
      <c r="C2038">
        <v>217.5</v>
      </c>
      <c r="D2038">
        <v>15</v>
      </c>
      <c r="E2038" s="18">
        <v>5566.375342938826</v>
      </c>
      <c r="F2038" s="18">
        <v>-2346.999432974378</v>
      </c>
      <c r="G2038" s="18">
        <v>-4411.319308969828</v>
      </c>
      <c r="H2038" s="12">
        <f>E2039</f>
      </c>
      <c r="I2038" s="12">
        <f>F2039</f>
      </c>
      <c r="J2038" s="12">
        <f>G2039</f>
      </c>
      <c r="K2038">
        <f>IF(AND(Pu&gt;=MIN(E2038,H2038),Pu&lt;=MAX(E2038,H2038),E2038&lt;&gt;H2038),1,0)</f>
      </c>
      <c r="L2038">
        <f>IF(K2038=1,(Pu-E2038)/(H2038-E2038),"")</f>
      </c>
      <c r="M2038" s="12">
        <f>IF(K2038=1,F2038+L2038*(I2038-F2038),"")</f>
      </c>
      <c r="N2038" s="12">
        <f>IF(K2038=1,G2038+L2038*(J2038-G2038),"")</f>
      </c>
    </row>
    <row r="2039" spans="2:14" x14ac:dyDescent="0.25">
      <c r="B2039">
        <v>57</v>
      </c>
      <c r="C2039">
        <v>217.5</v>
      </c>
      <c r="D2039">
        <v>16</v>
      </c>
      <c r="E2039" s="18">
        <v>5199.97401085118</v>
      </c>
      <c r="F2039" s="18">
        <v>-2363.0152297430513</v>
      </c>
      <c r="G2039" s="18">
        <v>-4438.3017771933855</v>
      </c>
      <c r="H2039" s="12">
        <f>E2040</f>
      </c>
      <c r="I2039" s="12">
        <f>F2040</f>
      </c>
      <c r="J2039" s="12">
        <f>G2040</f>
      </c>
      <c r="K2039">
        <f>IF(AND(Pu&gt;=MIN(E2039,H2039),Pu&lt;=MAX(E2039,H2039),E2039&lt;&gt;H2039),1,0)</f>
      </c>
      <c r="L2039">
        <f>IF(K2039=1,(Pu-E2039)/(H2039-E2039),"")</f>
      </c>
      <c r="M2039" s="12">
        <f>IF(K2039=1,F2039+L2039*(I2039-F2039),"")</f>
      </c>
      <c r="N2039" s="12">
        <f>IF(K2039=1,G2039+L2039*(J2039-G2039),"")</f>
      </c>
    </row>
    <row r="2040" spans="2:14" x14ac:dyDescent="0.25">
      <c r="B2040">
        <v>57</v>
      </c>
      <c r="C2040">
        <v>217.5</v>
      </c>
      <c r="D2040">
        <v>17</v>
      </c>
      <c r="E2040" s="18">
        <v>5036.049788124886</v>
      </c>
      <c r="F2040" s="18">
        <v>-2374.5393558688634</v>
      </c>
      <c r="G2040" s="18">
        <v>-4446.12769770869</v>
      </c>
      <c r="H2040" s="12">
        <f>E2041</f>
      </c>
      <c r="I2040" s="12">
        <f>F2041</f>
      </c>
      <c r="J2040" s="12">
        <f>G2041</f>
      </c>
      <c r="K2040">
        <f>IF(AND(Pu&gt;=MIN(E2040,H2040),Pu&lt;=MAX(E2040,H2040),E2040&lt;&gt;H2040),1,0)</f>
      </c>
      <c r="L2040">
        <f>IF(K2040=1,(Pu-E2040)/(H2040-E2040),"")</f>
      </c>
      <c r="M2040" s="12">
        <f>IF(K2040=1,F2040+L2040*(I2040-F2040),"")</f>
      </c>
      <c r="N2040" s="12">
        <f>IF(K2040=1,G2040+L2040*(J2040-G2040),"")</f>
      </c>
    </row>
    <row r="2041" spans="2:14" x14ac:dyDescent="0.25">
      <c r="B2041">
        <v>57</v>
      </c>
      <c r="C2041">
        <v>217.5</v>
      </c>
      <c r="D2041">
        <v>18</v>
      </c>
      <c r="E2041" s="18">
        <v>4847.142208209968</v>
      </c>
      <c r="F2041" s="18">
        <v>-2389.7588131792463</v>
      </c>
      <c r="G2041" s="18">
        <v>-4451.569127860949</v>
      </c>
      <c r="H2041" s="12">
        <f>E2042</f>
      </c>
      <c r="I2041" s="12">
        <f>F2042</f>
      </c>
      <c r="J2041" s="12">
        <f>G2042</f>
      </c>
      <c r="K2041">
        <f>IF(AND(Pu&gt;=MIN(E2041,H2041),Pu&lt;=MAX(E2041,H2041),E2041&lt;&gt;H2041),1,0)</f>
      </c>
      <c r="L2041">
        <f>IF(K2041=1,(Pu-E2041)/(H2041-E2041),"")</f>
      </c>
      <c r="M2041" s="12">
        <f>IF(K2041=1,F2041+L2041*(I2041-F2041),"")</f>
      </c>
      <c r="N2041" s="12">
        <f>IF(K2041=1,G2041+L2041*(J2041-G2041),"")</f>
      </c>
    </row>
    <row r="2042" spans="2:14" x14ac:dyDescent="0.25">
      <c r="B2042">
        <v>57</v>
      </c>
      <c r="C2042">
        <v>217.5</v>
      </c>
      <c r="D2042">
        <v>19</v>
      </c>
      <c r="E2042" s="18">
        <v>4528.017029467024</v>
      </c>
      <c r="F2042" s="18">
        <v>-2428.062488654404</v>
      </c>
      <c r="G2042" s="18">
        <v>-4453.103974183851</v>
      </c>
      <c r="H2042" s="12">
        <f>E2043</f>
      </c>
      <c r="I2042" s="12">
        <f>F2043</f>
      </c>
      <c r="J2042" s="12">
        <f>G2043</f>
      </c>
      <c r="K2042">
        <f>IF(AND(Pu&gt;=MIN(E2042,H2042),Pu&lt;=MAX(E2042,H2042),E2042&lt;&gt;H2042),1,0)</f>
      </c>
      <c r="L2042">
        <f>IF(K2042=1,(Pu-E2042)/(H2042-E2042),"")</f>
      </c>
      <c r="M2042" s="12">
        <f>IF(K2042=1,F2042+L2042*(I2042-F2042),"")</f>
      </c>
      <c r="N2042" s="12">
        <f>IF(K2042=1,G2042+L2042*(J2042-G2042),"")</f>
      </c>
    </row>
    <row r="2043" spans="2:14" x14ac:dyDescent="0.25">
      <c r="B2043">
        <v>57</v>
      </c>
      <c r="C2043">
        <v>217.5</v>
      </c>
      <c r="D2043">
        <v>20</v>
      </c>
      <c r="E2043" s="18">
        <v>4515.240129831893</v>
      </c>
      <c r="F2043" s="18">
        <v>-2428.72781231533</v>
      </c>
      <c r="G2043" s="18">
        <v>-4453.186024962651</v>
      </c>
      <c r="H2043" s="12">
        <f>E2044</f>
      </c>
      <c r="I2043" s="12">
        <f>F2044</f>
      </c>
      <c r="J2043" s="12">
        <f>G2044</f>
      </c>
      <c r="K2043">
        <f>IF(AND(Pu&gt;=MIN(E2043,H2043),Pu&lt;=MAX(E2043,H2043),E2043&lt;&gt;H2043),1,0)</f>
      </c>
      <c r="L2043">
        <f>IF(K2043=1,(Pu-E2043)/(H2043-E2043),"")</f>
      </c>
      <c r="M2043" s="12">
        <f>IF(K2043=1,F2043+L2043*(I2043-F2043),"")</f>
      </c>
      <c r="N2043" s="12">
        <f>IF(K2043=1,G2043+L2043*(J2043-G2043),"")</f>
      </c>
    </row>
    <row r="2044" spans="2:14" x14ac:dyDescent="0.25">
      <c r="B2044">
        <v>57</v>
      </c>
      <c r="C2044">
        <v>217.5</v>
      </c>
      <c r="D2044">
        <v>21</v>
      </c>
      <c r="E2044" s="18">
        <v>3851.0259870641003</v>
      </c>
      <c r="F2044" s="18">
        <v>-2340.6578457497703</v>
      </c>
      <c r="G2044" s="18">
        <v>-4261.371542055724</v>
      </c>
      <c r="H2044" s="12">
        <f>E2045</f>
      </c>
      <c r="I2044" s="12">
        <f>F2045</f>
      </c>
      <c r="J2044" s="12">
        <f>G2045</f>
      </c>
      <c r="K2044">
        <f>IF(AND(Pu&gt;=MIN(E2044,H2044),Pu&lt;=MAX(E2044,H2044),E2044&lt;&gt;H2044),1,0)</f>
      </c>
      <c r="L2044">
        <f>IF(K2044=1,(Pu-E2044)/(H2044-E2044),"")</f>
      </c>
      <c r="M2044" s="12">
        <f>IF(K2044=1,F2044+L2044*(I2044-F2044),"")</f>
      </c>
      <c r="N2044" s="12">
        <f>IF(K2044=1,G2044+L2044*(J2044-G2044),"")</f>
      </c>
    </row>
    <row r="2045" spans="2:14" x14ac:dyDescent="0.25">
      <c r="B2045">
        <v>57</v>
      </c>
      <c r="C2045">
        <v>217.5</v>
      </c>
      <c r="D2045">
        <v>22</v>
      </c>
      <c r="E2045" s="18">
        <v>2722.5104627394076</v>
      </c>
      <c r="F2045" s="18">
        <v>-2177.494485184501</v>
      </c>
      <c r="G2045" s="18">
        <v>-3903.3996098000916</v>
      </c>
      <c r="H2045" s="12">
        <f>E2046</f>
      </c>
      <c r="I2045" s="12">
        <f>F2046</f>
      </c>
      <c r="J2045" s="12">
        <f>G2046</f>
      </c>
      <c r="K2045">
        <f>IF(AND(Pu&gt;=MIN(E2045,H2045),Pu&lt;=MAX(E2045,H2045),E2045&lt;&gt;H2045),1,0)</f>
      </c>
      <c r="L2045">
        <f>IF(K2045=1,(Pu-E2045)/(H2045-E2045),"")</f>
      </c>
      <c r="M2045" s="12">
        <f>IF(K2045=1,F2045+L2045*(I2045-F2045),"")</f>
      </c>
      <c r="N2045" s="12">
        <f>IF(K2045=1,G2045+L2045*(J2045-G2045),"")</f>
      </c>
    </row>
    <row r="2046" spans="2:14" x14ac:dyDescent="0.25">
      <c r="B2046">
        <v>57</v>
      </c>
      <c r="C2046">
        <v>217.5</v>
      </c>
      <c r="D2046">
        <v>23</v>
      </c>
      <c r="E2046" s="18">
        <v>1900.5612818092181</v>
      </c>
      <c r="F2046" s="18">
        <v>-2016.59279129154</v>
      </c>
      <c r="G2046" s="18">
        <v>-3588.2731249653198</v>
      </c>
      <c r="H2046" s="12">
        <f>E2047</f>
      </c>
      <c r="I2046" s="12">
        <f>F2047</f>
      </c>
      <c r="J2046" s="12">
        <f>G2047</f>
      </c>
      <c r="K2046">
        <f>IF(AND(Pu&gt;=MIN(E2046,H2046),Pu&lt;=MAX(E2046,H2046),E2046&lt;&gt;H2046),1,0)</f>
      </c>
      <c r="L2046">
        <f>IF(K2046=1,(Pu-E2046)/(H2046-E2046),"")</f>
      </c>
      <c r="M2046" s="12">
        <f>IF(K2046=1,F2046+L2046*(I2046-F2046),"")</f>
      </c>
      <c r="N2046" s="12">
        <f>IF(K2046=1,G2046+L2046*(J2046-G2046),"")</f>
      </c>
    </row>
    <row r="2047" spans="2:14" x14ac:dyDescent="0.25">
      <c r="B2047">
        <v>57</v>
      </c>
      <c r="C2047">
        <v>217.5</v>
      </c>
      <c r="D2047">
        <v>24</v>
      </c>
      <c r="E2047" s="18">
        <v>1219.6368387583634</v>
      </c>
      <c r="F2047" s="18">
        <v>-1866.0255574306493</v>
      </c>
      <c r="G2047" s="18">
        <v>-3322.215085632424</v>
      </c>
      <c r="H2047" s="12">
        <f>E2048</f>
      </c>
      <c r="I2047" s="12">
        <f>F2048</f>
      </c>
      <c r="J2047" s="12">
        <f>G2048</f>
      </c>
      <c r="K2047">
        <f>IF(AND(Pu&gt;=MIN(E2047,H2047),Pu&lt;=MAX(E2047,H2047),E2047&lt;&gt;H2047),1,0)</f>
      </c>
      <c r="L2047">
        <f>IF(K2047=1,(Pu-E2047)/(H2047-E2047),"")</f>
      </c>
      <c r="M2047" s="12">
        <f>IF(K2047=1,F2047+L2047*(I2047-F2047),"")</f>
      </c>
      <c r="N2047" s="12">
        <f>IF(K2047=1,G2047+L2047*(J2047-G2047),"")</f>
      </c>
    </row>
    <row r="2048" spans="2:14" x14ac:dyDescent="0.25">
      <c r="B2048">
        <v>57</v>
      </c>
      <c r="C2048">
        <v>217.5</v>
      </c>
      <c r="D2048">
        <v>25</v>
      </c>
      <c r="E2048" s="18">
        <v>118.2738658642337</v>
      </c>
      <c r="F2048" s="18">
        <v>-1628.2604160421874</v>
      </c>
      <c r="G2048" s="18">
        <v>-2815.459290222831</v>
      </c>
      <c r="H2048" s="12">
        <f>E2049</f>
      </c>
      <c r="I2048" s="12">
        <f>F2049</f>
      </c>
      <c r="J2048" s="12">
        <f>G2049</f>
      </c>
      <c r="K2048">
        <f>IF(AND(Pu&gt;=MIN(E2048,H2048),Pu&lt;=MAX(E2048,H2048),E2048&lt;&gt;H2048),1,0)</f>
      </c>
      <c r="L2048">
        <f>IF(K2048=1,(Pu-E2048)/(H2048-E2048),"")</f>
      </c>
      <c r="M2048" s="12">
        <f>IF(K2048=1,F2048+L2048*(I2048-F2048),"")</f>
      </c>
      <c r="N2048" s="12">
        <f>IF(K2048=1,G2048+L2048*(J2048-G2048),"")</f>
      </c>
    </row>
    <row r="2049" spans="2:14" x14ac:dyDescent="0.25">
      <c r="B2049">
        <v>57</v>
      </c>
      <c r="C2049">
        <v>217.5</v>
      </c>
      <c r="D2049">
        <v>26</v>
      </c>
      <c r="E2049" s="18">
        <v>-756.9528368067157</v>
      </c>
      <c r="F2049" s="18">
        <v>-1436.0524971655773</v>
      </c>
      <c r="G2049" s="18">
        <v>-2385.883701446504</v>
      </c>
      <c r="H2049" s="12">
        <f>E2050</f>
      </c>
      <c r="I2049" s="12">
        <f>F2050</f>
      </c>
      <c r="J2049" s="12">
        <f>G2050</f>
      </c>
      <c r="K2049">
        <f>IF(AND(Pu&gt;=MIN(E2049,H2049),Pu&lt;=MAX(E2049,H2049),E2049&lt;&gt;H2049),1,0)</f>
      </c>
      <c r="L2049">
        <f>IF(K2049=1,(Pu-E2049)/(H2049-E2049),"")</f>
      </c>
      <c r="M2049" s="12">
        <f>IF(K2049=1,F2049+L2049*(I2049-F2049),"")</f>
      </c>
      <c r="N2049" s="12">
        <f>IF(K2049=1,G2049+L2049*(J2049-G2049),"")</f>
      </c>
    </row>
    <row r="2050" spans="2:14" x14ac:dyDescent="0.25">
      <c r="B2050">
        <v>57</v>
      </c>
      <c r="C2050">
        <v>217.5</v>
      </c>
      <c r="D2050">
        <v>27</v>
      </c>
      <c r="E2050" s="18">
        <v>-1408.8172744961453</v>
      </c>
      <c r="F2050" s="18">
        <v>-1248.9007602401605</v>
      </c>
      <c r="G2050" s="18">
        <v>-2049.351882460541</v>
      </c>
      <c r="H2050" s="12">
        <f>E2051</f>
      </c>
      <c r="I2050" s="12">
        <f>F2051</f>
      </c>
      <c r="J2050" s="12">
        <f>G2051</f>
      </c>
      <c r="K2050">
        <f>IF(AND(Pu&gt;=MIN(E2050,H2050),Pu&lt;=MAX(E2050,H2050),E2050&lt;&gt;H2050),1,0)</f>
      </c>
      <c r="L2050">
        <f>IF(K2050=1,(Pu-E2050)/(H2050-E2050),"")</f>
      </c>
      <c r="M2050" s="12">
        <f>IF(K2050=1,F2050+L2050*(I2050-F2050),"")</f>
      </c>
      <c r="N2050" s="12">
        <f>IF(K2050=1,G2050+L2050*(J2050-G2050),"")</f>
      </c>
    </row>
    <row r="2051" spans="2:14" x14ac:dyDescent="0.25">
      <c r="B2051">
        <v>57</v>
      </c>
      <c r="C2051">
        <v>217.5</v>
      </c>
      <c r="D2051">
        <v>28</v>
      </c>
      <c r="E2051" s="18">
        <v>-1981.536257278695</v>
      </c>
      <c r="F2051" s="18">
        <v>-1082.6840971674824</v>
      </c>
      <c r="G2051" s="18">
        <v>-1745.6102181649376</v>
      </c>
      <c r="H2051" s="12">
        <f>E2052</f>
      </c>
      <c r="I2051" s="12">
        <f>F2052</f>
      </c>
      <c r="J2051" s="12">
        <f>G2052</f>
      </c>
      <c r="K2051">
        <f>IF(AND(Pu&gt;=MIN(E2051,H2051),Pu&lt;=MAX(E2051,H2051),E2051&lt;&gt;H2051),1,0)</f>
      </c>
      <c r="L2051">
        <f>IF(K2051=1,(Pu-E2051)/(H2051-E2051),"")</f>
      </c>
      <c r="M2051" s="12">
        <f>IF(K2051=1,F2051+L2051*(I2051-F2051),"")</f>
      </c>
      <c r="N2051" s="12">
        <f>IF(K2051=1,G2051+L2051*(J2051-G2051),"")</f>
      </c>
    </row>
    <row r="2052" spans="2:14" x14ac:dyDescent="0.25">
      <c r="B2052">
        <v>57</v>
      </c>
      <c r="C2052">
        <v>217.5</v>
      </c>
      <c r="D2052">
        <v>29</v>
      </c>
      <c r="E2052" s="18">
        <v>-2738.48868394881</v>
      </c>
      <c r="F2052" s="18">
        <v>-836.6419332264652</v>
      </c>
      <c r="G2052" s="18">
        <v>-1327.2730990723535</v>
      </c>
      <c r="H2052" s="12">
        <f>E2053</f>
      </c>
      <c r="I2052" s="12">
        <f>F2053</f>
      </c>
      <c r="J2052" s="12">
        <f>G2053</f>
      </c>
      <c r="K2052">
        <f>IF(AND(Pu&gt;=MIN(E2052,H2052),Pu&lt;=MAX(E2052,H2052),E2052&lt;&gt;H2052),1,0)</f>
      </c>
      <c r="L2052">
        <f>IF(K2052=1,(Pu-E2052)/(H2052-E2052),"")</f>
      </c>
      <c r="M2052" s="12">
        <f>IF(K2052=1,F2052+L2052*(I2052-F2052),"")</f>
      </c>
      <c r="N2052" s="12">
        <f>IF(K2052=1,G2052+L2052*(J2052-G2052),"")</f>
      </c>
    </row>
    <row r="2053" spans="2:14" x14ac:dyDescent="0.25">
      <c r="B2053">
        <v>57</v>
      </c>
      <c r="C2053">
        <v>217.5</v>
      </c>
      <c r="D2053">
        <v>30</v>
      </c>
      <c r="E2053" s="18">
        <v>-3244.85129300373</v>
      </c>
      <c r="F2053" s="18">
        <v>-662.7801828525198</v>
      </c>
      <c r="G2053" s="18">
        <v>-1033.1448626111353</v>
      </c>
      <c r="H2053" s="12">
        <f>E2054</f>
      </c>
      <c r="I2053" s="12">
        <f>F2054</f>
      </c>
      <c r="J2053" s="12">
        <f>G2054</f>
      </c>
      <c r="K2053">
        <f>IF(AND(Pu&gt;=MIN(E2053,H2053),Pu&lt;=MAX(E2053,H2053),E2053&lt;&gt;H2053),1,0)</f>
      </c>
      <c r="L2053">
        <f>IF(K2053=1,(Pu-E2053)/(H2053-E2053),"")</f>
      </c>
      <c r="M2053" s="12">
        <f>IF(K2053=1,F2053+L2053*(I2053-F2053),"")</f>
      </c>
      <c r="N2053" s="12">
        <f>IF(K2053=1,G2053+L2053*(J2053-G2053),"")</f>
      </c>
    </row>
    <row r="2054" spans="2:14" x14ac:dyDescent="0.25">
      <c r="B2054">
        <v>57</v>
      </c>
      <c r="C2054">
        <v>217.5</v>
      </c>
      <c r="D2054">
        <v>31</v>
      </c>
      <c r="E2054" s="18">
        <v>-3892.0786289639914</v>
      </c>
      <c r="F2054" s="18">
        <v>-412.97729825960323</v>
      </c>
      <c r="G2054" s="18">
        <v>-665.0858043621274</v>
      </c>
      <c r="H2054" s="12">
        <f>E2055</f>
      </c>
      <c r="I2054" s="12">
        <f>F2055</f>
      </c>
      <c r="J2054" s="12">
        <f>G2055</f>
      </c>
      <c r="K2054">
        <f>IF(AND(Pu&gt;=MIN(E2054,H2054),Pu&lt;=MAX(E2054,H2054),E2054&lt;&gt;H2054),1,0)</f>
      </c>
      <c r="L2054">
        <f>IF(K2054=1,(Pu-E2054)/(H2054-E2054),"")</f>
      </c>
      <c r="M2054" s="12">
        <f>IF(K2054=1,F2054+L2054*(I2054-F2054),"")</f>
      </c>
      <c r="N2054" s="12">
        <f>IF(K2054=1,G2054+L2054*(J2054-G2054),"")</f>
      </c>
    </row>
    <row r="2055" spans="2:14" x14ac:dyDescent="0.25">
      <c r="B2055">
        <v>57</v>
      </c>
      <c r="C2055">
        <v>217.5</v>
      </c>
      <c r="D2055">
        <v>32</v>
      </c>
      <c r="E2055" s="18">
        <v>-4195.364875586088</v>
      </c>
      <c r="F2055" s="18">
        <v>-293.67157962480917</v>
      </c>
      <c r="G2055" s="18">
        <v>-477.5502340120383</v>
      </c>
      <c r="H2055" s="12">
        <f>E2056</f>
      </c>
      <c r="I2055" s="12">
        <f>F2056</f>
      </c>
      <c r="J2055" s="12">
        <f>G2056</f>
      </c>
      <c r="K2055">
        <f>IF(AND(Pu&gt;=MIN(E2055,H2055),Pu&lt;=MAX(E2055,H2055),E2055&lt;&gt;H2055),1,0)</f>
      </c>
      <c r="L2055">
        <f>IF(K2055=1,(Pu-E2055)/(H2055-E2055),"")</f>
      </c>
      <c r="M2055" s="12">
        <f>IF(K2055=1,F2055+L2055*(I2055-F2055),"")</f>
      </c>
      <c r="N2055" s="12">
        <f>IF(K2055=1,G2055+L2055*(J2055-G2055),"")</f>
      </c>
    </row>
    <row r="2056" spans="2:14" x14ac:dyDescent="0.25">
      <c r="B2056">
        <v>57</v>
      </c>
      <c r="C2056">
        <v>217.5</v>
      </c>
      <c r="D2056">
        <v>33</v>
      </c>
      <c r="E2056" s="18">
        <v>-4642.151760579614</v>
      </c>
      <c r="F2056" s="18">
        <v>-127.1643292788395</v>
      </c>
      <c r="G2056" s="18">
        <v>-185.34484120457594</v>
      </c>
      <c r="H2056" s="12">
        <f>E2057</f>
      </c>
      <c r="I2056" s="12">
        <f>F2057</f>
      </c>
      <c r="J2056" s="12">
        <f>G2057</f>
      </c>
      <c r="K2056">
        <f>IF(AND(Pu&gt;=MIN(E2056,H2056),Pu&lt;=MAX(E2056,H2056),E2056&lt;&gt;H2056),1,0)</f>
      </c>
      <c r="L2056">
        <f>IF(K2056=1,(Pu-E2056)/(H2056-E2056),"")</f>
      </c>
      <c r="M2056" s="12">
        <f>IF(K2056=1,F2056+L2056*(I2056-F2056),"")</f>
      </c>
      <c r="N2056" s="12">
        <f>IF(K2056=1,G2056+L2056*(J2056-G2056),"")</f>
      </c>
    </row>
    <row r="2057" spans="2:7" x14ac:dyDescent="0.25">
      <c r="B2057">
        <v>57</v>
      </c>
      <c r="C2057">
        <v>217.5</v>
      </c>
      <c r="D2057">
        <v>34</v>
      </c>
      <c r="E2057" s="18">
        <v>-4747.449212554726</v>
      </c>
      <c r="F2057" s="18">
        <v>-78.82192243246666</v>
      </c>
      <c r="G2057" s="18">
        <v>-117.75586478571411</v>
      </c>
    </row>
    <row r="2059" spans="2:14" x14ac:dyDescent="0.25">
      <c r="B2059">
        <v>58</v>
      </c>
      <c r="C2059">
        <v>224.99999999999997</v>
      </c>
      <c r="D2059">
        <v>1</v>
      </c>
      <c r="E2059" s="18">
        <v>17156.854368171884</v>
      </c>
      <c r="F2059" s="18">
        <v>-1615.3528500759423</v>
      </c>
      <c r="G2059" s="18">
        <v>-2271.2984801997245</v>
      </c>
      <c r="H2059" s="12">
        <f>E2060</f>
      </c>
      <c r="I2059" s="12">
        <f>F2060</f>
      </c>
      <c r="J2059" s="12">
        <f>G2060</f>
      </c>
      <c r="K2059">
        <f>IF(AND(Pu&gt;=MIN(E2059,H2059),Pu&lt;=MAX(E2059,H2059),E2059&lt;&gt;H2059),1,0)</f>
      </c>
      <c r="L2059">
        <f>IF(K2059=1,(Pu-E2059)/(H2059-E2059),"")</f>
      </c>
      <c r="M2059" s="12">
        <f>IF(K2059=1,F2059+L2059*(I2059-F2059),"")</f>
      </c>
      <c r="N2059" s="12">
        <f>IF(K2059=1,G2059+L2059*(J2059-G2059),"")</f>
      </c>
    </row>
    <row r="2060" spans="2:14" x14ac:dyDescent="0.25">
      <c r="B2060">
        <v>58</v>
      </c>
      <c r="C2060">
        <v>224.99999999999997</v>
      </c>
      <c r="D2060">
        <v>2</v>
      </c>
      <c r="E2060" s="18">
        <v>16054.115154264686</v>
      </c>
      <c r="F2060" s="18">
        <v>-1841.92690984997</v>
      </c>
      <c r="G2060" s="18">
        <v>-2613.546970888619</v>
      </c>
      <c r="H2060" s="12">
        <f>E2061</f>
      </c>
      <c r="I2060" s="12">
        <f>F2061</f>
      </c>
      <c r="J2060" s="12">
        <f>G2061</f>
      </c>
      <c r="K2060">
        <f>IF(AND(Pu&gt;=MIN(E2060,H2060),Pu&lt;=MAX(E2060,H2060),E2060&lt;&gt;H2060),1,0)</f>
      </c>
      <c r="L2060">
        <f>IF(K2060=1,(Pu-E2060)/(H2060-E2060),"")</f>
      </c>
      <c r="M2060" s="12">
        <f>IF(K2060=1,F2060+L2060*(I2060-F2060),"")</f>
      </c>
      <c r="N2060" s="12">
        <f>IF(K2060=1,G2060+L2060*(J2060-G2060),"")</f>
      </c>
    </row>
    <row r="2061" spans="2:14" x14ac:dyDescent="0.25">
      <c r="B2061">
        <v>58</v>
      </c>
      <c r="C2061">
        <v>224.99999999999997</v>
      </c>
      <c r="D2061">
        <v>3</v>
      </c>
      <c r="E2061" s="18">
        <v>13866.670264618517</v>
      </c>
      <c r="F2061" s="18">
        <v>-2244.521576169171</v>
      </c>
      <c r="G2061" s="18">
        <v>-3047.045498784186</v>
      </c>
      <c r="H2061" s="12">
        <f>E2062</f>
      </c>
      <c r="I2061" s="12">
        <f>F2062</f>
      </c>
      <c r="J2061" s="12">
        <f>G2062</f>
      </c>
      <c r="K2061">
        <f>IF(AND(Pu&gt;=MIN(E2061,H2061),Pu&lt;=MAX(E2061,H2061),E2061&lt;&gt;H2061),1,0)</f>
      </c>
      <c r="L2061">
        <f>IF(K2061=1,(Pu-E2061)/(H2061-E2061),"")</f>
      </c>
      <c r="M2061" s="12">
        <f>IF(K2061=1,F2061+L2061*(I2061-F2061),"")</f>
      </c>
      <c r="N2061" s="12">
        <f>IF(K2061=1,G2061+L2061*(J2061-G2061),"")</f>
      </c>
    </row>
    <row r="2062" spans="2:14" x14ac:dyDescent="0.25">
      <c r="B2062">
        <v>58</v>
      </c>
      <c r="C2062">
        <v>224.99999999999997</v>
      </c>
      <c r="D2062">
        <v>4</v>
      </c>
      <c r="E2062" s="18">
        <v>11796.370396030607</v>
      </c>
      <c r="F2062" s="18">
        <v>-2589.330570815407</v>
      </c>
      <c r="G2062" s="18">
        <v>-3226.4842826303166</v>
      </c>
      <c r="H2062" s="12">
        <f>E2063</f>
      </c>
      <c r="I2062" s="12">
        <f>F2063</f>
      </c>
      <c r="J2062" s="12">
        <f>G2063</f>
      </c>
      <c r="K2062">
        <f>IF(AND(Pu&gt;=MIN(E2062,H2062),Pu&lt;=MAX(E2062,H2062),E2062&lt;&gt;H2062),1,0)</f>
      </c>
      <c r="L2062">
        <f>IF(K2062=1,(Pu-E2062)/(H2062-E2062),"")</f>
      </c>
      <c r="M2062" s="12">
        <f>IF(K2062=1,F2062+L2062*(I2062-F2062),"")</f>
      </c>
      <c r="N2062" s="12">
        <f>IF(K2062=1,G2062+L2062*(J2062-G2062),"")</f>
      </c>
    </row>
    <row r="2063" spans="2:14" x14ac:dyDescent="0.25">
      <c r="B2063">
        <v>58</v>
      </c>
      <c r="C2063">
        <v>224.99999999999997</v>
      </c>
      <c r="D2063">
        <v>5</v>
      </c>
      <c r="E2063" s="18">
        <v>10079.152738452794</v>
      </c>
      <c r="F2063" s="18">
        <v>-2749.4174958637827</v>
      </c>
      <c r="G2063" s="18">
        <v>-3341.734149583049</v>
      </c>
      <c r="H2063" s="12">
        <f>E2064</f>
      </c>
      <c r="I2063" s="12">
        <f>F2064</f>
      </c>
      <c r="J2063" s="12">
        <f>G2064</f>
      </c>
      <c r="K2063">
        <f>IF(AND(Pu&gt;=MIN(E2063,H2063),Pu&lt;=MAX(E2063,H2063),E2063&lt;&gt;H2063),1,0)</f>
      </c>
      <c r="L2063">
        <f>IF(K2063=1,(Pu-E2063)/(H2063-E2063),"")</f>
      </c>
      <c r="M2063" s="12">
        <f>IF(K2063=1,F2063+L2063*(I2063-F2063),"")</f>
      </c>
      <c r="N2063" s="12">
        <f>IF(K2063=1,G2063+L2063*(J2063-G2063),"")</f>
      </c>
    </row>
    <row r="2064" spans="2:14" x14ac:dyDescent="0.25">
      <c r="B2064">
        <v>58</v>
      </c>
      <c r="C2064">
        <v>224.99999999999997</v>
      </c>
      <c r="D2064">
        <v>6</v>
      </c>
      <c r="E2064" s="18">
        <v>8791.494961409317</v>
      </c>
      <c r="F2064" s="18">
        <v>-2768.3183182157027</v>
      </c>
      <c r="G2064" s="18">
        <v>-3447.048762453708</v>
      </c>
      <c r="H2064" s="12">
        <f>E2065</f>
      </c>
      <c r="I2064" s="12">
        <f>F2065</f>
      </c>
      <c r="J2064" s="12">
        <f>G2065</f>
      </c>
      <c r="K2064">
        <f>IF(AND(Pu&gt;=MIN(E2064,H2064),Pu&lt;=MAX(E2064,H2064),E2064&lt;&gt;H2064),1,0)</f>
      </c>
      <c r="L2064">
        <f>IF(K2064=1,(Pu-E2064)/(H2064-E2064),"")</f>
      </c>
      <c r="M2064" s="12">
        <f>IF(K2064=1,F2064+L2064*(I2064-F2064),"")</f>
      </c>
      <c r="N2064" s="12">
        <f>IF(K2064=1,G2064+L2064*(J2064-G2064),"")</f>
      </c>
    </row>
    <row r="2065" spans="2:14" x14ac:dyDescent="0.25">
      <c r="B2065">
        <v>58</v>
      </c>
      <c r="C2065">
        <v>224.99999999999997</v>
      </c>
      <c r="D2065">
        <v>7</v>
      </c>
      <c r="E2065" s="18">
        <v>8641.625675061687</v>
      </c>
      <c r="F2065" s="18">
        <v>-2784.78061778056</v>
      </c>
      <c r="G2065" s="18">
        <v>-3484.5817070745966</v>
      </c>
      <c r="H2065" s="12">
        <f>E2066</f>
      </c>
      <c r="I2065" s="12">
        <f>F2066</f>
      </c>
      <c r="J2065" s="12">
        <f>G2066</f>
      </c>
      <c r="K2065">
        <f>IF(AND(Pu&gt;=MIN(E2065,H2065),Pu&lt;=MAX(E2065,H2065),E2065&lt;&gt;H2065),1,0)</f>
      </c>
      <c r="L2065">
        <f>IF(K2065=1,(Pu-E2065)/(H2065-E2065),"")</f>
      </c>
      <c r="M2065" s="12">
        <f>IF(K2065=1,F2065+L2065*(I2065-F2065),"")</f>
      </c>
      <c r="N2065" s="12">
        <f>IF(K2065=1,G2065+L2065*(J2065-G2065),"")</f>
      </c>
    </row>
    <row r="2066" spans="2:14" x14ac:dyDescent="0.25">
      <c r="B2066">
        <v>58</v>
      </c>
      <c r="C2066">
        <v>224.99999999999997</v>
      </c>
      <c r="D2066">
        <v>8</v>
      </c>
      <c r="E2066" s="18">
        <v>8037.932149517717</v>
      </c>
      <c r="F2066" s="18">
        <v>-2833.910003008761</v>
      </c>
      <c r="G2066" s="18">
        <v>-3624.1721936058593</v>
      </c>
      <c r="H2066" s="12">
        <f>E2067</f>
      </c>
      <c r="I2066" s="12">
        <f>F2067</f>
      </c>
      <c r="J2066" s="12">
        <f>G2067</f>
      </c>
      <c r="K2066">
        <f>IF(AND(Pu&gt;=MIN(E2066,H2066),Pu&lt;=MAX(E2066,H2066),E2066&lt;&gt;H2066),1,0)</f>
      </c>
      <c r="L2066">
        <f>IF(K2066=1,(Pu-E2066)/(H2066-E2066),"")</f>
      </c>
      <c r="M2066" s="12">
        <f>IF(K2066=1,F2066+L2066*(I2066-F2066),"")</f>
      </c>
      <c r="N2066" s="12">
        <f>IF(K2066=1,G2066+L2066*(J2066-G2066),"")</f>
      </c>
    </row>
    <row r="2067" spans="2:14" x14ac:dyDescent="0.25">
      <c r="B2067">
        <v>58</v>
      </c>
      <c r="C2067">
        <v>224.99999999999997</v>
      </c>
      <c r="D2067">
        <v>9</v>
      </c>
      <c r="E2067" s="18">
        <v>7693.980858859478</v>
      </c>
      <c r="F2067" s="18">
        <v>-2838.471330105945</v>
      </c>
      <c r="G2067" s="18">
        <v>-3700.2456833409287</v>
      </c>
      <c r="H2067" s="12">
        <f>E2068</f>
      </c>
      <c r="I2067" s="12">
        <f>F2068</f>
      </c>
      <c r="J2067" s="12">
        <f>G2068</f>
      </c>
      <c r="K2067">
        <f>IF(AND(Pu&gt;=MIN(E2067,H2067),Pu&lt;=MAX(E2067,H2067),E2067&lt;&gt;H2067),1,0)</f>
      </c>
      <c r="L2067">
        <f>IF(K2067=1,(Pu-E2067)/(H2067-E2067),"")</f>
      </c>
      <c r="M2067" s="12">
        <f>IF(K2067=1,F2067+L2067*(I2067-F2067),"")</f>
      </c>
      <c r="N2067" s="12">
        <f>IF(K2067=1,G2067+L2067*(J2067-G2067),"")</f>
      </c>
    </row>
    <row r="2068" spans="2:14" x14ac:dyDescent="0.25">
      <c r="B2068">
        <v>58</v>
      </c>
      <c r="C2068">
        <v>224.99999999999997</v>
      </c>
      <c r="D2068">
        <v>10</v>
      </c>
      <c r="E2068" s="18">
        <v>7278.563720777526</v>
      </c>
      <c r="F2068" s="18">
        <v>-2842.3216367183177</v>
      </c>
      <c r="G2068" s="18">
        <v>-3780.470007189792</v>
      </c>
      <c r="H2068" s="12">
        <f>E2069</f>
      </c>
      <c r="I2068" s="12">
        <f>F2069</f>
      </c>
      <c r="J2068" s="12">
        <f>G2069</f>
      </c>
      <c r="K2068">
        <f>IF(AND(Pu&gt;=MIN(E2068,H2068),Pu&lt;=MAX(E2068,H2068),E2068&lt;&gt;H2068),1,0)</f>
      </c>
      <c r="L2068">
        <f>IF(K2068=1,(Pu-E2068)/(H2068-E2068),"")</f>
      </c>
      <c r="M2068" s="12">
        <f>IF(K2068=1,F2068+L2068*(I2068-F2068),"")</f>
      </c>
      <c r="N2068" s="12">
        <f>IF(K2068=1,G2068+L2068*(J2068-G2068),"")</f>
      </c>
    </row>
    <row r="2069" spans="2:14" x14ac:dyDescent="0.25">
      <c r="B2069">
        <v>58</v>
      </c>
      <c r="C2069">
        <v>224.99999999999997</v>
      </c>
      <c r="D2069">
        <v>11</v>
      </c>
      <c r="E2069" s="18">
        <v>6883.12106814416</v>
      </c>
      <c r="F2069" s="18">
        <v>-2839.5225085411953</v>
      </c>
      <c r="G2069" s="18">
        <v>-3852.811704334862</v>
      </c>
      <c r="H2069" s="12">
        <f>E2070</f>
      </c>
      <c r="I2069" s="12">
        <f>F2070</f>
      </c>
      <c r="J2069" s="12">
        <f>G2070</f>
      </c>
      <c r="K2069">
        <f>IF(AND(Pu&gt;=MIN(E2069,H2069),Pu&lt;=MAX(E2069,H2069),E2069&lt;&gt;H2069),1,0)</f>
      </c>
      <c r="L2069">
        <f>IF(K2069=1,(Pu-E2069)/(H2069-E2069),"")</f>
      </c>
      <c r="M2069" s="12">
        <f>IF(K2069=1,F2069+L2069*(I2069-F2069),"")</f>
      </c>
      <c r="N2069" s="12">
        <f>IF(K2069=1,G2069+L2069*(J2069-G2069),"")</f>
      </c>
    </row>
    <row r="2070" spans="2:14" x14ac:dyDescent="0.25">
      <c r="B2070">
        <v>58</v>
      </c>
      <c r="C2070">
        <v>224.99999999999997</v>
      </c>
      <c r="D2070">
        <v>12</v>
      </c>
      <c r="E2070" s="18">
        <v>6645.332581263441</v>
      </c>
      <c r="F2070" s="18">
        <v>-2840.1038309515125</v>
      </c>
      <c r="G2070" s="18">
        <v>-3893.113749511526</v>
      </c>
      <c r="H2070" s="12">
        <f>E2071</f>
      </c>
      <c r="I2070" s="12">
        <f>F2071</f>
      </c>
      <c r="J2070" s="12">
        <f>G2071</f>
      </c>
      <c r="K2070">
        <f>IF(AND(Pu&gt;=MIN(E2070,H2070),Pu&lt;=MAX(E2070,H2070),E2070&lt;&gt;H2070),1,0)</f>
      </c>
      <c r="L2070">
        <f>IF(K2070=1,(Pu-E2070)/(H2070-E2070),"")</f>
      </c>
      <c r="M2070" s="12">
        <f>IF(K2070=1,F2070+L2070*(I2070-F2070),"")</f>
      </c>
      <c r="N2070" s="12">
        <f>IF(K2070=1,G2070+L2070*(J2070-G2070),"")</f>
      </c>
    </row>
    <row r="2071" spans="2:14" x14ac:dyDescent="0.25">
      <c r="B2071">
        <v>58</v>
      </c>
      <c r="C2071">
        <v>224.99999999999997</v>
      </c>
      <c r="D2071">
        <v>13</v>
      </c>
      <c r="E2071" s="18">
        <v>6136.746653181994</v>
      </c>
      <c r="F2071" s="18">
        <v>-2847.898196976578</v>
      </c>
      <c r="G2071" s="18">
        <v>-3954.6181700887096</v>
      </c>
      <c r="H2071" s="12">
        <f>E2072</f>
      </c>
      <c r="I2071" s="12">
        <f>F2072</f>
      </c>
      <c r="J2071" s="12">
        <f>G2072</f>
      </c>
      <c r="K2071">
        <f>IF(AND(Pu&gt;=MIN(E2071,H2071),Pu&lt;=MAX(E2071,H2071),E2071&lt;&gt;H2071),1,0)</f>
      </c>
      <c r="L2071">
        <f>IF(K2071=1,(Pu-E2071)/(H2071-E2071),"")</f>
      </c>
      <c r="M2071" s="12">
        <f>IF(K2071=1,F2071+L2071*(I2071-F2071),"")</f>
      </c>
      <c r="N2071" s="12">
        <f>IF(K2071=1,G2071+L2071*(J2071-G2071),"")</f>
      </c>
    </row>
    <row r="2072" spans="2:14" x14ac:dyDescent="0.25">
      <c r="B2072">
        <v>58</v>
      </c>
      <c r="C2072">
        <v>224.99999999999997</v>
      </c>
      <c r="D2072">
        <v>14</v>
      </c>
      <c r="E2072" s="18">
        <v>6082.441733702442</v>
      </c>
      <c r="F2072" s="18">
        <v>-2847.6342905831298</v>
      </c>
      <c r="G2072" s="18">
        <v>-3959.694815268565</v>
      </c>
      <c r="H2072" s="12">
        <f>E2073</f>
      </c>
      <c r="I2072" s="12">
        <f>F2073</f>
      </c>
      <c r="J2072" s="12">
        <f>G2073</f>
      </c>
      <c r="K2072">
        <f>IF(AND(Pu&gt;=MIN(E2072,H2072),Pu&lt;=MAX(E2072,H2072),E2072&lt;&gt;H2072),1,0)</f>
      </c>
      <c r="L2072">
        <f>IF(K2072=1,(Pu-E2072)/(H2072-E2072),"")</f>
      </c>
      <c r="M2072" s="12">
        <f>IF(K2072=1,F2072+L2072*(I2072-F2072),"")</f>
      </c>
      <c r="N2072" s="12">
        <f>IF(K2072=1,G2072+L2072*(J2072-G2072),"")</f>
      </c>
    </row>
    <row r="2073" spans="2:14" x14ac:dyDescent="0.25">
      <c r="B2073">
        <v>58</v>
      </c>
      <c r="C2073">
        <v>224.99999999999997</v>
      </c>
      <c r="D2073">
        <v>15</v>
      </c>
      <c r="E2073" s="18">
        <v>5600.867852997784</v>
      </c>
      <c r="F2073" s="18">
        <v>-2859.013005840349</v>
      </c>
      <c r="G2073" s="18">
        <v>-3994.254113128255</v>
      </c>
      <c r="H2073" s="12">
        <f>E2074</f>
      </c>
      <c r="I2073" s="12">
        <f>F2074</f>
      </c>
      <c r="J2073" s="12">
        <f>G2074</f>
      </c>
      <c r="K2073">
        <f>IF(AND(Pu&gt;=MIN(E2073,H2073),Pu&lt;=MAX(E2073,H2073),E2073&lt;&gt;H2073),1,0)</f>
      </c>
      <c r="L2073">
        <f>IF(K2073=1,(Pu-E2073)/(H2073-E2073),"")</f>
      </c>
      <c r="M2073" s="12">
        <f>IF(K2073=1,F2073+L2073*(I2073-F2073),"")</f>
      </c>
      <c r="N2073" s="12">
        <f>IF(K2073=1,G2073+L2073*(J2073-G2073),"")</f>
      </c>
    </row>
    <row r="2074" spans="2:14" x14ac:dyDescent="0.25">
      <c r="B2074">
        <v>58</v>
      </c>
      <c r="C2074">
        <v>224.99999999999997</v>
      </c>
      <c r="D2074">
        <v>16</v>
      </c>
      <c r="E2074" s="18">
        <v>5171.454845072878</v>
      </c>
      <c r="F2074" s="18">
        <v>-2866.7591136163715</v>
      </c>
      <c r="G2074" s="18">
        <v>-4024.255282834593</v>
      </c>
      <c r="H2074" s="12">
        <f>E2075</f>
      </c>
      <c r="I2074" s="12">
        <f>F2075</f>
      </c>
      <c r="J2074" s="12">
        <f>G2075</f>
      </c>
      <c r="K2074">
        <f>IF(AND(Pu&gt;=MIN(E2074,H2074),Pu&lt;=MAX(E2074,H2074),E2074&lt;&gt;H2074),1,0)</f>
      </c>
      <c r="L2074">
        <f>IF(K2074=1,(Pu-E2074)/(H2074-E2074),"")</f>
      </c>
      <c r="M2074" s="12">
        <f>IF(K2074=1,F2074+L2074*(I2074-F2074),"")</f>
      </c>
      <c r="N2074" s="12">
        <f>IF(K2074=1,G2074+L2074*(J2074-G2074),"")</f>
      </c>
    </row>
    <row r="2075" spans="2:14" x14ac:dyDescent="0.25">
      <c r="B2075">
        <v>58</v>
      </c>
      <c r="C2075">
        <v>224.99999999999997</v>
      </c>
      <c r="D2075">
        <v>17</v>
      </c>
      <c r="E2075" s="18">
        <v>5027.412537577054</v>
      </c>
      <c r="F2075" s="18">
        <v>-2871.3483548823538</v>
      </c>
      <c r="G2075" s="18">
        <v>-4025.0165380028716</v>
      </c>
      <c r="H2075" s="12">
        <f>E2076</f>
      </c>
      <c r="I2075" s="12">
        <f>F2076</f>
      </c>
      <c r="J2075" s="12">
        <f>G2076</f>
      </c>
      <c r="K2075">
        <f>IF(AND(Pu&gt;=MIN(E2075,H2075),Pu&lt;=MAX(E2075,H2075),E2075&lt;&gt;H2075),1,0)</f>
      </c>
      <c r="L2075">
        <f>IF(K2075=1,(Pu-E2075)/(H2075-E2075),"")</f>
      </c>
      <c r="M2075" s="12">
        <f>IF(K2075=1,F2075+L2075*(I2075-F2075),"")</f>
      </c>
      <c r="N2075" s="12">
        <f>IF(K2075=1,G2075+L2075*(J2075-G2075),"")</f>
      </c>
    </row>
    <row r="2076" spans="2:14" x14ac:dyDescent="0.25">
      <c r="B2076">
        <v>58</v>
      </c>
      <c r="C2076">
        <v>224.99999999999997</v>
      </c>
      <c r="D2076">
        <v>18</v>
      </c>
      <c r="E2076" s="18">
        <v>4797.902945121806</v>
      </c>
      <c r="F2076" s="18">
        <v>-2874.0577404616124</v>
      </c>
      <c r="G2076" s="18">
        <v>-4027.803206898841</v>
      </c>
      <c r="H2076" s="12">
        <f>E2077</f>
      </c>
      <c r="I2076" s="12">
        <f>F2077</f>
      </c>
      <c r="J2076" s="12">
        <f>G2077</f>
      </c>
      <c r="K2076">
        <f>IF(AND(Pu&gt;=MIN(E2076,H2076),Pu&lt;=MAX(E2076,H2076),E2076&lt;&gt;H2076),1,0)</f>
      </c>
      <c r="L2076">
        <f>IF(K2076=1,(Pu-E2076)/(H2076-E2076),"")</f>
      </c>
      <c r="M2076" s="12">
        <f>IF(K2076=1,F2076+L2076*(I2076-F2076),"")</f>
      </c>
      <c r="N2076" s="12">
        <f>IF(K2076=1,G2076+L2076*(J2076-G2076),"")</f>
      </c>
    </row>
    <row r="2077" spans="2:14" x14ac:dyDescent="0.25">
      <c r="B2077">
        <v>58</v>
      </c>
      <c r="C2077">
        <v>224.99999999999997</v>
      </c>
      <c r="D2077">
        <v>19</v>
      </c>
      <c r="E2077" s="18">
        <v>4505.484135091202</v>
      </c>
      <c r="F2077" s="18">
        <v>-2879.4420218730656</v>
      </c>
      <c r="G2077" s="18">
        <v>-4029.802959700159</v>
      </c>
      <c r="H2077" s="12">
        <f>E2078</f>
      </c>
      <c r="I2077" s="12">
        <f>F2078</f>
      </c>
      <c r="J2077" s="12">
        <f>G2078</f>
      </c>
      <c r="K2077">
        <f>IF(AND(Pu&gt;=MIN(E2077,H2077),Pu&lt;=MAX(E2077,H2077),E2077&lt;&gt;H2077),1,0)</f>
      </c>
      <c r="L2077">
        <f>IF(K2077=1,(Pu-E2077)/(H2077-E2077),"")</f>
      </c>
      <c r="M2077" s="12">
        <f>IF(K2077=1,F2077+L2077*(I2077-F2077),"")</f>
      </c>
      <c r="N2077" s="12">
        <f>IF(K2077=1,G2077+L2077*(J2077-G2077),"")</f>
      </c>
    </row>
    <row r="2078" spans="2:14" x14ac:dyDescent="0.25">
      <c r="B2078">
        <v>58</v>
      </c>
      <c r="C2078">
        <v>224.99999999999997</v>
      </c>
      <c r="D2078">
        <v>20</v>
      </c>
      <c r="E2078" s="18">
        <v>4456.3248768306075</v>
      </c>
      <c r="F2078" s="18">
        <v>-2880.4086417882986</v>
      </c>
      <c r="G2078" s="18">
        <v>-4029.9062304683607</v>
      </c>
      <c r="H2078" s="12">
        <f>E2079</f>
      </c>
      <c r="I2078" s="12">
        <f>F2079</f>
      </c>
      <c r="J2078" s="12">
        <f>G2079</f>
      </c>
      <c r="K2078">
        <f>IF(AND(Pu&gt;=MIN(E2078,H2078),Pu&lt;=MAX(E2078,H2078),E2078&lt;&gt;H2078),1,0)</f>
      </c>
      <c r="L2078">
        <f>IF(K2078=1,(Pu-E2078)/(H2078-E2078),"")</f>
      </c>
      <c r="M2078" s="12">
        <f>IF(K2078=1,F2078+L2078*(I2078-F2078),"")</f>
      </c>
      <c r="N2078" s="12">
        <f>IF(K2078=1,G2078+L2078*(J2078-G2078),"")</f>
      </c>
    </row>
    <row r="2079" spans="2:14" x14ac:dyDescent="0.25">
      <c r="B2079">
        <v>58</v>
      </c>
      <c r="C2079">
        <v>224.99999999999997</v>
      </c>
      <c r="D2079">
        <v>21</v>
      </c>
      <c r="E2079" s="18">
        <v>3821.171854375846</v>
      </c>
      <c r="F2079" s="18">
        <v>-2770.9270116131243</v>
      </c>
      <c r="G2079" s="18">
        <v>-3863.6864991836833</v>
      </c>
      <c r="H2079" s="12">
        <f>E2080</f>
      </c>
      <c r="I2079" s="12">
        <f>F2080</f>
      </c>
      <c r="J2079" s="12">
        <f>G2080</f>
      </c>
      <c r="K2079">
        <f>IF(AND(Pu&gt;=MIN(E2079,H2079),Pu&lt;=MAX(E2079,H2079),E2079&lt;&gt;H2079),1,0)</f>
      </c>
      <c r="L2079">
        <f>IF(K2079=1,(Pu-E2079)/(H2079-E2079),"")</f>
      </c>
      <c r="M2079" s="12">
        <f>IF(K2079=1,F2079+L2079*(I2079-F2079),"")</f>
      </c>
      <c r="N2079" s="12">
        <f>IF(K2079=1,G2079+L2079*(J2079-G2079),"")</f>
      </c>
    </row>
    <row r="2080" spans="2:14" x14ac:dyDescent="0.25">
      <c r="B2080">
        <v>58</v>
      </c>
      <c r="C2080">
        <v>224.99999999999997</v>
      </c>
      <c r="D2080">
        <v>22</v>
      </c>
      <c r="E2080" s="18">
        <v>2797.9862399458157</v>
      </c>
      <c r="F2080" s="18">
        <v>-2526.193549054124</v>
      </c>
      <c r="G2080" s="18">
        <v>-3588.1708572468756</v>
      </c>
      <c r="H2080" s="12">
        <f>E2081</f>
      </c>
      <c r="I2080" s="12">
        <f>F2081</f>
      </c>
      <c r="J2080" s="12">
        <f>G2081</f>
      </c>
      <c r="K2080">
        <f>IF(AND(Pu&gt;=MIN(E2080,H2080),Pu&lt;=MAX(E2080,H2080),E2080&lt;&gt;H2080),1,0)</f>
      </c>
      <c r="L2080">
        <f>IF(K2080=1,(Pu-E2080)/(H2080-E2080),"")</f>
      </c>
      <c r="M2080" s="12">
        <f>IF(K2080=1,F2080+L2080*(I2080-F2080),"")</f>
      </c>
      <c r="N2080" s="12">
        <f>IF(K2080=1,G2080+L2080*(J2080-G2080),"")</f>
      </c>
    </row>
    <row r="2081" spans="2:14" x14ac:dyDescent="0.25">
      <c r="B2081">
        <v>58</v>
      </c>
      <c r="C2081">
        <v>224.99999999999997</v>
      </c>
      <c r="D2081">
        <v>23</v>
      </c>
      <c r="E2081" s="18">
        <v>1936.3810065652344</v>
      </c>
      <c r="F2081" s="18">
        <v>-2308.4113700647213</v>
      </c>
      <c r="G2081" s="18">
        <v>-3337.154978066632</v>
      </c>
      <c r="H2081" s="12">
        <f>E2082</f>
      </c>
      <c r="I2081" s="12">
        <f>F2082</f>
      </c>
      <c r="J2081" s="12">
        <f>G2082</f>
      </c>
      <c r="K2081">
        <f>IF(AND(Pu&gt;=MIN(E2081,H2081),Pu&lt;=MAX(E2081,H2081),E2081&lt;&gt;H2081),1,0)</f>
      </c>
      <c r="L2081">
        <f>IF(K2081=1,(Pu-E2081)/(H2081-E2081),"")</f>
      </c>
      <c r="M2081" s="12">
        <f>IF(K2081=1,F2081+L2081*(I2081-F2081),"")</f>
      </c>
      <c r="N2081" s="12">
        <f>IF(K2081=1,G2081+L2081*(J2081-G2081),"")</f>
      </c>
    </row>
    <row r="2082" spans="2:14" x14ac:dyDescent="0.25">
      <c r="B2082">
        <v>58</v>
      </c>
      <c r="C2082">
        <v>224.99999999999997</v>
      </c>
      <c r="D2082">
        <v>24</v>
      </c>
      <c r="E2082" s="18">
        <v>1260.424886133426</v>
      </c>
      <c r="F2082" s="18">
        <v>-2147.067321945879</v>
      </c>
      <c r="G2082" s="18">
        <v>-3088.3746305438003</v>
      </c>
      <c r="H2082" s="12">
        <f>E2083</f>
      </c>
      <c r="I2082" s="12">
        <f>F2083</f>
      </c>
      <c r="J2082" s="12">
        <f>G2083</f>
      </c>
      <c r="K2082">
        <f>IF(AND(Pu&gt;=MIN(E2082,H2082),Pu&lt;=MAX(E2082,H2082),E2082&lt;&gt;H2082),1,0)</f>
      </c>
      <c r="L2082">
        <f>IF(K2082=1,(Pu-E2082)/(H2082-E2082),"")</f>
      </c>
      <c r="M2082" s="12">
        <f>IF(K2082=1,F2082+L2082*(I2082-F2082),"")</f>
      </c>
      <c r="N2082" s="12">
        <f>IF(K2082=1,G2082+L2082*(J2082-G2082),"")</f>
      </c>
    </row>
    <row r="2083" spans="2:14" x14ac:dyDescent="0.25">
      <c r="B2083">
        <v>58</v>
      </c>
      <c r="C2083">
        <v>224.99999999999997</v>
      </c>
      <c r="D2083">
        <v>25</v>
      </c>
      <c r="E2083" s="18">
        <v>137.66053666694955</v>
      </c>
      <c r="F2083" s="18">
        <v>-1874.4339530830323</v>
      </c>
      <c r="G2083" s="18">
        <v>-2634.8426915214995</v>
      </c>
      <c r="H2083" s="12">
        <f>E2084</f>
      </c>
      <c r="I2083" s="12">
        <f>F2084</f>
      </c>
      <c r="J2083" s="12">
        <f>G2084</f>
      </c>
      <c r="K2083">
        <f>IF(AND(Pu&gt;=MIN(E2083,H2083),Pu&lt;=MAX(E2083,H2083),E2083&lt;&gt;H2083),1,0)</f>
      </c>
      <c r="L2083">
        <f>IF(K2083=1,(Pu-E2083)/(H2083-E2083),"")</f>
      </c>
      <c r="M2083" s="12">
        <f>IF(K2083=1,F2083+L2083*(I2083-F2083),"")</f>
      </c>
      <c r="N2083" s="12">
        <f>IF(K2083=1,G2083+L2083*(J2083-G2083),"")</f>
      </c>
    </row>
    <row r="2084" spans="2:14" x14ac:dyDescent="0.25">
      <c r="B2084">
        <v>58</v>
      </c>
      <c r="C2084">
        <v>224.99999999999997</v>
      </c>
      <c r="D2084">
        <v>26</v>
      </c>
      <c r="E2084" s="18">
        <v>-635.6505109007466</v>
      </c>
      <c r="F2084" s="18">
        <v>-1632.0766936224363</v>
      </c>
      <c r="G2084" s="18">
        <v>-2305.9046859946916</v>
      </c>
      <c r="H2084" s="12">
        <f>E2085</f>
      </c>
      <c r="I2084" s="12">
        <f>F2085</f>
      </c>
      <c r="J2084" s="12">
        <f>G2085</f>
      </c>
      <c r="K2084">
        <f>IF(AND(Pu&gt;=MIN(E2084,H2084),Pu&lt;=MAX(E2084,H2084),E2084&lt;&gt;H2084),1,0)</f>
      </c>
      <c r="L2084">
        <f>IF(K2084=1,(Pu-E2084)/(H2084-E2084),"")</f>
      </c>
      <c r="M2084" s="12">
        <f>IF(K2084=1,F2084+L2084*(I2084-F2084),"")</f>
      </c>
      <c r="N2084" s="12">
        <f>IF(K2084=1,G2084+L2084*(J2084-G2084),"")</f>
      </c>
    </row>
    <row r="2085" spans="2:14" x14ac:dyDescent="0.25">
      <c r="B2085">
        <v>58</v>
      </c>
      <c r="C2085">
        <v>224.99999999999997</v>
      </c>
      <c r="D2085">
        <v>27</v>
      </c>
      <c r="E2085" s="18">
        <v>-1308.451894479557</v>
      </c>
      <c r="F2085" s="18">
        <v>-1425.5913274210648</v>
      </c>
      <c r="G2085" s="18">
        <v>-1988.9089477457092</v>
      </c>
      <c r="H2085" s="12">
        <f>E2086</f>
      </c>
      <c r="I2085" s="12">
        <f>F2086</f>
      </c>
      <c r="J2085" s="12">
        <f>G2086</f>
      </c>
      <c r="K2085">
        <f>IF(AND(Pu&gt;=MIN(E2085,H2085),Pu&lt;=MAX(E2085,H2085),E2085&lt;&gt;H2085),1,0)</f>
      </c>
      <c r="L2085">
        <f>IF(K2085=1,(Pu-E2085)/(H2085-E2085),"")</f>
      </c>
      <c r="M2085" s="12">
        <f>IF(K2085=1,F2085+L2085*(I2085-F2085),"")</f>
      </c>
      <c r="N2085" s="12">
        <f>IF(K2085=1,G2085+L2085*(J2085-G2085),"")</f>
      </c>
    </row>
    <row r="2086" spans="2:14" x14ac:dyDescent="0.25">
      <c r="B2086">
        <v>58</v>
      </c>
      <c r="C2086">
        <v>224.99999999999997</v>
      </c>
      <c r="D2086">
        <v>28</v>
      </c>
      <c r="E2086" s="18">
        <v>-1827.0058707652065</v>
      </c>
      <c r="F2086" s="18">
        <v>-1247.1116943574534</v>
      </c>
      <c r="G2086" s="18">
        <v>-1729.797642752006</v>
      </c>
      <c r="H2086" s="12">
        <f>E2087</f>
      </c>
      <c r="I2086" s="12">
        <f>F2087</f>
      </c>
      <c r="J2086" s="12">
        <f>G2087</f>
      </c>
      <c r="K2086">
        <f>IF(AND(Pu&gt;=MIN(E2086,H2086),Pu&lt;=MAX(E2086,H2086),E2086&lt;&gt;H2086),1,0)</f>
      </c>
      <c r="L2086">
        <f>IF(K2086=1,(Pu-E2086)/(H2086-E2086),"")</f>
      </c>
      <c r="M2086" s="12">
        <f>IF(K2086=1,F2086+L2086*(I2086-F2086),"")</f>
      </c>
      <c r="N2086" s="12">
        <f>IF(K2086=1,G2086+L2086*(J2086-G2086),"")</f>
      </c>
    </row>
    <row r="2087" spans="2:14" x14ac:dyDescent="0.25">
      <c r="B2087">
        <v>58</v>
      </c>
      <c r="C2087">
        <v>224.99999999999997</v>
      </c>
      <c r="D2087">
        <v>29</v>
      </c>
      <c r="E2087" s="18">
        <v>-2596.9880725986186</v>
      </c>
      <c r="F2087" s="18">
        <v>-962.9940356902686</v>
      </c>
      <c r="G2087" s="18">
        <v>-1344.621103310991</v>
      </c>
      <c r="H2087" s="12">
        <f>E2088</f>
      </c>
      <c r="I2087" s="12">
        <f>F2088</f>
      </c>
      <c r="J2087" s="12">
        <f>G2088</f>
      </c>
      <c r="K2087">
        <f>IF(AND(Pu&gt;=MIN(E2087,H2087),Pu&lt;=MAX(E2087,H2087),E2087&lt;&gt;H2087),1,0)</f>
      </c>
      <c r="L2087">
        <f>IF(K2087=1,(Pu-E2087)/(H2087-E2087),"")</f>
      </c>
      <c r="M2087" s="12">
        <f>IF(K2087=1,F2087+L2087*(I2087-F2087),"")</f>
      </c>
      <c r="N2087" s="12">
        <f>IF(K2087=1,G2087+L2087*(J2087-G2087),"")</f>
      </c>
    </row>
    <row r="2088" spans="2:14" x14ac:dyDescent="0.25">
      <c r="B2088">
        <v>58</v>
      </c>
      <c r="C2088">
        <v>224.99999999999997</v>
      </c>
      <c r="D2088">
        <v>30</v>
      </c>
      <c r="E2088" s="18">
        <v>-3111.3909371887553</v>
      </c>
      <c r="F2088" s="18">
        <v>-781.9059609454737</v>
      </c>
      <c r="G2088" s="18">
        <v>-1057.7947051904387</v>
      </c>
      <c r="H2088" s="12">
        <f>E2089</f>
      </c>
      <c r="I2088" s="12">
        <f>F2089</f>
      </c>
      <c r="J2088" s="12">
        <f>G2089</f>
      </c>
      <c r="K2088">
        <f>IF(AND(Pu&gt;=MIN(E2088,H2088),Pu&lt;=MAX(E2088,H2088),E2088&lt;&gt;H2088),1,0)</f>
      </c>
      <c r="L2088">
        <f>IF(K2088=1,(Pu-E2088)/(H2088-E2088),"")</f>
      </c>
      <c r="M2088" s="12">
        <f>IF(K2088=1,F2088+L2088*(I2088-F2088),"")</f>
      </c>
      <c r="N2088" s="12">
        <f>IF(K2088=1,G2088+L2088*(J2088-G2088),"")</f>
      </c>
    </row>
    <row r="2089" spans="2:14" x14ac:dyDescent="0.25">
      <c r="B2089">
        <v>58</v>
      </c>
      <c r="C2089">
        <v>224.99999999999997</v>
      </c>
      <c r="D2089">
        <v>31</v>
      </c>
      <c r="E2089" s="18">
        <v>-3655.561637086437</v>
      </c>
      <c r="F2089" s="18">
        <v>-549.2831242866971</v>
      </c>
      <c r="G2089" s="18">
        <v>-760.9306287349415</v>
      </c>
      <c r="H2089" s="12">
        <f>E2090</f>
      </c>
      <c r="I2089" s="12">
        <f>F2090</f>
      </c>
      <c r="J2089" s="12">
        <f>G2090</f>
      </c>
      <c r="K2089">
        <f>IF(AND(Pu&gt;=MIN(E2089,H2089),Pu&lt;=MAX(E2089,H2089),E2089&lt;&gt;H2089),1,0)</f>
      </c>
      <c r="L2089">
        <f>IF(K2089=1,(Pu-E2089)/(H2089-E2089),"")</f>
      </c>
      <c r="M2089" s="12">
        <f>IF(K2089=1,F2089+L2089*(I2089-F2089),"")</f>
      </c>
      <c r="N2089" s="12">
        <f>IF(K2089=1,G2089+L2089*(J2089-G2089),"")</f>
      </c>
    </row>
    <row r="2090" spans="2:14" x14ac:dyDescent="0.25">
      <c r="B2090">
        <v>58</v>
      </c>
      <c r="C2090">
        <v>224.99999999999997</v>
      </c>
      <c r="D2090">
        <v>32</v>
      </c>
      <c r="E2090" s="18">
        <v>-4073.9144115444014</v>
      </c>
      <c r="F2090" s="18">
        <v>-368.2620401394001</v>
      </c>
      <c r="G2090" s="18">
        <v>-530.531617664146</v>
      </c>
      <c r="H2090" s="12">
        <f>E2091</f>
      </c>
      <c r="I2090" s="12">
        <f>F2091</f>
      </c>
      <c r="J2090" s="12">
        <f>G2091</f>
      </c>
      <c r="K2090">
        <f>IF(AND(Pu&gt;=MIN(E2090,H2090),Pu&lt;=MAX(E2090,H2090),E2090&lt;&gt;H2090),1,0)</f>
      </c>
      <c r="L2090">
        <f>IF(K2090=1,(Pu-E2090)/(H2090-E2090),"")</f>
      </c>
      <c r="M2090" s="12">
        <f>IF(K2090=1,F2090+L2090*(I2090-F2090),"")</f>
      </c>
      <c r="N2090" s="12">
        <f>IF(K2090=1,G2090+L2090*(J2090-G2090),"")</f>
      </c>
    </row>
    <row r="2091" spans="2:14" x14ac:dyDescent="0.25">
      <c r="B2091">
        <v>58</v>
      </c>
      <c r="C2091">
        <v>224.99999999999997</v>
      </c>
      <c r="D2091">
        <v>33</v>
      </c>
      <c r="E2091" s="18">
        <v>-4520.652717266332</v>
      </c>
      <c r="F2091" s="18">
        <v>-192.46965978089094</v>
      </c>
      <c r="G2091" s="18">
        <v>-252.67115852577163</v>
      </c>
      <c r="H2091" s="12">
        <f>E2092</f>
      </c>
      <c r="I2091" s="12">
        <f>F2092</f>
      </c>
      <c r="J2091" s="12">
        <f>G2092</f>
      </c>
      <c r="K2091">
        <f>IF(AND(Pu&gt;=MIN(E2091,H2091),Pu&lt;=MAX(E2091,H2091),E2091&lt;&gt;H2091),1,0)</f>
      </c>
      <c r="L2091">
        <f>IF(K2091=1,(Pu-E2091)/(H2091-E2091),"")</f>
      </c>
      <c r="M2091" s="12">
        <f>IF(K2091=1,F2091+L2091*(I2091-F2091),"")</f>
      </c>
      <c r="N2091" s="12">
        <f>IF(K2091=1,G2091+L2091*(J2091-G2091),"")</f>
      </c>
    </row>
    <row r="2092" spans="2:7" x14ac:dyDescent="0.25">
      <c r="B2092">
        <v>58</v>
      </c>
      <c r="C2092">
        <v>224.99999999999997</v>
      </c>
      <c r="D2092">
        <v>34</v>
      </c>
      <c r="E2092" s="18">
        <v>-4629.738809930116</v>
      </c>
      <c r="F2092" s="18">
        <v>-141.6504596332699</v>
      </c>
      <c r="G2092" s="18">
        <v>-185.48904447858226</v>
      </c>
    </row>
    <row r="2094" spans="2:14" x14ac:dyDescent="0.25">
      <c r="B2094">
        <v>59</v>
      </c>
      <c r="C2094">
        <v>232.5</v>
      </c>
      <c r="D2094">
        <v>1</v>
      </c>
      <c r="E2094" s="18">
        <v>17240.970911213913</v>
      </c>
      <c r="F2094" s="18">
        <v>-1780.5435478726458</v>
      </c>
      <c r="G2094" s="18">
        <v>-2030.3233853825643</v>
      </c>
      <c r="H2094" s="12">
        <f>E2095</f>
      </c>
      <c r="I2094" s="12">
        <f>F2095</f>
      </c>
      <c r="J2094" s="12">
        <f>G2095</f>
      </c>
      <c r="K2094">
        <f>IF(AND(Pu&gt;=MIN(E2094,H2094),Pu&lt;=MAX(E2094,H2094),E2094&lt;&gt;H2094),1,0)</f>
      </c>
      <c r="L2094">
        <f>IF(K2094=1,(Pu-E2094)/(H2094-E2094),"")</f>
      </c>
      <c r="M2094" s="12">
        <f>IF(K2094=1,F2094+L2094*(I2094-F2094),"")</f>
      </c>
      <c r="N2094" s="12">
        <f>IF(K2094=1,G2094+L2094*(J2094-G2094),"")</f>
      </c>
    </row>
    <row r="2095" spans="2:14" x14ac:dyDescent="0.25">
      <c r="B2095">
        <v>59</v>
      </c>
      <c r="C2095">
        <v>232.5</v>
      </c>
      <c r="D2095">
        <v>2</v>
      </c>
      <c r="E2095" s="18">
        <v>16074.85190290488</v>
      </c>
      <c r="F2095" s="18">
        <v>-2108.787576729388</v>
      </c>
      <c r="G2095" s="18">
        <v>-2292.597506692549</v>
      </c>
      <c r="H2095" s="12">
        <f>E2096</f>
      </c>
      <c r="I2095" s="12">
        <f>F2096</f>
      </c>
      <c r="J2095" s="12">
        <f>G2096</f>
      </c>
      <c r="K2095">
        <f>IF(AND(Pu&gt;=MIN(E2095,H2095),Pu&lt;=MAX(E2095,H2095),E2095&lt;&gt;H2095),1,0)</f>
      </c>
      <c r="L2095">
        <f>IF(K2095=1,(Pu-E2095)/(H2095-E2095),"")</f>
      </c>
      <c r="M2095" s="12">
        <f>IF(K2095=1,F2095+L2095*(I2095-F2095),"")</f>
      </c>
      <c r="N2095" s="12">
        <f>IF(K2095=1,G2095+L2095*(J2095-G2095),"")</f>
      </c>
    </row>
    <row r="2096" spans="2:14" x14ac:dyDescent="0.25">
      <c r="B2096">
        <v>59</v>
      </c>
      <c r="C2096">
        <v>232.5</v>
      </c>
      <c r="D2096">
        <v>3</v>
      </c>
      <c r="E2096" s="18">
        <v>13712.088993565596</v>
      </c>
      <c r="F2096" s="18">
        <v>-2670.171772574423</v>
      </c>
      <c r="G2096" s="18">
        <v>-2599.1519431033753</v>
      </c>
      <c r="H2096" s="12">
        <f>E2097</f>
      </c>
      <c r="I2096" s="12">
        <f>F2097</f>
      </c>
      <c r="J2096" s="12">
        <f>G2097</f>
      </c>
      <c r="K2096">
        <f>IF(AND(Pu&gt;=MIN(E2096,H2096),Pu&lt;=MAX(E2096,H2096),E2096&lt;&gt;H2096),1,0)</f>
      </c>
      <c r="L2096">
        <f>IF(K2096=1,(Pu-E2096)/(H2096-E2096),"")</f>
      </c>
      <c r="M2096" s="12">
        <f>IF(K2096=1,F2096+L2096*(I2096-F2096),"")</f>
      </c>
      <c r="N2096" s="12">
        <f>IF(K2096=1,G2096+L2096*(J2096-G2096),"")</f>
      </c>
    </row>
    <row r="2097" spans="2:14" x14ac:dyDescent="0.25">
      <c r="B2097">
        <v>59</v>
      </c>
      <c r="C2097">
        <v>232.5</v>
      </c>
      <c r="D2097">
        <v>4</v>
      </c>
      <c r="E2097" s="18">
        <v>11670.087284860623</v>
      </c>
      <c r="F2097" s="18">
        <v>-3022.0299518652255</v>
      </c>
      <c r="G2097" s="18">
        <v>-2730.6925212260307</v>
      </c>
      <c r="H2097" s="12">
        <f>E2098</f>
      </c>
      <c r="I2097" s="12">
        <f>F2098</f>
      </c>
      <c r="J2097" s="12">
        <f>G2098</f>
      </c>
      <c r="K2097">
        <f>IF(AND(Pu&gt;=MIN(E2097,H2097),Pu&lt;=MAX(E2097,H2097),E2097&lt;&gt;H2097),1,0)</f>
      </c>
      <c r="L2097">
        <f>IF(K2097=1,(Pu-E2097)/(H2097-E2097),"")</f>
      </c>
      <c r="M2097" s="12">
        <f>IF(K2097=1,F2097+L2097*(I2097-F2097),"")</f>
      </c>
      <c r="N2097" s="12">
        <f>IF(K2097=1,G2097+L2097*(J2097-G2097),"")</f>
      </c>
    </row>
    <row r="2098" spans="2:14" x14ac:dyDescent="0.25">
      <c r="B2098">
        <v>59</v>
      </c>
      <c r="C2098">
        <v>232.5</v>
      </c>
      <c r="D2098">
        <v>5</v>
      </c>
      <c r="E2098" s="18">
        <v>10102.952490165486</v>
      </c>
      <c r="F2098" s="18">
        <v>-3168.603593076542</v>
      </c>
      <c r="G2098" s="18">
        <v>-2843.8623134216587</v>
      </c>
      <c r="H2098" s="12">
        <f>E2099</f>
      </c>
      <c r="I2098" s="12">
        <f>F2099</f>
      </c>
      <c r="J2098" s="12">
        <f>G2099</f>
      </c>
      <c r="K2098">
        <f>IF(AND(Pu&gt;=MIN(E2098,H2098),Pu&lt;=MAX(E2098,H2098),E2098&lt;&gt;H2098),1,0)</f>
      </c>
      <c r="L2098">
        <f>IF(K2098=1,(Pu-E2098)/(H2098-E2098),"")</f>
      </c>
      <c r="M2098" s="12">
        <f>IF(K2098=1,F2098+L2098*(I2098-F2098),"")</f>
      </c>
      <c r="N2098" s="12">
        <f>IF(K2098=1,G2098+L2098*(J2098-G2098),"")</f>
      </c>
    </row>
    <row r="2099" spans="2:14" x14ac:dyDescent="0.25">
      <c r="B2099">
        <v>59</v>
      </c>
      <c r="C2099">
        <v>232.5</v>
      </c>
      <c r="D2099">
        <v>6</v>
      </c>
      <c r="E2099" s="18">
        <v>8725.048820077162</v>
      </c>
      <c r="F2099" s="18">
        <v>-3224.100981847967</v>
      </c>
      <c r="G2099" s="18">
        <v>-2936.4389343073753</v>
      </c>
      <c r="H2099" s="12">
        <f>E2100</f>
      </c>
      <c r="I2099" s="12">
        <f>F2100</f>
      </c>
      <c r="J2099" s="12">
        <f>G2100</f>
      </c>
      <c r="K2099">
        <f>IF(AND(Pu&gt;=MIN(E2099,H2099),Pu&lt;=MAX(E2099,H2099),E2099&lt;&gt;H2099),1,0)</f>
      </c>
      <c r="L2099">
        <f>IF(K2099=1,(Pu-E2099)/(H2099-E2099),"")</f>
      </c>
      <c r="M2099" s="12">
        <f>IF(K2099=1,F2099+L2099*(I2099-F2099),"")</f>
      </c>
      <c r="N2099" s="12">
        <f>IF(K2099=1,G2099+L2099*(J2099-G2099),"")</f>
      </c>
    </row>
    <row r="2100" spans="2:14" x14ac:dyDescent="0.25">
      <c r="B2100">
        <v>59</v>
      </c>
      <c r="C2100">
        <v>232.5</v>
      </c>
      <c r="D2100">
        <v>7</v>
      </c>
      <c r="E2100" s="18">
        <v>8651.512731717814</v>
      </c>
      <c r="F2100" s="18">
        <v>-3224.928797479175</v>
      </c>
      <c r="G2100" s="18">
        <v>-2941.6681424533162</v>
      </c>
      <c r="H2100" s="12">
        <f>E2101</f>
      </c>
      <c r="I2100" s="12">
        <f>F2101</f>
      </c>
      <c r="J2100" s="12">
        <f>G2101</f>
      </c>
      <c r="K2100">
        <f>IF(AND(Pu&gt;=MIN(E2100,H2100),Pu&lt;=MAX(E2100,H2100),E2100&lt;&gt;H2100),1,0)</f>
      </c>
      <c r="L2100">
        <f>IF(K2100=1,(Pu-E2100)/(H2100-E2100),"")</f>
      </c>
      <c r="M2100" s="12">
        <f>IF(K2100=1,F2100+L2100*(I2100-F2100),"")</f>
      </c>
      <c r="N2100" s="12">
        <f>IF(K2100=1,G2100+L2100*(J2100-G2100),"")</f>
      </c>
    </row>
    <row r="2101" spans="2:14" x14ac:dyDescent="0.25">
      <c r="B2101">
        <v>59</v>
      </c>
      <c r="C2101">
        <v>232.5</v>
      </c>
      <c r="D2101">
        <v>8</v>
      </c>
      <c r="E2101" s="18">
        <v>7946.944829767796</v>
      </c>
      <c r="F2101" s="18">
        <v>-3307.7367638918427</v>
      </c>
      <c r="G2101" s="18">
        <v>-3094.089388964822</v>
      </c>
      <c r="H2101" s="12">
        <f>E2102</f>
      </c>
      <c r="I2101" s="12">
        <f>F2102</f>
      </c>
      <c r="J2101" s="12">
        <f>G2102</f>
      </c>
      <c r="K2101">
        <f>IF(AND(Pu&gt;=MIN(E2101,H2101),Pu&lt;=MAX(E2101,H2101),E2101&lt;&gt;H2101),1,0)</f>
      </c>
      <c r="L2101">
        <f>IF(K2101=1,(Pu-E2101)/(H2101-E2101),"")</f>
      </c>
      <c r="M2101" s="12">
        <f>IF(K2101=1,F2101+L2101*(I2101-F2101),"")</f>
      </c>
      <c r="N2101" s="12">
        <f>IF(K2101=1,G2101+L2101*(J2101-G2101),"")</f>
      </c>
    </row>
    <row r="2102" spans="2:14" x14ac:dyDescent="0.25">
      <c r="B2102">
        <v>59</v>
      </c>
      <c r="C2102">
        <v>232.5</v>
      </c>
      <c r="D2102">
        <v>9</v>
      </c>
      <c r="E2102" s="18">
        <v>7840.8868267644875</v>
      </c>
      <c r="F2102" s="18">
        <v>-3316.830174926248</v>
      </c>
      <c r="G2102" s="18">
        <v>-3114.8945182794832</v>
      </c>
      <c r="H2102" s="12">
        <f>E2103</f>
      </c>
      <c r="I2102" s="12">
        <f>F2103</f>
      </c>
      <c r="J2102" s="12">
        <f>G2103</f>
      </c>
      <c r="K2102">
        <f>IF(AND(Pu&gt;=MIN(E2102,H2102),Pu&lt;=MAX(E2102,H2102),E2102&lt;&gt;H2102),1,0)</f>
      </c>
      <c r="L2102">
        <f>IF(K2102=1,(Pu-E2102)/(H2102-E2102),"")</f>
      </c>
      <c r="M2102" s="12">
        <f>IF(K2102=1,F2102+L2102*(I2102-F2102),"")</f>
      </c>
      <c r="N2102" s="12">
        <f>IF(K2102=1,G2102+L2102*(J2102-G2102),"")</f>
      </c>
    </row>
    <row r="2103" spans="2:14" x14ac:dyDescent="0.25">
      <c r="B2103">
        <v>59</v>
      </c>
      <c r="C2103">
        <v>232.5</v>
      </c>
      <c r="D2103">
        <v>10</v>
      </c>
      <c r="E2103" s="18">
        <v>7217.847579819412</v>
      </c>
      <c r="F2103" s="18">
        <v>-3336.140249886454</v>
      </c>
      <c r="G2103" s="18">
        <v>-3227.2822096199266</v>
      </c>
      <c r="H2103" s="12">
        <f>E2104</f>
      </c>
      <c r="I2103" s="12">
        <f>F2104</f>
      </c>
      <c r="J2103" s="12">
        <f>G2104</f>
      </c>
      <c r="K2103">
        <f>IF(AND(Pu&gt;=MIN(E2103,H2103),Pu&lt;=MAX(E2103,H2103),E2103&lt;&gt;H2103),1,0)</f>
      </c>
      <c r="L2103">
        <f>IF(K2103=1,(Pu-E2103)/(H2103-E2103),"")</f>
      </c>
      <c r="M2103" s="12">
        <f>IF(K2103=1,F2103+L2103*(I2103-F2103),"")</f>
      </c>
      <c r="N2103" s="12">
        <f>IF(K2103=1,G2103+L2103*(J2103-G2103),"")</f>
      </c>
    </row>
    <row r="2104" spans="2:14" x14ac:dyDescent="0.25">
      <c r="B2104">
        <v>59</v>
      </c>
      <c r="C2104">
        <v>232.5</v>
      </c>
      <c r="D2104">
        <v>11</v>
      </c>
      <c r="E2104" s="18">
        <v>7014.954482798882</v>
      </c>
      <c r="F2104" s="18">
        <v>-3335.722666062635</v>
      </c>
      <c r="G2104" s="18">
        <v>-3264.496663857237</v>
      </c>
      <c r="H2104" s="12">
        <f>E2105</f>
      </c>
      <c r="I2104" s="12">
        <f>F2105</f>
      </c>
      <c r="J2104" s="12">
        <f>G2105</f>
      </c>
      <c r="K2104">
        <f>IF(AND(Pu&gt;=MIN(E2104,H2104),Pu&lt;=MAX(E2104,H2104),E2104&lt;&gt;H2104),1,0)</f>
      </c>
      <c r="L2104">
        <f>IF(K2104=1,(Pu-E2104)/(H2104-E2104),"")</f>
      </c>
      <c r="M2104" s="12">
        <f>IF(K2104=1,F2104+L2104*(I2104-F2104),"")</f>
      </c>
      <c r="N2104" s="12">
        <f>IF(K2104=1,G2104+L2104*(J2104-G2104),"")</f>
      </c>
    </row>
    <row r="2105" spans="2:14" x14ac:dyDescent="0.25">
      <c r="B2105">
        <v>59</v>
      </c>
      <c r="C2105">
        <v>232.5</v>
      </c>
      <c r="D2105">
        <v>12</v>
      </c>
      <c r="E2105" s="18">
        <v>6539.746528573216</v>
      </c>
      <c r="F2105" s="18">
        <v>-3326.0238832072264</v>
      </c>
      <c r="G2105" s="18">
        <v>-3328.94161026298</v>
      </c>
      <c r="H2105" s="12">
        <f>E2106</f>
      </c>
      <c r="I2105" s="12">
        <f>F2106</f>
      </c>
      <c r="J2105" s="12">
        <f>G2106</f>
      </c>
      <c r="K2105">
        <f>IF(AND(Pu&gt;=MIN(E2105,H2105),Pu&lt;=MAX(E2105,H2105),E2105&lt;&gt;H2105),1,0)</f>
      </c>
      <c r="L2105">
        <f>IF(K2105=1,(Pu-E2105)/(H2105-E2105),"")</f>
      </c>
      <c r="M2105" s="12">
        <f>IF(K2105=1,F2105+L2105*(I2105-F2105),"")</f>
      </c>
      <c r="N2105" s="12">
        <f>IF(K2105=1,G2105+L2105*(J2105-G2105),"")</f>
      </c>
    </row>
    <row r="2106" spans="2:14" x14ac:dyDescent="0.25">
      <c r="B2106">
        <v>59</v>
      </c>
      <c r="C2106">
        <v>232.5</v>
      </c>
      <c r="D2106">
        <v>13</v>
      </c>
      <c r="E2106" s="18">
        <v>6182.620534339375</v>
      </c>
      <c r="F2106" s="18">
        <v>-3312.7122691794607</v>
      </c>
      <c r="G2106" s="18">
        <v>-3375.441696634385</v>
      </c>
      <c r="H2106" s="12">
        <f>E2107</f>
      </c>
      <c r="I2106" s="12">
        <f>F2107</f>
      </c>
      <c r="J2106" s="12">
        <f>G2107</f>
      </c>
      <c r="K2106">
        <f>IF(AND(Pu&gt;=MIN(E2106,H2106),Pu&lt;=MAX(E2106,H2106),E2106&lt;&gt;H2106),1,0)</f>
      </c>
      <c r="L2106">
        <f>IF(K2106=1,(Pu-E2106)/(H2106-E2106),"")</f>
      </c>
      <c r="M2106" s="12">
        <f>IF(K2106=1,F2106+L2106*(I2106-F2106),"")</f>
      </c>
      <c r="N2106" s="12">
        <f>IF(K2106=1,G2106+L2106*(J2106-G2106),"")</f>
      </c>
    </row>
    <row r="2107" spans="2:14" x14ac:dyDescent="0.25">
      <c r="B2107">
        <v>59</v>
      </c>
      <c r="C2107">
        <v>232.5</v>
      </c>
      <c r="D2107">
        <v>14</v>
      </c>
      <c r="E2107" s="18">
        <v>5925.855331761587</v>
      </c>
      <c r="F2107" s="18">
        <v>-3304.1807100443457</v>
      </c>
      <c r="G2107" s="18">
        <v>-3407.090813267685</v>
      </c>
      <c r="H2107" s="12">
        <f>E2108</f>
      </c>
      <c r="I2107" s="12">
        <f>F2108</f>
      </c>
      <c r="J2107" s="12">
        <f>G2108</f>
      </c>
      <c r="K2107">
        <f>IF(AND(Pu&gt;=MIN(E2107,H2107),Pu&lt;=MAX(E2107,H2107),E2107&lt;&gt;H2107),1,0)</f>
      </c>
      <c r="L2107">
        <f>IF(K2107=1,(Pu-E2107)/(H2107-E2107),"")</f>
      </c>
      <c r="M2107" s="12">
        <f>IF(K2107=1,F2107+L2107*(I2107-F2107),"")</f>
      </c>
      <c r="N2107" s="12">
        <f>IF(K2107=1,G2107+L2107*(J2107-G2107),"")</f>
      </c>
    </row>
    <row r="2108" spans="2:14" x14ac:dyDescent="0.25">
      <c r="B2108">
        <v>59</v>
      </c>
      <c r="C2108">
        <v>232.5</v>
      </c>
      <c r="D2108">
        <v>15</v>
      </c>
      <c r="E2108" s="18">
        <v>5406.983159211748</v>
      </c>
      <c r="F2108" s="18">
        <v>-3285.94280849979</v>
      </c>
      <c r="G2108" s="18">
        <v>-3451.4167817514335</v>
      </c>
      <c r="H2108" s="12">
        <f>E2109</f>
      </c>
      <c r="I2108" s="12">
        <f>F2109</f>
      </c>
      <c r="J2108" s="12">
        <f>G2109</f>
      </c>
      <c r="K2108">
        <f>IF(AND(Pu&gt;=MIN(E2108,H2108),Pu&lt;=MAX(E2108,H2108),E2108&lt;&gt;H2108),1,0)</f>
      </c>
      <c r="L2108">
        <f>IF(K2108=1,(Pu-E2108)/(H2108-E2108),"")</f>
      </c>
      <c r="M2108" s="12">
        <f>IF(K2108=1,F2108+L2108*(I2108-F2108),"")</f>
      </c>
      <c r="N2108" s="12">
        <f>IF(K2108=1,G2108+L2108*(J2108-G2108),"")</f>
      </c>
    </row>
    <row r="2109" spans="2:14" x14ac:dyDescent="0.25">
      <c r="B2109">
        <v>59</v>
      </c>
      <c r="C2109">
        <v>232.5</v>
      </c>
      <c r="D2109">
        <v>16</v>
      </c>
      <c r="E2109" s="18">
        <v>4949.052247029327</v>
      </c>
      <c r="F2109" s="18">
        <v>-3258.3282482877285</v>
      </c>
      <c r="G2109" s="18">
        <v>-3487.229184685891</v>
      </c>
      <c r="H2109" s="12">
        <f>E2110</f>
      </c>
      <c r="I2109" s="12">
        <f>F2110</f>
      </c>
      <c r="J2109" s="12">
        <f>G2110</f>
      </c>
      <c r="K2109">
        <f>IF(AND(Pu&gt;=MIN(E2109,H2109),Pu&lt;=MAX(E2109,H2109),E2109&lt;&gt;H2109),1,0)</f>
      </c>
      <c r="L2109">
        <f>IF(K2109=1,(Pu-E2109)/(H2109-E2109),"")</f>
      </c>
      <c r="M2109" s="12">
        <f>IF(K2109=1,F2109+L2109*(I2109-F2109),"")</f>
      </c>
      <c r="N2109" s="12">
        <f>IF(K2109=1,G2109+L2109*(J2109-G2109),"")</f>
      </c>
    </row>
    <row r="2110" spans="2:14" x14ac:dyDescent="0.25">
      <c r="B2110">
        <v>59</v>
      </c>
      <c r="C2110">
        <v>232.5</v>
      </c>
      <c r="D2110">
        <v>17</v>
      </c>
      <c r="E2110" s="18">
        <v>4947.162039955549</v>
      </c>
      <c r="F2110" s="18">
        <v>-3258.2223143825436</v>
      </c>
      <c r="G2110" s="18">
        <v>-3487.366714136934</v>
      </c>
      <c r="H2110" s="12">
        <f>E2111</f>
      </c>
      <c r="I2110" s="12">
        <f>F2111</f>
      </c>
      <c r="J2110" s="12">
        <f>G2111</f>
      </c>
      <c r="K2110">
        <f>IF(AND(Pu&gt;=MIN(E2110,H2110),Pu&lt;=MAX(E2110,H2110),E2110&lt;&gt;H2110),1,0)</f>
      </c>
      <c r="L2110">
        <f>IF(K2110=1,(Pu-E2110)/(H2110-E2110),"")</f>
      </c>
      <c r="M2110" s="12">
        <f>IF(K2110=1,F2110+L2110*(I2110-F2110),"")</f>
      </c>
      <c r="N2110" s="12">
        <f>IF(K2110=1,G2110+L2110*(J2110-G2110),"")</f>
      </c>
    </row>
    <row r="2111" spans="2:14" x14ac:dyDescent="0.25">
      <c r="B2111">
        <v>59</v>
      </c>
      <c r="C2111">
        <v>232.5</v>
      </c>
      <c r="D2111">
        <v>18</v>
      </c>
      <c r="E2111" s="18">
        <v>4538.5832157551595</v>
      </c>
      <c r="F2111" s="18">
        <v>-3244.8233124975222</v>
      </c>
      <c r="G2111" s="18">
        <v>-3513.371664048896</v>
      </c>
      <c r="H2111" s="12">
        <f>E2112</f>
      </c>
      <c r="I2111" s="12">
        <f>F2112</f>
      </c>
      <c r="J2111" s="12">
        <f>G2112</f>
      </c>
      <c r="K2111">
        <f>IF(AND(Pu&gt;=MIN(E2111,H2111),Pu&lt;=MAX(E2111,H2111),E2111&lt;&gt;H2111),1,0)</f>
      </c>
      <c r="L2111">
        <f>IF(K2111=1,(Pu-E2111)/(H2111-E2111),"")</f>
      </c>
      <c r="M2111" s="12">
        <f>IF(K2111=1,F2111+L2111*(I2111-F2111),"")</f>
      </c>
      <c r="N2111" s="12">
        <f>IF(K2111=1,G2111+L2111*(J2111-G2111),"")</f>
      </c>
    </row>
    <row r="2112" spans="2:14" x14ac:dyDescent="0.25">
      <c r="B2112">
        <v>59</v>
      </c>
      <c r="C2112">
        <v>232.5</v>
      </c>
      <c r="D2112">
        <v>19</v>
      </c>
      <c r="E2112" s="18">
        <v>4383.1123754447335</v>
      </c>
      <c r="F2112" s="18">
        <v>-3233.1873160091204</v>
      </c>
      <c r="G2112" s="18">
        <v>-3520.7289813019497</v>
      </c>
      <c r="H2112" s="12">
        <f>E2113</f>
      </c>
      <c r="I2112" s="12">
        <f>F2113</f>
      </c>
      <c r="J2112" s="12">
        <f>G2113</f>
      </c>
      <c r="K2112">
        <f>IF(AND(Pu&gt;=MIN(E2112,H2112),Pu&lt;=MAX(E2112,H2112),E2112&lt;&gt;H2112),1,0)</f>
      </c>
      <c r="L2112">
        <f>IF(K2112=1,(Pu-E2112)/(H2112-E2112),"")</f>
      </c>
      <c r="M2112" s="12">
        <f>IF(K2112=1,F2112+L2112*(I2112-F2112),"")</f>
      </c>
      <c r="N2112" s="12">
        <f>IF(K2112=1,G2112+L2112*(J2112-G2112),"")</f>
      </c>
    </row>
    <row r="2113" spans="2:14" x14ac:dyDescent="0.25">
      <c r="B2113">
        <v>59</v>
      </c>
      <c r="C2113">
        <v>232.5</v>
      </c>
      <c r="D2113">
        <v>20</v>
      </c>
      <c r="E2113" s="18">
        <v>4222.559198399388</v>
      </c>
      <c r="F2113" s="18">
        <v>-3218.5347080094284</v>
      </c>
      <c r="G2113" s="18">
        <v>-3539.863059433099</v>
      </c>
      <c r="H2113" s="12">
        <f>E2114</f>
      </c>
      <c r="I2113" s="12">
        <f>F2114</f>
      </c>
      <c r="J2113" s="12">
        <f>G2114</f>
      </c>
      <c r="K2113">
        <f>IF(AND(Pu&gt;=MIN(E2113,H2113),Pu&lt;=MAX(E2113,H2113),E2113&lt;&gt;H2113),1,0)</f>
      </c>
      <c r="L2113">
        <f>IF(K2113=1,(Pu-E2113)/(H2113-E2113),"")</f>
      </c>
      <c r="M2113" s="12">
        <f>IF(K2113=1,F2113+L2113*(I2113-F2113),"")</f>
      </c>
      <c r="N2113" s="12">
        <f>IF(K2113=1,G2113+L2113*(J2113-G2113),"")</f>
      </c>
    </row>
    <row r="2114" spans="2:14" x14ac:dyDescent="0.25">
      <c r="B2114">
        <v>59</v>
      </c>
      <c r="C2114">
        <v>232.5</v>
      </c>
      <c r="D2114">
        <v>21</v>
      </c>
      <c r="E2114" s="18">
        <v>3783.2285093616706</v>
      </c>
      <c r="F2114" s="18">
        <v>-3101.7008160278533</v>
      </c>
      <c r="G2114" s="18">
        <v>-3446.004517700779</v>
      </c>
      <c r="H2114" s="12">
        <f>E2115</f>
      </c>
      <c r="I2114" s="12">
        <f>F2115</f>
      </c>
      <c r="J2114" s="12">
        <f>G2115</f>
      </c>
      <c r="K2114">
        <f>IF(AND(Pu&gt;=MIN(E2114,H2114),Pu&lt;=MAX(E2114,H2114),E2114&lt;&gt;H2114),1,0)</f>
      </c>
      <c r="L2114">
        <f>IF(K2114=1,(Pu-E2114)/(H2114-E2114),"")</f>
      </c>
      <c r="M2114" s="12">
        <f>IF(K2114=1,F2114+L2114*(I2114-F2114),"")</f>
      </c>
      <c r="N2114" s="12">
        <f>IF(K2114=1,G2114+L2114*(J2114-G2114),"")</f>
      </c>
    </row>
    <row r="2115" spans="2:14" x14ac:dyDescent="0.25">
      <c r="B2115">
        <v>59</v>
      </c>
      <c r="C2115">
        <v>232.5</v>
      </c>
      <c r="D2115">
        <v>22</v>
      </c>
      <c r="E2115" s="18">
        <v>2682.675450158797</v>
      </c>
      <c r="F2115" s="18">
        <v>-2800.9458532333274</v>
      </c>
      <c r="G2115" s="18">
        <v>-3180.0151346583966</v>
      </c>
      <c r="H2115" s="12">
        <f>E2116</f>
      </c>
      <c r="I2115" s="12">
        <f>F2116</f>
      </c>
      <c r="J2115" s="12">
        <f>G2116</f>
      </c>
      <c r="K2115">
        <f>IF(AND(Pu&gt;=MIN(E2115,H2115),Pu&lt;=MAX(E2115,H2115),E2115&lt;&gt;H2115),1,0)</f>
      </c>
      <c r="L2115">
        <f>IF(K2115=1,(Pu-E2115)/(H2115-E2115),"")</f>
      </c>
      <c r="M2115" s="12">
        <f>IF(K2115=1,F2115+L2115*(I2115-F2115),"")</f>
      </c>
      <c r="N2115" s="12">
        <f>IF(K2115=1,G2115+L2115*(J2115-G2115),"")</f>
      </c>
    </row>
    <row r="2116" spans="2:14" x14ac:dyDescent="0.25">
      <c r="B2116">
        <v>59</v>
      </c>
      <c r="C2116">
        <v>232.5</v>
      </c>
      <c r="D2116">
        <v>23</v>
      </c>
      <c r="E2116" s="18">
        <v>1805.7444834750577</v>
      </c>
      <c r="F2116" s="18">
        <v>-2559.6432335639624</v>
      </c>
      <c r="G2116" s="18">
        <v>-2937.6343695927967</v>
      </c>
      <c r="H2116" s="12">
        <f>E2117</f>
      </c>
      <c r="I2116" s="12">
        <f>F2117</f>
      </c>
      <c r="J2116" s="12">
        <f>G2117</f>
      </c>
      <c r="K2116">
        <f>IF(AND(Pu&gt;=MIN(E2116,H2116),Pu&lt;=MAX(E2116,H2116),E2116&lt;&gt;H2116),1,0)</f>
      </c>
      <c r="L2116">
        <f>IF(K2116=1,(Pu-E2116)/(H2116-E2116),"")</f>
      </c>
      <c r="M2116" s="12">
        <f>IF(K2116=1,F2116+L2116*(I2116-F2116),"")</f>
      </c>
      <c r="N2116" s="12">
        <f>IF(K2116=1,G2116+L2116*(J2116-G2116),"")</f>
      </c>
    </row>
    <row r="2117" spans="2:14" x14ac:dyDescent="0.25">
      <c r="B2117">
        <v>59</v>
      </c>
      <c r="C2117">
        <v>232.5</v>
      </c>
      <c r="D2117">
        <v>24</v>
      </c>
      <c r="E2117" s="18">
        <v>1041.8468397774925</v>
      </c>
      <c r="F2117" s="18">
        <v>-2342.972954261729</v>
      </c>
      <c r="G2117" s="18">
        <v>-2718.1280030372</v>
      </c>
      <c r="H2117" s="12">
        <f>E2118</f>
      </c>
      <c r="I2117" s="12">
        <f>F2118</f>
      </c>
      <c r="J2117" s="12">
        <f>G2118</f>
      </c>
      <c r="K2117">
        <f>IF(AND(Pu&gt;=MIN(E2117,H2117),Pu&lt;=MAX(E2117,H2117),E2117&lt;&gt;H2117),1,0)</f>
      </c>
      <c r="L2117">
        <f>IF(K2117=1,(Pu-E2117)/(H2117-E2117),"")</f>
      </c>
      <c r="M2117" s="12">
        <f>IF(K2117=1,F2117+L2117*(I2117-F2117),"")</f>
      </c>
      <c r="N2117" s="12">
        <f>IF(K2117=1,G2117+L2117*(J2117-G2117),"")</f>
      </c>
    </row>
    <row r="2118" spans="2:14" x14ac:dyDescent="0.25">
      <c r="B2118">
        <v>59</v>
      </c>
      <c r="C2118">
        <v>232.5</v>
      </c>
      <c r="D2118">
        <v>25</v>
      </c>
      <c r="E2118" s="18">
        <v>-73.80265027541007</v>
      </c>
      <c r="F2118" s="18">
        <v>-1971.198611631768</v>
      </c>
      <c r="G2118" s="18">
        <v>-2342.418903218024</v>
      </c>
      <c r="H2118" s="12">
        <f>E2119</f>
      </c>
      <c r="I2118" s="12">
        <f>F2119</f>
      </c>
      <c r="J2118" s="12">
        <f>G2119</f>
      </c>
      <c r="K2118">
        <f>IF(AND(Pu&gt;=MIN(E2118,H2118),Pu&lt;=MAX(E2118,H2118),E2118&lt;&gt;H2118),1,0)</f>
      </c>
      <c r="L2118">
        <f>IF(K2118=1,(Pu-E2118)/(H2118-E2118),"")</f>
      </c>
      <c r="M2118" s="12">
        <f>IF(K2118=1,F2118+L2118*(I2118-F2118),"")</f>
      </c>
      <c r="N2118" s="12">
        <f>IF(K2118=1,G2118+L2118*(J2118-G2118),"")</f>
      </c>
    </row>
    <row r="2119" spans="2:14" x14ac:dyDescent="0.25">
      <c r="B2119">
        <v>59</v>
      </c>
      <c r="C2119">
        <v>232.5</v>
      </c>
      <c r="D2119">
        <v>26</v>
      </c>
      <c r="E2119" s="18">
        <v>-926.432551754643</v>
      </c>
      <c r="F2119" s="18">
        <v>-1686.5587795017527</v>
      </c>
      <c r="G2119" s="18">
        <v>-1998.8747454193508</v>
      </c>
      <c r="H2119" s="12">
        <f>E2120</f>
      </c>
      <c r="I2119" s="12">
        <f>F2120</f>
      </c>
      <c r="J2119" s="12">
        <f>G2120</f>
      </c>
      <c r="K2119">
        <f>IF(AND(Pu&gt;=MIN(E2119,H2119),Pu&lt;=MAX(E2119,H2119),E2119&lt;&gt;H2119),1,0)</f>
      </c>
      <c r="L2119">
        <f>IF(K2119=1,(Pu-E2119)/(H2119-E2119),"")</f>
      </c>
      <c r="M2119" s="12">
        <f>IF(K2119=1,F2119+L2119*(I2119-F2119),"")</f>
      </c>
      <c r="N2119" s="12">
        <f>IF(K2119=1,G2119+L2119*(J2119-G2119),"")</f>
      </c>
    </row>
    <row r="2120" spans="2:14" x14ac:dyDescent="0.25">
      <c r="B2120">
        <v>59</v>
      </c>
      <c r="C2120">
        <v>232.5</v>
      </c>
      <c r="D2120">
        <v>27</v>
      </c>
      <c r="E2120" s="18">
        <v>-1607.8201116735252</v>
      </c>
      <c r="F2120" s="18">
        <v>-1421.48551731251</v>
      </c>
      <c r="G2120" s="18">
        <v>-1713.947767279237</v>
      </c>
      <c r="H2120" s="12">
        <f>E2121</f>
      </c>
      <c r="I2120" s="12">
        <f>F2121</f>
      </c>
      <c r="J2120" s="12">
        <f>G2121</f>
      </c>
      <c r="K2120">
        <f>IF(AND(Pu&gt;=MIN(E2120,H2120),Pu&lt;=MAX(E2120,H2120),E2120&lt;&gt;H2120),1,0)</f>
      </c>
      <c r="L2120">
        <f>IF(K2120=1,(Pu-E2120)/(H2120-E2120),"")</f>
      </c>
      <c r="M2120" s="12">
        <f>IF(K2120=1,F2120+L2120*(I2120-F2120),"")</f>
      </c>
      <c r="N2120" s="12">
        <f>IF(K2120=1,G2120+L2120*(J2120-G2120),"")</f>
      </c>
    </row>
    <row r="2121" spans="2:14" x14ac:dyDescent="0.25">
      <c r="B2121">
        <v>59</v>
      </c>
      <c r="C2121">
        <v>232.5</v>
      </c>
      <c r="D2121">
        <v>28</v>
      </c>
      <c r="E2121" s="18">
        <v>-2149.6144090500998</v>
      </c>
      <c r="F2121" s="18">
        <v>-1211.4664843465648</v>
      </c>
      <c r="G2121" s="18">
        <v>-1468.2636278113325</v>
      </c>
      <c r="H2121" s="12">
        <f>E2122</f>
      </c>
      <c r="I2121" s="12">
        <f>F2122</f>
      </c>
      <c r="J2121" s="12">
        <f>G2122</f>
      </c>
      <c r="K2121">
        <f>IF(AND(Pu&gt;=MIN(E2121,H2121),Pu&lt;=MAX(E2121,H2121),E2121&lt;&gt;H2121),1,0)</f>
      </c>
      <c r="L2121">
        <f>IF(K2121=1,(Pu-E2121)/(H2121-E2121),"")</f>
      </c>
      <c r="M2121" s="12">
        <f>IF(K2121=1,F2121+L2121*(I2121-F2121),"")</f>
      </c>
      <c r="N2121" s="12">
        <f>IF(K2121=1,G2121+L2121*(J2121-G2121),"")</f>
      </c>
    </row>
    <row r="2122" spans="2:14" x14ac:dyDescent="0.25">
      <c r="B2122">
        <v>59</v>
      </c>
      <c r="C2122">
        <v>232.5</v>
      </c>
      <c r="D2122">
        <v>29</v>
      </c>
      <c r="E2122" s="18">
        <v>-2896.5689277094484</v>
      </c>
      <c r="F2122" s="18">
        <v>-917.7489772993055</v>
      </c>
      <c r="G2122" s="18">
        <v>-1102.7476610624628</v>
      </c>
      <c r="H2122" s="12">
        <f>E2123</f>
      </c>
      <c r="I2122" s="12">
        <f>F2123</f>
      </c>
      <c r="J2122" s="12">
        <f>G2123</f>
      </c>
      <c r="K2122">
        <f>IF(AND(Pu&gt;=MIN(E2122,H2122),Pu&lt;=MAX(E2122,H2122),E2122&lt;&gt;H2122),1,0)</f>
      </c>
      <c r="L2122">
        <f>IF(K2122=1,(Pu-E2122)/(H2122-E2122),"")</f>
      </c>
      <c r="M2122" s="12">
        <f>IF(K2122=1,F2122+L2122*(I2122-F2122),"")</f>
      </c>
      <c r="N2122" s="12">
        <f>IF(K2122=1,G2122+L2122*(J2122-G2122),"")</f>
      </c>
    </row>
    <row r="2123" spans="2:14" x14ac:dyDescent="0.25">
      <c r="B2123">
        <v>59</v>
      </c>
      <c r="C2123">
        <v>232.5</v>
      </c>
      <c r="D2123">
        <v>30</v>
      </c>
      <c r="E2123" s="18">
        <v>-3358.516728857874</v>
      </c>
      <c r="F2123" s="18">
        <v>-713.6666047248261</v>
      </c>
      <c r="G2123" s="18">
        <v>-879.971248243494</v>
      </c>
      <c r="H2123" s="12">
        <f>E2124</f>
      </c>
      <c r="I2123" s="12">
        <f>F2124</f>
      </c>
      <c r="J2123" s="12">
        <f>G2124</f>
      </c>
      <c r="K2123">
        <f>IF(AND(Pu&gt;=MIN(E2123,H2123),Pu&lt;=MAX(E2123,H2123),E2123&lt;&gt;H2123),1,0)</f>
      </c>
      <c r="L2123">
        <f>IF(K2123=1,(Pu-E2123)/(H2123-E2123),"")</f>
      </c>
      <c r="M2123" s="12">
        <f>IF(K2123=1,F2123+L2123*(I2123-F2123),"")</f>
      </c>
      <c r="N2123" s="12">
        <f>IF(K2123=1,G2123+L2123*(J2123-G2123),"")</f>
      </c>
    </row>
    <row r="2124" spans="2:14" x14ac:dyDescent="0.25">
      <c r="B2124">
        <v>59</v>
      </c>
      <c r="C2124">
        <v>232.5</v>
      </c>
      <c r="D2124">
        <v>31</v>
      </c>
      <c r="E2124" s="18">
        <v>-3930.037555899861</v>
      </c>
      <c r="F2124" s="18">
        <v>-466.22900872332843</v>
      </c>
      <c r="G2124" s="18">
        <v>-564.8037109305777</v>
      </c>
      <c r="H2124" s="12">
        <f>E2125</f>
      </c>
      <c r="I2124" s="12">
        <f>F2125</f>
      </c>
      <c r="J2124" s="12">
        <f>G2125</f>
      </c>
      <c r="K2124">
        <f>IF(AND(Pu&gt;=MIN(E2124,H2124),Pu&lt;=MAX(E2124,H2124),E2124&lt;&gt;H2124),1,0)</f>
      </c>
      <c r="L2124">
        <f>IF(K2124=1,(Pu-E2124)/(H2124-E2124),"")</f>
      </c>
      <c r="M2124" s="12">
        <f>IF(K2124=1,F2124+L2124*(I2124-F2124),"")</f>
      </c>
      <c r="N2124" s="12">
        <f>IF(K2124=1,G2124+L2124*(J2124-G2124),"")</f>
      </c>
    </row>
    <row r="2125" spans="2:14" x14ac:dyDescent="0.25">
      <c r="B2125">
        <v>59</v>
      </c>
      <c r="C2125">
        <v>232.5</v>
      </c>
      <c r="D2125">
        <v>32</v>
      </c>
      <c r="E2125" s="18">
        <v>-4363.739205148028</v>
      </c>
      <c r="F2125" s="18">
        <v>-278.3087978819175</v>
      </c>
      <c r="G2125" s="18">
        <v>-322.79945380980206</v>
      </c>
      <c r="H2125" s="12">
        <f>E2126</f>
      </c>
      <c r="I2125" s="12">
        <f>F2126</f>
      </c>
      <c r="J2125" s="12">
        <f>G2126</f>
      </c>
      <c r="K2125">
        <f>IF(AND(Pu&gt;=MIN(E2125,H2125),Pu&lt;=MAX(E2125,H2125),E2125&lt;&gt;H2125),1,0)</f>
      </c>
      <c r="L2125">
        <f>IF(K2125=1,(Pu-E2125)/(H2125-E2125),"")</f>
      </c>
      <c r="M2125" s="12">
        <f>IF(K2125=1,F2125+L2125*(I2125-F2125),"")</f>
      </c>
      <c r="N2125" s="12">
        <f>IF(K2125=1,G2125+L2125*(J2125-G2125),"")</f>
      </c>
    </row>
    <row r="2126" spans="2:14" x14ac:dyDescent="0.25">
      <c r="B2126">
        <v>59</v>
      </c>
      <c r="C2126">
        <v>232.5</v>
      </c>
      <c r="D2126">
        <v>33</v>
      </c>
      <c r="E2126" s="18">
        <v>-4657.0139699134015</v>
      </c>
      <c r="F2126" s="18">
        <v>-136.11219108180092</v>
      </c>
      <c r="G2126" s="18">
        <v>-160.15938593846042</v>
      </c>
      <c r="H2126" s="12">
        <f>E2127</f>
      </c>
      <c r="I2126" s="12">
        <f>F2127</f>
      </c>
      <c r="J2126" s="12">
        <f>G2127</f>
      </c>
      <c r="K2126">
        <f>IF(AND(Pu&gt;=MIN(E2126,H2126),Pu&lt;=MAX(E2126,H2126),E2126&lt;&gt;H2126),1,0)</f>
      </c>
      <c r="L2126">
        <f>IF(K2126=1,(Pu-E2126)/(H2126-E2126),"")</f>
      </c>
      <c r="M2126" s="12">
        <f>IF(K2126=1,F2126+L2126*(I2126-F2126),"")</f>
      </c>
      <c r="N2126" s="12">
        <f>IF(K2126=1,G2126+L2126*(J2126-G2126),"")</f>
      </c>
    </row>
    <row r="2127" spans="2:7" x14ac:dyDescent="0.25">
      <c r="B2127">
        <v>59</v>
      </c>
      <c r="C2127">
        <v>232.5</v>
      </c>
      <c r="D2127">
        <v>34</v>
      </c>
      <c r="E2127" s="18">
        <v>-4757.859740001193</v>
      </c>
      <c r="F2127" s="18">
        <v>-86.4029204801247</v>
      </c>
      <c r="G2127" s="18">
        <v>-98.59753545235564</v>
      </c>
    </row>
    <row r="2129" spans="2:14" x14ac:dyDescent="0.25">
      <c r="B2129">
        <v>60</v>
      </c>
      <c r="C2129">
        <v>239.99999999999994</v>
      </c>
      <c r="D2129">
        <v>1</v>
      </c>
      <c r="E2129" s="18">
        <v>17151.549870387913</v>
      </c>
      <c r="F2129" s="18">
        <v>-1978.9936013105275</v>
      </c>
      <c r="G2129" s="18">
        <v>-1789.0944580325727</v>
      </c>
      <c r="H2129" s="12">
        <f>E2130</f>
      </c>
      <c r="I2129" s="12">
        <f>F2130</f>
      </c>
      <c r="J2129" s="12">
        <f>G2130</f>
      </c>
      <c r="K2129">
        <f>IF(AND(Pu&gt;=MIN(E2129,H2129),Pu&lt;=MAX(E2129,H2129),E2129&lt;&gt;H2129),1,0)</f>
      </c>
      <c r="L2129">
        <f>IF(K2129=1,(Pu-E2129)/(H2129-E2129),"")</f>
      </c>
      <c r="M2129" s="12">
        <f>IF(K2129=1,F2129+L2129*(I2129-F2129),"")</f>
      </c>
      <c r="N2129" s="12">
        <f>IF(K2129=1,G2129+L2129*(J2129-G2129),"")</f>
      </c>
    </row>
    <row r="2130" spans="2:14" x14ac:dyDescent="0.25">
      <c r="B2130">
        <v>60</v>
      </c>
      <c r="C2130">
        <v>239.99999999999994</v>
      </c>
      <c r="D2130">
        <v>2</v>
      </c>
      <c r="E2130" s="18">
        <v>15882.241649469219</v>
      </c>
      <c r="F2130" s="18">
        <v>-2396.977480267037</v>
      </c>
      <c r="G2130" s="18">
        <v>-1970.384406635879</v>
      </c>
      <c r="H2130" s="12">
        <f>E2131</f>
      </c>
      <c r="I2130" s="12">
        <f>F2131</f>
      </c>
      <c r="J2130" s="12">
        <f>G2131</f>
      </c>
      <c r="K2130">
        <f>IF(AND(Pu&gt;=MIN(E2130,H2130),Pu&lt;=MAX(E2130,H2130),E2130&lt;&gt;H2130),1,0)</f>
      </c>
      <c r="L2130">
        <f>IF(K2130=1,(Pu-E2130)/(H2130-E2130),"")</f>
      </c>
      <c r="M2130" s="12">
        <f>IF(K2130=1,F2130+L2130*(I2130-F2130),"")</f>
      </c>
      <c r="N2130" s="12">
        <f>IF(K2130=1,G2130+L2130*(J2130-G2130),"")</f>
      </c>
    </row>
    <row r="2131" spans="2:14" x14ac:dyDescent="0.25">
      <c r="B2131">
        <v>60</v>
      </c>
      <c r="C2131">
        <v>239.99999999999994</v>
      </c>
      <c r="D2131">
        <v>3</v>
      </c>
      <c r="E2131" s="18">
        <v>13411.205693231295</v>
      </c>
      <c r="F2131" s="18">
        <v>-3086.135014560097</v>
      </c>
      <c r="G2131" s="18">
        <v>-2071.1970074855776</v>
      </c>
      <c r="H2131" s="12">
        <f>E2132</f>
      </c>
      <c r="I2131" s="12">
        <f>F2132</f>
      </c>
      <c r="J2131" s="12">
        <f>G2132</f>
      </c>
      <c r="K2131">
        <f>IF(AND(Pu&gt;=MIN(E2131,H2131),Pu&lt;=MAX(E2131,H2131),E2131&lt;&gt;H2131),1,0)</f>
      </c>
      <c r="L2131">
        <f>IF(K2131=1,(Pu-E2131)/(H2131-E2131),"")</f>
      </c>
      <c r="M2131" s="12">
        <f>IF(K2131=1,F2131+L2131*(I2131-F2131),"")</f>
      </c>
      <c r="N2131" s="12">
        <f>IF(K2131=1,G2131+L2131*(J2131-G2131),"")</f>
      </c>
    </row>
    <row r="2132" spans="2:14" x14ac:dyDescent="0.25">
      <c r="B2132">
        <v>60</v>
      </c>
      <c r="C2132">
        <v>239.99999999999994</v>
      </c>
      <c r="D2132">
        <v>4</v>
      </c>
      <c r="E2132" s="18">
        <v>11622.680744264457</v>
      </c>
      <c r="F2132" s="18">
        <v>-3392.6673926179574</v>
      </c>
      <c r="G2132" s="18">
        <v>-2186.028470535973</v>
      </c>
      <c r="H2132" s="12">
        <f>E2133</f>
      </c>
      <c r="I2132" s="12">
        <f>F2133</f>
      </c>
      <c r="J2132" s="12">
        <f>G2133</f>
      </c>
      <c r="K2132">
        <f>IF(AND(Pu&gt;=MIN(E2132,H2132),Pu&lt;=MAX(E2132,H2132),E2132&lt;&gt;H2132),1,0)</f>
      </c>
      <c r="L2132">
        <f>IF(K2132=1,(Pu-E2132)/(H2132-E2132),"")</f>
      </c>
      <c r="M2132" s="12">
        <f>IF(K2132=1,F2132+L2132*(I2132-F2132),"")</f>
      </c>
      <c r="N2132" s="12">
        <f>IF(K2132=1,G2132+L2132*(J2132-G2132),"")</f>
      </c>
    </row>
    <row r="2133" spans="2:14" x14ac:dyDescent="0.25">
      <c r="B2133">
        <v>60</v>
      </c>
      <c r="C2133">
        <v>239.99999999999994</v>
      </c>
      <c r="D2133">
        <v>5</v>
      </c>
      <c r="E2133" s="18">
        <v>10109.359766858222</v>
      </c>
      <c r="F2133" s="18">
        <v>-3536.40227193941</v>
      </c>
      <c r="G2133" s="18">
        <v>-2295.298505871104</v>
      </c>
      <c r="H2133" s="12">
        <f>E2134</f>
      </c>
      <c r="I2133" s="12">
        <f>F2134</f>
      </c>
      <c r="J2133" s="12">
        <f>G2134</f>
      </c>
      <c r="K2133">
        <f>IF(AND(Pu&gt;=MIN(E2133,H2133),Pu&lt;=MAX(E2133,H2133),E2133&lt;&gt;H2133),1,0)</f>
      </c>
      <c r="L2133">
        <f>IF(K2133=1,(Pu-E2133)/(H2133-E2133),"")</f>
      </c>
      <c r="M2133" s="12">
        <f>IF(K2133=1,F2133+L2133*(I2133-F2133),"")</f>
      </c>
      <c r="N2133" s="12">
        <f>IF(K2133=1,G2133+L2133*(J2133-G2133),"")</f>
      </c>
    </row>
    <row r="2134" spans="2:14" x14ac:dyDescent="0.25">
      <c r="B2134">
        <v>60</v>
      </c>
      <c r="C2134">
        <v>239.99999999999994</v>
      </c>
      <c r="D2134">
        <v>6</v>
      </c>
      <c r="E2134" s="18">
        <v>8792.157526062834</v>
      </c>
      <c r="F2134" s="18">
        <v>-3613.0310474925127</v>
      </c>
      <c r="G2134" s="18">
        <v>-2365.295964650825</v>
      </c>
      <c r="H2134" s="12">
        <f>E2135</f>
      </c>
      <c r="I2134" s="12">
        <f>F2135</f>
      </c>
      <c r="J2134" s="12">
        <f>G2135</f>
      </c>
      <c r="K2134">
        <f>IF(AND(Pu&gt;=MIN(E2134,H2134),Pu&lt;=MAX(E2134,H2134),E2134&lt;&gt;H2134),1,0)</f>
      </c>
      <c r="L2134">
        <f>IF(K2134=1,(Pu-E2134)/(H2134-E2134),"")</f>
      </c>
      <c r="M2134" s="12">
        <f>IF(K2134=1,F2134+L2134*(I2134-F2134),"")</f>
      </c>
      <c r="N2134" s="12">
        <f>IF(K2134=1,G2134+L2134*(J2134-G2134),"")</f>
      </c>
    </row>
    <row r="2135" spans="2:14" x14ac:dyDescent="0.25">
      <c r="B2135">
        <v>60</v>
      </c>
      <c r="C2135">
        <v>239.99999999999994</v>
      </c>
      <c r="D2135">
        <v>7</v>
      </c>
      <c r="E2135" s="18">
        <v>8783.278391425314</v>
      </c>
      <c r="F2135" s="18">
        <v>-3615.1865539603564</v>
      </c>
      <c r="G2135" s="18">
        <v>-2366.9541728401487</v>
      </c>
      <c r="H2135" s="12">
        <f>E2136</f>
      </c>
      <c r="I2135" s="12">
        <f>F2136</f>
      </c>
      <c r="J2135" s="12">
        <f>G2136</f>
      </c>
      <c r="K2135">
        <f>IF(AND(Pu&gt;=MIN(E2135,H2135),Pu&lt;=MAX(E2135,H2135),E2135&lt;&gt;H2135),1,0)</f>
      </c>
      <c r="L2135">
        <f>IF(K2135=1,(Pu-E2135)/(H2135-E2135),"")</f>
      </c>
      <c r="M2135" s="12">
        <f>IF(K2135=1,F2135+L2135*(I2135-F2135),"")</f>
      </c>
      <c r="N2135" s="12">
        <f>IF(K2135=1,G2135+L2135*(J2135-G2135),"")</f>
      </c>
    </row>
    <row r="2136" spans="2:14" x14ac:dyDescent="0.25">
      <c r="B2136">
        <v>60</v>
      </c>
      <c r="C2136">
        <v>239.99999999999994</v>
      </c>
      <c r="D2136">
        <v>8</v>
      </c>
      <c r="E2136" s="18">
        <v>8167.683811897219</v>
      </c>
      <c r="F2136" s="18">
        <v>-3751.7473500434935</v>
      </c>
      <c r="G2136" s="18">
        <v>-2486.860569245448</v>
      </c>
      <c r="H2136" s="12">
        <f>E2137</f>
      </c>
      <c r="I2136" s="12">
        <f>F2137</f>
      </c>
      <c r="J2136" s="12">
        <f>G2137</f>
      </c>
      <c r="K2136">
        <f>IF(AND(Pu&gt;=MIN(E2136,H2136),Pu&lt;=MAX(E2136,H2136),E2136&lt;&gt;H2136),1,0)</f>
      </c>
      <c r="L2136">
        <f>IF(K2136=1,(Pu-E2136)/(H2136-E2136),"")</f>
      </c>
      <c r="M2136" s="12">
        <f>IF(K2136=1,F2136+L2136*(I2136-F2136),"")</f>
      </c>
      <c r="N2136" s="12">
        <f>IF(K2136=1,G2136+L2136*(J2136-G2136),"")</f>
      </c>
    </row>
    <row r="2137" spans="2:14" x14ac:dyDescent="0.25">
      <c r="B2137">
        <v>60</v>
      </c>
      <c r="C2137">
        <v>239.99999999999994</v>
      </c>
      <c r="D2137">
        <v>9</v>
      </c>
      <c r="E2137" s="18">
        <v>8031.185067861215</v>
      </c>
      <c r="F2137" s="18">
        <v>-3775.0986280740476</v>
      </c>
      <c r="G2137" s="18">
        <v>-2507.9775305510007</v>
      </c>
      <c r="H2137" s="12">
        <f>E2138</f>
      </c>
      <c r="I2137" s="12">
        <f>F2138</f>
      </c>
      <c r="J2137" s="12">
        <f>G2138</f>
      </c>
      <c r="K2137">
        <f>IF(AND(Pu&gt;=MIN(E2137,H2137),Pu&lt;=MAX(E2137,H2137),E2137&lt;&gt;H2137),1,0)</f>
      </c>
      <c r="L2137">
        <f>IF(K2137=1,(Pu-E2137)/(H2137-E2137),"")</f>
      </c>
      <c r="M2137" s="12">
        <f>IF(K2137=1,F2137+L2137*(I2137-F2137),"")</f>
      </c>
      <c r="N2137" s="12">
        <f>IF(K2137=1,G2137+L2137*(J2137-G2137),"")</f>
      </c>
    </row>
    <row r="2138" spans="2:14" x14ac:dyDescent="0.25">
      <c r="B2138">
        <v>60</v>
      </c>
      <c r="C2138">
        <v>239.99999999999994</v>
      </c>
      <c r="D2138">
        <v>10</v>
      </c>
      <c r="E2138" s="18">
        <v>7575.440020854543</v>
      </c>
      <c r="F2138" s="18">
        <v>-3834.7205930147475</v>
      </c>
      <c r="G2138" s="18">
        <v>-2582.450702028016</v>
      </c>
      <c r="H2138" s="12">
        <f>E2139</f>
      </c>
      <c r="I2138" s="12">
        <f>F2139</f>
      </c>
      <c r="J2138" s="12">
        <f>G2139</f>
      </c>
      <c r="K2138">
        <f>IF(AND(Pu&gt;=MIN(E2138,H2138),Pu&lt;=MAX(E2138,H2138),E2138&lt;&gt;H2138),1,0)</f>
      </c>
      <c r="L2138">
        <f>IF(K2138=1,(Pu-E2138)/(H2138-E2138),"")</f>
      </c>
      <c r="M2138" s="12">
        <f>IF(K2138=1,F2138+L2138*(I2138-F2138),"")</f>
      </c>
      <c r="N2138" s="12">
        <f>IF(K2138=1,G2138+L2138*(J2138-G2138),"")</f>
      </c>
    </row>
    <row r="2139" spans="2:14" x14ac:dyDescent="0.25">
      <c r="B2139">
        <v>60</v>
      </c>
      <c r="C2139">
        <v>239.99999999999994</v>
      </c>
      <c r="D2139">
        <v>11</v>
      </c>
      <c r="E2139" s="18">
        <v>7331.845288663467</v>
      </c>
      <c r="F2139" s="18">
        <v>-3855.424717858833</v>
      </c>
      <c r="G2139" s="18">
        <v>-2624.987539784705</v>
      </c>
      <c r="H2139" s="12">
        <f>E2140</f>
      </c>
      <c r="I2139" s="12">
        <f>F2140</f>
      </c>
      <c r="J2139" s="12">
        <f>G2140</f>
      </c>
      <c r="K2139">
        <f>IF(AND(Pu&gt;=MIN(E2139,H2139),Pu&lt;=MAX(E2139,H2139),E2139&lt;&gt;H2139),1,0)</f>
      </c>
      <c r="L2139">
        <f>IF(K2139=1,(Pu-E2139)/(H2139-E2139),"")</f>
      </c>
      <c r="M2139" s="12">
        <f>IF(K2139=1,F2139+L2139*(I2139-F2139),"")</f>
      </c>
      <c r="N2139" s="12">
        <f>IF(K2139=1,G2139+L2139*(J2139-G2139),"")</f>
      </c>
    </row>
    <row r="2140" spans="2:14" x14ac:dyDescent="0.25">
      <c r="B2140">
        <v>60</v>
      </c>
      <c r="C2140">
        <v>239.99999999999994</v>
      </c>
      <c r="D2140">
        <v>12</v>
      </c>
      <c r="E2140" s="18">
        <v>6991.055497237572</v>
      </c>
      <c r="F2140" s="18">
        <v>-3866.893452826616</v>
      </c>
      <c r="G2140" s="18">
        <v>-2682.3093617898653</v>
      </c>
      <c r="H2140" s="12">
        <f>E2141</f>
      </c>
      <c r="I2140" s="12">
        <f>F2141</f>
      </c>
      <c r="J2140" s="12">
        <f>G2141</f>
      </c>
      <c r="K2140">
        <f>IF(AND(Pu&gt;=MIN(E2140,H2140),Pu&lt;=MAX(E2140,H2140),E2140&lt;&gt;H2140),1,0)</f>
      </c>
      <c r="L2140">
        <f>IF(K2140=1,(Pu-E2140)/(H2140-E2140),"")</f>
      </c>
      <c r="M2140" s="12">
        <f>IF(K2140=1,F2140+L2140*(I2140-F2140),"")</f>
      </c>
      <c r="N2140" s="12">
        <f>IF(K2140=1,G2140+L2140*(J2140-G2140),"")</f>
      </c>
    </row>
    <row r="2141" spans="2:14" x14ac:dyDescent="0.25">
      <c r="B2141">
        <v>60</v>
      </c>
      <c r="C2141">
        <v>239.99999999999994</v>
      </c>
      <c r="D2141">
        <v>13</v>
      </c>
      <c r="E2141" s="18">
        <v>6580.669346883263</v>
      </c>
      <c r="F2141" s="18">
        <v>-3857.92238102858</v>
      </c>
      <c r="G2141" s="18">
        <v>-2746.3821949086296</v>
      </c>
      <c r="H2141" s="12">
        <f>E2142</f>
      </c>
      <c r="I2141" s="12">
        <f>F2142</f>
      </c>
      <c r="J2141" s="12">
        <f>G2142</f>
      </c>
      <c r="K2141">
        <f>IF(AND(Pu&gt;=MIN(E2141,H2141),Pu&lt;=MAX(E2141,H2141),E2141&lt;&gt;H2141),1,0)</f>
      </c>
      <c r="L2141">
        <f>IF(K2141=1,(Pu-E2141)/(H2141-E2141),"")</f>
      </c>
      <c r="M2141" s="12">
        <f>IF(K2141=1,F2141+L2141*(I2141-F2141),"")</f>
      </c>
      <c r="N2141" s="12">
        <f>IF(K2141=1,G2141+L2141*(J2141-G2141),"")</f>
      </c>
    </row>
    <row r="2142" spans="2:14" x14ac:dyDescent="0.25">
      <c r="B2142">
        <v>60</v>
      </c>
      <c r="C2142">
        <v>239.99999999999994</v>
      </c>
      <c r="D2142">
        <v>14</v>
      </c>
      <c r="E2142" s="18">
        <v>6383.263770283874</v>
      </c>
      <c r="F2142" s="18">
        <v>-3840.9967854390607</v>
      </c>
      <c r="G2142" s="18">
        <v>-2781.6542011786682</v>
      </c>
      <c r="H2142" s="12">
        <f>E2143</f>
      </c>
      <c r="I2142" s="12">
        <f>F2143</f>
      </c>
      <c r="J2142" s="12">
        <f>G2143</f>
      </c>
      <c r="K2142">
        <f>IF(AND(Pu&gt;=MIN(E2142,H2142),Pu&lt;=MAX(E2142,H2142),E2142&lt;&gt;H2142),1,0)</f>
      </c>
      <c r="L2142">
        <f>IF(K2142=1,(Pu-E2142)/(H2142-E2142),"")</f>
      </c>
      <c r="M2142" s="12">
        <f>IF(K2142=1,F2142+L2142*(I2142-F2142),"")</f>
      </c>
      <c r="N2142" s="12">
        <f>IF(K2142=1,G2142+L2142*(J2142-G2142),"")</f>
      </c>
    </row>
    <row r="2143" spans="2:14" x14ac:dyDescent="0.25">
      <c r="B2143">
        <v>60</v>
      </c>
      <c r="C2143">
        <v>239.99999999999994</v>
      </c>
      <c r="D2143">
        <v>15</v>
      </c>
      <c r="E2143" s="18">
        <v>5835.618951792578</v>
      </c>
      <c r="F2143" s="18">
        <v>-3794.073237898024</v>
      </c>
      <c r="G2143" s="18">
        <v>-2886.360000701316</v>
      </c>
      <c r="H2143" s="12">
        <f>E2144</f>
      </c>
      <c r="I2143" s="12">
        <f>F2144</f>
      </c>
      <c r="J2143" s="12">
        <f>G2144</f>
      </c>
      <c r="K2143">
        <f>IF(AND(Pu&gt;=MIN(E2143,H2143),Pu&lt;=MAX(E2143,H2143),E2143&lt;&gt;H2143),1,0)</f>
      </c>
      <c r="L2143">
        <f>IF(K2143=1,(Pu-E2143)/(H2143-E2143),"")</f>
      </c>
      <c r="M2143" s="12">
        <f>IF(K2143=1,F2143+L2143*(I2143-F2143),"")</f>
      </c>
      <c r="N2143" s="12">
        <f>IF(K2143=1,G2143+L2143*(J2143-G2143),"")</f>
      </c>
    </row>
    <row r="2144" spans="2:14" x14ac:dyDescent="0.25">
      <c r="B2144">
        <v>60</v>
      </c>
      <c r="C2144">
        <v>239.99999999999994</v>
      </c>
      <c r="D2144">
        <v>16</v>
      </c>
      <c r="E2144" s="18">
        <v>5340.802852948375</v>
      </c>
      <c r="F2144" s="18">
        <v>-3738.3886906068965</v>
      </c>
      <c r="G2144" s="18">
        <v>-2966.336715776723</v>
      </c>
      <c r="H2144" s="12">
        <f>E2145</f>
      </c>
      <c r="I2144" s="12">
        <f>F2145</f>
      </c>
      <c r="J2144" s="12">
        <f>G2145</f>
      </c>
      <c r="K2144">
        <f>IF(AND(Pu&gt;=MIN(E2144,H2144),Pu&lt;=MAX(E2144,H2144),E2144&lt;&gt;H2144),1,0)</f>
      </c>
      <c r="L2144">
        <f>IF(K2144=1,(Pu-E2144)/(H2144-E2144),"")</f>
      </c>
      <c r="M2144" s="12">
        <f>IF(K2144=1,F2144+L2144*(I2144-F2144),"")</f>
      </c>
      <c r="N2144" s="12">
        <f>IF(K2144=1,G2144+L2144*(J2144-G2144),"")</f>
      </c>
    </row>
    <row r="2145" spans="2:14" x14ac:dyDescent="0.25">
      <c r="B2145">
        <v>60</v>
      </c>
      <c r="C2145">
        <v>239.99999999999994</v>
      </c>
      <c r="D2145">
        <v>17</v>
      </c>
      <c r="E2145" s="18">
        <v>5291.568196884495</v>
      </c>
      <c r="F2145" s="18">
        <v>-3732.1421633552823</v>
      </c>
      <c r="G2145" s="18">
        <v>-2973.649412753966</v>
      </c>
      <c r="H2145" s="12">
        <f>E2146</f>
      </c>
      <c r="I2145" s="12">
        <f>F2146</f>
      </c>
      <c r="J2145" s="12">
        <f>G2146</f>
      </c>
      <c r="K2145">
        <f>IF(AND(Pu&gt;=MIN(E2145,H2145),Pu&lt;=MAX(E2145,H2145),E2145&lt;&gt;H2145),1,0)</f>
      </c>
      <c r="L2145">
        <f>IF(K2145=1,(Pu-E2145)/(H2145-E2145),"")</f>
      </c>
      <c r="M2145" s="12">
        <f>IF(K2145=1,F2145+L2145*(I2145-F2145),"")</f>
      </c>
      <c r="N2145" s="12">
        <f>IF(K2145=1,G2145+L2145*(J2145-G2145),"")</f>
      </c>
    </row>
    <row r="2146" spans="2:14" x14ac:dyDescent="0.25">
      <c r="B2146">
        <v>60</v>
      </c>
      <c r="C2146">
        <v>239.99999999999994</v>
      </c>
      <c r="D2146">
        <v>18</v>
      </c>
      <c r="E2146" s="18">
        <v>4914.404803098329</v>
      </c>
      <c r="F2146" s="18">
        <v>-3685.579867402672</v>
      </c>
      <c r="G2146" s="18">
        <v>-3026.6534863846196</v>
      </c>
      <c r="H2146" s="12">
        <f>E2147</f>
      </c>
      <c r="I2146" s="12">
        <f>F2147</f>
      </c>
      <c r="J2146" s="12">
        <f>G2147</f>
      </c>
      <c r="K2146">
        <f>IF(AND(Pu&gt;=MIN(E2146,H2146),Pu&lt;=MAX(E2146,H2146),E2146&lt;&gt;H2146),1,0)</f>
      </c>
      <c r="L2146">
        <f>IF(K2146=1,(Pu-E2146)/(H2146-E2146),"")</f>
      </c>
      <c r="M2146" s="12">
        <f>IF(K2146=1,F2146+L2146*(I2146-F2146),"")</f>
      </c>
      <c r="N2146" s="12">
        <f>IF(K2146=1,G2146+L2146*(J2146-G2146),"")</f>
      </c>
    </row>
    <row r="2147" spans="2:14" x14ac:dyDescent="0.25">
      <c r="B2147">
        <v>60</v>
      </c>
      <c r="C2147">
        <v>239.99999999999994</v>
      </c>
      <c r="D2147">
        <v>19</v>
      </c>
      <c r="E2147" s="18">
        <v>4678.776680704156</v>
      </c>
      <c r="F2147" s="18">
        <v>-3656.730890868965</v>
      </c>
      <c r="G2147" s="18">
        <v>-3056.3546937109663</v>
      </c>
      <c r="H2147" s="12">
        <f>E2148</f>
      </c>
      <c r="I2147" s="12">
        <f>F2148</f>
      </c>
      <c r="J2147" s="12">
        <f>G2148</f>
      </c>
      <c r="K2147">
        <f>IF(AND(Pu&gt;=MIN(E2147,H2147),Pu&lt;=MAX(E2147,H2147),E2147&lt;&gt;H2147),1,0)</f>
      </c>
      <c r="L2147">
        <f>IF(K2147=1,(Pu-E2147)/(H2147-E2147),"")</f>
      </c>
      <c r="M2147" s="12">
        <f>IF(K2147=1,F2147+L2147*(I2147-F2147),"")</f>
      </c>
      <c r="N2147" s="12">
        <f>IF(K2147=1,G2147+L2147*(J2147-G2147),"")</f>
      </c>
    </row>
    <row r="2148" spans="2:14" x14ac:dyDescent="0.25">
      <c r="B2148">
        <v>60</v>
      </c>
      <c r="C2148">
        <v>239.99999999999994</v>
      </c>
      <c r="D2148">
        <v>20</v>
      </c>
      <c r="E2148" s="18">
        <v>4514.101072206957</v>
      </c>
      <c r="F2148" s="18">
        <v>-3636.599231115671</v>
      </c>
      <c r="G2148" s="18">
        <v>-3075.558700827431</v>
      </c>
      <c r="H2148" s="12">
        <f>E2149</f>
      </c>
      <c r="I2148" s="12">
        <f>F2149</f>
      </c>
      <c r="J2148" s="12">
        <f>G2149</f>
      </c>
      <c r="K2148">
        <f>IF(AND(Pu&gt;=MIN(E2148,H2148),Pu&lt;=MAX(E2148,H2148),E2148&lt;&gt;H2148),1,0)</f>
      </c>
      <c r="L2148">
        <f>IF(K2148=1,(Pu-E2148)/(H2148-E2148),"")</f>
      </c>
      <c r="M2148" s="12">
        <f>IF(K2148=1,F2148+L2148*(I2148-F2148),"")</f>
      </c>
      <c r="N2148" s="12">
        <f>IF(K2148=1,G2148+L2148*(J2148-G2148),"")</f>
      </c>
    </row>
    <row r="2149" spans="2:14" x14ac:dyDescent="0.25">
      <c r="B2149">
        <v>60</v>
      </c>
      <c r="C2149">
        <v>239.99999999999994</v>
      </c>
      <c r="D2149">
        <v>21</v>
      </c>
      <c r="E2149" s="18">
        <v>3940.537292133662</v>
      </c>
      <c r="F2149" s="18">
        <v>-3466.6170720686587</v>
      </c>
      <c r="G2149" s="18">
        <v>-3018.817054038279</v>
      </c>
      <c r="H2149" s="12">
        <f>E2150</f>
      </c>
      <c r="I2149" s="12">
        <f>F2150</f>
      </c>
      <c r="J2149" s="12">
        <f>G2150</f>
      </c>
      <c r="K2149">
        <f>IF(AND(Pu&gt;=MIN(E2149,H2149),Pu&lt;=MAX(E2149,H2149),E2149&lt;&gt;H2149),1,0)</f>
      </c>
      <c r="L2149">
        <f>IF(K2149=1,(Pu-E2149)/(H2149-E2149),"")</f>
      </c>
      <c r="M2149" s="12">
        <f>IF(K2149=1,F2149+L2149*(I2149-F2149),"")</f>
      </c>
      <c r="N2149" s="12">
        <f>IF(K2149=1,G2149+L2149*(J2149-G2149),"")</f>
      </c>
    </row>
    <row r="2150" spans="2:14" x14ac:dyDescent="0.25">
      <c r="B2150">
        <v>60</v>
      </c>
      <c r="C2150">
        <v>239.99999999999994</v>
      </c>
      <c r="D2150">
        <v>22</v>
      </c>
      <c r="E2150" s="18">
        <v>2766.6024874851682</v>
      </c>
      <c r="F2150" s="18">
        <v>-3119.750700136902</v>
      </c>
      <c r="G2150" s="18">
        <v>-2788.4207613525914</v>
      </c>
      <c r="H2150" s="12">
        <f>E2151</f>
      </c>
      <c r="I2150" s="12">
        <f>F2151</f>
      </c>
      <c r="J2150" s="12">
        <f>G2151</f>
      </c>
      <c r="K2150">
        <f>IF(AND(Pu&gt;=MIN(E2150,H2150),Pu&lt;=MAX(E2150,H2150),E2150&lt;&gt;H2150),1,0)</f>
      </c>
      <c r="L2150">
        <f>IF(K2150=1,(Pu-E2150)/(H2150-E2150),"")</f>
      </c>
      <c r="M2150" s="12">
        <f>IF(K2150=1,F2150+L2150*(I2150-F2150),"")</f>
      </c>
      <c r="N2150" s="12">
        <f>IF(K2150=1,G2150+L2150*(J2150-G2150),"")</f>
      </c>
    </row>
    <row r="2151" spans="2:14" x14ac:dyDescent="0.25">
      <c r="B2151">
        <v>60</v>
      </c>
      <c r="C2151">
        <v>239.99999999999994</v>
      </c>
      <c r="D2151">
        <v>23</v>
      </c>
      <c r="E2151" s="18">
        <v>1829.7799324162493</v>
      </c>
      <c r="F2151" s="18">
        <v>-2827.055556155988</v>
      </c>
      <c r="G2151" s="18">
        <v>-2568.4626102592088</v>
      </c>
      <c r="H2151" s="12">
        <f>E2152</f>
      </c>
      <c r="I2151" s="12">
        <f>F2152</f>
      </c>
      <c r="J2151" s="12">
        <f>G2152</f>
      </c>
      <c r="K2151">
        <f>IF(AND(Pu&gt;=MIN(E2151,H2151),Pu&lt;=MAX(E2151,H2151),E2151&lt;&gt;H2151),1,0)</f>
      </c>
      <c r="L2151">
        <f>IF(K2151=1,(Pu-E2151)/(H2151-E2151),"")</f>
      </c>
      <c r="M2151" s="12">
        <f>IF(K2151=1,F2151+L2151*(I2151-F2151),"")</f>
      </c>
      <c r="N2151" s="12">
        <f>IF(K2151=1,G2151+L2151*(J2151-G2151),"")</f>
      </c>
    </row>
    <row r="2152" spans="2:14" x14ac:dyDescent="0.25">
      <c r="B2152">
        <v>60</v>
      </c>
      <c r="C2152">
        <v>239.99999999999994</v>
      </c>
      <c r="D2152">
        <v>24</v>
      </c>
      <c r="E2152" s="18">
        <v>1105.196101761282</v>
      </c>
      <c r="F2152" s="18">
        <v>-2572.139131892273</v>
      </c>
      <c r="G2152" s="18">
        <v>-2389.448954833832</v>
      </c>
      <c r="H2152" s="12">
        <f>E2153</f>
      </c>
      <c r="I2152" s="12">
        <f>F2153</f>
      </c>
      <c r="J2152" s="12">
        <f>G2153</f>
      </c>
      <c r="K2152">
        <f>IF(AND(Pu&gt;=MIN(E2152,H2152),Pu&lt;=MAX(E2152,H2152),E2152&lt;&gt;H2152),1,0)</f>
      </c>
      <c r="L2152">
        <f>IF(K2152=1,(Pu-E2152)/(H2152-E2152),"")</f>
      </c>
      <c r="M2152" s="12">
        <f>IF(K2152=1,F2152+L2152*(I2152-F2152),"")</f>
      </c>
      <c r="N2152" s="12">
        <f>IF(K2152=1,G2152+L2152*(J2152-G2152),"")</f>
      </c>
    </row>
    <row r="2153" spans="2:14" x14ac:dyDescent="0.25">
      <c r="B2153">
        <v>60</v>
      </c>
      <c r="C2153">
        <v>239.99999999999994</v>
      </c>
      <c r="D2153">
        <v>25</v>
      </c>
      <c r="E2153" s="18">
        <v>-138.74970359877244</v>
      </c>
      <c r="F2153" s="18">
        <v>-2116.6263911560236</v>
      </c>
      <c r="G2153" s="18">
        <v>-2062.2108856082755</v>
      </c>
      <c r="H2153" s="12">
        <f>E2154</f>
      </c>
      <c r="I2153" s="12">
        <f>F2154</f>
      </c>
      <c r="J2153" s="12">
        <f>G2154</f>
      </c>
      <c r="K2153">
        <f>IF(AND(Pu&gt;=MIN(E2153,H2153),Pu&lt;=MAX(E2153,H2153),E2153&lt;&gt;H2153),1,0)</f>
      </c>
      <c r="L2153">
        <f>IF(K2153=1,(Pu-E2153)/(H2153-E2153),"")</f>
      </c>
      <c r="M2153" s="12">
        <f>IF(K2153=1,F2153+L2153*(I2153-F2153),"")</f>
      </c>
      <c r="N2153" s="12">
        <f>IF(K2153=1,G2153+L2153*(J2153-G2153),"")</f>
      </c>
    </row>
    <row r="2154" spans="2:14" x14ac:dyDescent="0.25">
      <c r="B2154">
        <v>60</v>
      </c>
      <c r="C2154">
        <v>239.99999999999994</v>
      </c>
      <c r="D2154">
        <v>26</v>
      </c>
      <c r="E2154" s="18">
        <v>-1016.0801956652926</v>
      </c>
      <c r="F2154" s="18">
        <v>-1760.4689718118034</v>
      </c>
      <c r="G2154" s="18">
        <v>-1773.801388112183</v>
      </c>
      <c r="H2154" s="12">
        <f>E2155</f>
      </c>
      <c r="I2154" s="12">
        <f>F2155</f>
      </c>
      <c r="J2154" s="12">
        <f>G2155</f>
      </c>
      <c r="K2154">
        <f>IF(AND(Pu&gt;=MIN(E2154,H2154),Pu&lt;=MAX(E2154,H2154),E2154&lt;&gt;H2154),1,0)</f>
      </c>
      <c r="L2154">
        <f>IF(K2154=1,(Pu-E2154)/(H2154-E2154),"")</f>
      </c>
      <c r="M2154" s="12">
        <f>IF(K2154=1,F2154+L2154*(I2154-F2154),"")</f>
      </c>
      <c r="N2154" s="12">
        <f>IF(K2154=1,G2154+L2154*(J2154-G2154),"")</f>
      </c>
    </row>
    <row r="2155" spans="2:14" x14ac:dyDescent="0.25">
      <c r="B2155">
        <v>60</v>
      </c>
      <c r="C2155">
        <v>239.99999999999994</v>
      </c>
      <c r="D2155">
        <v>27</v>
      </c>
      <c r="E2155" s="18">
        <v>-1760.9559186066608</v>
      </c>
      <c r="F2155" s="18">
        <v>-1457.914782830063</v>
      </c>
      <c r="G2155" s="18">
        <v>-1489.4291097478665</v>
      </c>
      <c r="H2155" s="12">
        <f>E2156</f>
      </c>
      <c r="I2155" s="12">
        <f>F2156</f>
      </c>
      <c r="J2155" s="12">
        <f>G2156</f>
      </c>
      <c r="K2155">
        <f>IF(AND(Pu&gt;=MIN(E2155,H2155),Pu&lt;=MAX(E2155,H2155),E2155&lt;&gt;H2155),1,0)</f>
      </c>
      <c r="L2155">
        <f>IF(K2155=1,(Pu-E2155)/(H2155-E2155),"")</f>
      </c>
      <c r="M2155" s="12">
        <f>IF(K2155=1,F2155+L2155*(I2155-F2155),"")</f>
      </c>
      <c r="N2155" s="12">
        <f>IF(K2155=1,G2155+L2155*(J2155-G2155),"")</f>
      </c>
    </row>
    <row r="2156" spans="2:14" x14ac:dyDescent="0.25">
      <c r="B2156">
        <v>60</v>
      </c>
      <c r="C2156">
        <v>239.99999999999994</v>
      </c>
      <c r="D2156">
        <v>28</v>
      </c>
      <c r="E2156" s="18">
        <v>-2318.6806557385135</v>
      </c>
      <c r="F2156" s="18">
        <v>-1227.2583492852589</v>
      </c>
      <c r="G2156" s="18">
        <v>-1261.4056752876108</v>
      </c>
      <c r="H2156" s="12">
        <f>E2157</f>
      </c>
      <c r="I2156" s="12">
        <f>F2157</f>
      </c>
      <c r="J2156" s="12">
        <f>G2157</f>
      </c>
      <c r="K2156">
        <f>IF(AND(Pu&gt;=MIN(E2156,H2156),Pu&lt;=MAX(E2156,H2156),E2156&lt;&gt;H2156),1,0)</f>
      </c>
      <c r="L2156">
        <f>IF(K2156=1,(Pu-E2156)/(H2156-E2156),"")</f>
      </c>
      <c r="M2156" s="12">
        <f>IF(K2156=1,F2156+L2156*(I2156-F2156),"")</f>
      </c>
      <c r="N2156" s="12">
        <f>IF(K2156=1,G2156+L2156*(J2156-G2156),"")</f>
      </c>
    </row>
    <row r="2157" spans="2:14" x14ac:dyDescent="0.25">
      <c r="B2157">
        <v>60</v>
      </c>
      <c r="C2157">
        <v>239.99999999999994</v>
      </c>
      <c r="D2157">
        <v>29</v>
      </c>
      <c r="E2157" s="18">
        <v>-3034.71218226194</v>
      </c>
      <c r="F2157" s="18">
        <v>-901.8234604880942</v>
      </c>
      <c r="G2157" s="18">
        <v>-956.572724308673</v>
      </c>
      <c r="H2157" s="12">
        <f>E2158</f>
      </c>
      <c r="I2157" s="12">
        <f>F2158</f>
      </c>
      <c r="J2157" s="12">
        <f>G2158</f>
      </c>
      <c r="K2157">
        <f>IF(AND(Pu&gt;=MIN(E2157,H2157),Pu&lt;=MAX(E2157,H2157),E2157&lt;&gt;H2157),1,0)</f>
      </c>
      <c r="L2157">
        <f>IF(K2157=1,(Pu-E2157)/(H2157-E2157),"")</f>
      </c>
      <c r="M2157" s="12">
        <f>IF(K2157=1,F2157+L2157*(I2157-F2157),"")</f>
      </c>
      <c r="N2157" s="12">
        <f>IF(K2157=1,G2157+L2157*(J2157-G2157),"")</f>
      </c>
    </row>
    <row r="2158" spans="2:14" x14ac:dyDescent="0.25">
      <c r="B2158">
        <v>60</v>
      </c>
      <c r="C2158">
        <v>239.99999999999994</v>
      </c>
      <c r="D2158">
        <v>30</v>
      </c>
      <c r="E2158" s="18">
        <v>-3524.986254071826</v>
      </c>
      <c r="F2158" s="18">
        <v>-678.955068296554</v>
      </c>
      <c r="G2158" s="18">
        <v>-727.4925109588734</v>
      </c>
      <c r="H2158" s="12">
        <f>E2159</f>
      </c>
      <c r="I2158" s="12">
        <f>F2159</f>
      </c>
      <c r="J2158" s="12">
        <f>G2159</f>
      </c>
      <c r="K2158">
        <f>IF(AND(Pu&gt;=MIN(E2158,H2158),Pu&lt;=MAX(E2158,H2158),E2158&lt;&gt;H2158),1,0)</f>
      </c>
      <c r="L2158">
        <f>IF(K2158=1,(Pu-E2158)/(H2158-E2158),"")</f>
      </c>
      <c r="M2158" s="12">
        <f>IF(K2158=1,F2158+L2158*(I2158-F2158),"")</f>
      </c>
      <c r="N2158" s="12">
        <f>IF(K2158=1,G2158+L2158*(J2158-G2158),"")</f>
      </c>
    </row>
    <row r="2159" spans="2:14" x14ac:dyDescent="0.25">
      <c r="B2159">
        <v>60</v>
      </c>
      <c r="C2159">
        <v>239.99999999999994</v>
      </c>
      <c r="D2159">
        <v>31</v>
      </c>
      <c r="E2159" s="18">
        <v>-4165.7905348912855</v>
      </c>
      <c r="F2159" s="18">
        <v>-393.730767027809</v>
      </c>
      <c r="G2159" s="18">
        <v>-391.8939143311251</v>
      </c>
      <c r="H2159" s="12">
        <f>E2160</f>
      </c>
      <c r="I2159" s="12">
        <f>F2160</f>
      </c>
      <c r="J2159" s="12">
        <f>G2160</f>
      </c>
      <c r="K2159">
        <f>IF(AND(Pu&gt;=MIN(E2159,H2159),Pu&lt;=MAX(E2159,H2159),E2159&lt;&gt;H2159),1,0)</f>
      </c>
      <c r="L2159">
        <f>IF(K2159=1,(Pu-E2159)/(H2159-E2159),"")</f>
      </c>
      <c r="M2159" s="12">
        <f>IF(K2159=1,F2159+L2159*(I2159-F2159),"")</f>
      </c>
      <c r="N2159" s="12">
        <f>IF(K2159=1,G2159+L2159*(J2159-G2159),"")</f>
      </c>
    </row>
    <row r="2160" spans="2:14" x14ac:dyDescent="0.25">
      <c r="B2160">
        <v>60</v>
      </c>
      <c r="C2160">
        <v>239.99999999999994</v>
      </c>
      <c r="D2160">
        <v>32</v>
      </c>
      <c r="E2160" s="18">
        <v>-4453.366846654077</v>
      </c>
      <c r="F2160" s="18">
        <v>-247.8974387110941</v>
      </c>
      <c r="G2160" s="18">
        <v>-249.1693892157435</v>
      </c>
      <c r="H2160" s="12">
        <f>E2161</f>
      </c>
      <c r="I2160" s="12">
        <f>F2161</f>
      </c>
      <c r="J2160" s="12">
        <f>G2161</f>
      </c>
      <c r="K2160">
        <f>IF(AND(Pu&gt;=MIN(E2160,H2160),Pu&lt;=MAX(E2160,H2160),E2160&lt;&gt;H2160),1,0)</f>
      </c>
      <c r="L2160">
        <f>IF(K2160=1,(Pu-E2160)/(H2160-E2160),"")</f>
      </c>
      <c r="M2160" s="12">
        <f>IF(K2160=1,F2160+L2160*(I2160-F2160),"")</f>
      </c>
      <c r="N2160" s="12">
        <f>IF(K2160=1,G2160+L2160*(J2160-G2160),"")</f>
      </c>
    </row>
    <row r="2161" spans="2:14" x14ac:dyDescent="0.25">
      <c r="B2161">
        <v>60</v>
      </c>
      <c r="C2161">
        <v>239.99999999999994</v>
      </c>
      <c r="D2161">
        <v>33</v>
      </c>
      <c r="E2161" s="18">
        <v>-4751.973705170275</v>
      </c>
      <c r="F2161" s="18">
        <v>-93.71675642398245</v>
      </c>
      <c r="G2161" s="18">
        <v>-95.73536492958632</v>
      </c>
      <c r="H2161" s="12">
        <f>E2162</f>
      </c>
      <c r="I2161" s="12">
        <f>F2162</f>
      </c>
      <c r="J2161" s="12">
        <f>G2162</f>
      </c>
      <c r="K2161">
        <f>IF(AND(Pu&gt;=MIN(E2161,H2161),Pu&lt;=MAX(E2161,H2161),E2161&lt;&gt;H2161),1,0)</f>
      </c>
      <c r="L2161">
        <f>IF(K2161=1,(Pu-E2161)/(H2161-E2161),"")</f>
      </c>
      <c r="M2161" s="12">
        <f>IF(K2161=1,F2161+L2161*(I2161-F2161),"")</f>
      </c>
      <c r="N2161" s="12">
        <f>IF(K2161=1,G2161+L2161*(J2161-G2161),"")</f>
      </c>
    </row>
    <row r="2162" spans="2:7" x14ac:dyDescent="0.25">
      <c r="B2162">
        <v>60</v>
      </c>
      <c r="C2162">
        <v>239.99999999999994</v>
      </c>
      <c r="D2162">
        <v>34</v>
      </c>
      <c r="E2162" s="18">
        <v>-4824.310821405298</v>
      </c>
      <c r="F2162" s="18">
        <v>-54.997975173022255</v>
      </c>
      <c r="G2162" s="18">
        <v>-54.69501404165336</v>
      </c>
    </row>
    <row r="2164" spans="2:14" x14ac:dyDescent="0.25">
      <c r="B2164">
        <v>61</v>
      </c>
      <c r="C2164">
        <v>247.49999999999997</v>
      </c>
      <c r="D2164">
        <v>1</v>
      </c>
      <c r="E2164" s="18">
        <v>16814.898789611638</v>
      </c>
      <c r="F2164" s="18">
        <v>-2254.7026095068613</v>
      </c>
      <c r="G2164" s="18">
        <v>-1508.2944838845128</v>
      </c>
      <c r="H2164" s="12">
        <f>E2165</f>
      </c>
      <c r="I2164" s="12">
        <f>F2165</f>
      </c>
      <c r="J2164" s="12">
        <f>G2165</f>
      </c>
      <c r="K2164">
        <f>IF(AND(Pu&gt;=MIN(E2164,H2164),Pu&lt;=MAX(E2164,H2164),E2164&lt;&gt;H2164),1,0)</f>
      </c>
      <c r="L2164">
        <f>IF(K2164=1,(Pu-E2164)/(H2164-E2164),"")</f>
      </c>
      <c r="M2164" s="12">
        <f>IF(K2164=1,F2164+L2164*(I2164-F2164),"")</f>
      </c>
      <c r="N2164" s="12">
        <f>IF(K2164=1,G2164+L2164*(J2164-G2164),"")</f>
      </c>
    </row>
    <row r="2165" spans="2:14" x14ac:dyDescent="0.25">
      <c r="B2165">
        <v>61</v>
      </c>
      <c r="C2165">
        <v>247.49999999999997</v>
      </c>
      <c r="D2165">
        <v>2</v>
      </c>
      <c r="E2165" s="18">
        <v>15377.10687062363</v>
      </c>
      <c r="F2165" s="18">
        <v>-2774.0542380623497</v>
      </c>
      <c r="G2165" s="18">
        <v>-1532.063305859025</v>
      </c>
      <c r="H2165" s="12">
        <f>E2166</f>
      </c>
      <c r="I2165" s="12">
        <f>F2166</f>
      </c>
      <c r="J2165" s="12">
        <f>G2166</f>
      </c>
      <c r="K2165">
        <f>IF(AND(Pu&gt;=MIN(E2165,H2165),Pu&lt;=MAX(E2165,H2165),E2165&lt;&gt;H2165),1,0)</f>
      </c>
      <c r="L2165">
        <f>IF(K2165=1,(Pu-E2165)/(H2165-E2165),"")</f>
      </c>
      <c r="M2165" s="12">
        <f>IF(K2165=1,F2165+L2165*(I2165-F2165),"")</f>
      </c>
      <c r="N2165" s="12">
        <f>IF(K2165=1,G2165+L2165*(J2165-G2165),"")</f>
      </c>
    </row>
    <row r="2166" spans="2:14" x14ac:dyDescent="0.25">
      <c r="B2166">
        <v>61</v>
      </c>
      <c r="C2166">
        <v>247.49999999999997</v>
      </c>
      <c r="D2166">
        <v>3</v>
      </c>
      <c r="E2166" s="18">
        <v>13151.198951284556</v>
      </c>
      <c r="F2166" s="18">
        <v>-3390.4215703524897</v>
      </c>
      <c r="G2166" s="18">
        <v>-1570.3467931776004</v>
      </c>
      <c r="H2166" s="12">
        <f>E2167</f>
      </c>
      <c r="I2166" s="12">
        <f>F2167</f>
      </c>
      <c r="J2166" s="12">
        <f>G2167</f>
      </c>
      <c r="K2166">
        <f>IF(AND(Pu&gt;=MIN(E2166,H2166),Pu&lt;=MAX(E2166,H2166),E2166&lt;&gt;H2166),1,0)</f>
      </c>
      <c r="L2166">
        <f>IF(K2166=1,(Pu-E2166)/(H2166-E2166),"")</f>
      </c>
      <c r="M2166" s="12">
        <f>IF(K2166=1,F2166+L2166*(I2166-F2166),"")</f>
      </c>
      <c r="N2166" s="12">
        <f>IF(K2166=1,G2166+L2166*(J2166-G2166),"")</f>
      </c>
    </row>
    <row r="2167" spans="2:14" x14ac:dyDescent="0.25">
      <c r="B2167">
        <v>61</v>
      </c>
      <c r="C2167">
        <v>247.49999999999997</v>
      </c>
      <c r="D2167">
        <v>4</v>
      </c>
      <c r="E2167" s="18">
        <v>11508.788798035559</v>
      </c>
      <c r="F2167" s="18">
        <v>-3688.578861270079</v>
      </c>
      <c r="G2167" s="18">
        <v>-1632.408117527505</v>
      </c>
      <c r="H2167" s="12">
        <f>E2168</f>
      </c>
      <c r="I2167" s="12">
        <f>F2168</f>
      </c>
      <c r="J2167" s="12">
        <f>G2168</f>
      </c>
      <c r="K2167">
        <f>IF(AND(Pu&gt;=MIN(E2167,H2167),Pu&lt;=MAX(E2167,H2167),E2167&lt;&gt;H2167),1,0)</f>
      </c>
      <c r="L2167">
        <f>IF(K2167=1,(Pu-E2167)/(H2167-E2167),"")</f>
      </c>
      <c r="M2167" s="12">
        <f>IF(K2167=1,F2167+L2167*(I2167-F2167),"")</f>
      </c>
      <c r="N2167" s="12">
        <f>IF(K2167=1,G2167+L2167*(J2167-G2167),"")</f>
      </c>
    </row>
    <row r="2168" spans="2:14" x14ac:dyDescent="0.25">
      <c r="B2168">
        <v>61</v>
      </c>
      <c r="C2168">
        <v>247.49999999999997</v>
      </c>
      <c r="D2168">
        <v>5</v>
      </c>
      <c r="E2168" s="18">
        <v>10095.092707554337</v>
      </c>
      <c r="F2168" s="18">
        <v>-3845.3651100722427</v>
      </c>
      <c r="G2168" s="18">
        <v>-1706.3269446189731</v>
      </c>
      <c r="H2168" s="12">
        <f>E2169</f>
      </c>
      <c r="I2168" s="12">
        <f>F2169</f>
      </c>
      <c r="J2168" s="12">
        <f>G2169</f>
      </c>
      <c r="K2168">
        <f>IF(AND(Pu&gt;=MIN(E2168,H2168),Pu&lt;=MAX(E2168,H2168),E2168&lt;&gt;H2168),1,0)</f>
      </c>
      <c r="L2168">
        <f>IF(K2168=1,(Pu-E2168)/(H2168-E2168),"")</f>
      </c>
      <c r="M2168" s="12">
        <f>IF(K2168=1,F2168+L2168*(I2168-F2168),"")</f>
      </c>
      <c r="N2168" s="12">
        <f>IF(K2168=1,G2168+L2168*(J2168-G2168),"")</f>
      </c>
    </row>
    <row r="2169" spans="2:14" x14ac:dyDescent="0.25">
      <c r="B2169">
        <v>61</v>
      </c>
      <c r="C2169">
        <v>247.49999999999997</v>
      </c>
      <c r="D2169">
        <v>6</v>
      </c>
      <c r="E2169" s="18">
        <v>8946.634448049082</v>
      </c>
      <c r="F2169" s="18">
        <v>-3931.5758027549123</v>
      </c>
      <c r="G2169" s="18">
        <v>-1757.2968406061782</v>
      </c>
      <c r="H2169" s="12">
        <f>E2170</f>
      </c>
      <c r="I2169" s="12">
        <f>F2170</f>
      </c>
      <c r="J2169" s="12">
        <f>G2170</f>
      </c>
      <c r="K2169">
        <f>IF(AND(Pu&gt;=MIN(E2169,H2169),Pu&lt;=MAX(E2169,H2169),E2169&lt;&gt;H2169),1,0)</f>
      </c>
      <c r="L2169">
        <f>IF(K2169=1,(Pu-E2169)/(H2169-E2169),"")</f>
      </c>
      <c r="M2169" s="12">
        <f>IF(K2169=1,F2169+L2169*(I2169-F2169),"")</f>
      </c>
      <c r="N2169" s="12">
        <f>IF(K2169=1,G2169+L2169*(J2169-G2169),"")</f>
      </c>
    </row>
    <row r="2170" spans="2:14" x14ac:dyDescent="0.25">
      <c r="B2170">
        <v>61</v>
      </c>
      <c r="C2170">
        <v>247.49999999999997</v>
      </c>
      <c r="D2170">
        <v>7</v>
      </c>
      <c r="E2170" s="18">
        <v>8887.276942053</v>
      </c>
      <c r="F2170" s="18">
        <v>-3949.3388545431512</v>
      </c>
      <c r="G2170" s="18">
        <v>-1767.8799311438659</v>
      </c>
      <c r="H2170" s="12">
        <f>E2171</f>
      </c>
      <c r="I2170" s="12">
        <f>F2171</f>
      </c>
      <c r="J2170" s="12">
        <f>G2171</f>
      </c>
      <c r="K2170">
        <f>IF(AND(Pu&gt;=MIN(E2170,H2170),Pu&lt;=MAX(E2170,H2170),E2170&lt;&gt;H2170),1,0)</f>
      </c>
      <c r="L2170">
        <f>IF(K2170=1,(Pu-E2170)/(H2170-E2170),"")</f>
      </c>
      <c r="M2170" s="12">
        <f>IF(K2170=1,F2170+L2170*(I2170-F2170),"")</f>
      </c>
      <c r="N2170" s="12">
        <f>IF(K2170=1,G2170+L2170*(J2170-G2170),"")</f>
      </c>
    </row>
    <row r="2171" spans="2:14" x14ac:dyDescent="0.25">
      <c r="B2171">
        <v>61</v>
      </c>
      <c r="C2171">
        <v>247.49999999999997</v>
      </c>
      <c r="D2171">
        <v>8</v>
      </c>
      <c r="E2171" s="18">
        <v>8352.058815096381</v>
      </c>
      <c r="F2171" s="18">
        <v>-4095.3257480933667</v>
      </c>
      <c r="G2171" s="18">
        <v>-1867.2111033791832</v>
      </c>
      <c r="H2171" s="12">
        <f>E2172</f>
      </c>
      <c r="I2171" s="12">
        <f>F2172</f>
      </c>
      <c r="J2171" s="12">
        <f>G2172</f>
      </c>
      <c r="K2171">
        <f>IF(AND(Pu&gt;=MIN(E2171,H2171),Pu&lt;=MAX(E2171,H2171),E2171&lt;&gt;H2171),1,0)</f>
      </c>
      <c r="L2171">
        <f>IF(K2171=1,(Pu-E2171)/(H2171-E2171),"")</f>
      </c>
      <c r="M2171" s="12">
        <f>IF(K2171=1,F2171+L2171*(I2171-F2171),"")</f>
      </c>
      <c r="N2171" s="12">
        <f>IF(K2171=1,G2171+L2171*(J2171-G2171),"")</f>
      </c>
    </row>
    <row r="2172" spans="2:14" x14ac:dyDescent="0.25">
      <c r="B2172">
        <v>61</v>
      </c>
      <c r="C2172">
        <v>247.49999999999997</v>
      </c>
      <c r="D2172">
        <v>9</v>
      </c>
      <c r="E2172" s="18">
        <v>8177.118685582037</v>
      </c>
      <c r="F2172" s="18">
        <v>-4137.20513984102</v>
      </c>
      <c r="G2172" s="18">
        <v>-1896.11664897929</v>
      </c>
      <c r="H2172" s="12">
        <f>E2173</f>
      </c>
      <c r="I2172" s="12">
        <f>F2173</f>
      </c>
      <c r="J2172" s="12">
        <f>G2173</f>
      </c>
      <c r="K2172">
        <f>IF(AND(Pu&gt;=MIN(E2172,H2172),Pu&lt;=MAX(E2172,H2172),E2172&lt;&gt;H2172),1,0)</f>
      </c>
      <c r="L2172">
        <f>IF(K2172=1,(Pu-E2172)/(H2172-E2172),"")</f>
      </c>
      <c r="M2172" s="12">
        <f>IF(K2172=1,F2172+L2172*(I2172-F2172),"")</f>
      </c>
      <c r="N2172" s="12">
        <f>IF(K2172=1,G2172+L2172*(J2172-G2172),"")</f>
      </c>
    </row>
    <row r="2173" spans="2:14" x14ac:dyDescent="0.25">
      <c r="B2173">
        <v>61</v>
      </c>
      <c r="C2173">
        <v>247.49999999999997</v>
      </c>
      <c r="D2173">
        <v>10</v>
      </c>
      <c r="E2173" s="18">
        <v>7840.690116110156</v>
      </c>
      <c r="F2173" s="18">
        <v>-4209.999024499902</v>
      </c>
      <c r="G2173" s="18">
        <v>-1946.7734366775237</v>
      </c>
      <c r="H2173" s="12">
        <f>E2174</f>
      </c>
      <c r="I2173" s="12">
        <f>F2174</f>
      </c>
      <c r="J2173" s="12">
        <f>G2174</f>
      </c>
      <c r="K2173">
        <f>IF(AND(Pu&gt;=MIN(E2173,H2173),Pu&lt;=MAX(E2173,H2173),E2173&lt;&gt;H2173),1,0)</f>
      </c>
      <c r="L2173">
        <f>IF(K2173=1,(Pu-E2173)/(H2173-E2173),"")</f>
      </c>
      <c r="M2173" s="12">
        <f>IF(K2173=1,F2173+L2173*(I2173-F2173),"")</f>
      </c>
      <c r="N2173" s="12">
        <f>IF(K2173=1,G2173+L2173*(J2173-G2173),"")</f>
      </c>
    </row>
    <row r="2174" spans="2:14" x14ac:dyDescent="0.25">
      <c r="B2174">
        <v>61</v>
      </c>
      <c r="C2174">
        <v>247.49999999999997</v>
      </c>
      <c r="D2174">
        <v>11</v>
      </c>
      <c r="E2174" s="18">
        <v>7616.409017491844</v>
      </c>
      <c r="F2174" s="18">
        <v>-4253.38207017012</v>
      </c>
      <c r="G2174" s="18">
        <v>-1993.6870380916105</v>
      </c>
      <c r="H2174" s="12">
        <f>E2175</f>
      </c>
      <c r="I2174" s="12">
        <f>F2175</f>
      </c>
      <c r="J2174" s="12">
        <f>G2175</f>
      </c>
      <c r="K2174">
        <f>IF(AND(Pu&gt;=MIN(E2174,H2174),Pu&lt;=MAX(E2174,H2174),E2174&lt;&gt;H2174),1,0)</f>
      </c>
      <c r="L2174">
        <f>IF(K2174=1,(Pu-E2174)/(H2174-E2174),"")</f>
      </c>
      <c r="M2174" s="12">
        <f>IF(K2174=1,F2174+L2174*(I2174-F2174),"")</f>
      </c>
      <c r="N2174" s="12">
        <f>IF(K2174=1,G2174+L2174*(J2174-G2174),"")</f>
      </c>
    </row>
    <row r="2175" spans="2:14" x14ac:dyDescent="0.25">
      <c r="B2175">
        <v>61</v>
      </c>
      <c r="C2175">
        <v>247.49999999999997</v>
      </c>
      <c r="D2175">
        <v>12</v>
      </c>
      <c r="E2175" s="18">
        <v>7396.08726303132</v>
      </c>
      <c r="F2175" s="18">
        <v>-4289.271883666649</v>
      </c>
      <c r="G2175" s="18">
        <v>-2030.6989567322767</v>
      </c>
      <c r="H2175" s="12">
        <f>E2176</f>
      </c>
      <c r="I2175" s="12">
        <f>F2176</f>
      </c>
      <c r="J2175" s="12">
        <f>G2176</f>
      </c>
      <c r="K2175">
        <f>IF(AND(Pu&gt;=MIN(E2175,H2175),Pu&lt;=MAX(E2175,H2175),E2175&lt;&gt;H2175),1,0)</f>
      </c>
      <c r="L2175">
        <f>IF(K2175=1,(Pu-E2175)/(H2175-E2175),"")</f>
      </c>
      <c r="M2175" s="12">
        <f>IF(K2175=1,F2175+L2175*(I2175-F2175),"")</f>
      </c>
      <c r="N2175" s="12">
        <f>IF(K2175=1,G2175+L2175*(J2175-G2175),"")</f>
      </c>
    </row>
    <row r="2176" spans="2:14" x14ac:dyDescent="0.25">
      <c r="B2176">
        <v>61</v>
      </c>
      <c r="C2176">
        <v>247.49999999999997</v>
      </c>
      <c r="D2176">
        <v>13</v>
      </c>
      <c r="E2176" s="18">
        <v>7064.0759230169415</v>
      </c>
      <c r="F2176" s="18">
        <v>-4330.491626431115</v>
      </c>
      <c r="G2176" s="18">
        <v>-2090.0229347754535</v>
      </c>
      <c r="H2176" s="12">
        <f>E2177</f>
      </c>
      <c r="I2176" s="12">
        <f>F2177</f>
      </c>
      <c r="J2176" s="12">
        <f>G2177</f>
      </c>
      <c r="K2176">
        <f>IF(AND(Pu&gt;=MIN(E2176,H2176),Pu&lt;=MAX(E2176,H2176),E2176&lt;&gt;H2176),1,0)</f>
      </c>
      <c r="L2176">
        <f>IF(K2176=1,(Pu-E2176)/(H2176-E2176),"")</f>
      </c>
      <c r="M2176" s="12">
        <f>IF(K2176=1,F2176+L2176*(I2176-F2176),"")</f>
      </c>
      <c r="N2176" s="12">
        <f>IF(K2176=1,G2176+L2176*(J2176-G2176),"")</f>
      </c>
    </row>
    <row r="2177" spans="2:14" x14ac:dyDescent="0.25">
      <c r="B2177">
        <v>61</v>
      </c>
      <c r="C2177">
        <v>247.49999999999997</v>
      </c>
      <c r="D2177">
        <v>14</v>
      </c>
      <c r="E2177" s="18">
        <v>6975.426984652722</v>
      </c>
      <c r="F2177" s="18">
        <v>-4336.861036579448</v>
      </c>
      <c r="G2177" s="18">
        <v>-2104.383348558701</v>
      </c>
      <c r="H2177" s="12">
        <f>E2178</f>
      </c>
      <c r="I2177" s="12">
        <f>F2178</f>
      </c>
      <c r="J2177" s="12">
        <f>G2178</f>
      </c>
      <c r="K2177">
        <f>IF(AND(Pu&gt;=MIN(E2177,H2177),Pu&lt;=MAX(E2177,H2177),E2177&lt;&gt;H2177),1,0)</f>
      </c>
      <c r="L2177">
        <f>IF(K2177=1,(Pu-E2177)/(H2177-E2177),"")</f>
      </c>
      <c r="M2177" s="12">
        <f>IF(K2177=1,F2177+L2177*(I2177-F2177),"")</f>
      </c>
      <c r="N2177" s="12">
        <f>IF(K2177=1,G2177+L2177*(J2177-G2177),"")</f>
      </c>
    </row>
    <row r="2178" spans="2:14" x14ac:dyDescent="0.25">
      <c r="B2178">
        <v>61</v>
      </c>
      <c r="C2178">
        <v>247.49999999999997</v>
      </c>
      <c r="D2178">
        <v>15</v>
      </c>
      <c r="E2178" s="18">
        <v>6568.150209313233</v>
      </c>
      <c r="F2178" s="18">
        <v>-4334.39928657539</v>
      </c>
      <c r="G2178" s="18">
        <v>-2187.0541843102797</v>
      </c>
      <c r="H2178" s="12">
        <f>E2179</f>
      </c>
      <c r="I2178" s="12">
        <f>F2179</f>
      </c>
      <c r="J2178" s="12">
        <f>G2179</f>
      </c>
      <c r="K2178">
        <f>IF(AND(Pu&gt;=MIN(E2178,H2178),Pu&lt;=MAX(E2178,H2178),E2178&lt;&gt;H2178),1,0)</f>
      </c>
      <c r="L2178">
        <f>IF(K2178=1,(Pu-E2178)/(H2178-E2178),"")</f>
      </c>
      <c r="M2178" s="12">
        <f>IF(K2178=1,F2178+L2178*(I2178-F2178),"")</f>
      </c>
      <c r="N2178" s="12">
        <f>IF(K2178=1,G2178+L2178*(J2178-G2178),"")</f>
      </c>
    </row>
    <row r="2179" spans="2:14" x14ac:dyDescent="0.25">
      <c r="B2179">
        <v>61</v>
      </c>
      <c r="C2179">
        <v>247.49999999999997</v>
      </c>
      <c r="D2179">
        <v>16</v>
      </c>
      <c r="E2179" s="18">
        <v>6112.852471681782</v>
      </c>
      <c r="F2179" s="18">
        <v>-4301.381742183833</v>
      </c>
      <c r="G2179" s="18">
        <v>-2281.098921092095</v>
      </c>
      <c r="H2179" s="12">
        <f>E2180</f>
      </c>
      <c r="I2179" s="12">
        <f>F2180</f>
      </c>
      <c r="J2179" s="12">
        <f>G2180</f>
      </c>
      <c r="K2179">
        <f>IF(AND(Pu&gt;=MIN(E2179,H2179),Pu&lt;=MAX(E2179,H2179),E2179&lt;&gt;H2179),1,0)</f>
      </c>
      <c r="L2179">
        <f>IF(K2179=1,(Pu-E2179)/(H2179-E2179),"")</f>
      </c>
      <c r="M2179" s="12">
        <f>IF(K2179=1,F2179+L2179*(I2179-F2179),"")</f>
      </c>
      <c r="N2179" s="12">
        <f>IF(K2179=1,G2179+L2179*(J2179-G2179),"")</f>
      </c>
    </row>
    <row r="2180" spans="2:14" x14ac:dyDescent="0.25">
      <c r="B2180">
        <v>61</v>
      </c>
      <c r="C2180">
        <v>247.49999999999997</v>
      </c>
      <c r="D2180">
        <v>17</v>
      </c>
      <c r="E2180" s="18">
        <v>6001.468218471754</v>
      </c>
      <c r="F2180" s="18">
        <v>-4290.041526700463</v>
      </c>
      <c r="G2180" s="18">
        <v>-2304.1173255844833</v>
      </c>
      <c r="H2180" s="12">
        <f>E2181</f>
      </c>
      <c r="I2180" s="12">
        <f>F2181</f>
      </c>
      <c r="J2180" s="12">
        <f>G2181</f>
      </c>
      <c r="K2180">
        <f>IF(AND(Pu&gt;=MIN(E2180,H2180),Pu&lt;=MAX(E2180,H2180),E2180&lt;&gt;H2180),1,0)</f>
      </c>
      <c r="L2180">
        <f>IF(K2180=1,(Pu-E2180)/(H2180-E2180),"")</f>
      </c>
      <c r="M2180" s="12">
        <f>IF(K2180=1,F2180+L2180*(I2180-F2180),"")</f>
      </c>
      <c r="N2180" s="12">
        <f>IF(K2180=1,G2180+L2180*(J2180-G2180),"")</f>
      </c>
    </row>
    <row r="2181" spans="2:14" x14ac:dyDescent="0.25">
      <c r="B2181">
        <v>61</v>
      </c>
      <c r="C2181">
        <v>247.49999999999997</v>
      </c>
      <c r="D2181">
        <v>18</v>
      </c>
      <c r="E2181" s="18">
        <v>5642.471745629644</v>
      </c>
      <c r="F2181" s="18">
        <v>-4251.563017183482</v>
      </c>
      <c r="G2181" s="18">
        <v>-2377.4123012186387</v>
      </c>
      <c r="H2181" s="12">
        <f>E2182</f>
      </c>
      <c r="I2181" s="12">
        <f>F2182</f>
      </c>
      <c r="J2181" s="12">
        <f>G2182</f>
      </c>
      <c r="K2181">
        <f>IF(AND(Pu&gt;=MIN(E2181,H2181),Pu&lt;=MAX(E2181,H2181),E2181&lt;&gt;H2181),1,0)</f>
      </c>
      <c r="L2181">
        <f>IF(K2181=1,(Pu-E2181)/(H2181-E2181),"")</f>
      </c>
      <c r="M2181" s="12">
        <f>IF(K2181=1,F2181+L2181*(I2181-F2181),"")</f>
      </c>
      <c r="N2181" s="12">
        <f>IF(K2181=1,G2181+L2181*(J2181-G2181),"")</f>
      </c>
    </row>
    <row r="2182" spans="2:14" x14ac:dyDescent="0.25">
      <c r="B2182">
        <v>61</v>
      </c>
      <c r="C2182">
        <v>247.49999999999997</v>
      </c>
      <c r="D2182">
        <v>19</v>
      </c>
      <c r="E2182" s="18">
        <v>5330.43607154947</v>
      </c>
      <c r="F2182" s="18">
        <v>-4215.189744400419</v>
      </c>
      <c r="G2182" s="18">
        <v>-2428.855893326994</v>
      </c>
      <c r="H2182" s="12">
        <f>E2183</f>
      </c>
      <c r="I2182" s="12">
        <f>F2183</f>
      </c>
      <c r="J2182" s="12">
        <f>G2183</f>
      </c>
      <c r="K2182">
        <f>IF(AND(Pu&gt;=MIN(E2182,H2182),Pu&lt;=MAX(E2182,H2182),E2182&lt;&gt;H2182),1,0)</f>
      </c>
      <c r="L2182">
        <f>IF(K2182=1,(Pu-E2182)/(H2182-E2182),"")</f>
      </c>
      <c r="M2182" s="12">
        <f>IF(K2182=1,F2182+L2182*(I2182-F2182),"")</f>
      </c>
      <c r="N2182" s="12">
        <f>IF(K2182=1,G2182+L2182*(J2182-G2182),"")</f>
      </c>
    </row>
    <row r="2183" spans="2:14" x14ac:dyDescent="0.25">
      <c r="B2183">
        <v>61</v>
      </c>
      <c r="C2183">
        <v>247.49999999999997</v>
      </c>
      <c r="D2183">
        <v>20</v>
      </c>
      <c r="E2183" s="18">
        <v>5208.752604383591</v>
      </c>
      <c r="F2183" s="18">
        <v>-4200.243508931339</v>
      </c>
      <c r="G2183" s="18">
        <v>-2446.1374143572184</v>
      </c>
      <c r="H2183" s="12">
        <f>E2184</f>
      </c>
      <c r="I2183" s="12">
        <f>F2184</f>
      </c>
      <c r="J2183" s="12">
        <f>G2184</f>
      </c>
      <c r="K2183">
        <f>IF(AND(Pu&gt;=MIN(E2183,H2183),Pu&lt;=MAX(E2183,H2183),E2183&lt;&gt;H2183),1,0)</f>
      </c>
      <c r="L2183">
        <f>IF(K2183=1,(Pu-E2183)/(H2183-E2183),"")</f>
      </c>
      <c r="M2183" s="12">
        <f>IF(K2183=1,F2183+L2183*(I2183-F2183),"")</f>
      </c>
      <c r="N2183" s="12">
        <f>IF(K2183=1,G2183+L2183*(J2183-G2183),"")</f>
      </c>
    </row>
    <row r="2184" spans="2:14" x14ac:dyDescent="0.25">
      <c r="B2184">
        <v>61</v>
      </c>
      <c r="C2184">
        <v>247.49999999999997</v>
      </c>
      <c r="D2184">
        <v>21</v>
      </c>
      <c r="E2184" s="18">
        <v>4513.4633543645405</v>
      </c>
      <c r="F2184" s="18">
        <v>-3987.641152552741</v>
      </c>
      <c r="G2184" s="18">
        <v>-2418.99125903897</v>
      </c>
      <c r="H2184" s="12">
        <f>E2185</f>
      </c>
      <c r="I2184" s="12">
        <f>F2185</f>
      </c>
      <c r="J2184" s="12">
        <f>G2185</f>
      </c>
      <c r="K2184">
        <f>IF(AND(Pu&gt;=MIN(E2184,H2184),Pu&lt;=MAX(E2184,H2184),E2184&lt;&gt;H2184),1,0)</f>
      </c>
      <c r="L2184">
        <f>IF(K2184=1,(Pu-E2184)/(H2184-E2184),"")</f>
      </c>
      <c r="M2184" s="12">
        <f>IF(K2184=1,F2184+L2184*(I2184-F2184),"")</f>
      </c>
      <c r="N2184" s="12">
        <f>IF(K2184=1,G2184+L2184*(J2184-G2184),"")</f>
      </c>
    </row>
    <row r="2185" spans="2:14" x14ac:dyDescent="0.25">
      <c r="B2185">
        <v>61</v>
      </c>
      <c r="C2185">
        <v>247.49999999999997</v>
      </c>
      <c r="D2185">
        <v>22</v>
      </c>
      <c r="E2185" s="18">
        <v>3126.4395761714018</v>
      </c>
      <c r="F2185" s="18">
        <v>-3523.910717819832</v>
      </c>
      <c r="G2185" s="18">
        <v>-2351.2900876867193</v>
      </c>
      <c r="H2185" s="12">
        <f>E2186</f>
      </c>
      <c r="I2185" s="12">
        <f>F2186</f>
      </c>
      <c r="J2185" s="12">
        <f>G2186</f>
      </c>
      <c r="K2185">
        <f>IF(AND(Pu&gt;=MIN(E2185,H2185),Pu&lt;=MAX(E2185,H2185),E2185&lt;&gt;H2185),1,0)</f>
      </c>
      <c r="L2185">
        <f>IF(K2185=1,(Pu-E2185)/(H2185-E2185),"")</f>
      </c>
      <c r="M2185" s="12">
        <f>IF(K2185=1,F2185+L2185*(I2185-F2185),"")</f>
      </c>
      <c r="N2185" s="12">
        <f>IF(K2185=1,G2185+L2185*(J2185-G2185),"")</f>
      </c>
    </row>
    <row r="2186" spans="2:14" x14ac:dyDescent="0.25">
      <c r="B2186">
        <v>61</v>
      </c>
      <c r="C2186">
        <v>247.49999999999997</v>
      </c>
      <c r="D2186">
        <v>23</v>
      </c>
      <c r="E2186" s="18">
        <v>2149.2332623270486</v>
      </c>
      <c r="F2186" s="18">
        <v>-3166.1188077797706</v>
      </c>
      <c r="G2186" s="18">
        <v>-2205.072166565773</v>
      </c>
      <c r="H2186" s="12">
        <f>E2187</f>
      </c>
      <c r="I2186" s="12">
        <f>F2187</f>
      </c>
      <c r="J2186" s="12">
        <f>G2187</f>
      </c>
      <c r="K2186">
        <f>IF(AND(Pu&gt;=MIN(E2186,H2186),Pu&lt;=MAX(E2186,H2186),E2186&lt;&gt;H2186),1,0)</f>
      </c>
      <c r="L2186">
        <f>IF(K2186=1,(Pu-E2186)/(H2186-E2186),"")</f>
      </c>
      <c r="M2186" s="12">
        <f>IF(K2186=1,F2186+L2186*(I2186-F2186),"")</f>
      </c>
      <c r="N2186" s="12">
        <f>IF(K2186=1,G2186+L2186*(J2186-G2186),"")</f>
      </c>
    </row>
    <row r="2187" spans="2:14" x14ac:dyDescent="0.25">
      <c r="B2187">
        <v>61</v>
      </c>
      <c r="C2187">
        <v>247.49999999999997</v>
      </c>
      <c r="D2187">
        <v>24</v>
      </c>
      <c r="E2187" s="18">
        <v>1339.4138877299847</v>
      </c>
      <c r="F2187" s="18">
        <v>-2865.9088957246026</v>
      </c>
      <c r="G2187" s="18">
        <v>-2047.3483058707932</v>
      </c>
      <c r="H2187" s="12">
        <f>E2188</f>
      </c>
      <c r="I2187" s="12">
        <f>F2188</f>
      </c>
      <c r="J2187" s="12">
        <f>G2188</f>
      </c>
      <c r="K2187">
        <f>IF(AND(Pu&gt;=MIN(E2187,H2187),Pu&lt;=MAX(E2187,H2187),E2187&lt;&gt;H2187),1,0)</f>
      </c>
      <c r="L2187">
        <f>IF(K2187=1,(Pu-E2187)/(H2187-E2187),"")</f>
      </c>
      <c r="M2187" s="12">
        <f>IF(K2187=1,F2187+L2187*(I2187-F2187),"")</f>
      </c>
      <c r="N2187" s="12">
        <f>IF(K2187=1,G2187+L2187*(J2187-G2187),"")</f>
      </c>
    </row>
    <row r="2188" spans="2:14" x14ac:dyDescent="0.25">
      <c r="B2188">
        <v>61</v>
      </c>
      <c r="C2188">
        <v>247.49999999999997</v>
      </c>
      <c r="D2188">
        <v>25</v>
      </c>
      <c r="E2188" s="18">
        <v>138.74949451086033</v>
      </c>
      <c r="F2188" s="18">
        <v>-2370.530049951687</v>
      </c>
      <c r="G2188" s="18">
        <v>-1799.9992068689935</v>
      </c>
      <c r="H2188" s="12">
        <f>E2189</f>
      </c>
      <c r="I2188" s="12">
        <f>F2189</f>
      </c>
      <c r="J2188" s="12">
        <f>G2189</f>
      </c>
      <c r="K2188">
        <f>IF(AND(Pu&gt;=MIN(E2188,H2188),Pu&lt;=MAX(E2188,H2188),E2188&lt;&gt;H2188),1,0)</f>
      </c>
      <c r="L2188">
        <f>IF(K2188=1,(Pu-E2188)/(H2188-E2188),"")</f>
      </c>
      <c r="M2188" s="12">
        <f>IF(K2188=1,F2188+L2188*(I2188-F2188),"")</f>
      </c>
      <c r="N2188" s="12">
        <f>IF(K2188=1,G2188+L2188*(J2188-G2188),"")</f>
      </c>
    </row>
    <row r="2189" spans="2:14" x14ac:dyDescent="0.25">
      <c r="B2189">
        <v>61</v>
      </c>
      <c r="C2189">
        <v>247.49999999999997</v>
      </c>
      <c r="D2189">
        <v>26</v>
      </c>
      <c r="E2189" s="18">
        <v>-906.9697535023262</v>
      </c>
      <c r="F2189" s="18">
        <v>-1922.940887387227</v>
      </c>
      <c r="G2189" s="18">
        <v>-1547.5091332937106</v>
      </c>
      <c r="H2189" s="12">
        <f>E2190</f>
      </c>
      <c r="I2189" s="12">
        <f>F2190</f>
      </c>
      <c r="J2189" s="12">
        <f>G2190</f>
      </c>
      <c r="K2189">
        <f>IF(AND(Pu&gt;=MIN(E2189,H2189),Pu&lt;=MAX(E2189,H2189),E2189&lt;&gt;H2189),1,0)</f>
      </c>
      <c r="L2189">
        <f>IF(K2189=1,(Pu-E2189)/(H2189-E2189),"")</f>
      </c>
      <c r="M2189" s="12">
        <f>IF(K2189=1,F2189+L2189*(I2189-F2189),"")</f>
      </c>
      <c r="N2189" s="12">
        <f>IF(K2189=1,G2189+L2189*(J2189-G2189),"")</f>
      </c>
    </row>
    <row r="2190" spans="2:14" x14ac:dyDescent="0.25">
      <c r="B2190">
        <v>61</v>
      </c>
      <c r="C2190">
        <v>247.49999999999997</v>
      </c>
      <c r="D2190">
        <v>27</v>
      </c>
      <c r="E2190" s="18">
        <v>-1688.339711571574</v>
      </c>
      <c r="F2190" s="18">
        <v>-1580.8526441576605</v>
      </c>
      <c r="G2190" s="18">
        <v>-1312.9111655412387</v>
      </c>
      <c r="H2190" s="12">
        <f>E2191</f>
      </c>
      <c r="I2190" s="12">
        <f>F2191</f>
      </c>
      <c r="J2190" s="12">
        <f>G2191</f>
      </c>
      <c r="K2190">
        <f>IF(AND(Pu&gt;=MIN(E2190,H2190),Pu&lt;=MAX(E2190,H2190),E2190&lt;&gt;H2190),1,0)</f>
      </c>
      <c r="L2190">
        <f>IF(K2190=1,(Pu-E2190)/(H2190-E2190),"")</f>
      </c>
      <c r="M2190" s="12">
        <f>IF(K2190=1,F2190+L2190*(I2190-F2190),"")</f>
      </c>
      <c r="N2190" s="12">
        <f>IF(K2190=1,G2190+L2190*(J2190-G2190),"")</f>
      </c>
    </row>
    <row r="2191" spans="2:14" x14ac:dyDescent="0.25">
      <c r="B2191">
        <v>61</v>
      </c>
      <c r="C2191">
        <v>247.49999999999997</v>
      </c>
      <c r="D2191">
        <v>28</v>
      </c>
      <c r="E2191" s="18">
        <v>-2275.4545901274787</v>
      </c>
      <c r="F2191" s="18">
        <v>-1304.9445910612915</v>
      </c>
      <c r="G2191" s="18">
        <v>-1136.5289456498572</v>
      </c>
      <c r="H2191" s="12">
        <f>E2192</f>
      </c>
      <c r="I2191" s="12">
        <f>F2192</f>
      </c>
      <c r="J2191" s="12">
        <f>G2192</f>
      </c>
      <c r="K2191">
        <f>IF(AND(Pu&gt;=MIN(E2191,H2191),Pu&lt;=MAX(E2191,H2191),E2191&lt;&gt;H2191),1,0)</f>
      </c>
      <c r="L2191">
        <f>IF(K2191=1,(Pu-E2191)/(H2191-E2191),"")</f>
      </c>
      <c r="M2191" s="12">
        <f>IF(K2191=1,F2191+L2191*(I2191-F2191),"")</f>
      </c>
      <c r="N2191" s="12">
        <f>IF(K2191=1,G2191+L2191*(J2191-G2191),"")</f>
      </c>
    </row>
    <row r="2192" spans="2:14" x14ac:dyDescent="0.25">
      <c r="B2192">
        <v>61</v>
      </c>
      <c r="C2192">
        <v>247.49999999999997</v>
      </c>
      <c r="D2192">
        <v>29</v>
      </c>
      <c r="E2192" s="18">
        <v>-3083.659675796908</v>
      </c>
      <c r="F2192" s="18">
        <v>-925.1172357397135</v>
      </c>
      <c r="G2192" s="18">
        <v>-832.7413958347306</v>
      </c>
      <c r="H2192" s="12">
        <f>E2193</f>
      </c>
      <c r="I2192" s="12">
        <f>F2193</f>
      </c>
      <c r="J2192" s="12">
        <f>G2193</f>
      </c>
      <c r="K2192">
        <f>IF(AND(Pu&gt;=MIN(E2192,H2192),Pu&lt;=MAX(E2192,H2192),E2192&lt;&gt;H2192),1,0)</f>
      </c>
      <c r="L2192">
        <f>IF(K2192=1,(Pu-E2192)/(H2192-E2192),"")</f>
      </c>
      <c r="M2192" s="12">
        <f>IF(K2192=1,F2192+L2192*(I2192-F2192),"")</f>
      </c>
      <c r="N2192" s="12">
        <f>IF(K2192=1,G2192+L2192*(J2192-G2192),"")</f>
      </c>
    </row>
    <row r="2193" spans="2:14" x14ac:dyDescent="0.25">
      <c r="B2193">
        <v>61</v>
      </c>
      <c r="C2193">
        <v>247.49999999999997</v>
      </c>
      <c r="D2193">
        <v>30</v>
      </c>
      <c r="E2193" s="18">
        <v>-3613.6918217220064</v>
      </c>
      <c r="F2193" s="18">
        <v>-679.3389649477624</v>
      </c>
      <c r="G2193" s="18">
        <v>-600.2957680390052</v>
      </c>
      <c r="H2193" s="12">
        <f>E2194</f>
      </c>
      <c r="I2193" s="12">
        <f>F2194</f>
      </c>
      <c r="J2193" s="12">
        <f>G2194</f>
      </c>
      <c r="K2193">
        <f>IF(AND(Pu&gt;=MIN(E2193,H2193),Pu&lt;=MAX(E2193,H2193),E2193&lt;&gt;H2193),1,0)</f>
      </c>
      <c r="L2193">
        <f>IF(K2193=1,(Pu-E2193)/(H2193-E2193),"")</f>
      </c>
      <c r="M2193" s="12">
        <f>IF(K2193=1,F2193+L2193*(I2193-F2193),"")</f>
      </c>
      <c r="N2193" s="12">
        <f>IF(K2193=1,G2193+L2193*(J2193-G2193),"")</f>
      </c>
    </row>
    <row r="2194" spans="2:14" x14ac:dyDescent="0.25">
      <c r="B2194">
        <v>61</v>
      </c>
      <c r="C2194">
        <v>247.49999999999997</v>
      </c>
      <c r="D2194">
        <v>31</v>
      </c>
      <c r="E2194" s="18">
        <v>-4214.713638623313</v>
      </c>
      <c r="F2194" s="18">
        <v>-380.5756536959386</v>
      </c>
      <c r="G2194" s="18">
        <v>-340.3525151511228</v>
      </c>
      <c r="H2194" s="12">
        <f>E2195</f>
      </c>
      <c r="I2194" s="12">
        <f>F2195</f>
      </c>
      <c r="J2194" s="12">
        <f>G2195</f>
      </c>
      <c r="K2194">
        <f>IF(AND(Pu&gt;=MIN(E2194,H2194),Pu&lt;=MAX(E2194,H2194),E2194&lt;&gt;H2194),1,0)</f>
      </c>
      <c r="L2194">
        <f>IF(K2194=1,(Pu-E2194)/(H2194-E2194),"")</f>
      </c>
      <c r="M2194" s="12">
        <f>IF(K2194=1,F2194+L2194*(I2194-F2194),"")</f>
      </c>
      <c r="N2194" s="12">
        <f>IF(K2194=1,G2194+L2194*(J2194-G2194),"")</f>
      </c>
    </row>
    <row r="2195" spans="2:14" x14ac:dyDescent="0.25">
      <c r="B2195">
        <v>61</v>
      </c>
      <c r="C2195">
        <v>247.49999999999997</v>
      </c>
      <c r="D2195">
        <v>32</v>
      </c>
      <c r="E2195" s="18">
        <v>-4478.584778780306</v>
      </c>
      <c r="F2195" s="18">
        <v>-242.01730694370727</v>
      </c>
      <c r="G2195" s="18">
        <v>-216.61344527419703</v>
      </c>
      <c r="H2195" s="12">
        <f>E2196</f>
      </c>
      <c r="I2195" s="12">
        <f>F2196</f>
      </c>
      <c r="J2195" s="12">
        <f>G2196</f>
      </c>
      <c r="K2195">
        <f>IF(AND(Pu&gt;=MIN(E2195,H2195),Pu&lt;=MAX(E2195,H2195),E2195&lt;&gt;H2195),1,0)</f>
      </c>
      <c r="L2195">
        <f>IF(K2195=1,(Pu-E2195)/(H2195-E2195),"")</f>
      </c>
      <c r="M2195" s="12">
        <f>IF(K2195=1,F2195+L2195*(I2195-F2195),"")</f>
      </c>
      <c r="N2195" s="12">
        <f>IF(K2195=1,G2195+L2195*(J2195-G2195),"")</f>
      </c>
    </row>
    <row r="2196" spans="2:14" x14ac:dyDescent="0.25">
      <c r="B2196">
        <v>61</v>
      </c>
      <c r="C2196">
        <v>247.49999999999997</v>
      </c>
      <c r="D2196">
        <v>33</v>
      </c>
      <c r="E2196" s="18">
        <v>-4782.815357810367</v>
      </c>
      <c r="F2196" s="18">
        <v>-79.08736354176534</v>
      </c>
      <c r="G2196" s="18">
        <v>-74.71811875860324</v>
      </c>
      <c r="H2196" s="12">
        <f>E2197</f>
      </c>
      <c r="I2196" s="12">
        <f>F2197</f>
      </c>
      <c r="J2196" s="12">
        <f>G2197</f>
      </c>
      <c r="K2196">
        <f>IF(AND(Pu&gt;=MIN(E2196,H2196),Pu&lt;=MAX(E2196,H2196),E2196&lt;&gt;H2196),1,0)</f>
      </c>
      <c r="L2196">
        <f>IF(K2196=1,(Pu-E2196)/(H2196-E2196),"")</f>
      </c>
      <c r="M2196" s="12">
        <f>IF(K2196=1,F2196+L2196*(I2196-F2196),"")</f>
      </c>
      <c r="N2196" s="12">
        <f>IF(K2196=1,G2196+L2196*(J2196-G2196),"")</f>
      </c>
    </row>
    <row r="2197" spans="2:7" x14ac:dyDescent="0.25">
      <c r="B2197">
        <v>61</v>
      </c>
      <c r="C2197">
        <v>247.49999999999997</v>
      </c>
      <c r="D2197">
        <v>34</v>
      </c>
      <c r="E2197" s="18">
        <v>-4842.030691046408</v>
      </c>
      <c r="F2197" s="18">
        <v>-46.053861708290654</v>
      </c>
      <c r="G2197" s="18">
        <v>-43.183437482765505</v>
      </c>
    </row>
    <row r="2199" spans="2:14" x14ac:dyDescent="0.25">
      <c r="B2199">
        <v>62</v>
      </c>
      <c r="C2199">
        <v>251.25</v>
      </c>
      <c r="D2199">
        <v>1</v>
      </c>
      <c r="E2199" s="18">
        <v>16511.586008695693</v>
      </c>
      <c r="F2199" s="18">
        <v>-2452.2879988297564</v>
      </c>
      <c r="G2199" s="18">
        <v>-1301.3803365620438</v>
      </c>
      <c r="H2199" s="12">
        <f>E2200</f>
      </c>
      <c r="I2199" s="12">
        <f>F2200</f>
      </c>
      <c r="J2199" s="12">
        <f>G2200</f>
      </c>
      <c r="K2199">
        <f>IF(AND(Pu&gt;=MIN(E2199,H2199),Pu&lt;=MAX(E2199,H2199),E2199&lt;&gt;H2199),1,0)</f>
      </c>
      <c r="L2199">
        <f>IF(K2199=1,(Pu-E2199)/(H2199-E2199),"")</f>
      </c>
      <c r="M2199" s="12">
        <f>IF(K2199=1,F2199+L2199*(I2199-F2199),"")</f>
      </c>
      <c r="N2199" s="12">
        <f>IF(K2199=1,G2199+L2199*(J2199-G2199),"")</f>
      </c>
    </row>
    <row r="2200" spans="2:14" x14ac:dyDescent="0.25">
      <c r="B2200">
        <v>62</v>
      </c>
      <c r="C2200">
        <v>251.25</v>
      </c>
      <c r="D2200">
        <v>2</v>
      </c>
      <c r="E2200" s="18">
        <v>15052.808192918566</v>
      </c>
      <c r="F2200" s="18">
        <v>-2973.958144454625</v>
      </c>
      <c r="G2200" s="18">
        <v>-1275.018148598408</v>
      </c>
      <c r="H2200" s="12">
        <f>E2201</f>
      </c>
      <c r="I2200" s="12">
        <f>F2201</f>
      </c>
      <c r="J2200" s="12">
        <f>G2201</f>
      </c>
      <c r="K2200">
        <f>IF(AND(Pu&gt;=MIN(E2200,H2200),Pu&lt;=MAX(E2200,H2200),E2200&lt;&gt;H2200),1,0)</f>
      </c>
      <c r="L2200">
        <f>IF(K2200=1,(Pu-E2200)/(H2200-E2200),"")</f>
      </c>
      <c r="M2200" s="12">
        <f>IF(K2200=1,F2200+L2200*(I2200-F2200),"")</f>
      </c>
      <c r="N2200" s="12">
        <f>IF(K2200=1,G2200+L2200*(J2200-G2200),"")</f>
      </c>
    </row>
    <row r="2201" spans="2:14" x14ac:dyDescent="0.25">
      <c r="B2201">
        <v>62</v>
      </c>
      <c r="C2201">
        <v>251.25</v>
      </c>
      <c r="D2201">
        <v>3</v>
      </c>
      <c r="E2201" s="18">
        <v>13018.385928705822</v>
      </c>
      <c r="F2201" s="18">
        <v>-3516.0080709181875</v>
      </c>
      <c r="G2201" s="18">
        <v>-1313.0524894856267</v>
      </c>
      <c r="H2201" s="12">
        <f>E2202</f>
      </c>
      <c r="I2201" s="12">
        <f>F2202</f>
      </c>
      <c r="J2201" s="12">
        <f>G2202</f>
      </c>
      <c r="K2201">
        <f>IF(AND(Pu&gt;=MIN(E2201,H2201),Pu&lt;=MAX(E2201,H2201),E2201&lt;&gt;H2201),1,0)</f>
      </c>
      <c r="L2201">
        <f>IF(K2201=1,(Pu-E2201)/(H2201-E2201),"")</f>
      </c>
      <c r="M2201" s="12">
        <f>IF(K2201=1,F2201+L2201*(I2201-F2201),"")</f>
      </c>
      <c r="N2201" s="12">
        <f>IF(K2201=1,G2201+L2201*(J2201-G2201),"")</f>
      </c>
    </row>
    <row r="2202" spans="2:14" x14ac:dyDescent="0.25">
      <c r="B2202">
        <v>62</v>
      </c>
      <c r="C2202">
        <v>251.25</v>
      </c>
      <c r="D2202">
        <v>4</v>
      </c>
      <c r="E2202" s="18">
        <v>11430.699482546475</v>
      </c>
      <c r="F2202" s="18">
        <v>-3806.4012788328787</v>
      </c>
      <c r="G2202" s="18">
        <v>-1350.7395900894687</v>
      </c>
      <c r="H2202" s="12">
        <f>E2203</f>
      </c>
      <c r="I2202" s="12">
        <f>F2203</f>
      </c>
      <c r="J2202" s="12">
        <f>G2203</f>
      </c>
      <c r="K2202">
        <f>IF(AND(Pu&gt;=MIN(E2202,H2202),Pu&lt;=MAX(E2202,H2202),E2202&lt;&gt;H2202),1,0)</f>
      </c>
      <c r="L2202">
        <f>IF(K2202=1,(Pu-E2202)/(H2202-E2202),"")</f>
      </c>
      <c r="M2202" s="12">
        <f>IF(K2202=1,F2202+L2202*(I2202-F2202),"")</f>
      </c>
      <c r="N2202" s="12">
        <f>IF(K2202=1,G2202+L2202*(J2202-G2202),"")</f>
      </c>
    </row>
    <row r="2203" spans="2:14" x14ac:dyDescent="0.25">
      <c r="B2203">
        <v>62</v>
      </c>
      <c r="C2203">
        <v>251.25</v>
      </c>
      <c r="D2203">
        <v>5</v>
      </c>
      <c r="E2203" s="18">
        <v>10075.169882549095</v>
      </c>
      <c r="F2203" s="18">
        <v>-3968.8021620930567</v>
      </c>
      <c r="G2203" s="18">
        <v>-1412.7405320337878</v>
      </c>
      <c r="H2203" s="12">
        <f>E2204</f>
      </c>
      <c r="I2203" s="12">
        <f>F2204</f>
      </c>
      <c r="J2203" s="12">
        <f>G2204</f>
      </c>
      <c r="K2203">
        <f>IF(AND(Pu&gt;=MIN(E2203,H2203),Pu&lt;=MAX(E2203,H2203),E2203&lt;&gt;H2203),1,0)</f>
      </c>
      <c r="L2203">
        <f>IF(K2203=1,(Pu-E2203)/(H2203-E2203),"")</f>
      </c>
      <c r="M2203" s="12">
        <f>IF(K2203=1,F2203+L2203*(I2203-F2203),"")</f>
      </c>
      <c r="N2203" s="12">
        <f>IF(K2203=1,G2203+L2203*(J2203-G2203),"")</f>
      </c>
    </row>
    <row r="2204" spans="2:14" x14ac:dyDescent="0.25">
      <c r="B2204">
        <v>62</v>
      </c>
      <c r="C2204">
        <v>251.25</v>
      </c>
      <c r="D2204">
        <v>6</v>
      </c>
      <c r="E2204" s="18">
        <v>8994.790214855866</v>
      </c>
      <c r="F2204" s="18">
        <v>-4055.863243592079</v>
      </c>
      <c r="G2204" s="18">
        <v>-1463.2419939846695</v>
      </c>
      <c r="H2204" s="12">
        <f>E2205</f>
      </c>
      <c r="I2204" s="12">
        <f>F2205</f>
      </c>
      <c r="J2204" s="12">
        <f>G2205</f>
      </c>
      <c r="K2204">
        <f>IF(AND(Pu&gt;=MIN(E2204,H2204),Pu&lt;=MAX(E2204,H2204),E2204&lt;&gt;H2204),1,0)</f>
      </c>
      <c r="L2204">
        <f>IF(K2204=1,(Pu-E2204)/(H2204-E2204),"")</f>
      </c>
      <c r="M2204" s="12">
        <f>IF(K2204=1,F2204+L2204*(I2204-F2204),"")</f>
      </c>
      <c r="N2204" s="12">
        <f>IF(K2204=1,G2204+L2204*(J2204-G2204),"")</f>
      </c>
    </row>
    <row r="2205" spans="2:14" x14ac:dyDescent="0.25">
      <c r="B2205">
        <v>62</v>
      </c>
      <c r="C2205">
        <v>251.25</v>
      </c>
      <c r="D2205">
        <v>7</v>
      </c>
      <c r="E2205" s="18">
        <v>8927.301491161443</v>
      </c>
      <c r="F2205" s="18">
        <v>-4088.4728421418495</v>
      </c>
      <c r="G2205" s="18">
        <v>-1466.7534294843285</v>
      </c>
      <c r="H2205" s="12">
        <f>E2206</f>
      </c>
      <c r="I2205" s="12">
        <f>F2206</f>
      </c>
      <c r="J2205" s="12">
        <f>G2206</f>
      </c>
      <c r="K2205">
        <f>IF(AND(Pu&gt;=MIN(E2205,H2205),Pu&lt;=MAX(E2205,H2205),E2205&lt;&gt;H2205),1,0)</f>
      </c>
      <c r="L2205">
        <f>IF(K2205=1,(Pu-E2205)/(H2205-E2205),"")</f>
      </c>
      <c r="M2205" s="12">
        <f>IF(K2205=1,F2205+L2205*(I2205-F2205),"")</f>
      </c>
      <c r="N2205" s="12">
        <f>IF(K2205=1,G2205+L2205*(J2205-G2205),"")</f>
      </c>
    </row>
    <row r="2206" spans="2:14" x14ac:dyDescent="0.25">
      <c r="B2206">
        <v>62</v>
      </c>
      <c r="C2206">
        <v>251.25</v>
      </c>
      <c r="D2206">
        <v>8</v>
      </c>
      <c r="E2206" s="18">
        <v>8466.39372882747</v>
      </c>
      <c r="F2206" s="18">
        <v>-4243.284269146532</v>
      </c>
      <c r="G2206" s="18">
        <v>-1539.7215059542675</v>
      </c>
      <c r="H2206" s="12">
        <f>E2207</f>
      </c>
      <c r="I2206" s="12">
        <f>F2207</f>
      </c>
      <c r="J2206" s="12">
        <f>G2207</f>
      </c>
      <c r="K2206">
        <f>IF(AND(Pu&gt;=MIN(E2206,H2206),Pu&lt;=MAX(E2206,H2206),E2206&lt;&gt;H2206),1,0)</f>
      </c>
      <c r="L2206">
        <f>IF(K2206=1,(Pu-E2206)/(H2206-E2206),"")</f>
      </c>
      <c r="M2206" s="12">
        <f>IF(K2206=1,F2206+L2206*(I2206-F2206),"")</f>
      </c>
      <c r="N2206" s="12">
        <f>IF(K2206=1,G2206+L2206*(J2206-G2206),"")</f>
      </c>
    </row>
    <row r="2207" spans="2:14" x14ac:dyDescent="0.25">
      <c r="B2207">
        <v>62</v>
      </c>
      <c r="C2207">
        <v>251.25</v>
      </c>
      <c r="D2207">
        <v>9</v>
      </c>
      <c r="E2207" s="18">
        <v>8274.35463203155</v>
      </c>
      <c r="F2207" s="18">
        <v>-4302.147641889359</v>
      </c>
      <c r="G2207" s="18">
        <v>-1571.0716685285147</v>
      </c>
      <c r="H2207" s="12">
        <f>E2208</f>
      </c>
      <c r="I2207" s="12">
        <f>F2208</f>
      </c>
      <c r="J2207" s="12">
        <f>G2208</f>
      </c>
      <c r="K2207">
        <f>IF(AND(Pu&gt;=MIN(E2207,H2207),Pu&lt;=MAX(E2207,H2207),E2207&lt;&gt;H2207),1,0)</f>
      </c>
      <c r="L2207">
        <f>IF(K2207=1,(Pu-E2207)/(H2207-E2207),"")</f>
      </c>
      <c r="M2207" s="12">
        <f>IF(K2207=1,F2207+L2207*(I2207-F2207),"")</f>
      </c>
      <c r="N2207" s="12">
        <f>IF(K2207=1,G2207+L2207*(J2207-G2207),"")</f>
      </c>
    </row>
    <row r="2208" spans="2:14" x14ac:dyDescent="0.25">
      <c r="B2208">
        <v>62</v>
      </c>
      <c r="C2208">
        <v>251.25</v>
      </c>
      <c r="D2208">
        <v>10</v>
      </c>
      <c r="E2208" s="18">
        <v>8001.170742821061</v>
      </c>
      <c r="F2208" s="18">
        <v>-4371.810815786597</v>
      </c>
      <c r="G2208" s="18">
        <v>-1623.790872831082</v>
      </c>
      <c r="H2208" s="12">
        <f>E2209</f>
      </c>
      <c r="I2208" s="12">
        <f>F2209</f>
      </c>
      <c r="J2208" s="12">
        <f>G2209</f>
      </c>
      <c r="K2208">
        <f>IF(AND(Pu&gt;=MIN(E2208,H2208),Pu&lt;=MAX(E2208,H2208),E2208&lt;&gt;H2208),1,0)</f>
      </c>
      <c r="L2208">
        <f>IF(K2208=1,(Pu-E2208)/(H2208-E2208),"")</f>
      </c>
      <c r="M2208" s="12">
        <f>IF(K2208=1,F2208+L2208*(I2208-F2208),"")</f>
      </c>
      <c r="N2208" s="12">
        <f>IF(K2208=1,G2208+L2208*(J2208-G2208),"")</f>
      </c>
    </row>
    <row r="2209" spans="2:14" x14ac:dyDescent="0.25">
      <c r="B2209">
        <v>62</v>
      </c>
      <c r="C2209">
        <v>251.25</v>
      </c>
      <c r="D2209">
        <v>11</v>
      </c>
      <c r="E2209" s="18">
        <v>7759.290523606286</v>
      </c>
      <c r="F2209" s="18">
        <v>-4423.630929474506</v>
      </c>
      <c r="G2209" s="18">
        <v>-1662.6125085046554</v>
      </c>
      <c r="H2209" s="12">
        <f>E2210</f>
      </c>
      <c r="I2209" s="12">
        <f>F2210</f>
      </c>
      <c r="J2209" s="12">
        <f>G2210</f>
      </c>
      <c r="K2209">
        <f>IF(AND(Pu&gt;=MIN(E2209,H2209),Pu&lt;=MAX(E2209,H2209),E2209&lt;&gt;H2209),1,0)</f>
      </c>
      <c r="L2209">
        <f>IF(K2209=1,(Pu-E2209)/(H2209-E2209),"")</f>
      </c>
      <c r="M2209" s="12">
        <f>IF(K2209=1,F2209+L2209*(I2209-F2209),"")</f>
      </c>
      <c r="N2209" s="12">
        <f>IF(K2209=1,G2209+L2209*(J2209-G2209),"")</f>
      </c>
    </row>
    <row r="2210" spans="2:14" x14ac:dyDescent="0.25">
      <c r="B2210">
        <v>62</v>
      </c>
      <c r="C2210">
        <v>251.25</v>
      </c>
      <c r="D2210">
        <v>12</v>
      </c>
      <c r="E2210" s="18">
        <v>7581.0706635540155</v>
      </c>
      <c r="F2210" s="18">
        <v>-4457.03760305436</v>
      </c>
      <c r="G2210" s="18">
        <v>-1693.8695802620443</v>
      </c>
      <c r="H2210" s="12">
        <f>E2211</f>
      </c>
      <c r="I2210" s="12">
        <f>F2211</f>
      </c>
      <c r="J2210" s="12">
        <f>G2211</f>
      </c>
      <c r="K2210">
        <f>IF(AND(Pu&gt;=MIN(E2210,H2210),Pu&lt;=MAX(E2210,H2210),E2210&lt;&gt;H2210),1,0)</f>
      </c>
      <c r="L2210">
        <f>IF(K2210=1,(Pu-E2210)/(H2210-E2210),"")</f>
      </c>
      <c r="M2210" s="12">
        <f>IF(K2210=1,F2210+L2210*(I2210-F2210),"")</f>
      </c>
      <c r="N2210" s="12">
        <f>IF(K2210=1,G2210+L2210*(J2210-G2210),"")</f>
      </c>
    </row>
    <row r="2211" spans="2:14" x14ac:dyDescent="0.25">
      <c r="B2211">
        <v>62</v>
      </c>
      <c r="C2211">
        <v>251.25</v>
      </c>
      <c r="D2211">
        <v>13</v>
      </c>
      <c r="E2211" s="18">
        <v>7266.851117634138</v>
      </c>
      <c r="F2211" s="18">
        <v>-4504.228984845661</v>
      </c>
      <c r="G2211" s="18">
        <v>-1760.374519355841</v>
      </c>
      <c r="H2211" s="12">
        <f>E2212</f>
      </c>
      <c r="I2211" s="12">
        <f>F2212</f>
      </c>
      <c r="J2211" s="12">
        <f>G2212</f>
      </c>
      <c r="K2211">
        <f>IF(AND(Pu&gt;=MIN(E2211,H2211),Pu&lt;=MAX(E2211,H2211),E2211&lt;&gt;H2211),1,0)</f>
      </c>
      <c r="L2211">
        <f>IF(K2211=1,(Pu-E2211)/(H2211-E2211),"")</f>
      </c>
      <c r="M2211" s="12">
        <f>IF(K2211=1,F2211+L2211*(I2211-F2211),"")</f>
      </c>
      <c r="N2211" s="12">
        <f>IF(K2211=1,G2211+L2211*(J2211-G2211),"")</f>
      </c>
    </row>
    <row r="2212" spans="2:14" x14ac:dyDescent="0.25">
      <c r="B2212">
        <v>62</v>
      </c>
      <c r="C2212">
        <v>251.25</v>
      </c>
      <c r="D2212">
        <v>14</v>
      </c>
      <c r="E2212" s="18">
        <v>7208.230915374138</v>
      </c>
      <c r="F2212" s="18">
        <v>-4511.696199577184</v>
      </c>
      <c r="G2212" s="18">
        <v>-1773.8414050001893</v>
      </c>
      <c r="H2212" s="12">
        <f>E2213</f>
      </c>
      <c r="I2212" s="12">
        <f>F2213</f>
      </c>
      <c r="J2212" s="12">
        <f>G2213</f>
      </c>
      <c r="K2212">
        <f>IF(AND(Pu&gt;=MIN(E2212,H2212),Pu&lt;=MAX(E2212,H2212),E2212&lt;&gt;H2212),1,0)</f>
      </c>
      <c r="L2212">
        <f>IF(K2212=1,(Pu-E2212)/(H2212-E2212),"")</f>
      </c>
      <c r="M2212" s="12">
        <f>IF(K2212=1,F2212+L2212*(I2212-F2212),"")</f>
      </c>
      <c r="N2212" s="12">
        <f>IF(K2212=1,G2212+L2212*(J2212-G2212),"")</f>
      </c>
    </row>
    <row r="2213" spans="2:14" x14ac:dyDescent="0.25">
      <c r="B2213">
        <v>62</v>
      </c>
      <c r="C2213">
        <v>251.25</v>
      </c>
      <c r="D2213">
        <v>15</v>
      </c>
      <c r="E2213" s="18">
        <v>6878.60949561688</v>
      </c>
      <c r="F2213" s="18">
        <v>-4549.7987586957015</v>
      </c>
      <c r="G2213" s="18">
        <v>-1837.4148550659952</v>
      </c>
      <c r="H2213" s="12">
        <f>E2214</f>
      </c>
      <c r="I2213" s="12">
        <f>F2214</f>
      </c>
      <c r="J2213" s="12">
        <f>G2214</f>
      </c>
      <c r="K2213">
        <f>IF(AND(Pu&gt;=MIN(E2213,H2213),Pu&lt;=MAX(E2213,H2213),E2213&lt;&gt;H2213),1,0)</f>
      </c>
      <c r="L2213">
        <f>IF(K2213=1,(Pu-E2213)/(H2213-E2213),"")</f>
      </c>
      <c r="M2213" s="12">
        <f>IF(K2213=1,F2213+L2213*(I2213-F2213),"")</f>
      </c>
      <c r="N2213" s="12">
        <f>IF(K2213=1,G2213+L2213*(J2213-G2213),"")</f>
      </c>
    </row>
    <row r="2214" spans="2:14" x14ac:dyDescent="0.25">
      <c r="B2214">
        <v>62</v>
      </c>
      <c r="C2214">
        <v>251.25</v>
      </c>
      <c r="D2214">
        <v>16</v>
      </c>
      <c r="E2214" s="18">
        <v>6521.389766233924</v>
      </c>
      <c r="F2214" s="18">
        <v>-4563.377989575232</v>
      </c>
      <c r="G2214" s="18">
        <v>-1901.193708000031</v>
      </c>
      <c r="H2214" s="12">
        <f>E2215</f>
      </c>
      <c r="I2214" s="12">
        <f>F2215</f>
      </c>
      <c r="J2214" s="12">
        <f>G2215</f>
      </c>
      <c r="K2214">
        <f>IF(AND(Pu&gt;=MIN(E2214,H2214),Pu&lt;=MAX(E2214,H2214),E2214&lt;&gt;H2214),1,0)</f>
      </c>
      <c r="L2214">
        <f>IF(K2214=1,(Pu-E2214)/(H2214-E2214),"")</f>
      </c>
      <c r="M2214" s="12">
        <f>IF(K2214=1,F2214+L2214*(I2214-F2214),"")</f>
      </c>
      <c r="N2214" s="12">
        <f>IF(K2214=1,G2214+L2214*(J2214-G2214),"")</f>
      </c>
    </row>
    <row r="2215" spans="2:14" x14ac:dyDescent="0.25">
      <c r="B2215">
        <v>62</v>
      </c>
      <c r="C2215">
        <v>251.25</v>
      </c>
      <c r="D2215">
        <v>17</v>
      </c>
      <c r="E2215" s="18">
        <v>6403.448777903585</v>
      </c>
      <c r="F2215" s="18">
        <v>-4561.429442047416</v>
      </c>
      <c r="G2215" s="18">
        <v>-1921.5642267057979</v>
      </c>
      <c r="H2215" s="12">
        <f>E2216</f>
      </c>
      <c r="I2215" s="12">
        <f>F2216</f>
      </c>
      <c r="J2215" s="12">
        <f>G2216</f>
      </c>
      <c r="K2215">
        <f>IF(AND(Pu&gt;=MIN(E2215,H2215),Pu&lt;=MAX(E2215,H2215),E2215&lt;&gt;H2215),1,0)</f>
      </c>
      <c r="L2215">
        <f>IF(K2215=1,(Pu-E2215)/(H2215-E2215),"")</f>
      </c>
      <c r="M2215" s="12">
        <f>IF(K2215=1,F2215+L2215*(I2215-F2215),"")</f>
      </c>
      <c r="N2215" s="12">
        <f>IF(K2215=1,G2215+L2215*(J2215-G2215),"")</f>
      </c>
    </row>
    <row r="2216" spans="2:14" x14ac:dyDescent="0.25">
      <c r="B2216">
        <v>62</v>
      </c>
      <c r="C2216">
        <v>251.25</v>
      </c>
      <c r="D2216">
        <v>18</v>
      </c>
      <c r="E2216" s="18">
        <v>6113.181498731047</v>
      </c>
      <c r="F2216" s="18">
        <v>-4548.641365396695</v>
      </c>
      <c r="G2216" s="18">
        <v>-1972.3672587322565</v>
      </c>
      <c r="H2216" s="12">
        <f>E2217</f>
      </c>
      <c r="I2216" s="12">
        <f>F2217</f>
      </c>
      <c r="J2216" s="12">
        <f>G2217</f>
      </c>
      <c r="K2216">
        <f>IF(AND(Pu&gt;=MIN(E2216,H2216),Pu&lt;=MAX(E2216,H2216),E2216&lt;&gt;H2216),1,0)</f>
      </c>
      <c r="L2216">
        <f>IF(K2216=1,(Pu-E2216)/(H2216-E2216),"")</f>
      </c>
      <c r="M2216" s="12">
        <f>IF(K2216=1,F2216+L2216*(I2216-F2216),"")</f>
      </c>
      <c r="N2216" s="12">
        <f>IF(K2216=1,G2216+L2216*(J2216-G2216),"")</f>
      </c>
    </row>
    <row r="2217" spans="2:14" x14ac:dyDescent="0.25">
      <c r="B2217">
        <v>62</v>
      </c>
      <c r="C2217">
        <v>251.25</v>
      </c>
      <c r="D2217">
        <v>19</v>
      </c>
      <c r="E2217" s="18">
        <v>5769.121183532343</v>
      </c>
      <c r="F2217" s="18">
        <v>-4522.19840531241</v>
      </c>
      <c r="G2217" s="18">
        <v>-2032.8314452937307</v>
      </c>
      <c r="H2217" s="12">
        <f>E2218</f>
      </c>
      <c r="I2217" s="12">
        <f>F2218</f>
      </c>
      <c r="J2217" s="12">
        <f>G2218</f>
      </c>
      <c r="K2217">
        <f>IF(AND(Pu&gt;=MIN(E2217,H2217),Pu&lt;=MAX(E2217,H2217),E2217&lt;&gt;H2217),1,0)</f>
      </c>
      <c r="L2217">
        <f>IF(K2217=1,(Pu-E2217)/(H2217-E2217),"")</f>
      </c>
      <c r="M2217" s="12">
        <f>IF(K2217=1,F2217+L2217*(I2217-F2217),"")</f>
      </c>
      <c r="N2217" s="12">
        <f>IF(K2217=1,G2217+L2217*(J2217-G2217),"")</f>
      </c>
    </row>
    <row r="2218" spans="2:14" x14ac:dyDescent="0.25">
      <c r="B2218">
        <v>62</v>
      </c>
      <c r="C2218">
        <v>251.25</v>
      </c>
      <c r="D2218">
        <v>20</v>
      </c>
      <c r="E2218" s="18">
        <v>5673.4980468064205</v>
      </c>
      <c r="F2218" s="18">
        <v>-4513.889072161677</v>
      </c>
      <c r="G2218" s="18">
        <v>-2049.3921726076483</v>
      </c>
      <c r="H2218" s="12">
        <f>E2219</f>
      </c>
      <c r="I2218" s="12">
        <f>F2219</f>
      </c>
      <c r="J2218" s="12">
        <f>G2219</f>
      </c>
      <c r="K2218">
        <f>IF(AND(Pu&gt;=MIN(E2218,H2218),Pu&lt;=MAX(E2218,H2218),E2218&lt;&gt;H2218),1,0)</f>
      </c>
      <c r="L2218">
        <f>IF(K2218=1,(Pu-E2218)/(H2218-E2218),"")</f>
      </c>
      <c r="M2218" s="12">
        <f>IF(K2218=1,F2218+L2218*(I2218-F2218),"")</f>
      </c>
      <c r="N2218" s="12">
        <f>IF(K2218=1,G2218+L2218*(J2218-G2218),"")</f>
      </c>
    </row>
    <row r="2219" spans="2:14" x14ac:dyDescent="0.25">
      <c r="B2219">
        <v>62</v>
      </c>
      <c r="C2219">
        <v>251.25</v>
      </c>
      <c r="D2219">
        <v>21</v>
      </c>
      <c r="E2219" s="18">
        <v>4932.561593287382</v>
      </c>
      <c r="F2219" s="18">
        <v>-4291.081081754184</v>
      </c>
      <c r="G2219" s="18">
        <v>-2052.432187553716</v>
      </c>
      <c r="H2219" s="12">
        <f>E2220</f>
      </c>
      <c r="I2219" s="12">
        <f>F2220</f>
      </c>
      <c r="J2219" s="12">
        <f>G2220</f>
      </c>
      <c r="K2219">
        <f>IF(AND(Pu&gt;=MIN(E2219,H2219),Pu&lt;=MAX(E2219,H2219),E2219&lt;&gt;H2219),1,0)</f>
      </c>
      <c r="L2219">
        <f>IF(K2219=1,(Pu-E2219)/(H2219-E2219),"")</f>
      </c>
      <c r="M2219" s="12">
        <f>IF(K2219=1,F2219+L2219*(I2219-F2219),"")</f>
      </c>
      <c r="N2219" s="12">
        <f>IF(K2219=1,G2219+L2219*(J2219-G2219),"")</f>
      </c>
    </row>
    <row r="2220" spans="2:14" x14ac:dyDescent="0.25">
      <c r="B2220">
        <v>62</v>
      </c>
      <c r="C2220">
        <v>251.25</v>
      </c>
      <c r="D2220">
        <v>22</v>
      </c>
      <c r="E2220" s="18">
        <v>3570.5034623062506</v>
      </c>
      <c r="F2220" s="18">
        <v>-3821.4987876507753</v>
      </c>
      <c r="G2220" s="18">
        <v>-2036.001515702621</v>
      </c>
      <c r="H2220" s="12">
        <f>E2221</f>
      </c>
      <c r="I2220" s="12">
        <f>F2221</f>
      </c>
      <c r="J2220" s="12">
        <f>G2221</f>
      </c>
      <c r="K2220">
        <f>IF(AND(Pu&gt;=MIN(E2220,H2220),Pu&lt;=MAX(E2220,H2220),E2220&lt;&gt;H2220),1,0)</f>
      </c>
      <c r="L2220">
        <f>IF(K2220=1,(Pu-E2220)/(H2220-E2220),"")</f>
      </c>
      <c r="M2220" s="12">
        <f>IF(K2220=1,F2220+L2220*(I2220-F2220),"")</f>
      </c>
      <c r="N2220" s="12">
        <f>IF(K2220=1,G2220+L2220*(J2220-G2220),"")</f>
      </c>
    </row>
    <row r="2221" spans="2:14" x14ac:dyDescent="0.25">
      <c r="B2221">
        <v>62</v>
      </c>
      <c r="C2221">
        <v>251.25</v>
      </c>
      <c r="D2221">
        <v>23</v>
      </c>
      <c r="E2221" s="18">
        <v>2446.02406933527</v>
      </c>
      <c r="F2221" s="18">
        <v>-3400.6265000863286</v>
      </c>
      <c r="G2221" s="18">
        <v>-1977.3041283230314</v>
      </c>
      <c r="H2221" s="12">
        <f>E2222</f>
      </c>
      <c r="I2221" s="12">
        <f>F2222</f>
      </c>
      <c r="J2221" s="12">
        <f>G2222</f>
      </c>
      <c r="K2221">
        <f>IF(AND(Pu&gt;=MIN(E2221,H2221),Pu&lt;=MAX(E2221,H2221),E2221&lt;&gt;H2221),1,0)</f>
      </c>
      <c r="L2221">
        <f>IF(K2221=1,(Pu-E2221)/(H2221-E2221),"")</f>
      </c>
      <c r="M2221" s="12">
        <f>IF(K2221=1,F2221+L2221*(I2221-F2221),"")</f>
      </c>
      <c r="N2221" s="12">
        <f>IF(K2221=1,G2221+L2221*(J2221-G2221),"")</f>
      </c>
    </row>
    <row r="2222" spans="2:14" x14ac:dyDescent="0.25">
      <c r="B2222">
        <v>62</v>
      </c>
      <c r="C2222">
        <v>251.25</v>
      </c>
      <c r="D2222">
        <v>24</v>
      </c>
      <c r="E2222" s="18">
        <v>1626.6216808432205</v>
      </c>
      <c r="F2222" s="18">
        <v>-3077.1866248071533</v>
      </c>
      <c r="G2222" s="18">
        <v>-1867.1526309380636</v>
      </c>
      <c r="H2222" s="12">
        <f>E2223</f>
      </c>
      <c r="I2222" s="12">
        <f>F2223</f>
      </c>
      <c r="J2222" s="12">
        <f>G2223</f>
      </c>
      <c r="K2222">
        <f>IF(AND(Pu&gt;=MIN(E2222,H2222),Pu&lt;=MAX(E2222,H2222),E2222&lt;&gt;H2222),1,0)</f>
      </c>
      <c r="L2222">
        <f>IF(K2222=1,(Pu-E2222)/(H2222-E2222),"")</f>
      </c>
      <c r="M2222" s="12">
        <f>IF(K2222=1,F2222+L2222*(I2222-F2222),"")</f>
      </c>
      <c r="N2222" s="12">
        <f>IF(K2222=1,G2222+L2222*(J2222-G2222),"")</f>
      </c>
    </row>
    <row r="2223" spans="2:14" x14ac:dyDescent="0.25">
      <c r="B2223">
        <v>62</v>
      </c>
      <c r="C2223">
        <v>251.25</v>
      </c>
      <c r="D2223">
        <v>25</v>
      </c>
      <c r="E2223" s="18">
        <v>348.9428233791375</v>
      </c>
      <c r="F2223" s="18">
        <v>-2533.0453506689278</v>
      </c>
      <c r="G2223" s="18">
        <v>-1651.8362114933564</v>
      </c>
      <c r="H2223" s="12">
        <f>E2224</f>
      </c>
      <c r="I2223" s="12">
        <f>F2224</f>
      </c>
      <c r="J2223" s="12">
        <f>G2224</f>
      </c>
      <c r="K2223">
        <f>IF(AND(Pu&gt;=MIN(E2223,H2223),Pu&lt;=MAX(E2223,H2223),E2223&lt;&gt;H2223),1,0)</f>
      </c>
      <c r="L2223">
        <f>IF(K2223=1,(Pu-E2223)/(H2223-E2223),"")</f>
      </c>
      <c r="M2223" s="12">
        <f>IF(K2223=1,F2223+L2223*(I2223-F2223),"")</f>
      </c>
      <c r="N2223" s="12">
        <f>IF(K2223=1,G2223+L2223*(J2223-G2223),"")</f>
      </c>
    </row>
    <row r="2224" spans="2:14" x14ac:dyDescent="0.25">
      <c r="B2224">
        <v>62</v>
      </c>
      <c r="C2224">
        <v>251.25</v>
      </c>
      <c r="D2224">
        <v>26</v>
      </c>
      <c r="E2224" s="18">
        <v>-714.5063278201862</v>
      </c>
      <c r="F2224" s="18">
        <v>-2076.908187202651</v>
      </c>
      <c r="G2224" s="18">
        <v>-1403.488574321088</v>
      </c>
      <c r="H2224" s="12">
        <f>E2225</f>
      </c>
      <c r="I2224" s="12">
        <f>F2225</f>
      </c>
      <c r="J2224" s="12">
        <f>G2225</f>
      </c>
      <c r="K2224">
        <f>IF(AND(Pu&gt;=MIN(E2224,H2224),Pu&lt;=MAX(E2224,H2224),E2224&lt;&gt;H2224),1,0)</f>
      </c>
      <c r="L2224">
        <f>IF(K2224=1,(Pu-E2224)/(H2224-E2224),"")</f>
      </c>
      <c r="M2224" s="12">
        <f>IF(K2224=1,F2224+L2224*(I2224-F2224),"")</f>
      </c>
      <c r="N2224" s="12">
        <f>IF(K2224=1,G2224+L2224*(J2224-G2224),"")</f>
      </c>
    </row>
    <row r="2225" spans="2:14" x14ac:dyDescent="0.25">
      <c r="B2225">
        <v>62</v>
      </c>
      <c r="C2225">
        <v>251.25</v>
      </c>
      <c r="D2225">
        <v>27</v>
      </c>
      <c r="E2225" s="18">
        <v>-1538.8238149456527</v>
      </c>
      <c r="F2225" s="18">
        <v>-1687.4537812111798</v>
      </c>
      <c r="G2225" s="18">
        <v>-1230.8573551712743</v>
      </c>
      <c r="H2225" s="12">
        <f>E2226</f>
      </c>
      <c r="I2225" s="12">
        <f>F2226</f>
      </c>
      <c r="J2225" s="12">
        <f>G2226</f>
      </c>
      <c r="K2225">
        <f>IF(AND(Pu&gt;=MIN(E2225,H2225),Pu&lt;=MAX(E2225,H2225),E2225&lt;&gt;H2225),1,0)</f>
      </c>
      <c r="L2225">
        <f>IF(K2225=1,(Pu-E2225)/(H2225-E2225),"")</f>
      </c>
      <c r="M2225" s="12">
        <f>IF(K2225=1,F2225+L2225*(I2225-F2225),"")</f>
      </c>
      <c r="N2225" s="12">
        <f>IF(K2225=1,G2225+L2225*(J2225-G2225),"")</f>
      </c>
    </row>
    <row r="2226" spans="2:14" x14ac:dyDescent="0.25">
      <c r="B2226">
        <v>62</v>
      </c>
      <c r="C2226">
        <v>251.25</v>
      </c>
      <c r="D2226">
        <v>28</v>
      </c>
      <c r="E2226" s="18">
        <v>-2137.237557063994</v>
      </c>
      <c r="F2226" s="18">
        <v>-1403.6439378948076</v>
      </c>
      <c r="G2226" s="18">
        <v>-1067.5004752139866</v>
      </c>
      <c r="H2226" s="12">
        <f>E2227</f>
      </c>
      <c r="I2226" s="12">
        <f>F2227</f>
      </c>
      <c r="J2226" s="12">
        <f>G2227</f>
      </c>
      <c r="K2226">
        <f>IF(AND(Pu&gt;=MIN(E2226,H2226),Pu&lt;=MAX(E2226,H2226),E2226&lt;&gt;H2226),1,0)</f>
      </c>
      <c r="L2226">
        <f>IF(K2226=1,(Pu-E2226)/(H2226-E2226),"")</f>
      </c>
      <c r="M2226" s="12">
        <f>IF(K2226=1,F2226+L2226*(I2226-F2226),"")</f>
      </c>
      <c r="N2226" s="12">
        <f>IF(K2226=1,G2226+L2226*(J2226-G2226),"")</f>
      </c>
    </row>
    <row r="2227" spans="2:14" x14ac:dyDescent="0.25">
      <c r="B2227">
        <v>62</v>
      </c>
      <c r="C2227">
        <v>251.25</v>
      </c>
      <c r="D2227">
        <v>29</v>
      </c>
      <c r="E2227" s="18">
        <v>-3025.350806929575</v>
      </c>
      <c r="F2227" s="18">
        <v>-979.545934312522</v>
      </c>
      <c r="G2227" s="18">
        <v>-777.9370734509198</v>
      </c>
      <c r="H2227" s="12">
        <f>E2228</f>
      </c>
      <c r="I2227" s="12">
        <f>F2228</f>
      </c>
      <c r="J2227" s="12">
        <f>G2228</f>
      </c>
      <c r="K2227">
        <f>IF(AND(Pu&gt;=MIN(E2227,H2227),Pu&lt;=MAX(E2227,H2227),E2227&lt;&gt;H2227),1,0)</f>
      </c>
      <c r="L2227">
        <f>IF(K2227=1,(Pu-E2227)/(H2227-E2227),"")</f>
      </c>
      <c r="M2227" s="12">
        <f>IF(K2227=1,F2227+L2227*(I2227-F2227),"")</f>
      </c>
      <c r="N2227" s="12">
        <f>IF(K2227=1,G2227+L2227*(J2227-G2227),"")</f>
      </c>
    </row>
    <row r="2228" spans="2:14" x14ac:dyDescent="0.25">
      <c r="B2228">
        <v>62</v>
      </c>
      <c r="C2228">
        <v>251.25</v>
      </c>
      <c r="D2228">
        <v>30</v>
      </c>
      <c r="E2228" s="18">
        <v>-3634.368741538103</v>
      </c>
      <c r="F2228" s="18">
        <v>-687.7466735404058</v>
      </c>
      <c r="G2228" s="18">
        <v>-547.4227937567143</v>
      </c>
      <c r="H2228" s="12">
        <f>E2229</f>
      </c>
      <c r="I2228" s="12">
        <f>F2229</f>
      </c>
      <c r="J2228" s="12">
        <f>G2229</f>
      </c>
      <c r="K2228">
        <f>IF(AND(Pu&gt;=MIN(E2228,H2228),Pu&lt;=MAX(E2228,H2228),E2228&lt;&gt;H2228),1,0)</f>
      </c>
      <c r="L2228">
        <f>IF(K2228=1,(Pu-E2228)/(H2228-E2228),"")</f>
      </c>
      <c r="M2228" s="12">
        <f>IF(K2228=1,F2228+L2228*(I2228-F2228),"")</f>
      </c>
      <c r="N2228" s="12">
        <f>IF(K2228=1,G2228+L2228*(J2228-G2228),"")</f>
      </c>
    </row>
    <row r="2229" spans="2:14" x14ac:dyDescent="0.25">
      <c r="B2229">
        <v>62</v>
      </c>
      <c r="C2229">
        <v>251.25</v>
      </c>
      <c r="D2229">
        <v>31</v>
      </c>
      <c r="E2229" s="18">
        <v>-4193.329611610245</v>
      </c>
      <c r="F2229" s="18">
        <v>-395.79643239172646</v>
      </c>
      <c r="G2229" s="18">
        <v>-334.97473788154576</v>
      </c>
      <c r="H2229" s="12">
        <f>E2230</f>
      </c>
      <c r="I2229" s="12">
        <f>F2230</f>
      </c>
      <c r="J2229" s="12">
        <f>G2230</f>
      </c>
      <c r="K2229">
        <f>IF(AND(Pu&gt;=MIN(E2229,H2229),Pu&lt;=MAX(E2229,H2229),E2229&lt;&gt;H2229),1,0)</f>
      </c>
      <c r="L2229">
        <f>IF(K2229=1,(Pu-E2229)/(H2229-E2229),"")</f>
      </c>
      <c r="M2229" s="12">
        <f>IF(K2229=1,F2229+L2229*(I2229-F2229),"")</f>
      </c>
      <c r="N2229" s="12">
        <f>IF(K2229=1,G2229+L2229*(J2229-G2229),"")</f>
      </c>
    </row>
    <row r="2230" spans="2:14" x14ac:dyDescent="0.25">
      <c r="B2230">
        <v>62</v>
      </c>
      <c r="C2230">
        <v>251.25</v>
      </c>
      <c r="D2230">
        <v>32</v>
      </c>
      <c r="E2230" s="18">
        <v>-4463.861737099344</v>
      </c>
      <c r="F2230" s="18">
        <v>-251.81510374315525</v>
      </c>
      <c r="G2230" s="18">
        <v>-216.36583198518122</v>
      </c>
      <c r="H2230" s="12">
        <f>E2231</f>
      </c>
      <c r="I2230" s="12">
        <f>F2231</f>
      </c>
      <c r="J2230" s="12">
        <f>G2231</f>
      </c>
      <c r="K2230">
        <f>IF(AND(Pu&gt;=MIN(E2230,H2230),Pu&lt;=MAX(E2230,H2230),E2230&lt;&gt;H2230),1,0)</f>
      </c>
      <c r="L2230">
        <f>IF(K2230=1,(Pu-E2230)/(H2230-E2230),"")</f>
      </c>
      <c r="M2230" s="12">
        <f>IF(K2230=1,F2230+L2230*(I2230-F2230),"")</f>
      </c>
      <c r="N2230" s="12">
        <f>IF(K2230=1,G2230+L2230*(J2230-G2230),"")</f>
      </c>
    </row>
    <row r="2231" spans="2:14" x14ac:dyDescent="0.25">
      <c r="B2231">
        <v>62</v>
      </c>
      <c r="C2231">
        <v>251.25</v>
      </c>
      <c r="D2231">
        <v>33</v>
      </c>
      <c r="E2231" s="18">
        <v>-4785.974592544653</v>
      </c>
      <c r="F2231" s="18">
        <v>-77.97150265170625</v>
      </c>
      <c r="G2231" s="18">
        <v>-71.3674099073406</v>
      </c>
      <c r="H2231" s="12">
        <f>E2232</f>
      </c>
      <c r="I2231" s="12">
        <f>F2232</f>
      </c>
      <c r="J2231" s="12">
        <f>G2232</f>
      </c>
      <c r="K2231">
        <f>IF(AND(Pu&gt;=MIN(E2231,H2231),Pu&lt;=MAX(E2231,H2231),E2231&lt;&gt;H2231),1,0)</f>
      </c>
      <c r="L2231">
        <f>IF(K2231=1,(Pu-E2231)/(H2231-E2231),"")</f>
      </c>
      <c r="M2231" s="12">
        <f>IF(K2231=1,F2231+L2231*(I2231-F2231),"")</f>
      </c>
      <c r="N2231" s="12">
        <f>IF(K2231=1,G2231+L2231*(J2231-G2231),"")</f>
      </c>
    </row>
    <row r="2232" spans="2:7" x14ac:dyDescent="0.25">
      <c r="B2232">
        <v>62</v>
      </c>
      <c r="C2232">
        <v>251.25</v>
      </c>
      <c r="D2232">
        <v>34</v>
      </c>
      <c r="E2232" s="18">
        <v>-4843.845808683277</v>
      </c>
      <c r="F2232" s="18">
        <v>-45.30433874412494</v>
      </c>
      <c r="G2232" s="18">
        <v>-41.48261098540385</v>
      </c>
    </row>
    <row r="2234" spans="2:14" x14ac:dyDescent="0.25">
      <c r="B2234">
        <v>63</v>
      </c>
      <c r="C2234">
        <v>255</v>
      </c>
      <c r="D2234">
        <v>1</v>
      </c>
      <c r="E2234" s="18">
        <v>17663.40830987146</v>
      </c>
      <c r="F2234" s="18">
        <v>-2056.1564175509648</v>
      </c>
      <c r="G2234" s="18">
        <v>-1055.1978129984743</v>
      </c>
      <c r="H2234" s="12">
        <f>E2235</f>
      </c>
      <c r="I2234" s="12">
        <f>F2235</f>
      </c>
      <c r="J2234" s="12">
        <f>G2235</f>
      </c>
      <c r="K2234">
        <f>IF(AND(Pu&gt;=MIN(E2234,H2234),Pu&lt;=MAX(E2234,H2234),E2234&lt;&gt;H2234),1,0)</f>
      </c>
      <c r="L2234">
        <f>IF(K2234=1,(Pu-E2234)/(H2234-E2234),"")</f>
      </c>
      <c r="M2234" s="12">
        <f>IF(K2234=1,F2234+L2234*(I2234-F2234),"")</f>
      </c>
      <c r="N2234" s="12">
        <f>IF(K2234=1,G2234+L2234*(J2234-G2234),"")</f>
      </c>
    </row>
    <row r="2235" spans="2:14" x14ac:dyDescent="0.25">
      <c r="B2235">
        <v>63</v>
      </c>
      <c r="C2235">
        <v>255</v>
      </c>
      <c r="D2235">
        <v>2</v>
      </c>
      <c r="E2235" s="18">
        <v>16145.78244870558</v>
      </c>
      <c r="F2235" s="18">
        <v>-2666.706486026527</v>
      </c>
      <c r="G2235" s="18">
        <v>-1059.4849013919434</v>
      </c>
      <c r="H2235" s="12">
        <f>E2236</f>
      </c>
      <c r="I2235" s="12">
        <f>F2236</f>
      </c>
      <c r="J2235" s="12">
        <f>G2236</f>
      </c>
      <c r="K2235">
        <f>IF(AND(Pu&gt;=MIN(E2235,H2235),Pu&lt;=MAX(E2235,H2235),E2235&lt;&gt;H2235),1,0)</f>
      </c>
      <c r="L2235">
        <f>IF(K2235=1,(Pu-E2235)/(H2235-E2235),"")</f>
      </c>
      <c r="M2235" s="12">
        <f>IF(K2235=1,F2235+L2235*(I2235-F2235),"")</f>
      </c>
      <c r="N2235" s="12">
        <f>IF(K2235=1,G2235+L2235*(J2235-G2235),"")</f>
      </c>
    </row>
    <row r="2236" spans="2:14" x14ac:dyDescent="0.25">
      <c r="B2236">
        <v>63</v>
      </c>
      <c r="C2236">
        <v>255</v>
      </c>
      <c r="D2236">
        <v>3</v>
      </c>
      <c r="E2236" s="18">
        <v>14749.914364669468</v>
      </c>
      <c r="F2236" s="18">
        <v>-3146.1892870010815</v>
      </c>
      <c r="G2236" s="18">
        <v>-1023.934134993036</v>
      </c>
      <c r="H2236" s="12">
        <f>E2237</f>
      </c>
      <c r="I2236" s="12">
        <f>F2237</f>
      </c>
      <c r="J2236" s="12">
        <f>G2237</f>
      </c>
      <c r="K2236">
        <f>IF(AND(Pu&gt;=MIN(E2236,H2236),Pu&lt;=MAX(E2236,H2236),E2236&lt;&gt;H2236),1,0)</f>
      </c>
      <c r="L2236">
        <f>IF(K2236=1,(Pu-E2236)/(H2236-E2236),"")</f>
      </c>
      <c r="M2236" s="12">
        <f>IF(K2236=1,F2236+L2236*(I2236-F2236),"")</f>
      </c>
      <c r="N2236" s="12">
        <f>IF(K2236=1,G2236+L2236*(J2236-G2236),"")</f>
      </c>
    </row>
    <row r="2237" spans="2:14" x14ac:dyDescent="0.25">
      <c r="B2237">
        <v>63</v>
      </c>
      <c r="C2237">
        <v>255</v>
      </c>
      <c r="D2237">
        <v>4</v>
      </c>
      <c r="E2237" s="18">
        <v>12869.055808648309</v>
      </c>
      <c r="F2237" s="18">
        <v>-3631.5006140170917</v>
      </c>
      <c r="G2237" s="18">
        <v>-1041.6427453984068</v>
      </c>
      <c r="H2237" s="12">
        <f>E2238</f>
      </c>
      <c r="I2237" s="12">
        <f>F2238</f>
      </c>
      <c r="J2237" s="12">
        <f>G2238</f>
      </c>
      <c r="K2237">
        <f>IF(AND(Pu&gt;=MIN(E2237,H2237),Pu&lt;=MAX(E2237,H2237),E2237&lt;&gt;H2237),1,0)</f>
      </c>
      <c r="L2237">
        <f>IF(K2237=1,(Pu-E2237)/(H2237-E2237),"")</f>
      </c>
      <c r="M2237" s="12">
        <f>IF(K2237=1,F2237+L2237*(I2237-F2237),"")</f>
      </c>
      <c r="N2237" s="12">
        <f>IF(K2237=1,G2237+L2237*(J2237-G2237),"")</f>
      </c>
    </row>
    <row r="2238" spans="2:14" x14ac:dyDescent="0.25">
      <c r="B2238">
        <v>63</v>
      </c>
      <c r="C2238">
        <v>255</v>
      </c>
      <c r="D2238">
        <v>5</v>
      </c>
      <c r="E2238" s="18">
        <v>11361.337483221054</v>
      </c>
      <c r="F2238" s="18">
        <v>-3900.534426161811</v>
      </c>
      <c r="G2238" s="18">
        <v>-1085.2456143597788</v>
      </c>
      <c r="H2238" s="12">
        <f>E2239</f>
      </c>
      <c r="I2238" s="12">
        <f>F2239</f>
      </c>
      <c r="J2238" s="12">
        <f>G2239</f>
      </c>
      <c r="K2238">
        <f>IF(AND(Pu&gt;=MIN(E2238,H2238),Pu&lt;=MAX(E2238,H2238),E2238&lt;&gt;H2238),1,0)</f>
      </c>
      <c r="L2238">
        <f>IF(K2238=1,(Pu-E2238)/(H2238-E2238),"")</f>
      </c>
      <c r="M2238" s="12">
        <f>IF(K2238=1,F2238+L2238*(I2238-F2238),"")</f>
      </c>
      <c r="N2238" s="12">
        <f>IF(K2238=1,G2238+L2238*(J2238-G2238),"")</f>
      </c>
    </row>
    <row r="2239" spans="2:14" x14ac:dyDescent="0.25">
      <c r="B2239">
        <v>63</v>
      </c>
      <c r="C2239">
        <v>255</v>
      </c>
      <c r="D2239">
        <v>6</v>
      </c>
      <c r="E2239" s="18">
        <v>10038.276747257058</v>
      </c>
      <c r="F2239" s="18">
        <v>-4068.049273976092</v>
      </c>
      <c r="G2239" s="18">
        <v>-1129.9656172656746</v>
      </c>
      <c r="H2239" s="12">
        <f>E2240</f>
      </c>
      <c r="I2239" s="12">
        <f>F2240</f>
      </c>
      <c r="J2239" s="12">
        <f>G2240</f>
      </c>
      <c r="K2239">
        <f>IF(AND(Pu&gt;=MIN(E2239,H2239),Pu&lt;=MAX(E2239,H2239),E2239&lt;&gt;H2239),1,0)</f>
      </c>
      <c r="L2239">
        <f>IF(K2239=1,(Pu-E2239)/(H2239-E2239),"")</f>
      </c>
      <c r="M2239" s="12">
        <f>IF(K2239=1,F2239+L2239*(I2239-F2239),"")</f>
      </c>
      <c r="N2239" s="12">
        <f>IF(K2239=1,G2239+L2239*(J2239-G2239),"")</f>
      </c>
    </row>
    <row r="2240" spans="2:14" x14ac:dyDescent="0.25">
      <c r="B2240">
        <v>63</v>
      </c>
      <c r="C2240">
        <v>255</v>
      </c>
      <c r="D2240">
        <v>7</v>
      </c>
      <c r="E2240" s="18">
        <v>9044.414289894843</v>
      </c>
      <c r="F2240" s="18">
        <v>-4162.797357567723</v>
      </c>
      <c r="G2240" s="18">
        <v>-1167.692425079624</v>
      </c>
      <c r="H2240" s="12">
        <f>E2241</f>
      </c>
      <c r="I2240" s="12">
        <f>F2241</f>
      </c>
      <c r="J2240" s="12">
        <f>G2241</f>
      </c>
      <c r="K2240">
        <f>IF(AND(Pu&gt;=MIN(E2240,H2240),Pu&lt;=MAX(E2240,H2240),E2240&lt;&gt;H2240),1,0)</f>
      </c>
      <c r="L2240">
        <f>IF(K2240=1,(Pu-E2240)/(H2240-E2240),"")</f>
      </c>
      <c r="M2240" s="12">
        <f>IF(K2240=1,F2240+L2240*(I2240-F2240),"")</f>
      </c>
      <c r="N2240" s="12">
        <f>IF(K2240=1,G2240+L2240*(J2240-G2240),"")</f>
      </c>
    </row>
    <row r="2241" spans="2:14" x14ac:dyDescent="0.25">
      <c r="B2241">
        <v>63</v>
      </c>
      <c r="C2241">
        <v>255</v>
      </c>
      <c r="D2241">
        <v>8</v>
      </c>
      <c r="E2241" s="18">
        <v>8943.883326849022</v>
      </c>
      <c r="F2241" s="18">
        <v>-4204.192285074841</v>
      </c>
      <c r="G2241" s="18">
        <v>-1180.3600189786912</v>
      </c>
      <c r="H2241" s="12">
        <f>E2242</f>
      </c>
      <c r="I2241" s="12">
        <f>F2242</f>
      </c>
      <c r="J2241" s="12">
        <f>G2242</f>
      </c>
      <c r="K2241">
        <f>IF(AND(Pu&gt;=MIN(E2241,H2241),Pu&lt;=MAX(E2241,H2241),E2241&lt;&gt;H2241),1,0)</f>
      </c>
      <c r="L2241">
        <f>IF(K2241=1,(Pu-E2241)/(H2241-E2241),"")</f>
      </c>
      <c r="M2241" s="12">
        <f>IF(K2241=1,F2241+L2241*(I2241-F2241),"")</f>
      </c>
      <c r="N2241" s="12">
        <f>IF(K2241=1,G2241+L2241*(J2241-G2241),"")</f>
      </c>
    </row>
    <row r="2242" spans="2:14" x14ac:dyDescent="0.25">
      <c r="B2242">
        <v>63</v>
      </c>
      <c r="C2242">
        <v>255</v>
      </c>
      <c r="D2242">
        <v>9</v>
      </c>
      <c r="E2242" s="18">
        <v>8555.482514755733</v>
      </c>
      <c r="F2242" s="18">
        <v>-4358.706013083257</v>
      </c>
      <c r="G2242" s="18">
        <v>-1241.2744180580544</v>
      </c>
      <c r="H2242" s="12">
        <f>E2243</f>
      </c>
      <c r="I2242" s="12">
        <f>F2243</f>
      </c>
      <c r="J2242" s="12">
        <f>G2243</f>
      </c>
      <c r="K2242">
        <f>IF(AND(Pu&gt;=MIN(E2242,H2242),Pu&lt;=MAX(E2242,H2242),E2242&lt;&gt;H2242),1,0)</f>
      </c>
      <c r="L2242">
        <f>IF(K2242=1,(Pu-E2242)/(H2242-E2242),"")</f>
      </c>
      <c r="M2242" s="12">
        <f>IF(K2242=1,F2242+L2242*(I2242-F2242),"")</f>
      </c>
      <c r="N2242" s="12">
        <f>IF(K2242=1,G2242+L2242*(J2242-G2242),"")</f>
      </c>
    </row>
    <row r="2243" spans="2:14" x14ac:dyDescent="0.25">
      <c r="B2243">
        <v>63</v>
      </c>
      <c r="C2243">
        <v>255</v>
      </c>
      <c r="D2243">
        <v>10</v>
      </c>
      <c r="E2243" s="18">
        <v>8373.355973128051</v>
      </c>
      <c r="F2243" s="18">
        <v>-4431.642828341769</v>
      </c>
      <c r="G2243" s="18">
        <v>-1258.9236070293757</v>
      </c>
      <c r="H2243" s="12">
        <f>E2244</f>
      </c>
      <c r="I2243" s="12">
        <f>F2244</f>
      </c>
      <c r="J2243" s="12">
        <f>G2244</f>
      </c>
      <c r="K2243">
        <f>IF(AND(Pu&gt;=MIN(E2243,H2243),Pu&lt;=MAX(E2243,H2243),E2243&lt;&gt;H2243),1,0)</f>
      </c>
      <c r="L2243">
        <f>IF(K2243=1,(Pu-E2243)/(H2243-E2243),"")</f>
      </c>
      <c r="M2243" s="12">
        <f>IF(K2243=1,F2243+L2243*(I2243-F2243),"")</f>
      </c>
      <c r="N2243" s="12">
        <f>IF(K2243=1,G2243+L2243*(J2243-G2243),"")</f>
      </c>
    </row>
    <row r="2244" spans="2:14" x14ac:dyDescent="0.25">
      <c r="B2244">
        <v>63</v>
      </c>
      <c r="C2244">
        <v>255</v>
      </c>
      <c r="D2244">
        <v>11</v>
      </c>
      <c r="E2244" s="18">
        <v>8137.02514663581</v>
      </c>
      <c r="F2244" s="18">
        <v>-4509.583845828993</v>
      </c>
      <c r="G2244" s="18">
        <v>-1290.9265926326298</v>
      </c>
      <c r="H2244" s="12">
        <f>E2245</f>
      </c>
      <c r="I2244" s="12">
        <f>F2245</f>
      </c>
      <c r="J2244" s="12">
        <f>G2245</f>
      </c>
      <c r="K2244">
        <f>IF(AND(Pu&gt;=MIN(E2244,H2244),Pu&lt;=MAX(E2244,H2244),E2244&lt;&gt;H2244),1,0)</f>
      </c>
      <c r="L2244">
        <f>IF(K2244=1,(Pu-E2244)/(H2244-E2244),"")</f>
      </c>
      <c r="M2244" s="12">
        <f>IF(K2244=1,F2244+L2244*(I2244-F2244),"")</f>
      </c>
      <c r="N2244" s="12">
        <f>IF(K2244=1,G2244+L2244*(J2244-G2244),"")</f>
      </c>
    </row>
    <row r="2245" spans="2:14" x14ac:dyDescent="0.25">
      <c r="B2245">
        <v>63</v>
      </c>
      <c r="C2245">
        <v>255</v>
      </c>
      <c r="D2245">
        <v>12</v>
      </c>
      <c r="E2245" s="18">
        <v>7916.749436181585</v>
      </c>
      <c r="F2245" s="18">
        <v>-4574.997951522598</v>
      </c>
      <c r="G2245" s="18">
        <v>-1320.4219846373958</v>
      </c>
      <c r="H2245" s="12">
        <f>E2246</f>
      </c>
      <c r="I2245" s="12">
        <f>F2246</f>
      </c>
      <c r="J2245" s="12">
        <f>G2246</f>
      </c>
      <c r="K2245">
        <f>IF(AND(Pu&gt;=MIN(E2245,H2245),Pu&lt;=MAX(E2245,H2245),E2245&lt;&gt;H2245),1,0)</f>
      </c>
      <c r="L2245">
        <f>IF(K2245=1,(Pu-E2245)/(H2245-E2245),"")</f>
      </c>
      <c r="M2245" s="12">
        <f>IF(K2245=1,F2245+L2245*(I2245-F2245),"")</f>
      </c>
      <c r="N2245" s="12">
        <f>IF(K2245=1,G2245+L2245*(J2245-G2245),"")</f>
      </c>
    </row>
    <row r="2246" spans="2:14" x14ac:dyDescent="0.25">
      <c r="B2246">
        <v>63</v>
      </c>
      <c r="C2246">
        <v>255</v>
      </c>
      <c r="D2246">
        <v>13</v>
      </c>
      <c r="E2246" s="18">
        <v>7792.7677971207695</v>
      </c>
      <c r="F2246" s="18">
        <v>-4605.309394923114</v>
      </c>
      <c r="G2246" s="18">
        <v>-1345.661312741633</v>
      </c>
      <c r="H2246" s="12">
        <f>E2247</f>
      </c>
      <c r="I2246" s="12">
        <f>F2247</f>
      </c>
      <c r="J2246" s="12">
        <f>G2247</f>
      </c>
      <c r="K2246">
        <f>IF(AND(Pu&gt;=MIN(E2246,H2246),Pu&lt;=MAX(E2246,H2246),E2246&lt;&gt;H2246),1,0)</f>
      </c>
      <c r="L2246">
        <f>IF(K2246=1,(Pu-E2246)/(H2246-E2246),"")</f>
      </c>
      <c r="M2246" s="12">
        <f>IF(K2246=1,F2246+L2246*(I2246-F2246),"")</f>
      </c>
      <c r="N2246" s="12">
        <f>IF(K2246=1,G2246+L2246*(J2246-G2246),"")</f>
      </c>
    </row>
    <row r="2247" spans="2:14" x14ac:dyDescent="0.25">
      <c r="B2247">
        <v>63</v>
      </c>
      <c r="C2247">
        <v>255</v>
      </c>
      <c r="D2247">
        <v>14</v>
      </c>
      <c r="E2247" s="18">
        <v>7495.972215835729</v>
      </c>
      <c r="F2247" s="18">
        <v>-4666.270511280424</v>
      </c>
      <c r="G2247" s="18">
        <v>-1410.2655462678547</v>
      </c>
      <c r="H2247" s="12">
        <f>E2248</f>
      </c>
      <c r="I2247" s="12">
        <f>F2248</f>
      </c>
      <c r="J2247" s="12">
        <f>G2248</f>
      </c>
      <c r="K2247">
        <f>IF(AND(Pu&gt;=MIN(E2247,H2247),Pu&lt;=MAX(E2247,H2247),E2247&lt;&gt;H2247),1,0)</f>
      </c>
      <c r="L2247">
        <f>IF(K2247=1,(Pu-E2247)/(H2247-E2247),"")</f>
      </c>
      <c r="M2247" s="12">
        <f>IF(K2247=1,F2247+L2247*(I2247-F2247),"")</f>
      </c>
      <c r="N2247" s="12">
        <f>IF(K2247=1,G2247+L2247*(J2247-G2247),"")</f>
      </c>
    </row>
    <row r="2248" spans="2:14" x14ac:dyDescent="0.25">
      <c r="B2248">
        <v>63</v>
      </c>
      <c r="C2248">
        <v>255</v>
      </c>
      <c r="D2248">
        <v>15</v>
      </c>
      <c r="E2248" s="18">
        <v>7461.584612834732</v>
      </c>
      <c r="F2248" s="18">
        <v>-4672.2078549133175</v>
      </c>
      <c r="G2248" s="18">
        <v>-1417.629532873333</v>
      </c>
      <c r="H2248" s="12">
        <f>E2249</f>
      </c>
      <c r="I2248" s="12">
        <f>F2249</f>
      </c>
      <c r="J2248" s="12">
        <f>G2249</f>
      </c>
      <c r="K2248">
        <f>IF(AND(Pu&gt;=MIN(E2248,H2248),Pu&lt;=MAX(E2248,H2248),E2248&lt;&gt;H2248),1,0)</f>
      </c>
      <c r="L2248">
        <f>IF(K2248=1,(Pu-E2248)/(H2248-E2248),"")</f>
      </c>
      <c r="M2248" s="12">
        <f>IF(K2248=1,F2248+L2248*(I2248-F2248),"")</f>
      </c>
      <c r="N2248" s="12">
        <f>IF(K2248=1,G2248+L2248*(J2248-G2248),"")</f>
      </c>
    </row>
    <row r="2249" spans="2:14" x14ac:dyDescent="0.25">
      <c r="B2249">
        <v>63</v>
      </c>
      <c r="C2249">
        <v>255</v>
      </c>
      <c r="D2249">
        <v>16</v>
      </c>
      <c r="E2249" s="18">
        <v>7125.2955977998445</v>
      </c>
      <c r="F2249" s="18">
        <v>-4724.1326334733285</v>
      </c>
      <c r="G2249" s="18">
        <v>-1481.5578731189344</v>
      </c>
      <c r="H2249" s="12">
        <f>E2250</f>
      </c>
      <c r="I2249" s="12">
        <f>F2250</f>
      </c>
      <c r="J2249" s="12">
        <f>G2250</f>
      </c>
      <c r="K2249">
        <f>IF(AND(Pu&gt;=MIN(E2249,H2249),Pu&lt;=MAX(E2249,H2249),E2249&lt;&gt;H2249),1,0)</f>
      </c>
      <c r="L2249">
        <f>IF(K2249=1,(Pu-E2249)/(H2249-E2249),"")</f>
      </c>
      <c r="M2249" s="12">
        <f>IF(K2249=1,F2249+L2249*(I2249-F2249),"")</f>
      </c>
      <c r="N2249" s="12">
        <f>IF(K2249=1,G2249+L2249*(J2249-G2249),"")</f>
      </c>
    </row>
    <row r="2250" spans="2:14" x14ac:dyDescent="0.25">
      <c r="B2250">
        <v>63</v>
      </c>
      <c r="C2250">
        <v>255</v>
      </c>
      <c r="D2250">
        <v>17</v>
      </c>
      <c r="E2250" s="18">
        <v>6824.356971017705</v>
      </c>
      <c r="F2250" s="18">
        <v>-4766.3307983665</v>
      </c>
      <c r="G2250" s="18">
        <v>-1521.8733010773335</v>
      </c>
      <c r="H2250" s="12">
        <f>E2251</f>
      </c>
      <c r="I2250" s="12">
        <f>F2251</f>
      </c>
      <c r="J2250" s="12">
        <f>G2251</f>
      </c>
      <c r="K2250">
        <f>IF(AND(Pu&gt;=MIN(E2250,H2250),Pu&lt;=MAX(E2250,H2250),E2250&lt;&gt;H2250),1,0)</f>
      </c>
      <c r="L2250">
        <f>IF(K2250=1,(Pu-E2250)/(H2250-E2250),"")</f>
      </c>
      <c r="M2250" s="12">
        <f>IF(K2250=1,F2250+L2250*(I2250-F2250),"")</f>
      </c>
      <c r="N2250" s="12">
        <f>IF(K2250=1,G2250+L2250*(J2250-G2250),"")</f>
      </c>
    </row>
    <row r="2251" spans="2:14" x14ac:dyDescent="0.25">
      <c r="B2251">
        <v>63</v>
      </c>
      <c r="C2251">
        <v>255</v>
      </c>
      <c r="D2251">
        <v>18</v>
      </c>
      <c r="E2251" s="18">
        <v>6712.760123692536</v>
      </c>
      <c r="F2251" s="18">
        <v>-4779.873256335667</v>
      </c>
      <c r="G2251" s="18">
        <v>-1536.1973384305463</v>
      </c>
      <c r="H2251" s="12">
        <f>E2252</f>
      </c>
      <c r="I2251" s="12">
        <f>F2252</f>
      </c>
      <c r="J2251" s="12">
        <f>G2252</f>
      </c>
      <c r="K2251">
        <f>IF(AND(Pu&gt;=MIN(E2251,H2251),Pu&lt;=MAX(E2251,H2251),E2251&lt;&gt;H2251),1,0)</f>
      </c>
      <c r="L2251">
        <f>IF(K2251=1,(Pu-E2251)/(H2251-E2251),"")</f>
      </c>
      <c r="M2251" s="12">
        <f>IF(K2251=1,F2251+L2251*(I2251-F2251),"")</f>
      </c>
      <c r="N2251" s="12">
        <f>IF(K2251=1,G2251+L2251*(J2251-G2251),"")</f>
      </c>
    </row>
    <row r="2252" spans="2:14" x14ac:dyDescent="0.25">
      <c r="B2252">
        <v>63</v>
      </c>
      <c r="C2252">
        <v>255</v>
      </c>
      <c r="D2252">
        <v>19</v>
      </c>
      <c r="E2252" s="18">
        <v>6533.242087252472</v>
      </c>
      <c r="F2252" s="18">
        <v>-4801.13138640711</v>
      </c>
      <c r="G2252" s="18">
        <v>-1572.7419381235372</v>
      </c>
      <c r="H2252" s="12">
        <f>E2253</f>
      </c>
      <c r="I2252" s="12">
        <f>F2253</f>
      </c>
      <c r="J2252" s="12">
        <f>G2253</f>
      </c>
      <c r="K2252">
        <f>IF(AND(Pu&gt;=MIN(E2252,H2252),Pu&lt;=MAX(E2252,H2252),E2252&lt;&gt;H2252),1,0)</f>
      </c>
      <c r="L2252">
        <f>IF(K2252=1,(Pu-E2252)/(H2252-E2252),"")</f>
      </c>
      <c r="M2252" s="12">
        <f>IF(K2252=1,F2252+L2252*(I2252-F2252),"")</f>
      </c>
      <c r="N2252" s="12">
        <f>IF(K2252=1,G2252+L2252*(J2252-G2252),"")</f>
      </c>
    </row>
    <row r="2253" spans="2:14" x14ac:dyDescent="0.25">
      <c r="B2253">
        <v>63</v>
      </c>
      <c r="C2253">
        <v>255</v>
      </c>
      <c r="D2253">
        <v>20</v>
      </c>
      <c r="E2253" s="18">
        <v>6243.741751378669</v>
      </c>
      <c r="F2253" s="18">
        <v>-4815.363505491875</v>
      </c>
      <c r="G2253" s="18">
        <v>-1613.4587386768505</v>
      </c>
      <c r="H2253" s="12">
        <f>E2254</f>
      </c>
      <c r="I2253" s="12">
        <f>F2254</f>
      </c>
      <c r="J2253" s="12">
        <f>G2254</f>
      </c>
      <c r="K2253">
        <f>IF(AND(Pu&gt;=MIN(E2253,H2253),Pu&lt;=MAX(E2253,H2253),E2253&lt;&gt;H2253),1,0)</f>
      </c>
      <c r="L2253">
        <f>IF(K2253=1,(Pu-E2253)/(H2253-E2253),"")</f>
      </c>
      <c r="M2253" s="12">
        <f>IF(K2253=1,F2253+L2253*(I2253-F2253),"")</f>
      </c>
      <c r="N2253" s="12">
        <f>IF(K2253=1,G2253+L2253*(J2253-G2253),"")</f>
      </c>
    </row>
    <row r="2254" spans="2:14" x14ac:dyDescent="0.25">
      <c r="B2254">
        <v>63</v>
      </c>
      <c r="C2254">
        <v>255</v>
      </c>
      <c r="D2254">
        <v>21</v>
      </c>
      <c r="E2254" s="18">
        <v>6192.823512197098</v>
      </c>
      <c r="F2254" s="18">
        <v>-4816.122040964442</v>
      </c>
      <c r="G2254" s="18">
        <v>-1620.8527463722994</v>
      </c>
      <c r="H2254" s="12">
        <f>E2255</f>
      </c>
      <c r="I2254" s="12">
        <f>F2255</f>
      </c>
      <c r="J2254" s="12">
        <f>G2255</f>
      </c>
      <c r="K2254">
        <f>IF(AND(Pu&gt;=MIN(E2254,H2254),Pu&lt;=MAX(E2254,H2254),E2254&lt;&gt;H2254),1,0)</f>
      </c>
      <c r="L2254">
        <f>IF(K2254=1,(Pu-E2254)/(H2254-E2254),"")</f>
      </c>
      <c r="M2254" s="12">
        <f>IF(K2254=1,F2254+L2254*(I2254-F2254),"")</f>
      </c>
      <c r="N2254" s="12">
        <f>IF(K2254=1,G2254+L2254*(J2254-G2254),"")</f>
      </c>
    </row>
    <row r="2255" spans="2:14" x14ac:dyDescent="0.25">
      <c r="B2255">
        <v>63</v>
      </c>
      <c r="C2255">
        <v>255</v>
      </c>
      <c r="D2255">
        <v>22</v>
      </c>
      <c r="E2255" s="18">
        <v>5425.43698665798</v>
      </c>
      <c r="F2255" s="18">
        <v>-4593.1183903955</v>
      </c>
      <c r="G2255" s="18">
        <v>-1655.2472909918367</v>
      </c>
      <c r="H2255" s="12">
        <f>E2256</f>
      </c>
      <c r="I2255" s="12">
        <f>F2256</f>
      </c>
      <c r="J2255" s="12">
        <f>G2256</f>
      </c>
      <c r="K2255">
        <f>IF(AND(Pu&gt;=MIN(E2255,H2255),Pu&lt;=MAX(E2255,H2255),E2255&lt;&gt;H2255),1,0)</f>
      </c>
      <c r="L2255">
        <f>IF(K2255=1,(Pu-E2255)/(H2255-E2255),"")</f>
      </c>
      <c r="M2255" s="12">
        <f>IF(K2255=1,F2255+L2255*(I2255-F2255),"")</f>
      </c>
      <c r="N2255" s="12">
        <f>IF(K2255=1,G2255+L2255*(J2255-G2255),"")</f>
      </c>
    </row>
    <row r="2256" spans="2:14" x14ac:dyDescent="0.25">
      <c r="B2256">
        <v>63</v>
      </c>
      <c r="C2256">
        <v>255</v>
      </c>
      <c r="D2256">
        <v>23</v>
      </c>
      <c r="E2256" s="18">
        <v>4075.781626617004</v>
      </c>
      <c r="F2256" s="18">
        <v>-4134.056230516801</v>
      </c>
      <c r="G2256" s="18">
        <v>-1670.1574020308574</v>
      </c>
      <c r="H2256" s="12">
        <f>E2257</f>
      </c>
      <c r="I2256" s="12">
        <f>F2257</f>
      </c>
      <c r="J2256" s="12">
        <f>G2257</f>
      </c>
      <c r="K2256">
        <f>IF(AND(Pu&gt;=MIN(E2256,H2256),Pu&lt;=MAX(E2256,H2256),E2256&lt;&gt;H2256),1,0)</f>
      </c>
      <c r="L2256">
        <f>IF(K2256=1,(Pu-E2256)/(H2256-E2256),"")</f>
      </c>
      <c r="M2256" s="12">
        <f>IF(K2256=1,F2256+L2256*(I2256-F2256),"")</f>
      </c>
      <c r="N2256" s="12">
        <f>IF(K2256=1,G2256+L2256*(J2256-G2256),"")</f>
      </c>
    </row>
    <row r="2257" spans="2:14" x14ac:dyDescent="0.25">
      <c r="B2257">
        <v>63</v>
      </c>
      <c r="C2257">
        <v>255</v>
      </c>
      <c r="D2257">
        <v>24</v>
      </c>
      <c r="E2257" s="18">
        <v>2944.799783195567</v>
      </c>
      <c r="F2257" s="18">
        <v>-3722.9231706918536</v>
      </c>
      <c r="G2257" s="18">
        <v>-1657.3527027165262</v>
      </c>
      <c r="H2257" s="12">
        <f>E2258</f>
      </c>
      <c r="I2257" s="12">
        <f>F2258</f>
      </c>
      <c r="J2257" s="12">
        <f>G2258</f>
      </c>
      <c r="K2257">
        <f>IF(AND(Pu&gt;=MIN(E2257,H2257),Pu&lt;=MAX(E2257,H2257),E2257&lt;&gt;H2257),1,0)</f>
      </c>
      <c r="L2257">
        <f>IF(K2257=1,(Pu-E2257)/(H2257-E2257),"")</f>
      </c>
      <c r="M2257" s="12">
        <f>IF(K2257=1,F2257+L2257*(I2257-F2257),"")</f>
      </c>
      <c r="N2257" s="12">
        <f>IF(K2257=1,G2257+L2257*(J2257-G2257),"")</f>
      </c>
    </row>
    <row r="2258" spans="2:14" x14ac:dyDescent="0.25">
      <c r="B2258">
        <v>63</v>
      </c>
      <c r="C2258">
        <v>255</v>
      </c>
      <c r="D2258">
        <v>25</v>
      </c>
      <c r="E2258" s="18">
        <v>2076.6295793943327</v>
      </c>
      <c r="F2258" s="18">
        <v>-3361.572080990776</v>
      </c>
      <c r="G2258" s="18">
        <v>-1634.0582084930534</v>
      </c>
      <c r="H2258" s="12">
        <f>E2259</f>
      </c>
      <c r="I2258" s="12">
        <f>F2259</f>
      </c>
      <c r="J2258" s="12">
        <f>G2259</f>
      </c>
      <c r="K2258">
        <f>IF(AND(Pu&gt;=MIN(E2258,H2258),Pu&lt;=MAX(E2258,H2258),E2258&lt;&gt;H2258),1,0)</f>
      </c>
      <c r="L2258">
        <f>IF(K2258=1,(Pu-E2258)/(H2258-E2258),"")</f>
      </c>
      <c r="M2258" s="12">
        <f>IF(K2258=1,F2258+L2258*(I2258-F2258),"")</f>
      </c>
      <c r="N2258" s="12">
        <f>IF(K2258=1,G2258+L2258*(J2258-G2258),"")</f>
      </c>
    </row>
    <row r="2259" spans="2:14" x14ac:dyDescent="0.25">
      <c r="B2259">
        <v>63</v>
      </c>
      <c r="C2259">
        <v>255</v>
      </c>
      <c r="D2259">
        <v>26</v>
      </c>
      <c r="E2259" s="18">
        <v>712.5359908337397</v>
      </c>
      <c r="F2259" s="18">
        <v>-2772.1041281764997</v>
      </c>
      <c r="G2259" s="18">
        <v>-1482.861789067102</v>
      </c>
      <c r="H2259" s="12">
        <f>E2260</f>
      </c>
      <c r="I2259" s="12">
        <f>F2260</f>
      </c>
      <c r="J2259" s="12">
        <f>G2260</f>
      </c>
      <c r="K2259">
        <f>IF(AND(Pu&gt;=MIN(E2259,H2259),Pu&lt;=MAX(E2259,H2259),E2259&lt;&gt;H2259),1,0)</f>
      </c>
      <c r="L2259">
        <f>IF(K2259=1,(Pu-E2259)/(H2259-E2259),"")</f>
      </c>
      <c r="M2259" s="12">
        <f>IF(K2259=1,F2259+L2259*(I2259-F2259),"")</f>
      </c>
      <c r="N2259" s="12">
        <f>IF(K2259=1,G2259+L2259*(J2259-G2259),"")</f>
      </c>
    </row>
    <row r="2260" spans="2:14" x14ac:dyDescent="0.25">
      <c r="B2260">
        <v>63</v>
      </c>
      <c r="C2260">
        <v>255</v>
      </c>
      <c r="D2260">
        <v>27</v>
      </c>
      <c r="E2260" s="18">
        <v>-374.1013551416719</v>
      </c>
      <c r="F2260" s="18">
        <v>-2286.4866372736933</v>
      </c>
      <c r="G2260" s="18">
        <v>-1280.50081524712</v>
      </c>
      <c r="H2260" s="12">
        <f>E2261</f>
      </c>
      <c r="I2260" s="12">
        <f>F2261</f>
      </c>
      <c r="J2260" s="12">
        <f>G2261</f>
      </c>
      <c r="K2260">
        <f>IF(AND(Pu&gt;=MIN(E2260,H2260),Pu&lt;=MAX(E2260,H2260),E2260&lt;&gt;H2260),1,0)</f>
      </c>
      <c r="L2260">
        <f>IF(K2260=1,(Pu-E2260)/(H2260-E2260),"")</f>
      </c>
      <c r="M2260" s="12">
        <f>IF(K2260=1,F2260+L2260*(I2260-F2260),"")</f>
      </c>
      <c r="N2260" s="12">
        <f>IF(K2260=1,G2260+L2260*(J2260-G2260),"")</f>
      </c>
    </row>
    <row r="2261" spans="2:14" x14ac:dyDescent="0.25">
      <c r="B2261">
        <v>63</v>
      </c>
      <c r="C2261">
        <v>255</v>
      </c>
      <c r="D2261">
        <v>28</v>
      </c>
      <c r="E2261" s="18">
        <v>-1220.5434678478634</v>
      </c>
      <c r="F2261" s="18">
        <v>-1883.1105829049136</v>
      </c>
      <c r="G2261" s="18">
        <v>-1117.965259493555</v>
      </c>
      <c r="H2261" s="12">
        <f>E2262</f>
      </c>
      <c r="I2261" s="12">
        <f>F2262</f>
      </c>
      <c r="J2261" s="12">
        <f>G2262</f>
      </c>
      <c r="K2261">
        <f>IF(AND(Pu&gt;=MIN(E2261,H2261),Pu&lt;=MAX(E2261,H2261),E2261&lt;&gt;H2261),1,0)</f>
      </c>
      <c r="L2261">
        <f>IF(K2261=1,(Pu-E2261)/(H2261-E2261),"")</f>
      </c>
      <c r="M2261" s="12">
        <f>IF(K2261=1,F2261+L2261*(I2261-F2261),"")</f>
      </c>
      <c r="N2261" s="12">
        <f>IF(K2261=1,G2261+L2261*(J2261-G2261),"")</f>
      </c>
    </row>
    <row r="2262" spans="2:14" x14ac:dyDescent="0.25">
      <c r="B2262">
        <v>63</v>
      </c>
      <c r="C2262">
        <v>255</v>
      </c>
      <c r="D2262">
        <v>29</v>
      </c>
      <c r="E2262" s="18">
        <v>-1913.5931392446569</v>
      </c>
      <c r="F2262" s="18">
        <v>-1547.6442146618128</v>
      </c>
      <c r="G2262" s="18">
        <v>-980.4354029909031</v>
      </c>
      <c r="H2262" s="12">
        <f>E2263</f>
      </c>
      <c r="I2262" s="12">
        <f>F2263</f>
      </c>
      <c r="J2262" s="12">
        <f>G2263</f>
      </c>
      <c r="K2262">
        <f>IF(AND(Pu&gt;=MIN(E2262,H2262),Pu&lt;=MAX(E2262,H2262),E2262&lt;&gt;H2262),1,0)</f>
      </c>
      <c r="L2262">
        <f>IF(K2262=1,(Pu-E2262)/(H2262-E2262),"")</f>
      </c>
      <c r="M2262" s="12">
        <f>IF(K2262=1,F2262+L2262*(I2262-F2262),"")</f>
      </c>
      <c r="N2262" s="12">
        <f>IF(K2262=1,G2262+L2262*(J2262-G2262),"")</f>
      </c>
    </row>
    <row r="2263" spans="2:14" x14ac:dyDescent="0.25">
      <c r="B2263">
        <v>63</v>
      </c>
      <c r="C2263">
        <v>255</v>
      </c>
      <c r="D2263">
        <v>30</v>
      </c>
      <c r="E2263" s="18">
        <v>-2901.7269487846875</v>
      </c>
      <c r="F2263" s="18">
        <v>-1068.941077641682</v>
      </c>
      <c r="G2263" s="18">
        <v>-722.9636361433096</v>
      </c>
      <c r="H2263" s="12">
        <f>E2264</f>
      </c>
      <c r="I2263" s="12">
        <f>F2264</f>
      </c>
      <c r="J2263" s="12">
        <f>G2264</f>
      </c>
      <c r="K2263">
        <f>IF(AND(Pu&gt;=MIN(E2263,H2263),Pu&lt;=MAX(E2263,H2263),E2263&lt;&gt;H2263),1,0)</f>
      </c>
      <c r="L2263">
        <f>IF(K2263=1,(Pu-E2263)/(H2263-E2263),"")</f>
      </c>
      <c r="M2263" s="12">
        <f>IF(K2263=1,F2263+L2263*(I2263-F2263),"")</f>
      </c>
      <c r="N2263" s="12">
        <f>IF(K2263=1,G2263+L2263*(J2263-G2263),"")</f>
      </c>
    </row>
    <row r="2264" spans="2:14" x14ac:dyDescent="0.25">
      <c r="B2264">
        <v>63</v>
      </c>
      <c r="C2264">
        <v>255</v>
      </c>
      <c r="D2264">
        <v>31</v>
      </c>
      <c r="E2264" s="18">
        <v>-3486.2717989779644</v>
      </c>
      <c r="F2264" s="18">
        <v>-773.3795503754559</v>
      </c>
      <c r="G2264" s="18">
        <v>-547.9918963617694</v>
      </c>
      <c r="H2264" s="12">
        <f>E2265</f>
      </c>
      <c r="I2264" s="12">
        <f>F2265</f>
      </c>
      <c r="J2264" s="12">
        <f>G2265</f>
      </c>
      <c r="K2264">
        <f>IF(AND(Pu&gt;=MIN(E2264,H2264),Pu&lt;=MAX(E2264,H2264),E2264&lt;&gt;H2264),1,0)</f>
      </c>
      <c r="L2264">
        <f>IF(K2264=1,(Pu-E2264)/(H2264-E2264),"")</f>
      </c>
      <c r="M2264" s="12">
        <f>IF(K2264=1,F2264+L2264*(I2264-F2264),"")</f>
      </c>
      <c r="N2264" s="12">
        <f>IF(K2264=1,G2264+L2264*(J2264-G2264),"")</f>
      </c>
    </row>
    <row r="2265" spans="2:14" x14ac:dyDescent="0.25">
      <c r="B2265">
        <v>63</v>
      </c>
      <c r="C2265">
        <v>255</v>
      </c>
      <c r="D2265">
        <v>32</v>
      </c>
      <c r="E2265" s="18">
        <v>-4098.960307965165</v>
      </c>
      <c r="F2265" s="18">
        <v>-449.2882957497237</v>
      </c>
      <c r="G2265" s="18">
        <v>-349.87360235016985</v>
      </c>
      <c r="H2265" s="12">
        <f>E2266</f>
      </c>
      <c r="I2265" s="12">
        <f>F2266</f>
      </c>
      <c r="J2265" s="12">
        <f>G2266</f>
      </c>
      <c r="K2265">
        <f>IF(AND(Pu&gt;=MIN(E2265,H2265),Pu&lt;=MAX(E2265,H2265),E2265&lt;&gt;H2265),1,0)</f>
      </c>
      <c r="L2265">
        <f>IF(K2265=1,(Pu-E2265)/(H2265-E2265),"")</f>
      </c>
      <c r="M2265" s="12">
        <f>IF(K2265=1,F2265+L2265*(I2265-F2265),"")</f>
      </c>
      <c r="N2265" s="12">
        <f>IF(K2265=1,G2265+L2265*(J2265-G2265),"")</f>
      </c>
    </row>
    <row r="2266" spans="2:14" x14ac:dyDescent="0.25">
      <c r="B2266">
        <v>63</v>
      </c>
      <c r="C2266">
        <v>255</v>
      </c>
      <c r="D2266">
        <v>33</v>
      </c>
      <c r="E2266" s="18">
        <v>-4431.740486689304</v>
      </c>
      <c r="F2266" s="18">
        <v>-270.82521915072215</v>
      </c>
      <c r="G2266" s="18">
        <v>-223.84585890724088</v>
      </c>
      <c r="H2266" s="12">
        <f>E2267</f>
      </c>
      <c r="I2266" s="12">
        <f>F2267</f>
      </c>
      <c r="J2266" s="12">
        <f>G2267</f>
      </c>
      <c r="K2266">
        <f>IF(AND(Pu&gt;=MIN(E2266,H2266),Pu&lt;=MAX(E2266,H2266),E2266&lt;&gt;H2266),1,0)</f>
      </c>
      <c r="L2266">
        <f>IF(K2266=1,(Pu-E2266)/(H2266-E2266),"")</f>
      </c>
      <c r="M2266" s="12">
        <f>IF(K2266=1,F2266+L2266*(I2266-F2266),"")</f>
      </c>
      <c r="N2266" s="12">
        <f>IF(K2266=1,G2266+L2266*(J2266-G2266),"")</f>
      </c>
    </row>
    <row r="2267" spans="2:14" x14ac:dyDescent="0.25">
      <c r="B2267">
        <v>63</v>
      </c>
      <c r="C2267">
        <v>255</v>
      </c>
      <c r="D2267">
        <v>34</v>
      </c>
      <c r="E2267" s="18">
        <v>-4781.665091967299</v>
      </c>
      <c r="F2267" s="18">
        <v>-80.97824293577804</v>
      </c>
      <c r="G2267" s="18">
        <v>-71.6042522781802</v>
      </c>
      <c r="H2267" s="12">
        <f>E2268</f>
      </c>
      <c r="I2267" s="12">
        <f>F2268</f>
      </c>
      <c r="J2267" s="12">
        <f>G2268</f>
      </c>
      <c r="K2267">
        <f>IF(AND(Pu&gt;=MIN(E2267,H2267),Pu&lt;=MAX(E2267,H2267),E2267&lt;&gt;H2267),1,0)</f>
      </c>
      <c r="L2267">
        <f>IF(K2267=1,(Pu-E2267)/(H2267-E2267),"")</f>
      </c>
      <c r="M2267" s="12">
        <f>IF(K2267=1,F2267+L2267*(I2267-F2267),"")</f>
      </c>
      <c r="N2267" s="12">
        <f>IF(K2267=1,G2267+L2267*(J2267-G2267),"")</f>
      </c>
    </row>
    <row r="2268" spans="2:7" x14ac:dyDescent="0.25">
      <c r="B2268">
        <v>63</v>
      </c>
      <c r="C2268">
        <v>255</v>
      </c>
      <c r="D2268">
        <v>35</v>
      </c>
      <c r="E2268" s="18">
        <v>-4841.369813335681</v>
      </c>
      <c r="F2268" s="18">
        <v>-46.97329722521769</v>
      </c>
      <c r="G2268" s="18">
        <v>-41.91532836332642</v>
      </c>
    </row>
    <row r="2270" spans="2:14" x14ac:dyDescent="0.25">
      <c r="B2270">
        <v>64</v>
      </c>
      <c r="C2270">
        <v>258.75000000000006</v>
      </c>
      <c r="D2270">
        <v>1</v>
      </c>
      <c r="E2270" s="18">
        <v>17263.170063934096</v>
      </c>
      <c r="F2270" s="18">
        <v>-2285.6322031906607</v>
      </c>
      <c r="G2270" s="18">
        <v>-835.2411015442766</v>
      </c>
      <c r="H2270" s="12">
        <f>E2271</f>
      </c>
      <c r="I2270" s="12">
        <f>F2271</f>
      </c>
      <c r="J2270" s="12">
        <f>G2271</f>
      </c>
      <c r="K2270">
        <f>IF(AND(Pu&gt;=MIN(E2270,H2270),Pu&lt;=MAX(E2270,H2270),E2270&lt;&gt;H2270),1,0)</f>
      </c>
      <c r="L2270">
        <f>IF(K2270=1,(Pu-E2270)/(H2270-E2270),"")</f>
      </c>
      <c r="M2270" s="12">
        <f>IF(K2270=1,F2270+L2270*(I2270-F2270),"")</f>
      </c>
      <c r="N2270" s="12">
        <f>IF(K2270=1,G2270+L2270*(J2270-G2270),"")</f>
      </c>
    </row>
    <row r="2271" spans="2:14" x14ac:dyDescent="0.25">
      <c r="B2271">
        <v>64</v>
      </c>
      <c r="C2271">
        <v>258.75000000000006</v>
      </c>
      <c r="D2271">
        <v>2</v>
      </c>
      <c r="E2271" s="18">
        <v>15741.362034304237</v>
      </c>
      <c r="F2271" s="18">
        <v>-2881.510060941758</v>
      </c>
      <c r="G2271" s="18">
        <v>-790.0649663666184</v>
      </c>
      <c r="H2271" s="12">
        <f>E2272</f>
      </c>
      <c r="I2271" s="12">
        <f>F2272</f>
      </c>
      <c r="J2271" s="12">
        <f>G2272</f>
      </c>
      <c r="K2271">
        <f>IF(AND(Pu&gt;=MIN(E2271,H2271),Pu&lt;=MAX(E2271,H2271),E2271&lt;&gt;H2271),1,0)</f>
      </c>
      <c r="L2271">
        <f>IF(K2271=1,(Pu-E2271)/(H2271-E2271),"")</f>
      </c>
      <c r="M2271" s="12">
        <f>IF(K2271=1,F2271+L2271*(I2271-F2271),"")</f>
      </c>
      <c r="N2271" s="12">
        <f>IF(K2271=1,G2271+L2271*(J2271-G2271),"")</f>
      </c>
    </row>
    <row r="2272" spans="2:14" x14ac:dyDescent="0.25">
      <c r="B2272">
        <v>64</v>
      </c>
      <c r="C2272">
        <v>258.75000000000006</v>
      </c>
      <c r="D2272">
        <v>3</v>
      </c>
      <c r="E2272" s="18">
        <v>14518.404330541478</v>
      </c>
      <c r="F2272" s="18">
        <v>-3280.96660161576</v>
      </c>
      <c r="G2272" s="18">
        <v>-769.3366669716839</v>
      </c>
      <c r="H2272" s="12">
        <f>E2273</f>
      </c>
      <c r="I2272" s="12">
        <f>F2273</f>
      </c>
      <c r="J2272" s="12">
        <f>G2273</f>
      </c>
      <c r="K2272">
        <f>IF(AND(Pu&gt;=MIN(E2272,H2272),Pu&lt;=MAX(E2272,H2272),E2272&lt;&gt;H2272),1,0)</f>
      </c>
      <c r="L2272">
        <f>IF(K2272=1,(Pu-E2272)/(H2272-E2272),"")</f>
      </c>
      <c r="M2272" s="12">
        <f>IF(K2272=1,F2272+L2272*(I2272-F2272),"")</f>
      </c>
      <c r="N2272" s="12">
        <f>IF(K2272=1,G2272+L2272*(J2272-G2272),"")</f>
      </c>
    </row>
    <row r="2273" spans="2:14" x14ac:dyDescent="0.25">
      <c r="B2273">
        <v>64</v>
      </c>
      <c r="C2273">
        <v>258.75000000000006</v>
      </c>
      <c r="D2273">
        <v>4</v>
      </c>
      <c r="E2273" s="18">
        <v>12744.384875227197</v>
      </c>
      <c r="F2273" s="18">
        <v>-3722.0877866031037</v>
      </c>
      <c r="G2273" s="18">
        <v>-784.9520355294827</v>
      </c>
      <c r="H2273" s="12">
        <f>E2274</f>
      </c>
      <c r="I2273" s="12">
        <f>F2274</f>
      </c>
      <c r="J2273" s="12">
        <f>G2274</f>
      </c>
      <c r="K2273">
        <f>IF(AND(Pu&gt;=MIN(E2273,H2273),Pu&lt;=MAX(E2273,H2273),E2273&lt;&gt;H2273),1,0)</f>
      </c>
      <c r="L2273">
        <f>IF(K2273=1,(Pu-E2273)/(H2273-E2273),"")</f>
      </c>
      <c r="M2273" s="12">
        <f>IF(K2273=1,F2273+L2273*(I2273-F2273),"")</f>
      </c>
      <c r="N2273" s="12">
        <f>IF(K2273=1,G2273+L2273*(J2273-G2273),"")</f>
      </c>
    </row>
    <row r="2274" spans="2:14" x14ac:dyDescent="0.25">
      <c r="B2274">
        <v>64</v>
      </c>
      <c r="C2274">
        <v>258.75000000000006</v>
      </c>
      <c r="D2274">
        <v>5</v>
      </c>
      <c r="E2274" s="18">
        <v>11264.270084318923</v>
      </c>
      <c r="F2274" s="18">
        <v>-3983.3188391512754</v>
      </c>
      <c r="G2274" s="18">
        <v>-821.8634724321919</v>
      </c>
      <c r="H2274" s="12">
        <f>E2275</f>
      </c>
      <c r="I2274" s="12">
        <f>F2275</f>
      </c>
      <c r="J2274" s="12">
        <f>G2275</f>
      </c>
      <c r="K2274">
        <f>IF(AND(Pu&gt;=MIN(E2274,H2274),Pu&lt;=MAX(E2274,H2274),E2274&lt;&gt;H2274),1,0)</f>
      </c>
      <c r="L2274">
        <f>IF(K2274=1,(Pu-E2274)/(H2274-E2274),"")</f>
      </c>
      <c r="M2274" s="12">
        <f>IF(K2274=1,F2274+L2274*(I2274-F2274),"")</f>
      </c>
      <c r="N2274" s="12">
        <f>IF(K2274=1,G2274+L2274*(J2274-G2274),"")</f>
      </c>
    </row>
    <row r="2275" spans="2:14" x14ac:dyDescent="0.25">
      <c r="B2275">
        <v>64</v>
      </c>
      <c r="C2275">
        <v>258.75000000000006</v>
      </c>
      <c r="D2275">
        <v>6</v>
      </c>
      <c r="E2275" s="18">
        <v>9996.123651293996</v>
      </c>
      <c r="F2275" s="18">
        <v>-4152.588385755386</v>
      </c>
      <c r="G2275" s="18">
        <v>-849.7102332904569</v>
      </c>
      <c r="H2275" s="12">
        <f>E2276</f>
      </c>
      <c r="I2275" s="12">
        <f>F2276</f>
      </c>
      <c r="J2275" s="12">
        <f>G2276</f>
      </c>
      <c r="K2275">
        <f>IF(AND(Pu&gt;=MIN(E2275,H2275),Pu&lt;=MAX(E2275,H2275),E2275&lt;&gt;H2275),1,0)</f>
      </c>
      <c r="L2275">
        <f>IF(K2275=1,(Pu-E2275)/(H2275-E2275),"")</f>
      </c>
      <c r="M2275" s="12">
        <f>IF(K2275=1,F2275+L2275*(I2275-F2275),"")</f>
      </c>
      <c r="N2275" s="12">
        <f>IF(K2275=1,G2275+L2275*(J2275-G2275),"")</f>
      </c>
    </row>
    <row r="2276" spans="2:14" x14ac:dyDescent="0.25">
      <c r="B2276">
        <v>64</v>
      </c>
      <c r="C2276">
        <v>258.75000000000006</v>
      </c>
      <c r="D2276">
        <v>7</v>
      </c>
      <c r="E2276" s="18">
        <v>9089.590677847846</v>
      </c>
      <c r="F2276" s="18">
        <v>-4246.716281637672</v>
      </c>
      <c r="G2276" s="18">
        <v>-888.3907361739456</v>
      </c>
      <c r="H2276" s="12">
        <f>E2277</f>
      </c>
      <c r="I2276" s="12">
        <f>F2277</f>
      </c>
      <c r="J2276" s="12">
        <f>G2277</f>
      </c>
      <c r="K2276">
        <f>IF(AND(Pu&gt;=MIN(E2276,H2276),Pu&lt;=MAX(E2276,H2276),E2276&lt;&gt;H2276),1,0)</f>
      </c>
      <c r="L2276">
        <f>IF(K2276=1,(Pu-E2276)/(H2276-E2276),"")</f>
      </c>
      <c r="M2276" s="12">
        <f>IF(K2276=1,F2276+L2276*(I2276-F2276),"")</f>
      </c>
      <c r="N2276" s="12">
        <f>IF(K2276=1,G2276+L2276*(J2276-G2276),"")</f>
      </c>
    </row>
    <row r="2277" spans="2:14" x14ac:dyDescent="0.25">
      <c r="B2277">
        <v>64</v>
      </c>
      <c r="C2277">
        <v>258.75000000000006</v>
      </c>
      <c r="D2277">
        <v>8</v>
      </c>
      <c r="E2277" s="18">
        <v>8968.568382833659</v>
      </c>
      <c r="F2277" s="18">
        <v>-4301.677585630804</v>
      </c>
      <c r="G2277" s="18">
        <v>-900.2478103025828</v>
      </c>
      <c r="H2277" s="12">
        <f>E2278</f>
      </c>
      <c r="I2277" s="12">
        <f>F2278</f>
      </c>
      <c r="J2277" s="12">
        <f>G2278</f>
      </c>
      <c r="K2277">
        <f>IF(AND(Pu&gt;=MIN(E2277,H2277),Pu&lt;=MAX(E2277,H2277),E2277&lt;&gt;H2277),1,0)</f>
      </c>
      <c r="L2277">
        <f>IF(K2277=1,(Pu-E2277)/(H2277-E2277),"")</f>
      </c>
      <c r="M2277" s="12">
        <f>IF(K2277=1,F2277+L2277*(I2277-F2277),"")</f>
      </c>
      <c r="N2277" s="12">
        <f>IF(K2277=1,G2277+L2277*(J2277-G2277),"")</f>
      </c>
    </row>
    <row r="2278" spans="2:14" x14ac:dyDescent="0.25">
      <c r="B2278">
        <v>64</v>
      </c>
      <c r="C2278">
        <v>258.75000000000006</v>
      </c>
      <c r="D2278">
        <v>9</v>
      </c>
      <c r="E2278" s="18">
        <v>8624.481031018418</v>
      </c>
      <c r="F2278" s="18">
        <v>-4452.368642622155</v>
      </c>
      <c r="G2278" s="18">
        <v>-932.7718411391137</v>
      </c>
      <c r="H2278" s="12">
        <f>E2279</f>
      </c>
      <c r="I2278" s="12">
        <f>F2279</f>
      </c>
      <c r="J2278" s="12">
        <f>G2279</f>
      </c>
      <c r="K2278">
        <f>IF(AND(Pu&gt;=MIN(E2278,H2278),Pu&lt;=MAX(E2278,H2278),E2278&lt;&gt;H2278),1,0)</f>
      </c>
      <c r="L2278">
        <f>IF(K2278=1,(Pu-E2278)/(H2278-E2278),"")</f>
      </c>
      <c r="M2278" s="12">
        <f>IF(K2278=1,F2278+L2278*(I2278-F2278),"")</f>
      </c>
      <c r="N2278" s="12">
        <f>IF(K2278=1,G2278+L2278*(J2278-G2278),"")</f>
      </c>
    </row>
    <row r="2279" spans="2:14" x14ac:dyDescent="0.25">
      <c r="B2279">
        <v>64</v>
      </c>
      <c r="C2279">
        <v>258.75000000000006</v>
      </c>
      <c r="D2279">
        <v>10</v>
      </c>
      <c r="E2279" s="18">
        <v>8430.589065735247</v>
      </c>
      <c r="F2279" s="18">
        <v>-4532.485709982972</v>
      </c>
      <c r="G2279" s="18">
        <v>-953.4257423003336</v>
      </c>
      <c r="H2279" s="12">
        <f>E2280</f>
      </c>
      <c r="I2279" s="12">
        <f>F2280</f>
      </c>
      <c r="J2279" s="12">
        <f>G2280</f>
      </c>
      <c r="K2279">
        <f>IF(AND(Pu&gt;=MIN(E2279,H2279),Pu&lt;=MAX(E2279,H2279),E2279&lt;&gt;H2279),1,0)</f>
      </c>
      <c r="L2279">
        <f>IF(K2279=1,(Pu-E2279)/(H2279-E2279),"")</f>
      </c>
      <c r="M2279" s="12">
        <f>IF(K2279=1,F2279+L2279*(I2279-F2279),"")</f>
      </c>
      <c r="N2279" s="12">
        <f>IF(K2279=1,G2279+L2279*(J2279-G2279),"")</f>
      </c>
    </row>
    <row r="2280" spans="2:14" x14ac:dyDescent="0.25">
      <c r="B2280">
        <v>64</v>
      </c>
      <c r="C2280">
        <v>258.75000000000006</v>
      </c>
      <c r="D2280">
        <v>11</v>
      </c>
      <c r="E2280" s="18">
        <v>8245.335152608859</v>
      </c>
      <c r="F2280" s="18">
        <v>-4604.882627846392</v>
      </c>
      <c r="G2280" s="18">
        <v>-979.7755807404744</v>
      </c>
      <c r="H2280" s="12">
        <f>E2281</f>
      </c>
      <c r="I2280" s="12">
        <f>F2281</f>
      </c>
      <c r="J2280" s="12">
        <f>G2281</f>
      </c>
      <c r="K2280">
        <f>IF(AND(Pu&gt;=MIN(E2280,H2280),Pu&lt;=MAX(E2280,H2280),E2280&lt;&gt;H2280),1,0)</f>
      </c>
      <c r="L2280">
        <f>IF(K2280=1,(Pu-E2280)/(H2280-E2280),"")</f>
      </c>
      <c r="M2280" s="12">
        <f>IF(K2280=1,F2280+L2280*(I2280-F2280),"")</f>
      </c>
      <c r="N2280" s="12">
        <f>IF(K2280=1,G2280+L2280*(J2280-G2280),"")</f>
      </c>
    </row>
    <row r="2281" spans="2:14" x14ac:dyDescent="0.25">
      <c r="B2281">
        <v>64</v>
      </c>
      <c r="C2281">
        <v>258.75000000000006</v>
      </c>
      <c r="D2281">
        <v>12</v>
      </c>
      <c r="E2281" s="18">
        <v>8046.305946895443</v>
      </c>
      <c r="F2281" s="18">
        <v>-4677.65807168834</v>
      </c>
      <c r="G2281" s="18">
        <v>-1009.7859436445602</v>
      </c>
      <c r="H2281" s="12">
        <f>E2282</f>
      </c>
      <c r="I2281" s="12">
        <f>F2282</f>
      </c>
      <c r="J2281" s="12">
        <f>G2282</f>
      </c>
      <c r="K2281">
        <f>IF(AND(Pu&gt;=MIN(E2281,H2281),Pu&lt;=MAX(E2281,H2281),E2281&lt;&gt;H2281),1,0)</f>
      </c>
      <c r="L2281">
        <f>IF(K2281=1,(Pu-E2281)/(H2281-E2281),"")</f>
      </c>
      <c r="M2281" s="12">
        <f>IF(K2281=1,F2281+L2281*(I2281-F2281),"")</f>
      </c>
      <c r="N2281" s="12">
        <f>IF(K2281=1,G2281+L2281*(J2281-G2281),"")</f>
      </c>
    </row>
    <row r="2282" spans="2:14" x14ac:dyDescent="0.25">
      <c r="B2282">
        <v>64</v>
      </c>
      <c r="C2282">
        <v>258.75000000000006</v>
      </c>
      <c r="D2282">
        <v>13</v>
      </c>
      <c r="E2282" s="18">
        <v>7968.925344753756</v>
      </c>
      <c r="F2282" s="18">
        <v>-4713.4093341252565</v>
      </c>
      <c r="G2282" s="18">
        <v>-1010.5460070140507</v>
      </c>
      <c r="H2282" s="12">
        <f>E2283</f>
      </c>
      <c r="I2282" s="12">
        <f>F2283</f>
      </c>
      <c r="J2282" s="12">
        <f>G2283</f>
      </c>
      <c r="K2282">
        <f>IF(AND(Pu&gt;=MIN(E2282,H2282),Pu&lt;=MAX(E2282,H2282),E2282&lt;&gt;H2282),1,0)</f>
      </c>
      <c r="L2282">
        <f>IF(K2282=1,(Pu-E2282)/(H2282-E2282),"")</f>
      </c>
      <c r="M2282" s="12">
        <f>IF(K2282=1,F2282+L2282*(I2282-F2282),"")</f>
      </c>
      <c r="N2282" s="12">
        <f>IF(K2282=1,G2282+L2282*(J2282-G2282),"")</f>
      </c>
    </row>
    <row r="2283" spans="2:14" x14ac:dyDescent="0.25">
      <c r="B2283">
        <v>64</v>
      </c>
      <c r="C2283">
        <v>258.75000000000006</v>
      </c>
      <c r="D2283">
        <v>14</v>
      </c>
      <c r="E2283" s="18">
        <v>7694.1546449298285</v>
      </c>
      <c r="F2283" s="18">
        <v>-4799.559044549446</v>
      </c>
      <c r="G2283" s="18">
        <v>-1044.4218373136523</v>
      </c>
      <c r="H2283" s="12">
        <f>E2284</f>
      </c>
      <c r="I2283" s="12">
        <f>F2284</f>
      </c>
      <c r="J2283" s="12">
        <f>G2284</f>
      </c>
      <c r="K2283">
        <f>IF(AND(Pu&gt;=MIN(E2283,H2283),Pu&lt;=MAX(E2283,H2283),E2283&lt;&gt;H2283),1,0)</f>
      </c>
      <c r="L2283">
        <f>IF(K2283=1,(Pu-E2283)/(H2283-E2283),"")</f>
      </c>
      <c r="M2283" s="12">
        <f>IF(K2283=1,F2283+L2283*(I2283-F2283),"")</f>
      </c>
      <c r="N2283" s="12">
        <f>IF(K2283=1,G2283+L2283*(J2283-G2283),"")</f>
      </c>
    </row>
    <row r="2284" spans="2:14" x14ac:dyDescent="0.25">
      <c r="B2284">
        <v>64</v>
      </c>
      <c r="C2284">
        <v>258.75000000000006</v>
      </c>
      <c r="D2284">
        <v>15</v>
      </c>
      <c r="E2284" s="18">
        <v>7683.608975461969</v>
      </c>
      <c r="F2284" s="18">
        <v>-4802.550066448876</v>
      </c>
      <c r="G2284" s="18">
        <v>-1045.8256694703457</v>
      </c>
      <c r="H2284" s="12">
        <f>E2285</f>
      </c>
      <c r="I2284" s="12">
        <f>F2285</f>
      </c>
      <c r="J2284" s="12">
        <f>G2285</f>
      </c>
      <c r="K2284">
        <f>IF(AND(Pu&gt;=MIN(E2284,H2284),Pu&lt;=MAX(E2284,H2284),E2284&lt;&gt;H2284),1,0)</f>
      </c>
      <c r="L2284">
        <f>IF(K2284=1,(Pu-E2284)/(H2284-E2284),"")</f>
      </c>
      <c r="M2284" s="12">
        <f>IF(K2284=1,F2284+L2284*(I2284-F2284),"")</f>
      </c>
      <c r="N2284" s="12">
        <f>IF(K2284=1,G2284+L2284*(J2284-G2284),"")</f>
      </c>
    </row>
    <row r="2285" spans="2:14" x14ac:dyDescent="0.25">
      <c r="B2285">
        <v>64</v>
      </c>
      <c r="C2285">
        <v>258.75000000000006</v>
      </c>
      <c r="D2285">
        <v>16</v>
      </c>
      <c r="E2285" s="18">
        <v>7390.869080851162</v>
      </c>
      <c r="F2285" s="18">
        <v>-4878.912713131203</v>
      </c>
      <c r="G2285" s="18">
        <v>-1087.6450426691501</v>
      </c>
      <c r="H2285" s="12">
        <f>E2286</f>
      </c>
      <c r="I2285" s="12">
        <f>F2286</f>
      </c>
      <c r="J2285" s="12">
        <f>G2286</f>
      </c>
      <c r="K2285">
        <f>IF(AND(Pu&gt;=MIN(E2285,H2285),Pu&lt;=MAX(E2285,H2285),E2285&lt;&gt;H2285),1,0)</f>
      </c>
      <c r="L2285">
        <f>IF(K2285=1,(Pu-E2285)/(H2285-E2285),"")</f>
      </c>
      <c r="M2285" s="12">
        <f>IF(K2285=1,F2285+L2285*(I2285-F2285),"")</f>
      </c>
      <c r="N2285" s="12">
        <f>IF(K2285=1,G2285+L2285*(J2285-G2285),"")</f>
      </c>
    </row>
    <row r="2286" spans="2:14" x14ac:dyDescent="0.25">
      <c r="B2286">
        <v>64</v>
      </c>
      <c r="C2286">
        <v>258.75000000000006</v>
      </c>
      <c r="D2286">
        <v>17</v>
      </c>
      <c r="E2286" s="18">
        <v>7121.390564748023</v>
      </c>
      <c r="F2286" s="18">
        <v>-4945.916178921034</v>
      </c>
      <c r="G2286" s="18">
        <v>-1136.632861634581</v>
      </c>
      <c r="H2286" s="12">
        <f>E2287</f>
      </c>
      <c r="I2286" s="12">
        <f>F2287</f>
      </c>
      <c r="J2286" s="12">
        <f>G2287</f>
      </c>
      <c r="K2286">
        <f>IF(AND(Pu&gt;=MIN(E2286,H2286),Pu&lt;=MAX(E2286,H2286),E2286&lt;&gt;H2286),1,0)</f>
      </c>
      <c r="L2286">
        <f>IF(K2286=1,(Pu-E2286)/(H2286-E2286),"")</f>
      </c>
      <c r="M2286" s="12">
        <f>IF(K2286=1,F2286+L2286*(I2286-F2286),"")</f>
      </c>
      <c r="N2286" s="12">
        <f>IF(K2286=1,G2286+L2286*(J2286-G2286),"")</f>
      </c>
    </row>
    <row r="2287" spans="2:14" x14ac:dyDescent="0.25">
      <c r="B2287">
        <v>64</v>
      </c>
      <c r="C2287">
        <v>258.75000000000006</v>
      </c>
      <c r="D2287">
        <v>18</v>
      </c>
      <c r="E2287" s="18">
        <v>7002.909511011269</v>
      </c>
      <c r="F2287" s="18">
        <v>-4971.444248090723</v>
      </c>
      <c r="G2287" s="18">
        <v>-1148.0735041421117</v>
      </c>
      <c r="H2287" s="12">
        <f>E2288</f>
      </c>
      <c r="I2287" s="12">
        <f>F2288</f>
      </c>
      <c r="J2287" s="12">
        <f>G2288</f>
      </c>
      <c r="K2287">
        <f>IF(AND(Pu&gt;=MIN(E2287,H2287),Pu&lt;=MAX(E2287,H2287),E2287&lt;&gt;H2287),1,0)</f>
      </c>
      <c r="L2287">
        <f>IF(K2287=1,(Pu-E2287)/(H2287-E2287),"")</f>
      </c>
      <c r="M2287" s="12">
        <f>IF(K2287=1,F2287+L2287*(I2287-F2287),"")</f>
      </c>
      <c r="N2287" s="12">
        <f>IF(K2287=1,G2287+L2287*(J2287-G2287),"")</f>
      </c>
    </row>
    <row r="2288" spans="2:14" x14ac:dyDescent="0.25">
      <c r="B2288">
        <v>64</v>
      </c>
      <c r="C2288">
        <v>258.75000000000006</v>
      </c>
      <c r="D2288">
        <v>19</v>
      </c>
      <c r="E2288" s="18">
        <v>6852.244521915898</v>
      </c>
      <c r="F2288" s="18">
        <v>-5001.202622016974</v>
      </c>
      <c r="G2288" s="18">
        <v>-1161.9335542701476</v>
      </c>
      <c r="H2288" s="12">
        <f>E2289</f>
      </c>
      <c r="I2288" s="12">
        <f>F2289</f>
      </c>
      <c r="J2288" s="12">
        <f>G2289</f>
      </c>
      <c r="K2288">
        <f>IF(AND(Pu&gt;=MIN(E2288,H2288),Pu&lt;=MAX(E2288,H2288),E2288&lt;&gt;H2288),1,0)</f>
      </c>
      <c r="L2288">
        <f>IF(K2288=1,(Pu-E2288)/(H2288-E2288),"")</f>
      </c>
      <c r="M2288" s="12">
        <f>IF(K2288=1,F2288+L2288*(I2288-F2288),"")</f>
      </c>
      <c r="N2288" s="12">
        <f>IF(K2288=1,G2288+L2288*(J2288-G2288),"")</f>
      </c>
    </row>
    <row r="2289" spans="2:14" x14ac:dyDescent="0.25">
      <c r="B2289">
        <v>64</v>
      </c>
      <c r="C2289">
        <v>258.75000000000006</v>
      </c>
      <c r="D2289">
        <v>20</v>
      </c>
      <c r="E2289" s="18">
        <v>6616.769455114664</v>
      </c>
      <c r="F2289" s="18">
        <v>-5037.386591211393</v>
      </c>
      <c r="G2289" s="18">
        <v>-1201.5602846809252</v>
      </c>
      <c r="H2289" s="12">
        <f>E2290</f>
      </c>
      <c r="I2289" s="12">
        <f>F2290</f>
      </c>
      <c r="J2289" s="12">
        <f>G2290</f>
      </c>
      <c r="K2289">
        <f>IF(AND(Pu&gt;=MIN(E2289,H2289),Pu&lt;=MAX(E2289,H2289),E2289&lt;&gt;H2289),1,0)</f>
      </c>
      <c r="L2289">
        <f>IF(K2289=1,(Pu-E2289)/(H2289-E2289),"")</f>
      </c>
      <c r="M2289" s="12">
        <f>IF(K2289=1,F2289+L2289*(I2289-F2289),"")</f>
      </c>
      <c r="N2289" s="12">
        <f>IF(K2289=1,G2289+L2289*(J2289-G2289),"")</f>
      </c>
    </row>
    <row r="2290" spans="2:14" x14ac:dyDescent="0.25">
      <c r="B2290">
        <v>64</v>
      </c>
      <c r="C2290">
        <v>258.75000000000006</v>
      </c>
      <c r="D2290">
        <v>21</v>
      </c>
      <c r="E2290" s="18">
        <v>6601.301168973172</v>
      </c>
      <c r="F2290" s="18">
        <v>-5039.434939117218</v>
      </c>
      <c r="G2290" s="18">
        <v>-1204.4775586545495</v>
      </c>
      <c r="H2290" s="12">
        <f>E2291</f>
      </c>
      <c r="I2290" s="12">
        <f>F2291</f>
      </c>
      <c r="J2290" s="12">
        <f>G2291</f>
      </c>
      <c r="K2290">
        <f>IF(AND(Pu&gt;=MIN(E2290,H2290),Pu&lt;=MAX(E2290,H2290),E2290&lt;&gt;H2290),1,0)</f>
      </c>
      <c r="L2290">
        <f>IF(K2290=1,(Pu-E2290)/(H2290-E2290),"")</f>
      </c>
      <c r="M2290" s="12">
        <f>IF(K2290=1,F2290+L2290*(I2290-F2290),"")</f>
      </c>
      <c r="N2290" s="12">
        <f>IF(K2290=1,G2290+L2290*(J2290-G2290),"")</f>
      </c>
    </row>
    <row r="2291" spans="2:14" x14ac:dyDescent="0.25">
      <c r="B2291">
        <v>64</v>
      </c>
      <c r="C2291">
        <v>258.75000000000006</v>
      </c>
      <c r="D2291">
        <v>22</v>
      </c>
      <c r="E2291" s="18">
        <v>5939.341092451702</v>
      </c>
      <c r="F2291" s="18">
        <v>-4860.457107130527</v>
      </c>
      <c r="G2291" s="18">
        <v>-1222.1135608456577</v>
      </c>
      <c r="H2291" s="12">
        <f>E2292</f>
      </c>
      <c r="I2291" s="12">
        <f>F2292</f>
      </c>
      <c r="J2291" s="12">
        <f>G2292</f>
      </c>
      <c r="K2291">
        <f>IF(AND(Pu&gt;=MIN(E2291,H2291),Pu&lt;=MAX(E2291,H2291),E2291&lt;&gt;H2291),1,0)</f>
      </c>
      <c r="L2291">
        <f>IF(K2291=1,(Pu-E2291)/(H2291-E2291),"")</f>
      </c>
      <c r="M2291" s="12">
        <f>IF(K2291=1,F2291+L2291*(I2291-F2291),"")</f>
      </c>
      <c r="N2291" s="12">
        <f>IF(K2291=1,G2291+L2291*(J2291-G2291),"")</f>
      </c>
    </row>
    <row r="2292" spans="2:14" x14ac:dyDescent="0.25">
      <c r="B2292">
        <v>64</v>
      </c>
      <c r="C2292">
        <v>258.75000000000006</v>
      </c>
      <c r="D2292">
        <v>23</v>
      </c>
      <c r="E2292" s="18">
        <v>4652.013442352153</v>
      </c>
      <c r="F2292" s="18">
        <v>-4459.783923739458</v>
      </c>
      <c r="G2292" s="18">
        <v>-1257.1645981501802</v>
      </c>
      <c r="H2292" s="12">
        <f>E2293</f>
      </c>
      <c r="I2292" s="12">
        <f>F2293</f>
      </c>
      <c r="J2292" s="12">
        <f>G2293</f>
      </c>
      <c r="K2292">
        <f>IF(AND(Pu&gt;=MIN(E2292,H2292),Pu&lt;=MAX(E2292,H2292),E2292&lt;&gt;H2292),1,0)</f>
      </c>
      <c r="L2292">
        <f>IF(K2292=1,(Pu-E2292)/(H2292-E2292),"")</f>
      </c>
      <c r="M2292" s="12">
        <f>IF(K2292=1,F2292+L2292*(I2292-F2292),"")</f>
      </c>
      <c r="N2292" s="12">
        <f>IF(K2292=1,G2292+L2292*(J2292-G2292),"")</f>
      </c>
    </row>
    <row r="2293" spans="2:14" x14ac:dyDescent="0.25">
      <c r="B2293">
        <v>64</v>
      </c>
      <c r="C2293">
        <v>258.75000000000006</v>
      </c>
      <c r="D2293">
        <v>24</v>
      </c>
      <c r="E2293" s="18">
        <v>3587.6555360911593</v>
      </c>
      <c r="F2293" s="18">
        <v>-4069.009747752625</v>
      </c>
      <c r="G2293" s="18">
        <v>-1287.3812857778428</v>
      </c>
      <c r="H2293" s="12">
        <f>E2294</f>
      </c>
      <c r="I2293" s="12">
        <f>F2294</f>
      </c>
      <c r="J2293" s="12">
        <f>G2294</f>
      </c>
      <c r="K2293">
        <f>IF(AND(Pu&gt;=MIN(E2293,H2293),Pu&lt;=MAX(E2293,H2293),E2293&lt;&gt;H2293),1,0)</f>
      </c>
      <c r="L2293">
        <f>IF(K2293=1,(Pu-E2293)/(H2293-E2293),"")</f>
      </c>
      <c r="M2293" s="12">
        <f>IF(K2293=1,F2293+L2293*(I2293-F2293),"")</f>
      </c>
      <c r="N2293" s="12">
        <f>IF(K2293=1,G2293+L2293*(J2293-G2293),"")</f>
      </c>
    </row>
    <row r="2294" spans="2:14" x14ac:dyDescent="0.25">
      <c r="B2294">
        <v>64</v>
      </c>
      <c r="C2294">
        <v>258.75000000000006</v>
      </c>
      <c r="D2294">
        <v>25</v>
      </c>
      <c r="E2294" s="18">
        <v>2692.127841891622</v>
      </c>
      <c r="F2294" s="18">
        <v>-3714.734948147205</v>
      </c>
      <c r="G2294" s="18">
        <v>-1307.7576175561148</v>
      </c>
      <c r="H2294" s="12">
        <f>E2295</f>
      </c>
      <c r="I2294" s="12">
        <f>F2295</f>
      </c>
      <c r="J2294" s="12">
        <f>G2295</f>
      </c>
      <c r="K2294">
        <f>IF(AND(Pu&gt;=MIN(E2294,H2294),Pu&lt;=MAX(E2294,H2294),E2294&lt;&gt;H2294),1,0)</f>
      </c>
      <c r="L2294">
        <f>IF(K2294=1,(Pu-E2294)/(H2294-E2294),"")</f>
      </c>
      <c r="M2294" s="12">
        <f>IF(K2294=1,F2294+L2294*(I2294-F2294),"")</f>
      </c>
      <c r="N2294" s="12">
        <f>IF(K2294=1,G2294+L2294*(J2294-G2294),"")</f>
      </c>
    </row>
    <row r="2295" spans="2:14" x14ac:dyDescent="0.25">
      <c r="B2295">
        <v>64</v>
      </c>
      <c r="C2295">
        <v>258.75000000000006</v>
      </c>
      <c r="D2295">
        <v>26</v>
      </c>
      <c r="E2295" s="18">
        <v>1257.0782199742985</v>
      </c>
      <c r="F2295" s="18">
        <v>-3110.3479949949565</v>
      </c>
      <c r="G2295" s="18">
        <v>-1213.275727193455</v>
      </c>
      <c r="H2295" s="12">
        <f>E2296</f>
      </c>
      <c r="I2295" s="12">
        <f>F2296</f>
      </c>
      <c r="J2295" s="12">
        <f>G2296</f>
      </c>
      <c r="K2295">
        <f>IF(AND(Pu&gt;=MIN(E2295,H2295),Pu&lt;=MAX(E2295,H2295),E2295&lt;&gt;H2295),1,0)</f>
      </c>
      <c r="L2295">
        <f>IF(K2295=1,(Pu-E2295)/(H2295-E2295),"")</f>
      </c>
      <c r="M2295" s="12">
        <f>IF(K2295=1,F2295+L2295*(I2295-F2295),"")</f>
      </c>
      <c r="N2295" s="12">
        <f>IF(K2295=1,G2295+L2295*(J2295-G2295),"")</f>
      </c>
    </row>
    <row r="2296" spans="2:14" x14ac:dyDescent="0.25">
      <c r="B2296">
        <v>64</v>
      </c>
      <c r="C2296">
        <v>258.75000000000006</v>
      </c>
      <c r="D2296">
        <v>27</v>
      </c>
      <c r="E2296" s="18">
        <v>129.05643820055133</v>
      </c>
      <c r="F2296" s="18">
        <v>-2582.735943381908</v>
      </c>
      <c r="G2296" s="18">
        <v>-1105.109782289853</v>
      </c>
      <c r="H2296" s="12">
        <f>E2297</f>
      </c>
      <c r="I2296" s="12">
        <f>F2297</f>
      </c>
      <c r="J2296" s="12">
        <f>G2297</f>
      </c>
      <c r="K2296">
        <f>IF(AND(Pu&gt;=MIN(E2296,H2296),Pu&lt;=MAX(E2296,H2296),E2296&lt;&gt;H2296),1,0)</f>
      </c>
      <c r="L2296">
        <f>IF(K2296=1,(Pu-E2296)/(H2296-E2296),"")</f>
      </c>
      <c r="M2296" s="12">
        <f>IF(K2296=1,F2296+L2296*(I2296-F2296),"")</f>
      </c>
      <c r="N2296" s="12">
        <f>IF(K2296=1,G2296+L2296*(J2296-G2296),"")</f>
      </c>
    </row>
    <row r="2297" spans="2:14" x14ac:dyDescent="0.25">
      <c r="B2297">
        <v>64</v>
      </c>
      <c r="C2297">
        <v>258.75000000000006</v>
      </c>
      <c r="D2297">
        <v>28</v>
      </c>
      <c r="E2297" s="18">
        <v>-773.7644288828243</v>
      </c>
      <c r="F2297" s="18">
        <v>-2148.1773422341153</v>
      </c>
      <c r="G2297" s="18">
        <v>-976.8060300399407</v>
      </c>
      <c r="H2297" s="12">
        <f>E2298</f>
      </c>
      <c r="I2297" s="12">
        <f>F2298</f>
      </c>
      <c r="J2297" s="12">
        <f>G2298</f>
      </c>
      <c r="K2297">
        <f>IF(AND(Pu&gt;=MIN(E2297,H2297),Pu&lt;=MAX(E2297,H2297),E2297&lt;&gt;H2297),1,0)</f>
      </c>
      <c r="L2297">
        <f>IF(K2297=1,(Pu-E2297)/(H2297-E2297),"")</f>
      </c>
      <c r="M2297" s="12">
        <f>IF(K2297=1,F2297+L2297*(I2297-F2297),"")</f>
      </c>
      <c r="N2297" s="12">
        <f>IF(K2297=1,G2297+L2297*(J2297-G2297),"")</f>
      </c>
    </row>
    <row r="2298" spans="2:14" x14ac:dyDescent="0.25">
      <c r="B2298">
        <v>64</v>
      </c>
      <c r="C2298">
        <v>258.75000000000006</v>
      </c>
      <c r="D2298">
        <v>29</v>
      </c>
      <c r="E2298" s="18">
        <v>-1481.0412734858758</v>
      </c>
      <c r="F2298" s="18">
        <v>-1804.0775847937039</v>
      </c>
      <c r="G2298" s="18">
        <v>-853.1452187201253</v>
      </c>
      <c r="H2298" s="12">
        <f>E2299</f>
      </c>
      <c r="I2298" s="12">
        <f>F2299</f>
      </c>
      <c r="J2298" s="12">
        <f>G2299</f>
      </c>
      <c r="K2298">
        <f>IF(AND(Pu&gt;=MIN(E2298,H2298),Pu&lt;=MAX(E2298,H2298),E2298&lt;&gt;H2298),1,0)</f>
      </c>
      <c r="L2298">
        <f>IF(K2298=1,(Pu-E2298)/(H2298-E2298),"")</f>
      </c>
      <c r="M2298" s="12">
        <f>IF(K2298=1,F2298+L2298*(I2298-F2298),"")</f>
      </c>
      <c r="N2298" s="12">
        <f>IF(K2298=1,G2298+L2298*(J2298-G2298),"")</f>
      </c>
    </row>
    <row r="2299" spans="2:14" x14ac:dyDescent="0.25">
      <c r="B2299">
        <v>64</v>
      </c>
      <c r="C2299">
        <v>258.75000000000006</v>
      </c>
      <c r="D2299">
        <v>30</v>
      </c>
      <c r="E2299" s="18">
        <v>-2571.110443815297</v>
      </c>
      <c r="F2299" s="18">
        <v>-1263.7538103027946</v>
      </c>
      <c r="G2299" s="18">
        <v>-666.6537301312129</v>
      </c>
      <c r="H2299" s="12">
        <f>E2300</f>
      </c>
      <c r="I2299" s="12">
        <f>F2300</f>
      </c>
      <c r="J2299" s="12">
        <f>G2300</f>
      </c>
      <c r="K2299">
        <f>IF(AND(Pu&gt;=MIN(E2299,H2299),Pu&lt;=MAX(E2299,H2299),E2299&lt;&gt;H2299),1,0)</f>
      </c>
      <c r="L2299">
        <f>IF(K2299=1,(Pu-E2299)/(H2299-E2299),"")</f>
      </c>
      <c r="M2299" s="12">
        <f>IF(K2299=1,F2299+L2299*(I2299-F2299),"")</f>
      </c>
      <c r="N2299" s="12">
        <f>IF(K2299=1,G2299+L2299*(J2299-G2299),"")</f>
      </c>
    </row>
    <row r="2300" spans="2:14" x14ac:dyDescent="0.25">
      <c r="B2300">
        <v>64</v>
      </c>
      <c r="C2300">
        <v>258.75000000000006</v>
      </c>
      <c r="D2300">
        <v>31</v>
      </c>
      <c r="E2300" s="18">
        <v>-3227.853739921249</v>
      </c>
      <c r="F2300" s="18">
        <v>-917.8558065467706</v>
      </c>
      <c r="G2300" s="18">
        <v>-557.1441676807268</v>
      </c>
      <c r="H2300" s="12">
        <f>E2301</f>
      </c>
      <c r="I2300" s="12">
        <f>F2301</f>
      </c>
      <c r="J2300" s="12">
        <f>G2301</f>
      </c>
      <c r="K2300">
        <f>IF(AND(Pu&gt;=MIN(E2300,H2300),Pu&lt;=MAX(E2300,H2300),E2300&lt;&gt;H2300),1,0)</f>
      </c>
      <c r="L2300">
        <f>IF(K2300=1,(Pu-E2300)/(H2300-E2300),"")</f>
      </c>
      <c r="M2300" s="12">
        <f>IF(K2300=1,F2300+L2300*(I2300-F2300),"")</f>
      </c>
      <c r="N2300" s="12">
        <f>IF(K2300=1,G2300+L2300*(J2300-G2300),"")</f>
      </c>
    </row>
    <row r="2301" spans="2:14" x14ac:dyDescent="0.25">
      <c r="B2301">
        <v>64</v>
      </c>
      <c r="C2301">
        <v>258.75000000000006</v>
      </c>
      <c r="D2301">
        <v>32</v>
      </c>
      <c r="E2301" s="18">
        <v>-3962.9541648549452</v>
      </c>
      <c r="F2301" s="18">
        <v>-525.5988107326519</v>
      </c>
      <c r="G2301" s="18">
        <v>-376.0885982877781</v>
      </c>
      <c r="H2301" s="12">
        <f>E2302</f>
      </c>
      <c r="I2301" s="12">
        <f>F2302</f>
      </c>
      <c r="J2301" s="12">
        <f>G2302</f>
      </c>
      <c r="K2301">
        <f>IF(AND(Pu&gt;=MIN(E2301,H2301),Pu&lt;=MAX(E2301,H2301),E2301&lt;&gt;H2301),1,0)</f>
      </c>
      <c r="L2301">
        <f>IF(K2301=1,(Pu-E2301)/(H2301-E2301),"")</f>
      </c>
      <c r="M2301" s="12">
        <f>IF(K2301=1,F2301+L2301*(I2301-F2301),"")</f>
      </c>
      <c r="N2301" s="12">
        <f>IF(K2301=1,G2301+L2301*(J2301-G2301),"")</f>
      </c>
    </row>
    <row r="2302" spans="2:14" x14ac:dyDescent="0.25">
      <c r="B2302">
        <v>64</v>
      </c>
      <c r="C2302">
        <v>258.75000000000006</v>
      </c>
      <c r="D2302">
        <v>33</v>
      </c>
      <c r="E2302" s="18">
        <v>-4366.76059092374</v>
      </c>
      <c r="F2302" s="18">
        <v>-307.9648341597316</v>
      </c>
      <c r="G2302" s="18">
        <v>-241.24064474914988</v>
      </c>
      <c r="H2302" s="12">
        <f>E2303</f>
      </c>
      <c r="I2302" s="12">
        <f>F2303</f>
      </c>
      <c r="J2302" s="12">
        <f>G2303</f>
      </c>
      <c r="K2302">
        <f>IF(AND(Pu&gt;=MIN(E2302,H2302),Pu&lt;=MAX(E2302,H2302),E2302&lt;&gt;H2302),1,0)</f>
      </c>
      <c r="L2302">
        <f>IF(K2302=1,(Pu-E2302)/(H2302-E2302),"")</f>
      </c>
      <c r="M2302" s="12">
        <f>IF(K2302=1,F2302+L2302*(I2302-F2302),"")</f>
      </c>
      <c r="N2302" s="12">
        <f>IF(K2302=1,G2302+L2302*(J2302-G2302),"")</f>
      </c>
    </row>
    <row r="2303" spans="2:14" x14ac:dyDescent="0.25">
      <c r="B2303">
        <v>64</v>
      </c>
      <c r="C2303">
        <v>258.75000000000006</v>
      </c>
      <c r="D2303">
        <v>34</v>
      </c>
      <c r="E2303" s="18">
        <v>-4766.35784458127</v>
      </c>
      <c r="F2303" s="18">
        <v>-90.28493324606545</v>
      </c>
      <c r="G2303" s="18">
        <v>-76.22235532860013</v>
      </c>
      <c r="H2303" s="12">
        <f>E2304</f>
      </c>
      <c r="I2303" s="12">
        <f>F2304</f>
      </c>
      <c r="J2303" s="12">
        <f>G2304</f>
      </c>
      <c r="K2303">
        <f>IF(AND(Pu&gt;=MIN(E2303,H2303),Pu&lt;=MAX(E2303,H2303),E2303&lt;&gt;H2303),1,0)</f>
      </c>
      <c r="L2303">
        <f>IF(K2303=1,(Pu-E2303)/(H2303-E2303),"")</f>
      </c>
      <c r="M2303" s="12">
        <f>IF(K2303=1,F2303+L2303*(I2303-F2303),"")</f>
      </c>
      <c r="N2303" s="12">
        <f>IF(K2303=1,G2303+L2303*(J2303-G2303),"")</f>
      </c>
    </row>
    <row r="2304" spans="2:7" x14ac:dyDescent="0.25">
      <c r="B2304">
        <v>64</v>
      </c>
      <c r="C2304">
        <v>258.75000000000006</v>
      </c>
      <c r="D2304">
        <v>35</v>
      </c>
      <c r="E2304" s="18">
        <v>-4832.575134548201</v>
      </c>
      <c r="F2304" s="18">
        <v>-52.3033839150499</v>
      </c>
      <c r="G2304" s="18">
        <v>-45.09713177194269</v>
      </c>
    </row>
    <row r="2306" spans="2:14" x14ac:dyDescent="0.25">
      <c r="B2306">
        <v>65</v>
      </c>
      <c r="C2306">
        <v>262.50000000000006</v>
      </c>
      <c r="D2306">
        <v>1</v>
      </c>
      <c r="E2306" s="18">
        <v>16783.311291715534</v>
      </c>
      <c r="F2306" s="18">
        <v>-2525.963365155481</v>
      </c>
      <c r="G2306" s="18">
        <v>-591.2537739247883</v>
      </c>
      <c r="H2306" s="12">
        <f>E2307</f>
      </c>
      <c r="I2306" s="12">
        <f>F2307</f>
      </c>
      <c r="J2306" s="12">
        <f>G2307</f>
      </c>
      <c r="K2306">
        <f>IF(AND(Pu&gt;=MIN(E2306,H2306),Pu&lt;=MAX(E2306,H2306),E2306&lt;&gt;H2306),1,0)</f>
      </c>
      <c r="L2306">
        <f>IF(K2306=1,(Pu-E2306)/(H2306-E2306),"")</f>
      </c>
      <c r="M2306" s="12">
        <f>IF(K2306=1,F2306+L2306*(I2306-F2306),"")</f>
      </c>
      <c r="N2306" s="12">
        <f>IF(K2306=1,G2306+L2306*(J2306-G2306),"")</f>
      </c>
    </row>
    <row r="2307" spans="2:14" x14ac:dyDescent="0.25">
      <c r="B2307">
        <v>65</v>
      </c>
      <c r="C2307">
        <v>262.50000000000006</v>
      </c>
      <c r="D2307">
        <v>2</v>
      </c>
      <c r="E2307" s="18">
        <v>15373.286133338692</v>
      </c>
      <c r="F2307" s="18">
        <v>-3058.9708526525123</v>
      </c>
      <c r="G2307" s="18">
        <v>-519.9861585847701</v>
      </c>
      <c r="H2307" s="12">
        <f>E2308</f>
      </c>
      <c r="I2307" s="12">
        <f>F2308</f>
      </c>
      <c r="J2307" s="12">
        <f>G2308</f>
      </c>
      <c r="K2307">
        <f>IF(AND(Pu&gt;=MIN(E2307,H2307),Pu&lt;=MAX(E2307,H2307),E2307&lt;&gt;H2307),1,0)</f>
      </c>
      <c r="L2307">
        <f>IF(K2307=1,(Pu-E2307)/(H2307-E2307),"")</f>
      </c>
      <c r="M2307" s="12">
        <f>IF(K2307=1,F2307+L2307*(I2307-F2307),"")</f>
      </c>
      <c r="N2307" s="12">
        <f>IF(K2307=1,G2307+L2307*(J2307-G2307),"")</f>
      </c>
    </row>
    <row r="2308" spans="2:14" x14ac:dyDescent="0.25">
      <c r="B2308">
        <v>65</v>
      </c>
      <c r="C2308">
        <v>262.50000000000006</v>
      </c>
      <c r="D2308">
        <v>3</v>
      </c>
      <c r="E2308" s="18">
        <v>14282.314957005565</v>
      </c>
      <c r="F2308" s="18">
        <v>-3401.278797212361</v>
      </c>
      <c r="G2308" s="18">
        <v>-496.0259256251076</v>
      </c>
      <c r="H2308" s="12">
        <f>E2309</f>
      </c>
      <c r="I2308" s="12">
        <f>F2309</f>
      </c>
      <c r="J2308" s="12">
        <f>G2309</f>
      </c>
      <c r="K2308">
        <f>IF(AND(Pu&gt;=MIN(E2308,H2308),Pu&lt;=MAX(E2308,H2308),E2308&lt;&gt;H2308),1,0)</f>
      </c>
      <c r="L2308">
        <f>IF(K2308=1,(Pu-E2308)/(H2308-E2308),"")</f>
      </c>
      <c r="M2308" s="12">
        <f>IF(K2308=1,F2308+L2308*(I2308-F2308),"")</f>
      </c>
      <c r="N2308" s="12">
        <f>IF(K2308=1,G2308+L2308*(J2308-G2308),"")</f>
      </c>
    </row>
    <row r="2309" spans="2:14" x14ac:dyDescent="0.25">
      <c r="B2309">
        <v>65</v>
      </c>
      <c r="C2309">
        <v>262.50000000000006</v>
      </c>
      <c r="D2309">
        <v>4</v>
      </c>
      <c r="E2309" s="18">
        <v>12608.070249226412</v>
      </c>
      <c r="F2309" s="18">
        <v>-3803.0592584838664</v>
      </c>
      <c r="G2309" s="18">
        <v>-519.8314751403717</v>
      </c>
      <c r="H2309" s="12">
        <f>E2310</f>
      </c>
      <c r="I2309" s="12">
        <f>F2310</f>
      </c>
      <c r="J2309" s="12">
        <f>G2310</f>
      </c>
      <c r="K2309">
        <f>IF(AND(Pu&gt;=MIN(E2309,H2309),Pu&lt;=MAX(E2309,H2309),E2309&lt;&gt;H2309),1,0)</f>
      </c>
      <c r="L2309">
        <f>IF(K2309=1,(Pu-E2309)/(H2309-E2309),"")</f>
      </c>
      <c r="M2309" s="12">
        <f>IF(K2309=1,F2309+L2309*(I2309-F2309),"")</f>
      </c>
      <c r="N2309" s="12">
        <f>IF(K2309=1,G2309+L2309*(J2309-G2309),"")</f>
      </c>
    </row>
    <row r="2310" spans="2:14" x14ac:dyDescent="0.25">
      <c r="B2310">
        <v>65</v>
      </c>
      <c r="C2310">
        <v>262.50000000000006</v>
      </c>
      <c r="D2310">
        <v>5</v>
      </c>
      <c r="E2310" s="18">
        <v>11178.378356825646</v>
      </c>
      <c r="F2310" s="18">
        <v>-4055.7792964663195</v>
      </c>
      <c r="G2310" s="18">
        <v>-548.2872052137442</v>
      </c>
      <c r="H2310" s="12">
        <f>E2311</f>
      </c>
      <c r="I2310" s="12">
        <f>F2311</f>
      </c>
      <c r="J2310" s="12">
        <f>G2311</f>
      </c>
      <c r="K2310">
        <f>IF(AND(Pu&gt;=MIN(E2310,H2310),Pu&lt;=MAX(E2310,H2310),E2310&lt;&gt;H2310),1,0)</f>
      </c>
      <c r="L2310">
        <f>IF(K2310=1,(Pu-E2310)/(H2310-E2310),"")</f>
      </c>
      <c r="M2310" s="12">
        <f>IF(K2310=1,F2310+L2310*(I2310-F2310),"")</f>
      </c>
      <c r="N2310" s="12">
        <f>IF(K2310=1,G2310+L2310*(J2310-G2310),"")</f>
      </c>
    </row>
    <row r="2311" spans="2:14" x14ac:dyDescent="0.25">
      <c r="B2311">
        <v>65</v>
      </c>
      <c r="C2311">
        <v>262.50000000000006</v>
      </c>
      <c r="D2311">
        <v>6</v>
      </c>
      <c r="E2311" s="18">
        <v>9950.296518298674</v>
      </c>
      <c r="F2311" s="18">
        <v>-4223.348050319824</v>
      </c>
      <c r="G2311" s="18">
        <v>-585.8076113315605</v>
      </c>
      <c r="H2311" s="12">
        <f>E2312</f>
      </c>
      <c r="I2311" s="12">
        <f>F2312</f>
      </c>
      <c r="J2311" s="12">
        <f>G2312</f>
      </c>
      <c r="K2311">
        <f>IF(AND(Pu&gt;=MIN(E2311,H2311),Pu&lt;=MAX(E2311,H2311),E2311&lt;&gt;H2311),1,0)</f>
      </c>
      <c r="L2311">
        <f>IF(K2311=1,(Pu-E2311)/(H2311-E2311),"")</f>
      </c>
      <c r="M2311" s="12">
        <f>IF(K2311=1,F2311+L2311*(I2311-F2311),"")</f>
      </c>
      <c r="N2311" s="12">
        <f>IF(K2311=1,G2311+L2311*(J2311-G2311),"")</f>
      </c>
    </row>
    <row r="2312" spans="2:14" x14ac:dyDescent="0.25">
      <c r="B2312">
        <v>65</v>
      </c>
      <c r="C2312">
        <v>262.50000000000006</v>
      </c>
      <c r="D2312">
        <v>7</v>
      </c>
      <c r="E2312" s="18">
        <v>9117.635316264068</v>
      </c>
      <c r="F2312" s="18">
        <v>-4319.94339771633</v>
      </c>
      <c r="G2312" s="18">
        <v>-598.3120274305003</v>
      </c>
      <c r="H2312" s="12">
        <f>E2313</f>
      </c>
      <c r="I2312" s="12">
        <f>F2313</f>
      </c>
      <c r="J2312" s="12">
        <f>G2313</f>
      </c>
      <c r="K2312">
        <f>IF(AND(Pu&gt;=MIN(E2312,H2312),Pu&lt;=MAX(E2312,H2312),E2312&lt;&gt;H2312),1,0)</f>
      </c>
      <c r="L2312">
        <f>IF(K2312=1,(Pu-E2312)/(H2312-E2312),"")</f>
      </c>
      <c r="M2312" s="12">
        <f>IF(K2312=1,F2312+L2312*(I2312-F2312),"")</f>
      </c>
      <c r="N2312" s="12">
        <f>IF(K2312=1,G2312+L2312*(J2312-G2312),"")</f>
      </c>
    </row>
    <row r="2313" spans="2:14" x14ac:dyDescent="0.25">
      <c r="B2313">
        <v>65</v>
      </c>
      <c r="C2313">
        <v>262.50000000000006</v>
      </c>
      <c r="D2313">
        <v>8</v>
      </c>
      <c r="E2313" s="18">
        <v>8976.388238169373</v>
      </c>
      <c r="F2313" s="18">
        <v>-4390.356707360262</v>
      </c>
      <c r="G2313" s="18">
        <v>-607.4308964249185</v>
      </c>
      <c r="H2313" s="12">
        <f>E2314</f>
      </c>
      <c r="I2313" s="12">
        <f>F2314</f>
      </c>
      <c r="J2313" s="12">
        <f>G2314</f>
      </c>
      <c r="K2313">
        <f>IF(AND(Pu&gt;=MIN(E2313,H2313),Pu&lt;=MAX(E2313,H2313),E2313&lt;&gt;H2313),1,0)</f>
      </c>
      <c r="L2313">
        <f>IF(K2313=1,(Pu-E2313)/(H2313-E2313),"")</f>
      </c>
      <c r="M2313" s="12">
        <f>IF(K2313=1,F2313+L2313*(I2313-F2313),"")</f>
      </c>
      <c r="N2313" s="12">
        <f>IF(K2313=1,G2313+L2313*(J2313-G2313),"")</f>
      </c>
    </row>
    <row r="2314" spans="2:14" x14ac:dyDescent="0.25">
      <c r="B2314">
        <v>65</v>
      </c>
      <c r="C2314">
        <v>262.50000000000006</v>
      </c>
      <c r="D2314">
        <v>9</v>
      </c>
      <c r="E2314" s="18">
        <v>8695.511322580403</v>
      </c>
      <c r="F2314" s="18">
        <v>-4526.187163597767</v>
      </c>
      <c r="G2314" s="18">
        <v>-623.6148632219514</v>
      </c>
      <c r="H2314" s="12">
        <f>E2315</f>
      </c>
      <c r="I2314" s="12">
        <f>F2315</f>
      </c>
      <c r="J2314" s="12">
        <f>G2315</f>
      </c>
      <c r="K2314">
        <f>IF(AND(Pu&gt;=MIN(E2314,H2314),Pu&lt;=MAX(E2314,H2314),E2314&lt;&gt;H2314),1,0)</f>
      </c>
      <c r="L2314">
        <f>IF(K2314=1,(Pu-E2314)/(H2314-E2314),"")</f>
      </c>
      <c r="M2314" s="12">
        <f>IF(K2314=1,F2314+L2314*(I2314-F2314),"")</f>
      </c>
      <c r="N2314" s="12">
        <f>IF(K2314=1,G2314+L2314*(J2314-G2314),"")</f>
      </c>
    </row>
    <row r="2315" spans="2:14" x14ac:dyDescent="0.25">
      <c r="B2315">
        <v>65</v>
      </c>
      <c r="C2315">
        <v>262.50000000000006</v>
      </c>
      <c r="D2315">
        <v>10</v>
      </c>
      <c r="E2315" s="18">
        <v>8515.478847474338</v>
      </c>
      <c r="F2315" s="18">
        <v>-4606.843932615644</v>
      </c>
      <c r="G2315" s="18">
        <v>-642.0947883592006</v>
      </c>
      <c r="H2315" s="12">
        <f>E2316</f>
      </c>
      <c r="I2315" s="12">
        <f>F2316</f>
      </c>
      <c r="J2315" s="12">
        <f>G2316</f>
      </c>
      <c r="K2315">
        <f>IF(AND(Pu&gt;=MIN(E2315,H2315),Pu&lt;=MAX(E2315,H2315),E2315&lt;&gt;H2315),1,0)</f>
      </c>
      <c r="L2315">
        <f>IF(K2315=1,(Pu-E2315)/(H2315-E2315),"")</f>
      </c>
      <c r="M2315" s="12">
        <f>IF(K2315=1,F2315+L2315*(I2315-F2315),"")</f>
      </c>
      <c r="N2315" s="12">
        <f>IF(K2315=1,G2315+L2315*(J2315-G2315),"")</f>
      </c>
    </row>
    <row r="2316" spans="2:14" x14ac:dyDescent="0.25">
      <c r="B2316">
        <v>65</v>
      </c>
      <c r="C2316">
        <v>262.50000000000006</v>
      </c>
      <c r="D2316">
        <v>11</v>
      </c>
      <c r="E2316" s="18">
        <v>8375.36507318265</v>
      </c>
      <c r="F2316" s="18">
        <v>-4665.802523242486</v>
      </c>
      <c r="G2316" s="18">
        <v>-660.1358162250981</v>
      </c>
      <c r="H2316" s="12">
        <f>E2317</f>
      </c>
      <c r="I2316" s="12">
        <f>F2317</f>
      </c>
      <c r="J2316" s="12">
        <f>G2317</f>
      </c>
      <c r="K2316">
        <f>IF(AND(Pu&gt;=MIN(E2316,H2316),Pu&lt;=MAX(E2316,H2316),E2316&lt;&gt;H2316),1,0)</f>
      </c>
      <c r="L2316">
        <f>IF(K2316=1,(Pu-E2316)/(H2316-E2316),"")</f>
      </c>
      <c r="M2316" s="12">
        <f>IF(K2316=1,F2316+L2316*(I2316-F2316),"")</f>
      </c>
      <c r="N2316" s="12">
        <f>IF(K2316=1,G2316+L2316*(J2316-G2316),"")</f>
      </c>
    </row>
    <row r="2317" spans="2:14" x14ac:dyDescent="0.25">
      <c r="B2317">
        <v>65</v>
      </c>
      <c r="C2317">
        <v>262.50000000000006</v>
      </c>
      <c r="D2317">
        <v>12</v>
      </c>
      <c r="E2317" s="18">
        <v>8156.366166184963</v>
      </c>
      <c r="F2317" s="18">
        <v>-4755.784701471264</v>
      </c>
      <c r="G2317" s="18">
        <v>-685.8633235042449</v>
      </c>
      <c r="H2317" s="12">
        <f>E2318</f>
      </c>
      <c r="I2317" s="12">
        <f>F2318</f>
      </c>
      <c r="J2317" s="12">
        <f>G2318</f>
      </c>
      <c r="K2317">
        <f>IF(AND(Pu&gt;=MIN(E2317,H2317),Pu&lt;=MAX(E2317,H2317),E2317&lt;&gt;H2317),1,0)</f>
      </c>
      <c r="L2317">
        <f>IF(K2317=1,(Pu-E2317)/(H2317-E2317),"")</f>
      </c>
      <c r="M2317" s="12">
        <f>IF(K2317=1,F2317+L2317*(I2317-F2317),"")</f>
      </c>
      <c r="N2317" s="12">
        <f>IF(K2317=1,G2317+L2317*(J2317-G2317),"")</f>
      </c>
    </row>
    <row r="2318" spans="2:14" x14ac:dyDescent="0.25">
      <c r="B2318">
        <v>65</v>
      </c>
      <c r="C2318">
        <v>262.50000000000006</v>
      </c>
      <c r="D2318">
        <v>13</v>
      </c>
      <c r="E2318" s="18">
        <v>8089.278857011077</v>
      </c>
      <c r="F2318" s="18">
        <v>-4783.394749382716</v>
      </c>
      <c r="G2318" s="18">
        <v>-689.8739752418614</v>
      </c>
      <c r="H2318" s="12">
        <f>E2319</f>
      </c>
      <c r="I2318" s="12">
        <f>F2319</f>
      </c>
      <c r="J2318" s="12">
        <f>G2319</f>
      </c>
      <c r="K2318">
        <f>IF(AND(Pu&gt;=MIN(E2318,H2318),Pu&lt;=MAX(E2318,H2318),E2318&lt;&gt;H2318),1,0)</f>
      </c>
      <c r="L2318">
        <f>IF(K2318=1,(Pu-E2318)/(H2318-E2318),"")</f>
      </c>
      <c r="M2318" s="12">
        <f>IF(K2318=1,F2318+L2318*(I2318-F2318),"")</f>
      </c>
      <c r="N2318" s="12">
        <f>IF(K2318=1,G2318+L2318*(J2318-G2318),"")</f>
      </c>
    </row>
    <row r="2319" spans="2:14" x14ac:dyDescent="0.25">
      <c r="B2319">
        <v>65</v>
      </c>
      <c r="C2319">
        <v>262.50000000000006</v>
      </c>
      <c r="D2319">
        <v>14</v>
      </c>
      <c r="E2319" s="18">
        <v>7831.868232785266</v>
      </c>
      <c r="F2319" s="18">
        <v>-4886.196734096988</v>
      </c>
      <c r="G2319" s="18">
        <v>-705.1883761145484</v>
      </c>
      <c r="H2319" s="12">
        <f>E2320</f>
      </c>
      <c r="I2319" s="12">
        <f>F2320</f>
      </c>
      <c r="J2319" s="12">
        <f>G2320</f>
      </c>
      <c r="K2319">
        <f>IF(AND(Pu&gt;=MIN(E2319,H2319),Pu&lt;=MAX(E2319,H2319),E2319&lt;&gt;H2319),1,0)</f>
      </c>
      <c r="L2319">
        <f>IF(K2319=1,(Pu-E2319)/(H2319-E2319),"")</f>
      </c>
      <c r="M2319" s="12">
        <f>IF(K2319=1,F2319+L2319*(I2319-F2319),"")</f>
      </c>
      <c r="N2319" s="12">
        <f>IF(K2319=1,G2319+L2319*(J2319-G2319),"")</f>
      </c>
    </row>
    <row r="2320" spans="2:14" x14ac:dyDescent="0.25">
      <c r="B2320">
        <v>65</v>
      </c>
      <c r="C2320">
        <v>262.50000000000006</v>
      </c>
      <c r="D2320">
        <v>15</v>
      </c>
      <c r="E2320" s="18">
        <v>7823.173457758006</v>
      </c>
      <c r="F2320" s="18">
        <v>-4889.586096813952</v>
      </c>
      <c r="G2320" s="18">
        <v>-705.7022000096457</v>
      </c>
      <c r="H2320" s="12">
        <f>E2321</f>
      </c>
      <c r="I2320" s="12">
        <f>F2321</f>
      </c>
      <c r="J2320" s="12">
        <f>G2321</f>
      </c>
      <c r="K2320">
        <f>IF(AND(Pu&gt;=MIN(E2320,H2320),Pu&lt;=MAX(E2320,H2320),E2320&lt;&gt;H2320),1,0)</f>
      </c>
      <c r="L2320">
        <f>IF(K2320=1,(Pu-E2320)/(H2320-E2320),"")</f>
      </c>
      <c r="M2320" s="12">
        <f>IF(K2320=1,F2320+L2320*(I2320-F2320),"")</f>
      </c>
      <c r="N2320" s="12">
        <f>IF(K2320=1,G2320+L2320*(J2320-G2320),"")</f>
      </c>
    </row>
    <row r="2321" spans="2:14" x14ac:dyDescent="0.25">
      <c r="B2321">
        <v>65</v>
      </c>
      <c r="C2321">
        <v>262.50000000000006</v>
      </c>
      <c r="D2321">
        <v>16</v>
      </c>
      <c r="E2321" s="18">
        <v>7611.613220078187</v>
      </c>
      <c r="F2321" s="18">
        <v>-4988.74717144061</v>
      </c>
      <c r="G2321" s="18">
        <v>-719.9378198609495</v>
      </c>
      <c r="H2321" s="12">
        <f>E2322</f>
      </c>
      <c r="I2321" s="12">
        <f>F2322</f>
      </c>
      <c r="J2321" s="12">
        <f>G2322</f>
      </c>
      <c r="K2321">
        <f>IF(AND(Pu&gt;=MIN(E2321,H2321),Pu&lt;=MAX(E2321,H2321),E2321&lt;&gt;H2321),1,0)</f>
      </c>
      <c r="L2321">
        <f>IF(K2321=1,(Pu-E2321)/(H2321-E2321),"")</f>
      </c>
      <c r="M2321" s="12">
        <f>IF(K2321=1,F2321+L2321*(I2321-F2321),"")</f>
      </c>
      <c r="N2321" s="12">
        <f>IF(K2321=1,G2321+L2321*(J2321-G2321),"")</f>
      </c>
    </row>
    <row r="2322" spans="2:14" x14ac:dyDescent="0.25">
      <c r="B2322">
        <v>65</v>
      </c>
      <c r="C2322">
        <v>262.50000000000006</v>
      </c>
      <c r="D2322">
        <v>17</v>
      </c>
      <c r="E2322" s="18">
        <v>7364.724145568487</v>
      </c>
      <c r="F2322" s="18">
        <v>-5079.539515962104</v>
      </c>
      <c r="G2322" s="18">
        <v>-735.2677536916533</v>
      </c>
      <c r="H2322" s="12">
        <f>E2323</f>
      </c>
      <c r="I2322" s="12">
        <f>F2323</f>
      </c>
      <c r="J2322" s="12">
        <f>G2323</f>
      </c>
      <c r="K2322">
        <f>IF(AND(Pu&gt;=MIN(E2322,H2322),Pu&lt;=MAX(E2322,H2322),E2322&lt;&gt;H2322),1,0)</f>
      </c>
      <c r="L2322">
        <f>IF(K2322=1,(Pu-E2322)/(H2322-E2322),"")</f>
      </c>
      <c r="M2322" s="12">
        <f>IF(K2322=1,F2322+L2322*(I2322-F2322),"")</f>
      </c>
      <c r="N2322" s="12">
        <f>IF(K2322=1,G2322+L2322*(J2322-G2322),"")</f>
      </c>
    </row>
    <row r="2323" spans="2:14" x14ac:dyDescent="0.25">
      <c r="B2323">
        <v>65</v>
      </c>
      <c r="C2323">
        <v>262.50000000000006</v>
      </c>
      <c r="D2323">
        <v>18</v>
      </c>
      <c r="E2323" s="18">
        <v>7253.889623999678</v>
      </c>
      <c r="F2323" s="18">
        <v>-5119.25433152879</v>
      </c>
      <c r="G2323" s="18">
        <v>-754.2693046080183</v>
      </c>
      <c r="H2323" s="12">
        <f>E2324</f>
      </c>
      <c r="I2323" s="12">
        <f>F2324</f>
      </c>
      <c r="J2323" s="12">
        <f>G2324</f>
      </c>
      <c r="K2323">
        <f>IF(AND(Pu&gt;=MIN(E2323,H2323),Pu&lt;=MAX(E2323,H2323),E2323&lt;&gt;H2323),1,0)</f>
      </c>
      <c r="L2323">
        <f>IF(K2323=1,(Pu-E2323)/(H2323-E2323),"")</f>
      </c>
      <c r="M2323" s="12">
        <f>IF(K2323=1,F2323+L2323*(I2323-F2323),"")</f>
      </c>
      <c r="N2323" s="12">
        <f>IF(K2323=1,G2323+L2323*(J2323-G2323),"")</f>
      </c>
    </row>
    <row r="2324" spans="2:14" x14ac:dyDescent="0.25">
      <c r="B2324">
        <v>65</v>
      </c>
      <c r="C2324">
        <v>262.50000000000006</v>
      </c>
      <c r="D2324">
        <v>19</v>
      </c>
      <c r="E2324" s="18">
        <v>7165.50094001048</v>
      </c>
      <c r="F2324" s="18">
        <v>-5152.51008196401</v>
      </c>
      <c r="G2324" s="18">
        <v>-763.2794715037126</v>
      </c>
      <c r="H2324" s="12">
        <f>E2325</f>
      </c>
      <c r="I2324" s="12">
        <f>F2325</f>
      </c>
      <c r="J2324" s="12">
        <f>G2325</f>
      </c>
      <c r="K2324">
        <f>IF(AND(Pu&gt;=MIN(E2324,H2324),Pu&lt;=MAX(E2324,H2324),E2324&lt;&gt;H2324),1,0)</f>
      </c>
      <c r="L2324">
        <f>IF(K2324=1,(Pu-E2324)/(H2324-E2324),"")</f>
      </c>
      <c r="M2324" s="12">
        <f>IF(K2324=1,F2324+L2324*(I2324-F2324),"")</f>
      </c>
      <c r="N2324" s="12">
        <f>IF(K2324=1,G2324+L2324*(J2324-G2324),"")</f>
      </c>
    </row>
    <row r="2325" spans="2:14" x14ac:dyDescent="0.25">
      <c r="B2325">
        <v>65</v>
      </c>
      <c r="C2325">
        <v>262.50000000000006</v>
      </c>
      <c r="D2325">
        <v>20</v>
      </c>
      <c r="E2325" s="18">
        <v>6977.856630387719</v>
      </c>
      <c r="F2325" s="18">
        <v>-5217.654827504135</v>
      </c>
      <c r="G2325" s="18">
        <v>-784.370537442248</v>
      </c>
      <c r="H2325" s="12">
        <f>E2326</f>
      </c>
      <c r="I2325" s="12">
        <f>F2326</f>
      </c>
      <c r="J2325" s="12">
        <f>G2326</f>
      </c>
      <c r="K2325">
        <f>IF(AND(Pu&gt;=MIN(E2325,H2325),Pu&lt;=MAX(E2325,H2325),E2325&lt;&gt;H2325),1,0)</f>
      </c>
      <c r="L2325">
        <f>IF(K2325=1,(Pu-E2325)/(H2325-E2325),"")</f>
      </c>
      <c r="M2325" s="12">
        <f>IF(K2325=1,F2325+L2325*(I2325-F2325),"")</f>
      </c>
      <c r="N2325" s="12">
        <f>IF(K2325=1,G2325+L2325*(J2325-G2325),"")</f>
      </c>
    </row>
    <row r="2326" spans="2:14" x14ac:dyDescent="0.25">
      <c r="B2326">
        <v>65</v>
      </c>
      <c r="C2326">
        <v>262.50000000000006</v>
      </c>
      <c r="D2326">
        <v>21</v>
      </c>
      <c r="E2326" s="18">
        <v>6968.465732816472</v>
      </c>
      <c r="F2326" s="18">
        <v>-5215.482928769719</v>
      </c>
      <c r="G2326" s="18">
        <v>-784.355193100959</v>
      </c>
      <c r="H2326" s="12">
        <f>E2327</f>
      </c>
      <c r="I2326" s="12">
        <f>F2327</f>
      </c>
      <c r="J2326" s="12">
        <f>G2327</f>
      </c>
      <c r="K2326">
        <f>IF(AND(Pu&gt;=MIN(E2326,H2326),Pu&lt;=MAX(E2326,H2326),E2326&lt;&gt;H2326),1,0)</f>
      </c>
      <c r="L2326">
        <f>IF(K2326=1,(Pu-E2326)/(H2326-E2326),"")</f>
      </c>
      <c r="M2326" s="12">
        <f>IF(K2326=1,F2326+L2326*(I2326-F2326),"")</f>
      </c>
      <c r="N2326" s="12">
        <f>IF(K2326=1,G2326+L2326*(J2326-G2326),"")</f>
      </c>
    </row>
    <row r="2327" spans="2:14" x14ac:dyDescent="0.25">
      <c r="B2327">
        <v>65</v>
      </c>
      <c r="C2327">
        <v>262.50000000000006</v>
      </c>
      <c r="D2327">
        <v>22</v>
      </c>
      <c r="E2327" s="18">
        <v>6341.765955305213</v>
      </c>
      <c r="F2327" s="18">
        <v>-5061.2521467628585</v>
      </c>
      <c r="G2327" s="18">
        <v>-791.4328049215045</v>
      </c>
      <c r="H2327" s="12">
        <f>E2328</f>
      </c>
      <c r="I2327" s="12">
        <f>F2328</f>
      </c>
      <c r="J2327" s="12">
        <f>G2328</f>
      </c>
      <c r="K2327">
        <f>IF(AND(Pu&gt;=MIN(E2327,H2327),Pu&lt;=MAX(E2327,H2327),E2327&lt;&gt;H2327),1,0)</f>
      </c>
      <c r="L2327">
        <f>IF(K2327=1,(Pu-E2327)/(H2327-E2327),"")</f>
      </c>
      <c r="M2327" s="12">
        <f>IF(K2327=1,F2327+L2327*(I2327-F2327),"")</f>
      </c>
      <c r="N2327" s="12">
        <f>IF(K2327=1,G2327+L2327*(J2327-G2327),"")</f>
      </c>
    </row>
    <row r="2328" spans="2:14" x14ac:dyDescent="0.25">
      <c r="B2328">
        <v>65</v>
      </c>
      <c r="C2328">
        <v>262.50000000000006</v>
      </c>
      <c r="D2328">
        <v>23</v>
      </c>
      <c r="E2328" s="18">
        <v>5245.196993671332</v>
      </c>
      <c r="F2328" s="18">
        <v>-4756.452301766887</v>
      </c>
      <c r="G2328" s="18">
        <v>-824.6260100392543</v>
      </c>
      <c r="H2328" s="12">
        <f>E2329</f>
      </c>
      <c r="I2328" s="12">
        <f>F2329</f>
      </c>
      <c r="J2328" s="12">
        <f>G2329</f>
      </c>
      <c r="K2328">
        <f>IF(AND(Pu&gt;=MIN(E2328,H2328),Pu&lt;=MAX(E2328,H2328),E2328&lt;&gt;H2328),1,0)</f>
      </c>
      <c r="L2328">
        <f>IF(K2328=1,(Pu-E2328)/(H2328-E2328),"")</f>
      </c>
      <c r="M2328" s="12">
        <f>IF(K2328=1,F2328+L2328*(I2328-F2328),"")</f>
      </c>
      <c r="N2328" s="12">
        <f>IF(K2328=1,G2328+L2328*(J2328-G2328),"")</f>
      </c>
    </row>
    <row r="2329" spans="2:14" x14ac:dyDescent="0.25">
      <c r="B2329">
        <v>65</v>
      </c>
      <c r="C2329">
        <v>262.50000000000006</v>
      </c>
      <c r="D2329">
        <v>24</v>
      </c>
      <c r="E2329" s="18">
        <v>4293.565399710409</v>
      </c>
      <c r="F2329" s="18">
        <v>-4419.3592743363915</v>
      </c>
      <c r="G2329" s="18">
        <v>-867.6453826913258</v>
      </c>
      <c r="H2329" s="12">
        <f>E2330</f>
      </c>
      <c r="I2329" s="12">
        <f>F2330</f>
      </c>
      <c r="J2329" s="12">
        <f>G2330</f>
      </c>
      <c r="K2329">
        <f>IF(AND(Pu&gt;=MIN(E2329,H2329),Pu&lt;=MAX(E2329,H2329),E2329&lt;&gt;H2329),1,0)</f>
      </c>
      <c r="L2329">
        <f>IF(K2329=1,(Pu-E2329)/(H2329-E2329),"")</f>
      </c>
      <c r="M2329" s="12">
        <f>IF(K2329=1,F2329+L2329*(I2329-F2329),"")</f>
      </c>
      <c r="N2329" s="12">
        <f>IF(K2329=1,G2329+L2329*(J2329-G2329),"")</f>
      </c>
    </row>
    <row r="2330" spans="2:14" x14ac:dyDescent="0.25">
      <c r="B2330">
        <v>65</v>
      </c>
      <c r="C2330">
        <v>262.50000000000006</v>
      </c>
      <c r="D2330">
        <v>25</v>
      </c>
      <c r="E2330" s="18">
        <v>3430.22624848723</v>
      </c>
      <c r="F2330" s="18">
        <v>-4093.0035655979427</v>
      </c>
      <c r="G2330" s="18">
        <v>-903.384607042714</v>
      </c>
      <c r="H2330" s="12">
        <f>E2331</f>
      </c>
      <c r="I2330" s="12">
        <f>F2331</f>
      </c>
      <c r="J2330" s="12">
        <f>G2331</f>
      </c>
      <c r="K2330">
        <f>IF(AND(Pu&gt;=MIN(E2330,H2330),Pu&lt;=MAX(E2330,H2330),E2330&lt;&gt;H2330),1,0)</f>
      </c>
      <c r="L2330">
        <f>IF(K2330=1,(Pu-E2330)/(H2330-E2330),"")</f>
      </c>
      <c r="M2330" s="12">
        <f>IF(K2330=1,F2330+L2330*(I2330-F2330),"")</f>
      </c>
      <c r="N2330" s="12">
        <f>IF(K2330=1,G2330+L2330*(J2330-G2330),"")</f>
      </c>
    </row>
    <row r="2331" spans="2:14" x14ac:dyDescent="0.25">
      <c r="B2331">
        <v>65</v>
      </c>
      <c r="C2331">
        <v>262.50000000000006</v>
      </c>
      <c r="D2331">
        <v>26</v>
      </c>
      <c r="E2331" s="18">
        <v>1984.1024818154542</v>
      </c>
      <c r="F2331" s="18">
        <v>-3505.8042283429627</v>
      </c>
      <c r="G2331" s="18">
        <v>-906.934081959485</v>
      </c>
      <c r="H2331" s="12">
        <f>E2332</f>
      </c>
      <c r="I2331" s="12">
        <f>F2332</f>
      </c>
      <c r="J2331" s="12">
        <f>G2332</f>
      </c>
      <c r="K2331">
        <f>IF(AND(Pu&gt;=MIN(E2331,H2331),Pu&lt;=MAX(E2331,H2331),E2331&lt;&gt;H2331),1,0)</f>
      </c>
      <c r="L2331">
        <f>IF(K2331=1,(Pu-E2331)/(H2331-E2331),"")</f>
      </c>
      <c r="M2331" s="12">
        <f>IF(K2331=1,F2331+L2331*(I2331-F2331),"")</f>
      </c>
      <c r="N2331" s="12">
        <f>IF(K2331=1,G2331+L2331*(J2331-G2331),"")</f>
      </c>
    </row>
    <row r="2332" spans="2:14" x14ac:dyDescent="0.25">
      <c r="B2332">
        <v>65</v>
      </c>
      <c r="C2332">
        <v>262.50000000000006</v>
      </c>
      <c r="D2332">
        <v>27</v>
      </c>
      <c r="E2332" s="18">
        <v>881.1741793269608</v>
      </c>
      <c r="F2332" s="18">
        <v>-3005.0803158525896</v>
      </c>
      <c r="G2332" s="18">
        <v>-814.4203679554012</v>
      </c>
      <c r="H2332" s="12">
        <f>E2333</f>
      </c>
      <c r="I2332" s="12">
        <f>F2333</f>
      </c>
      <c r="J2332" s="12">
        <f>G2333</f>
      </c>
      <c r="K2332">
        <f>IF(AND(Pu&gt;=MIN(E2332,H2332),Pu&lt;=MAX(E2332,H2332),E2332&lt;&gt;H2332),1,0)</f>
      </c>
      <c r="L2332">
        <f>IF(K2332=1,(Pu-E2332)/(H2332-E2332),"")</f>
      </c>
      <c r="M2332" s="12">
        <f>IF(K2332=1,F2332+L2332*(I2332-F2332),"")</f>
      </c>
      <c r="N2332" s="12">
        <f>IF(K2332=1,G2332+L2332*(J2332-G2332),"")</f>
      </c>
    </row>
    <row r="2333" spans="2:14" x14ac:dyDescent="0.25">
      <c r="B2333">
        <v>65</v>
      </c>
      <c r="C2333">
        <v>262.50000000000006</v>
      </c>
      <c r="D2333">
        <v>28</v>
      </c>
      <c r="E2333" s="18">
        <v>-34.63383825256526</v>
      </c>
      <c r="F2333" s="18">
        <v>-2570.554599725515</v>
      </c>
      <c r="G2333" s="18">
        <v>-727.103192229381</v>
      </c>
      <c r="H2333" s="12">
        <f>E2334</f>
      </c>
      <c r="I2333" s="12">
        <f>F2334</f>
      </c>
      <c r="J2333" s="12">
        <f>G2334</f>
      </c>
      <c r="K2333">
        <f>IF(AND(Pu&gt;=MIN(E2333,H2333),Pu&lt;=MAX(E2333,H2333),E2333&lt;&gt;H2333),1,0)</f>
      </c>
      <c r="L2333">
        <f>IF(K2333=1,(Pu-E2333)/(H2333-E2333),"")</f>
      </c>
      <c r="M2333" s="12">
        <f>IF(K2333=1,F2333+L2333*(I2333-F2333),"")</f>
      </c>
      <c r="N2333" s="12">
        <f>IF(K2333=1,G2333+L2333*(J2333-G2333),"")</f>
      </c>
    </row>
    <row r="2334" spans="2:14" x14ac:dyDescent="0.25">
      <c r="B2334">
        <v>65</v>
      </c>
      <c r="C2334">
        <v>262.50000000000006</v>
      </c>
      <c r="D2334">
        <v>29</v>
      </c>
      <c r="E2334" s="18">
        <v>-786.4402167785859</v>
      </c>
      <c r="F2334" s="18">
        <v>-2204.3520767353903</v>
      </c>
      <c r="G2334" s="18">
        <v>-643.892566073735</v>
      </c>
      <c r="H2334" s="12">
        <f>E2335</f>
      </c>
      <c r="I2334" s="12">
        <f>F2335</f>
      </c>
      <c r="J2334" s="12">
        <f>G2335</f>
      </c>
      <c r="K2334">
        <f>IF(AND(Pu&gt;=MIN(E2334,H2334),Pu&lt;=MAX(E2334,H2334),E2334&lt;&gt;H2334),1,0)</f>
      </c>
      <c r="L2334">
        <f>IF(K2334=1,(Pu-E2334)/(H2334-E2334),"")</f>
      </c>
      <c r="M2334" s="12">
        <f>IF(K2334=1,F2334+L2334*(I2334-F2334),"")</f>
      </c>
      <c r="N2334" s="12">
        <f>IF(K2334=1,G2334+L2334*(J2334-G2334),"")</f>
      </c>
    </row>
    <row r="2335" spans="2:14" x14ac:dyDescent="0.25">
      <c r="B2335">
        <v>65</v>
      </c>
      <c r="C2335">
        <v>262.50000000000006</v>
      </c>
      <c r="D2335">
        <v>30</v>
      </c>
      <c r="E2335" s="18">
        <v>-1890.3809784376517</v>
      </c>
      <c r="F2335" s="18">
        <v>-1639.3445942174474</v>
      </c>
      <c r="G2335" s="18">
        <v>-559.5910969839745</v>
      </c>
      <c r="H2335" s="12">
        <f>E2336</f>
      </c>
      <c r="I2335" s="12">
        <f>F2336</f>
      </c>
      <c r="J2335" s="12">
        <f>G2336</f>
      </c>
      <c r="K2335">
        <f>IF(AND(Pu&gt;=MIN(E2335,H2335),Pu&lt;=MAX(E2335,H2335),E2335&lt;&gt;H2335),1,0)</f>
      </c>
      <c r="L2335">
        <f>IF(K2335=1,(Pu-E2335)/(H2335-E2335),"")</f>
      </c>
      <c r="M2335" s="12">
        <f>IF(K2335=1,F2335+L2335*(I2335-F2335),"")</f>
      </c>
      <c r="N2335" s="12">
        <f>IF(K2335=1,G2335+L2335*(J2335-G2335),"")</f>
      </c>
    </row>
    <row r="2336" spans="2:14" x14ac:dyDescent="0.25">
      <c r="B2336">
        <v>65</v>
      </c>
      <c r="C2336">
        <v>262.50000000000006</v>
      </c>
      <c r="D2336">
        <v>31</v>
      </c>
      <c r="E2336" s="18">
        <v>-2649.312384840573</v>
      </c>
      <c r="F2336" s="18">
        <v>-1235.8512134349457</v>
      </c>
      <c r="G2336" s="18">
        <v>-517.1974861512741</v>
      </c>
      <c r="H2336" s="12">
        <f>E2337</f>
      </c>
      <c r="I2336" s="12">
        <f>F2337</f>
      </c>
      <c r="J2336" s="12">
        <f>G2337</f>
      </c>
      <c r="K2336">
        <f>IF(AND(Pu&gt;=MIN(E2336,H2336),Pu&lt;=MAX(E2336,H2336),E2336&lt;&gt;H2336),1,0)</f>
      </c>
      <c r="L2336">
        <f>IF(K2336=1,(Pu-E2336)/(H2336-E2336),"")</f>
      </c>
      <c r="M2336" s="12">
        <f>IF(K2336=1,F2336+L2336*(I2336-F2336),"")</f>
      </c>
      <c r="N2336" s="12">
        <f>IF(K2336=1,G2336+L2336*(J2336-G2336),"")</f>
      </c>
    </row>
    <row r="2337" spans="2:14" x14ac:dyDescent="0.25">
      <c r="B2337">
        <v>65</v>
      </c>
      <c r="C2337">
        <v>262.50000000000006</v>
      </c>
      <c r="D2337">
        <v>32</v>
      </c>
      <c r="E2337" s="18">
        <v>-3643.760524436849</v>
      </c>
      <c r="F2337" s="18">
        <v>-702.0180702320731</v>
      </c>
      <c r="G2337" s="18">
        <v>-412.82668123762073</v>
      </c>
      <c r="H2337" s="12">
        <f>E2338</f>
      </c>
      <c r="I2337" s="12">
        <f>F2338</f>
      </c>
      <c r="J2337" s="12">
        <f>G2338</f>
      </c>
      <c r="K2337">
        <f>IF(AND(Pu&gt;=MIN(E2337,H2337),Pu&lt;=MAX(E2337,H2337),E2337&lt;&gt;H2337),1,0)</f>
      </c>
      <c r="L2337">
        <f>IF(K2337=1,(Pu-E2337)/(H2337-E2337),"")</f>
      </c>
      <c r="M2337" s="12">
        <f>IF(K2337=1,F2337+L2337*(I2337-F2337),"")</f>
      </c>
      <c r="N2337" s="12">
        <f>IF(K2337=1,G2337+L2337*(J2337-G2337),"")</f>
      </c>
    </row>
    <row r="2338" spans="2:14" x14ac:dyDescent="0.25">
      <c r="B2338">
        <v>65</v>
      </c>
      <c r="C2338">
        <v>262.50000000000006</v>
      </c>
      <c r="D2338">
        <v>33</v>
      </c>
      <c r="E2338" s="18">
        <v>-4167.4544967899665</v>
      </c>
      <c r="F2338" s="18">
        <v>-418.595162764263</v>
      </c>
      <c r="G2338" s="18">
        <v>-285.60208092479786</v>
      </c>
      <c r="H2338" s="12">
        <f>E2339</f>
      </c>
      <c r="I2338" s="12">
        <f>F2339</f>
      </c>
      <c r="J2338" s="12">
        <f>G2339</f>
      </c>
      <c r="K2338">
        <f>IF(AND(Pu&gt;=MIN(E2338,H2338),Pu&lt;=MAX(E2338,H2338),E2338&lt;&gt;H2338),1,0)</f>
      </c>
      <c r="L2338">
        <f>IF(K2338=1,(Pu-E2338)/(H2338-E2338),"")</f>
      </c>
      <c r="M2338" s="12">
        <f>IF(K2338=1,F2338+L2338*(I2338-F2338),"")</f>
      </c>
      <c r="N2338" s="12">
        <f>IF(K2338=1,G2338+L2338*(J2338-G2338),"")</f>
      </c>
    </row>
    <row r="2339" spans="2:14" x14ac:dyDescent="0.25">
      <c r="B2339">
        <v>65</v>
      </c>
      <c r="C2339">
        <v>262.50000000000006</v>
      </c>
      <c r="D2339">
        <v>34</v>
      </c>
      <c r="E2339" s="18">
        <v>-4716.898841175317</v>
      </c>
      <c r="F2339" s="18">
        <v>-118.9522881453961</v>
      </c>
      <c r="G2339" s="18">
        <v>-92.29117491569775</v>
      </c>
      <c r="H2339" s="12">
        <f>E2340</f>
      </c>
      <c r="I2339" s="12">
        <f>F2340</f>
      </c>
      <c r="J2339" s="12">
        <f>G2340</f>
      </c>
      <c r="K2339">
        <f>IF(AND(Pu&gt;=MIN(E2339,H2339),Pu&lt;=MAX(E2339,H2339),E2339&lt;&gt;H2339),1,0)</f>
      </c>
      <c r="L2339">
        <f>IF(K2339=1,(Pu-E2339)/(H2339-E2339),"")</f>
      </c>
      <c r="M2339" s="12">
        <f>IF(K2339=1,F2339+L2339*(I2339-F2339),"")</f>
      </c>
      <c r="N2339" s="12">
        <f>IF(K2339=1,G2339+L2339*(J2339-G2339),"")</f>
      </c>
    </row>
    <row r="2340" spans="2:7" x14ac:dyDescent="0.25">
      <c r="B2340">
        <v>65</v>
      </c>
      <c r="C2340">
        <v>262.50000000000006</v>
      </c>
      <c r="D2340">
        <v>35</v>
      </c>
      <c r="E2340" s="18">
        <v>-4810.016026873855</v>
      </c>
      <c r="F2340" s="18">
        <v>-65.71062741143461</v>
      </c>
      <c r="G2340" s="18">
        <v>-53.321943143680635</v>
      </c>
    </row>
    <row r="2342" spans="2:14" x14ac:dyDescent="0.25">
      <c r="B2342">
        <v>66</v>
      </c>
      <c r="C2342">
        <v>264.375</v>
      </c>
      <c r="D2342">
        <v>1</v>
      </c>
      <c r="E2342" s="18">
        <v>16530.01163644034</v>
      </c>
      <c r="F2342" s="18">
        <v>-2645.2521143097356</v>
      </c>
      <c r="G2342" s="18">
        <v>-449.0384581804054</v>
      </c>
      <c r="H2342" s="12">
        <f>E2343</f>
      </c>
      <c r="I2342" s="12">
        <f>F2343</f>
      </c>
      <c r="J2342" s="12">
        <f>G2343</f>
      </c>
      <c r="K2342">
        <f>IF(AND(Pu&gt;=MIN(E2342,H2342),Pu&lt;=MAX(E2342,H2342),E2342&lt;&gt;H2342),1,0)</f>
      </c>
      <c r="L2342">
        <f>IF(K2342=1,(Pu-E2342)/(H2342-E2342),"")</f>
      </c>
      <c r="M2342" s="12">
        <f>IF(K2342=1,F2342+L2342*(I2342-F2342),"")</f>
      </c>
      <c r="N2342" s="12">
        <f>IF(K2342=1,G2342+L2342*(J2342-G2342),"")</f>
      </c>
    </row>
    <row r="2343" spans="2:14" x14ac:dyDescent="0.25">
      <c r="B2343">
        <v>66</v>
      </c>
      <c r="C2343">
        <v>264.375</v>
      </c>
      <c r="D2343">
        <v>2</v>
      </c>
      <c r="E2343" s="18">
        <v>15206.985028555098</v>
      </c>
      <c r="F2343" s="18">
        <v>-3131.3582828340886</v>
      </c>
      <c r="G2343" s="18">
        <v>-385.6486123099474</v>
      </c>
      <c r="H2343" s="12">
        <f>E2344</f>
      </c>
      <c r="I2343" s="12">
        <f>F2344</f>
      </c>
      <c r="J2343" s="12">
        <f>G2344</f>
      </c>
      <c r="K2343">
        <f>IF(AND(Pu&gt;=MIN(E2343,H2343),Pu&lt;=MAX(E2343,H2343),E2343&lt;&gt;H2343),1,0)</f>
      </c>
      <c r="L2343">
        <f>IF(K2343=1,(Pu-E2343)/(H2343-E2343),"")</f>
      </c>
      <c r="M2343" s="12">
        <f>IF(K2343=1,F2343+L2343*(I2343-F2343),"")</f>
      </c>
      <c r="N2343" s="12">
        <f>IF(K2343=1,G2343+L2343*(J2343-G2343),"")</f>
      </c>
    </row>
    <row r="2344" spans="2:14" x14ac:dyDescent="0.25">
      <c r="B2344">
        <v>66</v>
      </c>
      <c r="C2344">
        <v>264.375</v>
      </c>
      <c r="D2344">
        <v>3</v>
      </c>
      <c r="E2344" s="18">
        <v>14165.669857615218</v>
      </c>
      <c r="F2344" s="18">
        <v>-3449.6160267824666</v>
      </c>
      <c r="G2344" s="18">
        <v>-367.94914168027566</v>
      </c>
      <c r="H2344" s="12">
        <f>E2345</f>
      </c>
      <c r="I2344" s="12">
        <f>F2345</f>
      </c>
      <c r="J2344" s="12">
        <f>G2345</f>
      </c>
      <c r="K2344">
        <f>IF(AND(Pu&gt;=MIN(E2344,H2344),Pu&lt;=MAX(E2344,H2344),E2344&lt;&gt;H2344),1,0)</f>
      </c>
      <c r="L2344">
        <f>IF(K2344=1,(Pu-E2344)/(H2344-E2344),"")</f>
      </c>
      <c r="M2344" s="12">
        <f>IF(K2344=1,F2344+L2344*(I2344-F2344),"")</f>
      </c>
      <c r="N2344" s="12">
        <f>IF(K2344=1,G2344+L2344*(J2344-G2344),"")</f>
      </c>
    </row>
    <row r="2345" spans="2:14" x14ac:dyDescent="0.25">
      <c r="B2345">
        <v>66</v>
      </c>
      <c r="C2345">
        <v>264.375</v>
      </c>
      <c r="D2345">
        <v>4</v>
      </c>
      <c r="E2345" s="18">
        <v>12539.260737697003</v>
      </c>
      <c r="F2345" s="18">
        <v>-3839.319728681253</v>
      </c>
      <c r="G2345" s="18">
        <v>-386.0922052578373</v>
      </c>
      <c r="H2345" s="12">
        <f>E2346</f>
      </c>
      <c r="I2345" s="12">
        <f>F2346</f>
      </c>
      <c r="J2345" s="12">
        <f>G2346</f>
      </c>
      <c r="K2345">
        <f>IF(AND(Pu&gt;=MIN(E2345,H2345),Pu&lt;=MAX(E2345,H2345),E2345&lt;&gt;H2345),1,0)</f>
      </c>
      <c r="L2345">
        <f>IF(K2345=1,(Pu-E2345)/(H2345-E2345),"")</f>
      </c>
      <c r="M2345" s="12">
        <f>IF(K2345=1,F2345+L2345*(I2345-F2345),"")</f>
      </c>
      <c r="N2345" s="12">
        <f>IF(K2345=1,G2345+L2345*(J2345-G2345),"")</f>
      </c>
    </row>
    <row r="2346" spans="2:14" x14ac:dyDescent="0.25">
      <c r="B2346">
        <v>66</v>
      </c>
      <c r="C2346">
        <v>264.375</v>
      </c>
      <c r="D2346">
        <v>5</v>
      </c>
      <c r="E2346" s="18">
        <v>11134.242492863925</v>
      </c>
      <c r="F2346" s="18">
        <v>-4088.252133441524</v>
      </c>
      <c r="G2346" s="18">
        <v>-410.0270423065899</v>
      </c>
      <c r="H2346" s="12">
        <f>E2347</f>
      </c>
      <c r="I2346" s="12">
        <f>F2347</f>
      </c>
      <c r="J2346" s="12">
        <f>G2347</f>
      </c>
      <c r="K2346">
        <f>IF(AND(Pu&gt;=MIN(E2346,H2346),Pu&lt;=MAX(E2346,H2346),E2346&lt;&gt;H2346),1,0)</f>
      </c>
      <c r="L2346">
        <f>IF(K2346=1,(Pu-E2346)/(H2346-E2346),"")</f>
      </c>
      <c r="M2346" s="12">
        <f>IF(K2346=1,F2346+L2346*(I2346-F2346),"")</f>
      </c>
      <c r="N2346" s="12">
        <f>IF(K2346=1,G2346+L2346*(J2346-G2346),"")</f>
      </c>
    </row>
    <row r="2347" spans="2:14" x14ac:dyDescent="0.25">
      <c r="B2347">
        <v>66</v>
      </c>
      <c r="C2347">
        <v>264.375</v>
      </c>
      <c r="D2347">
        <v>6</v>
      </c>
      <c r="E2347" s="18">
        <v>9925.727353342494</v>
      </c>
      <c r="F2347" s="18">
        <v>-4256.518604628838</v>
      </c>
      <c r="G2347" s="18">
        <v>-443.02655539978645</v>
      </c>
      <c r="H2347" s="12">
        <f>E2348</f>
      </c>
      <c r="I2347" s="12">
        <f>F2348</f>
      </c>
      <c r="J2347" s="12">
        <f>G2348</f>
      </c>
      <c r="K2347">
        <f>IF(AND(Pu&gt;=MIN(E2347,H2347),Pu&lt;=MAX(E2347,H2347),E2347&lt;&gt;H2347),1,0)</f>
      </c>
      <c r="L2347">
        <f>IF(K2347=1,(Pu-E2347)/(H2347-E2347),"")</f>
      </c>
      <c r="M2347" s="12">
        <f>IF(K2347=1,F2347+L2347*(I2347-F2347),"")</f>
      </c>
      <c r="N2347" s="12">
        <f>IF(K2347=1,G2347+L2347*(J2347-G2347),"")</f>
      </c>
    </row>
    <row r="2348" spans="2:14" x14ac:dyDescent="0.25">
      <c r="B2348">
        <v>66</v>
      </c>
      <c r="C2348">
        <v>264.375</v>
      </c>
      <c r="D2348">
        <v>7</v>
      </c>
      <c r="E2348" s="18">
        <v>9130.236543335082</v>
      </c>
      <c r="F2348" s="18">
        <v>-4352.647343644442</v>
      </c>
      <c r="G2348" s="18">
        <v>-451.53989459240347</v>
      </c>
      <c r="H2348" s="12">
        <f>E2349</f>
      </c>
      <c r="I2348" s="12">
        <f>F2349</f>
      </c>
      <c r="J2348" s="12">
        <f>G2349</f>
      </c>
      <c r="K2348">
        <f>IF(AND(Pu&gt;=MIN(E2348,H2348),Pu&lt;=MAX(E2348,H2348),E2348&lt;&gt;H2348),1,0)</f>
      </c>
      <c r="L2348">
        <f>IF(K2348=1,(Pu-E2348)/(H2348-E2348),"")</f>
      </c>
      <c r="M2348" s="12">
        <f>IF(K2348=1,F2348+L2348*(I2348-F2348),"")</f>
      </c>
      <c r="N2348" s="12">
        <f>IF(K2348=1,G2348+L2348*(J2348-G2348),"")</f>
      </c>
    </row>
    <row r="2349" spans="2:14" x14ac:dyDescent="0.25">
      <c r="B2349">
        <v>66</v>
      </c>
      <c r="C2349">
        <v>264.375</v>
      </c>
      <c r="D2349">
        <v>8</v>
      </c>
      <c r="E2349" s="18">
        <v>8982.830494178894</v>
      </c>
      <c r="F2349" s="18">
        <v>-4429.527634340038</v>
      </c>
      <c r="G2349" s="18">
        <v>-457.68856181723436</v>
      </c>
      <c r="H2349" s="12">
        <f>E2350</f>
      </c>
      <c r="I2349" s="12">
        <f>F2350</f>
      </c>
      <c r="J2349" s="12">
        <f>G2350</f>
      </c>
      <c r="K2349">
        <f>IF(AND(Pu&gt;=MIN(E2349,H2349),Pu&lt;=MAX(E2349,H2349),E2349&lt;&gt;H2349),1,0)</f>
      </c>
      <c r="L2349">
        <f>IF(K2349=1,(Pu-E2349)/(H2349-E2349),"")</f>
      </c>
      <c r="M2349" s="12">
        <f>IF(K2349=1,F2349+L2349*(I2349-F2349),"")</f>
      </c>
      <c r="N2349" s="12">
        <f>IF(K2349=1,G2349+L2349*(J2349-G2349),"")</f>
      </c>
    </row>
    <row r="2350" spans="2:14" x14ac:dyDescent="0.25">
      <c r="B2350">
        <v>66</v>
      </c>
      <c r="C2350">
        <v>264.375</v>
      </c>
      <c r="D2350">
        <v>9</v>
      </c>
      <c r="E2350" s="18">
        <v>8735.446186853947</v>
      </c>
      <c r="F2350" s="18">
        <v>-4552.830250361965</v>
      </c>
      <c r="G2350" s="18">
        <v>-466.6355273612589</v>
      </c>
      <c r="H2350" s="12">
        <f>E2351</f>
      </c>
      <c r="I2350" s="12">
        <f>F2351</f>
      </c>
      <c r="J2350" s="12">
        <f>G2351</f>
      </c>
      <c r="K2350">
        <f>IF(AND(Pu&gt;=MIN(E2350,H2350),Pu&lt;=MAX(E2350,H2350),E2350&lt;&gt;H2350),1,0)</f>
      </c>
      <c r="L2350">
        <f>IF(K2350=1,(Pu-E2350)/(H2350-E2350),"")</f>
      </c>
      <c r="M2350" s="12">
        <f>IF(K2350=1,F2350+L2350*(I2350-F2350),"")</f>
      </c>
      <c r="N2350" s="12">
        <f>IF(K2350=1,G2350+L2350*(J2350-G2350),"")</f>
      </c>
    </row>
    <row r="2351" spans="2:14" x14ac:dyDescent="0.25">
      <c r="B2351">
        <v>66</v>
      </c>
      <c r="C2351">
        <v>264.375</v>
      </c>
      <c r="D2351">
        <v>10</v>
      </c>
      <c r="E2351" s="18">
        <v>8561.901668578705</v>
      </c>
      <c r="F2351" s="18">
        <v>-4633.5729254819</v>
      </c>
      <c r="G2351" s="18">
        <v>-483.78585883220836</v>
      </c>
      <c r="H2351" s="12">
        <f>E2352</f>
      </c>
      <c r="I2351" s="12">
        <f>F2352</f>
      </c>
      <c r="J2351" s="12">
        <f>G2352</f>
      </c>
      <c r="K2351">
        <f>IF(AND(Pu&gt;=MIN(E2351,H2351),Pu&lt;=MAX(E2351,H2351),E2351&lt;&gt;H2351),1,0)</f>
      </c>
      <c r="L2351">
        <f>IF(K2351=1,(Pu-E2351)/(H2351-E2351),"")</f>
      </c>
      <c r="M2351" s="12">
        <f>IF(K2351=1,F2351+L2351*(I2351-F2351),"")</f>
      </c>
      <c r="N2351" s="12">
        <f>IF(K2351=1,G2351+L2351*(J2351-G2351),"")</f>
      </c>
    </row>
    <row r="2352" spans="2:14" x14ac:dyDescent="0.25">
      <c r="B2352">
        <v>66</v>
      </c>
      <c r="C2352">
        <v>264.375</v>
      </c>
      <c r="D2352">
        <v>11</v>
      </c>
      <c r="E2352" s="18">
        <v>8437.55080976276</v>
      </c>
      <c r="F2352" s="18">
        <v>-4690.022720599953</v>
      </c>
      <c r="G2352" s="18">
        <v>-496.4909965980325</v>
      </c>
      <c r="H2352" s="12">
        <f>E2353</f>
      </c>
      <c r="I2352" s="12">
        <f>F2353</f>
      </c>
      <c r="J2352" s="12">
        <f>G2353</f>
      </c>
      <c r="K2352">
        <f>IF(AND(Pu&gt;=MIN(E2352,H2352),Pu&lt;=MAX(E2352,H2352),E2352&lt;&gt;H2352),1,0)</f>
      </c>
      <c r="L2352">
        <f>IF(K2352=1,(Pu-E2352)/(H2352-E2352),"")</f>
      </c>
      <c r="M2352" s="12">
        <f>IF(K2352=1,F2352+L2352*(I2352-F2352),"")</f>
      </c>
      <c r="N2352" s="12">
        <f>IF(K2352=1,G2352+L2352*(J2352-G2352),"")</f>
      </c>
    </row>
    <row r="2353" spans="2:14" x14ac:dyDescent="0.25">
      <c r="B2353">
        <v>66</v>
      </c>
      <c r="C2353">
        <v>264.375</v>
      </c>
      <c r="D2353">
        <v>12</v>
      </c>
      <c r="E2353" s="18">
        <v>8211.818849643121</v>
      </c>
      <c r="F2353" s="18">
        <v>-4789.712952917655</v>
      </c>
      <c r="G2353" s="18">
        <v>-520.3752754704378</v>
      </c>
      <c r="H2353" s="12">
        <f>E2354</f>
      </c>
      <c r="I2353" s="12">
        <f>F2354</f>
      </c>
      <c r="J2353" s="12">
        <f>G2354</f>
      </c>
      <c r="K2353">
        <f>IF(AND(Pu&gt;=MIN(E2353,H2353),Pu&lt;=MAX(E2353,H2353),E2353&lt;&gt;H2353),1,0)</f>
      </c>
      <c r="L2353">
        <f>IF(K2353=1,(Pu-E2353)/(H2353-E2353),"")</f>
      </c>
      <c r="M2353" s="12">
        <f>IF(K2353=1,F2353+L2353*(I2353-F2353),"")</f>
      </c>
      <c r="N2353" s="12">
        <f>IF(K2353=1,G2353+L2353*(J2353-G2353),"")</f>
      </c>
    </row>
    <row r="2354" spans="2:14" x14ac:dyDescent="0.25">
      <c r="B2354">
        <v>66</v>
      </c>
      <c r="C2354">
        <v>264.375</v>
      </c>
      <c r="D2354">
        <v>13</v>
      </c>
      <c r="E2354" s="18">
        <v>8155.803477572863</v>
      </c>
      <c r="F2354" s="18">
        <v>-4814.869565418787</v>
      </c>
      <c r="G2354" s="18">
        <v>-522.3223107597008</v>
      </c>
      <c r="H2354" s="12">
        <f>E2355</f>
      </c>
      <c r="I2354" s="12">
        <f>F2355</f>
      </c>
      <c r="J2354" s="12">
        <f>G2355</f>
      </c>
      <c r="K2354">
        <f>IF(AND(Pu&gt;=MIN(E2354,H2354),Pu&lt;=MAX(E2354,H2354),E2354&lt;&gt;H2354),1,0)</f>
      </c>
      <c r="L2354">
        <f>IF(K2354=1,(Pu-E2354)/(H2354-E2354),"")</f>
      </c>
      <c r="M2354" s="12">
        <f>IF(K2354=1,F2354+L2354*(I2354-F2354),"")</f>
      </c>
      <c r="N2354" s="12">
        <f>IF(K2354=1,G2354+L2354*(J2354-G2354),"")</f>
      </c>
    </row>
    <row r="2355" spans="2:14" x14ac:dyDescent="0.25">
      <c r="B2355">
        <v>66</v>
      </c>
      <c r="C2355">
        <v>264.375</v>
      </c>
      <c r="D2355">
        <v>14</v>
      </c>
      <c r="E2355" s="18">
        <v>7925.504620681149</v>
      </c>
      <c r="F2355" s="18">
        <v>-4924.554026481654</v>
      </c>
      <c r="G2355" s="18">
        <v>-538.5901421976749</v>
      </c>
      <c r="H2355" s="12">
        <f>E2356</f>
      </c>
      <c r="I2355" s="12">
        <f>F2356</f>
      </c>
      <c r="J2355" s="12">
        <f>G2356</f>
      </c>
      <c r="K2355">
        <f>IF(AND(Pu&gt;=MIN(E2355,H2355),Pu&lt;=MAX(E2355,H2355),E2355&lt;&gt;H2355),1,0)</f>
      </c>
      <c r="L2355">
        <f>IF(K2355=1,(Pu-E2355)/(H2355-E2355),"")</f>
      </c>
      <c r="M2355" s="12">
        <f>IF(K2355=1,F2355+L2355*(I2355-F2355),"")</f>
      </c>
      <c r="N2355" s="12">
        <f>IF(K2355=1,G2355+L2355*(J2355-G2355),"")</f>
      </c>
    </row>
    <row r="2356" spans="2:14" x14ac:dyDescent="0.25">
      <c r="B2356">
        <v>66</v>
      </c>
      <c r="C2356">
        <v>264.375</v>
      </c>
      <c r="D2356">
        <v>15</v>
      </c>
      <c r="E2356" s="18">
        <v>7908.075836391653</v>
      </c>
      <c r="F2356" s="18">
        <v>-4932.082218960522</v>
      </c>
      <c r="G2356" s="18">
        <v>-539.0020332778332</v>
      </c>
      <c r="H2356" s="12">
        <f>E2357</f>
      </c>
      <c r="I2356" s="12">
        <f>F2357</f>
      </c>
      <c r="J2356" s="12">
        <f>G2357</f>
      </c>
      <c r="K2356">
        <f>IF(AND(Pu&gt;=MIN(E2356,H2356),Pu&lt;=MAX(E2356,H2356),E2356&lt;&gt;H2356),1,0)</f>
      </c>
      <c r="L2356">
        <f>IF(K2356=1,(Pu-E2356)/(H2356-E2356),"")</f>
      </c>
      <c r="M2356" s="12">
        <f>IF(K2356=1,F2356+L2356*(I2356-F2356),"")</f>
      </c>
      <c r="N2356" s="12">
        <f>IF(K2356=1,G2356+L2356*(J2356-G2356),"")</f>
      </c>
    </row>
    <row r="2357" spans="2:14" x14ac:dyDescent="0.25">
      <c r="B2357">
        <v>66</v>
      </c>
      <c r="C2357">
        <v>264.375</v>
      </c>
      <c r="D2357">
        <v>16</v>
      </c>
      <c r="E2357" s="18">
        <v>7685.30180964892</v>
      </c>
      <c r="F2357" s="18">
        <v>-5026.494145599128</v>
      </c>
      <c r="G2357" s="18">
        <v>-543.9338718111699</v>
      </c>
      <c r="H2357" s="12">
        <f>E2358</f>
      </c>
      <c r="I2357" s="12">
        <f>F2358</f>
      </c>
      <c r="J2357" s="12">
        <f>G2358</f>
      </c>
      <c r="K2357">
        <f>IF(AND(Pu&gt;=MIN(E2357,H2357),Pu&lt;=MAX(E2357,H2357),E2357&lt;&gt;H2357),1,0)</f>
      </c>
      <c r="L2357">
        <f>IF(K2357=1,(Pu-E2357)/(H2357-E2357),"")</f>
      </c>
      <c r="M2357" s="12">
        <f>IF(K2357=1,F2357+L2357*(I2357-F2357),"")</f>
      </c>
      <c r="N2357" s="12">
        <f>IF(K2357=1,G2357+L2357*(J2357-G2357),"")</f>
      </c>
    </row>
    <row r="2358" spans="2:14" x14ac:dyDescent="0.25">
      <c r="B2358">
        <v>66</v>
      </c>
      <c r="C2358">
        <v>264.375</v>
      </c>
      <c r="D2358">
        <v>17</v>
      </c>
      <c r="E2358" s="18">
        <v>7470.222308300368</v>
      </c>
      <c r="F2358" s="18">
        <v>-5116.899115051762</v>
      </c>
      <c r="G2358" s="18">
        <v>-563.7270793414768</v>
      </c>
      <c r="H2358" s="12">
        <f>E2359</f>
      </c>
      <c r="I2358" s="12">
        <f>F2359</f>
      </c>
      <c r="J2358" s="12">
        <f>G2359</f>
      </c>
      <c r="K2358">
        <f>IF(AND(Pu&gt;=MIN(E2358,H2358),Pu&lt;=MAX(E2358,H2358),E2358&lt;&gt;H2358),1,0)</f>
      </c>
      <c r="L2358">
        <f>IF(K2358=1,(Pu-E2358)/(H2358-E2358),"")</f>
      </c>
      <c r="M2358" s="12">
        <f>IF(K2358=1,F2358+L2358*(I2358-F2358),"")</f>
      </c>
      <c r="N2358" s="12">
        <f>IF(K2358=1,G2358+L2358*(J2358-G2358),"")</f>
      </c>
    </row>
    <row r="2359" spans="2:14" x14ac:dyDescent="0.25">
      <c r="B2359">
        <v>66</v>
      </c>
      <c r="C2359">
        <v>264.375</v>
      </c>
      <c r="D2359">
        <v>18</v>
      </c>
      <c r="E2359" s="18">
        <v>7373.525342013644</v>
      </c>
      <c r="F2359" s="18">
        <v>-5169.010813203875</v>
      </c>
      <c r="G2359" s="18">
        <v>-568.5480013249733</v>
      </c>
      <c r="H2359" s="12">
        <f>E2360</f>
      </c>
      <c r="I2359" s="12">
        <f>F2360</f>
      </c>
      <c r="J2359" s="12">
        <f>G2360</f>
      </c>
      <c r="K2359">
        <f>IF(AND(Pu&gt;=MIN(E2359,H2359),Pu&lt;=MAX(E2359,H2359),E2359&lt;&gt;H2359),1,0)</f>
      </c>
      <c r="L2359">
        <f>IF(K2359=1,(Pu-E2359)/(H2359-E2359),"")</f>
      </c>
      <c r="M2359" s="12">
        <f>IF(K2359=1,F2359+L2359*(I2359-F2359),"")</f>
      </c>
      <c r="N2359" s="12">
        <f>IF(K2359=1,G2359+L2359*(J2359-G2359),"")</f>
      </c>
    </row>
    <row r="2360" spans="2:14" x14ac:dyDescent="0.25">
      <c r="B2360">
        <v>66</v>
      </c>
      <c r="C2360">
        <v>264.375</v>
      </c>
      <c r="D2360">
        <v>19</v>
      </c>
      <c r="E2360" s="18">
        <v>7289.677205533626</v>
      </c>
      <c r="F2360" s="18">
        <v>-5204.121701530358</v>
      </c>
      <c r="G2360" s="18">
        <v>-579.2830858160014</v>
      </c>
      <c r="H2360" s="12">
        <f>E2361</f>
      </c>
      <c r="I2360" s="12">
        <f>F2361</f>
      </c>
      <c r="J2360" s="12">
        <f>G2361</f>
      </c>
      <c r="K2360">
        <f>IF(AND(Pu&gt;=MIN(E2360,H2360),Pu&lt;=MAX(E2360,H2360),E2360&lt;&gt;H2360),1,0)</f>
      </c>
      <c r="L2360">
        <f>IF(K2360=1,(Pu-E2360)/(H2360-E2360),"")</f>
      </c>
      <c r="M2360" s="12">
        <f>IF(K2360=1,F2360+L2360*(I2360-F2360),"")</f>
      </c>
      <c r="N2360" s="12">
        <f>IF(K2360=1,G2360+L2360*(J2360-G2360),"")</f>
      </c>
    </row>
    <row r="2361" spans="2:14" x14ac:dyDescent="0.25">
      <c r="B2361">
        <v>66</v>
      </c>
      <c r="C2361">
        <v>264.375</v>
      </c>
      <c r="D2361">
        <v>20</v>
      </c>
      <c r="E2361" s="18">
        <v>7122.6312131243085</v>
      </c>
      <c r="F2361" s="18">
        <v>-5278.5568482373465</v>
      </c>
      <c r="G2361" s="18">
        <v>-586.8571565321912</v>
      </c>
      <c r="H2361" s="12">
        <f>E2362</f>
      </c>
      <c r="I2361" s="12">
        <f>F2362</f>
      </c>
      <c r="J2361" s="12">
        <f>G2362</f>
      </c>
      <c r="K2361">
        <f>IF(AND(Pu&gt;=MIN(E2361,H2361),Pu&lt;=MAX(E2361,H2361),E2361&lt;&gt;H2361),1,0)</f>
      </c>
      <c r="L2361">
        <f>IF(K2361=1,(Pu-E2361)/(H2361-E2361),"")</f>
      </c>
      <c r="M2361" s="12">
        <f>IF(K2361=1,F2361+L2361*(I2361-F2361),"")</f>
      </c>
      <c r="N2361" s="12">
        <f>IF(K2361=1,G2361+L2361*(J2361-G2361),"")</f>
      </c>
    </row>
    <row r="2362" spans="2:14" x14ac:dyDescent="0.25">
      <c r="B2362">
        <v>66</v>
      </c>
      <c r="C2362">
        <v>264.375</v>
      </c>
      <c r="D2362">
        <v>21</v>
      </c>
      <c r="E2362" s="18">
        <v>7096.227069919961</v>
      </c>
      <c r="F2362" s="18">
        <v>-5272.720651634439</v>
      </c>
      <c r="G2362" s="18">
        <v>-586.2805483719384</v>
      </c>
      <c r="H2362" s="12">
        <f>E2363</f>
      </c>
      <c r="I2362" s="12">
        <f>F2363</f>
      </c>
      <c r="J2362" s="12">
        <f>G2363</f>
      </c>
      <c r="K2362">
        <f>IF(AND(Pu&gt;=MIN(E2362,H2362),Pu&lt;=MAX(E2362,H2362),E2362&lt;&gt;H2362),1,0)</f>
      </c>
      <c r="L2362">
        <f>IF(K2362=1,(Pu-E2362)/(H2362-E2362),"")</f>
      </c>
      <c r="M2362" s="12">
        <f>IF(K2362=1,F2362+L2362*(I2362-F2362),"")</f>
      </c>
      <c r="N2362" s="12">
        <f>IF(K2362=1,G2362+L2362*(J2362-G2362),"")</f>
      </c>
    </row>
    <row r="2363" spans="2:14" x14ac:dyDescent="0.25">
      <c r="B2363">
        <v>66</v>
      </c>
      <c r="C2363">
        <v>264.375</v>
      </c>
      <c r="D2363">
        <v>22</v>
      </c>
      <c r="E2363" s="18">
        <v>6510.207920393433</v>
      </c>
      <c r="F2363" s="18">
        <v>-5138.126967028062</v>
      </c>
      <c r="G2363" s="18">
        <v>-576.3844091700381</v>
      </c>
      <c r="H2363" s="12">
        <f>E2364</f>
      </c>
      <c r="I2363" s="12">
        <f>F2364</f>
      </c>
      <c r="J2363" s="12">
        <f>G2364</f>
      </c>
      <c r="K2363">
        <f>IF(AND(Pu&gt;=MIN(E2363,H2363),Pu&lt;=MAX(E2363,H2363),E2363&lt;&gt;H2363),1,0)</f>
      </c>
      <c r="L2363">
        <f>IF(K2363=1,(Pu-E2363)/(H2363-E2363),"")</f>
      </c>
      <c r="M2363" s="12">
        <f>IF(K2363=1,F2363+L2363*(I2363-F2363),"")</f>
      </c>
      <c r="N2363" s="12">
        <f>IF(K2363=1,G2363+L2363*(J2363-G2363),"")</f>
      </c>
    </row>
    <row r="2364" spans="2:14" x14ac:dyDescent="0.25">
      <c r="B2364">
        <v>66</v>
      </c>
      <c r="C2364">
        <v>264.375</v>
      </c>
      <c r="D2364">
        <v>23</v>
      </c>
      <c r="E2364" s="18">
        <v>5504.760916732978</v>
      </c>
      <c r="F2364" s="18">
        <v>-4866.17647016672</v>
      </c>
      <c r="G2364" s="18">
        <v>-609.1564414298722</v>
      </c>
      <c r="H2364" s="12">
        <f>E2365</f>
      </c>
      <c r="I2364" s="12">
        <f>F2365</f>
      </c>
      <c r="J2364" s="12">
        <f>G2365</f>
      </c>
      <c r="K2364">
        <f>IF(AND(Pu&gt;=MIN(E2364,H2364),Pu&lt;=MAX(E2364,H2364),E2364&lt;&gt;H2364),1,0)</f>
      </c>
      <c r="L2364">
        <f>IF(K2364=1,(Pu-E2364)/(H2364-E2364),"")</f>
      </c>
      <c r="M2364" s="12">
        <f>IF(K2364=1,F2364+L2364*(I2364-F2364),"")</f>
      </c>
      <c r="N2364" s="12">
        <f>IF(K2364=1,G2364+L2364*(J2364-G2364),"")</f>
      </c>
    </row>
    <row r="2365" spans="2:14" x14ac:dyDescent="0.25">
      <c r="B2365">
        <v>66</v>
      </c>
      <c r="C2365">
        <v>264.375</v>
      </c>
      <c r="D2365">
        <v>24</v>
      </c>
      <c r="E2365" s="18">
        <v>4669.396563250342</v>
      </c>
      <c r="F2365" s="18">
        <v>-4590.709240597799</v>
      </c>
      <c r="G2365" s="18">
        <v>-647.8593037494427</v>
      </c>
      <c r="H2365" s="12">
        <f>E2366</f>
      </c>
      <c r="I2365" s="12">
        <f>F2366</f>
      </c>
      <c r="J2365" s="12">
        <f>G2366</f>
      </c>
      <c r="K2365">
        <f>IF(AND(Pu&gt;=MIN(E2365,H2365),Pu&lt;=MAX(E2365,H2365),E2365&lt;&gt;H2365),1,0)</f>
      </c>
      <c r="L2365">
        <f>IF(K2365=1,(Pu-E2365)/(H2365-E2365),"")</f>
      </c>
      <c r="M2365" s="12">
        <f>IF(K2365=1,F2365+L2365*(I2365-F2365),"")</f>
      </c>
      <c r="N2365" s="12">
        <f>IF(K2365=1,G2365+L2365*(J2365-G2365),"")</f>
      </c>
    </row>
    <row r="2366" spans="2:14" x14ac:dyDescent="0.25">
      <c r="B2366">
        <v>66</v>
      </c>
      <c r="C2366">
        <v>264.375</v>
      </c>
      <c r="D2366">
        <v>25</v>
      </c>
      <c r="E2366" s="18">
        <v>3814.8567319189797</v>
      </c>
      <c r="F2366" s="18">
        <v>-4280.175070001697</v>
      </c>
      <c r="G2366" s="18">
        <v>-671.7136875294224</v>
      </c>
      <c r="H2366" s="12">
        <f>E2367</f>
      </c>
      <c r="I2366" s="12">
        <f>F2367</f>
      </c>
      <c r="J2366" s="12">
        <f>G2367</f>
      </c>
      <c r="K2366">
        <f>IF(AND(Pu&gt;=MIN(E2366,H2366),Pu&lt;=MAX(E2366,H2366),E2366&lt;&gt;H2366),1,0)</f>
      </c>
      <c r="L2366">
        <f>IF(K2366=1,(Pu-E2366)/(H2366-E2366),"")</f>
      </c>
      <c r="M2366" s="12">
        <f>IF(K2366=1,F2366+L2366*(I2366-F2366),"")</f>
      </c>
      <c r="N2366" s="12">
        <f>IF(K2366=1,G2366+L2366*(J2366-G2366),"")</f>
      </c>
    </row>
    <row r="2367" spans="2:14" x14ac:dyDescent="0.25">
      <c r="B2367">
        <v>66</v>
      </c>
      <c r="C2367">
        <v>264.375</v>
      </c>
      <c r="D2367">
        <v>26</v>
      </c>
      <c r="E2367" s="18">
        <v>2413.6684264617206</v>
      </c>
      <c r="F2367" s="18">
        <v>-3719.905295648513</v>
      </c>
      <c r="G2367" s="18">
        <v>-711.044429053808</v>
      </c>
      <c r="H2367" s="12">
        <f>E2368</f>
      </c>
      <c r="I2367" s="12">
        <f>F2368</f>
      </c>
      <c r="J2367" s="12">
        <f>G2368</f>
      </c>
      <c r="K2367">
        <f>IF(AND(Pu&gt;=MIN(E2367,H2367),Pu&lt;=MAX(E2367,H2367),E2367&lt;&gt;H2367),1,0)</f>
      </c>
      <c r="L2367">
        <f>IF(K2367=1,(Pu-E2367)/(H2367-E2367),"")</f>
      </c>
      <c r="M2367" s="12">
        <f>IF(K2367=1,F2367+L2367*(I2367-F2367),"")</f>
      </c>
      <c r="N2367" s="12">
        <f>IF(K2367=1,G2367+L2367*(J2367-G2367),"")</f>
      </c>
    </row>
    <row r="2368" spans="2:14" x14ac:dyDescent="0.25">
      <c r="B2368">
        <v>66</v>
      </c>
      <c r="C2368">
        <v>264.375</v>
      </c>
      <c r="D2368">
        <v>27</v>
      </c>
      <c r="E2368" s="18">
        <v>1286.2356264977761</v>
      </c>
      <c r="F2368" s="18">
        <v>-3221.526270794109</v>
      </c>
      <c r="G2368" s="18">
        <v>-653.3022122401595</v>
      </c>
      <c r="H2368" s="12">
        <f>E2369</f>
      </c>
      <c r="I2368" s="12">
        <f>F2369</f>
      </c>
      <c r="J2368" s="12">
        <f>G2369</f>
      </c>
      <c r="K2368">
        <f>IF(AND(Pu&gt;=MIN(E2368,H2368),Pu&lt;=MAX(E2368,H2368),E2368&lt;&gt;H2368),1,0)</f>
      </c>
      <c r="L2368">
        <f>IF(K2368=1,(Pu-E2368)/(H2368-E2368),"")</f>
      </c>
      <c r="M2368" s="12">
        <f>IF(K2368=1,F2368+L2368*(I2368-F2368),"")</f>
      </c>
      <c r="N2368" s="12">
        <f>IF(K2368=1,G2368+L2368*(J2368-G2368),"")</f>
      </c>
    </row>
    <row r="2369" spans="2:14" x14ac:dyDescent="0.25">
      <c r="B2369">
        <v>66</v>
      </c>
      <c r="C2369">
        <v>264.375</v>
      </c>
      <c r="D2369">
        <v>28</v>
      </c>
      <c r="E2369" s="18">
        <v>396.9303780284344</v>
      </c>
      <c r="F2369" s="18">
        <v>-2807.374830774476</v>
      </c>
      <c r="G2369" s="18">
        <v>-574.6991044572693</v>
      </c>
      <c r="H2369" s="12">
        <f>E2370</f>
      </c>
      <c r="I2369" s="12">
        <f>F2370</f>
      </c>
      <c r="J2369" s="12">
        <f>G2370</f>
      </c>
      <c r="K2369">
        <f>IF(AND(Pu&gt;=MIN(E2369,H2369),Pu&lt;=MAX(E2369,H2369),E2369&lt;&gt;H2369),1,0)</f>
      </c>
      <c r="L2369">
        <f>IF(K2369=1,(Pu-E2369)/(H2369-E2369),"")</f>
      </c>
      <c r="M2369" s="12">
        <f>IF(K2369=1,F2369+L2369*(I2369-F2369),"")</f>
      </c>
      <c r="N2369" s="12">
        <f>IF(K2369=1,G2369+L2369*(J2369-G2369),"")</f>
      </c>
    </row>
    <row r="2370" spans="2:14" x14ac:dyDescent="0.25">
      <c r="B2370">
        <v>66</v>
      </c>
      <c r="C2370">
        <v>264.375</v>
      </c>
      <c r="D2370">
        <v>29</v>
      </c>
      <c r="E2370" s="18">
        <v>-332.1588215941765</v>
      </c>
      <c r="F2370" s="18">
        <v>-2458.289235266812</v>
      </c>
      <c r="G2370" s="18">
        <v>-493.9210882867267</v>
      </c>
      <c r="H2370" s="12">
        <f>E2371</f>
      </c>
      <c r="I2370" s="12">
        <f>F2371</f>
      </c>
      <c r="J2370" s="12">
        <f>G2371</f>
      </c>
      <c r="K2370">
        <f>IF(AND(Pu&gt;=MIN(E2370,H2370),Pu&lt;=MAX(E2370,H2370),E2370&lt;&gt;H2370),1,0)</f>
      </c>
      <c r="L2370">
        <f>IF(K2370=1,(Pu-E2370)/(H2370-E2370),"")</f>
      </c>
      <c r="M2370" s="12">
        <f>IF(K2370=1,F2370+L2370*(I2370-F2370),"")</f>
      </c>
      <c r="N2370" s="12">
        <f>IF(K2370=1,G2370+L2370*(J2370-G2370),"")</f>
      </c>
    </row>
    <row r="2371" spans="2:14" x14ac:dyDescent="0.25">
      <c r="B2371">
        <v>66</v>
      </c>
      <c r="C2371">
        <v>264.375</v>
      </c>
      <c r="D2371">
        <v>30</v>
      </c>
      <c r="E2371" s="18">
        <v>-1370.4505478527622</v>
      </c>
      <c r="F2371" s="18">
        <v>-1926.3011714902427</v>
      </c>
      <c r="G2371" s="18">
        <v>-448.380850478093</v>
      </c>
      <c r="H2371" s="12">
        <f>E2372</f>
      </c>
      <c r="I2371" s="12">
        <f>F2372</f>
      </c>
      <c r="J2371" s="12">
        <f>G2372</f>
      </c>
      <c r="K2371">
        <f>IF(AND(Pu&gt;=MIN(E2371,H2371),Pu&lt;=MAX(E2371,H2371),E2371&lt;&gt;H2371),1,0)</f>
      </c>
      <c r="L2371">
        <f>IF(K2371=1,(Pu-E2371)/(H2371-E2371),"")</f>
      </c>
      <c r="M2371" s="12">
        <f>IF(K2371=1,F2371+L2371*(I2371-F2371),"")</f>
      </c>
      <c r="N2371" s="12">
        <f>IF(K2371=1,G2371+L2371*(J2371-G2371),"")</f>
      </c>
    </row>
    <row r="2372" spans="2:14" x14ac:dyDescent="0.25">
      <c r="B2372">
        <v>66</v>
      </c>
      <c r="C2372">
        <v>264.375</v>
      </c>
      <c r="D2372">
        <v>31</v>
      </c>
      <c r="E2372" s="18">
        <v>-2163.597180524933</v>
      </c>
      <c r="F2372" s="18">
        <v>-1503.5105349483326</v>
      </c>
      <c r="G2372" s="18">
        <v>-441.7490860785079</v>
      </c>
      <c r="H2372" s="12">
        <f>E2373</f>
      </c>
      <c r="I2372" s="12">
        <f>F2373</f>
      </c>
      <c r="J2372" s="12">
        <f>G2373</f>
      </c>
      <c r="K2372">
        <f>IF(AND(Pu&gt;=MIN(E2372,H2372),Pu&lt;=MAX(E2372,H2372),E2372&lt;&gt;H2372),1,0)</f>
      </c>
      <c r="L2372">
        <f>IF(K2372=1,(Pu-E2372)/(H2372-E2372),"")</f>
      </c>
      <c r="M2372" s="12">
        <f>IF(K2372=1,F2372+L2372*(I2372-F2372),"")</f>
      </c>
      <c r="N2372" s="12">
        <f>IF(K2372=1,G2372+L2372*(J2372-G2372),"")</f>
      </c>
    </row>
    <row r="2373" spans="2:14" x14ac:dyDescent="0.25">
      <c r="B2373">
        <v>66</v>
      </c>
      <c r="C2373">
        <v>264.375</v>
      </c>
      <c r="D2373">
        <v>32</v>
      </c>
      <c r="E2373" s="18">
        <v>-3315.9726018887286</v>
      </c>
      <c r="F2373" s="18">
        <v>-882.6514422424212</v>
      </c>
      <c r="G2373" s="18">
        <v>-412.4645162688031</v>
      </c>
      <c r="H2373" s="12">
        <f>E2374</f>
      </c>
      <c r="I2373" s="12">
        <f>F2374</f>
      </c>
      <c r="J2373" s="12">
        <f>G2374</f>
      </c>
      <c r="K2373">
        <f>IF(AND(Pu&gt;=MIN(E2373,H2373),Pu&lt;=MAX(E2373,H2373),E2373&lt;&gt;H2373),1,0)</f>
      </c>
      <c r="L2373">
        <f>IF(K2373=1,(Pu-E2373)/(H2373-E2373),"")</f>
      </c>
      <c r="M2373" s="12">
        <f>IF(K2373=1,F2373+L2373*(I2373-F2373),"")</f>
      </c>
      <c r="N2373" s="12">
        <f>IF(K2373=1,G2373+L2373*(J2373-G2373),"")</f>
      </c>
    </row>
    <row r="2374" spans="2:14" x14ac:dyDescent="0.25">
      <c r="B2374">
        <v>66</v>
      </c>
      <c r="C2374">
        <v>264.375</v>
      </c>
      <c r="D2374">
        <v>33</v>
      </c>
      <c r="E2374" s="18">
        <v>-3981.227864325372</v>
      </c>
      <c r="F2374" s="18">
        <v>-522.2054536554832</v>
      </c>
      <c r="G2374" s="18">
        <v>-311.30535215442103</v>
      </c>
      <c r="H2374" s="12">
        <f>E2375</f>
      </c>
      <c r="I2374" s="12">
        <f>F2375</f>
      </c>
      <c r="J2374" s="12">
        <f>G2375</f>
      </c>
      <c r="K2374">
        <f>IF(AND(Pu&gt;=MIN(E2374,H2374),Pu&lt;=MAX(E2374,H2374),E2374&lt;&gt;H2374),1,0)</f>
      </c>
      <c r="L2374">
        <f>IF(K2374=1,(Pu-E2374)/(H2374-E2374),"")</f>
      </c>
      <c r="M2374" s="12">
        <f>IF(K2374=1,F2374+L2374*(I2374-F2374),"")</f>
      </c>
      <c r="N2374" s="12">
        <f>IF(K2374=1,G2374+L2374*(J2374-G2374),"")</f>
      </c>
    </row>
    <row r="2375" spans="2:14" x14ac:dyDescent="0.25">
      <c r="B2375">
        <v>66</v>
      </c>
      <c r="C2375">
        <v>264.375</v>
      </c>
      <c r="D2375">
        <v>34</v>
      </c>
      <c r="E2375" s="18">
        <v>-4653.506980435235</v>
      </c>
      <c r="F2375" s="18">
        <v>-155.0511003057696</v>
      </c>
      <c r="G2375" s="18">
        <v>-111.43721621348683</v>
      </c>
      <c r="H2375" s="12">
        <f>E2376</f>
      </c>
      <c r="I2375" s="12">
        <f>F2376</f>
      </c>
      <c r="J2375" s="12">
        <f>G2376</f>
      </c>
      <c r="K2375">
        <f>IF(AND(Pu&gt;=MIN(E2375,H2375),Pu&lt;=MAX(E2375,H2375),E2375&lt;&gt;H2375),1,0)</f>
      </c>
      <c r="L2375">
        <f>IF(K2375=1,(Pu-E2375)/(H2375-E2375),"")</f>
      </c>
      <c r="M2375" s="12">
        <f>IF(K2375=1,F2375+L2375*(I2375-F2375),"")</f>
      </c>
      <c r="N2375" s="12">
        <f>IF(K2375=1,G2375+L2375*(J2375-G2375),"")</f>
      </c>
    </row>
    <row r="2376" spans="2:7" x14ac:dyDescent="0.25">
      <c r="B2376">
        <v>66</v>
      </c>
      <c r="C2376">
        <v>264.375</v>
      </c>
      <c r="D2376">
        <v>35</v>
      </c>
      <c r="E2376" s="18">
        <v>-4785.534673572297</v>
      </c>
      <c r="F2376" s="18">
        <v>-80.18971274535666</v>
      </c>
      <c r="G2376" s="18">
        <v>-61.29847010294643</v>
      </c>
    </row>
    <row r="2378" spans="2:14" x14ac:dyDescent="0.25">
      <c r="B2378">
        <v>67</v>
      </c>
      <c r="C2378">
        <v>266.25</v>
      </c>
      <c r="D2378">
        <v>1</v>
      </c>
      <c r="E2378" s="18">
        <v>17409.46675097907</v>
      </c>
      <c r="F2378" s="18">
        <v>-2298.652007367015</v>
      </c>
      <c r="G2378" s="18">
        <v>-316.8568330517139</v>
      </c>
      <c r="H2378" s="12">
        <f>E2379</f>
      </c>
      <c r="I2378" s="12">
        <f>F2379</f>
      </c>
      <c r="J2378" s="12">
        <f>G2379</f>
      </c>
      <c r="K2378">
        <f>IF(AND(Pu&gt;=MIN(E2378,H2378),Pu&lt;=MAX(E2378,H2378),E2378&lt;&gt;H2378),1,0)</f>
      </c>
      <c r="L2378">
        <f>IF(K2378=1,(Pu-E2378)/(H2378-E2378),"")</f>
      </c>
      <c r="M2378" s="12">
        <f>IF(K2378=1,F2378+L2378*(I2378-F2378),"")</f>
      </c>
      <c r="N2378" s="12">
        <f>IF(K2378=1,G2378+L2378*(J2378-G2378),"")</f>
      </c>
    </row>
    <row r="2379" spans="2:14" x14ac:dyDescent="0.25">
      <c r="B2379">
        <v>67</v>
      </c>
      <c r="C2379">
        <v>266.25</v>
      </c>
      <c r="D2379">
        <v>2</v>
      </c>
      <c r="E2379" s="18">
        <v>16261.546585826274</v>
      </c>
      <c r="F2379" s="18">
        <v>-2765.033384337812</v>
      </c>
      <c r="G2379" s="18">
        <v>-294.48419572758064</v>
      </c>
      <c r="H2379" s="12">
        <f>E2380</f>
      </c>
      <c r="I2379" s="12">
        <f>F2380</f>
      </c>
      <c r="J2379" s="12">
        <f>G2380</f>
      </c>
      <c r="K2379">
        <f>IF(AND(Pu&gt;=MIN(E2379,H2379),Pu&lt;=MAX(E2379,H2379),E2379&lt;&gt;H2379),1,0)</f>
      </c>
      <c r="L2379">
        <f>IF(K2379=1,(Pu-E2379)/(H2379-E2379),"")</f>
      </c>
      <c r="M2379" s="12">
        <f>IF(K2379=1,F2379+L2379*(I2379-F2379),"")</f>
      </c>
      <c r="N2379" s="12">
        <f>IF(K2379=1,G2379+L2379*(J2379-G2379),"")</f>
      </c>
    </row>
    <row r="2380" spans="2:14" x14ac:dyDescent="0.25">
      <c r="B2380">
        <v>67</v>
      </c>
      <c r="C2380">
        <v>266.25</v>
      </c>
      <c r="D2380">
        <v>3</v>
      </c>
      <c r="E2380" s="18">
        <v>15045.041627587743</v>
      </c>
      <c r="F2380" s="18">
        <v>-3196.364281370875</v>
      </c>
      <c r="G2380" s="18">
        <v>-249.3931926927775</v>
      </c>
      <c r="H2380" s="12">
        <f>E2381</f>
      </c>
      <c r="I2380" s="12">
        <f>F2381</f>
      </c>
      <c r="J2380" s="12">
        <f>G2381</f>
      </c>
      <c r="K2380">
        <f>IF(AND(Pu&gt;=MIN(E2380,H2380),Pu&lt;=MAX(E2380,H2380),E2380&lt;&gt;H2380),1,0)</f>
      </c>
      <c r="L2380">
        <f>IF(K2380=1,(Pu-E2380)/(H2380-E2380),"")</f>
      </c>
      <c r="M2380" s="12">
        <f>IF(K2380=1,F2380+L2380*(I2380-F2380),"")</f>
      </c>
      <c r="N2380" s="12">
        <f>IF(K2380=1,G2380+L2380*(J2380-G2380),"")</f>
      </c>
    </row>
    <row r="2381" spans="2:14" x14ac:dyDescent="0.25">
      <c r="B2381">
        <v>67</v>
      </c>
      <c r="C2381">
        <v>266.25</v>
      </c>
      <c r="D2381">
        <v>4</v>
      </c>
      <c r="E2381" s="18">
        <v>14068.389839066193</v>
      </c>
      <c r="F2381" s="18">
        <v>-3488.1610433507794</v>
      </c>
      <c r="G2381" s="18">
        <v>-252.47271986022398</v>
      </c>
      <c r="H2381" s="12">
        <f>E2382</f>
      </c>
      <c r="I2381" s="12">
        <f>F2382</f>
      </c>
      <c r="J2381" s="12">
        <f>G2382</f>
      </c>
      <c r="K2381">
        <f>IF(AND(Pu&gt;=MIN(E2381,H2381),Pu&lt;=MAX(E2381,H2381),E2381&lt;&gt;H2381),1,0)</f>
      </c>
      <c r="L2381">
        <f>IF(K2381=1,(Pu-E2381)/(H2381-E2381),"")</f>
      </c>
      <c r="M2381" s="12">
        <f>IF(K2381=1,F2381+L2381*(I2381-F2381),"")</f>
      </c>
      <c r="N2381" s="12">
        <f>IF(K2381=1,G2381+L2381*(J2381-G2381),"")</f>
      </c>
    </row>
    <row r="2382" spans="2:14" x14ac:dyDescent="0.25">
      <c r="B2382">
        <v>67</v>
      </c>
      <c r="C2382">
        <v>266.25</v>
      </c>
      <c r="D2382">
        <v>5</v>
      </c>
      <c r="E2382" s="18">
        <v>12454.991357785862</v>
      </c>
      <c r="F2382" s="18">
        <v>-3873.9708468816257</v>
      </c>
      <c r="G2382" s="18">
        <v>-261.0228696449826</v>
      </c>
      <c r="H2382" s="12">
        <f>E2383</f>
      </c>
      <c r="I2382" s="12">
        <f>F2383</f>
      </c>
      <c r="J2382" s="12">
        <f>G2383</f>
      </c>
      <c r="K2382">
        <f>IF(AND(Pu&gt;=MIN(E2382,H2382),Pu&lt;=MAX(E2382,H2382),E2382&lt;&gt;H2382),1,0)</f>
      </c>
      <c r="L2382">
        <f>IF(K2382=1,(Pu-E2382)/(H2382-E2382),"")</f>
      </c>
      <c r="M2382" s="12">
        <f>IF(K2382=1,F2382+L2382*(I2382-F2382),"")</f>
      </c>
      <c r="N2382" s="12">
        <f>IF(K2382=1,G2382+L2382*(J2382-G2382),"")</f>
      </c>
    </row>
    <row r="2383" spans="2:14" x14ac:dyDescent="0.25">
      <c r="B2383">
        <v>67</v>
      </c>
      <c r="C2383">
        <v>266.25</v>
      </c>
      <c r="D2383">
        <v>6</v>
      </c>
      <c r="E2383" s="18">
        <v>11089.085421223814</v>
      </c>
      <c r="F2383" s="18">
        <v>-4118.507313111037</v>
      </c>
      <c r="G2383" s="18">
        <v>-270.1905292427538</v>
      </c>
      <c r="H2383" s="12">
        <f>E2384</f>
      </c>
      <c r="I2383" s="12">
        <f>F2384</f>
      </c>
      <c r="J2383" s="12">
        <f>G2384</f>
      </c>
      <c r="K2383">
        <f>IF(AND(Pu&gt;=MIN(E2383,H2383),Pu&lt;=MAX(E2383,H2383),E2383&lt;&gt;H2383),1,0)</f>
      </c>
      <c r="L2383">
        <f>IF(K2383=1,(Pu-E2383)/(H2383-E2383),"")</f>
      </c>
      <c r="M2383" s="12">
        <f>IF(K2383=1,F2383+L2383*(I2383-F2383),"")</f>
      </c>
      <c r="N2383" s="12">
        <f>IF(K2383=1,G2383+L2383*(J2383-G2383),"")</f>
      </c>
    </row>
    <row r="2384" spans="2:14" x14ac:dyDescent="0.25">
      <c r="B2384">
        <v>67</v>
      </c>
      <c r="C2384">
        <v>266.25</v>
      </c>
      <c r="D2384">
        <v>7</v>
      </c>
      <c r="E2384" s="18">
        <v>9899.87528177289</v>
      </c>
      <c r="F2384" s="18">
        <v>-4287.624423853695</v>
      </c>
      <c r="G2384" s="18">
        <v>-298.4414315054566</v>
      </c>
      <c r="H2384" s="12">
        <f>E2385</f>
      </c>
      <c r="I2384" s="12">
        <f>F2385</f>
      </c>
      <c r="J2384" s="12">
        <f>G2385</f>
      </c>
      <c r="K2384">
        <f>IF(AND(Pu&gt;=MIN(E2384,H2384),Pu&lt;=MAX(E2384,H2384),E2384&lt;&gt;H2384),1,0)</f>
      </c>
      <c r="L2384">
        <f>IF(K2384=1,(Pu-E2384)/(H2384-E2384),"")</f>
      </c>
      <c r="M2384" s="12">
        <f>IF(K2384=1,F2384+L2384*(I2384-F2384),"")</f>
      </c>
      <c r="N2384" s="12">
        <f>IF(K2384=1,G2384+L2384*(J2384-G2384),"")</f>
      </c>
    </row>
    <row r="2385" spans="2:14" x14ac:dyDescent="0.25">
      <c r="B2385">
        <v>67</v>
      </c>
      <c r="C2385">
        <v>266.25</v>
      </c>
      <c r="D2385">
        <v>8</v>
      </c>
      <c r="E2385" s="18">
        <v>9128.539522842064</v>
      </c>
      <c r="F2385" s="18">
        <v>-4381.687387932178</v>
      </c>
      <c r="G2385" s="18">
        <v>-312.058905558887</v>
      </c>
      <c r="H2385" s="12">
        <f>E2386</f>
      </c>
      <c r="I2385" s="12">
        <f>F2386</f>
      </c>
      <c r="J2385" s="12">
        <f>G2386</f>
      </c>
      <c r="K2385">
        <f>IF(AND(Pu&gt;=MIN(E2385,H2385),Pu&lt;=MAX(E2385,H2385),E2385&lt;&gt;H2385),1,0)</f>
      </c>
      <c r="L2385">
        <f>IF(K2385=1,(Pu-E2385)/(H2385-E2385),"")</f>
      </c>
      <c r="M2385" s="12">
        <f>IF(K2385=1,F2385+L2385*(I2385-F2385),"")</f>
      </c>
      <c r="N2385" s="12">
        <f>IF(K2385=1,G2385+L2385*(J2385-G2385),"")</f>
      </c>
    </row>
    <row r="2386" spans="2:14" x14ac:dyDescent="0.25">
      <c r="B2386">
        <v>67</v>
      </c>
      <c r="C2386">
        <v>266.25</v>
      </c>
      <c r="D2386">
        <v>9</v>
      </c>
      <c r="E2386" s="18">
        <v>8987.241293208257</v>
      </c>
      <c r="F2386" s="18">
        <v>-4464.9874309905435</v>
      </c>
      <c r="G2386" s="18">
        <v>-303.394852795908</v>
      </c>
      <c r="H2386" s="12">
        <f>E2387</f>
      </c>
      <c r="I2386" s="12">
        <f>F2387</f>
      </c>
      <c r="J2386" s="12">
        <f>G2387</f>
      </c>
      <c r="K2386">
        <f>IF(AND(Pu&gt;=MIN(E2386,H2386),Pu&lt;=MAX(E2386,H2386),E2386&lt;&gt;H2386),1,0)</f>
      </c>
      <c r="L2386">
        <f>IF(K2386=1,(Pu-E2386)/(H2386-E2386),"")</f>
      </c>
      <c r="M2386" s="12">
        <f>IF(K2386=1,F2386+L2386*(I2386-F2386),"")</f>
      </c>
      <c r="N2386" s="12">
        <f>IF(K2386=1,G2386+L2386*(J2386-G2386),"")</f>
      </c>
    </row>
    <row r="2387" spans="2:14" x14ac:dyDescent="0.25">
      <c r="B2387">
        <v>67</v>
      </c>
      <c r="C2387">
        <v>266.25</v>
      </c>
      <c r="D2387">
        <v>10</v>
      </c>
      <c r="E2387" s="18">
        <v>8784.078095363697</v>
      </c>
      <c r="F2387" s="18">
        <v>-4569.7144817560575</v>
      </c>
      <c r="G2387" s="18">
        <v>-310.5901513842844</v>
      </c>
      <c r="H2387" s="12">
        <f>E2388</f>
      </c>
      <c r="I2387" s="12">
        <f>F2388</f>
      </c>
      <c r="J2387" s="12">
        <f>G2388</f>
      </c>
      <c r="K2387">
        <f>IF(AND(Pu&gt;=MIN(E2387,H2387),Pu&lt;=MAX(E2387,H2387),E2387&lt;&gt;H2387),1,0)</f>
      </c>
      <c r="L2387">
        <f>IF(K2387=1,(Pu-E2387)/(H2387-E2387),"")</f>
      </c>
      <c r="M2387" s="12">
        <f>IF(K2387=1,F2387+L2387*(I2387-F2387),"")</f>
      </c>
      <c r="N2387" s="12">
        <f>IF(K2387=1,G2387+L2387*(J2387-G2387),"")</f>
      </c>
    </row>
    <row r="2388" spans="2:14" x14ac:dyDescent="0.25">
      <c r="B2388">
        <v>67</v>
      </c>
      <c r="C2388">
        <v>266.25</v>
      </c>
      <c r="D2388">
        <v>11</v>
      </c>
      <c r="E2388" s="18">
        <v>8608.688722423605</v>
      </c>
      <c r="F2388" s="18">
        <v>-4657.407079096127</v>
      </c>
      <c r="G2388" s="18">
        <v>-322.8197194577073</v>
      </c>
      <c r="H2388" s="12">
        <f>E2389</f>
      </c>
      <c r="I2388" s="12">
        <f>F2389</f>
      </c>
      <c r="J2388" s="12">
        <f>G2389</f>
      </c>
      <c r="K2388">
        <f>IF(AND(Pu&gt;=MIN(E2388,H2388),Pu&lt;=MAX(E2388,H2388),E2388&lt;&gt;H2388),1,0)</f>
      </c>
      <c r="L2388">
        <f>IF(K2388=1,(Pu-E2388)/(H2388-E2388),"")</f>
      </c>
      <c r="M2388" s="12">
        <f>IF(K2388=1,F2388+L2388*(I2388-F2388),"")</f>
      </c>
      <c r="N2388" s="12">
        <f>IF(K2388=1,G2388+L2388*(J2388-G2388),"")</f>
      </c>
    </row>
    <row r="2389" spans="2:14" x14ac:dyDescent="0.25">
      <c r="B2389">
        <v>67</v>
      </c>
      <c r="C2389">
        <v>266.25</v>
      </c>
      <c r="D2389">
        <v>12</v>
      </c>
      <c r="E2389" s="18">
        <v>8499.654013559495</v>
      </c>
      <c r="F2389" s="18">
        <v>-4710.775077735804</v>
      </c>
      <c r="G2389" s="18">
        <v>-330.6799289786035</v>
      </c>
      <c r="H2389" s="12">
        <f>E2390</f>
      </c>
      <c r="I2389" s="12">
        <f>F2390</f>
      </c>
      <c r="J2389" s="12">
        <f>G2390</f>
      </c>
      <c r="K2389">
        <f>IF(AND(Pu&gt;=MIN(E2389,H2389),Pu&lt;=MAX(E2389,H2389),E2389&lt;&gt;H2389),1,0)</f>
      </c>
      <c r="L2389">
        <f>IF(K2389=1,(Pu-E2389)/(H2389-E2389),"")</f>
      </c>
      <c r="M2389" s="12">
        <f>IF(K2389=1,F2389+L2389*(I2389-F2389),"")</f>
      </c>
      <c r="N2389" s="12">
        <f>IF(K2389=1,G2389+L2389*(J2389-G2389),"")</f>
      </c>
    </row>
    <row r="2390" spans="2:14" x14ac:dyDescent="0.25">
      <c r="B2390">
        <v>67</v>
      </c>
      <c r="C2390">
        <v>266.25</v>
      </c>
      <c r="D2390">
        <v>13</v>
      </c>
      <c r="E2390" s="18">
        <v>8273.937461440506</v>
      </c>
      <c r="F2390" s="18">
        <v>-4818.632366236663</v>
      </c>
      <c r="G2390" s="18">
        <v>-347.5280813717424</v>
      </c>
      <c r="H2390" s="12">
        <f>E2391</f>
      </c>
      <c r="I2390" s="12">
        <f>F2391</f>
      </c>
      <c r="J2390" s="12">
        <f>G2391</f>
      </c>
      <c r="K2390">
        <f>IF(AND(Pu&gt;=MIN(E2390,H2390),Pu&lt;=MAX(E2390,H2390),E2390&lt;&gt;H2390),1,0)</f>
      </c>
      <c r="L2390">
        <f>IF(K2390=1,(Pu-E2390)/(H2390-E2390),"")</f>
      </c>
      <c r="M2390" s="12">
        <f>IF(K2390=1,F2390+L2390*(I2390-F2390),"")</f>
      </c>
      <c r="N2390" s="12">
        <f>IF(K2390=1,G2390+L2390*(J2390-G2390),"")</f>
      </c>
    </row>
    <row r="2391" spans="2:14" x14ac:dyDescent="0.25">
      <c r="B2391">
        <v>67</v>
      </c>
      <c r="C2391">
        <v>266.25</v>
      </c>
      <c r="D2391">
        <v>14</v>
      </c>
      <c r="E2391" s="18">
        <v>8238.478130309206</v>
      </c>
      <c r="F2391" s="18">
        <v>-4843.708548896526</v>
      </c>
      <c r="G2391" s="18">
        <v>-361.49362382306714</v>
      </c>
      <c r="H2391" s="12">
        <f>E2392</f>
      </c>
      <c r="I2391" s="12">
        <f>F2392</f>
      </c>
      <c r="J2391" s="12">
        <f>G2392</f>
      </c>
      <c r="K2391">
        <f>IF(AND(Pu&gt;=MIN(E2391,H2391),Pu&lt;=MAX(E2391,H2391),E2391&lt;&gt;H2391),1,0)</f>
      </c>
      <c r="L2391">
        <f>IF(K2391=1,(Pu-E2391)/(H2391-E2391),"")</f>
      </c>
      <c r="M2391" s="12">
        <f>IF(K2391=1,F2391+L2391*(I2391-F2391),"")</f>
      </c>
      <c r="N2391" s="12">
        <f>IF(K2391=1,G2391+L2391*(J2391-G2391),"")</f>
      </c>
    </row>
    <row r="2392" spans="2:14" x14ac:dyDescent="0.25">
      <c r="B2392">
        <v>67</v>
      </c>
      <c r="C2392">
        <v>266.25</v>
      </c>
      <c r="D2392">
        <v>15</v>
      </c>
      <c r="E2392" s="18">
        <v>8003.142818091992</v>
      </c>
      <c r="F2392" s="18">
        <v>-4957.564344656015</v>
      </c>
      <c r="G2392" s="18">
        <v>-359.13255084387015</v>
      </c>
      <c r="H2392" s="12">
        <f>E2393</f>
      </c>
      <c r="I2392" s="12">
        <f>F2393</f>
      </c>
      <c r="J2392" s="12">
        <f>G2393</f>
      </c>
      <c r="K2392">
        <f>IF(AND(Pu&gt;=MIN(E2392,H2392),Pu&lt;=MAX(E2392,H2392),E2392&lt;&gt;H2392),1,0)</f>
      </c>
      <c r="L2392">
        <f>IF(K2392=1,(Pu-E2392)/(H2392-E2392),"")</f>
      </c>
      <c r="M2392" s="12">
        <f>IF(K2392=1,F2392+L2392*(I2392-F2392),"")</f>
      </c>
      <c r="N2392" s="12">
        <f>IF(K2392=1,G2392+L2392*(J2392-G2392),"")</f>
      </c>
    </row>
    <row r="2393" spans="2:14" x14ac:dyDescent="0.25">
      <c r="B2393">
        <v>67</v>
      </c>
      <c r="C2393">
        <v>266.25</v>
      </c>
      <c r="D2393">
        <v>16</v>
      </c>
      <c r="E2393" s="18">
        <v>7977.389935414375</v>
      </c>
      <c r="F2393" s="18">
        <v>-4969.823602050904</v>
      </c>
      <c r="G2393" s="18">
        <v>-358.6645028437413</v>
      </c>
      <c r="H2393" s="12">
        <f>E2394</f>
      </c>
      <c r="I2393" s="12">
        <f>F2394</f>
      </c>
      <c r="J2393" s="12">
        <f>G2394</f>
      </c>
      <c r="K2393">
        <f>IF(AND(Pu&gt;=MIN(E2393,H2393),Pu&lt;=MAX(E2393,H2393),E2393&lt;&gt;H2393),1,0)</f>
      </c>
      <c r="L2393">
        <f>IF(K2393=1,(Pu-E2393)/(H2393-E2393),"")</f>
      </c>
      <c r="M2393" s="12">
        <f>IF(K2393=1,F2393+L2393*(I2393-F2393),"")</f>
      </c>
      <c r="N2393" s="12">
        <f>IF(K2393=1,G2393+L2393*(J2393-G2393),"")</f>
      </c>
    </row>
    <row r="2394" spans="2:14" x14ac:dyDescent="0.25">
      <c r="B2394">
        <v>67</v>
      </c>
      <c r="C2394">
        <v>266.25</v>
      </c>
      <c r="D2394">
        <v>17</v>
      </c>
      <c r="E2394" s="18">
        <v>7782.2719977695515</v>
      </c>
      <c r="F2394" s="18">
        <v>-5062.536176297825</v>
      </c>
      <c r="G2394" s="18">
        <v>-359.96469897865904</v>
      </c>
      <c r="H2394" s="12">
        <f>E2395</f>
      </c>
      <c r="I2394" s="12">
        <f>F2395</f>
      </c>
      <c r="J2394" s="12">
        <f>G2395</f>
      </c>
      <c r="K2394">
        <f>IF(AND(Pu&gt;=MIN(E2394,H2394),Pu&lt;=MAX(E2394,H2394),E2394&lt;&gt;H2394),1,0)</f>
      </c>
      <c r="L2394">
        <f>IF(K2394=1,(Pu-E2394)/(H2394-E2394),"")</f>
      </c>
      <c r="M2394" s="12">
        <f>IF(K2394=1,F2394+L2394*(I2394-F2394),"")</f>
      </c>
      <c r="N2394" s="12">
        <f>IF(K2394=1,G2394+L2394*(J2394-G2394),"")</f>
      </c>
    </row>
    <row r="2395" spans="2:14" x14ac:dyDescent="0.25">
      <c r="B2395">
        <v>67</v>
      </c>
      <c r="C2395">
        <v>266.25</v>
      </c>
      <c r="D2395">
        <v>18</v>
      </c>
      <c r="E2395" s="18">
        <v>7591.990688417525</v>
      </c>
      <c r="F2395" s="18">
        <v>-5154.5035973436425</v>
      </c>
      <c r="G2395" s="18">
        <v>-378.93626802255034</v>
      </c>
      <c r="H2395" s="12">
        <f>E2396</f>
      </c>
      <c r="I2395" s="12">
        <f>F2396</f>
      </c>
      <c r="J2395" s="12">
        <f>G2396</f>
      </c>
      <c r="K2395">
        <f>IF(AND(Pu&gt;=MIN(E2395,H2395),Pu&lt;=MAX(E2395,H2395),E2395&lt;&gt;H2395),1,0)</f>
      </c>
      <c r="L2395">
        <f>IF(K2395=1,(Pu-E2395)/(H2395-E2395),"")</f>
      </c>
      <c r="M2395" s="12">
        <f>IF(K2395=1,F2395+L2395*(I2395-F2395),"")</f>
      </c>
      <c r="N2395" s="12">
        <f>IF(K2395=1,G2395+L2395*(J2395-G2395),"")</f>
      </c>
    </row>
    <row r="2396" spans="2:14" x14ac:dyDescent="0.25">
      <c r="B2396">
        <v>67</v>
      </c>
      <c r="C2396">
        <v>266.25</v>
      </c>
      <c r="D2396">
        <v>19</v>
      </c>
      <c r="E2396" s="18">
        <v>7477.198739126156</v>
      </c>
      <c r="F2396" s="18">
        <v>-5208.591161034547</v>
      </c>
      <c r="G2396" s="18">
        <v>-390.7543798946199</v>
      </c>
      <c r="H2396" s="12">
        <f>E2397</f>
      </c>
      <c r="I2396" s="12">
        <f>F2397</f>
      </c>
      <c r="J2396" s="12">
        <f>G2397</f>
      </c>
      <c r="K2396">
        <f>IF(AND(Pu&gt;=MIN(E2396,H2396),Pu&lt;=MAX(E2396,H2396),E2396&lt;&gt;H2396),1,0)</f>
      </c>
      <c r="L2396">
        <f>IF(K2396=1,(Pu-E2396)/(H2396-E2396),"")</f>
      </c>
      <c r="M2396" s="12">
        <f>IF(K2396=1,F2396+L2396*(I2396-F2396),"")</f>
      </c>
      <c r="N2396" s="12">
        <f>IF(K2396=1,G2396+L2396*(J2396-G2396),"")</f>
      </c>
    </row>
    <row r="2397" spans="2:14" x14ac:dyDescent="0.25">
      <c r="B2397">
        <v>67</v>
      </c>
      <c r="C2397">
        <v>266.25</v>
      </c>
      <c r="D2397">
        <v>20</v>
      </c>
      <c r="E2397" s="18">
        <v>7404.493164563292</v>
      </c>
      <c r="F2397" s="18">
        <v>-5242.30590724326</v>
      </c>
      <c r="G2397" s="18">
        <v>-398.3678248514862</v>
      </c>
      <c r="H2397" s="12">
        <f>E2398</f>
      </c>
      <c r="I2397" s="12">
        <f>F2398</f>
      </c>
      <c r="J2397" s="12">
        <f>G2398</f>
      </c>
      <c r="K2397">
        <f>IF(AND(Pu&gt;=MIN(E2397,H2397),Pu&lt;=MAX(E2397,H2397),E2397&lt;&gt;H2397),1,0)</f>
      </c>
      <c r="L2397">
        <f>IF(K2397=1,(Pu-E2397)/(H2397-E2397),"")</f>
      </c>
      <c r="M2397" s="12">
        <f>IF(K2397=1,F2397+L2397*(I2397-F2397),"")</f>
      </c>
      <c r="N2397" s="12">
        <f>IF(K2397=1,G2397+L2397*(J2397-G2397),"")</f>
      </c>
    </row>
    <row r="2398" spans="2:14" x14ac:dyDescent="0.25">
      <c r="B2398">
        <v>67</v>
      </c>
      <c r="C2398">
        <v>266.25</v>
      </c>
      <c r="D2398">
        <v>21</v>
      </c>
      <c r="E2398" s="18">
        <v>7254.093261607333</v>
      </c>
      <c r="F2398" s="18">
        <v>-5330.126315830486</v>
      </c>
      <c r="G2398" s="18">
        <v>-393.9195120748556</v>
      </c>
      <c r="H2398" s="12">
        <f>E2399</f>
      </c>
      <c r="I2398" s="12">
        <f>F2399</f>
      </c>
      <c r="J2398" s="12">
        <f>G2399</f>
      </c>
      <c r="K2398">
        <f>IF(AND(Pu&gt;=MIN(E2398,H2398),Pu&lt;=MAX(E2398,H2398),E2398&lt;&gt;H2398),1,0)</f>
      </c>
      <c r="L2398">
        <f>IF(K2398=1,(Pu-E2398)/(H2398-E2398),"")</f>
      </c>
      <c r="M2398" s="12">
        <f>IF(K2398=1,F2398+L2398*(I2398-F2398),"")</f>
      </c>
      <c r="N2398" s="12">
        <f>IF(K2398=1,G2398+L2398*(J2398-G2398),"")</f>
      </c>
    </row>
    <row r="2399" spans="2:14" x14ac:dyDescent="0.25">
      <c r="B2399">
        <v>67</v>
      </c>
      <c r="C2399">
        <v>266.25</v>
      </c>
      <c r="D2399">
        <v>22</v>
      </c>
      <c r="E2399" s="18">
        <v>7211.106335695466</v>
      </c>
      <c r="F2399" s="18">
        <v>-5321.018637247237</v>
      </c>
      <c r="G2399" s="18">
        <v>-392.1439330970237</v>
      </c>
      <c r="H2399" s="12">
        <f>E2400</f>
      </c>
      <c r="I2399" s="12">
        <f>F2400</f>
      </c>
      <c r="J2399" s="12">
        <f>G2400</f>
      </c>
      <c r="K2399">
        <f>IF(AND(Pu&gt;=MIN(E2399,H2399),Pu&lt;=MAX(E2399,H2399),E2399&lt;&gt;H2399),1,0)</f>
      </c>
      <c r="L2399">
        <f>IF(K2399=1,(Pu-E2399)/(H2399-E2399),"")</f>
      </c>
      <c r="M2399" s="12">
        <f>IF(K2399=1,F2399+L2399*(I2399-F2399),"")</f>
      </c>
      <c r="N2399" s="12">
        <f>IF(K2399=1,G2399+L2399*(J2399-G2399),"")</f>
      </c>
    </row>
    <row r="2400" spans="2:14" x14ac:dyDescent="0.25">
      <c r="B2400">
        <v>67</v>
      </c>
      <c r="C2400">
        <v>266.25</v>
      </c>
      <c r="D2400">
        <v>23</v>
      </c>
      <c r="E2400" s="18">
        <v>6649.821094051222</v>
      </c>
      <c r="F2400" s="18">
        <v>-5197.72092031943</v>
      </c>
      <c r="G2400" s="18">
        <v>-370.18993081379904</v>
      </c>
      <c r="H2400" s="12">
        <f>E2401</f>
      </c>
      <c r="I2400" s="12">
        <f>F2401</f>
      </c>
      <c r="J2400" s="12">
        <f>G2401</f>
      </c>
      <c r="K2400">
        <f>IF(AND(Pu&gt;=MIN(E2400,H2400),Pu&lt;=MAX(E2400,H2400),E2400&lt;&gt;H2400),1,0)</f>
      </c>
      <c r="L2400">
        <f>IF(K2400=1,(Pu-E2400)/(H2400-E2400),"")</f>
      </c>
      <c r="M2400" s="12">
        <f>IF(K2400=1,F2400+L2400*(I2400-F2400),"")</f>
      </c>
      <c r="N2400" s="12">
        <f>IF(K2400=1,G2400+L2400*(J2400-G2400),"")</f>
      </c>
    </row>
    <row r="2401" spans="2:14" x14ac:dyDescent="0.25">
      <c r="B2401">
        <v>67</v>
      </c>
      <c r="C2401">
        <v>266.25</v>
      </c>
      <c r="D2401">
        <v>24</v>
      </c>
      <c r="E2401" s="18">
        <v>5732.785038713811</v>
      </c>
      <c r="F2401" s="18">
        <v>-4952.632647459864</v>
      </c>
      <c r="G2401" s="18">
        <v>-396.1607272614746</v>
      </c>
      <c r="H2401" s="12">
        <f>E2402</f>
      </c>
      <c r="I2401" s="12">
        <f>F2402</f>
      </c>
      <c r="J2401" s="12">
        <f>G2402</f>
      </c>
      <c r="K2401">
        <f>IF(AND(Pu&gt;=MIN(E2401,H2401),Pu&lt;=MAX(E2401,H2401),E2401&lt;&gt;H2401),1,0)</f>
      </c>
      <c r="L2401">
        <f>IF(K2401=1,(Pu-E2401)/(H2401-E2401),"")</f>
      </c>
      <c r="M2401" s="12">
        <f>IF(K2401=1,F2401+L2401*(I2401-F2401),"")</f>
      </c>
      <c r="N2401" s="12">
        <f>IF(K2401=1,G2401+L2401*(J2401-G2401),"")</f>
      </c>
    </row>
    <row r="2402" spans="2:14" x14ac:dyDescent="0.25">
      <c r="B2402">
        <v>67</v>
      </c>
      <c r="C2402">
        <v>266.25</v>
      </c>
      <c r="D2402">
        <v>25</v>
      </c>
      <c r="E2402" s="18">
        <v>4939.480203283527</v>
      </c>
      <c r="F2402" s="18">
        <v>-4711.1547975275835</v>
      </c>
      <c r="G2402" s="18">
        <v>-431.9462664055502</v>
      </c>
      <c r="H2402" s="12">
        <f>E2403</f>
      </c>
      <c r="I2402" s="12">
        <f>F2403</f>
      </c>
      <c r="J2402" s="12">
        <f>G2403</f>
      </c>
      <c r="K2402">
        <f>IF(AND(Pu&gt;=MIN(E2402,H2402),Pu&lt;=MAX(E2402,H2402),E2402&lt;&gt;H2402),1,0)</f>
      </c>
      <c r="L2402">
        <f>IF(K2402=1,(Pu-E2402)/(H2402-E2402),"")</f>
      </c>
      <c r="M2402" s="12">
        <f>IF(K2402=1,F2402+L2402*(I2402-F2402),"")</f>
      </c>
      <c r="N2402" s="12">
        <f>IF(K2402=1,G2402+L2402*(J2402-G2402),"")</f>
      </c>
    </row>
    <row r="2403" spans="2:14" x14ac:dyDescent="0.25">
      <c r="B2403">
        <v>67</v>
      </c>
      <c r="C2403">
        <v>266.25</v>
      </c>
      <c r="D2403">
        <v>26</v>
      </c>
      <c r="E2403" s="18">
        <v>4199.764165968683</v>
      </c>
      <c r="F2403" s="18">
        <v>-4457.688742777241</v>
      </c>
      <c r="G2403" s="18">
        <v>-422.9307484084198</v>
      </c>
      <c r="H2403" s="12">
        <f>E2404</f>
      </c>
      <c r="I2403" s="12">
        <f>F2404</f>
      </c>
      <c r="J2403" s="12">
        <f>G2404</f>
      </c>
      <c r="K2403">
        <f>IF(AND(Pu&gt;=MIN(E2403,H2403),Pu&lt;=MAX(E2403,H2403),E2403&lt;&gt;H2403),1,0)</f>
      </c>
      <c r="L2403">
        <f>IF(K2403=1,(Pu-E2403)/(H2403-E2403),"")</f>
      </c>
      <c r="M2403" s="12">
        <f>IF(K2403=1,F2403+L2403*(I2403-F2403),"")</f>
      </c>
      <c r="N2403" s="12">
        <f>IF(K2403=1,G2403+L2403*(J2403-G2403),"")</f>
      </c>
    </row>
    <row r="2404" spans="2:14" x14ac:dyDescent="0.25">
      <c r="B2404">
        <v>67</v>
      </c>
      <c r="C2404">
        <v>266.25</v>
      </c>
      <c r="D2404">
        <v>27</v>
      </c>
      <c r="E2404" s="18">
        <v>2878.3049555370567</v>
      </c>
      <c r="F2404" s="18">
        <v>-3938.99186591449</v>
      </c>
      <c r="G2404" s="18">
        <v>-484.4310123652198</v>
      </c>
      <c r="H2404" s="12">
        <f>E2405</f>
      </c>
      <c r="I2404" s="12">
        <f>F2405</f>
      </c>
      <c r="J2404" s="12">
        <f>G2405</f>
      </c>
      <c r="K2404">
        <f>IF(AND(Pu&gt;=MIN(E2404,H2404),Pu&lt;=MAX(E2404,H2404),E2404&lt;&gt;H2404),1,0)</f>
      </c>
      <c r="L2404">
        <f>IF(K2404=1,(Pu-E2404)/(H2404-E2404),"")</f>
      </c>
      <c r="M2404" s="12">
        <f>IF(K2404=1,F2404+L2404*(I2404-F2404),"")</f>
      </c>
      <c r="N2404" s="12">
        <f>IF(K2404=1,G2404+L2404*(J2404-G2404),"")</f>
      </c>
    </row>
    <row r="2405" spans="2:14" x14ac:dyDescent="0.25">
      <c r="B2405">
        <v>67</v>
      </c>
      <c r="C2405">
        <v>266.25</v>
      </c>
      <c r="D2405">
        <v>28</v>
      </c>
      <c r="E2405" s="18">
        <v>1734.5083949302102</v>
      </c>
      <c r="F2405" s="18">
        <v>-3452.477610684558</v>
      </c>
      <c r="G2405" s="18">
        <v>-470.3042795637031</v>
      </c>
      <c r="H2405" s="12">
        <f>E2406</f>
      </c>
      <c r="I2405" s="12">
        <f>F2406</f>
      </c>
      <c r="J2405" s="12">
        <f>G2406</f>
      </c>
      <c r="K2405">
        <f>IF(AND(Pu&gt;=MIN(E2405,H2405),Pu&lt;=MAX(E2405,H2405),E2405&lt;&gt;H2405),1,0)</f>
      </c>
      <c r="L2405">
        <f>IF(K2405=1,(Pu-E2405)/(H2405-E2405),"")</f>
      </c>
      <c r="M2405" s="12">
        <f>IF(K2405=1,F2405+L2405*(I2405-F2405),"")</f>
      </c>
      <c r="N2405" s="12">
        <f>IF(K2405=1,G2405+L2405*(J2405-G2405),"")</f>
      </c>
    </row>
    <row r="2406" spans="2:14" x14ac:dyDescent="0.25">
      <c r="B2406">
        <v>67</v>
      </c>
      <c r="C2406">
        <v>266.25</v>
      </c>
      <c r="D2406">
        <v>29</v>
      </c>
      <c r="E2406" s="18">
        <v>875.2492192249673</v>
      </c>
      <c r="F2406" s="18">
        <v>-3060.870350042056</v>
      </c>
      <c r="G2406" s="18">
        <v>-402.5925985051297</v>
      </c>
      <c r="H2406" s="12">
        <f>E2407</f>
      </c>
      <c r="I2406" s="12">
        <f>F2407</f>
      </c>
      <c r="J2406" s="12">
        <f>G2407</f>
      </c>
      <c r="K2406">
        <f>IF(AND(Pu&gt;=MIN(E2406,H2406),Pu&lt;=MAX(E2406,H2406),E2406&lt;&gt;H2406),1,0)</f>
      </c>
      <c r="L2406">
        <f>IF(K2406=1,(Pu-E2406)/(H2406-E2406),"")</f>
      </c>
      <c r="M2406" s="12">
        <f>IF(K2406=1,F2406+L2406*(I2406-F2406),"")</f>
      </c>
      <c r="N2406" s="12">
        <f>IF(K2406=1,G2406+L2406*(J2406-G2406),"")</f>
      </c>
    </row>
    <row r="2407" spans="2:14" x14ac:dyDescent="0.25">
      <c r="B2407">
        <v>67</v>
      </c>
      <c r="C2407">
        <v>266.25</v>
      </c>
      <c r="D2407">
        <v>30</v>
      </c>
      <c r="E2407" s="18">
        <v>156.87949233323846</v>
      </c>
      <c r="F2407" s="18">
        <v>-2721.9019108581947</v>
      </c>
      <c r="G2407" s="18">
        <v>-337.9145845651257</v>
      </c>
      <c r="H2407" s="12">
        <f>E2408</f>
      </c>
      <c r="I2407" s="12">
        <f>F2408</f>
      </c>
      <c r="J2407" s="12">
        <f>G2408</f>
      </c>
      <c r="K2407">
        <f>IF(AND(Pu&gt;=MIN(E2407,H2407),Pu&lt;=MAX(E2407,H2407),E2407&lt;&gt;H2407),1,0)</f>
      </c>
      <c r="L2407">
        <f>IF(K2407=1,(Pu-E2407)/(H2407-E2407),"")</f>
      </c>
      <c r="M2407" s="12">
        <f>IF(K2407=1,F2407+L2407*(I2407-F2407),"")</f>
      </c>
      <c r="N2407" s="12">
        <f>IF(K2407=1,G2407+L2407*(J2407-G2407),"")</f>
      </c>
    </row>
    <row r="2408" spans="2:14" x14ac:dyDescent="0.25">
      <c r="B2408">
        <v>67</v>
      </c>
      <c r="C2408">
        <v>266.25</v>
      </c>
      <c r="D2408">
        <v>31</v>
      </c>
      <c r="E2408" s="18">
        <v>-808.7013412793594</v>
      </c>
      <c r="F2408" s="18">
        <v>-2230.3364879617643</v>
      </c>
      <c r="G2408" s="18">
        <v>-311.14513613037957</v>
      </c>
      <c r="H2408" s="12">
        <f>E2409</f>
      </c>
      <c r="I2408" s="12">
        <f>F2409</f>
      </c>
      <c r="J2408" s="12">
        <f>G2409</f>
      </c>
      <c r="K2408">
        <f>IF(AND(Pu&gt;=MIN(E2408,H2408),Pu&lt;=MAX(E2408,H2408),E2408&lt;&gt;H2408),1,0)</f>
      </c>
      <c r="L2408">
        <f>IF(K2408=1,(Pu-E2408)/(H2408-E2408),"")</f>
      </c>
      <c r="M2408" s="12">
        <f>IF(K2408=1,F2408+L2408*(I2408-F2408),"")</f>
      </c>
      <c r="N2408" s="12">
        <f>IF(K2408=1,G2408+L2408*(J2408-G2408),"")</f>
      </c>
    </row>
    <row r="2409" spans="2:14" x14ac:dyDescent="0.25">
      <c r="B2409">
        <v>67</v>
      </c>
      <c r="C2409">
        <v>266.25</v>
      </c>
      <c r="D2409">
        <v>32</v>
      </c>
      <c r="E2409" s="18">
        <v>-1560.061366958528</v>
      </c>
      <c r="F2409" s="18">
        <v>-1835.233949725558</v>
      </c>
      <c r="G2409" s="18">
        <v>-305.3676934604419</v>
      </c>
      <c r="H2409" s="12">
        <f>E2410</f>
      </c>
      <c r="I2409" s="12">
        <f>F2410</f>
      </c>
      <c r="J2409" s="12">
        <f>G2410</f>
      </c>
      <c r="K2409">
        <f>IF(AND(Pu&gt;=MIN(E2409,H2409),Pu&lt;=MAX(E2409,H2409),E2409&lt;&gt;H2409),1,0)</f>
      </c>
      <c r="L2409">
        <f>IF(K2409=1,(Pu-E2409)/(H2409-E2409),"")</f>
      </c>
      <c r="M2409" s="12">
        <f>IF(K2409=1,F2409+L2409*(I2409-F2409),"")</f>
      </c>
      <c r="N2409" s="12">
        <f>IF(K2409=1,G2409+L2409*(J2409-G2409),"")</f>
      </c>
    </row>
    <row r="2410" spans="2:14" x14ac:dyDescent="0.25">
      <c r="B2410">
        <v>67</v>
      </c>
      <c r="C2410">
        <v>266.25</v>
      </c>
      <c r="D2410">
        <v>33</v>
      </c>
      <c r="E2410" s="18">
        <v>-2706.710925437825</v>
      </c>
      <c r="F2410" s="18">
        <v>-1218.845523510831</v>
      </c>
      <c r="G2410" s="18">
        <v>-319.71831163354085</v>
      </c>
      <c r="H2410" s="12">
        <f>E2411</f>
      </c>
      <c r="I2410" s="12">
        <f>F2411</f>
      </c>
      <c r="J2410" s="12">
        <f>G2411</f>
      </c>
      <c r="K2410">
        <f>IF(AND(Pu&gt;=MIN(E2410,H2410),Pu&lt;=MAX(E2410,H2410),E2410&lt;&gt;H2410),1,0)</f>
      </c>
      <c r="L2410">
        <f>IF(K2410=1,(Pu-E2410)/(H2410-E2410),"")</f>
      </c>
      <c r="M2410" s="12">
        <f>IF(K2410=1,F2410+L2410*(I2410-F2410),"")</f>
      </c>
      <c r="N2410" s="12">
        <f>IF(K2410=1,G2410+L2410*(J2410-G2410),"")</f>
      </c>
    </row>
    <row r="2411" spans="2:14" x14ac:dyDescent="0.25">
      <c r="B2411">
        <v>67</v>
      </c>
      <c r="C2411">
        <v>266.25</v>
      </c>
      <c r="D2411">
        <v>34</v>
      </c>
      <c r="E2411" s="18">
        <v>-3600.84765296679</v>
      </c>
      <c r="F2411" s="18">
        <v>-733.5934691736003</v>
      </c>
      <c r="G2411" s="18">
        <v>-314.0112835238908</v>
      </c>
      <c r="H2411" s="12">
        <f>E2412</f>
      </c>
      <c r="I2411" s="12">
        <f>F2412</f>
      </c>
      <c r="J2411" s="12">
        <f>G2412</f>
      </c>
      <c r="K2411">
        <f>IF(AND(Pu&gt;=MIN(E2411,H2411),Pu&lt;=MAX(E2411,H2411),E2411&lt;&gt;H2411),1,0)</f>
      </c>
      <c r="L2411">
        <f>IF(K2411=1,(Pu-E2411)/(H2411-E2411),"")</f>
      </c>
      <c r="M2411" s="12">
        <f>IF(K2411=1,F2411+L2411*(I2411-F2411),"")</f>
      </c>
      <c r="N2411" s="12">
        <f>IF(K2411=1,G2411+L2411*(J2411-G2411),"")</f>
      </c>
    </row>
    <row r="2412" spans="2:14" x14ac:dyDescent="0.25">
      <c r="B2412">
        <v>67</v>
      </c>
      <c r="C2412">
        <v>266.25</v>
      </c>
      <c r="D2412">
        <v>35</v>
      </c>
      <c r="E2412" s="18">
        <v>-4543.6799236857305</v>
      </c>
      <c r="F2412" s="18">
        <v>-218.313111078253</v>
      </c>
      <c r="G2412" s="18">
        <v>-134.1301356368748</v>
      </c>
      <c r="H2412" s="12">
        <f>E2413</f>
      </c>
      <c r="I2412" s="12">
        <f>F2413</f>
      </c>
      <c r="J2412" s="12">
        <f>G2413</f>
      </c>
      <c r="K2412">
        <f>IF(AND(Pu&gt;=MIN(E2412,H2412),Pu&lt;=MAX(E2412,H2412),E2412&lt;&gt;H2412),1,0)</f>
      </c>
      <c r="L2412">
        <f>IF(K2412=1,(Pu-E2412)/(H2412-E2412),"")</f>
      </c>
      <c r="M2412" s="12">
        <f>IF(K2412=1,F2412+L2412*(I2412-F2412),"")</f>
      </c>
      <c r="N2412" s="12">
        <f>IF(K2412=1,G2412+L2412*(J2412-G2412),"")</f>
      </c>
    </row>
    <row r="2413" spans="2:7" x14ac:dyDescent="0.25">
      <c r="B2413">
        <v>67</v>
      </c>
      <c r="C2413">
        <v>266.25</v>
      </c>
      <c r="D2413">
        <v>36</v>
      </c>
      <c r="E2413" s="18">
        <v>-4734.975702555577</v>
      </c>
      <c r="F2413" s="18">
        <v>-110.04333845760257</v>
      </c>
      <c r="G2413" s="18">
        <v>-74.10842679388823</v>
      </c>
    </row>
    <row r="2415" spans="2:14" x14ac:dyDescent="0.25">
      <c r="B2415">
        <v>68</v>
      </c>
      <c r="C2415">
        <v>268.12500000000006</v>
      </c>
      <c r="D2415">
        <v>1</v>
      </c>
      <c r="E2415" s="18">
        <v>17120.65444743088</v>
      </c>
      <c r="F2415" s="18">
        <v>-2432.045367711985</v>
      </c>
      <c r="G2415" s="18">
        <v>-166.32849443423953</v>
      </c>
      <c r="H2415" s="12">
        <f>E2416</f>
      </c>
      <c r="I2415" s="12">
        <f>F2416</f>
      </c>
      <c r="J2415" s="12">
        <f>G2416</f>
      </c>
      <c r="K2415">
        <f>IF(AND(Pu&gt;=MIN(E2415,H2415),Pu&lt;=MAX(E2415,H2415),E2415&lt;&gt;H2415),1,0)</f>
      </c>
      <c r="L2415">
        <f>IF(K2415=1,(Pu-E2415)/(H2415-E2415),"")</f>
      </c>
      <c r="M2415" s="12">
        <f>IF(K2415=1,F2415+L2415*(I2415-F2415),"")</f>
      </c>
      <c r="N2415" s="12">
        <f>IF(K2415=1,G2415+L2415*(J2415-G2415),"")</f>
      </c>
    </row>
    <row r="2416" spans="2:14" x14ac:dyDescent="0.25">
      <c r="B2416">
        <v>68</v>
      </c>
      <c r="C2416">
        <v>268.12500000000006</v>
      </c>
      <c r="D2416">
        <v>2</v>
      </c>
      <c r="E2416" s="18">
        <v>16036.223369022335</v>
      </c>
      <c r="F2416" s="18">
        <v>-2860.3830759280804</v>
      </c>
      <c r="G2416" s="18">
        <v>-145.62905233717873</v>
      </c>
      <c r="H2416" s="12">
        <f>E2417</f>
      </c>
      <c r="I2416" s="12">
        <f>F2417</f>
      </c>
      <c r="J2416" s="12">
        <f>G2417</f>
      </c>
      <c r="K2416">
        <f>IF(AND(Pu&gt;=MIN(E2416,H2416),Pu&lt;=MAX(E2416,H2416),E2416&lt;&gt;H2416),1,0)</f>
      </c>
      <c r="L2416">
        <f>IF(K2416=1,(Pu-E2416)/(H2416-E2416),"")</f>
      </c>
      <c r="M2416" s="12">
        <f>IF(K2416=1,F2416+L2416*(I2416-F2416),"")</f>
      </c>
      <c r="N2416" s="12">
        <f>IF(K2416=1,G2416+L2416*(J2416-G2416),"")</f>
      </c>
    </row>
    <row r="2417" spans="2:14" x14ac:dyDescent="0.25">
      <c r="B2417">
        <v>68</v>
      </c>
      <c r="C2417">
        <v>268.12500000000006</v>
      </c>
      <c r="D2417">
        <v>3</v>
      </c>
      <c r="E2417" s="18">
        <v>14896.33068104931</v>
      </c>
      <c r="F2417" s="18">
        <v>-3252.4987789692977</v>
      </c>
      <c r="G2417" s="18">
        <v>-117.80795505058859</v>
      </c>
      <c r="H2417" s="12">
        <f>E2418</f>
      </c>
      <c r="I2417" s="12">
        <f>F2418</f>
      </c>
      <c r="J2417" s="12">
        <f>G2418</f>
      </c>
      <c r="K2417">
        <f>IF(AND(Pu&gt;=MIN(E2417,H2417),Pu&lt;=MAX(E2417,H2417),E2417&lt;&gt;H2417),1,0)</f>
      </c>
      <c r="L2417">
        <f>IF(K2417=1,(Pu-E2417)/(H2417-E2417),"")</f>
      </c>
      <c r="M2417" s="12">
        <f>IF(K2417=1,F2417+L2417*(I2417-F2417),"")</f>
      </c>
      <c r="N2417" s="12">
        <f>IF(K2417=1,G2417+L2417*(J2417-G2417),"")</f>
      </c>
    </row>
    <row r="2418" spans="2:14" x14ac:dyDescent="0.25">
      <c r="B2418">
        <v>68</v>
      </c>
      <c r="C2418">
        <v>268.12500000000006</v>
      </c>
      <c r="D2418">
        <v>4</v>
      </c>
      <c r="E2418" s="18">
        <v>13957.216747632845</v>
      </c>
      <c r="F2418" s="18">
        <v>-3527.4982249963405</v>
      </c>
      <c r="G2418" s="18">
        <v>-127.04867807523235</v>
      </c>
      <c r="H2418" s="12">
        <f>E2419</f>
      </c>
      <c r="I2418" s="12">
        <f>F2419</f>
      </c>
      <c r="J2418" s="12">
        <f>G2419</f>
      </c>
      <c r="K2418">
        <f>IF(AND(Pu&gt;=MIN(E2418,H2418),Pu&lt;=MAX(E2418,H2418),E2418&lt;&gt;H2418),1,0)</f>
      </c>
      <c r="L2418">
        <f>IF(K2418=1,(Pu-E2418)/(H2418-E2418),"")</f>
      </c>
      <c r="M2418" s="12">
        <f>IF(K2418=1,F2418+L2418*(I2418-F2418),"")</f>
      </c>
      <c r="N2418" s="12">
        <f>IF(K2418=1,G2418+L2418*(J2418-G2418),"")</f>
      </c>
    </row>
    <row r="2419" spans="2:14" x14ac:dyDescent="0.25">
      <c r="B2419">
        <v>68</v>
      </c>
      <c r="C2419">
        <v>268.12500000000006</v>
      </c>
      <c r="D2419">
        <v>5</v>
      </c>
      <c r="E2419" s="18">
        <v>12373.743282600313</v>
      </c>
      <c r="F2419" s="18">
        <v>-3902.163214977838</v>
      </c>
      <c r="G2419" s="18">
        <v>-131.44385614719994</v>
      </c>
      <c r="H2419" s="12">
        <f>E2420</f>
      </c>
      <c r="I2419" s="12">
        <f>F2420</f>
      </c>
      <c r="J2419" s="12">
        <f>G2420</f>
      </c>
      <c r="K2419">
        <f>IF(AND(Pu&gt;=MIN(E2419,H2419),Pu&lt;=MAX(E2419,H2419),E2419&lt;&gt;H2419),1,0)</f>
      </c>
      <c r="L2419">
        <f>IF(K2419=1,(Pu-E2419)/(H2419-E2419),"")</f>
      </c>
      <c r="M2419" s="12">
        <f>IF(K2419=1,F2419+L2419*(I2419-F2419),"")</f>
      </c>
      <c r="N2419" s="12">
        <f>IF(K2419=1,G2419+L2419*(J2419-G2419),"")</f>
      </c>
    </row>
    <row r="2420" spans="2:14" x14ac:dyDescent="0.25">
      <c r="B2420">
        <v>68</v>
      </c>
      <c r="C2420">
        <v>268.12500000000006</v>
      </c>
      <c r="D2420">
        <v>6</v>
      </c>
      <c r="E2420" s="18">
        <v>11056.04600233426</v>
      </c>
      <c r="F2420" s="18">
        <v>-4145.410086805896</v>
      </c>
      <c r="G2420" s="18">
        <v>-137.36122421890522</v>
      </c>
      <c r="H2420" s="12">
        <f>E2421</f>
      </c>
      <c r="I2420" s="12">
        <f>F2421</f>
      </c>
      <c r="J2420" s="12">
        <f>G2421</f>
      </c>
      <c r="K2420">
        <f>IF(AND(Pu&gt;=MIN(E2420,H2420),Pu&lt;=MAX(E2420,H2420),E2420&lt;&gt;H2420),1,0)</f>
      </c>
      <c r="L2420">
        <f>IF(K2420=1,(Pu-E2420)/(H2420-E2420),"")</f>
      </c>
      <c r="M2420" s="12">
        <f>IF(K2420=1,F2420+L2420*(I2420-F2420),"")</f>
      </c>
      <c r="N2420" s="12">
        <f>IF(K2420=1,G2420+L2420*(J2420-G2420),"")</f>
      </c>
    </row>
    <row r="2421" spans="2:14" x14ac:dyDescent="0.25">
      <c r="B2421">
        <v>68</v>
      </c>
      <c r="C2421">
        <v>268.12500000000006</v>
      </c>
      <c r="D2421">
        <v>7</v>
      </c>
      <c r="E2421" s="18">
        <v>9872.581318916385</v>
      </c>
      <c r="F2421" s="18">
        <v>-4316.8735239338785</v>
      </c>
      <c r="G2421" s="18">
        <v>-151.5424791558593</v>
      </c>
      <c r="H2421" s="12">
        <f>E2422</f>
      </c>
      <c r="I2421" s="12">
        <f>F2422</f>
      </c>
      <c r="J2421" s="12">
        <f>G2422</f>
      </c>
      <c r="K2421">
        <f>IF(AND(Pu&gt;=MIN(E2421,H2421),Pu&lt;=MAX(E2421,H2421),E2421&lt;&gt;H2421),1,0)</f>
      </c>
      <c r="L2421">
        <f>IF(K2421=1,(Pu-E2421)/(H2421-E2421),"")</f>
      </c>
      <c r="M2421" s="12">
        <f>IF(K2421=1,F2421+L2421*(I2421-F2421),"")</f>
      </c>
      <c r="N2421" s="12">
        <f>IF(K2421=1,G2421+L2421*(J2421-G2421),"")</f>
      </c>
    </row>
    <row r="2422" spans="2:14" x14ac:dyDescent="0.25">
      <c r="B2422">
        <v>68</v>
      </c>
      <c r="C2422">
        <v>268.12500000000006</v>
      </c>
      <c r="D2422">
        <v>8</v>
      </c>
      <c r="E2422" s="18">
        <v>9133.949707035546</v>
      </c>
      <c r="F2422" s="18">
        <v>-4408.348668541596</v>
      </c>
      <c r="G2422" s="18">
        <v>-157.6884231876627</v>
      </c>
      <c r="H2422" s="12">
        <f>E2423</f>
      </c>
      <c r="I2422" s="12">
        <f>F2423</f>
      </c>
      <c r="J2422" s="12">
        <f>G2423</f>
      </c>
      <c r="K2422">
        <f>IF(AND(Pu&gt;=MIN(E2422,H2422),Pu&lt;=MAX(E2422,H2422),E2422&lt;&gt;H2422),1,0)</f>
      </c>
      <c r="L2422">
        <f>IF(K2422=1,(Pu-E2422)/(H2422-E2422),"")</f>
      </c>
      <c r="M2422" s="12">
        <f>IF(K2422=1,F2422+L2422*(I2422-F2422),"")</f>
      </c>
      <c r="N2422" s="12">
        <f>IF(K2422=1,G2422+L2422*(J2422-G2422),"")</f>
      </c>
    </row>
    <row r="2423" spans="2:14" x14ac:dyDescent="0.25">
      <c r="B2423">
        <v>68</v>
      </c>
      <c r="C2423">
        <v>268.12500000000006</v>
      </c>
      <c r="D2423">
        <v>9</v>
      </c>
      <c r="E2423" s="18">
        <v>8988.56157509762</v>
      </c>
      <c r="F2423" s="18">
        <v>-4488.901498375162</v>
      </c>
      <c r="G2423" s="18">
        <v>-155.3891067314887</v>
      </c>
      <c r="H2423" s="12">
        <f>E2424</f>
      </c>
      <c r="I2423" s="12">
        <f>F2424</f>
      </c>
      <c r="J2423" s="12">
        <f>G2424</f>
      </c>
      <c r="K2423">
        <f>IF(AND(Pu&gt;=MIN(E2423,H2423),Pu&lt;=MAX(E2423,H2423),E2423&lt;&gt;H2423),1,0)</f>
      </c>
      <c r="L2423">
        <f>IF(K2423=1,(Pu-E2423)/(H2423-E2423),"")</f>
      </c>
      <c r="M2423" s="12">
        <f>IF(K2423=1,F2423+L2423*(I2423-F2423),"")</f>
      </c>
      <c r="N2423" s="12">
        <f>IF(K2423=1,G2423+L2423*(J2423-G2423),"")</f>
      </c>
    </row>
    <row r="2424" spans="2:14" x14ac:dyDescent="0.25">
      <c r="B2424">
        <v>68</v>
      </c>
      <c r="C2424">
        <v>268.12500000000006</v>
      </c>
      <c r="D2424">
        <v>10</v>
      </c>
      <c r="E2424" s="18">
        <v>8832.808891314362</v>
      </c>
      <c r="F2424" s="18">
        <v>-4583.453846603848</v>
      </c>
      <c r="G2424" s="18">
        <v>-152.0968180540352</v>
      </c>
      <c r="H2424" s="12">
        <f>E2425</f>
      </c>
      <c r="I2424" s="12">
        <f>F2425</f>
      </c>
      <c r="J2424" s="12">
        <f>G2425</f>
      </c>
      <c r="K2424">
        <f>IF(AND(Pu&gt;=MIN(E2424,H2424),Pu&lt;=MAX(E2424,H2424),E2424&lt;&gt;H2424),1,0)</f>
      </c>
      <c r="L2424">
        <f>IF(K2424=1,(Pu-E2424)/(H2424-E2424),"")</f>
      </c>
      <c r="M2424" s="12">
        <f>IF(K2424=1,F2424+L2424*(I2424-F2424),"")</f>
      </c>
      <c r="N2424" s="12">
        <f>IF(K2424=1,G2424+L2424*(J2424-G2424),"")</f>
      </c>
    </row>
    <row r="2425" spans="2:14" x14ac:dyDescent="0.25">
      <c r="B2425">
        <v>68</v>
      </c>
      <c r="C2425">
        <v>268.12500000000006</v>
      </c>
      <c r="D2425">
        <v>11</v>
      </c>
      <c r="E2425" s="18">
        <v>8655.989455590814</v>
      </c>
      <c r="F2425" s="18">
        <v>-4678.490648882108</v>
      </c>
      <c r="G2425" s="18">
        <v>-158.56966987986345</v>
      </c>
      <c r="H2425" s="12">
        <f>E2426</f>
      </c>
      <c r="I2425" s="12">
        <f>F2426</f>
      </c>
      <c r="J2425" s="12">
        <f>G2426</f>
      </c>
      <c r="K2425">
        <f>IF(AND(Pu&gt;=MIN(E2425,H2425),Pu&lt;=MAX(E2425,H2425),E2425&lt;&gt;H2425),1,0)</f>
      </c>
      <c r="L2425">
        <f>IF(K2425=1,(Pu-E2425)/(H2425-E2425),"")</f>
      </c>
      <c r="M2425" s="12">
        <f>IF(K2425=1,F2425+L2425*(I2425-F2425),"")</f>
      </c>
      <c r="N2425" s="12">
        <f>IF(K2425=1,G2425+L2425*(J2425-G2425),"")</f>
      </c>
    </row>
    <row r="2426" spans="2:14" x14ac:dyDescent="0.25">
      <c r="B2426">
        <v>68</v>
      </c>
      <c r="C2426">
        <v>268.12500000000006</v>
      </c>
      <c r="D2426">
        <v>12</v>
      </c>
      <c r="E2426" s="18">
        <v>8561.830841137305</v>
      </c>
      <c r="F2426" s="18">
        <v>-4728.181717196267</v>
      </c>
      <c r="G2426" s="18">
        <v>-162.1337679720188</v>
      </c>
      <c r="H2426" s="12">
        <f>E2427</f>
      </c>
      <c r="I2426" s="12">
        <f>F2427</f>
      </c>
      <c r="J2426" s="12">
        <f>G2427</f>
      </c>
      <c r="K2426">
        <f>IF(AND(Pu&gt;=MIN(E2426,H2426),Pu&lt;=MAX(E2426,H2426),E2426&lt;&gt;H2426),1,0)</f>
      </c>
      <c r="L2426">
        <f>IF(K2426=1,(Pu-E2426)/(H2426-E2426),"")</f>
      </c>
      <c r="M2426" s="12">
        <f>IF(K2426=1,F2426+L2426*(I2426-F2426),"")</f>
      </c>
      <c r="N2426" s="12">
        <f>IF(K2426=1,G2426+L2426*(J2426-G2426),"")</f>
      </c>
    </row>
    <row r="2427" spans="2:14" x14ac:dyDescent="0.25">
      <c r="B2427">
        <v>68</v>
      </c>
      <c r="C2427">
        <v>268.12500000000006</v>
      </c>
      <c r="D2427">
        <v>13</v>
      </c>
      <c r="E2427" s="18">
        <v>8351.336168563927</v>
      </c>
      <c r="F2427" s="18">
        <v>-4846.095460636891</v>
      </c>
      <c r="G2427" s="18">
        <v>-181.0236359586725</v>
      </c>
      <c r="H2427" s="12">
        <f>E2428</f>
      </c>
      <c r="I2427" s="12">
        <f>F2428</f>
      </c>
      <c r="J2427" s="12">
        <f>G2428</f>
      </c>
      <c r="K2427">
        <f>IF(AND(Pu&gt;=MIN(E2427,H2427),Pu&lt;=MAX(E2427,H2427),E2427&lt;&gt;H2427),1,0)</f>
      </c>
      <c r="L2427">
        <f>IF(K2427=1,(Pu-E2427)/(H2427-E2427),"")</f>
      </c>
      <c r="M2427" s="12">
        <f>IF(K2427=1,F2427+L2427*(I2427-F2427),"")</f>
      </c>
      <c r="N2427" s="12">
        <f>IF(K2427=1,G2427+L2427*(J2427-G2427),"")</f>
      </c>
    </row>
    <row r="2428" spans="2:14" x14ac:dyDescent="0.25">
      <c r="B2428">
        <v>68</v>
      </c>
      <c r="C2428">
        <v>268.12500000000006</v>
      </c>
      <c r="D2428">
        <v>14</v>
      </c>
      <c r="E2428" s="18">
        <v>8313.574919609004</v>
      </c>
      <c r="F2428" s="18">
        <v>-4865.328563389197</v>
      </c>
      <c r="G2428" s="18">
        <v>-182.5958705530277</v>
      </c>
      <c r="H2428" s="12">
        <f>E2429</f>
      </c>
      <c r="I2428" s="12">
        <f>F2429</f>
      </c>
      <c r="J2428" s="12">
        <f>G2429</f>
      </c>
      <c r="K2428">
        <f>IF(AND(Pu&gt;=MIN(E2428,H2428),Pu&lt;=MAX(E2428,H2428),E2428&lt;&gt;H2428),1,0)</f>
      </c>
      <c r="L2428">
        <f>IF(K2428=1,(Pu-E2428)/(H2428-E2428),"")</f>
      </c>
      <c r="M2428" s="12">
        <f>IF(K2428=1,F2428+L2428*(I2428-F2428),"")</f>
      </c>
      <c r="N2428" s="12">
        <f>IF(K2428=1,G2428+L2428*(J2428-G2428),"")</f>
      </c>
    </row>
    <row r="2429" spans="2:14" x14ac:dyDescent="0.25">
      <c r="B2429">
        <v>68</v>
      </c>
      <c r="C2429">
        <v>268.12500000000006</v>
      </c>
      <c r="D2429">
        <v>15</v>
      </c>
      <c r="E2429" s="18">
        <v>8080.326577287281</v>
      </c>
      <c r="F2429" s="18">
        <v>-4986.935643522245</v>
      </c>
      <c r="G2429" s="18">
        <v>-176.6556432741307</v>
      </c>
      <c r="H2429" s="12">
        <f>E2430</f>
      </c>
      <c r="I2429" s="12">
        <f>F2430</f>
      </c>
      <c r="J2429" s="12">
        <f>G2430</f>
      </c>
      <c r="K2429">
        <f>IF(AND(Pu&gt;=MIN(E2429,H2429),Pu&lt;=MAX(E2429,H2429),E2429&lt;&gt;H2429),1,0)</f>
      </c>
      <c r="L2429">
        <f>IF(K2429=1,(Pu-E2429)/(H2429-E2429),"")</f>
      </c>
      <c r="M2429" s="12">
        <f>IF(K2429=1,F2429+L2429*(I2429-F2429),"")</f>
      </c>
      <c r="N2429" s="12">
        <f>IF(K2429=1,G2429+L2429*(J2429-G2429),"")</f>
      </c>
    </row>
    <row r="2430" spans="2:14" x14ac:dyDescent="0.25">
      <c r="B2430">
        <v>68</v>
      </c>
      <c r="C2430">
        <v>268.12500000000006</v>
      </c>
      <c r="D2430">
        <v>16</v>
      </c>
      <c r="E2430" s="18">
        <v>8046.682463184073</v>
      </c>
      <c r="F2430" s="18">
        <v>-5004.552932782037</v>
      </c>
      <c r="G2430" s="18">
        <v>-174.44365496313728</v>
      </c>
      <c r="H2430" s="12">
        <f>E2431</f>
      </c>
      <c r="I2430" s="12">
        <f>F2431</f>
      </c>
      <c r="J2430" s="12">
        <f>G2431</f>
      </c>
      <c r="K2430">
        <f>IF(AND(Pu&gt;=MIN(E2430,H2430),Pu&lt;=MAX(E2430,H2430),E2430&lt;&gt;H2430),1,0)</f>
      </c>
      <c r="L2430">
        <f>IF(K2430=1,(Pu-E2430)/(H2430-E2430),"")</f>
      </c>
      <c r="M2430" s="12">
        <f>IF(K2430=1,F2430+L2430*(I2430-F2430),"")</f>
      </c>
      <c r="N2430" s="12">
        <f>IF(K2430=1,G2430+L2430*(J2430-G2430),"")</f>
      </c>
    </row>
    <row r="2431" spans="2:14" x14ac:dyDescent="0.25">
      <c r="B2431">
        <v>68</v>
      </c>
      <c r="C2431">
        <v>268.12500000000006</v>
      </c>
      <c r="D2431">
        <v>17</v>
      </c>
      <c r="E2431" s="18">
        <v>7891.877697851557</v>
      </c>
      <c r="F2431" s="18">
        <v>-5090.77529288608</v>
      </c>
      <c r="G2431" s="18">
        <v>-181.61837185030433</v>
      </c>
      <c r="H2431" s="12">
        <f>E2432</f>
      </c>
      <c r="I2431" s="12">
        <f>F2432</f>
      </c>
      <c r="J2431" s="12">
        <f>G2432</f>
      </c>
      <c r="K2431">
        <f>IF(AND(Pu&gt;=MIN(E2431,H2431),Pu&lt;=MAX(E2431,H2431),E2431&lt;&gt;H2431),1,0)</f>
      </c>
      <c r="L2431">
        <f>IF(K2431=1,(Pu-E2431)/(H2431-E2431),"")</f>
      </c>
      <c r="M2431" s="12">
        <f>IF(K2431=1,F2431+L2431*(I2431-F2431),"")</f>
      </c>
      <c r="N2431" s="12">
        <f>IF(K2431=1,G2431+L2431*(J2431-G2431),"")</f>
      </c>
    </row>
    <row r="2432" spans="2:14" x14ac:dyDescent="0.25">
      <c r="B2432">
        <v>68</v>
      </c>
      <c r="C2432">
        <v>268.12500000000006</v>
      </c>
      <c r="D2432">
        <v>18</v>
      </c>
      <c r="E2432" s="18">
        <v>7714.270852697829</v>
      </c>
      <c r="F2432" s="18">
        <v>-5187.700857742366</v>
      </c>
      <c r="G2432" s="18">
        <v>-191.25165852205157</v>
      </c>
      <c r="H2432" s="12">
        <f>E2433</f>
      </c>
      <c r="I2432" s="12">
        <f>F2433</f>
      </c>
      <c r="J2432" s="12">
        <f>G2433</f>
      </c>
      <c r="K2432">
        <f>IF(AND(Pu&gt;=MIN(E2432,H2432),Pu&lt;=MAX(E2432,H2432),E2432&lt;&gt;H2432),1,0)</f>
      </c>
      <c r="L2432">
        <f>IF(K2432=1,(Pu-E2432)/(H2432-E2432),"")</f>
      </c>
      <c r="M2432" s="12">
        <f>IF(K2432=1,F2432+L2432*(I2432-F2432),"")</f>
      </c>
      <c r="N2432" s="12">
        <f>IF(K2432=1,G2432+L2432*(J2432-G2432),"")</f>
      </c>
    </row>
    <row r="2433" spans="2:14" x14ac:dyDescent="0.25">
      <c r="B2433">
        <v>68</v>
      </c>
      <c r="C2433">
        <v>268.12500000000006</v>
      </c>
      <c r="D2433">
        <v>19</v>
      </c>
      <c r="E2433" s="18">
        <v>7598.798108016197</v>
      </c>
      <c r="F2433" s="18">
        <v>-5249.314714606639</v>
      </c>
      <c r="G2433" s="18">
        <v>-197.72471397390467</v>
      </c>
      <c r="H2433" s="12">
        <f>E2434</f>
      </c>
      <c r="I2433" s="12">
        <f>F2434</f>
      </c>
      <c r="J2433" s="12">
        <f>G2434</f>
      </c>
      <c r="K2433">
        <f>IF(AND(Pu&gt;=MIN(E2433,H2433),Pu&lt;=MAX(E2433,H2433),E2433&lt;&gt;H2433),1,0)</f>
      </c>
      <c r="L2433">
        <f>IF(K2433=1,(Pu-E2433)/(H2433-E2433),"")</f>
      </c>
      <c r="M2433" s="12">
        <f>IF(K2433=1,F2433+L2433*(I2433-F2433),"")</f>
      </c>
      <c r="N2433" s="12">
        <f>IF(K2433=1,G2433+L2433*(J2433-G2433),"")</f>
      </c>
    </row>
    <row r="2434" spans="2:14" x14ac:dyDescent="0.25">
      <c r="B2434">
        <v>68</v>
      </c>
      <c r="C2434">
        <v>268.12500000000006</v>
      </c>
      <c r="D2434">
        <v>20</v>
      </c>
      <c r="E2434" s="18">
        <v>7539.2251722535175</v>
      </c>
      <c r="F2434" s="18">
        <v>-5280.657202791022</v>
      </c>
      <c r="G2434" s="18">
        <v>-201.12085953850539</v>
      </c>
      <c r="H2434" s="12">
        <f>E2435</f>
      </c>
      <c r="I2434" s="12">
        <f>F2435</f>
      </c>
      <c r="J2434" s="12">
        <f>G2435</f>
      </c>
      <c r="K2434">
        <f>IF(AND(Pu&gt;=MIN(E2434,H2434),Pu&lt;=MAX(E2434,H2434),E2434&lt;&gt;H2434),1,0)</f>
      </c>
      <c r="L2434">
        <f>IF(K2434=1,(Pu-E2434)/(H2434-E2434),"")</f>
      </c>
      <c r="M2434" s="12">
        <f>IF(K2434=1,F2434+L2434*(I2434-F2434),"")</f>
      </c>
      <c r="N2434" s="12">
        <f>IF(K2434=1,G2434+L2434*(J2434-G2434),"")</f>
      </c>
    </row>
    <row r="2435" spans="2:14" x14ac:dyDescent="0.25">
      <c r="B2435">
        <v>68</v>
      </c>
      <c r="C2435">
        <v>268.12500000000006</v>
      </c>
      <c r="D2435">
        <v>21</v>
      </c>
      <c r="E2435" s="18">
        <v>7365.299273918033</v>
      </c>
      <c r="F2435" s="18">
        <v>-5370.395392967313</v>
      </c>
      <c r="G2435" s="18">
        <v>-211.22597489966304</v>
      </c>
      <c r="H2435" s="12">
        <f>E2436</f>
      </c>
      <c r="I2435" s="12">
        <f>F2436</f>
      </c>
      <c r="J2435" s="12">
        <f>G2436</f>
      </c>
      <c r="K2435">
        <f>IF(AND(Pu&gt;=MIN(E2435,H2435),Pu&lt;=MAX(E2435,H2435),E2435&lt;&gt;H2435),1,0)</f>
      </c>
      <c r="L2435">
        <f>IF(K2435=1,(Pu-E2435)/(H2435-E2435),"")</f>
      </c>
      <c r="M2435" s="12">
        <f>IF(K2435=1,F2435+L2435*(I2435-F2435),"")</f>
      </c>
      <c r="N2435" s="12">
        <f>IF(K2435=1,G2435+L2435*(J2435-G2435),"")</f>
      </c>
    </row>
    <row r="2436" spans="2:14" x14ac:dyDescent="0.25">
      <c r="B2436">
        <v>68</v>
      </c>
      <c r="C2436">
        <v>268.12500000000006</v>
      </c>
      <c r="D2436">
        <v>22</v>
      </c>
      <c r="E2436" s="18">
        <v>7303.915578278788</v>
      </c>
      <c r="F2436" s="18">
        <v>-5358.187095720293</v>
      </c>
      <c r="G2436" s="18">
        <v>-208.91140517119985</v>
      </c>
      <c r="H2436" s="12">
        <f>E2437</f>
      </c>
      <c r="I2436" s="12">
        <f>F2437</f>
      </c>
      <c r="J2436" s="12">
        <f>G2437</f>
      </c>
      <c r="K2436">
        <f>IF(AND(Pu&gt;=MIN(E2436,H2436),Pu&lt;=MAX(E2436,H2436),E2436&lt;&gt;H2436),1,0)</f>
      </c>
      <c r="L2436">
        <f>IF(K2436=1,(Pu-E2436)/(H2436-E2436),"")</f>
      </c>
      <c r="M2436" s="12">
        <f>IF(K2436=1,F2436+L2436*(I2436-F2436),"")</f>
      </c>
      <c r="N2436" s="12">
        <f>IF(K2436=1,G2436+L2436*(J2436-G2436),"")</f>
      </c>
    </row>
    <row r="2437" spans="2:14" x14ac:dyDescent="0.25">
      <c r="B2437">
        <v>68</v>
      </c>
      <c r="C2437">
        <v>268.12500000000006</v>
      </c>
      <c r="D2437">
        <v>23</v>
      </c>
      <c r="E2437" s="18">
        <v>6768.135526753437</v>
      </c>
      <c r="F2437" s="18">
        <v>-5241.652568202955</v>
      </c>
      <c r="G2437" s="18">
        <v>-186.42267626854493</v>
      </c>
      <c r="H2437" s="12">
        <f>E2438</f>
      </c>
      <c r="I2437" s="12">
        <f>F2438</f>
      </c>
      <c r="J2437" s="12">
        <f>G2438</f>
      </c>
      <c r="K2437">
        <f>IF(AND(Pu&gt;=MIN(E2437,H2437),Pu&lt;=MAX(E2437,H2437),E2437&lt;&gt;H2437),1,0)</f>
      </c>
      <c r="L2437">
        <f>IF(K2437=1,(Pu-E2437)/(H2437-E2437),"")</f>
      </c>
      <c r="M2437" s="12">
        <f>IF(K2437=1,F2437+L2437*(I2437-F2437),"")</f>
      </c>
      <c r="N2437" s="12">
        <f>IF(K2437=1,G2437+L2437*(J2437-G2437),"")</f>
      </c>
    </row>
    <row r="2438" spans="2:14" x14ac:dyDescent="0.25">
      <c r="B2438">
        <v>68</v>
      </c>
      <c r="C2438">
        <v>268.12500000000006</v>
      </c>
      <c r="D2438">
        <v>24</v>
      </c>
      <c r="E2438" s="18">
        <v>5936.217699494589</v>
      </c>
      <c r="F2438" s="18">
        <v>-5022.724600176738</v>
      </c>
      <c r="G2438" s="18">
        <v>-189.99910102858587</v>
      </c>
      <c r="H2438" s="12">
        <f>E2439</f>
      </c>
      <c r="I2438" s="12">
        <f>F2439</f>
      </c>
      <c r="J2438" s="12">
        <f>G2439</f>
      </c>
      <c r="K2438">
        <f>IF(AND(Pu&gt;=MIN(E2438,H2438),Pu&lt;=MAX(E2438,H2438),E2438&lt;&gt;H2438),1,0)</f>
      </c>
      <c r="L2438">
        <f>IF(K2438=1,(Pu-E2438)/(H2438-E2438),"")</f>
      </c>
      <c r="M2438" s="12">
        <f>IF(K2438=1,F2438+L2438*(I2438-F2438),"")</f>
      </c>
      <c r="N2438" s="12">
        <f>IF(K2438=1,G2438+L2438*(J2438-G2438),"")</f>
      </c>
    </row>
    <row r="2439" spans="2:14" x14ac:dyDescent="0.25">
      <c r="B2439">
        <v>68</v>
      </c>
      <c r="C2439">
        <v>268.12500000000006</v>
      </c>
      <c r="D2439">
        <v>25</v>
      </c>
      <c r="E2439" s="18">
        <v>5161.65967630538</v>
      </c>
      <c r="F2439" s="18">
        <v>-4800.6576022933195</v>
      </c>
      <c r="G2439" s="18">
        <v>-223.65469461240326</v>
      </c>
      <c r="H2439" s="12">
        <f>E2440</f>
      </c>
      <c r="I2439" s="12">
        <f>F2440</f>
      </c>
      <c r="J2439" s="12">
        <f>G2440</f>
      </c>
      <c r="K2439">
        <f>IF(AND(Pu&gt;=MIN(E2439,H2439),Pu&lt;=MAX(E2439,H2439),E2439&lt;&gt;H2439),1,0)</f>
      </c>
      <c r="L2439">
        <f>IF(K2439=1,(Pu-E2439)/(H2439-E2439),"")</f>
      </c>
      <c r="M2439" s="12">
        <f>IF(K2439=1,F2439+L2439*(I2439-F2439),"")</f>
      </c>
      <c r="N2439" s="12">
        <f>IF(K2439=1,G2439+L2439*(J2439-G2439),"")</f>
      </c>
    </row>
    <row r="2440" spans="2:14" x14ac:dyDescent="0.25">
      <c r="B2440">
        <v>68</v>
      </c>
      <c r="C2440">
        <v>268.12500000000006</v>
      </c>
      <c r="D2440">
        <v>26</v>
      </c>
      <c r="E2440" s="18">
        <v>4487.311420315664</v>
      </c>
      <c r="F2440" s="18">
        <v>-4580.512991759655</v>
      </c>
      <c r="G2440" s="18">
        <v>-197.7787887966902</v>
      </c>
      <c r="H2440" s="12">
        <f>E2441</f>
      </c>
      <c r="I2440" s="12">
        <f>F2441</f>
      </c>
      <c r="J2440" s="12">
        <f>G2441</f>
      </c>
      <c r="K2440">
        <f>IF(AND(Pu&gt;=MIN(E2440,H2440),Pu&lt;=MAX(E2440,H2440),E2440&lt;&gt;H2440),1,0)</f>
      </c>
      <c r="L2440">
        <f>IF(K2440=1,(Pu-E2440)/(H2440-E2440),"")</f>
      </c>
      <c r="M2440" s="12">
        <f>IF(K2440=1,F2440+L2440*(I2440-F2440),"")</f>
      </c>
      <c r="N2440" s="12">
        <f>IF(K2440=1,G2440+L2440*(J2440-G2440),"")</f>
      </c>
    </row>
    <row r="2441" spans="2:14" x14ac:dyDescent="0.25">
      <c r="B2441">
        <v>68</v>
      </c>
      <c r="C2441">
        <v>268.12500000000006</v>
      </c>
      <c r="D2441">
        <v>27</v>
      </c>
      <c r="E2441" s="18">
        <v>3335.1742162807245</v>
      </c>
      <c r="F2441" s="18">
        <v>-4142.813110983699</v>
      </c>
      <c r="G2441" s="18">
        <v>-240.90563232181353</v>
      </c>
      <c r="H2441" s="12">
        <f>E2442</f>
      </c>
      <c r="I2441" s="12">
        <f>F2442</f>
      </c>
      <c r="J2441" s="12">
        <f>G2442</f>
      </c>
      <c r="K2441">
        <f>IF(AND(Pu&gt;=MIN(E2441,H2441),Pu&lt;=MAX(E2441,H2441),E2441&lt;&gt;H2441),1,0)</f>
      </c>
      <c r="L2441">
        <f>IF(K2441=1,(Pu-E2441)/(H2441-E2441),"")</f>
      </c>
      <c r="M2441" s="12">
        <f>IF(K2441=1,F2441+L2441*(I2441-F2441),"")</f>
      </c>
      <c r="N2441" s="12">
        <f>IF(K2441=1,G2441+L2441*(J2441-G2441),"")</f>
      </c>
    </row>
    <row r="2442" spans="2:14" x14ac:dyDescent="0.25">
      <c r="B2442">
        <v>68</v>
      </c>
      <c r="C2442">
        <v>268.12500000000006</v>
      </c>
      <c r="D2442">
        <v>28</v>
      </c>
      <c r="E2442" s="18">
        <v>2236.891363911514</v>
      </c>
      <c r="F2442" s="18">
        <v>-3693.8142849151236</v>
      </c>
      <c r="G2442" s="18">
        <v>-244.67167681339495</v>
      </c>
      <c r="H2442" s="12">
        <f>E2443</f>
      </c>
      <c r="I2442" s="12">
        <f>F2443</f>
      </c>
      <c r="J2442" s="12">
        <f>G2443</f>
      </c>
      <c r="K2442">
        <f>IF(AND(Pu&gt;=MIN(E2442,H2442),Pu&lt;=MAX(E2442,H2442),E2442&lt;&gt;H2442),1,0)</f>
      </c>
      <c r="L2442">
        <f>IF(K2442=1,(Pu-E2442)/(H2442-E2442),"")</f>
      </c>
      <c r="M2442" s="12">
        <f>IF(K2442=1,F2442+L2442*(I2442-F2442),"")</f>
      </c>
      <c r="N2442" s="12">
        <f>IF(K2442=1,G2442+L2442*(J2442-G2442),"")</f>
      </c>
    </row>
    <row r="2443" spans="2:14" x14ac:dyDescent="0.25">
      <c r="B2443">
        <v>68</v>
      </c>
      <c r="C2443">
        <v>268.12500000000006</v>
      </c>
      <c r="D2443">
        <v>29</v>
      </c>
      <c r="E2443" s="18">
        <v>1380.4935979888621</v>
      </c>
      <c r="F2443" s="18">
        <v>-3319.2853729712497</v>
      </c>
      <c r="G2443" s="18">
        <v>-212.98598735071096</v>
      </c>
      <c r="H2443" s="12">
        <f>E2444</f>
      </c>
      <c r="I2443" s="12">
        <f>F2444</f>
      </c>
      <c r="J2443" s="12">
        <f>G2444</f>
      </c>
      <c r="K2443">
        <f>IF(AND(Pu&gt;=MIN(E2443,H2443),Pu&lt;=MAX(E2443,H2443),E2443&lt;&gt;H2443),1,0)</f>
      </c>
      <c r="L2443">
        <f>IF(K2443=1,(Pu-E2443)/(H2443-E2443),"")</f>
      </c>
      <c r="M2443" s="12">
        <f>IF(K2443=1,F2443+L2443*(I2443-F2443),"")</f>
      </c>
      <c r="N2443" s="12">
        <f>IF(K2443=1,G2443+L2443*(J2443-G2443),"")</f>
      </c>
    </row>
    <row r="2444" spans="2:14" x14ac:dyDescent="0.25">
      <c r="B2444">
        <v>68</v>
      </c>
      <c r="C2444">
        <v>268.12500000000006</v>
      </c>
      <c r="D2444">
        <v>30</v>
      </c>
      <c r="E2444" s="18">
        <v>722.9640677515001</v>
      </c>
      <c r="F2444" s="18">
        <v>-3011.3858003156633</v>
      </c>
      <c r="G2444" s="18">
        <v>-177.63575917219708</v>
      </c>
      <c r="H2444" s="12">
        <f>E2445</f>
      </c>
      <c r="I2444" s="12">
        <f>F2445</f>
      </c>
      <c r="J2444" s="12">
        <f>G2445</f>
      </c>
      <c r="K2444">
        <f>IF(AND(Pu&gt;=MIN(E2444,H2444),Pu&lt;=MAX(E2444,H2444),E2444&lt;&gt;H2444),1,0)</f>
      </c>
      <c r="L2444">
        <f>IF(K2444=1,(Pu-E2444)/(H2444-E2444),"")</f>
      </c>
      <c r="M2444" s="12">
        <f>IF(K2444=1,F2444+L2444*(I2444-F2444),"")</f>
      </c>
      <c r="N2444" s="12">
        <f>IF(K2444=1,G2444+L2444*(J2444-G2444),"")</f>
      </c>
    </row>
    <row r="2445" spans="2:14" x14ac:dyDescent="0.25">
      <c r="B2445">
        <v>68</v>
      </c>
      <c r="C2445">
        <v>268.12500000000006</v>
      </c>
      <c r="D2445">
        <v>31</v>
      </c>
      <c r="E2445" s="18">
        <v>-228.73291980675117</v>
      </c>
      <c r="F2445" s="18">
        <v>-2535.641297448624</v>
      </c>
      <c r="G2445" s="18">
        <v>-169.56333361507313</v>
      </c>
      <c r="H2445" s="12">
        <f>E2446</f>
      </c>
      <c r="I2445" s="12">
        <f>F2446</f>
      </c>
      <c r="J2445" s="12">
        <f>G2446</f>
      </c>
      <c r="K2445">
        <f>IF(AND(Pu&gt;=MIN(E2445,H2445),Pu&lt;=MAX(E2445,H2445),E2445&lt;&gt;H2445),1,0)</f>
      </c>
      <c r="L2445">
        <f>IF(K2445=1,(Pu-E2445)/(H2445-E2445),"")</f>
      </c>
      <c r="M2445" s="12">
        <f>IF(K2445=1,F2445+L2445*(I2445-F2445),"")</f>
      </c>
      <c r="N2445" s="12">
        <f>IF(K2445=1,G2445+L2445*(J2445-G2445),"")</f>
      </c>
    </row>
    <row r="2446" spans="2:14" x14ac:dyDescent="0.25">
      <c r="B2446">
        <v>68</v>
      </c>
      <c r="C2446">
        <v>268.12500000000006</v>
      </c>
      <c r="D2446">
        <v>32</v>
      </c>
      <c r="E2446" s="18">
        <v>-934.4881332736691</v>
      </c>
      <c r="F2446" s="18">
        <v>-2170.8829794013277</v>
      </c>
      <c r="G2446" s="18">
        <v>-159.789950432519</v>
      </c>
      <c r="H2446" s="12">
        <f>E2447</f>
      </c>
      <c r="I2446" s="12">
        <f>F2447</f>
      </c>
      <c r="J2446" s="12">
        <f>G2447</f>
      </c>
      <c r="K2446">
        <f>IF(AND(Pu&gt;=MIN(E2446,H2446),Pu&lt;=MAX(E2446,H2446),E2446&lt;&gt;H2446),1,0)</f>
      </c>
      <c r="L2446">
        <f>IF(K2446=1,(Pu-E2446)/(H2446-E2446),"")</f>
      </c>
      <c r="M2446" s="12">
        <f>IF(K2446=1,F2446+L2446*(I2446-F2446),"")</f>
      </c>
      <c r="N2446" s="12">
        <f>IF(K2446=1,G2446+L2446*(J2446-G2446),"")</f>
      </c>
    </row>
    <row r="2447" spans="2:14" x14ac:dyDescent="0.25">
      <c r="B2447">
        <v>68</v>
      </c>
      <c r="C2447">
        <v>268.12500000000006</v>
      </c>
      <c r="D2447">
        <v>33</v>
      </c>
      <c r="E2447" s="18">
        <v>-1976.514873866141</v>
      </c>
      <c r="F2447" s="18">
        <v>-1618.2457219285789</v>
      </c>
      <c r="G2447" s="18">
        <v>-161.95458477575656</v>
      </c>
      <c r="H2447" s="12">
        <f>E2448</f>
      </c>
      <c r="I2447" s="12">
        <f>F2448</f>
      </c>
      <c r="J2447" s="12">
        <f>G2448</f>
      </c>
      <c r="K2447">
        <f>IF(AND(Pu&gt;=MIN(E2447,H2447),Pu&lt;=MAX(E2447,H2447),E2447&lt;&gt;H2447),1,0)</f>
      </c>
      <c r="L2447">
        <f>IF(K2447=1,(Pu-E2447)/(H2447-E2447),"")</f>
      </c>
      <c r="M2447" s="12">
        <f>IF(K2447=1,F2447+L2447*(I2447-F2447),"")</f>
      </c>
      <c r="N2447" s="12">
        <f>IF(K2447=1,G2447+L2447*(J2447-G2447),"")</f>
      </c>
    </row>
    <row r="2448" spans="2:14" x14ac:dyDescent="0.25">
      <c r="B2448">
        <v>68</v>
      </c>
      <c r="C2448">
        <v>268.12500000000006</v>
      </c>
      <c r="D2448">
        <v>34</v>
      </c>
      <c r="E2448" s="18">
        <v>-2814.138383881633</v>
      </c>
      <c r="F2448" s="18">
        <v>-1167.2913033641894</v>
      </c>
      <c r="G2448" s="18">
        <v>-176.16611153674904</v>
      </c>
      <c r="H2448" s="12">
        <f>E2449</f>
      </c>
      <c r="I2448" s="12">
        <f>F2449</f>
      </c>
      <c r="J2448" s="12">
        <f>G2449</f>
      </c>
      <c r="K2448">
        <f>IF(AND(Pu&gt;=MIN(E2448,H2448),Pu&lt;=MAX(E2448,H2448),E2448&lt;&gt;H2448),1,0)</f>
      </c>
      <c r="L2448">
        <f>IF(K2448=1,(Pu-E2448)/(H2448-E2448),"")</f>
      </c>
      <c r="M2448" s="12">
        <f>IF(K2448=1,F2448+L2448*(I2448-F2448),"")</f>
      </c>
      <c r="N2448" s="12">
        <f>IF(K2448=1,G2448+L2448*(J2448-G2448),"")</f>
      </c>
    </row>
    <row r="2449" spans="2:14" x14ac:dyDescent="0.25">
      <c r="B2449">
        <v>68</v>
      </c>
      <c r="C2449">
        <v>268.12500000000006</v>
      </c>
      <c r="D2449">
        <v>35</v>
      </c>
      <c r="E2449" s="18">
        <v>-4242.961975951364</v>
      </c>
      <c r="F2449" s="18">
        <v>-392.2586608918405</v>
      </c>
      <c r="G2449" s="18">
        <v>-123.64425085863404</v>
      </c>
      <c r="H2449" s="12">
        <f>E2450</f>
      </c>
      <c r="I2449" s="12">
        <f>F2450</f>
      </c>
      <c r="J2449" s="12">
        <f>G2450</f>
      </c>
      <c r="K2449">
        <f>IF(AND(Pu&gt;=MIN(E2449,H2449),Pu&lt;=MAX(E2449,H2449),E2449&lt;&gt;H2449),1,0)</f>
      </c>
      <c r="L2449">
        <f>IF(K2449=1,(Pu-E2449)/(H2449-E2449),"")</f>
      </c>
      <c r="M2449" s="12">
        <f>IF(K2449=1,F2449+L2449*(I2449-F2449),"")</f>
      </c>
      <c r="N2449" s="12">
        <f>IF(K2449=1,G2449+L2449*(J2449-G2449),"")</f>
      </c>
    </row>
    <row r="2450" spans="2:7" x14ac:dyDescent="0.25">
      <c r="B2450">
        <v>68</v>
      </c>
      <c r="C2450">
        <v>268.12500000000006</v>
      </c>
      <c r="D2450">
        <v>36</v>
      </c>
      <c r="E2450" s="18">
        <v>-4580.487146715163</v>
      </c>
      <c r="F2450" s="18">
        <v>-201.18774551716322</v>
      </c>
      <c r="G2450" s="18">
        <v>-81.70439448111885</v>
      </c>
    </row>
    <row r="2452" spans="2:14" x14ac:dyDescent="0.25">
      <c r="B2452">
        <v>69</v>
      </c>
      <c r="C2452">
        <v>269.06249999999994</v>
      </c>
      <c r="D2452">
        <v>1</v>
      </c>
      <c r="E2452" s="18">
        <v>16968.64616474111</v>
      </c>
      <c r="F2452" s="18">
        <v>-2499.343116150722</v>
      </c>
      <c r="G2452" s="18">
        <v>-85.48083367053009</v>
      </c>
      <c r="H2452" s="12">
        <f>E2453</f>
      </c>
      <c r="I2452" s="12">
        <f>F2453</f>
      </c>
      <c r="J2452" s="12">
        <f>G2453</f>
      </c>
      <c r="K2452">
        <f>IF(AND(Pu&gt;=MIN(E2452,H2452),Pu&lt;=MAX(E2452,H2452),E2452&lt;&gt;H2452),1,0)</f>
      </c>
      <c r="L2452">
        <f>IF(K2452=1,(Pu-E2452)/(H2452-E2452),"")</f>
      </c>
      <c r="M2452" s="12">
        <f>IF(K2452=1,F2452+L2452*(I2452-F2452),"")</f>
      </c>
      <c r="N2452" s="12">
        <f>IF(K2452=1,G2452+L2452*(J2452-G2452),"")</f>
      </c>
    </row>
    <row r="2453" spans="2:14" x14ac:dyDescent="0.25">
      <c r="B2453">
        <v>69</v>
      </c>
      <c r="C2453">
        <v>269.06249999999994</v>
      </c>
      <c r="D2453">
        <v>2</v>
      </c>
      <c r="E2453" s="18">
        <v>15932.023800315428</v>
      </c>
      <c r="F2453" s="18">
        <v>-2901.9618112046815</v>
      </c>
      <c r="G2453" s="18">
        <v>-72.2178443550946</v>
      </c>
      <c r="H2453" s="12">
        <f>E2454</f>
      </c>
      <c r="I2453" s="12">
        <f>F2454</f>
      </c>
      <c r="J2453" s="12">
        <f>G2454</f>
      </c>
      <c r="K2453">
        <f>IF(AND(Pu&gt;=MIN(E2453,H2453),Pu&lt;=MAX(E2453,H2453),E2453&lt;&gt;H2453),1,0)</f>
      </c>
      <c r="L2453">
        <f>IF(K2453=1,(Pu-E2453)/(H2453-E2453),"")</f>
      </c>
      <c r="M2453" s="12">
        <f>IF(K2453=1,F2453+L2453*(I2453-F2453),"")</f>
      </c>
      <c r="N2453" s="12">
        <f>IF(K2453=1,G2453+L2453*(J2453-G2453),"")</f>
      </c>
    </row>
    <row r="2454" spans="2:14" x14ac:dyDescent="0.25">
      <c r="B2454">
        <v>69</v>
      </c>
      <c r="C2454">
        <v>269.06249999999994</v>
      </c>
      <c r="D2454">
        <v>3</v>
      </c>
      <c r="E2454" s="18">
        <v>14826.882369966172</v>
      </c>
      <c r="F2454" s="18">
        <v>-3277.4763896043746</v>
      </c>
      <c r="G2454" s="18">
        <v>-53.82646341278088</v>
      </c>
      <c r="H2454" s="12">
        <f>E2455</f>
      </c>
      <c r="I2454" s="12">
        <f>F2455</f>
      </c>
      <c r="J2454" s="12">
        <f>G2455</f>
      </c>
      <c r="K2454">
        <f>IF(AND(Pu&gt;=MIN(E2454,H2454),Pu&lt;=MAX(E2454,H2454),E2454&lt;&gt;H2454),1,0)</f>
      </c>
      <c r="L2454">
        <f>IF(K2454=1,(Pu-E2454)/(H2454-E2454),"")</f>
      </c>
      <c r="M2454" s="12">
        <f>IF(K2454=1,F2454+L2454*(I2454-F2454),"")</f>
      </c>
      <c r="N2454" s="12">
        <f>IF(K2454=1,G2454+L2454*(J2454-G2454),"")</f>
      </c>
    </row>
    <row r="2455" spans="2:14" x14ac:dyDescent="0.25">
      <c r="B2455">
        <v>69</v>
      </c>
      <c r="C2455">
        <v>269.06249999999994</v>
      </c>
      <c r="D2455">
        <v>4</v>
      </c>
      <c r="E2455" s="18">
        <v>13901.077462887135</v>
      </c>
      <c r="F2455" s="18">
        <v>-3546.0922998767105</v>
      </c>
      <c r="G2455" s="18">
        <v>-63.75422177007731</v>
      </c>
      <c r="H2455" s="12">
        <f>E2456</f>
      </c>
      <c r="I2455" s="12">
        <f>F2456</f>
      </c>
      <c r="J2455" s="12">
        <f>G2456</f>
      </c>
      <c r="K2455">
        <f>IF(AND(Pu&gt;=MIN(E2455,H2455),Pu&lt;=MAX(E2455,H2455),E2455&lt;&gt;H2455),1,0)</f>
      </c>
      <c r="L2455">
        <f>IF(K2455=1,(Pu-E2455)/(H2455-E2455),"")</f>
      </c>
      <c r="M2455" s="12">
        <f>IF(K2455=1,F2455+L2455*(I2455-F2455),"")</f>
      </c>
      <c r="N2455" s="12">
        <f>IF(K2455=1,G2455+L2455*(J2455-G2455),"")</f>
      </c>
    </row>
    <row r="2456" spans="2:14" x14ac:dyDescent="0.25">
      <c r="B2456">
        <v>69</v>
      </c>
      <c r="C2456">
        <v>269.06249999999994</v>
      </c>
      <c r="D2456">
        <v>5</v>
      </c>
      <c r="E2456" s="18">
        <v>12332.452033794856</v>
      </c>
      <c r="F2456" s="18">
        <v>-3915.379476098262</v>
      </c>
      <c r="G2456" s="18">
        <v>-65.98370828091497</v>
      </c>
      <c r="H2456" s="12">
        <f>E2457</f>
      </c>
      <c r="I2456" s="12">
        <f>F2457</f>
      </c>
      <c r="J2456" s="12">
        <f>G2457</f>
      </c>
      <c r="K2456">
        <f>IF(AND(Pu&gt;=MIN(E2456,H2456),Pu&lt;=MAX(E2456,H2456),E2456&lt;&gt;H2456),1,0)</f>
      </c>
      <c r="L2456">
        <f>IF(K2456=1,(Pu-E2456)/(H2456-E2456),"")</f>
      </c>
      <c r="M2456" s="12">
        <f>IF(K2456=1,F2456+L2456*(I2456-F2456),"")</f>
      </c>
      <c r="N2456" s="12">
        <f>IF(K2456=1,G2456+L2456*(J2456-G2456),"")</f>
      </c>
    </row>
    <row r="2457" spans="2:14" x14ac:dyDescent="0.25">
      <c r="B2457">
        <v>69</v>
      </c>
      <c r="C2457">
        <v>269.06249999999994</v>
      </c>
      <c r="D2457">
        <v>6</v>
      </c>
      <c r="E2457" s="18">
        <v>11028.32452663405</v>
      </c>
      <c r="F2457" s="18">
        <v>-4157.625427221261</v>
      </c>
      <c r="G2457" s="18">
        <v>-68.21319479175298</v>
      </c>
      <c r="H2457" s="12">
        <f>E2458</f>
      </c>
      <c r="I2457" s="12">
        <f>F2458</f>
      </c>
      <c r="J2457" s="12">
        <f>G2458</f>
      </c>
      <c r="K2457">
        <f>IF(AND(Pu&gt;=MIN(E2457,H2457),Pu&lt;=MAX(E2457,H2457),E2457&lt;&gt;H2457),1,0)</f>
      </c>
      <c r="L2457">
        <f>IF(K2457=1,(Pu-E2457)/(H2457-E2457),"")</f>
      </c>
      <c r="M2457" s="12">
        <f>IF(K2457=1,F2457+L2457*(I2457-F2457),"")</f>
      </c>
      <c r="N2457" s="12">
        <f>IF(K2457=1,G2457+L2457*(J2457-G2457),"")</f>
      </c>
    </row>
    <row r="2458" spans="2:14" x14ac:dyDescent="0.25">
      <c r="B2458">
        <v>69</v>
      </c>
      <c r="C2458">
        <v>269.06249999999994</v>
      </c>
      <c r="D2458">
        <v>7</v>
      </c>
      <c r="E2458" s="18">
        <v>9858.337403907213</v>
      </c>
      <c r="F2458" s="18">
        <v>-4330.865052997038</v>
      </c>
      <c r="G2458" s="18">
        <v>-77.05467767277798</v>
      </c>
      <c r="H2458" s="12">
        <f>E2459</f>
      </c>
      <c r="I2458" s="12">
        <f>F2459</f>
      </c>
      <c r="J2458" s="12">
        <f>G2459</f>
      </c>
      <c r="K2458">
        <f>IF(AND(Pu&gt;=MIN(E2458,H2458),Pu&lt;=MAX(E2458,H2458),E2458&lt;&gt;H2458),1,0)</f>
      </c>
      <c r="L2458">
        <f>IF(K2458=1,(Pu-E2458)/(H2458-E2458),"")</f>
      </c>
      <c r="M2458" s="12">
        <f>IF(K2458=1,F2458+L2458*(I2458-F2458),"")</f>
      </c>
      <c r="N2458" s="12">
        <f>IF(K2458=1,G2458+L2458*(J2458-G2458),"")</f>
      </c>
    </row>
    <row r="2459" spans="2:14" x14ac:dyDescent="0.25">
      <c r="B2459">
        <v>69</v>
      </c>
      <c r="C2459">
        <v>269.06249999999994</v>
      </c>
      <c r="D2459">
        <v>8</v>
      </c>
      <c r="E2459" s="18">
        <v>9135.932337539922</v>
      </c>
      <c r="F2459" s="18">
        <v>-4420.829812699418</v>
      </c>
      <c r="G2459" s="18">
        <v>-79.2577663822224</v>
      </c>
      <c r="H2459" s="12">
        <f>E2460</f>
      </c>
      <c r="I2459" s="12">
        <f>F2460</f>
      </c>
      <c r="J2459" s="12">
        <f>G2460</f>
      </c>
      <c r="K2459">
        <f>IF(AND(Pu&gt;=MIN(E2459,H2459),Pu&lt;=MAX(E2459,H2459),E2459&lt;&gt;H2459),1,0)</f>
      </c>
      <c r="L2459">
        <f>IF(K2459=1,(Pu-E2459)/(H2459-E2459),"")</f>
      </c>
      <c r="M2459" s="12">
        <f>IF(K2459=1,F2459+L2459*(I2459-F2459),"")</f>
      </c>
      <c r="N2459" s="12">
        <f>IF(K2459=1,G2459+L2459*(J2459-G2459),"")</f>
      </c>
    </row>
    <row r="2460" spans="2:14" x14ac:dyDescent="0.25">
      <c r="B2460">
        <v>69</v>
      </c>
      <c r="C2460">
        <v>269.06249999999994</v>
      </c>
      <c r="D2460">
        <v>9</v>
      </c>
      <c r="E2460" s="18">
        <v>9003.977465691756</v>
      </c>
      <c r="F2460" s="18">
        <v>-4496.487284958393</v>
      </c>
      <c r="G2460" s="18">
        <v>-78.17084774225154</v>
      </c>
      <c r="H2460" s="12">
        <f>E2461</f>
      </c>
      <c r="I2460" s="12">
        <f>F2461</f>
      </c>
      <c r="J2460" s="12">
        <f>G2461</f>
      </c>
      <c r="K2460">
        <f>IF(AND(Pu&gt;=MIN(E2460,H2460),Pu&lt;=MAX(E2460,H2460),E2460&lt;&gt;H2460),1,0)</f>
      </c>
      <c r="L2460">
        <f>IF(K2460=1,(Pu-E2460)/(H2460-E2460),"")</f>
      </c>
      <c r="M2460" s="12">
        <f>IF(K2460=1,F2460+L2460*(I2460-F2460),"")</f>
      </c>
      <c r="N2460" s="12">
        <f>IF(K2460=1,G2460+L2460*(J2460-G2460),"")</f>
      </c>
    </row>
    <row r="2461" spans="2:14" x14ac:dyDescent="0.25">
      <c r="B2461">
        <v>69</v>
      </c>
      <c r="C2461">
        <v>269.06249999999994</v>
      </c>
      <c r="D2461">
        <v>10</v>
      </c>
      <c r="E2461" s="18">
        <v>8843.407967985817</v>
      </c>
      <c r="F2461" s="18">
        <v>-4587.7866777707395</v>
      </c>
      <c r="G2461" s="18">
        <v>-81.16960379963193</v>
      </c>
      <c r="H2461" s="12">
        <f>E2462</f>
      </c>
      <c r="I2461" s="12">
        <f>F2462</f>
      </c>
      <c r="J2461" s="12">
        <f>G2462</f>
      </c>
      <c r="K2461">
        <f>IF(AND(Pu&gt;=MIN(E2461,H2461),Pu&lt;=MAX(E2461,H2461),E2461&lt;&gt;H2461),1,0)</f>
      </c>
      <c r="L2461">
        <f>IF(K2461=1,(Pu-E2461)/(H2461-E2461),"")</f>
      </c>
      <c r="M2461" s="12">
        <f>IF(K2461=1,F2461+L2461*(I2461-F2461),"")</f>
      </c>
      <c r="N2461" s="12">
        <f>IF(K2461=1,G2461+L2461*(J2461-G2461),"")</f>
      </c>
    </row>
    <row r="2462" spans="2:14" x14ac:dyDescent="0.25">
      <c r="B2462">
        <v>69</v>
      </c>
      <c r="C2462">
        <v>269.06249999999994</v>
      </c>
      <c r="D2462">
        <v>11</v>
      </c>
      <c r="E2462" s="18">
        <v>8679.881791347963</v>
      </c>
      <c r="F2462" s="18">
        <v>-4688.0406668677715</v>
      </c>
      <c r="G2462" s="18">
        <v>-75.00086314193138</v>
      </c>
      <c r="H2462" s="12">
        <f>E2463</f>
      </c>
      <c r="I2462" s="12">
        <f>F2463</f>
      </c>
      <c r="J2462" s="12">
        <f>G2463</f>
      </c>
      <c r="K2462">
        <f>IF(AND(Pu&gt;=MIN(E2462,H2462),Pu&lt;=MAX(E2462,H2462),E2462&lt;&gt;H2462),1,0)</f>
      </c>
      <c r="L2462">
        <f>IF(K2462=1,(Pu-E2462)/(H2462-E2462),"")</f>
      </c>
      <c r="M2462" s="12">
        <f>IF(K2462=1,F2462+L2462*(I2462-F2462),"")</f>
      </c>
      <c r="N2462" s="12">
        <f>IF(K2462=1,G2462+L2462*(J2462-G2462),"")</f>
      </c>
    </row>
    <row r="2463" spans="2:14" x14ac:dyDescent="0.25">
      <c r="B2463">
        <v>69</v>
      </c>
      <c r="C2463">
        <v>269.06249999999994</v>
      </c>
      <c r="D2463">
        <v>12</v>
      </c>
      <c r="E2463" s="18">
        <v>8592.99637571745</v>
      </c>
      <c r="F2463" s="18">
        <v>-4735.66103407317</v>
      </c>
      <c r="G2463" s="18">
        <v>-76.64509283885019</v>
      </c>
      <c r="H2463" s="12">
        <f>E2464</f>
      </c>
      <c r="I2463" s="12">
        <f>F2464</f>
      </c>
      <c r="J2463" s="12">
        <f>G2464</f>
      </c>
      <c r="K2463">
        <f>IF(AND(Pu&gt;=MIN(E2463,H2463),Pu&lt;=MAX(E2463,H2463),E2463&lt;&gt;H2463),1,0)</f>
      </c>
      <c r="L2463">
        <f>IF(K2463=1,(Pu-E2463)/(H2463-E2463),"")</f>
      </c>
      <c r="M2463" s="12">
        <f>IF(K2463=1,F2463+L2463*(I2463-F2463),"")</f>
      </c>
      <c r="N2463" s="12">
        <f>IF(K2463=1,G2463+L2463*(J2463-G2463),"")</f>
      </c>
    </row>
    <row r="2464" spans="2:14" x14ac:dyDescent="0.25">
      <c r="B2464">
        <v>69</v>
      </c>
      <c r="C2464">
        <v>269.06249999999994</v>
      </c>
      <c r="D2464">
        <v>13</v>
      </c>
      <c r="E2464" s="18">
        <v>8382.89168545405</v>
      </c>
      <c r="F2464" s="18">
        <v>-4858.032840295122</v>
      </c>
      <c r="G2464" s="18">
        <v>-91.12134317842796</v>
      </c>
      <c r="H2464" s="12">
        <f>E2465</f>
      </c>
      <c r="I2464" s="12">
        <f>F2465</f>
      </c>
      <c r="J2464" s="12">
        <f>G2465</f>
      </c>
      <c r="K2464">
        <f>IF(AND(Pu&gt;=MIN(E2464,H2464),Pu&lt;=MAX(E2464,H2464),E2464&lt;&gt;H2464),1,0)</f>
      </c>
      <c r="L2464">
        <f>IF(K2464=1,(Pu-E2464)/(H2464-E2464),"")</f>
      </c>
      <c r="M2464" s="12">
        <f>IF(K2464=1,F2464+L2464*(I2464-F2464),"")</f>
      </c>
      <c r="N2464" s="12">
        <f>IF(K2464=1,G2464+L2464*(J2464-G2464),"")</f>
      </c>
    </row>
    <row r="2465" spans="2:14" x14ac:dyDescent="0.25">
      <c r="B2465">
        <v>69</v>
      </c>
      <c r="C2465">
        <v>269.06249999999994</v>
      </c>
      <c r="D2465">
        <v>14</v>
      </c>
      <c r="E2465" s="18">
        <v>8351.201855535035</v>
      </c>
      <c r="F2465" s="18">
        <v>-4874.838302797863</v>
      </c>
      <c r="G2465" s="18">
        <v>-91.80386852897817</v>
      </c>
      <c r="H2465" s="12">
        <f>E2466</f>
      </c>
      <c r="I2465" s="12">
        <f>F2466</f>
      </c>
      <c r="J2465" s="12">
        <f>G2466</f>
      </c>
      <c r="K2465">
        <f>IF(AND(Pu&gt;=MIN(E2465,H2465),Pu&lt;=MAX(E2465,H2465),E2465&lt;&gt;H2465),1,0)</f>
      </c>
      <c r="L2465">
        <f>IF(K2465=1,(Pu-E2465)/(H2465-E2465),"")</f>
      </c>
      <c r="M2465" s="12">
        <f>IF(K2465=1,F2465+L2465*(I2465-F2465),"")</f>
      </c>
      <c r="N2465" s="12">
        <f>IF(K2465=1,G2465+L2465*(J2465-G2465),"")</f>
      </c>
    </row>
    <row r="2466" spans="2:14" x14ac:dyDescent="0.25">
      <c r="B2466">
        <v>69</v>
      </c>
      <c r="C2466">
        <v>269.06249999999994</v>
      </c>
      <c r="D2466">
        <v>15</v>
      </c>
      <c r="E2466" s="18">
        <v>8122.392989857709</v>
      </c>
      <c r="F2466" s="18">
        <v>-4999.223225624432</v>
      </c>
      <c r="G2466" s="18">
        <v>-86.52296128165865</v>
      </c>
      <c r="H2466" s="12">
        <f>E2467</f>
      </c>
      <c r="I2466" s="12">
        <f>F2467</f>
      </c>
      <c r="J2466" s="12">
        <f>G2467</f>
      </c>
      <c r="K2466">
        <f>IF(AND(Pu&gt;=MIN(E2466,H2466),Pu&lt;=MAX(E2466,H2466),E2466&lt;&gt;H2466),1,0)</f>
      </c>
      <c r="L2466">
        <f>IF(K2466=1,(Pu-E2466)/(H2466-E2466),"")</f>
      </c>
      <c r="M2466" s="12">
        <f>IF(K2466=1,F2466+L2466*(I2466-F2466),"")</f>
      </c>
      <c r="N2466" s="12">
        <f>IF(K2466=1,G2466+L2466*(J2466-G2466),"")</f>
      </c>
    </row>
    <row r="2467" spans="2:14" x14ac:dyDescent="0.25">
      <c r="B2467">
        <v>69</v>
      </c>
      <c r="C2467">
        <v>269.06249999999994</v>
      </c>
      <c r="D2467">
        <v>16</v>
      </c>
      <c r="E2467" s="18">
        <v>8091.243138157085</v>
      </c>
      <c r="F2467" s="18">
        <v>-5017.885184500635</v>
      </c>
      <c r="G2467" s="18">
        <v>-87.34481342704242</v>
      </c>
      <c r="H2467" s="12">
        <f>E2468</f>
      </c>
      <c r="I2467" s="12">
        <f>F2468</f>
      </c>
      <c r="J2467" s="12">
        <f>G2468</f>
      </c>
      <c r="K2467">
        <f>IF(AND(Pu&gt;=MIN(E2467,H2467),Pu&lt;=MAX(E2467,H2467),E2467&lt;&gt;H2467),1,0)</f>
      </c>
      <c r="L2467">
        <f>IF(K2467=1,(Pu-E2467)/(H2467-E2467),"")</f>
      </c>
      <c r="M2467" s="12">
        <f>IF(K2467=1,F2467+L2467*(I2467-F2467),"")</f>
      </c>
      <c r="N2467" s="12">
        <f>IF(K2467=1,G2467+L2467*(J2467-G2467),"")</f>
      </c>
    </row>
    <row r="2468" spans="2:14" x14ac:dyDescent="0.25">
      <c r="B2468">
        <v>69</v>
      </c>
      <c r="C2468">
        <v>269.06249999999994</v>
      </c>
      <c r="D2468">
        <v>17</v>
      </c>
      <c r="E2468" s="18">
        <v>7946.957086506895</v>
      </c>
      <c r="F2468" s="18">
        <v>-5103.374963878738</v>
      </c>
      <c r="G2468" s="18">
        <v>-91.25972481043684</v>
      </c>
      <c r="H2468" s="12">
        <f>E2469</f>
      </c>
      <c r="I2468" s="12">
        <f>F2469</f>
      </c>
      <c r="J2468" s="12">
        <f>G2469</f>
      </c>
      <c r="K2468">
        <f>IF(AND(Pu&gt;=MIN(E2468,H2468),Pu&lt;=MAX(E2468,H2468),E2468&lt;&gt;H2468),1,0)</f>
      </c>
      <c r="L2468">
        <f>IF(K2468=1,(Pu-E2468)/(H2468-E2468),"")</f>
      </c>
      <c r="M2468" s="12">
        <f>IF(K2468=1,F2468+L2468*(I2468-F2468),"")</f>
      </c>
      <c r="N2468" s="12">
        <f>IF(K2468=1,G2468+L2468*(J2468-G2468),"")</f>
      </c>
    </row>
    <row r="2469" spans="2:14" x14ac:dyDescent="0.25">
      <c r="B2469">
        <v>69</v>
      </c>
      <c r="C2469">
        <v>269.06249999999994</v>
      </c>
      <c r="D2469">
        <v>18</v>
      </c>
      <c r="E2469" s="18">
        <v>7775.708291451108</v>
      </c>
      <c r="F2469" s="18">
        <v>-5202.690614963193</v>
      </c>
      <c r="G2469" s="18">
        <v>-96.11601510175652</v>
      </c>
      <c r="H2469" s="12">
        <f>E2470</f>
      </c>
      <c r="I2469" s="12">
        <f>F2470</f>
      </c>
      <c r="J2469" s="12">
        <f>G2470</f>
      </c>
      <c r="K2469">
        <f>IF(AND(Pu&gt;=MIN(E2469,H2469),Pu&lt;=MAX(E2469,H2469),E2469&lt;&gt;H2469),1,0)</f>
      </c>
      <c r="L2469">
        <f>IF(K2469=1,(Pu-E2469)/(H2469-E2469),"")</f>
      </c>
      <c r="M2469" s="12">
        <f>IF(K2469=1,F2469+L2469*(I2469-F2469),"")</f>
      </c>
      <c r="N2469" s="12">
        <f>IF(K2469=1,G2469+L2469*(J2469-G2469),"")</f>
      </c>
    </row>
    <row r="2470" spans="2:14" x14ac:dyDescent="0.25">
      <c r="B2470">
        <v>69</v>
      </c>
      <c r="C2470">
        <v>269.06249999999994</v>
      </c>
      <c r="D2470">
        <v>19</v>
      </c>
      <c r="E2470" s="18">
        <v>7660.184562501993</v>
      </c>
      <c r="F2470" s="18">
        <v>-5268.283663799834</v>
      </c>
      <c r="G2470" s="18">
        <v>-99.50338407115771</v>
      </c>
      <c r="H2470" s="12">
        <f>E2471</f>
      </c>
      <c r="I2470" s="12">
        <f>F2471</f>
      </c>
      <c r="J2470" s="12">
        <f>G2471</f>
      </c>
      <c r="K2470">
        <f>IF(AND(Pu&gt;=MIN(E2470,H2470),Pu&lt;=MAX(E2470,H2470),E2470&lt;&gt;H2470),1,0)</f>
      </c>
      <c r="L2470">
        <f>IF(K2470=1,(Pu-E2470)/(H2470-E2470),"")</f>
      </c>
      <c r="M2470" s="12">
        <f>IF(K2470=1,F2470+L2470*(I2470-F2470),"")</f>
      </c>
      <c r="N2470" s="12">
        <f>IF(K2470=1,G2470+L2470*(J2470-G2470),"")</f>
      </c>
    </row>
    <row r="2471" spans="2:14" x14ac:dyDescent="0.25">
      <c r="B2471">
        <v>69</v>
      </c>
      <c r="C2471">
        <v>269.06249999999994</v>
      </c>
      <c r="D2471">
        <v>20</v>
      </c>
      <c r="E2471" s="18">
        <v>7606.910838033652</v>
      </c>
      <c r="F2471" s="18">
        <v>-5298.133539728474</v>
      </c>
      <c r="G2471" s="18">
        <v>-101.0918321556174</v>
      </c>
      <c r="H2471" s="12">
        <f>E2472</f>
      </c>
      <c r="I2471" s="12">
        <f>F2472</f>
      </c>
      <c r="J2471" s="12">
        <f>G2472</f>
      </c>
      <c r="K2471">
        <f>IF(AND(Pu&gt;=MIN(E2471,H2471),Pu&lt;=MAX(E2471,H2471),E2471&lt;&gt;H2471),1,0)</f>
      </c>
      <c r="L2471">
        <f>IF(K2471=1,(Pu-E2471)/(H2471-E2471),"")</f>
      </c>
      <c r="M2471" s="12">
        <f>IF(K2471=1,F2471+L2471*(I2471-F2471),"")</f>
      </c>
      <c r="N2471" s="12">
        <f>IF(K2471=1,G2471+L2471*(J2471-G2471),"")</f>
      </c>
    </row>
    <row r="2472" spans="2:14" x14ac:dyDescent="0.25">
      <c r="B2472">
        <v>69</v>
      </c>
      <c r="C2472">
        <v>269.06249999999994</v>
      </c>
      <c r="D2472">
        <v>21</v>
      </c>
      <c r="E2472" s="18">
        <v>7439.1426523670925</v>
      </c>
      <c r="F2472" s="18">
        <v>-5390.435848121791</v>
      </c>
      <c r="G2472" s="18">
        <v>-106.18717597201967</v>
      </c>
      <c r="H2472" s="12">
        <f>E2473</f>
      </c>
      <c r="I2472" s="12">
        <f>F2473</f>
      </c>
      <c r="J2472" s="12">
        <f>G2473</f>
      </c>
      <c r="K2472">
        <f>IF(AND(Pu&gt;=MIN(E2472,H2472),Pu&lt;=MAX(E2472,H2472),E2472&lt;&gt;H2472),1,0)</f>
      </c>
      <c r="L2472">
        <f>IF(K2472=1,(Pu-E2472)/(H2472-E2472),"")</f>
      </c>
      <c r="M2472" s="12">
        <f>IF(K2472=1,F2472+L2472*(I2472-F2472),"")</f>
      </c>
      <c r="N2472" s="12">
        <f>IF(K2472=1,G2472+L2472*(J2472-G2472),"")</f>
      </c>
    </row>
    <row r="2473" spans="2:14" x14ac:dyDescent="0.25">
      <c r="B2473">
        <v>69</v>
      </c>
      <c r="C2473">
        <v>269.06249999999994</v>
      </c>
      <c r="D2473">
        <v>22</v>
      </c>
      <c r="E2473" s="18">
        <v>7363.850717064114</v>
      </c>
      <c r="F2473" s="18">
        <v>-5377.215994759919</v>
      </c>
      <c r="G2473" s="18">
        <v>-106.58530711919593</v>
      </c>
      <c r="H2473" s="12">
        <f>E2474</f>
      </c>
      <c r="I2473" s="12">
        <f>F2474</f>
      </c>
      <c r="J2473" s="12">
        <f>G2474</f>
      </c>
      <c r="K2473">
        <f>IF(AND(Pu&gt;=MIN(E2473,H2473),Pu&lt;=MAX(E2473,H2473),E2473&lt;&gt;H2473),1,0)</f>
      </c>
      <c r="L2473">
        <f>IF(K2473=1,(Pu-E2473)/(H2473-E2473),"")</f>
      </c>
      <c r="M2473" s="12">
        <f>IF(K2473=1,F2473+L2473*(I2473-F2473),"")</f>
      </c>
      <c r="N2473" s="12">
        <f>IF(K2473=1,G2473+L2473*(J2473-G2473),"")</f>
      </c>
    </row>
    <row r="2474" spans="2:14" x14ac:dyDescent="0.25">
      <c r="B2474">
        <v>69</v>
      </c>
      <c r="C2474">
        <v>269.06249999999994</v>
      </c>
      <c r="D2474">
        <v>23</v>
      </c>
      <c r="E2474" s="18">
        <v>6841.72083563949</v>
      </c>
      <c r="F2474" s="18">
        <v>-5263.037553029487</v>
      </c>
      <c r="G2474" s="18">
        <v>-93.6591488901876</v>
      </c>
      <c r="H2474" s="12">
        <f>E2475</f>
      </c>
      <c r="I2474" s="12">
        <f>F2475</f>
      </c>
      <c r="J2474" s="12">
        <f>G2475</f>
      </c>
      <c r="K2474">
        <f>IF(AND(Pu&gt;=MIN(E2474,H2474),Pu&lt;=MAX(E2474,H2474),E2474&lt;&gt;H2474),1,0)</f>
      </c>
      <c r="L2474">
        <f>IF(K2474=1,(Pu-E2474)/(H2474-E2474),"")</f>
      </c>
      <c r="M2474" s="12">
        <f>IF(K2474=1,F2474+L2474*(I2474-F2474),"")</f>
      </c>
      <c r="N2474" s="12">
        <f>IF(K2474=1,G2474+L2474*(J2474-G2474),"")</f>
      </c>
    </row>
    <row r="2475" spans="2:14" x14ac:dyDescent="0.25">
      <c r="B2475">
        <v>69</v>
      </c>
      <c r="C2475">
        <v>269.06249999999994</v>
      </c>
      <c r="D2475">
        <v>24</v>
      </c>
      <c r="E2475" s="18">
        <v>6048.414669638075</v>
      </c>
      <c r="F2475" s="18">
        <v>-5058.39029053527</v>
      </c>
      <c r="G2475" s="18">
        <v>-100.44889258392756</v>
      </c>
      <c r="H2475" s="12">
        <f>E2476</f>
      </c>
      <c r="I2475" s="12">
        <f>F2476</f>
      </c>
      <c r="J2475" s="12">
        <f>G2476</f>
      </c>
      <c r="K2475">
        <f>IF(AND(Pu&gt;=MIN(E2475,H2475),Pu&lt;=MAX(E2475,H2475),E2475&lt;&gt;H2475),1,0)</f>
      </c>
      <c r="L2475">
        <f>IF(K2475=1,(Pu-E2475)/(H2475-E2475),"")</f>
      </c>
      <c r="M2475" s="12">
        <f>IF(K2475=1,F2475+L2475*(I2475-F2475),"")</f>
      </c>
      <c r="N2475" s="12">
        <f>IF(K2475=1,G2475+L2475*(J2475-G2475),"")</f>
      </c>
    </row>
    <row r="2476" spans="2:14" x14ac:dyDescent="0.25">
      <c r="B2476">
        <v>69</v>
      </c>
      <c r="C2476">
        <v>269.06249999999994</v>
      </c>
      <c r="D2476">
        <v>25</v>
      </c>
      <c r="E2476" s="18">
        <v>5278.8582465679265</v>
      </c>
      <c r="F2476" s="18">
        <v>-4841.3458116570355</v>
      </c>
      <c r="G2476" s="18">
        <v>-111.38641854456367</v>
      </c>
      <c r="H2476" s="12">
        <f>E2477</f>
      </c>
      <c r="I2476" s="12">
        <f>F2477</f>
      </c>
      <c r="J2476" s="12">
        <f>G2477</f>
      </c>
      <c r="K2476">
        <f>IF(AND(Pu&gt;=MIN(E2476,H2476),Pu&lt;=MAX(E2476,H2476),E2476&lt;&gt;H2476),1,0)</f>
      </c>
      <c r="L2476">
        <f>IF(K2476=1,(Pu-E2476)/(H2476-E2476),"")</f>
      </c>
      <c r="M2476" s="12">
        <f>IF(K2476=1,F2476+L2476*(I2476-F2476),"")</f>
      </c>
      <c r="N2476" s="12">
        <f>IF(K2476=1,G2476+L2476*(J2476-G2476),"")</f>
      </c>
    </row>
    <row r="2477" spans="2:14" x14ac:dyDescent="0.25">
      <c r="B2477">
        <v>69</v>
      </c>
      <c r="C2477">
        <v>269.06249999999994</v>
      </c>
      <c r="D2477">
        <v>26</v>
      </c>
      <c r="E2477" s="18">
        <v>4620.505610693872</v>
      </c>
      <c r="F2477" s="18">
        <v>-4630.787132067513</v>
      </c>
      <c r="G2477" s="18">
        <v>-98.15472021871068</v>
      </c>
      <c r="H2477" s="12">
        <f>E2478</f>
      </c>
      <c r="I2477" s="12">
        <f>F2478</f>
      </c>
      <c r="J2477" s="12">
        <f>G2478</f>
      </c>
      <c r="K2477">
        <f>IF(AND(Pu&gt;=MIN(E2477,H2477),Pu&lt;=MAX(E2477,H2477),E2477&lt;&gt;H2477),1,0)</f>
      </c>
      <c r="L2477">
        <f>IF(K2477=1,(Pu-E2477)/(H2477-E2477),"")</f>
      </c>
      <c r="M2477" s="12">
        <f>IF(K2477=1,F2477+L2477*(I2477-F2477),"")</f>
      </c>
      <c r="N2477" s="12">
        <f>IF(K2477=1,G2477+L2477*(J2477-G2477),"")</f>
      </c>
    </row>
    <row r="2478" spans="2:14" x14ac:dyDescent="0.25">
      <c r="B2478">
        <v>69</v>
      </c>
      <c r="C2478">
        <v>269.06249999999994</v>
      </c>
      <c r="D2478">
        <v>27</v>
      </c>
      <c r="E2478" s="18">
        <v>3536.5930768201465</v>
      </c>
      <c r="F2478" s="18">
        <v>-4225.64908755315</v>
      </c>
      <c r="G2478" s="18">
        <v>-123.11459017609754</v>
      </c>
      <c r="H2478" s="12">
        <f>E2479</f>
      </c>
      <c r="I2478" s="12">
        <f>F2479</f>
      </c>
      <c r="J2478" s="12">
        <f>G2479</f>
      </c>
      <c r="K2478">
        <f>IF(AND(Pu&gt;=MIN(E2478,H2478),Pu&lt;=MAX(E2478,H2478),E2478&lt;&gt;H2478),1,0)</f>
      </c>
      <c r="L2478">
        <f>IF(K2478=1,(Pu-E2478)/(H2478-E2478),"")</f>
      </c>
      <c r="M2478" s="12">
        <f>IF(K2478=1,F2478+L2478*(I2478-F2478),"")</f>
      </c>
      <c r="N2478" s="12">
        <f>IF(K2478=1,G2478+L2478*(J2478-G2478),"")</f>
      </c>
    </row>
    <row r="2479" spans="2:14" x14ac:dyDescent="0.25">
      <c r="B2479">
        <v>69</v>
      </c>
      <c r="C2479">
        <v>269.06249999999994</v>
      </c>
      <c r="D2479">
        <v>28</v>
      </c>
      <c r="E2479" s="18">
        <v>2485.2490206956636</v>
      </c>
      <c r="F2479" s="18">
        <v>-3805.624149811057</v>
      </c>
      <c r="G2479" s="18">
        <v>-118.18743741201656</v>
      </c>
      <c r="H2479" s="12">
        <f>E2480</f>
      </c>
      <c r="I2479" s="12">
        <f>F2480</f>
      </c>
      <c r="J2479" s="12">
        <f>G2480</f>
      </c>
      <c r="K2479">
        <f>IF(AND(Pu&gt;=MIN(E2479,H2479),Pu&lt;=MAX(E2479,H2479),E2479&lt;&gt;H2479),1,0)</f>
      </c>
      <c r="L2479">
        <f>IF(K2479=1,(Pu-E2479)/(H2479-E2479),"")</f>
      </c>
      <c r="M2479" s="12">
        <f>IF(K2479=1,F2479+L2479*(I2479-F2479),"")</f>
      </c>
      <c r="N2479" s="12">
        <f>IF(K2479=1,G2479+L2479*(J2479-G2479),"")</f>
      </c>
    </row>
    <row r="2480" spans="2:14" x14ac:dyDescent="0.25">
      <c r="B2480">
        <v>69</v>
      </c>
      <c r="C2480">
        <v>269.06249999999994</v>
      </c>
      <c r="D2480">
        <v>29</v>
      </c>
      <c r="E2480" s="18">
        <v>1644.9065599918404</v>
      </c>
      <c r="F2480" s="18">
        <v>-3450.7514494930488</v>
      </c>
      <c r="G2480" s="18">
        <v>-111.1139071632652</v>
      </c>
      <c r="H2480" s="12">
        <f>E2481</f>
      </c>
      <c r="I2480" s="12">
        <f>F2481</f>
      </c>
      <c r="J2480" s="12">
        <f>G2481</f>
      </c>
      <c r="K2480">
        <f>IF(AND(Pu&gt;=MIN(E2480,H2480),Pu&lt;=MAX(E2480,H2480),E2480&lt;&gt;H2480),1,0)</f>
      </c>
      <c r="L2480">
        <f>IF(K2480=1,(Pu-E2480)/(H2480-E2480),"")</f>
      </c>
      <c r="M2480" s="12">
        <f>IF(K2480=1,F2480+L2480*(I2480-F2480),"")</f>
      </c>
      <c r="N2480" s="12">
        <f>IF(K2480=1,G2480+L2480*(J2480-G2480),"")</f>
      </c>
    </row>
    <row r="2481" spans="2:14" x14ac:dyDescent="0.25">
      <c r="B2481">
        <v>69</v>
      </c>
      <c r="C2481">
        <v>269.06249999999994</v>
      </c>
      <c r="D2481">
        <v>30</v>
      </c>
      <c r="E2481" s="18">
        <v>1020.0736109200719</v>
      </c>
      <c r="F2481" s="18">
        <v>-3159.669249648435</v>
      </c>
      <c r="G2481" s="18">
        <v>-91.18358731516719</v>
      </c>
      <c r="H2481" s="12">
        <f>E2482</f>
      </c>
      <c r="I2481" s="12">
        <f>F2482</f>
      </c>
      <c r="J2481" s="12">
        <f>G2482</f>
      </c>
      <c r="K2481">
        <f>IF(AND(Pu&gt;=MIN(E2481,H2481),Pu&lt;=MAX(E2481,H2481),E2481&lt;&gt;H2481),1,0)</f>
      </c>
      <c r="L2481">
        <f>IF(K2481=1,(Pu-E2481)/(H2481-E2481),"")</f>
      </c>
      <c r="M2481" s="12">
        <f>IF(K2481=1,F2481+L2481*(I2481-F2481),"")</f>
      </c>
      <c r="N2481" s="12">
        <f>IF(K2481=1,G2481+L2481*(J2481-G2481),"")</f>
      </c>
    </row>
    <row r="2482" spans="2:14" x14ac:dyDescent="0.25">
      <c r="B2482">
        <v>69</v>
      </c>
      <c r="C2482">
        <v>269.06249999999994</v>
      </c>
      <c r="D2482">
        <v>31</v>
      </c>
      <c r="E2482" s="18">
        <v>93.37715231091875</v>
      </c>
      <c r="F2482" s="18">
        <v>-2701.7021228636672</v>
      </c>
      <c r="G2482" s="18">
        <v>-87.16167517802292</v>
      </c>
      <c r="H2482" s="12">
        <f>E2483</f>
      </c>
      <c r="I2482" s="12">
        <f>F2483</f>
      </c>
      <c r="J2482" s="12">
        <f>G2483</f>
      </c>
      <c r="K2482">
        <f>IF(AND(Pu&gt;=MIN(E2482,H2482),Pu&lt;=MAX(E2482,H2482),E2482&lt;&gt;H2482),1,0)</f>
      </c>
      <c r="L2482">
        <f>IF(K2482=1,(Pu-E2482)/(H2482-E2482),"")</f>
      </c>
      <c r="M2482" s="12">
        <f>IF(K2482=1,F2482+L2482*(I2482-F2482),"")</f>
      </c>
      <c r="N2482" s="12">
        <f>IF(K2482=1,G2482+L2482*(J2482-G2482),"")</f>
      </c>
    </row>
    <row r="2483" spans="2:14" x14ac:dyDescent="0.25">
      <c r="B2483">
        <v>69</v>
      </c>
      <c r="C2483">
        <v>269.06249999999994</v>
      </c>
      <c r="D2483">
        <v>32</v>
      </c>
      <c r="E2483" s="18">
        <v>-606.2785605789319</v>
      </c>
      <c r="F2483" s="18">
        <v>-2343.4562851938467</v>
      </c>
      <c r="G2483" s="18">
        <v>-85.78050027773665</v>
      </c>
      <c r="H2483" s="12">
        <f>E2484</f>
      </c>
      <c r="I2483" s="12">
        <f>F2484</f>
      </c>
      <c r="J2483" s="12">
        <f>G2484</f>
      </c>
      <c r="K2483">
        <f>IF(AND(Pu&gt;=MIN(E2483,H2483),Pu&lt;=MAX(E2483,H2483),E2483&lt;&gt;H2483),1,0)</f>
      </c>
      <c r="L2483">
        <f>IF(K2483=1,(Pu-E2483)/(H2483-E2483),"")</f>
      </c>
      <c r="M2483" s="12">
        <f>IF(K2483=1,F2483+L2483*(I2483-F2483),"")</f>
      </c>
      <c r="N2483" s="12">
        <f>IF(K2483=1,G2483+L2483*(J2483-G2483),"")</f>
      </c>
    </row>
    <row r="2484" spans="2:14" x14ac:dyDescent="0.25">
      <c r="B2484">
        <v>69</v>
      </c>
      <c r="C2484">
        <v>269.06249999999994</v>
      </c>
      <c r="D2484">
        <v>33</v>
      </c>
      <c r="E2484" s="18">
        <v>-1585.6812557617777</v>
      </c>
      <c r="F2484" s="18">
        <v>-1828.3983602807396</v>
      </c>
      <c r="G2484" s="18">
        <v>-79.9436959585325</v>
      </c>
      <c r="H2484" s="12">
        <f>E2485</f>
      </c>
      <c r="I2484" s="12">
        <f>F2485</f>
      </c>
      <c r="J2484" s="12">
        <f>G2485</f>
      </c>
      <c r="K2484">
        <f>IF(AND(Pu&gt;=MIN(E2484,H2484),Pu&lt;=MAX(E2484,H2484),E2484&lt;&gt;H2484),1,0)</f>
      </c>
      <c r="L2484">
        <f>IF(K2484=1,(Pu-E2484)/(H2484-E2484),"")</f>
      </c>
      <c r="M2484" s="12">
        <f>IF(K2484=1,F2484+L2484*(I2484-F2484),"")</f>
      </c>
      <c r="N2484" s="12">
        <f>IF(K2484=1,G2484+L2484*(J2484-G2484),"")</f>
      </c>
    </row>
    <row r="2485" spans="2:14" x14ac:dyDescent="0.25">
      <c r="B2485">
        <v>69</v>
      </c>
      <c r="C2485">
        <v>269.06249999999994</v>
      </c>
      <c r="D2485">
        <v>34</v>
      </c>
      <c r="E2485" s="18">
        <v>-2379.141401888529</v>
      </c>
      <c r="F2485" s="18">
        <v>-1403.6325370612055</v>
      </c>
      <c r="G2485" s="18">
        <v>-90.60475404073055</v>
      </c>
      <c r="H2485" s="12">
        <f>E2486</f>
      </c>
      <c r="I2485" s="12">
        <f>F2486</f>
      </c>
      <c r="J2485" s="12">
        <f>G2486</f>
      </c>
      <c r="K2485">
        <f>IF(AND(Pu&gt;=MIN(E2485,H2485),Pu&lt;=MAX(E2485,H2485),E2485&lt;&gt;H2485),1,0)</f>
      </c>
      <c r="L2485">
        <f>IF(K2485=1,(Pu-E2485)/(H2485-E2485),"")</f>
      </c>
      <c r="M2485" s="12">
        <f>IF(K2485=1,F2485+L2485*(I2485-F2485),"")</f>
      </c>
      <c r="N2485" s="12">
        <f>IF(K2485=1,G2485+L2485*(J2485-G2485),"")</f>
      </c>
    </row>
    <row r="2486" spans="2:14" x14ac:dyDescent="0.25">
      <c r="B2486">
        <v>69</v>
      </c>
      <c r="C2486">
        <v>269.06249999999994</v>
      </c>
      <c r="D2486">
        <v>35</v>
      </c>
      <c r="E2486" s="18">
        <v>-3954.5727719216798</v>
      </c>
      <c r="F2486" s="18">
        <v>-554.7708375865006</v>
      </c>
      <c r="G2486" s="18">
        <v>-93.2834898347049</v>
      </c>
      <c r="H2486" s="12">
        <f>E2487</f>
      </c>
      <c r="I2486" s="12">
        <f>F2487</f>
      </c>
      <c r="J2486" s="12">
        <f>G2487</f>
      </c>
      <c r="K2486">
        <f>IF(AND(Pu&gt;=MIN(E2486,H2486),Pu&lt;=MAX(E2486,H2486),E2486&lt;&gt;H2486),1,0)</f>
      </c>
      <c r="L2486">
        <f>IF(K2486=1,(Pu-E2486)/(H2486-E2486),"")</f>
      </c>
      <c r="M2486" s="12">
        <f>IF(K2486=1,F2486+L2486*(I2486-F2486),"")</f>
      </c>
      <c r="N2486" s="12">
        <f>IF(K2486=1,G2486+L2486*(J2486-G2486),"")</f>
      </c>
    </row>
    <row r="2487" spans="2:7" x14ac:dyDescent="0.25">
      <c r="B2487">
        <v>69</v>
      </c>
      <c r="C2487">
        <v>269.06249999999994</v>
      </c>
      <c r="D2487">
        <v>36</v>
      </c>
      <c r="E2487" s="18">
        <v>-4381.899986550175</v>
      </c>
      <c r="F2487" s="18">
        <v>-317.6592806183747</v>
      </c>
      <c r="G2487" s="18">
        <v>-44.30646356633186</v>
      </c>
    </row>
    <row r="2489" spans="2:14" x14ac:dyDescent="0.25">
      <c r="B2489">
        <v>70</v>
      </c>
      <c r="C2489">
        <v>270</v>
      </c>
      <c r="D2489">
        <v>1</v>
      </c>
      <c r="E2489" s="18">
        <v>16809.60975668777</v>
      </c>
      <c r="F2489" s="18">
        <v>-2567.0413267963336</v>
      </c>
      <c r="G2489" s="18">
        <v>-8.378177881240845e-13</v>
      </c>
      <c r="H2489" s="12">
        <f>E2490</f>
      </c>
      <c r="I2489" s="12">
        <f>F2490</f>
      </c>
      <c r="J2489" s="12">
        <f>G2490</f>
      </c>
      <c r="K2489">
        <f>IF(AND(Pu&gt;=MIN(E2489,H2489),Pu&lt;=MAX(E2489,H2489),E2489&lt;&gt;H2489),1,0)</f>
      </c>
      <c r="L2489">
        <f>IF(K2489=1,(Pu-E2489)/(H2489-E2489),"")</f>
      </c>
      <c r="M2489" s="12">
        <f>IF(K2489=1,F2489+L2489*(I2489-F2489),"")</f>
      </c>
      <c r="N2489" s="12">
        <f>IF(K2489=1,G2489+L2489*(J2489-G2489),"")</f>
      </c>
    </row>
    <row r="2490" spans="2:14" x14ac:dyDescent="0.25">
      <c r="B2490">
        <v>70</v>
      </c>
      <c r="C2490">
        <v>270</v>
      </c>
      <c r="D2490">
        <v>2</v>
      </c>
      <c r="E2490" s="18">
        <v>15831.862746689701</v>
      </c>
      <c r="F2490" s="18">
        <v>-2940.658855894904</v>
      </c>
      <c r="G2490" s="18">
        <v>-1.3317912817001343e-12</v>
      </c>
      <c r="H2490" s="12">
        <f>E2491</f>
      </c>
      <c r="I2490" s="12">
        <f>F2491</f>
      </c>
      <c r="J2490" s="12">
        <f>G2491</f>
      </c>
      <c r="K2490">
        <f>IF(AND(Pu&gt;=MIN(E2490,H2490),Pu&lt;=MAX(E2490,H2490),E2490&lt;&gt;H2490),1,0)</f>
      </c>
      <c r="L2490">
        <f>IF(K2490=1,(Pu-E2490)/(H2490-E2490),"")</f>
      </c>
      <c r="M2490" s="12">
        <f>IF(K2490=1,F2490+L2490*(I2490-F2490),"")</f>
      </c>
      <c r="N2490" s="12">
        <f>IF(K2490=1,G2490+L2490*(J2490-G2490),"")</f>
      </c>
    </row>
    <row r="2491" spans="2:14" x14ac:dyDescent="0.25">
      <c r="B2491">
        <v>70</v>
      </c>
      <c r="C2491">
        <v>270</v>
      </c>
      <c r="D2491">
        <v>3</v>
      </c>
      <c r="E2491" s="18">
        <v>14773.573695386065</v>
      </c>
      <c r="F2491" s="18">
        <v>-3296.6535203120256</v>
      </c>
      <c r="G2491" s="18">
        <v>-4.213303327560425e-13</v>
      </c>
      <c r="H2491" s="12">
        <f>E2492</f>
      </c>
      <c r="I2491" s="12">
        <f>F2492</f>
      </c>
      <c r="J2491" s="12">
        <f>G2492</f>
      </c>
      <c r="K2491">
        <f>IF(AND(Pu&gt;=MIN(E2491,H2491),Pu&lt;=MAX(E2491,H2491),E2491&lt;&gt;H2491),1,0)</f>
      </c>
      <c r="L2491">
        <f>IF(K2491=1,(Pu-E2491)/(H2491-E2491),"")</f>
      </c>
      <c r="M2491" s="12">
        <f>IF(K2491=1,F2491+L2491*(I2491-F2491),"")</f>
      </c>
      <c r="N2491" s="12">
        <f>IF(K2491=1,G2491+L2491*(J2491-G2491),"")</f>
      </c>
    </row>
    <row r="2492" spans="2:14" x14ac:dyDescent="0.25">
      <c r="B2492">
        <v>70</v>
      </c>
      <c r="C2492">
        <v>270</v>
      </c>
      <c r="D2492">
        <v>4</v>
      </c>
      <c r="E2492" s="18">
        <v>13844.504942638387</v>
      </c>
      <c r="F2492" s="18">
        <v>-3563.999190597374</v>
      </c>
      <c r="G2492" s="18">
        <v>-1.3560056686401366e-13</v>
      </c>
      <c r="H2492" s="12">
        <f>E2493</f>
      </c>
      <c r="I2492" s="12">
        <f>F2493</f>
      </c>
      <c r="J2492" s="12">
        <f>G2493</f>
      </c>
      <c r="K2492">
        <f>IF(AND(Pu&gt;=MIN(E2492,H2492),Pu&lt;=MAX(E2492,H2492),E2492&lt;&gt;H2492),1,0)</f>
      </c>
      <c r="L2492">
        <f>IF(K2492=1,(Pu-E2492)/(H2492-E2492),"")</f>
      </c>
      <c r="M2492" s="12">
        <f>IF(K2492=1,F2492+L2492*(I2492-F2492),"")</f>
      </c>
      <c r="N2492" s="12">
        <f>IF(K2492=1,G2492+L2492*(J2492-G2492),"")</f>
      </c>
    </row>
    <row r="2493" spans="2:14" x14ac:dyDescent="0.25">
      <c r="B2493">
        <v>70</v>
      </c>
      <c r="C2493">
        <v>270</v>
      </c>
      <c r="D2493">
        <v>5</v>
      </c>
      <c r="E2493" s="18">
        <v>12290.658640033147</v>
      </c>
      <c r="F2493" s="18">
        <v>-3928.0356747989063</v>
      </c>
      <c r="G2493" s="18">
        <v>1.4528632164001468e-14</v>
      </c>
      <c r="H2493" s="12">
        <f>E2494</f>
      </c>
      <c r="I2493" s="12">
        <f>F2494</f>
      </c>
      <c r="J2493" s="12">
        <f>G2494</f>
      </c>
      <c r="K2493">
        <f>IF(AND(Pu&gt;=MIN(E2493,H2493),Pu&lt;=MAX(E2493,H2493),E2493&lt;&gt;H2493),1,0)</f>
      </c>
      <c r="L2493">
        <f>IF(K2493=1,(Pu-E2493)/(H2493-E2493),"")</f>
      </c>
      <c r="M2493" s="12">
        <f>IF(K2493=1,F2493+L2493*(I2493-F2493),"")</f>
      </c>
      <c r="N2493" s="12">
        <f>IF(K2493=1,G2493+L2493*(J2493-G2493),"")</f>
      </c>
    </row>
    <row r="2494" spans="2:14" x14ac:dyDescent="0.25">
      <c r="B2494">
        <v>70</v>
      </c>
      <c r="C2494">
        <v>270</v>
      </c>
      <c r="D2494">
        <v>6</v>
      </c>
      <c r="E2494" s="18">
        <v>10997.795364745594</v>
      </c>
      <c r="F2494" s="18">
        <v>-4168.679945451412</v>
      </c>
      <c r="G2494" s="18">
        <v>-1.0387971997261048e-12</v>
      </c>
      <c r="H2494" s="12">
        <f>E2495</f>
      </c>
      <c r="I2494" s="12">
        <f>F2495</f>
      </c>
      <c r="J2494" s="12">
        <f>G2495</f>
      </c>
      <c r="K2494">
        <f>IF(AND(Pu&gt;=MIN(E2494,H2494),Pu&lt;=MAX(E2494,H2494),E2494&lt;&gt;H2494),1,0)</f>
      </c>
      <c r="L2494">
        <f>IF(K2494=1,(Pu-E2494)/(H2494-E2494),"")</f>
      </c>
      <c r="M2494" s="12">
        <f>IF(K2494=1,F2494+L2494*(I2494-F2494),"")</f>
      </c>
      <c r="N2494" s="12">
        <f>IF(K2494=1,G2494+L2494*(J2494-G2494),"")</f>
      </c>
    </row>
    <row r="2495" spans="2:14" x14ac:dyDescent="0.25">
      <c r="B2495">
        <v>70</v>
      </c>
      <c r="C2495">
        <v>270</v>
      </c>
      <c r="D2495">
        <v>7</v>
      </c>
      <c r="E2495" s="18">
        <v>9841.048274670951</v>
      </c>
      <c r="F2495" s="18">
        <v>-4343.683861094592</v>
      </c>
      <c r="G2495" s="18">
        <v>-8.42660665512085e-13</v>
      </c>
      <c r="H2495" s="12">
        <f>E2496</f>
      </c>
      <c r="I2495" s="12">
        <f>F2496</f>
      </c>
      <c r="J2495" s="12">
        <f>G2496</f>
      </c>
      <c r="K2495">
        <f>IF(AND(Pu&gt;=MIN(E2495,H2495),Pu&lt;=MAX(E2495,H2495),E2495&lt;&gt;H2495),1,0)</f>
      </c>
      <c r="L2495">
        <f>IF(K2495=1,(Pu-E2495)/(H2495-E2495),"")</f>
      </c>
      <c r="M2495" s="12">
        <f>IF(K2495=1,F2495+L2495*(I2495-F2495),"")</f>
      </c>
      <c r="N2495" s="12">
        <f>IF(K2495=1,G2495+L2495*(J2495-G2495),"")</f>
      </c>
    </row>
    <row r="2496" spans="2:14" x14ac:dyDescent="0.25">
      <c r="B2496">
        <v>70</v>
      </c>
      <c r="C2496">
        <v>270</v>
      </c>
      <c r="D2496">
        <v>8</v>
      </c>
      <c r="E2496" s="18">
        <v>9137.567173396383</v>
      </c>
      <c r="F2496" s="18">
        <v>-4432.815781922306</v>
      </c>
      <c r="G2496" s="18">
        <v>-6.53788447380066e-13</v>
      </c>
      <c r="H2496" s="12">
        <f>E2497</f>
      </c>
      <c r="I2496" s="12">
        <f>F2497</f>
      </c>
      <c r="J2496" s="12">
        <f>G2497</f>
      </c>
      <c r="K2496">
        <f>IF(AND(Pu&gt;=MIN(E2496,H2496),Pu&lt;=MAX(E2496,H2496),E2496&lt;&gt;H2496),1,0)</f>
      </c>
      <c r="L2496">
        <f>IF(K2496=1,(Pu-E2496)/(H2496-E2496),"")</f>
      </c>
      <c r="M2496" s="12">
        <f>IF(K2496=1,F2496+L2496*(I2496-F2496),"")</f>
      </c>
      <c r="N2496" s="12">
        <f>IF(K2496=1,G2496+L2496*(J2496-G2496),"")</f>
      </c>
    </row>
    <row r="2497" spans="2:14" x14ac:dyDescent="0.25">
      <c r="B2497">
        <v>70</v>
      </c>
      <c r="C2497">
        <v>270</v>
      </c>
      <c r="D2497">
        <v>9</v>
      </c>
      <c r="E2497" s="18">
        <v>9019.574900376023</v>
      </c>
      <c r="F2497" s="18">
        <v>-4503.465528893879</v>
      </c>
      <c r="G2497" s="18">
        <v>-1.088022357887692e-12</v>
      </c>
      <c r="H2497" s="12">
        <f>E2498</f>
      </c>
      <c r="I2497" s="12">
        <f>F2498</f>
      </c>
      <c r="J2497" s="12">
        <f>G2498</f>
      </c>
      <c r="K2497">
        <f>IF(AND(Pu&gt;=MIN(E2497,H2497),Pu&lt;=MAX(E2497,H2497),E2497&lt;&gt;H2497),1,0)</f>
      </c>
      <c r="L2497">
        <f>IF(K2497=1,(Pu-E2497)/(H2497-E2497),"")</f>
      </c>
      <c r="M2497" s="12">
        <f>IF(K2497=1,F2497+L2497*(I2497-F2497),"")</f>
      </c>
      <c r="N2497" s="12">
        <f>IF(K2497=1,G2497+L2497*(J2497-G2497),"")</f>
      </c>
    </row>
    <row r="2498" spans="2:14" x14ac:dyDescent="0.25">
      <c r="B2498">
        <v>70</v>
      </c>
      <c r="C2498">
        <v>270</v>
      </c>
      <c r="D2498">
        <v>10</v>
      </c>
      <c r="E2498" s="18">
        <v>8867.923026841014</v>
      </c>
      <c r="F2498" s="18">
        <v>-4592.746680734325</v>
      </c>
      <c r="G2498" s="18">
        <v>-6.185844540596009e-13</v>
      </c>
      <c r="H2498" s="12">
        <f>E2499</f>
      </c>
      <c r="I2498" s="12">
        <f>F2499</f>
      </c>
      <c r="J2498" s="12">
        <f>G2499</f>
      </c>
      <c r="K2498">
        <f>IF(AND(Pu&gt;=MIN(E2498,H2498),Pu&lt;=MAX(E2498,H2498),E2498&lt;&gt;H2498),1,0)</f>
      </c>
      <c r="L2498">
        <f>IF(K2498=1,(Pu-E2498)/(H2498-E2498),"")</f>
      </c>
      <c r="M2498" s="12">
        <f>IF(K2498=1,F2498+L2498*(I2498-F2498),"")</f>
      </c>
      <c r="N2498" s="12">
        <f>IF(K2498=1,G2498+L2498*(J2498-G2498),"")</f>
      </c>
    </row>
    <row r="2499" spans="2:14" x14ac:dyDescent="0.25">
      <c r="B2499">
        <v>70</v>
      </c>
      <c r="C2499">
        <v>270</v>
      </c>
      <c r="D2499">
        <v>11</v>
      </c>
      <c r="E2499" s="18">
        <v>8689.76807136208</v>
      </c>
      <c r="F2499" s="18">
        <v>-4695.528993962439</v>
      </c>
      <c r="G2499" s="18">
        <v>-8.148128787676493e-13</v>
      </c>
      <c r="H2499" s="12">
        <f>E2500</f>
      </c>
      <c r="I2499" s="12">
        <f>F2500</f>
      </c>
      <c r="J2499" s="12">
        <f>G2500</f>
      </c>
      <c r="K2499">
        <f>IF(AND(Pu&gt;=MIN(E2499,H2499),Pu&lt;=MAX(E2499,H2499),E2499&lt;&gt;H2499),1,0)</f>
      </c>
      <c r="L2499">
        <f>IF(K2499=1,(Pu-E2499)/(H2499-E2499),"")</f>
      </c>
      <c r="M2499" s="12">
        <f>IF(K2499=1,F2499+L2499*(I2499-F2499),"")</f>
      </c>
      <c r="N2499" s="12">
        <f>IF(K2499=1,G2499+L2499*(J2499-G2499),"")</f>
      </c>
    </row>
    <row r="2500" spans="2:14" x14ac:dyDescent="0.25">
      <c r="B2500">
        <v>70</v>
      </c>
      <c r="C2500">
        <v>270</v>
      </c>
      <c r="D2500">
        <v>12</v>
      </c>
      <c r="E2500" s="18">
        <v>8638.596074365621</v>
      </c>
      <c r="F2500" s="18">
        <v>-4743.773028859493</v>
      </c>
      <c r="G2500" s="18">
        <v>-1.1030584573745727e-12</v>
      </c>
      <c r="H2500" s="12">
        <f>E2501</f>
      </c>
      <c r="I2500" s="12">
        <f>F2501</f>
      </c>
      <c r="J2500" s="12">
        <f>G2501</f>
      </c>
      <c r="K2500">
        <f>IF(AND(Pu&gt;=MIN(E2500,H2500),Pu&lt;=MAX(E2500,H2500),E2500&lt;&gt;H2500),1,0)</f>
      </c>
      <c r="L2500">
        <f>IF(K2500=1,(Pu-E2500)/(H2500-E2500),"")</f>
      </c>
      <c r="M2500" s="12">
        <f>IF(K2500=1,F2500+L2500*(I2500-F2500),"")</f>
      </c>
      <c r="N2500" s="12">
        <f>IF(K2500=1,G2500+L2500*(J2500-G2500),"")</f>
      </c>
    </row>
    <row r="2501" spans="2:14" x14ac:dyDescent="0.25">
      <c r="B2501">
        <v>70</v>
      </c>
      <c r="C2501">
        <v>270</v>
      </c>
      <c r="D2501">
        <v>13</v>
      </c>
      <c r="E2501" s="18">
        <v>8414.643256579857</v>
      </c>
      <c r="F2501" s="18">
        <v>-4869.288520414213</v>
      </c>
      <c r="G2501" s="18">
        <v>-5.463033825750591e-13</v>
      </c>
      <c r="H2501" s="12">
        <f>E2502</f>
      </c>
      <c r="I2501" s="12">
        <f>F2502</f>
      </c>
      <c r="J2501" s="12">
        <f>G2502</f>
      </c>
      <c r="K2501">
        <f>IF(AND(Pu&gt;=MIN(E2501,H2501),Pu&lt;=MAX(E2501,H2501),E2501&lt;&gt;H2501),1,0)</f>
      </c>
      <c r="L2501">
        <f>IF(K2501=1,(Pu-E2501)/(H2501-E2501),"")</f>
      </c>
      <c r="M2501" s="12">
        <f>IF(K2501=1,F2501+L2501*(I2501-F2501),"")</f>
      </c>
      <c r="N2501" s="12">
        <f>IF(K2501=1,G2501+L2501*(J2501-G2501),"")</f>
      </c>
    </row>
    <row r="2502" spans="2:14" x14ac:dyDescent="0.25">
      <c r="B2502">
        <v>70</v>
      </c>
      <c r="C2502">
        <v>270</v>
      </c>
      <c r="D2502">
        <v>14</v>
      </c>
      <c r="E2502" s="18">
        <v>8388.913168679033</v>
      </c>
      <c r="F2502" s="18">
        <v>-4883.496395542704</v>
      </c>
      <c r="G2502" s="18">
        <v>-4.753470420837402e-13</v>
      </c>
      <c r="H2502" s="12">
        <f>E2503</f>
      </c>
      <c r="I2502" s="12">
        <f>F2503</f>
      </c>
      <c r="J2502" s="12">
        <f>G2503</f>
      </c>
      <c r="K2502">
        <f>IF(AND(Pu&gt;=MIN(E2502,H2502),Pu&lt;=MAX(E2502,H2502),E2502&lt;&gt;H2502),1,0)</f>
      </c>
      <c r="L2502">
        <f>IF(K2502=1,(Pu-E2502)/(H2502-E2502),"")</f>
      </c>
      <c r="M2502" s="12">
        <f>IF(K2502=1,F2502+L2502*(I2502-F2502),"")</f>
      </c>
      <c r="N2502" s="12">
        <f>IF(K2502=1,G2502+L2502*(J2502-G2502),"")</f>
      </c>
    </row>
    <row r="2503" spans="2:14" x14ac:dyDescent="0.25">
      <c r="B2503">
        <v>70</v>
      </c>
      <c r="C2503">
        <v>270</v>
      </c>
      <c r="D2503">
        <v>15</v>
      </c>
      <c r="E2503" s="18">
        <v>8171.19907639217</v>
      </c>
      <c r="F2503" s="18">
        <v>-5008.613666669041</v>
      </c>
      <c r="G2503" s="18">
        <v>-4.777684807777405e-13</v>
      </c>
      <c r="H2503" s="12">
        <f>E2504</f>
      </c>
      <c r="I2503" s="12">
        <f>F2504</f>
      </c>
      <c r="J2503" s="12">
        <f>G2504</f>
      </c>
      <c r="K2503">
        <f>IF(AND(Pu&gt;=MIN(E2503,H2503),Pu&lt;=MAX(E2503,H2503),E2503&lt;&gt;H2503),1,0)</f>
      </c>
      <c r="L2503">
        <f>IF(K2503=1,(Pu-E2503)/(H2503-E2503),"")</f>
      </c>
      <c r="M2503" s="12">
        <f>IF(K2503=1,F2503+L2503*(I2503-F2503),"")</f>
      </c>
      <c r="N2503" s="12">
        <f>IF(K2503=1,G2503+L2503*(J2503-G2503),"")</f>
      </c>
    </row>
    <row r="2504" spans="2:14" x14ac:dyDescent="0.25">
      <c r="B2504">
        <v>70</v>
      </c>
      <c r="C2504">
        <v>270</v>
      </c>
      <c r="D2504">
        <v>16</v>
      </c>
      <c r="E2504" s="18">
        <v>8137.37355506619</v>
      </c>
      <c r="F2504" s="18">
        <v>-5030.078573644982</v>
      </c>
      <c r="G2504" s="18">
        <v>-7.227835141950184e-13</v>
      </c>
      <c r="H2504" s="12">
        <f>E2505</f>
      </c>
      <c r="I2504" s="12">
        <f>F2505</f>
      </c>
      <c r="J2504" s="12">
        <f>G2505</f>
      </c>
      <c r="K2504">
        <f>IF(AND(Pu&gt;=MIN(E2504,H2504),Pu&lt;=MAX(E2504,H2504),E2504&lt;&gt;H2504),1,0)</f>
      </c>
      <c r="L2504">
        <f>IF(K2504=1,(Pu-E2504)/(H2504-E2504),"")</f>
      </c>
      <c r="M2504" s="12">
        <f>IF(K2504=1,F2504+L2504*(I2504-F2504),"")</f>
      </c>
      <c r="N2504" s="12">
        <f>IF(K2504=1,G2504+L2504*(J2504-G2504),"")</f>
      </c>
    </row>
    <row r="2505" spans="2:14" x14ac:dyDescent="0.25">
      <c r="B2505">
        <v>70</v>
      </c>
      <c r="C2505">
        <v>270</v>
      </c>
      <c r="D2505">
        <v>17</v>
      </c>
      <c r="E2505" s="18">
        <v>8002.273190220548</v>
      </c>
      <c r="F2505" s="18">
        <v>-5114.97810684453</v>
      </c>
      <c r="G2505" s="18">
        <v>-9.123235940933227e-13</v>
      </c>
      <c r="H2505" s="12">
        <f>E2506</f>
      </c>
      <c r="I2505" s="12">
        <f>F2506</f>
      </c>
      <c r="J2505" s="12">
        <f>G2506</f>
      </c>
      <c r="K2505">
        <f>IF(AND(Pu&gt;=MIN(E2505,H2505),Pu&lt;=MAX(E2505,H2505),E2505&lt;&gt;H2505),1,0)</f>
      </c>
      <c r="L2505">
        <f>IF(K2505=1,(Pu-E2505)/(H2505-E2505),"")</f>
      </c>
      <c r="M2505" s="12">
        <f>IF(K2505=1,F2505+L2505*(I2505-F2505),"")</f>
      </c>
      <c r="N2505" s="12">
        <f>IF(K2505=1,G2505+L2505*(J2505-G2505),"")</f>
      </c>
    </row>
    <row r="2506" spans="2:14" x14ac:dyDescent="0.25">
      <c r="B2506">
        <v>70</v>
      </c>
      <c r="C2506">
        <v>270</v>
      </c>
      <c r="D2506">
        <v>18</v>
      </c>
      <c r="E2506" s="18">
        <v>7837.401990327623</v>
      </c>
      <c r="F2506" s="18">
        <v>-5216.626780150394</v>
      </c>
      <c r="G2506" s="18">
        <v>-1.1458992958068848e-12</v>
      </c>
      <c r="H2506" s="12">
        <f>E2507</f>
      </c>
      <c r="I2506" s="12">
        <f>F2507</f>
      </c>
      <c r="J2506" s="12">
        <f>G2507</f>
      </c>
      <c r="K2506">
        <f>IF(AND(Pu&gt;=MIN(E2506,H2506),Pu&lt;=MAX(E2506,H2506),E2506&lt;&gt;H2506),1,0)</f>
      </c>
      <c r="L2506">
        <f>IF(K2506=1,(Pu-E2506)/(H2506-E2506),"")</f>
      </c>
      <c r="M2506" s="12">
        <f>IF(K2506=1,F2506+L2506*(I2506-F2506),"")</f>
      </c>
      <c r="N2506" s="12">
        <f>IF(K2506=1,G2506+L2506*(J2506-G2506),"")</f>
      </c>
    </row>
    <row r="2507" spans="2:14" x14ac:dyDescent="0.25">
      <c r="B2507">
        <v>70</v>
      </c>
      <c r="C2507">
        <v>270</v>
      </c>
      <c r="D2507">
        <v>19</v>
      </c>
      <c r="E2507" s="18">
        <v>7722.033037113768</v>
      </c>
      <c r="F2507" s="18">
        <v>-5286.351069554236</v>
      </c>
      <c r="G2507" s="18">
        <v>-1.137775368988514e-12</v>
      </c>
      <c r="H2507" s="12">
        <f>E2508</f>
      </c>
      <c r="I2507" s="12">
        <f>F2508</f>
      </c>
      <c r="J2507" s="12">
        <f>G2508</f>
      </c>
      <c r="K2507">
        <f>IF(AND(Pu&gt;=MIN(E2507,H2507),Pu&lt;=MAX(E2507,H2507),E2507&lt;&gt;H2507),1,0)</f>
      </c>
      <c r="L2507">
        <f>IF(K2507=1,(Pu-E2507)/(H2507-E2507),"")</f>
      </c>
      <c r="M2507" s="12">
        <f>IF(K2507=1,F2507+L2507*(I2507-F2507),"")</f>
      </c>
      <c r="N2507" s="12">
        <f>IF(K2507=1,G2507+L2507*(J2507-G2507),"")</f>
      </c>
    </row>
    <row r="2508" spans="2:14" x14ac:dyDescent="0.25">
      <c r="B2508">
        <v>70</v>
      </c>
      <c r="C2508">
        <v>270</v>
      </c>
      <c r="D2508">
        <v>20</v>
      </c>
      <c r="E2508" s="18">
        <v>7674.87326542622</v>
      </c>
      <c r="F2508" s="18">
        <v>-5314.49833772937</v>
      </c>
      <c r="G2508" s="18">
        <v>-1.1724885553121567e-12</v>
      </c>
      <c r="H2508" s="12">
        <f>E2509</f>
      </c>
      <c r="I2508" s="12">
        <f>F2509</f>
      </c>
      <c r="J2508" s="12">
        <f>G2509</f>
      </c>
      <c r="K2508">
        <f>IF(AND(Pu&gt;=MIN(E2508,H2508),Pu&lt;=MAX(E2508,H2508),E2508&lt;&gt;H2508),1,0)</f>
      </c>
      <c r="L2508">
        <f>IF(K2508=1,(Pu-E2508)/(H2508-E2508),"")</f>
      </c>
      <c r="M2508" s="12">
        <f>IF(K2508=1,F2508+L2508*(I2508-F2508),"")</f>
      </c>
      <c r="N2508" s="12">
        <f>IF(K2508=1,G2508+L2508*(J2508-G2508),"")</f>
      </c>
    </row>
    <row r="2509" spans="2:14" x14ac:dyDescent="0.25">
      <c r="B2509">
        <v>70</v>
      </c>
      <c r="C2509">
        <v>270</v>
      </c>
      <c r="D2509">
        <v>21</v>
      </c>
      <c r="E2509" s="18">
        <v>7513.284240003964</v>
      </c>
      <c r="F2509" s="18">
        <v>-5409.306186011452</v>
      </c>
      <c r="G2509" s="18">
        <v>-1.0845251381397247e-12</v>
      </c>
      <c r="H2509" s="12">
        <f>E2510</f>
      </c>
      <c r="I2509" s="12">
        <f>F2510</f>
      </c>
      <c r="J2509" s="12">
        <f>G2510</f>
      </c>
      <c r="K2509">
        <f>IF(AND(Pu&gt;=MIN(E2509,H2509),Pu&lt;=MAX(E2509,H2509),E2509&lt;&gt;H2509),1,0)</f>
      </c>
      <c r="L2509">
        <f>IF(K2509=1,(Pu-E2509)/(H2509-E2509),"")</f>
      </c>
      <c r="M2509" s="12">
        <f>IF(K2509=1,F2509+L2509*(I2509-F2509),"")</f>
      </c>
      <c r="N2509" s="12">
        <f>IF(K2509=1,G2509+L2509*(J2509-G2509),"")</f>
      </c>
    </row>
    <row r="2510" spans="2:14" x14ac:dyDescent="0.25">
      <c r="B2510">
        <v>70</v>
      </c>
      <c r="C2510">
        <v>270</v>
      </c>
      <c r="D2510">
        <v>22</v>
      </c>
      <c r="E2510" s="18">
        <v>7428.415983617627</v>
      </c>
      <c r="F2510" s="18">
        <v>-5394.685230275164</v>
      </c>
      <c r="G2510" s="18">
        <v>-9.404495358467101e-13</v>
      </c>
      <c r="H2510" s="12">
        <f>E2511</f>
      </c>
      <c r="I2510" s="12">
        <f>F2511</f>
      </c>
      <c r="J2510" s="12">
        <f>G2511</f>
      </c>
      <c r="K2510">
        <f>IF(AND(Pu&gt;=MIN(E2510,H2510),Pu&lt;=MAX(E2510,H2510),E2510&lt;&gt;H2510),1,0)</f>
      </c>
      <c r="L2510">
        <f>IF(K2510=1,(Pu-E2510)/(H2510-E2510),"")</f>
      </c>
      <c r="M2510" s="12">
        <f>IF(K2510=1,F2510+L2510*(I2510-F2510),"")</f>
      </c>
      <c r="N2510" s="12">
        <f>IF(K2510=1,G2510+L2510*(J2510-G2510),"")</f>
      </c>
    </row>
    <row r="2511" spans="2:14" x14ac:dyDescent="0.25">
      <c r="B2511">
        <v>70</v>
      </c>
      <c r="C2511">
        <v>270</v>
      </c>
      <c r="D2511">
        <v>23</v>
      </c>
      <c r="E2511" s="18">
        <v>6915.641535927514</v>
      </c>
      <c r="F2511" s="18">
        <v>-5283.257062074955</v>
      </c>
      <c r="G2511" s="18">
        <v>-8.034985512495041e-13</v>
      </c>
      <c r="H2511" s="12">
        <f>E2512</f>
      </c>
      <c r="I2511" s="12">
        <f>F2512</f>
      </c>
      <c r="J2511" s="12">
        <f>G2512</f>
      </c>
      <c r="K2511">
        <f>IF(AND(Pu&gt;=MIN(E2511,H2511),Pu&lt;=MAX(E2511,H2511),E2511&lt;&gt;H2511),1,0)</f>
      </c>
      <c r="L2511">
        <f>IF(K2511=1,(Pu-E2511)/(H2511-E2511),"")</f>
      </c>
      <c r="M2511" s="12">
        <f>IF(K2511=1,F2511+L2511*(I2511-F2511),"")</f>
      </c>
      <c r="N2511" s="12">
        <f>IF(K2511=1,G2511+L2511*(J2511-G2511),"")</f>
      </c>
    </row>
    <row r="2512" spans="2:14" x14ac:dyDescent="0.25">
      <c r="B2512">
        <v>70</v>
      </c>
      <c r="C2512">
        <v>270</v>
      </c>
      <c r="D2512">
        <v>24</v>
      </c>
      <c r="E2512" s="18">
        <v>6138.1695537372425</v>
      </c>
      <c r="F2512" s="18">
        <v>-5085.7902100240235</v>
      </c>
      <c r="G2512" s="18">
        <v>-1.125689595937729e-12</v>
      </c>
      <c r="H2512" s="12">
        <f>E2513</f>
      </c>
      <c r="I2512" s="12">
        <f>F2513</f>
      </c>
      <c r="J2512" s="12">
        <f>G2513</f>
      </c>
      <c r="K2512">
        <f>IF(AND(Pu&gt;=MIN(E2512,H2512),Pu&lt;=MAX(E2512,H2512),E2512&lt;&gt;H2512),1,0)</f>
      </c>
      <c r="L2512">
        <f>IF(K2512=1,(Pu-E2512)/(H2512-E2512),"")</f>
      </c>
      <c r="M2512" s="12">
        <f>IF(K2512=1,F2512+L2512*(I2512-F2512),"")</f>
      </c>
      <c r="N2512" s="12">
        <f>IF(K2512=1,G2512+L2512*(J2512-G2512),"")</f>
      </c>
    </row>
    <row r="2513" spans="2:14" x14ac:dyDescent="0.25">
      <c r="B2513">
        <v>70</v>
      </c>
      <c r="C2513">
        <v>270</v>
      </c>
      <c r="D2513">
        <v>25</v>
      </c>
      <c r="E2513" s="18">
        <v>5390.89284237494</v>
      </c>
      <c r="F2513" s="18">
        <v>-4878.522249945446</v>
      </c>
      <c r="G2513" s="18">
        <v>-7.120659574866295e-13</v>
      </c>
      <c r="H2513" s="12">
        <f>E2514</f>
      </c>
      <c r="I2513" s="12">
        <f>F2514</f>
      </c>
      <c r="J2513" s="12">
        <f>G2514</f>
      </c>
      <c r="K2513">
        <f>IF(AND(Pu&gt;=MIN(E2513,H2513),Pu&lt;=MAX(E2513,H2513),E2513&lt;&gt;H2513),1,0)</f>
      </c>
      <c r="L2513">
        <f>IF(K2513=1,(Pu-E2513)/(H2513-E2513),"")</f>
      </c>
      <c r="M2513" s="12">
        <f>IF(K2513=1,F2513+L2513*(I2513-F2513),"")</f>
      </c>
      <c r="N2513" s="12">
        <f>IF(K2513=1,G2513+L2513*(J2513-G2513),"")</f>
      </c>
    </row>
    <row r="2514" spans="2:14" x14ac:dyDescent="0.25">
      <c r="B2514">
        <v>70</v>
      </c>
      <c r="C2514">
        <v>270</v>
      </c>
      <c r="D2514">
        <v>26</v>
      </c>
      <c r="E2514" s="18">
        <v>4748.271026443948</v>
      </c>
      <c r="F2514" s="18">
        <v>-4677.116784799995</v>
      </c>
      <c r="G2514" s="18">
        <v>-7.734168320894241e-13</v>
      </c>
      <c r="H2514" s="12">
        <f>E2515</f>
      </c>
      <c r="I2514" s="12">
        <f>F2515</f>
      </c>
      <c r="J2514" s="12">
        <f>G2515</f>
      </c>
      <c r="K2514">
        <f>IF(AND(Pu&gt;=MIN(E2514,H2514),Pu&lt;=MAX(E2514,H2514),E2514&lt;&gt;H2514),1,0)</f>
      </c>
      <c r="L2514">
        <f>IF(K2514=1,(Pu-E2514)/(H2514-E2514),"")</f>
      </c>
      <c r="M2514" s="12">
        <f>IF(K2514=1,F2514+L2514*(I2514-F2514),"")</f>
      </c>
      <c r="N2514" s="12">
        <f>IF(K2514=1,G2514+L2514*(J2514-G2514),"")</f>
      </c>
    </row>
    <row r="2515" spans="2:14" x14ac:dyDescent="0.25">
      <c r="B2515">
        <v>70</v>
      </c>
      <c r="C2515">
        <v>270</v>
      </c>
      <c r="D2515">
        <v>27</v>
      </c>
      <c r="E2515" s="18">
        <v>3741.996598333718</v>
      </c>
      <c r="F2515" s="18">
        <v>-4307.475680303504</v>
      </c>
      <c r="G2515" s="18">
        <v>-6.769871106371283e-13</v>
      </c>
      <c r="H2515" s="12">
        <f>E2516</f>
      </c>
      <c r="I2515" s="12">
        <f>F2516</f>
      </c>
      <c r="J2515" s="12">
        <f>G2516</f>
      </c>
      <c r="K2515">
        <f>IF(AND(Pu&gt;=MIN(E2515,H2515),Pu&lt;=MAX(E2515,H2515),E2515&lt;&gt;H2515),1,0)</f>
      </c>
      <c r="L2515">
        <f>IF(K2515=1,(Pu-E2515)/(H2515-E2515),"")</f>
      </c>
      <c r="M2515" s="12">
        <f>IF(K2515=1,F2515+L2515*(I2515-F2515),"")</f>
      </c>
      <c r="N2515" s="12">
        <f>IF(K2515=1,G2515+L2515*(J2515-G2515),"")</f>
      </c>
    </row>
    <row r="2516" spans="2:14" x14ac:dyDescent="0.25">
      <c r="B2516">
        <v>70</v>
      </c>
      <c r="C2516">
        <v>270</v>
      </c>
      <c r="D2516">
        <v>28</v>
      </c>
      <c r="E2516" s="18">
        <v>2700.593408799116</v>
      </c>
      <c r="F2516" s="18">
        <v>-3896.5382444101006</v>
      </c>
      <c r="G2516" s="18">
        <v>-1.0698121248554317e-12</v>
      </c>
      <c r="H2516" s="12">
        <f>E2517</f>
      </c>
      <c r="I2516" s="12">
        <f>F2517</f>
      </c>
      <c r="J2516" s="12">
        <f>G2517</f>
      </c>
      <c r="K2516">
        <f>IF(AND(Pu&gt;=MIN(E2516,H2516),Pu&lt;=MAX(E2516,H2516),E2516&lt;&gt;H2516),1,0)</f>
      </c>
      <c r="L2516">
        <f>IF(K2516=1,(Pu-E2516)/(H2516-E2516),"")</f>
      </c>
      <c r="M2516" s="12">
        <f>IF(K2516=1,F2516+L2516*(I2516-F2516),"")</f>
      </c>
      <c r="N2516" s="12">
        <f>IF(K2516=1,G2516+L2516*(J2516-G2516),"")</f>
      </c>
    </row>
    <row r="2517" spans="2:14" x14ac:dyDescent="0.25">
      <c r="B2517">
        <v>70</v>
      </c>
      <c r="C2517">
        <v>270</v>
      </c>
      <c r="D2517">
        <v>29</v>
      </c>
      <c r="E2517" s="18">
        <v>1886.8351313990104</v>
      </c>
      <c r="F2517" s="18">
        <v>-3564.1864388148615</v>
      </c>
      <c r="G2517" s="18">
        <v>-1.0540648294322932e-12</v>
      </c>
      <c r="H2517" s="12">
        <f>E2518</f>
      </c>
      <c r="I2517" s="12">
        <f>F2518</f>
      </c>
      <c r="J2517" s="12">
        <f>G2518</f>
      </c>
      <c r="K2517">
        <f>IF(AND(Pu&gt;=MIN(E2517,H2517),Pu&lt;=MAX(E2517,H2517),E2517&lt;&gt;H2517),1,0)</f>
      </c>
      <c r="L2517">
        <f>IF(K2517=1,(Pu-E2517)/(H2517-E2517),"")</f>
      </c>
      <c r="M2517" s="12">
        <f>IF(K2517=1,F2517+L2517*(I2517-F2517),"")</f>
      </c>
      <c r="N2517" s="12">
        <f>IF(K2517=1,G2517+L2517*(J2517-G2517),"")</f>
      </c>
    </row>
    <row r="2518" spans="2:14" x14ac:dyDescent="0.25">
      <c r="B2518">
        <v>70</v>
      </c>
      <c r="C2518">
        <v>270</v>
      </c>
      <c r="D2518">
        <v>30</v>
      </c>
      <c r="E2518" s="18">
        <v>1327.2986735621014</v>
      </c>
      <c r="F2518" s="18">
        <v>-3310.3934462988464</v>
      </c>
      <c r="G2518" s="18">
        <v>-9.210082083138204e-13</v>
      </c>
      <c r="H2518" s="12">
        <f>E2519</f>
      </c>
      <c r="I2518" s="12">
        <f>F2519</f>
      </c>
      <c r="J2518" s="12">
        <f>G2519</f>
      </c>
      <c r="K2518">
        <f>IF(AND(Pu&gt;=MIN(E2518,H2518),Pu&lt;=MAX(E2518,H2518),E2518&lt;&gt;H2518),1,0)</f>
      </c>
      <c r="L2518">
        <f>IF(K2518=1,(Pu-E2518)/(H2518-E2518),"")</f>
      </c>
      <c r="M2518" s="12">
        <f>IF(K2518=1,F2518+L2518*(I2518-F2518),"")</f>
      </c>
      <c r="N2518" s="12">
        <f>IF(K2518=1,G2518+L2518*(J2518-G2518),"")</f>
      </c>
    </row>
    <row r="2519" spans="2:14" x14ac:dyDescent="0.25">
      <c r="B2519">
        <v>70</v>
      </c>
      <c r="C2519">
        <v>270</v>
      </c>
      <c r="D2519">
        <v>31</v>
      </c>
      <c r="E2519" s="18">
        <v>426.0812693831745</v>
      </c>
      <c r="F2519" s="18">
        <v>-2870.6652851454205</v>
      </c>
      <c r="G2519" s="18">
        <v>-1.128519886032321e-12</v>
      </c>
      <c r="H2519" s="12">
        <f>E2520</f>
      </c>
      <c r="I2519" s="12">
        <f>F2520</f>
      </c>
      <c r="J2519" s="12">
        <f>G2520</f>
      </c>
      <c r="K2519">
        <f>IF(AND(Pu&gt;=MIN(E2519,H2519),Pu&lt;=MAX(E2519,H2519),E2519&lt;&gt;H2519),1,0)</f>
      </c>
      <c r="L2519">
        <f>IF(K2519=1,(Pu-E2519)/(H2519-E2519),"")</f>
      </c>
      <c r="M2519" s="12">
        <f>IF(K2519=1,F2519+L2519*(I2519-F2519),"")</f>
      </c>
      <c r="N2519" s="12">
        <f>IF(K2519=1,G2519+L2519*(J2519-G2519),"")</f>
      </c>
    </row>
    <row r="2520" spans="2:14" x14ac:dyDescent="0.25">
      <c r="B2520">
        <v>70</v>
      </c>
      <c r="C2520">
        <v>270</v>
      </c>
      <c r="D2520">
        <v>32</v>
      </c>
      <c r="E2520" s="18">
        <v>-249.5006782940803</v>
      </c>
      <c r="F2520" s="18">
        <v>-2528.5952719101633</v>
      </c>
      <c r="G2520" s="18">
        <v>-8.961948188081262e-13</v>
      </c>
      <c r="H2520" s="12">
        <f>E2521</f>
      </c>
      <c r="I2520" s="12">
        <f>F2521</f>
      </c>
      <c r="J2520" s="12">
        <f>G2521</f>
      </c>
      <c r="K2520">
        <f>IF(AND(Pu&gt;=MIN(E2520,H2520),Pu&lt;=MAX(E2520,H2520),E2520&lt;&gt;H2520),1,0)</f>
      </c>
      <c r="L2520">
        <f>IF(K2520=1,(Pu-E2520)/(H2520-E2520),"")</f>
      </c>
      <c r="M2520" s="12">
        <f>IF(K2520=1,F2520+L2520*(I2520-F2520),"")</f>
      </c>
      <c r="N2520" s="12">
        <f>IF(K2520=1,G2520+L2520*(J2520-G2520),"")</f>
      </c>
    </row>
    <row r="2521" spans="2:14" x14ac:dyDescent="0.25">
      <c r="B2521">
        <v>70</v>
      </c>
      <c r="C2521">
        <v>270</v>
      </c>
      <c r="D2521">
        <v>33</v>
      </c>
      <c r="E2521" s="18">
        <v>-1252.2691908270833</v>
      </c>
      <c r="F2521" s="18">
        <v>-2005.712544491404</v>
      </c>
      <c r="G2521" s="18">
        <v>-9.45755414349096e-13</v>
      </c>
      <c r="H2521" s="12">
        <f>E2522</f>
      </c>
      <c r="I2521" s="12">
        <f>F2522</f>
      </c>
      <c r="J2521" s="12">
        <f>G2522</f>
      </c>
      <c r="K2521">
        <f>IF(AND(Pu&gt;=MIN(E2521,H2521),Pu&lt;=MAX(E2521,H2521),E2521&lt;&gt;H2521),1,0)</f>
      </c>
      <c r="L2521">
        <f>IF(K2521=1,(Pu-E2521)/(H2521-E2521),"")</f>
      </c>
      <c r="M2521" s="12">
        <f>IF(K2521=1,F2521+L2521*(I2521-F2521),"")</f>
      </c>
      <c r="N2521" s="12">
        <f>IF(K2521=1,G2521+L2521*(J2521-G2521),"")</f>
      </c>
    </row>
    <row r="2522" spans="2:14" x14ac:dyDescent="0.25">
      <c r="B2522">
        <v>70</v>
      </c>
      <c r="C2522">
        <v>270</v>
      </c>
      <c r="D2522">
        <v>34</v>
      </c>
      <c r="E2522" s="18">
        <v>-1930.6161416728587</v>
      </c>
      <c r="F2522" s="18">
        <v>-1644.841292150313</v>
      </c>
      <c r="G2522" s="18">
        <v>-1.3618703239004503e-12</v>
      </c>
      <c r="H2522" s="12">
        <f>E2523</f>
      </c>
      <c r="I2522" s="12">
        <f>F2523</f>
      </c>
      <c r="J2522" s="12">
        <f>G2523</f>
      </c>
      <c r="K2522">
        <f>IF(AND(Pu&gt;=MIN(E2522,H2522),Pu&lt;=MAX(E2522,H2522),E2522&lt;&gt;H2522),1,0)</f>
      </c>
      <c r="L2522">
        <f>IF(K2522=1,(Pu-E2522)/(H2522-E2522),"")</f>
      </c>
      <c r="M2522" s="12">
        <f>IF(K2522=1,F2522+L2522*(I2522-F2522),"")</f>
      </c>
      <c r="N2522" s="12">
        <f>IF(K2522=1,G2522+L2522*(J2522-G2522),"")</f>
      </c>
    </row>
    <row r="2523" spans="2:14" x14ac:dyDescent="0.25">
      <c r="B2523">
        <v>70</v>
      </c>
      <c r="C2523">
        <v>270</v>
      </c>
      <c r="D2523">
        <v>35</v>
      </c>
      <c r="E2523" s="18">
        <v>-3421.107413799388</v>
      </c>
      <c r="F2523" s="18">
        <v>-845.0089851410136</v>
      </c>
      <c r="G2523" s="18">
        <v>-1.2130726605516315e-12</v>
      </c>
      <c r="H2523" s="12">
        <f>E2524</f>
      </c>
      <c r="I2523" s="12">
        <f>F2524</f>
      </c>
      <c r="J2523" s="12">
        <f>G2524</f>
      </c>
      <c r="K2523">
        <f>IF(AND(Pu&gt;=MIN(E2523,H2523),Pu&lt;=MAX(E2523,H2523),E2523&lt;&gt;H2523),1,0)</f>
      </c>
      <c r="L2523">
        <f>IF(K2523=1,(Pu-E2523)/(H2523-E2523),"")</f>
      </c>
      <c r="M2523" s="12">
        <f>IF(K2523=1,F2523+L2523*(I2523-F2523),"")</f>
      </c>
      <c r="N2523" s="12">
        <f>IF(K2523=1,G2523+L2523*(J2523-G2523),"")</f>
      </c>
    </row>
    <row r="2524" spans="2:7" x14ac:dyDescent="0.25">
      <c r="B2524">
        <v>70</v>
      </c>
      <c r="C2524">
        <v>270</v>
      </c>
      <c r="D2524">
        <v>36</v>
      </c>
      <c r="E2524" s="18">
        <v>-4170.409418511032</v>
      </c>
      <c r="F2524" s="18">
        <v>-439.3229622250242</v>
      </c>
      <c r="G2524" s="18">
        <v>-4.021096364067085e-13</v>
      </c>
    </row>
    <row r="2526" spans="2:14" x14ac:dyDescent="0.25">
      <c r="B2526">
        <v>71</v>
      </c>
      <c r="C2526">
        <v>270.9375</v>
      </c>
      <c r="D2526">
        <v>1</v>
      </c>
      <c r="E2526" s="18">
        <v>16968.6461647411</v>
      </c>
      <c r="F2526" s="18">
        <v>-2499.3431161507237</v>
      </c>
      <c r="G2526" s="18">
        <v>85.48083367052787</v>
      </c>
      <c r="H2526" s="12">
        <f>E2527</f>
      </c>
      <c r="I2526" s="12">
        <f>F2527</f>
      </c>
      <c r="J2526" s="12">
        <f>G2527</f>
      </c>
      <c r="K2526">
        <f>IF(AND(Pu&gt;=MIN(E2526,H2526),Pu&lt;=MAX(E2526,H2526),E2526&lt;&gt;H2526),1,0)</f>
      </c>
      <c r="L2526">
        <f>IF(K2526=1,(Pu-E2526)/(H2526-E2526),"")</f>
      </c>
      <c r="M2526" s="12">
        <f>IF(K2526=1,F2526+L2526*(I2526-F2526),"")</f>
      </c>
      <c r="N2526" s="12">
        <f>IF(K2526=1,G2526+L2526*(J2526-G2526),"")</f>
      </c>
    </row>
    <row r="2527" spans="2:14" x14ac:dyDescent="0.25">
      <c r="B2527">
        <v>71</v>
      </c>
      <c r="C2527">
        <v>270.9375</v>
      </c>
      <c r="D2527">
        <v>2</v>
      </c>
      <c r="E2527" s="18">
        <v>15932.023800315428</v>
      </c>
      <c r="F2527" s="18">
        <v>-2901.961811204683</v>
      </c>
      <c r="G2527" s="18">
        <v>72.21784435509274</v>
      </c>
      <c r="H2527" s="12">
        <f>E2528</f>
      </c>
      <c r="I2527" s="12">
        <f>F2528</f>
      </c>
      <c r="J2527" s="12">
        <f>G2528</f>
      </c>
      <c r="K2527">
        <f>IF(AND(Pu&gt;=MIN(E2527,H2527),Pu&lt;=MAX(E2527,H2527),E2527&lt;&gt;H2527),1,0)</f>
      </c>
      <c r="L2527">
        <f>IF(K2527=1,(Pu-E2527)/(H2527-E2527),"")</f>
      </c>
      <c r="M2527" s="12">
        <f>IF(K2527=1,F2527+L2527*(I2527-F2527),"")</f>
      </c>
      <c r="N2527" s="12">
        <f>IF(K2527=1,G2527+L2527*(J2527-G2527),"")</f>
      </c>
    </row>
    <row r="2528" spans="2:14" x14ac:dyDescent="0.25">
      <c r="B2528">
        <v>71</v>
      </c>
      <c r="C2528">
        <v>270.9375</v>
      </c>
      <c r="D2528">
        <v>3</v>
      </c>
      <c r="E2528" s="18">
        <v>14826.882369966172</v>
      </c>
      <c r="F2528" s="18">
        <v>-3277.4763896043764</v>
      </c>
      <c r="G2528" s="18">
        <v>53.826463412779944</v>
      </c>
      <c r="H2528" s="12">
        <f>E2529</f>
      </c>
      <c r="I2528" s="12">
        <f>F2529</f>
      </c>
      <c r="J2528" s="12">
        <f>G2529</f>
      </c>
      <c r="K2528">
        <f>IF(AND(Pu&gt;=MIN(E2528,H2528),Pu&lt;=MAX(E2528,H2528),E2528&lt;&gt;H2528),1,0)</f>
      </c>
      <c r="L2528">
        <f>IF(K2528=1,(Pu-E2528)/(H2528-E2528),"")</f>
      </c>
      <c r="M2528" s="12">
        <f>IF(K2528=1,F2528+L2528*(I2528-F2528),"")</f>
      </c>
      <c r="N2528" s="12">
        <f>IF(K2528=1,G2528+L2528*(J2528-G2528),"")</f>
      </c>
    </row>
    <row r="2529" spans="2:14" x14ac:dyDescent="0.25">
      <c r="B2529">
        <v>71</v>
      </c>
      <c r="C2529">
        <v>270.9375</v>
      </c>
      <c r="D2529">
        <v>4</v>
      </c>
      <c r="E2529" s="18">
        <v>13901.07746288713</v>
      </c>
      <c r="F2529" s="18">
        <v>-3546.092299876711</v>
      </c>
      <c r="G2529" s="18">
        <v>63.75422177007596</v>
      </c>
      <c r="H2529" s="12">
        <f>E2530</f>
      </c>
      <c r="I2529" s="12">
        <f>F2530</f>
      </c>
      <c r="J2529" s="12">
        <f>G2530</f>
      </c>
      <c r="K2529">
        <f>IF(AND(Pu&gt;=MIN(E2529,H2529),Pu&lt;=MAX(E2529,H2529),E2529&lt;&gt;H2529),1,0)</f>
      </c>
      <c r="L2529">
        <f>IF(K2529=1,(Pu-E2529)/(H2529-E2529),"")</f>
      </c>
      <c r="M2529" s="12">
        <f>IF(K2529=1,F2529+L2529*(I2529-F2529),"")</f>
      </c>
      <c r="N2529" s="12">
        <f>IF(K2529=1,G2529+L2529*(J2529-G2529),"")</f>
      </c>
    </row>
    <row r="2530" spans="2:14" x14ac:dyDescent="0.25">
      <c r="B2530">
        <v>71</v>
      </c>
      <c r="C2530">
        <v>270.9375</v>
      </c>
      <c r="D2530">
        <v>5</v>
      </c>
      <c r="E2530" s="18">
        <v>12332.452033794856</v>
      </c>
      <c r="F2530" s="18">
        <v>-3915.379476098262</v>
      </c>
      <c r="G2530" s="18">
        <v>65.98370828091348</v>
      </c>
      <c r="H2530" s="12">
        <f>E2531</f>
      </c>
      <c r="I2530" s="12">
        <f>F2531</f>
      </c>
      <c r="J2530" s="12">
        <f>G2531</f>
      </c>
      <c r="K2530">
        <f>IF(AND(Pu&gt;=MIN(E2530,H2530),Pu&lt;=MAX(E2530,H2530),E2530&lt;&gt;H2530),1,0)</f>
      </c>
      <c r="L2530">
        <f>IF(K2530=1,(Pu-E2530)/(H2530-E2530),"")</f>
      </c>
      <c r="M2530" s="12">
        <f>IF(K2530=1,F2530+L2530*(I2530-F2530),"")</f>
      </c>
      <c r="N2530" s="12">
        <f>IF(K2530=1,G2530+L2530*(J2530-G2530),"")</f>
      </c>
    </row>
    <row r="2531" spans="2:14" x14ac:dyDescent="0.25">
      <c r="B2531">
        <v>71</v>
      </c>
      <c r="C2531">
        <v>270.9375</v>
      </c>
      <c r="D2531">
        <v>6</v>
      </c>
      <c r="E2531" s="18">
        <v>11028.324526634045</v>
      </c>
      <c r="F2531" s="18">
        <v>-4157.625427221261</v>
      </c>
      <c r="G2531" s="18">
        <v>68.21319479175118</v>
      </c>
      <c r="H2531" s="12">
        <f>E2532</f>
      </c>
      <c r="I2531" s="12">
        <f>F2532</f>
      </c>
      <c r="J2531" s="12">
        <f>G2532</f>
      </c>
      <c r="K2531">
        <f>IF(AND(Pu&gt;=MIN(E2531,H2531),Pu&lt;=MAX(E2531,H2531),E2531&lt;&gt;H2531),1,0)</f>
      </c>
      <c r="L2531">
        <f>IF(K2531=1,(Pu-E2531)/(H2531-E2531),"")</f>
      </c>
      <c r="M2531" s="12">
        <f>IF(K2531=1,F2531+L2531*(I2531-F2531),"")</f>
      </c>
      <c r="N2531" s="12">
        <f>IF(K2531=1,G2531+L2531*(J2531-G2531),"")</f>
      </c>
    </row>
    <row r="2532" spans="2:14" x14ac:dyDescent="0.25">
      <c r="B2532">
        <v>71</v>
      </c>
      <c r="C2532">
        <v>270.9375</v>
      </c>
      <c r="D2532">
        <v>7</v>
      </c>
      <c r="E2532" s="18">
        <v>9858.33740390721</v>
      </c>
      <c r="F2532" s="18">
        <v>-4330.865052997036</v>
      </c>
      <c r="G2532" s="18">
        <v>77.0546776727762</v>
      </c>
      <c r="H2532" s="12">
        <f>E2533</f>
      </c>
      <c r="I2532" s="12">
        <f>F2533</f>
      </c>
      <c r="J2532" s="12">
        <f>G2533</f>
      </c>
      <c r="K2532">
        <f>IF(AND(Pu&gt;=MIN(E2532,H2532),Pu&lt;=MAX(E2532,H2532),E2532&lt;&gt;H2532),1,0)</f>
      </c>
      <c r="L2532">
        <f>IF(K2532=1,(Pu-E2532)/(H2532-E2532),"")</f>
      </c>
      <c r="M2532" s="12">
        <f>IF(K2532=1,F2532+L2532*(I2532-F2532),"")</f>
      </c>
      <c r="N2532" s="12">
        <f>IF(K2532=1,G2532+L2532*(J2532-G2532),"")</f>
      </c>
    </row>
    <row r="2533" spans="2:14" x14ac:dyDescent="0.25">
      <c r="B2533">
        <v>71</v>
      </c>
      <c r="C2533">
        <v>270.9375</v>
      </c>
      <c r="D2533">
        <v>8</v>
      </c>
      <c r="E2533" s="18">
        <v>9135.93233753992</v>
      </c>
      <c r="F2533" s="18">
        <v>-4420.829812699418</v>
      </c>
      <c r="G2533" s="18">
        <v>79.25776638222054</v>
      </c>
      <c r="H2533" s="12">
        <f>E2534</f>
      </c>
      <c r="I2533" s="12">
        <f>F2534</f>
      </c>
      <c r="J2533" s="12">
        <f>G2534</f>
      </c>
      <c r="K2533">
        <f>IF(AND(Pu&gt;=MIN(E2533,H2533),Pu&lt;=MAX(E2533,H2533),E2533&lt;&gt;H2533),1,0)</f>
      </c>
      <c r="L2533">
        <f>IF(K2533=1,(Pu-E2533)/(H2533-E2533),"")</f>
      </c>
      <c r="M2533" s="12">
        <f>IF(K2533=1,F2533+L2533*(I2533-F2533),"")</f>
      </c>
      <c r="N2533" s="12">
        <f>IF(K2533=1,G2533+L2533*(J2533-G2533),"")</f>
      </c>
    </row>
    <row r="2534" spans="2:14" x14ac:dyDescent="0.25">
      <c r="B2534">
        <v>71</v>
      </c>
      <c r="C2534">
        <v>270.9375</v>
      </c>
      <c r="D2534">
        <v>9</v>
      </c>
      <c r="E2534" s="18">
        <v>9003.977465691753</v>
      </c>
      <c r="F2534" s="18">
        <v>-4496.487284958394</v>
      </c>
      <c r="G2534" s="18">
        <v>78.17084774224996</v>
      </c>
      <c r="H2534" s="12">
        <f>E2535</f>
      </c>
      <c r="I2534" s="12">
        <f>F2535</f>
      </c>
      <c r="J2534" s="12">
        <f>G2535</f>
      </c>
      <c r="K2534">
        <f>IF(AND(Pu&gt;=MIN(E2534,H2534),Pu&lt;=MAX(E2534,H2534),E2534&lt;&gt;H2534),1,0)</f>
      </c>
      <c r="L2534">
        <f>IF(K2534=1,(Pu-E2534)/(H2534-E2534),"")</f>
      </c>
      <c r="M2534" s="12">
        <f>IF(K2534=1,F2534+L2534*(I2534-F2534),"")</f>
      </c>
      <c r="N2534" s="12">
        <f>IF(K2534=1,G2534+L2534*(J2534-G2534),"")</f>
      </c>
    </row>
    <row r="2535" spans="2:14" x14ac:dyDescent="0.25">
      <c r="B2535">
        <v>71</v>
      </c>
      <c r="C2535">
        <v>270.9375</v>
      </c>
      <c r="D2535">
        <v>10</v>
      </c>
      <c r="E2535" s="18">
        <v>8843.407967985817</v>
      </c>
      <c r="F2535" s="18">
        <v>-4587.7866777707395</v>
      </c>
      <c r="G2535" s="18">
        <v>81.16960379962968</v>
      </c>
      <c r="H2535" s="12">
        <f>E2536</f>
      </c>
      <c r="I2535" s="12">
        <f>F2536</f>
      </c>
      <c r="J2535" s="12">
        <f>G2536</f>
      </c>
      <c r="K2535">
        <f>IF(AND(Pu&gt;=MIN(E2535,H2535),Pu&lt;=MAX(E2535,H2535),E2535&lt;&gt;H2535),1,0)</f>
      </c>
      <c r="L2535">
        <f>IF(K2535=1,(Pu-E2535)/(H2535-E2535),"")</f>
      </c>
      <c r="M2535" s="12">
        <f>IF(K2535=1,F2535+L2535*(I2535-F2535),"")</f>
      </c>
      <c r="N2535" s="12">
        <f>IF(K2535=1,G2535+L2535*(J2535-G2535),"")</f>
      </c>
    </row>
    <row r="2536" spans="2:14" x14ac:dyDescent="0.25">
      <c r="B2536">
        <v>71</v>
      </c>
      <c r="C2536">
        <v>270.9375</v>
      </c>
      <c r="D2536">
        <v>11</v>
      </c>
      <c r="E2536" s="18">
        <v>8679.881791347963</v>
      </c>
      <c r="F2536" s="18">
        <v>-4688.040666867771</v>
      </c>
      <c r="G2536" s="18">
        <v>75.0008631419296</v>
      </c>
      <c r="H2536" s="12">
        <f>E2537</f>
      </c>
      <c r="I2536" s="12">
        <f>F2537</f>
      </c>
      <c r="J2536" s="12">
        <f>G2537</f>
      </c>
      <c r="K2536">
        <f>IF(AND(Pu&gt;=MIN(E2536,H2536),Pu&lt;=MAX(E2536,H2536),E2536&lt;&gt;H2536),1,0)</f>
      </c>
      <c r="L2536">
        <f>IF(K2536=1,(Pu-E2536)/(H2536-E2536),"")</f>
      </c>
      <c r="M2536" s="12">
        <f>IF(K2536=1,F2536+L2536*(I2536-F2536),"")</f>
      </c>
      <c r="N2536" s="12">
        <f>IF(K2536=1,G2536+L2536*(J2536-G2536),"")</f>
      </c>
    </row>
    <row r="2537" spans="2:14" x14ac:dyDescent="0.25">
      <c r="B2537">
        <v>71</v>
      </c>
      <c r="C2537">
        <v>270.9375</v>
      </c>
      <c r="D2537">
        <v>12</v>
      </c>
      <c r="E2537" s="18">
        <v>8592.996375717448</v>
      </c>
      <c r="F2537" s="18">
        <v>-4735.66103407317</v>
      </c>
      <c r="G2537" s="18">
        <v>76.64509283884773</v>
      </c>
      <c r="H2537" s="12">
        <f>E2538</f>
      </c>
      <c r="I2537" s="12">
        <f>F2538</f>
      </c>
      <c r="J2537" s="12">
        <f>G2538</f>
      </c>
      <c r="K2537">
        <f>IF(AND(Pu&gt;=MIN(E2537,H2537),Pu&lt;=MAX(E2537,H2537),E2537&lt;&gt;H2537),1,0)</f>
      </c>
      <c r="L2537">
        <f>IF(K2537=1,(Pu-E2537)/(H2537-E2537),"")</f>
      </c>
      <c r="M2537" s="12">
        <f>IF(K2537=1,F2537+L2537*(I2537-F2537),"")</f>
      </c>
      <c r="N2537" s="12">
        <f>IF(K2537=1,G2537+L2537*(J2537-G2537),"")</f>
      </c>
    </row>
    <row r="2538" spans="2:14" x14ac:dyDescent="0.25">
      <c r="B2538">
        <v>71</v>
      </c>
      <c r="C2538">
        <v>270.9375</v>
      </c>
      <c r="D2538">
        <v>13</v>
      </c>
      <c r="E2538" s="18">
        <v>8382.891685454051</v>
      </c>
      <c r="F2538" s="18">
        <v>-4858.032840295121</v>
      </c>
      <c r="G2538" s="18">
        <v>91.12134317842578</v>
      </c>
      <c r="H2538" s="12">
        <f>E2539</f>
      </c>
      <c r="I2538" s="12">
        <f>F2539</f>
      </c>
      <c r="J2538" s="12">
        <f>G2539</f>
      </c>
      <c r="K2538">
        <f>IF(AND(Pu&gt;=MIN(E2538,H2538),Pu&lt;=MAX(E2538,H2538),E2538&lt;&gt;H2538),1,0)</f>
      </c>
      <c r="L2538">
        <f>IF(K2538=1,(Pu-E2538)/(H2538-E2538),"")</f>
      </c>
      <c r="M2538" s="12">
        <f>IF(K2538=1,F2538+L2538*(I2538-F2538),"")</f>
      </c>
      <c r="N2538" s="12">
        <f>IF(K2538=1,G2538+L2538*(J2538-G2538),"")</f>
      </c>
    </row>
    <row r="2539" spans="2:14" x14ac:dyDescent="0.25">
      <c r="B2539">
        <v>71</v>
      </c>
      <c r="C2539">
        <v>270.9375</v>
      </c>
      <c r="D2539">
        <v>14</v>
      </c>
      <c r="E2539" s="18">
        <v>8351.201855535033</v>
      </c>
      <c r="F2539" s="18">
        <v>-4874.838302797862</v>
      </c>
      <c r="G2539" s="18">
        <v>91.80386852897628</v>
      </c>
      <c r="H2539" s="12">
        <f>E2540</f>
      </c>
      <c r="I2539" s="12">
        <f>F2540</f>
      </c>
      <c r="J2539" s="12">
        <f>G2540</f>
      </c>
      <c r="K2539">
        <f>IF(AND(Pu&gt;=MIN(E2539,H2539),Pu&lt;=MAX(E2539,H2539),E2539&lt;&gt;H2539),1,0)</f>
      </c>
      <c r="L2539">
        <f>IF(K2539=1,(Pu-E2539)/(H2539-E2539),"")</f>
      </c>
      <c r="M2539" s="12">
        <f>IF(K2539=1,F2539+L2539*(I2539-F2539),"")</f>
      </c>
      <c r="N2539" s="12">
        <f>IF(K2539=1,G2539+L2539*(J2539-G2539),"")</f>
      </c>
    </row>
    <row r="2540" spans="2:14" x14ac:dyDescent="0.25">
      <c r="B2540">
        <v>71</v>
      </c>
      <c r="C2540">
        <v>270.9375</v>
      </c>
      <c r="D2540">
        <v>15</v>
      </c>
      <c r="E2540" s="18">
        <v>8122.392989857712</v>
      </c>
      <c r="F2540" s="18">
        <v>-4999.223225624432</v>
      </c>
      <c r="G2540" s="18">
        <v>86.52296128165605</v>
      </c>
      <c r="H2540" s="12">
        <f>E2541</f>
      </c>
      <c r="I2540" s="12">
        <f>F2541</f>
      </c>
      <c r="J2540" s="12">
        <f>G2541</f>
      </c>
      <c r="K2540">
        <f>IF(AND(Pu&gt;=MIN(E2540,H2540),Pu&lt;=MAX(E2540,H2540),E2540&lt;&gt;H2540),1,0)</f>
      </c>
      <c r="L2540">
        <f>IF(K2540=1,(Pu-E2540)/(H2540-E2540),"")</f>
      </c>
      <c r="M2540" s="12">
        <f>IF(K2540=1,F2540+L2540*(I2540-F2540),"")</f>
      </c>
      <c r="N2540" s="12">
        <f>IF(K2540=1,G2540+L2540*(J2540-G2540),"")</f>
      </c>
    </row>
    <row r="2541" spans="2:14" x14ac:dyDescent="0.25">
      <c r="B2541">
        <v>71</v>
      </c>
      <c r="C2541">
        <v>270.9375</v>
      </c>
      <c r="D2541">
        <v>16</v>
      </c>
      <c r="E2541" s="18">
        <v>8091.2431381570905</v>
      </c>
      <c r="F2541" s="18">
        <v>-5017.885184500635</v>
      </c>
      <c r="G2541" s="18">
        <v>87.34481342704048</v>
      </c>
      <c r="H2541" s="12">
        <f>E2542</f>
      </c>
      <c r="I2541" s="12">
        <f>F2542</f>
      </c>
      <c r="J2541" s="12">
        <f>G2542</f>
      </c>
      <c r="K2541">
        <f>IF(AND(Pu&gt;=MIN(E2541,H2541),Pu&lt;=MAX(E2541,H2541),E2541&lt;&gt;H2541),1,0)</f>
      </c>
      <c r="L2541">
        <f>IF(K2541=1,(Pu-E2541)/(H2541-E2541),"")</f>
      </c>
      <c r="M2541" s="12">
        <f>IF(K2541=1,F2541+L2541*(I2541-F2541),"")</f>
      </c>
      <c r="N2541" s="12">
        <f>IF(K2541=1,G2541+L2541*(J2541-G2541),"")</f>
      </c>
    </row>
    <row r="2542" spans="2:14" x14ac:dyDescent="0.25">
      <c r="B2542">
        <v>71</v>
      </c>
      <c r="C2542">
        <v>270.9375</v>
      </c>
      <c r="D2542">
        <v>17</v>
      </c>
      <c r="E2542" s="18">
        <v>7946.9570865068945</v>
      </c>
      <c r="F2542" s="18">
        <v>-5103.374963878738</v>
      </c>
      <c r="G2542" s="18">
        <v>91.25972481043468</v>
      </c>
      <c r="H2542" s="12">
        <f>E2543</f>
      </c>
      <c r="I2542" s="12">
        <f>F2543</f>
      </c>
      <c r="J2542" s="12">
        <f>G2543</f>
      </c>
      <c r="K2542">
        <f>IF(AND(Pu&gt;=MIN(E2542,H2542),Pu&lt;=MAX(E2542,H2542),E2542&lt;&gt;H2542),1,0)</f>
      </c>
      <c r="L2542">
        <f>IF(K2542=1,(Pu-E2542)/(H2542-E2542),"")</f>
      </c>
      <c r="M2542" s="12">
        <f>IF(K2542=1,F2542+L2542*(I2542-F2542),"")</f>
      </c>
      <c r="N2542" s="12">
        <f>IF(K2542=1,G2542+L2542*(J2542-G2542),"")</f>
      </c>
    </row>
    <row r="2543" spans="2:14" x14ac:dyDescent="0.25">
      <c r="B2543">
        <v>71</v>
      </c>
      <c r="C2543">
        <v>270.9375</v>
      </c>
      <c r="D2543">
        <v>18</v>
      </c>
      <c r="E2543" s="18">
        <v>7775.70829145111</v>
      </c>
      <c r="F2543" s="18">
        <v>-5202.690614963194</v>
      </c>
      <c r="G2543" s="18">
        <v>96.11601510175429</v>
      </c>
      <c r="H2543" s="12">
        <f>E2544</f>
      </c>
      <c r="I2543" s="12">
        <f>F2544</f>
      </c>
      <c r="J2543" s="12">
        <f>G2544</f>
      </c>
      <c r="K2543">
        <f>IF(AND(Pu&gt;=MIN(E2543,H2543),Pu&lt;=MAX(E2543,H2543),E2543&lt;&gt;H2543),1,0)</f>
      </c>
      <c r="L2543">
        <f>IF(K2543=1,(Pu-E2543)/(H2543-E2543),"")</f>
      </c>
      <c r="M2543" s="12">
        <f>IF(K2543=1,F2543+L2543*(I2543-F2543),"")</f>
      </c>
      <c r="N2543" s="12">
        <f>IF(K2543=1,G2543+L2543*(J2543-G2543),"")</f>
      </c>
    </row>
    <row r="2544" spans="2:14" x14ac:dyDescent="0.25">
      <c r="B2544">
        <v>71</v>
      </c>
      <c r="C2544">
        <v>270.9375</v>
      </c>
      <c r="D2544">
        <v>19</v>
      </c>
      <c r="E2544" s="18">
        <v>7660.184562501995</v>
      </c>
      <c r="F2544" s="18">
        <v>-5268.283663799834</v>
      </c>
      <c r="G2544" s="18">
        <v>99.50338407115554</v>
      </c>
      <c r="H2544" s="12">
        <f>E2545</f>
      </c>
      <c r="I2544" s="12">
        <f>F2545</f>
      </c>
      <c r="J2544" s="12">
        <f>G2545</f>
      </c>
      <c r="K2544">
        <f>IF(AND(Pu&gt;=MIN(E2544,H2544),Pu&lt;=MAX(E2544,H2544),E2544&lt;&gt;H2544),1,0)</f>
      </c>
      <c r="L2544">
        <f>IF(K2544=1,(Pu-E2544)/(H2544-E2544),"")</f>
      </c>
      <c r="M2544" s="12">
        <f>IF(K2544=1,F2544+L2544*(I2544-F2544),"")</f>
      </c>
      <c r="N2544" s="12">
        <f>IF(K2544=1,G2544+L2544*(J2544-G2544),"")</f>
      </c>
    </row>
    <row r="2545" spans="2:14" x14ac:dyDescent="0.25">
      <c r="B2545">
        <v>71</v>
      </c>
      <c r="C2545">
        <v>270.9375</v>
      </c>
      <c r="D2545">
        <v>20</v>
      </c>
      <c r="E2545" s="18">
        <v>7606.91083803365</v>
      </c>
      <c r="F2545" s="18">
        <v>-5298.133539728474</v>
      </c>
      <c r="G2545" s="18">
        <v>101.09183215561501</v>
      </c>
      <c r="H2545" s="12">
        <f>E2546</f>
      </c>
      <c r="I2545" s="12">
        <f>F2546</f>
      </c>
      <c r="J2545" s="12">
        <f>G2546</f>
      </c>
      <c r="K2545">
        <f>IF(AND(Pu&gt;=MIN(E2545,H2545),Pu&lt;=MAX(E2545,H2545),E2545&lt;&gt;H2545),1,0)</f>
      </c>
      <c r="L2545">
        <f>IF(K2545=1,(Pu-E2545)/(H2545-E2545),"")</f>
      </c>
      <c r="M2545" s="12">
        <f>IF(K2545=1,F2545+L2545*(I2545-F2545),"")</f>
      </c>
      <c r="N2545" s="12">
        <f>IF(K2545=1,G2545+L2545*(J2545-G2545),"")</f>
      </c>
    </row>
    <row r="2546" spans="2:14" x14ac:dyDescent="0.25">
      <c r="B2546">
        <v>71</v>
      </c>
      <c r="C2546">
        <v>270.9375</v>
      </c>
      <c r="D2546">
        <v>21</v>
      </c>
      <c r="E2546" s="18">
        <v>7439.1426523670925</v>
      </c>
      <c r="F2546" s="18">
        <v>-5390.435848121794</v>
      </c>
      <c r="G2546" s="18">
        <v>106.18717597201722</v>
      </c>
      <c r="H2546" s="12">
        <f>E2547</f>
      </c>
      <c r="I2546" s="12">
        <f>F2547</f>
      </c>
      <c r="J2546" s="12">
        <f>G2547</f>
      </c>
      <c r="K2546">
        <f>IF(AND(Pu&gt;=MIN(E2546,H2546),Pu&lt;=MAX(E2546,H2546),E2546&lt;&gt;H2546),1,0)</f>
      </c>
      <c r="L2546">
        <f>IF(K2546=1,(Pu-E2546)/(H2546-E2546),"")</f>
      </c>
      <c r="M2546" s="12">
        <f>IF(K2546=1,F2546+L2546*(I2546-F2546),"")</f>
      </c>
      <c r="N2546" s="12">
        <f>IF(K2546=1,G2546+L2546*(J2546-G2546),"")</f>
      </c>
    </row>
    <row r="2547" spans="2:14" x14ac:dyDescent="0.25">
      <c r="B2547">
        <v>71</v>
      </c>
      <c r="C2547">
        <v>270.9375</v>
      </c>
      <c r="D2547">
        <v>22</v>
      </c>
      <c r="E2547" s="18">
        <v>7363.85071706412</v>
      </c>
      <c r="F2547" s="18">
        <v>-5377.21599475992</v>
      </c>
      <c r="G2547" s="18">
        <v>106.58530711919327</v>
      </c>
      <c r="H2547" s="12">
        <f>E2548</f>
      </c>
      <c r="I2547" s="12">
        <f>F2548</f>
      </c>
      <c r="J2547" s="12">
        <f>G2548</f>
      </c>
      <c r="K2547">
        <f>IF(AND(Pu&gt;=MIN(E2547,H2547),Pu&lt;=MAX(E2547,H2547),E2547&lt;&gt;H2547),1,0)</f>
      </c>
      <c r="L2547">
        <f>IF(K2547=1,(Pu-E2547)/(H2547-E2547),"")</f>
      </c>
      <c r="M2547" s="12">
        <f>IF(K2547=1,F2547+L2547*(I2547-F2547),"")</f>
      </c>
      <c r="N2547" s="12">
        <f>IF(K2547=1,G2547+L2547*(J2547-G2547),"")</f>
      </c>
    </row>
    <row r="2548" spans="2:14" x14ac:dyDescent="0.25">
      <c r="B2548">
        <v>71</v>
      </c>
      <c r="C2548">
        <v>270.9375</v>
      </c>
      <c r="D2548">
        <v>23</v>
      </c>
      <c r="E2548" s="18">
        <v>6841.720835639493</v>
      </c>
      <c r="F2548" s="18">
        <v>-5263.037553029487</v>
      </c>
      <c r="G2548" s="18">
        <v>93.65914889018497</v>
      </c>
      <c r="H2548" s="12">
        <f>E2549</f>
      </c>
      <c r="I2548" s="12">
        <f>F2549</f>
      </c>
      <c r="J2548" s="12">
        <f>G2549</f>
      </c>
      <c r="K2548">
        <f>IF(AND(Pu&gt;=MIN(E2548,H2548),Pu&lt;=MAX(E2548,H2548),E2548&lt;&gt;H2548),1,0)</f>
      </c>
      <c r="L2548">
        <f>IF(K2548=1,(Pu-E2548)/(H2548-E2548),"")</f>
      </c>
      <c r="M2548" s="12">
        <f>IF(K2548=1,F2548+L2548*(I2548-F2548),"")</f>
      </c>
      <c r="N2548" s="12">
        <f>IF(K2548=1,G2548+L2548*(J2548-G2548),"")</f>
      </c>
    </row>
    <row r="2549" spans="2:14" x14ac:dyDescent="0.25">
      <c r="B2549">
        <v>71</v>
      </c>
      <c r="C2549">
        <v>270.9375</v>
      </c>
      <c r="D2549">
        <v>24</v>
      </c>
      <c r="E2549" s="18">
        <v>6048.414669638077</v>
      </c>
      <c r="F2549" s="18">
        <v>-5058.390290535267</v>
      </c>
      <c r="G2549" s="18">
        <v>100.44889258392509</v>
      </c>
      <c r="H2549" s="12">
        <f>E2550</f>
      </c>
      <c r="I2549" s="12">
        <f>F2550</f>
      </c>
      <c r="J2549" s="12">
        <f>G2550</f>
      </c>
      <c r="K2549">
        <f>IF(AND(Pu&gt;=MIN(E2549,H2549),Pu&lt;=MAX(E2549,H2549),E2549&lt;&gt;H2549),1,0)</f>
      </c>
      <c r="L2549">
        <f>IF(K2549=1,(Pu-E2549)/(H2549-E2549),"")</f>
      </c>
      <c r="M2549" s="12">
        <f>IF(K2549=1,F2549+L2549*(I2549-F2549),"")</f>
      </c>
      <c r="N2549" s="12">
        <f>IF(K2549=1,G2549+L2549*(J2549-G2549),"")</f>
      </c>
    </row>
    <row r="2550" spans="2:14" x14ac:dyDescent="0.25">
      <c r="B2550">
        <v>71</v>
      </c>
      <c r="C2550">
        <v>270.9375</v>
      </c>
      <c r="D2550">
        <v>25</v>
      </c>
      <c r="E2550" s="18">
        <v>5278.858246567928</v>
      </c>
      <c r="F2550" s="18">
        <v>-4841.345811657036</v>
      </c>
      <c r="G2550" s="18">
        <v>111.3864185445606</v>
      </c>
      <c r="H2550" s="12">
        <f>E2551</f>
      </c>
      <c r="I2550" s="12">
        <f>F2551</f>
      </c>
      <c r="J2550" s="12">
        <f>G2551</f>
      </c>
      <c r="K2550">
        <f>IF(AND(Pu&gt;=MIN(E2550,H2550),Pu&lt;=MAX(E2550,H2550),E2550&lt;&gt;H2550),1,0)</f>
      </c>
      <c r="L2550">
        <f>IF(K2550=1,(Pu-E2550)/(H2550-E2550),"")</f>
      </c>
      <c r="M2550" s="12">
        <f>IF(K2550=1,F2550+L2550*(I2550-F2550),"")</f>
      </c>
      <c r="N2550" s="12">
        <f>IF(K2550=1,G2550+L2550*(J2550-G2550),"")</f>
      </c>
    </row>
    <row r="2551" spans="2:14" x14ac:dyDescent="0.25">
      <c r="B2551">
        <v>71</v>
      </c>
      <c r="C2551">
        <v>270.9375</v>
      </c>
      <c r="D2551">
        <v>26</v>
      </c>
      <c r="E2551" s="18">
        <v>4620.505610693875</v>
      </c>
      <c r="F2551" s="18">
        <v>-4630.787132067514</v>
      </c>
      <c r="G2551" s="18">
        <v>98.15472021870876</v>
      </c>
      <c r="H2551" s="12">
        <f>E2552</f>
      </c>
      <c r="I2551" s="12">
        <f>F2552</f>
      </c>
      <c r="J2551" s="12">
        <f>G2552</f>
      </c>
      <c r="K2551">
        <f>IF(AND(Pu&gt;=MIN(E2551,H2551),Pu&lt;=MAX(E2551,H2551),E2551&lt;&gt;H2551),1,0)</f>
      </c>
      <c r="L2551">
        <f>IF(K2551=1,(Pu-E2551)/(H2551-E2551),"")</f>
      </c>
      <c r="M2551" s="12">
        <f>IF(K2551=1,F2551+L2551*(I2551-F2551),"")</f>
      </c>
      <c r="N2551" s="12">
        <f>IF(K2551=1,G2551+L2551*(J2551-G2551),"")</f>
      </c>
    </row>
    <row r="2552" spans="2:14" x14ac:dyDescent="0.25">
      <c r="B2552">
        <v>71</v>
      </c>
      <c r="C2552">
        <v>270.9375</v>
      </c>
      <c r="D2552">
        <v>27</v>
      </c>
      <c r="E2552" s="18">
        <v>3536.593076820154</v>
      </c>
      <c r="F2552" s="18">
        <v>-4225.649087553152</v>
      </c>
      <c r="G2552" s="18">
        <v>123.11459017609536</v>
      </c>
      <c r="H2552" s="12">
        <f>E2553</f>
      </c>
      <c r="I2552" s="12">
        <f>F2553</f>
      </c>
      <c r="J2552" s="12">
        <f>G2553</f>
      </c>
      <c r="K2552">
        <f>IF(AND(Pu&gt;=MIN(E2552,H2552),Pu&lt;=MAX(E2552,H2552),E2552&lt;&gt;H2552),1,0)</f>
      </c>
      <c r="L2552">
        <f>IF(K2552=1,(Pu-E2552)/(H2552-E2552),"")</f>
      </c>
      <c r="M2552" s="12">
        <f>IF(K2552=1,F2552+L2552*(I2552-F2552),"")</f>
      </c>
      <c r="N2552" s="12">
        <f>IF(K2552=1,G2552+L2552*(J2552-G2552),"")</f>
      </c>
    </row>
    <row r="2553" spans="2:14" x14ac:dyDescent="0.25">
      <c r="B2553">
        <v>71</v>
      </c>
      <c r="C2553">
        <v>270.9375</v>
      </c>
      <c r="D2553">
        <v>28</v>
      </c>
      <c r="E2553" s="18">
        <v>2485.24902069567</v>
      </c>
      <c r="F2553" s="18">
        <v>-3805.6241498110585</v>
      </c>
      <c r="G2553" s="18">
        <v>118.18743741201426</v>
      </c>
      <c r="H2553" s="12">
        <f>E2554</f>
      </c>
      <c r="I2553" s="12">
        <f>F2554</f>
      </c>
      <c r="J2553" s="12">
        <f>G2554</f>
      </c>
      <c r="K2553">
        <f>IF(AND(Pu&gt;=MIN(E2553,H2553),Pu&lt;=MAX(E2553,H2553),E2553&lt;&gt;H2553),1,0)</f>
      </c>
      <c r="L2553">
        <f>IF(K2553=1,(Pu-E2553)/(H2553-E2553),"")</f>
      </c>
      <c r="M2553" s="12">
        <f>IF(K2553=1,F2553+L2553*(I2553-F2553),"")</f>
      </c>
      <c r="N2553" s="12">
        <f>IF(K2553=1,G2553+L2553*(J2553-G2553),"")</f>
      </c>
    </row>
    <row r="2554" spans="2:14" x14ac:dyDescent="0.25">
      <c r="B2554">
        <v>71</v>
      </c>
      <c r="C2554">
        <v>270.9375</v>
      </c>
      <c r="D2554">
        <v>29</v>
      </c>
      <c r="E2554" s="18">
        <v>1644.9065599918465</v>
      </c>
      <c r="F2554" s="18">
        <v>-3450.751449493051</v>
      </c>
      <c r="G2554" s="18">
        <v>111.11390716326281</v>
      </c>
      <c r="H2554" s="12">
        <f>E2555</f>
      </c>
      <c r="I2554" s="12">
        <f>F2555</f>
      </c>
      <c r="J2554" s="12">
        <f>G2555</f>
      </c>
      <c r="K2554">
        <f>IF(AND(Pu&gt;=MIN(E2554,H2554),Pu&lt;=MAX(E2554,H2554),E2554&lt;&gt;H2554),1,0)</f>
      </c>
      <c r="L2554">
        <f>IF(K2554=1,(Pu-E2554)/(H2554-E2554),"")</f>
      </c>
      <c r="M2554" s="12">
        <f>IF(K2554=1,F2554+L2554*(I2554-F2554),"")</f>
      </c>
      <c r="N2554" s="12">
        <f>IF(K2554=1,G2554+L2554*(J2554-G2554),"")</f>
      </c>
    </row>
    <row r="2555" spans="2:14" x14ac:dyDescent="0.25">
      <c r="B2555">
        <v>71</v>
      </c>
      <c r="C2555">
        <v>270.9375</v>
      </c>
      <c r="D2555">
        <v>30</v>
      </c>
      <c r="E2555" s="18">
        <v>1020.0736109200795</v>
      </c>
      <c r="F2555" s="18">
        <v>-3159.6692496484393</v>
      </c>
      <c r="G2555" s="18">
        <v>91.18358731516497</v>
      </c>
      <c r="H2555" s="12">
        <f>E2556</f>
      </c>
      <c r="I2555" s="12">
        <f>F2556</f>
      </c>
      <c r="J2555" s="12">
        <f>G2556</f>
      </c>
      <c r="K2555">
        <f>IF(AND(Pu&gt;=MIN(E2555,H2555),Pu&lt;=MAX(E2555,H2555),E2555&lt;&gt;H2555),1,0)</f>
      </c>
      <c r="L2555">
        <f>IF(K2555=1,(Pu-E2555)/(H2555-E2555),"")</f>
      </c>
      <c r="M2555" s="12">
        <f>IF(K2555=1,F2555+L2555*(I2555-F2555),"")</f>
      </c>
      <c r="N2555" s="12">
        <f>IF(K2555=1,G2555+L2555*(J2555-G2555),"")</f>
      </c>
    </row>
    <row r="2556" spans="2:14" x14ac:dyDescent="0.25">
      <c r="B2556">
        <v>71</v>
      </c>
      <c r="C2556">
        <v>270.9375</v>
      </c>
      <c r="D2556">
        <v>31</v>
      </c>
      <c r="E2556" s="18">
        <v>93.37715231092822</v>
      </c>
      <c r="F2556" s="18">
        <v>-2701.702122863671</v>
      </c>
      <c r="G2556" s="18">
        <v>87.1616751780206</v>
      </c>
      <c r="H2556" s="12">
        <f>E2557</f>
      </c>
      <c r="I2556" s="12">
        <f>F2557</f>
      </c>
      <c r="J2556" s="12">
        <f>G2557</f>
      </c>
      <c r="K2556">
        <f>IF(AND(Pu&gt;=MIN(E2556,H2556),Pu&lt;=MAX(E2556,H2556),E2556&lt;&gt;H2556),1,0)</f>
      </c>
      <c r="L2556">
        <f>IF(K2556=1,(Pu-E2556)/(H2556-E2556),"")</f>
      </c>
      <c r="M2556" s="12">
        <f>IF(K2556=1,F2556+L2556*(I2556-F2556),"")</f>
      </c>
      <c r="N2556" s="12">
        <f>IF(K2556=1,G2556+L2556*(J2556-G2556),"")</f>
      </c>
    </row>
    <row r="2557" spans="2:14" x14ac:dyDescent="0.25">
      <c r="B2557">
        <v>71</v>
      </c>
      <c r="C2557">
        <v>270.9375</v>
      </c>
      <c r="D2557">
        <v>32</v>
      </c>
      <c r="E2557" s="18">
        <v>-606.2785605789256</v>
      </c>
      <c r="F2557" s="18">
        <v>-2343.45628519385</v>
      </c>
      <c r="G2557" s="18">
        <v>85.78050027773487</v>
      </c>
      <c r="H2557" s="12">
        <f>E2558</f>
      </c>
      <c r="I2557" s="12">
        <f>F2558</f>
      </c>
      <c r="J2557" s="12">
        <f>G2558</f>
      </c>
      <c r="K2557">
        <f>IF(AND(Pu&gt;=MIN(E2557,H2557),Pu&lt;=MAX(E2557,H2557),E2557&lt;&gt;H2557),1,0)</f>
      </c>
      <c r="L2557">
        <f>IF(K2557=1,(Pu-E2557)/(H2557-E2557),"")</f>
      </c>
      <c r="M2557" s="12">
        <f>IF(K2557=1,F2557+L2557*(I2557-F2557),"")</f>
      </c>
      <c r="N2557" s="12">
        <f>IF(K2557=1,G2557+L2557*(J2557-G2557),"")</f>
      </c>
    </row>
    <row r="2558" spans="2:14" x14ac:dyDescent="0.25">
      <c r="B2558">
        <v>71</v>
      </c>
      <c r="C2558">
        <v>270.9375</v>
      </c>
      <c r="D2558">
        <v>33</v>
      </c>
      <c r="E2558" s="18">
        <v>-1585.6812557617684</v>
      </c>
      <c r="F2558" s="18">
        <v>-1828.3983602807448</v>
      </c>
      <c r="G2558" s="18">
        <v>79.94369595853063</v>
      </c>
      <c r="H2558" s="12">
        <f>E2559</f>
      </c>
      <c r="I2558" s="12">
        <f>F2559</f>
      </c>
      <c r="J2558" s="12">
        <f>G2559</f>
      </c>
      <c r="K2558">
        <f>IF(AND(Pu&gt;=MIN(E2558,H2558),Pu&lt;=MAX(E2558,H2558),E2558&lt;&gt;H2558),1,0)</f>
      </c>
      <c r="L2558">
        <f>IF(K2558=1,(Pu-E2558)/(H2558-E2558),"")</f>
      </c>
      <c r="M2558" s="12">
        <f>IF(K2558=1,F2558+L2558*(I2558-F2558),"")</f>
      </c>
      <c r="N2558" s="12">
        <f>IF(K2558=1,G2558+L2558*(J2558-G2558),"")</f>
      </c>
    </row>
    <row r="2559" spans="2:14" x14ac:dyDescent="0.25">
      <c r="B2559">
        <v>71</v>
      </c>
      <c r="C2559">
        <v>270.9375</v>
      </c>
      <c r="D2559">
        <v>34</v>
      </c>
      <c r="E2559" s="18">
        <v>-2379.1414018885166</v>
      </c>
      <c r="F2559" s="18">
        <v>-1403.6325370612126</v>
      </c>
      <c r="G2559" s="18">
        <v>90.6047540407285</v>
      </c>
      <c r="H2559" s="12">
        <f>E2560</f>
      </c>
      <c r="I2559" s="12">
        <f>F2560</f>
      </c>
      <c r="J2559" s="12">
        <f>G2560</f>
      </c>
      <c r="K2559">
        <f>IF(AND(Pu&gt;=MIN(E2559,H2559),Pu&lt;=MAX(E2559,H2559),E2559&lt;&gt;H2559),1,0)</f>
      </c>
      <c r="L2559">
        <f>IF(K2559=1,(Pu-E2559)/(H2559-E2559),"")</f>
      </c>
      <c r="M2559" s="12">
        <f>IF(K2559=1,F2559+L2559*(I2559-F2559),"")</f>
      </c>
      <c r="N2559" s="12">
        <f>IF(K2559=1,G2559+L2559*(J2559-G2559),"")</f>
      </c>
    </row>
    <row r="2560" spans="2:14" x14ac:dyDescent="0.25">
      <c r="B2560">
        <v>71</v>
      </c>
      <c r="C2560">
        <v>270.9375</v>
      </c>
      <c r="D2560">
        <v>35</v>
      </c>
      <c r="E2560" s="18">
        <v>-3954.5727719216707</v>
      </c>
      <c r="F2560" s="18">
        <v>-554.7708375865056</v>
      </c>
      <c r="G2560" s="18">
        <v>93.28348983470417</v>
      </c>
      <c r="H2560" s="12">
        <f>E2561</f>
      </c>
      <c r="I2560" s="12">
        <f>F2561</f>
      </c>
      <c r="J2560" s="12">
        <f>G2561</f>
      </c>
      <c r="K2560">
        <f>IF(AND(Pu&gt;=MIN(E2560,H2560),Pu&lt;=MAX(E2560,H2560),E2560&lt;&gt;H2560),1,0)</f>
      </c>
      <c r="L2560">
        <f>IF(K2560=1,(Pu-E2560)/(H2560-E2560),"")</f>
      </c>
      <c r="M2560" s="12">
        <f>IF(K2560=1,F2560+L2560*(I2560-F2560),"")</f>
      </c>
      <c r="N2560" s="12">
        <f>IF(K2560=1,G2560+L2560*(J2560-G2560),"")</f>
      </c>
    </row>
    <row r="2561" spans="2:7" x14ac:dyDescent="0.25">
      <c r="B2561">
        <v>71</v>
      </c>
      <c r="C2561">
        <v>270.9375</v>
      </c>
      <c r="D2561">
        <v>36</v>
      </c>
      <c r="E2561" s="18">
        <v>-4381.899986550169</v>
      </c>
      <c r="F2561" s="18">
        <v>-317.65928061837815</v>
      </c>
      <c r="G2561" s="18">
        <v>44.30646356633091</v>
      </c>
    </row>
    <row r="2563" spans="2:14" x14ac:dyDescent="0.25">
      <c r="B2563">
        <v>72</v>
      </c>
      <c r="C2563">
        <v>271.87499999999994</v>
      </c>
      <c r="D2563">
        <v>1</v>
      </c>
      <c r="E2563" s="18">
        <v>17120.654447430876</v>
      </c>
      <c r="F2563" s="18">
        <v>-2432.0453677119876</v>
      </c>
      <c r="G2563" s="18">
        <v>166.32849443423757</v>
      </c>
      <c r="H2563" s="12">
        <f>E2564</f>
      </c>
      <c r="I2563" s="12">
        <f>F2564</f>
      </c>
      <c r="J2563" s="12">
        <f>G2564</f>
      </c>
      <c r="K2563">
        <f>IF(AND(Pu&gt;=MIN(E2563,H2563),Pu&lt;=MAX(E2563,H2563),E2563&lt;&gt;H2563),1,0)</f>
      </c>
      <c r="L2563">
        <f>IF(K2563=1,(Pu-E2563)/(H2563-E2563),"")</f>
      </c>
      <c r="M2563" s="12">
        <f>IF(K2563=1,F2563+L2563*(I2563-F2563),"")</f>
      </c>
      <c r="N2563" s="12">
        <f>IF(K2563=1,G2563+L2563*(J2563-G2563),"")</f>
      </c>
    </row>
    <row r="2564" spans="2:14" x14ac:dyDescent="0.25">
      <c r="B2564">
        <v>72</v>
      </c>
      <c r="C2564">
        <v>271.87499999999994</v>
      </c>
      <c r="D2564">
        <v>2</v>
      </c>
      <c r="E2564" s="18">
        <v>16036.22336902233</v>
      </c>
      <c r="F2564" s="18">
        <v>-2860.3830759280827</v>
      </c>
      <c r="G2564" s="18">
        <v>145.62905233717686</v>
      </c>
      <c r="H2564" s="12">
        <f>E2565</f>
      </c>
      <c r="I2564" s="12">
        <f>F2565</f>
      </c>
      <c r="J2564" s="12">
        <f>G2565</f>
      </c>
      <c r="K2564">
        <f>IF(AND(Pu&gt;=MIN(E2564,H2564),Pu&lt;=MAX(E2564,H2564),E2564&lt;&gt;H2564),1,0)</f>
      </c>
      <c r="L2564">
        <f>IF(K2564=1,(Pu-E2564)/(H2564-E2564),"")</f>
      </c>
      <c r="M2564" s="12">
        <f>IF(K2564=1,F2564+L2564*(I2564-F2564),"")</f>
      </c>
      <c r="N2564" s="12">
        <f>IF(K2564=1,G2564+L2564*(J2564-G2564),"")</f>
      </c>
    </row>
    <row r="2565" spans="2:14" x14ac:dyDescent="0.25">
      <c r="B2565">
        <v>72</v>
      </c>
      <c r="C2565">
        <v>271.87499999999994</v>
      </c>
      <c r="D2565">
        <v>3</v>
      </c>
      <c r="E2565" s="18">
        <v>14896.33068104931</v>
      </c>
      <c r="F2565" s="18">
        <v>-3252.4987789692987</v>
      </c>
      <c r="G2565" s="18">
        <v>117.8079550505875</v>
      </c>
      <c r="H2565" s="12">
        <f>E2566</f>
      </c>
      <c r="I2565" s="12">
        <f>F2566</f>
      </c>
      <c r="J2565" s="12">
        <f>G2566</f>
      </c>
      <c r="K2565">
        <f>IF(AND(Pu&gt;=MIN(E2565,H2565),Pu&lt;=MAX(E2565,H2565),E2565&lt;&gt;H2565),1,0)</f>
      </c>
      <c r="L2565">
        <f>IF(K2565=1,(Pu-E2565)/(H2565-E2565),"")</f>
      </c>
      <c r="M2565" s="12">
        <f>IF(K2565=1,F2565+L2565*(I2565-F2565),"")</f>
      </c>
      <c r="N2565" s="12">
        <f>IF(K2565=1,G2565+L2565*(J2565-G2565),"")</f>
      </c>
    </row>
    <row r="2566" spans="2:14" x14ac:dyDescent="0.25">
      <c r="B2566">
        <v>72</v>
      </c>
      <c r="C2566">
        <v>271.87499999999994</v>
      </c>
      <c r="D2566">
        <v>4</v>
      </c>
      <c r="E2566" s="18">
        <v>13957.216747632847</v>
      </c>
      <c r="F2566" s="18">
        <v>-3527.4982249963414</v>
      </c>
      <c r="G2566" s="18">
        <v>127.04867807523088</v>
      </c>
      <c r="H2566" s="12">
        <f>E2567</f>
      </c>
      <c r="I2566" s="12">
        <f>F2567</f>
      </c>
      <c r="J2566" s="12">
        <f>G2567</f>
      </c>
      <c r="K2566">
        <f>IF(AND(Pu&gt;=MIN(E2566,H2566),Pu&lt;=MAX(E2566,H2566),E2566&lt;&gt;H2566),1,0)</f>
      </c>
      <c r="L2566">
        <f>IF(K2566=1,(Pu-E2566)/(H2566-E2566),"")</f>
      </c>
      <c r="M2566" s="12">
        <f>IF(K2566=1,F2566+L2566*(I2566-F2566),"")</f>
      </c>
      <c r="N2566" s="12">
        <f>IF(K2566=1,G2566+L2566*(J2566-G2566),"")</f>
      </c>
    </row>
    <row r="2567" spans="2:14" x14ac:dyDescent="0.25">
      <c r="B2567">
        <v>72</v>
      </c>
      <c r="C2567">
        <v>271.87499999999994</v>
      </c>
      <c r="D2567">
        <v>5</v>
      </c>
      <c r="E2567" s="18">
        <v>12373.743282600311</v>
      </c>
      <c r="F2567" s="18">
        <v>-3902.1632149778384</v>
      </c>
      <c r="G2567" s="18">
        <v>131.4438561471984</v>
      </c>
      <c r="H2567" s="12">
        <f>E2568</f>
      </c>
      <c r="I2567" s="12">
        <f>F2568</f>
      </c>
      <c r="J2567" s="12">
        <f>G2568</f>
      </c>
      <c r="K2567">
        <f>IF(AND(Pu&gt;=MIN(E2567,H2567),Pu&lt;=MAX(E2567,H2567),E2567&lt;&gt;H2567),1,0)</f>
      </c>
      <c r="L2567">
        <f>IF(K2567=1,(Pu-E2567)/(H2567-E2567),"")</f>
      </c>
      <c r="M2567" s="12">
        <f>IF(K2567=1,F2567+L2567*(I2567-F2567),"")</f>
      </c>
      <c r="N2567" s="12">
        <f>IF(K2567=1,G2567+L2567*(J2567-G2567),"")</f>
      </c>
    </row>
    <row r="2568" spans="2:14" x14ac:dyDescent="0.25">
      <c r="B2568">
        <v>72</v>
      </c>
      <c r="C2568">
        <v>271.87499999999994</v>
      </c>
      <c r="D2568">
        <v>6</v>
      </c>
      <c r="E2568" s="18">
        <v>11056.046002334257</v>
      </c>
      <c r="F2568" s="18">
        <v>-4145.410086805896</v>
      </c>
      <c r="G2568" s="18">
        <v>137.36122421890303</v>
      </c>
      <c r="H2568" s="12">
        <f>E2569</f>
      </c>
      <c r="I2568" s="12">
        <f>F2569</f>
      </c>
      <c r="J2568" s="12">
        <f>G2569</f>
      </c>
      <c r="K2568">
        <f>IF(AND(Pu&gt;=MIN(E2568,H2568),Pu&lt;=MAX(E2568,H2568),E2568&lt;&gt;H2568),1,0)</f>
      </c>
      <c r="L2568">
        <f>IF(K2568=1,(Pu-E2568)/(H2568-E2568),"")</f>
      </c>
      <c r="M2568" s="12">
        <f>IF(K2568=1,F2568+L2568*(I2568-F2568),"")</f>
      </c>
      <c r="N2568" s="12">
        <f>IF(K2568=1,G2568+L2568*(J2568-G2568),"")</f>
      </c>
    </row>
    <row r="2569" spans="2:14" x14ac:dyDescent="0.25">
      <c r="B2569">
        <v>72</v>
      </c>
      <c r="C2569">
        <v>271.87499999999994</v>
      </c>
      <c r="D2569">
        <v>7</v>
      </c>
      <c r="E2569" s="18">
        <v>9872.581318916385</v>
      </c>
      <c r="F2569" s="18">
        <v>-4316.8735239338785</v>
      </c>
      <c r="G2569" s="18">
        <v>151.54247915585785</v>
      </c>
      <c r="H2569" s="12">
        <f>E2570</f>
      </c>
      <c r="I2569" s="12">
        <f>F2570</f>
      </c>
      <c r="J2569" s="12">
        <f>G2570</f>
      </c>
      <c r="K2569">
        <f>IF(AND(Pu&gt;=MIN(E2569,H2569),Pu&lt;=MAX(E2569,H2569),E2569&lt;&gt;H2569),1,0)</f>
      </c>
      <c r="L2569">
        <f>IF(K2569=1,(Pu-E2569)/(H2569-E2569),"")</f>
      </c>
      <c r="M2569" s="12">
        <f>IF(K2569=1,F2569+L2569*(I2569-F2569),"")</f>
      </c>
      <c r="N2569" s="12">
        <f>IF(K2569=1,G2569+L2569*(J2569-G2569),"")</f>
      </c>
    </row>
    <row r="2570" spans="2:14" x14ac:dyDescent="0.25">
      <c r="B2570">
        <v>72</v>
      </c>
      <c r="C2570">
        <v>271.87499999999994</v>
      </c>
      <c r="D2570">
        <v>8</v>
      </c>
      <c r="E2570" s="18">
        <v>9133.949707035545</v>
      </c>
      <c r="F2570" s="18">
        <v>-4408.348668541597</v>
      </c>
      <c r="G2570" s="18">
        <v>157.6884231876607</v>
      </c>
      <c r="H2570" s="12">
        <f>E2571</f>
      </c>
      <c r="I2570" s="12">
        <f>F2571</f>
      </c>
      <c r="J2570" s="12">
        <f>G2571</f>
      </c>
      <c r="K2570">
        <f>IF(AND(Pu&gt;=MIN(E2570,H2570),Pu&lt;=MAX(E2570,H2570),E2570&lt;&gt;H2570),1,0)</f>
      </c>
      <c r="L2570">
        <f>IF(K2570=1,(Pu-E2570)/(H2570-E2570),"")</f>
      </c>
      <c r="M2570" s="12">
        <f>IF(K2570=1,F2570+L2570*(I2570-F2570),"")</f>
      </c>
      <c r="N2570" s="12">
        <f>IF(K2570=1,G2570+L2570*(J2570-G2570),"")</f>
      </c>
    </row>
    <row r="2571" spans="2:14" x14ac:dyDescent="0.25">
      <c r="B2571">
        <v>72</v>
      </c>
      <c r="C2571">
        <v>271.87499999999994</v>
      </c>
      <c r="D2571">
        <v>9</v>
      </c>
      <c r="E2571" s="18">
        <v>8988.561575097623</v>
      </c>
      <c r="F2571" s="18">
        <v>-4488.901498375162</v>
      </c>
      <c r="G2571" s="18">
        <v>155.38910673148644</v>
      </c>
      <c r="H2571" s="12">
        <f>E2572</f>
      </c>
      <c r="I2571" s="12">
        <f>F2572</f>
      </c>
      <c r="J2571" s="12">
        <f>G2572</f>
      </c>
      <c r="K2571">
        <f>IF(AND(Pu&gt;=MIN(E2571,H2571),Pu&lt;=MAX(E2571,H2571),E2571&lt;&gt;H2571),1,0)</f>
      </c>
      <c r="L2571">
        <f>IF(K2571=1,(Pu-E2571)/(H2571-E2571),"")</f>
      </c>
      <c r="M2571" s="12">
        <f>IF(K2571=1,F2571+L2571*(I2571-F2571),"")</f>
      </c>
      <c r="N2571" s="12">
        <f>IF(K2571=1,G2571+L2571*(J2571-G2571),"")</f>
      </c>
    </row>
    <row r="2572" spans="2:14" x14ac:dyDescent="0.25">
      <c r="B2572">
        <v>72</v>
      </c>
      <c r="C2572">
        <v>271.87499999999994</v>
      </c>
      <c r="D2572">
        <v>10</v>
      </c>
      <c r="E2572" s="18">
        <v>8832.808891314362</v>
      </c>
      <c r="F2572" s="18">
        <v>-4583.4538466038475</v>
      </c>
      <c r="G2572" s="18">
        <v>152.0968180540336</v>
      </c>
      <c r="H2572" s="12">
        <f>E2573</f>
      </c>
      <c r="I2572" s="12">
        <f>F2573</f>
      </c>
      <c r="J2572" s="12">
        <f>G2573</f>
      </c>
      <c r="K2572">
        <f>IF(AND(Pu&gt;=MIN(E2572,H2572),Pu&lt;=MAX(E2572,H2572),E2572&lt;&gt;H2572),1,0)</f>
      </c>
      <c r="L2572">
        <f>IF(K2572=1,(Pu-E2572)/(H2572-E2572),"")</f>
      </c>
      <c r="M2572" s="12">
        <f>IF(K2572=1,F2572+L2572*(I2572-F2572),"")</f>
      </c>
      <c r="N2572" s="12">
        <f>IF(K2572=1,G2572+L2572*(J2572-G2572),"")</f>
      </c>
    </row>
    <row r="2573" spans="2:14" x14ac:dyDescent="0.25">
      <c r="B2573">
        <v>72</v>
      </c>
      <c r="C2573">
        <v>271.87499999999994</v>
      </c>
      <c r="D2573">
        <v>11</v>
      </c>
      <c r="E2573" s="18">
        <v>8655.989455590816</v>
      </c>
      <c r="F2573" s="18">
        <v>-4678.490648882109</v>
      </c>
      <c r="G2573" s="18">
        <v>158.56966987986095</v>
      </c>
      <c r="H2573" s="12">
        <f>E2574</f>
      </c>
      <c r="I2573" s="12">
        <f>F2574</f>
      </c>
      <c r="J2573" s="12">
        <f>G2574</f>
      </c>
      <c r="K2573">
        <f>IF(AND(Pu&gt;=MIN(E2573,H2573),Pu&lt;=MAX(E2573,H2573),E2573&lt;&gt;H2573),1,0)</f>
      </c>
      <c r="L2573">
        <f>IF(K2573=1,(Pu-E2573)/(H2573-E2573),"")</f>
      </c>
      <c r="M2573" s="12">
        <f>IF(K2573=1,F2573+L2573*(I2573-F2573),"")</f>
      </c>
      <c r="N2573" s="12">
        <f>IF(K2573=1,G2573+L2573*(J2573-G2573),"")</f>
      </c>
    </row>
    <row r="2574" spans="2:14" x14ac:dyDescent="0.25">
      <c r="B2574">
        <v>72</v>
      </c>
      <c r="C2574">
        <v>271.87499999999994</v>
      </c>
      <c r="D2574">
        <v>12</v>
      </c>
      <c r="E2574" s="18">
        <v>8561.830841137307</v>
      </c>
      <c r="F2574" s="18">
        <v>-4728.181717196267</v>
      </c>
      <c r="G2574" s="18">
        <v>162.13376797201673</v>
      </c>
      <c r="H2574" s="12">
        <f>E2575</f>
      </c>
      <c r="I2574" s="12">
        <f>F2575</f>
      </c>
      <c r="J2574" s="12">
        <f>G2575</f>
      </c>
      <c r="K2574">
        <f>IF(AND(Pu&gt;=MIN(E2574,H2574),Pu&lt;=MAX(E2574,H2574),E2574&lt;&gt;H2574),1,0)</f>
      </c>
      <c r="L2574">
        <f>IF(K2574=1,(Pu-E2574)/(H2574-E2574),"")</f>
      </c>
      <c r="M2574" s="12">
        <f>IF(K2574=1,F2574+L2574*(I2574-F2574),"")</f>
      </c>
      <c r="N2574" s="12">
        <f>IF(K2574=1,G2574+L2574*(J2574-G2574),"")</f>
      </c>
    </row>
    <row r="2575" spans="2:14" x14ac:dyDescent="0.25">
      <c r="B2575">
        <v>72</v>
      </c>
      <c r="C2575">
        <v>271.87499999999994</v>
      </c>
      <c r="D2575">
        <v>13</v>
      </c>
      <c r="E2575" s="18">
        <v>8351.336168563928</v>
      </c>
      <c r="F2575" s="18">
        <v>-4846.0954606368905</v>
      </c>
      <c r="G2575" s="18">
        <v>181.0236359586702</v>
      </c>
      <c r="H2575" s="12">
        <f>E2576</f>
      </c>
      <c r="I2575" s="12">
        <f>F2576</f>
      </c>
      <c r="J2575" s="12">
        <f>G2576</f>
      </c>
      <c r="K2575">
        <f>IF(AND(Pu&gt;=MIN(E2575,H2575),Pu&lt;=MAX(E2575,H2575),E2575&lt;&gt;H2575),1,0)</f>
      </c>
      <c r="L2575">
        <f>IF(K2575=1,(Pu-E2575)/(H2575-E2575),"")</f>
      </c>
      <c r="M2575" s="12">
        <f>IF(K2575=1,F2575+L2575*(I2575-F2575),"")</f>
      </c>
      <c r="N2575" s="12">
        <f>IF(K2575=1,G2575+L2575*(J2575-G2575),"")</f>
      </c>
    </row>
    <row r="2576" spans="2:14" x14ac:dyDescent="0.25">
      <c r="B2576">
        <v>72</v>
      </c>
      <c r="C2576">
        <v>271.87499999999994</v>
      </c>
      <c r="D2576">
        <v>14</v>
      </c>
      <c r="E2576" s="18">
        <v>8313.574919609002</v>
      </c>
      <c r="F2576" s="18">
        <v>-4865.328563389197</v>
      </c>
      <c r="G2576" s="18">
        <v>182.5958705530259</v>
      </c>
      <c r="H2576" s="12">
        <f>E2577</f>
      </c>
      <c r="I2576" s="12">
        <f>F2577</f>
      </c>
      <c r="J2576" s="12">
        <f>G2577</f>
      </c>
      <c r="K2576">
        <f>IF(AND(Pu&gt;=MIN(E2576,H2576),Pu&lt;=MAX(E2576,H2576),E2576&lt;&gt;H2576),1,0)</f>
      </c>
      <c r="L2576">
        <f>IF(K2576=1,(Pu-E2576)/(H2576-E2576),"")</f>
      </c>
      <c r="M2576" s="12">
        <f>IF(K2576=1,F2576+L2576*(I2576-F2576),"")</f>
      </c>
      <c r="N2576" s="12">
        <f>IF(K2576=1,G2576+L2576*(J2576-G2576),"")</f>
      </c>
    </row>
    <row r="2577" spans="2:14" x14ac:dyDescent="0.25">
      <c r="B2577">
        <v>72</v>
      </c>
      <c r="C2577">
        <v>271.87499999999994</v>
      </c>
      <c r="D2577">
        <v>15</v>
      </c>
      <c r="E2577" s="18">
        <v>8080.326577287284</v>
      </c>
      <c r="F2577" s="18">
        <v>-4986.935643522247</v>
      </c>
      <c r="G2577" s="18">
        <v>176.65564327412903</v>
      </c>
      <c r="H2577" s="12">
        <f>E2578</f>
      </c>
      <c r="I2577" s="12">
        <f>F2578</f>
      </c>
      <c r="J2577" s="12">
        <f>G2578</f>
      </c>
      <c r="K2577">
        <f>IF(AND(Pu&gt;=MIN(E2577,H2577),Pu&lt;=MAX(E2577,H2577),E2577&lt;&gt;H2577),1,0)</f>
      </c>
      <c r="L2577">
        <f>IF(K2577=1,(Pu-E2577)/(H2577-E2577),"")</f>
      </c>
      <c r="M2577" s="12">
        <f>IF(K2577=1,F2577+L2577*(I2577-F2577),"")</f>
      </c>
      <c r="N2577" s="12">
        <f>IF(K2577=1,G2577+L2577*(J2577-G2577),"")</f>
      </c>
    </row>
    <row r="2578" spans="2:14" x14ac:dyDescent="0.25">
      <c r="B2578">
        <v>72</v>
      </c>
      <c r="C2578">
        <v>271.87499999999994</v>
      </c>
      <c r="D2578">
        <v>16</v>
      </c>
      <c r="E2578" s="18">
        <v>8046.682463184075</v>
      </c>
      <c r="F2578" s="18">
        <v>-5004.552932782036</v>
      </c>
      <c r="G2578" s="18">
        <v>174.4436549631357</v>
      </c>
      <c r="H2578" s="12">
        <f>E2579</f>
      </c>
      <c r="I2578" s="12">
        <f>F2579</f>
      </c>
      <c r="J2578" s="12">
        <f>G2579</f>
      </c>
      <c r="K2578">
        <f>IF(AND(Pu&gt;=MIN(E2578,H2578),Pu&lt;=MAX(E2578,H2578),E2578&lt;&gt;H2578),1,0)</f>
      </c>
      <c r="L2578">
        <f>IF(K2578=1,(Pu-E2578)/(H2578-E2578),"")</f>
      </c>
      <c r="M2578" s="12">
        <f>IF(K2578=1,F2578+L2578*(I2578-F2578),"")</f>
      </c>
      <c r="N2578" s="12">
        <f>IF(K2578=1,G2578+L2578*(J2578-G2578),"")</f>
      </c>
    </row>
    <row r="2579" spans="2:14" x14ac:dyDescent="0.25">
      <c r="B2579">
        <v>72</v>
      </c>
      <c r="C2579">
        <v>271.87499999999994</v>
      </c>
      <c r="D2579">
        <v>17</v>
      </c>
      <c r="E2579" s="18">
        <v>7891.877697851557</v>
      </c>
      <c r="F2579" s="18">
        <v>-5090.775292886081</v>
      </c>
      <c r="G2579" s="18">
        <v>181.61837185030177</v>
      </c>
      <c r="H2579" s="12">
        <f>E2580</f>
      </c>
      <c r="I2579" s="12">
        <f>F2580</f>
      </c>
      <c r="J2579" s="12">
        <f>G2580</f>
      </c>
      <c r="K2579">
        <f>IF(AND(Pu&gt;=MIN(E2579,H2579),Pu&lt;=MAX(E2579,H2579),E2579&lt;&gt;H2579),1,0)</f>
      </c>
      <c r="L2579">
        <f>IF(K2579=1,(Pu-E2579)/(H2579-E2579),"")</f>
      </c>
      <c r="M2579" s="12">
        <f>IF(K2579=1,F2579+L2579*(I2579-F2579),"")</f>
      </c>
      <c r="N2579" s="12">
        <f>IF(K2579=1,G2579+L2579*(J2579-G2579),"")</f>
      </c>
    </row>
    <row r="2580" spans="2:14" x14ac:dyDescent="0.25">
      <c r="B2580">
        <v>72</v>
      </c>
      <c r="C2580">
        <v>271.87499999999994</v>
      </c>
      <c r="D2580">
        <v>18</v>
      </c>
      <c r="E2580" s="18">
        <v>7714.270852697824</v>
      </c>
      <c r="F2580" s="18">
        <v>-5187.700857742366</v>
      </c>
      <c r="G2580" s="18">
        <v>191.2516585220499</v>
      </c>
      <c r="H2580" s="12">
        <f>E2581</f>
      </c>
      <c r="I2580" s="12">
        <f>F2581</f>
      </c>
      <c r="J2580" s="12">
        <f>G2581</f>
      </c>
      <c r="K2580">
        <f>IF(AND(Pu&gt;=MIN(E2580,H2580),Pu&lt;=MAX(E2580,H2580),E2580&lt;&gt;H2580),1,0)</f>
      </c>
      <c r="L2580">
        <f>IF(K2580=1,(Pu-E2580)/(H2580-E2580),"")</f>
      </c>
      <c r="M2580" s="12">
        <f>IF(K2580=1,F2580+L2580*(I2580-F2580),"")</f>
      </c>
      <c r="N2580" s="12">
        <f>IF(K2580=1,G2580+L2580*(J2580-G2580),"")</f>
      </c>
    </row>
    <row r="2581" spans="2:14" x14ac:dyDescent="0.25">
      <c r="B2581">
        <v>72</v>
      </c>
      <c r="C2581">
        <v>271.87499999999994</v>
      </c>
      <c r="D2581">
        <v>19</v>
      </c>
      <c r="E2581" s="18">
        <v>7598.7981080162</v>
      </c>
      <c r="F2581" s="18">
        <v>-5249.314714606639</v>
      </c>
      <c r="G2581" s="18">
        <v>197.7247139739029</v>
      </c>
      <c r="H2581" s="12">
        <f>E2582</f>
      </c>
      <c r="I2581" s="12">
        <f>F2582</f>
      </c>
      <c r="J2581" s="12">
        <f>G2582</f>
      </c>
      <c r="K2581">
        <f>IF(AND(Pu&gt;=MIN(E2581,H2581),Pu&lt;=MAX(E2581,H2581),E2581&lt;&gt;H2581),1,0)</f>
      </c>
      <c r="L2581">
        <f>IF(K2581=1,(Pu-E2581)/(H2581-E2581),"")</f>
      </c>
      <c r="M2581" s="12">
        <f>IF(K2581=1,F2581+L2581*(I2581-F2581),"")</f>
      </c>
      <c r="N2581" s="12">
        <f>IF(K2581=1,G2581+L2581*(J2581-G2581),"")</f>
      </c>
    </row>
    <row r="2582" spans="2:14" x14ac:dyDescent="0.25">
      <c r="B2582">
        <v>72</v>
      </c>
      <c r="C2582">
        <v>271.87499999999994</v>
      </c>
      <c r="D2582">
        <v>20</v>
      </c>
      <c r="E2582" s="18">
        <v>7539.2251722535175</v>
      </c>
      <c r="F2582" s="18">
        <v>-5280.657202791023</v>
      </c>
      <c r="G2582" s="18">
        <v>201.12085953850186</v>
      </c>
      <c r="H2582" s="12">
        <f>E2583</f>
      </c>
      <c r="I2582" s="12">
        <f>F2583</f>
      </c>
      <c r="J2582" s="12">
        <f>G2583</f>
      </c>
      <c r="K2582">
        <f>IF(AND(Pu&gt;=MIN(E2582,H2582),Pu&lt;=MAX(E2582,H2582),E2582&lt;&gt;H2582),1,0)</f>
      </c>
      <c r="L2582">
        <f>IF(K2582=1,(Pu-E2582)/(H2582-E2582),"")</f>
      </c>
      <c r="M2582" s="12">
        <f>IF(K2582=1,F2582+L2582*(I2582-F2582),"")</f>
      </c>
      <c r="N2582" s="12">
        <f>IF(K2582=1,G2582+L2582*(J2582-G2582),"")</f>
      </c>
    </row>
    <row r="2583" spans="2:14" x14ac:dyDescent="0.25">
      <c r="B2583">
        <v>72</v>
      </c>
      <c r="C2583">
        <v>271.87499999999994</v>
      </c>
      <c r="D2583">
        <v>21</v>
      </c>
      <c r="E2583" s="18">
        <v>7365.299273918036</v>
      </c>
      <c r="F2583" s="18">
        <v>-5370.395392967314</v>
      </c>
      <c r="G2583" s="18">
        <v>211.225974899661</v>
      </c>
      <c r="H2583" s="12">
        <f>E2584</f>
      </c>
      <c r="I2583" s="12">
        <f>F2584</f>
      </c>
      <c r="J2583" s="12">
        <f>G2584</f>
      </c>
      <c r="K2583">
        <f>IF(AND(Pu&gt;=MIN(E2583,H2583),Pu&lt;=MAX(E2583,H2583),E2583&lt;&gt;H2583),1,0)</f>
      </c>
      <c r="L2583">
        <f>IF(K2583=1,(Pu-E2583)/(H2583-E2583),"")</f>
      </c>
      <c r="M2583" s="12">
        <f>IF(K2583=1,F2583+L2583*(I2583-F2583),"")</f>
      </c>
      <c r="N2583" s="12">
        <f>IF(K2583=1,G2583+L2583*(J2583-G2583),"")</f>
      </c>
    </row>
    <row r="2584" spans="2:14" x14ac:dyDescent="0.25">
      <c r="B2584">
        <v>72</v>
      </c>
      <c r="C2584">
        <v>271.87499999999994</v>
      </c>
      <c r="D2584">
        <v>22</v>
      </c>
      <c r="E2584" s="18">
        <v>7303.915578278791</v>
      </c>
      <c r="F2584" s="18">
        <v>-5358.187095720293</v>
      </c>
      <c r="G2584" s="18">
        <v>208.91140517119666</v>
      </c>
      <c r="H2584" s="12">
        <f>E2585</f>
      </c>
      <c r="I2584" s="12">
        <f>F2585</f>
      </c>
      <c r="J2584" s="12">
        <f>G2585</f>
      </c>
      <c r="K2584">
        <f>IF(AND(Pu&gt;=MIN(E2584,H2584),Pu&lt;=MAX(E2584,H2584),E2584&lt;&gt;H2584),1,0)</f>
      </c>
      <c r="L2584">
        <f>IF(K2584=1,(Pu-E2584)/(H2584-E2584),"")</f>
      </c>
      <c r="M2584" s="12">
        <f>IF(K2584=1,F2584+L2584*(I2584-F2584),"")</f>
      </c>
      <c r="N2584" s="12">
        <f>IF(K2584=1,G2584+L2584*(J2584-G2584),"")</f>
      </c>
    </row>
    <row r="2585" spans="2:14" x14ac:dyDescent="0.25">
      <c r="B2585">
        <v>72</v>
      </c>
      <c r="C2585">
        <v>271.87499999999994</v>
      </c>
      <c r="D2585">
        <v>23</v>
      </c>
      <c r="E2585" s="18">
        <v>6768.135526753439</v>
      </c>
      <c r="F2585" s="18">
        <v>-5241.652568202955</v>
      </c>
      <c r="G2585" s="18">
        <v>186.42267626854218</v>
      </c>
      <c r="H2585" s="12">
        <f>E2586</f>
      </c>
      <c r="I2585" s="12">
        <f>F2586</f>
      </c>
      <c r="J2585" s="12">
        <f>G2586</f>
      </c>
      <c r="K2585">
        <f>IF(AND(Pu&gt;=MIN(E2585,H2585),Pu&lt;=MAX(E2585,H2585),E2585&lt;&gt;H2585),1,0)</f>
      </c>
      <c r="L2585">
        <f>IF(K2585=1,(Pu-E2585)/(H2585-E2585),"")</f>
      </c>
      <c r="M2585" s="12">
        <f>IF(K2585=1,F2585+L2585*(I2585-F2585),"")</f>
      </c>
      <c r="N2585" s="12">
        <f>IF(K2585=1,G2585+L2585*(J2585-G2585),"")</f>
      </c>
    </row>
    <row r="2586" spans="2:14" x14ac:dyDescent="0.25">
      <c r="B2586">
        <v>72</v>
      </c>
      <c r="C2586">
        <v>271.87499999999994</v>
      </c>
      <c r="D2586">
        <v>24</v>
      </c>
      <c r="E2586" s="18">
        <v>5936.217699494591</v>
      </c>
      <c r="F2586" s="18">
        <v>-5022.724600176741</v>
      </c>
      <c r="G2586" s="18">
        <v>189.99910102858271</v>
      </c>
      <c r="H2586" s="12">
        <f>E2587</f>
      </c>
      <c r="I2586" s="12">
        <f>F2587</f>
      </c>
      <c r="J2586" s="12">
        <f>G2587</f>
      </c>
      <c r="K2586">
        <f>IF(AND(Pu&gt;=MIN(E2586,H2586),Pu&lt;=MAX(E2586,H2586),E2586&lt;&gt;H2586),1,0)</f>
      </c>
      <c r="L2586">
        <f>IF(K2586=1,(Pu-E2586)/(H2586-E2586),"")</f>
      </c>
      <c r="M2586" s="12">
        <f>IF(K2586=1,F2586+L2586*(I2586-F2586),"")</f>
      </c>
      <c r="N2586" s="12">
        <f>IF(K2586=1,G2586+L2586*(J2586-G2586),"")</f>
      </c>
    </row>
    <row r="2587" spans="2:14" x14ac:dyDescent="0.25">
      <c r="B2587">
        <v>72</v>
      </c>
      <c r="C2587">
        <v>271.87499999999994</v>
      </c>
      <c r="D2587">
        <v>25</v>
      </c>
      <c r="E2587" s="18">
        <v>5161.659676305385</v>
      </c>
      <c r="F2587" s="18">
        <v>-4800.6576022933195</v>
      </c>
      <c r="G2587" s="18">
        <v>223.65469461240082</v>
      </c>
      <c r="H2587" s="12">
        <f>E2588</f>
      </c>
      <c r="I2587" s="12">
        <f>F2588</f>
      </c>
      <c r="J2587" s="12">
        <f>G2588</f>
      </c>
      <c r="K2587">
        <f>IF(AND(Pu&gt;=MIN(E2587,H2587),Pu&lt;=MAX(E2587,H2587),E2587&lt;&gt;H2587),1,0)</f>
      </c>
      <c r="L2587">
        <f>IF(K2587=1,(Pu-E2587)/(H2587-E2587),"")</f>
      </c>
      <c r="M2587" s="12">
        <f>IF(K2587=1,F2587+L2587*(I2587-F2587),"")</f>
      </c>
      <c r="N2587" s="12">
        <f>IF(K2587=1,G2587+L2587*(J2587-G2587),"")</f>
      </c>
    </row>
    <row r="2588" spans="2:14" x14ac:dyDescent="0.25">
      <c r="B2588">
        <v>72</v>
      </c>
      <c r="C2588">
        <v>271.87499999999994</v>
      </c>
      <c r="D2588">
        <v>26</v>
      </c>
      <c r="E2588" s="18">
        <v>4487.311420315671</v>
      </c>
      <c r="F2588" s="18">
        <v>-4580.512991759657</v>
      </c>
      <c r="G2588" s="18">
        <v>197.77878879668785</v>
      </c>
      <c r="H2588" s="12">
        <f>E2589</f>
      </c>
      <c r="I2588" s="12">
        <f>F2589</f>
      </c>
      <c r="J2588" s="12">
        <f>G2589</f>
      </c>
      <c r="K2588">
        <f>IF(AND(Pu&gt;=MIN(E2588,H2588),Pu&lt;=MAX(E2588,H2588),E2588&lt;&gt;H2588),1,0)</f>
      </c>
      <c r="L2588">
        <f>IF(K2588=1,(Pu-E2588)/(H2588-E2588),"")</f>
      </c>
      <c r="M2588" s="12">
        <f>IF(K2588=1,F2588+L2588*(I2588-F2588),"")</f>
      </c>
      <c r="N2588" s="12">
        <f>IF(K2588=1,G2588+L2588*(J2588-G2588),"")</f>
      </c>
    </row>
    <row r="2589" spans="2:14" x14ac:dyDescent="0.25">
      <c r="B2589">
        <v>72</v>
      </c>
      <c r="C2589">
        <v>271.87499999999994</v>
      </c>
      <c r="D2589">
        <v>27</v>
      </c>
      <c r="E2589" s="18">
        <v>3335.1742162807304</v>
      </c>
      <c r="F2589" s="18">
        <v>-4142.8131109837</v>
      </c>
      <c r="G2589" s="18">
        <v>240.90563232181142</v>
      </c>
      <c r="H2589" s="12">
        <f>E2590</f>
      </c>
      <c r="I2589" s="12">
        <f>F2590</f>
      </c>
      <c r="J2589" s="12">
        <f>G2590</f>
      </c>
      <c r="K2589">
        <f>IF(AND(Pu&gt;=MIN(E2589,H2589),Pu&lt;=MAX(E2589,H2589),E2589&lt;&gt;H2589),1,0)</f>
      </c>
      <c r="L2589">
        <f>IF(K2589=1,(Pu-E2589)/(H2589-E2589),"")</f>
      </c>
      <c r="M2589" s="12">
        <f>IF(K2589=1,F2589+L2589*(I2589-F2589),"")</f>
      </c>
      <c r="N2589" s="12">
        <f>IF(K2589=1,G2589+L2589*(J2589-G2589),"")</f>
      </c>
    </row>
    <row r="2590" spans="2:14" x14ac:dyDescent="0.25">
      <c r="B2590">
        <v>72</v>
      </c>
      <c r="C2590">
        <v>271.87499999999994</v>
      </c>
      <c r="D2590">
        <v>28</v>
      </c>
      <c r="E2590" s="18">
        <v>2236.891363911521</v>
      </c>
      <c r="F2590" s="18">
        <v>-3693.814284915127</v>
      </c>
      <c r="G2590" s="18">
        <v>244.6716768133923</v>
      </c>
      <c r="H2590" s="12">
        <f>E2591</f>
      </c>
      <c r="I2590" s="12">
        <f>F2591</f>
      </c>
      <c r="J2590" s="12">
        <f>G2591</f>
      </c>
      <c r="K2590">
        <f>IF(AND(Pu&gt;=MIN(E2590,H2590),Pu&lt;=MAX(E2590,H2590),E2590&lt;&gt;H2590),1,0)</f>
      </c>
      <c r="L2590">
        <f>IF(K2590=1,(Pu-E2590)/(H2590-E2590),"")</f>
      </c>
      <c r="M2590" s="12">
        <f>IF(K2590=1,F2590+L2590*(I2590-F2590),"")</f>
      </c>
      <c r="N2590" s="12">
        <f>IF(K2590=1,G2590+L2590*(J2590-G2590),"")</f>
      </c>
    </row>
    <row r="2591" spans="2:14" x14ac:dyDescent="0.25">
      <c r="B2591">
        <v>72</v>
      </c>
      <c r="C2591">
        <v>271.87499999999994</v>
      </c>
      <c r="D2591">
        <v>29</v>
      </c>
      <c r="E2591" s="18">
        <v>1380.4935979888724</v>
      </c>
      <c r="F2591" s="18">
        <v>-3319.285372971254</v>
      </c>
      <c r="G2591" s="18">
        <v>212.985987350709</v>
      </c>
      <c r="H2591" s="12">
        <f>E2592</f>
      </c>
      <c r="I2591" s="12">
        <f>F2592</f>
      </c>
      <c r="J2591" s="12">
        <f>G2592</f>
      </c>
      <c r="K2591">
        <f>IF(AND(Pu&gt;=MIN(E2591,H2591),Pu&lt;=MAX(E2591,H2591),E2591&lt;&gt;H2591),1,0)</f>
      </c>
      <c r="L2591">
        <f>IF(K2591=1,(Pu-E2591)/(H2591-E2591),"")</f>
      </c>
      <c r="M2591" s="12">
        <f>IF(K2591=1,F2591+L2591*(I2591-F2591),"")</f>
      </c>
      <c r="N2591" s="12">
        <f>IF(K2591=1,G2591+L2591*(J2591-G2591),"")</f>
      </c>
    </row>
    <row r="2592" spans="2:14" x14ac:dyDescent="0.25">
      <c r="B2592">
        <v>72</v>
      </c>
      <c r="C2592">
        <v>271.87499999999994</v>
      </c>
      <c r="D2592">
        <v>30</v>
      </c>
      <c r="E2592" s="18">
        <v>722.9640677515052</v>
      </c>
      <c r="F2592" s="18">
        <v>-3011.385800315666</v>
      </c>
      <c r="G2592" s="18">
        <v>177.63575917219498</v>
      </c>
      <c r="H2592" s="12">
        <f>E2593</f>
      </c>
      <c r="I2592" s="12">
        <f>F2593</f>
      </c>
      <c r="J2592" s="12">
        <f>G2593</f>
      </c>
      <c r="K2592">
        <f>IF(AND(Pu&gt;=MIN(E2592,H2592),Pu&lt;=MAX(E2592,H2592),E2592&lt;&gt;H2592),1,0)</f>
      </c>
      <c r="L2592">
        <f>IF(K2592=1,(Pu-E2592)/(H2592-E2592),"")</f>
      </c>
      <c r="M2592" s="12">
        <f>IF(K2592=1,F2592+L2592*(I2592-F2592),"")</f>
      </c>
      <c r="N2592" s="12">
        <f>IF(K2592=1,G2592+L2592*(J2592-G2592),"")</f>
      </c>
    </row>
    <row r="2593" spans="2:14" x14ac:dyDescent="0.25">
      <c r="B2593">
        <v>72</v>
      </c>
      <c r="C2593">
        <v>271.87499999999994</v>
      </c>
      <c r="D2593">
        <v>31</v>
      </c>
      <c r="E2593" s="18">
        <v>-228.73291980674324</v>
      </c>
      <c r="F2593" s="18">
        <v>-2535.641297448628</v>
      </c>
      <c r="G2593" s="18">
        <v>169.56333361507095</v>
      </c>
      <c r="H2593" s="12">
        <f>E2594</f>
      </c>
      <c r="I2593" s="12">
        <f>F2594</f>
      </c>
      <c r="J2593" s="12">
        <f>G2594</f>
      </c>
      <c r="K2593">
        <f>IF(AND(Pu&gt;=MIN(E2593,H2593),Pu&lt;=MAX(E2593,H2593),E2593&lt;&gt;H2593),1,0)</f>
      </c>
      <c r="L2593">
        <f>IF(K2593=1,(Pu-E2593)/(H2593-E2593),"")</f>
      </c>
      <c r="M2593" s="12">
        <f>IF(K2593=1,F2593+L2593*(I2593-F2593),"")</f>
      </c>
      <c r="N2593" s="12">
        <f>IF(K2593=1,G2593+L2593*(J2593-G2593),"")</f>
      </c>
    </row>
    <row r="2594" spans="2:14" x14ac:dyDescent="0.25">
      <c r="B2594">
        <v>72</v>
      </c>
      <c r="C2594">
        <v>271.87499999999994</v>
      </c>
      <c r="D2594">
        <v>32</v>
      </c>
      <c r="E2594" s="18">
        <v>-934.4881332736632</v>
      </c>
      <c r="F2594" s="18">
        <v>-2170.88297940133</v>
      </c>
      <c r="G2594" s="18">
        <v>159.7899504325172</v>
      </c>
      <c r="H2594" s="12">
        <f>E2595</f>
      </c>
      <c r="I2594" s="12">
        <f>F2595</f>
      </c>
      <c r="J2594" s="12">
        <f>G2595</f>
      </c>
      <c r="K2594">
        <f>IF(AND(Pu&gt;=MIN(E2594,H2594),Pu&lt;=MAX(E2594,H2594),E2594&lt;&gt;H2594),1,0)</f>
      </c>
      <c r="L2594">
        <f>IF(K2594=1,(Pu-E2594)/(H2594-E2594),"")</f>
      </c>
      <c r="M2594" s="12">
        <f>IF(K2594=1,F2594+L2594*(I2594-F2594),"")</f>
      </c>
      <c r="N2594" s="12">
        <f>IF(K2594=1,G2594+L2594*(J2594-G2594),"")</f>
      </c>
    </row>
    <row r="2595" spans="2:14" x14ac:dyDescent="0.25">
      <c r="B2595">
        <v>72</v>
      </c>
      <c r="C2595">
        <v>271.87499999999994</v>
      </c>
      <c r="D2595">
        <v>33</v>
      </c>
      <c r="E2595" s="18">
        <v>-1976.5148738661358</v>
      </c>
      <c r="F2595" s="18">
        <v>-1618.2457219285825</v>
      </c>
      <c r="G2595" s="18">
        <v>161.95458477575434</v>
      </c>
      <c r="H2595" s="12">
        <f>E2596</f>
      </c>
      <c r="I2595" s="12">
        <f>F2596</f>
      </c>
      <c r="J2595" s="12">
        <f>G2596</f>
      </c>
      <c r="K2595">
        <f>IF(AND(Pu&gt;=MIN(E2595,H2595),Pu&lt;=MAX(E2595,H2595),E2595&lt;&gt;H2595),1,0)</f>
      </c>
      <c r="L2595">
        <f>IF(K2595=1,(Pu-E2595)/(H2595-E2595),"")</f>
      </c>
      <c r="M2595" s="12">
        <f>IF(K2595=1,F2595+L2595*(I2595-F2595),"")</f>
      </c>
      <c r="N2595" s="12">
        <f>IF(K2595=1,G2595+L2595*(J2595-G2595),"")</f>
      </c>
    </row>
    <row r="2596" spans="2:14" x14ac:dyDescent="0.25">
      <c r="B2596">
        <v>72</v>
      </c>
      <c r="C2596">
        <v>271.87499999999994</v>
      </c>
      <c r="D2596">
        <v>34</v>
      </c>
      <c r="E2596" s="18">
        <v>-2814.138383881621</v>
      </c>
      <c r="F2596" s="18">
        <v>-1167.2913033641955</v>
      </c>
      <c r="G2596" s="18">
        <v>176.1661115367471</v>
      </c>
      <c r="H2596" s="12">
        <f>E2597</f>
      </c>
      <c r="I2596" s="12">
        <f>F2597</f>
      </c>
      <c r="J2596" s="12">
        <f>G2597</f>
      </c>
      <c r="K2596">
        <f>IF(AND(Pu&gt;=MIN(E2596,H2596),Pu&lt;=MAX(E2596,H2596),E2596&lt;&gt;H2596),1,0)</f>
      </c>
      <c r="L2596">
        <f>IF(K2596=1,(Pu-E2596)/(H2596-E2596),"")</f>
      </c>
      <c r="M2596" s="12">
        <f>IF(K2596=1,F2596+L2596*(I2596-F2596),"")</f>
      </c>
      <c r="N2596" s="12">
        <f>IF(K2596=1,G2596+L2596*(J2596-G2596),"")</f>
      </c>
    </row>
    <row r="2597" spans="2:14" x14ac:dyDescent="0.25">
      <c r="B2597">
        <v>72</v>
      </c>
      <c r="C2597">
        <v>271.87499999999994</v>
      </c>
      <c r="D2597">
        <v>35</v>
      </c>
      <c r="E2597" s="18">
        <v>-4242.96197595136</v>
      </c>
      <c r="F2597" s="18">
        <v>-392.2586608918442</v>
      </c>
      <c r="G2597" s="18">
        <v>123.64425085863316</v>
      </c>
      <c r="H2597" s="12">
        <f>E2598</f>
      </c>
      <c r="I2597" s="12">
        <f>F2598</f>
      </c>
      <c r="J2597" s="12">
        <f>G2598</f>
      </c>
      <c r="K2597">
        <f>IF(AND(Pu&gt;=MIN(E2597,H2597),Pu&lt;=MAX(E2597,H2597),E2597&lt;&gt;H2597),1,0)</f>
      </c>
      <c r="L2597">
        <f>IF(K2597=1,(Pu-E2597)/(H2597-E2597),"")</f>
      </c>
      <c r="M2597" s="12">
        <f>IF(K2597=1,F2597+L2597*(I2597-F2597),"")</f>
      </c>
      <c r="N2597" s="12">
        <f>IF(K2597=1,G2597+L2597*(J2597-G2597),"")</f>
      </c>
    </row>
    <row r="2598" spans="2:7" x14ac:dyDescent="0.25">
      <c r="B2598">
        <v>72</v>
      </c>
      <c r="C2598">
        <v>271.87499999999994</v>
      </c>
      <c r="D2598">
        <v>36</v>
      </c>
      <c r="E2598" s="18">
        <v>-4580.487146715159</v>
      </c>
      <c r="F2598" s="18">
        <v>-201.18774551716578</v>
      </c>
      <c r="G2598" s="18">
        <v>81.7043944811182</v>
      </c>
    </row>
    <row r="2600" spans="2:14" x14ac:dyDescent="0.25">
      <c r="B2600">
        <v>73</v>
      </c>
      <c r="C2600">
        <v>273.75</v>
      </c>
      <c r="D2600">
        <v>1</v>
      </c>
      <c r="E2600" s="18">
        <v>17409.466750979067</v>
      </c>
      <c r="F2600" s="18">
        <v>-2298.652007367014</v>
      </c>
      <c r="G2600" s="18">
        <v>316.8568330517129</v>
      </c>
      <c r="H2600" s="12">
        <f>E2601</f>
      </c>
      <c r="I2600" s="12">
        <f>F2601</f>
      </c>
      <c r="J2600" s="12">
        <f>G2601</f>
      </c>
      <c r="K2600">
        <f>IF(AND(Pu&gt;=MIN(E2600,H2600),Pu&lt;=MAX(E2600,H2600),E2600&lt;&gt;H2600),1,0)</f>
      </c>
      <c r="L2600">
        <f>IF(K2600=1,(Pu-E2600)/(H2600-E2600),"")</f>
      </c>
      <c r="M2600" s="12">
        <f>IF(K2600=1,F2600+L2600*(I2600-F2600),"")</f>
      </c>
      <c r="N2600" s="12">
        <f>IF(K2600=1,G2600+L2600*(J2600-G2600),"")</f>
      </c>
    </row>
    <row r="2601" spans="2:14" x14ac:dyDescent="0.25">
      <c r="B2601">
        <v>73</v>
      </c>
      <c r="C2601">
        <v>273.75</v>
      </c>
      <c r="D2601">
        <v>2</v>
      </c>
      <c r="E2601" s="18">
        <v>16261.546585826265</v>
      </c>
      <c r="F2601" s="18">
        <v>-2765.033384337812</v>
      </c>
      <c r="G2601" s="18">
        <v>294.4841957275792</v>
      </c>
      <c r="H2601" s="12">
        <f>E2602</f>
      </c>
      <c r="I2601" s="12">
        <f>F2602</f>
      </c>
      <c r="J2601" s="12">
        <f>G2602</f>
      </c>
      <c r="K2601">
        <f>IF(AND(Pu&gt;=MIN(E2601,H2601),Pu&lt;=MAX(E2601,H2601),E2601&lt;&gt;H2601),1,0)</f>
      </c>
      <c r="L2601">
        <f>IF(K2601=1,(Pu-E2601)/(H2601-E2601),"")</f>
      </c>
      <c r="M2601" s="12">
        <f>IF(K2601=1,F2601+L2601*(I2601-F2601),"")</f>
      </c>
      <c r="N2601" s="12">
        <f>IF(K2601=1,G2601+L2601*(J2601-G2601),"")</f>
      </c>
    </row>
    <row r="2602" spans="2:14" x14ac:dyDescent="0.25">
      <c r="B2602">
        <v>73</v>
      </c>
      <c r="C2602">
        <v>273.75</v>
      </c>
      <c r="D2602">
        <v>3</v>
      </c>
      <c r="E2602" s="18">
        <v>15045.041627587743</v>
      </c>
      <c r="F2602" s="18">
        <v>-3196.3642813708752</v>
      </c>
      <c r="G2602" s="18">
        <v>249.39319269277627</v>
      </c>
      <c r="H2602" s="12">
        <f>E2603</f>
      </c>
      <c r="I2602" s="12">
        <f>F2603</f>
      </c>
      <c r="J2602" s="12">
        <f>G2603</f>
      </c>
      <c r="K2602">
        <f>IF(AND(Pu&gt;=MIN(E2602,H2602),Pu&lt;=MAX(E2602,H2602),E2602&lt;&gt;H2602),1,0)</f>
      </c>
      <c r="L2602">
        <f>IF(K2602=1,(Pu-E2602)/(H2602-E2602),"")</f>
      </c>
      <c r="M2602" s="12">
        <f>IF(K2602=1,F2602+L2602*(I2602-F2602),"")</f>
      </c>
      <c r="N2602" s="12">
        <f>IF(K2602=1,G2602+L2602*(J2602-G2602),"")</f>
      </c>
    </row>
    <row r="2603" spans="2:14" x14ac:dyDescent="0.25">
      <c r="B2603">
        <v>73</v>
      </c>
      <c r="C2603">
        <v>273.75</v>
      </c>
      <c r="D2603">
        <v>4</v>
      </c>
      <c r="E2603" s="18">
        <v>14068.389839066185</v>
      </c>
      <c r="F2603" s="18">
        <v>-3488.161043350781</v>
      </c>
      <c r="G2603" s="18">
        <v>252.47271986022267</v>
      </c>
      <c r="H2603" s="12">
        <f>E2604</f>
      </c>
      <c r="I2603" s="12">
        <f>F2604</f>
      </c>
      <c r="J2603" s="12">
        <f>G2604</f>
      </c>
      <c r="K2603">
        <f>IF(AND(Pu&gt;=MIN(E2603,H2603),Pu&lt;=MAX(E2603,H2603),E2603&lt;&gt;H2603),1,0)</f>
      </c>
      <c r="L2603">
        <f>IF(K2603=1,(Pu-E2603)/(H2603-E2603),"")</f>
      </c>
      <c r="M2603" s="12">
        <f>IF(K2603=1,F2603+L2603*(I2603-F2603),"")</f>
      </c>
      <c r="N2603" s="12">
        <f>IF(K2603=1,G2603+L2603*(J2603-G2603),"")</f>
      </c>
    </row>
    <row r="2604" spans="2:14" x14ac:dyDescent="0.25">
      <c r="B2604">
        <v>73</v>
      </c>
      <c r="C2604">
        <v>273.75</v>
      </c>
      <c r="D2604">
        <v>5</v>
      </c>
      <c r="E2604" s="18">
        <v>12454.991357785862</v>
      </c>
      <c r="F2604" s="18">
        <v>-3873.9708468816257</v>
      </c>
      <c r="G2604" s="18">
        <v>261.0228696449819</v>
      </c>
      <c r="H2604" s="12">
        <f>E2605</f>
      </c>
      <c r="I2604" s="12">
        <f>F2605</f>
      </c>
      <c r="J2604" s="12">
        <f>G2605</f>
      </c>
      <c r="K2604">
        <f>IF(AND(Pu&gt;=MIN(E2604,H2604),Pu&lt;=MAX(E2604,H2604),E2604&lt;&gt;H2604),1,0)</f>
      </c>
      <c r="L2604">
        <f>IF(K2604=1,(Pu-E2604)/(H2604-E2604),"")</f>
      </c>
      <c r="M2604" s="12">
        <f>IF(K2604=1,F2604+L2604*(I2604-F2604),"")</f>
      </c>
      <c r="N2604" s="12">
        <f>IF(K2604=1,G2604+L2604*(J2604-G2604),"")</f>
      </c>
    </row>
    <row r="2605" spans="2:14" x14ac:dyDescent="0.25">
      <c r="B2605">
        <v>73</v>
      </c>
      <c r="C2605">
        <v>273.75</v>
      </c>
      <c r="D2605">
        <v>6</v>
      </c>
      <c r="E2605" s="18">
        <v>11089.085421223814</v>
      </c>
      <c r="F2605" s="18">
        <v>-4118.507313111037</v>
      </c>
      <c r="G2605" s="18">
        <v>270.1905292427532</v>
      </c>
      <c r="H2605" s="12">
        <f>E2606</f>
      </c>
      <c r="I2605" s="12">
        <f>F2606</f>
      </c>
      <c r="J2605" s="12">
        <f>G2606</f>
      </c>
      <c r="K2605">
        <f>IF(AND(Pu&gt;=MIN(E2605,H2605),Pu&lt;=MAX(E2605,H2605),E2605&lt;&gt;H2605),1,0)</f>
      </c>
      <c r="L2605">
        <f>IF(K2605=1,(Pu-E2605)/(H2605-E2605),"")</f>
      </c>
      <c r="M2605" s="12">
        <f>IF(K2605=1,F2605+L2605*(I2605-F2605),"")</f>
      </c>
      <c r="N2605" s="12">
        <f>IF(K2605=1,G2605+L2605*(J2605-G2605),"")</f>
      </c>
    </row>
    <row r="2606" spans="2:14" x14ac:dyDescent="0.25">
      <c r="B2606">
        <v>73</v>
      </c>
      <c r="C2606">
        <v>273.75</v>
      </c>
      <c r="D2606">
        <v>7</v>
      </c>
      <c r="E2606" s="18">
        <v>9899.875281772893</v>
      </c>
      <c r="F2606" s="18">
        <v>-4287.624423853695</v>
      </c>
      <c r="G2606" s="18">
        <v>298.44143150545494</v>
      </c>
      <c r="H2606" s="12">
        <f>E2607</f>
      </c>
      <c r="I2606" s="12">
        <f>F2607</f>
      </c>
      <c r="J2606" s="12">
        <f>G2607</f>
      </c>
      <c r="K2606">
        <f>IF(AND(Pu&gt;=MIN(E2606,H2606),Pu&lt;=MAX(E2606,H2606),E2606&lt;&gt;H2606),1,0)</f>
      </c>
      <c r="L2606">
        <f>IF(K2606=1,(Pu-E2606)/(H2606-E2606),"")</f>
      </c>
      <c r="M2606" s="12">
        <f>IF(K2606=1,F2606+L2606*(I2606-F2606),"")</f>
      </c>
      <c r="N2606" s="12">
        <f>IF(K2606=1,G2606+L2606*(J2606-G2606),"")</f>
      </c>
    </row>
    <row r="2607" spans="2:14" x14ac:dyDescent="0.25">
      <c r="B2607">
        <v>73</v>
      </c>
      <c r="C2607">
        <v>273.75</v>
      </c>
      <c r="D2607">
        <v>8</v>
      </c>
      <c r="E2607" s="18">
        <v>9128.539522842062</v>
      </c>
      <c r="F2607" s="18">
        <v>-4381.687387932178</v>
      </c>
      <c r="G2607" s="18">
        <v>312.05890555888624</v>
      </c>
      <c r="H2607" s="12">
        <f>E2608</f>
      </c>
      <c r="I2607" s="12">
        <f>F2608</f>
      </c>
      <c r="J2607" s="12">
        <f>G2608</f>
      </c>
      <c r="K2607">
        <f>IF(AND(Pu&gt;=MIN(E2607,H2607),Pu&lt;=MAX(E2607,H2607),E2607&lt;&gt;H2607),1,0)</f>
      </c>
      <c r="L2607">
        <f>IF(K2607=1,(Pu-E2607)/(H2607-E2607),"")</f>
      </c>
      <c r="M2607" s="12">
        <f>IF(K2607=1,F2607+L2607*(I2607-F2607),"")</f>
      </c>
      <c r="N2607" s="12">
        <f>IF(K2607=1,G2607+L2607*(J2607-G2607),"")</f>
      </c>
    </row>
    <row r="2608" spans="2:14" x14ac:dyDescent="0.25">
      <c r="B2608">
        <v>73</v>
      </c>
      <c r="C2608">
        <v>273.75</v>
      </c>
      <c r="D2608">
        <v>9</v>
      </c>
      <c r="E2608" s="18">
        <v>8987.241293208263</v>
      </c>
      <c r="F2608" s="18">
        <v>-4464.9874309905435</v>
      </c>
      <c r="G2608" s="18">
        <v>303.3948527959068</v>
      </c>
      <c r="H2608" s="12">
        <f>E2609</f>
      </c>
      <c r="I2608" s="12">
        <f>F2609</f>
      </c>
      <c r="J2608" s="12">
        <f>G2609</f>
      </c>
      <c r="K2608">
        <f>IF(AND(Pu&gt;=MIN(E2608,H2608),Pu&lt;=MAX(E2608,H2608),E2608&lt;&gt;H2608),1,0)</f>
      </c>
      <c r="L2608">
        <f>IF(K2608=1,(Pu-E2608)/(H2608-E2608),"")</f>
      </c>
      <c r="M2608" s="12">
        <f>IF(K2608=1,F2608+L2608*(I2608-F2608),"")</f>
      </c>
      <c r="N2608" s="12">
        <f>IF(K2608=1,G2608+L2608*(J2608-G2608),"")</f>
      </c>
    </row>
    <row r="2609" spans="2:14" x14ac:dyDescent="0.25">
      <c r="B2609">
        <v>73</v>
      </c>
      <c r="C2609">
        <v>273.75</v>
      </c>
      <c r="D2609">
        <v>10</v>
      </c>
      <c r="E2609" s="18">
        <v>8784.0780953637</v>
      </c>
      <c r="F2609" s="18">
        <v>-4569.7144817560575</v>
      </c>
      <c r="G2609" s="18">
        <v>310.5901513842834</v>
      </c>
      <c r="H2609" s="12">
        <f>E2610</f>
      </c>
      <c r="I2609" s="12">
        <f>F2610</f>
      </c>
      <c r="J2609" s="12">
        <f>G2610</f>
      </c>
      <c r="K2609">
        <f>IF(AND(Pu&gt;=MIN(E2609,H2609),Pu&lt;=MAX(E2609,H2609),E2609&lt;&gt;H2609),1,0)</f>
      </c>
      <c r="L2609">
        <f>IF(K2609=1,(Pu-E2609)/(H2609-E2609),"")</f>
      </c>
      <c r="M2609" s="12">
        <f>IF(K2609=1,F2609+L2609*(I2609-F2609),"")</f>
      </c>
      <c r="N2609" s="12">
        <f>IF(K2609=1,G2609+L2609*(J2609-G2609),"")</f>
      </c>
    </row>
    <row r="2610" spans="2:14" x14ac:dyDescent="0.25">
      <c r="B2610">
        <v>73</v>
      </c>
      <c r="C2610">
        <v>273.75</v>
      </c>
      <c r="D2610">
        <v>11</v>
      </c>
      <c r="E2610" s="18">
        <v>8608.688722423605</v>
      </c>
      <c r="F2610" s="18">
        <v>-4657.407079096126</v>
      </c>
      <c r="G2610" s="18">
        <v>322.8197194577068</v>
      </c>
      <c r="H2610" s="12">
        <f>E2611</f>
      </c>
      <c r="I2610" s="12">
        <f>F2611</f>
      </c>
      <c r="J2610" s="12">
        <f>G2611</f>
      </c>
      <c r="K2610">
        <f>IF(AND(Pu&gt;=MIN(E2610,H2610),Pu&lt;=MAX(E2610,H2610),E2610&lt;&gt;H2610),1,0)</f>
      </c>
      <c r="L2610">
        <f>IF(K2610=1,(Pu-E2610)/(H2610-E2610),"")</f>
      </c>
      <c r="M2610" s="12">
        <f>IF(K2610=1,F2610+L2610*(I2610-F2610),"")</f>
      </c>
      <c r="N2610" s="12">
        <f>IF(K2610=1,G2610+L2610*(J2610-G2610),"")</f>
      </c>
    </row>
    <row r="2611" spans="2:14" x14ac:dyDescent="0.25">
      <c r="B2611">
        <v>73</v>
      </c>
      <c r="C2611">
        <v>273.75</v>
      </c>
      <c r="D2611">
        <v>12</v>
      </c>
      <c r="E2611" s="18">
        <v>8499.654013559486</v>
      </c>
      <c r="F2611" s="18">
        <v>-4710.775077735804</v>
      </c>
      <c r="G2611" s="18">
        <v>330.67992897860233</v>
      </c>
      <c r="H2611" s="12">
        <f>E2612</f>
      </c>
      <c r="I2611" s="12">
        <f>F2612</f>
      </c>
      <c r="J2611" s="12">
        <f>G2612</f>
      </c>
      <c r="K2611">
        <f>IF(AND(Pu&gt;=MIN(E2611,H2611),Pu&lt;=MAX(E2611,H2611),E2611&lt;&gt;H2611),1,0)</f>
      </c>
      <c r="L2611">
        <f>IF(K2611=1,(Pu-E2611)/(H2611-E2611),"")</f>
      </c>
      <c r="M2611" s="12">
        <f>IF(K2611=1,F2611+L2611*(I2611-F2611),"")</f>
      </c>
      <c r="N2611" s="12">
        <f>IF(K2611=1,G2611+L2611*(J2611-G2611),"")</f>
      </c>
    </row>
    <row r="2612" spans="2:14" x14ac:dyDescent="0.25">
      <c r="B2612">
        <v>73</v>
      </c>
      <c r="C2612">
        <v>273.75</v>
      </c>
      <c r="D2612">
        <v>13</v>
      </c>
      <c r="E2612" s="18">
        <v>8273.937461440504</v>
      </c>
      <c r="F2612" s="18">
        <v>-4818.632366236663</v>
      </c>
      <c r="G2612" s="18">
        <v>347.5280813717411</v>
      </c>
      <c r="H2612" s="12">
        <f>E2613</f>
      </c>
      <c r="I2612" s="12">
        <f>F2613</f>
      </c>
      <c r="J2612" s="12">
        <f>G2613</f>
      </c>
      <c r="K2612">
        <f>IF(AND(Pu&gt;=MIN(E2612,H2612),Pu&lt;=MAX(E2612,H2612),E2612&lt;&gt;H2612),1,0)</f>
      </c>
      <c r="L2612">
        <f>IF(K2612=1,(Pu-E2612)/(H2612-E2612),"")</f>
      </c>
      <c r="M2612" s="12">
        <f>IF(K2612=1,F2612+L2612*(I2612-F2612),"")</f>
      </c>
      <c r="N2612" s="12">
        <f>IF(K2612=1,G2612+L2612*(J2612-G2612),"")</f>
      </c>
    </row>
    <row r="2613" spans="2:14" x14ac:dyDescent="0.25">
      <c r="B2613">
        <v>73</v>
      </c>
      <c r="C2613">
        <v>273.75</v>
      </c>
      <c r="D2613">
        <v>14</v>
      </c>
      <c r="E2613" s="18">
        <v>8238.478130309206</v>
      </c>
      <c r="F2613" s="18">
        <v>-4843.708548896526</v>
      </c>
      <c r="G2613" s="18">
        <v>361.49362382306583</v>
      </c>
      <c r="H2613" s="12">
        <f>E2614</f>
      </c>
      <c r="I2613" s="12">
        <f>F2614</f>
      </c>
      <c r="J2613" s="12">
        <f>G2614</f>
      </c>
      <c r="K2613">
        <f>IF(AND(Pu&gt;=MIN(E2613,H2613),Pu&lt;=MAX(E2613,H2613),E2613&lt;&gt;H2613),1,0)</f>
      </c>
      <c r="L2613">
        <f>IF(K2613=1,(Pu-E2613)/(H2613-E2613),"")</f>
      </c>
      <c r="M2613" s="12">
        <f>IF(K2613=1,F2613+L2613*(I2613-F2613),"")</f>
      </c>
      <c r="N2613" s="12">
        <f>IF(K2613=1,G2613+L2613*(J2613-G2613),"")</f>
      </c>
    </row>
    <row r="2614" spans="2:14" x14ac:dyDescent="0.25">
      <c r="B2614">
        <v>73</v>
      </c>
      <c r="C2614">
        <v>273.75</v>
      </c>
      <c r="D2614">
        <v>15</v>
      </c>
      <c r="E2614" s="18">
        <v>8003.142818091994</v>
      </c>
      <c r="F2614" s="18">
        <v>-4957.564344656016</v>
      </c>
      <c r="G2614" s="18">
        <v>359.13255084386896</v>
      </c>
      <c r="H2614" s="12">
        <f>E2615</f>
      </c>
      <c r="I2614" s="12">
        <f>F2615</f>
      </c>
      <c r="J2614" s="12">
        <f>G2615</f>
      </c>
      <c r="K2614">
        <f>IF(AND(Pu&gt;=MIN(E2614,H2614),Pu&lt;=MAX(E2614,H2614),E2614&lt;&gt;H2614),1,0)</f>
      </c>
      <c r="L2614">
        <f>IF(K2614=1,(Pu-E2614)/(H2614-E2614),"")</f>
      </c>
      <c r="M2614" s="12">
        <f>IF(K2614=1,F2614+L2614*(I2614-F2614),"")</f>
      </c>
      <c r="N2614" s="12">
        <f>IF(K2614=1,G2614+L2614*(J2614-G2614),"")</f>
      </c>
    </row>
    <row r="2615" spans="2:14" x14ac:dyDescent="0.25">
      <c r="B2615">
        <v>73</v>
      </c>
      <c r="C2615">
        <v>273.75</v>
      </c>
      <c r="D2615">
        <v>16</v>
      </c>
      <c r="E2615" s="18">
        <v>7977.389935414375</v>
      </c>
      <c r="F2615" s="18">
        <v>-4969.823602050904</v>
      </c>
      <c r="G2615" s="18">
        <v>358.66450284373985</v>
      </c>
      <c r="H2615" s="12">
        <f>E2616</f>
      </c>
      <c r="I2615" s="12">
        <f>F2616</f>
      </c>
      <c r="J2615" s="12">
        <f>G2616</f>
      </c>
      <c r="K2615">
        <f>IF(AND(Pu&gt;=MIN(E2615,H2615),Pu&lt;=MAX(E2615,H2615),E2615&lt;&gt;H2615),1,0)</f>
      </c>
      <c r="L2615">
        <f>IF(K2615=1,(Pu-E2615)/(H2615-E2615),"")</f>
      </c>
      <c r="M2615" s="12">
        <f>IF(K2615=1,F2615+L2615*(I2615-F2615),"")</f>
      </c>
      <c r="N2615" s="12">
        <f>IF(K2615=1,G2615+L2615*(J2615-G2615),"")</f>
      </c>
    </row>
    <row r="2616" spans="2:14" x14ac:dyDescent="0.25">
      <c r="B2616">
        <v>73</v>
      </c>
      <c r="C2616">
        <v>273.75</v>
      </c>
      <c r="D2616">
        <v>17</v>
      </c>
      <c r="E2616" s="18">
        <v>7782.271997769553</v>
      </c>
      <c r="F2616" s="18">
        <v>-5062.536176297824</v>
      </c>
      <c r="G2616" s="18">
        <v>359.9646989786582</v>
      </c>
      <c r="H2616" s="12">
        <f>E2617</f>
      </c>
      <c r="I2616" s="12">
        <f>F2617</f>
      </c>
      <c r="J2616" s="12">
        <f>G2617</f>
      </c>
      <c r="K2616">
        <f>IF(AND(Pu&gt;=MIN(E2616,H2616),Pu&lt;=MAX(E2616,H2616),E2616&lt;&gt;H2616),1,0)</f>
      </c>
      <c r="L2616">
        <f>IF(K2616=1,(Pu-E2616)/(H2616-E2616),"")</f>
      </c>
      <c r="M2616" s="12">
        <f>IF(K2616=1,F2616+L2616*(I2616-F2616),"")</f>
      </c>
      <c r="N2616" s="12">
        <f>IF(K2616=1,G2616+L2616*(J2616-G2616),"")</f>
      </c>
    </row>
    <row r="2617" spans="2:14" x14ac:dyDescent="0.25">
      <c r="B2617">
        <v>73</v>
      </c>
      <c r="C2617">
        <v>273.75</v>
      </c>
      <c r="D2617">
        <v>18</v>
      </c>
      <c r="E2617" s="18">
        <v>7591.990688417524</v>
      </c>
      <c r="F2617" s="18">
        <v>-5154.503597343643</v>
      </c>
      <c r="G2617" s="18">
        <v>378.9362680225487</v>
      </c>
      <c r="H2617" s="12">
        <f>E2618</f>
      </c>
      <c r="I2617" s="12">
        <f>F2618</f>
      </c>
      <c r="J2617" s="12">
        <f>G2618</f>
      </c>
      <c r="K2617">
        <f>IF(AND(Pu&gt;=MIN(E2617,H2617),Pu&lt;=MAX(E2617,H2617),E2617&lt;&gt;H2617),1,0)</f>
      </c>
      <c r="L2617">
        <f>IF(K2617=1,(Pu-E2617)/(H2617-E2617),"")</f>
      </c>
      <c r="M2617" s="12">
        <f>IF(K2617=1,F2617+L2617*(I2617-F2617),"")</f>
      </c>
      <c r="N2617" s="12">
        <f>IF(K2617=1,G2617+L2617*(J2617-G2617),"")</f>
      </c>
    </row>
    <row r="2618" spans="2:14" x14ac:dyDescent="0.25">
      <c r="B2618">
        <v>73</v>
      </c>
      <c r="C2618">
        <v>273.75</v>
      </c>
      <c r="D2618">
        <v>19</v>
      </c>
      <c r="E2618" s="18">
        <v>7477.198739126162</v>
      </c>
      <c r="F2618" s="18">
        <v>-5208.591161034549</v>
      </c>
      <c r="G2618" s="18">
        <v>390.75437989461807</v>
      </c>
      <c r="H2618" s="12">
        <f>E2619</f>
      </c>
      <c r="I2618" s="12">
        <f>F2619</f>
      </c>
      <c r="J2618" s="12">
        <f>G2619</f>
      </c>
      <c r="K2618">
        <f>IF(AND(Pu&gt;=MIN(E2618,H2618),Pu&lt;=MAX(E2618,H2618),E2618&lt;&gt;H2618),1,0)</f>
      </c>
      <c r="L2618">
        <f>IF(K2618=1,(Pu-E2618)/(H2618-E2618),"")</f>
      </c>
      <c r="M2618" s="12">
        <f>IF(K2618=1,F2618+L2618*(I2618-F2618),"")</f>
      </c>
      <c r="N2618" s="12">
        <f>IF(K2618=1,G2618+L2618*(J2618-G2618),"")</f>
      </c>
    </row>
    <row r="2619" spans="2:14" x14ac:dyDescent="0.25">
      <c r="B2619">
        <v>73</v>
      </c>
      <c r="C2619">
        <v>273.75</v>
      </c>
      <c r="D2619">
        <v>20</v>
      </c>
      <c r="E2619" s="18">
        <v>7404.493164563297</v>
      </c>
      <c r="F2619" s="18">
        <v>-5242.30590724326</v>
      </c>
      <c r="G2619" s="18">
        <v>398.36782485148467</v>
      </c>
      <c r="H2619" s="12">
        <f>E2620</f>
      </c>
      <c r="I2619" s="12">
        <f>F2620</f>
      </c>
      <c r="J2619" s="12">
        <f>G2620</f>
      </c>
      <c r="K2619">
        <f>IF(AND(Pu&gt;=MIN(E2619,H2619),Pu&lt;=MAX(E2619,H2619),E2619&lt;&gt;H2619),1,0)</f>
      </c>
      <c r="L2619">
        <f>IF(K2619=1,(Pu-E2619)/(H2619-E2619),"")</f>
      </c>
      <c r="M2619" s="12">
        <f>IF(K2619=1,F2619+L2619*(I2619-F2619),"")</f>
      </c>
      <c r="N2619" s="12">
        <f>IF(K2619=1,G2619+L2619*(J2619-G2619),"")</f>
      </c>
    </row>
    <row r="2620" spans="2:14" x14ac:dyDescent="0.25">
      <c r="B2620">
        <v>73</v>
      </c>
      <c r="C2620">
        <v>273.75</v>
      </c>
      <c r="D2620">
        <v>21</v>
      </c>
      <c r="E2620" s="18">
        <v>7254.093261607335</v>
      </c>
      <c r="F2620" s="18">
        <v>-5330.126315830486</v>
      </c>
      <c r="G2620" s="18">
        <v>393.91951207485454</v>
      </c>
      <c r="H2620" s="12">
        <f>E2621</f>
      </c>
      <c r="I2620" s="12">
        <f>F2621</f>
      </c>
      <c r="J2620" s="12">
        <f>G2621</f>
      </c>
      <c r="K2620">
        <f>IF(AND(Pu&gt;=MIN(E2620,H2620),Pu&lt;=MAX(E2620,H2620),E2620&lt;&gt;H2620),1,0)</f>
      </c>
      <c r="L2620">
        <f>IF(K2620=1,(Pu-E2620)/(H2620-E2620),"")</f>
      </c>
      <c r="M2620" s="12">
        <f>IF(K2620=1,F2620+L2620*(I2620-F2620),"")</f>
      </c>
      <c r="N2620" s="12">
        <f>IF(K2620=1,G2620+L2620*(J2620-G2620),"")</f>
      </c>
    </row>
    <row r="2621" spans="2:14" x14ac:dyDescent="0.25">
      <c r="B2621">
        <v>73</v>
      </c>
      <c r="C2621">
        <v>273.75</v>
      </c>
      <c r="D2621">
        <v>22</v>
      </c>
      <c r="E2621" s="18">
        <v>7211.106335695468</v>
      </c>
      <c r="F2621" s="18">
        <v>-5321.018637247236</v>
      </c>
      <c r="G2621" s="18">
        <v>392.14393309702206</v>
      </c>
      <c r="H2621" s="12">
        <f>E2622</f>
      </c>
      <c r="I2621" s="12">
        <f>F2622</f>
      </c>
      <c r="J2621" s="12">
        <f>G2622</f>
      </c>
      <c r="K2621">
        <f>IF(AND(Pu&gt;=MIN(E2621,H2621),Pu&lt;=MAX(E2621,H2621),E2621&lt;&gt;H2621),1,0)</f>
      </c>
      <c r="L2621">
        <f>IF(K2621=1,(Pu-E2621)/(H2621-E2621),"")</f>
      </c>
      <c r="M2621" s="12">
        <f>IF(K2621=1,F2621+L2621*(I2621-F2621),"")</f>
      </c>
      <c r="N2621" s="12">
        <f>IF(K2621=1,G2621+L2621*(J2621-G2621),"")</f>
      </c>
    </row>
    <row r="2622" spans="2:14" x14ac:dyDescent="0.25">
      <c r="B2622">
        <v>73</v>
      </c>
      <c r="C2622">
        <v>273.75</v>
      </c>
      <c r="D2622">
        <v>23</v>
      </c>
      <c r="E2622" s="18">
        <v>6649.821094051222</v>
      </c>
      <c r="F2622" s="18">
        <v>-5197.72092031943</v>
      </c>
      <c r="G2622" s="18">
        <v>370.18993081379716</v>
      </c>
      <c r="H2622" s="12">
        <f>E2623</f>
      </c>
      <c r="I2622" s="12">
        <f>F2623</f>
      </c>
      <c r="J2622" s="12">
        <f>G2623</f>
      </c>
      <c r="K2622">
        <f>IF(AND(Pu&gt;=MIN(E2622,H2622),Pu&lt;=MAX(E2622,H2622),E2622&lt;&gt;H2622),1,0)</f>
      </c>
      <c r="L2622">
        <f>IF(K2622=1,(Pu-E2622)/(H2622-E2622),"")</f>
      </c>
      <c r="M2622" s="12">
        <f>IF(K2622=1,F2622+L2622*(I2622-F2622),"")</f>
      </c>
      <c r="N2622" s="12">
        <f>IF(K2622=1,G2622+L2622*(J2622-G2622),"")</f>
      </c>
    </row>
    <row r="2623" spans="2:14" x14ac:dyDescent="0.25">
      <c r="B2623">
        <v>73</v>
      </c>
      <c r="C2623">
        <v>273.75</v>
      </c>
      <c r="D2623">
        <v>24</v>
      </c>
      <c r="E2623" s="18">
        <v>5732.785038713814</v>
      </c>
      <c r="F2623" s="18">
        <v>-4952.632647459865</v>
      </c>
      <c r="G2623" s="18">
        <v>396.16072726147314</v>
      </c>
      <c r="H2623" s="12">
        <f>E2624</f>
      </c>
      <c r="I2623" s="12">
        <f>F2624</f>
      </c>
      <c r="J2623" s="12">
        <f>G2624</f>
      </c>
      <c r="K2623">
        <f>IF(AND(Pu&gt;=MIN(E2623,H2623),Pu&lt;=MAX(E2623,H2623),E2623&lt;&gt;H2623),1,0)</f>
      </c>
      <c r="L2623">
        <f>IF(K2623=1,(Pu-E2623)/(H2623-E2623),"")</f>
      </c>
      <c r="M2623" s="12">
        <f>IF(K2623=1,F2623+L2623*(I2623-F2623),"")</f>
      </c>
      <c r="N2623" s="12">
        <f>IF(K2623=1,G2623+L2623*(J2623-G2623),"")</f>
      </c>
    </row>
    <row r="2624" spans="2:14" x14ac:dyDescent="0.25">
      <c r="B2624">
        <v>73</v>
      </c>
      <c r="C2624">
        <v>273.75</v>
      </c>
      <c r="D2624">
        <v>25</v>
      </c>
      <c r="E2624" s="18">
        <v>4939.480203283529</v>
      </c>
      <c r="F2624" s="18">
        <v>-4711.154797527584</v>
      </c>
      <c r="G2624" s="18">
        <v>431.94626640554804</v>
      </c>
      <c r="H2624" s="12">
        <f>E2625</f>
      </c>
      <c r="I2624" s="12">
        <f>F2625</f>
      </c>
      <c r="J2624" s="12">
        <f>G2625</f>
      </c>
      <c r="K2624">
        <f>IF(AND(Pu&gt;=MIN(E2624,H2624),Pu&lt;=MAX(E2624,H2624),E2624&lt;&gt;H2624),1,0)</f>
      </c>
      <c r="L2624">
        <f>IF(K2624=1,(Pu-E2624)/(H2624-E2624),"")</f>
      </c>
      <c r="M2624" s="12">
        <f>IF(K2624=1,F2624+L2624*(I2624-F2624),"")</f>
      </c>
      <c r="N2624" s="12">
        <f>IF(K2624=1,G2624+L2624*(J2624-G2624),"")</f>
      </c>
    </row>
    <row r="2625" spans="2:14" x14ac:dyDescent="0.25">
      <c r="B2625">
        <v>73</v>
      </c>
      <c r="C2625">
        <v>273.75</v>
      </c>
      <c r="D2625">
        <v>26</v>
      </c>
      <c r="E2625" s="18">
        <v>4199.764165968689</v>
      </c>
      <c r="F2625" s="18">
        <v>-4457.6887427772435</v>
      </c>
      <c r="G2625" s="18">
        <v>422.93074840841837</v>
      </c>
      <c r="H2625" s="12">
        <f>E2626</f>
      </c>
      <c r="I2625" s="12">
        <f>F2626</f>
      </c>
      <c r="J2625" s="12">
        <f>G2626</f>
      </c>
      <c r="K2625">
        <f>IF(AND(Pu&gt;=MIN(E2625,H2625),Pu&lt;=MAX(E2625,H2625),E2625&lt;&gt;H2625),1,0)</f>
      </c>
      <c r="L2625">
        <f>IF(K2625=1,(Pu-E2625)/(H2625-E2625),"")</f>
      </c>
      <c r="M2625" s="12">
        <f>IF(K2625=1,F2625+L2625*(I2625-F2625),"")</f>
      </c>
      <c r="N2625" s="12">
        <f>IF(K2625=1,G2625+L2625*(J2625-G2625),"")</f>
      </c>
    </row>
    <row r="2626" spans="2:14" x14ac:dyDescent="0.25">
      <c r="B2626">
        <v>73</v>
      </c>
      <c r="C2626">
        <v>273.75</v>
      </c>
      <c r="D2626">
        <v>27</v>
      </c>
      <c r="E2626" s="18">
        <v>2878.3049555370644</v>
      </c>
      <c r="F2626" s="18">
        <v>-3938.991865914493</v>
      </c>
      <c r="G2626" s="18">
        <v>484.4310123652173</v>
      </c>
      <c r="H2626" s="12">
        <f>E2627</f>
      </c>
      <c r="I2626" s="12">
        <f>F2627</f>
      </c>
      <c r="J2626" s="12">
        <f>G2627</f>
      </c>
      <c r="K2626">
        <f>IF(AND(Pu&gt;=MIN(E2626,H2626),Pu&lt;=MAX(E2626,H2626),E2626&lt;&gt;H2626),1,0)</f>
      </c>
      <c r="L2626">
        <f>IF(K2626=1,(Pu-E2626)/(H2626-E2626),"")</f>
      </c>
      <c r="M2626" s="12">
        <f>IF(K2626=1,F2626+L2626*(I2626-F2626),"")</f>
      </c>
      <c r="N2626" s="12">
        <f>IF(K2626=1,G2626+L2626*(J2626-G2626),"")</f>
      </c>
    </row>
    <row r="2627" spans="2:14" x14ac:dyDescent="0.25">
      <c r="B2627">
        <v>73</v>
      </c>
      <c r="C2627">
        <v>273.75</v>
      </c>
      <c r="D2627">
        <v>28</v>
      </c>
      <c r="E2627" s="18">
        <v>1734.5083949302166</v>
      </c>
      <c r="F2627" s="18">
        <v>-3452.477610684559</v>
      </c>
      <c r="G2627" s="18">
        <v>470.3042795637011</v>
      </c>
      <c r="H2627" s="12">
        <f>E2628</f>
      </c>
      <c r="I2627" s="12">
        <f>F2628</f>
      </c>
      <c r="J2627" s="12">
        <f>G2628</f>
      </c>
      <c r="K2627">
        <f>IF(AND(Pu&gt;=MIN(E2627,H2627),Pu&lt;=MAX(E2627,H2627),E2627&lt;&gt;H2627),1,0)</f>
      </c>
      <c r="L2627">
        <f>IF(K2627=1,(Pu-E2627)/(H2627-E2627),"")</f>
      </c>
      <c r="M2627" s="12">
        <f>IF(K2627=1,F2627+L2627*(I2627-F2627),"")</f>
      </c>
      <c r="N2627" s="12">
        <f>IF(K2627=1,G2627+L2627*(J2627-G2627),"")</f>
      </c>
    </row>
    <row r="2628" spans="2:14" x14ac:dyDescent="0.25">
      <c r="B2628">
        <v>73</v>
      </c>
      <c r="C2628">
        <v>273.75</v>
      </c>
      <c r="D2628">
        <v>29</v>
      </c>
      <c r="E2628" s="18">
        <v>875.2492192249696</v>
      </c>
      <c r="F2628" s="18">
        <v>-3060.8703500420584</v>
      </c>
      <c r="G2628" s="18">
        <v>402.5925985051273</v>
      </c>
      <c r="H2628" s="12">
        <f>E2629</f>
      </c>
      <c r="I2628" s="12">
        <f>F2629</f>
      </c>
      <c r="J2628" s="12">
        <f>G2629</f>
      </c>
      <c r="K2628">
        <f>IF(AND(Pu&gt;=MIN(E2628,H2628),Pu&lt;=MAX(E2628,H2628),E2628&lt;&gt;H2628),1,0)</f>
      </c>
      <c r="L2628">
        <f>IF(K2628=1,(Pu-E2628)/(H2628-E2628),"")</f>
      </c>
      <c r="M2628" s="12">
        <f>IF(K2628=1,F2628+L2628*(I2628-F2628),"")</f>
      </c>
      <c r="N2628" s="12">
        <f>IF(K2628=1,G2628+L2628*(J2628-G2628),"")</f>
      </c>
    </row>
    <row r="2629" spans="2:14" x14ac:dyDescent="0.25">
      <c r="B2629">
        <v>73</v>
      </c>
      <c r="C2629">
        <v>273.75</v>
      </c>
      <c r="D2629">
        <v>30</v>
      </c>
      <c r="E2629" s="18">
        <v>156.8794923332448</v>
      </c>
      <c r="F2629" s="18">
        <v>-2721.901910858198</v>
      </c>
      <c r="G2629" s="18">
        <v>337.91458456512447</v>
      </c>
      <c r="H2629" s="12">
        <f>E2630</f>
      </c>
      <c r="I2629" s="12">
        <f>F2630</f>
      </c>
      <c r="J2629" s="12">
        <f>G2630</f>
      </c>
      <c r="K2629">
        <f>IF(AND(Pu&gt;=MIN(E2629,H2629),Pu&lt;=MAX(E2629,H2629),E2629&lt;&gt;H2629),1,0)</f>
      </c>
      <c r="L2629">
        <f>IF(K2629=1,(Pu-E2629)/(H2629-E2629),"")</f>
      </c>
      <c r="M2629" s="12">
        <f>IF(K2629=1,F2629+L2629*(I2629-F2629),"")</f>
      </c>
      <c r="N2629" s="12">
        <f>IF(K2629=1,G2629+L2629*(J2629-G2629),"")</f>
      </c>
    </row>
    <row r="2630" spans="2:14" x14ac:dyDescent="0.25">
      <c r="B2630">
        <v>73</v>
      </c>
      <c r="C2630">
        <v>273.75</v>
      </c>
      <c r="D2630">
        <v>31</v>
      </c>
      <c r="E2630" s="18">
        <v>-808.7013412793507</v>
      </c>
      <c r="F2630" s="18">
        <v>-2230.336487961769</v>
      </c>
      <c r="G2630" s="18">
        <v>311.1451361303781</v>
      </c>
      <c r="H2630" s="12">
        <f>E2631</f>
      </c>
      <c r="I2630" s="12">
        <f>F2631</f>
      </c>
      <c r="J2630" s="12">
        <f>G2631</f>
      </c>
      <c r="K2630">
        <f>IF(AND(Pu&gt;=MIN(E2630,H2630),Pu&lt;=MAX(E2630,H2630),E2630&lt;&gt;H2630),1,0)</f>
      </c>
      <c r="L2630">
        <f>IF(K2630=1,(Pu-E2630)/(H2630-E2630),"")</f>
      </c>
      <c r="M2630" s="12">
        <f>IF(K2630=1,F2630+L2630*(I2630-F2630),"")</f>
      </c>
      <c r="N2630" s="12">
        <f>IF(K2630=1,G2630+L2630*(J2630-G2630),"")</f>
      </c>
    </row>
    <row r="2631" spans="2:14" x14ac:dyDescent="0.25">
      <c r="B2631">
        <v>73</v>
      </c>
      <c r="C2631">
        <v>273.75</v>
      </c>
      <c r="D2631">
        <v>32</v>
      </c>
      <c r="E2631" s="18">
        <v>-1560.0613669585157</v>
      </c>
      <c r="F2631" s="18">
        <v>-1835.2339497255632</v>
      </c>
      <c r="G2631" s="18">
        <v>305.36769346044014</v>
      </c>
      <c r="H2631" s="12">
        <f>E2632</f>
      </c>
      <c r="I2631" s="12">
        <f>F2632</f>
      </c>
      <c r="J2631" s="12">
        <f>G2632</f>
      </c>
      <c r="K2631">
        <f>IF(AND(Pu&gt;=MIN(E2631,H2631),Pu&lt;=MAX(E2631,H2631),E2631&lt;&gt;H2631),1,0)</f>
      </c>
      <c r="L2631">
        <f>IF(K2631=1,(Pu-E2631)/(H2631-E2631),"")</f>
      </c>
      <c r="M2631" s="12">
        <f>IF(K2631=1,F2631+L2631*(I2631-F2631),"")</f>
      </c>
      <c r="N2631" s="12">
        <f>IF(K2631=1,G2631+L2631*(J2631-G2631),"")</f>
      </c>
    </row>
    <row r="2632" spans="2:14" x14ac:dyDescent="0.25">
      <c r="B2632">
        <v>73</v>
      </c>
      <c r="C2632">
        <v>273.75</v>
      </c>
      <c r="D2632">
        <v>33</v>
      </c>
      <c r="E2632" s="18">
        <v>-2706.7109254378174</v>
      </c>
      <c r="F2632" s="18">
        <v>-1218.8455235108356</v>
      </c>
      <c r="G2632" s="18">
        <v>319.7183116335395</v>
      </c>
      <c r="H2632" s="12">
        <f>E2633</f>
      </c>
      <c r="I2632" s="12">
        <f>F2633</f>
      </c>
      <c r="J2632" s="12">
        <f>G2633</f>
      </c>
      <c r="K2632">
        <f>IF(AND(Pu&gt;=MIN(E2632,H2632),Pu&lt;=MAX(E2632,H2632),E2632&lt;&gt;H2632),1,0)</f>
      </c>
      <c r="L2632">
        <f>IF(K2632=1,(Pu-E2632)/(H2632-E2632),"")</f>
      </c>
      <c r="M2632" s="12">
        <f>IF(K2632=1,F2632+L2632*(I2632-F2632),"")</f>
      </c>
      <c r="N2632" s="12">
        <f>IF(K2632=1,G2632+L2632*(J2632-G2632),"")</f>
      </c>
    </row>
    <row r="2633" spans="2:14" x14ac:dyDescent="0.25">
      <c r="B2633">
        <v>73</v>
      </c>
      <c r="C2633">
        <v>273.75</v>
      </c>
      <c r="D2633">
        <v>34</v>
      </c>
      <c r="E2633" s="18">
        <v>-3600.8476529667864</v>
      </c>
      <c r="F2633" s="18">
        <v>-733.5934691736024</v>
      </c>
      <c r="G2633" s="18">
        <v>314.01128352388986</v>
      </c>
      <c r="H2633" s="12">
        <f>E2634</f>
      </c>
      <c r="I2633" s="12">
        <f>F2634</f>
      </c>
      <c r="J2633" s="12">
        <f>G2634</f>
      </c>
      <c r="K2633">
        <f>IF(AND(Pu&gt;=MIN(E2633,H2633),Pu&lt;=MAX(E2633,H2633),E2633&lt;&gt;H2633),1,0)</f>
      </c>
      <c r="L2633">
        <f>IF(K2633=1,(Pu-E2633)/(H2633-E2633),"")</f>
      </c>
      <c r="M2633" s="12">
        <f>IF(K2633=1,F2633+L2633*(I2633-F2633),"")</f>
      </c>
      <c r="N2633" s="12">
        <f>IF(K2633=1,G2633+L2633*(J2633-G2633),"")</f>
      </c>
    </row>
    <row r="2634" spans="2:14" x14ac:dyDescent="0.25">
      <c r="B2634">
        <v>73</v>
      </c>
      <c r="C2634">
        <v>273.75</v>
      </c>
      <c r="D2634">
        <v>35</v>
      </c>
      <c r="E2634" s="18">
        <v>-4543.679923685729</v>
      </c>
      <c r="F2634" s="18">
        <v>-218.31311107825437</v>
      </c>
      <c r="G2634" s="18">
        <v>134.13013563687525</v>
      </c>
      <c r="H2634" s="12">
        <f>E2635</f>
      </c>
      <c r="I2634" s="12">
        <f>F2635</f>
      </c>
      <c r="J2634" s="12">
        <f>G2635</f>
      </c>
      <c r="K2634">
        <f>IF(AND(Pu&gt;=MIN(E2634,H2634),Pu&lt;=MAX(E2634,H2634),E2634&lt;&gt;H2634),1,0)</f>
      </c>
      <c r="L2634">
        <f>IF(K2634=1,(Pu-E2634)/(H2634-E2634),"")</f>
      </c>
      <c r="M2634" s="12">
        <f>IF(K2634=1,F2634+L2634*(I2634-F2634),"")</f>
      </c>
      <c r="N2634" s="12">
        <f>IF(K2634=1,G2634+L2634*(J2634-G2634),"")</f>
      </c>
    </row>
    <row r="2635" spans="2:7" x14ac:dyDescent="0.25">
      <c r="B2635">
        <v>73</v>
      </c>
      <c r="C2635">
        <v>273.75</v>
      </c>
      <c r="D2635">
        <v>36</v>
      </c>
      <c r="E2635" s="18">
        <v>-4734.975702555576</v>
      </c>
      <c r="F2635" s="18">
        <v>-110.04333845760303</v>
      </c>
      <c r="G2635" s="18">
        <v>74.10842679388865</v>
      </c>
    </row>
    <row r="2637" spans="2:14" x14ac:dyDescent="0.25">
      <c r="B2637">
        <v>74</v>
      </c>
      <c r="C2637">
        <v>275.62499999999994</v>
      </c>
      <c r="D2637">
        <v>1</v>
      </c>
      <c r="E2637" s="18">
        <v>16530.011636440337</v>
      </c>
      <c r="F2637" s="18">
        <v>-2645.2521143097374</v>
      </c>
      <c r="G2637" s="18">
        <v>449.0384581804031</v>
      </c>
      <c r="H2637" s="12">
        <f>E2638</f>
      </c>
      <c r="I2637" s="12">
        <f>F2638</f>
      </c>
      <c r="J2637" s="12">
        <f>G2638</f>
      </c>
      <c r="K2637">
        <f>IF(AND(Pu&gt;=MIN(E2637,H2637),Pu&lt;=MAX(E2637,H2637),E2637&lt;&gt;H2637),1,0)</f>
      </c>
      <c r="L2637">
        <f>IF(K2637=1,(Pu-E2637)/(H2637-E2637),"")</f>
      </c>
      <c r="M2637" s="12">
        <f>IF(K2637=1,F2637+L2637*(I2637-F2637),"")</f>
      </c>
      <c r="N2637" s="12">
        <f>IF(K2637=1,G2637+L2637*(J2637-G2637),"")</f>
      </c>
    </row>
    <row r="2638" spans="2:14" x14ac:dyDescent="0.25">
      <c r="B2638">
        <v>74</v>
      </c>
      <c r="C2638">
        <v>275.62499999999994</v>
      </c>
      <c r="D2638">
        <v>2</v>
      </c>
      <c r="E2638" s="18">
        <v>15206.985028555098</v>
      </c>
      <c r="F2638" s="18">
        <v>-3131.3582828340886</v>
      </c>
      <c r="G2638" s="18">
        <v>385.6486123099456</v>
      </c>
      <c r="H2638" s="12">
        <f>E2639</f>
      </c>
      <c r="I2638" s="12">
        <f>F2639</f>
      </c>
      <c r="J2638" s="12">
        <f>G2639</f>
      </c>
      <c r="K2638">
        <f>IF(AND(Pu&gt;=MIN(E2638,H2638),Pu&lt;=MAX(E2638,H2638),E2638&lt;&gt;H2638),1,0)</f>
      </c>
      <c r="L2638">
        <f>IF(K2638=1,(Pu-E2638)/(H2638-E2638),"")</f>
      </c>
      <c r="M2638" s="12">
        <f>IF(K2638=1,F2638+L2638*(I2638-F2638),"")</f>
      </c>
      <c r="N2638" s="12">
        <f>IF(K2638=1,G2638+L2638*(J2638-G2638),"")</f>
      </c>
    </row>
    <row r="2639" spans="2:14" x14ac:dyDescent="0.25">
      <c r="B2639">
        <v>74</v>
      </c>
      <c r="C2639">
        <v>275.62499999999994</v>
      </c>
      <c r="D2639">
        <v>3</v>
      </c>
      <c r="E2639" s="18">
        <v>14165.669857615223</v>
      </c>
      <c r="F2639" s="18">
        <v>-3449.6160267824657</v>
      </c>
      <c r="G2639" s="18">
        <v>367.9491416802742</v>
      </c>
      <c r="H2639" s="12">
        <f>E2640</f>
      </c>
      <c r="I2639" s="12">
        <f>F2640</f>
      </c>
      <c r="J2639" s="12">
        <f>G2640</f>
      </c>
      <c r="K2639">
        <f>IF(AND(Pu&gt;=MIN(E2639,H2639),Pu&lt;=MAX(E2639,H2639),E2639&lt;&gt;H2639),1,0)</f>
      </c>
      <c r="L2639">
        <f>IF(K2639=1,(Pu-E2639)/(H2639-E2639),"")</f>
      </c>
      <c r="M2639" s="12">
        <f>IF(K2639=1,F2639+L2639*(I2639-F2639),"")</f>
      </c>
      <c r="N2639" s="12">
        <f>IF(K2639=1,G2639+L2639*(J2639-G2639),"")</f>
      </c>
    </row>
    <row r="2640" spans="2:14" x14ac:dyDescent="0.25">
      <c r="B2640">
        <v>74</v>
      </c>
      <c r="C2640">
        <v>275.62499999999994</v>
      </c>
      <c r="D2640">
        <v>4</v>
      </c>
      <c r="E2640" s="18">
        <v>12539.260737697006</v>
      </c>
      <c r="F2640" s="18">
        <v>-3839.319728681253</v>
      </c>
      <c r="G2640" s="18">
        <v>386.0922052578362</v>
      </c>
      <c r="H2640" s="12">
        <f>E2641</f>
      </c>
      <c r="I2640" s="12">
        <f>F2641</f>
      </c>
      <c r="J2640" s="12">
        <f>G2641</f>
      </c>
      <c r="K2640">
        <f>IF(AND(Pu&gt;=MIN(E2640,H2640),Pu&lt;=MAX(E2640,H2640),E2640&lt;&gt;H2640),1,0)</f>
      </c>
      <c r="L2640">
        <f>IF(K2640=1,(Pu-E2640)/(H2640-E2640),"")</f>
      </c>
      <c r="M2640" s="12">
        <f>IF(K2640=1,F2640+L2640*(I2640-F2640),"")</f>
      </c>
      <c r="N2640" s="12">
        <f>IF(K2640=1,G2640+L2640*(J2640-G2640),"")</f>
      </c>
    </row>
    <row r="2641" spans="2:14" x14ac:dyDescent="0.25">
      <c r="B2641">
        <v>74</v>
      </c>
      <c r="C2641">
        <v>275.62499999999994</v>
      </c>
      <c r="D2641">
        <v>5</v>
      </c>
      <c r="E2641" s="18">
        <v>11134.242492863925</v>
      </c>
      <c r="F2641" s="18">
        <v>-4088.2521334415246</v>
      </c>
      <c r="G2641" s="18">
        <v>410.0270423065881</v>
      </c>
      <c r="H2641" s="12">
        <f>E2642</f>
      </c>
      <c r="I2641" s="12">
        <f>F2642</f>
      </c>
      <c r="J2641" s="12">
        <f>G2642</f>
      </c>
      <c r="K2641">
        <f>IF(AND(Pu&gt;=MIN(E2641,H2641),Pu&lt;=MAX(E2641,H2641),E2641&lt;&gt;H2641),1,0)</f>
      </c>
      <c r="L2641">
        <f>IF(K2641=1,(Pu-E2641)/(H2641-E2641),"")</f>
      </c>
      <c r="M2641" s="12">
        <f>IF(K2641=1,F2641+L2641*(I2641-F2641),"")</f>
      </c>
      <c r="N2641" s="12">
        <f>IF(K2641=1,G2641+L2641*(J2641-G2641),"")</f>
      </c>
    </row>
    <row r="2642" spans="2:14" x14ac:dyDescent="0.25">
      <c r="B2642">
        <v>74</v>
      </c>
      <c r="C2642">
        <v>275.62499999999994</v>
      </c>
      <c r="D2642">
        <v>6</v>
      </c>
      <c r="E2642" s="18">
        <v>9925.727353342492</v>
      </c>
      <c r="F2642" s="18">
        <v>-4256.518604628838</v>
      </c>
      <c r="G2642" s="18">
        <v>443.0265553997847</v>
      </c>
      <c r="H2642" s="12">
        <f>E2643</f>
      </c>
      <c r="I2642" s="12">
        <f>F2643</f>
      </c>
      <c r="J2642" s="12">
        <f>G2643</f>
      </c>
      <c r="K2642">
        <f>IF(AND(Pu&gt;=MIN(E2642,H2642),Pu&lt;=MAX(E2642,H2642),E2642&lt;&gt;H2642),1,0)</f>
      </c>
      <c r="L2642">
        <f>IF(K2642=1,(Pu-E2642)/(H2642-E2642),"")</f>
      </c>
      <c r="M2642" s="12">
        <f>IF(K2642=1,F2642+L2642*(I2642-F2642),"")</f>
      </c>
      <c r="N2642" s="12">
        <f>IF(K2642=1,G2642+L2642*(J2642-G2642),"")</f>
      </c>
    </row>
    <row r="2643" spans="2:14" x14ac:dyDescent="0.25">
      <c r="B2643">
        <v>74</v>
      </c>
      <c r="C2643">
        <v>275.62499999999994</v>
      </c>
      <c r="D2643">
        <v>7</v>
      </c>
      <c r="E2643" s="18">
        <v>9130.236543335088</v>
      </c>
      <c r="F2643" s="18">
        <v>-4352.647343644442</v>
      </c>
      <c r="G2643" s="18">
        <v>451.5398945924022</v>
      </c>
      <c r="H2643" s="12">
        <f>E2644</f>
      </c>
      <c r="I2643" s="12">
        <f>F2644</f>
      </c>
      <c r="J2643" s="12">
        <f>G2644</f>
      </c>
      <c r="K2643">
        <f>IF(AND(Pu&gt;=MIN(E2643,H2643),Pu&lt;=MAX(E2643,H2643),E2643&lt;&gt;H2643),1,0)</f>
      </c>
      <c r="L2643">
        <f>IF(K2643=1,(Pu-E2643)/(H2643-E2643),"")</f>
      </c>
      <c r="M2643" s="12">
        <f>IF(K2643=1,F2643+L2643*(I2643-F2643),"")</f>
      </c>
      <c r="N2643" s="12">
        <f>IF(K2643=1,G2643+L2643*(J2643-G2643),"")</f>
      </c>
    </row>
    <row r="2644" spans="2:14" x14ac:dyDescent="0.25">
      <c r="B2644">
        <v>74</v>
      </c>
      <c r="C2644">
        <v>275.62499999999994</v>
      </c>
      <c r="D2644">
        <v>8</v>
      </c>
      <c r="E2644" s="18">
        <v>8982.830494178896</v>
      </c>
      <c r="F2644" s="18">
        <v>-4429.527634340038</v>
      </c>
      <c r="G2644" s="18">
        <v>457.68856181723305</v>
      </c>
      <c r="H2644" s="12">
        <f>E2645</f>
      </c>
      <c r="I2644" s="12">
        <f>F2645</f>
      </c>
      <c r="J2644" s="12">
        <f>G2645</f>
      </c>
      <c r="K2644">
        <f>IF(AND(Pu&gt;=MIN(E2644,H2644),Pu&lt;=MAX(E2644,H2644),E2644&lt;&gt;H2644),1,0)</f>
      </c>
      <c r="L2644">
        <f>IF(K2644=1,(Pu-E2644)/(H2644-E2644),"")</f>
      </c>
      <c r="M2644" s="12">
        <f>IF(K2644=1,F2644+L2644*(I2644-F2644),"")</f>
      </c>
      <c r="N2644" s="12">
        <f>IF(K2644=1,G2644+L2644*(J2644-G2644),"")</f>
      </c>
    </row>
    <row r="2645" spans="2:14" x14ac:dyDescent="0.25">
      <c r="B2645">
        <v>74</v>
      </c>
      <c r="C2645">
        <v>275.62499999999994</v>
      </c>
      <c r="D2645">
        <v>9</v>
      </c>
      <c r="E2645" s="18">
        <v>8735.44618685395</v>
      </c>
      <c r="F2645" s="18">
        <v>-4552.830250361965</v>
      </c>
      <c r="G2645" s="18">
        <v>466.6355273612575</v>
      </c>
      <c r="H2645" s="12">
        <f>E2646</f>
      </c>
      <c r="I2645" s="12">
        <f>F2646</f>
      </c>
      <c r="J2645" s="12">
        <f>G2646</f>
      </c>
      <c r="K2645">
        <f>IF(AND(Pu&gt;=MIN(E2645,H2645),Pu&lt;=MAX(E2645,H2645),E2645&lt;&gt;H2645),1,0)</f>
      </c>
      <c r="L2645">
        <f>IF(K2645=1,(Pu-E2645)/(H2645-E2645),"")</f>
      </c>
      <c r="M2645" s="12">
        <f>IF(K2645=1,F2645+L2645*(I2645-F2645),"")</f>
      </c>
      <c r="N2645" s="12">
        <f>IF(K2645=1,G2645+L2645*(J2645-G2645),"")</f>
      </c>
    </row>
    <row r="2646" spans="2:14" x14ac:dyDescent="0.25">
      <c r="B2646">
        <v>74</v>
      </c>
      <c r="C2646">
        <v>275.62499999999994</v>
      </c>
      <c r="D2646">
        <v>10</v>
      </c>
      <c r="E2646" s="18">
        <v>8561.901668578705</v>
      </c>
      <c r="F2646" s="18">
        <v>-4633.572925481902</v>
      </c>
      <c r="G2646" s="18">
        <v>483.78585883220615</v>
      </c>
      <c r="H2646" s="12">
        <f>E2647</f>
      </c>
      <c r="I2646" s="12">
        <f>F2647</f>
      </c>
      <c r="J2646" s="12">
        <f>G2647</f>
      </c>
      <c r="K2646">
        <f>IF(AND(Pu&gt;=MIN(E2646,H2646),Pu&lt;=MAX(E2646,H2646),E2646&lt;&gt;H2646),1,0)</f>
      </c>
      <c r="L2646">
        <f>IF(K2646=1,(Pu-E2646)/(H2646-E2646),"")</f>
      </c>
      <c r="M2646" s="12">
        <f>IF(K2646=1,F2646+L2646*(I2646-F2646),"")</f>
      </c>
      <c r="N2646" s="12">
        <f>IF(K2646=1,G2646+L2646*(J2646-G2646),"")</f>
      </c>
    </row>
    <row r="2647" spans="2:14" x14ac:dyDescent="0.25">
      <c r="B2647">
        <v>74</v>
      </c>
      <c r="C2647">
        <v>275.62499999999994</v>
      </c>
      <c r="D2647">
        <v>11</v>
      </c>
      <c r="E2647" s="18">
        <v>8437.550809762764</v>
      </c>
      <c r="F2647" s="18">
        <v>-4690.022720599953</v>
      </c>
      <c r="G2647" s="18">
        <v>496.4909965980313</v>
      </c>
      <c r="H2647" s="12">
        <f>E2648</f>
      </c>
      <c r="I2647" s="12">
        <f>F2648</f>
      </c>
      <c r="J2647" s="12">
        <f>G2648</f>
      </c>
      <c r="K2647">
        <f>IF(AND(Pu&gt;=MIN(E2647,H2647),Pu&lt;=MAX(E2647,H2647),E2647&lt;&gt;H2647),1,0)</f>
      </c>
      <c r="L2647">
        <f>IF(K2647=1,(Pu-E2647)/(H2647-E2647),"")</f>
      </c>
      <c r="M2647" s="12">
        <f>IF(K2647=1,F2647+L2647*(I2647-F2647),"")</f>
      </c>
      <c r="N2647" s="12">
        <f>IF(K2647=1,G2647+L2647*(J2647-G2647),"")</f>
      </c>
    </row>
    <row r="2648" spans="2:14" x14ac:dyDescent="0.25">
      <c r="B2648">
        <v>74</v>
      </c>
      <c r="C2648">
        <v>275.62499999999994</v>
      </c>
      <c r="D2648">
        <v>12</v>
      </c>
      <c r="E2648" s="18">
        <v>8211.818849643123</v>
      </c>
      <c r="F2648" s="18">
        <v>-4789.712952917655</v>
      </c>
      <c r="G2648" s="18">
        <v>520.3752754704358</v>
      </c>
      <c r="H2648" s="12">
        <f>E2649</f>
      </c>
      <c r="I2648" s="12">
        <f>F2649</f>
      </c>
      <c r="J2648" s="12">
        <f>G2649</f>
      </c>
      <c r="K2648">
        <f>IF(AND(Pu&gt;=MIN(E2648,H2648),Pu&lt;=MAX(E2648,H2648),E2648&lt;&gt;H2648),1,0)</f>
      </c>
      <c r="L2648">
        <f>IF(K2648=1,(Pu-E2648)/(H2648-E2648),"")</f>
      </c>
      <c r="M2648" s="12">
        <f>IF(K2648=1,F2648+L2648*(I2648-F2648),"")</f>
      </c>
      <c r="N2648" s="12">
        <f>IF(K2648=1,G2648+L2648*(J2648-G2648),"")</f>
      </c>
    </row>
    <row r="2649" spans="2:14" x14ac:dyDescent="0.25">
      <c r="B2649">
        <v>74</v>
      </c>
      <c r="C2649">
        <v>275.62499999999994</v>
      </c>
      <c r="D2649">
        <v>13</v>
      </c>
      <c r="E2649" s="18">
        <v>8155.803477572863</v>
      </c>
      <c r="F2649" s="18">
        <v>-4814.869565418786</v>
      </c>
      <c r="G2649" s="18">
        <v>522.3223107596987</v>
      </c>
      <c r="H2649" s="12">
        <f>E2650</f>
      </c>
      <c r="I2649" s="12">
        <f>F2650</f>
      </c>
      <c r="J2649" s="12">
        <f>G2650</f>
      </c>
      <c r="K2649">
        <f>IF(AND(Pu&gt;=MIN(E2649,H2649),Pu&lt;=MAX(E2649,H2649),E2649&lt;&gt;H2649),1,0)</f>
      </c>
      <c r="L2649">
        <f>IF(K2649=1,(Pu-E2649)/(H2649-E2649),"")</f>
      </c>
      <c r="M2649" s="12">
        <f>IF(K2649=1,F2649+L2649*(I2649-F2649),"")</f>
      </c>
      <c r="N2649" s="12">
        <f>IF(K2649=1,G2649+L2649*(J2649-G2649),"")</f>
      </c>
    </row>
    <row r="2650" spans="2:14" x14ac:dyDescent="0.25">
      <c r="B2650">
        <v>74</v>
      </c>
      <c r="C2650">
        <v>275.62499999999994</v>
      </c>
      <c r="D2650">
        <v>14</v>
      </c>
      <c r="E2650" s="18">
        <v>7925.504620681156</v>
      </c>
      <c r="F2650" s="18">
        <v>-4924.5540264816555</v>
      </c>
      <c r="G2650" s="18">
        <v>538.5901421976723</v>
      </c>
      <c r="H2650" s="12">
        <f>E2651</f>
      </c>
      <c r="I2650" s="12">
        <f>F2651</f>
      </c>
      <c r="J2650" s="12">
        <f>G2651</f>
      </c>
      <c r="K2650">
        <f>IF(AND(Pu&gt;=MIN(E2650,H2650),Pu&lt;=MAX(E2650,H2650),E2650&lt;&gt;H2650),1,0)</f>
      </c>
      <c r="L2650">
        <f>IF(K2650=1,(Pu-E2650)/(H2650-E2650),"")</f>
      </c>
      <c r="M2650" s="12">
        <f>IF(K2650=1,F2650+L2650*(I2650-F2650),"")</f>
      </c>
      <c r="N2650" s="12">
        <f>IF(K2650=1,G2650+L2650*(J2650-G2650),"")</f>
      </c>
    </row>
    <row r="2651" spans="2:14" x14ac:dyDescent="0.25">
      <c r="B2651">
        <v>74</v>
      </c>
      <c r="C2651">
        <v>275.62499999999994</v>
      </c>
      <c r="D2651">
        <v>15</v>
      </c>
      <c r="E2651" s="18">
        <v>7908.07583639165</v>
      </c>
      <c r="F2651" s="18">
        <v>-4932.082218960525</v>
      </c>
      <c r="G2651" s="18">
        <v>539.0020332778307</v>
      </c>
      <c r="H2651" s="12">
        <f>E2652</f>
      </c>
      <c r="I2651" s="12">
        <f>F2652</f>
      </c>
      <c r="J2651" s="12">
        <f>G2652</f>
      </c>
      <c r="K2651">
        <f>IF(AND(Pu&gt;=MIN(E2651,H2651),Pu&lt;=MAX(E2651,H2651),E2651&lt;&gt;H2651),1,0)</f>
      </c>
      <c r="L2651">
        <f>IF(K2651=1,(Pu-E2651)/(H2651-E2651),"")</f>
      </c>
      <c r="M2651" s="12">
        <f>IF(K2651=1,F2651+L2651*(I2651-F2651),"")</f>
      </c>
      <c r="N2651" s="12">
        <f>IF(K2651=1,G2651+L2651*(J2651-G2651),"")</f>
      </c>
    </row>
    <row r="2652" spans="2:14" x14ac:dyDescent="0.25">
      <c r="B2652">
        <v>74</v>
      </c>
      <c r="C2652">
        <v>275.62499999999994</v>
      </c>
      <c r="D2652">
        <v>16</v>
      </c>
      <c r="E2652" s="18">
        <v>7685.301809648923</v>
      </c>
      <c r="F2652" s="18">
        <v>-5026.4941455991275</v>
      </c>
      <c r="G2652" s="18">
        <v>543.9338718111679</v>
      </c>
      <c r="H2652" s="12">
        <f>E2653</f>
      </c>
      <c r="I2652" s="12">
        <f>F2653</f>
      </c>
      <c r="J2652" s="12">
        <f>G2653</f>
      </c>
      <c r="K2652">
        <f>IF(AND(Pu&gt;=MIN(E2652,H2652),Pu&lt;=MAX(E2652,H2652),E2652&lt;&gt;H2652),1,0)</f>
      </c>
      <c r="L2652">
        <f>IF(K2652=1,(Pu-E2652)/(H2652-E2652),"")</f>
      </c>
      <c r="M2652" s="12">
        <f>IF(K2652=1,F2652+L2652*(I2652-F2652),"")</f>
      </c>
      <c r="N2652" s="12">
        <f>IF(K2652=1,G2652+L2652*(J2652-G2652),"")</f>
      </c>
    </row>
    <row r="2653" spans="2:14" x14ac:dyDescent="0.25">
      <c r="B2653">
        <v>74</v>
      </c>
      <c r="C2653">
        <v>275.62499999999994</v>
      </c>
      <c r="D2653">
        <v>17</v>
      </c>
      <c r="E2653" s="18">
        <v>7470.222308300375</v>
      </c>
      <c r="F2653" s="18">
        <v>-5116.899115051763</v>
      </c>
      <c r="G2653" s="18">
        <v>563.7270793414751</v>
      </c>
      <c r="H2653" s="12">
        <f>E2654</f>
      </c>
      <c r="I2653" s="12">
        <f>F2654</f>
      </c>
      <c r="J2653" s="12">
        <f>G2654</f>
      </c>
      <c r="K2653">
        <f>IF(AND(Pu&gt;=MIN(E2653,H2653),Pu&lt;=MAX(E2653,H2653),E2653&lt;&gt;H2653),1,0)</f>
      </c>
      <c r="L2653">
        <f>IF(K2653=1,(Pu-E2653)/(H2653-E2653),"")</f>
      </c>
      <c r="M2653" s="12">
        <f>IF(K2653=1,F2653+L2653*(I2653-F2653),"")</f>
      </c>
      <c r="N2653" s="12">
        <f>IF(K2653=1,G2653+L2653*(J2653-G2653),"")</f>
      </c>
    </row>
    <row r="2654" spans="2:14" x14ac:dyDescent="0.25">
      <c r="B2654">
        <v>74</v>
      </c>
      <c r="C2654">
        <v>275.62499999999994</v>
      </c>
      <c r="D2654">
        <v>18</v>
      </c>
      <c r="E2654" s="18">
        <v>7373.525342013648</v>
      </c>
      <c r="F2654" s="18">
        <v>-5169.010813203876</v>
      </c>
      <c r="G2654" s="18">
        <v>568.5480013249713</v>
      </c>
      <c r="H2654" s="12">
        <f>E2655</f>
      </c>
      <c r="I2654" s="12">
        <f>F2655</f>
      </c>
      <c r="J2654" s="12">
        <f>G2655</f>
      </c>
      <c r="K2654">
        <f>IF(AND(Pu&gt;=MIN(E2654,H2654),Pu&lt;=MAX(E2654,H2654),E2654&lt;&gt;H2654),1,0)</f>
      </c>
      <c r="L2654">
        <f>IF(K2654=1,(Pu-E2654)/(H2654-E2654),"")</f>
      </c>
      <c r="M2654" s="12">
        <f>IF(K2654=1,F2654+L2654*(I2654-F2654),"")</f>
      </c>
      <c r="N2654" s="12">
        <f>IF(K2654=1,G2654+L2654*(J2654-G2654),"")</f>
      </c>
    </row>
    <row r="2655" spans="2:14" x14ac:dyDescent="0.25">
      <c r="B2655">
        <v>74</v>
      </c>
      <c r="C2655">
        <v>275.62499999999994</v>
      </c>
      <c r="D2655">
        <v>19</v>
      </c>
      <c r="E2655" s="18">
        <v>7289.6772055336305</v>
      </c>
      <c r="F2655" s="18">
        <v>-5204.121701530358</v>
      </c>
      <c r="G2655" s="18">
        <v>579.2830858159988</v>
      </c>
      <c r="H2655" s="12">
        <f>E2656</f>
      </c>
      <c r="I2655" s="12">
        <f>F2656</f>
      </c>
      <c r="J2655" s="12">
        <f>G2656</f>
      </c>
      <c r="K2655">
        <f>IF(AND(Pu&gt;=MIN(E2655,H2655),Pu&lt;=MAX(E2655,H2655),E2655&lt;&gt;H2655),1,0)</f>
      </c>
      <c r="L2655">
        <f>IF(K2655=1,(Pu-E2655)/(H2655-E2655),"")</f>
      </c>
      <c r="M2655" s="12">
        <f>IF(K2655=1,F2655+L2655*(I2655-F2655),"")</f>
      </c>
      <c r="N2655" s="12">
        <f>IF(K2655=1,G2655+L2655*(J2655-G2655),"")</f>
      </c>
    </row>
    <row r="2656" spans="2:14" x14ac:dyDescent="0.25">
      <c r="B2656">
        <v>74</v>
      </c>
      <c r="C2656">
        <v>275.62499999999994</v>
      </c>
      <c r="D2656">
        <v>20</v>
      </c>
      <c r="E2656" s="18">
        <v>7122.6312131243085</v>
      </c>
      <c r="F2656" s="18">
        <v>-5278.5568482373465</v>
      </c>
      <c r="G2656" s="18">
        <v>586.8571565321888</v>
      </c>
      <c r="H2656" s="12">
        <f>E2657</f>
      </c>
      <c r="I2656" s="12">
        <f>F2657</f>
      </c>
      <c r="J2656" s="12">
        <f>G2657</f>
      </c>
      <c r="K2656">
        <f>IF(AND(Pu&gt;=MIN(E2656,H2656),Pu&lt;=MAX(E2656,H2656),E2656&lt;&gt;H2656),1,0)</f>
      </c>
      <c r="L2656">
        <f>IF(K2656=1,(Pu-E2656)/(H2656-E2656),"")</f>
      </c>
      <c r="M2656" s="12">
        <f>IF(K2656=1,F2656+L2656*(I2656-F2656),"")</f>
      </c>
      <c r="N2656" s="12">
        <f>IF(K2656=1,G2656+L2656*(J2656-G2656),"")</f>
      </c>
    </row>
    <row r="2657" spans="2:14" x14ac:dyDescent="0.25">
      <c r="B2657">
        <v>74</v>
      </c>
      <c r="C2657">
        <v>275.62499999999994</v>
      </c>
      <c r="D2657">
        <v>21</v>
      </c>
      <c r="E2657" s="18">
        <v>7096.227069919964</v>
      </c>
      <c r="F2657" s="18">
        <v>-5272.72065163444</v>
      </c>
      <c r="G2657" s="18">
        <v>586.2805483719359</v>
      </c>
      <c r="H2657" s="12">
        <f>E2658</f>
      </c>
      <c r="I2657" s="12">
        <f>F2658</f>
      </c>
      <c r="J2657" s="12">
        <f>G2658</f>
      </c>
      <c r="K2657">
        <f>IF(AND(Pu&gt;=MIN(E2657,H2657),Pu&lt;=MAX(E2657,H2657),E2657&lt;&gt;H2657),1,0)</f>
      </c>
      <c r="L2657">
        <f>IF(K2657=1,(Pu-E2657)/(H2657-E2657),"")</f>
      </c>
      <c r="M2657" s="12">
        <f>IF(K2657=1,F2657+L2657*(I2657-F2657),"")</f>
      </c>
      <c r="N2657" s="12">
        <f>IF(K2657=1,G2657+L2657*(J2657-G2657),"")</f>
      </c>
    </row>
    <row r="2658" spans="2:14" x14ac:dyDescent="0.25">
      <c r="B2658">
        <v>74</v>
      </c>
      <c r="C2658">
        <v>275.62499999999994</v>
      </c>
      <c r="D2658">
        <v>22</v>
      </c>
      <c r="E2658" s="18">
        <v>6510.207920393435</v>
      </c>
      <c r="F2658" s="18">
        <v>-5138.126967028063</v>
      </c>
      <c r="G2658" s="18">
        <v>576.3844091700355</v>
      </c>
      <c r="H2658" s="12">
        <f>E2659</f>
      </c>
      <c r="I2658" s="12">
        <f>F2659</f>
      </c>
      <c r="J2658" s="12">
        <f>G2659</f>
      </c>
      <c r="K2658">
        <f>IF(AND(Pu&gt;=MIN(E2658,H2658),Pu&lt;=MAX(E2658,H2658),E2658&lt;&gt;H2658),1,0)</f>
      </c>
      <c r="L2658">
        <f>IF(K2658=1,(Pu-E2658)/(H2658-E2658),"")</f>
      </c>
      <c r="M2658" s="12">
        <f>IF(K2658=1,F2658+L2658*(I2658-F2658),"")</f>
      </c>
      <c r="N2658" s="12">
        <f>IF(K2658=1,G2658+L2658*(J2658-G2658),"")</f>
      </c>
    </row>
    <row r="2659" spans="2:14" x14ac:dyDescent="0.25">
      <c r="B2659">
        <v>74</v>
      </c>
      <c r="C2659">
        <v>275.62499999999994</v>
      </c>
      <c r="D2659">
        <v>23</v>
      </c>
      <c r="E2659" s="18">
        <v>5504.76091673298</v>
      </c>
      <c r="F2659" s="18">
        <v>-4866.176470166721</v>
      </c>
      <c r="G2659" s="18">
        <v>609.1564414298701</v>
      </c>
      <c r="H2659" s="12">
        <f>E2660</f>
      </c>
      <c r="I2659" s="12">
        <f>F2660</f>
      </c>
      <c r="J2659" s="12">
        <f>G2660</f>
      </c>
      <c r="K2659">
        <f>IF(AND(Pu&gt;=MIN(E2659,H2659),Pu&lt;=MAX(E2659,H2659),E2659&lt;&gt;H2659),1,0)</f>
      </c>
      <c r="L2659">
        <f>IF(K2659=1,(Pu-E2659)/(H2659-E2659),"")</f>
      </c>
      <c r="M2659" s="12">
        <f>IF(K2659=1,F2659+L2659*(I2659-F2659),"")</f>
      </c>
      <c r="N2659" s="12">
        <f>IF(K2659=1,G2659+L2659*(J2659-G2659),"")</f>
      </c>
    </row>
    <row r="2660" spans="2:14" x14ac:dyDescent="0.25">
      <c r="B2660">
        <v>74</v>
      </c>
      <c r="C2660">
        <v>275.62499999999994</v>
      </c>
      <c r="D2660">
        <v>24</v>
      </c>
      <c r="E2660" s="18">
        <v>4669.396563250343</v>
      </c>
      <c r="F2660" s="18">
        <v>-4590.709240597802</v>
      </c>
      <c r="G2660" s="18">
        <v>647.8593037494402</v>
      </c>
      <c r="H2660" s="12">
        <f>E2661</f>
      </c>
      <c r="I2660" s="12">
        <f>F2661</f>
      </c>
      <c r="J2660" s="12">
        <f>G2661</f>
      </c>
      <c r="K2660">
        <f>IF(AND(Pu&gt;=MIN(E2660,H2660),Pu&lt;=MAX(E2660,H2660),E2660&lt;&gt;H2660),1,0)</f>
      </c>
      <c r="L2660">
        <f>IF(K2660=1,(Pu-E2660)/(H2660-E2660),"")</f>
      </c>
      <c r="M2660" s="12">
        <f>IF(K2660=1,F2660+L2660*(I2660-F2660),"")</f>
      </c>
      <c r="N2660" s="12">
        <f>IF(K2660=1,G2660+L2660*(J2660-G2660),"")</f>
      </c>
    </row>
    <row r="2661" spans="2:14" x14ac:dyDescent="0.25">
      <c r="B2661">
        <v>74</v>
      </c>
      <c r="C2661">
        <v>275.62499999999994</v>
      </c>
      <c r="D2661">
        <v>25</v>
      </c>
      <c r="E2661" s="18">
        <v>3814.8567319189797</v>
      </c>
      <c r="F2661" s="18">
        <v>-4280.175070001698</v>
      </c>
      <c r="G2661" s="18">
        <v>671.713687529419</v>
      </c>
      <c r="H2661" s="12">
        <f>E2662</f>
      </c>
      <c r="I2661" s="12">
        <f>F2662</f>
      </c>
      <c r="J2661" s="12">
        <f>G2662</f>
      </c>
      <c r="K2661">
        <f>IF(AND(Pu&gt;=MIN(E2661,H2661),Pu&lt;=MAX(E2661,H2661),E2661&lt;&gt;H2661),1,0)</f>
      </c>
      <c r="L2661">
        <f>IF(K2661=1,(Pu-E2661)/(H2661-E2661),"")</f>
      </c>
      <c r="M2661" s="12">
        <f>IF(K2661=1,F2661+L2661*(I2661-F2661),"")</f>
      </c>
      <c r="N2661" s="12">
        <f>IF(K2661=1,G2661+L2661*(J2661-G2661),"")</f>
      </c>
    </row>
    <row r="2662" spans="2:14" x14ac:dyDescent="0.25">
      <c r="B2662">
        <v>74</v>
      </c>
      <c r="C2662">
        <v>275.62499999999994</v>
      </c>
      <c r="D2662">
        <v>26</v>
      </c>
      <c r="E2662" s="18">
        <v>2413.6684264617247</v>
      </c>
      <c r="F2662" s="18">
        <v>-3719.9052956485143</v>
      </c>
      <c r="G2662" s="18">
        <v>711.0444290538047</v>
      </c>
      <c r="H2662" s="12">
        <f>E2663</f>
      </c>
      <c r="I2662" s="12">
        <f>F2663</f>
      </c>
      <c r="J2662" s="12">
        <f>G2663</f>
      </c>
      <c r="K2662">
        <f>IF(AND(Pu&gt;=MIN(E2662,H2662),Pu&lt;=MAX(E2662,H2662),E2662&lt;&gt;H2662),1,0)</f>
      </c>
      <c r="L2662">
        <f>IF(K2662=1,(Pu-E2662)/(H2662-E2662),"")</f>
      </c>
      <c r="M2662" s="12">
        <f>IF(K2662=1,F2662+L2662*(I2662-F2662),"")</f>
      </c>
      <c r="N2662" s="12">
        <f>IF(K2662=1,G2662+L2662*(J2662-G2662),"")</f>
      </c>
    </row>
    <row r="2663" spans="2:14" x14ac:dyDescent="0.25">
      <c r="B2663">
        <v>74</v>
      </c>
      <c r="C2663">
        <v>275.62499999999994</v>
      </c>
      <c r="D2663">
        <v>27</v>
      </c>
      <c r="E2663" s="18">
        <v>1286.2356264977823</v>
      </c>
      <c r="F2663" s="18">
        <v>-3221.526270794111</v>
      </c>
      <c r="G2663" s="18">
        <v>653.3022122401576</v>
      </c>
      <c r="H2663" s="12">
        <f>E2664</f>
      </c>
      <c r="I2663" s="12">
        <f>F2664</f>
      </c>
      <c r="J2663" s="12">
        <f>G2664</f>
      </c>
      <c r="K2663">
        <f>IF(AND(Pu&gt;=MIN(E2663,H2663),Pu&lt;=MAX(E2663,H2663),E2663&lt;&gt;H2663),1,0)</f>
      </c>
      <c r="L2663">
        <f>IF(K2663=1,(Pu-E2663)/(H2663-E2663),"")</f>
      </c>
      <c r="M2663" s="12">
        <f>IF(K2663=1,F2663+L2663*(I2663-F2663),"")</f>
      </c>
      <c r="N2663" s="12">
        <f>IF(K2663=1,G2663+L2663*(J2663-G2663),"")</f>
      </c>
    </row>
    <row r="2664" spans="2:14" x14ac:dyDescent="0.25">
      <c r="B2664">
        <v>74</v>
      </c>
      <c r="C2664">
        <v>275.62499999999994</v>
      </c>
      <c r="D2664">
        <v>28</v>
      </c>
      <c r="E2664" s="18">
        <v>396.93037802844077</v>
      </c>
      <c r="F2664" s="18">
        <v>-2807.374830774478</v>
      </c>
      <c r="G2664" s="18">
        <v>574.6991044572674</v>
      </c>
      <c r="H2664" s="12">
        <f>E2665</f>
      </c>
      <c r="I2664" s="12">
        <f>F2665</f>
      </c>
      <c r="J2664" s="12">
        <f>G2665</f>
      </c>
      <c r="K2664">
        <f>IF(AND(Pu&gt;=MIN(E2664,H2664),Pu&lt;=MAX(E2664,H2664),E2664&lt;&gt;H2664),1,0)</f>
      </c>
      <c r="L2664">
        <f>IF(K2664=1,(Pu-E2664)/(H2664-E2664),"")</f>
      </c>
      <c r="M2664" s="12">
        <f>IF(K2664=1,F2664+L2664*(I2664-F2664),"")</f>
      </c>
      <c r="N2664" s="12">
        <f>IF(K2664=1,G2664+L2664*(J2664-G2664),"")</f>
      </c>
    </row>
    <row r="2665" spans="2:14" x14ac:dyDescent="0.25">
      <c r="B2665">
        <v>74</v>
      </c>
      <c r="C2665">
        <v>275.62499999999994</v>
      </c>
      <c r="D2665">
        <v>29</v>
      </c>
      <c r="E2665" s="18">
        <v>-332.1588215941706</v>
      </c>
      <c r="F2665" s="18">
        <v>-2458.289235266815</v>
      </c>
      <c r="G2665" s="18">
        <v>493.921088286725</v>
      </c>
      <c r="H2665" s="12">
        <f>E2666</f>
      </c>
      <c r="I2665" s="12">
        <f>F2666</f>
      </c>
      <c r="J2665" s="12">
        <f>G2666</f>
      </c>
      <c r="K2665">
        <f>IF(AND(Pu&gt;=MIN(E2665,H2665),Pu&lt;=MAX(E2665,H2665),E2665&lt;&gt;H2665),1,0)</f>
      </c>
      <c r="L2665">
        <f>IF(K2665=1,(Pu-E2665)/(H2665-E2665),"")</f>
      </c>
      <c r="M2665" s="12">
        <f>IF(K2665=1,F2665+L2665*(I2665-F2665),"")</f>
      </c>
      <c r="N2665" s="12">
        <f>IF(K2665=1,G2665+L2665*(J2665-G2665),"")</f>
      </c>
    </row>
    <row r="2666" spans="2:14" x14ac:dyDescent="0.25">
      <c r="B2666">
        <v>74</v>
      </c>
      <c r="C2666">
        <v>275.62499999999994</v>
      </c>
      <c r="D2666">
        <v>30</v>
      </c>
      <c r="E2666" s="18">
        <v>-1370.4505478527574</v>
      </c>
      <c r="F2666" s="18">
        <v>-1926.3011714902461</v>
      </c>
      <c r="G2666" s="18">
        <v>448.3808504780913</v>
      </c>
      <c r="H2666" s="12">
        <f>E2667</f>
      </c>
      <c r="I2666" s="12">
        <f>F2667</f>
      </c>
      <c r="J2666" s="12">
        <f>G2667</f>
      </c>
      <c r="K2666">
        <f>IF(AND(Pu&gt;=MIN(E2666,H2666),Pu&lt;=MAX(E2666,H2666),E2666&lt;&gt;H2666),1,0)</f>
      </c>
      <c r="L2666">
        <f>IF(K2666=1,(Pu-E2666)/(H2666-E2666),"")</f>
      </c>
      <c r="M2666" s="12">
        <f>IF(K2666=1,F2666+L2666*(I2666-F2666),"")</f>
      </c>
      <c r="N2666" s="12">
        <f>IF(K2666=1,G2666+L2666*(J2666-G2666),"")</f>
      </c>
    </row>
    <row r="2667" spans="2:14" x14ac:dyDescent="0.25">
      <c r="B2667">
        <v>74</v>
      </c>
      <c r="C2667">
        <v>275.62499999999994</v>
      </c>
      <c r="D2667">
        <v>31</v>
      </c>
      <c r="E2667" s="18">
        <v>-2163.5971805249287</v>
      </c>
      <c r="F2667" s="18">
        <v>-1503.5105349483356</v>
      </c>
      <c r="G2667" s="18">
        <v>441.74908607850637</v>
      </c>
      <c r="H2667" s="12">
        <f>E2668</f>
      </c>
      <c r="I2667" s="12">
        <f>F2668</f>
      </c>
      <c r="J2667" s="12">
        <f>G2668</f>
      </c>
      <c r="K2667">
        <f>IF(AND(Pu&gt;=MIN(E2667,H2667),Pu&lt;=MAX(E2667,H2667),E2667&lt;&gt;H2667),1,0)</f>
      </c>
      <c r="L2667">
        <f>IF(K2667=1,(Pu-E2667)/(H2667-E2667),"")</f>
      </c>
      <c r="M2667" s="12">
        <f>IF(K2667=1,F2667+L2667*(I2667-F2667),"")</f>
      </c>
      <c r="N2667" s="12">
        <f>IF(K2667=1,G2667+L2667*(J2667-G2667),"")</f>
      </c>
    </row>
    <row r="2668" spans="2:14" x14ac:dyDescent="0.25">
      <c r="B2668">
        <v>74</v>
      </c>
      <c r="C2668">
        <v>275.62499999999994</v>
      </c>
      <c r="D2668">
        <v>32</v>
      </c>
      <c r="E2668" s="18">
        <v>-3315.9726018887263</v>
      </c>
      <c r="F2668" s="18">
        <v>-882.6514422424233</v>
      </c>
      <c r="G2668" s="18">
        <v>412.4645162688026</v>
      </c>
      <c r="H2668" s="12">
        <f>E2669</f>
      </c>
      <c r="I2668" s="12">
        <f>F2669</f>
      </c>
      <c r="J2668" s="12">
        <f>G2669</f>
      </c>
      <c r="K2668">
        <f>IF(AND(Pu&gt;=MIN(E2668,H2668),Pu&lt;=MAX(E2668,H2668),E2668&lt;&gt;H2668),1,0)</f>
      </c>
      <c r="L2668">
        <f>IF(K2668=1,(Pu-E2668)/(H2668-E2668),"")</f>
      </c>
      <c r="M2668" s="12">
        <f>IF(K2668=1,F2668+L2668*(I2668-F2668),"")</f>
      </c>
      <c r="N2668" s="12">
        <f>IF(K2668=1,G2668+L2668*(J2668-G2668),"")</f>
      </c>
    </row>
    <row r="2669" spans="2:14" x14ac:dyDescent="0.25">
      <c r="B2669">
        <v>74</v>
      </c>
      <c r="C2669">
        <v>275.62499999999994</v>
      </c>
      <c r="D2669">
        <v>33</v>
      </c>
      <c r="E2669" s="18">
        <v>-3981.227864325369</v>
      </c>
      <c r="F2669" s="18">
        <v>-522.205453655485</v>
      </c>
      <c r="G2669" s="18">
        <v>311.30535215442126</v>
      </c>
      <c r="H2669" s="12">
        <f>E2670</f>
      </c>
      <c r="I2669" s="12">
        <f>F2670</f>
      </c>
      <c r="J2669" s="12">
        <f>G2670</f>
      </c>
      <c r="K2669">
        <f>IF(AND(Pu&gt;=MIN(E2669,H2669),Pu&lt;=MAX(E2669,H2669),E2669&lt;&gt;H2669),1,0)</f>
      </c>
      <c r="L2669">
        <f>IF(K2669=1,(Pu-E2669)/(H2669-E2669),"")</f>
      </c>
      <c r="M2669" s="12">
        <f>IF(K2669=1,F2669+L2669*(I2669-F2669),"")</f>
      </c>
      <c r="N2669" s="12">
        <f>IF(K2669=1,G2669+L2669*(J2669-G2669),"")</f>
      </c>
    </row>
    <row r="2670" spans="2:14" x14ac:dyDescent="0.25">
      <c r="B2670">
        <v>74</v>
      </c>
      <c r="C2670">
        <v>275.62499999999994</v>
      </c>
      <c r="D2670">
        <v>34</v>
      </c>
      <c r="E2670" s="18">
        <v>-4653.506980435234</v>
      </c>
      <c r="F2670" s="18">
        <v>-155.05110030577</v>
      </c>
      <c r="G2670" s="18">
        <v>111.43721621348686</v>
      </c>
      <c r="H2670" s="12">
        <f>E2671</f>
      </c>
      <c r="I2670" s="12">
        <f>F2671</f>
      </c>
      <c r="J2670" s="12">
        <f>G2671</f>
      </c>
      <c r="K2670">
        <f>IF(AND(Pu&gt;=MIN(E2670,H2670),Pu&lt;=MAX(E2670,H2670),E2670&lt;&gt;H2670),1,0)</f>
      </c>
      <c r="L2670">
        <f>IF(K2670=1,(Pu-E2670)/(H2670-E2670),"")</f>
      </c>
      <c r="M2670" s="12">
        <f>IF(K2670=1,F2670+L2670*(I2670-F2670),"")</f>
      </c>
      <c r="N2670" s="12">
        <f>IF(K2670=1,G2670+L2670*(J2670-G2670),"")</f>
      </c>
    </row>
    <row r="2671" spans="2:7" x14ac:dyDescent="0.25">
      <c r="B2671">
        <v>74</v>
      </c>
      <c r="C2671">
        <v>275.62499999999994</v>
      </c>
      <c r="D2671">
        <v>35</v>
      </c>
      <c r="E2671" s="18">
        <v>-4785.534673572296</v>
      </c>
      <c r="F2671" s="18">
        <v>-80.1897127453571</v>
      </c>
      <c r="G2671" s="18">
        <v>61.29847010294664</v>
      </c>
    </row>
    <row r="2673" spans="2:14" x14ac:dyDescent="0.25">
      <c r="B2673">
        <v>75</v>
      </c>
      <c r="C2673">
        <v>277.49999999999994</v>
      </c>
      <c r="D2673">
        <v>1</v>
      </c>
      <c r="E2673" s="18">
        <v>16783.311291715527</v>
      </c>
      <c r="F2673" s="18">
        <v>-2525.9633651554836</v>
      </c>
      <c r="G2673" s="18">
        <v>591.2537739247871</v>
      </c>
      <c r="H2673" s="12">
        <f>E2674</f>
      </c>
      <c r="I2673" s="12">
        <f>F2674</f>
      </c>
      <c r="J2673" s="12">
        <f>G2674</f>
      </c>
      <c r="K2673">
        <f>IF(AND(Pu&gt;=MIN(E2673,H2673),Pu&lt;=MAX(E2673,H2673),E2673&lt;&gt;H2673),1,0)</f>
      </c>
      <c r="L2673">
        <f>IF(K2673=1,(Pu-E2673)/(H2673-E2673),"")</f>
      </c>
      <c r="M2673" s="12">
        <f>IF(K2673=1,F2673+L2673*(I2673-F2673),"")</f>
      </c>
      <c r="N2673" s="12">
        <f>IF(K2673=1,G2673+L2673*(J2673-G2673),"")</f>
      </c>
    </row>
    <row r="2674" spans="2:14" x14ac:dyDescent="0.25">
      <c r="B2674">
        <v>75</v>
      </c>
      <c r="C2674">
        <v>277.49999999999994</v>
      </c>
      <c r="D2674">
        <v>2</v>
      </c>
      <c r="E2674" s="18">
        <v>15373.286133338688</v>
      </c>
      <c r="F2674" s="18">
        <v>-3058.9708526525155</v>
      </c>
      <c r="G2674" s="18">
        <v>519.9861585847682</v>
      </c>
      <c r="H2674" s="12">
        <f>E2675</f>
      </c>
      <c r="I2674" s="12">
        <f>F2675</f>
      </c>
      <c r="J2674" s="12">
        <f>G2675</f>
      </c>
      <c r="K2674">
        <f>IF(AND(Pu&gt;=MIN(E2674,H2674),Pu&lt;=MAX(E2674,H2674),E2674&lt;&gt;H2674),1,0)</f>
      </c>
      <c r="L2674">
        <f>IF(K2674=1,(Pu-E2674)/(H2674-E2674),"")</f>
      </c>
      <c r="M2674" s="12">
        <f>IF(K2674=1,F2674+L2674*(I2674-F2674),"")</f>
      </c>
      <c r="N2674" s="12">
        <f>IF(K2674=1,G2674+L2674*(J2674-G2674),"")</f>
      </c>
    </row>
    <row r="2675" spans="2:14" x14ac:dyDescent="0.25">
      <c r="B2675">
        <v>75</v>
      </c>
      <c r="C2675">
        <v>277.49999999999994</v>
      </c>
      <c r="D2675">
        <v>3</v>
      </c>
      <c r="E2675" s="18">
        <v>14282.314957005558</v>
      </c>
      <c r="F2675" s="18">
        <v>-3401.278797212363</v>
      </c>
      <c r="G2675" s="18">
        <v>496.0259256251048</v>
      </c>
      <c r="H2675" s="12">
        <f>E2676</f>
      </c>
      <c r="I2675" s="12">
        <f>F2676</f>
      </c>
      <c r="J2675" s="12">
        <f>G2676</f>
      </c>
      <c r="K2675">
        <f>IF(AND(Pu&gt;=MIN(E2675,H2675),Pu&lt;=MAX(E2675,H2675),E2675&lt;&gt;H2675),1,0)</f>
      </c>
      <c r="L2675">
        <f>IF(K2675=1,(Pu-E2675)/(H2675-E2675),"")</f>
      </c>
      <c r="M2675" s="12">
        <f>IF(K2675=1,F2675+L2675*(I2675-F2675),"")</f>
      </c>
      <c r="N2675" s="12">
        <f>IF(K2675=1,G2675+L2675*(J2675-G2675),"")</f>
      </c>
    </row>
    <row r="2676" spans="2:14" x14ac:dyDescent="0.25">
      <c r="B2676">
        <v>75</v>
      </c>
      <c r="C2676">
        <v>277.49999999999994</v>
      </c>
      <c r="D2676">
        <v>4</v>
      </c>
      <c r="E2676" s="18">
        <v>12608.070249226412</v>
      </c>
      <c r="F2676" s="18">
        <v>-3803.0592584838673</v>
      </c>
      <c r="G2676" s="18">
        <v>519.8314751403703</v>
      </c>
      <c r="H2676" s="12">
        <f>E2677</f>
      </c>
      <c r="I2676" s="12">
        <f>F2677</f>
      </c>
      <c r="J2676" s="12">
        <f>G2677</f>
      </c>
      <c r="K2676">
        <f>IF(AND(Pu&gt;=MIN(E2676,H2676),Pu&lt;=MAX(E2676,H2676),E2676&lt;&gt;H2676),1,0)</f>
      </c>
      <c r="L2676">
        <f>IF(K2676=1,(Pu-E2676)/(H2676-E2676),"")</f>
      </c>
      <c r="M2676" s="12">
        <f>IF(K2676=1,F2676+L2676*(I2676-F2676),"")</f>
      </c>
      <c r="N2676" s="12">
        <f>IF(K2676=1,G2676+L2676*(J2676-G2676),"")</f>
      </c>
    </row>
    <row r="2677" spans="2:14" x14ac:dyDescent="0.25">
      <c r="B2677">
        <v>75</v>
      </c>
      <c r="C2677">
        <v>277.49999999999994</v>
      </c>
      <c r="D2677">
        <v>5</v>
      </c>
      <c r="E2677" s="18">
        <v>11178.378356825648</v>
      </c>
      <c r="F2677" s="18">
        <v>-4055.77929646632</v>
      </c>
      <c r="G2677" s="18">
        <v>548.2872052137424</v>
      </c>
      <c r="H2677" s="12">
        <f>E2678</f>
      </c>
      <c r="I2677" s="12">
        <f>F2678</f>
      </c>
      <c r="J2677" s="12">
        <f>G2678</f>
      </c>
      <c r="K2677">
        <f>IF(AND(Pu&gt;=MIN(E2677,H2677),Pu&lt;=MAX(E2677,H2677),E2677&lt;&gt;H2677),1,0)</f>
      </c>
      <c r="L2677">
        <f>IF(K2677=1,(Pu-E2677)/(H2677-E2677),"")</f>
      </c>
      <c r="M2677" s="12">
        <f>IF(K2677=1,F2677+L2677*(I2677-F2677),"")</f>
      </c>
      <c r="N2677" s="12">
        <f>IF(K2677=1,G2677+L2677*(J2677-G2677),"")</f>
      </c>
    </row>
    <row r="2678" spans="2:14" x14ac:dyDescent="0.25">
      <c r="B2678">
        <v>75</v>
      </c>
      <c r="C2678">
        <v>277.49999999999994</v>
      </c>
      <c r="D2678">
        <v>6</v>
      </c>
      <c r="E2678" s="18">
        <v>9950.296518298674</v>
      </c>
      <c r="F2678" s="18">
        <v>-4223.348050319827</v>
      </c>
      <c r="G2678" s="18">
        <v>585.8076113315578</v>
      </c>
      <c r="H2678" s="12">
        <f>E2679</f>
      </c>
      <c r="I2678" s="12">
        <f>F2679</f>
      </c>
      <c r="J2678" s="12">
        <f>G2679</f>
      </c>
      <c r="K2678">
        <f>IF(AND(Pu&gt;=MIN(E2678,H2678),Pu&lt;=MAX(E2678,H2678),E2678&lt;&gt;H2678),1,0)</f>
      </c>
      <c r="L2678">
        <f>IF(K2678=1,(Pu-E2678)/(H2678-E2678),"")</f>
      </c>
      <c r="M2678" s="12">
        <f>IF(K2678=1,F2678+L2678*(I2678-F2678),"")</f>
      </c>
      <c r="N2678" s="12">
        <f>IF(K2678=1,G2678+L2678*(J2678-G2678),"")</f>
      </c>
    </row>
    <row r="2679" spans="2:14" x14ac:dyDescent="0.25">
      <c r="B2679">
        <v>75</v>
      </c>
      <c r="C2679">
        <v>277.49999999999994</v>
      </c>
      <c r="D2679">
        <v>7</v>
      </c>
      <c r="E2679" s="18">
        <v>9117.635316264068</v>
      </c>
      <c r="F2679" s="18">
        <v>-4319.94339771633</v>
      </c>
      <c r="G2679" s="18">
        <v>598.3120274304987</v>
      </c>
      <c r="H2679" s="12">
        <f>E2680</f>
      </c>
      <c r="I2679" s="12">
        <f>F2680</f>
      </c>
      <c r="J2679" s="12">
        <f>G2680</f>
      </c>
      <c r="K2679">
        <f>IF(AND(Pu&gt;=MIN(E2679,H2679),Pu&lt;=MAX(E2679,H2679),E2679&lt;&gt;H2679),1,0)</f>
      </c>
      <c r="L2679">
        <f>IF(K2679=1,(Pu-E2679)/(H2679-E2679),"")</f>
      </c>
      <c r="M2679" s="12">
        <f>IF(K2679=1,F2679+L2679*(I2679-F2679),"")</f>
      </c>
      <c r="N2679" s="12">
        <f>IF(K2679=1,G2679+L2679*(J2679-G2679),"")</f>
      </c>
    </row>
    <row r="2680" spans="2:14" x14ac:dyDescent="0.25">
      <c r="B2680">
        <v>75</v>
      </c>
      <c r="C2680">
        <v>277.49999999999994</v>
      </c>
      <c r="D2680">
        <v>8</v>
      </c>
      <c r="E2680" s="18">
        <v>8976.388238169377</v>
      </c>
      <c r="F2680" s="18">
        <v>-4390.356707360263</v>
      </c>
      <c r="G2680" s="18">
        <v>607.4308964249166</v>
      </c>
      <c r="H2680" s="12">
        <f>E2681</f>
      </c>
      <c r="I2680" s="12">
        <f>F2681</f>
      </c>
      <c r="J2680" s="12">
        <f>G2681</f>
      </c>
      <c r="K2680">
        <f>IF(AND(Pu&gt;=MIN(E2680,H2680),Pu&lt;=MAX(E2680,H2680),E2680&lt;&gt;H2680),1,0)</f>
      </c>
      <c r="L2680">
        <f>IF(K2680=1,(Pu-E2680)/(H2680-E2680),"")</f>
      </c>
      <c r="M2680" s="12">
        <f>IF(K2680=1,F2680+L2680*(I2680-F2680),"")</f>
      </c>
      <c r="N2680" s="12">
        <f>IF(K2680=1,G2680+L2680*(J2680-G2680),"")</f>
      </c>
    </row>
    <row r="2681" spans="2:14" x14ac:dyDescent="0.25">
      <c r="B2681">
        <v>75</v>
      </c>
      <c r="C2681">
        <v>277.49999999999994</v>
      </c>
      <c r="D2681">
        <v>9</v>
      </c>
      <c r="E2681" s="18">
        <v>8695.511322580407</v>
      </c>
      <c r="F2681" s="18">
        <v>-4526.187163597768</v>
      </c>
      <c r="G2681" s="18">
        <v>623.6148632219487</v>
      </c>
      <c r="H2681" s="12">
        <f>E2682</f>
      </c>
      <c r="I2681" s="12">
        <f>F2682</f>
      </c>
      <c r="J2681" s="12">
        <f>G2682</f>
      </c>
      <c r="K2681">
        <f>IF(AND(Pu&gt;=MIN(E2681,H2681),Pu&lt;=MAX(E2681,H2681),E2681&lt;&gt;H2681),1,0)</f>
      </c>
      <c r="L2681">
        <f>IF(K2681=1,(Pu-E2681)/(H2681-E2681),"")</f>
      </c>
      <c r="M2681" s="12">
        <f>IF(K2681=1,F2681+L2681*(I2681-F2681),"")</f>
      </c>
      <c r="N2681" s="12">
        <f>IF(K2681=1,G2681+L2681*(J2681-G2681),"")</f>
      </c>
    </row>
    <row r="2682" spans="2:14" x14ac:dyDescent="0.25">
      <c r="B2682">
        <v>75</v>
      </c>
      <c r="C2682">
        <v>277.49999999999994</v>
      </c>
      <c r="D2682">
        <v>10</v>
      </c>
      <c r="E2682" s="18">
        <v>8515.47884747434</v>
      </c>
      <c r="F2682" s="18">
        <v>-4606.843932615646</v>
      </c>
      <c r="G2682" s="18">
        <v>642.0947883591987</v>
      </c>
      <c r="H2682" s="12">
        <f>E2683</f>
      </c>
      <c r="I2682" s="12">
        <f>F2683</f>
      </c>
      <c r="J2682" s="12">
        <f>G2683</f>
      </c>
      <c r="K2682">
        <f>IF(AND(Pu&gt;=MIN(E2682,H2682),Pu&lt;=MAX(E2682,H2682),E2682&lt;&gt;H2682),1,0)</f>
      </c>
      <c r="L2682">
        <f>IF(K2682=1,(Pu-E2682)/(H2682-E2682),"")</f>
      </c>
      <c r="M2682" s="12">
        <f>IF(K2682=1,F2682+L2682*(I2682-F2682),"")</f>
      </c>
      <c r="N2682" s="12">
        <f>IF(K2682=1,G2682+L2682*(J2682-G2682),"")</f>
      </c>
    </row>
    <row r="2683" spans="2:14" x14ac:dyDescent="0.25">
      <c r="B2683">
        <v>75</v>
      </c>
      <c r="C2683">
        <v>277.49999999999994</v>
      </c>
      <c r="D2683">
        <v>11</v>
      </c>
      <c r="E2683" s="18">
        <v>8375.365073182647</v>
      </c>
      <c r="F2683" s="18">
        <v>-4665.802523242486</v>
      </c>
      <c r="G2683" s="18">
        <v>660.135816225096</v>
      </c>
      <c r="H2683" s="12">
        <f>E2684</f>
      </c>
      <c r="I2683" s="12">
        <f>F2684</f>
      </c>
      <c r="J2683" s="12">
        <f>G2684</f>
      </c>
      <c r="K2683">
        <f>IF(AND(Pu&gt;=MIN(E2683,H2683),Pu&lt;=MAX(E2683,H2683),E2683&lt;&gt;H2683),1,0)</f>
      </c>
      <c r="L2683">
        <f>IF(K2683=1,(Pu-E2683)/(H2683-E2683),"")</f>
      </c>
      <c r="M2683" s="12">
        <f>IF(K2683=1,F2683+L2683*(I2683-F2683),"")</f>
      </c>
      <c r="N2683" s="12">
        <f>IF(K2683=1,G2683+L2683*(J2683-G2683),"")</f>
      </c>
    </row>
    <row r="2684" spans="2:14" x14ac:dyDescent="0.25">
      <c r="B2684">
        <v>75</v>
      </c>
      <c r="C2684">
        <v>277.49999999999994</v>
      </c>
      <c r="D2684">
        <v>12</v>
      </c>
      <c r="E2684" s="18">
        <v>8156.366166184969</v>
      </c>
      <c r="F2684" s="18">
        <v>-4755.784701471265</v>
      </c>
      <c r="G2684" s="18">
        <v>685.8633235042424</v>
      </c>
      <c r="H2684" s="12">
        <f>E2685</f>
      </c>
      <c r="I2684" s="12">
        <f>F2685</f>
      </c>
      <c r="J2684" s="12">
        <f>G2685</f>
      </c>
      <c r="K2684">
        <f>IF(AND(Pu&gt;=MIN(E2684,H2684),Pu&lt;=MAX(E2684,H2684),E2684&lt;&gt;H2684),1,0)</f>
      </c>
      <c r="L2684">
        <f>IF(K2684=1,(Pu-E2684)/(H2684-E2684),"")</f>
      </c>
      <c r="M2684" s="12">
        <f>IF(K2684=1,F2684+L2684*(I2684-F2684),"")</f>
      </c>
      <c r="N2684" s="12">
        <f>IF(K2684=1,G2684+L2684*(J2684-G2684),"")</f>
      </c>
    </row>
    <row r="2685" spans="2:14" x14ac:dyDescent="0.25">
      <c r="B2685">
        <v>75</v>
      </c>
      <c r="C2685">
        <v>277.49999999999994</v>
      </c>
      <c r="D2685">
        <v>13</v>
      </c>
      <c r="E2685" s="18">
        <v>8089.27885701108</v>
      </c>
      <c r="F2685" s="18">
        <v>-4783.394749382717</v>
      </c>
      <c r="G2685" s="18">
        <v>689.8739752418591</v>
      </c>
      <c r="H2685" s="12">
        <f>E2686</f>
      </c>
      <c r="I2685" s="12">
        <f>F2686</f>
      </c>
      <c r="J2685" s="12">
        <f>G2686</f>
      </c>
      <c r="K2685">
        <f>IF(AND(Pu&gt;=MIN(E2685,H2685),Pu&lt;=MAX(E2685,H2685),E2685&lt;&gt;H2685),1,0)</f>
      </c>
      <c r="L2685">
        <f>IF(K2685=1,(Pu-E2685)/(H2685-E2685),"")</f>
      </c>
      <c r="M2685" s="12">
        <f>IF(K2685=1,F2685+L2685*(I2685-F2685),"")</f>
      </c>
      <c r="N2685" s="12">
        <f>IF(K2685=1,G2685+L2685*(J2685-G2685),"")</f>
      </c>
    </row>
    <row r="2686" spans="2:14" x14ac:dyDescent="0.25">
      <c r="B2686">
        <v>75</v>
      </c>
      <c r="C2686">
        <v>277.49999999999994</v>
      </c>
      <c r="D2686">
        <v>14</v>
      </c>
      <c r="E2686" s="18">
        <v>7831.8682327852675</v>
      </c>
      <c r="F2686" s="18">
        <v>-4886.1967340969895</v>
      </c>
      <c r="G2686" s="18">
        <v>705.1883761145456</v>
      </c>
      <c r="H2686" s="12">
        <f>E2687</f>
      </c>
      <c r="I2686" s="12">
        <f>F2687</f>
      </c>
      <c r="J2686" s="12">
        <f>G2687</f>
      </c>
      <c r="K2686">
        <f>IF(AND(Pu&gt;=MIN(E2686,H2686),Pu&lt;=MAX(E2686,H2686),E2686&lt;&gt;H2686),1,0)</f>
      </c>
      <c r="L2686">
        <f>IF(K2686=1,(Pu-E2686)/(H2686-E2686),"")</f>
      </c>
      <c r="M2686" s="12">
        <f>IF(K2686=1,F2686+L2686*(I2686-F2686),"")</f>
      </c>
      <c r="N2686" s="12">
        <f>IF(K2686=1,G2686+L2686*(J2686-G2686),"")</f>
      </c>
    </row>
    <row r="2687" spans="2:14" x14ac:dyDescent="0.25">
      <c r="B2687">
        <v>75</v>
      </c>
      <c r="C2687">
        <v>277.49999999999994</v>
      </c>
      <c r="D2687">
        <v>15</v>
      </c>
      <c r="E2687" s="18">
        <v>7823.173457758005</v>
      </c>
      <c r="F2687" s="18">
        <v>-4889.586096813953</v>
      </c>
      <c r="G2687" s="18">
        <v>705.7022000096434</v>
      </c>
      <c r="H2687" s="12">
        <f>E2688</f>
      </c>
      <c r="I2687" s="12">
        <f>F2688</f>
      </c>
      <c r="J2687" s="12">
        <f>G2688</f>
      </c>
      <c r="K2687">
        <f>IF(AND(Pu&gt;=MIN(E2687,H2687),Pu&lt;=MAX(E2687,H2687),E2687&lt;&gt;H2687),1,0)</f>
      </c>
      <c r="L2687">
        <f>IF(K2687=1,(Pu-E2687)/(H2687-E2687),"")</f>
      </c>
      <c r="M2687" s="12">
        <f>IF(K2687=1,F2687+L2687*(I2687-F2687),"")</f>
      </c>
      <c r="N2687" s="12">
        <f>IF(K2687=1,G2687+L2687*(J2687-G2687),"")</f>
      </c>
    </row>
    <row r="2688" spans="2:14" x14ac:dyDescent="0.25">
      <c r="B2688">
        <v>75</v>
      </c>
      <c r="C2688">
        <v>277.49999999999994</v>
      </c>
      <c r="D2688">
        <v>16</v>
      </c>
      <c r="E2688" s="18">
        <v>7611.613220078189</v>
      </c>
      <c r="F2688" s="18">
        <v>-4988.74717144061</v>
      </c>
      <c r="G2688" s="18">
        <v>719.9378198609471</v>
      </c>
      <c r="H2688" s="12">
        <f>E2689</f>
      </c>
      <c r="I2688" s="12">
        <f>F2689</f>
      </c>
      <c r="J2688" s="12">
        <f>G2689</f>
      </c>
      <c r="K2688">
        <f>IF(AND(Pu&gt;=MIN(E2688,H2688),Pu&lt;=MAX(E2688,H2688),E2688&lt;&gt;H2688),1,0)</f>
      </c>
      <c r="L2688">
        <f>IF(K2688=1,(Pu-E2688)/(H2688-E2688),"")</f>
      </c>
      <c r="M2688" s="12">
        <f>IF(K2688=1,F2688+L2688*(I2688-F2688),"")</f>
      </c>
      <c r="N2688" s="12">
        <f>IF(K2688=1,G2688+L2688*(J2688-G2688),"")</f>
      </c>
    </row>
    <row r="2689" spans="2:14" x14ac:dyDescent="0.25">
      <c r="B2689">
        <v>75</v>
      </c>
      <c r="C2689">
        <v>277.49999999999994</v>
      </c>
      <c r="D2689">
        <v>17</v>
      </c>
      <c r="E2689" s="18">
        <v>7364.724145568493</v>
      </c>
      <c r="F2689" s="18">
        <v>-5079.539515962105</v>
      </c>
      <c r="G2689" s="18">
        <v>735.2677536916514</v>
      </c>
      <c r="H2689" s="12">
        <f>E2690</f>
      </c>
      <c r="I2689" s="12">
        <f>F2690</f>
      </c>
      <c r="J2689" s="12">
        <f>G2690</f>
      </c>
      <c r="K2689">
        <f>IF(AND(Pu&gt;=MIN(E2689,H2689),Pu&lt;=MAX(E2689,H2689),E2689&lt;&gt;H2689),1,0)</f>
      </c>
      <c r="L2689">
        <f>IF(K2689=1,(Pu-E2689)/(H2689-E2689),"")</f>
      </c>
      <c r="M2689" s="12">
        <f>IF(K2689=1,F2689+L2689*(I2689-F2689),"")</f>
      </c>
      <c r="N2689" s="12">
        <f>IF(K2689=1,G2689+L2689*(J2689-G2689),"")</f>
      </c>
    </row>
    <row r="2690" spans="2:14" x14ac:dyDescent="0.25">
      <c r="B2690">
        <v>75</v>
      </c>
      <c r="C2690">
        <v>277.49999999999994</v>
      </c>
      <c r="D2690">
        <v>18</v>
      </c>
      <c r="E2690" s="18">
        <v>7253.889623999686</v>
      </c>
      <c r="F2690" s="18">
        <v>-5119.254331528791</v>
      </c>
      <c r="G2690" s="18">
        <v>754.2693046080158</v>
      </c>
      <c r="H2690" s="12">
        <f>E2691</f>
      </c>
      <c r="I2690" s="12">
        <f>F2691</f>
      </c>
      <c r="J2690" s="12">
        <f>G2691</f>
      </c>
      <c r="K2690">
        <f>IF(AND(Pu&gt;=MIN(E2690,H2690),Pu&lt;=MAX(E2690,H2690),E2690&lt;&gt;H2690),1,0)</f>
      </c>
      <c r="L2690">
        <f>IF(K2690=1,(Pu-E2690)/(H2690-E2690),"")</f>
      </c>
      <c r="M2690" s="12">
        <f>IF(K2690=1,F2690+L2690*(I2690-F2690),"")</f>
      </c>
      <c r="N2690" s="12">
        <f>IF(K2690=1,G2690+L2690*(J2690-G2690),"")</f>
      </c>
    </row>
    <row r="2691" spans="2:14" x14ac:dyDescent="0.25">
      <c r="B2691">
        <v>75</v>
      </c>
      <c r="C2691">
        <v>277.49999999999994</v>
      </c>
      <c r="D2691">
        <v>19</v>
      </c>
      <c r="E2691" s="18">
        <v>7165.500940010486</v>
      </c>
      <c r="F2691" s="18">
        <v>-5152.51008196401</v>
      </c>
      <c r="G2691" s="18">
        <v>763.2794715037106</v>
      </c>
      <c r="H2691" s="12">
        <f>E2692</f>
      </c>
      <c r="I2691" s="12">
        <f>F2692</f>
      </c>
      <c r="J2691" s="12">
        <f>G2692</f>
      </c>
      <c r="K2691">
        <f>IF(AND(Pu&gt;=MIN(E2691,H2691),Pu&lt;=MAX(E2691,H2691),E2691&lt;&gt;H2691),1,0)</f>
      </c>
      <c r="L2691">
        <f>IF(K2691=1,(Pu-E2691)/(H2691-E2691),"")</f>
      </c>
      <c r="M2691" s="12">
        <f>IF(K2691=1,F2691+L2691*(I2691-F2691),"")</f>
      </c>
      <c r="N2691" s="12">
        <f>IF(K2691=1,G2691+L2691*(J2691-G2691),"")</f>
      </c>
    </row>
    <row r="2692" spans="2:14" x14ac:dyDescent="0.25">
      <c r="B2692">
        <v>75</v>
      </c>
      <c r="C2692">
        <v>277.49999999999994</v>
      </c>
      <c r="D2692">
        <v>20</v>
      </c>
      <c r="E2692" s="18">
        <v>6977.856630387723</v>
      </c>
      <c r="F2692" s="18">
        <v>-5217.654827504136</v>
      </c>
      <c r="G2692" s="18">
        <v>784.3705374422461</v>
      </c>
      <c r="H2692" s="12">
        <f>E2693</f>
      </c>
      <c r="I2692" s="12">
        <f>F2693</f>
      </c>
      <c r="J2692" s="12">
        <f>G2693</f>
      </c>
      <c r="K2692">
        <f>IF(AND(Pu&gt;=MIN(E2692,H2692),Pu&lt;=MAX(E2692,H2692),E2692&lt;&gt;H2692),1,0)</f>
      </c>
      <c r="L2692">
        <f>IF(K2692=1,(Pu-E2692)/(H2692-E2692),"")</f>
      </c>
      <c r="M2692" s="12">
        <f>IF(K2692=1,F2692+L2692*(I2692-F2692),"")</f>
      </c>
      <c r="N2692" s="12">
        <f>IF(K2692=1,G2692+L2692*(J2692-G2692),"")</f>
      </c>
    </row>
    <row r="2693" spans="2:14" x14ac:dyDescent="0.25">
      <c r="B2693">
        <v>75</v>
      </c>
      <c r="C2693">
        <v>277.49999999999994</v>
      </c>
      <c r="D2693">
        <v>21</v>
      </c>
      <c r="E2693" s="18">
        <v>6968.465732816475</v>
      </c>
      <c r="F2693" s="18">
        <v>-5215.48292876972</v>
      </c>
      <c r="G2693" s="18">
        <v>784.3551931009564</v>
      </c>
      <c r="H2693" s="12">
        <f>E2694</f>
      </c>
      <c r="I2693" s="12">
        <f>F2694</f>
      </c>
      <c r="J2693" s="12">
        <f>G2694</f>
      </c>
      <c r="K2693">
        <f>IF(AND(Pu&gt;=MIN(E2693,H2693),Pu&lt;=MAX(E2693,H2693),E2693&lt;&gt;H2693),1,0)</f>
      </c>
      <c r="L2693">
        <f>IF(K2693=1,(Pu-E2693)/(H2693-E2693),"")</f>
      </c>
      <c r="M2693" s="12">
        <f>IF(K2693=1,F2693+L2693*(I2693-F2693),"")</f>
      </c>
      <c r="N2693" s="12">
        <f>IF(K2693=1,G2693+L2693*(J2693-G2693),"")</f>
      </c>
    </row>
    <row r="2694" spans="2:14" x14ac:dyDescent="0.25">
      <c r="B2694">
        <v>75</v>
      </c>
      <c r="C2694">
        <v>277.49999999999994</v>
      </c>
      <c r="D2694">
        <v>22</v>
      </c>
      <c r="E2694" s="18">
        <v>6341.765955305217</v>
      </c>
      <c r="F2694" s="18">
        <v>-5061.25214676286</v>
      </c>
      <c r="G2694" s="18">
        <v>791.4328049215014</v>
      </c>
      <c r="H2694" s="12">
        <f>E2695</f>
      </c>
      <c r="I2694" s="12">
        <f>F2695</f>
      </c>
      <c r="J2694" s="12">
        <f>G2695</f>
      </c>
      <c r="K2694">
        <f>IF(AND(Pu&gt;=MIN(E2694,H2694),Pu&lt;=MAX(E2694,H2694),E2694&lt;&gt;H2694),1,0)</f>
      </c>
      <c r="L2694">
        <f>IF(K2694=1,(Pu-E2694)/(H2694-E2694),"")</f>
      </c>
      <c r="M2694" s="12">
        <f>IF(K2694=1,F2694+L2694*(I2694-F2694),"")</f>
      </c>
      <c r="N2694" s="12">
        <f>IF(K2694=1,G2694+L2694*(J2694-G2694),"")</f>
      </c>
    </row>
    <row r="2695" spans="2:14" x14ac:dyDescent="0.25">
      <c r="B2695">
        <v>75</v>
      </c>
      <c r="C2695">
        <v>277.49999999999994</v>
      </c>
      <c r="D2695">
        <v>23</v>
      </c>
      <c r="E2695" s="18">
        <v>5245.196993671336</v>
      </c>
      <c r="F2695" s="18">
        <v>-4756.452301766892</v>
      </c>
      <c r="G2695" s="18">
        <v>824.6260100392523</v>
      </c>
      <c r="H2695" s="12">
        <f>E2696</f>
      </c>
      <c r="I2695" s="12">
        <f>F2696</f>
      </c>
      <c r="J2695" s="12">
        <f>G2696</f>
      </c>
      <c r="K2695">
        <f>IF(AND(Pu&gt;=MIN(E2695,H2695),Pu&lt;=MAX(E2695,H2695),E2695&lt;&gt;H2695),1,0)</f>
      </c>
      <c r="L2695">
        <f>IF(K2695=1,(Pu-E2695)/(H2695-E2695),"")</f>
      </c>
      <c r="M2695" s="12">
        <f>IF(K2695=1,F2695+L2695*(I2695-F2695),"")</f>
      </c>
      <c r="N2695" s="12">
        <f>IF(K2695=1,G2695+L2695*(J2695-G2695),"")</f>
      </c>
    </row>
    <row r="2696" spans="2:14" x14ac:dyDescent="0.25">
      <c r="B2696">
        <v>75</v>
      </c>
      <c r="C2696">
        <v>277.49999999999994</v>
      </c>
      <c r="D2696">
        <v>24</v>
      </c>
      <c r="E2696" s="18">
        <v>4293.565399710414</v>
      </c>
      <c r="F2696" s="18">
        <v>-4419.359274336394</v>
      </c>
      <c r="G2696" s="18">
        <v>867.6453826913223</v>
      </c>
      <c r="H2696" s="12">
        <f>E2697</f>
      </c>
      <c r="I2696" s="12">
        <f>F2697</f>
      </c>
      <c r="J2696" s="12">
        <f>G2697</f>
      </c>
      <c r="K2696">
        <f>IF(AND(Pu&gt;=MIN(E2696,H2696),Pu&lt;=MAX(E2696,H2696),E2696&lt;&gt;H2696),1,0)</f>
      </c>
      <c r="L2696">
        <f>IF(K2696=1,(Pu-E2696)/(H2696-E2696),"")</f>
      </c>
      <c r="M2696" s="12">
        <f>IF(K2696=1,F2696+L2696*(I2696-F2696),"")</f>
      </c>
      <c r="N2696" s="12">
        <f>IF(K2696=1,G2696+L2696*(J2696-G2696),"")</f>
      </c>
    </row>
    <row r="2697" spans="2:14" x14ac:dyDescent="0.25">
      <c r="B2697">
        <v>75</v>
      </c>
      <c r="C2697">
        <v>277.49999999999994</v>
      </c>
      <c r="D2697">
        <v>25</v>
      </c>
      <c r="E2697" s="18">
        <v>3430.226248487234</v>
      </c>
      <c r="F2697" s="18">
        <v>-4093.003565597945</v>
      </c>
      <c r="G2697" s="18">
        <v>903.3846070427121</v>
      </c>
      <c r="H2697" s="12">
        <f>E2698</f>
      </c>
      <c r="I2697" s="12">
        <f>F2698</f>
      </c>
      <c r="J2697" s="12">
        <f>G2698</f>
      </c>
      <c r="K2697">
        <f>IF(AND(Pu&gt;=MIN(E2697,H2697),Pu&lt;=MAX(E2697,H2697),E2697&lt;&gt;H2697),1,0)</f>
      </c>
      <c r="L2697">
        <f>IF(K2697=1,(Pu-E2697)/(H2697-E2697),"")</f>
      </c>
      <c r="M2697" s="12">
        <f>IF(K2697=1,F2697+L2697*(I2697-F2697),"")</f>
      </c>
      <c r="N2697" s="12">
        <f>IF(K2697=1,G2697+L2697*(J2697-G2697),"")</f>
      </c>
    </row>
    <row r="2698" spans="2:14" x14ac:dyDescent="0.25">
      <c r="B2698">
        <v>75</v>
      </c>
      <c r="C2698">
        <v>277.49999999999994</v>
      </c>
      <c r="D2698">
        <v>26</v>
      </c>
      <c r="E2698" s="18">
        <v>1984.1024818154608</v>
      </c>
      <c r="F2698" s="18">
        <v>-3505.804228342966</v>
      </c>
      <c r="G2698" s="18">
        <v>906.9340819594836</v>
      </c>
      <c r="H2698" s="12">
        <f>E2699</f>
      </c>
      <c r="I2698" s="12">
        <f>F2699</f>
      </c>
      <c r="J2698" s="12">
        <f>G2699</f>
      </c>
      <c r="K2698">
        <f>IF(AND(Pu&gt;=MIN(E2698,H2698),Pu&lt;=MAX(E2698,H2698),E2698&lt;&gt;H2698),1,0)</f>
      </c>
      <c r="L2698">
        <f>IF(K2698=1,(Pu-E2698)/(H2698-E2698),"")</f>
      </c>
      <c r="M2698" s="12">
        <f>IF(K2698=1,F2698+L2698*(I2698-F2698),"")</f>
      </c>
      <c r="N2698" s="12">
        <f>IF(K2698=1,G2698+L2698*(J2698-G2698),"")</f>
      </c>
    </row>
    <row r="2699" spans="2:14" x14ac:dyDescent="0.25">
      <c r="B2699">
        <v>75</v>
      </c>
      <c r="C2699">
        <v>277.49999999999994</v>
      </c>
      <c r="D2699">
        <v>27</v>
      </c>
      <c r="E2699" s="18">
        <v>881.1741793269663</v>
      </c>
      <c r="F2699" s="18">
        <v>-3005.080315852592</v>
      </c>
      <c r="G2699" s="18">
        <v>814.4203679553991</v>
      </c>
      <c r="H2699" s="12">
        <f>E2700</f>
      </c>
      <c r="I2699" s="12">
        <f>F2700</f>
      </c>
      <c r="J2699" s="12">
        <f>G2700</f>
      </c>
      <c r="K2699">
        <f>IF(AND(Pu&gt;=MIN(E2699,H2699),Pu&lt;=MAX(E2699,H2699),E2699&lt;&gt;H2699),1,0)</f>
      </c>
      <c r="L2699">
        <f>IF(K2699=1,(Pu-E2699)/(H2699-E2699),"")</f>
      </c>
      <c r="M2699" s="12">
        <f>IF(K2699=1,F2699+L2699*(I2699-F2699),"")</f>
      </c>
      <c r="N2699" s="12">
        <f>IF(K2699=1,G2699+L2699*(J2699-G2699),"")</f>
      </c>
    </row>
    <row r="2700" spans="2:14" x14ac:dyDescent="0.25">
      <c r="B2700">
        <v>75</v>
      </c>
      <c r="C2700">
        <v>277.49999999999994</v>
      </c>
      <c r="D2700">
        <v>28</v>
      </c>
      <c r="E2700" s="18">
        <v>-34.633838252561695</v>
      </c>
      <c r="F2700" s="18">
        <v>-2570.554599725518</v>
      </c>
      <c r="G2700" s="18">
        <v>727.1031922293789</v>
      </c>
      <c r="H2700" s="12">
        <f>E2701</f>
      </c>
      <c r="I2700" s="12">
        <f>F2701</f>
      </c>
      <c r="J2700" s="12">
        <f>G2701</f>
      </c>
      <c r="K2700">
        <f>IF(AND(Pu&gt;=MIN(E2700,H2700),Pu&lt;=MAX(E2700,H2700),E2700&lt;&gt;H2700),1,0)</f>
      </c>
      <c r="L2700">
        <f>IF(K2700=1,(Pu-E2700)/(H2700-E2700),"")</f>
      </c>
      <c r="M2700" s="12">
        <f>IF(K2700=1,F2700+L2700*(I2700-F2700),"")</f>
      </c>
      <c r="N2700" s="12">
        <f>IF(K2700=1,G2700+L2700*(J2700-G2700),"")</f>
      </c>
    </row>
    <row r="2701" spans="2:14" x14ac:dyDescent="0.25">
      <c r="B2701">
        <v>75</v>
      </c>
      <c r="C2701">
        <v>277.49999999999994</v>
      </c>
      <c r="D2701">
        <v>29</v>
      </c>
      <c r="E2701" s="18">
        <v>-786.4402167785803</v>
      </c>
      <c r="F2701" s="18">
        <v>-2204.3520767353943</v>
      </c>
      <c r="G2701" s="18">
        <v>643.8925660737332</v>
      </c>
      <c r="H2701" s="12">
        <f>E2702</f>
      </c>
      <c r="I2701" s="12">
        <f>F2702</f>
      </c>
      <c r="J2701" s="12">
        <f>G2702</f>
      </c>
      <c r="K2701">
        <f>IF(AND(Pu&gt;=MIN(E2701,H2701),Pu&lt;=MAX(E2701,H2701),E2701&lt;&gt;H2701),1,0)</f>
      </c>
      <c r="L2701">
        <f>IF(K2701=1,(Pu-E2701)/(H2701-E2701),"")</f>
      </c>
      <c r="M2701" s="12">
        <f>IF(K2701=1,F2701+L2701*(I2701-F2701),"")</f>
      </c>
      <c r="N2701" s="12">
        <f>IF(K2701=1,G2701+L2701*(J2701-G2701),"")</f>
      </c>
    </row>
    <row r="2702" spans="2:14" x14ac:dyDescent="0.25">
      <c r="B2702">
        <v>75</v>
      </c>
      <c r="C2702">
        <v>277.49999999999994</v>
      </c>
      <c r="D2702">
        <v>30</v>
      </c>
      <c r="E2702" s="18">
        <v>-1890.3809784376426</v>
      </c>
      <c r="F2702" s="18">
        <v>-1639.344594217452</v>
      </c>
      <c r="G2702" s="18">
        <v>559.5910969839739</v>
      </c>
      <c r="H2702" s="12">
        <f>E2703</f>
      </c>
      <c r="I2702" s="12">
        <f>F2703</f>
      </c>
      <c r="J2702" s="12">
        <f>G2703</f>
      </c>
      <c r="K2702">
        <f>IF(AND(Pu&gt;=MIN(E2702,H2702),Pu&lt;=MAX(E2702,H2702),E2702&lt;&gt;H2702),1,0)</f>
      </c>
      <c r="L2702">
        <f>IF(K2702=1,(Pu-E2702)/(H2702-E2702),"")</f>
      </c>
      <c r="M2702" s="12">
        <f>IF(K2702=1,F2702+L2702*(I2702-F2702),"")</f>
      </c>
      <c r="N2702" s="12">
        <f>IF(K2702=1,G2702+L2702*(J2702-G2702),"")</f>
      </c>
    </row>
    <row r="2703" spans="2:14" x14ac:dyDescent="0.25">
      <c r="B2703">
        <v>75</v>
      </c>
      <c r="C2703">
        <v>277.49999999999994</v>
      </c>
      <c r="D2703">
        <v>31</v>
      </c>
      <c r="E2703" s="18">
        <v>-2649.3123848405644</v>
      </c>
      <c r="F2703" s="18">
        <v>-1235.8512134349512</v>
      </c>
      <c r="G2703" s="18">
        <v>517.1974861512739</v>
      </c>
      <c r="H2703" s="12">
        <f>E2704</f>
      </c>
      <c r="I2703" s="12">
        <f>F2704</f>
      </c>
      <c r="J2703" s="12">
        <f>G2704</f>
      </c>
      <c r="K2703">
        <f>IF(AND(Pu&gt;=MIN(E2703,H2703),Pu&lt;=MAX(E2703,H2703),E2703&lt;&gt;H2703),1,0)</f>
      </c>
      <c r="L2703">
        <f>IF(K2703=1,(Pu-E2703)/(H2703-E2703),"")</f>
      </c>
      <c r="M2703" s="12">
        <f>IF(K2703=1,F2703+L2703*(I2703-F2703),"")</f>
      </c>
      <c r="N2703" s="12">
        <f>IF(K2703=1,G2703+L2703*(J2703-G2703),"")</f>
      </c>
    </row>
    <row r="2704" spans="2:14" x14ac:dyDescent="0.25">
      <c r="B2704">
        <v>75</v>
      </c>
      <c r="C2704">
        <v>277.49999999999994</v>
      </c>
      <c r="D2704">
        <v>32</v>
      </c>
      <c r="E2704" s="18">
        <v>-3643.760524436844</v>
      </c>
      <c r="F2704" s="18">
        <v>-702.0180702320757</v>
      </c>
      <c r="G2704" s="18">
        <v>412.8266812376217</v>
      </c>
      <c r="H2704" s="12">
        <f>E2705</f>
      </c>
      <c r="I2704" s="12">
        <f>F2705</f>
      </c>
      <c r="J2704" s="12">
        <f>G2705</f>
      </c>
      <c r="K2704">
        <f>IF(AND(Pu&gt;=MIN(E2704,H2704),Pu&lt;=MAX(E2704,H2704),E2704&lt;&gt;H2704),1,0)</f>
      </c>
      <c r="L2704">
        <f>IF(K2704=1,(Pu-E2704)/(H2704-E2704),"")</f>
      </c>
      <c r="M2704" s="12">
        <f>IF(K2704=1,F2704+L2704*(I2704-F2704),"")</f>
      </c>
      <c r="N2704" s="12">
        <f>IF(K2704=1,G2704+L2704*(J2704-G2704),"")</f>
      </c>
    </row>
    <row r="2705" spans="2:14" x14ac:dyDescent="0.25">
      <c r="B2705">
        <v>75</v>
      </c>
      <c r="C2705">
        <v>277.49999999999994</v>
      </c>
      <c r="D2705">
        <v>33</v>
      </c>
      <c r="E2705" s="18">
        <v>-4167.454496789964</v>
      </c>
      <c r="F2705" s="18">
        <v>-418.5951627642644</v>
      </c>
      <c r="G2705" s="18">
        <v>285.60208092479854</v>
      </c>
      <c r="H2705" s="12">
        <f>E2706</f>
      </c>
      <c r="I2705" s="12">
        <f>F2706</f>
      </c>
      <c r="J2705" s="12">
        <f>G2706</f>
      </c>
      <c r="K2705">
        <f>IF(AND(Pu&gt;=MIN(E2705,H2705),Pu&lt;=MAX(E2705,H2705),E2705&lt;&gt;H2705),1,0)</f>
      </c>
      <c r="L2705">
        <f>IF(K2705=1,(Pu-E2705)/(H2705-E2705),"")</f>
      </c>
      <c r="M2705" s="12">
        <f>IF(K2705=1,F2705+L2705*(I2705-F2705),"")</f>
      </c>
      <c r="N2705" s="12">
        <f>IF(K2705=1,G2705+L2705*(J2705-G2705),"")</f>
      </c>
    </row>
    <row r="2706" spans="2:14" x14ac:dyDescent="0.25">
      <c r="B2706">
        <v>75</v>
      </c>
      <c r="C2706">
        <v>277.49999999999994</v>
      </c>
      <c r="D2706">
        <v>34</v>
      </c>
      <c r="E2706" s="18">
        <v>-4716.898841175316</v>
      </c>
      <c r="F2706" s="18">
        <v>-118.9522881453974</v>
      </c>
      <c r="G2706" s="18">
        <v>92.29117491569845</v>
      </c>
      <c r="H2706" s="12">
        <f>E2707</f>
      </c>
      <c r="I2706" s="12">
        <f>F2707</f>
      </c>
      <c r="J2706" s="12">
        <f>G2707</f>
      </c>
      <c r="K2706">
        <f>IF(AND(Pu&gt;=MIN(E2706,H2706),Pu&lt;=MAX(E2706,H2706),E2706&lt;&gt;H2706),1,0)</f>
      </c>
      <c r="L2706">
        <f>IF(K2706=1,(Pu-E2706)/(H2706-E2706),"")</f>
      </c>
      <c r="M2706" s="12">
        <f>IF(K2706=1,F2706+L2706*(I2706-F2706),"")</f>
      </c>
      <c r="N2706" s="12">
        <f>IF(K2706=1,G2706+L2706*(J2706-G2706),"")</f>
      </c>
    </row>
    <row r="2707" spans="2:7" x14ac:dyDescent="0.25">
      <c r="B2707">
        <v>75</v>
      </c>
      <c r="C2707">
        <v>277.49999999999994</v>
      </c>
      <c r="D2707">
        <v>35</v>
      </c>
      <c r="E2707" s="18">
        <v>-4810.016026873855</v>
      </c>
      <c r="F2707" s="18">
        <v>-65.71062741143493</v>
      </c>
      <c r="G2707" s="18">
        <v>53.321943143681054</v>
      </c>
    </row>
    <row r="2709" spans="2:14" x14ac:dyDescent="0.25">
      <c r="B2709">
        <v>76</v>
      </c>
      <c r="C2709">
        <v>281.25</v>
      </c>
      <c r="D2709">
        <v>1</v>
      </c>
      <c r="E2709" s="18">
        <v>17263.170063934107</v>
      </c>
      <c r="F2709" s="18">
        <v>-2285.632203190661</v>
      </c>
      <c r="G2709" s="18">
        <v>835.2411015442754</v>
      </c>
      <c r="H2709" s="12">
        <f>E2710</f>
      </c>
      <c r="I2709" s="12">
        <f>F2710</f>
      </c>
      <c r="J2709" s="12">
        <f>G2710</f>
      </c>
      <c r="K2709">
        <f>IF(AND(Pu&gt;=MIN(E2709,H2709),Pu&lt;=MAX(E2709,H2709),E2709&lt;&gt;H2709),1,0)</f>
      </c>
      <c r="L2709">
        <f>IF(K2709=1,(Pu-E2709)/(H2709-E2709),"")</f>
      </c>
      <c r="M2709" s="12">
        <f>IF(K2709=1,F2709+L2709*(I2709-F2709),"")</f>
      </c>
      <c r="N2709" s="12">
        <f>IF(K2709=1,G2709+L2709*(J2709-G2709),"")</f>
      </c>
    </row>
    <row r="2710" spans="2:14" x14ac:dyDescent="0.25">
      <c r="B2710">
        <v>76</v>
      </c>
      <c r="C2710">
        <v>281.25</v>
      </c>
      <c r="D2710">
        <v>2</v>
      </c>
      <c r="E2710" s="18">
        <v>15741.36203430423</v>
      </c>
      <c r="F2710" s="18">
        <v>-2881.510060941759</v>
      </c>
      <c r="G2710" s="18">
        <v>790.0649663666168</v>
      </c>
      <c r="H2710" s="12">
        <f>E2711</f>
      </c>
      <c r="I2710" s="12">
        <f>F2711</f>
      </c>
      <c r="J2710" s="12">
        <f>G2711</f>
      </c>
      <c r="K2710">
        <f>IF(AND(Pu&gt;=MIN(E2710,H2710),Pu&lt;=MAX(E2710,H2710),E2710&lt;&gt;H2710),1,0)</f>
      </c>
      <c r="L2710">
        <f>IF(K2710=1,(Pu-E2710)/(H2710-E2710),"")</f>
      </c>
      <c r="M2710" s="12">
        <f>IF(K2710=1,F2710+L2710*(I2710-F2710),"")</f>
      </c>
      <c r="N2710" s="12">
        <f>IF(K2710=1,G2710+L2710*(J2710-G2710),"")</f>
      </c>
    </row>
    <row r="2711" spans="2:14" x14ac:dyDescent="0.25">
      <c r="B2711">
        <v>76</v>
      </c>
      <c r="C2711">
        <v>281.25</v>
      </c>
      <c r="D2711">
        <v>3</v>
      </c>
      <c r="E2711" s="18">
        <v>14518.404330541476</v>
      </c>
      <c r="F2711" s="18">
        <v>-3280.96660161576</v>
      </c>
      <c r="G2711" s="18">
        <v>769.3366669716828</v>
      </c>
      <c r="H2711" s="12">
        <f>E2712</f>
      </c>
      <c r="I2711" s="12">
        <f>F2712</f>
      </c>
      <c r="J2711" s="12">
        <f>G2712</f>
      </c>
      <c r="K2711">
        <f>IF(AND(Pu&gt;=MIN(E2711,H2711),Pu&lt;=MAX(E2711,H2711),E2711&lt;&gt;H2711),1,0)</f>
      </c>
      <c r="L2711">
        <f>IF(K2711=1,(Pu-E2711)/(H2711-E2711),"")</f>
      </c>
      <c r="M2711" s="12">
        <f>IF(K2711=1,F2711+L2711*(I2711-F2711),"")</f>
      </c>
      <c r="N2711" s="12">
        <f>IF(K2711=1,G2711+L2711*(J2711-G2711),"")</f>
      </c>
    </row>
    <row r="2712" spans="2:14" x14ac:dyDescent="0.25">
      <c r="B2712">
        <v>76</v>
      </c>
      <c r="C2712">
        <v>281.25</v>
      </c>
      <c r="D2712">
        <v>4</v>
      </c>
      <c r="E2712" s="18">
        <v>12744.384875227199</v>
      </c>
      <c r="F2712" s="18">
        <v>-3722.0877866031033</v>
      </c>
      <c r="G2712" s="18">
        <v>784.9520355294821</v>
      </c>
      <c r="H2712" s="12">
        <f>E2713</f>
      </c>
      <c r="I2712" s="12">
        <f>F2713</f>
      </c>
      <c r="J2712" s="12">
        <f>G2713</f>
      </c>
      <c r="K2712">
        <f>IF(AND(Pu&gt;=MIN(E2712,H2712),Pu&lt;=MAX(E2712,H2712),E2712&lt;&gt;H2712),1,0)</f>
      </c>
      <c r="L2712">
        <f>IF(K2712=1,(Pu-E2712)/(H2712-E2712),"")</f>
      </c>
      <c r="M2712" s="12">
        <f>IF(K2712=1,F2712+L2712*(I2712-F2712),"")</f>
      </c>
      <c r="N2712" s="12">
        <f>IF(K2712=1,G2712+L2712*(J2712-G2712),"")</f>
      </c>
    </row>
    <row r="2713" spans="2:14" x14ac:dyDescent="0.25">
      <c r="B2713">
        <v>76</v>
      </c>
      <c r="C2713">
        <v>281.25</v>
      </c>
      <c r="D2713">
        <v>5</v>
      </c>
      <c r="E2713" s="18">
        <v>11264.270084318921</v>
      </c>
      <c r="F2713" s="18">
        <v>-3983.318839151276</v>
      </c>
      <c r="G2713" s="18">
        <v>821.8634724321905</v>
      </c>
      <c r="H2713" s="12">
        <f>E2714</f>
      </c>
      <c r="I2713" s="12">
        <f>F2714</f>
      </c>
      <c r="J2713" s="12">
        <f>G2714</f>
      </c>
      <c r="K2713">
        <f>IF(AND(Pu&gt;=MIN(E2713,H2713),Pu&lt;=MAX(E2713,H2713),E2713&lt;&gt;H2713),1,0)</f>
      </c>
      <c r="L2713">
        <f>IF(K2713=1,(Pu-E2713)/(H2713-E2713),"")</f>
      </c>
      <c r="M2713" s="12">
        <f>IF(K2713=1,F2713+L2713*(I2713-F2713),"")</f>
      </c>
      <c r="N2713" s="12">
        <f>IF(K2713=1,G2713+L2713*(J2713-G2713),"")</f>
      </c>
    </row>
    <row r="2714" spans="2:14" x14ac:dyDescent="0.25">
      <c r="B2714">
        <v>76</v>
      </c>
      <c r="C2714">
        <v>281.25</v>
      </c>
      <c r="D2714">
        <v>6</v>
      </c>
      <c r="E2714" s="18">
        <v>9996.123651293998</v>
      </c>
      <c r="F2714" s="18">
        <v>-4152.588385755386</v>
      </c>
      <c r="G2714" s="18">
        <v>849.7102332904544</v>
      </c>
      <c r="H2714" s="12">
        <f>E2715</f>
      </c>
      <c r="I2714" s="12">
        <f>F2715</f>
      </c>
      <c r="J2714" s="12">
        <f>G2715</f>
      </c>
      <c r="K2714">
        <f>IF(AND(Pu&gt;=MIN(E2714,H2714),Pu&lt;=MAX(E2714,H2714),E2714&lt;&gt;H2714),1,0)</f>
      </c>
      <c r="L2714">
        <f>IF(K2714=1,(Pu-E2714)/(H2714-E2714),"")</f>
      </c>
      <c r="M2714" s="12">
        <f>IF(K2714=1,F2714+L2714*(I2714-F2714),"")</f>
      </c>
      <c r="N2714" s="12">
        <f>IF(K2714=1,G2714+L2714*(J2714-G2714),"")</f>
      </c>
    </row>
    <row r="2715" spans="2:14" x14ac:dyDescent="0.25">
      <c r="B2715">
        <v>76</v>
      </c>
      <c r="C2715">
        <v>281.25</v>
      </c>
      <c r="D2715">
        <v>7</v>
      </c>
      <c r="E2715" s="18">
        <v>9089.590677847846</v>
      </c>
      <c r="F2715" s="18">
        <v>-4246.716281637672</v>
      </c>
      <c r="G2715" s="18">
        <v>888.3907361739435</v>
      </c>
      <c r="H2715" s="12">
        <f>E2716</f>
      </c>
      <c r="I2715" s="12">
        <f>F2716</f>
      </c>
      <c r="J2715" s="12">
        <f>G2716</f>
      </c>
      <c r="K2715">
        <f>IF(AND(Pu&gt;=MIN(E2715,H2715),Pu&lt;=MAX(E2715,H2715),E2715&lt;&gt;H2715),1,0)</f>
      </c>
      <c r="L2715">
        <f>IF(K2715=1,(Pu-E2715)/(H2715-E2715),"")</f>
      </c>
      <c r="M2715" s="12">
        <f>IF(K2715=1,F2715+L2715*(I2715-F2715),"")</f>
      </c>
      <c r="N2715" s="12">
        <f>IF(K2715=1,G2715+L2715*(J2715-G2715),"")</f>
      </c>
    </row>
    <row r="2716" spans="2:14" x14ac:dyDescent="0.25">
      <c r="B2716">
        <v>76</v>
      </c>
      <c r="C2716">
        <v>281.25</v>
      </c>
      <c r="D2716">
        <v>8</v>
      </c>
      <c r="E2716" s="18">
        <v>8968.568382833659</v>
      </c>
      <c r="F2716" s="18">
        <v>-4301.677585630804</v>
      </c>
      <c r="G2716" s="18">
        <v>900.2478103025807</v>
      </c>
      <c r="H2716" s="12">
        <f>E2717</f>
      </c>
      <c r="I2716" s="12">
        <f>F2717</f>
      </c>
      <c r="J2716" s="12">
        <f>G2717</f>
      </c>
      <c r="K2716">
        <f>IF(AND(Pu&gt;=MIN(E2716,H2716),Pu&lt;=MAX(E2716,H2716),E2716&lt;&gt;H2716),1,0)</f>
      </c>
      <c r="L2716">
        <f>IF(K2716=1,(Pu-E2716)/(H2716-E2716),"")</f>
      </c>
      <c r="M2716" s="12">
        <f>IF(K2716=1,F2716+L2716*(I2716-F2716),"")</f>
      </c>
      <c r="N2716" s="12">
        <f>IF(K2716=1,G2716+L2716*(J2716-G2716),"")</f>
      </c>
    </row>
    <row r="2717" spans="2:14" x14ac:dyDescent="0.25">
      <c r="B2717">
        <v>76</v>
      </c>
      <c r="C2717">
        <v>281.25</v>
      </c>
      <c r="D2717">
        <v>9</v>
      </c>
      <c r="E2717" s="18">
        <v>8624.481031018411</v>
      </c>
      <c r="F2717" s="18">
        <v>-4452.368642622155</v>
      </c>
      <c r="G2717" s="18">
        <v>932.7718411391113</v>
      </c>
      <c r="H2717" s="12">
        <f>E2718</f>
      </c>
      <c r="I2717" s="12">
        <f>F2718</f>
      </c>
      <c r="J2717" s="12">
        <f>G2718</f>
      </c>
      <c r="K2717">
        <f>IF(AND(Pu&gt;=MIN(E2717,H2717),Pu&lt;=MAX(E2717,H2717),E2717&lt;&gt;H2717),1,0)</f>
      </c>
      <c r="L2717">
        <f>IF(K2717=1,(Pu-E2717)/(H2717-E2717),"")</f>
      </c>
      <c r="M2717" s="12">
        <f>IF(K2717=1,F2717+L2717*(I2717-F2717),"")</f>
      </c>
      <c r="N2717" s="12">
        <f>IF(K2717=1,G2717+L2717*(J2717-G2717),"")</f>
      </c>
    </row>
    <row r="2718" spans="2:14" x14ac:dyDescent="0.25">
      <c r="B2718">
        <v>76</v>
      </c>
      <c r="C2718">
        <v>281.25</v>
      </c>
      <c r="D2718">
        <v>10</v>
      </c>
      <c r="E2718" s="18">
        <v>8430.589065735254</v>
      </c>
      <c r="F2718" s="18">
        <v>-4532.485709982972</v>
      </c>
      <c r="G2718" s="18">
        <v>953.425742300331</v>
      </c>
      <c r="H2718" s="12">
        <f>E2719</f>
      </c>
      <c r="I2718" s="12">
        <f>F2719</f>
      </c>
      <c r="J2718" s="12">
        <f>G2719</f>
      </c>
      <c r="K2718">
        <f>IF(AND(Pu&gt;=MIN(E2718,H2718),Pu&lt;=MAX(E2718,H2718),E2718&lt;&gt;H2718),1,0)</f>
      </c>
      <c r="L2718">
        <f>IF(K2718=1,(Pu-E2718)/(H2718-E2718),"")</f>
      </c>
      <c r="M2718" s="12">
        <f>IF(K2718=1,F2718+L2718*(I2718-F2718),"")</f>
      </c>
      <c r="N2718" s="12">
        <f>IF(K2718=1,G2718+L2718*(J2718-G2718),"")</f>
      </c>
    </row>
    <row r="2719" spans="2:14" x14ac:dyDescent="0.25">
      <c r="B2719">
        <v>76</v>
      </c>
      <c r="C2719">
        <v>281.25</v>
      </c>
      <c r="D2719">
        <v>11</v>
      </c>
      <c r="E2719" s="18">
        <v>8245.335152608863</v>
      </c>
      <c r="F2719" s="18">
        <v>-4604.882627846393</v>
      </c>
      <c r="G2719" s="18">
        <v>979.7755807404725</v>
      </c>
      <c r="H2719" s="12">
        <f>E2720</f>
      </c>
      <c r="I2719" s="12">
        <f>F2720</f>
      </c>
      <c r="J2719" s="12">
        <f>G2720</f>
      </c>
      <c r="K2719">
        <f>IF(AND(Pu&gt;=MIN(E2719,H2719),Pu&lt;=MAX(E2719,H2719),E2719&lt;&gt;H2719),1,0)</f>
      </c>
      <c r="L2719">
        <f>IF(K2719=1,(Pu-E2719)/(H2719-E2719),"")</f>
      </c>
      <c r="M2719" s="12">
        <f>IF(K2719=1,F2719+L2719*(I2719-F2719),"")</f>
      </c>
      <c r="N2719" s="12">
        <f>IF(K2719=1,G2719+L2719*(J2719-G2719),"")</f>
      </c>
    </row>
    <row r="2720" spans="2:14" x14ac:dyDescent="0.25">
      <c r="B2720">
        <v>76</v>
      </c>
      <c r="C2720">
        <v>281.25</v>
      </c>
      <c r="D2720">
        <v>12</v>
      </c>
      <c r="E2720" s="18">
        <v>8046.305946895443</v>
      </c>
      <c r="F2720" s="18">
        <v>-4677.658071688341</v>
      </c>
      <c r="G2720" s="18">
        <v>1009.7859436445583</v>
      </c>
      <c r="H2720" s="12">
        <f>E2721</f>
      </c>
      <c r="I2720" s="12">
        <f>F2721</f>
      </c>
      <c r="J2720" s="12">
        <f>G2721</f>
      </c>
      <c r="K2720">
        <f>IF(AND(Pu&gt;=MIN(E2720,H2720),Pu&lt;=MAX(E2720,H2720),E2720&lt;&gt;H2720),1,0)</f>
      </c>
      <c r="L2720">
        <f>IF(K2720=1,(Pu-E2720)/(H2720-E2720),"")</f>
      </c>
      <c r="M2720" s="12">
        <f>IF(K2720=1,F2720+L2720*(I2720-F2720),"")</f>
      </c>
      <c r="N2720" s="12">
        <f>IF(K2720=1,G2720+L2720*(J2720-G2720),"")</f>
      </c>
    </row>
    <row r="2721" spans="2:14" x14ac:dyDescent="0.25">
      <c r="B2721">
        <v>76</v>
      </c>
      <c r="C2721">
        <v>281.25</v>
      </c>
      <c r="D2721">
        <v>13</v>
      </c>
      <c r="E2721" s="18">
        <v>7968.925344753756</v>
      </c>
      <c r="F2721" s="18">
        <v>-4713.409334125258</v>
      </c>
      <c r="G2721" s="18">
        <v>1010.5460070140483</v>
      </c>
      <c r="H2721" s="12">
        <f>E2722</f>
      </c>
      <c r="I2721" s="12">
        <f>F2722</f>
      </c>
      <c r="J2721" s="12">
        <f>G2722</f>
      </c>
      <c r="K2721">
        <f>IF(AND(Pu&gt;=MIN(E2721,H2721),Pu&lt;=MAX(E2721,H2721),E2721&lt;&gt;H2721),1,0)</f>
      </c>
      <c r="L2721">
        <f>IF(K2721=1,(Pu-E2721)/(H2721-E2721),"")</f>
      </c>
      <c r="M2721" s="12">
        <f>IF(K2721=1,F2721+L2721*(I2721-F2721),"")</f>
      </c>
      <c r="N2721" s="12">
        <f>IF(K2721=1,G2721+L2721*(J2721-G2721),"")</f>
      </c>
    </row>
    <row r="2722" spans="2:14" x14ac:dyDescent="0.25">
      <c r="B2722">
        <v>76</v>
      </c>
      <c r="C2722">
        <v>281.25</v>
      </c>
      <c r="D2722">
        <v>14</v>
      </c>
      <c r="E2722" s="18">
        <v>7694.154644929828</v>
      </c>
      <c r="F2722" s="18">
        <v>-4799.559044549448</v>
      </c>
      <c r="G2722" s="18">
        <v>1044.4218373136493</v>
      </c>
      <c r="H2722" s="12">
        <f>E2723</f>
      </c>
      <c r="I2722" s="12">
        <f>F2723</f>
      </c>
      <c r="J2722" s="12">
        <f>G2723</f>
      </c>
      <c r="K2722">
        <f>IF(AND(Pu&gt;=MIN(E2722,H2722),Pu&lt;=MAX(E2722,H2722),E2722&lt;&gt;H2722),1,0)</f>
      </c>
      <c r="L2722">
        <f>IF(K2722=1,(Pu-E2722)/(H2722-E2722),"")</f>
      </c>
      <c r="M2722" s="12">
        <f>IF(K2722=1,F2722+L2722*(I2722-F2722),"")</f>
      </c>
      <c r="N2722" s="12">
        <f>IF(K2722=1,G2722+L2722*(J2722-G2722),"")</f>
      </c>
    </row>
    <row r="2723" spans="2:14" x14ac:dyDescent="0.25">
      <c r="B2723">
        <v>76</v>
      </c>
      <c r="C2723">
        <v>281.25</v>
      </c>
      <c r="D2723">
        <v>15</v>
      </c>
      <c r="E2723" s="18">
        <v>7683.608975461974</v>
      </c>
      <c r="F2723" s="18">
        <v>-4802.550066448878</v>
      </c>
      <c r="G2723" s="18">
        <v>1045.8256694703434</v>
      </c>
      <c r="H2723" s="12">
        <f>E2724</f>
      </c>
      <c r="I2723" s="12">
        <f>F2724</f>
      </c>
      <c r="J2723" s="12">
        <f>G2724</f>
      </c>
      <c r="K2723">
        <f>IF(AND(Pu&gt;=MIN(E2723,H2723),Pu&lt;=MAX(E2723,H2723),E2723&lt;&gt;H2723),1,0)</f>
      </c>
      <c r="L2723">
        <f>IF(K2723=1,(Pu-E2723)/(H2723-E2723),"")</f>
      </c>
      <c r="M2723" s="12">
        <f>IF(K2723=1,F2723+L2723*(I2723-F2723),"")</f>
      </c>
      <c r="N2723" s="12">
        <f>IF(K2723=1,G2723+L2723*(J2723-G2723),"")</f>
      </c>
    </row>
    <row r="2724" spans="2:14" x14ac:dyDescent="0.25">
      <c r="B2724">
        <v>76</v>
      </c>
      <c r="C2724">
        <v>281.25</v>
      </c>
      <c r="D2724">
        <v>16</v>
      </c>
      <c r="E2724" s="18">
        <v>7390.869080851167</v>
      </c>
      <c r="F2724" s="18">
        <v>-4878.912713131204</v>
      </c>
      <c r="G2724" s="18">
        <v>1087.6450426691472</v>
      </c>
      <c r="H2724" s="12">
        <f>E2725</f>
      </c>
      <c r="I2724" s="12">
        <f>F2725</f>
      </c>
      <c r="J2724" s="12">
        <f>G2725</f>
      </c>
      <c r="K2724">
        <f>IF(AND(Pu&gt;=MIN(E2724,H2724),Pu&lt;=MAX(E2724,H2724),E2724&lt;&gt;H2724),1,0)</f>
      </c>
      <c r="L2724">
        <f>IF(K2724=1,(Pu-E2724)/(H2724-E2724),"")</f>
      </c>
      <c r="M2724" s="12">
        <f>IF(K2724=1,F2724+L2724*(I2724-F2724),"")</f>
      </c>
      <c r="N2724" s="12">
        <f>IF(K2724=1,G2724+L2724*(J2724-G2724),"")</f>
      </c>
    </row>
    <row r="2725" spans="2:14" x14ac:dyDescent="0.25">
      <c r="B2725">
        <v>76</v>
      </c>
      <c r="C2725">
        <v>281.25</v>
      </c>
      <c r="D2725">
        <v>17</v>
      </c>
      <c r="E2725" s="18">
        <v>7121.3905647480315</v>
      </c>
      <c r="F2725" s="18">
        <v>-4945.916178921035</v>
      </c>
      <c r="G2725" s="18">
        <v>1136.6328616345775</v>
      </c>
      <c r="H2725" s="12">
        <f>E2726</f>
      </c>
      <c r="I2725" s="12">
        <f>F2726</f>
      </c>
      <c r="J2725" s="12">
        <f>G2726</f>
      </c>
      <c r="K2725">
        <f>IF(AND(Pu&gt;=MIN(E2725,H2725),Pu&lt;=MAX(E2725,H2725),E2725&lt;&gt;H2725),1,0)</f>
      </c>
      <c r="L2725">
        <f>IF(K2725=1,(Pu-E2725)/(H2725-E2725),"")</f>
      </c>
      <c r="M2725" s="12">
        <f>IF(K2725=1,F2725+L2725*(I2725-F2725),"")</f>
      </c>
      <c r="N2725" s="12">
        <f>IF(K2725=1,G2725+L2725*(J2725-G2725),"")</f>
      </c>
    </row>
    <row r="2726" spans="2:14" x14ac:dyDescent="0.25">
      <c r="B2726">
        <v>76</v>
      </c>
      <c r="C2726">
        <v>281.25</v>
      </c>
      <c r="D2726">
        <v>18</v>
      </c>
      <c r="E2726" s="18">
        <v>7002.909511011271</v>
      </c>
      <c r="F2726" s="18">
        <v>-4971.444248090724</v>
      </c>
      <c r="G2726" s="18">
        <v>1148.0735041421096</v>
      </c>
      <c r="H2726" s="12">
        <f>E2727</f>
      </c>
      <c r="I2726" s="12">
        <f>F2727</f>
      </c>
      <c r="J2726" s="12">
        <f>G2727</f>
      </c>
      <c r="K2726">
        <f>IF(AND(Pu&gt;=MIN(E2726,H2726),Pu&lt;=MAX(E2726,H2726),E2726&lt;&gt;H2726),1,0)</f>
      </c>
      <c r="L2726">
        <f>IF(K2726=1,(Pu-E2726)/(H2726-E2726),"")</f>
      </c>
      <c r="M2726" s="12">
        <f>IF(K2726=1,F2726+L2726*(I2726-F2726),"")</f>
      </c>
      <c r="N2726" s="12">
        <f>IF(K2726=1,G2726+L2726*(J2726-G2726),"")</f>
      </c>
    </row>
    <row r="2727" spans="2:14" x14ac:dyDescent="0.25">
      <c r="B2727">
        <v>76</v>
      </c>
      <c r="C2727">
        <v>281.25</v>
      </c>
      <c r="D2727">
        <v>19</v>
      </c>
      <c r="E2727" s="18">
        <v>6852.244521915898</v>
      </c>
      <c r="F2727" s="18">
        <v>-5001.202622016975</v>
      </c>
      <c r="G2727" s="18">
        <v>1161.9335542701444</v>
      </c>
      <c r="H2727" s="12">
        <f>E2728</f>
      </c>
      <c r="I2727" s="12">
        <f>F2728</f>
      </c>
      <c r="J2727" s="12">
        <f>G2728</f>
      </c>
      <c r="K2727">
        <f>IF(AND(Pu&gt;=MIN(E2727,H2727),Pu&lt;=MAX(E2727,H2727),E2727&lt;&gt;H2727),1,0)</f>
      </c>
      <c r="L2727">
        <f>IF(K2727=1,(Pu-E2727)/(H2727-E2727),"")</f>
      </c>
      <c r="M2727" s="12">
        <f>IF(K2727=1,F2727+L2727*(I2727-F2727),"")</f>
      </c>
      <c r="N2727" s="12">
        <f>IF(K2727=1,G2727+L2727*(J2727-G2727),"")</f>
      </c>
    </row>
    <row r="2728" spans="2:14" x14ac:dyDescent="0.25">
      <c r="B2728">
        <v>76</v>
      </c>
      <c r="C2728">
        <v>281.25</v>
      </c>
      <c r="D2728">
        <v>20</v>
      </c>
      <c r="E2728" s="18">
        <v>6616.769455114667</v>
      </c>
      <c r="F2728" s="18">
        <v>-5037.386591211393</v>
      </c>
      <c r="G2728" s="18">
        <v>1201.560284680923</v>
      </c>
      <c r="H2728" s="12">
        <f>E2729</f>
      </c>
      <c r="I2728" s="12">
        <f>F2729</f>
      </c>
      <c r="J2728" s="12">
        <f>G2729</f>
      </c>
      <c r="K2728">
        <f>IF(AND(Pu&gt;=MIN(E2728,H2728),Pu&lt;=MAX(E2728,H2728),E2728&lt;&gt;H2728),1,0)</f>
      </c>
      <c r="L2728">
        <f>IF(K2728=1,(Pu-E2728)/(H2728-E2728),"")</f>
      </c>
      <c r="M2728" s="12">
        <f>IF(K2728=1,F2728+L2728*(I2728-F2728),"")</f>
      </c>
      <c r="N2728" s="12">
        <f>IF(K2728=1,G2728+L2728*(J2728-G2728),"")</f>
      </c>
    </row>
    <row r="2729" spans="2:14" x14ac:dyDescent="0.25">
      <c r="B2729">
        <v>76</v>
      </c>
      <c r="C2729">
        <v>281.25</v>
      </c>
      <c r="D2729">
        <v>21</v>
      </c>
      <c r="E2729" s="18">
        <v>6601.301168973166</v>
      </c>
      <c r="F2729" s="18">
        <v>-5039.434939117217</v>
      </c>
      <c r="G2729" s="18">
        <v>1204.4775586545468</v>
      </c>
      <c r="H2729" s="12">
        <f>E2730</f>
      </c>
      <c r="I2729" s="12">
        <f>F2730</f>
      </c>
      <c r="J2729" s="12">
        <f>G2730</f>
      </c>
      <c r="K2729">
        <f>IF(AND(Pu&gt;=MIN(E2729,H2729),Pu&lt;=MAX(E2729,H2729),E2729&lt;&gt;H2729),1,0)</f>
      </c>
      <c r="L2729">
        <f>IF(K2729=1,(Pu-E2729)/(H2729-E2729),"")</f>
      </c>
      <c r="M2729" s="12">
        <f>IF(K2729=1,F2729+L2729*(I2729-F2729),"")</f>
      </c>
      <c r="N2729" s="12">
        <f>IF(K2729=1,G2729+L2729*(J2729-G2729),"")</f>
      </c>
    </row>
    <row r="2730" spans="2:14" x14ac:dyDescent="0.25">
      <c r="B2730">
        <v>76</v>
      </c>
      <c r="C2730">
        <v>281.25</v>
      </c>
      <c r="D2730">
        <v>22</v>
      </c>
      <c r="E2730" s="18">
        <v>5939.341092451701</v>
      </c>
      <c r="F2730" s="18">
        <v>-4860.457107130527</v>
      </c>
      <c r="G2730" s="18">
        <v>1222.1135608456552</v>
      </c>
      <c r="H2730" s="12">
        <f>E2731</f>
      </c>
      <c r="I2730" s="12">
        <f>F2731</f>
      </c>
      <c r="J2730" s="12">
        <f>G2731</f>
      </c>
      <c r="K2730">
        <f>IF(AND(Pu&gt;=MIN(E2730,H2730),Pu&lt;=MAX(E2730,H2730),E2730&lt;&gt;H2730),1,0)</f>
      </c>
      <c r="L2730">
        <f>IF(K2730=1,(Pu-E2730)/(H2730-E2730),"")</f>
      </c>
      <c r="M2730" s="12">
        <f>IF(K2730=1,F2730+L2730*(I2730-F2730),"")</f>
      </c>
      <c r="N2730" s="12">
        <f>IF(K2730=1,G2730+L2730*(J2730-G2730),"")</f>
      </c>
    </row>
    <row r="2731" spans="2:14" x14ac:dyDescent="0.25">
      <c r="B2731">
        <v>76</v>
      </c>
      <c r="C2731">
        <v>281.25</v>
      </c>
      <c r="D2731">
        <v>23</v>
      </c>
      <c r="E2731" s="18">
        <v>4652.013442352157</v>
      </c>
      <c r="F2731" s="18">
        <v>-4459.783923739461</v>
      </c>
      <c r="G2731" s="18">
        <v>1257.1645981501777</v>
      </c>
      <c r="H2731" s="12">
        <f>E2732</f>
      </c>
      <c r="I2731" s="12">
        <f>F2732</f>
      </c>
      <c r="J2731" s="12">
        <f>G2732</f>
      </c>
      <c r="K2731">
        <f>IF(AND(Pu&gt;=MIN(E2731,H2731),Pu&lt;=MAX(E2731,H2731),E2731&lt;&gt;H2731),1,0)</f>
      </c>
      <c r="L2731">
        <f>IF(K2731=1,(Pu-E2731)/(H2731-E2731),"")</f>
      </c>
      <c r="M2731" s="12">
        <f>IF(K2731=1,F2731+L2731*(I2731-F2731),"")</f>
      </c>
      <c r="N2731" s="12">
        <f>IF(K2731=1,G2731+L2731*(J2731-G2731),"")</f>
      </c>
    </row>
    <row r="2732" spans="2:14" x14ac:dyDescent="0.25">
      <c r="B2732">
        <v>76</v>
      </c>
      <c r="C2732">
        <v>281.25</v>
      </c>
      <c r="D2732">
        <v>24</v>
      </c>
      <c r="E2732" s="18">
        <v>3587.6555360911652</v>
      </c>
      <c r="F2732" s="18">
        <v>-4069.009747752627</v>
      </c>
      <c r="G2732" s="18">
        <v>1287.3812857778412</v>
      </c>
      <c r="H2732" s="12">
        <f>E2733</f>
      </c>
      <c r="I2732" s="12">
        <f>F2733</f>
      </c>
      <c r="J2732" s="12">
        <f>G2733</f>
      </c>
      <c r="K2732">
        <f>IF(AND(Pu&gt;=MIN(E2732,H2732),Pu&lt;=MAX(E2732,H2732),E2732&lt;&gt;H2732),1,0)</f>
      </c>
      <c r="L2732">
        <f>IF(K2732=1,(Pu-E2732)/(H2732-E2732),"")</f>
      </c>
      <c r="M2732" s="12">
        <f>IF(K2732=1,F2732+L2732*(I2732-F2732),"")</f>
      </c>
      <c r="N2732" s="12">
        <f>IF(K2732=1,G2732+L2732*(J2732-G2732),"")</f>
      </c>
    </row>
    <row r="2733" spans="2:14" x14ac:dyDescent="0.25">
      <c r="B2733">
        <v>76</v>
      </c>
      <c r="C2733">
        <v>281.25</v>
      </c>
      <c r="D2733">
        <v>25</v>
      </c>
      <c r="E2733" s="18">
        <v>2692.127841891623</v>
      </c>
      <c r="F2733" s="18">
        <v>-3714.734948147208</v>
      </c>
      <c r="G2733" s="18">
        <v>1307.7576175561128</v>
      </c>
      <c r="H2733" s="12">
        <f>E2734</f>
      </c>
      <c r="I2733" s="12">
        <f>F2734</f>
      </c>
      <c r="J2733" s="12">
        <f>G2734</f>
      </c>
      <c r="K2733">
        <f>IF(AND(Pu&gt;=MIN(E2733,H2733),Pu&lt;=MAX(E2733,H2733),E2733&lt;&gt;H2733),1,0)</f>
      </c>
      <c r="L2733">
        <f>IF(K2733=1,(Pu-E2733)/(H2733-E2733),"")</f>
      </c>
      <c r="M2733" s="12">
        <f>IF(K2733=1,F2733+L2733*(I2733-F2733),"")</f>
      </c>
      <c r="N2733" s="12">
        <f>IF(K2733=1,G2733+L2733*(J2733-G2733),"")</f>
      </c>
    </row>
    <row r="2734" spans="2:14" x14ac:dyDescent="0.25">
      <c r="B2734">
        <v>76</v>
      </c>
      <c r="C2734">
        <v>281.25</v>
      </c>
      <c r="D2734">
        <v>26</v>
      </c>
      <c r="E2734" s="18">
        <v>1257.0782199743003</v>
      </c>
      <c r="F2734" s="18">
        <v>-3110.3479949949588</v>
      </c>
      <c r="G2734" s="18">
        <v>1213.2757271934536</v>
      </c>
      <c r="H2734" s="12">
        <f>E2735</f>
      </c>
      <c r="I2734" s="12">
        <f>F2735</f>
      </c>
      <c r="J2734" s="12">
        <f>G2735</f>
      </c>
      <c r="K2734">
        <f>IF(AND(Pu&gt;=MIN(E2734,H2734),Pu&lt;=MAX(E2734,H2734),E2734&lt;&gt;H2734),1,0)</f>
      </c>
      <c r="L2734">
        <f>IF(K2734=1,(Pu-E2734)/(H2734-E2734),"")</f>
      </c>
      <c r="M2734" s="12">
        <f>IF(K2734=1,F2734+L2734*(I2734-F2734),"")</f>
      </c>
      <c r="N2734" s="12">
        <f>IF(K2734=1,G2734+L2734*(J2734-G2734),"")</f>
      </c>
    </row>
    <row r="2735" spans="2:14" x14ac:dyDescent="0.25">
      <c r="B2735">
        <v>76</v>
      </c>
      <c r="C2735">
        <v>281.25</v>
      </c>
      <c r="D2735">
        <v>27</v>
      </c>
      <c r="E2735" s="18">
        <v>129.05643820055053</v>
      </c>
      <c r="F2735" s="18">
        <v>-2582.7359433819074</v>
      </c>
      <c r="G2735" s="18">
        <v>1105.109782289851</v>
      </c>
      <c r="H2735" s="12">
        <f>E2736</f>
      </c>
      <c r="I2735" s="12">
        <f>F2736</f>
      </c>
      <c r="J2735" s="12">
        <f>G2736</f>
      </c>
      <c r="K2735">
        <f>IF(AND(Pu&gt;=MIN(E2735,H2735),Pu&lt;=MAX(E2735,H2735),E2735&lt;&gt;H2735),1,0)</f>
      </c>
      <c r="L2735">
        <f>IF(K2735=1,(Pu-E2735)/(H2735-E2735),"")</f>
      </c>
      <c r="M2735" s="12">
        <f>IF(K2735=1,F2735+L2735*(I2735-F2735),"")</f>
      </c>
      <c r="N2735" s="12">
        <f>IF(K2735=1,G2735+L2735*(J2735-G2735),"")</f>
      </c>
    </row>
    <row r="2736" spans="2:14" x14ac:dyDescent="0.25">
      <c r="B2736">
        <v>76</v>
      </c>
      <c r="C2736">
        <v>281.25</v>
      </c>
      <c r="D2736">
        <v>28</v>
      </c>
      <c r="E2736" s="18">
        <v>-773.764428882824</v>
      </c>
      <c r="F2736" s="18">
        <v>-2148.1773422341153</v>
      </c>
      <c r="G2736" s="18">
        <v>976.8060300399393</v>
      </c>
      <c r="H2736" s="12">
        <f>E2737</f>
      </c>
      <c r="I2736" s="12">
        <f>F2737</f>
      </c>
      <c r="J2736" s="12">
        <f>G2737</f>
      </c>
      <c r="K2736">
        <f>IF(AND(Pu&gt;=MIN(E2736,H2736),Pu&lt;=MAX(E2736,H2736),E2736&lt;&gt;H2736),1,0)</f>
      </c>
      <c r="L2736">
        <f>IF(K2736=1,(Pu-E2736)/(H2736-E2736),"")</f>
      </c>
      <c r="M2736" s="12">
        <f>IF(K2736=1,F2736+L2736*(I2736-F2736),"")</f>
      </c>
      <c r="N2736" s="12">
        <f>IF(K2736=1,G2736+L2736*(J2736-G2736),"")</f>
      </c>
    </row>
    <row r="2737" spans="2:14" x14ac:dyDescent="0.25">
      <c r="B2737">
        <v>76</v>
      </c>
      <c r="C2737">
        <v>281.25</v>
      </c>
      <c r="D2737">
        <v>29</v>
      </c>
      <c r="E2737" s="18">
        <v>-1481.0412734858764</v>
      </c>
      <c r="F2737" s="18">
        <v>-1804.0775847937048</v>
      </c>
      <c r="G2737" s="18">
        <v>853.1452187201241</v>
      </c>
      <c r="H2737" s="12">
        <f>E2738</f>
      </c>
      <c r="I2737" s="12">
        <f>F2738</f>
      </c>
      <c r="J2737" s="12">
        <f>G2738</f>
      </c>
      <c r="K2737">
        <f>IF(AND(Pu&gt;=MIN(E2737,H2737),Pu&lt;=MAX(E2737,H2737),E2737&lt;&gt;H2737),1,0)</f>
      </c>
      <c r="L2737">
        <f>IF(K2737=1,(Pu-E2737)/(H2737-E2737),"")</f>
      </c>
      <c r="M2737" s="12">
        <f>IF(K2737=1,F2737+L2737*(I2737-F2737),"")</f>
      </c>
      <c r="N2737" s="12">
        <f>IF(K2737=1,G2737+L2737*(J2737-G2737),"")</f>
      </c>
    </row>
    <row r="2738" spans="2:14" x14ac:dyDescent="0.25">
      <c r="B2738">
        <v>76</v>
      </c>
      <c r="C2738">
        <v>281.25</v>
      </c>
      <c r="D2738">
        <v>30</v>
      </c>
      <c r="E2738" s="18">
        <v>-2571.1104438152965</v>
      </c>
      <c r="F2738" s="18">
        <v>-1263.7538103027953</v>
      </c>
      <c r="G2738" s="18">
        <v>666.6537301312118</v>
      </c>
      <c r="H2738" s="12">
        <f>E2739</f>
      </c>
      <c r="I2738" s="12">
        <f>F2739</f>
      </c>
      <c r="J2738" s="12">
        <f>G2739</f>
      </c>
      <c r="K2738">
        <f>IF(AND(Pu&gt;=MIN(E2738,H2738),Pu&lt;=MAX(E2738,H2738),E2738&lt;&gt;H2738),1,0)</f>
      </c>
      <c r="L2738">
        <f>IF(K2738=1,(Pu-E2738)/(H2738-E2738),"")</f>
      </c>
      <c r="M2738" s="12">
        <f>IF(K2738=1,F2738+L2738*(I2738-F2738),"")</f>
      </c>
      <c r="N2738" s="12">
        <f>IF(K2738=1,G2738+L2738*(J2738-G2738),"")</f>
      </c>
    </row>
    <row r="2739" spans="2:14" x14ac:dyDescent="0.25">
      <c r="B2739">
        <v>76</v>
      </c>
      <c r="C2739">
        <v>281.25</v>
      </c>
      <c r="D2739">
        <v>31</v>
      </c>
      <c r="E2739" s="18">
        <v>-3227.8537399212482</v>
      </c>
      <c r="F2739" s="18">
        <v>-917.855806546771</v>
      </c>
      <c r="G2739" s="18">
        <v>557.1441676807261</v>
      </c>
      <c r="H2739" s="12">
        <f>E2740</f>
      </c>
      <c r="I2739" s="12">
        <f>F2740</f>
      </c>
      <c r="J2739" s="12">
        <f>G2740</f>
      </c>
      <c r="K2739">
        <f>IF(AND(Pu&gt;=MIN(E2739,H2739),Pu&lt;=MAX(E2739,H2739),E2739&lt;&gt;H2739),1,0)</f>
      </c>
      <c r="L2739">
        <f>IF(K2739=1,(Pu-E2739)/(H2739-E2739),"")</f>
      </c>
      <c r="M2739" s="12">
        <f>IF(K2739=1,F2739+L2739*(I2739-F2739),"")</f>
      </c>
      <c r="N2739" s="12">
        <f>IF(K2739=1,G2739+L2739*(J2739-G2739),"")</f>
      </c>
    </row>
    <row r="2740" spans="2:14" x14ac:dyDescent="0.25">
      <c r="B2740">
        <v>76</v>
      </c>
      <c r="C2740">
        <v>281.25</v>
      </c>
      <c r="D2740">
        <v>32</v>
      </c>
      <c r="E2740" s="18">
        <v>-3962.9541648549457</v>
      </c>
      <c r="F2740" s="18">
        <v>-525.5988107326513</v>
      </c>
      <c r="G2740" s="18">
        <v>376.0885982877777</v>
      </c>
      <c r="H2740" s="12">
        <f>E2741</f>
      </c>
      <c r="I2740" s="12">
        <f>F2741</f>
      </c>
      <c r="J2740" s="12">
        <f>G2741</f>
      </c>
      <c r="K2740">
        <f>IF(AND(Pu&gt;=MIN(E2740,H2740),Pu&lt;=MAX(E2740,H2740),E2740&lt;&gt;H2740),1,0)</f>
      </c>
      <c r="L2740">
        <f>IF(K2740=1,(Pu-E2740)/(H2740-E2740),"")</f>
      </c>
      <c r="M2740" s="12">
        <f>IF(K2740=1,F2740+L2740*(I2740-F2740),"")</f>
      </c>
      <c r="N2740" s="12">
        <f>IF(K2740=1,G2740+L2740*(J2740-G2740),"")</f>
      </c>
    </row>
    <row r="2741" spans="2:14" x14ac:dyDescent="0.25">
      <c r="B2741">
        <v>76</v>
      </c>
      <c r="C2741">
        <v>281.25</v>
      </c>
      <c r="D2741">
        <v>33</v>
      </c>
      <c r="E2741" s="18">
        <v>-4366.760590923741</v>
      </c>
      <c r="F2741" s="18">
        <v>-307.96483415973097</v>
      </c>
      <c r="G2741" s="18">
        <v>241.24064474914954</v>
      </c>
      <c r="H2741" s="12">
        <f>E2742</f>
      </c>
      <c r="I2741" s="12">
        <f>F2742</f>
      </c>
      <c r="J2741" s="12">
        <f>G2742</f>
      </c>
      <c r="K2741">
        <f>IF(AND(Pu&gt;=MIN(E2741,H2741),Pu&lt;=MAX(E2741,H2741),E2741&lt;&gt;H2741),1,0)</f>
      </c>
      <c r="L2741">
        <f>IF(K2741=1,(Pu-E2741)/(H2741-E2741),"")</f>
      </c>
      <c r="M2741" s="12">
        <f>IF(K2741=1,F2741+L2741*(I2741-F2741),"")</f>
      </c>
      <c r="N2741" s="12">
        <f>IF(K2741=1,G2741+L2741*(J2741-G2741),"")</f>
      </c>
    </row>
    <row r="2742" spans="2:14" x14ac:dyDescent="0.25">
      <c r="B2742">
        <v>76</v>
      </c>
      <c r="C2742">
        <v>281.25</v>
      </c>
      <c r="D2742">
        <v>34</v>
      </c>
      <c r="E2742" s="18">
        <v>-4766.35784458127</v>
      </c>
      <c r="F2742" s="18">
        <v>-90.28493324606545</v>
      </c>
      <c r="G2742" s="18">
        <v>76.22235532860023</v>
      </c>
      <c r="H2742" s="12">
        <f>E2743</f>
      </c>
      <c r="I2742" s="12">
        <f>F2743</f>
      </c>
      <c r="J2742" s="12">
        <f>G2743</f>
      </c>
      <c r="K2742">
        <f>IF(AND(Pu&gt;=MIN(E2742,H2742),Pu&lt;=MAX(E2742,H2742),E2742&lt;&gt;H2742),1,0)</f>
      </c>
      <c r="L2742">
        <f>IF(K2742=1,(Pu-E2742)/(H2742-E2742),"")</f>
      </c>
      <c r="M2742" s="12">
        <f>IF(K2742=1,F2742+L2742*(I2742-F2742),"")</f>
      </c>
      <c r="N2742" s="12">
        <f>IF(K2742=1,G2742+L2742*(J2742-G2742),"")</f>
      </c>
    </row>
    <row r="2743" spans="2:7" x14ac:dyDescent="0.25">
      <c r="B2743">
        <v>76</v>
      </c>
      <c r="C2743">
        <v>281.25</v>
      </c>
      <c r="D2743">
        <v>35</v>
      </c>
      <c r="E2743" s="18">
        <v>-4832.575134548201</v>
      </c>
      <c r="F2743" s="18">
        <v>-52.303383915050105</v>
      </c>
      <c r="G2743" s="18">
        <v>45.0971317719429</v>
      </c>
    </row>
    <row r="2745" spans="2:14" x14ac:dyDescent="0.25">
      <c r="B2745">
        <v>77</v>
      </c>
      <c r="C2745">
        <v>285</v>
      </c>
      <c r="D2745">
        <v>1</v>
      </c>
      <c r="E2745" s="18">
        <v>17663.408309871455</v>
      </c>
      <c r="F2745" s="18">
        <v>-2056.156417550967</v>
      </c>
      <c r="G2745" s="18">
        <v>1055.1978129984727</v>
      </c>
      <c r="H2745" s="12">
        <f>E2746</f>
      </c>
      <c r="I2745" s="12">
        <f>F2746</f>
      </c>
      <c r="J2745" s="12">
        <f>G2746</f>
      </c>
      <c r="K2745">
        <f>IF(AND(Pu&gt;=MIN(E2745,H2745),Pu&lt;=MAX(E2745,H2745),E2745&lt;&gt;H2745),1,0)</f>
      </c>
      <c r="L2745">
        <f>IF(K2745=1,(Pu-E2745)/(H2745-E2745),"")</f>
      </c>
      <c r="M2745" s="12">
        <f>IF(K2745=1,F2745+L2745*(I2745-F2745),"")</f>
      </c>
      <c r="N2745" s="12">
        <f>IF(K2745=1,G2745+L2745*(J2745-G2745),"")</f>
      </c>
    </row>
    <row r="2746" spans="2:14" x14ac:dyDescent="0.25">
      <c r="B2746">
        <v>77</v>
      </c>
      <c r="C2746">
        <v>285</v>
      </c>
      <c r="D2746">
        <v>2</v>
      </c>
      <c r="E2746" s="18">
        <v>16145.78244870558</v>
      </c>
      <c r="F2746" s="18">
        <v>-2666.70648602653</v>
      </c>
      <c r="G2746" s="18">
        <v>1059.4849013919418</v>
      </c>
      <c r="H2746" s="12">
        <f>E2747</f>
      </c>
      <c r="I2746" s="12">
        <f>F2747</f>
      </c>
      <c r="J2746" s="12">
        <f>G2747</f>
      </c>
      <c r="K2746">
        <f>IF(AND(Pu&gt;=MIN(E2746,H2746),Pu&lt;=MAX(E2746,H2746),E2746&lt;&gt;H2746),1,0)</f>
      </c>
      <c r="L2746">
        <f>IF(K2746=1,(Pu-E2746)/(H2746-E2746),"")</f>
      </c>
      <c r="M2746" s="12">
        <f>IF(K2746=1,F2746+L2746*(I2746-F2746),"")</f>
      </c>
      <c r="N2746" s="12">
        <f>IF(K2746=1,G2746+L2746*(J2746-G2746),"")</f>
      </c>
    </row>
    <row r="2747" spans="2:14" x14ac:dyDescent="0.25">
      <c r="B2747">
        <v>77</v>
      </c>
      <c r="C2747">
        <v>285</v>
      </c>
      <c r="D2747">
        <v>3</v>
      </c>
      <c r="E2747" s="18">
        <v>14749.914364669468</v>
      </c>
      <c r="F2747" s="18">
        <v>-3146.1892870010824</v>
      </c>
      <c r="G2747" s="18">
        <v>1023.9341349930348</v>
      </c>
      <c r="H2747" s="12">
        <f>E2748</f>
      </c>
      <c r="I2747" s="12">
        <f>F2748</f>
      </c>
      <c r="J2747" s="12">
        <f>G2748</f>
      </c>
      <c r="K2747">
        <f>IF(AND(Pu&gt;=MIN(E2747,H2747),Pu&lt;=MAX(E2747,H2747),E2747&lt;&gt;H2747),1,0)</f>
      </c>
      <c r="L2747">
        <f>IF(K2747=1,(Pu-E2747)/(H2747-E2747),"")</f>
      </c>
      <c r="M2747" s="12">
        <f>IF(K2747=1,F2747+L2747*(I2747-F2747),"")</f>
      </c>
      <c r="N2747" s="12">
        <f>IF(K2747=1,G2747+L2747*(J2747-G2747),"")</f>
      </c>
    </row>
    <row r="2748" spans="2:14" x14ac:dyDescent="0.25">
      <c r="B2748">
        <v>77</v>
      </c>
      <c r="C2748">
        <v>285</v>
      </c>
      <c r="D2748">
        <v>4</v>
      </c>
      <c r="E2748" s="18">
        <v>12869.055808648309</v>
      </c>
      <c r="F2748" s="18">
        <v>-3631.500614017092</v>
      </c>
      <c r="G2748" s="18">
        <v>1041.642745398406</v>
      </c>
      <c r="H2748" s="12">
        <f>E2749</f>
      </c>
      <c r="I2748" s="12">
        <f>F2749</f>
      </c>
      <c r="J2748" s="12">
        <f>G2749</f>
      </c>
      <c r="K2748">
        <f>IF(AND(Pu&gt;=MIN(E2748,H2748),Pu&lt;=MAX(E2748,H2748),E2748&lt;&gt;H2748),1,0)</f>
      </c>
      <c r="L2748">
        <f>IF(K2748=1,(Pu-E2748)/(H2748-E2748),"")</f>
      </c>
      <c r="M2748" s="12">
        <f>IF(K2748=1,F2748+L2748*(I2748-F2748),"")</f>
      </c>
      <c r="N2748" s="12">
        <f>IF(K2748=1,G2748+L2748*(J2748-G2748),"")</f>
      </c>
    </row>
    <row r="2749" spans="2:14" x14ac:dyDescent="0.25">
      <c r="B2749">
        <v>77</v>
      </c>
      <c r="C2749">
        <v>285</v>
      </c>
      <c r="D2749">
        <v>5</v>
      </c>
      <c r="E2749" s="18">
        <v>11361.337483221054</v>
      </c>
      <c r="F2749" s="18">
        <v>-3900.5344261618125</v>
      </c>
      <c r="G2749" s="18">
        <v>1085.2456143597778</v>
      </c>
      <c r="H2749" s="12">
        <f>E2750</f>
      </c>
      <c r="I2749" s="12">
        <f>F2750</f>
      </c>
      <c r="J2749" s="12">
        <f>G2750</f>
      </c>
      <c r="K2749">
        <f>IF(AND(Pu&gt;=MIN(E2749,H2749),Pu&lt;=MAX(E2749,H2749),E2749&lt;&gt;H2749),1,0)</f>
      </c>
      <c r="L2749">
        <f>IF(K2749=1,(Pu-E2749)/(H2749-E2749),"")</f>
      </c>
      <c r="M2749" s="12">
        <f>IF(K2749=1,F2749+L2749*(I2749-F2749),"")</f>
      </c>
      <c r="N2749" s="12">
        <f>IF(K2749=1,G2749+L2749*(J2749-G2749),"")</f>
      </c>
    </row>
    <row r="2750" spans="2:14" x14ac:dyDescent="0.25">
      <c r="B2750">
        <v>77</v>
      </c>
      <c r="C2750">
        <v>285</v>
      </c>
      <c r="D2750">
        <v>6</v>
      </c>
      <c r="E2750" s="18">
        <v>10038.276747257058</v>
      </c>
      <c r="F2750" s="18">
        <v>-4068.0492739760934</v>
      </c>
      <c r="G2750" s="18">
        <v>1129.9656172656735</v>
      </c>
      <c r="H2750" s="12">
        <f>E2751</f>
      </c>
      <c r="I2750" s="12">
        <f>F2751</f>
      </c>
      <c r="J2750" s="12">
        <f>G2751</f>
      </c>
      <c r="K2750">
        <f>IF(AND(Pu&gt;=MIN(E2750,H2750),Pu&lt;=MAX(E2750,H2750),E2750&lt;&gt;H2750),1,0)</f>
      </c>
      <c r="L2750">
        <f>IF(K2750=1,(Pu-E2750)/(H2750-E2750),"")</f>
      </c>
      <c r="M2750" s="12">
        <f>IF(K2750=1,F2750+L2750*(I2750-F2750),"")</f>
      </c>
      <c r="N2750" s="12">
        <f>IF(K2750=1,G2750+L2750*(J2750-G2750),"")</f>
      </c>
    </row>
    <row r="2751" spans="2:14" x14ac:dyDescent="0.25">
      <c r="B2751">
        <v>77</v>
      </c>
      <c r="C2751">
        <v>285</v>
      </c>
      <c r="D2751">
        <v>7</v>
      </c>
      <c r="E2751" s="18">
        <v>9044.414289894843</v>
      </c>
      <c r="F2751" s="18">
        <v>-4162.797357567723</v>
      </c>
      <c r="G2751" s="18">
        <v>1167.6924250796235</v>
      </c>
      <c r="H2751" s="12">
        <f>E2752</f>
      </c>
      <c r="I2751" s="12">
        <f>F2752</f>
      </c>
      <c r="J2751" s="12">
        <f>G2752</f>
      </c>
      <c r="K2751">
        <f>IF(AND(Pu&gt;=MIN(E2751,H2751),Pu&lt;=MAX(E2751,H2751),E2751&lt;&gt;H2751),1,0)</f>
      </c>
      <c r="L2751">
        <f>IF(K2751=1,(Pu-E2751)/(H2751-E2751),"")</f>
      </c>
      <c r="M2751" s="12">
        <f>IF(K2751=1,F2751+L2751*(I2751-F2751),"")</f>
      </c>
      <c r="N2751" s="12">
        <f>IF(K2751=1,G2751+L2751*(J2751-G2751),"")</f>
      </c>
    </row>
    <row r="2752" spans="2:14" x14ac:dyDescent="0.25">
      <c r="B2752">
        <v>77</v>
      </c>
      <c r="C2752">
        <v>285</v>
      </c>
      <c r="D2752">
        <v>8</v>
      </c>
      <c r="E2752" s="18">
        <v>8943.88332684902</v>
      </c>
      <c r="F2752" s="18">
        <v>-4204.1922850748415</v>
      </c>
      <c r="G2752" s="18">
        <v>1180.3600189786894</v>
      </c>
      <c r="H2752" s="12">
        <f>E2753</f>
      </c>
      <c r="I2752" s="12">
        <f>F2753</f>
      </c>
      <c r="J2752" s="12">
        <f>G2753</f>
      </c>
      <c r="K2752">
        <f>IF(AND(Pu&gt;=MIN(E2752,H2752),Pu&lt;=MAX(E2752,H2752),E2752&lt;&gt;H2752),1,0)</f>
      </c>
      <c r="L2752">
        <f>IF(K2752=1,(Pu-E2752)/(H2752-E2752),"")</f>
      </c>
      <c r="M2752" s="12">
        <f>IF(K2752=1,F2752+L2752*(I2752-F2752),"")</f>
      </c>
      <c r="N2752" s="12">
        <f>IF(K2752=1,G2752+L2752*(J2752-G2752),"")</f>
      </c>
    </row>
    <row r="2753" spans="2:14" x14ac:dyDescent="0.25">
      <c r="B2753">
        <v>77</v>
      </c>
      <c r="C2753">
        <v>285</v>
      </c>
      <c r="D2753">
        <v>9</v>
      </c>
      <c r="E2753" s="18">
        <v>8555.482514755733</v>
      </c>
      <c r="F2753" s="18">
        <v>-4358.706013083257</v>
      </c>
      <c r="G2753" s="18">
        <v>1241.2744180580535</v>
      </c>
      <c r="H2753" s="12">
        <f>E2754</f>
      </c>
      <c r="I2753" s="12">
        <f>F2754</f>
      </c>
      <c r="J2753" s="12">
        <f>G2754</f>
      </c>
      <c r="K2753">
        <f>IF(AND(Pu&gt;=MIN(E2753,H2753),Pu&lt;=MAX(E2753,H2753),E2753&lt;&gt;H2753),1,0)</f>
      </c>
      <c r="L2753">
        <f>IF(K2753=1,(Pu-E2753)/(H2753-E2753),"")</f>
      </c>
      <c r="M2753" s="12">
        <f>IF(K2753=1,F2753+L2753*(I2753-F2753),"")</f>
      </c>
      <c r="N2753" s="12">
        <f>IF(K2753=1,G2753+L2753*(J2753-G2753),"")</f>
      </c>
    </row>
    <row r="2754" spans="2:14" x14ac:dyDescent="0.25">
      <c r="B2754">
        <v>77</v>
      </c>
      <c r="C2754">
        <v>285</v>
      </c>
      <c r="D2754">
        <v>10</v>
      </c>
      <c r="E2754" s="18">
        <v>8373.355973128053</v>
      </c>
      <c r="F2754" s="18">
        <v>-4431.642828341768</v>
      </c>
      <c r="G2754" s="18">
        <v>1258.9236070293746</v>
      </c>
      <c r="H2754" s="12">
        <f>E2755</f>
      </c>
      <c r="I2754" s="12">
        <f>F2755</f>
      </c>
      <c r="J2754" s="12">
        <f>G2755</f>
      </c>
      <c r="K2754">
        <f>IF(AND(Pu&gt;=MIN(E2754,H2754),Pu&lt;=MAX(E2754,H2754),E2754&lt;&gt;H2754),1,0)</f>
      </c>
      <c r="L2754">
        <f>IF(K2754=1,(Pu-E2754)/(H2754-E2754),"")</f>
      </c>
      <c r="M2754" s="12">
        <f>IF(K2754=1,F2754+L2754*(I2754-F2754),"")</f>
      </c>
      <c r="N2754" s="12">
        <f>IF(K2754=1,G2754+L2754*(J2754-G2754),"")</f>
      </c>
    </row>
    <row r="2755" spans="2:14" x14ac:dyDescent="0.25">
      <c r="B2755">
        <v>77</v>
      </c>
      <c r="C2755">
        <v>285</v>
      </c>
      <c r="D2755">
        <v>11</v>
      </c>
      <c r="E2755" s="18">
        <v>8137.025146635809</v>
      </c>
      <c r="F2755" s="18">
        <v>-4509.583845828994</v>
      </c>
      <c r="G2755" s="18">
        <v>1290.9265926326284</v>
      </c>
      <c r="H2755" s="12">
        <f>E2756</f>
      </c>
      <c r="I2755" s="12">
        <f>F2756</f>
      </c>
      <c r="J2755" s="12">
        <f>G2756</f>
      </c>
      <c r="K2755">
        <f>IF(AND(Pu&gt;=MIN(E2755,H2755),Pu&lt;=MAX(E2755,H2755),E2755&lt;&gt;H2755),1,0)</f>
      </c>
      <c r="L2755">
        <f>IF(K2755=1,(Pu-E2755)/(H2755-E2755),"")</f>
      </c>
      <c r="M2755" s="12">
        <f>IF(K2755=1,F2755+L2755*(I2755-F2755),"")</f>
      </c>
      <c r="N2755" s="12">
        <f>IF(K2755=1,G2755+L2755*(J2755-G2755),"")</f>
      </c>
    </row>
    <row r="2756" spans="2:14" x14ac:dyDescent="0.25">
      <c r="B2756">
        <v>77</v>
      </c>
      <c r="C2756">
        <v>285</v>
      </c>
      <c r="D2756">
        <v>12</v>
      </c>
      <c r="E2756" s="18">
        <v>7916.749436181586</v>
      </c>
      <c r="F2756" s="18">
        <v>-4574.9979515226</v>
      </c>
      <c r="G2756" s="18">
        <v>1320.421984637394</v>
      </c>
      <c r="H2756" s="12">
        <f>E2757</f>
      </c>
      <c r="I2756" s="12">
        <f>F2757</f>
      </c>
      <c r="J2756" s="12">
        <f>G2757</f>
      </c>
      <c r="K2756">
        <f>IF(AND(Pu&gt;=MIN(E2756,H2756),Pu&lt;=MAX(E2756,H2756),E2756&lt;&gt;H2756),1,0)</f>
      </c>
      <c r="L2756">
        <f>IF(K2756=1,(Pu-E2756)/(H2756-E2756),"")</f>
      </c>
      <c r="M2756" s="12">
        <f>IF(K2756=1,F2756+L2756*(I2756-F2756),"")</f>
      </c>
      <c r="N2756" s="12">
        <f>IF(K2756=1,G2756+L2756*(J2756-G2756),"")</f>
      </c>
    </row>
    <row r="2757" spans="2:14" x14ac:dyDescent="0.25">
      <c r="B2757">
        <v>77</v>
      </c>
      <c r="C2757">
        <v>285</v>
      </c>
      <c r="D2757">
        <v>13</v>
      </c>
      <c r="E2757" s="18">
        <v>7792.76779712077</v>
      </c>
      <c r="F2757" s="18">
        <v>-4605.309394923115</v>
      </c>
      <c r="G2757" s="18">
        <v>1345.6613127416324</v>
      </c>
      <c r="H2757" s="12">
        <f>E2758</f>
      </c>
      <c r="I2757" s="12">
        <f>F2758</f>
      </c>
      <c r="J2757" s="12">
        <f>G2758</f>
      </c>
      <c r="K2757">
        <f>IF(AND(Pu&gt;=MIN(E2757,H2757),Pu&lt;=MAX(E2757,H2757),E2757&lt;&gt;H2757),1,0)</f>
      </c>
      <c r="L2757">
        <f>IF(K2757=1,(Pu-E2757)/(H2757-E2757),"")</f>
      </c>
      <c r="M2757" s="12">
        <f>IF(K2757=1,F2757+L2757*(I2757-F2757),"")</f>
      </c>
      <c r="N2757" s="12">
        <f>IF(K2757=1,G2757+L2757*(J2757-G2757),"")</f>
      </c>
    </row>
    <row r="2758" spans="2:14" x14ac:dyDescent="0.25">
      <c r="B2758">
        <v>77</v>
      </c>
      <c r="C2758">
        <v>285</v>
      </c>
      <c r="D2758">
        <v>14</v>
      </c>
      <c r="E2758" s="18">
        <v>7495.972215835728</v>
      </c>
      <c r="F2758" s="18">
        <v>-4666.270511280427</v>
      </c>
      <c r="G2758" s="18">
        <v>1410.2655462678526</v>
      </c>
      <c r="H2758" s="12">
        <f>E2759</f>
      </c>
      <c r="I2758" s="12">
        <f>F2759</f>
      </c>
      <c r="J2758" s="12">
        <f>G2759</f>
      </c>
      <c r="K2758">
        <f>IF(AND(Pu&gt;=MIN(E2758,H2758),Pu&lt;=MAX(E2758,H2758),E2758&lt;&gt;H2758),1,0)</f>
      </c>
      <c r="L2758">
        <f>IF(K2758=1,(Pu-E2758)/(H2758-E2758),"")</f>
      </c>
      <c r="M2758" s="12">
        <f>IF(K2758=1,F2758+L2758*(I2758-F2758),"")</f>
      </c>
      <c r="N2758" s="12">
        <f>IF(K2758=1,G2758+L2758*(J2758-G2758),"")</f>
      </c>
    </row>
    <row r="2759" spans="2:14" x14ac:dyDescent="0.25">
      <c r="B2759">
        <v>77</v>
      </c>
      <c r="C2759">
        <v>285</v>
      </c>
      <c r="D2759">
        <v>15</v>
      </c>
      <c r="E2759" s="18">
        <v>7461.584612834733</v>
      </c>
      <c r="F2759" s="18">
        <v>-4672.207854913317</v>
      </c>
      <c r="G2759" s="18">
        <v>1417.6295328733313</v>
      </c>
      <c r="H2759" s="12">
        <f>E2760</f>
      </c>
      <c r="I2759" s="12">
        <f>F2760</f>
      </c>
      <c r="J2759" s="12">
        <f>G2760</f>
      </c>
      <c r="K2759">
        <f>IF(AND(Pu&gt;=MIN(E2759,H2759),Pu&lt;=MAX(E2759,H2759),E2759&lt;&gt;H2759),1,0)</f>
      </c>
      <c r="L2759">
        <f>IF(K2759=1,(Pu-E2759)/(H2759-E2759),"")</f>
      </c>
      <c r="M2759" s="12">
        <f>IF(K2759=1,F2759+L2759*(I2759-F2759),"")</f>
      </c>
      <c r="N2759" s="12">
        <f>IF(K2759=1,G2759+L2759*(J2759-G2759),"")</f>
      </c>
    </row>
    <row r="2760" spans="2:14" x14ac:dyDescent="0.25">
      <c r="B2760">
        <v>77</v>
      </c>
      <c r="C2760">
        <v>285</v>
      </c>
      <c r="D2760">
        <v>16</v>
      </c>
      <c r="E2760" s="18">
        <v>7125.29559779985</v>
      </c>
      <c r="F2760" s="18">
        <v>-4724.132633473329</v>
      </c>
      <c r="G2760" s="18">
        <v>1481.5578731189323</v>
      </c>
      <c r="H2760" s="12">
        <f>E2761</f>
      </c>
      <c r="I2760" s="12">
        <f>F2761</f>
      </c>
      <c r="J2760" s="12">
        <f>G2761</f>
      </c>
      <c r="K2760">
        <f>IF(AND(Pu&gt;=MIN(E2760,H2760),Pu&lt;=MAX(E2760,H2760),E2760&lt;&gt;H2760),1,0)</f>
      </c>
      <c r="L2760">
        <f>IF(K2760=1,(Pu-E2760)/(H2760-E2760),"")</f>
      </c>
      <c r="M2760" s="12">
        <f>IF(K2760=1,F2760+L2760*(I2760-F2760),"")</f>
      </c>
      <c r="N2760" s="12">
        <f>IF(K2760=1,G2760+L2760*(J2760-G2760),"")</f>
      </c>
    </row>
    <row r="2761" spans="2:14" x14ac:dyDescent="0.25">
      <c r="B2761">
        <v>77</v>
      </c>
      <c r="C2761">
        <v>285</v>
      </c>
      <c r="D2761">
        <v>17</v>
      </c>
      <c r="E2761" s="18">
        <v>6824.3569710177035</v>
      </c>
      <c r="F2761" s="18">
        <v>-4766.330798366502</v>
      </c>
      <c r="G2761" s="18">
        <v>1521.8733010773317</v>
      </c>
      <c r="H2761" s="12">
        <f>E2762</f>
      </c>
      <c r="I2761" s="12">
        <f>F2762</f>
      </c>
      <c r="J2761" s="12">
        <f>G2762</f>
      </c>
      <c r="K2761">
        <f>IF(AND(Pu&gt;=MIN(E2761,H2761),Pu&lt;=MAX(E2761,H2761),E2761&lt;&gt;H2761),1,0)</f>
      </c>
      <c r="L2761">
        <f>IF(K2761=1,(Pu-E2761)/(H2761-E2761),"")</f>
      </c>
      <c r="M2761" s="12">
        <f>IF(K2761=1,F2761+L2761*(I2761-F2761),"")</f>
      </c>
      <c r="N2761" s="12">
        <f>IF(K2761=1,G2761+L2761*(J2761-G2761),"")</f>
      </c>
    </row>
    <row r="2762" spans="2:14" x14ac:dyDescent="0.25">
      <c r="B2762">
        <v>77</v>
      </c>
      <c r="C2762">
        <v>285</v>
      </c>
      <c r="D2762">
        <v>18</v>
      </c>
      <c r="E2762" s="18">
        <v>6712.760123692536</v>
      </c>
      <c r="F2762" s="18">
        <v>-4779.873256335668</v>
      </c>
      <c r="G2762" s="18">
        <v>1536.197338430544</v>
      </c>
      <c r="H2762" s="12">
        <f>E2763</f>
      </c>
      <c r="I2762" s="12">
        <f>F2763</f>
      </c>
      <c r="J2762" s="12">
        <f>G2763</f>
      </c>
      <c r="K2762">
        <f>IF(AND(Pu&gt;=MIN(E2762,H2762),Pu&lt;=MAX(E2762,H2762),E2762&lt;&gt;H2762),1,0)</f>
      </c>
      <c r="L2762">
        <f>IF(K2762=1,(Pu-E2762)/(H2762-E2762),"")</f>
      </c>
      <c r="M2762" s="12">
        <f>IF(K2762=1,F2762+L2762*(I2762-F2762),"")</f>
      </c>
      <c r="N2762" s="12">
        <f>IF(K2762=1,G2762+L2762*(J2762-G2762),"")</f>
      </c>
    </row>
    <row r="2763" spans="2:14" x14ac:dyDescent="0.25">
      <c r="B2763">
        <v>77</v>
      </c>
      <c r="C2763">
        <v>285</v>
      </c>
      <c r="D2763">
        <v>19</v>
      </c>
      <c r="E2763" s="18">
        <v>6533.242087252474</v>
      </c>
      <c r="F2763" s="18">
        <v>-4801.131386407112</v>
      </c>
      <c r="G2763" s="18">
        <v>1572.7419381235354</v>
      </c>
      <c r="H2763" s="12">
        <f>E2764</f>
      </c>
      <c r="I2763" s="12">
        <f>F2764</f>
      </c>
      <c r="J2763" s="12">
        <f>G2764</f>
      </c>
      <c r="K2763">
        <f>IF(AND(Pu&gt;=MIN(E2763,H2763),Pu&lt;=MAX(E2763,H2763),E2763&lt;&gt;H2763),1,0)</f>
      </c>
      <c r="L2763">
        <f>IF(K2763=1,(Pu-E2763)/(H2763-E2763),"")</f>
      </c>
      <c r="M2763" s="12">
        <f>IF(K2763=1,F2763+L2763*(I2763-F2763),"")</f>
      </c>
      <c r="N2763" s="12">
        <f>IF(K2763=1,G2763+L2763*(J2763-G2763),"")</f>
      </c>
    </row>
    <row r="2764" spans="2:14" x14ac:dyDescent="0.25">
      <c r="B2764">
        <v>77</v>
      </c>
      <c r="C2764">
        <v>285</v>
      </c>
      <c r="D2764">
        <v>20</v>
      </c>
      <c r="E2764" s="18">
        <v>6243.741751378673</v>
      </c>
      <c r="F2764" s="18">
        <v>-4815.363505491877</v>
      </c>
      <c r="G2764" s="18">
        <v>1613.4587386768476</v>
      </c>
      <c r="H2764" s="12">
        <f>E2765</f>
      </c>
      <c r="I2764" s="12">
        <f>F2765</f>
      </c>
      <c r="J2764" s="12">
        <f>G2765</f>
      </c>
      <c r="K2764">
        <f>IF(AND(Pu&gt;=MIN(E2764,H2764),Pu&lt;=MAX(E2764,H2764),E2764&lt;&gt;H2764),1,0)</f>
      </c>
      <c r="L2764">
        <f>IF(K2764=1,(Pu-E2764)/(H2764-E2764),"")</f>
      </c>
      <c r="M2764" s="12">
        <f>IF(K2764=1,F2764+L2764*(I2764-F2764),"")</f>
      </c>
      <c r="N2764" s="12">
        <f>IF(K2764=1,G2764+L2764*(J2764-G2764),"")</f>
      </c>
    </row>
    <row r="2765" spans="2:14" x14ac:dyDescent="0.25">
      <c r="B2765">
        <v>77</v>
      </c>
      <c r="C2765">
        <v>285</v>
      </c>
      <c r="D2765">
        <v>21</v>
      </c>
      <c r="E2765" s="18">
        <v>6192.823512197102</v>
      </c>
      <c r="F2765" s="18">
        <v>-4816.122040964442</v>
      </c>
      <c r="G2765" s="18">
        <v>1620.852746372297</v>
      </c>
      <c r="H2765" s="12">
        <f>E2766</f>
      </c>
      <c r="I2765" s="12">
        <f>F2766</f>
      </c>
      <c r="J2765" s="12">
        <f>G2766</f>
      </c>
      <c r="K2765">
        <f>IF(AND(Pu&gt;=MIN(E2765,H2765),Pu&lt;=MAX(E2765,H2765),E2765&lt;&gt;H2765),1,0)</f>
      </c>
      <c r="L2765">
        <f>IF(K2765=1,(Pu-E2765)/(H2765-E2765),"")</f>
      </c>
      <c r="M2765" s="12">
        <f>IF(K2765=1,F2765+L2765*(I2765-F2765),"")</f>
      </c>
      <c r="N2765" s="12">
        <f>IF(K2765=1,G2765+L2765*(J2765-G2765),"")</f>
      </c>
    </row>
    <row r="2766" spans="2:14" x14ac:dyDescent="0.25">
      <c r="B2766">
        <v>77</v>
      </c>
      <c r="C2766">
        <v>285</v>
      </c>
      <c r="D2766">
        <v>22</v>
      </c>
      <c r="E2766" s="18">
        <v>5425.436986657986</v>
      </c>
      <c r="F2766" s="18">
        <v>-4593.1183903955025</v>
      </c>
      <c r="G2766" s="18">
        <v>1655.247290991834</v>
      </c>
      <c r="H2766" s="12">
        <f>E2767</f>
      </c>
      <c r="I2766" s="12">
        <f>F2767</f>
      </c>
      <c r="J2766" s="12">
        <f>G2767</f>
      </c>
      <c r="K2766">
        <f>IF(AND(Pu&gt;=MIN(E2766,H2766),Pu&lt;=MAX(E2766,H2766),E2766&lt;&gt;H2766),1,0)</f>
      </c>
      <c r="L2766">
        <f>IF(K2766=1,(Pu-E2766)/(H2766-E2766),"")</f>
      </c>
      <c r="M2766" s="12">
        <f>IF(K2766=1,F2766+L2766*(I2766-F2766),"")</f>
      </c>
      <c r="N2766" s="12">
        <f>IF(K2766=1,G2766+L2766*(J2766-G2766),"")</f>
      </c>
    </row>
    <row r="2767" spans="2:14" x14ac:dyDescent="0.25">
      <c r="B2767">
        <v>77</v>
      </c>
      <c r="C2767">
        <v>285</v>
      </c>
      <c r="D2767">
        <v>23</v>
      </c>
      <c r="E2767" s="18">
        <v>4075.7816266170094</v>
      </c>
      <c r="F2767" s="18">
        <v>-4134.056230516804</v>
      </c>
      <c r="G2767" s="18">
        <v>1670.1574020308549</v>
      </c>
      <c r="H2767" s="12">
        <f>E2768</f>
      </c>
      <c r="I2767" s="12">
        <f>F2768</f>
      </c>
      <c r="J2767" s="12">
        <f>G2768</f>
      </c>
      <c r="K2767">
        <f>IF(AND(Pu&gt;=MIN(E2767,H2767),Pu&lt;=MAX(E2767,H2767),E2767&lt;&gt;H2767),1,0)</f>
      </c>
      <c r="L2767">
        <f>IF(K2767=1,(Pu-E2767)/(H2767-E2767),"")</f>
      </c>
      <c r="M2767" s="12">
        <f>IF(K2767=1,F2767+L2767*(I2767-F2767),"")</f>
      </c>
      <c r="N2767" s="12">
        <f>IF(K2767=1,G2767+L2767*(J2767-G2767),"")</f>
      </c>
    </row>
    <row r="2768" spans="2:14" x14ac:dyDescent="0.25">
      <c r="B2768">
        <v>77</v>
      </c>
      <c r="C2768">
        <v>285</v>
      </c>
      <c r="D2768">
        <v>24</v>
      </c>
      <c r="E2768" s="18">
        <v>2944.7997831955736</v>
      </c>
      <c r="F2768" s="18">
        <v>-3722.923170691856</v>
      </c>
      <c r="G2768" s="18">
        <v>1657.3527027165244</v>
      </c>
      <c r="H2768" s="12">
        <f>E2769</f>
      </c>
      <c r="I2768" s="12">
        <f>F2769</f>
      </c>
      <c r="J2768" s="12">
        <f>G2769</f>
      </c>
      <c r="K2768">
        <f>IF(AND(Pu&gt;=MIN(E2768,H2768),Pu&lt;=MAX(E2768,H2768),E2768&lt;&gt;H2768),1,0)</f>
      </c>
      <c r="L2768">
        <f>IF(K2768=1,(Pu-E2768)/(H2768-E2768),"")</f>
      </c>
      <c r="M2768" s="12">
        <f>IF(K2768=1,F2768+L2768*(I2768-F2768),"")</f>
      </c>
      <c r="N2768" s="12">
        <f>IF(K2768=1,G2768+L2768*(J2768-G2768),"")</f>
      </c>
    </row>
    <row r="2769" spans="2:14" x14ac:dyDescent="0.25">
      <c r="B2769">
        <v>77</v>
      </c>
      <c r="C2769">
        <v>285</v>
      </c>
      <c r="D2769">
        <v>25</v>
      </c>
      <c r="E2769" s="18">
        <v>2076.6295793943373</v>
      </c>
      <c r="F2769" s="18">
        <v>-3361.572080990779</v>
      </c>
      <c r="G2769" s="18">
        <v>1634.0582084930513</v>
      </c>
      <c r="H2769" s="12">
        <f>E2770</f>
      </c>
      <c r="I2769" s="12">
        <f>F2770</f>
      </c>
      <c r="J2769" s="12">
        <f>G2770</f>
      </c>
      <c r="K2769">
        <f>IF(AND(Pu&gt;=MIN(E2769,H2769),Pu&lt;=MAX(E2769,H2769),E2769&lt;&gt;H2769),1,0)</f>
      </c>
      <c r="L2769">
        <f>IF(K2769=1,(Pu-E2769)/(H2769-E2769),"")</f>
      </c>
      <c r="M2769" s="12">
        <f>IF(K2769=1,F2769+L2769*(I2769-F2769),"")</f>
      </c>
      <c r="N2769" s="12">
        <f>IF(K2769=1,G2769+L2769*(J2769-G2769),"")</f>
      </c>
    </row>
    <row r="2770" spans="2:14" x14ac:dyDescent="0.25">
      <c r="B2770">
        <v>77</v>
      </c>
      <c r="C2770">
        <v>285</v>
      </c>
      <c r="D2770">
        <v>26</v>
      </c>
      <c r="E2770" s="18">
        <v>712.5359908337444</v>
      </c>
      <c r="F2770" s="18">
        <v>-2772.104128176503</v>
      </c>
      <c r="G2770" s="18">
        <v>1482.8617890671012</v>
      </c>
      <c r="H2770" s="12">
        <f>E2771</f>
      </c>
      <c r="I2770" s="12">
        <f>F2771</f>
      </c>
      <c r="J2770" s="12">
        <f>G2771</f>
      </c>
      <c r="K2770">
        <f>IF(AND(Pu&gt;=MIN(E2770,H2770),Pu&lt;=MAX(E2770,H2770),E2770&lt;&gt;H2770),1,0)</f>
      </c>
      <c r="L2770">
        <f>IF(K2770=1,(Pu-E2770)/(H2770-E2770),"")</f>
      </c>
      <c r="M2770" s="12">
        <f>IF(K2770=1,F2770+L2770*(I2770-F2770),"")</f>
      </c>
      <c r="N2770" s="12">
        <f>IF(K2770=1,G2770+L2770*(J2770-G2770),"")</f>
      </c>
    </row>
    <row r="2771" spans="2:14" x14ac:dyDescent="0.25">
      <c r="B2771">
        <v>77</v>
      </c>
      <c r="C2771">
        <v>285</v>
      </c>
      <c r="D2771">
        <v>27</v>
      </c>
      <c r="E2771" s="18">
        <v>-374.1013551416667</v>
      </c>
      <c r="F2771" s="18">
        <v>-2286.4866372736956</v>
      </c>
      <c r="G2771" s="18">
        <v>1280.5008152471191</v>
      </c>
      <c r="H2771" s="12">
        <f>E2772</f>
      </c>
      <c r="I2771" s="12">
        <f>F2772</f>
      </c>
      <c r="J2771" s="12">
        <f>G2772</f>
      </c>
      <c r="K2771">
        <f>IF(AND(Pu&gt;=MIN(E2771,H2771),Pu&lt;=MAX(E2771,H2771),E2771&lt;&gt;H2771),1,0)</f>
      </c>
      <c r="L2771">
        <f>IF(K2771=1,(Pu-E2771)/(H2771-E2771),"")</f>
      </c>
      <c r="M2771" s="12">
        <f>IF(K2771=1,F2771+L2771*(I2771-F2771),"")</f>
      </c>
      <c r="N2771" s="12">
        <f>IF(K2771=1,G2771+L2771*(J2771-G2771),"")</f>
      </c>
    </row>
    <row r="2772" spans="2:14" x14ac:dyDescent="0.25">
      <c r="B2772">
        <v>77</v>
      </c>
      <c r="C2772">
        <v>285</v>
      </c>
      <c r="D2772">
        <v>28</v>
      </c>
      <c r="E2772" s="18">
        <v>-1220.5434678478591</v>
      </c>
      <c r="F2772" s="18">
        <v>-1883.110582904916</v>
      </c>
      <c r="G2772" s="18">
        <v>1117.9652594935558</v>
      </c>
      <c r="H2772" s="12">
        <f>E2773</f>
      </c>
      <c r="I2772" s="12">
        <f>F2773</f>
      </c>
      <c r="J2772" s="12">
        <f>G2773</f>
      </c>
      <c r="K2772">
        <f>IF(AND(Pu&gt;=MIN(E2772,H2772),Pu&lt;=MAX(E2772,H2772),E2772&lt;&gt;H2772),1,0)</f>
      </c>
      <c r="L2772">
        <f>IF(K2772=1,(Pu-E2772)/(H2772-E2772),"")</f>
      </c>
      <c r="M2772" s="12">
        <f>IF(K2772=1,F2772+L2772*(I2772-F2772),"")</f>
      </c>
      <c r="N2772" s="12">
        <f>IF(K2772=1,G2772+L2772*(J2772-G2772),"")</f>
      </c>
    </row>
    <row r="2773" spans="2:14" x14ac:dyDescent="0.25">
      <c r="B2773">
        <v>77</v>
      </c>
      <c r="C2773">
        <v>285</v>
      </c>
      <c r="D2773">
        <v>29</v>
      </c>
      <c r="E2773" s="18">
        <v>-1913.5931392446535</v>
      </c>
      <c r="F2773" s="18">
        <v>-1547.644214661815</v>
      </c>
      <c r="G2773" s="18">
        <v>980.4354029909025</v>
      </c>
      <c r="H2773" s="12">
        <f>E2774</f>
      </c>
      <c r="I2773" s="12">
        <f>F2774</f>
      </c>
      <c r="J2773" s="12">
        <f>G2774</f>
      </c>
      <c r="K2773">
        <f>IF(AND(Pu&gt;=MIN(E2773,H2773),Pu&lt;=MAX(E2773,H2773),E2773&lt;&gt;H2773),1,0)</f>
      </c>
      <c r="L2773">
        <f>IF(K2773=1,(Pu-E2773)/(H2773-E2773),"")</f>
      </c>
      <c r="M2773" s="12">
        <f>IF(K2773=1,F2773+L2773*(I2773-F2773),"")</f>
      </c>
      <c r="N2773" s="12">
        <f>IF(K2773=1,G2773+L2773*(J2773-G2773),"")</f>
      </c>
    </row>
    <row r="2774" spans="2:14" x14ac:dyDescent="0.25">
      <c r="B2774">
        <v>77</v>
      </c>
      <c r="C2774">
        <v>285</v>
      </c>
      <c r="D2774">
        <v>30</v>
      </c>
      <c r="E2774" s="18">
        <v>-2901.726948784684</v>
      </c>
      <c r="F2774" s="18">
        <v>-1068.9410776416837</v>
      </c>
      <c r="G2774" s="18">
        <v>722.9636361433102</v>
      </c>
      <c r="H2774" s="12">
        <f>E2775</f>
      </c>
      <c r="I2774" s="12">
        <f>F2775</f>
      </c>
      <c r="J2774" s="12">
        <f>G2775</f>
      </c>
      <c r="K2774">
        <f>IF(AND(Pu&gt;=MIN(E2774,H2774),Pu&lt;=MAX(E2774,H2774),E2774&lt;&gt;H2774),1,0)</f>
      </c>
      <c r="L2774">
        <f>IF(K2774=1,(Pu-E2774)/(H2774-E2774),"")</f>
      </c>
      <c r="M2774" s="12">
        <f>IF(K2774=1,F2774+L2774*(I2774-F2774),"")</f>
      </c>
      <c r="N2774" s="12">
        <f>IF(K2774=1,G2774+L2774*(J2774-G2774),"")</f>
      </c>
    </row>
    <row r="2775" spans="2:14" x14ac:dyDescent="0.25">
      <c r="B2775">
        <v>77</v>
      </c>
      <c r="C2775">
        <v>285</v>
      </c>
      <c r="D2775">
        <v>31</v>
      </c>
      <c r="E2775" s="18">
        <v>-3486.2717989779626</v>
      </c>
      <c r="F2775" s="18">
        <v>-773.3795503754568</v>
      </c>
      <c r="G2775" s="18">
        <v>547.9918963617698</v>
      </c>
      <c r="H2775" s="12">
        <f>E2776</f>
      </c>
      <c r="I2775" s="12">
        <f>F2776</f>
      </c>
      <c r="J2775" s="12">
        <f>G2776</f>
      </c>
      <c r="K2775">
        <f>IF(AND(Pu&gt;=MIN(E2775,H2775),Pu&lt;=MAX(E2775,H2775),E2775&lt;&gt;H2775),1,0)</f>
      </c>
      <c r="L2775">
        <f>IF(K2775=1,(Pu-E2775)/(H2775-E2775),"")</f>
      </c>
      <c r="M2775" s="12">
        <f>IF(K2775=1,F2775+L2775*(I2775-F2775),"")</f>
      </c>
      <c r="N2775" s="12">
        <f>IF(K2775=1,G2775+L2775*(J2775-G2775),"")</f>
      </c>
    </row>
    <row r="2776" spans="2:14" x14ac:dyDescent="0.25">
      <c r="B2776">
        <v>77</v>
      </c>
      <c r="C2776">
        <v>285</v>
      </c>
      <c r="D2776">
        <v>32</v>
      </c>
      <c r="E2776" s="18">
        <v>-4098.960307965163</v>
      </c>
      <c r="F2776" s="18">
        <v>-449.28829574972434</v>
      </c>
      <c r="G2776" s="18">
        <v>349.8736023501703</v>
      </c>
      <c r="H2776" s="12">
        <f>E2777</f>
      </c>
      <c r="I2776" s="12">
        <f>F2777</f>
      </c>
      <c r="J2776" s="12">
        <f>G2777</f>
      </c>
      <c r="K2776">
        <f>IF(AND(Pu&gt;=MIN(E2776,H2776),Pu&lt;=MAX(E2776,H2776),E2776&lt;&gt;H2776),1,0)</f>
      </c>
      <c r="L2776">
        <f>IF(K2776=1,(Pu-E2776)/(H2776-E2776),"")</f>
      </c>
      <c r="M2776" s="12">
        <f>IF(K2776=1,F2776+L2776*(I2776-F2776),"")</f>
      </c>
      <c r="N2776" s="12">
        <f>IF(K2776=1,G2776+L2776*(J2776-G2776),"")</f>
      </c>
    </row>
    <row r="2777" spans="2:14" x14ac:dyDescent="0.25">
      <c r="B2777">
        <v>77</v>
      </c>
      <c r="C2777">
        <v>285</v>
      </c>
      <c r="D2777">
        <v>33</v>
      </c>
      <c r="E2777" s="18">
        <v>-4431.740486689303</v>
      </c>
      <c r="F2777" s="18">
        <v>-270.82521915072294</v>
      </c>
      <c r="G2777" s="18">
        <v>223.84585890724136</v>
      </c>
      <c r="H2777" s="12">
        <f>E2778</f>
      </c>
      <c r="I2777" s="12">
        <f>F2778</f>
      </c>
      <c r="J2777" s="12">
        <f>G2778</f>
      </c>
      <c r="K2777">
        <f>IF(AND(Pu&gt;=MIN(E2777,H2777),Pu&lt;=MAX(E2777,H2777),E2777&lt;&gt;H2777),1,0)</f>
      </c>
      <c r="L2777">
        <f>IF(K2777=1,(Pu-E2777)/(H2777-E2777),"")</f>
      </c>
      <c r="M2777" s="12">
        <f>IF(K2777=1,F2777+L2777*(I2777-F2777),"")</f>
      </c>
      <c r="N2777" s="12">
        <f>IF(K2777=1,G2777+L2777*(J2777-G2777),"")</f>
      </c>
    </row>
    <row r="2778" spans="2:14" x14ac:dyDescent="0.25">
      <c r="B2778">
        <v>77</v>
      </c>
      <c r="C2778">
        <v>285</v>
      </c>
      <c r="D2778">
        <v>34</v>
      </c>
      <c r="E2778" s="18">
        <v>-4781.6650919672975</v>
      </c>
      <c r="F2778" s="18">
        <v>-80.97824293577858</v>
      </c>
      <c r="G2778" s="18">
        <v>71.60425227818084</v>
      </c>
      <c r="H2778" s="12">
        <f>E2779</f>
      </c>
      <c r="I2778" s="12">
        <f>F2779</f>
      </c>
      <c r="J2778" s="12">
        <f>G2779</f>
      </c>
      <c r="K2778">
        <f>IF(AND(Pu&gt;=MIN(E2778,H2778),Pu&lt;=MAX(E2778,H2778),E2778&lt;&gt;H2778),1,0)</f>
      </c>
      <c r="L2778">
        <f>IF(K2778=1,(Pu-E2778)/(H2778-E2778),"")</f>
      </c>
      <c r="M2778" s="12">
        <f>IF(K2778=1,F2778+L2778*(I2778-F2778),"")</f>
      </c>
      <c r="N2778" s="12">
        <f>IF(K2778=1,G2778+L2778*(J2778-G2778),"")</f>
      </c>
    </row>
    <row r="2779" spans="2:7" x14ac:dyDescent="0.25">
      <c r="B2779">
        <v>77</v>
      </c>
      <c r="C2779">
        <v>285</v>
      </c>
      <c r="D2779">
        <v>35</v>
      </c>
      <c r="E2779" s="18">
        <v>-4841.369813335681</v>
      </c>
      <c r="F2779" s="18">
        <v>-46.973297225217785</v>
      </c>
      <c r="G2779" s="18">
        <v>41.91532836332662</v>
      </c>
    </row>
    <row r="2781" spans="2:14" x14ac:dyDescent="0.25">
      <c r="B2781">
        <v>78</v>
      </c>
      <c r="C2781">
        <v>288.75</v>
      </c>
      <c r="D2781">
        <v>1</v>
      </c>
      <c r="E2781" s="18">
        <v>16511.58600869569</v>
      </c>
      <c r="F2781" s="18">
        <v>-2452.2879988297586</v>
      </c>
      <c r="G2781" s="18">
        <v>1301.3803365620427</v>
      </c>
      <c r="H2781" s="12">
        <f>E2782</f>
      </c>
      <c r="I2781" s="12">
        <f>F2782</f>
      </c>
      <c r="J2781" s="12">
        <f>G2782</f>
      </c>
      <c r="K2781">
        <f>IF(AND(Pu&gt;=MIN(E2781,H2781),Pu&lt;=MAX(E2781,H2781),E2781&lt;&gt;H2781),1,0)</f>
      </c>
      <c r="L2781">
        <f>IF(K2781=1,(Pu-E2781)/(H2781-E2781),"")</f>
      </c>
      <c r="M2781" s="12">
        <f>IF(K2781=1,F2781+L2781*(I2781-F2781),"")</f>
      </c>
      <c r="N2781" s="12">
        <f>IF(K2781=1,G2781+L2781*(J2781-G2781),"")</f>
      </c>
    </row>
    <row r="2782" spans="2:14" x14ac:dyDescent="0.25">
      <c r="B2782">
        <v>78</v>
      </c>
      <c r="C2782">
        <v>288.75</v>
      </c>
      <c r="D2782">
        <v>2</v>
      </c>
      <c r="E2782" s="18">
        <v>15052.808192918565</v>
      </c>
      <c r="F2782" s="18">
        <v>-2973.958144454626</v>
      </c>
      <c r="G2782" s="18">
        <v>1275.0181485984058</v>
      </c>
      <c r="H2782" s="12">
        <f>E2783</f>
      </c>
      <c r="I2782" s="12">
        <f>F2783</f>
      </c>
      <c r="J2782" s="12">
        <f>G2783</f>
      </c>
      <c r="K2782">
        <f>IF(AND(Pu&gt;=MIN(E2782,H2782),Pu&lt;=MAX(E2782,H2782),E2782&lt;&gt;H2782),1,0)</f>
      </c>
      <c r="L2782">
        <f>IF(K2782=1,(Pu-E2782)/(H2782-E2782),"")</f>
      </c>
      <c r="M2782" s="12">
        <f>IF(K2782=1,F2782+L2782*(I2782-F2782),"")</f>
      </c>
      <c r="N2782" s="12">
        <f>IF(K2782=1,G2782+L2782*(J2782-G2782),"")</f>
      </c>
    </row>
    <row r="2783" spans="2:14" x14ac:dyDescent="0.25">
      <c r="B2783">
        <v>78</v>
      </c>
      <c r="C2783">
        <v>288.75</v>
      </c>
      <c r="D2783">
        <v>3</v>
      </c>
      <c r="E2783" s="18">
        <v>13018.385928705817</v>
      </c>
      <c r="F2783" s="18">
        <v>-3516.0080709181875</v>
      </c>
      <c r="G2783" s="18">
        <v>1313.0524894856248</v>
      </c>
      <c r="H2783" s="12">
        <f>E2784</f>
      </c>
      <c r="I2783" s="12">
        <f>F2784</f>
      </c>
      <c r="J2783" s="12">
        <f>G2784</f>
      </c>
      <c r="K2783">
        <f>IF(AND(Pu&gt;=MIN(E2783,H2783),Pu&lt;=MAX(E2783,H2783),E2783&lt;&gt;H2783),1,0)</f>
      </c>
      <c r="L2783">
        <f>IF(K2783=1,(Pu-E2783)/(H2783-E2783),"")</f>
      </c>
      <c r="M2783" s="12">
        <f>IF(K2783=1,F2783+L2783*(I2783-F2783),"")</f>
      </c>
      <c r="N2783" s="12">
        <f>IF(K2783=1,G2783+L2783*(J2783-G2783),"")</f>
      </c>
    </row>
    <row r="2784" spans="2:14" x14ac:dyDescent="0.25">
      <c r="B2784">
        <v>78</v>
      </c>
      <c r="C2784">
        <v>288.75</v>
      </c>
      <c r="D2784">
        <v>4</v>
      </c>
      <c r="E2784" s="18">
        <v>11430.699482546474</v>
      </c>
      <c r="F2784" s="18">
        <v>-3806.4012788328796</v>
      </c>
      <c r="G2784" s="18">
        <v>1350.7395900894676</v>
      </c>
      <c r="H2784" s="12">
        <f>E2785</f>
      </c>
      <c r="I2784" s="12">
        <f>F2785</f>
      </c>
      <c r="J2784" s="12">
        <f>G2785</f>
      </c>
      <c r="K2784">
        <f>IF(AND(Pu&gt;=MIN(E2784,H2784),Pu&lt;=MAX(E2784,H2784),E2784&lt;&gt;H2784),1,0)</f>
      </c>
      <c r="L2784">
        <f>IF(K2784=1,(Pu-E2784)/(H2784-E2784),"")</f>
      </c>
      <c r="M2784" s="12">
        <f>IF(K2784=1,F2784+L2784*(I2784-F2784),"")</f>
      </c>
      <c r="N2784" s="12">
        <f>IF(K2784=1,G2784+L2784*(J2784-G2784),"")</f>
      </c>
    </row>
    <row r="2785" spans="2:14" x14ac:dyDescent="0.25">
      <c r="B2785">
        <v>78</v>
      </c>
      <c r="C2785">
        <v>288.75</v>
      </c>
      <c r="D2785">
        <v>5</v>
      </c>
      <c r="E2785" s="18">
        <v>10075.169882549095</v>
      </c>
      <c r="F2785" s="18">
        <v>-3968.8021620930567</v>
      </c>
      <c r="G2785" s="18">
        <v>1412.7405320337864</v>
      </c>
      <c r="H2785" s="12">
        <f>E2786</f>
      </c>
      <c r="I2785" s="12">
        <f>F2786</f>
      </c>
      <c r="J2785" s="12">
        <f>G2786</f>
      </c>
      <c r="K2785">
        <f>IF(AND(Pu&gt;=MIN(E2785,H2785),Pu&lt;=MAX(E2785,H2785),E2785&lt;&gt;H2785),1,0)</f>
      </c>
      <c r="L2785">
        <f>IF(K2785=1,(Pu-E2785)/(H2785-E2785),"")</f>
      </c>
      <c r="M2785" s="12">
        <f>IF(K2785=1,F2785+L2785*(I2785-F2785),"")</f>
      </c>
      <c r="N2785" s="12">
        <f>IF(K2785=1,G2785+L2785*(J2785-G2785),"")</f>
      </c>
    </row>
    <row r="2786" spans="2:14" x14ac:dyDescent="0.25">
      <c r="B2786">
        <v>78</v>
      </c>
      <c r="C2786">
        <v>288.75</v>
      </c>
      <c r="D2786">
        <v>6</v>
      </c>
      <c r="E2786" s="18">
        <v>8994.790214855873</v>
      </c>
      <c r="F2786" s="18">
        <v>-4055.863243592079</v>
      </c>
      <c r="G2786" s="18">
        <v>1463.241993984668</v>
      </c>
      <c r="H2786" s="12">
        <f>E2787</f>
      </c>
      <c r="I2786" s="12">
        <f>F2787</f>
      </c>
      <c r="J2786" s="12">
        <f>G2787</f>
      </c>
      <c r="K2786">
        <f>IF(AND(Pu&gt;=MIN(E2786,H2786),Pu&lt;=MAX(E2786,H2786),E2786&lt;&gt;H2786),1,0)</f>
      </c>
      <c r="L2786">
        <f>IF(K2786=1,(Pu-E2786)/(H2786-E2786),"")</f>
      </c>
      <c r="M2786" s="12">
        <f>IF(K2786=1,F2786+L2786*(I2786-F2786),"")</f>
      </c>
      <c r="N2786" s="12">
        <f>IF(K2786=1,G2786+L2786*(J2786-G2786),"")</f>
      </c>
    </row>
    <row r="2787" spans="2:14" x14ac:dyDescent="0.25">
      <c r="B2787">
        <v>78</v>
      </c>
      <c r="C2787">
        <v>288.75</v>
      </c>
      <c r="D2787">
        <v>7</v>
      </c>
      <c r="E2787" s="18">
        <v>8927.301491161443</v>
      </c>
      <c r="F2787" s="18">
        <v>-4088.4728421418504</v>
      </c>
      <c r="G2787" s="18">
        <v>1466.7534294843263</v>
      </c>
      <c r="H2787" s="12">
        <f>E2788</f>
      </c>
      <c r="I2787" s="12">
        <f>F2788</f>
      </c>
      <c r="J2787" s="12">
        <f>G2788</f>
      </c>
      <c r="K2787">
        <f>IF(AND(Pu&gt;=MIN(E2787,H2787),Pu&lt;=MAX(E2787,H2787),E2787&lt;&gt;H2787),1,0)</f>
      </c>
      <c r="L2787">
        <f>IF(K2787=1,(Pu-E2787)/(H2787-E2787),"")</f>
      </c>
      <c r="M2787" s="12">
        <f>IF(K2787=1,F2787+L2787*(I2787-F2787),"")</f>
      </c>
      <c r="N2787" s="12">
        <f>IF(K2787=1,G2787+L2787*(J2787-G2787),"")</f>
      </c>
    </row>
    <row r="2788" spans="2:14" x14ac:dyDescent="0.25">
      <c r="B2788">
        <v>78</v>
      </c>
      <c r="C2788">
        <v>288.75</v>
      </c>
      <c r="D2788">
        <v>8</v>
      </c>
      <c r="E2788" s="18">
        <v>8466.393728827477</v>
      </c>
      <c r="F2788" s="18">
        <v>-4243.284269146532</v>
      </c>
      <c r="G2788" s="18">
        <v>1539.721505954266</v>
      </c>
      <c r="H2788" s="12">
        <f>E2789</f>
      </c>
      <c r="I2788" s="12">
        <f>F2789</f>
      </c>
      <c r="J2788" s="12">
        <f>G2789</f>
      </c>
      <c r="K2788">
        <f>IF(AND(Pu&gt;=MIN(E2788,H2788),Pu&lt;=MAX(E2788,H2788),E2788&lt;&gt;H2788),1,0)</f>
      </c>
      <c r="L2788">
        <f>IF(K2788=1,(Pu-E2788)/(H2788-E2788),"")</f>
      </c>
      <c r="M2788" s="12">
        <f>IF(K2788=1,F2788+L2788*(I2788-F2788),"")</f>
      </c>
      <c r="N2788" s="12">
        <f>IF(K2788=1,G2788+L2788*(J2788-G2788),"")</f>
      </c>
    </row>
    <row r="2789" spans="2:14" x14ac:dyDescent="0.25">
      <c r="B2789">
        <v>78</v>
      </c>
      <c r="C2789">
        <v>288.75</v>
      </c>
      <c r="D2789">
        <v>9</v>
      </c>
      <c r="E2789" s="18">
        <v>8274.354632031555</v>
      </c>
      <c r="F2789" s="18">
        <v>-4302.14764188936</v>
      </c>
      <c r="G2789" s="18">
        <v>1571.0716685285126</v>
      </c>
      <c r="H2789" s="12">
        <f>E2790</f>
      </c>
      <c r="I2789" s="12">
        <f>F2790</f>
      </c>
      <c r="J2789" s="12">
        <f>G2790</f>
      </c>
      <c r="K2789">
        <f>IF(AND(Pu&gt;=MIN(E2789,H2789),Pu&lt;=MAX(E2789,H2789),E2789&lt;&gt;H2789),1,0)</f>
      </c>
      <c r="L2789">
        <f>IF(K2789=1,(Pu-E2789)/(H2789-E2789),"")</f>
      </c>
      <c r="M2789" s="12">
        <f>IF(K2789=1,F2789+L2789*(I2789-F2789),"")</f>
      </c>
      <c r="N2789" s="12">
        <f>IF(K2789=1,G2789+L2789*(J2789-G2789),"")</f>
      </c>
    </row>
    <row r="2790" spans="2:14" x14ac:dyDescent="0.25">
      <c r="B2790">
        <v>78</v>
      </c>
      <c r="C2790">
        <v>288.75</v>
      </c>
      <c r="D2790">
        <v>10</v>
      </c>
      <c r="E2790" s="18">
        <v>8001.170742821062</v>
      </c>
      <c r="F2790" s="18">
        <v>-4371.810815786597</v>
      </c>
      <c r="G2790" s="18">
        <v>1623.7908728310797</v>
      </c>
      <c r="H2790" s="12">
        <f>E2791</f>
      </c>
      <c r="I2790" s="12">
        <f>F2791</f>
      </c>
      <c r="J2790" s="12">
        <f>G2791</f>
      </c>
      <c r="K2790">
        <f>IF(AND(Pu&gt;=MIN(E2790,H2790),Pu&lt;=MAX(E2790,H2790),E2790&lt;&gt;H2790),1,0)</f>
      </c>
      <c r="L2790">
        <f>IF(K2790=1,(Pu-E2790)/(H2790-E2790),"")</f>
      </c>
      <c r="M2790" s="12">
        <f>IF(K2790=1,F2790+L2790*(I2790-F2790),"")</f>
      </c>
      <c r="N2790" s="12">
        <f>IF(K2790=1,G2790+L2790*(J2790-G2790),"")</f>
      </c>
    </row>
    <row r="2791" spans="2:14" x14ac:dyDescent="0.25">
      <c r="B2791">
        <v>78</v>
      </c>
      <c r="C2791">
        <v>288.75</v>
      </c>
      <c r="D2791">
        <v>11</v>
      </c>
      <c r="E2791" s="18">
        <v>7759.290523606288</v>
      </c>
      <c r="F2791" s="18">
        <v>-4423.630929474507</v>
      </c>
      <c r="G2791" s="18">
        <v>1662.612508504653</v>
      </c>
      <c r="H2791" s="12">
        <f>E2792</f>
      </c>
      <c r="I2791" s="12">
        <f>F2792</f>
      </c>
      <c r="J2791" s="12">
        <f>G2792</f>
      </c>
      <c r="K2791">
        <f>IF(AND(Pu&gt;=MIN(E2791,H2791),Pu&lt;=MAX(E2791,H2791),E2791&lt;&gt;H2791),1,0)</f>
      </c>
      <c r="L2791">
        <f>IF(K2791=1,(Pu-E2791)/(H2791-E2791),"")</f>
      </c>
      <c r="M2791" s="12">
        <f>IF(K2791=1,F2791+L2791*(I2791-F2791),"")</f>
      </c>
      <c r="N2791" s="12">
        <f>IF(K2791=1,G2791+L2791*(J2791-G2791),"")</f>
      </c>
    </row>
    <row r="2792" spans="2:14" x14ac:dyDescent="0.25">
      <c r="B2792">
        <v>78</v>
      </c>
      <c r="C2792">
        <v>288.75</v>
      </c>
      <c r="D2792">
        <v>12</v>
      </c>
      <c r="E2792" s="18">
        <v>7581.070663554019</v>
      </c>
      <c r="F2792" s="18">
        <v>-4457.037603054363</v>
      </c>
      <c r="G2792" s="18">
        <v>1693.8695802620423</v>
      </c>
      <c r="H2792" s="12">
        <f>E2793</f>
      </c>
      <c r="I2792" s="12">
        <f>F2793</f>
      </c>
      <c r="J2792" s="12">
        <f>G2793</f>
      </c>
      <c r="K2792">
        <f>IF(AND(Pu&gt;=MIN(E2792,H2792),Pu&lt;=MAX(E2792,H2792),E2792&lt;&gt;H2792),1,0)</f>
      </c>
      <c r="L2792">
        <f>IF(K2792=1,(Pu-E2792)/(H2792-E2792),"")</f>
      </c>
      <c r="M2792" s="12">
        <f>IF(K2792=1,F2792+L2792*(I2792-F2792),"")</f>
      </c>
      <c r="N2792" s="12">
        <f>IF(K2792=1,G2792+L2792*(J2792-G2792),"")</f>
      </c>
    </row>
    <row r="2793" spans="2:14" x14ac:dyDescent="0.25">
      <c r="B2793">
        <v>78</v>
      </c>
      <c r="C2793">
        <v>288.75</v>
      </c>
      <c r="D2793">
        <v>13</v>
      </c>
      <c r="E2793" s="18">
        <v>7266.851117634137</v>
      </c>
      <c r="F2793" s="18">
        <v>-4504.228984845662</v>
      </c>
      <c r="G2793" s="18">
        <v>1760.3745193558404</v>
      </c>
      <c r="H2793" s="12">
        <f>E2794</f>
      </c>
      <c r="I2793" s="12">
        <f>F2794</f>
      </c>
      <c r="J2793" s="12">
        <f>G2794</f>
      </c>
      <c r="K2793">
        <f>IF(AND(Pu&gt;=MIN(E2793,H2793),Pu&lt;=MAX(E2793,H2793),E2793&lt;&gt;H2793),1,0)</f>
      </c>
      <c r="L2793">
        <f>IF(K2793=1,(Pu-E2793)/(H2793-E2793),"")</f>
      </c>
      <c r="M2793" s="12">
        <f>IF(K2793=1,F2793+L2793*(I2793-F2793),"")</f>
      </c>
      <c r="N2793" s="12">
        <f>IF(K2793=1,G2793+L2793*(J2793-G2793),"")</f>
      </c>
    </row>
    <row r="2794" spans="2:14" x14ac:dyDescent="0.25">
      <c r="B2794">
        <v>78</v>
      </c>
      <c r="C2794">
        <v>288.75</v>
      </c>
      <c r="D2794">
        <v>14</v>
      </c>
      <c r="E2794" s="18">
        <v>7208.230915374145</v>
      </c>
      <c r="F2794" s="18">
        <v>-4511.696199577186</v>
      </c>
      <c r="G2794" s="18">
        <v>1773.8414050001875</v>
      </c>
      <c r="H2794" s="12">
        <f>E2795</f>
      </c>
      <c r="I2794" s="12">
        <f>F2795</f>
      </c>
      <c r="J2794" s="12">
        <f>G2795</f>
      </c>
      <c r="K2794">
        <f>IF(AND(Pu&gt;=MIN(E2794,H2794),Pu&lt;=MAX(E2794,H2794),E2794&lt;&gt;H2794),1,0)</f>
      </c>
      <c r="L2794">
        <f>IF(K2794=1,(Pu-E2794)/(H2794-E2794),"")</f>
      </c>
      <c r="M2794" s="12">
        <f>IF(K2794=1,F2794+L2794*(I2794-F2794),"")</f>
      </c>
      <c r="N2794" s="12">
        <f>IF(K2794=1,G2794+L2794*(J2794-G2794),"")</f>
      </c>
    </row>
    <row r="2795" spans="2:14" x14ac:dyDescent="0.25">
      <c r="B2795">
        <v>78</v>
      </c>
      <c r="C2795">
        <v>288.75</v>
      </c>
      <c r="D2795">
        <v>15</v>
      </c>
      <c r="E2795" s="18">
        <v>6878.6094956168845</v>
      </c>
      <c r="F2795" s="18">
        <v>-4549.798758695702</v>
      </c>
      <c r="G2795" s="18">
        <v>1837.4148550659938</v>
      </c>
      <c r="H2795" s="12">
        <f>E2796</f>
      </c>
      <c r="I2795" s="12">
        <f>F2796</f>
      </c>
      <c r="J2795" s="12">
        <f>G2796</f>
      </c>
      <c r="K2795">
        <f>IF(AND(Pu&gt;=MIN(E2795,H2795),Pu&lt;=MAX(E2795,H2795),E2795&lt;&gt;H2795),1,0)</f>
      </c>
      <c r="L2795">
        <f>IF(K2795=1,(Pu-E2795)/(H2795-E2795),"")</f>
      </c>
      <c r="M2795" s="12">
        <f>IF(K2795=1,F2795+L2795*(I2795-F2795),"")</f>
      </c>
      <c r="N2795" s="12">
        <f>IF(K2795=1,G2795+L2795*(J2795-G2795),"")</f>
      </c>
    </row>
    <row r="2796" spans="2:14" x14ac:dyDescent="0.25">
      <c r="B2796">
        <v>78</v>
      </c>
      <c r="C2796">
        <v>288.75</v>
      </c>
      <c r="D2796">
        <v>16</v>
      </c>
      <c r="E2796" s="18">
        <v>6521.389766233925</v>
      </c>
      <c r="F2796" s="18">
        <v>-4563.377989575233</v>
      </c>
      <c r="G2796" s="18">
        <v>1901.1937080000291</v>
      </c>
      <c r="H2796" s="12">
        <f>E2797</f>
      </c>
      <c r="I2796" s="12">
        <f>F2797</f>
      </c>
      <c r="J2796" s="12">
        <f>G2797</f>
      </c>
      <c r="K2796">
        <f>IF(AND(Pu&gt;=MIN(E2796,H2796),Pu&lt;=MAX(E2796,H2796),E2796&lt;&gt;H2796),1,0)</f>
      </c>
      <c r="L2796">
        <f>IF(K2796=1,(Pu-E2796)/(H2796-E2796),"")</f>
      </c>
      <c r="M2796" s="12">
        <f>IF(K2796=1,F2796+L2796*(I2796-F2796),"")</f>
      </c>
      <c r="N2796" s="12">
        <f>IF(K2796=1,G2796+L2796*(J2796-G2796),"")</f>
      </c>
    </row>
    <row r="2797" spans="2:14" x14ac:dyDescent="0.25">
      <c r="B2797">
        <v>78</v>
      </c>
      <c r="C2797">
        <v>288.75</v>
      </c>
      <c r="D2797">
        <v>17</v>
      </c>
      <c r="E2797" s="18">
        <v>6403.448777903587</v>
      </c>
      <c r="F2797" s="18">
        <v>-4561.429442047418</v>
      </c>
      <c r="G2797" s="18">
        <v>1921.5642267057963</v>
      </c>
      <c r="H2797" s="12">
        <f>E2798</f>
      </c>
      <c r="I2797" s="12">
        <f>F2798</f>
      </c>
      <c r="J2797" s="12">
        <f>G2798</f>
      </c>
      <c r="K2797">
        <f>IF(AND(Pu&gt;=MIN(E2797,H2797),Pu&lt;=MAX(E2797,H2797),E2797&lt;&gt;H2797),1,0)</f>
      </c>
      <c r="L2797">
        <f>IF(K2797=1,(Pu-E2797)/(H2797-E2797),"")</f>
      </c>
      <c r="M2797" s="12">
        <f>IF(K2797=1,F2797+L2797*(I2797-F2797),"")</f>
      </c>
      <c r="N2797" s="12">
        <f>IF(K2797=1,G2797+L2797*(J2797-G2797),"")</f>
      </c>
    </row>
    <row r="2798" spans="2:14" x14ac:dyDescent="0.25">
      <c r="B2798">
        <v>78</v>
      </c>
      <c r="C2798">
        <v>288.75</v>
      </c>
      <c r="D2798">
        <v>18</v>
      </c>
      <c r="E2798" s="18">
        <v>6113.181498731054</v>
      </c>
      <c r="F2798" s="18">
        <v>-4548.6413653966965</v>
      </c>
      <c r="G2798" s="18">
        <v>1972.3672587322535</v>
      </c>
      <c r="H2798" s="12">
        <f>E2799</f>
      </c>
      <c r="I2798" s="12">
        <f>F2799</f>
      </c>
      <c r="J2798" s="12">
        <f>G2799</f>
      </c>
      <c r="K2798">
        <f>IF(AND(Pu&gt;=MIN(E2798,H2798),Pu&lt;=MAX(E2798,H2798),E2798&lt;&gt;H2798),1,0)</f>
      </c>
      <c r="L2798">
        <f>IF(K2798=1,(Pu-E2798)/(H2798-E2798),"")</f>
      </c>
      <c r="M2798" s="12">
        <f>IF(K2798=1,F2798+L2798*(I2798-F2798),"")</f>
      </c>
      <c r="N2798" s="12">
        <f>IF(K2798=1,G2798+L2798*(J2798-G2798),"")</f>
      </c>
    </row>
    <row r="2799" spans="2:14" x14ac:dyDescent="0.25">
      <c r="B2799">
        <v>78</v>
      </c>
      <c r="C2799">
        <v>288.75</v>
      </c>
      <c r="D2799">
        <v>19</v>
      </c>
      <c r="E2799" s="18">
        <v>5769.121183532347</v>
      </c>
      <c r="F2799" s="18">
        <v>-4522.198405312413</v>
      </c>
      <c r="G2799" s="18">
        <v>2032.831445293728</v>
      </c>
      <c r="H2799" s="12">
        <f>E2800</f>
      </c>
      <c r="I2799" s="12">
        <f>F2800</f>
      </c>
      <c r="J2799" s="12">
        <f>G2800</f>
      </c>
      <c r="K2799">
        <f>IF(AND(Pu&gt;=MIN(E2799,H2799),Pu&lt;=MAX(E2799,H2799),E2799&lt;&gt;H2799),1,0)</f>
      </c>
      <c r="L2799">
        <f>IF(K2799=1,(Pu-E2799)/(H2799-E2799),"")</f>
      </c>
      <c r="M2799" s="12">
        <f>IF(K2799=1,F2799+L2799*(I2799-F2799),"")</f>
      </c>
      <c r="N2799" s="12">
        <f>IF(K2799=1,G2799+L2799*(J2799-G2799),"")</f>
      </c>
    </row>
    <row r="2800" spans="2:14" x14ac:dyDescent="0.25">
      <c r="B2800">
        <v>78</v>
      </c>
      <c r="C2800">
        <v>288.75</v>
      </c>
      <c r="D2800">
        <v>20</v>
      </c>
      <c r="E2800" s="18">
        <v>5673.498046806427</v>
      </c>
      <c r="F2800" s="18">
        <v>-4513.889072161681</v>
      </c>
      <c r="G2800" s="18">
        <v>2049.3921726076464</v>
      </c>
      <c r="H2800" s="12">
        <f>E2801</f>
      </c>
      <c r="I2800" s="12">
        <f>F2801</f>
      </c>
      <c r="J2800" s="12">
        <f>G2801</f>
      </c>
      <c r="K2800">
        <f>IF(AND(Pu&gt;=MIN(E2800,H2800),Pu&lt;=MAX(E2800,H2800),E2800&lt;&gt;H2800),1,0)</f>
      </c>
      <c r="L2800">
        <f>IF(K2800=1,(Pu-E2800)/(H2800-E2800),"")</f>
      </c>
      <c r="M2800" s="12">
        <f>IF(K2800=1,F2800+L2800*(I2800-F2800),"")</f>
      </c>
      <c r="N2800" s="12">
        <f>IF(K2800=1,G2800+L2800*(J2800-G2800),"")</f>
      </c>
    </row>
    <row r="2801" spans="2:14" x14ac:dyDescent="0.25">
      <c r="B2801">
        <v>78</v>
      </c>
      <c r="C2801">
        <v>288.75</v>
      </c>
      <c r="D2801">
        <v>21</v>
      </c>
      <c r="E2801" s="18">
        <v>4932.561593287388</v>
      </c>
      <c r="F2801" s="18">
        <v>-4291.081081754186</v>
      </c>
      <c r="G2801" s="18">
        <v>2052.432187553714</v>
      </c>
      <c r="H2801" s="12">
        <f>E2802</f>
      </c>
      <c r="I2801" s="12">
        <f>F2802</f>
      </c>
      <c r="J2801" s="12">
        <f>G2802</f>
      </c>
      <c r="K2801">
        <f>IF(AND(Pu&gt;=MIN(E2801,H2801),Pu&lt;=MAX(E2801,H2801),E2801&lt;&gt;H2801),1,0)</f>
      </c>
      <c r="L2801">
        <f>IF(K2801=1,(Pu-E2801)/(H2801-E2801),"")</f>
      </c>
      <c r="M2801" s="12">
        <f>IF(K2801=1,F2801+L2801*(I2801-F2801),"")</f>
      </c>
      <c r="N2801" s="12">
        <f>IF(K2801=1,G2801+L2801*(J2801-G2801),"")</f>
      </c>
    </row>
    <row r="2802" spans="2:14" x14ac:dyDescent="0.25">
      <c r="B2802">
        <v>78</v>
      </c>
      <c r="C2802">
        <v>288.75</v>
      </c>
      <c r="D2802">
        <v>22</v>
      </c>
      <c r="E2802" s="18">
        <v>3570.5034623062556</v>
      </c>
      <c r="F2802" s="18">
        <v>-3821.498787650778</v>
      </c>
      <c r="G2802" s="18">
        <v>2036.001515702619</v>
      </c>
      <c r="H2802" s="12">
        <f>E2803</f>
      </c>
      <c r="I2802" s="12">
        <f>F2803</f>
      </c>
      <c r="J2802" s="12">
        <f>G2803</f>
      </c>
      <c r="K2802">
        <f>IF(AND(Pu&gt;=MIN(E2802,H2802),Pu&lt;=MAX(E2802,H2802),E2802&lt;&gt;H2802),1,0)</f>
      </c>
      <c r="L2802">
        <f>IF(K2802=1,(Pu-E2802)/(H2802-E2802),"")</f>
      </c>
      <c r="M2802" s="12">
        <f>IF(K2802=1,F2802+L2802*(I2802-F2802),"")</f>
      </c>
      <c r="N2802" s="12">
        <f>IF(K2802=1,G2802+L2802*(J2802-G2802),"")</f>
      </c>
    </row>
    <row r="2803" spans="2:14" x14ac:dyDescent="0.25">
      <c r="B2803">
        <v>78</v>
      </c>
      <c r="C2803">
        <v>288.75</v>
      </c>
      <c r="D2803">
        <v>23</v>
      </c>
      <c r="E2803" s="18">
        <v>2446.0240693352744</v>
      </c>
      <c r="F2803" s="18">
        <v>-3400.6265000863305</v>
      </c>
      <c r="G2803" s="18">
        <v>1977.3041283230305</v>
      </c>
      <c r="H2803" s="12">
        <f>E2804</f>
      </c>
      <c r="I2803" s="12">
        <f>F2804</f>
      </c>
      <c r="J2803" s="12">
        <f>G2804</f>
      </c>
      <c r="K2803">
        <f>IF(AND(Pu&gt;=MIN(E2803,H2803),Pu&lt;=MAX(E2803,H2803),E2803&lt;&gt;H2803),1,0)</f>
      </c>
      <c r="L2803">
        <f>IF(K2803=1,(Pu-E2803)/(H2803-E2803),"")</f>
      </c>
      <c r="M2803" s="12">
        <f>IF(K2803=1,F2803+L2803*(I2803-F2803),"")</f>
      </c>
      <c r="N2803" s="12">
        <f>IF(K2803=1,G2803+L2803*(J2803-G2803),"")</f>
      </c>
    </row>
    <row r="2804" spans="2:14" x14ac:dyDescent="0.25">
      <c r="B2804">
        <v>78</v>
      </c>
      <c r="C2804">
        <v>288.75</v>
      </c>
      <c r="D2804">
        <v>24</v>
      </c>
      <c r="E2804" s="18">
        <v>1626.621680843224</v>
      </c>
      <c r="F2804" s="18">
        <v>-3077.1866248071547</v>
      </c>
      <c r="G2804" s="18">
        <v>1867.1526309380624</v>
      </c>
      <c r="H2804" s="12">
        <f>E2805</f>
      </c>
      <c r="I2804" s="12">
        <f>F2805</f>
      </c>
      <c r="J2804" s="12">
        <f>G2805</f>
      </c>
      <c r="K2804">
        <f>IF(AND(Pu&gt;=MIN(E2804,H2804),Pu&lt;=MAX(E2804,H2804),E2804&lt;&gt;H2804),1,0)</f>
      </c>
      <c r="L2804">
        <f>IF(K2804=1,(Pu-E2804)/(H2804-E2804),"")</f>
      </c>
      <c r="M2804" s="12">
        <f>IF(K2804=1,F2804+L2804*(I2804-F2804),"")</f>
      </c>
      <c r="N2804" s="12">
        <f>IF(K2804=1,G2804+L2804*(J2804-G2804),"")</f>
      </c>
    </row>
    <row r="2805" spans="2:14" x14ac:dyDescent="0.25">
      <c r="B2805">
        <v>78</v>
      </c>
      <c r="C2805">
        <v>288.75</v>
      </c>
      <c r="D2805">
        <v>25</v>
      </c>
      <c r="E2805" s="18">
        <v>348.9428233791383</v>
      </c>
      <c r="F2805" s="18">
        <v>-2533.0453506689287</v>
      </c>
      <c r="G2805" s="18">
        <v>1651.8362114933554</v>
      </c>
      <c r="H2805" s="12">
        <f>E2806</f>
      </c>
      <c r="I2805" s="12">
        <f>F2806</f>
      </c>
      <c r="J2805" s="12">
        <f>G2806</f>
      </c>
      <c r="K2805">
        <f>IF(AND(Pu&gt;=MIN(E2805,H2805),Pu&lt;=MAX(E2805,H2805),E2805&lt;&gt;H2805),1,0)</f>
      </c>
      <c r="L2805">
        <f>IF(K2805=1,(Pu-E2805)/(H2805-E2805),"")</f>
      </c>
      <c r="M2805" s="12">
        <f>IF(K2805=1,F2805+L2805*(I2805-F2805),"")</f>
      </c>
      <c r="N2805" s="12">
        <f>IF(K2805=1,G2805+L2805*(J2805-G2805),"")</f>
      </c>
    </row>
    <row r="2806" spans="2:14" x14ac:dyDescent="0.25">
      <c r="B2806">
        <v>78</v>
      </c>
      <c r="C2806">
        <v>288.75</v>
      </c>
      <c r="D2806">
        <v>26</v>
      </c>
      <c r="E2806" s="18">
        <v>-714.5063278201835</v>
      </c>
      <c r="F2806" s="18">
        <v>-2076.908187202652</v>
      </c>
      <c r="G2806" s="18">
        <v>1403.4885743210873</v>
      </c>
      <c r="H2806" s="12">
        <f>E2807</f>
      </c>
      <c r="I2806" s="12">
        <f>F2807</f>
      </c>
      <c r="J2806" s="12">
        <f>G2807</f>
      </c>
      <c r="K2806">
        <f>IF(AND(Pu&gt;=MIN(E2806,H2806),Pu&lt;=MAX(E2806,H2806),E2806&lt;&gt;H2806),1,0)</f>
      </c>
      <c r="L2806">
        <f>IF(K2806=1,(Pu-E2806)/(H2806-E2806),"")</f>
      </c>
      <c r="M2806" s="12">
        <f>IF(K2806=1,F2806+L2806*(I2806-F2806),"")</f>
      </c>
      <c r="N2806" s="12">
        <f>IF(K2806=1,G2806+L2806*(J2806-G2806),"")</f>
      </c>
    </row>
    <row r="2807" spans="2:14" x14ac:dyDescent="0.25">
      <c r="B2807">
        <v>78</v>
      </c>
      <c r="C2807">
        <v>288.75</v>
      </c>
      <c r="D2807">
        <v>27</v>
      </c>
      <c r="E2807" s="18">
        <v>-1538.8238149456497</v>
      </c>
      <c r="F2807" s="18">
        <v>-1687.4537812111819</v>
      </c>
      <c r="G2807" s="18">
        <v>1230.857355171275</v>
      </c>
      <c r="H2807" s="12">
        <f>E2808</f>
      </c>
      <c r="I2807" s="12">
        <f>F2808</f>
      </c>
      <c r="J2807" s="12">
        <f>G2808</f>
      </c>
      <c r="K2807">
        <f>IF(AND(Pu&gt;=MIN(E2807,H2807),Pu&lt;=MAX(E2807,H2807),E2807&lt;&gt;H2807),1,0)</f>
      </c>
      <c r="L2807">
        <f>IF(K2807=1,(Pu-E2807)/(H2807-E2807),"")</f>
      </c>
      <c r="M2807" s="12">
        <f>IF(K2807=1,F2807+L2807*(I2807-F2807),"")</f>
      </c>
      <c r="N2807" s="12">
        <f>IF(K2807=1,G2807+L2807*(J2807-G2807),"")</f>
      </c>
    </row>
    <row r="2808" spans="2:14" x14ac:dyDescent="0.25">
      <c r="B2808">
        <v>78</v>
      </c>
      <c r="C2808">
        <v>288.75</v>
      </c>
      <c r="D2808">
        <v>28</v>
      </c>
      <c r="E2808" s="18">
        <v>-2137.2375570639915</v>
      </c>
      <c r="F2808" s="18">
        <v>-1403.6439378948085</v>
      </c>
      <c r="G2808" s="18">
        <v>1067.500475213987</v>
      </c>
      <c r="H2808" s="12">
        <f>E2809</f>
      </c>
      <c r="I2808" s="12">
        <f>F2809</f>
      </c>
      <c r="J2808" s="12">
        <f>G2809</f>
      </c>
      <c r="K2808">
        <f>IF(AND(Pu&gt;=MIN(E2808,H2808),Pu&lt;=MAX(E2808,H2808),E2808&lt;&gt;H2808),1,0)</f>
      </c>
      <c r="L2808">
        <f>IF(K2808=1,(Pu-E2808)/(H2808-E2808),"")</f>
      </c>
      <c r="M2808" s="12">
        <f>IF(K2808=1,F2808+L2808*(I2808-F2808),"")</f>
      </c>
      <c r="N2808" s="12">
        <f>IF(K2808=1,G2808+L2808*(J2808-G2808),"")</f>
      </c>
    </row>
    <row r="2809" spans="2:14" x14ac:dyDescent="0.25">
      <c r="B2809">
        <v>78</v>
      </c>
      <c r="C2809">
        <v>288.75</v>
      </c>
      <c r="D2809">
        <v>29</v>
      </c>
      <c r="E2809" s="18">
        <v>-3025.3508069295717</v>
      </c>
      <c r="F2809" s="18">
        <v>-979.5459343125237</v>
      </c>
      <c r="G2809" s="18">
        <v>777.9370734509203</v>
      </c>
      <c r="H2809" s="12">
        <f>E2810</f>
      </c>
      <c r="I2809" s="12">
        <f>F2810</f>
      </c>
      <c r="J2809" s="12">
        <f>G2810</f>
      </c>
      <c r="K2809">
        <f>IF(AND(Pu&gt;=MIN(E2809,H2809),Pu&lt;=MAX(E2809,H2809),E2809&lt;&gt;H2809),1,0)</f>
      </c>
      <c r="L2809">
        <f>IF(K2809=1,(Pu-E2809)/(H2809-E2809),"")</f>
      </c>
      <c r="M2809" s="12">
        <f>IF(K2809=1,F2809+L2809*(I2809-F2809),"")</f>
      </c>
      <c r="N2809" s="12">
        <f>IF(K2809=1,G2809+L2809*(J2809-G2809),"")</f>
      </c>
    </row>
    <row r="2810" spans="2:14" x14ac:dyDescent="0.25">
      <c r="B2810">
        <v>78</v>
      </c>
      <c r="C2810">
        <v>288.75</v>
      </c>
      <c r="D2810">
        <v>30</v>
      </c>
      <c r="E2810" s="18">
        <v>-3634.3687415381023</v>
      </c>
      <c r="F2810" s="18">
        <v>-687.746673540407</v>
      </c>
      <c r="G2810" s="18">
        <v>547.4227937567154</v>
      </c>
      <c r="H2810" s="12">
        <f>E2811</f>
      </c>
      <c r="I2810" s="12">
        <f>F2811</f>
      </c>
      <c r="J2810" s="12">
        <f>G2811</f>
      </c>
      <c r="K2810">
        <f>IF(AND(Pu&gt;=MIN(E2810,H2810),Pu&lt;=MAX(E2810,H2810),E2810&lt;&gt;H2810),1,0)</f>
      </c>
      <c r="L2810">
        <f>IF(K2810=1,(Pu-E2810)/(H2810-E2810),"")</f>
      </c>
      <c r="M2810" s="12">
        <f>IF(K2810=1,F2810+L2810*(I2810-F2810),"")</f>
      </c>
      <c r="N2810" s="12">
        <f>IF(K2810=1,G2810+L2810*(J2810-G2810),"")</f>
      </c>
    </row>
    <row r="2811" spans="2:14" x14ac:dyDescent="0.25">
      <c r="B2811">
        <v>78</v>
      </c>
      <c r="C2811">
        <v>288.75</v>
      </c>
      <c r="D2811">
        <v>31</v>
      </c>
      <c r="E2811" s="18">
        <v>-4193.329611610244</v>
      </c>
      <c r="F2811" s="18">
        <v>-395.79643239172736</v>
      </c>
      <c r="G2811" s="18">
        <v>334.9747378815463</v>
      </c>
      <c r="H2811" s="12">
        <f>E2812</f>
      </c>
      <c r="I2811" s="12">
        <f>F2812</f>
      </c>
      <c r="J2811" s="12">
        <f>G2812</f>
      </c>
      <c r="K2811">
        <f>IF(AND(Pu&gt;=MIN(E2811,H2811),Pu&lt;=MAX(E2811,H2811),E2811&lt;&gt;H2811),1,0)</f>
      </c>
      <c r="L2811">
        <f>IF(K2811=1,(Pu-E2811)/(H2811-E2811),"")</f>
      </c>
      <c r="M2811" s="12">
        <f>IF(K2811=1,F2811+L2811*(I2811-F2811),"")</f>
      </c>
      <c r="N2811" s="12">
        <f>IF(K2811=1,G2811+L2811*(J2811-G2811),"")</f>
      </c>
    </row>
    <row r="2812" spans="2:14" x14ac:dyDescent="0.25">
      <c r="B2812">
        <v>78</v>
      </c>
      <c r="C2812">
        <v>288.75</v>
      </c>
      <c r="D2812">
        <v>32</v>
      </c>
      <c r="E2812" s="18">
        <v>-4463.861737099343</v>
      </c>
      <c r="F2812" s="18">
        <v>-251.81510374315624</v>
      </c>
      <c r="G2812" s="18">
        <v>216.3658319851819</v>
      </c>
      <c r="H2812" s="12">
        <f>E2813</f>
      </c>
      <c r="I2812" s="12">
        <f>F2813</f>
      </c>
      <c r="J2812" s="12">
        <f>G2813</f>
      </c>
      <c r="K2812">
        <f>IF(AND(Pu&gt;=MIN(E2812,H2812),Pu&lt;=MAX(E2812,H2812),E2812&lt;&gt;H2812),1,0)</f>
      </c>
      <c r="L2812">
        <f>IF(K2812=1,(Pu-E2812)/(H2812-E2812),"")</f>
      </c>
      <c r="M2812" s="12">
        <f>IF(K2812=1,F2812+L2812*(I2812-F2812),"")</f>
      </c>
      <c r="N2812" s="12">
        <f>IF(K2812=1,G2812+L2812*(J2812-G2812),"")</f>
      </c>
    </row>
    <row r="2813" spans="2:14" x14ac:dyDescent="0.25">
      <c r="B2813">
        <v>78</v>
      </c>
      <c r="C2813">
        <v>288.75</v>
      </c>
      <c r="D2813">
        <v>33</v>
      </c>
      <c r="E2813" s="18">
        <v>-4785.974592544653</v>
      </c>
      <c r="F2813" s="18">
        <v>-77.97150265170646</v>
      </c>
      <c r="G2813" s="18">
        <v>71.36740990734091</v>
      </c>
      <c r="H2813" s="12">
        <f>E2814</f>
      </c>
      <c r="I2813" s="12">
        <f>F2814</f>
      </c>
      <c r="J2813" s="12">
        <f>G2814</f>
      </c>
      <c r="K2813">
        <f>IF(AND(Pu&gt;=MIN(E2813,H2813),Pu&lt;=MAX(E2813,H2813),E2813&lt;&gt;H2813),1,0)</f>
      </c>
      <c r="L2813">
        <f>IF(K2813=1,(Pu-E2813)/(H2813-E2813),"")</f>
      </c>
      <c r="M2813" s="12">
        <f>IF(K2813=1,F2813+L2813*(I2813-F2813),"")</f>
      </c>
      <c r="N2813" s="12">
        <f>IF(K2813=1,G2813+L2813*(J2813-G2813),"")</f>
      </c>
    </row>
    <row r="2814" spans="2:7" x14ac:dyDescent="0.25">
      <c r="B2814">
        <v>78</v>
      </c>
      <c r="C2814">
        <v>288.75</v>
      </c>
      <c r="D2814">
        <v>34</v>
      </c>
      <c r="E2814" s="18">
        <v>-4843.845808683277</v>
      </c>
      <c r="F2814" s="18">
        <v>-45.30433874412494</v>
      </c>
      <c r="G2814" s="18">
        <v>41.482610985404065</v>
      </c>
    </row>
    <row r="2816" spans="2:14" x14ac:dyDescent="0.25">
      <c r="B2816">
        <v>79</v>
      </c>
      <c r="C2816">
        <v>292.50000000000006</v>
      </c>
      <c r="D2816">
        <v>1</v>
      </c>
      <c r="E2816" s="18">
        <v>16814.898789611634</v>
      </c>
      <c r="F2816" s="18">
        <v>-2254.7026095068613</v>
      </c>
      <c r="G2816" s="18">
        <v>1508.2944838845121</v>
      </c>
      <c r="H2816" s="12">
        <f>E2817</f>
      </c>
      <c r="I2816" s="12">
        <f>F2817</f>
      </c>
      <c r="J2816" s="12">
        <f>G2817</f>
      </c>
      <c r="K2816">
        <f>IF(AND(Pu&gt;=MIN(E2816,H2816),Pu&lt;=MAX(E2816,H2816),E2816&lt;&gt;H2816),1,0)</f>
      </c>
      <c r="L2816">
        <f>IF(K2816=1,(Pu-E2816)/(H2816-E2816),"")</f>
      </c>
      <c r="M2816" s="12">
        <f>IF(K2816=1,F2816+L2816*(I2816-F2816),"")</f>
      </c>
      <c r="N2816" s="12">
        <f>IF(K2816=1,G2816+L2816*(J2816-G2816),"")</f>
      </c>
    </row>
    <row r="2817" spans="2:14" x14ac:dyDescent="0.25">
      <c r="B2817">
        <v>79</v>
      </c>
      <c r="C2817">
        <v>292.50000000000006</v>
      </c>
      <c r="D2817">
        <v>2</v>
      </c>
      <c r="E2817" s="18">
        <v>15377.106870623626</v>
      </c>
      <c r="F2817" s="18">
        <v>-2774.0542380623515</v>
      </c>
      <c r="G2817" s="18">
        <v>1532.0633058590238</v>
      </c>
      <c r="H2817" s="12">
        <f>E2818</f>
      </c>
      <c r="I2817" s="12">
        <f>F2818</f>
      </c>
      <c r="J2817" s="12">
        <f>G2818</f>
      </c>
      <c r="K2817">
        <f>IF(AND(Pu&gt;=MIN(E2817,H2817),Pu&lt;=MAX(E2817,H2817),E2817&lt;&gt;H2817),1,0)</f>
      </c>
      <c r="L2817">
        <f>IF(K2817=1,(Pu-E2817)/(H2817-E2817),"")</f>
      </c>
      <c r="M2817" s="12">
        <f>IF(K2817=1,F2817+L2817*(I2817-F2817),"")</f>
      </c>
      <c r="N2817" s="12">
        <f>IF(K2817=1,G2817+L2817*(J2817-G2817),"")</f>
      </c>
    </row>
    <row r="2818" spans="2:14" x14ac:dyDescent="0.25">
      <c r="B2818">
        <v>79</v>
      </c>
      <c r="C2818">
        <v>292.50000000000006</v>
      </c>
      <c r="D2818">
        <v>3</v>
      </c>
      <c r="E2818" s="18">
        <v>13151.198951284554</v>
      </c>
      <c r="F2818" s="18">
        <v>-3390.42157035249</v>
      </c>
      <c r="G2818" s="18">
        <v>1570.346793177599</v>
      </c>
      <c r="H2818" s="12">
        <f>E2819</f>
      </c>
      <c r="I2818" s="12">
        <f>F2819</f>
      </c>
      <c r="J2818" s="12">
        <f>G2819</f>
      </c>
      <c r="K2818">
        <f>IF(AND(Pu&gt;=MIN(E2818,H2818),Pu&lt;=MAX(E2818,H2818),E2818&lt;&gt;H2818),1,0)</f>
      </c>
      <c r="L2818">
        <f>IF(K2818=1,(Pu-E2818)/(H2818-E2818),"")</f>
      </c>
      <c r="M2818" s="12">
        <f>IF(K2818=1,F2818+L2818*(I2818-F2818),"")</f>
      </c>
      <c r="N2818" s="12">
        <f>IF(K2818=1,G2818+L2818*(J2818-G2818),"")</f>
      </c>
    </row>
    <row r="2819" spans="2:14" x14ac:dyDescent="0.25">
      <c r="B2819">
        <v>79</v>
      </c>
      <c r="C2819">
        <v>292.50000000000006</v>
      </c>
      <c r="D2819">
        <v>4</v>
      </c>
      <c r="E2819" s="18">
        <v>11508.78879803556</v>
      </c>
      <c r="F2819" s="18">
        <v>-3688.5788612700794</v>
      </c>
      <c r="G2819" s="18">
        <v>1632.4081175275035</v>
      </c>
      <c r="H2819" s="12">
        <f>E2820</f>
      </c>
      <c r="I2819" s="12">
        <f>F2820</f>
      </c>
      <c r="J2819" s="12">
        <f>G2820</f>
      </c>
      <c r="K2819">
        <f>IF(AND(Pu&gt;=MIN(E2819,H2819),Pu&lt;=MAX(E2819,H2819),E2819&lt;&gt;H2819),1,0)</f>
      </c>
      <c r="L2819">
        <f>IF(K2819=1,(Pu-E2819)/(H2819-E2819),"")</f>
      </c>
      <c r="M2819" s="12">
        <f>IF(K2819=1,F2819+L2819*(I2819-F2819),"")</f>
      </c>
      <c r="N2819" s="12">
        <f>IF(K2819=1,G2819+L2819*(J2819-G2819),"")</f>
      </c>
    </row>
    <row r="2820" spans="2:14" x14ac:dyDescent="0.25">
      <c r="B2820">
        <v>79</v>
      </c>
      <c r="C2820">
        <v>292.50000000000006</v>
      </c>
      <c r="D2820">
        <v>5</v>
      </c>
      <c r="E2820" s="18">
        <v>10095.092707554333</v>
      </c>
      <c r="F2820" s="18">
        <v>-3845.365110072243</v>
      </c>
      <c r="G2820" s="18">
        <v>1706.3269446189718</v>
      </c>
      <c r="H2820" s="12">
        <f>E2821</f>
      </c>
      <c r="I2820" s="12">
        <f>F2821</f>
      </c>
      <c r="J2820" s="12">
        <f>G2821</f>
      </c>
      <c r="K2820">
        <f>IF(AND(Pu&gt;=MIN(E2820,H2820),Pu&lt;=MAX(E2820,H2820),E2820&lt;&gt;H2820),1,0)</f>
      </c>
      <c r="L2820">
        <f>IF(K2820=1,(Pu-E2820)/(H2820-E2820),"")</f>
      </c>
      <c r="M2820" s="12">
        <f>IF(K2820=1,F2820+L2820*(I2820-F2820),"")</f>
      </c>
      <c r="N2820" s="12">
        <f>IF(K2820=1,G2820+L2820*(J2820-G2820),"")</f>
      </c>
    </row>
    <row r="2821" spans="2:14" x14ac:dyDescent="0.25">
      <c r="B2821">
        <v>79</v>
      </c>
      <c r="C2821">
        <v>292.50000000000006</v>
      </c>
      <c r="D2821">
        <v>6</v>
      </c>
      <c r="E2821" s="18">
        <v>8946.634448049082</v>
      </c>
      <c r="F2821" s="18">
        <v>-3931.575802754913</v>
      </c>
      <c r="G2821" s="18">
        <v>1757.2968406061752</v>
      </c>
      <c r="H2821" s="12">
        <f>E2822</f>
      </c>
      <c r="I2821" s="12">
        <f>F2822</f>
      </c>
      <c r="J2821" s="12">
        <f>G2822</f>
      </c>
      <c r="K2821">
        <f>IF(AND(Pu&gt;=MIN(E2821,H2821),Pu&lt;=MAX(E2821,H2821),E2821&lt;&gt;H2821),1,0)</f>
      </c>
      <c r="L2821">
        <f>IF(K2821=1,(Pu-E2821)/(H2821-E2821),"")</f>
      </c>
      <c r="M2821" s="12">
        <f>IF(K2821=1,F2821+L2821*(I2821-F2821),"")</f>
      </c>
      <c r="N2821" s="12">
        <f>IF(K2821=1,G2821+L2821*(J2821-G2821),"")</f>
      </c>
    </row>
    <row r="2822" spans="2:14" x14ac:dyDescent="0.25">
      <c r="B2822">
        <v>79</v>
      </c>
      <c r="C2822">
        <v>292.50000000000006</v>
      </c>
      <c r="D2822">
        <v>7</v>
      </c>
      <c r="E2822" s="18">
        <v>8887.276942053002</v>
      </c>
      <c r="F2822" s="18">
        <v>-3949.338854543152</v>
      </c>
      <c r="G2822" s="18">
        <v>1767.8799311438638</v>
      </c>
      <c r="H2822" s="12">
        <f>E2823</f>
      </c>
      <c r="I2822" s="12">
        <f>F2823</f>
      </c>
      <c r="J2822" s="12">
        <f>G2823</f>
      </c>
      <c r="K2822">
        <f>IF(AND(Pu&gt;=MIN(E2822,H2822),Pu&lt;=MAX(E2822,H2822),E2822&lt;&gt;H2822),1,0)</f>
      </c>
      <c r="L2822">
        <f>IF(K2822=1,(Pu-E2822)/(H2822-E2822),"")</f>
      </c>
      <c r="M2822" s="12">
        <f>IF(K2822=1,F2822+L2822*(I2822-F2822),"")</f>
      </c>
      <c r="N2822" s="12">
        <f>IF(K2822=1,G2822+L2822*(J2822-G2822),"")</f>
      </c>
    </row>
    <row r="2823" spans="2:14" x14ac:dyDescent="0.25">
      <c r="B2823">
        <v>79</v>
      </c>
      <c r="C2823">
        <v>292.50000000000006</v>
      </c>
      <c r="D2823">
        <v>8</v>
      </c>
      <c r="E2823" s="18">
        <v>8352.05881509638</v>
      </c>
      <c r="F2823" s="18">
        <v>-4095.3257480933685</v>
      </c>
      <c r="G2823" s="18">
        <v>1867.2111033791816</v>
      </c>
      <c r="H2823" s="12">
        <f>E2824</f>
      </c>
      <c r="I2823" s="12">
        <f>F2824</f>
      </c>
      <c r="J2823" s="12">
        <f>G2824</f>
      </c>
      <c r="K2823">
        <f>IF(AND(Pu&gt;=MIN(E2823,H2823),Pu&lt;=MAX(E2823,H2823),E2823&lt;&gt;H2823),1,0)</f>
      </c>
      <c r="L2823">
        <f>IF(K2823=1,(Pu-E2823)/(H2823-E2823),"")</f>
      </c>
      <c r="M2823" s="12">
        <f>IF(K2823=1,F2823+L2823*(I2823-F2823),"")</f>
      </c>
      <c r="N2823" s="12">
        <f>IF(K2823=1,G2823+L2823*(J2823-G2823),"")</f>
      </c>
    </row>
    <row r="2824" spans="2:14" x14ac:dyDescent="0.25">
      <c r="B2824">
        <v>79</v>
      </c>
      <c r="C2824">
        <v>292.50000000000006</v>
      </c>
      <c r="D2824">
        <v>9</v>
      </c>
      <c r="E2824" s="18">
        <v>8177.118685582039</v>
      </c>
      <c r="F2824" s="18">
        <v>-4137.205139841021</v>
      </c>
      <c r="G2824" s="18">
        <v>1896.1166489792888</v>
      </c>
      <c r="H2824" s="12">
        <f>E2825</f>
      </c>
      <c r="I2824" s="12">
        <f>F2825</f>
      </c>
      <c r="J2824" s="12">
        <f>G2825</f>
      </c>
      <c r="K2824">
        <f>IF(AND(Pu&gt;=MIN(E2824,H2824),Pu&lt;=MAX(E2824,H2824),E2824&lt;&gt;H2824),1,0)</f>
      </c>
      <c r="L2824">
        <f>IF(K2824=1,(Pu-E2824)/(H2824-E2824),"")</f>
      </c>
      <c r="M2824" s="12">
        <f>IF(K2824=1,F2824+L2824*(I2824-F2824),"")</f>
      </c>
      <c r="N2824" s="12">
        <f>IF(K2824=1,G2824+L2824*(J2824-G2824),"")</f>
      </c>
    </row>
    <row r="2825" spans="2:14" x14ac:dyDescent="0.25">
      <c r="B2825">
        <v>79</v>
      </c>
      <c r="C2825">
        <v>292.50000000000006</v>
      </c>
      <c r="D2825">
        <v>10</v>
      </c>
      <c r="E2825" s="18">
        <v>7840.690116110156</v>
      </c>
      <c r="F2825" s="18">
        <v>-4209.999024499903</v>
      </c>
      <c r="G2825" s="18">
        <v>1946.7734366775212</v>
      </c>
      <c r="H2825" s="12">
        <f>E2826</f>
      </c>
      <c r="I2825" s="12">
        <f>F2826</f>
      </c>
      <c r="J2825" s="12">
        <f>G2826</f>
      </c>
      <c r="K2825">
        <f>IF(AND(Pu&gt;=MIN(E2825,H2825),Pu&lt;=MAX(E2825,H2825),E2825&lt;&gt;H2825),1,0)</f>
      </c>
      <c r="L2825">
        <f>IF(K2825=1,(Pu-E2825)/(H2825-E2825),"")</f>
      </c>
      <c r="M2825" s="12">
        <f>IF(K2825=1,F2825+L2825*(I2825-F2825),"")</f>
      </c>
      <c r="N2825" s="12">
        <f>IF(K2825=1,G2825+L2825*(J2825-G2825),"")</f>
      </c>
    </row>
    <row r="2826" spans="2:14" x14ac:dyDescent="0.25">
      <c r="B2826">
        <v>79</v>
      </c>
      <c r="C2826">
        <v>292.50000000000006</v>
      </c>
      <c r="D2826">
        <v>11</v>
      </c>
      <c r="E2826" s="18">
        <v>7616.409017491843</v>
      </c>
      <c r="F2826" s="18">
        <v>-4253.382070170121</v>
      </c>
      <c r="G2826" s="18">
        <v>1993.6870380916093</v>
      </c>
      <c r="H2826" s="12">
        <f>E2827</f>
      </c>
      <c r="I2826" s="12">
        <f>F2827</f>
      </c>
      <c r="J2826" s="12">
        <f>G2827</f>
      </c>
      <c r="K2826">
        <f>IF(AND(Pu&gt;=MIN(E2826,H2826),Pu&lt;=MAX(E2826,H2826),E2826&lt;&gt;H2826),1,0)</f>
      </c>
      <c r="L2826">
        <f>IF(K2826=1,(Pu-E2826)/(H2826-E2826),"")</f>
      </c>
      <c r="M2826" s="12">
        <f>IF(K2826=1,F2826+L2826*(I2826-F2826),"")</f>
      </c>
      <c r="N2826" s="12">
        <f>IF(K2826=1,G2826+L2826*(J2826-G2826),"")</f>
      </c>
    </row>
    <row r="2827" spans="2:14" x14ac:dyDescent="0.25">
      <c r="B2827">
        <v>79</v>
      </c>
      <c r="C2827">
        <v>292.50000000000006</v>
      </c>
      <c r="D2827">
        <v>12</v>
      </c>
      <c r="E2827" s="18">
        <v>7396.087263031321</v>
      </c>
      <c r="F2827" s="18">
        <v>-4289.271883666649</v>
      </c>
      <c r="G2827" s="18">
        <v>2030.6989567322753</v>
      </c>
      <c r="H2827" s="12">
        <f>E2828</f>
      </c>
      <c r="I2827" s="12">
        <f>F2828</f>
      </c>
      <c r="J2827" s="12">
        <f>G2828</f>
      </c>
      <c r="K2827">
        <f>IF(AND(Pu&gt;=MIN(E2827,H2827),Pu&lt;=MAX(E2827,H2827),E2827&lt;&gt;H2827),1,0)</f>
      </c>
      <c r="L2827">
        <f>IF(K2827=1,(Pu-E2827)/(H2827-E2827),"")</f>
      </c>
      <c r="M2827" s="12">
        <f>IF(K2827=1,F2827+L2827*(I2827-F2827),"")</f>
      </c>
      <c r="N2827" s="12">
        <f>IF(K2827=1,G2827+L2827*(J2827-G2827),"")</f>
      </c>
    </row>
    <row r="2828" spans="2:14" x14ac:dyDescent="0.25">
      <c r="B2828">
        <v>79</v>
      </c>
      <c r="C2828">
        <v>292.50000000000006</v>
      </c>
      <c r="D2828">
        <v>13</v>
      </c>
      <c r="E2828" s="18">
        <v>7064.0759230169415</v>
      </c>
      <c r="F2828" s="18">
        <v>-4330.491626431116</v>
      </c>
      <c r="G2828" s="18">
        <v>2090.022934775452</v>
      </c>
      <c r="H2828" s="12">
        <f>E2829</f>
      </c>
      <c r="I2828" s="12">
        <f>F2829</f>
      </c>
      <c r="J2828" s="12">
        <f>G2829</f>
      </c>
      <c r="K2828">
        <f>IF(AND(Pu&gt;=MIN(E2828,H2828),Pu&lt;=MAX(E2828,H2828),E2828&lt;&gt;H2828),1,0)</f>
      </c>
      <c r="L2828">
        <f>IF(K2828=1,(Pu-E2828)/(H2828-E2828),"")</f>
      </c>
      <c r="M2828" s="12">
        <f>IF(K2828=1,F2828+L2828*(I2828-F2828),"")</f>
      </c>
      <c r="N2828" s="12">
        <f>IF(K2828=1,G2828+L2828*(J2828-G2828),"")</f>
      </c>
    </row>
    <row r="2829" spans="2:14" x14ac:dyDescent="0.25">
      <c r="B2829">
        <v>79</v>
      </c>
      <c r="C2829">
        <v>292.50000000000006</v>
      </c>
      <c r="D2829">
        <v>14</v>
      </c>
      <c r="E2829" s="18">
        <v>6975.426984652723</v>
      </c>
      <c r="F2829" s="18">
        <v>-4336.861036579449</v>
      </c>
      <c r="G2829" s="18">
        <v>2104.3833485586997</v>
      </c>
      <c r="H2829" s="12">
        <f>E2830</f>
      </c>
      <c r="I2829" s="12">
        <f>F2830</f>
      </c>
      <c r="J2829" s="12">
        <f>G2830</f>
      </c>
      <c r="K2829">
        <f>IF(AND(Pu&gt;=MIN(E2829,H2829),Pu&lt;=MAX(E2829,H2829),E2829&lt;&gt;H2829),1,0)</f>
      </c>
      <c r="L2829">
        <f>IF(K2829=1,(Pu-E2829)/(H2829-E2829),"")</f>
      </c>
      <c r="M2829" s="12">
        <f>IF(K2829=1,F2829+L2829*(I2829-F2829),"")</f>
      </c>
      <c r="N2829" s="12">
        <f>IF(K2829=1,G2829+L2829*(J2829-G2829),"")</f>
      </c>
    </row>
    <row r="2830" spans="2:14" x14ac:dyDescent="0.25">
      <c r="B2830">
        <v>79</v>
      </c>
      <c r="C2830">
        <v>292.50000000000006</v>
      </c>
      <c r="D2830">
        <v>15</v>
      </c>
      <c r="E2830" s="18">
        <v>6568.150209313231</v>
      </c>
      <c r="F2830" s="18">
        <v>-4334.39928657539</v>
      </c>
      <c r="G2830" s="18">
        <v>2187.0541843102774</v>
      </c>
      <c r="H2830" s="12">
        <f>E2831</f>
      </c>
      <c r="I2830" s="12">
        <f>F2831</f>
      </c>
      <c r="J2830" s="12">
        <f>G2831</f>
      </c>
      <c r="K2830">
        <f>IF(AND(Pu&gt;=MIN(E2830,H2830),Pu&lt;=MAX(E2830,H2830),E2830&lt;&gt;H2830),1,0)</f>
      </c>
      <c r="L2830">
        <f>IF(K2830=1,(Pu-E2830)/(H2830-E2830),"")</f>
      </c>
      <c r="M2830" s="12">
        <f>IF(K2830=1,F2830+L2830*(I2830-F2830),"")</f>
      </c>
      <c r="N2830" s="12">
        <f>IF(K2830=1,G2830+L2830*(J2830-G2830),"")</f>
      </c>
    </row>
    <row r="2831" spans="2:14" x14ac:dyDescent="0.25">
      <c r="B2831">
        <v>79</v>
      </c>
      <c r="C2831">
        <v>292.50000000000006</v>
      </c>
      <c r="D2831">
        <v>16</v>
      </c>
      <c r="E2831" s="18">
        <v>6112.852471681785</v>
      </c>
      <c r="F2831" s="18">
        <v>-4301.381742183833</v>
      </c>
      <c r="G2831" s="18">
        <v>2281.098921092093</v>
      </c>
      <c r="H2831" s="12">
        <f>E2832</f>
      </c>
      <c r="I2831" s="12">
        <f>F2832</f>
      </c>
      <c r="J2831" s="12">
        <f>G2832</f>
      </c>
      <c r="K2831">
        <f>IF(AND(Pu&gt;=MIN(E2831,H2831),Pu&lt;=MAX(E2831,H2831),E2831&lt;&gt;H2831),1,0)</f>
      </c>
      <c r="L2831">
        <f>IF(K2831=1,(Pu-E2831)/(H2831-E2831),"")</f>
      </c>
      <c r="M2831" s="12">
        <f>IF(K2831=1,F2831+L2831*(I2831-F2831),"")</f>
      </c>
      <c r="N2831" s="12">
        <f>IF(K2831=1,G2831+L2831*(J2831-G2831),"")</f>
      </c>
    </row>
    <row r="2832" spans="2:14" x14ac:dyDescent="0.25">
      <c r="B2832">
        <v>79</v>
      </c>
      <c r="C2832">
        <v>292.50000000000006</v>
      </c>
      <c r="D2832">
        <v>17</v>
      </c>
      <c r="E2832" s="18">
        <v>6001.468218471752</v>
      </c>
      <c r="F2832" s="18">
        <v>-4290.041526700461</v>
      </c>
      <c r="G2832" s="18">
        <v>2304.1173255844806</v>
      </c>
      <c r="H2832" s="12">
        <f>E2833</f>
      </c>
      <c r="I2832" s="12">
        <f>F2833</f>
      </c>
      <c r="J2832" s="12">
        <f>G2833</f>
      </c>
      <c r="K2832">
        <f>IF(AND(Pu&gt;=MIN(E2832,H2832),Pu&lt;=MAX(E2832,H2832),E2832&lt;&gt;H2832),1,0)</f>
      </c>
      <c r="L2832">
        <f>IF(K2832=1,(Pu-E2832)/(H2832-E2832),"")</f>
      </c>
      <c r="M2832" s="12">
        <f>IF(K2832=1,F2832+L2832*(I2832-F2832),"")</f>
      </c>
      <c r="N2832" s="12">
        <f>IF(K2832=1,G2832+L2832*(J2832-G2832),"")</f>
      </c>
    </row>
    <row r="2833" spans="2:14" x14ac:dyDescent="0.25">
      <c r="B2833">
        <v>79</v>
      </c>
      <c r="C2833">
        <v>292.50000000000006</v>
      </c>
      <c r="D2833">
        <v>18</v>
      </c>
      <c r="E2833" s="18">
        <v>5642.471745629645</v>
      </c>
      <c r="F2833" s="18">
        <v>-4251.563017183483</v>
      </c>
      <c r="G2833" s="18">
        <v>2377.4123012186365</v>
      </c>
      <c r="H2833" s="12">
        <f>E2834</f>
      </c>
      <c r="I2833" s="12">
        <f>F2834</f>
      </c>
      <c r="J2833" s="12">
        <f>G2834</f>
      </c>
      <c r="K2833">
        <f>IF(AND(Pu&gt;=MIN(E2833,H2833),Pu&lt;=MAX(E2833,H2833),E2833&lt;&gt;H2833),1,0)</f>
      </c>
      <c r="L2833">
        <f>IF(K2833=1,(Pu-E2833)/(H2833-E2833),"")</f>
      </c>
      <c r="M2833" s="12">
        <f>IF(K2833=1,F2833+L2833*(I2833-F2833),"")</f>
      </c>
      <c r="N2833" s="12">
        <f>IF(K2833=1,G2833+L2833*(J2833-G2833),"")</f>
      </c>
    </row>
    <row r="2834" spans="2:14" x14ac:dyDescent="0.25">
      <c r="B2834">
        <v>79</v>
      </c>
      <c r="C2834">
        <v>292.50000000000006</v>
      </c>
      <c r="D2834">
        <v>19</v>
      </c>
      <c r="E2834" s="18">
        <v>5330.436071549471</v>
      </c>
      <c r="F2834" s="18">
        <v>-4215.189744400421</v>
      </c>
      <c r="G2834" s="18">
        <v>2428.8558933269933</v>
      </c>
      <c r="H2834" s="12">
        <f>E2835</f>
      </c>
      <c r="I2834" s="12">
        <f>F2835</f>
      </c>
      <c r="J2834" s="12">
        <f>G2835</f>
      </c>
      <c r="K2834">
        <f>IF(AND(Pu&gt;=MIN(E2834,H2834),Pu&lt;=MAX(E2834,H2834),E2834&lt;&gt;H2834),1,0)</f>
      </c>
      <c r="L2834">
        <f>IF(K2834=1,(Pu-E2834)/(H2834-E2834),"")</f>
      </c>
      <c r="M2834" s="12">
        <f>IF(K2834=1,F2834+L2834*(I2834-F2834),"")</f>
      </c>
      <c r="N2834" s="12">
        <f>IF(K2834=1,G2834+L2834*(J2834-G2834),"")</f>
      </c>
    </row>
    <row r="2835" spans="2:14" x14ac:dyDescent="0.25">
      <c r="B2835">
        <v>79</v>
      </c>
      <c r="C2835">
        <v>292.50000000000006</v>
      </c>
      <c r="D2835">
        <v>20</v>
      </c>
      <c r="E2835" s="18">
        <v>5208.752604383591</v>
      </c>
      <c r="F2835" s="18">
        <v>-4200.24350893134</v>
      </c>
      <c r="G2835" s="18">
        <v>2446.1374143572157</v>
      </c>
      <c r="H2835" s="12">
        <f>E2836</f>
      </c>
      <c r="I2835" s="12">
        <f>F2836</f>
      </c>
      <c r="J2835" s="12">
        <f>G2836</f>
      </c>
      <c r="K2835">
        <f>IF(AND(Pu&gt;=MIN(E2835,H2835),Pu&lt;=MAX(E2835,H2835),E2835&lt;&gt;H2835),1,0)</f>
      </c>
      <c r="L2835">
        <f>IF(K2835=1,(Pu-E2835)/(H2835-E2835),"")</f>
      </c>
      <c r="M2835" s="12">
        <f>IF(K2835=1,F2835+L2835*(I2835-F2835),"")</f>
      </c>
      <c r="N2835" s="12">
        <f>IF(K2835=1,G2835+L2835*(J2835-G2835),"")</f>
      </c>
    </row>
    <row r="2836" spans="2:14" x14ac:dyDescent="0.25">
      <c r="B2836">
        <v>79</v>
      </c>
      <c r="C2836">
        <v>292.50000000000006</v>
      </c>
      <c r="D2836">
        <v>21</v>
      </c>
      <c r="E2836" s="18">
        <v>4513.463354364548</v>
      </c>
      <c r="F2836" s="18">
        <v>-3987.6411525527424</v>
      </c>
      <c r="G2836" s="18">
        <v>2418.991259038968</v>
      </c>
      <c r="H2836" s="12">
        <f>E2837</f>
      </c>
      <c r="I2836" s="12">
        <f>F2837</f>
      </c>
      <c r="J2836" s="12">
        <f>G2837</f>
      </c>
      <c r="K2836">
        <f>IF(AND(Pu&gt;=MIN(E2836,H2836),Pu&lt;=MAX(E2836,H2836),E2836&lt;&gt;H2836),1,0)</f>
      </c>
      <c r="L2836">
        <f>IF(K2836=1,(Pu-E2836)/(H2836-E2836),"")</f>
      </c>
      <c r="M2836" s="12">
        <f>IF(K2836=1,F2836+L2836*(I2836-F2836),"")</f>
      </c>
      <c r="N2836" s="12">
        <f>IF(K2836=1,G2836+L2836*(J2836-G2836),"")</f>
      </c>
    </row>
    <row r="2837" spans="2:14" x14ac:dyDescent="0.25">
      <c r="B2837">
        <v>79</v>
      </c>
      <c r="C2837">
        <v>292.50000000000006</v>
      </c>
      <c r="D2837">
        <v>22</v>
      </c>
      <c r="E2837" s="18">
        <v>3126.4395761714045</v>
      </c>
      <c r="F2837" s="18">
        <v>-3523.9107178198337</v>
      </c>
      <c r="G2837" s="18">
        <v>2351.2900876867184</v>
      </c>
      <c r="H2837" s="12">
        <f>E2838</f>
      </c>
      <c r="I2837" s="12">
        <f>F2838</f>
      </c>
      <c r="J2837" s="12">
        <f>G2838</f>
      </c>
      <c r="K2837">
        <f>IF(AND(Pu&gt;=MIN(E2837,H2837),Pu&lt;=MAX(E2837,H2837),E2837&lt;&gt;H2837),1,0)</f>
      </c>
      <c r="L2837">
        <f>IF(K2837=1,(Pu-E2837)/(H2837-E2837),"")</f>
      </c>
      <c r="M2837" s="12">
        <f>IF(K2837=1,F2837+L2837*(I2837-F2837),"")</f>
      </c>
      <c r="N2837" s="12">
        <f>IF(K2837=1,G2837+L2837*(J2837-G2837),"")</f>
      </c>
    </row>
    <row r="2838" spans="2:14" x14ac:dyDescent="0.25">
      <c r="B2838">
        <v>79</v>
      </c>
      <c r="C2838">
        <v>292.50000000000006</v>
      </c>
      <c r="D2838">
        <v>23</v>
      </c>
      <c r="E2838" s="18">
        <v>2149.2332623270504</v>
      </c>
      <c r="F2838" s="18">
        <v>-3166.118807779772</v>
      </c>
      <c r="G2838" s="18">
        <v>2205.0721665657725</v>
      </c>
      <c r="H2838" s="12">
        <f>E2839</f>
      </c>
      <c r="I2838" s="12">
        <f>F2839</f>
      </c>
      <c r="J2838" s="12">
        <f>G2839</f>
      </c>
      <c r="K2838">
        <f>IF(AND(Pu&gt;=MIN(E2838,H2838),Pu&lt;=MAX(E2838,H2838),E2838&lt;&gt;H2838),1,0)</f>
      </c>
      <c r="L2838">
        <f>IF(K2838=1,(Pu-E2838)/(H2838-E2838),"")</f>
      </c>
      <c r="M2838" s="12">
        <f>IF(K2838=1,F2838+L2838*(I2838-F2838),"")</f>
      </c>
      <c r="N2838" s="12">
        <f>IF(K2838=1,G2838+L2838*(J2838-G2838),"")</f>
      </c>
    </row>
    <row r="2839" spans="2:14" x14ac:dyDescent="0.25">
      <c r="B2839">
        <v>79</v>
      </c>
      <c r="C2839">
        <v>292.50000000000006</v>
      </c>
      <c r="D2839">
        <v>24</v>
      </c>
      <c r="E2839" s="18">
        <v>1339.4138877299858</v>
      </c>
      <c r="F2839" s="18">
        <v>-2865.908895724604</v>
      </c>
      <c r="G2839" s="18">
        <v>2047.348305870792</v>
      </c>
      <c r="H2839" s="12">
        <f>E2840</f>
      </c>
      <c r="I2839" s="12">
        <f>F2840</f>
      </c>
      <c r="J2839" s="12">
        <f>G2840</f>
      </c>
      <c r="K2839">
        <f>IF(AND(Pu&gt;=MIN(E2839,H2839),Pu&lt;=MAX(E2839,H2839),E2839&lt;&gt;H2839),1,0)</f>
      </c>
      <c r="L2839">
        <f>IF(K2839=1,(Pu-E2839)/(H2839-E2839),"")</f>
      </c>
      <c r="M2839" s="12">
        <f>IF(K2839=1,F2839+L2839*(I2839-F2839),"")</f>
      </c>
      <c r="N2839" s="12">
        <f>IF(K2839=1,G2839+L2839*(J2839-G2839),"")</f>
      </c>
    </row>
    <row r="2840" spans="2:14" x14ac:dyDescent="0.25">
      <c r="B2840">
        <v>79</v>
      </c>
      <c r="C2840">
        <v>292.50000000000006</v>
      </c>
      <c r="D2840">
        <v>25</v>
      </c>
      <c r="E2840" s="18">
        <v>138.74949451086113</v>
      </c>
      <c r="F2840" s="18">
        <v>-2370.530049951687</v>
      </c>
      <c r="G2840" s="18">
        <v>1799.9992068689926</v>
      </c>
      <c r="H2840" s="12">
        <f>E2841</f>
      </c>
      <c r="I2840" s="12">
        <f>F2841</f>
      </c>
      <c r="J2840" s="12">
        <f>G2841</f>
      </c>
      <c r="K2840">
        <f>IF(AND(Pu&gt;=MIN(E2840,H2840),Pu&lt;=MAX(E2840,H2840),E2840&lt;&gt;H2840),1,0)</f>
      </c>
      <c r="L2840">
        <f>IF(K2840=1,(Pu-E2840)/(H2840-E2840),"")</f>
      </c>
      <c r="M2840" s="12">
        <f>IF(K2840=1,F2840+L2840*(I2840-F2840),"")</f>
      </c>
      <c r="N2840" s="12">
        <f>IF(K2840=1,G2840+L2840*(J2840-G2840),"")</f>
      </c>
    </row>
    <row r="2841" spans="2:14" x14ac:dyDescent="0.25">
      <c r="B2841">
        <v>79</v>
      </c>
      <c r="C2841">
        <v>292.50000000000006</v>
      </c>
      <c r="D2841">
        <v>26</v>
      </c>
      <c r="E2841" s="18">
        <v>-906.969753502325</v>
      </c>
      <c r="F2841" s="18">
        <v>-1922.940887387227</v>
      </c>
      <c r="G2841" s="18">
        <v>1547.5091332937102</v>
      </c>
      <c r="H2841" s="12">
        <f>E2842</f>
      </c>
      <c r="I2841" s="12">
        <f>F2842</f>
      </c>
      <c r="J2841" s="12">
        <f>G2842</f>
      </c>
      <c r="K2841">
        <f>IF(AND(Pu&gt;=MIN(E2841,H2841),Pu&lt;=MAX(E2841,H2841),E2841&lt;&gt;H2841),1,0)</f>
      </c>
      <c r="L2841">
        <f>IF(K2841=1,(Pu-E2841)/(H2841-E2841),"")</f>
      </c>
      <c r="M2841" s="12">
        <f>IF(K2841=1,F2841+L2841*(I2841-F2841),"")</f>
      </c>
      <c r="N2841" s="12">
        <f>IF(K2841=1,G2841+L2841*(J2841-G2841),"")</f>
      </c>
    </row>
    <row r="2842" spans="2:14" x14ac:dyDescent="0.25">
      <c r="B2842">
        <v>79</v>
      </c>
      <c r="C2842">
        <v>292.50000000000006</v>
      </c>
      <c r="D2842">
        <v>27</v>
      </c>
      <c r="E2842" s="18">
        <v>-1688.339711571575</v>
      </c>
      <c r="F2842" s="18">
        <v>-1580.8526441576603</v>
      </c>
      <c r="G2842" s="18">
        <v>1312.911165541238</v>
      </c>
      <c r="H2842" s="12">
        <f>E2843</f>
      </c>
      <c r="I2842" s="12">
        <f>F2843</f>
      </c>
      <c r="J2842" s="12">
        <f>G2843</f>
      </c>
      <c r="K2842">
        <f>IF(AND(Pu&gt;=MIN(E2842,H2842),Pu&lt;=MAX(E2842,H2842),E2842&lt;&gt;H2842),1,0)</f>
      </c>
      <c r="L2842">
        <f>IF(K2842=1,(Pu-E2842)/(H2842-E2842),"")</f>
      </c>
      <c r="M2842" s="12">
        <f>IF(K2842=1,F2842+L2842*(I2842-F2842),"")</f>
      </c>
      <c r="N2842" s="12">
        <f>IF(K2842=1,G2842+L2842*(J2842-G2842),"")</f>
      </c>
    </row>
    <row r="2843" spans="2:14" x14ac:dyDescent="0.25">
      <c r="B2843">
        <v>79</v>
      </c>
      <c r="C2843">
        <v>292.50000000000006</v>
      </c>
      <c r="D2843">
        <v>28</v>
      </c>
      <c r="E2843" s="18">
        <v>-2275.454590127477</v>
      </c>
      <c r="F2843" s="18">
        <v>-1304.9445910612926</v>
      </c>
      <c r="G2843" s="18">
        <v>1136.5289456498579</v>
      </c>
      <c r="H2843" s="12">
        <f>E2844</f>
      </c>
      <c r="I2843" s="12">
        <f>F2844</f>
      </c>
      <c r="J2843" s="12">
        <f>G2844</f>
      </c>
      <c r="K2843">
        <f>IF(AND(Pu&gt;=MIN(E2843,H2843),Pu&lt;=MAX(E2843,H2843),E2843&lt;&gt;H2843),1,0)</f>
      </c>
      <c r="L2843">
        <f>IF(K2843=1,(Pu-E2843)/(H2843-E2843),"")</f>
      </c>
      <c r="M2843" s="12">
        <f>IF(K2843=1,F2843+L2843*(I2843-F2843),"")</f>
      </c>
      <c r="N2843" s="12">
        <f>IF(K2843=1,G2843+L2843*(J2843-G2843),"")</f>
      </c>
    </row>
    <row r="2844" spans="2:14" x14ac:dyDescent="0.25">
      <c r="B2844">
        <v>79</v>
      </c>
      <c r="C2844">
        <v>292.50000000000006</v>
      </c>
      <c r="D2844">
        <v>29</v>
      </c>
      <c r="E2844" s="18">
        <v>-3083.6596757969046</v>
      </c>
      <c r="F2844" s="18">
        <v>-925.1172357397146</v>
      </c>
      <c r="G2844" s="18">
        <v>832.7413958347313</v>
      </c>
      <c r="H2844" s="12">
        <f>E2845</f>
      </c>
      <c r="I2844" s="12">
        <f>F2845</f>
      </c>
      <c r="J2844" s="12">
        <f>G2845</f>
      </c>
      <c r="K2844">
        <f>IF(AND(Pu&gt;=MIN(E2844,H2844),Pu&lt;=MAX(E2844,H2844),E2844&lt;&gt;H2844),1,0)</f>
      </c>
      <c r="L2844">
        <f>IF(K2844=1,(Pu-E2844)/(H2844-E2844),"")</f>
      </c>
      <c r="M2844" s="12">
        <f>IF(K2844=1,F2844+L2844*(I2844-F2844),"")</f>
      </c>
      <c r="N2844" s="12">
        <f>IF(K2844=1,G2844+L2844*(J2844-G2844),"")</f>
      </c>
    </row>
    <row r="2845" spans="2:14" x14ac:dyDescent="0.25">
      <c r="B2845">
        <v>79</v>
      </c>
      <c r="C2845">
        <v>292.50000000000006</v>
      </c>
      <c r="D2845">
        <v>30</v>
      </c>
      <c r="E2845" s="18">
        <v>-3613.691821722005</v>
      </c>
      <c r="F2845" s="18">
        <v>-679.3389649477629</v>
      </c>
      <c r="G2845" s="18">
        <v>600.2957680390057</v>
      </c>
      <c r="H2845" s="12">
        <f>E2846</f>
      </c>
      <c r="I2845" s="12">
        <f>F2846</f>
      </c>
      <c r="J2845" s="12">
        <f>G2846</f>
      </c>
      <c r="K2845">
        <f>IF(AND(Pu&gt;=MIN(E2845,H2845),Pu&lt;=MAX(E2845,H2845),E2845&lt;&gt;H2845),1,0)</f>
      </c>
      <c r="L2845">
        <f>IF(K2845=1,(Pu-E2845)/(H2845-E2845),"")</f>
      </c>
      <c r="M2845" s="12">
        <f>IF(K2845=1,F2845+L2845*(I2845-F2845),"")</f>
      </c>
      <c r="N2845" s="12">
        <f>IF(K2845=1,G2845+L2845*(J2845-G2845),"")</f>
      </c>
    </row>
    <row r="2846" spans="2:14" x14ac:dyDescent="0.25">
      <c r="B2846">
        <v>79</v>
      </c>
      <c r="C2846">
        <v>292.50000000000006</v>
      </c>
      <c r="D2846">
        <v>31</v>
      </c>
      <c r="E2846" s="18">
        <v>-4214.713638623313</v>
      </c>
      <c r="F2846" s="18">
        <v>-380.5756536959391</v>
      </c>
      <c r="G2846" s="18">
        <v>340.35251515112276</v>
      </c>
      <c r="H2846" s="12">
        <f>E2847</f>
      </c>
      <c r="I2846" s="12">
        <f>F2847</f>
      </c>
      <c r="J2846" s="12">
        <f>G2847</f>
      </c>
      <c r="K2846">
        <f>IF(AND(Pu&gt;=MIN(E2846,H2846),Pu&lt;=MAX(E2846,H2846),E2846&lt;&gt;H2846),1,0)</f>
      </c>
      <c r="L2846">
        <f>IF(K2846=1,(Pu-E2846)/(H2846-E2846),"")</f>
      </c>
      <c r="M2846" s="12">
        <f>IF(K2846=1,F2846+L2846*(I2846-F2846),"")</f>
      </c>
      <c r="N2846" s="12">
        <f>IF(K2846=1,G2846+L2846*(J2846-G2846),"")</f>
      </c>
    </row>
    <row r="2847" spans="2:14" x14ac:dyDescent="0.25">
      <c r="B2847">
        <v>79</v>
      </c>
      <c r="C2847">
        <v>292.50000000000006</v>
      </c>
      <c r="D2847">
        <v>32</v>
      </c>
      <c r="E2847" s="18">
        <v>-4478.584778780304</v>
      </c>
      <c r="F2847" s="18">
        <v>-242.0173069437075</v>
      </c>
      <c r="G2847" s="18">
        <v>216.61344527419735</v>
      </c>
      <c r="H2847" s="12">
        <f>E2848</f>
      </c>
      <c r="I2847" s="12">
        <f>F2848</f>
      </c>
      <c r="J2847" s="12">
        <f>G2848</f>
      </c>
      <c r="K2847">
        <f>IF(AND(Pu&gt;=MIN(E2847,H2847),Pu&lt;=MAX(E2847,H2847),E2847&lt;&gt;H2847),1,0)</f>
      </c>
      <c r="L2847">
        <f>IF(K2847=1,(Pu-E2847)/(H2847-E2847),"")</f>
      </c>
      <c r="M2847" s="12">
        <f>IF(K2847=1,F2847+L2847*(I2847-F2847),"")</f>
      </c>
      <c r="N2847" s="12">
        <f>IF(K2847=1,G2847+L2847*(J2847-G2847),"")</f>
      </c>
    </row>
    <row r="2848" spans="2:14" x14ac:dyDescent="0.25">
      <c r="B2848">
        <v>79</v>
      </c>
      <c r="C2848">
        <v>292.50000000000006</v>
      </c>
      <c r="D2848">
        <v>33</v>
      </c>
      <c r="E2848" s="18">
        <v>-4782.8153578103675</v>
      </c>
      <c r="F2848" s="18">
        <v>-79.08736354176492</v>
      </c>
      <c r="G2848" s="18">
        <v>74.71811875860304</v>
      </c>
      <c r="H2848" s="12">
        <f>E2849</f>
      </c>
      <c r="I2848" s="12">
        <f>F2849</f>
      </c>
      <c r="J2848" s="12">
        <f>G2849</f>
      </c>
      <c r="K2848">
        <f>IF(AND(Pu&gt;=MIN(E2848,H2848),Pu&lt;=MAX(E2848,H2848),E2848&lt;&gt;H2848),1,0)</f>
      </c>
      <c r="L2848">
        <f>IF(K2848=1,(Pu-E2848)/(H2848-E2848),"")</f>
      </c>
      <c r="M2848" s="12">
        <f>IF(K2848=1,F2848+L2848*(I2848-F2848),"")</f>
      </c>
      <c r="N2848" s="12">
        <f>IF(K2848=1,G2848+L2848*(J2848-G2848),"")</f>
      </c>
    </row>
    <row r="2849" spans="2:7" x14ac:dyDescent="0.25">
      <c r="B2849">
        <v>79</v>
      </c>
      <c r="C2849">
        <v>292.50000000000006</v>
      </c>
      <c r="D2849">
        <v>34</v>
      </c>
      <c r="E2849" s="18">
        <v>-4842.030691046408</v>
      </c>
      <c r="F2849" s="18">
        <v>-46.053861708290654</v>
      </c>
      <c r="G2849" s="18">
        <v>43.1834374827655</v>
      </c>
    </row>
    <row r="2851" spans="2:14" x14ac:dyDescent="0.25">
      <c r="B2851">
        <v>80</v>
      </c>
      <c r="C2851">
        <v>300.00000000000006</v>
      </c>
      <c r="D2851">
        <v>1</v>
      </c>
      <c r="E2851" s="18">
        <v>17151.549870387913</v>
      </c>
      <c r="F2851" s="18">
        <v>-1978.9936013105275</v>
      </c>
      <c r="G2851" s="18">
        <v>1789.094458032572</v>
      </c>
      <c r="H2851" s="12">
        <f>E2852</f>
      </c>
      <c r="I2851" s="12">
        <f>F2852</f>
      </c>
      <c r="J2851" s="12">
        <f>G2852</f>
      </c>
      <c r="K2851">
        <f>IF(AND(Pu&gt;=MIN(E2851,H2851),Pu&lt;=MAX(E2851,H2851),E2851&lt;&gt;H2851),1,0)</f>
      </c>
      <c r="L2851">
        <f>IF(K2851=1,(Pu-E2851)/(H2851-E2851),"")</f>
      </c>
      <c r="M2851" s="12">
        <f>IF(K2851=1,F2851+L2851*(I2851-F2851),"")</f>
      </c>
      <c r="N2851" s="12">
        <f>IF(K2851=1,G2851+L2851*(J2851-G2851),"")</f>
      </c>
    </row>
    <row r="2852" spans="2:14" x14ac:dyDescent="0.25">
      <c r="B2852">
        <v>80</v>
      </c>
      <c r="C2852">
        <v>300.00000000000006</v>
      </c>
      <c r="D2852">
        <v>2</v>
      </c>
      <c r="E2852" s="18">
        <v>15882.241649469217</v>
      </c>
      <c r="F2852" s="18">
        <v>-2396.9774802670386</v>
      </c>
      <c r="G2852" s="18">
        <v>1970.3844066358774</v>
      </c>
      <c r="H2852" s="12">
        <f>E2853</f>
      </c>
      <c r="I2852" s="12">
        <f>F2853</f>
      </c>
      <c r="J2852" s="12">
        <f>G2853</f>
      </c>
      <c r="K2852">
        <f>IF(AND(Pu&gt;=MIN(E2852,H2852),Pu&lt;=MAX(E2852,H2852),E2852&lt;&gt;H2852),1,0)</f>
      </c>
      <c r="L2852">
        <f>IF(K2852=1,(Pu-E2852)/(H2852-E2852),"")</f>
      </c>
      <c r="M2852" s="12">
        <f>IF(K2852=1,F2852+L2852*(I2852-F2852),"")</f>
      </c>
      <c r="N2852" s="12">
        <f>IF(K2852=1,G2852+L2852*(J2852-G2852),"")</f>
      </c>
    </row>
    <row r="2853" spans="2:14" x14ac:dyDescent="0.25">
      <c r="B2853">
        <v>80</v>
      </c>
      <c r="C2853">
        <v>300.00000000000006</v>
      </c>
      <c r="D2853">
        <v>3</v>
      </c>
      <c r="E2853" s="18">
        <v>13411.205693231293</v>
      </c>
      <c r="F2853" s="18">
        <v>-3086.1350145600977</v>
      </c>
      <c r="G2853" s="18">
        <v>2071.1970074855763</v>
      </c>
      <c r="H2853" s="12">
        <f>E2854</f>
      </c>
      <c r="I2853" s="12">
        <f>F2854</f>
      </c>
      <c r="J2853" s="12">
        <f>G2854</f>
      </c>
      <c r="K2853">
        <f>IF(AND(Pu&gt;=MIN(E2853,H2853),Pu&lt;=MAX(E2853,H2853),E2853&lt;&gt;H2853),1,0)</f>
      </c>
      <c r="L2853">
        <f>IF(K2853=1,(Pu-E2853)/(H2853-E2853),"")</f>
      </c>
      <c r="M2853" s="12">
        <f>IF(K2853=1,F2853+L2853*(I2853-F2853),"")</f>
      </c>
      <c r="N2853" s="12">
        <f>IF(K2853=1,G2853+L2853*(J2853-G2853),"")</f>
      </c>
    </row>
    <row r="2854" spans="2:14" x14ac:dyDescent="0.25">
      <c r="B2854">
        <v>80</v>
      </c>
      <c r="C2854">
        <v>300.00000000000006</v>
      </c>
      <c r="D2854">
        <v>4</v>
      </c>
      <c r="E2854" s="18">
        <v>11622.680744264457</v>
      </c>
      <c r="F2854" s="18">
        <v>-3392.667392617959</v>
      </c>
      <c r="G2854" s="18">
        <v>2186.028470535971</v>
      </c>
      <c r="H2854" s="12">
        <f>E2855</f>
      </c>
      <c r="I2854" s="12">
        <f>F2855</f>
      </c>
      <c r="J2854" s="12">
        <f>G2855</f>
      </c>
      <c r="K2854">
        <f>IF(AND(Pu&gt;=MIN(E2854,H2854),Pu&lt;=MAX(E2854,H2854),E2854&lt;&gt;H2854),1,0)</f>
      </c>
      <c r="L2854">
        <f>IF(K2854=1,(Pu-E2854)/(H2854-E2854),"")</f>
      </c>
      <c r="M2854" s="12">
        <f>IF(K2854=1,F2854+L2854*(I2854-F2854),"")</f>
      </c>
      <c r="N2854" s="12">
        <f>IF(K2854=1,G2854+L2854*(J2854-G2854),"")</f>
      </c>
    </row>
    <row r="2855" spans="2:14" x14ac:dyDescent="0.25">
      <c r="B2855">
        <v>80</v>
      </c>
      <c r="C2855">
        <v>300.00000000000006</v>
      </c>
      <c r="D2855">
        <v>5</v>
      </c>
      <c r="E2855" s="18">
        <v>10109.359766858224</v>
      </c>
      <c r="F2855" s="18">
        <v>-3536.402271939411</v>
      </c>
      <c r="G2855" s="18">
        <v>2295.298505871103</v>
      </c>
      <c r="H2855" s="12">
        <f>E2856</f>
      </c>
      <c r="I2855" s="12">
        <f>F2856</f>
      </c>
      <c r="J2855" s="12">
        <f>G2856</f>
      </c>
      <c r="K2855">
        <f>IF(AND(Pu&gt;=MIN(E2855,H2855),Pu&lt;=MAX(E2855,H2855),E2855&lt;&gt;H2855),1,0)</f>
      </c>
      <c r="L2855">
        <f>IF(K2855=1,(Pu-E2855)/(H2855-E2855),"")</f>
      </c>
      <c r="M2855" s="12">
        <f>IF(K2855=1,F2855+L2855*(I2855-F2855),"")</f>
      </c>
      <c r="N2855" s="12">
        <f>IF(K2855=1,G2855+L2855*(J2855-G2855),"")</f>
      </c>
    </row>
    <row r="2856" spans="2:14" x14ac:dyDescent="0.25">
      <c r="B2856">
        <v>80</v>
      </c>
      <c r="C2856">
        <v>300.00000000000006</v>
      </c>
      <c r="D2856">
        <v>6</v>
      </c>
      <c r="E2856" s="18">
        <v>8792.157526062832</v>
      </c>
      <c r="F2856" s="18">
        <v>-3613.031047492514</v>
      </c>
      <c r="G2856" s="18">
        <v>2365.2959646508234</v>
      </c>
      <c r="H2856" s="12">
        <f>E2857</f>
      </c>
      <c r="I2856" s="12">
        <f>F2857</f>
      </c>
      <c r="J2856" s="12">
        <f>G2857</f>
      </c>
      <c r="K2856">
        <f>IF(AND(Pu&gt;=MIN(E2856,H2856),Pu&lt;=MAX(E2856,H2856),E2856&lt;&gt;H2856),1,0)</f>
      </c>
      <c r="L2856">
        <f>IF(K2856=1,(Pu-E2856)/(H2856-E2856),"")</f>
      </c>
      <c r="M2856" s="12">
        <f>IF(K2856=1,F2856+L2856*(I2856-F2856),"")</f>
      </c>
      <c r="N2856" s="12">
        <f>IF(K2856=1,G2856+L2856*(J2856-G2856),"")</f>
      </c>
    </row>
    <row r="2857" spans="2:14" x14ac:dyDescent="0.25">
      <c r="B2857">
        <v>80</v>
      </c>
      <c r="C2857">
        <v>300.00000000000006</v>
      </c>
      <c r="D2857">
        <v>7</v>
      </c>
      <c r="E2857" s="18">
        <v>8783.278391425312</v>
      </c>
      <c r="F2857" s="18">
        <v>-3615.1865539603577</v>
      </c>
      <c r="G2857" s="18">
        <v>2366.9541728401455</v>
      </c>
      <c r="H2857" s="12">
        <f>E2858</f>
      </c>
      <c r="I2857" s="12">
        <f>F2858</f>
      </c>
      <c r="J2857" s="12">
        <f>G2858</f>
      </c>
      <c r="K2857">
        <f>IF(AND(Pu&gt;=MIN(E2857,H2857),Pu&lt;=MAX(E2857,H2857),E2857&lt;&gt;H2857),1,0)</f>
      </c>
      <c r="L2857">
        <f>IF(K2857=1,(Pu-E2857)/(H2857-E2857),"")</f>
      </c>
      <c r="M2857" s="12">
        <f>IF(K2857=1,F2857+L2857*(I2857-F2857),"")</f>
      </c>
      <c r="N2857" s="12">
        <f>IF(K2857=1,G2857+L2857*(J2857-G2857),"")</f>
      </c>
    </row>
    <row r="2858" spans="2:14" x14ac:dyDescent="0.25">
      <c r="B2858">
        <v>80</v>
      </c>
      <c r="C2858">
        <v>300.00000000000006</v>
      </c>
      <c r="D2858">
        <v>8</v>
      </c>
      <c r="E2858" s="18">
        <v>8167.683811897219</v>
      </c>
      <c r="F2858" s="18">
        <v>-3751.747350043495</v>
      </c>
      <c r="G2858" s="18">
        <v>2486.860569245446</v>
      </c>
      <c r="H2858" s="12">
        <f>E2859</f>
      </c>
      <c r="I2858" s="12">
        <f>F2859</f>
      </c>
      <c r="J2858" s="12">
        <f>G2859</f>
      </c>
      <c r="K2858">
        <f>IF(AND(Pu&gt;=MIN(E2858,H2858),Pu&lt;=MAX(E2858,H2858),E2858&lt;&gt;H2858),1,0)</f>
      </c>
      <c r="L2858">
        <f>IF(K2858=1,(Pu-E2858)/(H2858-E2858),"")</f>
      </c>
      <c r="M2858" s="12">
        <f>IF(K2858=1,F2858+L2858*(I2858-F2858),"")</f>
      </c>
      <c r="N2858" s="12">
        <f>IF(K2858=1,G2858+L2858*(J2858-G2858),"")</f>
      </c>
    </row>
    <row r="2859" spans="2:14" x14ac:dyDescent="0.25">
      <c r="B2859">
        <v>80</v>
      </c>
      <c r="C2859">
        <v>300.00000000000006</v>
      </c>
      <c r="D2859">
        <v>9</v>
      </c>
      <c r="E2859" s="18">
        <v>8031.185067861218</v>
      </c>
      <c r="F2859" s="18">
        <v>-3775.098628074049</v>
      </c>
      <c r="G2859" s="18">
        <v>2507.977530550999</v>
      </c>
      <c r="H2859" s="12">
        <f>E2860</f>
      </c>
      <c r="I2859" s="12">
        <f>F2860</f>
      </c>
      <c r="J2859" s="12">
        <f>G2860</f>
      </c>
      <c r="K2859">
        <f>IF(AND(Pu&gt;=MIN(E2859,H2859),Pu&lt;=MAX(E2859,H2859),E2859&lt;&gt;H2859),1,0)</f>
      </c>
      <c r="L2859">
        <f>IF(K2859=1,(Pu-E2859)/(H2859-E2859),"")</f>
      </c>
      <c r="M2859" s="12">
        <f>IF(K2859=1,F2859+L2859*(I2859-F2859),"")</f>
      </c>
      <c r="N2859" s="12">
        <f>IF(K2859=1,G2859+L2859*(J2859-G2859),"")</f>
      </c>
    </row>
    <row r="2860" spans="2:14" x14ac:dyDescent="0.25">
      <c r="B2860">
        <v>80</v>
      </c>
      <c r="C2860">
        <v>300.00000000000006</v>
      </c>
      <c r="D2860">
        <v>10</v>
      </c>
      <c r="E2860" s="18">
        <v>7575.440020854543</v>
      </c>
      <c r="F2860" s="18">
        <v>-3834.7205930147484</v>
      </c>
      <c r="G2860" s="18">
        <v>2582.4507020280125</v>
      </c>
      <c r="H2860" s="12">
        <f>E2861</f>
      </c>
      <c r="I2860" s="12">
        <f>F2861</f>
      </c>
      <c r="J2860" s="12">
        <f>G2861</f>
      </c>
      <c r="K2860">
        <f>IF(AND(Pu&gt;=MIN(E2860,H2860),Pu&lt;=MAX(E2860,H2860),E2860&lt;&gt;H2860),1,0)</f>
      </c>
      <c r="L2860">
        <f>IF(K2860=1,(Pu-E2860)/(H2860-E2860),"")</f>
      </c>
      <c r="M2860" s="12">
        <f>IF(K2860=1,F2860+L2860*(I2860-F2860),"")</f>
      </c>
      <c r="N2860" s="12">
        <f>IF(K2860=1,G2860+L2860*(J2860-G2860),"")</f>
      </c>
    </row>
    <row r="2861" spans="2:14" x14ac:dyDescent="0.25">
      <c r="B2861">
        <v>80</v>
      </c>
      <c r="C2861">
        <v>300.00000000000006</v>
      </c>
      <c r="D2861">
        <v>11</v>
      </c>
      <c r="E2861" s="18">
        <v>7331.845288663467</v>
      </c>
      <c r="F2861" s="18">
        <v>-3855.424717858834</v>
      </c>
      <c r="G2861" s="18">
        <v>2624.987539784702</v>
      </c>
      <c r="H2861" s="12">
        <f>E2862</f>
      </c>
      <c r="I2861" s="12">
        <f>F2862</f>
      </c>
      <c r="J2861" s="12">
        <f>G2862</f>
      </c>
      <c r="K2861">
        <f>IF(AND(Pu&gt;=MIN(E2861,H2861),Pu&lt;=MAX(E2861,H2861),E2861&lt;&gt;H2861),1,0)</f>
      </c>
      <c r="L2861">
        <f>IF(K2861=1,(Pu-E2861)/(H2861-E2861),"")</f>
      </c>
      <c r="M2861" s="12">
        <f>IF(K2861=1,F2861+L2861*(I2861-F2861),"")</f>
      </c>
      <c r="N2861" s="12">
        <f>IF(K2861=1,G2861+L2861*(J2861-G2861),"")</f>
      </c>
    </row>
    <row r="2862" spans="2:14" x14ac:dyDescent="0.25">
      <c r="B2862">
        <v>80</v>
      </c>
      <c r="C2862">
        <v>300.00000000000006</v>
      </c>
      <c r="D2862">
        <v>12</v>
      </c>
      <c r="E2862" s="18">
        <v>6991.055497237569</v>
      </c>
      <c r="F2862" s="18">
        <v>-3866.893452826616</v>
      </c>
      <c r="G2862" s="18">
        <v>2682.309361789864</v>
      </c>
      <c r="H2862" s="12">
        <f>E2863</f>
      </c>
      <c r="I2862" s="12">
        <f>F2863</f>
      </c>
      <c r="J2862" s="12">
        <f>G2863</f>
      </c>
      <c r="K2862">
        <f>IF(AND(Pu&gt;=MIN(E2862,H2862),Pu&lt;=MAX(E2862,H2862),E2862&lt;&gt;H2862),1,0)</f>
      </c>
      <c r="L2862">
        <f>IF(K2862=1,(Pu-E2862)/(H2862-E2862),"")</f>
      </c>
      <c r="M2862" s="12">
        <f>IF(K2862=1,F2862+L2862*(I2862-F2862),"")</f>
      </c>
      <c r="N2862" s="12">
        <f>IF(K2862=1,G2862+L2862*(J2862-G2862),"")</f>
      </c>
    </row>
    <row r="2863" spans="2:14" x14ac:dyDescent="0.25">
      <c r="B2863">
        <v>80</v>
      </c>
      <c r="C2863">
        <v>300.00000000000006</v>
      </c>
      <c r="D2863">
        <v>13</v>
      </c>
      <c r="E2863" s="18">
        <v>6580.669346883263</v>
      </c>
      <c r="F2863" s="18">
        <v>-3857.922381028581</v>
      </c>
      <c r="G2863" s="18">
        <v>2746.382194908627</v>
      </c>
      <c r="H2863" s="12">
        <f>E2864</f>
      </c>
      <c r="I2863" s="12">
        <f>F2864</f>
      </c>
      <c r="J2863" s="12">
        <f>G2864</f>
      </c>
      <c r="K2863">
        <f>IF(AND(Pu&gt;=MIN(E2863,H2863),Pu&lt;=MAX(E2863,H2863),E2863&lt;&gt;H2863),1,0)</f>
      </c>
      <c r="L2863">
        <f>IF(K2863=1,(Pu-E2863)/(H2863-E2863),"")</f>
      </c>
      <c r="M2863" s="12">
        <f>IF(K2863=1,F2863+L2863*(I2863-F2863),"")</f>
      </c>
      <c r="N2863" s="12">
        <f>IF(K2863=1,G2863+L2863*(J2863-G2863),"")</f>
      </c>
    </row>
    <row r="2864" spans="2:14" x14ac:dyDescent="0.25">
      <c r="B2864">
        <v>80</v>
      </c>
      <c r="C2864">
        <v>300.00000000000006</v>
      </c>
      <c r="D2864">
        <v>14</v>
      </c>
      <c r="E2864" s="18">
        <v>6383.263770283874</v>
      </c>
      <c r="F2864" s="18">
        <v>-3840.996785439062</v>
      </c>
      <c r="G2864" s="18">
        <v>2781.6542011786655</v>
      </c>
      <c r="H2864" s="12">
        <f>E2865</f>
      </c>
      <c r="I2864" s="12">
        <f>F2865</f>
      </c>
      <c r="J2864" s="12">
        <f>G2865</f>
      </c>
      <c r="K2864">
        <f>IF(AND(Pu&gt;=MIN(E2864,H2864),Pu&lt;=MAX(E2864,H2864),E2864&lt;&gt;H2864),1,0)</f>
      </c>
      <c r="L2864">
        <f>IF(K2864=1,(Pu-E2864)/(H2864-E2864),"")</f>
      </c>
      <c r="M2864" s="12">
        <f>IF(K2864=1,F2864+L2864*(I2864-F2864),"")</f>
      </c>
      <c r="N2864" s="12">
        <f>IF(K2864=1,G2864+L2864*(J2864-G2864),"")</f>
      </c>
    </row>
    <row r="2865" spans="2:14" x14ac:dyDescent="0.25">
      <c r="B2865">
        <v>80</v>
      </c>
      <c r="C2865">
        <v>300.00000000000006</v>
      </c>
      <c r="D2865">
        <v>15</v>
      </c>
      <c r="E2865" s="18">
        <v>5835.618951792576</v>
      </c>
      <c r="F2865" s="18">
        <v>-3794.0732378980256</v>
      </c>
      <c r="G2865" s="18">
        <v>2886.3600007013133</v>
      </c>
      <c r="H2865" s="12">
        <f>E2866</f>
      </c>
      <c r="I2865" s="12">
        <f>F2866</f>
      </c>
      <c r="J2865" s="12">
        <f>G2866</f>
      </c>
      <c r="K2865">
        <f>IF(AND(Pu&gt;=MIN(E2865,H2865),Pu&lt;=MAX(E2865,H2865),E2865&lt;&gt;H2865),1,0)</f>
      </c>
      <c r="L2865">
        <f>IF(K2865=1,(Pu-E2865)/(H2865-E2865),"")</f>
      </c>
      <c r="M2865" s="12">
        <f>IF(K2865=1,F2865+L2865*(I2865-F2865),"")</f>
      </c>
      <c r="N2865" s="12">
        <f>IF(K2865=1,G2865+L2865*(J2865-G2865),"")</f>
      </c>
    </row>
    <row r="2866" spans="2:14" x14ac:dyDescent="0.25">
      <c r="B2866">
        <v>80</v>
      </c>
      <c r="C2866">
        <v>300.00000000000006</v>
      </c>
      <c r="D2866">
        <v>16</v>
      </c>
      <c r="E2866" s="18">
        <v>5340.802852948377</v>
      </c>
      <c r="F2866" s="18">
        <v>-3738.3886906068988</v>
      </c>
      <c r="G2866" s="18">
        <v>2966.3367157767207</v>
      </c>
      <c r="H2866" s="12">
        <f>E2867</f>
      </c>
      <c r="I2866" s="12">
        <f>F2867</f>
      </c>
      <c r="J2866" s="12">
        <f>G2867</f>
      </c>
      <c r="K2866">
        <f>IF(AND(Pu&gt;=MIN(E2866,H2866),Pu&lt;=MAX(E2866,H2866),E2866&lt;&gt;H2866),1,0)</f>
      </c>
      <c r="L2866">
        <f>IF(K2866=1,(Pu-E2866)/(H2866-E2866),"")</f>
      </c>
      <c r="M2866" s="12">
        <f>IF(K2866=1,F2866+L2866*(I2866-F2866),"")</f>
      </c>
      <c r="N2866" s="12">
        <f>IF(K2866=1,G2866+L2866*(J2866-G2866),"")</f>
      </c>
    </row>
    <row r="2867" spans="2:14" x14ac:dyDescent="0.25">
      <c r="B2867">
        <v>80</v>
      </c>
      <c r="C2867">
        <v>300.00000000000006</v>
      </c>
      <c r="D2867">
        <v>17</v>
      </c>
      <c r="E2867" s="18">
        <v>5291.568196884498</v>
      </c>
      <c r="F2867" s="18">
        <v>-3732.142163355284</v>
      </c>
      <c r="G2867" s="18">
        <v>2973.649412753965</v>
      </c>
      <c r="H2867" s="12">
        <f>E2868</f>
      </c>
      <c r="I2867" s="12">
        <f>F2868</f>
      </c>
      <c r="J2867" s="12">
        <f>G2868</f>
      </c>
      <c r="K2867">
        <f>IF(AND(Pu&gt;=MIN(E2867,H2867),Pu&lt;=MAX(E2867,H2867),E2867&lt;&gt;H2867),1,0)</f>
      </c>
      <c r="L2867">
        <f>IF(K2867=1,(Pu-E2867)/(H2867-E2867),"")</f>
      </c>
      <c r="M2867" s="12">
        <f>IF(K2867=1,F2867+L2867*(I2867-F2867),"")</f>
      </c>
      <c r="N2867" s="12">
        <f>IF(K2867=1,G2867+L2867*(J2867-G2867),"")</f>
      </c>
    </row>
    <row r="2868" spans="2:14" x14ac:dyDescent="0.25">
      <c r="B2868">
        <v>80</v>
      </c>
      <c r="C2868">
        <v>300.00000000000006</v>
      </c>
      <c r="D2868">
        <v>18</v>
      </c>
      <c r="E2868" s="18">
        <v>4914.404803098334</v>
      </c>
      <c r="F2868" s="18">
        <v>-3685.579867402675</v>
      </c>
      <c r="G2868" s="18">
        <v>3026.6534863846173</v>
      </c>
      <c r="H2868" s="12">
        <f>E2869</f>
      </c>
      <c r="I2868" s="12">
        <f>F2869</f>
      </c>
      <c r="J2868" s="12">
        <f>G2869</f>
      </c>
      <c r="K2868">
        <f>IF(AND(Pu&gt;=MIN(E2868,H2868),Pu&lt;=MAX(E2868,H2868),E2868&lt;&gt;H2868),1,0)</f>
      </c>
      <c r="L2868">
        <f>IF(K2868=1,(Pu-E2868)/(H2868-E2868),"")</f>
      </c>
      <c r="M2868" s="12">
        <f>IF(K2868=1,F2868+L2868*(I2868-F2868),"")</f>
      </c>
      <c r="N2868" s="12">
        <f>IF(K2868=1,G2868+L2868*(J2868-G2868),"")</f>
      </c>
    </row>
    <row r="2869" spans="2:14" x14ac:dyDescent="0.25">
      <c r="B2869">
        <v>80</v>
      </c>
      <c r="C2869">
        <v>300.00000000000006</v>
      </c>
      <c r="D2869">
        <v>19</v>
      </c>
      <c r="E2869" s="18">
        <v>4678.776680704158</v>
      </c>
      <c r="F2869" s="18">
        <v>-3656.730890868967</v>
      </c>
      <c r="G2869" s="18">
        <v>3056.3546937109636</v>
      </c>
      <c r="H2869" s="12">
        <f>E2870</f>
      </c>
      <c r="I2869" s="12">
        <f>F2870</f>
      </c>
      <c r="J2869" s="12">
        <f>G2870</f>
      </c>
      <c r="K2869">
        <f>IF(AND(Pu&gt;=MIN(E2869,H2869),Pu&lt;=MAX(E2869,H2869),E2869&lt;&gt;H2869),1,0)</f>
      </c>
      <c r="L2869">
        <f>IF(K2869=1,(Pu-E2869)/(H2869-E2869),"")</f>
      </c>
      <c r="M2869" s="12">
        <f>IF(K2869=1,F2869+L2869*(I2869-F2869),"")</f>
      </c>
      <c r="N2869" s="12">
        <f>IF(K2869=1,G2869+L2869*(J2869-G2869),"")</f>
      </c>
    </row>
    <row r="2870" spans="2:14" x14ac:dyDescent="0.25">
      <c r="B2870">
        <v>80</v>
      </c>
      <c r="C2870">
        <v>300.00000000000006</v>
      </c>
      <c r="D2870">
        <v>20</v>
      </c>
      <c r="E2870" s="18">
        <v>4514.101072206959</v>
      </c>
      <c r="F2870" s="18">
        <v>-3636.5992311156742</v>
      </c>
      <c r="G2870" s="18">
        <v>3075.5587008274288</v>
      </c>
      <c r="H2870" s="12">
        <f>E2871</f>
      </c>
      <c r="I2870" s="12">
        <f>F2871</f>
      </c>
      <c r="J2870" s="12">
        <f>G2871</f>
      </c>
      <c r="K2870">
        <f>IF(AND(Pu&gt;=MIN(E2870,H2870),Pu&lt;=MAX(E2870,H2870),E2870&lt;&gt;H2870),1,0)</f>
      </c>
      <c r="L2870">
        <f>IF(K2870=1,(Pu-E2870)/(H2870-E2870),"")</f>
      </c>
      <c r="M2870" s="12">
        <f>IF(K2870=1,F2870+L2870*(I2870-F2870),"")</f>
      </c>
      <c r="N2870" s="12">
        <f>IF(K2870=1,G2870+L2870*(J2870-G2870),"")</f>
      </c>
    </row>
    <row r="2871" spans="2:14" x14ac:dyDescent="0.25">
      <c r="B2871">
        <v>80</v>
      </c>
      <c r="C2871">
        <v>300.00000000000006</v>
      </c>
      <c r="D2871">
        <v>21</v>
      </c>
      <c r="E2871" s="18">
        <v>3940.537292133663</v>
      </c>
      <c r="F2871" s="18">
        <v>-3466.6170720686596</v>
      </c>
      <c r="G2871" s="18">
        <v>3018.8170540382766</v>
      </c>
      <c r="H2871" s="12">
        <f>E2872</f>
      </c>
      <c r="I2871" s="12">
        <f>F2872</f>
      </c>
      <c r="J2871" s="12">
        <f>G2872</f>
      </c>
      <c r="K2871">
        <f>IF(AND(Pu&gt;=MIN(E2871,H2871),Pu&lt;=MAX(E2871,H2871),E2871&lt;&gt;H2871),1,0)</f>
      </c>
      <c r="L2871">
        <f>IF(K2871=1,(Pu-E2871)/(H2871-E2871),"")</f>
      </c>
      <c r="M2871" s="12">
        <f>IF(K2871=1,F2871+L2871*(I2871-F2871),"")</f>
      </c>
      <c r="N2871" s="12">
        <f>IF(K2871=1,G2871+L2871*(J2871-G2871),"")</f>
      </c>
    </row>
    <row r="2872" spans="2:14" x14ac:dyDescent="0.25">
      <c r="B2872">
        <v>80</v>
      </c>
      <c r="C2872">
        <v>300.00000000000006</v>
      </c>
      <c r="D2872">
        <v>22</v>
      </c>
      <c r="E2872" s="18">
        <v>2766.602487485168</v>
      </c>
      <c r="F2872" s="18">
        <v>-3119.7507001369027</v>
      </c>
      <c r="G2872" s="18">
        <v>2788.42076135259</v>
      </c>
      <c r="H2872" s="12">
        <f>E2873</f>
      </c>
      <c r="I2872" s="12">
        <f>F2873</f>
      </c>
      <c r="J2872" s="12">
        <f>G2873</f>
      </c>
      <c r="K2872">
        <f>IF(AND(Pu&gt;=MIN(E2872,H2872),Pu&lt;=MAX(E2872,H2872),E2872&lt;&gt;H2872),1,0)</f>
      </c>
      <c r="L2872">
        <f>IF(K2872=1,(Pu-E2872)/(H2872-E2872),"")</f>
      </c>
      <c r="M2872" s="12">
        <f>IF(K2872=1,F2872+L2872*(I2872-F2872),"")</f>
      </c>
      <c r="N2872" s="12">
        <f>IF(K2872=1,G2872+L2872*(J2872-G2872),"")</f>
      </c>
    </row>
    <row r="2873" spans="2:14" x14ac:dyDescent="0.25">
      <c r="B2873">
        <v>80</v>
      </c>
      <c r="C2873">
        <v>300.00000000000006</v>
      </c>
      <c r="D2873">
        <v>23</v>
      </c>
      <c r="E2873" s="18">
        <v>1829.7799324162484</v>
      </c>
      <c r="F2873" s="18">
        <v>-2827.0555561559886</v>
      </c>
      <c r="G2873" s="18">
        <v>2568.462610259208</v>
      </c>
      <c r="H2873" s="12">
        <f>E2874</f>
      </c>
      <c r="I2873" s="12">
        <f>F2874</f>
      </c>
      <c r="J2873" s="12">
        <f>G2874</f>
      </c>
      <c r="K2873">
        <f>IF(AND(Pu&gt;=MIN(E2873,H2873),Pu&lt;=MAX(E2873,H2873),E2873&lt;&gt;H2873),1,0)</f>
      </c>
      <c r="L2873">
        <f>IF(K2873=1,(Pu-E2873)/(H2873-E2873),"")</f>
      </c>
      <c r="M2873" s="12">
        <f>IF(K2873=1,F2873+L2873*(I2873-F2873),"")</f>
      </c>
      <c r="N2873" s="12">
        <f>IF(K2873=1,G2873+L2873*(J2873-G2873),"")</f>
      </c>
    </row>
    <row r="2874" spans="2:14" x14ac:dyDescent="0.25">
      <c r="B2874">
        <v>80</v>
      </c>
      <c r="C2874">
        <v>300.00000000000006</v>
      </c>
      <c r="D2874">
        <v>24</v>
      </c>
      <c r="E2874" s="18">
        <v>1105.196101761281</v>
      </c>
      <c r="F2874" s="18">
        <v>-2572.1391318922733</v>
      </c>
      <c r="G2874" s="18">
        <v>2389.4489548338306</v>
      </c>
      <c r="H2874" s="12">
        <f>E2875</f>
      </c>
      <c r="I2874" s="12">
        <f>F2875</f>
      </c>
      <c r="J2874" s="12">
        <f>G2875</f>
      </c>
      <c r="K2874">
        <f>IF(AND(Pu&gt;=MIN(E2874,H2874),Pu&lt;=MAX(E2874,H2874),E2874&lt;&gt;H2874),1,0)</f>
      </c>
      <c r="L2874">
        <f>IF(K2874=1,(Pu-E2874)/(H2874-E2874),"")</f>
      </c>
      <c r="M2874" s="12">
        <f>IF(K2874=1,F2874+L2874*(I2874-F2874),"")</f>
      </c>
      <c r="N2874" s="12">
        <f>IF(K2874=1,G2874+L2874*(J2874-G2874),"")</f>
      </c>
    </row>
    <row r="2875" spans="2:14" x14ac:dyDescent="0.25">
      <c r="B2875">
        <v>80</v>
      </c>
      <c r="C2875">
        <v>300.00000000000006</v>
      </c>
      <c r="D2875">
        <v>25</v>
      </c>
      <c r="E2875" s="18">
        <v>-138.7497035987685</v>
      </c>
      <c r="F2875" s="18">
        <v>-2116.626391156025</v>
      </c>
      <c r="G2875" s="18">
        <v>2062.2108856082755</v>
      </c>
      <c r="H2875" s="12">
        <f>E2876</f>
      </c>
      <c r="I2875" s="12">
        <f>F2876</f>
      </c>
      <c r="J2875" s="12">
        <f>G2876</f>
      </c>
      <c r="K2875">
        <f>IF(AND(Pu&gt;=MIN(E2875,H2875),Pu&lt;=MAX(E2875,H2875),E2875&lt;&gt;H2875),1,0)</f>
      </c>
      <c r="L2875">
        <f>IF(K2875=1,(Pu-E2875)/(H2875-E2875),"")</f>
      </c>
      <c r="M2875" s="12">
        <f>IF(K2875=1,F2875+L2875*(I2875-F2875),"")</f>
      </c>
      <c r="N2875" s="12">
        <f>IF(K2875=1,G2875+L2875*(J2875-G2875),"")</f>
      </c>
    </row>
    <row r="2876" spans="2:14" x14ac:dyDescent="0.25">
      <c r="B2876">
        <v>80</v>
      </c>
      <c r="C2876">
        <v>300.00000000000006</v>
      </c>
      <c r="D2876">
        <v>26</v>
      </c>
      <c r="E2876" s="18">
        <v>-1016.0801956652933</v>
      </c>
      <c r="F2876" s="18">
        <v>-1760.4689718118038</v>
      </c>
      <c r="G2876" s="18">
        <v>1773.801388112183</v>
      </c>
      <c r="H2876" s="12">
        <f>E2877</f>
      </c>
      <c r="I2876" s="12">
        <f>F2877</f>
      </c>
      <c r="J2876" s="12">
        <f>G2877</f>
      </c>
      <c r="K2876">
        <f>IF(AND(Pu&gt;=MIN(E2876,H2876),Pu&lt;=MAX(E2876,H2876),E2876&lt;&gt;H2876),1,0)</f>
      </c>
      <c r="L2876">
        <f>IF(K2876=1,(Pu-E2876)/(H2876-E2876),"")</f>
      </c>
      <c r="M2876" s="12">
        <f>IF(K2876=1,F2876+L2876*(I2876-F2876),"")</f>
      </c>
      <c r="N2876" s="12">
        <f>IF(K2876=1,G2876+L2876*(J2876-G2876),"")</f>
      </c>
    </row>
    <row r="2877" spans="2:14" x14ac:dyDescent="0.25">
      <c r="B2877">
        <v>80</v>
      </c>
      <c r="C2877">
        <v>300.00000000000006</v>
      </c>
      <c r="D2877">
        <v>27</v>
      </c>
      <c r="E2877" s="18">
        <v>-1760.9559186066608</v>
      </c>
      <c r="F2877" s="18">
        <v>-1457.914782830063</v>
      </c>
      <c r="G2877" s="18">
        <v>1489.4291097478658</v>
      </c>
      <c r="H2877" s="12">
        <f>E2878</f>
      </c>
      <c r="I2877" s="12">
        <f>F2878</f>
      </c>
      <c r="J2877" s="12">
        <f>G2878</f>
      </c>
      <c r="K2877">
        <f>IF(AND(Pu&gt;=MIN(E2877,H2877),Pu&lt;=MAX(E2877,H2877),E2877&lt;&gt;H2877),1,0)</f>
      </c>
      <c r="L2877">
        <f>IF(K2877=1,(Pu-E2877)/(H2877-E2877),"")</f>
      </c>
      <c r="M2877" s="12">
        <f>IF(K2877=1,F2877+L2877*(I2877-F2877),"")</f>
      </c>
      <c r="N2877" s="12">
        <f>IF(K2877=1,G2877+L2877*(J2877-G2877),"")</f>
      </c>
    </row>
    <row r="2878" spans="2:14" x14ac:dyDescent="0.25">
      <c r="B2878">
        <v>80</v>
      </c>
      <c r="C2878">
        <v>300.00000000000006</v>
      </c>
      <c r="D2878">
        <v>28</v>
      </c>
      <c r="E2878" s="18">
        <v>-2318.680655738515</v>
      </c>
      <c r="F2878" s="18">
        <v>-1227.258349285258</v>
      </c>
      <c r="G2878" s="18">
        <v>1261.4056752876097</v>
      </c>
      <c r="H2878" s="12">
        <f>E2879</f>
      </c>
      <c r="I2878" s="12">
        <f>F2879</f>
      </c>
      <c r="J2878" s="12">
        <f>G2879</f>
      </c>
      <c r="K2878">
        <f>IF(AND(Pu&gt;=MIN(E2878,H2878),Pu&lt;=MAX(E2878,H2878),E2878&lt;&gt;H2878),1,0)</f>
      </c>
      <c r="L2878">
        <f>IF(K2878=1,(Pu-E2878)/(H2878-E2878),"")</f>
      </c>
      <c r="M2878" s="12">
        <f>IF(K2878=1,F2878+L2878*(I2878-F2878),"")</f>
      </c>
      <c r="N2878" s="12">
        <f>IF(K2878=1,G2878+L2878*(J2878-G2878),"")</f>
      </c>
    </row>
    <row r="2879" spans="2:14" x14ac:dyDescent="0.25">
      <c r="B2879">
        <v>80</v>
      </c>
      <c r="C2879">
        <v>300.00000000000006</v>
      </c>
      <c r="D2879">
        <v>29</v>
      </c>
      <c r="E2879" s="18">
        <v>-3034.71218226194</v>
      </c>
      <c r="F2879" s="18">
        <v>-901.8234604880942</v>
      </c>
      <c r="G2879" s="18">
        <v>956.5727243086725</v>
      </c>
      <c r="H2879" s="12">
        <f>E2880</f>
      </c>
      <c r="I2879" s="12">
        <f>F2880</f>
      </c>
      <c r="J2879" s="12">
        <f>G2880</f>
      </c>
      <c r="K2879">
        <f>IF(AND(Pu&gt;=MIN(E2879,H2879),Pu&lt;=MAX(E2879,H2879),E2879&lt;&gt;H2879),1,0)</f>
      </c>
      <c r="L2879">
        <f>IF(K2879=1,(Pu-E2879)/(H2879-E2879),"")</f>
      </c>
      <c r="M2879" s="12">
        <f>IF(K2879=1,F2879+L2879*(I2879-F2879),"")</f>
      </c>
      <c r="N2879" s="12">
        <f>IF(K2879=1,G2879+L2879*(J2879-G2879),"")</f>
      </c>
    </row>
    <row r="2880" spans="2:14" x14ac:dyDescent="0.25">
      <c r="B2880">
        <v>80</v>
      </c>
      <c r="C2880">
        <v>300.00000000000006</v>
      </c>
      <c r="D2880">
        <v>30</v>
      </c>
      <c r="E2880" s="18">
        <v>-3524.986254071828</v>
      </c>
      <c r="F2880" s="18">
        <v>-678.9550682965545</v>
      </c>
      <c r="G2880" s="18">
        <v>727.4925109588735</v>
      </c>
      <c r="H2880" s="12">
        <f>E2881</f>
      </c>
      <c r="I2880" s="12">
        <f>F2881</f>
      </c>
      <c r="J2880" s="12">
        <f>G2881</f>
      </c>
      <c r="K2880">
        <f>IF(AND(Pu&gt;=MIN(E2880,H2880),Pu&lt;=MAX(E2880,H2880),E2880&lt;&gt;H2880),1,0)</f>
      </c>
      <c r="L2880">
        <f>IF(K2880=1,(Pu-E2880)/(H2880-E2880),"")</f>
      </c>
      <c r="M2880" s="12">
        <f>IF(K2880=1,F2880+L2880*(I2880-F2880),"")</f>
      </c>
      <c r="N2880" s="12">
        <f>IF(K2880=1,G2880+L2880*(J2880-G2880),"")</f>
      </c>
    </row>
    <row r="2881" spans="2:14" x14ac:dyDescent="0.25">
      <c r="B2881">
        <v>80</v>
      </c>
      <c r="C2881">
        <v>300.00000000000006</v>
      </c>
      <c r="D2881">
        <v>31</v>
      </c>
      <c r="E2881" s="18">
        <v>-4165.7905348912855</v>
      </c>
      <c r="F2881" s="18">
        <v>-393.73076702780884</v>
      </c>
      <c r="G2881" s="18">
        <v>391.893914331125</v>
      </c>
      <c r="H2881" s="12">
        <f>E2882</f>
      </c>
      <c r="I2881" s="12">
        <f>F2882</f>
      </c>
      <c r="J2881" s="12">
        <f>G2882</f>
      </c>
      <c r="K2881">
        <f>IF(AND(Pu&gt;=MIN(E2881,H2881),Pu&lt;=MAX(E2881,H2881),E2881&lt;&gt;H2881),1,0)</f>
      </c>
      <c r="L2881">
        <f>IF(K2881=1,(Pu-E2881)/(H2881-E2881),"")</f>
      </c>
      <c r="M2881" s="12">
        <f>IF(K2881=1,F2881+L2881*(I2881-F2881),"")</f>
      </c>
      <c r="N2881" s="12">
        <f>IF(K2881=1,G2881+L2881*(J2881-G2881),"")</f>
      </c>
    </row>
    <row r="2882" spans="2:14" x14ac:dyDescent="0.25">
      <c r="B2882">
        <v>80</v>
      </c>
      <c r="C2882">
        <v>300.00000000000006</v>
      </c>
      <c r="D2882">
        <v>32</v>
      </c>
      <c r="E2882" s="18">
        <v>-4453.366846654076</v>
      </c>
      <c r="F2882" s="18">
        <v>-247.89743871109482</v>
      </c>
      <c r="G2882" s="18">
        <v>249.16938921574413</v>
      </c>
      <c r="H2882" s="12">
        <f>E2883</f>
      </c>
      <c r="I2882" s="12">
        <f>F2883</f>
      </c>
      <c r="J2882" s="12">
        <f>G2883</f>
      </c>
      <c r="K2882">
        <f>IF(AND(Pu&gt;=MIN(E2882,H2882),Pu&lt;=MAX(E2882,H2882),E2882&lt;&gt;H2882),1,0)</f>
      </c>
      <c r="L2882">
        <f>IF(K2882=1,(Pu-E2882)/(H2882-E2882),"")</f>
      </c>
      <c r="M2882" s="12">
        <f>IF(K2882=1,F2882+L2882*(I2882-F2882),"")</f>
      </c>
      <c r="N2882" s="12">
        <f>IF(K2882=1,G2882+L2882*(J2882-G2882),"")</f>
      </c>
    </row>
    <row r="2883" spans="2:14" x14ac:dyDescent="0.25">
      <c r="B2883">
        <v>80</v>
      </c>
      <c r="C2883">
        <v>300.00000000000006</v>
      </c>
      <c r="D2883">
        <v>33</v>
      </c>
      <c r="E2883" s="18">
        <v>-4751.973705170275</v>
      </c>
      <c r="F2883" s="18">
        <v>-93.7167564239823</v>
      </c>
      <c r="G2883" s="18">
        <v>95.7353649295863</v>
      </c>
      <c r="H2883" s="12">
        <f>E2884</f>
      </c>
      <c r="I2883" s="12">
        <f>F2884</f>
      </c>
      <c r="J2883" s="12">
        <f>G2884</f>
      </c>
      <c r="K2883">
        <f>IF(AND(Pu&gt;=MIN(E2883,H2883),Pu&lt;=MAX(E2883,H2883),E2883&lt;&gt;H2883),1,0)</f>
      </c>
      <c r="L2883">
        <f>IF(K2883=1,(Pu-E2883)/(H2883-E2883),"")</f>
      </c>
      <c r="M2883" s="12">
        <f>IF(K2883=1,F2883+L2883*(I2883-F2883),"")</f>
      </c>
      <c r="N2883" s="12">
        <f>IF(K2883=1,G2883+L2883*(J2883-G2883),"")</f>
      </c>
    </row>
    <row r="2884" spans="2:7" x14ac:dyDescent="0.25">
      <c r="B2884">
        <v>80</v>
      </c>
      <c r="C2884">
        <v>300.00000000000006</v>
      </c>
      <c r="D2884">
        <v>34</v>
      </c>
      <c r="E2884" s="18">
        <v>-4824.310821405298</v>
      </c>
      <c r="F2884" s="18">
        <v>-54.99797517302214</v>
      </c>
      <c r="G2884" s="18">
        <v>54.695014041653344</v>
      </c>
    </row>
    <row r="2886" spans="2:14" x14ac:dyDescent="0.25">
      <c r="B2886">
        <v>81</v>
      </c>
      <c r="C2886">
        <v>307.5</v>
      </c>
      <c r="D2886">
        <v>1</v>
      </c>
      <c r="E2886" s="18">
        <v>17240.97091121391</v>
      </c>
      <c r="F2886" s="18">
        <v>-1780.5435478726465</v>
      </c>
      <c r="G2886" s="18">
        <v>2030.3233853825634</v>
      </c>
      <c r="H2886" s="12">
        <f>E2887</f>
      </c>
      <c r="I2886" s="12">
        <f>F2887</f>
      </c>
      <c r="J2886" s="12">
        <f>G2887</f>
      </c>
      <c r="K2886">
        <f>IF(AND(Pu&gt;=MIN(E2886,H2886),Pu&lt;=MAX(E2886,H2886),E2886&lt;&gt;H2886),1,0)</f>
      </c>
      <c r="L2886">
        <f>IF(K2886=1,(Pu-E2886)/(H2886-E2886),"")</f>
      </c>
      <c r="M2886" s="12">
        <f>IF(K2886=1,F2886+L2886*(I2886-F2886),"")</f>
      </c>
      <c r="N2886" s="12">
        <f>IF(K2886=1,G2886+L2886*(J2886-G2886),"")</f>
      </c>
    </row>
    <row r="2887" spans="2:14" x14ac:dyDescent="0.25">
      <c r="B2887">
        <v>81</v>
      </c>
      <c r="C2887">
        <v>307.5</v>
      </c>
      <c r="D2887">
        <v>2</v>
      </c>
      <c r="E2887" s="18">
        <v>16074.851902904884</v>
      </c>
      <c r="F2887" s="18">
        <v>-2108.7875767293885</v>
      </c>
      <c r="G2887" s="18">
        <v>2292.597506692548</v>
      </c>
      <c r="H2887" s="12">
        <f>E2888</f>
      </c>
      <c r="I2887" s="12">
        <f>F2888</f>
      </c>
      <c r="J2887" s="12">
        <f>G2888</f>
      </c>
      <c r="K2887">
        <f>IF(AND(Pu&gt;=MIN(E2887,H2887),Pu&lt;=MAX(E2887,H2887),E2887&lt;&gt;H2887),1,0)</f>
      </c>
      <c r="L2887">
        <f>IF(K2887=1,(Pu-E2887)/(H2887-E2887),"")</f>
      </c>
      <c r="M2887" s="12">
        <f>IF(K2887=1,F2887+L2887*(I2887-F2887),"")</f>
      </c>
      <c r="N2887" s="12">
        <f>IF(K2887=1,G2887+L2887*(J2887-G2887),"")</f>
      </c>
    </row>
    <row r="2888" spans="2:14" x14ac:dyDescent="0.25">
      <c r="B2888">
        <v>81</v>
      </c>
      <c r="C2888">
        <v>307.5</v>
      </c>
      <c r="D2888">
        <v>3</v>
      </c>
      <c r="E2888" s="18">
        <v>13712.088993565592</v>
      </c>
      <c r="F2888" s="18">
        <v>-2670.1717725744247</v>
      </c>
      <c r="G2888" s="18">
        <v>2599.1519431033735</v>
      </c>
      <c r="H2888" s="12">
        <f>E2889</f>
      </c>
      <c r="I2888" s="12">
        <f>F2889</f>
      </c>
      <c r="J2888" s="12">
        <f>G2889</f>
      </c>
      <c r="K2888">
        <f>IF(AND(Pu&gt;=MIN(E2888,H2888),Pu&lt;=MAX(E2888,H2888),E2888&lt;&gt;H2888),1,0)</f>
      </c>
      <c r="L2888">
        <f>IF(K2888=1,(Pu-E2888)/(H2888-E2888),"")</f>
      </c>
      <c r="M2888" s="12">
        <f>IF(K2888=1,F2888+L2888*(I2888-F2888),"")</f>
      </c>
      <c r="N2888" s="12">
        <f>IF(K2888=1,G2888+L2888*(J2888-G2888),"")</f>
      </c>
    </row>
    <row r="2889" spans="2:14" x14ac:dyDescent="0.25">
      <c r="B2889">
        <v>81</v>
      </c>
      <c r="C2889">
        <v>307.5</v>
      </c>
      <c r="D2889">
        <v>4</v>
      </c>
      <c r="E2889" s="18">
        <v>11670.087284860621</v>
      </c>
      <c r="F2889" s="18">
        <v>-3022.029951865226</v>
      </c>
      <c r="G2889" s="18">
        <v>2730.69252122603</v>
      </c>
      <c r="H2889" s="12">
        <f>E2890</f>
      </c>
      <c r="I2889" s="12">
        <f>F2890</f>
      </c>
      <c r="J2889" s="12">
        <f>G2890</f>
      </c>
      <c r="K2889">
        <f>IF(AND(Pu&gt;=MIN(E2889,H2889),Pu&lt;=MAX(E2889,H2889),E2889&lt;&gt;H2889),1,0)</f>
      </c>
      <c r="L2889">
        <f>IF(K2889=1,(Pu-E2889)/(H2889-E2889),"")</f>
      </c>
      <c r="M2889" s="12">
        <f>IF(K2889=1,F2889+L2889*(I2889-F2889),"")</f>
      </c>
      <c r="N2889" s="12">
        <f>IF(K2889=1,G2889+L2889*(J2889-G2889),"")</f>
      </c>
    </row>
    <row r="2890" spans="2:14" x14ac:dyDescent="0.25">
      <c r="B2890">
        <v>81</v>
      </c>
      <c r="C2890">
        <v>307.5</v>
      </c>
      <c r="D2890">
        <v>5</v>
      </c>
      <c r="E2890" s="18">
        <v>10102.952490165482</v>
      </c>
      <c r="F2890" s="18">
        <v>-3168.6035930765424</v>
      </c>
      <c r="G2890" s="18">
        <v>2843.8623134216577</v>
      </c>
      <c r="H2890" s="12">
        <f>E2891</f>
      </c>
      <c r="I2890" s="12">
        <f>F2891</f>
      </c>
      <c r="J2890" s="12">
        <f>G2891</f>
      </c>
      <c r="K2890">
        <f>IF(AND(Pu&gt;=MIN(E2890,H2890),Pu&lt;=MAX(E2890,H2890),E2890&lt;&gt;H2890),1,0)</f>
      </c>
      <c r="L2890">
        <f>IF(K2890=1,(Pu-E2890)/(H2890-E2890),"")</f>
      </c>
      <c r="M2890" s="12">
        <f>IF(K2890=1,F2890+L2890*(I2890-F2890),"")</f>
      </c>
      <c r="N2890" s="12">
        <f>IF(K2890=1,G2890+L2890*(J2890-G2890),"")</f>
      </c>
    </row>
    <row r="2891" spans="2:14" x14ac:dyDescent="0.25">
      <c r="B2891">
        <v>81</v>
      </c>
      <c r="C2891">
        <v>307.5</v>
      </c>
      <c r="D2891">
        <v>6</v>
      </c>
      <c r="E2891" s="18">
        <v>8725.048820077162</v>
      </c>
      <c r="F2891" s="18">
        <v>-3224.100981847969</v>
      </c>
      <c r="G2891" s="18">
        <v>2936.4389343073717</v>
      </c>
      <c r="H2891" s="12">
        <f>E2892</f>
      </c>
      <c r="I2891" s="12">
        <f>F2892</f>
      </c>
      <c r="J2891" s="12">
        <f>G2892</f>
      </c>
      <c r="K2891">
        <f>IF(AND(Pu&gt;=MIN(E2891,H2891),Pu&lt;=MAX(E2891,H2891),E2891&lt;&gt;H2891),1,0)</f>
      </c>
      <c r="L2891">
        <f>IF(K2891=1,(Pu-E2891)/(H2891-E2891),"")</f>
      </c>
      <c r="M2891" s="12">
        <f>IF(K2891=1,F2891+L2891*(I2891-F2891),"")</f>
      </c>
      <c r="N2891" s="12">
        <f>IF(K2891=1,G2891+L2891*(J2891-G2891),"")</f>
      </c>
    </row>
    <row r="2892" spans="2:14" x14ac:dyDescent="0.25">
      <c r="B2892">
        <v>81</v>
      </c>
      <c r="C2892">
        <v>307.5</v>
      </c>
      <c r="D2892">
        <v>7</v>
      </c>
      <c r="E2892" s="18">
        <v>8651.51273171782</v>
      </c>
      <c r="F2892" s="18">
        <v>-3224.928797479178</v>
      </c>
      <c r="G2892" s="18">
        <v>2941.668142453313</v>
      </c>
      <c r="H2892" s="12">
        <f>E2893</f>
      </c>
      <c r="I2892" s="12">
        <f>F2893</f>
      </c>
      <c r="J2892" s="12">
        <f>G2893</f>
      </c>
      <c r="K2892">
        <f>IF(AND(Pu&gt;=MIN(E2892,H2892),Pu&lt;=MAX(E2892,H2892),E2892&lt;&gt;H2892),1,0)</f>
      </c>
      <c r="L2892">
        <f>IF(K2892=1,(Pu-E2892)/(H2892-E2892),"")</f>
      </c>
      <c r="M2892" s="12">
        <f>IF(K2892=1,F2892+L2892*(I2892-F2892),"")</f>
      </c>
      <c r="N2892" s="12">
        <f>IF(K2892=1,G2892+L2892*(J2892-G2892),"")</f>
      </c>
    </row>
    <row r="2893" spans="2:14" x14ac:dyDescent="0.25">
      <c r="B2893">
        <v>81</v>
      </c>
      <c r="C2893">
        <v>307.5</v>
      </c>
      <c r="D2893">
        <v>8</v>
      </c>
      <c r="E2893" s="18">
        <v>7946.944829767797</v>
      </c>
      <c r="F2893" s="18">
        <v>-3307.736763891845</v>
      </c>
      <c r="G2893" s="18">
        <v>3094.0893889648196</v>
      </c>
      <c r="H2893" s="12">
        <f>E2894</f>
      </c>
      <c r="I2893" s="12">
        <f>F2894</f>
      </c>
      <c r="J2893" s="12">
        <f>G2894</f>
      </c>
      <c r="K2893">
        <f>IF(AND(Pu&gt;=MIN(E2893,H2893),Pu&lt;=MAX(E2893,H2893),E2893&lt;&gt;H2893),1,0)</f>
      </c>
      <c r="L2893">
        <f>IF(K2893=1,(Pu-E2893)/(H2893-E2893),"")</f>
      </c>
      <c r="M2893" s="12">
        <f>IF(K2893=1,F2893+L2893*(I2893-F2893),"")</f>
      </c>
      <c r="N2893" s="12">
        <f>IF(K2893=1,G2893+L2893*(J2893-G2893),"")</f>
      </c>
    </row>
    <row r="2894" spans="2:14" x14ac:dyDescent="0.25">
      <c r="B2894">
        <v>81</v>
      </c>
      <c r="C2894">
        <v>307.5</v>
      </c>
      <c r="D2894">
        <v>9</v>
      </c>
      <c r="E2894" s="18">
        <v>7840.886826764493</v>
      </c>
      <c r="F2894" s="18">
        <v>-3316.8301749262505</v>
      </c>
      <c r="G2894" s="18">
        <v>3114.894518279482</v>
      </c>
      <c r="H2894" s="12">
        <f>E2895</f>
      </c>
      <c r="I2894" s="12">
        <f>F2895</f>
      </c>
      <c r="J2894" s="12">
        <f>G2895</f>
      </c>
      <c r="K2894">
        <f>IF(AND(Pu&gt;=MIN(E2894,H2894),Pu&lt;=MAX(E2894,H2894),E2894&lt;&gt;H2894),1,0)</f>
      </c>
      <c r="L2894">
        <f>IF(K2894=1,(Pu-E2894)/(H2894-E2894),"")</f>
      </c>
      <c r="M2894" s="12">
        <f>IF(K2894=1,F2894+L2894*(I2894-F2894),"")</f>
      </c>
      <c r="N2894" s="12">
        <f>IF(K2894=1,G2894+L2894*(J2894-G2894),"")</f>
      </c>
    </row>
    <row r="2895" spans="2:14" x14ac:dyDescent="0.25">
      <c r="B2895">
        <v>81</v>
      </c>
      <c r="C2895">
        <v>307.5</v>
      </c>
      <c r="D2895">
        <v>10</v>
      </c>
      <c r="E2895" s="18">
        <v>7217.847579819412</v>
      </c>
      <c r="F2895" s="18">
        <v>-3336.1402498864554</v>
      </c>
      <c r="G2895" s="18">
        <v>3227.282209619923</v>
      </c>
      <c r="H2895" s="12">
        <f>E2896</f>
      </c>
      <c r="I2895" s="12">
        <f>F2896</f>
      </c>
      <c r="J2895" s="12">
        <f>G2896</f>
      </c>
      <c r="K2895">
        <f>IF(AND(Pu&gt;=MIN(E2895,H2895),Pu&lt;=MAX(E2895,H2895),E2895&lt;&gt;H2895),1,0)</f>
      </c>
      <c r="L2895">
        <f>IF(K2895=1,(Pu-E2895)/(H2895-E2895),"")</f>
      </c>
      <c r="M2895" s="12">
        <f>IF(K2895=1,F2895+L2895*(I2895-F2895),"")</f>
      </c>
      <c r="N2895" s="12">
        <f>IF(K2895=1,G2895+L2895*(J2895-G2895),"")</f>
      </c>
    </row>
    <row r="2896" spans="2:14" x14ac:dyDescent="0.25">
      <c r="B2896">
        <v>81</v>
      </c>
      <c r="C2896">
        <v>307.5</v>
      </c>
      <c r="D2896">
        <v>11</v>
      </c>
      <c r="E2896" s="18">
        <v>7014.954482798884</v>
      </c>
      <c r="F2896" s="18">
        <v>-3335.722666062638</v>
      </c>
      <c r="G2896" s="18">
        <v>3264.496663857234</v>
      </c>
      <c r="H2896" s="12">
        <f>E2897</f>
      </c>
      <c r="I2896" s="12">
        <f>F2897</f>
      </c>
      <c r="J2896" s="12">
        <f>G2897</f>
      </c>
      <c r="K2896">
        <f>IF(AND(Pu&gt;=MIN(E2896,H2896),Pu&lt;=MAX(E2896,H2896),E2896&lt;&gt;H2896),1,0)</f>
      </c>
      <c r="L2896">
        <f>IF(K2896=1,(Pu-E2896)/(H2896-E2896),"")</f>
      </c>
      <c r="M2896" s="12">
        <f>IF(K2896=1,F2896+L2896*(I2896-F2896),"")</f>
      </c>
      <c r="N2896" s="12">
        <f>IF(K2896=1,G2896+L2896*(J2896-G2896),"")</f>
      </c>
    </row>
    <row r="2897" spans="2:14" x14ac:dyDescent="0.25">
      <c r="B2897">
        <v>81</v>
      </c>
      <c r="C2897">
        <v>307.5</v>
      </c>
      <c r="D2897">
        <v>12</v>
      </c>
      <c r="E2897" s="18">
        <v>6539.746528573216</v>
      </c>
      <c r="F2897" s="18">
        <v>-3326.0238832072278</v>
      </c>
      <c r="G2897" s="18">
        <v>3328.941610262976</v>
      </c>
      <c r="H2897" s="12">
        <f>E2898</f>
      </c>
      <c r="I2897" s="12">
        <f>F2898</f>
      </c>
      <c r="J2897" s="12">
        <f>G2898</f>
      </c>
      <c r="K2897">
        <f>IF(AND(Pu&gt;=MIN(E2897,H2897),Pu&lt;=MAX(E2897,H2897),E2897&lt;&gt;H2897),1,0)</f>
      </c>
      <c r="L2897">
        <f>IF(K2897=1,(Pu-E2897)/(H2897-E2897),"")</f>
      </c>
      <c r="M2897" s="12">
        <f>IF(K2897=1,F2897+L2897*(I2897-F2897),"")</f>
      </c>
      <c r="N2897" s="12">
        <f>IF(K2897=1,G2897+L2897*(J2897-G2897),"")</f>
      </c>
    </row>
    <row r="2898" spans="2:14" x14ac:dyDescent="0.25">
      <c r="B2898">
        <v>81</v>
      </c>
      <c r="C2898">
        <v>307.5</v>
      </c>
      <c r="D2898">
        <v>13</v>
      </c>
      <c r="E2898" s="18">
        <v>6182.620534339376</v>
      </c>
      <c r="F2898" s="18">
        <v>-3312.712269179463</v>
      </c>
      <c r="G2898" s="18">
        <v>3375.4416966343842</v>
      </c>
      <c r="H2898" s="12">
        <f>E2899</f>
      </c>
      <c r="I2898" s="12">
        <f>F2899</f>
      </c>
      <c r="J2898" s="12">
        <f>G2899</f>
      </c>
      <c r="K2898">
        <f>IF(AND(Pu&gt;=MIN(E2898,H2898),Pu&lt;=MAX(E2898,H2898),E2898&lt;&gt;H2898),1,0)</f>
      </c>
      <c r="L2898">
        <f>IF(K2898=1,(Pu-E2898)/(H2898-E2898),"")</f>
      </c>
      <c r="M2898" s="12">
        <f>IF(K2898=1,F2898+L2898*(I2898-F2898),"")</f>
      </c>
      <c r="N2898" s="12">
        <f>IF(K2898=1,G2898+L2898*(J2898-G2898),"")</f>
      </c>
    </row>
    <row r="2899" spans="2:14" x14ac:dyDescent="0.25">
      <c r="B2899">
        <v>81</v>
      </c>
      <c r="C2899">
        <v>307.5</v>
      </c>
      <c r="D2899">
        <v>14</v>
      </c>
      <c r="E2899" s="18">
        <v>5925.855331761591</v>
      </c>
      <c r="F2899" s="18">
        <v>-3304.180710044348</v>
      </c>
      <c r="G2899" s="18">
        <v>3407.090813267684</v>
      </c>
      <c r="H2899" s="12">
        <f>E2900</f>
      </c>
      <c r="I2899" s="12">
        <f>F2900</f>
      </c>
      <c r="J2899" s="12">
        <f>G2900</f>
      </c>
      <c r="K2899">
        <f>IF(AND(Pu&gt;=MIN(E2899,H2899),Pu&lt;=MAX(E2899,H2899),E2899&lt;&gt;H2899),1,0)</f>
      </c>
      <c r="L2899">
        <f>IF(K2899=1,(Pu-E2899)/(H2899-E2899),"")</f>
      </c>
      <c r="M2899" s="12">
        <f>IF(K2899=1,F2899+L2899*(I2899-F2899),"")</f>
      </c>
      <c r="N2899" s="12">
        <f>IF(K2899=1,G2899+L2899*(J2899-G2899),"")</f>
      </c>
    </row>
    <row r="2900" spans="2:14" x14ac:dyDescent="0.25">
      <c r="B2900">
        <v>81</v>
      </c>
      <c r="C2900">
        <v>307.5</v>
      </c>
      <c r="D2900">
        <v>15</v>
      </c>
      <c r="E2900" s="18">
        <v>5406.983159211751</v>
      </c>
      <c r="F2900" s="18">
        <v>-3285.942808499791</v>
      </c>
      <c r="G2900" s="18">
        <v>3451.416781751432</v>
      </c>
      <c r="H2900" s="12">
        <f>E2901</f>
      </c>
      <c r="I2900" s="12">
        <f>F2901</f>
      </c>
      <c r="J2900" s="12">
        <f>G2901</f>
      </c>
      <c r="K2900">
        <f>IF(AND(Pu&gt;=MIN(E2900,H2900),Pu&lt;=MAX(E2900,H2900),E2900&lt;&gt;H2900),1,0)</f>
      </c>
      <c r="L2900">
        <f>IF(K2900=1,(Pu-E2900)/(H2900-E2900),"")</f>
      </c>
      <c r="M2900" s="12">
        <f>IF(K2900=1,F2900+L2900*(I2900-F2900),"")</f>
      </c>
      <c r="N2900" s="12">
        <f>IF(K2900=1,G2900+L2900*(J2900-G2900),"")</f>
      </c>
    </row>
    <row r="2901" spans="2:14" x14ac:dyDescent="0.25">
      <c r="B2901">
        <v>81</v>
      </c>
      <c r="C2901">
        <v>307.5</v>
      </c>
      <c r="D2901">
        <v>16</v>
      </c>
      <c r="E2901" s="18">
        <v>4949.05224702933</v>
      </c>
      <c r="F2901" s="18">
        <v>-3258.3282482877303</v>
      </c>
      <c r="G2901" s="18">
        <v>3487.2291846858907</v>
      </c>
      <c r="H2901" s="12">
        <f>E2902</f>
      </c>
      <c r="I2901" s="12">
        <f>F2902</f>
      </c>
      <c r="J2901" s="12">
        <f>G2902</f>
      </c>
      <c r="K2901">
        <f>IF(AND(Pu&gt;=MIN(E2901,H2901),Pu&lt;=MAX(E2901,H2901),E2901&lt;&gt;H2901),1,0)</f>
      </c>
      <c r="L2901">
        <f>IF(K2901=1,(Pu-E2901)/(H2901-E2901),"")</f>
      </c>
      <c r="M2901" s="12">
        <f>IF(K2901=1,F2901+L2901*(I2901-F2901),"")</f>
      </c>
      <c r="N2901" s="12">
        <f>IF(K2901=1,G2901+L2901*(J2901-G2901),"")</f>
      </c>
    </row>
    <row r="2902" spans="2:14" x14ac:dyDescent="0.25">
      <c r="B2902">
        <v>81</v>
      </c>
      <c r="C2902">
        <v>307.5</v>
      </c>
      <c r="D2902">
        <v>17</v>
      </c>
      <c r="E2902" s="18">
        <v>4947.162039955551</v>
      </c>
      <c r="F2902" s="18">
        <v>-3258.222314382547</v>
      </c>
      <c r="G2902" s="18">
        <v>3487.3667141369324</v>
      </c>
      <c r="H2902" s="12">
        <f>E2903</f>
      </c>
      <c r="I2902" s="12">
        <f>F2903</f>
      </c>
      <c r="J2902" s="12">
        <f>G2903</f>
      </c>
      <c r="K2902">
        <f>IF(AND(Pu&gt;=MIN(E2902,H2902),Pu&lt;=MAX(E2902,H2902),E2902&lt;&gt;H2902),1,0)</f>
      </c>
      <c r="L2902">
        <f>IF(K2902=1,(Pu-E2902)/(H2902-E2902),"")</f>
      </c>
      <c r="M2902" s="12">
        <f>IF(K2902=1,F2902+L2902*(I2902-F2902),"")</f>
      </c>
      <c r="N2902" s="12">
        <f>IF(K2902=1,G2902+L2902*(J2902-G2902),"")</f>
      </c>
    </row>
    <row r="2903" spans="2:14" x14ac:dyDescent="0.25">
      <c r="B2903">
        <v>81</v>
      </c>
      <c r="C2903">
        <v>307.5</v>
      </c>
      <c r="D2903">
        <v>18</v>
      </c>
      <c r="E2903" s="18">
        <v>4538.583215755163</v>
      </c>
      <c r="F2903" s="18">
        <v>-3244.8233124975236</v>
      </c>
      <c r="G2903" s="18">
        <v>3513.371664048894</v>
      </c>
      <c r="H2903" s="12">
        <f>E2904</f>
      </c>
      <c r="I2903" s="12">
        <f>F2904</f>
      </c>
      <c r="J2903" s="12">
        <f>G2904</f>
      </c>
      <c r="K2903">
        <f>IF(AND(Pu&gt;=MIN(E2903,H2903),Pu&lt;=MAX(E2903,H2903),E2903&lt;&gt;H2903),1,0)</f>
      </c>
      <c r="L2903">
        <f>IF(K2903=1,(Pu-E2903)/(H2903-E2903),"")</f>
      </c>
      <c r="M2903" s="12">
        <f>IF(K2903=1,F2903+L2903*(I2903-F2903),"")</f>
      </c>
      <c r="N2903" s="12">
        <f>IF(K2903=1,G2903+L2903*(J2903-G2903),"")</f>
      </c>
    </row>
    <row r="2904" spans="2:14" x14ac:dyDescent="0.25">
      <c r="B2904">
        <v>81</v>
      </c>
      <c r="C2904">
        <v>307.5</v>
      </c>
      <c r="D2904">
        <v>19</v>
      </c>
      <c r="E2904" s="18">
        <v>4383.112375444732</v>
      </c>
      <c r="F2904" s="18">
        <v>-3233.1873160091222</v>
      </c>
      <c r="G2904" s="18">
        <v>3520.7289813019484</v>
      </c>
      <c r="H2904" s="12">
        <f>E2905</f>
      </c>
      <c r="I2904" s="12">
        <f>F2905</f>
      </c>
      <c r="J2904" s="12">
        <f>G2905</f>
      </c>
      <c r="K2904">
        <f>IF(AND(Pu&gt;=MIN(E2904,H2904),Pu&lt;=MAX(E2904,H2904),E2904&lt;&gt;H2904),1,0)</f>
      </c>
      <c r="L2904">
        <f>IF(K2904=1,(Pu-E2904)/(H2904-E2904),"")</f>
      </c>
      <c r="M2904" s="12">
        <f>IF(K2904=1,F2904+L2904*(I2904-F2904),"")</f>
      </c>
      <c r="N2904" s="12">
        <f>IF(K2904=1,G2904+L2904*(J2904-G2904),"")</f>
      </c>
    </row>
    <row r="2905" spans="2:14" x14ac:dyDescent="0.25">
      <c r="B2905">
        <v>81</v>
      </c>
      <c r="C2905">
        <v>307.5</v>
      </c>
      <c r="D2905">
        <v>20</v>
      </c>
      <c r="E2905" s="18">
        <v>4222.559198399392</v>
      </c>
      <c r="F2905" s="18">
        <v>-3218.53470800943</v>
      </c>
      <c r="G2905" s="18">
        <v>3539.8630594330994</v>
      </c>
      <c r="H2905" s="12">
        <f>E2906</f>
      </c>
      <c r="I2905" s="12">
        <f>F2906</f>
      </c>
      <c r="J2905" s="12">
        <f>G2906</f>
      </c>
      <c r="K2905">
        <f>IF(AND(Pu&gt;=MIN(E2905,H2905),Pu&lt;=MAX(E2905,H2905),E2905&lt;&gt;H2905),1,0)</f>
      </c>
      <c r="L2905">
        <f>IF(K2905=1,(Pu-E2905)/(H2905-E2905),"")</f>
      </c>
      <c r="M2905" s="12">
        <f>IF(K2905=1,F2905+L2905*(I2905-F2905),"")</f>
      </c>
      <c r="N2905" s="12">
        <f>IF(K2905=1,G2905+L2905*(J2905-G2905),"")</f>
      </c>
    </row>
    <row r="2906" spans="2:14" x14ac:dyDescent="0.25">
      <c r="B2906">
        <v>81</v>
      </c>
      <c r="C2906">
        <v>307.5</v>
      </c>
      <c r="D2906">
        <v>21</v>
      </c>
      <c r="E2906" s="18">
        <v>3783.2285093616706</v>
      </c>
      <c r="F2906" s="18">
        <v>-3101.700816027855</v>
      </c>
      <c r="G2906" s="18">
        <v>3446.0045177007773</v>
      </c>
      <c r="H2906" s="12">
        <f>E2907</f>
      </c>
      <c r="I2906" s="12">
        <f>F2907</f>
      </c>
      <c r="J2906" s="12">
        <f>G2907</f>
      </c>
      <c r="K2906">
        <f>IF(AND(Pu&gt;=MIN(E2906,H2906),Pu&lt;=MAX(E2906,H2906),E2906&lt;&gt;H2906),1,0)</f>
      </c>
      <c r="L2906">
        <f>IF(K2906=1,(Pu-E2906)/(H2906-E2906),"")</f>
      </c>
      <c r="M2906" s="12">
        <f>IF(K2906=1,F2906+L2906*(I2906-F2906),"")</f>
      </c>
      <c r="N2906" s="12">
        <f>IF(K2906=1,G2906+L2906*(J2906-G2906),"")</f>
      </c>
    </row>
    <row r="2907" spans="2:14" x14ac:dyDescent="0.25">
      <c r="B2907">
        <v>81</v>
      </c>
      <c r="C2907">
        <v>307.5</v>
      </c>
      <c r="D2907">
        <v>22</v>
      </c>
      <c r="E2907" s="18">
        <v>2682.6754501588</v>
      </c>
      <c r="F2907" s="18">
        <v>-2800.945853233329</v>
      </c>
      <c r="G2907" s="18">
        <v>3180.015134658396</v>
      </c>
      <c r="H2907" s="12">
        <f>E2908</f>
      </c>
      <c r="I2907" s="12">
        <f>F2908</f>
      </c>
      <c r="J2907" s="12">
        <f>G2908</f>
      </c>
      <c r="K2907">
        <f>IF(AND(Pu&gt;=MIN(E2907,H2907),Pu&lt;=MAX(E2907,H2907),E2907&lt;&gt;H2907),1,0)</f>
      </c>
      <c r="L2907">
        <f>IF(K2907=1,(Pu-E2907)/(H2907-E2907),"")</f>
      </c>
      <c r="M2907" s="12">
        <f>IF(K2907=1,F2907+L2907*(I2907-F2907),"")</f>
      </c>
      <c r="N2907" s="12">
        <f>IF(K2907=1,G2907+L2907*(J2907-G2907),"")</f>
      </c>
    </row>
    <row r="2908" spans="2:14" x14ac:dyDescent="0.25">
      <c r="B2908">
        <v>81</v>
      </c>
      <c r="C2908">
        <v>307.5</v>
      </c>
      <c r="D2908">
        <v>23</v>
      </c>
      <c r="E2908" s="18">
        <v>1805.7444834750581</v>
      </c>
      <c r="F2908" s="18">
        <v>-2559.6432335639633</v>
      </c>
      <c r="G2908" s="18">
        <v>2937.6343695927967</v>
      </c>
      <c r="H2908" s="12">
        <f>E2909</f>
      </c>
      <c r="I2908" s="12">
        <f>F2909</f>
      </c>
      <c r="J2908" s="12">
        <f>G2909</f>
      </c>
      <c r="K2908">
        <f>IF(AND(Pu&gt;=MIN(E2908,H2908),Pu&lt;=MAX(E2908,H2908),E2908&lt;&gt;H2908),1,0)</f>
      </c>
      <c r="L2908">
        <f>IF(K2908=1,(Pu-E2908)/(H2908-E2908),"")</f>
      </c>
      <c r="M2908" s="12">
        <f>IF(K2908=1,F2908+L2908*(I2908-F2908),"")</f>
      </c>
      <c r="N2908" s="12">
        <f>IF(K2908=1,G2908+L2908*(J2908-G2908),"")</f>
      </c>
    </row>
    <row r="2909" spans="2:14" x14ac:dyDescent="0.25">
      <c r="B2909">
        <v>81</v>
      </c>
      <c r="C2909">
        <v>307.5</v>
      </c>
      <c r="D2909">
        <v>24</v>
      </c>
      <c r="E2909" s="18">
        <v>1041.8468397774893</v>
      </c>
      <c r="F2909" s="18">
        <v>-2342.9729542617292</v>
      </c>
      <c r="G2909" s="18">
        <v>2718.128003037198</v>
      </c>
      <c r="H2909" s="12">
        <f>E2910</f>
      </c>
      <c r="I2909" s="12">
        <f>F2910</f>
      </c>
      <c r="J2909" s="12">
        <f>G2910</f>
      </c>
      <c r="K2909">
        <f>IF(AND(Pu&gt;=MIN(E2909,H2909),Pu&lt;=MAX(E2909,H2909),E2909&lt;&gt;H2909),1,0)</f>
      </c>
      <c r="L2909">
        <f>IF(K2909=1,(Pu-E2909)/(H2909-E2909),"")</f>
      </c>
      <c r="M2909" s="12">
        <f>IF(K2909=1,F2909+L2909*(I2909-F2909),"")</f>
      </c>
      <c r="N2909" s="12">
        <f>IF(K2909=1,G2909+L2909*(J2909-G2909),"")</f>
      </c>
    </row>
    <row r="2910" spans="2:14" x14ac:dyDescent="0.25">
      <c r="B2910">
        <v>81</v>
      </c>
      <c r="C2910">
        <v>307.5</v>
      </c>
      <c r="D2910">
        <v>25</v>
      </c>
      <c r="E2910" s="18">
        <v>-73.80265027541007</v>
      </c>
      <c r="F2910" s="18">
        <v>-1971.1986116317685</v>
      </c>
      <c r="G2910" s="18">
        <v>2342.4189032180234</v>
      </c>
      <c r="H2910" s="12">
        <f>E2911</f>
      </c>
      <c r="I2910" s="12">
        <f>F2911</f>
      </c>
      <c r="J2910" s="12">
        <f>G2911</f>
      </c>
      <c r="K2910">
        <f>IF(AND(Pu&gt;=MIN(E2910,H2910),Pu&lt;=MAX(E2910,H2910),E2910&lt;&gt;H2910),1,0)</f>
      </c>
      <c r="L2910">
        <f>IF(K2910=1,(Pu-E2910)/(H2910-E2910),"")</f>
      </c>
      <c r="M2910" s="12">
        <f>IF(K2910=1,F2910+L2910*(I2910-F2910),"")</f>
      </c>
      <c r="N2910" s="12">
        <f>IF(K2910=1,G2910+L2910*(J2910-G2910),"")</f>
      </c>
    </row>
    <row r="2911" spans="2:14" x14ac:dyDescent="0.25">
      <c r="B2911">
        <v>81</v>
      </c>
      <c r="C2911">
        <v>307.5</v>
      </c>
      <c r="D2911">
        <v>26</v>
      </c>
      <c r="E2911" s="18">
        <v>-926.4325517546446</v>
      </c>
      <c r="F2911" s="18">
        <v>-1686.558779501752</v>
      </c>
      <c r="G2911" s="18">
        <v>1998.8747454193508</v>
      </c>
      <c r="H2911" s="12">
        <f>E2912</f>
      </c>
      <c r="I2911" s="12">
        <f>F2912</f>
      </c>
      <c r="J2911" s="12">
        <f>G2912</f>
      </c>
      <c r="K2911">
        <f>IF(AND(Pu&gt;=MIN(E2911,H2911),Pu&lt;=MAX(E2911,H2911),E2911&lt;&gt;H2911),1,0)</f>
      </c>
      <c r="L2911">
        <f>IF(K2911=1,(Pu-E2911)/(H2911-E2911),"")</f>
      </c>
      <c r="M2911" s="12">
        <f>IF(K2911=1,F2911+L2911*(I2911-F2911),"")</f>
      </c>
      <c r="N2911" s="12">
        <f>IF(K2911=1,G2911+L2911*(J2911-G2911),"")</f>
      </c>
    </row>
    <row r="2912" spans="2:14" x14ac:dyDescent="0.25">
      <c r="B2912">
        <v>81</v>
      </c>
      <c r="C2912">
        <v>307.5</v>
      </c>
      <c r="D2912">
        <v>27</v>
      </c>
      <c r="E2912" s="18">
        <v>-1607.8201116735252</v>
      </c>
      <c r="F2912" s="18">
        <v>-1421.4855173125104</v>
      </c>
      <c r="G2912" s="18">
        <v>1713.947767279237</v>
      </c>
      <c r="H2912" s="12">
        <f>E2913</f>
      </c>
      <c r="I2912" s="12">
        <f>F2913</f>
      </c>
      <c r="J2912" s="12">
        <f>G2913</f>
      </c>
      <c r="K2912">
        <f>IF(AND(Pu&gt;=MIN(E2912,H2912),Pu&lt;=MAX(E2912,H2912),E2912&lt;&gt;H2912),1,0)</f>
      </c>
      <c r="L2912">
        <f>IF(K2912=1,(Pu-E2912)/(H2912-E2912),"")</f>
      </c>
      <c r="M2912" s="12">
        <f>IF(K2912=1,F2912+L2912*(I2912-F2912),"")</f>
      </c>
      <c r="N2912" s="12">
        <f>IF(K2912=1,G2912+L2912*(J2912-G2912),"")</f>
      </c>
    </row>
    <row r="2913" spans="2:14" x14ac:dyDescent="0.25">
      <c r="B2913">
        <v>81</v>
      </c>
      <c r="C2913">
        <v>307.5</v>
      </c>
      <c r="D2913">
        <v>28</v>
      </c>
      <c r="E2913" s="18">
        <v>-2149.6144090501016</v>
      </c>
      <c r="F2913" s="18">
        <v>-1211.4664843465653</v>
      </c>
      <c r="G2913" s="18">
        <v>1468.2636278113325</v>
      </c>
      <c r="H2913" s="12">
        <f>E2914</f>
      </c>
      <c r="I2913" s="12">
        <f>F2914</f>
      </c>
      <c r="J2913" s="12">
        <f>G2914</f>
      </c>
      <c r="K2913">
        <f>IF(AND(Pu&gt;=MIN(E2913,H2913),Pu&lt;=MAX(E2913,H2913),E2913&lt;&gt;H2913),1,0)</f>
      </c>
      <c r="L2913">
        <f>IF(K2913=1,(Pu-E2913)/(H2913-E2913),"")</f>
      </c>
      <c r="M2913" s="12">
        <f>IF(K2913=1,F2913+L2913*(I2913-F2913),"")</f>
      </c>
      <c r="N2913" s="12">
        <f>IF(K2913=1,G2913+L2913*(J2913-G2913),"")</f>
      </c>
    </row>
    <row r="2914" spans="2:14" x14ac:dyDescent="0.25">
      <c r="B2914">
        <v>81</v>
      </c>
      <c r="C2914">
        <v>307.5</v>
      </c>
      <c r="D2914">
        <v>29</v>
      </c>
      <c r="E2914" s="18">
        <v>-2896.5689277094484</v>
      </c>
      <c r="F2914" s="18">
        <v>-917.7489772993055</v>
      </c>
      <c r="G2914" s="18">
        <v>1102.747661062463</v>
      </c>
      <c r="H2914" s="12">
        <f>E2915</f>
      </c>
      <c r="I2914" s="12">
        <f>F2915</f>
      </c>
      <c r="J2914" s="12">
        <f>G2915</f>
      </c>
      <c r="K2914">
        <f>IF(AND(Pu&gt;=MIN(E2914,H2914),Pu&lt;=MAX(E2914,H2914),E2914&lt;&gt;H2914),1,0)</f>
      </c>
      <c r="L2914">
        <f>IF(K2914=1,(Pu-E2914)/(H2914-E2914),"")</f>
      </c>
      <c r="M2914" s="12">
        <f>IF(K2914=1,F2914+L2914*(I2914-F2914),"")</f>
      </c>
      <c r="N2914" s="12">
        <f>IF(K2914=1,G2914+L2914*(J2914-G2914),"")</f>
      </c>
    </row>
    <row r="2915" spans="2:14" x14ac:dyDescent="0.25">
      <c r="B2915">
        <v>81</v>
      </c>
      <c r="C2915">
        <v>307.5</v>
      </c>
      <c r="D2915">
        <v>30</v>
      </c>
      <c r="E2915" s="18">
        <v>-3358.516728857875</v>
      </c>
      <c r="F2915" s="18">
        <v>-713.6666047248252</v>
      </c>
      <c r="G2915" s="18">
        <v>879.9712482434932</v>
      </c>
      <c r="H2915" s="12">
        <f>E2916</f>
      </c>
      <c r="I2915" s="12">
        <f>F2916</f>
      </c>
      <c r="J2915" s="12">
        <f>G2916</f>
      </c>
      <c r="K2915">
        <f>IF(AND(Pu&gt;=MIN(E2915,H2915),Pu&lt;=MAX(E2915,H2915),E2915&lt;&gt;H2915),1,0)</f>
      </c>
      <c r="L2915">
        <f>IF(K2915=1,(Pu-E2915)/(H2915-E2915),"")</f>
      </c>
      <c r="M2915" s="12">
        <f>IF(K2915=1,F2915+L2915*(I2915-F2915),"")</f>
      </c>
      <c r="N2915" s="12">
        <f>IF(K2915=1,G2915+L2915*(J2915-G2915),"")</f>
      </c>
    </row>
    <row r="2916" spans="2:14" x14ac:dyDescent="0.25">
      <c r="B2916">
        <v>81</v>
      </c>
      <c r="C2916">
        <v>307.5</v>
      </c>
      <c r="D2916">
        <v>31</v>
      </c>
      <c r="E2916" s="18">
        <v>-3930.037555899861</v>
      </c>
      <c r="F2916" s="18">
        <v>-466.2290087233285</v>
      </c>
      <c r="G2916" s="18">
        <v>564.8037109305773</v>
      </c>
      <c r="H2916" s="12">
        <f>E2917</f>
      </c>
      <c r="I2916" s="12">
        <f>F2917</f>
      </c>
      <c r="J2916" s="12">
        <f>G2917</f>
      </c>
      <c r="K2916">
        <f>IF(AND(Pu&gt;=MIN(E2916,H2916),Pu&lt;=MAX(E2916,H2916),E2916&lt;&gt;H2916),1,0)</f>
      </c>
      <c r="L2916">
        <f>IF(K2916=1,(Pu-E2916)/(H2916-E2916),"")</f>
      </c>
      <c r="M2916" s="12">
        <f>IF(K2916=1,F2916+L2916*(I2916-F2916),"")</f>
      </c>
      <c r="N2916" s="12">
        <f>IF(K2916=1,G2916+L2916*(J2916-G2916),"")</f>
      </c>
    </row>
    <row r="2917" spans="2:14" x14ac:dyDescent="0.25">
      <c r="B2917">
        <v>81</v>
      </c>
      <c r="C2917">
        <v>307.5</v>
      </c>
      <c r="D2917">
        <v>32</v>
      </c>
      <c r="E2917" s="18">
        <v>-4363.739205148029</v>
      </c>
      <c r="F2917" s="18">
        <v>-278.30879788191686</v>
      </c>
      <c r="G2917" s="18">
        <v>322.79945380980104</v>
      </c>
      <c r="H2917" s="12">
        <f>E2918</f>
      </c>
      <c r="I2917" s="12">
        <f>F2918</f>
      </c>
      <c r="J2917" s="12">
        <f>G2918</f>
      </c>
      <c r="K2917">
        <f>IF(AND(Pu&gt;=MIN(E2917,H2917),Pu&lt;=MAX(E2917,H2917),E2917&lt;&gt;H2917),1,0)</f>
      </c>
      <c r="L2917">
        <f>IF(K2917=1,(Pu-E2917)/(H2917-E2917),"")</f>
      </c>
      <c r="M2917" s="12">
        <f>IF(K2917=1,F2917+L2917*(I2917-F2917),"")</f>
      </c>
      <c r="N2917" s="12">
        <f>IF(K2917=1,G2917+L2917*(J2917-G2917),"")</f>
      </c>
    </row>
    <row r="2918" spans="2:14" x14ac:dyDescent="0.25">
      <c r="B2918">
        <v>81</v>
      </c>
      <c r="C2918">
        <v>307.5</v>
      </c>
      <c r="D2918">
        <v>33</v>
      </c>
      <c r="E2918" s="18">
        <v>-4657.013969913402</v>
      </c>
      <c r="F2918" s="18">
        <v>-136.11219108180003</v>
      </c>
      <c r="G2918" s="18">
        <v>160.1593859384594</v>
      </c>
      <c r="H2918" s="12">
        <f>E2919</f>
      </c>
      <c r="I2918" s="12">
        <f>F2919</f>
      </c>
      <c r="J2918" s="12">
        <f>G2919</f>
      </c>
      <c r="K2918">
        <f>IF(AND(Pu&gt;=MIN(E2918,H2918),Pu&lt;=MAX(E2918,H2918),E2918&lt;&gt;H2918),1,0)</f>
      </c>
      <c r="L2918">
        <f>IF(K2918=1,(Pu-E2918)/(H2918-E2918),"")</f>
      </c>
      <c r="M2918" s="12">
        <f>IF(K2918=1,F2918+L2918*(I2918-F2918),"")</f>
      </c>
      <c r="N2918" s="12">
        <f>IF(K2918=1,G2918+L2918*(J2918-G2918),"")</f>
      </c>
    </row>
    <row r="2919" spans="2:7" x14ac:dyDescent="0.25">
      <c r="B2919">
        <v>81</v>
      </c>
      <c r="C2919">
        <v>307.5</v>
      </c>
      <c r="D2919">
        <v>34</v>
      </c>
      <c r="E2919" s="18">
        <v>-4757.859740001193</v>
      </c>
      <c r="F2919" s="18">
        <v>-86.4029204801247</v>
      </c>
      <c r="G2919" s="18">
        <v>98.59753545235552</v>
      </c>
    </row>
    <row r="2921" spans="2:14" x14ac:dyDescent="0.25">
      <c r="B2921">
        <v>82</v>
      </c>
      <c r="C2921">
        <v>314.99999999999994</v>
      </c>
      <c r="D2921">
        <v>1</v>
      </c>
      <c r="E2921" s="18">
        <v>17156.854368171884</v>
      </c>
      <c r="F2921" s="18">
        <v>-1615.352850075944</v>
      </c>
      <c r="G2921" s="18">
        <v>2271.298480199723</v>
      </c>
      <c r="H2921" s="12">
        <f>E2922</f>
      </c>
      <c r="I2921" s="12">
        <f>F2922</f>
      </c>
      <c r="J2921" s="12">
        <f>G2922</f>
      </c>
      <c r="K2921">
        <f>IF(AND(Pu&gt;=MIN(E2921,H2921),Pu&lt;=MAX(E2921,H2921),E2921&lt;&gt;H2921),1,0)</f>
      </c>
      <c r="L2921">
        <f>IF(K2921=1,(Pu-E2921)/(H2921-E2921),"")</f>
      </c>
      <c r="M2921" s="12">
        <f>IF(K2921=1,F2921+L2921*(I2921-F2921),"")</f>
      </c>
      <c r="N2921" s="12">
        <f>IF(K2921=1,G2921+L2921*(J2921-G2921),"")</f>
      </c>
    </row>
    <row r="2922" spans="2:14" x14ac:dyDescent="0.25">
      <c r="B2922">
        <v>82</v>
      </c>
      <c r="C2922">
        <v>314.99999999999994</v>
      </c>
      <c r="D2922">
        <v>2</v>
      </c>
      <c r="E2922" s="18">
        <v>16054.115154264684</v>
      </c>
      <c r="F2922" s="18">
        <v>-1841.9269098499717</v>
      </c>
      <c r="G2922" s="18">
        <v>2613.5469708886167</v>
      </c>
      <c r="H2922" s="12">
        <f>E2923</f>
      </c>
      <c r="I2922" s="12">
        <f>F2923</f>
      </c>
      <c r="J2922" s="12">
        <f>G2923</f>
      </c>
      <c r="K2922">
        <f>IF(AND(Pu&gt;=MIN(E2922,H2922),Pu&lt;=MAX(E2922,H2922),E2922&lt;&gt;H2922),1,0)</f>
      </c>
      <c r="L2922">
        <f>IF(K2922=1,(Pu-E2922)/(H2922-E2922),"")</f>
      </c>
      <c r="M2922" s="12">
        <f>IF(K2922=1,F2922+L2922*(I2922-F2922),"")</f>
      </c>
      <c r="N2922" s="12">
        <f>IF(K2922=1,G2922+L2922*(J2922-G2922),"")</f>
      </c>
    </row>
    <row r="2923" spans="2:14" x14ac:dyDescent="0.25">
      <c r="B2923">
        <v>82</v>
      </c>
      <c r="C2923">
        <v>314.99999999999994</v>
      </c>
      <c r="D2923">
        <v>3</v>
      </c>
      <c r="E2923" s="18">
        <v>13866.670264618513</v>
      </c>
      <c r="F2923" s="18">
        <v>-2244.5215761691748</v>
      </c>
      <c r="G2923" s="18">
        <v>3047.045498784184</v>
      </c>
      <c r="H2923" s="12">
        <f>E2924</f>
      </c>
      <c r="I2923" s="12">
        <f>F2924</f>
      </c>
      <c r="J2923" s="12">
        <f>G2924</f>
      </c>
      <c r="K2923">
        <f>IF(AND(Pu&gt;=MIN(E2923,H2923),Pu&lt;=MAX(E2923,H2923),E2923&lt;&gt;H2923),1,0)</f>
      </c>
      <c r="L2923">
        <f>IF(K2923=1,(Pu-E2923)/(H2923-E2923),"")</f>
      </c>
      <c r="M2923" s="12">
        <f>IF(K2923=1,F2923+L2923*(I2923-F2923),"")</f>
      </c>
      <c r="N2923" s="12">
        <f>IF(K2923=1,G2923+L2923*(J2923-G2923),"")</f>
      </c>
    </row>
    <row r="2924" spans="2:14" x14ac:dyDescent="0.25">
      <c r="B2924">
        <v>82</v>
      </c>
      <c r="C2924">
        <v>314.99999999999994</v>
      </c>
      <c r="D2924">
        <v>4</v>
      </c>
      <c r="E2924" s="18">
        <v>11796.370396030603</v>
      </c>
      <c r="F2924" s="18">
        <v>-2589.33057081541</v>
      </c>
      <c r="G2924" s="18">
        <v>3226.484282630316</v>
      </c>
      <c r="H2924" s="12">
        <f>E2925</f>
      </c>
      <c r="I2924" s="12">
        <f>F2925</f>
      </c>
      <c r="J2924" s="12">
        <f>G2925</f>
      </c>
      <c r="K2924">
        <f>IF(AND(Pu&gt;=MIN(E2924,H2924),Pu&lt;=MAX(E2924,H2924),E2924&lt;&gt;H2924),1,0)</f>
      </c>
      <c r="L2924">
        <f>IF(K2924=1,(Pu-E2924)/(H2924-E2924),"")</f>
      </c>
      <c r="M2924" s="12">
        <f>IF(K2924=1,F2924+L2924*(I2924-F2924),"")</f>
      </c>
      <c r="N2924" s="12">
        <f>IF(K2924=1,G2924+L2924*(J2924-G2924),"")</f>
      </c>
    </row>
    <row r="2925" spans="2:14" x14ac:dyDescent="0.25">
      <c r="B2925">
        <v>82</v>
      </c>
      <c r="C2925">
        <v>314.99999999999994</v>
      </c>
      <c r="D2925">
        <v>5</v>
      </c>
      <c r="E2925" s="18">
        <v>10079.152738452794</v>
      </c>
      <c r="F2925" s="18">
        <v>-2749.4174958637855</v>
      </c>
      <c r="G2925" s="18">
        <v>3341.7341495830465</v>
      </c>
      <c r="H2925" s="12">
        <f>E2926</f>
      </c>
      <c r="I2925" s="12">
        <f>F2926</f>
      </c>
      <c r="J2925" s="12">
        <f>G2926</f>
      </c>
      <c r="K2925">
        <f>IF(AND(Pu&gt;=MIN(E2925,H2925),Pu&lt;=MAX(E2925,H2925),E2925&lt;&gt;H2925),1,0)</f>
      </c>
      <c r="L2925">
        <f>IF(K2925=1,(Pu-E2925)/(H2925-E2925),"")</f>
      </c>
      <c r="M2925" s="12">
        <f>IF(K2925=1,F2925+L2925*(I2925-F2925),"")</f>
      </c>
      <c r="N2925" s="12">
        <f>IF(K2925=1,G2925+L2925*(J2925-G2925),"")</f>
      </c>
    </row>
    <row r="2926" spans="2:14" x14ac:dyDescent="0.25">
      <c r="B2926">
        <v>82</v>
      </c>
      <c r="C2926">
        <v>314.99999999999994</v>
      </c>
      <c r="D2926">
        <v>6</v>
      </c>
      <c r="E2926" s="18">
        <v>8791.494961409317</v>
      </c>
      <c r="F2926" s="18">
        <v>-2768.3183182157063</v>
      </c>
      <c r="G2926" s="18">
        <v>3447.0487624537054</v>
      </c>
      <c r="H2926" s="12">
        <f>E2927</f>
      </c>
      <c r="I2926" s="12">
        <f>F2927</f>
      </c>
      <c r="J2926" s="12">
        <f>G2927</f>
      </c>
      <c r="K2926">
        <f>IF(AND(Pu&gt;=MIN(E2926,H2926),Pu&lt;=MAX(E2926,H2926),E2926&lt;&gt;H2926),1,0)</f>
      </c>
      <c r="L2926">
        <f>IF(K2926=1,(Pu-E2926)/(H2926-E2926),"")</f>
      </c>
      <c r="M2926" s="12">
        <f>IF(K2926=1,F2926+L2926*(I2926-F2926),"")</f>
      </c>
      <c r="N2926" s="12">
        <f>IF(K2926=1,G2926+L2926*(J2926-G2926),"")</f>
      </c>
    </row>
    <row r="2927" spans="2:14" x14ac:dyDescent="0.25">
      <c r="B2927">
        <v>82</v>
      </c>
      <c r="C2927">
        <v>314.99999999999994</v>
      </c>
      <c r="D2927">
        <v>7</v>
      </c>
      <c r="E2927" s="18">
        <v>8641.625675061685</v>
      </c>
      <c r="F2927" s="18">
        <v>-2784.780617780563</v>
      </c>
      <c r="G2927" s="18">
        <v>3484.581707074593</v>
      </c>
      <c r="H2927" s="12">
        <f>E2928</f>
      </c>
      <c r="I2927" s="12">
        <f>F2928</f>
      </c>
      <c r="J2927" s="12">
        <f>G2928</f>
      </c>
      <c r="K2927">
        <f>IF(AND(Pu&gt;=MIN(E2927,H2927),Pu&lt;=MAX(E2927,H2927),E2927&lt;&gt;H2927),1,0)</f>
      </c>
      <c r="L2927">
        <f>IF(K2927=1,(Pu-E2927)/(H2927-E2927),"")</f>
      </c>
      <c r="M2927" s="12">
        <f>IF(K2927=1,F2927+L2927*(I2927-F2927),"")</f>
      </c>
      <c r="N2927" s="12">
        <f>IF(K2927=1,G2927+L2927*(J2927-G2927),"")</f>
      </c>
    </row>
    <row r="2928" spans="2:14" x14ac:dyDescent="0.25">
      <c r="B2928">
        <v>82</v>
      </c>
      <c r="C2928">
        <v>314.99999999999994</v>
      </c>
      <c r="D2928">
        <v>8</v>
      </c>
      <c r="E2928" s="18">
        <v>8037.932149517715</v>
      </c>
      <c r="F2928" s="18">
        <v>-2833.9100030087648</v>
      </c>
      <c r="G2928" s="18">
        <v>3624.1721936058566</v>
      </c>
      <c r="H2928" s="12">
        <f>E2929</f>
      </c>
      <c r="I2928" s="12">
        <f>F2929</f>
      </c>
      <c r="J2928" s="12">
        <f>G2929</f>
      </c>
      <c r="K2928">
        <f>IF(AND(Pu&gt;=MIN(E2928,H2928),Pu&lt;=MAX(E2928,H2928),E2928&lt;&gt;H2928),1,0)</f>
      </c>
      <c r="L2928">
        <f>IF(K2928=1,(Pu-E2928)/(H2928-E2928),"")</f>
      </c>
      <c r="M2928" s="12">
        <f>IF(K2928=1,F2928+L2928*(I2928-F2928),"")</f>
      </c>
      <c r="N2928" s="12">
        <f>IF(K2928=1,G2928+L2928*(J2928-G2928),"")</f>
      </c>
    </row>
    <row r="2929" spans="2:14" x14ac:dyDescent="0.25">
      <c r="B2929">
        <v>82</v>
      </c>
      <c r="C2929">
        <v>314.99999999999994</v>
      </c>
      <c r="D2929">
        <v>9</v>
      </c>
      <c r="E2929" s="18">
        <v>7693.980858859481</v>
      </c>
      <c r="F2929" s="18">
        <v>-2838.4713301059483</v>
      </c>
      <c r="G2929" s="18">
        <v>3700.245683340926</v>
      </c>
      <c r="H2929" s="12">
        <f>E2930</f>
      </c>
      <c r="I2929" s="12">
        <f>F2930</f>
      </c>
      <c r="J2929" s="12">
        <f>G2930</f>
      </c>
      <c r="K2929">
        <f>IF(AND(Pu&gt;=MIN(E2929,H2929),Pu&lt;=MAX(E2929,H2929),E2929&lt;&gt;H2929),1,0)</f>
      </c>
      <c r="L2929">
        <f>IF(K2929=1,(Pu-E2929)/(H2929-E2929),"")</f>
      </c>
      <c r="M2929" s="12">
        <f>IF(K2929=1,F2929+L2929*(I2929-F2929),"")</f>
      </c>
      <c r="N2929" s="12">
        <f>IF(K2929=1,G2929+L2929*(J2929-G2929),"")</f>
      </c>
    </row>
    <row r="2930" spans="2:14" x14ac:dyDescent="0.25">
      <c r="B2930">
        <v>82</v>
      </c>
      <c r="C2930">
        <v>314.99999999999994</v>
      </c>
      <c r="D2930">
        <v>10</v>
      </c>
      <c r="E2930" s="18">
        <v>7278.563720777527</v>
      </c>
      <c r="F2930" s="18">
        <v>-2842.32163671832</v>
      </c>
      <c r="G2930" s="18">
        <v>3780.4700071897896</v>
      </c>
      <c r="H2930" s="12">
        <f>E2931</f>
      </c>
      <c r="I2930" s="12">
        <f>F2931</f>
      </c>
      <c r="J2930" s="12">
        <f>G2931</f>
      </c>
      <c r="K2930">
        <f>IF(AND(Pu&gt;=MIN(E2930,H2930),Pu&lt;=MAX(E2930,H2930),E2930&lt;&gt;H2930),1,0)</f>
      </c>
      <c r="L2930">
        <f>IF(K2930=1,(Pu-E2930)/(H2930-E2930),"")</f>
      </c>
      <c r="M2930" s="12">
        <f>IF(K2930=1,F2930+L2930*(I2930-F2930),"")</f>
      </c>
      <c r="N2930" s="12">
        <f>IF(K2930=1,G2930+L2930*(J2930-G2930),"")</f>
      </c>
    </row>
    <row r="2931" spans="2:14" x14ac:dyDescent="0.25">
      <c r="B2931">
        <v>82</v>
      </c>
      <c r="C2931">
        <v>314.99999999999994</v>
      </c>
      <c r="D2931">
        <v>11</v>
      </c>
      <c r="E2931" s="18">
        <v>6883.121068144158</v>
      </c>
      <c r="F2931" s="18">
        <v>-2839.522508541197</v>
      </c>
      <c r="G2931" s="18">
        <v>3852.811704334859</v>
      </c>
      <c r="H2931" s="12">
        <f>E2932</f>
      </c>
      <c r="I2931" s="12">
        <f>F2932</f>
      </c>
      <c r="J2931" s="12">
        <f>G2932</f>
      </c>
      <c r="K2931">
        <f>IF(AND(Pu&gt;=MIN(E2931,H2931),Pu&lt;=MAX(E2931,H2931),E2931&lt;&gt;H2931),1,0)</f>
      </c>
      <c r="L2931">
        <f>IF(K2931=1,(Pu-E2931)/(H2931-E2931),"")</f>
      </c>
      <c r="M2931" s="12">
        <f>IF(K2931=1,F2931+L2931*(I2931-F2931),"")</f>
      </c>
      <c r="N2931" s="12">
        <f>IF(K2931=1,G2931+L2931*(J2931-G2931),"")</f>
      </c>
    </row>
    <row r="2932" spans="2:14" x14ac:dyDescent="0.25">
      <c r="B2932">
        <v>82</v>
      </c>
      <c r="C2932">
        <v>314.99999999999994</v>
      </c>
      <c r="D2932">
        <v>12</v>
      </c>
      <c r="E2932" s="18">
        <v>6645.332581263442</v>
      </c>
      <c r="F2932" s="18">
        <v>-2840.103830951515</v>
      </c>
      <c r="G2932" s="18">
        <v>3893.1137495115217</v>
      </c>
      <c r="H2932" s="12">
        <f>E2933</f>
      </c>
      <c r="I2932" s="12">
        <f>F2933</f>
      </c>
      <c r="J2932" s="12">
        <f>G2933</f>
      </c>
      <c r="K2932">
        <f>IF(AND(Pu&gt;=MIN(E2932,H2932),Pu&lt;=MAX(E2932,H2932),E2932&lt;&gt;H2932),1,0)</f>
      </c>
      <c r="L2932">
        <f>IF(K2932=1,(Pu-E2932)/(H2932-E2932),"")</f>
      </c>
      <c r="M2932" s="12">
        <f>IF(K2932=1,F2932+L2932*(I2932-F2932),"")</f>
      </c>
      <c r="N2932" s="12">
        <f>IF(K2932=1,G2932+L2932*(J2932-G2932),"")</f>
      </c>
    </row>
    <row r="2933" spans="2:14" x14ac:dyDescent="0.25">
      <c r="B2933">
        <v>82</v>
      </c>
      <c r="C2933">
        <v>314.99999999999994</v>
      </c>
      <c r="D2933">
        <v>13</v>
      </c>
      <c r="E2933" s="18">
        <v>6136.746653181988</v>
      </c>
      <c r="F2933" s="18">
        <v>-2847.8981969765805</v>
      </c>
      <c r="G2933" s="18">
        <v>3954.618170088705</v>
      </c>
      <c r="H2933" s="12">
        <f>E2934</f>
      </c>
      <c r="I2933" s="12">
        <f>F2934</f>
      </c>
      <c r="J2933" s="12">
        <f>G2934</f>
      </c>
      <c r="K2933">
        <f>IF(AND(Pu&gt;=MIN(E2933,H2933),Pu&lt;=MAX(E2933,H2933),E2933&lt;&gt;H2933),1,0)</f>
      </c>
      <c r="L2933">
        <f>IF(K2933=1,(Pu-E2933)/(H2933-E2933),"")</f>
      </c>
      <c r="M2933" s="12">
        <f>IF(K2933=1,F2933+L2933*(I2933-F2933),"")</f>
      </c>
      <c r="N2933" s="12">
        <f>IF(K2933=1,G2933+L2933*(J2933-G2933),"")</f>
      </c>
    </row>
    <row r="2934" spans="2:14" x14ac:dyDescent="0.25">
      <c r="B2934">
        <v>82</v>
      </c>
      <c r="C2934">
        <v>314.99999999999994</v>
      </c>
      <c r="D2934">
        <v>14</v>
      </c>
      <c r="E2934" s="18">
        <v>6082.441733702443</v>
      </c>
      <c r="F2934" s="18">
        <v>-2847.634290583134</v>
      </c>
      <c r="G2934" s="18">
        <v>3959.6948152685613</v>
      </c>
      <c r="H2934" s="12">
        <f>E2935</f>
      </c>
      <c r="I2934" s="12">
        <f>F2935</f>
      </c>
      <c r="J2934" s="12">
        <f>G2935</f>
      </c>
      <c r="K2934">
        <f>IF(AND(Pu&gt;=MIN(E2934,H2934),Pu&lt;=MAX(E2934,H2934),E2934&lt;&gt;H2934),1,0)</f>
      </c>
      <c r="L2934">
        <f>IF(K2934=1,(Pu-E2934)/(H2934-E2934),"")</f>
      </c>
      <c r="M2934" s="12">
        <f>IF(K2934=1,F2934+L2934*(I2934-F2934),"")</f>
      </c>
      <c r="N2934" s="12">
        <f>IF(K2934=1,G2934+L2934*(J2934-G2934),"")</f>
      </c>
    </row>
    <row r="2935" spans="2:14" x14ac:dyDescent="0.25">
      <c r="B2935">
        <v>82</v>
      </c>
      <c r="C2935">
        <v>314.99999999999994</v>
      </c>
      <c r="D2935">
        <v>15</v>
      </c>
      <c r="E2935" s="18">
        <v>5600.8678529977815</v>
      </c>
      <c r="F2935" s="18">
        <v>-2859.0130058403506</v>
      </c>
      <c r="G2935" s="18">
        <v>3994.254113128252</v>
      </c>
      <c r="H2935" s="12">
        <f>E2936</f>
      </c>
      <c r="I2935" s="12">
        <f>F2936</f>
      </c>
      <c r="J2935" s="12">
        <f>G2936</f>
      </c>
      <c r="K2935">
        <f>IF(AND(Pu&gt;=MIN(E2935,H2935),Pu&lt;=MAX(E2935,H2935),E2935&lt;&gt;H2935),1,0)</f>
      </c>
      <c r="L2935">
        <f>IF(K2935=1,(Pu-E2935)/(H2935-E2935),"")</f>
      </c>
      <c r="M2935" s="12">
        <f>IF(K2935=1,F2935+L2935*(I2935-F2935),"")</f>
      </c>
      <c r="N2935" s="12">
        <f>IF(K2935=1,G2935+L2935*(J2935-G2935),"")</f>
      </c>
    </row>
    <row r="2936" spans="2:14" x14ac:dyDescent="0.25">
      <c r="B2936">
        <v>82</v>
      </c>
      <c r="C2936">
        <v>314.99999999999994</v>
      </c>
      <c r="D2936">
        <v>16</v>
      </c>
      <c r="E2936" s="18">
        <v>5171.454845072877</v>
      </c>
      <c r="F2936" s="18">
        <v>-2866.7591136163746</v>
      </c>
      <c r="G2936" s="18">
        <v>4024.2552828345897</v>
      </c>
      <c r="H2936" s="12">
        <f>E2937</f>
      </c>
      <c r="I2936" s="12">
        <f>F2937</f>
      </c>
      <c r="J2936" s="12">
        <f>G2937</f>
      </c>
      <c r="K2936">
        <f>IF(AND(Pu&gt;=MIN(E2936,H2936),Pu&lt;=MAX(E2936,H2936),E2936&lt;&gt;H2936),1,0)</f>
      </c>
      <c r="L2936">
        <f>IF(K2936=1,(Pu-E2936)/(H2936-E2936),"")</f>
      </c>
      <c r="M2936" s="12">
        <f>IF(K2936=1,F2936+L2936*(I2936-F2936),"")</f>
      </c>
      <c r="N2936" s="12">
        <f>IF(K2936=1,G2936+L2936*(J2936-G2936),"")</f>
      </c>
    </row>
    <row r="2937" spans="2:14" x14ac:dyDescent="0.25">
      <c r="B2937">
        <v>82</v>
      </c>
      <c r="C2937">
        <v>314.99999999999994</v>
      </c>
      <c r="D2937">
        <v>17</v>
      </c>
      <c r="E2937" s="18">
        <v>5027.412537577054</v>
      </c>
      <c r="F2937" s="18">
        <v>-2871.348354882357</v>
      </c>
      <c r="G2937" s="18">
        <v>4025.0165380028684</v>
      </c>
      <c r="H2937" s="12">
        <f>E2938</f>
      </c>
      <c r="I2937" s="12">
        <f>F2938</f>
      </c>
      <c r="J2937" s="12">
        <f>G2938</f>
      </c>
      <c r="K2937">
        <f>IF(AND(Pu&gt;=MIN(E2937,H2937),Pu&lt;=MAX(E2937,H2937),E2937&lt;&gt;H2937),1,0)</f>
      </c>
      <c r="L2937">
        <f>IF(K2937=1,(Pu-E2937)/(H2937-E2937),"")</f>
      </c>
      <c r="M2937" s="12">
        <f>IF(K2937=1,F2937+L2937*(I2937-F2937),"")</f>
      </c>
      <c r="N2937" s="12">
        <f>IF(K2937=1,G2937+L2937*(J2937-G2937),"")</f>
      </c>
    </row>
    <row r="2938" spans="2:14" x14ac:dyDescent="0.25">
      <c r="B2938">
        <v>82</v>
      </c>
      <c r="C2938">
        <v>314.99999999999994</v>
      </c>
      <c r="D2938">
        <v>18</v>
      </c>
      <c r="E2938" s="18">
        <v>4797.902945121801</v>
      </c>
      <c r="F2938" s="18">
        <v>-2874.0577404616147</v>
      </c>
      <c r="G2938" s="18">
        <v>4027.803206898838</v>
      </c>
      <c r="H2938" s="12">
        <f>E2939</f>
      </c>
      <c r="I2938" s="12">
        <f>F2939</f>
      </c>
      <c r="J2938" s="12">
        <f>G2939</f>
      </c>
      <c r="K2938">
        <f>IF(AND(Pu&gt;=MIN(E2938,H2938),Pu&lt;=MAX(E2938,H2938),E2938&lt;&gt;H2938),1,0)</f>
      </c>
      <c r="L2938">
        <f>IF(K2938=1,(Pu-E2938)/(H2938-E2938),"")</f>
      </c>
      <c r="M2938" s="12">
        <f>IF(K2938=1,F2938+L2938*(I2938-F2938),"")</f>
      </c>
      <c r="N2938" s="12">
        <f>IF(K2938=1,G2938+L2938*(J2938-G2938),"")</f>
      </c>
    </row>
    <row r="2939" spans="2:14" x14ac:dyDescent="0.25">
      <c r="B2939">
        <v>82</v>
      </c>
      <c r="C2939">
        <v>314.99999999999994</v>
      </c>
      <c r="D2939">
        <v>19</v>
      </c>
      <c r="E2939" s="18">
        <v>4505.484135091199</v>
      </c>
      <c r="F2939" s="18">
        <v>-2879.4420218730675</v>
      </c>
      <c r="G2939" s="18">
        <v>4029.8029597001564</v>
      </c>
      <c r="H2939" s="12">
        <f>E2940</f>
      </c>
      <c r="I2939" s="12">
        <f>F2940</f>
      </c>
      <c r="J2939" s="12">
        <f>G2940</f>
      </c>
      <c r="K2939">
        <f>IF(AND(Pu&gt;=MIN(E2939,H2939),Pu&lt;=MAX(E2939,H2939),E2939&lt;&gt;H2939),1,0)</f>
      </c>
      <c r="L2939">
        <f>IF(K2939=1,(Pu-E2939)/(H2939-E2939),"")</f>
      </c>
      <c r="M2939" s="12">
        <f>IF(K2939=1,F2939+L2939*(I2939-F2939),"")</f>
      </c>
      <c r="N2939" s="12">
        <f>IF(K2939=1,G2939+L2939*(J2939-G2939),"")</f>
      </c>
    </row>
    <row r="2940" spans="2:14" x14ac:dyDescent="0.25">
      <c r="B2940">
        <v>82</v>
      </c>
      <c r="C2940">
        <v>314.99999999999994</v>
      </c>
      <c r="D2940">
        <v>20</v>
      </c>
      <c r="E2940" s="18">
        <v>4456.324876830606</v>
      </c>
      <c r="F2940" s="18">
        <v>-2880.4086417883004</v>
      </c>
      <c r="G2940" s="18">
        <v>4029.9062304683584</v>
      </c>
      <c r="H2940" s="12">
        <f>E2941</f>
      </c>
      <c r="I2940" s="12">
        <f>F2941</f>
      </c>
      <c r="J2940" s="12">
        <f>G2941</f>
      </c>
      <c r="K2940">
        <f>IF(AND(Pu&gt;=MIN(E2940,H2940),Pu&lt;=MAX(E2940,H2940),E2940&lt;&gt;H2940),1,0)</f>
      </c>
      <c r="L2940">
        <f>IF(K2940=1,(Pu-E2940)/(H2940-E2940),"")</f>
      </c>
      <c r="M2940" s="12">
        <f>IF(K2940=1,F2940+L2940*(I2940-F2940),"")</f>
      </c>
      <c r="N2940" s="12">
        <f>IF(K2940=1,G2940+L2940*(J2940-G2940),"")</f>
      </c>
    </row>
    <row r="2941" spans="2:14" x14ac:dyDescent="0.25">
      <c r="B2941">
        <v>82</v>
      </c>
      <c r="C2941">
        <v>314.99999999999994</v>
      </c>
      <c r="D2941">
        <v>21</v>
      </c>
      <c r="E2941" s="18">
        <v>3821.1718543758484</v>
      </c>
      <c r="F2941" s="18">
        <v>-2770.927011613127</v>
      </c>
      <c r="G2941" s="18">
        <v>3863.68649918368</v>
      </c>
      <c r="H2941" s="12">
        <f>E2942</f>
      </c>
      <c r="I2941" s="12">
        <f>F2942</f>
      </c>
      <c r="J2941" s="12">
        <f>G2942</f>
      </c>
      <c r="K2941">
        <f>IF(AND(Pu&gt;=MIN(E2941,H2941),Pu&lt;=MAX(E2941,H2941),E2941&lt;&gt;H2941),1,0)</f>
      </c>
      <c r="L2941">
        <f>IF(K2941=1,(Pu-E2941)/(H2941-E2941),"")</f>
      </c>
      <c r="M2941" s="12">
        <f>IF(K2941=1,F2941+L2941*(I2941-F2941),"")</f>
      </c>
      <c r="N2941" s="12">
        <f>IF(K2941=1,G2941+L2941*(J2941-G2941),"")</f>
      </c>
    </row>
    <row r="2942" spans="2:14" x14ac:dyDescent="0.25">
      <c r="B2942">
        <v>82</v>
      </c>
      <c r="C2942">
        <v>314.99999999999994</v>
      </c>
      <c r="D2942">
        <v>22</v>
      </c>
      <c r="E2942" s="18">
        <v>2797.986239945815</v>
      </c>
      <c r="F2942" s="18">
        <v>-2526.193549054127</v>
      </c>
      <c r="G2942" s="18">
        <v>3588.1708572468733</v>
      </c>
      <c r="H2942" s="12">
        <f>E2943</f>
      </c>
      <c r="I2942" s="12">
        <f>F2943</f>
      </c>
      <c r="J2942" s="12">
        <f>G2943</f>
      </c>
      <c r="K2942">
        <f>IF(AND(Pu&gt;=MIN(E2942,H2942),Pu&lt;=MAX(E2942,H2942),E2942&lt;&gt;H2942),1,0)</f>
      </c>
      <c r="L2942">
        <f>IF(K2942=1,(Pu-E2942)/(H2942-E2942),"")</f>
      </c>
      <c r="M2942" s="12">
        <f>IF(K2942=1,F2942+L2942*(I2942-F2942),"")</f>
      </c>
      <c r="N2942" s="12">
        <f>IF(K2942=1,G2942+L2942*(J2942-G2942),"")</f>
      </c>
    </row>
    <row r="2943" spans="2:14" x14ac:dyDescent="0.25">
      <c r="B2943">
        <v>82</v>
      </c>
      <c r="C2943">
        <v>314.99999999999994</v>
      </c>
      <c r="D2943">
        <v>23</v>
      </c>
      <c r="E2943" s="18">
        <v>1936.3810065652333</v>
      </c>
      <c r="F2943" s="18">
        <v>-2308.411370064722</v>
      </c>
      <c r="G2943" s="18">
        <v>3337.15497806663</v>
      </c>
      <c r="H2943" s="12">
        <f>E2944</f>
      </c>
      <c r="I2943" s="12">
        <f>F2944</f>
      </c>
      <c r="J2943" s="12">
        <f>G2944</f>
      </c>
      <c r="K2943">
        <f>IF(AND(Pu&gt;=MIN(E2943,H2943),Pu&lt;=MAX(E2943,H2943),E2943&lt;&gt;H2943),1,0)</f>
      </c>
      <c r="L2943">
        <f>IF(K2943=1,(Pu-E2943)/(H2943-E2943),"")</f>
      </c>
      <c r="M2943" s="12">
        <f>IF(K2943=1,F2943+L2943*(I2943-F2943),"")</f>
      </c>
      <c r="N2943" s="12">
        <f>IF(K2943=1,G2943+L2943*(J2943-G2943),"")</f>
      </c>
    </row>
    <row r="2944" spans="2:14" x14ac:dyDescent="0.25">
      <c r="B2944">
        <v>82</v>
      </c>
      <c r="C2944">
        <v>314.99999999999994</v>
      </c>
      <c r="D2944">
        <v>24</v>
      </c>
      <c r="E2944" s="18">
        <v>1260.4248861334272</v>
      </c>
      <c r="F2944" s="18">
        <v>-2147.067321945881</v>
      </c>
      <c r="G2944" s="18">
        <v>3088.3746305437994</v>
      </c>
      <c r="H2944" s="12">
        <f>E2945</f>
      </c>
      <c r="I2944" s="12">
        <f>F2945</f>
      </c>
      <c r="J2944" s="12">
        <f>G2945</f>
      </c>
      <c r="K2944">
        <f>IF(AND(Pu&gt;=MIN(E2944,H2944),Pu&lt;=MAX(E2944,H2944),E2944&lt;&gt;H2944),1,0)</f>
      </c>
      <c r="L2944">
        <f>IF(K2944=1,(Pu-E2944)/(H2944-E2944),"")</f>
      </c>
      <c r="M2944" s="12">
        <f>IF(K2944=1,F2944+L2944*(I2944-F2944),"")</f>
      </c>
      <c r="N2944" s="12">
        <f>IF(K2944=1,G2944+L2944*(J2944-G2944),"")</f>
      </c>
    </row>
    <row r="2945" spans="2:14" x14ac:dyDescent="0.25">
      <c r="B2945">
        <v>82</v>
      </c>
      <c r="C2945">
        <v>314.99999999999994</v>
      </c>
      <c r="D2945">
        <v>25</v>
      </c>
      <c r="E2945" s="18">
        <v>137.66053666695035</v>
      </c>
      <c r="F2945" s="18">
        <v>-1874.4339530830348</v>
      </c>
      <c r="G2945" s="18">
        <v>2634.8426915214986</v>
      </c>
      <c r="H2945" s="12">
        <f>E2946</f>
      </c>
      <c r="I2945" s="12">
        <f>F2946</f>
      </c>
      <c r="J2945" s="12">
        <f>G2946</f>
      </c>
      <c r="K2945">
        <f>IF(AND(Pu&gt;=MIN(E2945,H2945),Pu&lt;=MAX(E2945,H2945),E2945&lt;&gt;H2945),1,0)</f>
      </c>
      <c r="L2945">
        <f>IF(K2945=1,(Pu-E2945)/(H2945-E2945),"")</f>
      </c>
      <c r="M2945" s="12">
        <f>IF(K2945=1,F2945+L2945*(I2945-F2945),"")</f>
      </c>
      <c r="N2945" s="12">
        <f>IF(K2945=1,G2945+L2945*(J2945-G2945),"")</f>
      </c>
    </row>
    <row r="2946" spans="2:14" x14ac:dyDescent="0.25">
      <c r="B2946">
        <v>82</v>
      </c>
      <c r="C2946">
        <v>314.99999999999994</v>
      </c>
      <c r="D2946">
        <v>26</v>
      </c>
      <c r="E2946" s="18">
        <v>-635.650510900745</v>
      </c>
      <c r="F2946" s="18">
        <v>-1632.0766936224377</v>
      </c>
      <c r="G2946" s="18">
        <v>2305.90468599469</v>
      </c>
      <c r="H2946" s="12">
        <f>E2947</f>
      </c>
      <c r="I2946" s="12">
        <f>F2947</f>
      </c>
      <c r="J2946" s="12">
        <f>G2947</f>
      </c>
      <c r="K2946">
        <f>IF(AND(Pu&gt;=MIN(E2946,H2946),Pu&lt;=MAX(E2946,H2946),E2946&lt;&gt;H2946),1,0)</f>
      </c>
      <c r="L2946">
        <f>IF(K2946=1,(Pu-E2946)/(H2946-E2946),"")</f>
      </c>
      <c r="M2946" s="12">
        <f>IF(K2946=1,F2946+L2946*(I2946-F2946),"")</f>
      </c>
      <c r="N2946" s="12">
        <f>IF(K2946=1,G2946+L2946*(J2946-G2946),"")</f>
      </c>
    </row>
    <row r="2947" spans="2:14" x14ac:dyDescent="0.25">
      <c r="B2947">
        <v>82</v>
      </c>
      <c r="C2947">
        <v>314.99999999999994</v>
      </c>
      <c r="D2947">
        <v>27</v>
      </c>
      <c r="E2947" s="18">
        <v>-1308.451894479559</v>
      </c>
      <c r="F2947" s="18">
        <v>-1425.5913274210657</v>
      </c>
      <c r="G2947" s="18">
        <v>1988.9089477457076</v>
      </c>
      <c r="H2947" s="12">
        <f>E2948</f>
      </c>
      <c r="I2947" s="12">
        <f>F2948</f>
      </c>
      <c r="J2947" s="12">
        <f>G2948</f>
      </c>
      <c r="K2947">
        <f>IF(AND(Pu&gt;=MIN(E2947,H2947),Pu&lt;=MAX(E2947,H2947),E2947&lt;&gt;H2947),1,0)</f>
      </c>
      <c r="L2947">
        <f>IF(K2947=1,(Pu-E2947)/(H2947-E2947),"")</f>
      </c>
      <c r="M2947" s="12">
        <f>IF(K2947=1,F2947+L2947*(I2947-F2947),"")</f>
      </c>
      <c r="N2947" s="12">
        <f>IF(K2947=1,G2947+L2947*(J2947-G2947),"")</f>
      </c>
    </row>
    <row r="2948" spans="2:14" x14ac:dyDescent="0.25">
      <c r="B2948">
        <v>82</v>
      </c>
      <c r="C2948">
        <v>314.99999999999994</v>
      </c>
      <c r="D2948">
        <v>28</v>
      </c>
      <c r="E2948" s="18">
        <v>-1827.005870765205</v>
      </c>
      <c r="F2948" s="18">
        <v>-1247.1116943574548</v>
      </c>
      <c r="G2948" s="18">
        <v>1729.7976427520066</v>
      </c>
      <c r="H2948" s="12">
        <f>E2949</f>
      </c>
      <c r="I2948" s="12">
        <f>F2949</f>
      </c>
      <c r="J2948" s="12">
        <f>G2949</f>
      </c>
      <c r="K2948">
        <f>IF(AND(Pu&gt;=MIN(E2948,H2948),Pu&lt;=MAX(E2948,H2948),E2948&lt;&gt;H2948),1,0)</f>
      </c>
      <c r="L2948">
        <f>IF(K2948=1,(Pu-E2948)/(H2948-E2948),"")</f>
      </c>
      <c r="M2948" s="12">
        <f>IF(K2948=1,F2948+L2948*(I2948-F2948),"")</f>
      </c>
      <c r="N2948" s="12">
        <f>IF(K2948=1,G2948+L2948*(J2948-G2948),"")</f>
      </c>
    </row>
    <row r="2949" spans="2:14" x14ac:dyDescent="0.25">
      <c r="B2949">
        <v>82</v>
      </c>
      <c r="C2949">
        <v>314.99999999999994</v>
      </c>
      <c r="D2949">
        <v>29</v>
      </c>
      <c r="E2949" s="18">
        <v>-2596.9880725986154</v>
      </c>
      <c r="F2949" s="18">
        <v>-962.9940356902704</v>
      </c>
      <c r="G2949" s="18">
        <v>1344.6211033109917</v>
      </c>
      <c r="H2949" s="12">
        <f>E2950</f>
      </c>
      <c r="I2949" s="12">
        <f>F2950</f>
      </c>
      <c r="J2949" s="12">
        <f>G2950</f>
      </c>
      <c r="K2949">
        <f>IF(AND(Pu&gt;=MIN(E2949,H2949),Pu&lt;=MAX(E2949,H2949),E2949&lt;&gt;H2949),1,0)</f>
      </c>
      <c r="L2949">
        <f>IF(K2949=1,(Pu-E2949)/(H2949-E2949),"")</f>
      </c>
      <c r="M2949" s="12">
        <f>IF(K2949=1,F2949+L2949*(I2949-F2949),"")</f>
      </c>
      <c r="N2949" s="12">
        <f>IF(K2949=1,G2949+L2949*(J2949-G2949),"")</f>
      </c>
    </row>
    <row r="2950" spans="2:14" x14ac:dyDescent="0.25">
      <c r="B2950">
        <v>82</v>
      </c>
      <c r="C2950">
        <v>314.99999999999994</v>
      </c>
      <c r="D2950">
        <v>30</v>
      </c>
      <c r="E2950" s="18">
        <v>-3111.390937188752</v>
      </c>
      <c r="F2950" s="18">
        <v>-781.9059609454754</v>
      </c>
      <c r="G2950" s="18">
        <v>1057.79470519044</v>
      </c>
      <c r="H2950" s="12">
        <f>E2951</f>
      </c>
      <c r="I2950" s="12">
        <f>F2951</f>
      </c>
      <c r="J2950" s="12">
        <f>G2951</f>
      </c>
      <c r="K2950">
        <f>IF(AND(Pu&gt;=MIN(E2950,H2950),Pu&lt;=MAX(E2950,H2950),E2950&lt;&gt;H2950),1,0)</f>
      </c>
      <c r="L2950">
        <f>IF(K2950=1,(Pu-E2950)/(H2950-E2950),"")</f>
      </c>
      <c r="M2950" s="12">
        <f>IF(K2950=1,F2950+L2950*(I2950-F2950),"")</f>
      </c>
      <c r="N2950" s="12">
        <f>IF(K2950=1,G2950+L2950*(J2950-G2950),"")</f>
      </c>
    </row>
    <row r="2951" spans="2:14" x14ac:dyDescent="0.25">
      <c r="B2951">
        <v>82</v>
      </c>
      <c r="C2951">
        <v>314.99999999999994</v>
      </c>
      <c r="D2951">
        <v>31</v>
      </c>
      <c r="E2951" s="18">
        <v>-3655.5616370864336</v>
      </c>
      <c r="F2951" s="18">
        <v>-549.2831242866981</v>
      </c>
      <c r="G2951" s="18">
        <v>760.9306287349423</v>
      </c>
      <c r="H2951" s="12">
        <f>E2952</f>
      </c>
      <c r="I2951" s="12">
        <f>F2952</f>
      </c>
      <c r="J2951" s="12">
        <f>G2952</f>
      </c>
      <c r="K2951">
        <f>IF(AND(Pu&gt;=MIN(E2951,H2951),Pu&lt;=MAX(E2951,H2951),E2951&lt;&gt;H2951),1,0)</f>
      </c>
      <c r="L2951">
        <f>IF(K2951=1,(Pu-E2951)/(H2951-E2951),"")</f>
      </c>
      <c r="M2951" s="12">
        <f>IF(K2951=1,F2951+L2951*(I2951-F2951),"")</f>
      </c>
      <c r="N2951" s="12">
        <f>IF(K2951=1,G2951+L2951*(J2951-G2951),"")</f>
      </c>
    </row>
    <row r="2952" spans="2:14" x14ac:dyDescent="0.25">
      <c r="B2952">
        <v>82</v>
      </c>
      <c r="C2952">
        <v>314.99999999999994</v>
      </c>
      <c r="D2952">
        <v>32</v>
      </c>
      <c r="E2952" s="18">
        <v>-4073.914411544399</v>
      </c>
      <c r="F2952" s="18">
        <v>-368.2620401394015</v>
      </c>
      <c r="G2952" s="18">
        <v>530.5316176641469</v>
      </c>
      <c r="H2952" s="12">
        <f>E2953</f>
      </c>
      <c r="I2952" s="12">
        <f>F2953</f>
      </c>
      <c r="J2952" s="12">
        <f>G2953</f>
      </c>
      <c r="K2952">
        <f>IF(AND(Pu&gt;=MIN(E2952,H2952),Pu&lt;=MAX(E2952,H2952),E2952&lt;&gt;H2952),1,0)</f>
      </c>
      <c r="L2952">
        <f>IF(K2952=1,(Pu-E2952)/(H2952-E2952),"")</f>
      </c>
      <c r="M2952" s="12">
        <f>IF(K2952=1,F2952+L2952*(I2952-F2952),"")</f>
      </c>
      <c r="N2952" s="12">
        <f>IF(K2952=1,G2952+L2952*(J2952-G2952),"")</f>
      </c>
    </row>
    <row r="2953" spans="2:14" x14ac:dyDescent="0.25">
      <c r="B2953">
        <v>82</v>
      </c>
      <c r="C2953">
        <v>314.99999999999994</v>
      </c>
      <c r="D2953">
        <v>33</v>
      </c>
      <c r="E2953" s="18">
        <v>-4520.652717266332</v>
      </c>
      <c r="F2953" s="18">
        <v>-192.46965978089185</v>
      </c>
      <c r="G2953" s="18">
        <v>252.6711585257725</v>
      </c>
      <c r="H2953" s="12">
        <f>E2954</f>
      </c>
      <c r="I2953" s="12">
        <f>F2954</f>
      </c>
      <c r="J2953" s="12">
        <f>G2954</f>
      </c>
      <c r="K2953">
        <f>IF(AND(Pu&gt;=MIN(E2953,H2953),Pu&lt;=MAX(E2953,H2953),E2953&lt;&gt;H2953),1,0)</f>
      </c>
      <c r="L2953">
        <f>IF(K2953=1,(Pu-E2953)/(H2953-E2953),"")</f>
      </c>
      <c r="M2953" s="12">
        <f>IF(K2953=1,F2953+L2953*(I2953-F2953),"")</f>
      </c>
      <c r="N2953" s="12">
        <f>IF(K2953=1,G2953+L2953*(J2953-G2953),"")</f>
      </c>
    </row>
    <row r="2954" spans="2:7" x14ac:dyDescent="0.25">
      <c r="B2954">
        <v>82</v>
      </c>
      <c r="C2954">
        <v>314.99999999999994</v>
      </c>
      <c r="D2954">
        <v>34</v>
      </c>
      <c r="E2954" s="18">
        <v>-4629.738809930116</v>
      </c>
      <c r="F2954" s="18">
        <v>-141.6504596332702</v>
      </c>
      <c r="G2954" s="18">
        <v>185.48904447858297</v>
      </c>
    </row>
    <row r="2956" spans="2:14" x14ac:dyDescent="0.25">
      <c r="B2956">
        <v>83</v>
      </c>
      <c r="C2956">
        <v>322.5</v>
      </c>
      <c r="D2956">
        <v>1</v>
      </c>
      <c r="E2956" s="18">
        <v>17130.35198143766</v>
      </c>
      <c r="F2956" s="18">
        <v>-1386.5948194127204</v>
      </c>
      <c r="G2956" s="18">
        <v>2475.2713501517424</v>
      </c>
      <c r="H2956" s="12">
        <f>E2957</f>
      </c>
      <c r="I2956" s="12">
        <f>F2957</f>
      </c>
      <c r="J2956" s="12">
        <f>G2957</f>
      </c>
      <c r="K2956">
        <f>IF(AND(Pu&gt;=MIN(E2956,H2956),Pu&lt;=MAX(E2956,H2956),E2956&lt;&gt;H2956),1,0)</f>
      </c>
      <c r="L2956">
        <f>IF(K2956=1,(Pu-E2956)/(H2956-E2956),"")</f>
      </c>
      <c r="M2956" s="12">
        <f>IF(K2956=1,F2956+L2956*(I2956-F2956),"")</f>
      </c>
      <c r="N2956" s="12">
        <f>IF(K2956=1,G2956+L2956*(J2956-G2956),"")</f>
      </c>
    </row>
    <row r="2957" spans="2:14" x14ac:dyDescent="0.25">
      <c r="B2957">
        <v>83</v>
      </c>
      <c r="C2957">
        <v>322.5</v>
      </c>
      <c r="D2957">
        <v>2</v>
      </c>
      <c r="E2957" s="18">
        <v>16031.034284205192</v>
      </c>
      <c r="F2957" s="18">
        <v>-1532.3700077664575</v>
      </c>
      <c r="G2957" s="18">
        <v>2881.0119920983243</v>
      </c>
      <c r="H2957" s="12">
        <f>E2958</f>
      </c>
      <c r="I2957" s="12">
        <f>F2958</f>
      </c>
      <c r="J2957" s="12">
        <f>G2958</f>
      </c>
      <c r="K2957">
        <f>IF(AND(Pu&gt;=MIN(E2957,H2957),Pu&lt;=MAX(E2957,H2957),E2957&lt;&gt;H2957),1,0)</f>
      </c>
      <c r="L2957">
        <f>IF(K2957=1,(Pu-E2957)/(H2957-E2957),"")</f>
      </c>
      <c r="M2957" s="12">
        <f>IF(K2957=1,F2957+L2957*(I2957-F2957),"")</f>
      </c>
      <c r="N2957" s="12">
        <f>IF(K2957=1,G2957+L2957*(J2957-G2957),"")</f>
      </c>
    </row>
    <row r="2958" spans="2:14" x14ac:dyDescent="0.25">
      <c r="B2958">
        <v>83</v>
      </c>
      <c r="C2958">
        <v>322.5</v>
      </c>
      <c r="D2958">
        <v>3</v>
      </c>
      <c r="E2958" s="18">
        <v>14056.06710076777</v>
      </c>
      <c r="F2958" s="18">
        <v>-1834.064114383332</v>
      </c>
      <c r="G2958" s="18">
        <v>3353.656603413953</v>
      </c>
      <c r="H2958" s="12">
        <f>E2959</f>
      </c>
      <c r="I2958" s="12">
        <f>F2959</f>
      </c>
      <c r="J2958" s="12">
        <f>G2959</f>
      </c>
      <c r="K2958">
        <f>IF(AND(Pu&gt;=MIN(E2958,H2958),Pu&lt;=MAX(E2958,H2958),E2958&lt;&gt;H2958),1,0)</f>
      </c>
      <c r="L2958">
        <f>IF(K2958=1,(Pu-E2958)/(H2958-E2958),"")</f>
      </c>
      <c r="M2958" s="12">
        <f>IF(K2958=1,F2958+L2958*(I2958-F2958),"")</f>
      </c>
      <c r="N2958" s="12">
        <f>IF(K2958=1,G2958+L2958*(J2958-G2958),"")</f>
      </c>
    </row>
    <row r="2959" spans="2:14" x14ac:dyDescent="0.25">
      <c r="B2959">
        <v>83</v>
      </c>
      <c r="C2959">
        <v>322.5</v>
      </c>
      <c r="D2959">
        <v>4</v>
      </c>
      <c r="E2959" s="18">
        <v>11981.939232214976</v>
      </c>
      <c r="F2959" s="18">
        <v>-2114.560220711687</v>
      </c>
      <c r="G2959" s="18">
        <v>3607.5846896788894</v>
      </c>
      <c r="H2959" s="12">
        <f>E2960</f>
      </c>
      <c r="I2959" s="12">
        <f>F2960</f>
      </c>
      <c r="J2959" s="12">
        <f>G2960</f>
      </c>
      <c r="K2959">
        <f>IF(AND(Pu&gt;=MIN(E2959,H2959),Pu&lt;=MAX(E2959,H2959),E2959&lt;&gt;H2959),1,0)</f>
      </c>
      <c r="L2959">
        <f>IF(K2959=1,(Pu-E2959)/(H2959-E2959),"")</f>
      </c>
      <c r="M2959" s="12">
        <f>IF(K2959=1,F2959+L2959*(I2959-F2959),"")</f>
      </c>
      <c r="N2959" s="12">
        <f>IF(K2959=1,G2959+L2959*(J2959-G2959),"")</f>
      </c>
    </row>
    <row r="2960" spans="2:14" x14ac:dyDescent="0.25">
      <c r="B2960">
        <v>83</v>
      </c>
      <c r="C2960">
        <v>322.5</v>
      </c>
      <c r="D2960">
        <v>5</v>
      </c>
      <c r="E2960" s="18">
        <v>10073.117279584721</v>
      </c>
      <c r="F2960" s="18">
        <v>-2245.7853829052233</v>
      </c>
      <c r="G2960" s="18">
        <v>3769.875050814964</v>
      </c>
      <c r="H2960" s="12">
        <f>E2961</f>
      </c>
      <c r="I2960" s="12">
        <f>F2961</f>
      </c>
      <c r="J2960" s="12">
        <f>G2961</f>
      </c>
      <c r="K2960">
        <f>IF(AND(Pu&gt;=MIN(E2960,H2960),Pu&lt;=MAX(E2960,H2960),E2960&lt;&gt;H2960),1,0)</f>
      </c>
      <c r="L2960">
        <f>IF(K2960=1,(Pu-E2960)/(H2960-E2960),"")</f>
      </c>
      <c r="M2960" s="12">
        <f>IF(K2960=1,F2960+L2960*(I2960-F2960),"")</f>
      </c>
      <c r="N2960" s="12">
        <f>IF(K2960=1,G2960+L2960*(J2960-G2960),"")</f>
      </c>
    </row>
    <row r="2961" spans="2:14" x14ac:dyDescent="0.25">
      <c r="B2961">
        <v>83</v>
      </c>
      <c r="C2961">
        <v>322.5</v>
      </c>
      <c r="D2961">
        <v>6</v>
      </c>
      <c r="E2961" s="18">
        <v>8773.07022351979</v>
      </c>
      <c r="F2961" s="18">
        <v>-2278.433139024345</v>
      </c>
      <c r="G2961" s="18">
        <v>3851.6695754617936</v>
      </c>
      <c r="H2961" s="12">
        <f>E2962</f>
      </c>
      <c r="I2961" s="12">
        <f>F2962</f>
      </c>
      <c r="J2961" s="12">
        <f>G2962</f>
      </c>
      <c r="K2961">
        <f>IF(AND(Pu&gt;=MIN(E2961,H2961),Pu&lt;=MAX(E2961,H2961),E2961&lt;&gt;H2961),1,0)</f>
      </c>
      <c r="L2961">
        <f>IF(K2961=1,(Pu-E2961)/(H2961-E2961),"")</f>
      </c>
      <c r="M2961" s="12">
        <f>IF(K2961=1,F2961+L2961*(I2961-F2961),"")</f>
      </c>
      <c r="N2961" s="12">
        <f>IF(K2961=1,G2961+L2961*(J2961-G2961),"")</f>
      </c>
    </row>
    <row r="2962" spans="2:14" x14ac:dyDescent="0.25">
      <c r="B2962">
        <v>83</v>
      </c>
      <c r="C2962">
        <v>322.5</v>
      </c>
      <c r="D2962">
        <v>7</v>
      </c>
      <c r="E2962" s="18">
        <v>8518.961820789424</v>
      </c>
      <c r="F2962" s="18">
        <v>-2290.4944385136278</v>
      </c>
      <c r="G2962" s="18">
        <v>3905.7834679178864</v>
      </c>
      <c r="H2962" s="12">
        <f>E2963</f>
      </c>
      <c r="I2962" s="12">
        <f>F2963</f>
      </c>
      <c r="J2962" s="12">
        <f>G2963</f>
      </c>
      <c r="K2962">
        <f>IF(AND(Pu&gt;=MIN(E2962,H2962),Pu&lt;=MAX(E2962,H2962),E2962&lt;&gt;H2962),1,0)</f>
      </c>
      <c r="L2962">
        <f>IF(K2962=1,(Pu-E2962)/(H2962-E2962),"")</f>
      </c>
      <c r="M2962" s="12">
        <f>IF(K2962=1,F2962+L2962*(I2962-F2962),"")</f>
      </c>
      <c r="N2962" s="12">
        <f>IF(K2962=1,G2962+L2962*(J2962-G2962),"")</f>
      </c>
    </row>
    <row r="2963" spans="2:14" x14ac:dyDescent="0.25">
      <c r="B2963">
        <v>83</v>
      </c>
      <c r="C2963">
        <v>322.5</v>
      </c>
      <c r="D2963">
        <v>8</v>
      </c>
      <c r="E2963" s="18">
        <v>7861.196735605932</v>
      </c>
      <c r="F2963" s="18">
        <v>-2313.8278406447753</v>
      </c>
      <c r="G2963" s="18">
        <v>4048.9292875322967</v>
      </c>
      <c r="H2963" s="12">
        <f>E2964</f>
      </c>
      <c r="I2963" s="12">
        <f>F2964</f>
      </c>
      <c r="J2963" s="12">
        <f>G2964</f>
      </c>
      <c r="K2963">
        <f>IF(AND(Pu&gt;=MIN(E2963,H2963),Pu&lt;=MAX(E2963,H2963),E2963&lt;&gt;H2963),1,0)</f>
      </c>
      <c r="L2963">
        <f>IF(K2963=1,(Pu-E2963)/(H2963-E2963),"")</f>
      </c>
      <c r="M2963" s="12">
        <f>IF(K2963=1,F2963+L2963*(I2963-F2963),"")</f>
      </c>
      <c r="N2963" s="12">
        <f>IF(K2963=1,G2963+L2963*(J2963-G2963),"")</f>
      </c>
    </row>
    <row r="2964" spans="2:14" x14ac:dyDescent="0.25">
      <c r="B2964">
        <v>83</v>
      </c>
      <c r="C2964">
        <v>322.5</v>
      </c>
      <c r="D2964">
        <v>9</v>
      </c>
      <c r="E2964" s="18">
        <v>7474.701719620837</v>
      </c>
      <c r="F2964" s="18">
        <v>-2316.3461041312034</v>
      </c>
      <c r="G2964" s="18">
        <v>4123.676905863725</v>
      </c>
      <c r="H2964" s="12">
        <f>E2965</f>
      </c>
      <c r="I2964" s="12">
        <f>F2965</f>
      </c>
      <c r="J2964" s="12">
        <f>G2965</f>
      </c>
      <c r="K2964">
        <f>IF(AND(Pu&gt;=MIN(E2964,H2964),Pu&lt;=MAX(E2964,H2964),E2964&lt;&gt;H2964),1,0)</f>
      </c>
      <c r="L2964">
        <f>IF(K2964=1,(Pu-E2964)/(H2964-E2964),"")</f>
      </c>
      <c r="M2964" s="12">
        <f>IF(K2964=1,F2964+L2964*(I2964-F2964),"")</f>
      </c>
      <c r="N2964" s="12">
        <f>IF(K2964=1,G2964+L2964*(J2964-G2964),"")</f>
      </c>
    </row>
    <row r="2965" spans="2:14" x14ac:dyDescent="0.25">
      <c r="B2965">
        <v>83</v>
      </c>
      <c r="C2965">
        <v>322.5</v>
      </c>
      <c r="D2965">
        <v>10</v>
      </c>
      <c r="E2965" s="18">
        <v>7119.887847977936</v>
      </c>
      <c r="F2965" s="18">
        <v>-2318.9145660699746</v>
      </c>
      <c r="G2965" s="18">
        <v>4187.88415662904</v>
      </c>
      <c r="H2965" s="12">
        <f>E2966</f>
      </c>
      <c r="I2965" s="12">
        <f>F2966</f>
      </c>
      <c r="J2965" s="12">
        <f>G2966</f>
      </c>
      <c r="K2965">
        <f>IF(AND(Pu&gt;=MIN(E2965,H2965),Pu&lt;=MAX(E2965,H2965),E2965&lt;&gt;H2965),1,0)</f>
      </c>
      <c r="L2965">
        <f>IF(K2965=1,(Pu-E2965)/(H2965-E2965),"")</f>
      </c>
      <c r="M2965" s="12">
        <f>IF(K2965=1,F2965+L2965*(I2965-F2965),"")</f>
      </c>
      <c r="N2965" s="12">
        <f>IF(K2965=1,G2965+L2965*(J2965-G2965),"")</f>
      </c>
    </row>
    <row r="2966" spans="2:14" x14ac:dyDescent="0.25">
      <c r="B2966">
        <v>83</v>
      </c>
      <c r="C2966">
        <v>322.5</v>
      </c>
      <c r="D2966">
        <v>11</v>
      </c>
      <c r="E2966" s="18">
        <v>6681.172053710408</v>
      </c>
      <c r="F2966" s="18">
        <v>-2330.7801603271305</v>
      </c>
      <c r="G2966" s="18">
        <v>4264.763508380162</v>
      </c>
      <c r="H2966" s="12">
        <f>E2967</f>
      </c>
      <c r="I2966" s="12">
        <f>F2967</f>
      </c>
      <c r="J2966" s="12">
        <f>G2967</f>
      </c>
      <c r="K2966">
        <f>IF(AND(Pu&gt;=MIN(E2966,H2966),Pu&lt;=MAX(E2966,H2966),E2966&lt;&gt;H2966),1,0)</f>
      </c>
      <c r="L2966">
        <f>IF(K2966=1,(Pu-E2966)/(H2966-E2966),"")</f>
      </c>
      <c r="M2966" s="12">
        <f>IF(K2966=1,F2966+L2966*(I2966-F2966),"")</f>
      </c>
      <c r="N2966" s="12">
        <f>IF(K2966=1,G2966+L2966*(J2966-G2966),"")</f>
      </c>
    </row>
    <row r="2967" spans="2:14" x14ac:dyDescent="0.25">
      <c r="B2967">
        <v>83</v>
      </c>
      <c r="C2967">
        <v>322.5</v>
      </c>
      <c r="D2967">
        <v>12</v>
      </c>
      <c r="E2967" s="18">
        <v>6512.83074045585</v>
      </c>
      <c r="F2967" s="18">
        <v>-2329.780605955607</v>
      </c>
      <c r="G2967" s="18">
        <v>4289.15663118102</v>
      </c>
      <c r="H2967" s="12">
        <f>E2968</f>
      </c>
      <c r="I2967" s="12">
        <f>F2968</f>
      </c>
      <c r="J2967" s="12">
        <f>G2968</f>
      </c>
      <c r="K2967">
        <f>IF(AND(Pu&gt;=MIN(E2967,H2967),Pu&lt;=MAX(E2967,H2967),E2967&lt;&gt;H2967),1,0)</f>
      </c>
      <c r="L2967">
        <f>IF(K2967=1,(Pu-E2967)/(H2967-E2967),"")</f>
      </c>
      <c r="M2967" s="12">
        <f>IF(K2967=1,F2967+L2967*(I2967-F2967),"")</f>
      </c>
      <c r="N2967" s="12">
        <f>IF(K2967=1,G2967+L2967*(J2967-G2967),"")</f>
      </c>
    </row>
    <row r="2968" spans="2:14" x14ac:dyDescent="0.25">
      <c r="B2968">
        <v>83</v>
      </c>
      <c r="C2968">
        <v>322.5</v>
      </c>
      <c r="D2968">
        <v>13</v>
      </c>
      <c r="E2968" s="18">
        <v>6009.0318903288835</v>
      </c>
      <c r="F2968" s="18">
        <v>-2331.432684213403</v>
      </c>
      <c r="G2968" s="18">
        <v>4361.217433010268</v>
      </c>
      <c r="H2968" s="12">
        <f>E2969</f>
      </c>
      <c r="I2968" s="12">
        <f>F2969</f>
      </c>
      <c r="J2968" s="12">
        <f>G2969</f>
      </c>
      <c r="K2968">
        <f>IF(AND(Pu&gt;=MIN(E2968,H2968),Pu&lt;=MAX(E2968,H2968),E2968&lt;&gt;H2968),1,0)</f>
      </c>
      <c r="L2968">
        <f>IF(K2968=1,(Pu-E2968)/(H2968-E2968),"")</f>
      </c>
      <c r="M2968" s="12">
        <f>IF(K2968=1,F2968+L2968*(I2968-F2968),"")</f>
      </c>
      <c r="N2968" s="12">
        <f>IF(K2968=1,G2968+L2968*(J2968-G2968),"")</f>
      </c>
    </row>
    <row r="2969" spans="2:14" x14ac:dyDescent="0.25">
      <c r="B2969">
        <v>83</v>
      </c>
      <c r="C2969">
        <v>322.5</v>
      </c>
      <c r="D2969">
        <v>14</v>
      </c>
      <c r="E2969" s="18">
        <v>6000.326561328583</v>
      </c>
      <c r="F2969" s="18">
        <v>-2331.537236772744</v>
      </c>
      <c r="G2969" s="18">
        <v>4362.458028376062</v>
      </c>
      <c r="H2969" s="12">
        <f>E2970</f>
      </c>
      <c r="I2969" s="12">
        <f>F2970</f>
      </c>
      <c r="J2969" s="12">
        <f>G2970</f>
      </c>
      <c r="K2969">
        <f>IF(AND(Pu&gt;=MIN(E2969,H2969),Pu&lt;=MAX(E2969,H2969),E2969&lt;&gt;H2969),1,0)</f>
      </c>
      <c r="L2969">
        <f>IF(K2969=1,(Pu-E2969)/(H2969-E2969),"")</f>
      </c>
      <c r="M2969" s="12">
        <f>IF(K2969=1,F2969+L2969*(I2969-F2969),"")</f>
      </c>
      <c r="N2969" s="12">
        <f>IF(K2969=1,G2969+L2969*(J2969-G2969),"")</f>
      </c>
    </row>
    <row r="2970" spans="2:14" x14ac:dyDescent="0.25">
      <c r="B2970">
        <v>83</v>
      </c>
      <c r="C2970">
        <v>322.5</v>
      </c>
      <c r="D2970">
        <v>15</v>
      </c>
      <c r="E2970" s="18">
        <v>5566.375342938825</v>
      </c>
      <c r="F2970" s="18">
        <v>-2346.99943297438</v>
      </c>
      <c r="G2970" s="18">
        <v>4411.319308969827</v>
      </c>
      <c r="H2970" s="12">
        <f>E2971</f>
      </c>
      <c r="I2970" s="12">
        <f>F2971</f>
      </c>
      <c r="J2970" s="12">
        <f>G2971</f>
      </c>
      <c r="K2970">
        <f>IF(AND(Pu&gt;=MIN(E2970,H2970),Pu&lt;=MAX(E2970,H2970),E2970&lt;&gt;H2970),1,0)</f>
      </c>
      <c r="L2970">
        <f>IF(K2970=1,(Pu-E2970)/(H2970-E2970),"")</f>
      </c>
      <c r="M2970" s="12">
        <f>IF(K2970=1,F2970+L2970*(I2970-F2970),"")</f>
      </c>
      <c r="N2970" s="12">
        <f>IF(K2970=1,G2970+L2970*(J2970-G2970),"")</f>
      </c>
    </row>
    <row r="2971" spans="2:14" x14ac:dyDescent="0.25">
      <c r="B2971">
        <v>83</v>
      </c>
      <c r="C2971">
        <v>322.5</v>
      </c>
      <c r="D2971">
        <v>16</v>
      </c>
      <c r="E2971" s="18">
        <v>5199.974010851179</v>
      </c>
      <c r="F2971" s="18">
        <v>-2363.0152297430536</v>
      </c>
      <c r="G2971" s="18">
        <v>4438.301777193385</v>
      </c>
      <c r="H2971" s="12">
        <f>E2972</f>
      </c>
      <c r="I2971" s="12">
        <f>F2972</f>
      </c>
      <c r="J2971" s="12">
        <f>G2972</f>
      </c>
      <c r="K2971">
        <f>IF(AND(Pu&gt;=MIN(E2971,H2971),Pu&lt;=MAX(E2971,H2971),E2971&lt;&gt;H2971),1,0)</f>
      </c>
      <c r="L2971">
        <f>IF(K2971=1,(Pu-E2971)/(H2971-E2971),"")</f>
      </c>
      <c r="M2971" s="12">
        <f>IF(K2971=1,F2971+L2971*(I2971-F2971),"")</f>
      </c>
      <c r="N2971" s="12">
        <f>IF(K2971=1,G2971+L2971*(J2971-G2971),"")</f>
      </c>
    </row>
    <row r="2972" spans="2:14" x14ac:dyDescent="0.25">
      <c r="B2972">
        <v>83</v>
      </c>
      <c r="C2972">
        <v>322.5</v>
      </c>
      <c r="D2972">
        <v>17</v>
      </c>
      <c r="E2972" s="18">
        <v>5036.049788124886</v>
      </c>
      <c r="F2972" s="18">
        <v>-2374.539355868867</v>
      </c>
      <c r="G2972" s="18">
        <v>4446.127697708687</v>
      </c>
      <c r="H2972" s="12">
        <f>E2973</f>
      </c>
      <c r="I2972" s="12">
        <f>F2973</f>
      </c>
      <c r="J2972" s="12">
        <f>G2973</f>
      </c>
      <c r="K2972">
        <f>IF(AND(Pu&gt;=MIN(E2972,H2972),Pu&lt;=MAX(E2972,H2972),E2972&lt;&gt;H2972),1,0)</f>
      </c>
      <c r="L2972">
        <f>IF(K2972=1,(Pu-E2972)/(H2972-E2972),"")</f>
      </c>
      <c r="M2972" s="12">
        <f>IF(K2972=1,F2972+L2972*(I2972-F2972),"")</f>
      </c>
      <c r="N2972" s="12">
        <f>IF(K2972=1,G2972+L2972*(J2972-G2972),"")</f>
      </c>
    </row>
    <row r="2973" spans="2:14" x14ac:dyDescent="0.25">
      <c r="B2973">
        <v>83</v>
      </c>
      <c r="C2973">
        <v>322.5</v>
      </c>
      <c r="D2973">
        <v>18</v>
      </c>
      <c r="E2973" s="18">
        <v>4847.142208209966</v>
      </c>
      <c r="F2973" s="18">
        <v>-2389.75881317925</v>
      </c>
      <c r="G2973" s="18">
        <v>4451.5691278609465</v>
      </c>
      <c r="H2973" s="12">
        <f>E2974</f>
      </c>
      <c r="I2973" s="12">
        <f>F2974</f>
      </c>
      <c r="J2973" s="12">
        <f>G2974</f>
      </c>
      <c r="K2973">
        <f>IF(AND(Pu&gt;=MIN(E2973,H2973),Pu&lt;=MAX(E2973,H2973),E2973&lt;&gt;H2973),1,0)</f>
      </c>
      <c r="L2973">
        <f>IF(K2973=1,(Pu-E2973)/(H2973-E2973),"")</f>
      </c>
      <c r="M2973" s="12">
        <f>IF(K2973=1,F2973+L2973*(I2973-F2973),"")</f>
      </c>
      <c r="N2973" s="12">
        <f>IF(K2973=1,G2973+L2973*(J2973-G2973),"")</f>
      </c>
    </row>
    <row r="2974" spans="2:14" x14ac:dyDescent="0.25">
      <c r="B2974">
        <v>83</v>
      </c>
      <c r="C2974">
        <v>322.5</v>
      </c>
      <c r="D2974">
        <v>19</v>
      </c>
      <c r="E2974" s="18">
        <v>4528.0170294670215</v>
      </c>
      <c r="F2974" s="18">
        <v>-2428.0624886544065</v>
      </c>
      <c r="G2974" s="18">
        <v>4453.103974183849</v>
      </c>
      <c r="H2974" s="12">
        <f>E2975</f>
      </c>
      <c r="I2974" s="12">
        <f>F2975</f>
      </c>
      <c r="J2974" s="12">
        <f>G2975</f>
      </c>
      <c r="K2974">
        <f>IF(AND(Pu&gt;=MIN(E2974,H2974),Pu&lt;=MAX(E2974,H2974),E2974&lt;&gt;H2974),1,0)</f>
      </c>
      <c r="L2974">
        <f>IF(K2974=1,(Pu-E2974)/(H2974-E2974),"")</f>
      </c>
      <c r="M2974" s="12">
        <f>IF(K2974=1,F2974+L2974*(I2974-F2974),"")</f>
      </c>
      <c r="N2974" s="12">
        <f>IF(K2974=1,G2974+L2974*(J2974-G2974),"")</f>
      </c>
    </row>
    <row r="2975" spans="2:14" x14ac:dyDescent="0.25">
      <c r="B2975">
        <v>83</v>
      </c>
      <c r="C2975">
        <v>322.5</v>
      </c>
      <c r="D2975">
        <v>20</v>
      </c>
      <c r="E2975" s="18">
        <v>4515.240129831891</v>
      </c>
      <c r="F2975" s="18">
        <v>-2428.727812315333</v>
      </c>
      <c r="G2975" s="18">
        <v>4453.186024962649</v>
      </c>
      <c r="H2975" s="12">
        <f>E2976</f>
      </c>
      <c r="I2975" s="12">
        <f>F2976</f>
      </c>
      <c r="J2975" s="12">
        <f>G2976</f>
      </c>
      <c r="K2975">
        <f>IF(AND(Pu&gt;=MIN(E2975,H2975),Pu&lt;=MAX(E2975,H2975),E2975&lt;&gt;H2975),1,0)</f>
      </c>
      <c r="L2975">
        <f>IF(K2975=1,(Pu-E2975)/(H2975-E2975),"")</f>
      </c>
      <c r="M2975" s="12">
        <f>IF(K2975=1,F2975+L2975*(I2975-F2975),"")</f>
      </c>
      <c r="N2975" s="12">
        <f>IF(K2975=1,G2975+L2975*(J2975-G2975),"")</f>
      </c>
    </row>
    <row r="2976" spans="2:14" x14ac:dyDescent="0.25">
      <c r="B2976">
        <v>83</v>
      </c>
      <c r="C2976">
        <v>322.5</v>
      </c>
      <c r="D2976">
        <v>21</v>
      </c>
      <c r="E2976" s="18">
        <v>3851.0259870640984</v>
      </c>
      <c r="F2976" s="18">
        <v>-2340.657845749773</v>
      </c>
      <c r="G2976" s="18">
        <v>4261.371542055721</v>
      </c>
      <c r="H2976" s="12">
        <f>E2977</f>
      </c>
      <c r="I2976" s="12">
        <f>F2977</f>
      </c>
      <c r="J2976" s="12">
        <f>G2977</f>
      </c>
      <c r="K2976">
        <f>IF(AND(Pu&gt;=MIN(E2976,H2976),Pu&lt;=MAX(E2976,H2976),E2976&lt;&gt;H2976),1,0)</f>
      </c>
      <c r="L2976">
        <f>IF(K2976=1,(Pu-E2976)/(H2976-E2976),"")</f>
      </c>
      <c r="M2976" s="12">
        <f>IF(K2976=1,F2976+L2976*(I2976-F2976),"")</f>
      </c>
      <c r="N2976" s="12">
        <f>IF(K2976=1,G2976+L2976*(J2976-G2976),"")</f>
      </c>
    </row>
    <row r="2977" spans="2:14" x14ac:dyDescent="0.25">
      <c r="B2977">
        <v>83</v>
      </c>
      <c r="C2977">
        <v>322.5</v>
      </c>
      <c r="D2977">
        <v>22</v>
      </c>
      <c r="E2977" s="18">
        <v>2722.5104627394085</v>
      </c>
      <c r="F2977" s="18">
        <v>-2177.4944851845034</v>
      </c>
      <c r="G2977" s="18">
        <v>3903.3996098000907</v>
      </c>
      <c r="H2977" s="12">
        <f>E2978</f>
      </c>
      <c r="I2977" s="12">
        <f>F2978</f>
      </c>
      <c r="J2977" s="12">
        <f>G2978</f>
      </c>
      <c r="K2977">
        <f>IF(AND(Pu&gt;=MIN(E2977,H2977),Pu&lt;=MAX(E2977,H2977),E2977&lt;&gt;H2977),1,0)</f>
      </c>
      <c r="L2977">
        <f>IF(K2977=1,(Pu-E2977)/(H2977-E2977),"")</f>
      </c>
      <c r="M2977" s="12">
        <f>IF(K2977=1,F2977+L2977*(I2977-F2977),"")</f>
      </c>
      <c r="N2977" s="12">
        <f>IF(K2977=1,G2977+L2977*(J2977-G2977),"")</f>
      </c>
    </row>
    <row r="2978" spans="2:14" x14ac:dyDescent="0.25">
      <c r="B2978">
        <v>83</v>
      </c>
      <c r="C2978">
        <v>322.5</v>
      </c>
      <c r="D2978">
        <v>23</v>
      </c>
      <c r="E2978" s="18">
        <v>1900.5612818092177</v>
      </c>
      <c r="F2978" s="18">
        <v>-2016.5927912915413</v>
      </c>
      <c r="G2978" s="18">
        <v>3588.2731249653166</v>
      </c>
      <c r="H2978" s="12">
        <f>E2979</f>
      </c>
      <c r="I2978" s="12">
        <f>F2979</f>
      </c>
      <c r="J2978" s="12">
        <f>G2979</f>
      </c>
      <c r="K2978">
        <f>IF(AND(Pu&gt;=MIN(E2978,H2978),Pu&lt;=MAX(E2978,H2978),E2978&lt;&gt;H2978),1,0)</f>
      </c>
      <c r="L2978">
        <f>IF(K2978=1,(Pu-E2978)/(H2978-E2978),"")</f>
      </c>
      <c r="M2978" s="12">
        <f>IF(K2978=1,F2978+L2978*(I2978-F2978),"")</f>
      </c>
      <c r="N2978" s="12">
        <f>IF(K2978=1,G2978+L2978*(J2978-G2978),"")</f>
      </c>
    </row>
    <row r="2979" spans="2:14" x14ac:dyDescent="0.25">
      <c r="B2979">
        <v>83</v>
      </c>
      <c r="C2979">
        <v>322.5</v>
      </c>
      <c r="D2979">
        <v>24</v>
      </c>
      <c r="E2979" s="18">
        <v>1219.6368387583623</v>
      </c>
      <c r="F2979" s="18">
        <v>-1866.0255574306502</v>
      </c>
      <c r="G2979" s="18">
        <v>3322.2150856324233</v>
      </c>
      <c r="H2979" s="12">
        <f>E2980</f>
      </c>
      <c r="I2979" s="12">
        <f>F2980</f>
      </c>
      <c r="J2979" s="12">
        <f>G2980</f>
      </c>
      <c r="K2979">
        <f>IF(AND(Pu&gt;=MIN(E2979,H2979),Pu&lt;=MAX(E2979,H2979),E2979&lt;&gt;H2979),1,0)</f>
      </c>
      <c r="L2979">
        <f>IF(K2979=1,(Pu-E2979)/(H2979-E2979),"")</f>
      </c>
      <c r="M2979" s="12">
        <f>IF(K2979=1,F2979+L2979*(I2979-F2979),"")</f>
      </c>
      <c r="N2979" s="12">
        <f>IF(K2979=1,G2979+L2979*(J2979-G2979),"")</f>
      </c>
    </row>
    <row r="2980" spans="2:14" x14ac:dyDescent="0.25">
      <c r="B2980">
        <v>83</v>
      </c>
      <c r="C2980">
        <v>322.5</v>
      </c>
      <c r="D2980">
        <v>25</v>
      </c>
      <c r="E2980" s="18">
        <v>118.27386586423133</v>
      </c>
      <c r="F2980" s="18">
        <v>-1628.2604160421884</v>
      </c>
      <c r="G2980" s="18">
        <v>2815.4592902228287</v>
      </c>
      <c r="H2980" s="12">
        <f>E2981</f>
      </c>
      <c r="I2980" s="12">
        <f>F2981</f>
      </c>
      <c r="J2980" s="12">
        <f>G2981</f>
      </c>
      <c r="K2980">
        <f>IF(AND(Pu&gt;=MIN(E2980,H2980),Pu&lt;=MAX(E2980,H2980),E2980&lt;&gt;H2980),1,0)</f>
      </c>
      <c r="L2980">
        <f>IF(K2980=1,(Pu-E2980)/(H2980-E2980),"")</f>
      </c>
      <c r="M2980" s="12">
        <f>IF(K2980=1,F2980+L2980*(I2980-F2980),"")</f>
      </c>
      <c r="N2980" s="12">
        <f>IF(K2980=1,G2980+L2980*(J2980-G2980),"")</f>
      </c>
    </row>
    <row r="2981" spans="2:14" x14ac:dyDescent="0.25">
      <c r="B2981">
        <v>83</v>
      </c>
      <c r="C2981">
        <v>322.5</v>
      </c>
      <c r="D2981">
        <v>26</v>
      </c>
      <c r="E2981" s="18">
        <v>-756.9528368067149</v>
      </c>
      <c r="F2981" s="18">
        <v>-1436.0524971655782</v>
      </c>
      <c r="G2981" s="18">
        <v>2385.8837014465034</v>
      </c>
      <c r="H2981" s="12">
        <f>E2982</f>
      </c>
      <c r="I2981" s="12">
        <f>F2982</f>
      </c>
      <c r="J2981" s="12">
        <f>G2982</f>
      </c>
      <c r="K2981">
        <f>IF(AND(Pu&gt;=MIN(E2981,H2981),Pu&lt;=MAX(E2981,H2981),E2981&lt;&gt;H2981),1,0)</f>
      </c>
      <c r="L2981">
        <f>IF(K2981=1,(Pu-E2981)/(H2981-E2981),"")</f>
      </c>
      <c r="M2981" s="12">
        <f>IF(K2981=1,F2981+L2981*(I2981-F2981),"")</f>
      </c>
      <c r="N2981" s="12">
        <f>IF(K2981=1,G2981+L2981*(J2981-G2981),"")</f>
      </c>
    </row>
    <row r="2982" spans="2:14" x14ac:dyDescent="0.25">
      <c r="B2982">
        <v>83</v>
      </c>
      <c r="C2982">
        <v>322.5</v>
      </c>
      <c r="D2982">
        <v>27</v>
      </c>
      <c r="E2982" s="18">
        <v>-1408.8172744961448</v>
      </c>
      <c r="F2982" s="18">
        <v>-1248.9007602401612</v>
      </c>
      <c r="G2982" s="18">
        <v>2049.351882460541</v>
      </c>
      <c r="H2982" s="12">
        <f>E2983</f>
      </c>
      <c r="I2982" s="12">
        <f>F2983</f>
      </c>
      <c r="J2982" s="12">
        <f>G2983</f>
      </c>
      <c r="K2982">
        <f>IF(AND(Pu&gt;=MIN(E2982,H2982),Pu&lt;=MAX(E2982,H2982),E2982&lt;&gt;H2982),1,0)</f>
      </c>
      <c r="L2982">
        <f>IF(K2982=1,(Pu-E2982)/(H2982-E2982),"")</f>
      </c>
      <c r="M2982" s="12">
        <f>IF(K2982=1,F2982+L2982*(I2982-F2982),"")</f>
      </c>
      <c r="N2982" s="12">
        <f>IF(K2982=1,G2982+L2982*(J2982-G2982),"")</f>
      </c>
    </row>
    <row r="2983" spans="2:14" x14ac:dyDescent="0.25">
      <c r="B2983">
        <v>83</v>
      </c>
      <c r="C2983">
        <v>322.5</v>
      </c>
      <c r="D2983">
        <v>28</v>
      </c>
      <c r="E2983" s="18">
        <v>-1981.5362572786935</v>
      </c>
      <c r="F2983" s="18">
        <v>-1082.6840971674835</v>
      </c>
      <c r="G2983" s="18">
        <v>1745.6102181649383</v>
      </c>
      <c r="H2983" s="12">
        <f>E2984</f>
      </c>
      <c r="I2983" s="12">
        <f>F2984</f>
      </c>
      <c r="J2983" s="12">
        <f>G2984</f>
      </c>
      <c r="K2983">
        <f>IF(AND(Pu&gt;=MIN(E2983,H2983),Pu&lt;=MAX(E2983,H2983),E2983&lt;&gt;H2983),1,0)</f>
      </c>
      <c r="L2983">
        <f>IF(K2983=1,(Pu-E2983)/(H2983-E2983),"")</f>
      </c>
      <c r="M2983" s="12">
        <f>IF(K2983=1,F2983+L2983*(I2983-F2983),"")</f>
      </c>
      <c r="N2983" s="12">
        <f>IF(K2983=1,G2983+L2983*(J2983-G2983),"")</f>
      </c>
    </row>
    <row r="2984" spans="2:14" x14ac:dyDescent="0.25">
      <c r="B2984">
        <v>83</v>
      </c>
      <c r="C2984">
        <v>322.5</v>
      </c>
      <c r="D2984">
        <v>29</v>
      </c>
      <c r="E2984" s="18">
        <v>-2738.488683948808</v>
      </c>
      <c r="F2984" s="18">
        <v>-836.6419332264657</v>
      </c>
      <c r="G2984" s="18">
        <v>1327.2730990723542</v>
      </c>
      <c r="H2984" s="12">
        <f>E2985</f>
      </c>
      <c r="I2984" s="12">
        <f>F2985</f>
      </c>
      <c r="J2984" s="12">
        <f>G2985</f>
      </c>
      <c r="K2984">
        <f>IF(AND(Pu&gt;=MIN(E2984,H2984),Pu&lt;=MAX(E2984,H2984),E2984&lt;&gt;H2984),1,0)</f>
      </c>
      <c r="L2984">
        <f>IF(K2984=1,(Pu-E2984)/(H2984-E2984),"")</f>
      </c>
      <c r="M2984" s="12">
        <f>IF(K2984=1,F2984+L2984*(I2984-F2984),"")</f>
      </c>
      <c r="N2984" s="12">
        <f>IF(K2984=1,G2984+L2984*(J2984-G2984),"")</f>
      </c>
    </row>
    <row r="2985" spans="2:14" x14ac:dyDescent="0.25">
      <c r="B2985">
        <v>83</v>
      </c>
      <c r="C2985">
        <v>322.5</v>
      </c>
      <c r="D2985">
        <v>30</v>
      </c>
      <c r="E2985" s="18">
        <v>-3244.851293003732</v>
      </c>
      <c r="F2985" s="18">
        <v>-662.78018285252</v>
      </c>
      <c r="G2985" s="18">
        <v>1033.1448626111346</v>
      </c>
      <c r="H2985" s="12">
        <f>E2986</f>
      </c>
      <c r="I2985" s="12">
        <f>F2986</f>
      </c>
      <c r="J2985" s="12">
        <f>G2986</f>
      </c>
      <c r="K2985">
        <f>IF(AND(Pu&gt;=MIN(E2985,H2985),Pu&lt;=MAX(E2985,H2985),E2985&lt;&gt;H2985),1,0)</f>
      </c>
      <c r="L2985">
        <f>IF(K2985=1,(Pu-E2985)/(H2985-E2985),"")</f>
      </c>
      <c r="M2985" s="12">
        <f>IF(K2985=1,F2985+L2985*(I2985-F2985),"")</f>
      </c>
      <c r="N2985" s="12">
        <f>IF(K2985=1,G2985+L2985*(J2985-G2985),"")</f>
      </c>
    </row>
    <row r="2986" spans="2:14" x14ac:dyDescent="0.25">
      <c r="B2986">
        <v>83</v>
      </c>
      <c r="C2986">
        <v>322.5</v>
      </c>
      <c r="D2986">
        <v>31</v>
      </c>
      <c r="E2986" s="18">
        <v>-3892.0786289639905</v>
      </c>
      <c r="F2986" s="18">
        <v>-412.97729825960334</v>
      </c>
      <c r="G2986" s="18">
        <v>665.085804362127</v>
      </c>
      <c r="H2986" s="12">
        <f>E2987</f>
      </c>
      <c r="I2986" s="12">
        <f>F2987</f>
      </c>
      <c r="J2986" s="12">
        <f>G2987</f>
      </c>
      <c r="K2986">
        <f>IF(AND(Pu&gt;=MIN(E2986,H2986),Pu&lt;=MAX(E2986,H2986),E2986&lt;&gt;H2986),1,0)</f>
      </c>
      <c r="L2986">
        <f>IF(K2986=1,(Pu-E2986)/(H2986-E2986),"")</f>
      </c>
      <c r="M2986" s="12">
        <f>IF(K2986=1,F2986+L2986*(I2986-F2986),"")</f>
      </c>
      <c r="N2986" s="12">
        <f>IF(K2986=1,G2986+L2986*(J2986-G2986),"")</f>
      </c>
    </row>
    <row r="2987" spans="2:14" x14ac:dyDescent="0.25">
      <c r="B2987">
        <v>83</v>
      </c>
      <c r="C2987">
        <v>322.5</v>
      </c>
      <c r="D2987">
        <v>32</v>
      </c>
      <c r="E2987" s="18">
        <v>-4195.364875586087</v>
      </c>
      <c r="F2987" s="18">
        <v>-293.6715796248098</v>
      </c>
      <c r="G2987" s="18">
        <v>477.55023401203925</v>
      </c>
      <c r="H2987" s="12">
        <f>E2988</f>
      </c>
      <c r="I2987" s="12">
        <f>F2988</f>
      </c>
      <c r="J2987" s="12">
        <f>G2988</f>
      </c>
      <c r="K2987">
        <f>IF(AND(Pu&gt;=MIN(E2987,H2987),Pu&lt;=MAX(E2987,H2987),E2987&lt;&gt;H2987),1,0)</f>
      </c>
      <c r="L2987">
        <f>IF(K2987=1,(Pu-E2987)/(H2987-E2987),"")</f>
      </c>
      <c r="M2987" s="12">
        <f>IF(K2987=1,F2987+L2987*(I2987-F2987),"")</f>
      </c>
      <c r="N2987" s="12">
        <f>IF(K2987=1,G2987+L2987*(J2987-G2987),"")</f>
      </c>
    </row>
    <row r="2988" spans="2:14" x14ac:dyDescent="0.25">
      <c r="B2988">
        <v>83</v>
      </c>
      <c r="C2988">
        <v>322.5</v>
      </c>
      <c r="D2988">
        <v>33</v>
      </c>
      <c r="E2988" s="18">
        <v>-4642.1517605796125</v>
      </c>
      <c r="F2988" s="18">
        <v>-127.1643292788399</v>
      </c>
      <c r="G2988" s="18">
        <v>185.3448412045767</v>
      </c>
      <c r="H2988" s="12">
        <f>E2989</f>
      </c>
      <c r="I2988" s="12">
        <f>F2989</f>
      </c>
      <c r="J2988" s="12">
        <f>G2989</f>
      </c>
      <c r="K2988">
        <f>IF(AND(Pu&gt;=MIN(E2988,H2988),Pu&lt;=MAX(E2988,H2988),E2988&lt;&gt;H2988),1,0)</f>
      </c>
      <c r="L2988">
        <f>IF(K2988=1,(Pu-E2988)/(H2988-E2988),"")</f>
      </c>
      <c r="M2988" s="12">
        <f>IF(K2988=1,F2988+L2988*(I2988-F2988),"")</f>
      </c>
      <c r="N2988" s="12">
        <f>IF(K2988=1,G2988+L2988*(J2988-G2988),"")</f>
      </c>
    </row>
    <row r="2989" spans="2:7" x14ac:dyDescent="0.25">
      <c r="B2989">
        <v>83</v>
      </c>
      <c r="C2989">
        <v>322.5</v>
      </c>
      <c r="D2989">
        <v>34</v>
      </c>
      <c r="E2989" s="18">
        <v>-4747.449212554725</v>
      </c>
      <c r="F2989" s="18">
        <v>-78.821922432467</v>
      </c>
      <c r="G2989" s="18">
        <v>117.75586478571464</v>
      </c>
    </row>
    <row r="2991" spans="2:14" x14ac:dyDescent="0.25">
      <c r="B2991">
        <v>84</v>
      </c>
      <c r="C2991">
        <v>330.00000000000006</v>
      </c>
      <c r="D2991">
        <v>1</v>
      </c>
      <c r="E2991" s="18">
        <v>16949.26077094792</v>
      </c>
      <c r="F2991" s="18">
        <v>-1136.5160226693122</v>
      </c>
      <c r="G2991" s="18">
        <v>2731.623341508406</v>
      </c>
      <c r="H2991" s="12">
        <f>E2992</f>
      </c>
      <c r="I2991" s="12">
        <f>F2992</f>
      </c>
      <c r="J2991" s="12">
        <f>G2992</f>
      </c>
      <c r="K2991">
        <f>IF(AND(Pu&gt;=MIN(E2991,H2991),Pu&lt;=MAX(E2991,H2991),E2991&lt;&gt;H2991),1,0)</f>
      </c>
      <c r="L2991">
        <f>IF(K2991=1,(Pu-E2991)/(H2991-E2991),"")</f>
      </c>
      <c r="M2991" s="12">
        <f>IF(K2991=1,F2991+L2991*(I2991-F2991),"")</f>
      </c>
      <c r="N2991" s="12">
        <f>IF(K2991=1,G2991+L2991*(J2991-G2991),"")</f>
      </c>
    </row>
    <row r="2992" spans="2:14" x14ac:dyDescent="0.25">
      <c r="B2992">
        <v>84</v>
      </c>
      <c r="C2992">
        <v>330.00000000000006</v>
      </c>
      <c r="D2992">
        <v>2</v>
      </c>
      <c r="E2992" s="18">
        <v>15945.736422416212</v>
      </c>
      <c r="F2992" s="18">
        <v>-1220.2958502372865</v>
      </c>
      <c r="G2992" s="18">
        <v>3123.20812101822</v>
      </c>
      <c r="H2992" s="12">
        <f>E2993</f>
      </c>
      <c r="I2992" s="12">
        <f>F2993</f>
      </c>
      <c r="J2992" s="12">
        <f>G2993</f>
      </c>
      <c r="K2992">
        <f>IF(AND(Pu&gt;=MIN(E2992,H2992),Pu&lt;=MAX(E2992,H2992),E2992&lt;&gt;H2992),1,0)</f>
      </c>
      <c r="L2992">
        <f>IF(K2992=1,(Pu-E2992)/(H2992-E2992),"")</f>
      </c>
      <c r="M2992" s="12">
        <f>IF(K2992=1,F2992+L2992*(I2992-F2992),"")</f>
      </c>
      <c r="N2992" s="12">
        <f>IF(K2992=1,G2992+L2992*(J2992-G2992),"")</f>
      </c>
    </row>
    <row r="2993" spans="2:14" x14ac:dyDescent="0.25">
      <c r="B2993">
        <v>84</v>
      </c>
      <c r="C2993">
        <v>330.00000000000006</v>
      </c>
      <c r="D2993">
        <v>3</v>
      </c>
      <c r="E2993" s="18">
        <v>14128.363912108489</v>
      </c>
      <c r="F2993" s="18">
        <v>-1432.7102899734396</v>
      </c>
      <c r="G2993" s="18">
        <v>3596.510578607637</v>
      </c>
      <c r="H2993" s="12">
        <f>E2994</f>
      </c>
      <c r="I2993" s="12">
        <f>F2994</f>
      </c>
      <c r="J2993" s="12">
        <f>G2994</f>
      </c>
      <c r="K2993">
        <f>IF(AND(Pu&gt;=MIN(E2993,H2993),Pu&lt;=MAX(E2993,H2993),E2993&lt;&gt;H2993),1,0)</f>
      </c>
      <c r="L2993">
        <f>IF(K2993=1,(Pu-E2993)/(H2993-E2993),"")</f>
      </c>
      <c r="M2993" s="12">
        <f>IF(K2993=1,F2993+L2993*(I2993-F2993),"")</f>
      </c>
      <c r="N2993" s="12">
        <f>IF(K2993=1,G2993+L2993*(J2993-G2993),"")</f>
      </c>
    </row>
    <row r="2994" spans="2:14" x14ac:dyDescent="0.25">
      <c r="B2994">
        <v>84</v>
      </c>
      <c r="C2994">
        <v>330.00000000000006</v>
      </c>
      <c r="D2994">
        <v>4</v>
      </c>
      <c r="E2994" s="18">
        <v>12100.540691478107</v>
      </c>
      <c r="F2994" s="18">
        <v>-1645.6460063746313</v>
      </c>
      <c r="G2994" s="18">
        <v>3908.3014047065376</v>
      </c>
      <c r="H2994" s="12">
        <f>E2995</f>
      </c>
      <c r="I2994" s="12">
        <f>F2995</f>
      </c>
      <c r="J2994" s="12">
        <f>G2995</f>
      </c>
      <c r="K2994">
        <f>IF(AND(Pu&gt;=MIN(E2994,H2994),Pu&lt;=MAX(E2994,H2994),E2994&lt;&gt;H2994),1,0)</f>
      </c>
      <c r="L2994">
        <f>IF(K2994=1,(Pu-E2994)/(H2994-E2994),"")</f>
      </c>
      <c r="M2994" s="12">
        <f>IF(K2994=1,F2994+L2994*(I2994-F2994),"")</f>
      </c>
      <c r="N2994" s="12">
        <f>IF(K2994=1,G2994+L2994*(J2994-G2994),"")</f>
      </c>
    </row>
    <row r="2995" spans="2:14" x14ac:dyDescent="0.25">
      <c r="B2995">
        <v>84</v>
      </c>
      <c r="C2995">
        <v>330.00000000000006</v>
      </c>
      <c r="D2995">
        <v>5</v>
      </c>
      <c r="E2995" s="18">
        <v>10059.625066330867</v>
      </c>
      <c r="F2995" s="18">
        <v>-1804.2418757287126</v>
      </c>
      <c r="G2995" s="18">
        <v>4070.752786587002</v>
      </c>
      <c r="H2995" s="12">
        <f>E2996</f>
      </c>
      <c r="I2995" s="12">
        <f>F2996</f>
      </c>
      <c r="J2995" s="12">
        <f>G2996</f>
      </c>
      <c r="K2995">
        <f>IF(AND(Pu&gt;=MIN(E2995,H2995),Pu&lt;=MAX(E2995,H2995),E2995&lt;&gt;H2995),1,0)</f>
      </c>
      <c r="L2995">
        <f>IF(K2995=1,(Pu-E2995)/(H2995-E2995),"")</f>
      </c>
      <c r="M2995" s="12">
        <f>IF(K2995=1,F2995+L2995*(I2995-F2995),"")</f>
      </c>
      <c r="N2995" s="12">
        <f>IF(K2995=1,G2995+L2995*(J2995-G2995),"")</f>
      </c>
    </row>
    <row r="2996" spans="2:14" x14ac:dyDescent="0.25">
      <c r="B2996">
        <v>84</v>
      </c>
      <c r="C2996">
        <v>330.00000000000006</v>
      </c>
      <c r="D2996">
        <v>6</v>
      </c>
      <c r="E2996" s="18">
        <v>8691.318748508633</v>
      </c>
      <c r="F2996" s="18">
        <v>-1787.0400065559866</v>
      </c>
      <c r="G2996" s="18">
        <v>4169.332745253191</v>
      </c>
      <c r="H2996" s="12">
        <f>E2997</f>
      </c>
      <c r="I2996" s="12">
        <f>F2997</f>
      </c>
      <c r="J2996" s="12">
        <f>G2997</f>
      </c>
      <c r="K2996">
        <f>IF(AND(Pu&gt;=MIN(E2996,H2996),Pu&lt;=MAX(E2996,H2996),E2996&lt;&gt;H2996),1,0)</f>
      </c>
      <c r="L2996">
        <f>IF(K2996=1,(Pu-E2996)/(H2996-E2996),"")</f>
      </c>
      <c r="M2996" s="12">
        <f>IF(K2996=1,F2996+L2996*(I2996-F2996),"")</f>
      </c>
      <c r="N2996" s="12">
        <f>IF(K2996=1,G2996+L2996*(J2996-G2996),"")</f>
      </c>
    </row>
    <row r="2997" spans="2:14" x14ac:dyDescent="0.25">
      <c r="B2997">
        <v>84</v>
      </c>
      <c r="C2997">
        <v>330.00000000000006</v>
      </c>
      <c r="D2997">
        <v>7</v>
      </c>
      <c r="E2997" s="18">
        <v>8375.540671102348</v>
      </c>
      <c r="F2997" s="18">
        <v>-1794.940193147018</v>
      </c>
      <c r="G2997" s="18">
        <v>4238.47621911512</v>
      </c>
      <c r="H2997" s="12">
        <f>E2998</f>
      </c>
      <c r="I2997" s="12">
        <f>F2998</f>
      </c>
      <c r="J2997" s="12">
        <f>G2998</f>
      </c>
      <c r="K2997">
        <f>IF(AND(Pu&gt;=MIN(E2997,H2997),Pu&lt;=MAX(E2997,H2997),E2997&lt;&gt;H2997),1,0)</f>
      </c>
      <c r="L2997">
        <f>IF(K2997=1,(Pu-E2997)/(H2997-E2997),"")</f>
      </c>
      <c r="M2997" s="12">
        <f>IF(K2997=1,F2997+L2997*(I2997-F2997),"")</f>
      </c>
      <c r="N2997" s="12">
        <f>IF(K2997=1,G2997+L2997*(J2997-G2997),"")</f>
      </c>
    </row>
    <row r="2998" spans="2:14" x14ac:dyDescent="0.25">
      <c r="B2998">
        <v>84</v>
      </c>
      <c r="C2998">
        <v>330.00000000000006</v>
      </c>
      <c r="D2998">
        <v>8</v>
      </c>
      <c r="E2998" s="18">
        <v>7800.497644257995</v>
      </c>
      <c r="F2998" s="18">
        <v>-1809.9584523253247</v>
      </c>
      <c r="G2998" s="18">
        <v>4372.309368485362</v>
      </c>
      <c r="H2998" s="12">
        <f>E2999</f>
      </c>
      <c r="I2998" s="12">
        <f>F2999</f>
      </c>
      <c r="J2998" s="12">
        <f>G2999</f>
      </c>
      <c r="K2998">
        <f>IF(AND(Pu&gt;=MIN(E2998,H2998),Pu&lt;=MAX(E2998,H2998),E2998&lt;&gt;H2998),1,0)</f>
      </c>
      <c r="L2998">
        <f>IF(K2998=1,(Pu-E2998)/(H2998-E2998),"")</f>
      </c>
      <c r="M2998" s="12">
        <f>IF(K2998=1,F2998+L2998*(I2998-F2998),"")</f>
      </c>
      <c r="N2998" s="12">
        <f>IF(K2998=1,G2998+L2998*(J2998-G2998),"")</f>
      </c>
    </row>
    <row r="2999" spans="2:14" x14ac:dyDescent="0.25">
      <c r="B2999">
        <v>84</v>
      </c>
      <c r="C2999">
        <v>330.00000000000006</v>
      </c>
      <c r="D2999">
        <v>9</v>
      </c>
      <c r="E2999" s="18">
        <v>7364.869920898581</v>
      </c>
      <c r="F2999" s="18">
        <v>-1814.7425094440987</v>
      </c>
      <c r="G2999" s="18">
        <v>4456.480881079364</v>
      </c>
      <c r="H2999" s="12">
        <f>E3000</f>
      </c>
      <c r="I2999" s="12">
        <f>F3000</f>
      </c>
      <c r="J2999" s="12">
        <f>G3000</f>
      </c>
      <c r="K2999">
        <f>IF(AND(Pu&gt;=MIN(E2999,H2999),Pu&lt;=MAX(E2999,H2999),E2999&lt;&gt;H2999),1,0)</f>
      </c>
      <c r="L2999">
        <f>IF(K2999=1,(Pu-E2999)/(H2999-E2999),"")</f>
      </c>
      <c r="M2999" s="12">
        <f>IF(K2999=1,F2999+L2999*(I2999-F2999),"")</f>
      </c>
      <c r="N2999" s="12">
        <f>IF(K2999=1,G2999+L2999*(J2999-G2999),"")</f>
      </c>
    </row>
    <row r="3000" spans="2:14" x14ac:dyDescent="0.25">
      <c r="B3000">
        <v>84</v>
      </c>
      <c r="C3000">
        <v>330.00000000000006</v>
      </c>
      <c r="D3000">
        <v>10</v>
      </c>
      <c r="E3000" s="18">
        <v>7069.168362173625</v>
      </c>
      <c r="F3000" s="18">
        <v>-1816.0444103052778</v>
      </c>
      <c r="G3000" s="18">
        <v>4512.660446218563</v>
      </c>
      <c r="H3000" s="12">
        <f>E3001</f>
      </c>
      <c r="I3000" s="12">
        <f>F3001</f>
      </c>
      <c r="J3000" s="12">
        <f>G3001</f>
      </c>
      <c r="K3000">
        <f>IF(AND(Pu&gt;=MIN(E3000,H3000),Pu&lt;=MAX(E3000,H3000),E3000&lt;&gt;H3000),1,0)</f>
      </c>
      <c r="L3000">
        <f>IF(K3000=1,(Pu-E3000)/(H3000-E3000),"")</f>
      </c>
      <c r="M3000" s="12">
        <f>IF(K3000=1,F3000+L3000*(I3000-F3000),"")</f>
      </c>
      <c r="N3000" s="12">
        <f>IF(K3000=1,G3000+L3000*(J3000-G3000),"")</f>
      </c>
    </row>
    <row r="3001" spans="2:14" x14ac:dyDescent="0.25">
      <c r="B3001">
        <v>84</v>
      </c>
      <c r="C3001">
        <v>330.00000000000006</v>
      </c>
      <c r="D3001">
        <v>11</v>
      </c>
      <c r="E3001" s="18">
        <v>6604.2374624508775</v>
      </c>
      <c r="F3001" s="18">
        <v>-1824.6387514899402</v>
      </c>
      <c r="G3001" s="18">
        <v>4589.900766621832</v>
      </c>
      <c r="H3001" s="12">
        <f>E3002</f>
      </c>
      <c r="I3001" s="12">
        <f>F3002</f>
      </c>
      <c r="J3001" s="12">
        <f>G3002</f>
      </c>
      <c r="K3001">
        <f>IF(AND(Pu&gt;=MIN(E3001,H3001),Pu&lt;=MAX(E3001,H3001),E3001&lt;&gt;H3001),1,0)</f>
      </c>
      <c r="L3001">
        <f>IF(K3001=1,(Pu-E3001)/(H3001-E3001),"")</f>
      </c>
      <c r="M3001" s="12">
        <f>IF(K3001=1,F3001+L3001*(I3001-F3001),"")</f>
      </c>
      <c r="N3001" s="12">
        <f>IF(K3001=1,G3001+L3001*(J3001-G3001),"")</f>
      </c>
    </row>
    <row r="3002" spans="2:14" x14ac:dyDescent="0.25">
      <c r="B3002">
        <v>84</v>
      </c>
      <c r="C3002">
        <v>330.00000000000006</v>
      </c>
      <c r="D3002">
        <v>12</v>
      </c>
      <c r="E3002" s="18">
        <v>6479.079269653517</v>
      </c>
      <c r="F3002" s="18">
        <v>-1827.4550551743098</v>
      </c>
      <c r="G3002" s="18">
        <v>4611.8769740750095</v>
      </c>
      <c r="H3002" s="12">
        <f>E3003</f>
      </c>
      <c r="I3002" s="12">
        <f>F3003</f>
      </c>
      <c r="J3002" s="12">
        <f>G3003</f>
      </c>
      <c r="K3002">
        <f>IF(AND(Pu&gt;=MIN(E3002,H3002),Pu&lt;=MAX(E3002,H3002),E3002&lt;&gt;H3002),1,0)</f>
      </c>
      <c r="L3002">
        <f>IF(K3002=1,(Pu-E3002)/(H3002-E3002),"")</f>
      </c>
      <c r="M3002" s="12">
        <f>IF(K3002=1,F3002+L3002*(I3002-F3002),"")</f>
      </c>
      <c r="N3002" s="12">
        <f>IF(K3002=1,G3002+L3002*(J3002-G3002),"")</f>
      </c>
    </row>
    <row r="3003" spans="2:14" x14ac:dyDescent="0.25">
      <c r="B3003">
        <v>84</v>
      </c>
      <c r="C3003">
        <v>330.00000000000006</v>
      </c>
      <c r="D3003">
        <v>13</v>
      </c>
      <c r="E3003" s="18">
        <v>6015.583142120546</v>
      </c>
      <c r="F3003" s="18">
        <v>-1839.7091926541066</v>
      </c>
      <c r="G3003" s="18">
        <v>4680.595031632148</v>
      </c>
      <c r="H3003" s="12">
        <f>E3004</f>
      </c>
      <c r="I3003" s="12">
        <f>F3004</f>
      </c>
      <c r="J3003" s="12">
        <f>G3004</f>
      </c>
      <c r="K3003">
        <f>IF(AND(Pu&gt;=MIN(E3003,H3003),Pu&lt;=MAX(E3003,H3003),E3003&lt;&gt;H3003),1,0)</f>
      </c>
      <c r="L3003">
        <f>IF(K3003=1,(Pu-E3003)/(H3003-E3003),"")</f>
      </c>
      <c r="M3003" s="12">
        <f>IF(K3003=1,F3003+L3003*(I3003-F3003),"")</f>
      </c>
      <c r="N3003" s="12">
        <f>IF(K3003=1,G3003+L3003*(J3003-G3003),"")</f>
      </c>
    </row>
    <row r="3004" spans="2:14" x14ac:dyDescent="0.25">
      <c r="B3004">
        <v>84</v>
      </c>
      <c r="C3004">
        <v>330.00000000000006</v>
      </c>
      <c r="D3004">
        <v>14</v>
      </c>
      <c r="E3004" s="18">
        <v>5988.316611793605</v>
      </c>
      <c r="F3004" s="18">
        <v>-1840.7030026888417</v>
      </c>
      <c r="G3004" s="18">
        <v>4684.0879040818945</v>
      </c>
      <c r="H3004" s="12">
        <f>E3005</f>
      </c>
      <c r="I3004" s="12">
        <f>F3005</f>
      </c>
      <c r="J3004" s="12">
        <f>G3005</f>
      </c>
      <c r="K3004">
        <f>IF(AND(Pu&gt;=MIN(E3004,H3004),Pu&lt;=MAX(E3004,H3004),E3004&lt;&gt;H3004),1,0)</f>
      </c>
      <c r="L3004">
        <f>IF(K3004=1,(Pu-E3004)/(H3004-E3004),"")</f>
      </c>
      <c r="M3004" s="12">
        <f>IF(K3004=1,F3004+L3004*(I3004-F3004),"")</f>
      </c>
      <c r="N3004" s="12">
        <f>IF(K3004=1,G3004+L3004*(J3004-G3004),"")</f>
      </c>
    </row>
    <row r="3005" spans="2:14" x14ac:dyDescent="0.25">
      <c r="B3005">
        <v>84</v>
      </c>
      <c r="C3005">
        <v>330.00000000000006</v>
      </c>
      <c r="D3005">
        <v>15</v>
      </c>
      <c r="E3005" s="18">
        <v>5642.598504339469</v>
      </c>
      <c r="F3005" s="18">
        <v>-1867.9482586957242</v>
      </c>
      <c r="G3005" s="18">
        <v>4731.855533695885</v>
      </c>
      <c r="H3005" s="12">
        <f>E3006</f>
      </c>
      <c r="I3005" s="12">
        <f>F3006</f>
      </c>
      <c r="J3005" s="12">
        <f>G3006</f>
      </c>
      <c r="K3005">
        <f>IF(AND(Pu&gt;=MIN(E3005,H3005),Pu&lt;=MAX(E3005,H3005),E3005&lt;&gt;H3005),1,0)</f>
      </c>
      <c r="L3005">
        <f>IF(K3005=1,(Pu-E3005)/(H3005-E3005),"")</f>
      </c>
      <c r="M3005" s="12">
        <f>IF(K3005=1,F3005+L3005*(I3005-F3005),"")</f>
      </c>
      <c r="N3005" s="12">
        <f>IF(K3005=1,G3005+L3005*(J3005-G3005),"")</f>
      </c>
    </row>
    <row r="3006" spans="2:14" x14ac:dyDescent="0.25">
      <c r="B3006">
        <v>84</v>
      </c>
      <c r="C3006">
        <v>330.00000000000006</v>
      </c>
      <c r="D3006">
        <v>16</v>
      </c>
      <c r="E3006" s="18">
        <v>5296.725212922343</v>
      </c>
      <c r="F3006" s="18">
        <v>-1897.67903994837</v>
      </c>
      <c r="G3006" s="18">
        <v>4780.337913905705</v>
      </c>
      <c r="H3006" s="12">
        <f>E3007</f>
      </c>
      <c r="I3006" s="12">
        <f>F3007</f>
      </c>
      <c r="J3006" s="12">
        <f>G3007</f>
      </c>
      <c r="K3006">
        <f>IF(AND(Pu&gt;=MIN(E3006,H3006),Pu&lt;=MAX(E3006,H3006),E3006&lt;&gt;H3006),1,0)</f>
      </c>
      <c r="L3006">
        <f>IF(K3006=1,(Pu-E3006)/(H3006-E3006),"")</f>
      </c>
      <c r="M3006" s="12">
        <f>IF(K3006=1,F3006+L3006*(I3006-F3006),"")</f>
      </c>
      <c r="N3006" s="12">
        <f>IF(K3006=1,G3006+L3006*(J3006-G3006),"")</f>
      </c>
    </row>
    <row r="3007" spans="2:14" x14ac:dyDescent="0.25">
      <c r="B3007">
        <v>84</v>
      </c>
      <c r="C3007">
        <v>330.00000000000006</v>
      </c>
      <c r="D3007">
        <v>17</v>
      </c>
      <c r="E3007" s="18">
        <v>5129.989658107725</v>
      </c>
      <c r="F3007" s="18">
        <v>-1906.2110064519302</v>
      </c>
      <c r="G3007" s="18">
        <v>4805.736097717997</v>
      </c>
      <c r="H3007" s="12">
        <f>E3008</f>
      </c>
      <c r="I3007" s="12">
        <f>F3008</f>
      </c>
      <c r="J3007" s="12">
        <f>G3008</f>
      </c>
      <c r="K3007">
        <f>IF(AND(Pu&gt;=MIN(E3007,H3007),Pu&lt;=MAX(E3007,H3007),E3007&lt;&gt;H3007),1,0)</f>
      </c>
      <c r="L3007">
        <f>IF(K3007=1,(Pu-E3007)/(H3007-E3007),"")</f>
      </c>
      <c r="M3007" s="12">
        <f>IF(K3007=1,F3007+L3007*(I3007-F3007),"")</f>
      </c>
      <c r="N3007" s="12">
        <f>IF(K3007=1,G3007+L3007*(J3007-G3007),"")</f>
      </c>
    </row>
    <row r="3008" spans="2:14" x14ac:dyDescent="0.25">
      <c r="B3008">
        <v>84</v>
      </c>
      <c r="C3008">
        <v>330.00000000000006</v>
      </c>
      <c r="D3008">
        <v>18</v>
      </c>
      <c r="E3008" s="18">
        <v>5001.484302338403</v>
      </c>
      <c r="F3008" s="18">
        <v>-1913.2523535069372</v>
      </c>
      <c r="G3008" s="18">
        <v>4824.999098836252</v>
      </c>
      <c r="H3008" s="12">
        <f>E3009</f>
      </c>
      <c r="I3008" s="12">
        <f>F3009</f>
      </c>
      <c r="J3008" s="12">
        <f>G3009</f>
      </c>
      <c r="K3008">
        <f>IF(AND(Pu&gt;=MIN(E3008,H3008),Pu&lt;=MAX(E3008,H3008),E3008&lt;&gt;H3008),1,0)</f>
      </c>
      <c r="L3008">
        <f>IF(K3008=1,(Pu-E3008)/(H3008-E3008),"")</f>
      </c>
      <c r="M3008" s="12">
        <f>IF(K3008=1,F3008+L3008*(I3008-F3008),"")</f>
      </c>
      <c r="N3008" s="12">
        <f>IF(K3008=1,G3008+L3008*(J3008-G3008),"")</f>
      </c>
    </row>
    <row r="3009" spans="2:14" x14ac:dyDescent="0.25">
      <c r="B3009">
        <v>84</v>
      </c>
      <c r="C3009">
        <v>330.00000000000006</v>
      </c>
      <c r="D3009">
        <v>19</v>
      </c>
      <c r="E3009" s="18">
        <v>4712.473903860889</v>
      </c>
      <c r="F3009" s="18">
        <v>-1932.0039260876292</v>
      </c>
      <c r="G3009" s="18">
        <v>4863.8136962066765</v>
      </c>
      <c r="H3009" s="12">
        <f>E3010</f>
      </c>
      <c r="I3009" s="12">
        <f>F3010</f>
      </c>
      <c r="J3009" s="12">
        <f>G3010</f>
      </c>
      <c r="K3009">
        <f>IF(AND(Pu&gt;=MIN(E3009,H3009),Pu&lt;=MAX(E3009,H3009),E3009&lt;&gt;H3009),1,0)</f>
      </c>
      <c r="L3009">
        <f>IF(K3009=1,(Pu-E3009)/(H3009-E3009),"")</f>
      </c>
      <c r="M3009" s="12">
        <f>IF(K3009=1,F3009+L3009*(I3009-F3009),"")</f>
      </c>
      <c r="N3009" s="12">
        <f>IF(K3009=1,G3009+L3009*(J3009-G3009),"")</f>
      </c>
    </row>
    <row r="3010" spans="2:14" x14ac:dyDescent="0.25">
      <c r="B3010">
        <v>84</v>
      </c>
      <c r="C3010">
        <v>330.00000000000006</v>
      </c>
      <c r="D3010">
        <v>20</v>
      </c>
      <c r="E3010" s="18">
        <v>4685.570839166038</v>
      </c>
      <c r="F3010" s="18">
        <v>-1929.8310268551954</v>
      </c>
      <c r="G3010" s="18">
        <v>4856.939750307194</v>
      </c>
      <c r="H3010" s="12">
        <f>E3011</f>
      </c>
      <c r="I3010" s="12">
        <f>F3011</f>
      </c>
      <c r="J3010" s="12">
        <f>G3011</f>
      </c>
      <c r="K3010">
        <f>IF(AND(Pu&gt;=MIN(E3010,H3010),Pu&lt;=MAX(E3010,H3010),E3010&lt;&gt;H3010),1,0)</f>
      </c>
      <c r="L3010">
        <f>IF(K3010=1,(Pu-E3010)/(H3010-E3010),"")</f>
      </c>
      <c r="M3010" s="12">
        <f>IF(K3010=1,F3010+L3010*(I3010-F3010),"")</f>
      </c>
      <c r="N3010" s="12">
        <f>IF(K3010=1,G3010+L3010*(J3010-G3010),"")</f>
      </c>
    </row>
    <row r="3011" spans="2:14" x14ac:dyDescent="0.25">
      <c r="B3011">
        <v>84</v>
      </c>
      <c r="C3011">
        <v>330.00000000000006</v>
      </c>
      <c r="D3011">
        <v>21</v>
      </c>
      <c r="E3011" s="18">
        <v>4007.676181677935</v>
      </c>
      <c r="F3011" s="18">
        <v>-1879.5911216046245</v>
      </c>
      <c r="G3011" s="18">
        <v>4672.734534068367</v>
      </c>
      <c r="H3011" s="12">
        <f>E3012</f>
      </c>
      <c r="I3011" s="12">
        <f>F3012</f>
      </c>
      <c r="J3011" s="12">
        <f>G3012</f>
      </c>
      <c r="K3011">
        <f>IF(AND(Pu&gt;=MIN(E3011,H3011),Pu&lt;=MAX(E3011,H3011),E3011&lt;&gt;H3011),1,0)</f>
      </c>
      <c r="L3011">
        <f>IF(K3011=1,(Pu-E3011)/(H3011-E3011),"")</f>
      </c>
      <c r="M3011" s="12">
        <f>IF(K3011=1,F3011+L3011*(I3011-F3011),"")</f>
      </c>
      <c r="N3011" s="12">
        <f>IF(K3011=1,G3011+L3011*(J3011-G3011),"")</f>
      </c>
    </row>
    <row r="3012" spans="2:14" x14ac:dyDescent="0.25">
      <c r="B3012">
        <v>84</v>
      </c>
      <c r="C3012">
        <v>330.00000000000006</v>
      </c>
      <c r="D3012">
        <v>22</v>
      </c>
      <c r="E3012" s="18">
        <v>2959.3446803062125</v>
      </c>
      <c r="F3012" s="18">
        <v>-1797.0321267261963</v>
      </c>
      <c r="G3012" s="18">
        <v>4284.92363891693</v>
      </c>
      <c r="H3012" s="12">
        <f>E3013</f>
      </c>
      <c r="I3012" s="12">
        <f>F3013</f>
      </c>
      <c r="J3012" s="12">
        <f>G3013</f>
      </c>
      <c r="K3012">
        <f>IF(AND(Pu&gt;=MIN(E3012,H3012),Pu&lt;=MAX(E3012,H3012),E3012&lt;&gt;H3012),1,0)</f>
      </c>
      <c r="L3012">
        <f>IF(K3012=1,(Pu-E3012)/(H3012-E3012),"")</f>
      </c>
      <c r="M3012" s="12">
        <f>IF(K3012=1,F3012+L3012*(I3012-F3012),"")</f>
      </c>
      <c r="N3012" s="12">
        <f>IF(K3012=1,G3012+L3012*(J3012-G3012),"")</f>
      </c>
    </row>
    <row r="3013" spans="2:14" x14ac:dyDescent="0.25">
      <c r="B3013">
        <v>84</v>
      </c>
      <c r="C3013">
        <v>330.00000000000006</v>
      </c>
      <c r="D3013">
        <v>23</v>
      </c>
      <c r="E3013" s="18">
        <v>2067.707148174419</v>
      </c>
      <c r="F3013" s="18">
        <v>-1714.568412928846</v>
      </c>
      <c r="G3013" s="18">
        <v>3917.8100749076857</v>
      </c>
      <c r="H3013" s="12">
        <f>E3014</f>
      </c>
      <c r="I3013" s="12">
        <f>F3014</f>
      </c>
      <c r="J3013" s="12">
        <f>G3014</f>
      </c>
      <c r="K3013">
        <f>IF(AND(Pu&gt;=MIN(E3013,H3013),Pu&lt;=MAX(E3013,H3013),E3013&lt;&gt;H3013),1,0)</f>
      </c>
      <c r="L3013">
        <f>IF(K3013=1,(Pu-E3013)/(H3013-E3013),"")</f>
      </c>
      <c r="M3013" s="12">
        <f>IF(K3013=1,F3013+L3013*(I3013-F3013),"")</f>
      </c>
      <c r="N3013" s="12">
        <f>IF(K3013=1,G3013+L3013*(J3013-G3013),"")</f>
      </c>
    </row>
    <row r="3014" spans="2:14" x14ac:dyDescent="0.25">
      <c r="B3014">
        <v>84</v>
      </c>
      <c r="C3014">
        <v>330.00000000000006</v>
      </c>
      <c r="D3014">
        <v>24</v>
      </c>
      <c r="E3014" s="18">
        <v>1371.4152479406996</v>
      </c>
      <c r="F3014" s="18">
        <v>-1615.9593776675076</v>
      </c>
      <c r="G3014" s="18">
        <v>3589.563186410066</v>
      </c>
      <c r="H3014" s="12">
        <f>E3015</f>
      </c>
      <c r="I3014" s="12">
        <f>F3015</f>
      </c>
      <c r="J3014" s="12">
        <f>G3015</f>
      </c>
      <c r="K3014">
        <f>IF(AND(Pu&gt;=MIN(E3014,H3014),Pu&lt;=MAX(E3014,H3014),E3014&lt;&gt;H3014),1,0)</f>
      </c>
      <c r="L3014">
        <f>IF(K3014=1,(Pu-E3014)/(H3014-E3014),"")</f>
      </c>
      <c r="M3014" s="12">
        <f>IF(K3014=1,F3014+L3014*(I3014-F3014),"")</f>
      </c>
      <c r="N3014" s="12">
        <f>IF(K3014=1,G3014+L3014*(J3014-G3014),"")</f>
      </c>
    </row>
    <row r="3015" spans="2:14" x14ac:dyDescent="0.25">
      <c r="B3015">
        <v>84</v>
      </c>
      <c r="C3015">
        <v>330.00000000000006</v>
      </c>
      <c r="D3015">
        <v>25</v>
      </c>
      <c r="E3015" s="18">
        <v>241.91846503250025</v>
      </c>
      <c r="F3015" s="18">
        <v>-1407.8954018361253</v>
      </c>
      <c r="G3015" s="18">
        <v>3048.3803105865827</v>
      </c>
      <c r="H3015" s="12">
        <f>E3016</f>
      </c>
      <c r="I3015" s="12">
        <f>F3016</f>
      </c>
      <c r="J3015" s="12">
        <f>G3016</f>
      </c>
      <c r="K3015">
        <f>IF(AND(Pu&gt;=MIN(E3015,H3015),Pu&lt;=MAX(E3015,H3015),E3015&lt;&gt;H3015),1,0)</f>
      </c>
      <c r="L3015">
        <f>IF(K3015=1,(Pu-E3015)/(H3015-E3015),"")</f>
      </c>
      <c r="M3015" s="12">
        <f>IF(K3015=1,F3015+L3015*(I3015-F3015),"")</f>
      </c>
      <c r="N3015" s="12">
        <f>IF(K3015=1,G3015+L3015*(J3015-G3015),"")</f>
      </c>
    </row>
    <row r="3016" spans="2:14" x14ac:dyDescent="0.25">
      <c r="B3016">
        <v>84</v>
      </c>
      <c r="C3016">
        <v>330.00000000000006</v>
      </c>
      <c r="D3016">
        <v>26</v>
      </c>
      <c r="E3016" s="18">
        <v>-613.9655466050355</v>
      </c>
      <c r="F3016" s="18">
        <v>-1250.6584897246237</v>
      </c>
      <c r="G3016" s="18">
        <v>2588.066094308721</v>
      </c>
      <c r="H3016" s="12">
        <f>E3017</f>
      </c>
      <c r="I3016" s="12">
        <f>F3017</f>
      </c>
      <c r="J3016" s="12">
        <f>G3017</f>
      </c>
      <c r="K3016">
        <f>IF(AND(Pu&gt;=MIN(E3016,H3016),Pu&lt;=MAX(E3016,H3016),E3016&lt;&gt;H3016),1,0)</f>
      </c>
      <c r="L3016">
        <f>IF(K3016=1,(Pu-E3016)/(H3016-E3016),"")</f>
      </c>
      <c r="M3016" s="12">
        <f>IF(K3016=1,F3016+L3016*(I3016-F3016),"")</f>
      </c>
      <c r="N3016" s="12">
        <f>IF(K3016=1,G3016+L3016*(J3016-G3016),"")</f>
      </c>
    </row>
    <row r="3017" spans="2:14" x14ac:dyDescent="0.25">
      <c r="B3017">
        <v>84</v>
      </c>
      <c r="C3017">
        <v>330.00000000000006</v>
      </c>
      <c r="D3017">
        <v>27</v>
      </c>
      <c r="E3017" s="18">
        <v>-1380.8549232990563</v>
      </c>
      <c r="F3017" s="18">
        <v>-1092.6445009346567</v>
      </c>
      <c r="G3017" s="18">
        <v>2169.458550497127</v>
      </c>
      <c r="H3017" s="12">
        <f>E3018</f>
      </c>
      <c r="I3017" s="12">
        <f>F3018</f>
      </c>
      <c r="J3017" s="12">
        <f>G3018</f>
      </c>
      <c r="K3017">
        <f>IF(AND(Pu&gt;=MIN(E3017,H3017),Pu&lt;=MAX(E3017,H3017),E3017&lt;&gt;H3017),1,0)</f>
      </c>
      <c r="L3017">
        <f>IF(K3017=1,(Pu-E3017)/(H3017-E3017),"")</f>
      </c>
      <c r="M3017" s="12">
        <f>IF(K3017=1,F3017+L3017*(I3017-F3017),"")</f>
      </c>
      <c r="N3017" s="12">
        <f>IF(K3017=1,G3017+L3017*(J3017-G3017),"")</f>
      </c>
    </row>
    <row r="3018" spans="2:14" x14ac:dyDescent="0.25">
      <c r="B3018">
        <v>84</v>
      </c>
      <c r="C3018">
        <v>330.00000000000006</v>
      </c>
      <c r="D3018">
        <v>28</v>
      </c>
      <c r="E3018" s="18">
        <v>-1964.1388874435067</v>
      </c>
      <c r="F3018" s="18">
        <v>-952.1943351372424</v>
      </c>
      <c r="G3018" s="18">
        <v>1840.8093458009741</v>
      </c>
      <c r="H3018" s="12">
        <f>E3019</f>
      </c>
      <c r="I3018" s="12">
        <f>F3019</f>
      </c>
      <c r="J3018" s="12">
        <f>G3019</f>
      </c>
      <c r="K3018">
        <f>IF(AND(Pu&gt;=MIN(E3018,H3018),Pu&lt;=MAX(E3018,H3018),E3018&lt;&gt;H3018),1,0)</f>
      </c>
      <c r="L3018">
        <f>IF(K3018=1,(Pu-E3018)/(H3018-E3018),"")</f>
      </c>
      <c r="M3018" s="12">
        <f>IF(K3018=1,F3018+L3018*(I3018-F3018),"")</f>
      </c>
      <c r="N3018" s="12">
        <f>IF(K3018=1,G3018+L3018*(J3018-G3018),"")</f>
      </c>
    </row>
    <row r="3019" spans="2:14" x14ac:dyDescent="0.25">
      <c r="B3019">
        <v>84</v>
      </c>
      <c r="C3019">
        <v>330.00000000000006</v>
      </c>
      <c r="D3019">
        <v>29</v>
      </c>
      <c r="E3019" s="18">
        <v>-2783.224620167886</v>
      </c>
      <c r="F3019" s="18">
        <v>-740.0480468767005</v>
      </c>
      <c r="G3019" s="18">
        <v>1352.525193125337</v>
      </c>
      <c r="H3019" s="12">
        <f>E3020</f>
      </c>
      <c r="I3019" s="12">
        <f>F3020</f>
      </c>
      <c r="J3019" s="12">
        <f>G3020</f>
      </c>
      <c r="K3019">
        <f>IF(AND(Pu&gt;=MIN(E3019,H3019),Pu&lt;=MAX(E3019,H3019),E3019&lt;&gt;H3019),1,0)</f>
      </c>
      <c r="L3019">
        <f>IF(K3019=1,(Pu-E3019)/(H3019-E3019),"")</f>
      </c>
      <c r="M3019" s="12">
        <f>IF(K3019=1,F3019+L3019*(I3019-F3019),"")</f>
      </c>
      <c r="N3019" s="12">
        <f>IF(K3019=1,G3019+L3019*(J3019-G3019),"")</f>
      </c>
    </row>
    <row r="3020" spans="2:14" x14ac:dyDescent="0.25">
      <c r="B3020">
        <v>84</v>
      </c>
      <c r="C3020">
        <v>330.00000000000006</v>
      </c>
      <c r="D3020">
        <v>30</v>
      </c>
      <c r="E3020" s="18">
        <v>-3319.286961929062</v>
      </c>
      <c r="F3020" s="18">
        <v>-565.4101545306836</v>
      </c>
      <c r="G3020" s="18">
        <v>1036.1206534125176</v>
      </c>
      <c r="H3020" s="12">
        <f>E3021</f>
      </c>
      <c r="I3020" s="12">
        <f>F3021</f>
      </c>
      <c r="J3020" s="12">
        <f>G3021</f>
      </c>
      <c r="K3020">
        <f>IF(AND(Pu&gt;=MIN(E3020,H3020),Pu&lt;=MAX(E3020,H3020),E3020&lt;&gt;H3020),1,0)</f>
      </c>
      <c r="L3020">
        <f>IF(K3020=1,(Pu-E3020)/(H3020-E3020),"")</f>
      </c>
      <c r="M3020" s="12">
        <f>IF(K3020=1,F3020+L3020*(I3020-F3020),"")</f>
      </c>
      <c r="N3020" s="12">
        <f>IF(K3020=1,G3020+L3020*(J3020-G3020),"")</f>
      </c>
    </row>
    <row r="3021" spans="2:14" x14ac:dyDescent="0.25">
      <c r="B3021">
        <v>84</v>
      </c>
      <c r="C3021">
        <v>330.00000000000006</v>
      </c>
      <c r="D3021">
        <v>31</v>
      </c>
      <c r="E3021" s="18">
        <v>-3978.9238721698357</v>
      </c>
      <c r="F3021" s="18">
        <v>-352.1871989369497</v>
      </c>
      <c r="G3021" s="18">
        <v>631.1694611511882</v>
      </c>
      <c r="H3021" s="12">
        <f>E3022</f>
      </c>
      <c r="I3021" s="12">
        <f>F3022</f>
      </c>
      <c r="J3021" s="12">
        <f>G3022</f>
      </c>
      <c r="K3021">
        <f>IF(AND(Pu&gt;=MIN(E3021,H3021),Pu&lt;=MAX(E3021,H3021),E3021&lt;&gt;H3021),1,0)</f>
      </c>
      <c r="L3021">
        <f>IF(K3021=1,(Pu-E3021)/(H3021-E3021),"")</f>
      </c>
      <c r="M3021" s="12">
        <f>IF(K3021=1,F3021+L3021*(I3021-F3021),"")</f>
      </c>
      <c r="N3021" s="12">
        <f>IF(K3021=1,G3021+L3021*(J3021-G3021),"")</f>
      </c>
    </row>
    <row r="3022" spans="2:14" x14ac:dyDescent="0.25">
      <c r="B3022">
        <v>84</v>
      </c>
      <c r="C3022">
        <v>330.00000000000006</v>
      </c>
      <c r="D3022">
        <v>32</v>
      </c>
      <c r="E3022" s="18">
        <v>-4256.552525519962</v>
      </c>
      <c r="F3022" s="18">
        <v>-248.9124433491979</v>
      </c>
      <c r="G3022" s="18">
        <v>450.3085729036091</v>
      </c>
      <c r="H3022" s="12">
        <f>E3023</f>
      </c>
      <c r="I3022" s="12">
        <f>F3023</f>
      </c>
      <c r="J3022" s="12">
        <f>G3023</f>
      </c>
      <c r="K3022">
        <f>IF(AND(Pu&gt;=MIN(E3022,H3022),Pu&lt;=MAX(E3022,H3022),E3022&lt;&gt;H3022),1,0)</f>
      </c>
      <c r="L3022">
        <f>IF(K3022=1,(Pu-E3022)/(H3022-E3022),"")</f>
      </c>
      <c r="M3022" s="12">
        <f>IF(K3022=1,F3022+L3022*(I3022-F3022),"")</f>
      </c>
      <c r="N3022" s="12">
        <f>IF(K3022=1,G3022+L3022*(J3022-G3022),"")</f>
      </c>
    </row>
    <row r="3023" spans="2:14" x14ac:dyDescent="0.25">
      <c r="B3023">
        <v>84</v>
      </c>
      <c r="C3023">
        <v>330.00000000000006</v>
      </c>
      <c r="D3023">
        <v>33</v>
      </c>
      <c r="E3023" s="18">
        <v>-4700.047916994775</v>
      </c>
      <c r="F3023" s="18">
        <v>-88.73383711877993</v>
      </c>
      <c r="G3023" s="18">
        <v>154.38980543909415</v>
      </c>
      <c r="H3023" s="12">
        <f>E3024</f>
      </c>
      <c r="I3023" s="12">
        <f>F3024</f>
      </c>
      <c r="J3023" s="12">
        <f>G3024</f>
      </c>
      <c r="K3023">
        <f>IF(AND(Pu&gt;=MIN(E3023,H3023),Pu&lt;=MAX(E3023,H3023),E3023&lt;&gt;H3023),1,0)</f>
      </c>
      <c r="L3023">
        <f>IF(K3023=1,(Pu-E3023)/(H3023-E3023),"")</f>
      </c>
      <c r="M3023" s="12">
        <f>IF(K3023=1,F3023+L3023*(I3023-F3023),"")</f>
      </c>
      <c r="N3023" s="12">
        <f>IF(K3023=1,G3023+L3023*(J3023-G3023),"")</f>
      </c>
    </row>
    <row r="3024" spans="2:7" x14ac:dyDescent="0.25">
      <c r="B3024">
        <v>84</v>
      </c>
      <c r="C3024">
        <v>330.00000000000006</v>
      </c>
      <c r="D3024">
        <v>34</v>
      </c>
      <c r="E3024" s="18">
        <v>-4810.3453739334</v>
      </c>
      <c r="F3024" s="18">
        <v>-45.84327624392663</v>
      </c>
      <c r="G3024" s="18">
        <v>79.3229518124104</v>
      </c>
    </row>
    <row r="3026" spans="2:14" x14ac:dyDescent="0.25">
      <c r="B3026">
        <v>85</v>
      </c>
      <c r="C3026">
        <v>337.49999999999994</v>
      </c>
      <c r="D3026">
        <v>1</v>
      </c>
      <c r="E3026" s="18">
        <v>16697.570121403427</v>
      </c>
      <c r="F3026" s="18">
        <v>-868.7950921899726</v>
      </c>
      <c r="G3026" s="18">
        <v>2987.1439942131283</v>
      </c>
      <c r="H3026" s="12">
        <f>E3027</f>
      </c>
      <c r="I3026" s="12">
        <f>F3027</f>
      </c>
      <c r="J3026" s="12">
        <f>G3027</f>
      </c>
      <c r="K3026">
        <f>IF(AND(Pu&gt;=MIN(E3026,H3026),Pu&lt;=MAX(E3026,H3026),E3026&lt;&gt;H3026),1,0)</f>
      </c>
      <c r="L3026">
        <f>IF(K3026=1,(Pu-E3026)/(H3026-E3026),"")</f>
      </c>
      <c r="M3026" s="12">
        <f>IF(K3026=1,F3026+L3026*(I3026-F3026),"")</f>
      </c>
      <c r="N3026" s="12">
        <f>IF(K3026=1,G3026+L3026*(J3026-G3026),"")</f>
      </c>
    </row>
    <row r="3027" spans="2:14" x14ac:dyDescent="0.25">
      <c r="B3027">
        <v>85</v>
      </c>
      <c r="C3027">
        <v>337.49999999999994</v>
      </c>
      <c r="D3027">
        <v>2</v>
      </c>
      <c r="E3027" s="18">
        <v>15829.271685990754</v>
      </c>
      <c r="F3027" s="18">
        <v>-908.1547224195583</v>
      </c>
      <c r="G3027" s="18">
        <v>3321.945674811396</v>
      </c>
      <c r="H3027" s="12">
        <f>E3028</f>
      </c>
      <c r="I3027" s="12">
        <f>F3028</f>
      </c>
      <c r="J3027" s="12">
        <f>G3028</f>
      </c>
      <c r="K3027">
        <f>IF(AND(Pu&gt;=MIN(E3027,H3027),Pu&lt;=MAX(E3027,H3027),E3027&lt;&gt;H3027),1,0)</f>
      </c>
      <c r="L3027">
        <f>IF(K3027=1,(Pu-E3027)/(H3027-E3027),"")</f>
      </c>
      <c r="M3027" s="12">
        <f>IF(K3027=1,F3027+L3027*(I3027-F3027),"")</f>
      </c>
      <c r="N3027" s="12">
        <f>IF(K3027=1,G3027+L3027*(J3027-G3027),"")</f>
      </c>
    </row>
    <row r="3028" spans="2:14" x14ac:dyDescent="0.25">
      <c r="B3028">
        <v>85</v>
      </c>
      <c r="C3028">
        <v>337.49999999999994</v>
      </c>
      <c r="D3028">
        <v>3</v>
      </c>
      <c r="E3028" s="18">
        <v>14136.469163529016</v>
      </c>
      <c r="F3028" s="18">
        <v>-1041.778545255674</v>
      </c>
      <c r="G3028" s="18">
        <v>3793.7896351517625</v>
      </c>
      <c r="H3028" s="12">
        <f>E3029</f>
      </c>
      <c r="I3028" s="12">
        <f>F3029</f>
      </c>
      <c r="J3028" s="12">
        <f>G3029</f>
      </c>
      <c r="K3028">
        <f>IF(AND(Pu&gt;=MIN(E3028,H3028),Pu&lt;=MAX(E3028,H3028),E3028&lt;&gt;H3028),1,0)</f>
      </c>
      <c r="L3028">
        <f>IF(K3028=1,(Pu-E3028)/(H3028-E3028),"")</f>
      </c>
      <c r="M3028" s="12">
        <f>IF(K3028=1,F3028+L3028*(I3028-F3028),"")</f>
      </c>
      <c r="N3028" s="12">
        <f>IF(K3028=1,G3028+L3028*(J3028-G3028),"")</f>
      </c>
    </row>
    <row r="3029" spans="2:14" x14ac:dyDescent="0.25">
      <c r="B3029">
        <v>85</v>
      </c>
      <c r="C3029">
        <v>337.49999999999994</v>
      </c>
      <c r="D3029">
        <v>4</v>
      </c>
      <c r="E3029" s="18">
        <v>12176.361807154215</v>
      </c>
      <c r="F3029" s="18">
        <v>-1245.2221381027355</v>
      </c>
      <c r="G3029" s="18">
        <v>4107.449704779669</v>
      </c>
      <c r="H3029" s="12">
        <f>E3030</f>
      </c>
      <c r="I3029" s="12">
        <f>F3030</f>
      </c>
      <c r="J3029" s="12">
        <f>G3030</f>
      </c>
      <c r="K3029">
        <f>IF(AND(Pu&gt;=MIN(E3029,H3029),Pu&lt;=MAX(E3029,H3029),E3029&lt;&gt;H3029),1,0)</f>
      </c>
      <c r="L3029">
        <f>IF(K3029=1,(Pu-E3029)/(H3029-E3029),"")</f>
      </c>
      <c r="M3029" s="12">
        <f>IF(K3029=1,F3029+L3029*(I3029-F3029),"")</f>
      </c>
      <c r="N3029" s="12">
        <f>IF(K3029=1,G3029+L3029*(J3029-G3029),"")</f>
      </c>
    </row>
    <row r="3030" spans="2:14" x14ac:dyDescent="0.25">
      <c r="B3030">
        <v>85</v>
      </c>
      <c r="C3030">
        <v>337.49999999999994</v>
      </c>
      <c r="D3030">
        <v>5</v>
      </c>
      <c r="E3030" s="18">
        <v>10011.827658472519</v>
      </c>
      <c r="F3030" s="18">
        <v>-1320.0252053289023</v>
      </c>
      <c r="G3030" s="18">
        <v>4315.934691552099</v>
      </c>
      <c r="H3030" s="12">
        <f>E3031</f>
      </c>
      <c r="I3030" s="12">
        <f>F3031</f>
      </c>
      <c r="J3030" s="12">
        <f>G3031</f>
      </c>
      <c r="K3030">
        <f>IF(AND(Pu&gt;=MIN(E3030,H3030),Pu&lt;=MAX(E3030,H3030),E3030&lt;&gt;H3030),1,0)</f>
      </c>
      <c r="L3030">
        <f>IF(K3030=1,(Pu-E3030)/(H3030-E3030),"")</f>
      </c>
      <c r="M3030" s="12">
        <f>IF(K3030=1,F3030+L3030*(I3030-F3030),"")</f>
      </c>
      <c r="N3030" s="12">
        <f>IF(K3030=1,G3030+L3030*(J3030-G3030),"")</f>
      </c>
    </row>
    <row r="3031" spans="2:14" x14ac:dyDescent="0.25">
      <c r="B3031">
        <v>85</v>
      </c>
      <c r="C3031">
        <v>337.49999999999994</v>
      </c>
      <c r="D3031">
        <v>6</v>
      </c>
      <c r="E3031" s="18">
        <v>8660.155100207086</v>
      </c>
      <c r="F3031" s="18">
        <v>-1343.5847581048533</v>
      </c>
      <c r="G3031" s="18">
        <v>4388.265007291905</v>
      </c>
      <c r="H3031" s="12">
        <f>E3032</f>
      </c>
      <c r="I3031" s="12">
        <f>F3032</f>
      </c>
      <c r="J3031" s="12">
        <f>G3032</f>
      </c>
      <c r="K3031">
        <f>IF(AND(Pu&gt;=MIN(E3031,H3031),Pu&lt;=MAX(E3031,H3031),E3031&lt;&gt;H3031),1,0)</f>
      </c>
      <c r="L3031">
        <f>IF(K3031=1,(Pu-E3031)/(H3031-E3031),"")</f>
      </c>
      <c r="M3031" s="12">
        <f>IF(K3031=1,F3031+L3031*(I3031-F3031),"")</f>
      </c>
      <c r="N3031" s="12">
        <f>IF(K3031=1,G3031+L3031*(J3031-G3031),"")</f>
      </c>
    </row>
    <row r="3032" spans="2:14" x14ac:dyDescent="0.25">
      <c r="B3032">
        <v>85</v>
      </c>
      <c r="C3032">
        <v>337.49999999999994</v>
      </c>
      <c r="D3032">
        <v>7</v>
      </c>
      <c r="E3032" s="18">
        <v>8272.73076767409</v>
      </c>
      <c r="F3032" s="18">
        <v>-1351.51766877181</v>
      </c>
      <c r="G3032" s="18">
        <v>4472.2454061621875</v>
      </c>
      <c r="H3032" s="12">
        <f>E3033</f>
      </c>
      <c r="I3032" s="12">
        <f>F3033</f>
      </c>
      <c r="J3032" s="12">
        <f>G3033</f>
      </c>
      <c r="K3032">
        <f>IF(AND(Pu&gt;=MIN(E3032,H3032),Pu&lt;=MAX(E3032,H3032),E3032&lt;&gt;H3032),1,0)</f>
      </c>
      <c r="L3032">
        <f>IF(K3032=1,(Pu-E3032)/(H3032-E3032),"")</f>
      </c>
      <c r="M3032" s="12">
        <f>IF(K3032=1,F3032+L3032*(I3032-F3032),"")</f>
      </c>
      <c r="N3032" s="12">
        <f>IF(K3032=1,G3032+L3032*(J3032-G3032),"")</f>
      </c>
    </row>
    <row r="3033" spans="2:14" x14ac:dyDescent="0.25">
      <c r="B3033">
        <v>85</v>
      </c>
      <c r="C3033">
        <v>337.49999999999994</v>
      </c>
      <c r="D3033">
        <v>8</v>
      </c>
      <c r="E3033" s="18">
        <v>7747.556952446064</v>
      </c>
      <c r="F3033" s="18">
        <v>-1352.7864279326927</v>
      </c>
      <c r="G3033" s="18">
        <v>4591.2630682631525</v>
      </c>
      <c r="H3033" s="12">
        <f>E3034</f>
      </c>
      <c r="I3033" s="12">
        <f>F3034</f>
      </c>
      <c r="J3033" s="12">
        <f>G3034</f>
      </c>
      <c r="K3033">
        <f>IF(AND(Pu&gt;=MIN(E3033,H3033),Pu&lt;=MAX(E3033,H3033),E3033&lt;&gt;H3033),1,0)</f>
      </c>
      <c r="L3033">
        <f>IF(K3033=1,(Pu-E3033)/(H3033-E3033),"")</f>
      </c>
      <c r="M3033" s="12">
        <f>IF(K3033=1,F3033+L3033*(I3033-F3033),"")</f>
      </c>
      <c r="N3033" s="12">
        <f>IF(K3033=1,G3033+L3033*(J3033-G3033),"")</f>
      </c>
    </row>
    <row r="3034" spans="2:14" x14ac:dyDescent="0.25">
      <c r="B3034">
        <v>85</v>
      </c>
      <c r="C3034">
        <v>337.49999999999994</v>
      </c>
      <c r="D3034">
        <v>9</v>
      </c>
      <c r="E3034" s="18">
        <v>7266.027874751481</v>
      </c>
      <c r="F3034" s="18">
        <v>-1351.5204595890966</v>
      </c>
      <c r="G3034" s="18">
        <v>4698.6392630749515</v>
      </c>
      <c r="H3034" s="12">
        <f>E3035</f>
      </c>
      <c r="I3034" s="12">
        <f>F3035</f>
      </c>
      <c r="J3034" s="12">
        <f>G3035</f>
      </c>
      <c r="K3034">
        <f>IF(AND(Pu&gt;=MIN(E3034,H3034),Pu&lt;=MAX(E3034,H3034),E3034&lt;&gt;H3034),1,0)</f>
      </c>
      <c r="L3034">
        <f>IF(K3034=1,(Pu-E3034)/(H3034-E3034),"")</f>
      </c>
      <c r="M3034" s="12">
        <f>IF(K3034=1,F3034+L3034*(I3034-F3034),"")</f>
      </c>
      <c r="N3034" s="12">
        <f>IF(K3034=1,G3034+L3034*(J3034-G3034),"")</f>
      </c>
    </row>
    <row r="3035" spans="2:14" x14ac:dyDescent="0.25">
      <c r="B3035">
        <v>85</v>
      </c>
      <c r="C3035">
        <v>337.49999999999994</v>
      </c>
      <c r="D3035">
        <v>10</v>
      </c>
      <c r="E3035" s="18">
        <v>7044.017016872772</v>
      </c>
      <c r="F3035" s="18">
        <v>-1346.505064803328</v>
      </c>
      <c r="G3035" s="18">
        <v>4744.209137203645</v>
      </c>
      <c r="H3035" s="12">
        <f>E3036</f>
      </c>
      <c r="I3035" s="12">
        <f>F3036</f>
      </c>
      <c r="J3035" s="12">
        <f>G3036</f>
      </c>
      <c r="K3035">
        <f>IF(AND(Pu&gt;=MIN(E3035,H3035),Pu&lt;=MAX(E3035,H3035),E3035&lt;&gt;H3035),1,0)</f>
      </c>
      <c r="L3035">
        <f>IF(K3035=1,(Pu-E3035)/(H3035-E3035),"")</f>
      </c>
      <c r="M3035" s="12">
        <f>IF(K3035=1,F3035+L3035*(I3035-F3035),"")</f>
      </c>
      <c r="N3035" s="12">
        <f>IF(K3035=1,G3035+L3035*(J3035-G3035),"")</f>
      </c>
    </row>
    <row r="3036" spans="2:14" x14ac:dyDescent="0.25">
      <c r="B3036">
        <v>85</v>
      </c>
      <c r="C3036">
        <v>337.49999999999994</v>
      </c>
      <c r="D3036">
        <v>11</v>
      </c>
      <c r="E3036" s="18">
        <v>6600.535601741937</v>
      </c>
      <c r="F3036" s="18">
        <v>-1334.5506880253738</v>
      </c>
      <c r="G3036" s="18">
        <v>4838.736688422332</v>
      </c>
      <c r="H3036" s="12">
        <f>E3037</f>
      </c>
      <c r="I3036" s="12">
        <f>F3037</f>
      </c>
      <c r="J3036" s="12">
        <f>G3037</f>
      </c>
      <c r="K3036">
        <f>IF(AND(Pu&gt;=MIN(E3036,H3036),Pu&lt;=MAX(E3036,H3036),E3036&lt;&gt;H3036),1,0)</f>
      </c>
      <c r="L3036">
        <f>IF(K3036=1,(Pu-E3036)/(H3036-E3036),"")</f>
      </c>
      <c r="M3036" s="12">
        <f>IF(K3036=1,F3036+L3036*(I3036-F3036),"")</f>
      </c>
      <c r="N3036" s="12">
        <f>IF(K3036=1,G3036+L3036*(J3036-G3036),"")</f>
      </c>
    </row>
    <row r="3037" spans="2:14" x14ac:dyDescent="0.25">
      <c r="B3037">
        <v>85</v>
      </c>
      <c r="C3037">
        <v>337.49999999999994</v>
      </c>
      <c r="D3037">
        <v>12</v>
      </c>
      <c r="E3037" s="18">
        <v>6529.105789345293</v>
      </c>
      <c r="F3037" s="18">
        <v>-1335.6481981878194</v>
      </c>
      <c r="G3037" s="18">
        <v>4851.653742432867</v>
      </c>
      <c r="H3037" s="12">
        <f>E3038</f>
      </c>
      <c r="I3037" s="12">
        <f>F3038</f>
      </c>
      <c r="J3037" s="12">
        <f>G3038</f>
      </c>
      <c r="K3037">
        <f>IF(AND(Pu&gt;=MIN(E3037,H3037),Pu&lt;=MAX(E3037,H3037),E3037&lt;&gt;H3037),1,0)</f>
      </c>
      <c r="L3037">
        <f>IF(K3037=1,(Pu-E3037)/(H3037-E3037),"")</f>
      </c>
      <c r="M3037" s="12">
        <f>IF(K3037=1,F3037+L3037*(I3037-F3037),"")</f>
      </c>
      <c r="N3037" s="12">
        <f>IF(K3037=1,G3037+L3037*(J3037-G3037),"")</f>
      </c>
    </row>
    <row r="3038" spans="2:14" x14ac:dyDescent="0.25">
      <c r="B3038">
        <v>85</v>
      </c>
      <c r="C3038">
        <v>337.49999999999994</v>
      </c>
      <c r="D3038">
        <v>13</v>
      </c>
      <c r="E3038" s="18">
        <v>6112.364247705154</v>
      </c>
      <c r="F3038" s="18">
        <v>-1360.0431378819455</v>
      </c>
      <c r="G3038" s="18">
        <v>4935.821861904621</v>
      </c>
      <c r="H3038" s="12">
        <f>E3039</f>
      </c>
      <c r="I3038" s="12">
        <f>F3039</f>
      </c>
      <c r="J3038" s="12">
        <f>G3039</f>
      </c>
      <c r="K3038">
        <f>IF(AND(Pu&gt;=MIN(E3038,H3038),Pu&lt;=MAX(E3038,H3038),E3038&lt;&gt;H3038),1,0)</f>
      </c>
      <c r="L3038">
        <f>IF(K3038=1,(Pu-E3038)/(H3038-E3038),"")</f>
      </c>
      <c r="M3038" s="12">
        <f>IF(K3038=1,F3038+L3038*(I3038-F3038),"")</f>
      </c>
      <c r="N3038" s="12">
        <f>IF(K3038=1,G3038+L3038*(J3038-G3038),"")</f>
      </c>
    </row>
    <row r="3039" spans="2:14" x14ac:dyDescent="0.25">
      <c r="B3039">
        <v>85</v>
      </c>
      <c r="C3039">
        <v>337.49999999999994</v>
      </c>
      <c r="D3039">
        <v>14</v>
      </c>
      <c r="E3039" s="18">
        <v>6056.9076924051205</v>
      </c>
      <c r="F3039" s="18">
        <v>-1362.5077848318986</v>
      </c>
      <c r="G3039" s="18">
        <v>4947.612242474303</v>
      </c>
      <c r="H3039" s="12">
        <f>E3040</f>
      </c>
      <c r="I3039" s="12">
        <f>F3040</f>
      </c>
      <c r="J3039" s="12">
        <f>G3040</f>
      </c>
      <c r="K3039">
        <f>IF(AND(Pu&gt;=MIN(E3039,H3039),Pu&lt;=MAX(E3039,H3039),E3039&lt;&gt;H3039),1,0)</f>
      </c>
      <c r="L3039">
        <f>IF(K3039=1,(Pu-E3039)/(H3039-E3039),"")</f>
      </c>
      <c r="M3039" s="12">
        <f>IF(K3039=1,F3039+L3039*(I3039-F3039),"")</f>
      </c>
      <c r="N3039" s="12">
        <f>IF(K3039=1,G3039+L3039*(J3039-G3039),"")</f>
      </c>
    </row>
    <row r="3040" spans="2:14" x14ac:dyDescent="0.25">
      <c r="B3040">
        <v>85</v>
      </c>
      <c r="C3040">
        <v>337.49999999999994</v>
      </c>
      <c r="D3040">
        <v>15</v>
      </c>
      <c r="E3040" s="18">
        <v>5780.020901174462</v>
      </c>
      <c r="F3040" s="18">
        <v>-1375.653020384989</v>
      </c>
      <c r="G3040" s="18">
        <v>5011.460593990091</v>
      </c>
      <c r="H3040" s="12">
        <f>E3041</f>
      </c>
      <c r="I3040" s="12">
        <f>F3041</f>
      </c>
      <c r="J3040" s="12">
        <f>G3041</f>
      </c>
      <c r="K3040">
        <f>IF(AND(Pu&gt;=MIN(E3040,H3040),Pu&lt;=MAX(E3040,H3040),E3040&lt;&gt;H3040),1,0)</f>
      </c>
      <c r="L3040">
        <f>IF(K3040=1,(Pu-E3040)/(H3040-E3040),"")</f>
      </c>
      <c r="M3040" s="12">
        <f>IF(K3040=1,F3040+L3040*(I3040-F3040),"")</f>
      </c>
      <c r="N3040" s="12">
        <f>IF(K3040=1,G3040+L3040*(J3040-G3040),"")</f>
      </c>
    </row>
    <row r="3041" spans="2:14" x14ac:dyDescent="0.25">
      <c r="B3041">
        <v>85</v>
      </c>
      <c r="C3041">
        <v>337.49999999999994</v>
      </c>
      <c r="D3041">
        <v>16</v>
      </c>
      <c r="E3041" s="18">
        <v>5473.420017581625</v>
      </c>
      <c r="F3041" s="18">
        <v>-1400.2302128915558</v>
      </c>
      <c r="G3041" s="18">
        <v>5080.423064299655</v>
      </c>
      <c r="H3041" s="12">
        <f>E3042</f>
      </c>
      <c r="I3041" s="12">
        <f>F3042</f>
      </c>
      <c r="J3041" s="12">
        <f>G3042</f>
      </c>
      <c r="K3041">
        <f>IF(AND(Pu&gt;=MIN(E3041,H3041),Pu&lt;=MAX(E3041,H3041),E3041&lt;&gt;H3041),1,0)</f>
      </c>
      <c r="L3041">
        <f>IF(K3041=1,(Pu-E3041)/(H3041-E3041),"")</f>
      </c>
      <c r="M3041" s="12">
        <f>IF(K3041=1,F3041+L3041*(I3041-F3041),"")</f>
      </c>
      <c r="N3041" s="12">
        <f>IF(K3041=1,G3041+L3041*(J3041-G3041),"")</f>
      </c>
    </row>
    <row r="3042" spans="2:14" x14ac:dyDescent="0.25">
      <c r="B3042">
        <v>85</v>
      </c>
      <c r="C3042">
        <v>337.49999999999994</v>
      </c>
      <c r="D3042">
        <v>17</v>
      </c>
      <c r="E3042" s="18">
        <v>5273.078862357543</v>
      </c>
      <c r="F3042" s="18">
        <v>-1415.3142860739295</v>
      </c>
      <c r="G3042" s="18">
        <v>5120.94270996015</v>
      </c>
      <c r="H3042" s="12">
        <f>E3043</f>
      </c>
      <c r="I3042" s="12">
        <f>F3043</f>
      </c>
      <c r="J3042" s="12">
        <f>G3043</f>
      </c>
      <c r="K3042">
        <f>IF(AND(Pu&gt;=MIN(E3042,H3042),Pu&lt;=MAX(E3042,H3042),E3042&lt;&gt;H3042),1,0)</f>
      </c>
      <c r="L3042">
        <f>IF(K3042=1,(Pu-E3042)/(H3042-E3042),"")</f>
      </c>
      <c r="M3042" s="12">
        <f>IF(K3042=1,F3042+L3042*(I3042-F3042),"")</f>
      </c>
      <c r="N3042" s="12">
        <f>IF(K3042=1,G3042+L3042*(J3042-G3042),"")</f>
      </c>
    </row>
    <row r="3043" spans="2:14" x14ac:dyDescent="0.25">
      <c r="B3043">
        <v>85</v>
      </c>
      <c r="C3043">
        <v>337.49999999999994</v>
      </c>
      <c r="D3043">
        <v>18</v>
      </c>
      <c r="E3043" s="18">
        <v>5168.52146749614</v>
      </c>
      <c r="F3043" s="18">
        <v>-1423.5778932251487</v>
      </c>
      <c r="G3043" s="18">
        <v>5142.067748172541</v>
      </c>
      <c r="H3043" s="12">
        <f>E3044</f>
      </c>
      <c r="I3043" s="12">
        <f>F3044</f>
      </c>
      <c r="J3043" s="12">
        <f>G3044</f>
      </c>
      <c r="K3043">
        <f>IF(AND(Pu&gt;=MIN(E3043,H3043),Pu&lt;=MAX(E3043,H3043),E3043&lt;&gt;H3043),1,0)</f>
      </c>
      <c r="L3043">
        <f>IF(K3043=1,(Pu-E3043)/(H3043-E3043),"")</f>
      </c>
      <c r="M3043" s="12">
        <f>IF(K3043=1,F3043+L3043*(I3043-F3043),"")</f>
      </c>
      <c r="N3043" s="12">
        <f>IF(K3043=1,G3043+L3043*(J3043-G3043),"")</f>
      </c>
    </row>
    <row r="3044" spans="2:14" x14ac:dyDescent="0.25">
      <c r="B3044">
        <v>85</v>
      </c>
      <c r="C3044">
        <v>337.49999999999994</v>
      </c>
      <c r="D3044">
        <v>19</v>
      </c>
      <c r="E3044" s="18">
        <v>4891.244997979236</v>
      </c>
      <c r="F3044" s="18">
        <v>-1435.971119883019</v>
      </c>
      <c r="G3044" s="18">
        <v>5198.528634661523</v>
      </c>
      <c r="H3044" s="12">
        <f>E3045</f>
      </c>
      <c r="I3044" s="12">
        <f>F3045</f>
      </c>
      <c r="J3044" s="12">
        <f>G3045</f>
      </c>
      <c r="K3044">
        <f>IF(AND(Pu&gt;=MIN(E3044,H3044),Pu&lt;=MAX(E3044,H3044),E3044&lt;&gt;H3044),1,0)</f>
      </c>
      <c r="L3044">
        <f>IF(K3044=1,(Pu-E3044)/(H3044-E3044),"")</f>
      </c>
      <c r="M3044" s="12">
        <f>IF(K3044=1,F3044+L3044*(I3044-F3044),"")</f>
      </c>
      <c r="N3044" s="12">
        <f>IF(K3044=1,G3044+L3044*(J3044-G3044),"")</f>
      </c>
    </row>
    <row r="3045" spans="2:14" x14ac:dyDescent="0.25">
      <c r="B3045">
        <v>85</v>
      </c>
      <c r="C3045">
        <v>337.49999999999994</v>
      </c>
      <c r="D3045">
        <v>20</v>
      </c>
      <c r="E3045" s="18">
        <v>4828.257125597352</v>
      </c>
      <c r="F3045" s="18">
        <v>-1432.4880311946204</v>
      </c>
      <c r="G3045" s="18">
        <v>5180.748215847794</v>
      </c>
      <c r="H3045" s="12">
        <f>E3046</f>
      </c>
      <c r="I3045" s="12">
        <f>F3046</f>
      </c>
      <c r="J3045" s="12">
        <f>G3046</f>
      </c>
      <c r="K3045">
        <f>IF(AND(Pu&gt;=MIN(E3045,H3045),Pu&lt;=MAX(E3045,H3045),E3045&lt;&gt;H3045),1,0)</f>
      </c>
      <c r="L3045">
        <f>IF(K3045=1,(Pu-E3045)/(H3045-E3045),"")</f>
      </c>
      <c r="M3045" s="12">
        <f>IF(K3045=1,F3045+L3045*(I3045-F3045),"")</f>
      </c>
      <c r="N3045" s="12">
        <f>IF(K3045=1,G3045+L3045*(J3045-G3045),"")</f>
      </c>
    </row>
    <row r="3046" spans="2:14" x14ac:dyDescent="0.25">
      <c r="B3046">
        <v>85</v>
      </c>
      <c r="C3046">
        <v>337.49999999999994</v>
      </c>
      <c r="D3046">
        <v>21</v>
      </c>
      <c r="E3046" s="18">
        <v>4259.1419106742915</v>
      </c>
      <c r="F3046" s="18">
        <v>-1408.4438635274794</v>
      </c>
      <c r="G3046" s="18">
        <v>5005.967910998009</v>
      </c>
      <c r="H3046" s="12">
        <f>E3047</f>
      </c>
      <c r="I3046" s="12">
        <f>F3047</f>
      </c>
      <c r="J3046" s="12">
        <f>G3047</f>
      </c>
      <c r="K3046">
        <f>IF(AND(Pu&gt;=MIN(E3046,H3046),Pu&lt;=MAX(E3046,H3046),E3046&lt;&gt;H3046),1,0)</f>
      </c>
      <c r="L3046">
        <f>IF(K3046=1,(Pu-E3046)/(H3046-E3046),"")</f>
      </c>
      <c r="M3046" s="12">
        <f>IF(K3046=1,F3046+L3046*(I3046-F3046),"")</f>
      </c>
      <c r="N3046" s="12">
        <f>IF(K3046=1,G3046+L3046*(J3046-G3046),"")</f>
      </c>
    </row>
    <row r="3047" spans="2:14" x14ac:dyDescent="0.25">
      <c r="B3047">
        <v>85</v>
      </c>
      <c r="C3047">
        <v>337.49999999999994</v>
      </c>
      <c r="D3047">
        <v>22</v>
      </c>
      <c r="E3047" s="18">
        <v>3311.3264428703146</v>
      </c>
      <c r="F3047" s="18">
        <v>-1367.7005081589457</v>
      </c>
      <c r="G3047" s="18">
        <v>4686.507771944971</v>
      </c>
      <c r="H3047" s="12">
        <f>E3048</f>
      </c>
      <c r="I3047" s="12">
        <f>F3048</f>
      </c>
      <c r="J3047" s="12">
        <f>G3048</f>
      </c>
      <c r="K3047">
        <f>IF(AND(Pu&gt;=MIN(E3047,H3047),Pu&lt;=MAX(E3047,H3047),E3047&lt;&gt;H3047),1,0)</f>
      </c>
      <c r="L3047">
        <f>IF(K3047=1,(Pu-E3047)/(H3047-E3047),"")</f>
      </c>
      <c r="M3047" s="12">
        <f>IF(K3047=1,F3047+L3047*(I3047-F3047),"")</f>
      </c>
      <c r="N3047" s="12">
        <f>IF(K3047=1,G3047+L3047*(J3047-G3047),"")</f>
      </c>
    </row>
    <row r="3048" spans="2:14" x14ac:dyDescent="0.25">
      <c r="B3048">
        <v>85</v>
      </c>
      <c r="C3048">
        <v>337.49999999999994</v>
      </c>
      <c r="D3048">
        <v>23</v>
      </c>
      <c r="E3048" s="18">
        <v>2514.9034268846676</v>
      </c>
      <c r="F3048" s="18">
        <v>-1339.9449560133098</v>
      </c>
      <c r="G3048" s="18">
        <v>4340.214017129587</v>
      </c>
      <c r="H3048" s="12">
        <f>E3049</f>
      </c>
      <c r="I3048" s="12">
        <f>F3049</f>
      </c>
      <c r="J3048" s="12">
        <f>G3049</f>
      </c>
      <c r="K3048">
        <f>IF(AND(Pu&gt;=MIN(E3048,H3048),Pu&lt;=MAX(E3048,H3048),E3048&lt;&gt;H3048),1,0)</f>
      </c>
      <c r="L3048">
        <f>IF(K3048=1,(Pu-E3048)/(H3048-E3048),"")</f>
      </c>
      <c r="M3048" s="12">
        <f>IF(K3048=1,F3048+L3048*(I3048-F3048),"")</f>
      </c>
      <c r="N3048" s="12">
        <f>IF(K3048=1,G3048+L3048*(J3048-G3048),"")</f>
      </c>
    </row>
    <row r="3049" spans="2:14" x14ac:dyDescent="0.25">
      <c r="B3049">
        <v>85</v>
      </c>
      <c r="C3049">
        <v>337.49999999999994</v>
      </c>
      <c r="D3049">
        <v>24</v>
      </c>
      <c r="E3049" s="18">
        <v>1751.2191898598376</v>
      </c>
      <c r="F3049" s="18">
        <v>-1306.0381114882352</v>
      </c>
      <c r="G3049" s="18">
        <v>3986.065064196653</v>
      </c>
      <c r="H3049" s="12">
        <f>E3050</f>
      </c>
      <c r="I3049" s="12">
        <f>F3050</f>
      </c>
      <c r="J3049" s="12">
        <f>G3050</f>
      </c>
      <c r="K3049">
        <f>IF(AND(Pu&gt;=MIN(E3049,H3049),Pu&lt;=MAX(E3049,H3049),E3049&lt;&gt;H3049),1,0)</f>
      </c>
      <c r="L3049">
        <f>IF(K3049=1,(Pu-E3049)/(H3049-E3049),"")</f>
      </c>
      <c r="M3049" s="12">
        <f>IF(K3049=1,F3049+L3049*(I3049-F3049),"")</f>
      </c>
      <c r="N3049" s="12">
        <f>IF(K3049=1,G3049+L3049*(J3049-G3049),"")</f>
      </c>
    </row>
    <row r="3050" spans="2:14" x14ac:dyDescent="0.25">
      <c r="B3050">
        <v>85</v>
      </c>
      <c r="C3050">
        <v>337.49999999999994</v>
      </c>
      <c r="D3050">
        <v>25</v>
      </c>
      <c r="E3050" s="18">
        <v>600.0206378851656</v>
      </c>
      <c r="F3050" s="18">
        <v>-1193.8564515306762</v>
      </c>
      <c r="G3050" s="18">
        <v>3381.4877647060794</v>
      </c>
      <c r="H3050" s="12">
        <f>E3051</f>
      </c>
      <c r="I3050" s="12">
        <f>F3051</f>
      </c>
      <c r="J3050" s="12">
        <f>G3051</f>
      </c>
      <c r="K3050">
        <f>IF(AND(Pu&gt;=MIN(E3050,H3050),Pu&lt;=MAX(E3050,H3050),E3050&lt;&gt;H3050),1,0)</f>
      </c>
      <c r="L3050">
        <f>IF(K3050=1,(Pu-E3050)/(H3050-E3050),"")</f>
      </c>
      <c r="M3050" s="12">
        <f>IF(K3050=1,F3050+L3050*(I3050-F3050),"")</f>
      </c>
      <c r="N3050" s="12">
        <f>IF(K3050=1,G3050+L3050*(J3050-G3050),"")</f>
      </c>
    </row>
    <row r="3051" spans="2:14" x14ac:dyDescent="0.25">
      <c r="B3051">
        <v>85</v>
      </c>
      <c r="C3051">
        <v>337.49999999999994</v>
      </c>
      <c r="D3051">
        <v>26</v>
      </c>
      <c r="E3051" s="18">
        <v>-310.57798105799424</v>
      </c>
      <c r="F3051" s="18">
        <v>-1065.5727539584889</v>
      </c>
      <c r="G3051" s="18">
        <v>2881.6242735264977</v>
      </c>
      <c r="H3051" s="12">
        <f>E3052</f>
      </c>
      <c r="I3051" s="12">
        <f>F3052</f>
      </c>
      <c r="J3051" s="12">
        <f>G3052</f>
      </c>
      <c r="K3051">
        <f>IF(AND(Pu&gt;=MIN(E3051,H3051),Pu&lt;=MAX(E3051,H3051),E3051&lt;&gt;H3051),1,0)</f>
      </c>
      <c r="L3051">
        <f>IF(K3051=1,(Pu-E3051)/(H3051-E3051),"")</f>
      </c>
      <c r="M3051" s="12">
        <f>IF(K3051=1,F3051+L3051*(I3051-F3051),"")</f>
      </c>
      <c r="N3051" s="12">
        <f>IF(K3051=1,G3051+L3051*(J3051-G3051),"")</f>
      </c>
    </row>
    <row r="3052" spans="2:14" x14ac:dyDescent="0.25">
      <c r="B3052">
        <v>85</v>
      </c>
      <c r="C3052">
        <v>337.49999999999994</v>
      </c>
      <c r="D3052">
        <v>27</v>
      </c>
      <c r="E3052" s="18">
        <v>-1094.9016605889178</v>
      </c>
      <c r="F3052" s="18">
        <v>-929.9836439035189</v>
      </c>
      <c r="G3052" s="18">
        <v>2435.571499489681</v>
      </c>
      <c r="H3052" s="12">
        <f>E3053</f>
      </c>
      <c r="I3052" s="12">
        <f>F3053</f>
      </c>
      <c r="J3052" s="12">
        <f>G3053</f>
      </c>
      <c r="K3052">
        <f>IF(AND(Pu&gt;=MIN(E3052,H3052),Pu&lt;=MAX(E3052,H3052),E3052&lt;&gt;H3052),1,0)</f>
      </c>
      <c r="L3052">
        <f>IF(K3052=1,(Pu-E3052)/(H3052-E3052),"")</f>
      </c>
      <c r="M3052" s="12">
        <f>IF(K3052=1,F3052+L3052*(I3052-F3052),"")</f>
      </c>
      <c r="N3052" s="12">
        <f>IF(K3052=1,G3052+L3052*(J3052-G3052),"")</f>
      </c>
    </row>
    <row r="3053" spans="2:14" x14ac:dyDescent="0.25">
      <c r="B3053">
        <v>85</v>
      </c>
      <c r="C3053">
        <v>337.49999999999994</v>
      </c>
      <c r="D3053">
        <v>28</v>
      </c>
      <c r="E3053" s="18">
        <v>-1716.6056623690442</v>
      </c>
      <c r="F3053" s="18">
        <v>-824.9862839284143</v>
      </c>
      <c r="G3053" s="18">
        <v>2060.49540955731</v>
      </c>
      <c r="H3053" s="12">
        <f>E3054</f>
      </c>
      <c r="I3053" s="12">
        <f>F3054</f>
      </c>
      <c r="J3053" s="12">
        <f>G3054</f>
      </c>
      <c r="K3053">
        <f>IF(AND(Pu&gt;=MIN(E3053,H3053),Pu&lt;=MAX(E3053,H3053),E3053&lt;&gt;H3053),1,0)</f>
      </c>
      <c r="L3053">
        <f>IF(K3053=1,(Pu-E3053)/(H3053-E3053),"")</f>
      </c>
      <c r="M3053" s="12">
        <f>IF(K3053=1,F3053+L3053*(I3053-F3053),"")</f>
      </c>
      <c r="N3053" s="12">
        <f>IF(K3053=1,G3053+L3053*(J3053-G3053),"")</f>
      </c>
    </row>
    <row r="3054" spans="2:14" x14ac:dyDescent="0.25">
      <c r="B3054">
        <v>85</v>
      </c>
      <c r="C3054">
        <v>337.49999999999994</v>
      </c>
      <c r="D3054">
        <v>29</v>
      </c>
      <c r="E3054" s="18">
        <v>-2647.6058713609395</v>
      </c>
      <c r="F3054" s="18">
        <v>-646.8083773552854</v>
      </c>
      <c r="G3054" s="18">
        <v>1492.9211169860368</v>
      </c>
      <c r="H3054" s="12">
        <f>E3055</f>
      </c>
      <c r="I3054" s="12">
        <f>F3055</f>
      </c>
      <c r="J3054" s="12">
        <f>G3055</f>
      </c>
      <c r="K3054">
        <f>IF(AND(Pu&gt;=MIN(E3054,H3054),Pu&lt;=MAX(E3054,H3054),E3054&lt;&gt;H3054),1,0)</f>
      </c>
      <c r="L3054">
        <f>IF(K3054=1,(Pu-E3054)/(H3054-E3054),"")</f>
      </c>
      <c r="M3054" s="12">
        <f>IF(K3054=1,F3054+L3054*(I3054-F3054),"")</f>
      </c>
      <c r="N3054" s="12">
        <f>IF(K3054=1,G3054+L3054*(J3054-G3054),"")</f>
      </c>
    </row>
    <row r="3055" spans="2:14" x14ac:dyDescent="0.25">
      <c r="B3055">
        <v>85</v>
      </c>
      <c r="C3055">
        <v>337.49999999999994</v>
      </c>
      <c r="D3055">
        <v>30</v>
      </c>
      <c r="E3055" s="18">
        <v>-3287.387645633909</v>
      </c>
      <c r="F3055" s="18">
        <v>-485.0935176079876</v>
      </c>
      <c r="G3055" s="18">
        <v>1101.9109895959662</v>
      </c>
      <c r="H3055" s="12">
        <f>E3056</f>
      </c>
      <c r="I3055" s="12">
        <f>F3056</f>
      </c>
      <c r="J3055" s="12">
        <f>G3056</f>
      </c>
      <c r="K3055">
        <f>IF(AND(Pu&gt;=MIN(E3055,H3055),Pu&lt;=MAX(E3055,H3055),E3055&lt;&gt;H3055),1,0)</f>
      </c>
      <c r="L3055">
        <f>IF(K3055=1,(Pu-E3055)/(H3055-E3055),"")</f>
      </c>
      <c r="M3055" s="12">
        <f>IF(K3055=1,F3055+L3055*(I3055-F3055),"")</f>
      </c>
      <c r="N3055" s="12">
        <f>IF(K3055=1,G3055+L3055*(J3055-G3055),"")</f>
      </c>
    </row>
    <row r="3056" spans="2:14" x14ac:dyDescent="0.25">
      <c r="B3056">
        <v>85</v>
      </c>
      <c r="C3056">
        <v>337.49999999999994</v>
      </c>
      <c r="D3056">
        <v>31</v>
      </c>
      <c r="E3056" s="18">
        <v>-3921.4634853838006</v>
      </c>
      <c r="F3056" s="18">
        <v>-321.8603077402557</v>
      </c>
      <c r="G3056" s="18">
        <v>683.9607470805673</v>
      </c>
      <c r="H3056" s="12">
        <f>E3057</f>
      </c>
      <c r="I3056" s="12">
        <f>F3057</f>
      </c>
      <c r="J3056" s="12">
        <f>G3057</f>
      </c>
      <c r="K3056">
        <f>IF(AND(Pu&gt;=MIN(E3056,H3056),Pu&lt;=MAX(E3056,H3056),E3056&lt;&gt;H3056),1,0)</f>
      </c>
      <c r="L3056">
        <f>IF(K3056=1,(Pu-E3056)/(H3056-E3056),"")</f>
      </c>
      <c r="M3056" s="12">
        <f>IF(K3056=1,F3056+L3056*(I3056-F3056),"")</f>
      </c>
      <c r="N3056" s="12">
        <f>IF(K3056=1,G3056+L3056*(J3056-G3056),"")</f>
      </c>
    </row>
    <row r="3057" spans="2:14" x14ac:dyDescent="0.25">
      <c r="B3057">
        <v>85</v>
      </c>
      <c r="C3057">
        <v>337.49999999999994</v>
      </c>
      <c r="D3057">
        <v>32</v>
      </c>
      <c r="E3057" s="18">
        <v>-4273.218492975459</v>
      </c>
      <c r="F3057" s="18">
        <v>-223.5268935495796</v>
      </c>
      <c r="G3057" s="18">
        <v>447.92472003938406</v>
      </c>
      <c r="H3057" s="12">
        <f>E3058</f>
      </c>
      <c r="I3057" s="12">
        <f>F3058</f>
      </c>
      <c r="J3057" s="12">
        <f>G3058</f>
      </c>
      <c r="K3057">
        <f>IF(AND(Pu&gt;=MIN(E3057,H3057),Pu&lt;=MAX(E3057,H3057),E3057&lt;&gt;H3057),1,0)</f>
      </c>
      <c r="L3057">
        <f>IF(K3057=1,(Pu-E3057)/(H3057-E3057),"")</f>
      </c>
      <c r="M3057" s="12">
        <f>IF(K3057=1,F3057+L3057*(I3057-F3057),"")</f>
      </c>
      <c r="N3057" s="12">
        <f>IF(K3057=1,G3057+L3057*(J3057-G3057),"")</f>
      </c>
    </row>
    <row r="3058" spans="2:14" x14ac:dyDescent="0.25">
      <c r="B3058">
        <v>85</v>
      </c>
      <c r="C3058">
        <v>337.49999999999994</v>
      </c>
      <c r="D3058">
        <v>33</v>
      </c>
      <c r="E3058" s="18">
        <v>-4678.391023204128</v>
      </c>
      <c r="F3058" s="18">
        <v>-87.63255030029046</v>
      </c>
      <c r="G3058" s="18">
        <v>171.58850796840542</v>
      </c>
      <c r="H3058" s="12">
        <f>E3059</f>
      </c>
      <c r="I3058" s="12">
        <f>F3059</f>
      </c>
      <c r="J3058" s="12">
        <f>G3059</f>
      </c>
      <c r="K3058">
        <f>IF(AND(Pu&gt;=MIN(E3058,H3058),Pu&lt;=MAX(E3058,H3058),E3058&lt;&gt;H3058),1,0)</f>
      </c>
      <c r="L3058">
        <f>IF(K3058=1,(Pu-E3058)/(H3058-E3058),"")</f>
      </c>
      <c r="M3058" s="12">
        <f>IF(K3058=1,F3058+L3058*(I3058-F3058),"")</f>
      </c>
      <c r="N3058" s="12">
        <f>IF(K3058=1,G3058+L3058*(J3058-G3058),"")</f>
      </c>
    </row>
    <row r="3059" spans="2:7" x14ac:dyDescent="0.25">
      <c r="B3059">
        <v>85</v>
      </c>
      <c r="C3059">
        <v>337.49999999999994</v>
      </c>
      <c r="D3059">
        <v>34</v>
      </c>
      <c r="E3059" s="18">
        <v>-4824.154049701967</v>
      </c>
      <c r="F3059" s="18">
        <v>-38.05743050323115</v>
      </c>
      <c r="G3059" s="18">
        <v>70.7756731332085</v>
      </c>
    </row>
    <row r="3061" spans="2:14" x14ac:dyDescent="0.25">
      <c r="B3061">
        <v>86</v>
      </c>
      <c r="C3061">
        <v>341.25</v>
      </c>
      <c r="D3061">
        <v>1</v>
      </c>
      <c r="E3061" s="18">
        <v>17595.35023414</v>
      </c>
      <c r="F3061" s="18">
        <v>-713.5694762875684</v>
      </c>
      <c r="G3061" s="18">
        <v>2620.360414908034</v>
      </c>
      <c r="H3061" s="12">
        <f>E3062</f>
      </c>
      <c r="I3061" s="12">
        <f>F3062</f>
      </c>
      <c r="J3061" s="12">
        <f>G3062</f>
      </c>
      <c r="K3061">
        <f>IF(AND(Pu&gt;=MIN(E3061,H3061),Pu&lt;=MAX(E3061,H3061),E3061&lt;&gt;H3061),1,0)</f>
      </c>
      <c r="L3061">
        <f>IF(K3061=1,(Pu-E3061)/(H3061-E3061),"")</f>
      </c>
      <c r="M3061" s="12">
        <f>IF(K3061=1,F3061+L3061*(I3061-F3061),"")</f>
      </c>
      <c r="N3061" s="12">
        <f>IF(K3061=1,G3061+L3061*(J3061-G3061),"")</f>
      </c>
    </row>
    <row r="3062" spans="2:14" x14ac:dyDescent="0.25">
      <c r="B3062">
        <v>86</v>
      </c>
      <c r="C3062">
        <v>341.25</v>
      </c>
      <c r="D3062">
        <v>2</v>
      </c>
      <c r="E3062" s="18">
        <v>16593.12154914898</v>
      </c>
      <c r="F3062" s="18">
        <v>-727.6682884826596</v>
      </c>
      <c r="G3062" s="18">
        <v>3090.645585739426</v>
      </c>
      <c r="H3062" s="12">
        <f>E3063</f>
      </c>
      <c r="I3062" s="12">
        <f>F3063</f>
      </c>
      <c r="J3062" s="12">
        <f>G3063</f>
      </c>
      <c r="K3062">
        <f>IF(AND(Pu&gt;=MIN(E3062,H3062),Pu&lt;=MAX(E3062,H3062),E3062&lt;&gt;H3062),1,0)</f>
      </c>
      <c r="L3062">
        <f>IF(K3062=1,(Pu-E3062)/(H3062-E3062),"")</f>
      </c>
      <c r="M3062" s="12">
        <f>IF(K3062=1,F3062+L3062*(I3062-F3062),"")</f>
      </c>
      <c r="N3062" s="12">
        <f>IF(K3062=1,G3062+L3062*(J3062-G3062),"")</f>
      </c>
    </row>
    <row r="3063" spans="2:14" x14ac:dyDescent="0.25">
      <c r="B3063">
        <v>86</v>
      </c>
      <c r="C3063">
        <v>341.25</v>
      </c>
      <c r="D3063">
        <v>3</v>
      </c>
      <c r="E3063" s="18">
        <v>15745.473119355664</v>
      </c>
      <c r="F3063" s="18">
        <v>-743.8077061893747</v>
      </c>
      <c r="G3063" s="18">
        <v>3418.512199477608</v>
      </c>
      <c r="H3063" s="12">
        <f>E3064</f>
      </c>
      <c r="I3063" s="12">
        <f>F3064</f>
      </c>
      <c r="J3063" s="12">
        <f>G3064</f>
      </c>
      <c r="K3063">
        <f>IF(AND(Pu&gt;=MIN(E3063,H3063),Pu&lt;=MAX(E3063,H3063),E3063&lt;&gt;H3063),1,0)</f>
      </c>
      <c r="L3063">
        <f>IF(K3063=1,(Pu-E3063)/(H3063-E3063),"")</f>
      </c>
      <c r="M3063" s="12">
        <f>IF(K3063=1,F3063+L3063*(I3063-F3063),"")</f>
      </c>
      <c r="N3063" s="12">
        <f>IF(K3063=1,G3063+L3063*(J3063-G3063),"")</f>
      </c>
    </row>
    <row r="3064" spans="2:14" x14ac:dyDescent="0.25">
      <c r="B3064">
        <v>86</v>
      </c>
      <c r="C3064">
        <v>341.25</v>
      </c>
      <c r="D3064">
        <v>4</v>
      </c>
      <c r="E3064" s="18">
        <v>14137.405144976467</v>
      </c>
      <c r="F3064" s="18">
        <v>-872.3742477400667</v>
      </c>
      <c r="G3064" s="18">
        <v>3865.08010246035</v>
      </c>
      <c r="H3064" s="12">
        <f>E3065</f>
      </c>
      <c r="I3064" s="12">
        <f>F3065</f>
      </c>
      <c r="J3064" s="12">
        <f>G3065</f>
      </c>
      <c r="K3064">
        <f>IF(AND(Pu&gt;=MIN(E3064,H3064),Pu&lt;=MAX(E3064,H3064),E3064&lt;&gt;H3064),1,0)</f>
      </c>
      <c r="L3064">
        <f>IF(K3064=1,(Pu-E3064)/(H3064-E3064),"")</f>
      </c>
      <c r="M3064" s="12">
        <f>IF(K3064=1,F3064+L3064*(I3064-F3064),"")</f>
      </c>
      <c r="N3064" s="12">
        <f>IF(K3064=1,G3064+L3064*(J3064-G3064),"")</f>
      </c>
    </row>
    <row r="3065" spans="2:14" x14ac:dyDescent="0.25">
      <c r="B3065">
        <v>86</v>
      </c>
      <c r="C3065">
        <v>341.25</v>
      </c>
      <c r="D3065">
        <v>5</v>
      </c>
      <c r="E3065" s="18">
        <v>12184.12712374925</v>
      </c>
      <c r="F3065" s="18">
        <v>-1042.3682964495124</v>
      </c>
      <c r="G3065" s="18">
        <v>4189.484857254671</v>
      </c>
      <c r="H3065" s="12">
        <f>E3066</f>
      </c>
      <c r="I3065" s="12">
        <f>F3066</f>
      </c>
      <c r="J3065" s="12">
        <f>G3066</f>
      </c>
      <c r="K3065">
        <f>IF(AND(Pu&gt;=MIN(E3065,H3065),Pu&lt;=MAX(E3065,H3065),E3065&lt;&gt;H3065),1,0)</f>
      </c>
      <c r="L3065">
        <f>IF(K3065=1,(Pu-E3065)/(H3065-E3065),"")</f>
      </c>
      <c r="M3065" s="12">
        <f>IF(K3065=1,F3065+L3065*(I3065-F3065),"")</f>
      </c>
      <c r="N3065" s="12">
        <f>IF(K3065=1,G3065+L3065*(J3065-G3065),"")</f>
      </c>
    </row>
    <row r="3066" spans="2:14" x14ac:dyDescent="0.25">
      <c r="B3066">
        <v>86</v>
      </c>
      <c r="C3066">
        <v>341.25</v>
      </c>
      <c r="D3066">
        <v>6</v>
      </c>
      <c r="E3066" s="18">
        <v>9992.352840351361</v>
      </c>
      <c r="F3066" s="18">
        <v>-1101.3035962784488</v>
      </c>
      <c r="G3066" s="18">
        <v>4407.341953511043</v>
      </c>
      <c r="H3066" s="12">
        <f>E3067</f>
      </c>
      <c r="I3066" s="12">
        <f>F3067</f>
      </c>
      <c r="J3066" s="12">
        <f>G3067</f>
      </c>
      <c r="K3066">
        <f>IF(AND(Pu&gt;=MIN(E3066,H3066),Pu&lt;=MAX(E3066,H3066),E3066&lt;&gt;H3066),1,0)</f>
      </c>
      <c r="L3066">
        <f>IF(K3066=1,(Pu-E3066)/(H3066-E3066),"")</f>
      </c>
      <c r="M3066" s="12">
        <f>IF(K3066=1,F3066+L3066*(I3066-F3066),"")</f>
      </c>
      <c r="N3066" s="12">
        <f>IF(K3066=1,G3066+L3066*(J3066-G3066),"")</f>
      </c>
    </row>
    <row r="3067" spans="2:14" x14ac:dyDescent="0.25">
      <c r="B3067">
        <v>86</v>
      </c>
      <c r="C3067">
        <v>341.25</v>
      </c>
      <c r="D3067">
        <v>7</v>
      </c>
      <c r="E3067" s="18">
        <v>8688.78989375458</v>
      </c>
      <c r="F3067" s="18">
        <v>-1116.7829140414344</v>
      </c>
      <c r="G3067" s="18">
        <v>4481.197285218684</v>
      </c>
      <c r="H3067" s="12">
        <f>E3068</f>
      </c>
      <c r="I3067" s="12">
        <f>F3068</f>
      </c>
      <c r="J3067" s="12">
        <f>G3068</f>
      </c>
      <c r="K3067">
        <f>IF(AND(Pu&gt;=MIN(E3067,H3067),Pu&lt;=MAX(E3067,H3067),E3067&lt;&gt;H3067),1,0)</f>
      </c>
      <c r="L3067">
        <f>IF(K3067=1,(Pu-E3067)/(H3067-E3067),"")</f>
      </c>
      <c r="M3067" s="12">
        <f>IF(K3067=1,F3067+L3067*(I3067-F3067),"")</f>
      </c>
      <c r="N3067" s="12">
        <f>IF(K3067=1,G3067+L3067*(J3067-G3067),"")</f>
      </c>
    </row>
    <row r="3068" spans="2:14" x14ac:dyDescent="0.25">
      <c r="B3068">
        <v>86</v>
      </c>
      <c r="C3068">
        <v>341.25</v>
      </c>
      <c r="D3068">
        <v>8</v>
      </c>
      <c r="E3068" s="18">
        <v>8241.02639543978</v>
      </c>
      <c r="F3068" s="18">
        <v>-1132.1064017680699</v>
      </c>
      <c r="G3068" s="18">
        <v>4568.54003376145</v>
      </c>
      <c r="H3068" s="12">
        <f>E3069</f>
      </c>
      <c r="I3068" s="12">
        <f>F3069</f>
      </c>
      <c r="J3068" s="12">
        <f>G3069</f>
      </c>
      <c r="K3068">
        <f>IF(AND(Pu&gt;=MIN(E3068,H3068),Pu&lt;=MAX(E3068,H3068),E3068&lt;&gt;H3068),1,0)</f>
      </c>
      <c r="L3068">
        <f>IF(K3068=1,(Pu-E3068)/(H3068-E3068),"")</f>
      </c>
      <c r="M3068" s="12">
        <f>IF(K3068=1,F3068+L3068*(I3068-F3068),"")</f>
      </c>
      <c r="N3068" s="12">
        <f>IF(K3068=1,G3068+L3068*(J3068-G3068),"")</f>
      </c>
    </row>
    <row r="3069" spans="2:14" x14ac:dyDescent="0.25">
      <c r="B3069">
        <v>86</v>
      </c>
      <c r="C3069">
        <v>341.25</v>
      </c>
      <c r="D3069">
        <v>9</v>
      </c>
      <c r="E3069" s="18">
        <v>7728.81154602517</v>
      </c>
      <c r="F3069" s="18">
        <v>-1135.6978261822308</v>
      </c>
      <c r="G3069" s="18">
        <v>4674.448082893691</v>
      </c>
      <c r="H3069" s="12">
        <f>E3070</f>
      </c>
      <c r="I3069" s="12">
        <f>F3070</f>
      </c>
      <c r="J3069" s="12">
        <f>G3070</f>
      </c>
      <c r="K3069">
        <f>IF(AND(Pu&gt;=MIN(E3069,H3069),Pu&lt;=MAX(E3069,H3069),E3069&lt;&gt;H3069),1,0)</f>
      </c>
      <c r="L3069">
        <f>IF(K3069=1,(Pu-E3069)/(H3069-E3069),"")</f>
      </c>
      <c r="M3069" s="12">
        <f>IF(K3069=1,F3069+L3069*(I3069-F3069),"")</f>
      </c>
      <c r="N3069" s="12">
        <f>IF(K3069=1,G3069+L3069*(J3069-G3069),"")</f>
      </c>
    </row>
    <row r="3070" spans="2:14" x14ac:dyDescent="0.25">
      <c r="B3070">
        <v>86</v>
      </c>
      <c r="C3070">
        <v>341.25</v>
      </c>
      <c r="D3070">
        <v>10</v>
      </c>
      <c r="E3070" s="18">
        <v>7231.078626817706</v>
      </c>
      <c r="F3070" s="18">
        <v>-1129.4632036616954</v>
      </c>
      <c r="G3070" s="18">
        <v>4782.298226174503</v>
      </c>
      <c r="H3070" s="12">
        <f>E3071</f>
      </c>
      <c r="I3070" s="12">
        <f>F3071</f>
      </c>
      <c r="J3070" s="12">
        <f>G3071</f>
      </c>
      <c r="K3070">
        <f>IF(AND(Pu&gt;=MIN(E3070,H3070),Pu&lt;=MAX(E3070,H3070),E3070&lt;&gt;H3070),1,0)</f>
      </c>
      <c r="L3070">
        <f>IF(K3070=1,(Pu-E3070)/(H3070-E3070),"")</f>
      </c>
      <c r="M3070" s="12">
        <f>IF(K3070=1,F3070+L3070*(I3070-F3070),"")</f>
      </c>
      <c r="N3070" s="12">
        <f>IF(K3070=1,G3070+L3070*(J3070-G3070),"")</f>
      </c>
    </row>
    <row r="3071" spans="2:14" x14ac:dyDescent="0.25">
      <c r="B3071">
        <v>86</v>
      </c>
      <c r="C3071">
        <v>341.25</v>
      </c>
      <c r="D3071">
        <v>11</v>
      </c>
      <c r="E3071" s="18">
        <v>7027.6537296225515</v>
      </c>
      <c r="F3071" s="18">
        <v>-1126.3369845626796</v>
      </c>
      <c r="G3071" s="18">
        <v>4826.885585196598</v>
      </c>
      <c r="H3071" s="12">
        <f>E3072</f>
      </c>
      <c r="I3071" s="12">
        <f>F3072</f>
      </c>
      <c r="J3071" s="12">
        <f>G3072</f>
      </c>
      <c r="K3071">
        <f>IF(AND(Pu&gt;=MIN(E3071,H3071),Pu&lt;=MAX(E3071,H3071),E3071&lt;&gt;H3071),1,0)</f>
      </c>
      <c r="L3071">
        <f>IF(K3071=1,(Pu-E3071)/(H3071-E3071),"")</f>
      </c>
      <c r="M3071" s="12">
        <f>IF(K3071=1,F3071+L3071*(I3071-F3071),"")</f>
      </c>
      <c r="N3071" s="12">
        <f>IF(K3071=1,G3071+L3071*(J3071-G3071),"")</f>
      </c>
    </row>
    <row r="3072" spans="2:14" x14ac:dyDescent="0.25">
      <c r="B3072">
        <v>86</v>
      </c>
      <c r="C3072">
        <v>341.25</v>
      </c>
      <c r="D3072">
        <v>12</v>
      </c>
      <c r="E3072" s="18">
        <v>6596.59111940991</v>
      </c>
      <c r="F3072" s="18">
        <v>-1124.4154762384424</v>
      </c>
      <c r="G3072" s="18">
        <v>4917.1344486570815</v>
      </c>
      <c r="H3072" s="12">
        <f>E3073</f>
      </c>
      <c r="I3072" s="12">
        <f>F3073</f>
      </c>
      <c r="J3072" s="12">
        <f>G3073</f>
      </c>
      <c r="K3072">
        <f>IF(AND(Pu&gt;=MIN(E3072,H3072),Pu&lt;=MAX(E3072,H3072),E3072&lt;&gt;H3072),1,0)</f>
      </c>
      <c r="L3072">
        <f>IF(K3072=1,(Pu-E3072)/(H3072-E3072),"")</f>
      </c>
      <c r="M3072" s="12">
        <f>IF(K3072=1,F3072+L3072*(I3072-F3072),"")</f>
      </c>
      <c r="N3072" s="12">
        <f>IF(K3072=1,G3072+L3072*(J3072-G3072),"")</f>
      </c>
    </row>
    <row r="3073" spans="2:14" x14ac:dyDescent="0.25">
      <c r="B3073">
        <v>86</v>
      </c>
      <c r="C3073">
        <v>341.25</v>
      </c>
      <c r="D3073">
        <v>13</v>
      </c>
      <c r="E3073" s="18">
        <v>6547.364902952579</v>
      </c>
      <c r="F3073" s="18">
        <v>-1123.9557145753706</v>
      </c>
      <c r="G3073" s="18">
        <v>4928.107781847063</v>
      </c>
      <c r="H3073" s="12">
        <f>E3074</f>
      </c>
      <c r="I3073" s="12">
        <f>F3074</f>
      </c>
      <c r="J3073" s="12">
        <f>G3074</f>
      </c>
      <c r="K3073">
        <f>IF(AND(Pu&gt;=MIN(E3073,H3073),Pu&lt;=MAX(E3073,H3073),E3073&lt;&gt;H3073),1,0)</f>
      </c>
      <c r="L3073">
        <f>IF(K3073=1,(Pu-E3073)/(H3073-E3073),"")</f>
      </c>
      <c r="M3073" s="12">
        <f>IF(K3073=1,F3073+L3073*(I3073-F3073),"")</f>
      </c>
      <c r="N3073" s="12">
        <f>IF(K3073=1,G3073+L3073*(J3073-G3073),"")</f>
      </c>
    </row>
    <row r="3074" spans="2:14" x14ac:dyDescent="0.25">
      <c r="B3074">
        <v>86</v>
      </c>
      <c r="C3074">
        <v>341.25</v>
      </c>
      <c r="D3074">
        <v>14</v>
      </c>
      <c r="E3074" s="18">
        <v>6166.009307501834</v>
      </c>
      <c r="F3074" s="18">
        <v>-1121.4398326998628</v>
      </c>
      <c r="G3074" s="18">
        <v>5033.500795491169</v>
      </c>
      <c r="H3074" s="12">
        <f>E3075</f>
      </c>
      <c r="I3074" s="12">
        <f>F3075</f>
      </c>
      <c r="J3074" s="12">
        <f>G3075</f>
      </c>
      <c r="K3074">
        <f>IF(AND(Pu&gt;=MIN(E3074,H3074),Pu&lt;=MAX(E3074,H3074),E3074&lt;&gt;H3074),1,0)</f>
      </c>
      <c r="L3074">
        <f>IF(K3074=1,(Pu-E3074)/(H3074-E3074),"")</f>
      </c>
      <c r="M3074" s="12">
        <f>IF(K3074=1,F3074+L3074*(I3074-F3074),"")</f>
      </c>
      <c r="N3074" s="12">
        <f>IF(K3074=1,G3074+L3074*(J3074-G3074),"")</f>
      </c>
    </row>
    <row r="3075" spans="2:14" x14ac:dyDescent="0.25">
      <c r="B3075">
        <v>86</v>
      </c>
      <c r="C3075">
        <v>341.25</v>
      </c>
      <c r="D3075">
        <v>15</v>
      </c>
      <c r="E3075" s="18">
        <v>6099.45878685956</v>
      </c>
      <c r="F3075" s="18">
        <v>-1124.7025245972986</v>
      </c>
      <c r="G3075" s="18">
        <v>5052.5986772929</v>
      </c>
      <c r="H3075" s="12">
        <f>E3076</f>
      </c>
      <c r="I3075" s="12">
        <f>F3076</f>
      </c>
      <c r="J3075" s="12">
        <f>G3076</f>
      </c>
      <c r="K3075">
        <f>IF(AND(Pu&gt;=MIN(E3075,H3075),Pu&lt;=MAX(E3075,H3075),E3075&lt;&gt;H3075),1,0)</f>
      </c>
      <c r="L3075">
        <f>IF(K3075=1,(Pu-E3075)/(H3075-E3075),"")</f>
      </c>
      <c r="M3075" s="12">
        <f>IF(K3075=1,F3075+L3075*(I3075-F3075),"")</f>
      </c>
      <c r="N3075" s="12">
        <f>IF(K3075=1,G3075+L3075*(J3075-G3075),"")</f>
      </c>
    </row>
    <row r="3076" spans="2:14" x14ac:dyDescent="0.25">
      <c r="B3076">
        <v>86</v>
      </c>
      <c r="C3076">
        <v>341.25</v>
      </c>
      <c r="D3076">
        <v>16</v>
      </c>
      <c r="E3076" s="18">
        <v>5849.536717996096</v>
      </c>
      <c r="F3076" s="18">
        <v>-1134.5245521711367</v>
      </c>
      <c r="G3076" s="18">
        <v>5126.595185532456</v>
      </c>
      <c r="H3076" s="12">
        <f>E3077</f>
      </c>
      <c r="I3076" s="12">
        <f>F3077</f>
      </c>
      <c r="J3076" s="12">
        <f>G3077</f>
      </c>
      <c r="K3076">
        <f>IF(AND(Pu&gt;=MIN(E3076,H3076),Pu&lt;=MAX(E3076,H3076),E3076&lt;&gt;H3076),1,0)</f>
      </c>
      <c r="L3076">
        <f>IF(K3076=1,(Pu-E3076)/(H3076-E3076),"")</f>
      </c>
      <c r="M3076" s="12">
        <f>IF(K3076=1,F3076+L3076*(I3076-F3076),"")</f>
      </c>
      <c r="N3076" s="12">
        <f>IF(K3076=1,G3076+L3076*(J3076-G3076),"")</f>
      </c>
    </row>
    <row r="3077" spans="2:14" x14ac:dyDescent="0.25">
      <c r="B3077">
        <v>86</v>
      </c>
      <c r="C3077">
        <v>341.25</v>
      </c>
      <c r="D3077">
        <v>17</v>
      </c>
      <c r="E3077" s="18">
        <v>5557.7152784947</v>
      </c>
      <c r="F3077" s="18">
        <v>-1142.9238954200628</v>
      </c>
      <c r="G3077" s="18">
        <v>5205.835385924827</v>
      </c>
      <c r="H3077" s="12">
        <f>E3078</f>
      </c>
      <c r="I3077" s="12">
        <f>F3078</f>
      </c>
      <c r="J3077" s="12">
        <f>G3078</f>
      </c>
      <c r="K3077">
        <f>IF(AND(Pu&gt;=MIN(E3077,H3077),Pu&lt;=MAX(E3077,H3077),E3077&lt;&gt;H3077),1,0)</f>
      </c>
      <c r="L3077">
        <f>IF(K3077=1,(Pu-E3077)/(H3077-E3077),"")</f>
      </c>
      <c r="M3077" s="12">
        <f>IF(K3077=1,F3077+L3077*(I3077-F3077),"")</f>
      </c>
      <c r="N3077" s="12">
        <f>IF(K3077=1,G3077+L3077*(J3077-G3077),"")</f>
      </c>
    </row>
    <row r="3078" spans="2:14" x14ac:dyDescent="0.25">
      <c r="B3078">
        <v>86</v>
      </c>
      <c r="C3078">
        <v>341.25</v>
      </c>
      <c r="D3078">
        <v>18</v>
      </c>
      <c r="E3078" s="18">
        <v>5359.503946763977</v>
      </c>
      <c r="F3078" s="18">
        <v>-1151.5010438346376</v>
      </c>
      <c r="G3078" s="18">
        <v>5259.240455354328</v>
      </c>
      <c r="H3078" s="12">
        <f>E3079</f>
      </c>
      <c r="I3078" s="12">
        <f>F3079</f>
      </c>
      <c r="J3078" s="12">
        <f>G3079</f>
      </c>
      <c r="K3078">
        <f>IF(AND(Pu&gt;=MIN(E3078,H3078),Pu&lt;=MAX(E3078,H3078),E3078&lt;&gt;H3078),1,0)</f>
      </c>
      <c r="L3078">
        <f>IF(K3078=1,(Pu-E3078)/(H3078-E3078),"")</f>
      </c>
      <c r="M3078" s="12">
        <f>IF(K3078=1,F3078+L3078*(I3078-F3078),"")</f>
      </c>
      <c r="N3078" s="12">
        <f>IF(K3078=1,G3078+L3078*(J3078-G3078),"")</f>
      </c>
    </row>
    <row r="3079" spans="2:14" x14ac:dyDescent="0.25">
      <c r="B3079">
        <v>86</v>
      </c>
      <c r="C3079">
        <v>341.25</v>
      </c>
      <c r="D3079">
        <v>19</v>
      </c>
      <c r="E3079" s="18">
        <v>5275.148946071074</v>
      </c>
      <c r="F3079" s="18">
        <v>-1156.2215104743489</v>
      </c>
      <c r="G3079" s="18">
        <v>5281.024689603147</v>
      </c>
      <c r="H3079" s="12">
        <f>E3080</f>
      </c>
      <c r="I3079" s="12">
        <f>F3080</f>
      </c>
      <c r="J3079" s="12">
        <f>G3080</f>
      </c>
      <c r="K3079">
        <f>IF(AND(Pu&gt;=MIN(E3079,H3079),Pu&lt;=MAX(E3079,H3079),E3079&lt;&gt;H3079),1,0)</f>
      </c>
      <c r="L3079">
        <f>IF(K3079=1,(Pu-E3079)/(H3079-E3079),"")</f>
      </c>
      <c r="M3079" s="12">
        <f>IF(K3079=1,F3079+L3079*(I3079-F3079),"")</f>
      </c>
      <c r="N3079" s="12">
        <f>IF(K3079=1,G3079+L3079*(J3079-G3079),"")</f>
      </c>
    </row>
    <row r="3080" spans="2:14" x14ac:dyDescent="0.25">
      <c r="B3080">
        <v>86</v>
      </c>
      <c r="C3080">
        <v>341.25</v>
      </c>
      <c r="D3080">
        <v>20</v>
      </c>
      <c r="E3080" s="18">
        <v>5019.642534826676</v>
      </c>
      <c r="F3080" s="18">
        <v>-1190.8203974242188</v>
      </c>
      <c r="G3080" s="18">
        <v>5338.795816749516</v>
      </c>
      <c r="H3080" s="12">
        <f>E3081</f>
      </c>
      <c r="I3080" s="12">
        <f>F3081</f>
      </c>
      <c r="J3080" s="12">
        <f>G3081</f>
      </c>
      <c r="K3080">
        <f>IF(AND(Pu&gt;=MIN(E3080,H3080),Pu&lt;=MAX(E3080,H3080),E3080&lt;&gt;H3080),1,0)</f>
      </c>
      <c r="L3080">
        <f>IF(K3080=1,(Pu-E3080)/(H3080-E3080),"")</f>
      </c>
      <c r="M3080" s="12">
        <f>IF(K3080=1,F3080+L3080*(I3080-F3080),"")</f>
      </c>
      <c r="N3080" s="12">
        <f>IF(K3080=1,G3080+L3080*(J3080-G3080),"")</f>
      </c>
    </row>
    <row r="3081" spans="2:14" x14ac:dyDescent="0.25">
      <c r="B3081">
        <v>86</v>
      </c>
      <c r="C3081">
        <v>341.25</v>
      </c>
      <c r="D3081">
        <v>21</v>
      </c>
      <c r="E3081" s="18">
        <v>4942.194972815117</v>
      </c>
      <c r="F3081" s="18">
        <v>-1188.2204640271111</v>
      </c>
      <c r="G3081" s="18">
        <v>5316.627124028173</v>
      </c>
      <c r="H3081" s="12">
        <f>E3082</f>
      </c>
      <c r="I3081" s="12">
        <f>F3082</f>
      </c>
      <c r="J3081" s="12">
        <f>G3082</f>
      </c>
      <c r="K3081">
        <f>IF(AND(Pu&gt;=MIN(E3081,H3081),Pu&lt;=MAX(E3081,H3081),E3081&lt;&gt;H3081),1,0)</f>
      </c>
      <c r="L3081">
        <f>IF(K3081=1,(Pu-E3081)/(H3081-E3081),"")</f>
      </c>
      <c r="M3081" s="12">
        <f>IF(K3081=1,F3081+L3081*(I3081-F3081),"")</f>
      </c>
      <c r="N3081" s="12">
        <f>IF(K3081=1,G3081+L3081*(J3081-G3081),"")</f>
      </c>
    </row>
    <row r="3082" spans="2:14" x14ac:dyDescent="0.25">
      <c r="B3082">
        <v>86</v>
      </c>
      <c r="C3082">
        <v>341.25</v>
      </c>
      <c r="D3082">
        <v>22</v>
      </c>
      <c r="E3082" s="18">
        <v>4414.626289388927</v>
      </c>
      <c r="F3082" s="18">
        <v>-1179.4758492807161</v>
      </c>
      <c r="G3082" s="18">
        <v>5159.667023441029</v>
      </c>
      <c r="H3082" s="12">
        <f>E3083</f>
      </c>
      <c r="I3082" s="12">
        <f>F3083</f>
      </c>
      <c r="J3082" s="12">
        <f>G3083</f>
      </c>
      <c r="K3082">
        <f>IF(AND(Pu&gt;=MIN(E3082,H3082),Pu&lt;=MAX(E3082,H3082),E3082&lt;&gt;H3082),1,0)</f>
      </c>
      <c r="L3082">
        <f>IF(K3082=1,(Pu-E3082)/(H3082-E3082),"")</f>
      </c>
      <c r="M3082" s="12">
        <f>IF(K3082=1,F3082+L3082*(I3082-F3082),"")</f>
      </c>
      <c r="N3082" s="12">
        <f>IF(K3082=1,G3082+L3082*(J3082-G3082),"")</f>
      </c>
    </row>
    <row r="3083" spans="2:14" x14ac:dyDescent="0.25">
      <c r="B3083">
        <v>86</v>
      </c>
      <c r="C3083">
        <v>341.25</v>
      </c>
      <c r="D3083">
        <v>23</v>
      </c>
      <c r="E3083" s="18">
        <v>3490.38716725782</v>
      </c>
      <c r="F3083" s="18">
        <v>-1156.6316436266814</v>
      </c>
      <c r="G3083" s="18">
        <v>4852.150274070128</v>
      </c>
      <c r="H3083" s="12">
        <f>E3084</f>
      </c>
      <c r="I3083" s="12">
        <f>F3084</f>
      </c>
      <c r="J3083" s="12">
        <f>G3084</f>
      </c>
      <c r="K3083">
        <f>IF(AND(Pu&gt;=MIN(E3083,H3083),Pu&lt;=MAX(E3083,H3083),E3083&lt;&gt;H3083),1,0)</f>
      </c>
      <c r="L3083">
        <f>IF(K3083=1,(Pu-E3083)/(H3083-E3083),"")</f>
      </c>
      <c r="M3083" s="12">
        <f>IF(K3083=1,F3083+L3083*(I3083-F3083),"")</f>
      </c>
      <c r="N3083" s="12">
        <f>IF(K3083=1,G3083+L3083*(J3083-G3083),"")</f>
      </c>
    </row>
    <row r="3084" spans="2:14" x14ac:dyDescent="0.25">
      <c r="B3084">
        <v>86</v>
      </c>
      <c r="C3084">
        <v>341.25</v>
      </c>
      <c r="D3084">
        <v>24</v>
      </c>
      <c r="E3084" s="18">
        <v>2753.1897870857815</v>
      </c>
      <c r="F3084" s="18">
        <v>-1127.8048340983064</v>
      </c>
      <c r="G3084" s="18">
        <v>4543.704954053262</v>
      </c>
      <c r="H3084" s="12">
        <f>E3085</f>
      </c>
      <c r="I3084" s="12">
        <f>F3085</f>
      </c>
      <c r="J3084" s="12">
        <f>G3085</f>
      </c>
      <c r="K3084">
        <f>IF(AND(Pu&gt;=MIN(E3084,H3084),Pu&lt;=MAX(E3084,H3084),E3084&lt;&gt;H3084),1,0)</f>
      </c>
      <c r="L3084">
        <f>IF(K3084=1,(Pu-E3084)/(H3084-E3084),"")</f>
      </c>
      <c r="M3084" s="12">
        <f>IF(K3084=1,F3084+L3084*(I3084-F3084),"")</f>
      </c>
      <c r="N3084" s="12">
        <f>IF(K3084=1,G3084+L3084*(J3084-G3084),"")</f>
      </c>
    </row>
    <row r="3085" spans="2:14" x14ac:dyDescent="0.25">
      <c r="B3085">
        <v>86</v>
      </c>
      <c r="C3085">
        <v>341.25</v>
      </c>
      <c r="D3085">
        <v>25</v>
      </c>
      <c r="E3085" s="18">
        <v>2036.7673773649246</v>
      </c>
      <c r="F3085" s="18">
        <v>-1100.6483485156427</v>
      </c>
      <c r="G3085" s="18">
        <v>4224.896905622078</v>
      </c>
      <c r="H3085" s="12">
        <f>E3086</f>
      </c>
      <c r="I3085" s="12">
        <f>F3086</f>
      </c>
      <c r="J3085" s="12">
        <f>G3086</f>
      </c>
      <c r="K3085">
        <f>IF(AND(Pu&gt;=MIN(E3085,H3085),Pu&lt;=MAX(E3085,H3085),E3085&lt;&gt;H3085),1,0)</f>
      </c>
      <c r="L3085">
        <f>IF(K3085=1,(Pu-E3085)/(H3085-E3085),"")</f>
      </c>
      <c r="M3085" s="12">
        <f>IF(K3085=1,F3085+L3085*(I3085-F3085),"")</f>
      </c>
      <c r="N3085" s="12">
        <f>IF(K3085=1,G3085+L3085*(J3085-G3085),"")</f>
      </c>
    </row>
    <row r="3086" spans="2:14" x14ac:dyDescent="0.25">
      <c r="B3086">
        <v>86</v>
      </c>
      <c r="C3086">
        <v>341.25</v>
      </c>
      <c r="D3086">
        <v>26</v>
      </c>
      <c r="E3086" s="18">
        <v>922.7945931107154</v>
      </c>
      <c r="F3086" s="18">
        <v>-1056.265414264725</v>
      </c>
      <c r="G3086" s="18">
        <v>3635.0559483023853</v>
      </c>
      <c r="H3086" s="12">
        <f>E3087</f>
      </c>
      <c r="I3086" s="12">
        <f>F3087</f>
      </c>
      <c r="J3086" s="12">
        <f>G3087</f>
      </c>
      <c r="K3086">
        <f>IF(AND(Pu&gt;=MIN(E3086,H3086),Pu&lt;=MAX(E3086,H3086),E3086&lt;&gt;H3086),1,0)</f>
      </c>
      <c r="L3086">
        <f>IF(K3086=1,(Pu-E3086)/(H3086-E3086),"")</f>
      </c>
      <c r="M3086" s="12">
        <f>IF(K3086=1,F3086+L3086*(I3086-F3086),"")</f>
      </c>
      <c r="N3086" s="12">
        <f>IF(K3086=1,G3086+L3086*(J3086-G3086),"")</f>
      </c>
    </row>
    <row r="3087" spans="2:14" x14ac:dyDescent="0.25">
      <c r="B3087">
        <v>86</v>
      </c>
      <c r="C3087">
        <v>341.25</v>
      </c>
      <c r="D3087">
        <v>27</v>
      </c>
      <c r="E3087" s="18">
        <v>-82.18207430452543</v>
      </c>
      <c r="F3087" s="18">
        <v>-947.3367911908088</v>
      </c>
      <c r="G3087" s="18">
        <v>3079.657586787374</v>
      </c>
      <c r="H3087" s="12">
        <f>E3088</f>
      </c>
      <c r="I3087" s="12">
        <f>F3088</f>
      </c>
      <c r="J3087" s="12">
        <f>G3088</f>
      </c>
      <c r="K3087">
        <f>IF(AND(Pu&gt;=MIN(E3087,H3087),Pu&lt;=MAX(E3087,H3087),E3087&lt;&gt;H3087),1,0)</f>
      </c>
      <c r="L3087">
        <f>IF(K3087=1,(Pu-E3087)/(H3087-E3087),"")</f>
      </c>
      <c r="M3087" s="12">
        <f>IF(K3087=1,F3087+L3087*(I3087-F3087),"")</f>
      </c>
      <c r="N3087" s="12">
        <f>IF(K3087=1,G3087+L3087*(J3087-G3087),"")</f>
      </c>
    </row>
    <row r="3088" spans="2:14" x14ac:dyDescent="0.25">
      <c r="B3088">
        <v>86</v>
      </c>
      <c r="C3088">
        <v>341.25</v>
      </c>
      <c r="D3088">
        <v>28</v>
      </c>
      <c r="E3088" s="18">
        <v>-854.405859203672</v>
      </c>
      <c r="F3088" s="18">
        <v>-846.4743607871027</v>
      </c>
      <c r="G3088" s="18">
        <v>2623.638748374898</v>
      </c>
      <c r="H3088" s="12">
        <f>E3089</f>
      </c>
      <c r="I3088" s="12">
        <f>F3089</f>
      </c>
      <c r="J3088" s="12">
        <f>G3089</f>
      </c>
      <c r="K3088">
        <f>IF(AND(Pu&gt;=MIN(E3088,H3088),Pu&lt;=MAX(E3088,H3088),E3088&lt;&gt;H3088),1,0)</f>
      </c>
      <c r="L3088">
        <f>IF(K3088=1,(Pu-E3088)/(H3088-E3088),"")</f>
      </c>
      <c r="M3088" s="12">
        <f>IF(K3088=1,F3088+L3088*(I3088-F3088),"")</f>
      </c>
      <c r="N3088" s="12">
        <f>IF(K3088=1,G3088+L3088*(J3088-G3088),"")</f>
      </c>
    </row>
    <row r="3089" spans="2:14" x14ac:dyDescent="0.25">
      <c r="B3089">
        <v>86</v>
      </c>
      <c r="C3089">
        <v>341.25</v>
      </c>
      <c r="D3089">
        <v>29</v>
      </c>
      <c r="E3089" s="18">
        <v>-1493.740717875984</v>
      </c>
      <c r="F3089" s="18">
        <v>-750.9985396823154</v>
      </c>
      <c r="G3089" s="18">
        <v>2235.8665681392076</v>
      </c>
      <c r="H3089" s="12">
        <f>E3090</f>
      </c>
      <c r="I3089" s="12">
        <f>F3090</f>
      </c>
      <c r="J3089" s="12">
        <f>G3090</f>
      </c>
      <c r="K3089">
        <f>IF(AND(Pu&gt;=MIN(E3089,H3089),Pu&lt;=MAX(E3089,H3089),E3089&lt;&gt;H3089),1,0)</f>
      </c>
      <c r="L3089">
        <f>IF(K3089=1,(Pu-E3089)/(H3089-E3089),"")</f>
      </c>
      <c r="M3089" s="12">
        <f>IF(K3089=1,F3089+L3089*(I3089-F3089),"")</f>
      </c>
      <c r="N3089" s="12">
        <f>IF(K3089=1,G3089+L3089*(J3089-G3089),"")</f>
      </c>
    </row>
    <row r="3090" spans="2:14" x14ac:dyDescent="0.25">
      <c r="B3090">
        <v>86</v>
      </c>
      <c r="C3090">
        <v>341.25</v>
      </c>
      <c r="D3090">
        <v>30</v>
      </c>
      <c r="E3090" s="18">
        <v>-2480.0878016726547</v>
      </c>
      <c r="F3090" s="18">
        <v>-585.8053483907333</v>
      </c>
      <c r="G3090" s="18">
        <v>1629.8156378317683</v>
      </c>
      <c r="H3090" s="12">
        <f>E3091</f>
      </c>
      <c r="I3090" s="12">
        <f>F3091</f>
      </c>
      <c r="J3090" s="12">
        <f>G3091</f>
      </c>
      <c r="K3090">
        <f>IF(AND(Pu&gt;=MIN(E3090,H3090),Pu&lt;=MAX(E3090,H3090),E3090&lt;&gt;H3090),1,0)</f>
      </c>
      <c r="L3090">
        <f>IF(K3090=1,(Pu-E3090)/(H3090-E3090),"")</f>
      </c>
      <c r="M3090" s="12">
        <f>IF(K3090=1,F3090+L3090*(I3090-F3090),"")</f>
      </c>
      <c r="N3090" s="12">
        <f>IF(K3090=1,G3090+L3090*(J3090-G3090),"")</f>
      </c>
    </row>
    <row r="3091" spans="2:14" x14ac:dyDescent="0.25">
      <c r="B3091">
        <v>86</v>
      </c>
      <c r="C3091">
        <v>341.25</v>
      </c>
      <c r="D3091">
        <v>31</v>
      </c>
      <c r="E3091" s="18">
        <v>-3138.1186450358796</v>
      </c>
      <c r="F3091" s="18">
        <v>-466.22128935694576</v>
      </c>
      <c r="G3091" s="18">
        <v>1212.358825537965</v>
      </c>
      <c r="H3091" s="12">
        <f>E3092</f>
      </c>
      <c r="I3091" s="12">
        <f>F3092</f>
      </c>
      <c r="J3091" s="12">
        <f>G3092</f>
      </c>
      <c r="K3091">
        <f>IF(AND(Pu&gt;=MIN(E3091,H3091),Pu&lt;=MAX(E3091,H3091),E3091&lt;&gt;H3091),1,0)</f>
      </c>
      <c r="L3091">
        <f>IF(K3091=1,(Pu-E3091)/(H3091-E3091),"")</f>
      </c>
      <c r="M3091" s="12">
        <f>IF(K3091=1,F3091+L3091*(I3091-F3091),"")</f>
      </c>
      <c r="N3091" s="12">
        <f>IF(K3091=1,G3091+L3091*(J3091-G3091),"")</f>
      </c>
    </row>
    <row r="3092" spans="2:14" x14ac:dyDescent="0.25">
      <c r="B3092">
        <v>86</v>
      </c>
      <c r="C3092">
        <v>341.25</v>
      </c>
      <c r="D3092">
        <v>32</v>
      </c>
      <c r="E3092" s="18">
        <v>-3847.873901584246</v>
      </c>
      <c r="F3092" s="18">
        <v>-319.4726274696619</v>
      </c>
      <c r="G3092" s="18">
        <v>739.1395852158165</v>
      </c>
      <c r="H3092" s="12">
        <f>E3093</f>
      </c>
      <c r="I3092" s="12">
        <f>F3093</f>
      </c>
      <c r="J3092" s="12">
        <f>G3093</f>
      </c>
      <c r="K3092">
        <f>IF(AND(Pu&gt;=MIN(E3092,H3092),Pu&lt;=MAX(E3092,H3092),E3092&lt;&gt;H3092),1,0)</f>
      </c>
      <c r="L3092">
        <f>IF(K3092=1,(Pu-E3092)/(H3092-E3092),"")</f>
      </c>
      <c r="M3092" s="12">
        <f>IF(K3092=1,F3092+L3092*(I3092-F3092),"")</f>
      </c>
      <c r="N3092" s="12">
        <f>IF(K3092=1,G3092+L3092*(J3092-G3092),"")</f>
      </c>
    </row>
    <row r="3093" spans="2:14" x14ac:dyDescent="0.25">
      <c r="B3093">
        <v>86</v>
      </c>
      <c r="C3093">
        <v>341.25</v>
      </c>
      <c r="D3093">
        <v>33</v>
      </c>
      <c r="E3093" s="18">
        <v>-4235.019195014234</v>
      </c>
      <c r="F3093" s="18">
        <v>-224.16384236826826</v>
      </c>
      <c r="G3093" s="18">
        <v>476.7157539190171</v>
      </c>
      <c r="H3093" s="12">
        <f>E3094</f>
      </c>
      <c r="I3093" s="12">
        <f>F3094</f>
      </c>
      <c r="J3093" s="12">
        <f>G3094</f>
      </c>
      <c r="K3093">
        <f>IF(AND(Pu&gt;=MIN(E3093,H3093),Pu&lt;=MAX(E3093,H3093),E3093&lt;&gt;H3093),1,0)</f>
      </c>
      <c r="L3093">
        <f>IF(K3093=1,(Pu-E3093)/(H3093-E3093),"")</f>
      </c>
      <c r="M3093" s="12">
        <f>IF(K3093=1,F3093+L3093*(I3093-F3093),"")</f>
      </c>
      <c r="N3093" s="12">
        <f>IF(K3093=1,G3093+L3093*(J3093-G3093),"")</f>
      </c>
    </row>
    <row r="3094" spans="2:14" x14ac:dyDescent="0.25">
      <c r="B3094">
        <v>86</v>
      </c>
      <c r="C3094">
        <v>341.25</v>
      </c>
      <c r="D3094">
        <v>34</v>
      </c>
      <c r="E3094" s="18">
        <v>-4653.056511781503</v>
      </c>
      <c r="F3094" s="18">
        <v>-93.00944403722157</v>
      </c>
      <c r="G3094" s="18">
        <v>189.75203642278439</v>
      </c>
      <c r="H3094" s="12">
        <f>E3095</f>
      </c>
      <c r="I3094" s="12">
        <f>F3095</f>
      </c>
      <c r="J3094" s="12">
        <f>G3095</f>
      </c>
      <c r="K3094">
        <f>IF(AND(Pu&gt;=MIN(E3094,H3094),Pu&lt;=MAX(E3094,H3094),E3094&lt;&gt;H3094),1,0)</f>
      </c>
      <c r="L3094">
        <f>IF(K3094=1,(Pu-E3094)/(H3094-E3094),"")</f>
      </c>
      <c r="M3094" s="12">
        <f>IF(K3094=1,F3094+L3094*(I3094-F3094),"")</f>
      </c>
      <c r="N3094" s="12">
        <f>IF(K3094=1,G3094+L3094*(J3094-G3094),"")</f>
      </c>
    </row>
    <row r="3095" spans="2:7" x14ac:dyDescent="0.25">
      <c r="B3095">
        <v>86</v>
      </c>
      <c r="C3095">
        <v>341.25</v>
      </c>
      <c r="D3095">
        <v>35</v>
      </c>
      <c r="E3095" s="18">
        <v>-4822.920703763153</v>
      </c>
      <c r="F3095" s="18">
        <v>-37.48897478986949</v>
      </c>
      <c r="G3095" s="18">
        <v>72.04289324875508</v>
      </c>
    </row>
    <row r="3097" spans="2:14" x14ac:dyDescent="0.25">
      <c r="B3097">
        <v>87</v>
      </c>
      <c r="C3097">
        <v>344.99999999999994</v>
      </c>
      <c r="D3097">
        <v>1</v>
      </c>
      <c r="E3097" s="18">
        <v>17396.106570752956</v>
      </c>
      <c r="F3097" s="18">
        <v>-579.4296736754619</v>
      </c>
      <c r="G3097" s="18">
        <v>2763.877879608642</v>
      </c>
      <c r="H3097" s="12">
        <f>E3098</f>
      </c>
      <c r="I3097" s="12">
        <f>F3098</f>
      </c>
      <c r="J3097" s="12">
        <f>G3098</f>
      </c>
      <c r="K3097">
        <f>IF(AND(Pu&gt;=MIN(E3097,H3097),Pu&lt;=MAX(E3097,H3097),E3097&lt;&gt;H3097),1,0)</f>
      </c>
      <c r="L3097">
        <f>IF(K3097=1,(Pu-E3097)/(H3097-E3097),"")</f>
      </c>
      <c r="M3097" s="12">
        <f>IF(K3097=1,F3097+L3097*(I3097-F3097),"")</f>
      </c>
      <c r="N3097" s="12">
        <f>IF(K3097=1,G3097+L3097*(J3097-G3097),"")</f>
      </c>
    </row>
    <row r="3098" spans="2:14" x14ac:dyDescent="0.25">
      <c r="B3098">
        <v>87</v>
      </c>
      <c r="C3098">
        <v>344.99999999999994</v>
      </c>
      <c r="D3098">
        <v>2</v>
      </c>
      <c r="E3098" s="18">
        <v>16475.90301280041</v>
      </c>
      <c r="F3098" s="18">
        <v>-582.7666758925666</v>
      </c>
      <c r="G3098" s="18">
        <v>3187.2312439903058</v>
      </c>
      <c r="H3098" s="12">
        <f>E3099</f>
      </c>
      <c r="I3098" s="12">
        <f>F3099</f>
      </c>
      <c r="J3098" s="12">
        <f>G3099</f>
      </c>
      <c r="K3098">
        <f>IF(AND(Pu&gt;=MIN(E3098,H3098),Pu&lt;=MAX(E3098,H3098),E3098&lt;&gt;H3098),1,0)</f>
      </c>
      <c r="L3098">
        <f>IF(K3098=1,(Pu-E3098)/(H3098-E3098),"")</f>
      </c>
      <c r="M3098" s="12">
        <f>IF(K3098=1,F3098+L3098*(I3098-F3098),"")</f>
      </c>
      <c r="N3098" s="12">
        <f>IF(K3098=1,G3098+L3098*(J3098-G3098),"")</f>
      </c>
    </row>
    <row r="3099" spans="2:14" x14ac:dyDescent="0.25">
      <c r="B3099">
        <v>87</v>
      </c>
      <c r="C3099">
        <v>344.99999999999994</v>
      </c>
      <c r="D3099">
        <v>3</v>
      </c>
      <c r="E3099" s="18">
        <v>15662.525400173534</v>
      </c>
      <c r="F3099" s="18">
        <v>-582.0806869617602</v>
      </c>
      <c r="G3099" s="18">
        <v>3504.0991976258315</v>
      </c>
      <c r="H3099" s="12">
        <f>E3100</f>
      </c>
      <c r="I3099" s="12">
        <f>F3100</f>
      </c>
      <c r="J3099" s="12">
        <f>G3100</f>
      </c>
      <c r="K3099">
        <f>IF(AND(Pu&gt;=MIN(E3099,H3099),Pu&lt;=MAX(E3099,H3099),E3099&lt;&gt;H3099),1,0)</f>
      </c>
      <c r="L3099">
        <f>IF(K3099=1,(Pu-E3099)/(H3099-E3099),"")</f>
      </c>
      <c r="M3099" s="12">
        <f>IF(K3099=1,F3099+L3099*(I3099-F3099),"")</f>
      </c>
      <c r="N3099" s="12">
        <f>IF(K3099=1,G3099+L3099*(J3099-G3099),"")</f>
      </c>
    </row>
    <row r="3100" spans="2:14" x14ac:dyDescent="0.25">
      <c r="B3100">
        <v>87</v>
      </c>
      <c r="C3100">
        <v>344.99999999999994</v>
      </c>
      <c r="D3100">
        <v>4</v>
      </c>
      <c r="E3100" s="18">
        <v>14136.571625898703</v>
      </c>
      <c r="F3100" s="18">
        <v>-694.3301302141073</v>
      </c>
      <c r="G3100" s="18">
        <v>3930.2511160737404</v>
      </c>
      <c r="H3100" s="12">
        <f>E3101</f>
      </c>
      <c r="I3100" s="12">
        <f>F3101</f>
      </c>
      <c r="J3100" s="12">
        <f>G3101</f>
      </c>
      <c r="K3100">
        <f>IF(AND(Pu&gt;=MIN(E3100,H3100),Pu&lt;=MAX(E3100,H3100),E3100&lt;&gt;H3100),1,0)</f>
      </c>
      <c r="L3100">
        <f>IF(K3100=1,(Pu-E3100)/(H3100-E3100),"")</f>
      </c>
      <c r="M3100" s="12">
        <f>IF(K3100=1,F3100+L3100*(I3100-F3100),"")</f>
      </c>
      <c r="N3100" s="12">
        <f>IF(K3100=1,G3100+L3100*(J3100-G3100),"")</f>
      </c>
    </row>
    <row r="3101" spans="2:14" x14ac:dyDescent="0.25">
      <c r="B3101">
        <v>87</v>
      </c>
      <c r="C3101">
        <v>344.99999999999994</v>
      </c>
      <c r="D3101">
        <v>5</v>
      </c>
      <c r="E3101" s="18">
        <v>12156.552910497609</v>
      </c>
      <c r="F3101" s="18">
        <v>-835.143795647378</v>
      </c>
      <c r="G3101" s="18">
        <v>4265.002102429779</v>
      </c>
      <c r="H3101" s="12">
        <f>E3102</f>
      </c>
      <c r="I3101" s="12">
        <f>F3102</f>
      </c>
      <c r="J3101" s="12">
        <f>G3102</f>
      </c>
      <c r="K3101">
        <f>IF(AND(Pu&gt;=MIN(E3101,H3101),Pu&lt;=MAX(E3101,H3101),E3101&lt;&gt;H3101),1,0)</f>
      </c>
      <c r="L3101">
        <f>IF(K3101=1,(Pu-E3101)/(H3101-E3101),"")</f>
      </c>
      <c r="M3101" s="12">
        <f>IF(K3101=1,F3101+L3101*(I3101-F3101),"")</f>
      </c>
      <c r="N3101" s="12">
        <f>IF(K3101=1,G3101+L3101*(J3101-G3101),"")</f>
      </c>
    </row>
    <row r="3102" spans="2:14" x14ac:dyDescent="0.25">
      <c r="B3102">
        <v>87</v>
      </c>
      <c r="C3102">
        <v>344.99999999999994</v>
      </c>
      <c r="D3102">
        <v>6</v>
      </c>
      <c r="E3102" s="18">
        <v>9972.307857529004</v>
      </c>
      <c r="F3102" s="18">
        <v>-875.0352409616538</v>
      </c>
      <c r="G3102" s="18">
        <v>4489.3140431463</v>
      </c>
      <c r="H3102" s="12">
        <f>E3103</f>
      </c>
      <c r="I3102" s="12">
        <f>F3103</f>
      </c>
      <c r="J3102" s="12">
        <f>G3103</f>
      </c>
      <c r="K3102">
        <f>IF(AND(Pu&gt;=MIN(E3102,H3102),Pu&lt;=MAX(E3102,H3102),E3102&lt;&gt;H3102),1,0)</f>
      </c>
      <c r="L3102">
        <f>IF(K3102=1,(Pu-E3102)/(H3102-E3102),"")</f>
      </c>
      <c r="M3102" s="12">
        <f>IF(K3102=1,F3102+L3102*(I3102-F3102),"")</f>
      </c>
      <c r="N3102" s="12">
        <f>IF(K3102=1,G3102+L3102*(J3102-G3102),"")</f>
      </c>
    </row>
    <row r="3103" spans="2:14" x14ac:dyDescent="0.25">
      <c r="B3103">
        <v>87</v>
      </c>
      <c r="C3103">
        <v>344.99999999999994</v>
      </c>
      <c r="D3103">
        <v>7</v>
      </c>
      <c r="E3103" s="18">
        <v>8734.688734939804</v>
      </c>
      <c r="F3103" s="18">
        <v>-893.860620608045</v>
      </c>
      <c r="G3103" s="18">
        <v>4561.8758497332865</v>
      </c>
      <c r="H3103" s="12">
        <f>E3104</f>
      </c>
      <c r="I3103" s="12">
        <f>F3104</f>
      </c>
      <c r="J3103" s="12">
        <f>G3104</f>
      </c>
      <c r="K3103">
        <f>IF(AND(Pu&gt;=MIN(E3103,H3103),Pu&lt;=MAX(E3103,H3103),E3103&lt;&gt;H3103),1,0)</f>
      </c>
      <c r="L3103">
        <f>IF(K3103=1,(Pu-E3103)/(H3103-E3103),"")</f>
      </c>
      <c r="M3103" s="12">
        <f>IF(K3103=1,F3103+L3103*(I3103-F3103),"")</f>
      </c>
      <c r="N3103" s="12">
        <f>IF(K3103=1,G3103+L3103*(J3103-G3103),"")</f>
      </c>
    </row>
    <row r="3104" spans="2:14" x14ac:dyDescent="0.25">
      <c r="B3104">
        <v>87</v>
      </c>
      <c r="C3104">
        <v>344.99999999999994</v>
      </c>
      <c r="D3104">
        <v>8</v>
      </c>
      <c r="E3104" s="18">
        <v>8245.773779081792</v>
      </c>
      <c r="F3104" s="18">
        <v>-907.363168352756</v>
      </c>
      <c r="G3104" s="18">
        <v>4658.148345196055</v>
      </c>
      <c r="H3104" s="12">
        <f>E3105</f>
      </c>
      <c r="I3104" s="12">
        <f>F3105</f>
      </c>
      <c r="J3104" s="12">
        <f>G3105</f>
      </c>
      <c r="K3104">
        <f>IF(AND(Pu&gt;=MIN(E3104,H3104),Pu&lt;=MAX(E3104,H3104),E3104&lt;&gt;H3104),1,0)</f>
      </c>
      <c r="L3104">
        <f>IF(K3104=1,(Pu-E3104)/(H3104-E3104),"")</f>
      </c>
      <c r="M3104" s="12">
        <f>IF(K3104=1,F3104+L3104*(I3104-F3104),"")</f>
      </c>
      <c r="N3104" s="12">
        <f>IF(K3104=1,G3104+L3104*(J3104-G3104),"")</f>
      </c>
    </row>
    <row r="3105" spans="2:14" x14ac:dyDescent="0.25">
      <c r="B3105">
        <v>87</v>
      </c>
      <c r="C3105">
        <v>344.99999999999994</v>
      </c>
      <c r="D3105">
        <v>9</v>
      </c>
      <c r="E3105" s="18">
        <v>7737.173933369426</v>
      </c>
      <c r="F3105" s="18">
        <v>-916.4555671933132</v>
      </c>
      <c r="G3105" s="18">
        <v>4750.264955764165</v>
      </c>
      <c r="H3105" s="12">
        <f>E3106</f>
      </c>
      <c r="I3105" s="12">
        <f>F3106</f>
      </c>
      <c r="J3105" s="12">
        <f>G3106</f>
      </c>
      <c r="K3105">
        <f>IF(AND(Pu&gt;=MIN(E3105,H3105),Pu&lt;=MAX(E3105,H3105),E3105&lt;&gt;H3105),1,0)</f>
      </c>
      <c r="L3105">
        <f>IF(K3105=1,(Pu-E3105)/(H3105-E3105),"")</f>
      </c>
      <c r="M3105" s="12">
        <f>IF(K3105=1,F3105+L3105*(I3105-F3105),"")</f>
      </c>
      <c r="N3105" s="12">
        <f>IF(K3105=1,G3105+L3105*(J3105-G3105),"")</f>
      </c>
    </row>
    <row r="3106" spans="2:14" x14ac:dyDescent="0.25">
      <c r="B3106">
        <v>87</v>
      </c>
      <c r="C3106">
        <v>344.99999999999994</v>
      </c>
      <c r="D3106">
        <v>10</v>
      </c>
      <c r="E3106" s="18">
        <v>7205.771112627935</v>
      </c>
      <c r="F3106" s="18">
        <v>-913.7666235262047</v>
      </c>
      <c r="G3106" s="18">
        <v>4850.110139087779</v>
      </c>
      <c r="H3106" s="12">
        <f>E3107</f>
      </c>
      <c r="I3106" s="12">
        <f>F3107</f>
      </c>
      <c r="J3106" s="12">
        <f>G3107</f>
      </c>
      <c r="K3106">
        <f>IF(AND(Pu&gt;=MIN(E3106,H3106),Pu&lt;=MAX(E3106,H3106),E3106&lt;&gt;H3106),1,0)</f>
      </c>
      <c r="L3106">
        <f>IF(K3106=1,(Pu-E3106)/(H3106-E3106),"")</f>
      </c>
      <c r="M3106" s="12">
        <f>IF(K3106=1,F3106+L3106*(I3106-F3106),"")</f>
      </c>
      <c r="N3106" s="12">
        <f>IF(K3106=1,G3106+L3106*(J3106-G3106),"")</f>
      </c>
    </row>
    <row r="3107" spans="2:14" x14ac:dyDescent="0.25">
      <c r="B3107">
        <v>87</v>
      </c>
      <c r="C3107">
        <v>344.99999999999994</v>
      </c>
      <c r="D3107">
        <v>11</v>
      </c>
      <c r="E3107" s="18">
        <v>7049.0821906543415</v>
      </c>
      <c r="F3107" s="18">
        <v>-919.648687038399</v>
      </c>
      <c r="G3107" s="18">
        <v>4884.397044569142</v>
      </c>
      <c r="H3107" s="12">
        <f>E3108</f>
      </c>
      <c r="I3107" s="12">
        <f>F3108</f>
      </c>
      <c r="J3107" s="12">
        <f>G3108</f>
      </c>
      <c r="K3107">
        <f>IF(AND(Pu&gt;=MIN(E3107,H3107),Pu&lt;=MAX(E3107,H3107),E3107&lt;&gt;H3107),1,0)</f>
      </c>
      <c r="L3107">
        <f>IF(K3107=1,(Pu-E3107)/(H3107-E3107),"")</f>
      </c>
      <c r="M3107" s="12">
        <f>IF(K3107=1,F3107+L3107*(I3107-F3107),"")</f>
      </c>
      <c r="N3107" s="12">
        <f>IF(K3107=1,G3107+L3107*(J3107-G3107),"")</f>
      </c>
    </row>
    <row r="3108" spans="2:14" x14ac:dyDescent="0.25">
      <c r="B3108">
        <v>87</v>
      </c>
      <c r="C3108">
        <v>344.99999999999994</v>
      </c>
      <c r="D3108">
        <v>12</v>
      </c>
      <c r="E3108" s="18">
        <v>6590.368585798973</v>
      </c>
      <c r="F3108" s="18">
        <v>-904.7189860755576</v>
      </c>
      <c r="G3108" s="18">
        <v>4986.195319205001</v>
      </c>
      <c r="H3108" s="12">
        <f>E3109</f>
      </c>
      <c r="I3108" s="12">
        <f>F3109</f>
      </c>
      <c r="J3108" s="12">
        <f>G3109</f>
      </c>
      <c r="K3108">
        <f>IF(AND(Pu&gt;=MIN(E3108,H3108),Pu&lt;=MAX(E3108,H3108),E3108&lt;&gt;H3108),1,0)</f>
      </c>
      <c r="L3108">
        <f>IF(K3108=1,(Pu-E3108)/(H3108-E3108),"")</f>
      </c>
      <c r="M3108" s="12">
        <f>IF(K3108=1,F3108+L3108*(I3108-F3108),"")</f>
      </c>
      <c r="N3108" s="12">
        <f>IF(K3108=1,G3108+L3108*(J3108-G3108),"")</f>
      </c>
    </row>
    <row r="3109" spans="2:14" x14ac:dyDescent="0.25">
      <c r="B3109">
        <v>87</v>
      </c>
      <c r="C3109">
        <v>344.99999999999994</v>
      </c>
      <c r="D3109">
        <v>13</v>
      </c>
      <c r="E3109" s="18">
        <v>6560.692891888028</v>
      </c>
      <c r="F3109" s="18">
        <v>-903.805661298584</v>
      </c>
      <c r="G3109" s="18">
        <v>4993.661552970468</v>
      </c>
      <c r="H3109" s="12">
        <f>E3110</f>
      </c>
      <c r="I3109" s="12">
        <f>F3110</f>
      </c>
      <c r="J3109" s="12">
        <f>G3110</f>
      </c>
      <c r="K3109">
        <f>IF(AND(Pu&gt;=MIN(E3109,H3109),Pu&lt;=MAX(E3109,H3109),E3109&lt;&gt;H3109),1,0)</f>
      </c>
      <c r="L3109">
        <f>IF(K3109=1,(Pu-E3109)/(H3109-E3109),"")</f>
      </c>
      <c r="M3109" s="12">
        <f>IF(K3109=1,F3109+L3109*(I3109-F3109),"")</f>
      </c>
      <c r="N3109" s="12">
        <f>IF(K3109=1,G3109+L3109*(J3109-G3109),"")</f>
      </c>
    </row>
    <row r="3110" spans="2:14" x14ac:dyDescent="0.25">
      <c r="B3110">
        <v>87</v>
      </c>
      <c r="C3110">
        <v>344.99999999999994</v>
      </c>
      <c r="D3110">
        <v>14</v>
      </c>
      <c r="E3110" s="18">
        <v>6190.5488102707195</v>
      </c>
      <c r="F3110" s="18">
        <v>-900.9075932788578</v>
      </c>
      <c r="G3110" s="18">
        <v>5100.5526612048625</v>
      </c>
      <c r="H3110" s="12">
        <f>E3111</f>
      </c>
      <c r="I3110" s="12">
        <f>F3111</f>
      </c>
      <c r="J3110" s="12">
        <f>G3111</f>
      </c>
      <c r="K3110">
        <f>IF(AND(Pu&gt;=MIN(E3110,H3110),Pu&lt;=MAX(E3110,H3110),E3110&lt;&gt;H3110),1,0)</f>
      </c>
      <c r="L3110">
        <f>IF(K3110=1,(Pu-E3110)/(H3110-E3110),"")</f>
      </c>
      <c r="M3110" s="12">
        <f>IF(K3110=1,F3110+L3110*(I3110-F3110),"")</f>
      </c>
      <c r="N3110" s="12">
        <f>IF(K3110=1,G3110+L3110*(J3110-G3110),"")</f>
      </c>
    </row>
    <row r="3111" spans="2:14" x14ac:dyDescent="0.25">
      <c r="B3111">
        <v>87</v>
      </c>
      <c r="C3111">
        <v>344.99999999999994</v>
      </c>
      <c r="D3111">
        <v>15</v>
      </c>
      <c r="E3111" s="18">
        <v>6114.65442613545</v>
      </c>
      <c r="F3111" s="18">
        <v>-902.7030904022901</v>
      </c>
      <c r="G3111" s="18">
        <v>5125.458631849007</v>
      </c>
      <c r="H3111" s="12">
        <f>E3112</f>
      </c>
      <c r="I3111" s="12">
        <f>F3112</f>
      </c>
      <c r="J3111" s="12">
        <f>G3112</f>
      </c>
      <c r="K3111">
        <f>IF(AND(Pu&gt;=MIN(E3111,H3111),Pu&lt;=MAX(E3111,H3111),E3111&lt;&gt;H3111),1,0)</f>
      </c>
      <c r="L3111">
        <f>IF(K3111=1,(Pu-E3111)/(H3111-E3111),"")</f>
      </c>
      <c r="M3111" s="12">
        <f>IF(K3111=1,F3111+L3111*(I3111-F3111),"")</f>
      </c>
      <c r="N3111" s="12">
        <f>IF(K3111=1,G3111+L3111*(J3111-G3111),"")</f>
      </c>
    </row>
    <row r="3112" spans="2:14" x14ac:dyDescent="0.25">
      <c r="B3112">
        <v>87</v>
      </c>
      <c r="C3112">
        <v>344.99999999999994</v>
      </c>
      <c r="D3112">
        <v>16</v>
      </c>
      <c r="E3112" s="18">
        <v>5891.323464519997</v>
      </c>
      <c r="F3112" s="18">
        <v>-901.2478302164803</v>
      </c>
      <c r="G3112" s="18">
        <v>5211.133094338875</v>
      </c>
      <c r="H3112" s="12">
        <f>E3113</f>
      </c>
      <c r="I3112" s="12">
        <f>F3113</f>
      </c>
      <c r="J3112" s="12">
        <f>G3113</f>
      </c>
      <c r="K3112">
        <f>IF(AND(Pu&gt;=MIN(E3112,H3112),Pu&lt;=MAX(E3112,H3112),E3112&lt;&gt;H3112),1,0)</f>
      </c>
      <c r="L3112">
        <f>IF(K3112=1,(Pu-E3112)/(H3112-E3112),"")</f>
      </c>
      <c r="M3112" s="12">
        <f>IF(K3112=1,F3112+L3112*(I3112-F3112),"")</f>
      </c>
      <c r="N3112" s="12">
        <f>IF(K3112=1,G3112+L3112*(J3112-G3112),"")</f>
      </c>
    </row>
    <row r="3113" spans="2:14" x14ac:dyDescent="0.25">
      <c r="B3113">
        <v>87</v>
      </c>
      <c r="C3113">
        <v>344.99999999999994</v>
      </c>
      <c r="D3113">
        <v>17</v>
      </c>
      <c r="E3113" s="18">
        <v>5623.709827112973</v>
      </c>
      <c r="F3113" s="18">
        <v>-897.6225169893618</v>
      </c>
      <c r="G3113" s="18">
        <v>5305.702399369606</v>
      </c>
      <c r="H3113" s="12">
        <f>E3114</f>
      </c>
      <c r="I3113" s="12">
        <f>F3114</f>
      </c>
      <c r="J3113" s="12">
        <f>G3114</f>
      </c>
      <c r="K3113">
        <f>IF(AND(Pu&gt;=MIN(E3113,H3113),Pu&lt;=MAX(E3113,H3113),E3113&lt;&gt;H3113),1,0)</f>
      </c>
      <c r="L3113">
        <f>IF(K3113=1,(Pu-E3113)/(H3113-E3113),"")</f>
      </c>
      <c r="M3113" s="12">
        <f>IF(K3113=1,F3113+L3113*(I3113-F3113),"")</f>
      </c>
      <c r="N3113" s="12">
        <f>IF(K3113=1,G3113+L3113*(J3113-G3113),"")</f>
      </c>
    </row>
    <row r="3114" spans="2:14" x14ac:dyDescent="0.25">
      <c r="B3114">
        <v>87</v>
      </c>
      <c r="C3114">
        <v>344.99999999999994</v>
      </c>
      <c r="D3114">
        <v>18</v>
      </c>
      <c r="E3114" s="18">
        <v>5443.505084947015</v>
      </c>
      <c r="F3114" s="18">
        <v>-904.264589940062</v>
      </c>
      <c r="G3114" s="18">
        <v>5369.986902443822</v>
      </c>
      <c r="H3114" s="12">
        <f>E3115</f>
      </c>
      <c r="I3114" s="12">
        <f>F3115</f>
      </c>
      <c r="J3114" s="12">
        <f>G3115</f>
      </c>
      <c r="K3114">
        <f>IF(AND(Pu&gt;=MIN(E3114,H3114),Pu&lt;=MAX(E3114,H3114),E3114&lt;&gt;H3114),1,0)</f>
      </c>
      <c r="L3114">
        <f>IF(K3114=1,(Pu-E3114)/(H3114-E3114),"")</f>
      </c>
      <c r="M3114" s="12">
        <f>IF(K3114=1,F3114+L3114*(I3114-F3114),"")</f>
      </c>
      <c r="N3114" s="12">
        <f>IF(K3114=1,G3114+L3114*(J3114-G3114),"")</f>
      </c>
    </row>
    <row r="3115" spans="2:14" x14ac:dyDescent="0.25">
      <c r="B3115">
        <v>87</v>
      </c>
      <c r="C3115">
        <v>344.99999999999994</v>
      </c>
      <c r="D3115">
        <v>19</v>
      </c>
      <c r="E3115" s="18">
        <v>5388.979766827857</v>
      </c>
      <c r="F3115" s="18">
        <v>-909.1776070684396</v>
      </c>
      <c r="G3115" s="18">
        <v>5389.465880448007</v>
      </c>
      <c r="H3115" s="12">
        <f>E3116</f>
      </c>
      <c r="I3115" s="12">
        <f>F3116</f>
      </c>
      <c r="J3115" s="12">
        <f>G3116</f>
      </c>
      <c r="K3115">
        <f>IF(AND(Pu&gt;=MIN(E3115,H3115),Pu&lt;=MAX(E3115,H3115),E3115&lt;&gt;H3115),1,0)</f>
      </c>
      <c r="L3115">
        <f>IF(K3115=1,(Pu-E3115)/(H3115-E3115),"")</f>
      </c>
      <c r="M3115" s="12">
        <f>IF(K3115=1,F3115+L3115*(I3115-F3115),"")</f>
      </c>
      <c r="N3115" s="12">
        <f>IF(K3115=1,G3115+L3115*(J3115-G3115),"")</f>
      </c>
    </row>
    <row r="3116" spans="2:14" x14ac:dyDescent="0.25">
      <c r="B3116">
        <v>87</v>
      </c>
      <c r="C3116">
        <v>344.99999999999994</v>
      </c>
      <c r="D3116">
        <v>20</v>
      </c>
      <c r="E3116" s="18">
        <v>5190.5943348698065</v>
      </c>
      <c r="F3116" s="18">
        <v>-941.4781320015738</v>
      </c>
      <c r="G3116" s="18">
        <v>5467.883620355339</v>
      </c>
      <c r="H3116" s="12">
        <f>E3117</f>
      </c>
      <c r="I3116" s="12">
        <f>F3117</f>
      </c>
      <c r="J3116" s="12">
        <f>G3117</f>
      </c>
      <c r="K3116">
        <f>IF(AND(Pu&gt;=MIN(E3116,H3116),Pu&lt;=MAX(E3116,H3116),E3116&lt;&gt;H3116),1,0)</f>
      </c>
      <c r="L3116">
        <f>IF(K3116=1,(Pu-E3116)/(H3116-E3116),"")</f>
      </c>
      <c r="M3116" s="12">
        <f>IF(K3116=1,F3116+L3116*(I3116-F3116),"")</f>
      </c>
      <c r="N3116" s="12">
        <f>IF(K3116=1,G3116+L3116*(J3116-G3116),"")</f>
      </c>
    </row>
    <row r="3117" spans="2:14" x14ac:dyDescent="0.25">
      <c r="B3117">
        <v>87</v>
      </c>
      <c r="C3117">
        <v>344.99999999999994</v>
      </c>
      <c r="D3117">
        <v>21</v>
      </c>
      <c r="E3117" s="18">
        <v>5092.348025478627</v>
      </c>
      <c r="F3117" s="18">
        <v>-941.4980107466814</v>
      </c>
      <c r="G3117" s="18">
        <v>5443.752774860545</v>
      </c>
      <c r="H3117" s="12">
        <f>E3118</f>
      </c>
      <c r="I3117" s="12">
        <f>F3118</f>
      </c>
      <c r="J3117" s="12">
        <f>G3118</f>
      </c>
      <c r="K3117">
        <f>IF(AND(Pu&gt;=MIN(E3117,H3117),Pu&lt;=MAX(E3117,H3117),E3117&lt;&gt;H3117),1,0)</f>
      </c>
      <c r="L3117">
        <f>IF(K3117=1,(Pu-E3117)/(H3117-E3117),"")</f>
      </c>
      <c r="M3117" s="12">
        <f>IF(K3117=1,F3117+L3117*(I3117-F3117),"")</f>
      </c>
      <c r="N3117" s="12">
        <f>IF(K3117=1,G3117+L3117*(J3117-G3117),"")</f>
      </c>
    </row>
    <row r="3118" spans="2:14" x14ac:dyDescent="0.25">
      <c r="B3118">
        <v>87</v>
      </c>
      <c r="C3118">
        <v>344.99999999999994</v>
      </c>
      <c r="D3118">
        <v>22</v>
      </c>
      <c r="E3118" s="18">
        <v>4551.972183619795</v>
      </c>
      <c r="F3118" s="18">
        <v>-929.5604458302623</v>
      </c>
      <c r="G3118" s="18">
        <v>5295.809501999721</v>
      </c>
      <c r="H3118" s="12">
        <f>E3119</f>
      </c>
      <c r="I3118" s="12">
        <f>F3119</f>
      </c>
      <c r="J3118" s="12">
        <f>G3119</f>
      </c>
      <c r="K3118">
        <f>IF(AND(Pu&gt;=MIN(E3118,H3118),Pu&lt;=MAX(E3118,H3118),E3118&lt;&gt;H3118),1,0)</f>
      </c>
      <c r="L3118">
        <f>IF(K3118=1,(Pu-E3118)/(H3118-E3118),"")</f>
      </c>
      <c r="M3118" s="12">
        <f>IF(K3118=1,F3118+L3118*(I3118-F3118),"")</f>
      </c>
      <c r="N3118" s="12">
        <f>IF(K3118=1,G3118+L3118*(J3118-G3118),"")</f>
      </c>
    </row>
    <row r="3119" spans="2:14" x14ac:dyDescent="0.25">
      <c r="B3119">
        <v>87</v>
      </c>
      <c r="C3119">
        <v>344.99999999999994</v>
      </c>
      <c r="D3119">
        <v>23</v>
      </c>
      <c r="E3119" s="18">
        <v>3686.432922991387</v>
      </c>
      <c r="F3119" s="18">
        <v>-926.5214109324263</v>
      </c>
      <c r="G3119" s="18">
        <v>5005.017792736547</v>
      </c>
      <c r="H3119" s="12">
        <f>E3120</f>
      </c>
      <c r="I3119" s="12">
        <f>F3120</f>
      </c>
      <c r="J3119" s="12">
        <f>G3120</f>
      </c>
      <c r="K3119">
        <f>IF(AND(Pu&gt;=MIN(E3119,H3119),Pu&lt;=MAX(E3119,H3119),E3119&lt;&gt;H3119),1,0)</f>
      </c>
      <c r="L3119">
        <f>IF(K3119=1,(Pu-E3119)/(H3119-E3119),"")</f>
      </c>
      <c r="M3119" s="12">
        <f>IF(K3119=1,F3119+L3119*(I3119-F3119),"")</f>
      </c>
      <c r="N3119" s="12">
        <f>IF(K3119=1,G3119+L3119*(J3119-G3119),"")</f>
      </c>
    </row>
    <row r="3120" spans="2:14" x14ac:dyDescent="0.25">
      <c r="B3120">
        <v>87</v>
      </c>
      <c r="C3120">
        <v>344.99999999999994</v>
      </c>
      <c r="D3120">
        <v>24</v>
      </c>
      <c r="E3120" s="18">
        <v>2976.443197313615</v>
      </c>
      <c r="F3120" s="18">
        <v>-907.3150138145315</v>
      </c>
      <c r="G3120" s="18">
        <v>4729.235573576313</v>
      </c>
      <c r="H3120" s="12">
        <f>E3121</f>
      </c>
      <c r="I3120" s="12">
        <f>F3121</f>
      </c>
      <c r="J3120" s="12">
        <f>G3121</f>
      </c>
      <c r="K3120">
        <f>IF(AND(Pu&gt;=MIN(E3120,H3120),Pu&lt;=MAX(E3120,H3120),E3120&lt;&gt;H3120),1,0)</f>
      </c>
      <c r="L3120">
        <f>IF(K3120=1,(Pu-E3120)/(H3120-E3120),"")</f>
      </c>
      <c r="M3120" s="12">
        <f>IF(K3120=1,F3120+L3120*(I3120-F3120),"")</f>
      </c>
      <c r="N3120" s="12">
        <f>IF(K3120=1,G3120+L3120*(J3120-G3120),"")</f>
      </c>
    </row>
    <row r="3121" spans="2:14" x14ac:dyDescent="0.25">
      <c r="B3121">
        <v>87</v>
      </c>
      <c r="C3121">
        <v>344.99999999999994</v>
      </c>
      <c r="D3121">
        <v>25</v>
      </c>
      <c r="E3121" s="18">
        <v>2349.8079622482996</v>
      </c>
      <c r="F3121" s="18">
        <v>-895.043887668984</v>
      </c>
      <c r="G3121" s="18">
        <v>4448.226446298176</v>
      </c>
      <c r="H3121" s="12">
        <f>E3122</f>
      </c>
      <c r="I3121" s="12">
        <f>F3122</f>
      </c>
      <c r="J3121" s="12">
        <f>G3122</f>
      </c>
      <c r="K3121">
        <f>IF(AND(Pu&gt;=MIN(E3121,H3121),Pu&lt;=MAX(E3121,H3121),E3121&lt;&gt;H3121),1,0)</f>
      </c>
      <c r="L3121">
        <f>IF(K3121=1,(Pu-E3121)/(H3121-E3121),"")</f>
      </c>
      <c r="M3121" s="12">
        <f>IF(K3121=1,F3121+L3121*(I3121-F3121),"")</f>
      </c>
      <c r="N3121" s="12">
        <f>IF(K3121=1,G3121+L3121*(J3121-G3121),"")</f>
      </c>
    </row>
    <row r="3122" spans="2:14" x14ac:dyDescent="0.25">
      <c r="B3122">
        <v>87</v>
      </c>
      <c r="C3122">
        <v>344.99999999999994</v>
      </c>
      <c r="D3122">
        <v>26</v>
      </c>
      <c r="E3122" s="18">
        <v>1241.720465260899</v>
      </c>
      <c r="F3122" s="18">
        <v>-895.4579259150809</v>
      </c>
      <c r="G3122" s="18">
        <v>3881.673401813121</v>
      </c>
      <c r="H3122" s="12">
        <f>E3123</f>
      </c>
      <c r="I3122" s="12">
        <f>F3123</f>
      </c>
      <c r="J3122" s="12">
        <f>G3123</f>
      </c>
      <c r="K3122">
        <f>IF(AND(Pu&gt;=MIN(E3122,H3122),Pu&lt;=MAX(E3122,H3122),E3122&lt;&gt;H3122),1,0)</f>
      </c>
      <c r="L3122">
        <f>IF(K3122=1,(Pu-E3122)/(H3122-E3122),"")</f>
      </c>
      <c r="M3122" s="12">
        <f>IF(K3122=1,F3122+L3122*(I3122-F3122),"")</f>
      </c>
      <c r="N3122" s="12">
        <f>IF(K3122=1,G3122+L3122*(J3122-G3122),"")</f>
      </c>
    </row>
    <row r="3123" spans="2:14" x14ac:dyDescent="0.25">
      <c r="B3123">
        <v>87</v>
      </c>
      <c r="C3123">
        <v>344.99999999999994</v>
      </c>
      <c r="D3123">
        <v>27</v>
      </c>
      <c r="E3123" s="18">
        <v>288.84645464079813</v>
      </c>
      <c r="F3123" s="18">
        <v>-806.520599925533</v>
      </c>
      <c r="G3123" s="18">
        <v>3357.9672920729768</v>
      </c>
      <c r="H3123" s="12">
        <f>E3124</f>
      </c>
      <c r="I3123" s="12">
        <f>F3124</f>
      </c>
      <c r="J3123" s="12">
        <f>G3124</f>
      </c>
      <c r="K3123">
        <f>IF(AND(Pu&gt;=MIN(E3123,H3123),Pu&lt;=MAX(E3123,H3123),E3123&lt;&gt;H3123),1,0)</f>
      </c>
      <c r="L3123">
        <f>IF(K3123=1,(Pu-E3123)/(H3123-E3123),"")</f>
      </c>
      <c r="M3123" s="12">
        <f>IF(K3123=1,F3123+L3123*(I3123-F3123),"")</f>
      </c>
      <c r="N3123" s="12">
        <f>IF(K3123=1,G3123+L3123*(J3123-G3123),"")</f>
      </c>
    </row>
    <row r="3124" spans="2:14" x14ac:dyDescent="0.25">
      <c r="B3124">
        <v>87</v>
      </c>
      <c r="C3124">
        <v>344.99999999999994</v>
      </c>
      <c r="D3124">
        <v>28</v>
      </c>
      <c r="E3124" s="18">
        <v>-526.2233722366282</v>
      </c>
      <c r="F3124" s="18">
        <v>-735.6234994578202</v>
      </c>
      <c r="G3124" s="18">
        <v>2870.488184717973</v>
      </c>
      <c r="H3124" s="12">
        <f>E3125</f>
      </c>
      <c r="I3124" s="12">
        <f>F3125</f>
      </c>
      <c r="J3124" s="12">
        <f>G3125</f>
      </c>
      <c r="K3124">
        <f>IF(AND(Pu&gt;=MIN(E3124,H3124),Pu&lt;=MAX(E3124,H3124),E3124&lt;&gt;H3124),1,0)</f>
      </c>
      <c r="L3124">
        <f>IF(K3124=1,(Pu-E3124)/(H3124-E3124),"")</f>
      </c>
      <c r="M3124" s="12">
        <f>IF(K3124=1,F3124+L3124*(I3124-F3124),"")</f>
      </c>
      <c r="N3124" s="12">
        <f>IF(K3124=1,G3124+L3124*(J3124-G3124),"")</f>
      </c>
    </row>
    <row r="3125" spans="2:14" x14ac:dyDescent="0.25">
      <c r="B3125">
        <v>87</v>
      </c>
      <c r="C3125">
        <v>344.99999999999994</v>
      </c>
      <c r="D3125">
        <v>29</v>
      </c>
      <c r="E3125" s="18">
        <v>-1185.5245906956884</v>
      </c>
      <c r="F3125" s="18">
        <v>-659.7086826954628</v>
      </c>
      <c r="G3125" s="18">
        <v>2469.1091873330165</v>
      </c>
      <c r="H3125" s="12">
        <f>E3126</f>
      </c>
      <c r="I3125" s="12">
        <f>F3126</f>
      </c>
      <c r="J3125" s="12">
        <f>G3126</f>
      </c>
      <c r="K3125">
        <f>IF(AND(Pu&gt;=MIN(E3125,H3125),Pu&lt;=MAX(E3125,H3125),E3125&lt;&gt;H3125),1,0)</f>
      </c>
      <c r="L3125">
        <f>IF(K3125=1,(Pu-E3125)/(H3125-E3125),"")</f>
      </c>
      <c r="M3125" s="12">
        <f>IF(K3125=1,F3125+L3125*(I3125-F3125),"")</f>
      </c>
      <c r="N3125" s="12">
        <f>IF(K3125=1,G3125+L3125*(J3125-G3125),"")</f>
      </c>
    </row>
    <row r="3126" spans="2:14" x14ac:dyDescent="0.25">
      <c r="B3126">
        <v>87</v>
      </c>
      <c r="C3126">
        <v>344.99999999999994</v>
      </c>
      <c r="D3126">
        <v>30</v>
      </c>
      <c r="E3126" s="18">
        <v>-2234.190002889513</v>
      </c>
      <c r="F3126" s="18">
        <v>-506.3991081475944</v>
      </c>
      <c r="G3126" s="18">
        <v>1820.3753935995862</v>
      </c>
      <c r="H3126" s="12">
        <f>E3127</f>
      </c>
      <c r="I3126" s="12">
        <f>F3127</f>
      </c>
      <c r="J3126" s="12">
        <f>G3127</f>
      </c>
      <c r="K3126">
        <f>IF(AND(Pu&gt;=MIN(E3126,H3126),Pu&lt;=MAX(E3126,H3126),E3126&lt;&gt;H3126),1,0)</f>
      </c>
      <c r="L3126">
        <f>IF(K3126=1,(Pu-E3126)/(H3126-E3126),"")</f>
      </c>
      <c r="M3126" s="12">
        <f>IF(K3126=1,F3126+L3126*(I3126-F3126),"")</f>
      </c>
      <c r="N3126" s="12">
        <f>IF(K3126=1,G3126+L3126*(J3126-G3126),"")</f>
      </c>
    </row>
    <row r="3127" spans="2:14" x14ac:dyDescent="0.25">
      <c r="B3127">
        <v>87</v>
      </c>
      <c r="C3127">
        <v>344.99999999999994</v>
      </c>
      <c r="D3127">
        <v>31</v>
      </c>
      <c r="E3127" s="18">
        <v>-2902.465780518213</v>
      </c>
      <c r="F3127" s="18">
        <v>-435.932175087794</v>
      </c>
      <c r="G3127" s="18">
        <v>1381.560814145309</v>
      </c>
      <c r="H3127" s="12">
        <f>E3128</f>
      </c>
      <c r="I3127" s="12">
        <f>F3128</f>
      </c>
      <c r="J3127" s="12">
        <f>G3128</f>
      </c>
      <c r="K3127">
        <f>IF(AND(Pu&gt;=MIN(E3127,H3127),Pu&lt;=MAX(E3127,H3127),E3127&lt;&gt;H3127),1,0)</f>
      </c>
      <c r="L3127">
        <f>IF(K3127=1,(Pu-E3127)/(H3127-E3127),"")</f>
      </c>
      <c r="M3127" s="12">
        <f>IF(K3127=1,F3127+L3127*(I3127-F3127),"")</f>
      </c>
      <c r="N3127" s="12">
        <f>IF(K3127=1,G3127+L3127*(J3127-G3127),"")</f>
      </c>
    </row>
    <row r="3128" spans="2:14" x14ac:dyDescent="0.25">
      <c r="B3128">
        <v>87</v>
      </c>
      <c r="C3128">
        <v>344.99999999999994</v>
      </c>
      <c r="D3128">
        <v>32</v>
      </c>
      <c r="E3128" s="18">
        <v>-3719.8528882899723</v>
      </c>
      <c r="F3128" s="18">
        <v>-322.07937412419756</v>
      </c>
      <c r="G3128" s="18">
        <v>830.9820788408116</v>
      </c>
      <c r="H3128" s="12">
        <f>E3129</f>
      </c>
      <c r="I3128" s="12">
        <f>F3129</f>
      </c>
      <c r="J3128" s="12">
        <f>G3129</f>
      </c>
      <c r="K3128">
        <f>IF(AND(Pu&gt;=MIN(E3128,H3128),Pu&lt;=MAX(E3128,H3128),E3128&lt;&gt;H3128),1,0)</f>
      </c>
      <c r="L3128">
        <f>IF(K3128=1,(Pu-E3128)/(H3128-E3128),"")</f>
      </c>
      <c r="M3128" s="12">
        <f>IF(K3128=1,F3128+L3128*(I3128-F3128),"")</f>
      </c>
      <c r="N3128" s="12">
        <f>IF(K3128=1,G3128+L3128*(J3128-G3128),"")</f>
      </c>
    </row>
    <row r="3129" spans="2:14" x14ac:dyDescent="0.25">
      <c r="B3129">
        <v>87</v>
      </c>
      <c r="C3129">
        <v>344.99999999999994</v>
      </c>
      <c r="D3129">
        <v>33</v>
      </c>
      <c r="E3129" s="18">
        <v>-4125.061666977996</v>
      </c>
      <c r="F3129" s="18">
        <v>-235.16260783643034</v>
      </c>
      <c r="G3129" s="18">
        <v>554.3985385139309</v>
      </c>
      <c r="H3129" s="12">
        <f>E3130</f>
      </c>
      <c r="I3129" s="12">
        <f>F3130</f>
      </c>
      <c r="J3129" s="12">
        <f>G3130</f>
      </c>
      <c r="K3129">
        <f>IF(AND(Pu&gt;=MIN(E3129,H3129),Pu&lt;=MAX(E3129,H3129),E3129&lt;&gt;H3129),1,0)</f>
      </c>
      <c r="L3129">
        <f>IF(K3129=1,(Pu-E3129)/(H3129-E3129),"")</f>
      </c>
      <c r="M3129" s="12">
        <f>IF(K3129=1,F3129+L3129*(I3129-F3129),"")</f>
      </c>
      <c r="N3129" s="12">
        <f>IF(K3129=1,G3129+L3129*(J3129-G3129),"")</f>
      </c>
    </row>
    <row r="3130" spans="2:14" x14ac:dyDescent="0.25">
      <c r="B3130">
        <v>87</v>
      </c>
      <c r="C3130">
        <v>344.99999999999994</v>
      </c>
      <c r="D3130">
        <v>34</v>
      </c>
      <c r="E3130" s="18">
        <v>-4617.209588170481</v>
      </c>
      <c r="F3130" s="18">
        <v>-101.48036361480371</v>
      </c>
      <c r="G3130" s="18">
        <v>215.31801285117444</v>
      </c>
      <c r="H3130" s="12">
        <f>E3131</f>
      </c>
      <c r="I3130" s="12">
        <f>F3131</f>
      </c>
      <c r="J3130" s="12">
        <f>G3131</f>
      </c>
      <c r="K3130">
        <f>IF(AND(Pu&gt;=MIN(E3130,H3130),Pu&lt;=MAX(E3130,H3130),E3130&lt;&gt;H3130),1,0)</f>
      </c>
      <c r="L3130">
        <f>IF(K3130=1,(Pu-E3130)/(H3130-E3130),"")</f>
      </c>
      <c r="M3130" s="12">
        <f>IF(K3130=1,F3130+L3130*(I3130-F3130),"")</f>
      </c>
      <c r="N3130" s="12">
        <f>IF(K3130=1,G3130+L3130*(J3130-G3130),"")</f>
      </c>
    </row>
    <row r="3131" spans="2:7" x14ac:dyDescent="0.25">
      <c r="B3131">
        <v>87</v>
      </c>
      <c r="C3131">
        <v>344.99999999999994</v>
      </c>
      <c r="D3131">
        <v>35</v>
      </c>
      <c r="E3131" s="18">
        <v>-4815.937325645018</v>
      </c>
      <c r="F3131" s="18">
        <v>-38.75868913285201</v>
      </c>
      <c r="G3131" s="18">
        <v>77.42816561606939</v>
      </c>
    </row>
    <row r="3133" spans="2:14" x14ac:dyDescent="0.25">
      <c r="B3133">
        <v>88</v>
      </c>
      <c r="C3133">
        <v>348.7499999999999</v>
      </c>
      <c r="D3133">
        <v>1</v>
      </c>
      <c r="E3133" s="18">
        <v>17212.131651709296</v>
      </c>
      <c r="F3133" s="18">
        <v>-437.2921604065504</v>
      </c>
      <c r="G3133" s="18">
        <v>2891.0599009281746</v>
      </c>
      <c r="H3133" s="12">
        <f>E3134</f>
      </c>
      <c r="I3133" s="12">
        <f>F3134</f>
      </c>
      <c r="J3133" s="12">
        <f>G3134</f>
      </c>
      <c r="K3133">
        <f>IF(AND(Pu&gt;=MIN(E3133,H3133),Pu&lt;=MAX(E3133,H3133),E3133&lt;&gt;H3133),1,0)</f>
      </c>
      <c r="L3133">
        <f>IF(K3133=1,(Pu-E3133)/(H3133-E3133),"")</f>
      </c>
      <c r="M3133" s="12">
        <f>IF(K3133=1,F3133+L3133*(I3133-F3133),"")</f>
      </c>
      <c r="N3133" s="12">
        <f>IF(K3133=1,G3133+L3133*(J3133-G3133),"")</f>
      </c>
    </row>
    <row r="3134" spans="2:14" x14ac:dyDescent="0.25">
      <c r="B3134">
        <v>88</v>
      </c>
      <c r="C3134">
        <v>348.7499999999999</v>
      </c>
      <c r="D3134">
        <v>2</v>
      </c>
      <c r="E3134" s="18">
        <v>16342.527584346682</v>
      </c>
      <c r="F3134" s="18">
        <v>-429.2768282020781</v>
      </c>
      <c r="G3134" s="18">
        <v>3281.024141100631</v>
      </c>
      <c r="H3134" s="12">
        <f>E3135</f>
      </c>
      <c r="I3134" s="12">
        <f>F3135</f>
      </c>
      <c r="J3134" s="12">
        <f>G3135</f>
      </c>
      <c r="K3134">
        <f>IF(AND(Pu&gt;=MIN(E3134,H3134),Pu&lt;=MAX(E3134,H3134),E3134&lt;&gt;H3134),1,0)</f>
      </c>
      <c r="L3134">
        <f>IF(K3134=1,(Pu-E3134)/(H3134-E3134),"")</f>
      </c>
      <c r="M3134" s="12">
        <f>IF(K3134=1,F3134+L3134*(I3134-F3134),"")</f>
      </c>
      <c r="N3134" s="12">
        <f>IF(K3134=1,G3134+L3134*(J3134-G3134),"")</f>
      </c>
    </row>
    <row r="3135" spans="2:14" x14ac:dyDescent="0.25">
      <c r="B3135">
        <v>88</v>
      </c>
      <c r="C3135">
        <v>348.7499999999999</v>
      </c>
      <c r="D3135">
        <v>3</v>
      </c>
      <c r="E3135" s="18">
        <v>15563.068231220448</v>
      </c>
      <c r="F3135" s="18">
        <v>-438.193058077799</v>
      </c>
      <c r="G3135" s="18">
        <v>3576.8598320332685</v>
      </c>
      <c r="H3135" s="12">
        <f>E3136</f>
      </c>
      <c r="I3135" s="12">
        <f>F3136</f>
      </c>
      <c r="J3135" s="12">
        <f>G3136</f>
      </c>
      <c r="K3135">
        <f>IF(AND(Pu&gt;=MIN(E3135,H3135),Pu&lt;=MAX(E3135,H3135),E3135&lt;&gt;H3135),1,0)</f>
      </c>
      <c r="L3135">
        <f>IF(K3135=1,(Pu-E3135)/(H3135-E3135),"")</f>
      </c>
      <c r="M3135" s="12">
        <f>IF(K3135=1,F3135+L3135*(I3135-F3135),"")</f>
      </c>
      <c r="N3135" s="12">
        <f>IF(K3135=1,G3135+L3135*(J3135-G3135),"")</f>
      </c>
    </row>
    <row r="3136" spans="2:14" x14ac:dyDescent="0.25">
      <c r="B3136">
        <v>88</v>
      </c>
      <c r="C3136">
        <v>348.7499999999999</v>
      </c>
      <c r="D3136">
        <v>4</v>
      </c>
      <c r="E3136" s="18">
        <v>14126.972911178771</v>
      </c>
      <c r="F3136" s="18">
        <v>-516.8123487241346</v>
      </c>
      <c r="G3136" s="18">
        <v>3984.738823797869</v>
      </c>
      <c r="H3136" s="12">
        <f>E3137</f>
      </c>
      <c r="I3136" s="12">
        <f>F3137</f>
      </c>
      <c r="J3136" s="12">
        <f>G3137</f>
      </c>
      <c r="K3136">
        <f>IF(AND(Pu&gt;=MIN(E3136,H3136),Pu&lt;=MAX(E3136,H3136),E3136&lt;&gt;H3136),1,0)</f>
      </c>
      <c r="L3136">
        <f>IF(K3136=1,(Pu-E3136)/(H3136-E3136),"")</f>
      </c>
      <c r="M3136" s="12">
        <f>IF(K3136=1,F3136+L3136*(I3136-F3136),"")</f>
      </c>
      <c r="N3136" s="12">
        <f>IF(K3136=1,G3136+L3136*(J3136-G3136),"")</f>
      </c>
    </row>
    <row r="3137" spans="2:14" x14ac:dyDescent="0.25">
      <c r="B3137">
        <v>88</v>
      </c>
      <c r="C3137">
        <v>348.7499999999999</v>
      </c>
      <c r="D3137">
        <v>5</v>
      </c>
      <c r="E3137" s="18">
        <v>12105.1936224974</v>
      </c>
      <c r="F3137" s="18">
        <v>-628.6681212625614</v>
      </c>
      <c r="G3137" s="18">
        <v>4331.84227603133</v>
      </c>
      <c r="H3137" s="12">
        <f>E3138</f>
      </c>
      <c r="I3137" s="12">
        <f>F3138</f>
      </c>
      <c r="J3137" s="12">
        <f>G3138</f>
      </c>
      <c r="K3137">
        <f>IF(AND(Pu&gt;=MIN(E3137,H3137),Pu&lt;=MAX(E3137,H3137),E3137&lt;&gt;H3137),1,0)</f>
      </c>
      <c r="L3137">
        <f>IF(K3137=1,(Pu-E3137)/(H3137-E3137),"")</f>
      </c>
      <c r="M3137" s="12">
        <f>IF(K3137=1,F3137+L3137*(I3137-F3137),"")</f>
      </c>
      <c r="N3137" s="12">
        <f>IF(K3137=1,G3137+L3137*(J3137-G3137),"")</f>
      </c>
    </row>
    <row r="3138" spans="2:14" x14ac:dyDescent="0.25">
      <c r="B3138">
        <v>88</v>
      </c>
      <c r="C3138">
        <v>348.7499999999999</v>
      </c>
      <c r="D3138">
        <v>6</v>
      </c>
      <c r="E3138" s="18">
        <v>9951.502847855538</v>
      </c>
      <c r="F3138" s="18">
        <v>-652.939544822195</v>
      </c>
      <c r="G3138" s="18">
        <v>4558.848832161496</v>
      </c>
      <c r="H3138" s="12">
        <f>E3139</f>
      </c>
      <c r="I3138" s="12">
        <f>F3139</f>
      </c>
      <c r="J3138" s="12">
        <f>G3139</f>
      </c>
      <c r="K3138">
        <f>IF(AND(Pu&gt;=MIN(E3138,H3138),Pu&lt;=MAX(E3138,H3138),E3138&lt;&gt;H3138),1,0)</f>
      </c>
      <c r="L3138">
        <f>IF(K3138=1,(Pu-E3138)/(H3138-E3138),"")</f>
      </c>
      <c r="M3138" s="12">
        <f>IF(K3138=1,F3138+L3138*(I3138-F3138),"")</f>
      </c>
      <c r="N3138" s="12">
        <f>IF(K3138=1,G3138+L3138*(J3138-G3138),"")</f>
      </c>
    </row>
    <row r="3139" spans="2:14" x14ac:dyDescent="0.25">
      <c r="B3139">
        <v>88</v>
      </c>
      <c r="C3139">
        <v>348.7499999999999</v>
      </c>
      <c r="D3139">
        <v>7</v>
      </c>
      <c r="E3139" s="18">
        <v>8792.875148562773</v>
      </c>
      <c r="F3139" s="18">
        <v>-667.6772366798085</v>
      </c>
      <c r="G3139" s="18">
        <v>4632.4639983855695</v>
      </c>
      <c r="H3139" s="12">
        <f>E3140</f>
      </c>
      <c r="I3139" s="12">
        <f>F3140</f>
      </c>
      <c r="J3139" s="12">
        <f>G3140</f>
      </c>
      <c r="K3139">
        <f>IF(AND(Pu&gt;=MIN(E3139,H3139),Pu&lt;=MAX(E3139,H3139),E3139&lt;&gt;H3139),1,0)</f>
      </c>
      <c r="L3139">
        <f>IF(K3139=1,(Pu-E3139)/(H3139-E3139),"")</f>
      </c>
      <c r="M3139" s="12">
        <f>IF(K3139=1,F3139+L3139*(I3139-F3139),"")</f>
      </c>
      <c r="N3139" s="12">
        <f>IF(K3139=1,G3139+L3139*(J3139-G3139),"")</f>
      </c>
    </row>
    <row r="3140" spans="2:14" x14ac:dyDescent="0.25">
      <c r="B3140">
        <v>88</v>
      </c>
      <c r="C3140">
        <v>348.7499999999999</v>
      </c>
      <c r="D3140">
        <v>8</v>
      </c>
      <c r="E3140" s="18">
        <v>8271.985126402926</v>
      </c>
      <c r="F3140" s="18">
        <v>-683.6784062462667</v>
      </c>
      <c r="G3140" s="18">
        <v>4734.590710353706</v>
      </c>
      <c r="H3140" s="12">
        <f>E3141</f>
      </c>
      <c r="I3140" s="12">
        <f>F3141</f>
      </c>
      <c r="J3140" s="12">
        <f>G3141</f>
      </c>
      <c r="K3140">
        <f>IF(AND(Pu&gt;=MIN(E3140,H3140),Pu&lt;=MAX(E3140,H3140),E3140&lt;&gt;H3140),1,0)</f>
      </c>
      <c r="L3140">
        <f>IF(K3140=1,(Pu-E3140)/(H3140-E3140),"")</f>
      </c>
      <c r="M3140" s="12">
        <f>IF(K3140=1,F3140+L3140*(I3140-F3140),"")</f>
      </c>
      <c r="N3140" s="12">
        <f>IF(K3140=1,G3140+L3140*(J3140-G3140),"")</f>
      </c>
    </row>
    <row r="3141" spans="2:14" x14ac:dyDescent="0.25">
      <c r="B3141">
        <v>88</v>
      </c>
      <c r="C3141">
        <v>348.7499999999999</v>
      </c>
      <c r="D3141">
        <v>9</v>
      </c>
      <c r="E3141" s="18">
        <v>7794.438330587626</v>
      </c>
      <c r="F3141" s="18">
        <v>-690.9029730721322</v>
      </c>
      <c r="G3141" s="18">
        <v>4814.911632202111</v>
      </c>
      <c r="H3141" s="12">
        <f>E3142</f>
      </c>
      <c r="I3141" s="12">
        <f>F3142</f>
      </c>
      <c r="J3141" s="12">
        <f>G3142</f>
      </c>
      <c r="K3141">
        <f>IF(AND(Pu&gt;=MIN(E3141,H3141),Pu&lt;=MAX(E3141,H3141),E3141&lt;&gt;H3141),1,0)</f>
      </c>
      <c r="L3141">
        <f>IF(K3141=1,(Pu-E3141)/(H3141-E3141),"")</f>
      </c>
      <c r="M3141" s="12">
        <f>IF(K3141=1,F3141+L3141*(I3141-F3141),"")</f>
      </c>
      <c r="N3141" s="12">
        <f>IF(K3141=1,G3141+L3141*(J3141-G3141),"")</f>
      </c>
    </row>
    <row r="3142" spans="2:14" x14ac:dyDescent="0.25">
      <c r="B3142">
        <v>88</v>
      </c>
      <c r="C3142">
        <v>348.7499999999999</v>
      </c>
      <c r="D3142">
        <v>10</v>
      </c>
      <c r="E3142" s="18">
        <v>7224.644878865104</v>
      </c>
      <c r="F3142" s="18">
        <v>-705.7376513588492</v>
      </c>
      <c r="G3142" s="18">
        <v>4903.923940888564</v>
      </c>
      <c r="H3142" s="12">
        <f>E3143</f>
      </c>
      <c r="I3142" s="12">
        <f>F3143</f>
      </c>
      <c r="J3142" s="12">
        <f>G3143</f>
      </c>
      <c r="K3142">
        <f>IF(AND(Pu&gt;=MIN(E3142,H3142),Pu&lt;=MAX(E3142,H3142),E3142&lt;&gt;H3142),1,0)</f>
      </c>
      <c r="L3142">
        <f>IF(K3142=1,(Pu-E3142)/(H3142-E3142),"")</f>
      </c>
      <c r="M3142" s="12">
        <f>IF(K3142=1,F3142+L3142*(I3142-F3142),"")</f>
      </c>
      <c r="N3142" s="12">
        <f>IF(K3142=1,G3142+L3142*(J3142-G3142),"")</f>
      </c>
    </row>
    <row r="3143" spans="2:14" x14ac:dyDescent="0.25">
      <c r="B3143">
        <v>88</v>
      </c>
      <c r="C3143">
        <v>348.7499999999999</v>
      </c>
      <c r="D3143">
        <v>11</v>
      </c>
      <c r="E3143" s="18">
        <v>7068.864747238217</v>
      </c>
      <c r="F3143" s="18">
        <v>-704.7574928682454</v>
      </c>
      <c r="G3143" s="18">
        <v>4932.139023813639</v>
      </c>
      <c r="H3143" s="12">
        <f>E3144</f>
      </c>
      <c r="I3143" s="12">
        <f>F3144</f>
      </c>
      <c r="J3143" s="12">
        <f>G3144</f>
      </c>
      <c r="K3143">
        <f>IF(AND(Pu&gt;=MIN(E3143,H3143),Pu&lt;=MAX(E3143,H3143),E3143&lt;&gt;H3143),1,0)</f>
      </c>
      <c r="L3143">
        <f>IF(K3143=1,(Pu-E3143)/(H3143-E3143),"")</f>
      </c>
      <c r="M3143" s="12">
        <f>IF(K3143=1,F3143+L3143*(I3143-F3143),"")</f>
      </c>
      <c r="N3143" s="12">
        <f>IF(K3143=1,G3143+L3143*(J3143-G3143),"")</f>
      </c>
    </row>
    <row r="3144" spans="2:14" x14ac:dyDescent="0.25">
      <c r="B3144">
        <v>88</v>
      </c>
      <c r="C3144">
        <v>348.7499999999999</v>
      </c>
      <c r="D3144">
        <v>12</v>
      </c>
      <c r="E3144" s="18">
        <v>6583.292222246626</v>
      </c>
      <c r="F3144" s="18">
        <v>-686.2280614489131</v>
      </c>
      <c r="G3144" s="18">
        <v>5043.509118539436</v>
      </c>
      <c r="H3144" s="12">
        <f>E3145</f>
      </c>
      <c r="I3144" s="12">
        <f>F3145</f>
      </c>
      <c r="J3144" s="12">
        <f>G3145</f>
      </c>
      <c r="K3144">
        <f>IF(AND(Pu&gt;=MIN(E3144,H3144),Pu&lt;=MAX(E3144,H3144),E3144&lt;&gt;H3144),1,0)</f>
      </c>
      <c r="L3144">
        <f>IF(K3144=1,(Pu-E3144)/(H3144-E3144),"")</f>
      </c>
      <c r="M3144" s="12">
        <f>IF(K3144=1,F3144+L3144*(I3144-F3144),"")</f>
      </c>
      <c r="N3144" s="12">
        <f>IF(K3144=1,G3144+L3144*(J3144-G3144),"")</f>
      </c>
    </row>
    <row r="3145" spans="2:14" x14ac:dyDescent="0.25">
      <c r="B3145">
        <v>88</v>
      </c>
      <c r="C3145">
        <v>348.7499999999999</v>
      </c>
      <c r="D3145">
        <v>13</v>
      </c>
      <c r="E3145" s="18">
        <v>6571.611923140389</v>
      </c>
      <c r="F3145" s="18">
        <v>-685.4800497636207</v>
      </c>
      <c r="G3145" s="18">
        <v>5046.684172296076</v>
      </c>
      <c r="H3145" s="12">
        <f>E3146</f>
      </c>
      <c r="I3145" s="12">
        <f>F3146</f>
      </c>
      <c r="J3145" s="12">
        <f>G3146</f>
      </c>
      <c r="K3145">
        <f>IF(AND(Pu&gt;=MIN(E3145,H3145),Pu&lt;=MAX(E3145,H3145),E3145&lt;&gt;H3145),1,0)</f>
      </c>
      <c r="L3145">
        <f>IF(K3145=1,(Pu-E3145)/(H3145-E3145),"")</f>
      </c>
      <c r="M3145" s="12">
        <f>IF(K3145=1,F3145+L3145*(I3145-F3145),"")</f>
      </c>
      <c r="N3145" s="12">
        <f>IF(K3145=1,G3145+L3145*(J3145-G3145),"")</f>
      </c>
    </row>
    <row r="3146" spans="2:14" x14ac:dyDescent="0.25">
      <c r="B3146">
        <v>88</v>
      </c>
      <c r="C3146">
        <v>348.7499999999999</v>
      </c>
      <c r="D3146">
        <v>14</v>
      </c>
      <c r="E3146" s="18">
        <v>6228.623279910235</v>
      </c>
      <c r="F3146" s="18">
        <v>-673.6014512698607</v>
      </c>
      <c r="G3146" s="18">
        <v>5160.155550416887</v>
      </c>
      <c r="H3146" s="12">
        <f>E3147</f>
      </c>
      <c r="I3146" s="12">
        <f>F3147</f>
      </c>
      <c r="J3146" s="12">
        <f>G3147</f>
      </c>
      <c r="K3146">
        <f>IF(AND(Pu&gt;=MIN(E3146,H3146),Pu&lt;=MAX(E3146,H3146),E3146&lt;&gt;H3146),1,0)</f>
      </c>
      <c r="L3146">
        <f>IF(K3146=1,(Pu-E3146)/(H3146-E3146),"")</f>
      </c>
      <c r="M3146" s="12">
        <f>IF(K3146=1,F3146+L3146*(I3146-F3146),"")</f>
      </c>
      <c r="N3146" s="12">
        <f>IF(K3146=1,G3146+L3146*(J3146-G3146),"")</f>
      </c>
    </row>
    <row r="3147" spans="2:14" x14ac:dyDescent="0.25">
      <c r="B3147">
        <v>88</v>
      </c>
      <c r="C3147">
        <v>348.7499999999999</v>
      </c>
      <c r="D3147">
        <v>15</v>
      </c>
      <c r="E3147" s="18">
        <v>6143.325518787704</v>
      </c>
      <c r="F3147" s="18">
        <v>-673.1173499959998</v>
      </c>
      <c r="G3147" s="18">
        <v>5191.834444504661</v>
      </c>
      <c r="H3147" s="12">
        <f>E3148</f>
      </c>
      <c r="I3147" s="12">
        <f>F3148</f>
      </c>
      <c r="J3147" s="12">
        <f>G3148</f>
      </c>
      <c r="K3147">
        <f>IF(AND(Pu&gt;=MIN(E3147,H3147),Pu&lt;=MAX(E3147,H3147),E3147&lt;&gt;H3147),1,0)</f>
      </c>
      <c r="L3147">
        <f>IF(K3147=1,(Pu-E3147)/(H3147-E3147),"")</f>
      </c>
      <c r="M3147" s="12">
        <f>IF(K3147=1,F3147+L3147*(I3147-F3147),"")</f>
      </c>
      <c r="N3147" s="12">
        <f>IF(K3147=1,G3147+L3147*(J3147-G3147),"")</f>
      </c>
    </row>
    <row r="3148" spans="2:14" x14ac:dyDescent="0.25">
      <c r="B3148">
        <v>88</v>
      </c>
      <c r="C3148">
        <v>348.7499999999999</v>
      </c>
      <c r="D3148">
        <v>16</v>
      </c>
      <c r="E3148" s="18">
        <v>5928.205392904382</v>
      </c>
      <c r="F3148" s="18">
        <v>-673.9559203512615</v>
      </c>
      <c r="G3148" s="18">
        <v>5272.6061730137235</v>
      </c>
      <c r="H3148" s="12">
        <f>E3149</f>
      </c>
      <c r="I3148" s="12">
        <f>F3149</f>
      </c>
      <c r="J3148" s="12">
        <f>G3149</f>
      </c>
      <c r="K3148">
        <f>IF(AND(Pu&gt;=MIN(E3148,H3148),Pu&lt;=MAX(E3148,H3148),E3148&lt;&gt;H3148),1,0)</f>
      </c>
      <c r="L3148">
        <f>IF(K3148=1,(Pu-E3148)/(H3148-E3148),"")</f>
      </c>
      <c r="M3148" s="12">
        <f>IF(K3148=1,F3148+L3148*(I3148-F3148),"")</f>
      </c>
      <c r="N3148" s="12">
        <f>IF(K3148=1,G3148+L3148*(J3148-G3148),"")</f>
      </c>
    </row>
    <row r="3149" spans="2:14" x14ac:dyDescent="0.25">
      <c r="B3149">
        <v>88</v>
      </c>
      <c r="C3149">
        <v>348.7499999999999</v>
      </c>
      <c r="D3149">
        <v>17</v>
      </c>
      <c r="E3149" s="18">
        <v>5675.255343311121</v>
      </c>
      <c r="F3149" s="18">
        <v>-676.0772244584555</v>
      </c>
      <c r="G3149" s="18">
        <v>5372.897539909575</v>
      </c>
      <c r="H3149" s="12">
        <f>E3150</f>
      </c>
      <c r="I3149" s="12">
        <f>F3150</f>
      </c>
      <c r="J3149" s="12">
        <f>G3150</f>
      </c>
      <c r="K3149">
        <f>IF(AND(Pu&gt;=MIN(E3149,H3149),Pu&lt;=MAX(E3149,H3149),E3149&lt;&gt;H3149),1,0)</f>
      </c>
      <c r="L3149">
        <f>IF(K3149=1,(Pu-E3149)/(H3149-E3149),"")</f>
      </c>
      <c r="M3149" s="12">
        <f>IF(K3149=1,F3149+L3149*(I3149-F3149),"")</f>
      </c>
      <c r="N3149" s="12">
        <f>IF(K3149=1,G3149+L3149*(J3149-G3149),"")</f>
      </c>
    </row>
    <row r="3150" spans="2:14" x14ac:dyDescent="0.25">
      <c r="B3150">
        <v>88</v>
      </c>
      <c r="C3150">
        <v>348.7499999999999</v>
      </c>
      <c r="D3150">
        <v>18</v>
      </c>
      <c r="E3150" s="18">
        <v>5525.861622845331</v>
      </c>
      <c r="F3150" s="18">
        <v>-674.8141253195004</v>
      </c>
      <c r="G3150" s="18">
        <v>5449.572175980188</v>
      </c>
      <c r="H3150" s="12">
        <f>E3151</f>
      </c>
      <c r="I3150" s="12">
        <f>F3151</f>
      </c>
      <c r="J3150" s="12">
        <f>G3151</f>
      </c>
      <c r="K3150">
        <f>IF(AND(Pu&gt;=MIN(E3150,H3150),Pu&lt;=MAX(E3150,H3150),E3150&lt;&gt;H3150),1,0)</f>
      </c>
      <c r="L3150">
        <f>IF(K3150=1,(Pu-E3150)/(H3150-E3150),"")</f>
      </c>
      <c r="M3150" s="12">
        <f>IF(K3150=1,F3150+L3150*(I3150-F3150),"")</f>
      </c>
      <c r="N3150" s="12">
        <f>IF(K3150=1,G3150+L3150*(J3150-G3150),"")</f>
      </c>
    </row>
    <row r="3151" spans="2:14" x14ac:dyDescent="0.25">
      <c r="B3151">
        <v>88</v>
      </c>
      <c r="C3151">
        <v>348.7499999999999</v>
      </c>
      <c r="D3151">
        <v>19</v>
      </c>
      <c r="E3151" s="18">
        <v>5502.583771275219</v>
      </c>
      <c r="F3151" s="18">
        <v>-686.0451980968082</v>
      </c>
      <c r="G3151" s="18">
        <v>5470.217268356405</v>
      </c>
      <c r="H3151" s="12">
        <f>E3152</f>
      </c>
      <c r="I3151" s="12">
        <f>F3152</f>
      </c>
      <c r="J3151" s="12">
        <f>G3152</f>
      </c>
      <c r="K3151">
        <f>IF(AND(Pu&gt;=MIN(E3151,H3151),Pu&lt;=MAX(E3151,H3151),E3151&lt;&gt;H3151),1,0)</f>
      </c>
      <c r="L3151">
        <f>IF(K3151=1,(Pu-E3151)/(H3151-E3151),"")</f>
      </c>
      <c r="M3151" s="12">
        <f>IF(K3151=1,F3151+L3151*(I3151-F3151),"")</f>
      </c>
      <c r="N3151" s="12">
        <f>IF(K3151=1,G3151+L3151*(J3151-G3151),"")</f>
      </c>
    </row>
    <row r="3152" spans="2:14" x14ac:dyDescent="0.25">
      <c r="B3152">
        <v>88</v>
      </c>
      <c r="C3152">
        <v>348.7499999999999</v>
      </c>
      <c r="D3152">
        <v>20</v>
      </c>
      <c r="E3152" s="18">
        <v>5306.270338386777</v>
      </c>
      <c r="F3152" s="18">
        <v>-699.94326783538</v>
      </c>
      <c r="G3152" s="18">
        <v>5556.215332623592</v>
      </c>
      <c r="H3152" s="12">
        <f>E3153</f>
      </c>
      <c r="I3152" s="12">
        <f>F3153</f>
      </c>
      <c r="J3152" s="12">
        <f>G3153</f>
      </c>
      <c r="K3152">
        <f>IF(AND(Pu&gt;=MIN(E3152,H3152),Pu&lt;=MAX(E3152,H3152),E3152&lt;&gt;H3152),1,0)</f>
      </c>
      <c r="L3152">
        <f>IF(K3152=1,(Pu-E3152)/(H3152-E3152),"")</f>
      </c>
      <c r="M3152" s="12">
        <f>IF(K3152=1,F3152+L3152*(I3152-F3152),"")</f>
      </c>
      <c r="N3152" s="12">
        <f>IF(K3152=1,G3152+L3152*(J3152-G3152),"")</f>
      </c>
    </row>
    <row r="3153" spans="2:14" x14ac:dyDescent="0.25">
      <c r="B3153">
        <v>88</v>
      </c>
      <c r="C3153">
        <v>348.7499999999999</v>
      </c>
      <c r="D3153">
        <v>21</v>
      </c>
      <c r="E3153" s="18">
        <v>5194.7791907953</v>
      </c>
      <c r="F3153" s="18">
        <v>-698.3177172395801</v>
      </c>
      <c r="G3153" s="18">
        <v>5531.174007568942</v>
      </c>
      <c r="H3153" s="12">
        <f>E3154</f>
      </c>
      <c r="I3153" s="12">
        <f>F3154</f>
      </c>
      <c r="J3153" s="12">
        <f>G3154</f>
      </c>
      <c r="K3153">
        <f>IF(AND(Pu&gt;=MIN(E3153,H3153),Pu&lt;=MAX(E3153,H3153),E3153&lt;&gt;H3153),1,0)</f>
      </c>
      <c r="L3153">
        <f>IF(K3153=1,(Pu-E3153)/(H3153-E3153),"")</f>
      </c>
      <c r="M3153" s="12">
        <f>IF(K3153=1,F3153+L3153*(I3153-F3153),"")</f>
      </c>
      <c r="N3153" s="12">
        <f>IF(K3153=1,G3153+L3153*(J3153-G3153),"")</f>
      </c>
    </row>
    <row r="3154" spans="2:14" x14ac:dyDescent="0.25">
      <c r="B3154">
        <v>88</v>
      </c>
      <c r="C3154">
        <v>348.7499999999999</v>
      </c>
      <c r="D3154">
        <v>22</v>
      </c>
      <c r="E3154" s="18">
        <v>4669.041727671867</v>
      </c>
      <c r="F3154" s="18">
        <v>-685.5554072040927</v>
      </c>
      <c r="G3154" s="18">
        <v>5406.394847846449</v>
      </c>
      <c r="H3154" s="12">
        <f>E3155</f>
      </c>
      <c r="I3154" s="12">
        <f>F3155</f>
      </c>
      <c r="J3154" s="12">
        <f>G3155</f>
      </c>
      <c r="K3154">
        <f>IF(AND(Pu&gt;=MIN(E3154,H3154),Pu&lt;=MAX(E3154,H3154),E3154&lt;&gt;H3154),1,0)</f>
      </c>
      <c r="L3154">
        <f>IF(K3154=1,(Pu-E3154)/(H3154-E3154),"")</f>
      </c>
      <c r="M3154" s="12">
        <f>IF(K3154=1,F3154+L3154*(I3154-F3154),"")</f>
      </c>
      <c r="N3154" s="12">
        <f>IF(K3154=1,G3154+L3154*(J3154-G3154),"")</f>
      </c>
    </row>
    <row r="3155" spans="2:14" x14ac:dyDescent="0.25">
      <c r="B3155">
        <v>88</v>
      </c>
      <c r="C3155">
        <v>348.7499999999999</v>
      </c>
      <c r="D3155">
        <v>23</v>
      </c>
      <c r="E3155" s="18">
        <v>3881.597284747635</v>
      </c>
      <c r="F3155" s="18">
        <v>-681.5749756695982</v>
      </c>
      <c r="G3155" s="18">
        <v>5143.843369623945</v>
      </c>
      <c r="H3155" s="12">
        <f>E3156</f>
      </c>
      <c r="I3155" s="12">
        <f>F3156</f>
      </c>
      <c r="J3155" s="12">
        <f>G3156</f>
      </c>
      <c r="K3155">
        <f>IF(AND(Pu&gt;=MIN(E3155,H3155),Pu&lt;=MAX(E3155,H3155),E3155&lt;&gt;H3155),1,0)</f>
      </c>
      <c r="L3155">
        <f>IF(K3155=1,(Pu-E3155)/(H3155-E3155),"")</f>
      </c>
      <c r="M3155" s="12">
        <f>IF(K3155=1,F3155+L3155*(I3155-F3155),"")</f>
      </c>
      <c r="N3155" s="12">
        <f>IF(K3155=1,G3155+L3155*(J3155-G3155),"")</f>
      </c>
    </row>
    <row r="3156" spans="2:14" x14ac:dyDescent="0.25">
      <c r="B3156">
        <v>88</v>
      </c>
      <c r="C3156">
        <v>348.7499999999999</v>
      </c>
      <c r="D3156">
        <v>24</v>
      </c>
      <c r="E3156" s="18">
        <v>3162.308370645776</v>
      </c>
      <c r="F3156" s="18">
        <v>-682.9600200648492</v>
      </c>
      <c r="G3156" s="18">
        <v>4883.525516328729</v>
      </c>
      <c r="H3156" s="12">
        <f>E3157</f>
      </c>
      <c r="I3156" s="12">
        <f>F3157</f>
      </c>
      <c r="J3156" s="12">
        <f>G3157</f>
      </c>
      <c r="K3156">
        <f>IF(AND(Pu&gt;=MIN(E3156,H3156),Pu&lt;=MAX(E3156,H3156),E3156&lt;&gt;H3156),1,0)</f>
      </c>
      <c r="L3156">
        <f>IF(K3156=1,(Pu-E3156)/(H3156-E3156),"")</f>
      </c>
      <c r="M3156" s="12">
        <f>IF(K3156=1,F3156+L3156*(I3156-F3156),"")</f>
      </c>
      <c r="N3156" s="12">
        <f>IF(K3156=1,G3156+L3156*(J3156-G3156),"")</f>
      </c>
    </row>
    <row r="3157" spans="2:14" x14ac:dyDescent="0.25">
      <c r="B3157">
        <v>88</v>
      </c>
      <c r="C3157">
        <v>348.7499999999999</v>
      </c>
      <c r="D3157">
        <v>25</v>
      </c>
      <c r="E3157" s="18">
        <v>2646.876068933242</v>
      </c>
      <c r="F3157" s="18">
        <v>-677.2541012912452</v>
      </c>
      <c r="G3157" s="18">
        <v>4652.541795589487</v>
      </c>
      <c r="H3157" s="12">
        <f>E3158</f>
      </c>
      <c r="I3157" s="12">
        <f>F3158</f>
      </c>
      <c r="J3157" s="12">
        <f>G3158</f>
      </c>
      <c r="K3157">
        <f>IF(AND(Pu&gt;=MIN(E3157,H3157),Pu&lt;=MAX(E3157,H3157),E3157&lt;&gt;H3157),1,0)</f>
      </c>
      <c r="L3157">
        <f>IF(K3157=1,(Pu-E3157)/(H3157-E3157),"")</f>
      </c>
      <c r="M3157" s="12">
        <f>IF(K3157=1,F3157+L3157*(I3157-F3157),"")</f>
      </c>
      <c r="N3157" s="12">
        <f>IF(K3157=1,G3157+L3157*(J3157-G3157),"")</f>
      </c>
    </row>
    <row r="3158" spans="2:14" x14ac:dyDescent="0.25">
      <c r="B3158">
        <v>88</v>
      </c>
      <c r="C3158">
        <v>348.7499999999999</v>
      </c>
      <c r="D3158">
        <v>26</v>
      </c>
      <c r="E3158" s="18">
        <v>1615.4573760730327</v>
      </c>
      <c r="F3158" s="18">
        <v>-694.6942864750523</v>
      </c>
      <c r="G3158" s="18">
        <v>4146.739297406911</v>
      </c>
      <c r="H3158" s="12">
        <f>E3159</f>
      </c>
      <c r="I3158" s="12">
        <f>F3159</f>
      </c>
      <c r="J3158" s="12">
        <f>G3159</f>
      </c>
      <c r="K3158">
        <f>IF(AND(Pu&gt;=MIN(E3158,H3158),Pu&lt;=MAX(E3158,H3158),E3158&lt;&gt;H3158),1,0)</f>
      </c>
      <c r="L3158">
        <f>IF(K3158=1,(Pu-E3158)/(H3158-E3158),"")</f>
      </c>
      <c r="M3158" s="12">
        <f>IF(K3158=1,F3158+L3158*(I3158-F3158),"")</f>
      </c>
      <c r="N3158" s="12">
        <f>IF(K3158=1,G3158+L3158*(J3158-G3158),"")</f>
      </c>
    </row>
    <row r="3159" spans="2:14" x14ac:dyDescent="0.25">
      <c r="B3159">
        <v>88</v>
      </c>
      <c r="C3159">
        <v>348.7499999999999</v>
      </c>
      <c r="D3159">
        <v>27</v>
      </c>
      <c r="E3159" s="18">
        <v>691.6245101146052</v>
      </c>
      <c r="F3159" s="18">
        <v>-658.1931576570813</v>
      </c>
      <c r="G3159" s="18">
        <v>3641.5725017912696</v>
      </c>
      <c r="H3159" s="12">
        <f>E3160</f>
      </c>
      <c r="I3159" s="12">
        <f>F3160</f>
      </c>
      <c r="J3159" s="12">
        <f>G3160</f>
      </c>
      <c r="K3159">
        <f>IF(AND(Pu&gt;=MIN(E3159,H3159),Pu&lt;=MAX(E3159,H3159),E3159&lt;&gt;H3159),1,0)</f>
      </c>
      <c r="L3159">
        <f>IF(K3159=1,(Pu-E3159)/(H3159-E3159),"")</f>
      </c>
      <c r="M3159" s="12">
        <f>IF(K3159=1,F3159+L3159*(I3159-F3159),"")</f>
      </c>
      <c r="N3159" s="12">
        <f>IF(K3159=1,G3159+L3159*(J3159-G3159),"")</f>
      </c>
    </row>
    <row r="3160" spans="2:14" x14ac:dyDescent="0.25">
      <c r="B3160">
        <v>88</v>
      </c>
      <c r="C3160">
        <v>348.7499999999999</v>
      </c>
      <c r="D3160">
        <v>28</v>
      </c>
      <c r="E3160" s="18">
        <v>-111.92034839185305</v>
      </c>
      <c r="F3160" s="18">
        <v>-595.9434938960327</v>
      </c>
      <c r="G3160" s="18">
        <v>3169.4259622507157</v>
      </c>
      <c r="H3160" s="12">
        <f>E3161</f>
      </c>
      <c r="I3160" s="12">
        <f>F3161</f>
      </c>
      <c r="J3160" s="12">
        <f>G3161</f>
      </c>
      <c r="K3160">
        <f>IF(AND(Pu&gt;=MIN(E3160,H3160),Pu&lt;=MAX(E3160,H3160),E3160&lt;&gt;H3160),1,0)</f>
      </c>
      <c r="L3160">
        <f>IF(K3160=1,(Pu-E3160)/(H3160-E3160),"")</f>
      </c>
      <c r="M3160" s="12">
        <f>IF(K3160=1,F3160+L3160*(I3160-F3160),"")</f>
      </c>
      <c r="N3160" s="12">
        <f>IF(K3160=1,G3160+L3160*(J3160-G3160),"")</f>
      </c>
    </row>
    <row r="3161" spans="2:14" x14ac:dyDescent="0.25">
      <c r="B3161">
        <v>88</v>
      </c>
      <c r="C3161">
        <v>348.7499999999999</v>
      </c>
      <c r="D3161">
        <v>29</v>
      </c>
      <c r="E3161" s="18">
        <v>-772.138652766467</v>
      </c>
      <c r="F3161" s="18">
        <v>-526.9421606281236</v>
      </c>
      <c r="G3161" s="18">
        <v>2772.7381976166803</v>
      </c>
      <c r="H3161" s="12">
        <f>E3162</f>
      </c>
      <c r="I3161" s="12">
        <f>F3162</f>
      </c>
      <c r="J3161" s="12">
        <f>G3162</f>
      </c>
      <c r="K3161">
        <f>IF(AND(Pu&gt;=MIN(E3161,H3161),Pu&lt;=MAX(E3161,H3161),E3161&lt;&gt;H3161),1,0)</f>
      </c>
      <c r="L3161">
        <f>IF(K3161=1,(Pu-E3161)/(H3161-E3161),"")</f>
      </c>
      <c r="M3161" s="12">
        <f>IF(K3161=1,F3161+L3161*(I3161-F3161),"")</f>
      </c>
      <c r="N3161" s="12">
        <f>IF(K3161=1,G3161+L3161*(J3161-G3161),"")</f>
      </c>
    </row>
    <row r="3162" spans="2:14" x14ac:dyDescent="0.25">
      <c r="B3162">
        <v>88</v>
      </c>
      <c r="C3162">
        <v>348.7499999999999</v>
      </c>
      <c r="D3162">
        <v>30</v>
      </c>
      <c r="E3162" s="18">
        <v>-1824.3129922246037</v>
      </c>
      <c r="F3162" s="18">
        <v>-419.8522705934996</v>
      </c>
      <c r="G3162" s="18">
        <v>2115.545583351761</v>
      </c>
      <c r="H3162" s="12">
        <f>E3163</f>
      </c>
      <c r="I3162" s="12">
        <f>F3163</f>
      </c>
      <c r="J3162" s="12">
        <f>G3163</f>
      </c>
      <c r="K3162">
        <f>IF(AND(Pu&gt;=MIN(E3162,H3162),Pu&lt;=MAX(E3162,H3162),E3162&lt;&gt;H3162),1,0)</f>
      </c>
      <c r="L3162">
        <f>IF(K3162=1,(Pu-E3162)/(H3162-E3162),"")</f>
      </c>
      <c r="M3162" s="12">
        <f>IF(K3162=1,F3162+L3162*(I3162-F3162),"")</f>
      </c>
      <c r="N3162" s="12">
        <f>IF(K3162=1,G3162+L3162*(J3162-G3162),"")</f>
      </c>
    </row>
    <row r="3163" spans="2:14" x14ac:dyDescent="0.25">
      <c r="B3163">
        <v>88</v>
      </c>
      <c r="C3163">
        <v>348.7499999999999</v>
      </c>
      <c r="D3163">
        <v>31</v>
      </c>
      <c r="E3163" s="18">
        <v>-2523.341553590138</v>
      </c>
      <c r="F3163" s="18">
        <v>-377.9069610343064</v>
      </c>
      <c r="G3163" s="18">
        <v>1649.0513519484473</v>
      </c>
      <c r="H3163" s="12">
        <f>E3164</f>
      </c>
      <c r="I3163" s="12">
        <f>F3164</f>
      </c>
      <c r="J3163" s="12">
        <f>G3164</f>
      </c>
      <c r="K3163">
        <f>IF(AND(Pu&gt;=MIN(E3163,H3163),Pu&lt;=MAX(E3163,H3163),E3163&lt;&gt;H3163),1,0)</f>
      </c>
      <c r="L3163">
        <f>IF(K3163=1,(Pu-E3163)/(H3163-E3163),"")</f>
      </c>
      <c r="M3163" s="12">
        <f>IF(K3163=1,F3163+L3163*(I3163-F3163),"")</f>
      </c>
      <c r="N3163" s="12">
        <f>IF(K3163=1,G3163+L3163*(J3163-G3163),"")</f>
      </c>
    </row>
    <row r="3164" spans="2:14" x14ac:dyDescent="0.25">
      <c r="B3164">
        <v>88</v>
      </c>
      <c r="C3164">
        <v>348.7499999999999</v>
      </c>
      <c r="D3164">
        <v>32</v>
      </c>
      <c r="E3164" s="18">
        <v>-3457.68902786879</v>
      </c>
      <c r="F3164" s="18">
        <v>-319.82845415698</v>
      </c>
      <c r="G3164" s="18">
        <v>1015.1517345450982</v>
      </c>
      <c r="H3164" s="12">
        <f>E3165</f>
      </c>
      <c r="I3164" s="12">
        <f>F3165</f>
      </c>
      <c r="J3164" s="12">
        <f>G3165</f>
      </c>
      <c r="K3164">
        <f>IF(AND(Pu&gt;=MIN(E3164,H3164),Pu&lt;=MAX(E3164,H3164),E3164&lt;&gt;H3164),1,0)</f>
      </c>
      <c r="L3164">
        <f>IF(K3164=1,(Pu-E3164)/(H3164-E3164),"")</f>
      </c>
      <c r="M3164" s="12">
        <f>IF(K3164=1,F3164+L3164*(I3164-F3164),"")</f>
      </c>
      <c r="N3164" s="12">
        <f>IF(K3164=1,G3164+L3164*(J3164-G3164),"")</f>
      </c>
    </row>
    <row r="3165" spans="2:14" x14ac:dyDescent="0.25">
      <c r="B3165">
        <v>88</v>
      </c>
      <c r="C3165">
        <v>348.7499999999999</v>
      </c>
      <c r="D3165">
        <v>33</v>
      </c>
      <c r="E3165" s="18">
        <v>-3977.8171666616176</v>
      </c>
      <c r="F3165" s="18">
        <v>-250.62375413634436</v>
      </c>
      <c r="G3165" s="18">
        <v>658.4873089789384</v>
      </c>
      <c r="H3165" s="12">
        <f>E3166</f>
      </c>
      <c r="I3165" s="12">
        <f>F3166</f>
      </c>
      <c r="J3165" s="12">
        <f>G3166</f>
      </c>
      <c r="K3165">
        <f>IF(AND(Pu&gt;=MIN(E3165,H3165),Pu&lt;=MAX(E3165,H3165),E3165&lt;&gt;H3165),1,0)</f>
      </c>
      <c r="L3165">
        <f>IF(K3165=1,(Pu-E3165)/(H3165-E3165),"")</f>
      </c>
      <c r="M3165" s="12">
        <f>IF(K3165=1,F3165+L3165*(I3165-F3165),"")</f>
      </c>
      <c r="N3165" s="12">
        <f>IF(K3165=1,G3165+L3165*(J3165-G3165),"")</f>
      </c>
    </row>
    <row r="3166" spans="2:14" x14ac:dyDescent="0.25">
      <c r="B3166">
        <v>88</v>
      </c>
      <c r="C3166">
        <v>348.7499999999999</v>
      </c>
      <c r="D3166">
        <v>34</v>
      </c>
      <c r="E3166" s="18">
        <v>-4564.551744120475</v>
      </c>
      <c r="F3166" s="18">
        <v>-113.51890832181648</v>
      </c>
      <c r="G3166" s="18">
        <v>253.00623412120757</v>
      </c>
      <c r="H3166" s="12">
        <f>E3167</f>
      </c>
      <c r="I3166" s="12">
        <f>F3167</f>
      </c>
      <c r="J3166" s="12">
        <f>G3167</f>
      </c>
      <c r="K3166">
        <f>IF(AND(Pu&gt;=MIN(E3166,H3166),Pu&lt;=MAX(E3166,H3166),E3166&lt;&gt;H3166),1,0)</f>
      </c>
      <c r="L3166">
        <f>IF(K3166=1,(Pu-E3166)/(H3166-E3166),"")</f>
      </c>
      <c r="M3166" s="12">
        <f>IF(K3166=1,F3166+L3166*(I3166-F3166),"")</f>
      </c>
      <c r="N3166" s="12">
        <f>IF(K3166=1,G3166+L3166*(J3166-G3166),"")</f>
      </c>
    </row>
    <row r="3167" spans="2:7" x14ac:dyDescent="0.25">
      <c r="B3167">
        <v>88</v>
      </c>
      <c r="C3167">
        <v>348.7499999999999</v>
      </c>
      <c r="D3167">
        <v>35</v>
      </c>
      <c r="E3167" s="18">
        <v>-4799.716083137178</v>
      </c>
      <c r="F3167" s="18">
        <v>-42.38069129818887</v>
      </c>
      <c r="G3167" s="18">
        <v>89.5525329462559</v>
      </c>
    </row>
    <row r="3169" spans="2:14" x14ac:dyDescent="0.25">
      <c r="B3169">
        <v>89</v>
      </c>
      <c r="C3169">
        <v>352.49999999999994</v>
      </c>
      <c r="D3169">
        <v>1</v>
      </c>
      <c r="E3169" s="18">
        <v>17041.119271250744</v>
      </c>
      <c r="F3169" s="18">
        <v>-298.0481382390454</v>
      </c>
      <c r="G3169" s="18">
        <v>3000.9233066719016</v>
      </c>
      <c r="H3169" s="12">
        <f>E3170</f>
      </c>
      <c r="I3169" s="12">
        <f>F3170</f>
      </c>
      <c r="J3169" s="12">
        <f>G3170</f>
      </c>
      <c r="K3169">
        <f>IF(AND(Pu&gt;=MIN(E3169,H3169),Pu&lt;=MAX(E3169,H3169),E3169&lt;&gt;H3169),1,0)</f>
      </c>
      <c r="L3169">
        <f>IF(K3169=1,(Pu-E3169)/(H3169-E3169),"")</f>
      </c>
      <c r="M3169" s="12">
        <f>IF(K3169=1,F3169+L3169*(I3169-F3169),"")</f>
      </c>
      <c r="N3169" s="12">
        <f>IF(K3169=1,G3169+L3169*(J3169-G3169),"")</f>
      </c>
    </row>
    <row r="3170" spans="2:14" x14ac:dyDescent="0.25">
      <c r="B3170">
        <v>89</v>
      </c>
      <c r="C3170">
        <v>352.49999999999994</v>
      </c>
      <c r="D3170">
        <v>2</v>
      </c>
      <c r="E3170" s="18">
        <v>16225.136624395935</v>
      </c>
      <c r="F3170" s="18">
        <v>-281.46424152246647</v>
      </c>
      <c r="G3170" s="18">
        <v>3357.855170205657</v>
      </c>
      <c r="H3170" s="12">
        <f>E3171</f>
      </c>
      <c r="I3170" s="12">
        <f>F3171</f>
      </c>
      <c r="J3170" s="12">
        <f>G3171</f>
      </c>
      <c r="K3170">
        <f>IF(AND(Pu&gt;=MIN(E3170,H3170),Pu&lt;=MAX(E3170,H3170),E3170&lt;&gt;H3170),1,0)</f>
      </c>
      <c r="L3170">
        <f>IF(K3170=1,(Pu-E3170)/(H3170-E3170),"")</f>
      </c>
      <c r="M3170" s="12">
        <f>IF(K3170=1,F3170+L3170*(I3170-F3170),"")</f>
      </c>
      <c r="N3170" s="12">
        <f>IF(K3170=1,G3170+L3170*(J3170-G3170),"")</f>
      </c>
    </row>
    <row r="3171" spans="2:14" x14ac:dyDescent="0.25">
      <c r="B3171">
        <v>89</v>
      </c>
      <c r="C3171">
        <v>352.49999999999994</v>
      </c>
      <c r="D3171">
        <v>3</v>
      </c>
      <c r="E3171" s="18">
        <v>15485.334508502201</v>
      </c>
      <c r="F3171" s="18">
        <v>-298.7207390619056</v>
      </c>
      <c r="G3171" s="18">
        <v>3632.182697409182</v>
      </c>
      <c r="H3171" s="12">
        <f>E3172</f>
      </c>
      <c r="I3171" s="12">
        <f>F3172</f>
      </c>
      <c r="J3171" s="12">
        <f>G3172</f>
      </c>
      <c r="K3171">
        <f>IF(AND(Pu&gt;=MIN(E3171,H3171),Pu&lt;=MAX(E3171,H3171),E3171&lt;&gt;H3171),1,0)</f>
      </c>
      <c r="L3171">
        <f>IF(K3171=1,(Pu-E3171)/(H3171-E3171),"")</f>
      </c>
      <c r="M3171" s="12">
        <f>IF(K3171=1,F3171+L3171*(I3171-F3171),"")</f>
      </c>
      <c r="N3171" s="12">
        <f>IF(K3171=1,G3171+L3171*(J3171-G3171),"")</f>
      </c>
    </row>
    <row r="3172" spans="2:14" x14ac:dyDescent="0.25">
      <c r="B3172">
        <v>89</v>
      </c>
      <c r="C3172">
        <v>352.49999999999994</v>
      </c>
      <c r="D3172">
        <v>4</v>
      </c>
      <c r="E3172" s="18">
        <v>14105.258920460139</v>
      </c>
      <c r="F3172" s="18">
        <v>-342.46870948443916</v>
      </c>
      <c r="G3172" s="18">
        <v>4030.4098060556653</v>
      </c>
      <c r="H3172" s="12">
        <f>E3173</f>
      </c>
      <c r="I3172" s="12">
        <f>F3173</f>
      </c>
      <c r="J3172" s="12">
        <f>G3173</f>
      </c>
      <c r="K3172">
        <f>IF(AND(Pu&gt;=MIN(E3172,H3172),Pu&lt;=MAX(E3172,H3172),E3172&lt;&gt;H3172),1,0)</f>
      </c>
      <c r="L3172">
        <f>IF(K3172=1,(Pu-E3172)/(H3172-E3172),"")</f>
      </c>
      <c r="M3172" s="12">
        <f>IF(K3172=1,F3172+L3172*(I3172-F3172),"")</f>
      </c>
      <c r="N3172" s="12">
        <f>IF(K3172=1,G3172+L3172*(J3172-G3172),"")</f>
      </c>
    </row>
    <row r="3173" spans="2:14" x14ac:dyDescent="0.25">
      <c r="B3173">
        <v>89</v>
      </c>
      <c r="C3173">
        <v>352.49999999999994</v>
      </c>
      <c r="D3173">
        <v>5</v>
      </c>
      <c r="E3173" s="18">
        <v>12016.794070736569</v>
      </c>
      <c r="F3173" s="18">
        <v>-421.18716814253037</v>
      </c>
      <c r="G3173" s="18">
        <v>4392.014358353615</v>
      </c>
      <c r="H3173" s="12">
        <f>E3174</f>
      </c>
      <c r="I3173" s="12">
        <f>F3174</f>
      </c>
      <c r="J3173" s="12">
        <f>G3174</f>
      </c>
      <c r="K3173">
        <f>IF(AND(Pu&gt;=MIN(E3173,H3173),Pu&lt;=MAX(E3173,H3173),E3173&lt;&gt;H3173),1,0)</f>
      </c>
      <c r="L3173">
        <f>IF(K3173=1,(Pu-E3173)/(H3173-E3173),"")</f>
      </c>
      <c r="M3173" s="12">
        <f>IF(K3173=1,F3173+L3173*(I3173-F3173),"")</f>
      </c>
      <c r="N3173" s="12">
        <f>IF(K3173=1,G3173+L3173*(J3173-G3173),"")</f>
      </c>
    </row>
    <row r="3174" spans="2:14" x14ac:dyDescent="0.25">
      <c r="B3174">
        <v>89</v>
      </c>
      <c r="C3174">
        <v>352.49999999999994</v>
      </c>
      <c r="D3174">
        <v>6</v>
      </c>
      <c r="E3174" s="18">
        <v>9929.719432428057</v>
      </c>
      <c r="F3174" s="18">
        <v>-432.7674128986112</v>
      </c>
      <c r="G3174" s="18">
        <v>4617.709031120588</v>
      </c>
      <c r="H3174" s="12">
        <f>E3175</f>
      </c>
      <c r="I3174" s="12">
        <f>F3175</f>
      </c>
      <c r="J3174" s="12">
        <f>G3175</f>
      </c>
      <c r="K3174">
        <f>IF(AND(Pu&gt;=MIN(E3174,H3174),Pu&lt;=MAX(E3174,H3174),E3174&lt;&gt;H3174),1,0)</f>
      </c>
      <c r="L3174">
        <f>IF(K3174=1,(Pu-E3174)/(H3174-E3174),"")</f>
      </c>
      <c r="M3174" s="12">
        <f>IF(K3174=1,F3174+L3174*(I3174-F3174),"")</f>
      </c>
      <c r="N3174" s="12">
        <f>IF(K3174=1,G3174+L3174*(J3174-G3174),"")</f>
      </c>
    </row>
    <row r="3175" spans="2:14" x14ac:dyDescent="0.25">
      <c r="B3175">
        <v>89</v>
      </c>
      <c r="C3175">
        <v>352.49999999999994</v>
      </c>
      <c r="D3175">
        <v>7</v>
      </c>
      <c r="E3175" s="18">
        <v>8848.813736068712</v>
      </c>
      <c r="F3175" s="18">
        <v>-443.5658065348905</v>
      </c>
      <c r="G3175" s="18">
        <v>4691.802793414546</v>
      </c>
      <c r="H3175" s="12">
        <f>E3176</f>
      </c>
      <c r="I3175" s="12">
        <f>F3176</f>
      </c>
      <c r="J3175" s="12">
        <f>G3176</f>
      </c>
      <c r="K3175">
        <f>IF(AND(Pu&gt;=MIN(E3175,H3175),Pu&lt;=MAX(E3175,H3175),E3175&lt;&gt;H3175),1,0)</f>
      </c>
      <c r="L3175">
        <f>IF(K3175=1,(Pu-E3175)/(H3175-E3175),"")</f>
      </c>
      <c r="M3175" s="12">
        <f>IF(K3175=1,F3175+L3175*(I3175-F3175),"")</f>
      </c>
      <c r="N3175" s="12">
        <f>IF(K3175=1,G3175+L3175*(J3175-G3175),"")</f>
      </c>
    </row>
    <row r="3176" spans="2:14" x14ac:dyDescent="0.25">
      <c r="B3176">
        <v>89</v>
      </c>
      <c r="C3176">
        <v>352.49999999999994</v>
      </c>
      <c r="D3176">
        <v>8</v>
      </c>
      <c r="E3176" s="18">
        <v>8328.041605711662</v>
      </c>
      <c r="F3176" s="18">
        <v>-460.4589536658808</v>
      </c>
      <c r="G3176" s="18">
        <v>4802.045868739321</v>
      </c>
      <c r="H3176" s="12">
        <f>E3177</f>
      </c>
      <c r="I3176" s="12">
        <f>F3177</f>
      </c>
      <c r="J3176" s="12">
        <f>G3177</f>
      </c>
      <c r="K3176">
        <f>IF(AND(Pu&gt;=MIN(E3176,H3176),Pu&lt;=MAX(E3176,H3176),E3176&lt;&gt;H3176),1,0)</f>
      </c>
      <c r="L3176">
        <f>IF(K3176=1,(Pu-E3176)/(H3176-E3176),"")</f>
      </c>
      <c r="M3176" s="12">
        <f>IF(K3176=1,F3176+L3176*(I3176-F3176),"")</f>
      </c>
      <c r="N3176" s="12">
        <f>IF(K3176=1,G3176+L3176*(J3176-G3176),"")</f>
      </c>
    </row>
    <row r="3177" spans="2:14" x14ac:dyDescent="0.25">
      <c r="B3177">
        <v>89</v>
      </c>
      <c r="C3177">
        <v>352.49999999999994</v>
      </c>
      <c r="D3177">
        <v>9</v>
      </c>
      <c r="E3177" s="18">
        <v>7902.62638642694</v>
      </c>
      <c r="F3177" s="18">
        <v>-472.61983965051786</v>
      </c>
      <c r="G3177" s="18">
        <v>4865.901597043411</v>
      </c>
      <c r="H3177" s="12">
        <f>E3178</f>
      </c>
      <c r="I3177" s="12">
        <f>F3178</f>
      </c>
      <c r="J3177" s="12">
        <f>G3178</f>
      </c>
      <c r="K3177">
        <f>IF(AND(Pu&gt;=MIN(E3177,H3177),Pu&lt;=MAX(E3177,H3177),E3177&lt;&gt;H3177),1,0)</f>
      </c>
      <c r="L3177">
        <f>IF(K3177=1,(Pu-E3177)/(H3177-E3177),"")</f>
      </c>
      <c r="M3177" s="12">
        <f>IF(K3177=1,F3177+L3177*(I3177-F3177),"")</f>
      </c>
      <c r="N3177" s="12">
        <f>IF(K3177=1,G3177+L3177*(J3177-G3177),"")</f>
      </c>
    </row>
    <row r="3178" spans="2:14" x14ac:dyDescent="0.25">
      <c r="B3178">
        <v>89</v>
      </c>
      <c r="C3178">
        <v>352.49999999999994</v>
      </c>
      <c r="D3178">
        <v>10</v>
      </c>
      <c r="E3178" s="18">
        <v>7242.881302481977</v>
      </c>
      <c r="F3178" s="18">
        <v>-490.5876912560514</v>
      </c>
      <c r="G3178" s="18">
        <v>4949.711987010475</v>
      </c>
      <c r="H3178" s="12">
        <f>E3179</f>
      </c>
      <c r="I3178" s="12">
        <f>F3179</f>
      </c>
      <c r="J3178" s="12">
        <f>G3179</f>
      </c>
      <c r="K3178">
        <f>IF(AND(Pu&gt;=MIN(E3178,H3178),Pu&lt;=MAX(E3178,H3178),E3178&lt;&gt;H3178),1,0)</f>
      </c>
      <c r="L3178">
        <f>IF(K3178=1,(Pu-E3178)/(H3178-E3178),"")</f>
      </c>
      <c r="M3178" s="12">
        <f>IF(K3178=1,F3178+L3178*(I3178-F3178),"")</f>
      </c>
      <c r="N3178" s="12">
        <f>IF(K3178=1,G3178+L3178*(J3178-G3178),"")</f>
      </c>
    </row>
    <row r="3179" spans="2:14" x14ac:dyDescent="0.25">
      <c r="B3179">
        <v>89</v>
      </c>
      <c r="C3179">
        <v>352.49999999999994</v>
      </c>
      <c r="D3179">
        <v>11</v>
      </c>
      <c r="E3179" s="18">
        <v>7114.473264626911</v>
      </c>
      <c r="F3179" s="18">
        <v>-481.66128287886045</v>
      </c>
      <c r="G3179" s="18">
        <v>4974.105451928345</v>
      </c>
      <c r="H3179" s="12">
        <f>E3180</f>
      </c>
      <c r="I3179" s="12">
        <f>F3180</f>
      </c>
      <c r="J3179" s="12">
        <f>G3180</f>
      </c>
      <c r="K3179">
        <f>IF(AND(Pu&gt;=MIN(E3179,H3179),Pu&lt;=MAX(E3179,H3179),E3179&lt;&gt;H3179),1,0)</f>
      </c>
      <c r="L3179">
        <f>IF(K3179=1,(Pu-E3179)/(H3179-E3179),"")</f>
      </c>
      <c r="M3179" s="12">
        <f>IF(K3179=1,F3179+L3179*(I3179-F3179),"")</f>
      </c>
      <c r="N3179" s="12">
        <f>IF(K3179=1,G3179+L3179*(J3179-G3179),"")</f>
      </c>
    </row>
    <row r="3180" spans="2:14" x14ac:dyDescent="0.25">
      <c r="B3180">
        <v>89</v>
      </c>
      <c r="C3180">
        <v>352.49999999999994</v>
      </c>
      <c r="D3180">
        <v>12</v>
      </c>
      <c r="E3180" s="18">
        <v>6582.885117176082</v>
      </c>
      <c r="F3180" s="18">
        <v>-463.8663772347144</v>
      </c>
      <c r="G3180" s="18">
        <v>5088.727460058325</v>
      </c>
      <c r="H3180" s="12">
        <f>E3181</f>
      </c>
      <c r="I3180" s="12">
        <f>F3181</f>
      </c>
      <c r="J3180" s="12">
        <f>G3181</f>
      </c>
      <c r="K3180">
        <f>IF(AND(Pu&gt;=MIN(E3180,H3180),Pu&lt;=MAX(E3180,H3180),E3180&lt;&gt;H3180),1,0)</f>
      </c>
      <c r="L3180">
        <f>IF(K3180=1,(Pu-E3180)/(H3180-E3180),"")</f>
      </c>
      <c r="M3180" s="12">
        <f>IF(K3180=1,F3180+L3180*(I3180-F3180),"")</f>
      </c>
      <c r="N3180" s="12">
        <f>IF(K3180=1,G3180+L3180*(J3180-G3180),"")</f>
      </c>
    </row>
    <row r="3181" spans="2:14" x14ac:dyDescent="0.25">
      <c r="B3181">
        <v>89</v>
      </c>
      <c r="C3181">
        <v>352.49999999999994</v>
      </c>
      <c r="D3181">
        <v>13</v>
      </c>
      <c r="E3181" s="18">
        <v>6577.527633456963</v>
      </c>
      <c r="F3181" s="18">
        <v>-463.5006313779177</v>
      </c>
      <c r="G3181" s="18">
        <v>5090.337804998408</v>
      </c>
      <c r="H3181" s="12">
        <f>E3182</f>
      </c>
      <c r="I3181" s="12">
        <f>F3182</f>
      </c>
      <c r="J3181" s="12">
        <f>G3182</f>
      </c>
      <c r="K3181">
        <f>IF(AND(Pu&gt;=MIN(E3181,H3181),Pu&lt;=MAX(E3181,H3181),E3181&lt;&gt;H3181),1,0)</f>
      </c>
      <c r="L3181">
        <f>IF(K3181=1,(Pu-E3181)/(H3181-E3181),"")</f>
      </c>
      <c r="M3181" s="12">
        <f>IF(K3181=1,F3181+L3181*(I3181-F3181),"")</f>
      </c>
      <c r="N3181" s="12">
        <f>IF(K3181=1,G3181+L3181*(J3181-G3181),"")</f>
      </c>
    </row>
    <row r="3182" spans="2:14" x14ac:dyDescent="0.25">
      <c r="B3182">
        <v>89</v>
      </c>
      <c r="C3182">
        <v>352.49999999999994</v>
      </c>
      <c r="D3182">
        <v>14</v>
      </c>
      <c r="E3182" s="18">
        <v>6268.072928191417</v>
      </c>
      <c r="F3182" s="18">
        <v>-447.8031455970191</v>
      </c>
      <c r="G3182" s="18">
        <v>5209.786136702754</v>
      </c>
      <c r="H3182" s="12">
        <f>E3183</f>
      </c>
      <c r="I3182" s="12">
        <f>F3183</f>
      </c>
      <c r="J3182" s="12">
        <f>G3183</f>
      </c>
      <c r="K3182">
        <f>IF(AND(Pu&gt;=MIN(E3182,H3182),Pu&lt;=MAX(E3182,H3182),E3182&lt;&gt;H3182),1,0)</f>
      </c>
      <c r="L3182">
        <f>IF(K3182=1,(Pu-E3182)/(H3182-E3182),"")</f>
      </c>
      <c r="M3182" s="12">
        <f>IF(K3182=1,F3182+L3182*(I3182-F3182),"")</f>
      </c>
      <c r="N3182" s="12">
        <f>IF(K3182=1,G3182+L3182*(J3182-G3182),"")</f>
      </c>
    </row>
    <row r="3183" spans="2:14" x14ac:dyDescent="0.25">
      <c r="B3183">
        <v>89</v>
      </c>
      <c r="C3183">
        <v>352.49999999999994</v>
      </c>
      <c r="D3183">
        <v>15</v>
      </c>
      <c r="E3183" s="18">
        <v>6174.371931697568</v>
      </c>
      <c r="F3183" s="18">
        <v>-444.16329038561645</v>
      </c>
      <c r="G3183" s="18">
        <v>5249.017412220305</v>
      </c>
      <c r="H3183" s="12">
        <f>E3184</f>
      </c>
      <c r="I3183" s="12">
        <f>F3184</f>
      </c>
      <c r="J3183" s="12">
        <f>G3184</f>
      </c>
      <c r="K3183">
        <f>IF(AND(Pu&gt;=MIN(E3183,H3183),Pu&lt;=MAX(E3183,H3183),E3183&lt;&gt;H3183),1,0)</f>
      </c>
      <c r="L3183">
        <f>IF(K3183=1,(Pu-E3183)/(H3183-E3183),"")</f>
      </c>
      <c r="M3183" s="12">
        <f>IF(K3183=1,F3183+L3183*(I3183-F3183),"")</f>
      </c>
      <c r="N3183" s="12">
        <f>IF(K3183=1,G3183+L3183*(J3183-G3183),"")</f>
      </c>
    </row>
    <row r="3184" spans="2:14" x14ac:dyDescent="0.25">
      <c r="B3184">
        <v>89</v>
      </c>
      <c r="C3184">
        <v>352.49999999999994</v>
      </c>
      <c r="D3184">
        <v>16</v>
      </c>
      <c r="E3184" s="18">
        <v>5989.694455563267</v>
      </c>
      <c r="F3184" s="18">
        <v>-441.11062642959047</v>
      </c>
      <c r="G3184" s="18">
        <v>5327.679514455752</v>
      </c>
      <c r="H3184" s="12">
        <f>E3185</f>
      </c>
      <c r="I3184" s="12">
        <f>F3185</f>
      </c>
      <c r="J3184" s="12">
        <f>G3185</f>
      </c>
      <c r="K3184">
        <f>IF(AND(Pu&gt;=MIN(E3184,H3184),Pu&lt;=MAX(E3184,H3184),E3184&lt;&gt;H3184),1,0)</f>
      </c>
      <c r="L3184">
        <f>IF(K3184=1,(Pu-E3184)/(H3184-E3184),"")</f>
      </c>
      <c r="M3184" s="12">
        <f>IF(K3184=1,F3184+L3184*(I3184-F3184),"")</f>
      </c>
      <c r="N3184" s="12">
        <f>IF(K3184=1,G3184+L3184*(J3184-G3184),"")</f>
      </c>
    </row>
    <row r="3185" spans="2:14" x14ac:dyDescent="0.25">
      <c r="B3185">
        <v>89</v>
      </c>
      <c r="C3185">
        <v>352.49999999999994</v>
      </c>
      <c r="D3185">
        <v>17</v>
      </c>
      <c r="E3185" s="18">
        <v>5773.461675109461</v>
      </c>
      <c r="F3185" s="18">
        <v>-463.3214816352074</v>
      </c>
      <c r="G3185" s="18">
        <v>5434.20896331009</v>
      </c>
      <c r="H3185" s="12">
        <f>E3186</f>
      </c>
      <c r="I3185" s="12">
        <f>F3186</f>
      </c>
      <c r="J3185" s="12">
        <f>G3186</f>
      </c>
      <c r="K3185">
        <f>IF(AND(Pu&gt;=MIN(E3185,H3185),Pu&lt;=MAX(E3185,H3185),E3185&lt;&gt;H3185),1,0)</f>
      </c>
      <c r="L3185">
        <f>IF(K3185=1,(Pu-E3185)/(H3185-E3185),"")</f>
      </c>
      <c r="M3185" s="12">
        <f>IF(K3185=1,F3185+L3185*(I3185-F3185),"")</f>
      </c>
      <c r="N3185" s="12">
        <f>IF(K3185=1,G3185+L3185*(J3185-G3185),"")</f>
      </c>
    </row>
    <row r="3186" spans="2:14" x14ac:dyDescent="0.25">
      <c r="B3186">
        <v>89</v>
      </c>
      <c r="C3186">
        <v>352.49999999999994</v>
      </c>
      <c r="D3186">
        <v>18</v>
      </c>
      <c r="E3186" s="18">
        <v>5611.189122213624</v>
      </c>
      <c r="F3186" s="18">
        <v>-464.762197151845</v>
      </c>
      <c r="G3186" s="18">
        <v>5515.717289334333</v>
      </c>
      <c r="H3186" s="12">
        <f>E3187</f>
      </c>
      <c r="I3186" s="12">
        <f>F3187</f>
      </c>
      <c r="J3186" s="12">
        <f>G3187</f>
      </c>
      <c r="K3186">
        <f>IF(AND(Pu&gt;=MIN(E3186,H3186),Pu&lt;=MAX(E3186,H3186),E3186&lt;&gt;H3186),1,0)</f>
      </c>
      <c r="L3186">
        <f>IF(K3186=1,(Pu-E3186)/(H3186-E3186),"")</f>
      </c>
      <c r="M3186" s="12">
        <f>IF(K3186=1,F3186+L3186*(I3186-F3186),"")</f>
      </c>
      <c r="N3186" s="12">
        <f>IF(K3186=1,G3186+L3186*(J3186-G3186),"")</f>
      </c>
    </row>
    <row r="3187" spans="2:14" x14ac:dyDescent="0.25">
      <c r="B3187">
        <v>89</v>
      </c>
      <c r="C3187">
        <v>352.49999999999994</v>
      </c>
      <c r="D3187">
        <v>19</v>
      </c>
      <c r="E3187" s="18">
        <v>5584.031078943405</v>
      </c>
      <c r="F3187" s="18">
        <v>-465.29956281695354</v>
      </c>
      <c r="G3187" s="18">
        <v>5529.630100298918</v>
      </c>
      <c r="H3187" s="12">
        <f>E3188</f>
      </c>
      <c r="I3187" s="12">
        <f>F3188</f>
      </c>
      <c r="J3187" s="12">
        <f>G3188</f>
      </c>
      <c r="K3187">
        <f>IF(AND(Pu&gt;=MIN(E3187,H3187),Pu&lt;=MAX(E3187,H3187),E3187&lt;&gt;H3187),1,0)</f>
      </c>
      <c r="L3187">
        <f>IF(K3187=1,(Pu-E3187)/(H3187-E3187),"")</f>
      </c>
      <c r="M3187" s="12">
        <f>IF(K3187=1,F3187+L3187*(I3187-F3187),"")</f>
      </c>
      <c r="N3187" s="12">
        <f>IF(K3187=1,G3187+L3187*(J3187-G3187),"")</f>
      </c>
    </row>
    <row r="3188" spans="2:14" x14ac:dyDescent="0.25">
      <c r="B3188">
        <v>89</v>
      </c>
      <c r="C3188">
        <v>352.49999999999994</v>
      </c>
      <c r="D3188">
        <v>20</v>
      </c>
      <c r="E3188" s="18">
        <v>5400.92105622942</v>
      </c>
      <c r="F3188" s="18">
        <v>-470.02928329913294</v>
      </c>
      <c r="G3188" s="18">
        <v>5623.403484269305</v>
      </c>
      <c r="H3188" s="12">
        <f>E3189</f>
      </c>
      <c r="I3188" s="12">
        <f>F3189</f>
      </c>
      <c r="J3188" s="12">
        <f>G3189</f>
      </c>
      <c r="K3188">
        <f>IF(AND(Pu&gt;=MIN(E3188,H3188),Pu&lt;=MAX(E3188,H3188),E3188&lt;&gt;H3188),1,0)</f>
      </c>
      <c r="L3188">
        <f>IF(K3188=1,(Pu-E3188)/(H3188-E3188),"")</f>
      </c>
      <c r="M3188" s="12">
        <f>IF(K3188=1,F3188+L3188*(I3188-F3188),"")</f>
      </c>
      <c r="N3188" s="12">
        <f>IF(K3188=1,G3188+L3188*(J3188-G3188),"")</f>
      </c>
    </row>
    <row r="3189" spans="2:14" x14ac:dyDescent="0.25">
      <c r="B3189">
        <v>89</v>
      </c>
      <c r="C3189">
        <v>352.49999999999994</v>
      </c>
      <c r="D3189">
        <v>21</v>
      </c>
      <c r="E3189" s="18">
        <v>5272.424247811193</v>
      </c>
      <c r="F3189" s="18">
        <v>-466.5566308332017</v>
      </c>
      <c r="G3189" s="18">
        <v>5595.851532289662</v>
      </c>
      <c r="H3189" s="12">
        <f>E3190</f>
      </c>
      <c r="I3189" s="12">
        <f>F3190</f>
      </c>
      <c r="J3189" s="12">
        <f>G3190</f>
      </c>
      <c r="K3189">
        <f>IF(AND(Pu&gt;=MIN(E3189,H3189),Pu&lt;=MAX(E3189,H3189),E3189&lt;&gt;H3189),1,0)</f>
      </c>
      <c r="L3189">
        <f>IF(K3189=1,(Pu-E3189)/(H3189-E3189),"")</f>
      </c>
      <c r="M3189" s="12">
        <f>IF(K3189=1,F3189+L3189*(I3189-F3189),"")</f>
      </c>
      <c r="N3189" s="12">
        <f>IF(K3189=1,G3189+L3189*(J3189-G3189),"")</f>
      </c>
    </row>
    <row r="3190" spans="2:14" x14ac:dyDescent="0.25">
      <c r="B3190">
        <v>89</v>
      </c>
      <c r="C3190">
        <v>352.49999999999994</v>
      </c>
      <c r="D3190">
        <v>22</v>
      </c>
      <c r="E3190" s="18">
        <v>4793.8050081595175</v>
      </c>
      <c r="F3190" s="18">
        <v>-460.3954776835099</v>
      </c>
      <c r="G3190" s="18">
        <v>5479.421168555352</v>
      </c>
      <c r="H3190" s="12">
        <f>E3191</f>
      </c>
      <c r="I3190" s="12">
        <f>F3191</f>
      </c>
      <c r="J3190" s="12">
        <f>G3191</f>
      </c>
      <c r="K3190">
        <f>IF(AND(Pu&gt;=MIN(E3190,H3190),Pu&lt;=MAX(E3190,H3190),E3190&lt;&gt;H3190),1,0)</f>
      </c>
      <c r="L3190">
        <f>IF(K3190=1,(Pu-E3190)/(H3190-E3190),"")</f>
      </c>
      <c r="M3190" s="12">
        <f>IF(K3190=1,F3190+L3190*(I3190-F3190),"")</f>
      </c>
      <c r="N3190" s="12">
        <f>IF(K3190=1,G3190+L3190*(J3190-G3190),"")</f>
      </c>
    </row>
    <row r="3191" spans="2:14" x14ac:dyDescent="0.25">
      <c r="B3191">
        <v>89</v>
      </c>
      <c r="C3191">
        <v>352.49999999999994</v>
      </c>
      <c r="D3191">
        <v>23</v>
      </c>
      <c r="E3191" s="18">
        <v>4039.7902921260115</v>
      </c>
      <c r="F3191" s="18">
        <v>-443.3878551381826</v>
      </c>
      <c r="G3191" s="18">
        <v>5247.478420991542</v>
      </c>
      <c r="H3191" s="12">
        <f>E3192</f>
      </c>
      <c r="I3191" s="12">
        <f>F3192</f>
      </c>
      <c r="J3191" s="12">
        <f>G3192</f>
      </c>
      <c r="K3191">
        <f>IF(AND(Pu&gt;=MIN(E3191,H3191),Pu&lt;=MAX(E3191,H3191),E3191&lt;&gt;H3191),1,0)</f>
      </c>
      <c r="L3191">
        <f>IF(K3191=1,(Pu-E3191)/(H3191-E3191),"")</f>
      </c>
      <c r="M3191" s="12">
        <f>IF(K3191=1,F3191+L3191*(I3191-F3191),"")</f>
      </c>
      <c r="N3191" s="12">
        <f>IF(K3191=1,G3191+L3191*(J3191-G3191),"")</f>
      </c>
    </row>
    <row r="3192" spans="2:14" x14ac:dyDescent="0.25">
      <c r="B3192">
        <v>89</v>
      </c>
      <c r="C3192">
        <v>352.49999999999994</v>
      </c>
      <c r="D3192">
        <v>24</v>
      </c>
      <c r="E3192" s="18">
        <v>3396.367430385667</v>
      </c>
      <c r="F3192" s="18">
        <v>-442.3114038677677</v>
      </c>
      <c r="G3192" s="18">
        <v>5022.965488217399</v>
      </c>
      <c r="H3192" s="12">
        <f>E3193</f>
      </c>
      <c r="I3192" s="12">
        <f>F3193</f>
      </c>
      <c r="J3192" s="12">
        <f>G3193</f>
      </c>
      <c r="K3192">
        <f>IF(AND(Pu&gt;=MIN(E3192,H3192),Pu&lt;=MAX(E3192,H3192),E3192&lt;&gt;H3192),1,0)</f>
      </c>
      <c r="L3192">
        <f>IF(K3192=1,(Pu-E3192)/(H3192-E3192),"")</f>
      </c>
      <c r="M3192" s="12">
        <f>IF(K3192=1,F3192+L3192*(I3192-F3192),"")</f>
      </c>
      <c r="N3192" s="12">
        <f>IF(K3192=1,G3192+L3192*(J3192-G3192),"")</f>
      </c>
    </row>
    <row r="3193" spans="2:14" x14ac:dyDescent="0.25">
      <c r="B3193">
        <v>89</v>
      </c>
      <c r="C3193">
        <v>352.49999999999994</v>
      </c>
      <c r="D3193">
        <v>25</v>
      </c>
      <c r="E3193" s="18">
        <v>2901.4924190630973</v>
      </c>
      <c r="F3193" s="18">
        <v>-464.8331231409533</v>
      </c>
      <c r="G3193" s="18">
        <v>4817.3100754585685</v>
      </c>
      <c r="H3193" s="12">
        <f>E3194</f>
      </c>
      <c r="I3193" s="12">
        <f>F3194</f>
      </c>
      <c r="J3193" s="12">
        <f>G3194</f>
      </c>
      <c r="K3193">
        <f>IF(AND(Pu&gt;=MIN(E3193,H3193),Pu&lt;=MAX(E3193,H3193),E3193&lt;&gt;H3193),1,0)</f>
      </c>
      <c r="L3193">
        <f>IF(K3193=1,(Pu-E3193)/(H3193-E3193),"")</f>
      </c>
      <c r="M3193" s="12">
        <f>IF(K3193=1,F3193+L3193*(I3193-F3193),"")</f>
      </c>
      <c r="N3193" s="12">
        <f>IF(K3193=1,G3193+L3193*(J3193-G3193),"")</f>
      </c>
    </row>
    <row r="3194" spans="2:14" x14ac:dyDescent="0.25">
      <c r="B3194">
        <v>89</v>
      </c>
      <c r="C3194">
        <v>352.49999999999994</v>
      </c>
      <c r="D3194">
        <v>26</v>
      </c>
      <c r="E3194" s="18">
        <v>2014.4826875246429</v>
      </c>
      <c r="F3194" s="18">
        <v>-452.45825424507285</v>
      </c>
      <c r="G3194" s="18">
        <v>4408.99652410706</v>
      </c>
      <c r="H3194" s="12">
        <f>E3195</f>
      </c>
      <c r="I3194" s="12">
        <f>F3195</f>
      </c>
      <c r="J3194" s="12">
        <f>G3195</f>
      </c>
      <c r="K3194">
        <f>IF(AND(Pu&gt;=MIN(E3194,H3194),Pu&lt;=MAX(E3194,H3194),E3194&lt;&gt;H3194),1,0)</f>
      </c>
      <c r="L3194">
        <f>IF(K3194=1,(Pu-E3194)/(H3194-E3194),"")</f>
      </c>
      <c r="M3194" s="12">
        <f>IF(K3194=1,F3194+L3194*(I3194-F3194),"")</f>
      </c>
      <c r="N3194" s="12">
        <f>IF(K3194=1,G3194+L3194*(J3194-G3194),"")</f>
      </c>
    </row>
    <row r="3195" spans="2:14" x14ac:dyDescent="0.25">
      <c r="B3195">
        <v>89</v>
      </c>
      <c r="C3195">
        <v>352.49999999999994</v>
      </c>
      <c r="D3195">
        <v>27</v>
      </c>
      <c r="E3195" s="18">
        <v>1143.2743463896036</v>
      </c>
      <c r="F3195" s="18">
        <v>-482.79487333574696</v>
      </c>
      <c r="G3195" s="18">
        <v>3944.2102403067793</v>
      </c>
      <c r="H3195" s="12">
        <f>E3196</f>
      </c>
      <c r="I3195" s="12">
        <f>F3196</f>
      </c>
      <c r="J3195" s="12">
        <f>G3196</f>
      </c>
      <c r="K3195">
        <f>IF(AND(Pu&gt;=MIN(E3195,H3195),Pu&lt;=MAX(E3195,H3195),E3195&lt;&gt;H3195),1,0)</f>
      </c>
      <c r="L3195">
        <f>IF(K3195=1,(Pu-E3195)/(H3195-E3195),"")</f>
      </c>
      <c r="M3195" s="12">
        <f>IF(K3195=1,F3195+L3195*(I3195-F3195),"")</f>
      </c>
      <c r="N3195" s="12">
        <f>IF(K3195=1,G3195+L3195*(J3195-G3195),"")</f>
      </c>
    </row>
    <row r="3196" spans="2:14" x14ac:dyDescent="0.25">
      <c r="B3196">
        <v>89</v>
      </c>
      <c r="C3196">
        <v>352.49999999999994</v>
      </c>
      <c r="D3196">
        <v>28</v>
      </c>
      <c r="E3196" s="18">
        <v>361.6692946287033</v>
      </c>
      <c r="F3196" s="18">
        <v>-431.84963106918286</v>
      </c>
      <c r="G3196" s="18">
        <v>3495.5962369580106</v>
      </c>
      <c r="H3196" s="12">
        <f>E3197</f>
      </c>
      <c r="I3196" s="12">
        <f>F3197</f>
      </c>
      <c r="J3196" s="12">
        <f>G3197</f>
      </c>
      <c r="K3196">
        <f>IF(AND(Pu&gt;=MIN(E3196,H3196),Pu&lt;=MAX(E3196,H3196),E3196&lt;&gt;H3196),1,0)</f>
      </c>
      <c r="L3196">
        <f>IF(K3196=1,(Pu-E3196)/(H3196-E3196),"")</f>
      </c>
      <c r="M3196" s="12">
        <f>IF(K3196=1,F3196+L3196*(I3196-F3196),"")</f>
      </c>
      <c r="N3196" s="12">
        <f>IF(K3196=1,G3196+L3196*(J3196-G3196),"")</f>
      </c>
    </row>
    <row r="3197" spans="2:14" x14ac:dyDescent="0.25">
      <c r="B3197">
        <v>89</v>
      </c>
      <c r="C3197">
        <v>352.49999999999994</v>
      </c>
      <c r="D3197">
        <v>29</v>
      </c>
      <c r="E3197" s="18">
        <v>-306.4631226063215</v>
      </c>
      <c r="F3197" s="18">
        <v>-373.8965699268699</v>
      </c>
      <c r="G3197" s="18">
        <v>3101.0667589868503</v>
      </c>
      <c r="H3197" s="12">
        <f>E3198</f>
      </c>
      <c r="I3197" s="12">
        <f>F3198</f>
      </c>
      <c r="J3197" s="12">
        <f>G3198</f>
      </c>
      <c r="K3197">
        <f>IF(AND(Pu&gt;=MIN(E3197,H3197),Pu&lt;=MAX(E3197,H3197),E3197&lt;&gt;H3197),1,0)</f>
      </c>
      <c r="L3197">
        <f>IF(K3197=1,(Pu-E3197)/(H3197-E3197),"")</f>
      </c>
      <c r="M3197" s="12">
        <f>IF(K3197=1,F3197+L3197*(I3197-F3197),"")</f>
      </c>
      <c r="N3197" s="12">
        <f>IF(K3197=1,G3197+L3197*(J3197-G3197),"")</f>
      </c>
    </row>
    <row r="3198" spans="2:14" x14ac:dyDescent="0.25">
      <c r="B3198">
        <v>89</v>
      </c>
      <c r="C3198">
        <v>352.49999999999994</v>
      </c>
      <c r="D3198">
        <v>30</v>
      </c>
      <c r="E3198" s="18">
        <v>-1275.9593032829355</v>
      </c>
      <c r="F3198" s="18">
        <v>-300.2237618913846</v>
      </c>
      <c r="G3198" s="18">
        <v>2497.7359197378646</v>
      </c>
      <c r="H3198" s="12">
        <f>E3199</f>
      </c>
      <c r="I3198" s="12">
        <f>F3199</f>
      </c>
      <c r="J3198" s="12">
        <f>G3199</f>
      </c>
      <c r="K3198">
        <f>IF(AND(Pu&gt;=MIN(E3198,H3198),Pu&lt;=MAX(E3198,H3198),E3198&lt;&gt;H3198),1,0)</f>
      </c>
      <c r="L3198">
        <f>IF(K3198=1,(Pu-E3198)/(H3198-E3198),"")</f>
      </c>
      <c r="M3198" s="12">
        <f>IF(K3198=1,F3198+L3198*(I3198-F3198),"")</f>
      </c>
      <c r="N3198" s="12">
        <f>IF(K3198=1,G3198+L3198*(J3198-G3198),"")</f>
      </c>
    </row>
    <row r="3199" spans="2:14" x14ac:dyDescent="0.25">
      <c r="B3199">
        <v>89</v>
      </c>
      <c r="C3199">
        <v>352.49999999999994</v>
      </c>
      <c r="D3199">
        <v>31</v>
      </c>
      <c r="E3199" s="18">
        <v>-1949.4005304438551</v>
      </c>
      <c r="F3199" s="18">
        <v>-278.3174460309383</v>
      </c>
      <c r="G3199" s="18">
        <v>2051.6073628233835</v>
      </c>
      <c r="H3199" s="12">
        <f>E3200</f>
      </c>
      <c r="I3199" s="12">
        <f>F3200</f>
      </c>
      <c r="J3199" s="12">
        <f>G3200</f>
      </c>
      <c r="K3199">
        <f>IF(AND(Pu&gt;=MIN(E3199,H3199),Pu&lt;=MAX(E3199,H3199),E3199&lt;&gt;H3199),1,0)</f>
      </c>
      <c r="L3199">
        <f>IF(K3199=1,(Pu-E3199)/(H3199-E3199),"")</f>
      </c>
      <c r="M3199" s="12">
        <f>IF(K3199=1,F3199+L3199*(I3199-F3199),"")</f>
      </c>
      <c r="N3199" s="12">
        <f>IF(K3199=1,G3199+L3199*(J3199-G3199),"")</f>
      </c>
    </row>
    <row r="3200" spans="2:14" x14ac:dyDescent="0.25">
      <c r="B3200">
        <v>89</v>
      </c>
      <c r="C3200">
        <v>352.49999999999994</v>
      </c>
      <c r="D3200">
        <v>32</v>
      </c>
      <c r="E3200" s="18">
        <v>-2942.143390186261</v>
      </c>
      <c r="F3200" s="18">
        <v>-264.20105463189077</v>
      </c>
      <c r="G3200" s="18">
        <v>1375.7497205393288</v>
      </c>
      <c r="H3200" s="12">
        <f>E3201</f>
      </c>
      <c r="I3200" s="12">
        <f>F3201</f>
      </c>
      <c r="J3200" s="12">
        <f>G3201</f>
      </c>
      <c r="K3200">
        <f>IF(AND(Pu&gt;=MIN(E3200,H3200),Pu&lt;=MAX(E3200,H3200),E3200&lt;&gt;H3200),1,0)</f>
      </c>
      <c r="L3200">
        <f>IF(K3200=1,(Pu-E3200)/(H3200-E3200),"")</f>
      </c>
      <c r="M3200" s="12">
        <f>IF(K3200=1,F3200+L3200*(I3200-F3200),"")</f>
      </c>
      <c r="N3200" s="12">
        <f>IF(K3200=1,G3200+L3200*(J3200-G3200),"")</f>
      </c>
    </row>
    <row r="3201" spans="2:14" x14ac:dyDescent="0.25">
      <c r="B3201">
        <v>89</v>
      </c>
      <c r="C3201">
        <v>352.49999999999994</v>
      </c>
      <c r="D3201">
        <v>33</v>
      </c>
      <c r="E3201" s="18">
        <v>-3639.912776546166</v>
      </c>
      <c r="F3201" s="18">
        <v>-253.45668363491032</v>
      </c>
      <c r="G3201" s="18">
        <v>895.4774945085305</v>
      </c>
      <c r="H3201" s="12">
        <f>E3202</f>
      </c>
      <c r="I3201" s="12">
        <f>F3202</f>
      </c>
      <c r="J3201" s="12">
        <f>G3202</f>
      </c>
      <c r="K3201">
        <f>IF(AND(Pu&gt;=MIN(E3201,H3201),Pu&lt;=MAX(E3201,H3201),E3201&lt;&gt;H3201),1,0)</f>
      </c>
      <c r="L3201">
        <f>IF(K3201=1,(Pu-E3201)/(H3201-E3201),"")</f>
      </c>
      <c r="M3201" s="12">
        <f>IF(K3201=1,F3201+L3201*(I3201-F3201),"")</f>
      </c>
      <c r="N3201" s="12">
        <f>IF(K3201=1,G3201+L3201*(J3201-G3201),"")</f>
      </c>
    </row>
    <row r="3202" spans="2:14" x14ac:dyDescent="0.25">
      <c r="B3202">
        <v>89</v>
      </c>
      <c r="C3202">
        <v>352.49999999999994</v>
      </c>
      <c r="D3202">
        <v>34</v>
      </c>
      <c r="E3202" s="18">
        <v>-4474.244277452041</v>
      </c>
      <c r="F3202" s="18">
        <v>-129.80839546824615</v>
      </c>
      <c r="G3202" s="18">
        <v>318.1415728017709</v>
      </c>
      <c r="H3202" s="12">
        <f>E3203</f>
      </c>
      <c r="I3202" s="12">
        <f>F3203</f>
      </c>
      <c r="J3202" s="12">
        <f>G3203</f>
      </c>
      <c r="K3202">
        <f>IF(AND(Pu&gt;=MIN(E3202,H3202),Pu&lt;=MAX(E3202,H3202),E3202&lt;&gt;H3202),1,0)</f>
      </c>
      <c r="L3202">
        <f>IF(K3202=1,(Pu-E3202)/(H3202-E3202),"")</f>
      </c>
      <c r="M3202" s="12">
        <f>IF(K3202=1,F3202+L3202*(I3202-F3202),"")</f>
      </c>
      <c r="N3202" s="12">
        <f>IF(K3202=1,G3202+L3202*(J3202-G3202),"")</f>
      </c>
    </row>
    <row r="3203" spans="2:7" x14ac:dyDescent="0.25">
      <c r="B3203">
        <v>89</v>
      </c>
      <c r="C3203">
        <v>352.49999999999994</v>
      </c>
      <c r="D3203">
        <v>35</v>
      </c>
      <c r="E3203" s="18">
        <v>-4762.430918586397</v>
      </c>
      <c r="F3203" s="18">
        <v>-49.7640348822072</v>
      </c>
      <c r="G3203" s="18">
        <v>117.16086337664093</v>
      </c>
    </row>
    <row r="3205" spans="2:14" x14ac:dyDescent="0.25">
      <c r="B3205">
        <v>90</v>
      </c>
      <c r="C3205">
        <v>356.25</v>
      </c>
      <c r="D3205">
        <v>1</v>
      </c>
      <c r="E3205" s="18">
        <v>17489.580345636383</v>
      </c>
      <c r="F3205" s="18">
        <v>-156.72155539172888</v>
      </c>
      <c r="G3205" s="18">
        <v>2799.512446181109</v>
      </c>
      <c r="H3205" s="12">
        <f>E3206</f>
      </c>
      <c r="I3205" s="12">
        <f>F3206</f>
      </c>
      <c r="J3205" s="12">
        <f>G3206</f>
      </c>
      <c r="K3205">
        <f>IF(AND(Pu&gt;=MIN(E3205,H3205),Pu&lt;=MAX(E3205,H3205),E3205&lt;&gt;H3205),1,0)</f>
      </c>
      <c r="L3205">
        <f>IF(K3205=1,(Pu-E3205)/(H3205-E3205),"")</f>
      </c>
      <c r="M3205" s="12">
        <f>IF(K3205=1,F3205+L3205*(I3205-F3205),"")</f>
      </c>
      <c r="N3205" s="12">
        <f>IF(K3205=1,G3205+L3205*(J3205-G3205),"")</f>
      </c>
    </row>
    <row r="3206" spans="2:14" x14ac:dyDescent="0.25">
      <c r="B3206">
        <v>90</v>
      </c>
      <c r="C3206">
        <v>356.25</v>
      </c>
      <c r="D3206">
        <v>2</v>
      </c>
      <c r="E3206" s="18">
        <v>16878.34556670153</v>
      </c>
      <c r="F3206" s="18">
        <v>-142.84572011692907</v>
      </c>
      <c r="G3206" s="18">
        <v>3099.0494686980596</v>
      </c>
      <c r="H3206" s="12">
        <f>E3207</f>
      </c>
      <c r="I3206" s="12">
        <f>F3207</f>
      </c>
      <c r="J3206" s="12">
        <f>G3207</f>
      </c>
      <c r="K3206">
        <f>IF(AND(Pu&gt;=MIN(E3206,H3206),Pu&lt;=MAX(E3206,H3206),E3206&lt;&gt;H3206),1,0)</f>
      </c>
      <c r="L3206">
        <f>IF(K3206=1,(Pu-E3206)/(H3206-E3206),"")</f>
      </c>
      <c r="M3206" s="12">
        <f>IF(K3206=1,F3206+L3206*(I3206-F3206),"")</f>
      </c>
      <c r="N3206" s="12">
        <f>IF(K3206=1,G3206+L3206*(J3206-G3206),"")</f>
      </c>
    </row>
    <row r="3207" spans="2:14" x14ac:dyDescent="0.25">
      <c r="B3207">
        <v>90</v>
      </c>
      <c r="C3207">
        <v>356.25</v>
      </c>
      <c r="D3207">
        <v>3</v>
      </c>
      <c r="E3207" s="18">
        <v>16117.629243441335</v>
      </c>
      <c r="F3207" s="18">
        <v>-137.68096691910748</v>
      </c>
      <c r="G3207" s="18">
        <v>3421.7245718515906</v>
      </c>
      <c r="H3207" s="12">
        <f>E3208</f>
      </c>
      <c r="I3207" s="12">
        <f>F3208</f>
      </c>
      <c r="J3207" s="12">
        <f>G3208</f>
      </c>
      <c r="K3207">
        <f>IF(AND(Pu&gt;=MIN(E3207,H3207),Pu&lt;=MAX(E3207,H3207),E3207&lt;&gt;H3207),1,0)</f>
      </c>
      <c r="L3207">
        <f>IF(K3207=1,(Pu-E3207)/(H3207-E3207),"")</f>
      </c>
      <c r="M3207" s="12">
        <f>IF(K3207=1,F3207+L3207*(I3207-F3207),"")</f>
      </c>
      <c r="N3207" s="12">
        <f>IF(K3207=1,G3207+L3207*(J3207-G3207),"")</f>
      </c>
    </row>
    <row r="3208" spans="2:14" x14ac:dyDescent="0.25">
      <c r="B3208">
        <v>90</v>
      </c>
      <c r="C3208">
        <v>356.25</v>
      </c>
      <c r="D3208">
        <v>4</v>
      </c>
      <c r="E3208" s="18">
        <v>15391.4085544829</v>
      </c>
      <c r="F3208" s="18">
        <v>-151.13577089118814</v>
      </c>
      <c r="G3208" s="18">
        <v>3684.573826082487</v>
      </c>
      <c r="H3208" s="12">
        <f>E3209</f>
      </c>
      <c r="I3208" s="12">
        <f>F3209</f>
      </c>
      <c r="J3208" s="12">
        <f>G3209</f>
      </c>
      <c r="K3208">
        <f>IF(AND(Pu&gt;=MIN(E3208,H3208),Pu&lt;=MAX(E3208,H3208),E3208&lt;&gt;H3208),1,0)</f>
      </c>
      <c r="L3208">
        <f>IF(K3208=1,(Pu-E3208)/(H3208-E3208),"")</f>
      </c>
      <c r="M3208" s="12">
        <f>IF(K3208=1,F3208+L3208*(I3208-F3208),"")</f>
      </c>
      <c r="N3208" s="12">
        <f>IF(K3208=1,G3208+L3208*(J3208-G3208),"")</f>
      </c>
    </row>
    <row r="3209" spans="2:14" x14ac:dyDescent="0.25">
      <c r="B3209">
        <v>90</v>
      </c>
      <c r="C3209">
        <v>356.25</v>
      </c>
      <c r="D3209">
        <v>5</v>
      </c>
      <c r="E3209" s="18">
        <v>14044.877329044899</v>
      </c>
      <c r="F3209" s="18">
        <v>-170.30320025578163</v>
      </c>
      <c r="G3209" s="18">
        <v>4070.08679173605</v>
      </c>
      <c r="H3209" s="12">
        <f>E3210</f>
      </c>
      <c r="I3209" s="12">
        <f>F3210</f>
      </c>
      <c r="J3209" s="12">
        <f>G3210</f>
      </c>
      <c r="K3209">
        <f>IF(AND(Pu&gt;=MIN(E3209,H3209),Pu&lt;=MAX(E3209,H3209),E3209&lt;&gt;H3209),1,0)</f>
      </c>
      <c r="L3209">
        <f>IF(K3209=1,(Pu-E3209)/(H3209-E3209),"")</f>
      </c>
      <c r="M3209" s="12">
        <f>IF(K3209=1,F3209+L3209*(I3209-F3209),"")</f>
      </c>
      <c r="N3209" s="12">
        <f>IF(K3209=1,G3209+L3209*(J3209-G3209),"")</f>
      </c>
    </row>
    <row r="3210" spans="2:14" x14ac:dyDescent="0.25">
      <c r="B3210">
        <v>90</v>
      </c>
      <c r="C3210">
        <v>356.25</v>
      </c>
      <c r="D3210">
        <v>6</v>
      </c>
      <c r="E3210" s="18">
        <v>11938.483522307404</v>
      </c>
      <c r="F3210" s="18">
        <v>-208.29046851694383</v>
      </c>
      <c r="G3210" s="18">
        <v>4441.243970742902</v>
      </c>
      <c r="H3210" s="12">
        <f>E3211</f>
      </c>
      <c r="I3210" s="12">
        <f>F3211</f>
      </c>
      <c r="J3210" s="12">
        <f>G3211</f>
      </c>
      <c r="K3210">
        <f>IF(AND(Pu&gt;=MIN(E3210,H3210),Pu&lt;=MAX(E3210,H3210),E3210&lt;&gt;H3210),1,0)</f>
      </c>
      <c r="L3210">
        <f>IF(K3210=1,(Pu-E3210)/(H3210-E3210),"")</f>
      </c>
      <c r="M3210" s="12">
        <f>IF(K3210=1,F3210+L3210*(I3210-F3210),"")</f>
      </c>
      <c r="N3210" s="12">
        <f>IF(K3210=1,G3210+L3210*(J3210-G3210),"")</f>
      </c>
    </row>
    <row r="3211" spans="2:14" x14ac:dyDescent="0.25">
      <c r="B3211">
        <v>90</v>
      </c>
      <c r="C3211">
        <v>356.25</v>
      </c>
      <c r="D3211">
        <v>7</v>
      </c>
      <c r="E3211" s="18">
        <v>9906.700823138483</v>
      </c>
      <c r="F3211" s="18">
        <v>-212.33395804541888</v>
      </c>
      <c r="G3211" s="18">
        <v>4667.223124604634</v>
      </c>
      <c r="H3211" s="12">
        <f>E3212</f>
      </c>
      <c r="I3211" s="12">
        <f>F3212</f>
      </c>
      <c r="J3211" s="12">
        <f>G3212</f>
      </c>
      <c r="K3211">
        <f>IF(AND(Pu&gt;=MIN(E3211,H3211),Pu&lt;=MAX(E3211,H3211),E3211&lt;&gt;H3211),1,0)</f>
      </c>
      <c r="L3211">
        <f>IF(K3211=1,(Pu-E3211)/(H3211-E3211),"")</f>
      </c>
      <c r="M3211" s="12">
        <f>IF(K3211=1,F3211+L3211*(I3211-F3211),"")</f>
      </c>
      <c r="N3211" s="12">
        <f>IF(K3211=1,G3211+L3211*(J3211-G3211),"")</f>
      </c>
    </row>
    <row r="3212" spans="2:14" x14ac:dyDescent="0.25">
      <c r="B3212">
        <v>90</v>
      </c>
      <c r="C3212">
        <v>356.25</v>
      </c>
      <c r="D3212">
        <v>8</v>
      </c>
      <c r="E3212" s="18">
        <v>8916.334864531296</v>
      </c>
      <c r="F3212" s="18">
        <v>-226.40137590396128</v>
      </c>
      <c r="G3212" s="18">
        <v>4741.215745525986</v>
      </c>
      <c r="H3212" s="12">
        <f>E3213</f>
      </c>
      <c r="I3212" s="12">
        <f>F3213</f>
      </c>
      <c r="J3212" s="12">
        <f>G3213</f>
      </c>
      <c r="K3212">
        <f>IF(AND(Pu&gt;=MIN(E3212,H3212),Pu&lt;=MAX(E3212,H3212),E3212&lt;&gt;H3212),1,0)</f>
      </c>
      <c r="L3212">
        <f>IF(K3212=1,(Pu-E3212)/(H3212-E3212),"")</f>
      </c>
      <c r="M3212" s="12">
        <f>IF(K3212=1,F3212+L3212*(I3212-F3212),"")</f>
      </c>
      <c r="N3212" s="12">
        <f>IF(K3212=1,G3212+L3212*(J3212-G3212),"")</f>
      </c>
    </row>
    <row r="3213" spans="2:14" x14ac:dyDescent="0.25">
      <c r="B3213">
        <v>90</v>
      </c>
      <c r="C3213">
        <v>356.25</v>
      </c>
      <c r="D3213">
        <v>9</v>
      </c>
      <c r="E3213" s="18">
        <v>8386.970999330522</v>
      </c>
      <c r="F3213" s="18">
        <v>-231.99653048733614</v>
      </c>
      <c r="G3213" s="18">
        <v>4848.219215135551</v>
      </c>
      <c r="H3213" s="12">
        <f>E3214</f>
      </c>
      <c r="I3213" s="12">
        <f>F3214</f>
      </c>
      <c r="J3213" s="12">
        <f>G3214</f>
      </c>
      <c r="K3213">
        <f>IF(AND(Pu&gt;=MIN(E3213,H3213),Pu&lt;=MAX(E3213,H3213),E3213&lt;&gt;H3213),1,0)</f>
      </c>
      <c r="L3213">
        <f>IF(K3213=1,(Pu-E3213)/(H3213-E3213),"")</f>
      </c>
      <c r="M3213" s="12">
        <f>IF(K3213=1,F3213+L3213*(I3213-F3213),"")</f>
      </c>
      <c r="N3213" s="12">
        <f>IF(K3213=1,G3213+L3213*(J3213-G3213),"")</f>
      </c>
    </row>
    <row r="3214" spans="2:14" x14ac:dyDescent="0.25">
      <c r="B3214">
        <v>90</v>
      </c>
      <c r="C3214">
        <v>356.25</v>
      </c>
      <c r="D3214">
        <v>10</v>
      </c>
      <c r="E3214" s="18">
        <v>8019.0840288643385</v>
      </c>
      <c r="F3214" s="18">
        <v>-239.31939692266405</v>
      </c>
      <c r="G3214" s="18">
        <v>4904.121717071064</v>
      </c>
      <c r="H3214" s="12">
        <f>E3215</f>
      </c>
      <c r="I3214" s="12">
        <f>F3215</f>
      </c>
      <c r="J3214" s="12">
        <f>G3215</f>
      </c>
      <c r="K3214">
        <f>IF(AND(Pu&gt;=MIN(E3214,H3214),Pu&lt;=MAX(E3214,H3214),E3214&lt;&gt;H3214),1,0)</f>
      </c>
      <c r="L3214">
        <f>IF(K3214=1,(Pu-E3214)/(H3214-E3214),"")</f>
      </c>
      <c r="M3214" s="12">
        <f>IF(K3214=1,F3214+L3214*(I3214-F3214),"")</f>
      </c>
      <c r="N3214" s="12">
        <f>IF(K3214=1,G3214+L3214*(J3214-G3214),"")</f>
      </c>
    </row>
    <row r="3215" spans="2:14" x14ac:dyDescent="0.25">
      <c r="B3215">
        <v>90</v>
      </c>
      <c r="C3215">
        <v>356.25</v>
      </c>
      <c r="D3215">
        <v>11</v>
      </c>
      <c r="E3215" s="18">
        <v>7315.60875781849</v>
      </c>
      <c r="F3215" s="18">
        <v>-251.1386342564033</v>
      </c>
      <c r="G3215" s="18">
        <v>4992.831996362464</v>
      </c>
      <c r="H3215" s="12">
        <f>E3216</f>
      </c>
      <c r="I3215" s="12">
        <f>F3216</f>
      </c>
      <c r="J3215" s="12">
        <f>G3216</f>
      </c>
      <c r="K3215">
        <f>IF(AND(Pu&gt;=MIN(E3215,H3215),Pu&lt;=MAX(E3215,H3215),E3215&lt;&gt;H3215),1,0)</f>
      </c>
      <c r="L3215">
        <f>IF(K3215=1,(Pu-E3215)/(H3215-E3215),"")</f>
      </c>
      <c r="M3215" s="12">
        <f>IF(K3215=1,F3215+L3215*(I3215-F3215),"")</f>
      </c>
      <c r="N3215" s="12">
        <f>IF(K3215=1,G3215+L3215*(J3215-G3215),"")</f>
      </c>
    </row>
    <row r="3216" spans="2:14" x14ac:dyDescent="0.25">
      <c r="B3216">
        <v>90</v>
      </c>
      <c r="C3216">
        <v>356.25</v>
      </c>
      <c r="D3216">
        <v>12</v>
      </c>
      <c r="E3216" s="18">
        <v>7182.966982638483</v>
      </c>
      <c r="F3216" s="18">
        <v>-253.30348318658025</v>
      </c>
      <c r="G3216" s="18">
        <v>5007.609924792718</v>
      </c>
      <c r="H3216" s="12">
        <f>E3217</f>
      </c>
      <c r="I3216" s="12">
        <f>F3217</f>
      </c>
      <c r="J3216" s="12">
        <f>G3217</f>
      </c>
      <c r="K3216">
        <f>IF(AND(Pu&gt;=MIN(E3216,H3216),Pu&lt;=MAX(E3216,H3216),E3216&lt;&gt;H3216),1,0)</f>
      </c>
      <c r="L3216">
        <f>IF(K3216=1,(Pu-E3216)/(H3216-E3216),"")</f>
      </c>
      <c r="M3216" s="12">
        <f>IF(K3216=1,F3216+L3216*(I3216-F3216),"")</f>
      </c>
      <c r="N3216" s="12">
        <f>IF(K3216=1,G3216+L3216*(J3216-G3216),"")</f>
      </c>
    </row>
    <row r="3217" spans="2:14" x14ac:dyDescent="0.25">
      <c r="B3217">
        <v>90</v>
      </c>
      <c r="C3217">
        <v>356.25</v>
      </c>
      <c r="D3217">
        <v>13</v>
      </c>
      <c r="E3217" s="18">
        <v>6624.810838235837</v>
      </c>
      <c r="F3217" s="18">
        <v>-233.43102594160135</v>
      </c>
      <c r="G3217" s="18">
        <v>5125.67488777843</v>
      </c>
      <c r="H3217" s="12">
        <f>E3218</f>
      </c>
      <c r="I3217" s="12">
        <f>F3218</f>
      </c>
      <c r="J3217" s="12">
        <f>G3218</f>
      </c>
      <c r="K3217">
        <f>IF(AND(Pu&gt;=MIN(E3217,H3217),Pu&lt;=MAX(E3217,H3217),E3217&lt;&gt;H3217),1,0)</f>
      </c>
      <c r="L3217">
        <f>IF(K3217=1,(Pu-E3217)/(H3217-E3217),"")</f>
      </c>
      <c r="M3217" s="12">
        <f>IF(K3217=1,F3217+L3217*(I3217-F3217),"")</f>
      </c>
      <c r="N3217" s="12">
        <f>IF(K3217=1,G3217+L3217*(J3217-G3217),"")</f>
      </c>
    </row>
    <row r="3218" spans="2:14" x14ac:dyDescent="0.25">
      <c r="B3218">
        <v>90</v>
      </c>
      <c r="C3218">
        <v>356.25</v>
      </c>
      <c r="D3218">
        <v>14</v>
      </c>
      <c r="E3218" s="18">
        <v>6603.222847806237</v>
      </c>
      <c r="F3218" s="18">
        <v>-233.7043909076665</v>
      </c>
      <c r="G3218" s="18">
        <v>5133.8986775167195</v>
      </c>
      <c r="H3218" s="12">
        <f>E3219</f>
      </c>
      <c r="I3218" s="12">
        <f>F3219</f>
      </c>
      <c r="J3218" s="12">
        <f>G3219</f>
      </c>
      <c r="K3218">
        <f>IF(AND(Pu&gt;=MIN(E3218,H3218),Pu&lt;=MAX(E3218,H3218),E3218&lt;&gt;H3218),1,0)</f>
      </c>
      <c r="L3218">
        <f>IF(K3218=1,(Pu-E3218)/(H3218-E3218),"")</f>
      </c>
      <c r="M3218" s="12">
        <f>IF(K3218=1,F3218+L3218*(I3218-F3218),"")</f>
      </c>
      <c r="N3218" s="12">
        <f>IF(K3218=1,G3218+L3218*(J3218-G3218),"")</f>
      </c>
    </row>
    <row r="3219" spans="2:14" x14ac:dyDescent="0.25">
      <c r="B3219">
        <v>90</v>
      </c>
      <c r="C3219">
        <v>356.25</v>
      </c>
      <c r="D3219">
        <v>15</v>
      </c>
      <c r="E3219" s="18">
        <v>6313.827779396941</v>
      </c>
      <c r="F3219" s="18">
        <v>-219.67683962110888</v>
      </c>
      <c r="G3219" s="18">
        <v>5251.693197892086</v>
      </c>
      <c r="H3219" s="12">
        <f>E3220</f>
      </c>
      <c r="I3219" s="12">
        <f>F3220</f>
      </c>
      <c r="J3219" s="12">
        <f>G3220</f>
      </c>
      <c r="K3219">
        <f>IF(AND(Pu&gt;=MIN(E3219,H3219),Pu&lt;=MAX(E3219,H3219),E3219&lt;&gt;H3219),1,0)</f>
      </c>
      <c r="L3219">
        <f>IF(K3219=1,(Pu-E3219)/(H3219-E3219),"")</f>
      </c>
      <c r="M3219" s="12">
        <f>IF(K3219=1,F3219+L3219*(I3219-F3219),"")</f>
      </c>
      <c r="N3219" s="12">
        <f>IF(K3219=1,G3219+L3219*(J3219-G3219),"")</f>
      </c>
    </row>
    <row r="3220" spans="2:14" x14ac:dyDescent="0.25">
      <c r="B3220">
        <v>90</v>
      </c>
      <c r="C3220">
        <v>356.25</v>
      </c>
      <c r="D3220">
        <v>16</v>
      </c>
      <c r="E3220" s="18">
        <v>6217.555399468101</v>
      </c>
      <c r="F3220" s="18">
        <v>-217.66636533649287</v>
      </c>
      <c r="G3220" s="18">
        <v>5295.262928537341</v>
      </c>
      <c r="H3220" s="12">
        <f>E3221</f>
      </c>
      <c r="I3220" s="12">
        <f>F3221</f>
      </c>
      <c r="J3220" s="12">
        <f>G3221</f>
      </c>
      <c r="K3220">
        <f>IF(AND(Pu&gt;=MIN(E3220,H3220),Pu&lt;=MAX(E3220,H3220),E3220&lt;&gt;H3220),1,0)</f>
      </c>
      <c r="L3220">
        <f>IF(K3220=1,(Pu-E3220)/(H3220-E3220),"")</f>
      </c>
      <c r="M3220" s="12">
        <f>IF(K3220=1,F3220+L3220*(I3220-F3220),"")</f>
      </c>
      <c r="N3220" s="12">
        <f>IF(K3220=1,G3220+L3220*(J3220-G3220),"")</f>
      </c>
    </row>
    <row r="3221" spans="2:14" x14ac:dyDescent="0.25">
      <c r="B3221">
        <v>90</v>
      </c>
      <c r="C3221">
        <v>356.25</v>
      </c>
      <c r="D3221">
        <v>17</v>
      </c>
      <c r="E3221" s="18">
        <v>6074.441497797957</v>
      </c>
      <c r="F3221" s="18">
        <v>-218.73550874520802</v>
      </c>
      <c r="G3221" s="18">
        <v>5365.402604929751</v>
      </c>
      <c r="H3221" s="12">
        <f>E3222</f>
      </c>
      <c r="I3221" s="12">
        <f>F3222</f>
      </c>
      <c r="J3221" s="12">
        <f>G3222</f>
      </c>
      <c r="K3221">
        <f>IF(AND(Pu&gt;=MIN(E3221,H3221),Pu&lt;=MAX(E3221,H3221),E3221&lt;&gt;H3221),1,0)</f>
      </c>
      <c r="L3221">
        <f>IF(K3221=1,(Pu-E3221)/(H3221-E3221),"")</f>
      </c>
      <c r="M3221" s="12">
        <f>IF(K3221=1,F3221+L3221*(I3221-F3221),"")</f>
      </c>
      <c r="N3221" s="12">
        <f>IF(K3221=1,G3221+L3221*(J3221-G3221),"")</f>
      </c>
    </row>
    <row r="3222" spans="2:14" x14ac:dyDescent="0.25">
      <c r="B3222">
        <v>90</v>
      </c>
      <c r="C3222">
        <v>356.25</v>
      </c>
      <c r="D3222">
        <v>18</v>
      </c>
      <c r="E3222" s="18">
        <v>5874.567076134598</v>
      </c>
      <c r="F3222" s="18">
        <v>-233.42423059499976</v>
      </c>
      <c r="G3222" s="18">
        <v>5479.5155017555635</v>
      </c>
      <c r="H3222" s="12">
        <f>E3223</f>
      </c>
      <c r="I3222" s="12">
        <f>F3223</f>
      </c>
      <c r="J3222" s="12">
        <f>G3223</f>
      </c>
      <c r="K3222">
        <f>IF(AND(Pu&gt;=MIN(E3222,H3222),Pu&lt;=MAX(E3222,H3222),E3222&lt;&gt;H3222),1,0)</f>
      </c>
      <c r="L3222">
        <f>IF(K3222=1,(Pu-E3222)/(H3222-E3222),"")</f>
      </c>
      <c r="M3222" s="12">
        <f>IF(K3222=1,F3222+L3222*(I3222-F3222),"")</f>
      </c>
      <c r="N3222" s="12">
        <f>IF(K3222=1,G3222+L3222*(J3222-G3222),"")</f>
      </c>
    </row>
    <row r="3223" spans="2:14" x14ac:dyDescent="0.25">
      <c r="B3223">
        <v>90</v>
      </c>
      <c r="C3223">
        <v>356.25</v>
      </c>
      <c r="D3223">
        <v>19</v>
      </c>
      <c r="E3223" s="18">
        <v>5700.459645686822</v>
      </c>
      <c r="F3223" s="18">
        <v>-236.18191780185015</v>
      </c>
      <c r="G3223" s="18">
        <v>5576.6672519859485</v>
      </c>
      <c r="H3223" s="12">
        <f>E3224</f>
      </c>
      <c r="I3223" s="12">
        <f>F3224</f>
      </c>
      <c r="J3223" s="12">
        <f>G3224</f>
      </c>
      <c r="K3223">
        <f>IF(AND(Pu&gt;=MIN(E3223,H3223),Pu&lt;=MAX(E3223,H3223),E3223&lt;&gt;H3223),1,0)</f>
      </c>
      <c r="L3223">
        <f>IF(K3223=1,(Pu-E3223)/(H3223-E3223),"")</f>
      </c>
      <c r="M3223" s="12">
        <f>IF(K3223=1,F3223+L3223*(I3223-F3223),"")</f>
      </c>
      <c r="N3223" s="12">
        <f>IF(K3223=1,G3223+L3223*(J3223-G3223),"")</f>
      </c>
    </row>
    <row r="3224" spans="2:14" x14ac:dyDescent="0.25">
      <c r="B3224">
        <v>90</v>
      </c>
      <c r="C3224">
        <v>356.25</v>
      </c>
      <c r="D3224">
        <v>20</v>
      </c>
      <c r="E3224" s="18">
        <v>5684.756704261397</v>
      </c>
      <c r="F3224" s="18">
        <v>-235.6402797472801</v>
      </c>
      <c r="G3224" s="18">
        <v>5586.008511510727</v>
      </c>
      <c r="H3224" s="12">
        <f>E3225</f>
      </c>
      <c r="I3224" s="12">
        <f>F3225</f>
      </c>
      <c r="J3224" s="12">
        <f>G3225</f>
      </c>
      <c r="K3224">
        <f>IF(AND(Pu&gt;=MIN(E3224,H3224),Pu&lt;=MAX(E3224,H3224),E3224&lt;&gt;H3224),1,0)</f>
      </c>
      <c r="L3224">
        <f>IF(K3224=1,(Pu-E3224)/(H3224-E3224),"")</f>
      </c>
      <c r="M3224" s="12">
        <f>IF(K3224=1,F3224+L3224*(I3224-F3224),"")</f>
      </c>
      <c r="N3224" s="12">
        <f>IF(K3224=1,G3224+L3224*(J3224-G3224),"")</f>
      </c>
    </row>
    <row r="3225" spans="2:14" x14ac:dyDescent="0.25">
      <c r="B3225">
        <v>90</v>
      </c>
      <c r="C3225">
        <v>356.25</v>
      </c>
      <c r="D3225">
        <v>21</v>
      </c>
      <c r="E3225" s="18">
        <v>5511.624668275602</v>
      </c>
      <c r="F3225" s="18">
        <v>-229.28415071179367</v>
      </c>
      <c r="G3225" s="18">
        <v>5686.417094913698</v>
      </c>
      <c r="H3225" s="12">
        <f>E3226</f>
      </c>
      <c r="I3225" s="12">
        <f>F3226</f>
      </c>
      <c r="J3225" s="12">
        <f>G3226</f>
      </c>
      <c r="K3225">
        <f>IF(AND(Pu&gt;=MIN(E3225,H3225),Pu&lt;=MAX(E3225,H3225),E3225&lt;&gt;H3225),1,0)</f>
      </c>
      <c r="L3225">
        <f>IF(K3225=1,(Pu-E3225)/(H3225-E3225),"")</f>
      </c>
      <c r="M3225" s="12">
        <f>IF(K3225=1,F3225+L3225*(I3225-F3225),"")</f>
      </c>
      <c r="N3225" s="12">
        <f>IF(K3225=1,G3225+L3225*(J3225-G3225),"")</f>
      </c>
    </row>
    <row r="3226" spans="2:14" x14ac:dyDescent="0.25">
      <c r="B3226">
        <v>90</v>
      </c>
      <c r="C3226">
        <v>356.25</v>
      </c>
      <c r="D3226">
        <v>22</v>
      </c>
      <c r="E3226" s="18">
        <v>5379.4626745642945</v>
      </c>
      <c r="F3226" s="18">
        <v>-230.57573720679846</v>
      </c>
      <c r="G3226" s="18">
        <v>5653.926013363931</v>
      </c>
      <c r="H3226" s="12">
        <f>E3227</f>
      </c>
      <c r="I3226" s="12">
        <f>F3227</f>
      </c>
      <c r="J3226" s="12">
        <f>G3227</f>
      </c>
      <c r="K3226">
        <f>IF(AND(Pu&gt;=MIN(E3226,H3226),Pu&lt;=MAX(E3226,H3226),E3226&lt;&gt;H3226),1,0)</f>
      </c>
      <c r="L3226">
        <f>IF(K3226=1,(Pu-E3226)/(H3226-E3226),"")</f>
      </c>
      <c r="M3226" s="12">
        <f>IF(K3226=1,F3226+L3226*(I3226-F3226),"")</f>
      </c>
      <c r="N3226" s="12">
        <f>IF(K3226=1,G3226+L3226*(J3226-G3226),"")</f>
      </c>
    </row>
    <row r="3227" spans="2:14" x14ac:dyDescent="0.25">
      <c r="B3227">
        <v>90</v>
      </c>
      <c r="C3227">
        <v>356.25</v>
      </c>
      <c r="D3227">
        <v>23</v>
      </c>
      <c r="E3227" s="18">
        <v>4912.1330449626885</v>
      </c>
      <c r="F3227" s="18">
        <v>-236.8693797111954</v>
      </c>
      <c r="G3227" s="18">
        <v>5534.031717476983</v>
      </c>
      <c r="H3227" s="12">
        <f>E3228</f>
      </c>
      <c r="I3227" s="12">
        <f>F3228</f>
      </c>
      <c r="J3227" s="12">
        <f>G3228</f>
      </c>
      <c r="K3227">
        <f>IF(AND(Pu&gt;=MIN(E3227,H3227),Pu&lt;=MAX(E3227,H3227),E3227&lt;&gt;H3227),1,0)</f>
      </c>
      <c r="L3227">
        <f>IF(K3227=1,(Pu-E3227)/(H3227-E3227),"")</f>
      </c>
      <c r="M3227" s="12">
        <f>IF(K3227=1,F3227+L3227*(I3227-F3227),"")</f>
      </c>
      <c r="N3227" s="12">
        <f>IF(K3227=1,G3227+L3227*(J3227-G3227),"")</f>
      </c>
    </row>
    <row r="3228" spans="2:14" x14ac:dyDescent="0.25">
      <c r="B3228">
        <v>90</v>
      </c>
      <c r="C3228">
        <v>356.25</v>
      </c>
      <c r="D3228">
        <v>24</v>
      </c>
      <c r="E3228" s="18">
        <v>4165.029843759933</v>
      </c>
      <c r="F3228" s="18">
        <v>-215.0332895679597</v>
      </c>
      <c r="G3228" s="18">
        <v>5322.341740059021</v>
      </c>
      <c r="H3228" s="12">
        <f>E3229</f>
      </c>
      <c r="I3228" s="12">
        <f>F3229</f>
      </c>
      <c r="J3228" s="12">
        <f>G3229</f>
      </c>
      <c r="K3228">
        <f>IF(AND(Pu&gt;=MIN(E3228,H3228),Pu&lt;=MAX(E3228,H3228),E3228&lt;&gt;H3228),1,0)</f>
      </c>
      <c r="L3228">
        <f>IF(K3228=1,(Pu-E3228)/(H3228-E3228),"")</f>
      </c>
      <c r="M3228" s="12">
        <f>IF(K3228=1,F3228+L3228*(I3228-F3228),"")</f>
      </c>
      <c r="N3228" s="12">
        <f>IF(K3228=1,G3228+L3228*(J3228-G3228),"")</f>
      </c>
    </row>
    <row r="3229" spans="2:14" x14ac:dyDescent="0.25">
      <c r="B3229">
        <v>90</v>
      </c>
      <c r="C3229">
        <v>356.25</v>
      </c>
      <c r="D3229">
        <v>25</v>
      </c>
      <c r="E3229" s="18">
        <v>3610.5496775514116</v>
      </c>
      <c r="F3229" s="18">
        <v>-222.72527049468079</v>
      </c>
      <c r="G3229" s="18">
        <v>5127.978576936041</v>
      </c>
      <c r="H3229" s="12">
        <f>E3230</f>
      </c>
      <c r="I3229" s="12">
        <f>F3230</f>
      </c>
      <c r="J3229" s="12">
        <f>G3230</f>
      </c>
      <c r="K3229">
        <f>IF(AND(Pu&gt;=MIN(E3229,H3229),Pu&lt;=MAX(E3229,H3229),E3229&lt;&gt;H3229),1,0)</f>
      </c>
      <c r="L3229">
        <f>IF(K3229=1,(Pu-E3229)/(H3229-E3229),"")</f>
      </c>
      <c r="M3229" s="12">
        <f>IF(K3229=1,F3229+L3229*(I3229-F3229),"")</f>
      </c>
      <c r="N3229" s="12">
        <f>IF(K3229=1,G3229+L3229*(J3229-G3229),"")</f>
      </c>
    </row>
    <row r="3230" spans="2:14" x14ac:dyDescent="0.25">
      <c r="B3230">
        <v>90</v>
      </c>
      <c r="C3230">
        <v>356.25</v>
      </c>
      <c r="D3230">
        <v>26</v>
      </c>
      <c r="E3230" s="18">
        <v>3105.3017298352647</v>
      </c>
      <c r="F3230" s="18">
        <v>-237.92281729983043</v>
      </c>
      <c r="G3230" s="18">
        <v>4935.340244709826</v>
      </c>
      <c r="H3230" s="12">
        <f>E3231</f>
      </c>
      <c r="I3230" s="12">
        <f>F3231</f>
      </c>
      <c r="J3230" s="12">
        <f>G3231</f>
      </c>
      <c r="K3230">
        <f>IF(AND(Pu&gt;=MIN(E3230,H3230),Pu&lt;=MAX(E3230,H3230),E3230&lt;&gt;H3230),1,0)</f>
      </c>
      <c r="L3230">
        <f>IF(K3230=1,(Pu-E3230)/(H3230-E3230),"")</f>
      </c>
      <c r="M3230" s="12">
        <f>IF(K3230=1,F3230+L3230*(I3230-F3230),"")</f>
      </c>
      <c r="N3230" s="12">
        <f>IF(K3230=1,G3230+L3230*(J3230-G3230),"")</f>
      </c>
    </row>
    <row r="3231" spans="2:14" x14ac:dyDescent="0.25">
      <c r="B3231">
        <v>90</v>
      </c>
      <c r="C3231">
        <v>356.25</v>
      </c>
      <c r="D3231">
        <v>27</v>
      </c>
      <c r="E3231" s="18">
        <v>2330.6826521904964</v>
      </c>
      <c r="F3231" s="18">
        <v>-220.25100451799958</v>
      </c>
      <c r="G3231" s="18">
        <v>4596.729040115483</v>
      </c>
      <c r="H3231" s="12">
        <f>E3232</f>
      </c>
      <c r="I3231" s="12">
        <f>F3232</f>
      </c>
      <c r="J3231" s="12">
        <f>G3232</f>
      </c>
      <c r="K3231">
        <f>IF(AND(Pu&gt;=MIN(E3231,H3231),Pu&lt;=MAX(E3231,H3231),E3231&lt;&gt;H3231),1,0)</f>
      </c>
      <c r="L3231">
        <f>IF(K3231=1,(Pu-E3231)/(H3231-E3231),"")</f>
      </c>
      <c r="M3231" s="12">
        <f>IF(K3231=1,F3231+L3231*(I3231-F3231),"")</f>
      </c>
      <c r="N3231" s="12">
        <f>IF(K3231=1,G3231+L3231*(J3231-G3231),"")</f>
      </c>
    </row>
    <row r="3232" spans="2:14" x14ac:dyDescent="0.25">
      <c r="B3232">
        <v>90</v>
      </c>
      <c r="C3232">
        <v>356.25</v>
      </c>
      <c r="D3232">
        <v>28</v>
      </c>
      <c r="E3232" s="18">
        <v>1663.607870806975</v>
      </c>
      <c r="F3232" s="18">
        <v>-244.63450973770398</v>
      </c>
      <c r="G3232" s="18">
        <v>4259.374731074119</v>
      </c>
      <c r="H3232" s="12">
        <f>E3233</f>
      </c>
      <c r="I3232" s="12">
        <f>F3233</f>
      </c>
      <c r="J3232" s="12">
        <f>G3233</f>
      </c>
      <c r="K3232">
        <f>IF(AND(Pu&gt;=MIN(E3232,H3232),Pu&lt;=MAX(E3232,H3232),E3232&lt;&gt;H3232),1,0)</f>
      </c>
      <c r="L3232">
        <f>IF(K3232=1,(Pu-E3232)/(H3232-E3232),"")</f>
      </c>
      <c r="M3232" s="12">
        <f>IF(K3232=1,F3232+L3232*(I3232-F3232),"")</f>
      </c>
      <c r="N3232" s="12">
        <f>IF(K3232=1,G3232+L3232*(J3232-G3232),"")</f>
      </c>
    </row>
    <row r="3233" spans="2:14" x14ac:dyDescent="0.25">
      <c r="B3233">
        <v>90</v>
      </c>
      <c r="C3233">
        <v>356.25</v>
      </c>
      <c r="D3233">
        <v>29</v>
      </c>
      <c r="E3233" s="18">
        <v>873.6803506119745</v>
      </c>
      <c r="F3233" s="18">
        <v>-240.89033518120766</v>
      </c>
      <c r="G3233" s="18">
        <v>3831.1550203229604</v>
      </c>
      <c r="H3233" s="12">
        <f>E3234</f>
      </c>
      <c r="I3233" s="12">
        <f>F3234</f>
      </c>
      <c r="J3233" s="12">
        <f>G3234</f>
      </c>
      <c r="K3233">
        <f>IF(AND(Pu&gt;=MIN(E3233,H3233),Pu&lt;=MAX(E3233,H3233),E3233&lt;&gt;H3233),1,0)</f>
      </c>
      <c r="L3233">
        <f>IF(K3233=1,(Pu-E3233)/(H3233-E3233),"")</f>
      </c>
      <c r="M3233" s="12">
        <f>IF(K3233=1,F3233+L3233*(I3233-F3233),"")</f>
      </c>
      <c r="N3233" s="12">
        <f>IF(K3233=1,G3233+L3233*(J3233-G3233),"")</f>
      </c>
    </row>
    <row r="3234" spans="2:14" x14ac:dyDescent="0.25">
      <c r="B3234">
        <v>90</v>
      </c>
      <c r="C3234">
        <v>356.25</v>
      </c>
      <c r="D3234">
        <v>30</v>
      </c>
      <c r="E3234" s="18">
        <v>229.6174766430689</v>
      </c>
      <c r="F3234" s="18">
        <v>-192.03503054490687</v>
      </c>
      <c r="G3234" s="18">
        <v>3461.902201498857</v>
      </c>
      <c r="H3234" s="12">
        <f>E3235</f>
      </c>
      <c r="I3234" s="12">
        <f>F3235</f>
      </c>
      <c r="J3234" s="12">
        <f>G3235</f>
      </c>
      <c r="K3234">
        <f>IF(AND(Pu&gt;=MIN(E3234,H3234),Pu&lt;=MAX(E3234,H3234),E3234&lt;&gt;H3234),1,0)</f>
      </c>
      <c r="L3234">
        <f>IF(K3234=1,(Pu-E3234)/(H3234-E3234),"")</f>
      </c>
      <c r="M3234" s="12">
        <f>IF(K3234=1,F3234+L3234*(I3234-F3234),"")</f>
      </c>
      <c r="N3234" s="12">
        <f>IF(K3234=1,G3234+L3234*(J3234-G3234),"")</f>
      </c>
    </row>
    <row r="3235" spans="2:14" x14ac:dyDescent="0.25">
      <c r="B3235">
        <v>90</v>
      </c>
      <c r="C3235">
        <v>356.25</v>
      </c>
      <c r="D3235">
        <v>31</v>
      </c>
      <c r="E3235" s="18">
        <v>-665.8203735066107</v>
      </c>
      <c r="F3235" s="18">
        <v>-165.91414458648518</v>
      </c>
      <c r="G3235" s="18">
        <v>2907.82854277291</v>
      </c>
      <c r="H3235" s="12">
        <f>E3236</f>
      </c>
      <c r="I3235" s="12">
        <f>F3236</f>
      </c>
      <c r="J3235" s="12">
        <f>G3236</f>
      </c>
      <c r="K3235">
        <f>IF(AND(Pu&gt;=MIN(E3235,H3235),Pu&lt;=MAX(E3235,H3235),E3235&lt;&gt;H3235),1,0)</f>
      </c>
      <c r="L3235">
        <f>IF(K3235=1,(Pu-E3235)/(H3235-E3235),"")</f>
      </c>
      <c r="M3235" s="12">
        <f>IF(K3235=1,F3235+L3235*(I3235-F3235),"")</f>
      </c>
      <c r="N3235" s="12">
        <f>IF(K3235=1,G3235+L3235*(J3235-G3235),"")</f>
      </c>
    </row>
    <row r="3236" spans="2:14" x14ac:dyDescent="0.25">
      <c r="B3236">
        <v>90</v>
      </c>
      <c r="C3236">
        <v>356.25</v>
      </c>
      <c r="D3236">
        <v>32</v>
      </c>
      <c r="E3236" s="18">
        <v>-1315.9689572409434</v>
      </c>
      <c r="F3236" s="18">
        <v>-155.6190262197261</v>
      </c>
      <c r="G3236" s="18">
        <v>2484.954153157788</v>
      </c>
      <c r="H3236" s="12">
        <f>E3237</f>
      </c>
      <c r="I3236" s="12">
        <f>F3237</f>
      </c>
      <c r="J3236" s="12">
        <f>G3237</f>
      </c>
      <c r="K3236">
        <f>IF(AND(Pu&gt;=MIN(E3236,H3236),Pu&lt;=MAX(E3236,H3236),E3236&lt;&gt;H3236),1,0)</f>
      </c>
      <c r="L3236">
        <f>IF(K3236=1,(Pu-E3236)/(H3236-E3236),"")</f>
      </c>
      <c r="M3236" s="12">
        <f>IF(K3236=1,F3236+L3236*(I3236-F3236),"")</f>
      </c>
      <c r="N3236" s="12">
        <f>IF(K3236=1,G3236+L3236*(J3236-G3236),"")</f>
      </c>
    </row>
    <row r="3237" spans="2:14" x14ac:dyDescent="0.25">
      <c r="B3237">
        <v>90</v>
      </c>
      <c r="C3237">
        <v>356.25</v>
      </c>
      <c r="D3237">
        <v>33</v>
      </c>
      <c r="E3237" s="18">
        <v>-2217.3307886092334</v>
      </c>
      <c r="F3237" s="18">
        <v>-141.2096108579157</v>
      </c>
      <c r="G3237" s="18">
        <v>1880.9089611051247</v>
      </c>
      <c r="H3237" s="12">
        <f>E3238</f>
      </c>
      <c r="I3237" s="12">
        <f>F3238</f>
      </c>
      <c r="J3237" s="12">
        <f>G3238</f>
      </c>
      <c r="K3237">
        <f>IF(AND(Pu&gt;=MIN(E3237,H3237),Pu&lt;=MAX(E3237,H3237),E3237&lt;&gt;H3237),1,0)</f>
      </c>
      <c r="L3237">
        <f>IF(K3237=1,(Pu-E3237)/(H3237-E3237),"")</f>
      </c>
      <c r="M3237" s="12">
        <f>IF(K3237=1,F3237+L3237*(I3237-F3237),"")</f>
      </c>
      <c r="N3237" s="12">
        <f>IF(K3237=1,G3237+L3237*(J3237-G3237),"")</f>
      </c>
    </row>
    <row r="3238" spans="2:14" x14ac:dyDescent="0.25">
      <c r="B3238">
        <v>90</v>
      </c>
      <c r="C3238">
        <v>356.25</v>
      </c>
      <c r="D3238">
        <v>34</v>
      </c>
      <c r="E3238" s="18">
        <v>-2894.1542720978123</v>
      </c>
      <c r="F3238" s="18">
        <v>-143.74803556509306</v>
      </c>
      <c r="G3238" s="18">
        <v>1417.6828610513926</v>
      </c>
      <c r="H3238" s="12">
        <f>E3239</f>
      </c>
      <c r="I3238" s="12">
        <f>F3239</f>
      </c>
      <c r="J3238" s="12">
        <f>G3239</f>
      </c>
      <c r="K3238">
        <f>IF(AND(Pu&gt;=MIN(E3238,H3238),Pu&lt;=MAX(E3238,H3238),E3238&lt;&gt;H3238),1,0)</f>
      </c>
      <c r="L3238">
        <f>IF(K3238=1,(Pu-E3238)/(H3238-E3238),"")</f>
      </c>
      <c r="M3238" s="12">
        <f>IF(K3238=1,F3238+L3238*(I3238-F3238),"")</f>
      </c>
      <c r="N3238" s="12">
        <f>IF(K3238=1,G3238+L3238*(J3238-G3238),"")</f>
      </c>
    </row>
    <row r="3239" spans="2:14" x14ac:dyDescent="0.25">
      <c r="B3239">
        <v>90</v>
      </c>
      <c r="C3239">
        <v>356.25</v>
      </c>
      <c r="D3239">
        <v>35</v>
      </c>
      <c r="E3239" s="18">
        <v>-4118.232507514979</v>
      </c>
      <c r="F3239" s="18">
        <v>-141.97292868439473</v>
      </c>
      <c r="G3239" s="18">
        <v>571.4427180016147</v>
      </c>
      <c r="H3239" s="12">
        <f>E3240</f>
      </c>
      <c r="I3239" s="12">
        <f>F3240</f>
      </c>
      <c r="J3239" s="12">
        <f>G3240</f>
      </c>
      <c r="K3239">
        <f>IF(AND(Pu&gt;=MIN(E3239,H3239),Pu&lt;=MAX(E3239,H3239),E3239&lt;&gt;H3239),1,0)</f>
      </c>
      <c r="L3239">
        <f>IF(K3239=1,(Pu-E3239)/(H3239-E3239),"")</f>
      </c>
      <c r="M3239" s="12">
        <f>IF(K3239=1,F3239+L3239*(I3239-F3239),"")</f>
      </c>
      <c r="N3239" s="12">
        <f>IF(K3239=1,G3239+L3239*(J3239-G3239),"")</f>
      </c>
    </row>
    <row r="3240" spans="2:7" x14ac:dyDescent="0.25">
      <c r="B3240">
        <v>90</v>
      </c>
      <c r="C3240">
        <v>356.25</v>
      </c>
      <c r="D3240">
        <v>36</v>
      </c>
      <c r="E3240" s="18">
        <v>-4615.296222839326</v>
      </c>
      <c r="F3240" s="18">
        <v>-67.60447026018213</v>
      </c>
      <c r="G3240" s="18">
        <v>224.11114236534553</v>
      </c>
    </row>
    <row r="3242" spans="2:14" x14ac:dyDescent="0.25">
      <c r="B3242">
        <v>91</v>
      </c>
      <c r="C3242">
        <v>358.12499999999994</v>
      </c>
      <c r="D3242">
        <v>1</v>
      </c>
      <c r="E3242" s="18">
        <v>17391.47632749269</v>
      </c>
      <c r="F3242" s="18">
        <v>-78.10757448925322</v>
      </c>
      <c r="G3242" s="18">
        <v>2854.6774859712355</v>
      </c>
      <c r="H3242" s="12">
        <f>E3243</f>
      </c>
      <c r="I3242" s="12">
        <f>F3243</f>
      </c>
      <c r="J3242" s="12">
        <f>G3243</f>
      </c>
      <c r="K3242">
        <f>IF(AND(Pu&gt;=MIN(E3242,H3242),Pu&lt;=MAX(E3242,H3242),E3242&lt;&gt;H3242),1,0)</f>
      </c>
      <c r="L3242">
        <f>IF(K3242=1,(Pu-E3242)/(H3242-E3242),"")</f>
      </c>
      <c r="M3242" s="12">
        <f>IF(K3242=1,F3242+L3242*(I3242-F3242),"")</f>
      </c>
      <c r="N3242" s="12">
        <f>IF(K3242=1,G3242+L3242*(J3242-G3242),"")</f>
      </c>
    </row>
    <row r="3243" spans="2:14" x14ac:dyDescent="0.25">
      <c r="B3243">
        <v>91</v>
      </c>
      <c r="C3243">
        <v>358.12499999999994</v>
      </c>
      <c r="D3243">
        <v>2</v>
      </c>
      <c r="E3243" s="18">
        <v>16800.998190039492</v>
      </c>
      <c r="F3243" s="18">
        <v>-70.32289134427012</v>
      </c>
      <c r="G3243" s="18">
        <v>3139.357625576693</v>
      </c>
      <c r="H3243" s="12">
        <f>E3244</f>
      </c>
      <c r="I3243" s="12">
        <f>F3244</f>
      </c>
      <c r="J3243" s="12">
        <f>G3244</f>
      </c>
      <c r="K3243">
        <f>IF(AND(Pu&gt;=MIN(E3243,H3243),Pu&lt;=MAX(E3243,H3243),E3243&lt;&gt;H3243),1,0)</f>
      </c>
      <c r="L3243">
        <f>IF(K3243=1,(Pu-E3243)/(H3243-E3243),"")</f>
      </c>
      <c r="M3243" s="12">
        <f>IF(K3243=1,F3243+L3243*(I3243-F3243),"")</f>
      </c>
      <c r="N3243" s="12">
        <f>IF(K3243=1,G3243+L3243*(J3243-G3243),"")</f>
      </c>
    </row>
    <row r="3244" spans="2:14" x14ac:dyDescent="0.25">
      <c r="B3244">
        <v>91</v>
      </c>
      <c r="C3244">
        <v>358.12499999999994</v>
      </c>
      <c r="D3244">
        <v>3</v>
      </c>
      <c r="E3244" s="18">
        <v>16077.057559257484</v>
      </c>
      <c r="F3244" s="18">
        <v>-72.55051061693959</v>
      </c>
      <c r="G3244" s="18">
        <v>3445.4506502974778</v>
      </c>
      <c r="H3244" s="12">
        <f>E3245</f>
      </c>
      <c r="I3244" s="12">
        <f>F3245</f>
      </c>
      <c r="J3244" s="12">
        <f>G3245</f>
      </c>
      <c r="K3244">
        <f>IF(AND(Pu&gt;=MIN(E3244,H3244),Pu&lt;=MAX(E3244,H3244),E3244&lt;&gt;H3244),1,0)</f>
      </c>
      <c r="L3244">
        <f>IF(K3244=1,(Pu-E3244)/(H3244-E3244),"")</f>
      </c>
      <c r="M3244" s="12">
        <f>IF(K3244=1,F3244+L3244*(I3244-F3244),"")</f>
      </c>
      <c r="N3244" s="12">
        <f>IF(K3244=1,G3244+L3244*(J3244-G3244),"")</f>
      </c>
    </row>
    <row r="3245" spans="2:14" x14ac:dyDescent="0.25">
      <c r="B3245">
        <v>91</v>
      </c>
      <c r="C3245">
        <v>358.12499999999994</v>
      </c>
      <c r="D3245">
        <v>4</v>
      </c>
      <c r="E3245" s="18">
        <v>15342.031418567401</v>
      </c>
      <c r="F3245" s="18">
        <v>-75.83947642959092</v>
      </c>
      <c r="G3245" s="18">
        <v>3707.691684066246</v>
      </c>
      <c r="H3245" s="12">
        <f>E3246</f>
      </c>
      <c r="I3245" s="12">
        <f>F3246</f>
      </c>
      <c r="J3245" s="12">
        <f>G3246</f>
      </c>
      <c r="K3245">
        <f>IF(AND(Pu&gt;=MIN(E3245,H3245),Pu&lt;=MAX(E3245,H3245),E3245&lt;&gt;H3245),1,0)</f>
      </c>
      <c r="L3245">
        <f>IF(K3245=1,(Pu-E3245)/(H3245-E3245),"")</f>
      </c>
      <c r="M3245" s="12">
        <f>IF(K3245=1,F3245+L3245*(I3245-F3245),"")</f>
      </c>
      <c r="N3245" s="12">
        <f>IF(K3245=1,G3245+L3245*(J3245-G3245),"")</f>
      </c>
    </row>
    <row r="3246" spans="2:14" x14ac:dyDescent="0.25">
      <c r="B3246">
        <v>91</v>
      </c>
      <c r="C3246">
        <v>358.12499999999994</v>
      </c>
      <c r="D3246">
        <v>5</v>
      </c>
      <c r="E3246" s="18">
        <v>14019.23063208105</v>
      </c>
      <c r="F3246" s="18">
        <v>-89.41466289912762</v>
      </c>
      <c r="G3246" s="18">
        <v>4085.9797821032594</v>
      </c>
      <c r="H3246" s="12">
        <f>E3247</f>
      </c>
      <c r="I3246" s="12">
        <f>F3247</f>
      </c>
      <c r="J3246" s="12">
        <f>G3247</f>
      </c>
      <c r="K3246">
        <f>IF(AND(Pu&gt;=MIN(E3246,H3246),Pu&lt;=MAX(E3246,H3246),E3246&lt;&gt;H3246),1,0)</f>
      </c>
      <c r="L3246">
        <f>IF(K3246=1,(Pu-E3246)/(H3246-E3246),"")</f>
      </c>
      <c r="M3246" s="12">
        <f>IF(K3246=1,F3246+L3246*(I3246-F3246),"")</f>
      </c>
      <c r="N3246" s="12">
        <f>IF(K3246=1,G3246+L3246*(J3246-G3246),"")</f>
      </c>
    </row>
    <row r="3247" spans="2:14" x14ac:dyDescent="0.25">
      <c r="B3247">
        <v>91</v>
      </c>
      <c r="C3247">
        <v>358.12499999999994</v>
      </c>
      <c r="D3247">
        <v>6</v>
      </c>
      <c r="E3247" s="18">
        <v>11892.814235497679</v>
      </c>
      <c r="F3247" s="18">
        <v>-104.47898246626664</v>
      </c>
      <c r="G3247" s="18">
        <v>4460.05125255041</v>
      </c>
      <c r="H3247" s="12">
        <f>E3248</f>
      </c>
      <c r="I3247" s="12">
        <f>F3248</f>
      </c>
      <c r="J3247" s="12">
        <f>G3248</f>
      </c>
      <c r="K3247">
        <f>IF(AND(Pu&gt;=MIN(E3247,H3247),Pu&lt;=MAX(E3247,H3247),E3247&lt;&gt;H3247),1,0)</f>
      </c>
      <c r="L3247">
        <f>IF(K3247=1,(Pu-E3247)/(H3247-E3247),"")</f>
      </c>
      <c r="M3247" s="12">
        <f>IF(K3247=1,F3247+L3247*(I3247-F3247),"")</f>
      </c>
      <c r="N3247" s="12">
        <f>IF(K3247=1,G3247+L3247*(J3247-G3247),"")</f>
      </c>
    </row>
    <row r="3248" spans="2:14" x14ac:dyDescent="0.25">
      <c r="B3248">
        <v>91</v>
      </c>
      <c r="C3248">
        <v>358.12499999999994</v>
      </c>
      <c r="D3248">
        <v>7</v>
      </c>
      <c r="E3248" s="18">
        <v>9894.634399280174</v>
      </c>
      <c r="F3248" s="18">
        <v>-101.33115909349543</v>
      </c>
      <c r="G3248" s="18">
        <v>4688.795447420103</v>
      </c>
      <c r="H3248" s="12">
        <f>E3249</f>
      </c>
      <c r="I3248" s="12">
        <f>F3249</f>
      </c>
      <c r="J3248" s="12">
        <f>G3249</f>
      </c>
      <c r="K3248">
        <f>IF(AND(Pu&gt;=MIN(E3248,H3248),Pu&lt;=MAX(E3248,H3248),E3248&lt;&gt;H3248),1,0)</f>
      </c>
      <c r="L3248">
        <f>IF(K3248=1,(Pu-E3248)/(H3248-E3248),"")</f>
      </c>
      <c r="M3248" s="12">
        <f>IF(K3248=1,F3248+L3248*(I3248-F3248),"")</f>
      </c>
      <c r="N3248" s="12">
        <f>IF(K3248=1,G3248+L3248*(J3248-G3248),"")</f>
      </c>
    </row>
    <row r="3249" spans="2:14" x14ac:dyDescent="0.25">
      <c r="B3249">
        <v>91</v>
      </c>
      <c r="C3249">
        <v>358.12499999999994</v>
      </c>
      <c r="D3249">
        <v>8</v>
      </c>
      <c r="E3249" s="18">
        <v>8942.91287194244</v>
      </c>
      <c r="F3249" s="18">
        <v>-113.55533208531314</v>
      </c>
      <c r="G3249" s="18">
        <v>4762.511810738263</v>
      </c>
      <c r="H3249" s="12">
        <f>E3250</f>
      </c>
      <c r="I3249" s="12">
        <f>F3250</f>
      </c>
      <c r="J3249" s="12">
        <f>G3250</f>
      </c>
      <c r="K3249">
        <f>IF(AND(Pu&gt;=MIN(E3249,H3249),Pu&lt;=MAX(E3249,H3249),E3249&lt;&gt;H3249),1,0)</f>
      </c>
      <c r="L3249">
        <f>IF(K3249=1,(Pu-E3249)/(H3249-E3249),"")</f>
      </c>
      <c r="M3249" s="12">
        <f>IF(K3249=1,F3249+L3249*(I3249-F3249),"")</f>
      </c>
      <c r="N3249" s="12">
        <f>IF(K3249=1,G3249+L3249*(J3249-G3249),"")</f>
      </c>
    </row>
    <row r="3250" spans="2:14" x14ac:dyDescent="0.25">
      <c r="B3250">
        <v>91</v>
      </c>
      <c r="C3250">
        <v>358.12499999999994</v>
      </c>
      <c r="D3250">
        <v>9</v>
      </c>
      <c r="E3250" s="18">
        <v>8419.84682672833</v>
      </c>
      <c r="F3250" s="18">
        <v>-117.27876652400751</v>
      </c>
      <c r="G3250" s="18">
        <v>4864.010584805821</v>
      </c>
      <c r="H3250" s="12">
        <f>E3251</f>
      </c>
      <c r="I3250" s="12">
        <f>F3251</f>
      </c>
      <c r="J3250" s="12">
        <f>G3251</f>
      </c>
      <c r="K3250">
        <f>IF(AND(Pu&gt;=MIN(E3250,H3250),Pu&lt;=MAX(E3250,H3250),E3250&lt;&gt;H3250),1,0)</f>
      </c>
      <c r="L3250">
        <f>IF(K3250=1,(Pu-E3250)/(H3250-E3250),"")</f>
      </c>
      <c r="M3250" s="12">
        <f>IF(K3250=1,F3250+L3250*(I3250-F3250),"")</f>
      </c>
      <c r="N3250" s="12">
        <f>IF(K3250=1,G3250+L3250*(J3250-G3250),"")</f>
      </c>
    </row>
    <row r="3251" spans="2:14" x14ac:dyDescent="0.25">
      <c r="B3251">
        <v>91</v>
      </c>
      <c r="C3251">
        <v>358.12499999999994</v>
      </c>
      <c r="D3251">
        <v>10</v>
      </c>
      <c r="E3251" s="18">
        <v>8073.903676985097</v>
      </c>
      <c r="F3251" s="18">
        <v>-120.138261418906</v>
      </c>
      <c r="G3251" s="18">
        <v>4917.851961705693</v>
      </c>
      <c r="H3251" s="12">
        <f>E3252</f>
      </c>
      <c r="I3251" s="12">
        <f>F3252</f>
      </c>
      <c r="J3251" s="12">
        <f>G3252</f>
      </c>
      <c r="K3251">
        <f>IF(AND(Pu&gt;=MIN(E3251,H3251),Pu&lt;=MAX(E3251,H3251),E3251&lt;&gt;H3251),1,0)</f>
      </c>
      <c r="L3251">
        <f>IF(K3251=1,(Pu-E3251)/(H3251-E3251),"")</f>
      </c>
      <c r="M3251" s="12">
        <f>IF(K3251=1,F3251+L3251*(I3251-F3251),"")</f>
      </c>
      <c r="N3251" s="12">
        <f>IF(K3251=1,G3251+L3251*(J3251-G3251),"")</f>
      </c>
    </row>
    <row r="3252" spans="2:14" x14ac:dyDescent="0.25">
      <c r="B3252">
        <v>91</v>
      </c>
      <c r="C3252">
        <v>358.12499999999994</v>
      </c>
      <c r="D3252">
        <v>11</v>
      </c>
      <c r="E3252" s="18">
        <v>7366.63732110092</v>
      </c>
      <c r="F3252" s="18">
        <v>-126.25222746168124</v>
      </c>
      <c r="G3252" s="18">
        <v>5012.774261655251</v>
      </c>
      <c r="H3252" s="12">
        <f>E3253</f>
      </c>
      <c r="I3252" s="12">
        <f>F3253</f>
      </c>
      <c r="J3252" s="12">
        <f>G3253</f>
      </c>
      <c r="K3252">
        <f>IF(AND(Pu&gt;=MIN(E3252,H3252),Pu&lt;=MAX(E3252,H3252),E3252&lt;&gt;H3252),1,0)</f>
      </c>
      <c r="L3252">
        <f>IF(K3252=1,(Pu-E3252)/(H3252-E3252),"")</f>
      </c>
      <c r="M3252" s="12">
        <f>IF(K3252=1,F3252+L3252*(I3252-F3252),"")</f>
      </c>
      <c r="N3252" s="12">
        <f>IF(K3252=1,G3252+L3252*(J3252-G3252),"")</f>
      </c>
    </row>
    <row r="3253" spans="2:14" x14ac:dyDescent="0.25">
      <c r="B3253">
        <v>91</v>
      </c>
      <c r="C3253">
        <v>358.12499999999994</v>
      </c>
      <c r="D3253">
        <v>12</v>
      </c>
      <c r="E3253" s="18">
        <v>7253.800446750895</v>
      </c>
      <c r="F3253" s="18">
        <v>-127.26018193755522</v>
      </c>
      <c r="G3253" s="18">
        <v>5026.194073778877</v>
      </c>
      <c r="H3253" s="12">
        <f>E3254</f>
      </c>
      <c r="I3253" s="12">
        <f>F3254</f>
      </c>
      <c r="J3253" s="12">
        <f>G3254</f>
      </c>
      <c r="K3253">
        <f>IF(AND(Pu&gt;=MIN(E3253,H3253),Pu&lt;=MAX(E3253,H3253),E3253&lt;&gt;H3253),1,0)</f>
      </c>
      <c r="L3253">
        <f>IF(K3253=1,(Pu-E3253)/(H3253-E3253),"")</f>
      </c>
      <c r="M3253" s="12">
        <f>IF(K3253=1,F3253+L3253*(I3253-F3253),"")</f>
      </c>
      <c r="N3253" s="12">
        <f>IF(K3253=1,G3253+L3253*(J3253-G3253),"")</f>
      </c>
    </row>
    <row r="3254" spans="2:14" x14ac:dyDescent="0.25">
      <c r="B3254">
        <v>91</v>
      </c>
      <c r="C3254">
        <v>358.12499999999994</v>
      </c>
      <c r="D3254">
        <v>13</v>
      </c>
      <c r="E3254" s="18">
        <v>6647.602984996686</v>
      </c>
      <c r="F3254" s="18">
        <v>-121.802093869679</v>
      </c>
      <c r="G3254" s="18">
        <v>5138.145789415319</v>
      </c>
      <c r="H3254" s="12">
        <f>E3255</f>
      </c>
      <c r="I3254" s="12">
        <f>F3255</f>
      </c>
      <c r="J3254" s="12">
        <f>G3255</f>
      </c>
      <c r="K3254">
        <f>IF(AND(Pu&gt;=MIN(E3254,H3254),Pu&lt;=MAX(E3254,H3254),E3254&lt;&gt;H3254),1,0)</f>
      </c>
      <c r="L3254">
        <f>IF(K3254=1,(Pu-E3254)/(H3254-E3254),"")</f>
      </c>
      <c r="M3254" s="12">
        <f>IF(K3254=1,F3254+L3254*(I3254-F3254),"")</f>
      </c>
      <c r="N3254" s="12">
        <f>IF(K3254=1,G3254+L3254*(J3254-G3254),"")</f>
      </c>
    </row>
    <row r="3255" spans="2:14" x14ac:dyDescent="0.25">
      <c r="B3255">
        <v>91</v>
      </c>
      <c r="C3255">
        <v>358.12499999999994</v>
      </c>
      <c r="D3255">
        <v>14</v>
      </c>
      <c r="E3255" s="18">
        <v>6617.519996977069</v>
      </c>
      <c r="F3255" s="18">
        <v>-122.02716851231703</v>
      </c>
      <c r="G3255" s="18">
        <v>5149.777148606522</v>
      </c>
      <c r="H3255" s="12">
        <f>E3256</f>
      </c>
      <c r="I3255" s="12">
        <f>F3256</f>
      </c>
      <c r="J3255" s="12">
        <f>G3256</f>
      </c>
      <c r="K3255">
        <f>IF(AND(Pu&gt;=MIN(E3255,H3255),Pu&lt;=MAX(E3255,H3255),E3255&lt;&gt;H3255),1,0)</f>
      </c>
      <c r="L3255">
        <f>IF(K3255=1,(Pu-E3255)/(H3255-E3255),"")</f>
      </c>
      <c r="M3255" s="12">
        <f>IF(K3255=1,F3255+L3255*(I3255-F3255),"")</f>
      </c>
      <c r="N3255" s="12">
        <f>IF(K3255=1,G3255+L3255*(J3255-G3255),"")</f>
      </c>
    </row>
    <row r="3256" spans="2:14" x14ac:dyDescent="0.25">
      <c r="B3256">
        <v>91</v>
      </c>
      <c r="C3256">
        <v>358.12499999999994</v>
      </c>
      <c r="D3256">
        <v>15</v>
      </c>
      <c r="E3256" s="18">
        <v>6352.914463480646</v>
      </c>
      <c r="F3256" s="18">
        <v>-105.75650685854895</v>
      </c>
      <c r="G3256" s="18">
        <v>5268.315480059112</v>
      </c>
      <c r="H3256" s="12">
        <f>E3257</f>
      </c>
      <c r="I3256" s="12">
        <f>F3257</f>
      </c>
      <c r="J3256" s="12">
        <f>G3257</f>
      </c>
      <c r="K3256">
        <f>IF(AND(Pu&gt;=MIN(E3256,H3256),Pu&lt;=MAX(E3256,H3256),E3256&lt;&gt;H3256),1,0)</f>
      </c>
      <c r="L3256">
        <f>IF(K3256=1,(Pu-E3256)/(H3256-E3256),"")</f>
      </c>
      <c r="M3256" s="12">
        <f>IF(K3256=1,F3256+L3256*(I3256-F3256),"")</f>
      </c>
      <c r="N3256" s="12">
        <f>IF(K3256=1,G3256+L3256*(J3256-G3256),"")</f>
      </c>
    </row>
    <row r="3257" spans="2:14" x14ac:dyDescent="0.25">
      <c r="B3257">
        <v>91</v>
      </c>
      <c r="C3257">
        <v>358.12499999999994</v>
      </c>
      <c r="D3257">
        <v>16</v>
      </c>
      <c r="E3257" s="18">
        <v>6255.594798297263</v>
      </c>
      <c r="F3257" s="18">
        <v>-106.14158953870296</v>
      </c>
      <c r="G3257" s="18">
        <v>5313.173666420694</v>
      </c>
      <c r="H3257" s="12">
        <f>E3258</f>
      </c>
      <c r="I3257" s="12">
        <f>F3258</f>
      </c>
      <c r="J3257" s="12">
        <f>G3258</f>
      </c>
      <c r="K3257">
        <f>IF(AND(Pu&gt;=MIN(E3257,H3257),Pu&lt;=MAX(E3257,H3257),E3257&lt;&gt;H3257),1,0)</f>
      </c>
      <c r="L3257">
        <f>IF(K3257=1,(Pu-E3257)/(H3257-E3257),"")</f>
      </c>
      <c r="M3257" s="12">
        <f>IF(K3257=1,F3257+L3257*(I3257-F3257),"")</f>
      </c>
      <c r="N3257" s="12">
        <f>IF(K3257=1,G3257+L3257*(J3257-G3257),"")</f>
      </c>
    </row>
    <row r="3258" spans="2:14" x14ac:dyDescent="0.25">
      <c r="B3258">
        <v>91</v>
      </c>
      <c r="C3258">
        <v>358.12499999999994</v>
      </c>
      <c r="D3258">
        <v>17</v>
      </c>
      <c r="E3258" s="18">
        <v>6135.074176270868</v>
      </c>
      <c r="F3258" s="18">
        <v>-115.01124912594292</v>
      </c>
      <c r="G3258" s="18">
        <v>5384.4108815187465</v>
      </c>
      <c r="H3258" s="12">
        <f>E3259</f>
      </c>
      <c r="I3258" s="12">
        <f>F3259</f>
      </c>
      <c r="J3258" s="12">
        <f>G3259</f>
      </c>
      <c r="K3258">
        <f>IF(AND(Pu&gt;=MIN(E3258,H3258),Pu&lt;=MAX(E3258,H3258),E3258&lt;&gt;H3258),1,0)</f>
      </c>
      <c r="L3258">
        <f>IF(K3258=1,(Pu-E3258)/(H3258-E3258),"")</f>
      </c>
      <c r="M3258" s="12">
        <f>IF(K3258=1,F3258+L3258*(I3258-F3258),"")</f>
      </c>
      <c r="N3258" s="12">
        <f>IF(K3258=1,G3258+L3258*(J3258-G3258),"")</f>
      </c>
    </row>
    <row r="3259" spans="2:14" x14ac:dyDescent="0.25">
      <c r="B3259">
        <v>91</v>
      </c>
      <c r="C3259">
        <v>358.12499999999994</v>
      </c>
      <c r="D3259">
        <v>18</v>
      </c>
      <c r="E3259" s="18">
        <v>5928.202192213528</v>
      </c>
      <c r="F3259" s="18">
        <v>-117.11850023174253</v>
      </c>
      <c r="G3259" s="18">
        <v>5498.670055250076</v>
      </c>
      <c r="H3259" s="12">
        <f>E3260</f>
      </c>
      <c r="I3259" s="12">
        <f>F3260</f>
      </c>
      <c r="J3259" s="12">
        <f>G3260</f>
      </c>
      <c r="K3259">
        <f>IF(AND(Pu&gt;=MIN(E3259,H3259),Pu&lt;=MAX(E3259,H3259),E3259&lt;&gt;H3259),1,0)</f>
      </c>
      <c r="L3259">
        <f>IF(K3259=1,(Pu-E3259)/(H3259-E3259),"")</f>
      </c>
      <c r="M3259" s="12">
        <f>IF(K3259=1,F3259+L3259*(I3259-F3259),"")</f>
      </c>
      <c r="N3259" s="12">
        <f>IF(K3259=1,G3259+L3259*(J3259-G3259),"")</f>
      </c>
    </row>
    <row r="3260" spans="2:14" x14ac:dyDescent="0.25">
      <c r="B3260">
        <v>91</v>
      </c>
      <c r="C3260">
        <v>358.12499999999994</v>
      </c>
      <c r="D3260">
        <v>19</v>
      </c>
      <c r="E3260" s="18">
        <v>5745.629471121566</v>
      </c>
      <c r="F3260" s="18">
        <v>-120.39666005816471</v>
      </c>
      <c r="G3260" s="18">
        <v>5603.988435964237</v>
      </c>
      <c r="H3260" s="12">
        <f>E3261</f>
      </c>
      <c r="I3260" s="12">
        <f>F3261</f>
      </c>
      <c r="J3260" s="12">
        <f>G3261</f>
      </c>
      <c r="K3260">
        <f>IF(AND(Pu&gt;=MIN(E3260,H3260),Pu&lt;=MAX(E3260,H3260),E3260&lt;&gt;H3260),1,0)</f>
      </c>
      <c r="L3260">
        <f>IF(K3260=1,(Pu-E3260)/(H3260-E3260),"")</f>
      </c>
      <c r="M3260" s="12">
        <f>IF(K3260=1,F3260+L3260*(I3260-F3260),"")</f>
      </c>
      <c r="N3260" s="12">
        <f>IF(K3260=1,G3260+L3260*(J3260-G3260),"")</f>
      </c>
    </row>
    <row r="3261" spans="2:14" x14ac:dyDescent="0.25">
      <c r="B3261">
        <v>91</v>
      </c>
      <c r="C3261">
        <v>358.12499999999994</v>
      </c>
      <c r="D3261">
        <v>20</v>
      </c>
      <c r="E3261" s="18">
        <v>5735.170854552946</v>
      </c>
      <c r="F3261" s="18">
        <v>-119.66860818699064</v>
      </c>
      <c r="G3261" s="18">
        <v>5610.574901129794</v>
      </c>
      <c r="H3261" s="12">
        <f>E3262</f>
      </c>
      <c r="I3261" s="12">
        <f>F3262</f>
      </c>
      <c r="J3261" s="12">
        <f>G3262</f>
      </c>
      <c r="K3261">
        <f>IF(AND(Pu&gt;=MIN(E3261,H3261),Pu&lt;=MAX(E3261,H3261),E3261&lt;&gt;H3261),1,0)</f>
      </c>
      <c r="L3261">
        <f>IF(K3261=1,(Pu-E3261)/(H3261-E3261),"")</f>
      </c>
      <c r="M3261" s="12">
        <f>IF(K3261=1,F3261+L3261*(I3261-F3261),"")</f>
      </c>
      <c r="N3261" s="12">
        <f>IF(K3261=1,G3261+L3261*(J3261-G3261),"")</f>
      </c>
    </row>
    <row r="3262" spans="2:14" x14ac:dyDescent="0.25">
      <c r="B3262">
        <v>91</v>
      </c>
      <c r="C3262">
        <v>358.12499999999994</v>
      </c>
      <c r="D3262">
        <v>21</v>
      </c>
      <c r="E3262" s="18">
        <v>5580.818143925856</v>
      </c>
      <c r="F3262" s="18">
        <v>-114.99632884096322</v>
      </c>
      <c r="G3262" s="18">
        <v>5711.273193725632</v>
      </c>
      <c r="H3262" s="12">
        <f>E3263</f>
      </c>
      <c r="I3262" s="12">
        <f>F3263</f>
      </c>
      <c r="J3262" s="12">
        <f>G3263</f>
      </c>
      <c r="K3262">
        <f>IF(AND(Pu&gt;=MIN(E3262,H3262),Pu&lt;=MAX(E3262,H3262),E3262&lt;&gt;H3262),1,0)</f>
      </c>
      <c r="L3262">
        <f>IF(K3262=1,(Pu-E3262)/(H3262-E3262),"")</f>
      </c>
      <c r="M3262" s="12">
        <f>IF(K3262=1,F3262+L3262*(I3262-F3262),"")</f>
      </c>
      <c r="N3262" s="12">
        <f>IF(K3262=1,G3262+L3262*(J3262-G3262),"")</f>
      </c>
    </row>
    <row r="3263" spans="2:14" x14ac:dyDescent="0.25">
      <c r="B3263">
        <v>91</v>
      </c>
      <c r="C3263">
        <v>358.12499999999994</v>
      </c>
      <c r="D3263">
        <v>22</v>
      </c>
      <c r="E3263" s="18">
        <v>5441.94333772823</v>
      </c>
      <c r="F3263" s="18">
        <v>-115.90827521078678</v>
      </c>
      <c r="G3263" s="18">
        <v>5677.362049487342</v>
      </c>
      <c r="H3263" s="12">
        <f>E3264</f>
      </c>
      <c r="I3263" s="12">
        <f>F3264</f>
      </c>
      <c r="J3263" s="12">
        <f>G3264</f>
      </c>
      <c r="K3263">
        <f>IF(AND(Pu&gt;=MIN(E3263,H3263),Pu&lt;=MAX(E3263,H3263),E3263&lt;&gt;H3263),1,0)</f>
      </c>
      <c r="L3263">
        <f>IF(K3263=1,(Pu-E3263)/(H3263-E3263),"")</f>
      </c>
      <c r="M3263" s="12">
        <f>IF(K3263=1,F3263+L3263*(I3263-F3263),"")</f>
      </c>
      <c r="N3263" s="12">
        <f>IF(K3263=1,G3263+L3263*(J3263-G3263),"")</f>
      </c>
    </row>
    <row r="3264" spans="2:14" x14ac:dyDescent="0.25">
      <c r="B3264">
        <v>91</v>
      </c>
      <c r="C3264">
        <v>358.12499999999994</v>
      </c>
      <c r="D3264">
        <v>23</v>
      </c>
      <c r="E3264" s="18">
        <v>4980.360057648457</v>
      </c>
      <c r="F3264" s="18">
        <v>-119.10578113550021</v>
      </c>
      <c r="G3264" s="18">
        <v>5560.864116806003</v>
      </c>
      <c r="H3264" s="12">
        <f>E3265</f>
      </c>
      <c r="I3264" s="12">
        <f>F3265</f>
      </c>
      <c r="J3264" s="12">
        <f>G3265</f>
      </c>
      <c r="K3264">
        <f>IF(AND(Pu&gt;=MIN(E3264,H3264),Pu&lt;=MAX(E3264,H3264),E3264&lt;&gt;H3264),1,0)</f>
      </c>
      <c r="L3264">
        <f>IF(K3264=1,(Pu-E3264)/(H3264-E3264),"")</f>
      </c>
      <c r="M3264" s="12">
        <f>IF(K3264=1,F3264+L3264*(I3264-F3264),"")</f>
      </c>
      <c r="N3264" s="12">
        <f>IF(K3264=1,G3264+L3264*(J3264-G3264),"")</f>
      </c>
    </row>
    <row r="3265" spans="2:14" x14ac:dyDescent="0.25">
      <c r="B3265">
        <v>91</v>
      </c>
      <c r="C3265">
        <v>358.12499999999994</v>
      </c>
      <c r="D3265">
        <v>24</v>
      </c>
      <c r="E3265" s="18">
        <v>4226.554649596919</v>
      </c>
      <c r="F3265" s="18">
        <v>-99.90200987997663</v>
      </c>
      <c r="G3265" s="18">
        <v>5355.30081594971</v>
      </c>
      <c r="H3265" s="12">
        <f>E3266</f>
      </c>
      <c r="I3265" s="12">
        <f>F3266</f>
      </c>
      <c r="J3265" s="12">
        <f>G3266</f>
      </c>
      <c r="K3265">
        <f>IF(AND(Pu&gt;=MIN(E3265,H3265),Pu&lt;=MAX(E3265,H3265),E3265&lt;&gt;H3265),1,0)</f>
      </c>
      <c r="L3265">
        <f>IF(K3265=1,(Pu-E3265)/(H3265-E3265),"")</f>
      </c>
      <c r="M3265" s="12">
        <f>IF(K3265=1,F3265+L3265*(I3265-F3265),"")</f>
      </c>
      <c r="N3265" s="12">
        <f>IF(K3265=1,G3265+L3265*(J3265-G3265),"")</f>
      </c>
    </row>
    <row r="3266" spans="2:14" x14ac:dyDescent="0.25">
      <c r="B3266">
        <v>91</v>
      </c>
      <c r="C3266">
        <v>358.12499999999994</v>
      </c>
      <c r="D3266">
        <v>25</v>
      </c>
      <c r="E3266" s="18">
        <v>3697.913541103269</v>
      </c>
      <c r="F3266" s="18">
        <v>-111.60930436023942</v>
      </c>
      <c r="G3266" s="18">
        <v>5167.166289284258</v>
      </c>
      <c r="H3266" s="12">
        <f>E3267</f>
      </c>
      <c r="I3266" s="12">
        <f>F3267</f>
      </c>
      <c r="J3266" s="12">
        <f>G3267</f>
      </c>
      <c r="K3266">
        <f>IF(AND(Pu&gt;=MIN(E3266,H3266),Pu&lt;=MAX(E3266,H3266),E3266&lt;&gt;H3266),1,0)</f>
      </c>
      <c r="L3266">
        <f>IF(K3266=1,(Pu-E3266)/(H3266-E3266),"")</f>
      </c>
      <c r="M3266" s="12">
        <f>IF(K3266=1,F3266+L3266*(I3266-F3266),"")</f>
      </c>
      <c r="N3266" s="12">
        <f>IF(K3266=1,G3266+L3266*(J3266-G3266),"")</f>
      </c>
    </row>
    <row r="3267" spans="2:14" x14ac:dyDescent="0.25">
      <c r="B3267">
        <v>91</v>
      </c>
      <c r="C3267">
        <v>358.12499999999994</v>
      </c>
      <c r="D3267">
        <v>26</v>
      </c>
      <c r="E3267" s="18">
        <v>3212.353321157364</v>
      </c>
      <c r="F3267" s="18">
        <v>-117.95406247522229</v>
      </c>
      <c r="G3267" s="18">
        <v>4985.6864415662685</v>
      </c>
      <c r="H3267" s="12">
        <f>E3268</f>
      </c>
      <c r="I3267" s="12">
        <f>F3268</f>
      </c>
      <c r="J3267" s="12">
        <f>G3268</f>
      </c>
      <c r="K3267">
        <f>IF(AND(Pu&gt;=MIN(E3267,H3267),Pu&lt;=MAX(E3267,H3267),E3267&lt;&gt;H3267),1,0)</f>
      </c>
      <c r="L3267">
        <f>IF(K3267=1,(Pu-E3267)/(H3267-E3267),"")</f>
      </c>
      <c r="M3267" s="12">
        <f>IF(K3267=1,F3267+L3267*(I3267-F3267),"")</f>
      </c>
      <c r="N3267" s="12">
        <f>IF(K3267=1,G3267+L3267*(J3267-G3267),"")</f>
      </c>
    </row>
    <row r="3268" spans="2:14" x14ac:dyDescent="0.25">
      <c r="B3268">
        <v>91</v>
      </c>
      <c r="C3268">
        <v>358.12499999999994</v>
      </c>
      <c r="D3268">
        <v>27</v>
      </c>
      <c r="E3268" s="18">
        <v>2456.5130472828</v>
      </c>
      <c r="F3268" s="18">
        <v>-109.26031617538573</v>
      </c>
      <c r="G3268" s="18">
        <v>4663.281731969176</v>
      </c>
      <c r="H3268" s="12">
        <f>E3269</f>
      </c>
      <c r="I3268" s="12">
        <f>F3269</f>
      </c>
      <c r="J3268" s="12">
        <f>G3269</f>
      </c>
      <c r="K3268">
        <f>IF(AND(Pu&gt;=MIN(E3268,H3268),Pu&lt;=MAX(E3268,H3268),E3268&lt;&gt;H3268),1,0)</f>
      </c>
      <c r="L3268">
        <f>IF(K3268=1,(Pu-E3268)/(H3268-E3268),"")</f>
      </c>
      <c r="M3268" s="12">
        <f>IF(K3268=1,F3268+L3268*(I3268-F3268),"")</f>
      </c>
      <c r="N3268" s="12">
        <f>IF(K3268=1,G3268+L3268*(J3268-G3268),"")</f>
      </c>
    </row>
    <row r="3269" spans="2:14" x14ac:dyDescent="0.25">
      <c r="B3269">
        <v>91</v>
      </c>
      <c r="C3269">
        <v>358.12499999999994</v>
      </c>
      <c r="D3269">
        <v>28</v>
      </c>
      <c r="E3269" s="18">
        <v>1877.5788644260804</v>
      </c>
      <c r="F3269" s="18">
        <v>-118.26840104592078</v>
      </c>
      <c r="G3269" s="18">
        <v>4379.130084874307</v>
      </c>
      <c r="H3269" s="12">
        <f>E3270</f>
      </c>
      <c r="I3269" s="12">
        <f>F3270</f>
      </c>
      <c r="J3269" s="12">
        <f>G3270</f>
      </c>
      <c r="K3269">
        <f>IF(AND(Pu&gt;=MIN(E3269,H3269),Pu&lt;=MAX(E3269,H3269),E3269&lt;&gt;H3269),1,0)</f>
      </c>
      <c r="L3269">
        <f>IF(K3269=1,(Pu-E3269)/(H3269-E3269),"")</f>
      </c>
      <c r="M3269" s="12">
        <f>IF(K3269=1,F3269+L3269*(I3269-F3269),"")</f>
      </c>
      <c r="N3269" s="12">
        <f>IF(K3269=1,G3269+L3269*(J3269-G3269),"")</f>
      </c>
    </row>
    <row r="3270" spans="2:14" x14ac:dyDescent="0.25">
      <c r="B3270">
        <v>91</v>
      </c>
      <c r="C3270">
        <v>358.12499999999994</v>
      </c>
      <c r="D3270">
        <v>29</v>
      </c>
      <c r="E3270" s="18">
        <v>1138.6956400735303</v>
      </c>
      <c r="F3270" s="18">
        <v>-127.0579365400927</v>
      </c>
      <c r="G3270" s="18">
        <v>3992.730279509158</v>
      </c>
      <c r="H3270" s="12">
        <f>E3271</f>
      </c>
      <c r="I3270" s="12">
        <f>F3271</f>
      </c>
      <c r="J3270" s="12">
        <f>G3271</f>
      </c>
      <c r="K3270">
        <f>IF(AND(Pu&gt;=MIN(E3270,H3270),Pu&lt;=MAX(E3270,H3270),E3270&lt;&gt;H3270),1,0)</f>
      </c>
      <c r="L3270">
        <f>IF(K3270=1,(Pu-E3270)/(H3270-E3270),"")</f>
      </c>
      <c r="M3270" s="12">
        <f>IF(K3270=1,F3270+L3270*(I3270-F3270),"")</f>
      </c>
      <c r="N3270" s="12">
        <f>IF(K3270=1,G3270+L3270*(J3270-G3270),"")</f>
      </c>
    </row>
    <row r="3271" spans="2:14" x14ac:dyDescent="0.25">
      <c r="B3271">
        <v>91</v>
      </c>
      <c r="C3271">
        <v>358.12499999999994</v>
      </c>
      <c r="D3271">
        <v>30</v>
      </c>
      <c r="E3271" s="18">
        <v>512.4762726801409</v>
      </c>
      <c r="F3271" s="18">
        <v>-89.85684292765428</v>
      </c>
      <c r="G3271" s="18">
        <v>3644.8786045487627</v>
      </c>
      <c r="H3271" s="12">
        <f>E3272</f>
      </c>
      <c r="I3271" s="12">
        <f>F3272</f>
      </c>
      <c r="J3271" s="12">
        <f>G3272</f>
      </c>
      <c r="K3271">
        <f>IF(AND(Pu&gt;=MIN(E3271,H3271),Pu&lt;=MAX(E3271,H3271),E3271&lt;&gt;H3271),1,0)</f>
      </c>
      <c r="L3271">
        <f>IF(K3271=1,(Pu-E3271)/(H3271-E3271),"")</f>
      </c>
      <c r="M3271" s="12">
        <f>IF(K3271=1,F3271+L3271*(I3271-F3271),"")</f>
      </c>
      <c r="N3271" s="12">
        <f>IF(K3271=1,G3271+L3271*(J3271-G3271),"")</f>
      </c>
    </row>
    <row r="3272" spans="2:14" x14ac:dyDescent="0.25">
      <c r="B3272">
        <v>91</v>
      </c>
      <c r="C3272">
        <v>358.12499999999994</v>
      </c>
      <c r="D3272">
        <v>31</v>
      </c>
      <c r="E3272" s="18">
        <v>-325.43085716295553</v>
      </c>
      <c r="F3272" s="18">
        <v>-86.88738585344565</v>
      </c>
      <c r="G3272" s="18">
        <v>3130.2812506353303</v>
      </c>
      <c r="H3272" s="12">
        <f>E3273</f>
      </c>
      <c r="I3272" s="12">
        <f>F3273</f>
      </c>
      <c r="J3272" s="12">
        <f>G3273</f>
      </c>
      <c r="K3272">
        <f>IF(AND(Pu&gt;=MIN(E3272,H3272),Pu&lt;=MAX(E3272,H3272),E3272&lt;&gt;H3272),1,0)</f>
      </c>
      <c r="L3272">
        <f>IF(K3272=1,(Pu-E3272)/(H3272-E3272),"")</f>
      </c>
      <c r="M3272" s="12">
        <f>IF(K3272=1,F3272+L3272*(I3272-F3272),"")</f>
      </c>
      <c r="N3272" s="12">
        <f>IF(K3272=1,G3272+L3272*(J3272-G3272),"")</f>
      </c>
    </row>
    <row r="3273" spans="2:14" x14ac:dyDescent="0.25">
      <c r="B3273">
        <v>91</v>
      </c>
      <c r="C3273">
        <v>358.12499999999994</v>
      </c>
      <c r="D3273">
        <v>32</v>
      </c>
      <c r="E3273" s="18">
        <v>-955.4037697220284</v>
      </c>
      <c r="F3273" s="18">
        <v>-81.64268141877066</v>
      </c>
      <c r="G3273" s="18">
        <v>2725.578650252466</v>
      </c>
      <c r="H3273" s="12">
        <f>E3274</f>
      </c>
      <c r="I3273" s="12">
        <f>F3274</f>
      </c>
      <c r="J3273" s="12">
        <f>G3274</f>
      </c>
      <c r="K3273">
        <f>IF(AND(Pu&gt;=MIN(E3273,H3273),Pu&lt;=MAX(E3273,H3273),E3273&lt;&gt;H3273),1,0)</f>
      </c>
      <c r="L3273">
        <f>IF(K3273=1,(Pu-E3273)/(H3273-E3273),"")</f>
      </c>
      <c r="M3273" s="12">
        <f>IF(K3273=1,F3273+L3273*(I3273-F3273),"")</f>
      </c>
      <c r="N3273" s="12">
        <f>IF(K3273=1,G3273+L3273*(J3273-G3273),"")</f>
      </c>
    </row>
    <row r="3274" spans="2:14" x14ac:dyDescent="0.25">
      <c r="B3274">
        <v>91</v>
      </c>
      <c r="C3274">
        <v>358.12499999999994</v>
      </c>
      <c r="D3274">
        <v>33</v>
      </c>
      <c r="E3274" s="18">
        <v>-1852.1238229096782</v>
      </c>
      <c r="F3274" s="18">
        <v>-77.81010637805431</v>
      </c>
      <c r="G3274" s="18">
        <v>2130.5378494238503</v>
      </c>
      <c r="H3274" s="12">
        <f>E3275</f>
      </c>
      <c r="I3274" s="12">
        <f>F3275</f>
      </c>
      <c r="J3274" s="12">
        <f>G3275</f>
      </c>
      <c r="K3274">
        <f>IF(AND(Pu&gt;=MIN(E3274,H3274),Pu&lt;=MAX(E3274,H3274),E3274&lt;&gt;H3274),1,0)</f>
      </c>
      <c r="L3274">
        <f>IF(K3274=1,(Pu-E3274)/(H3274-E3274),"")</f>
      </c>
      <c r="M3274" s="12">
        <f>IF(K3274=1,F3274+L3274*(I3274-F3274),"")</f>
      </c>
      <c r="N3274" s="12">
        <f>IF(K3274=1,G3274+L3274*(J3274-G3274),"")</f>
      </c>
    </row>
    <row r="3275" spans="2:14" x14ac:dyDescent="0.25">
      <c r="B3275">
        <v>91</v>
      </c>
      <c r="C3275">
        <v>358.12499999999994</v>
      </c>
      <c r="D3275">
        <v>34</v>
      </c>
      <c r="E3275" s="18">
        <v>-2454.597822382793</v>
      </c>
      <c r="F3275" s="18">
        <v>-72.93188150296713</v>
      </c>
      <c r="G3275" s="18">
        <v>1721.493701190628</v>
      </c>
      <c r="H3275" s="12">
        <f>E3276</f>
      </c>
      <c r="I3275" s="12">
        <f>F3276</f>
      </c>
      <c r="J3275" s="12">
        <f>G3276</f>
      </c>
      <c r="K3275">
        <f>IF(AND(Pu&gt;=MIN(E3275,H3275),Pu&lt;=MAX(E3275,H3275),E3275&lt;&gt;H3275),1,0)</f>
      </c>
      <c r="L3275">
        <f>IF(K3275=1,(Pu-E3275)/(H3275-E3275),"")</f>
      </c>
      <c r="M3275" s="12">
        <f>IF(K3275=1,F3275+L3275*(I3275-F3275),"")</f>
      </c>
      <c r="N3275" s="12">
        <f>IF(K3275=1,G3275+L3275*(J3275-G3275),"")</f>
      </c>
    </row>
    <row r="3276" spans="2:14" x14ac:dyDescent="0.25">
      <c r="B3276">
        <v>91</v>
      </c>
      <c r="C3276">
        <v>358.12499999999994</v>
      </c>
      <c r="D3276">
        <v>35</v>
      </c>
      <c r="E3276" s="18">
        <v>-3653.3481675468333</v>
      </c>
      <c r="F3276" s="18">
        <v>-85.85896905985422</v>
      </c>
      <c r="G3276" s="18">
        <v>897.3899557654292</v>
      </c>
      <c r="H3276" s="12">
        <f>E3277</f>
      </c>
      <c r="I3276" s="12">
        <f>F3277</f>
      </c>
      <c r="J3276" s="12">
        <f>G3277</f>
      </c>
      <c r="K3276">
        <f>IF(AND(Pu&gt;=MIN(E3276,H3276),Pu&lt;=MAX(E3276,H3276),E3276&lt;&gt;H3276),1,0)</f>
      </c>
      <c r="L3276">
        <f>IF(K3276=1,(Pu-E3276)/(H3276-E3276),"")</f>
      </c>
      <c r="M3276" s="12">
        <f>IF(K3276=1,F3276+L3276*(I3276-F3276),"")</f>
      </c>
      <c r="N3276" s="12">
        <f>IF(K3276=1,G3276+L3276*(J3276-G3276),"")</f>
      </c>
    </row>
    <row r="3277" spans="2:7" x14ac:dyDescent="0.25">
      <c r="B3277">
        <v>91</v>
      </c>
      <c r="C3277">
        <v>358.12499999999994</v>
      </c>
      <c r="D3277">
        <v>36</v>
      </c>
      <c r="E3277" s="18">
        <v>-4407.403673335362</v>
      </c>
      <c r="F3277" s="18">
        <v>-50.59090707257245</v>
      </c>
      <c r="G3277" s="18">
        <v>375.90470638440803</v>
      </c>
    </row>
    <row r="3279" spans="2:14" x14ac:dyDescent="0.25">
      <c r="B3279">
        <v>92</v>
      </c>
      <c r="C3279">
        <v>359.06249999999994</v>
      </c>
      <c r="D3279">
        <v>1</v>
      </c>
      <c r="E3279" s="18">
        <v>17343.653759972934</v>
      </c>
      <c r="F3279" s="18">
        <v>-38.84147978270451</v>
      </c>
      <c r="G3279" s="18">
        <v>2880.5493749126767</v>
      </c>
      <c r="H3279" s="12">
        <f>E3280</f>
      </c>
      <c r="I3279" s="12">
        <f>F3280</f>
      </c>
      <c r="J3279" s="12">
        <f>G3280</f>
      </c>
      <c r="K3279">
        <f>IF(AND(Pu&gt;=MIN(E3279,H3279),Pu&lt;=MAX(E3279,H3279),E3279&lt;&gt;H3279),1,0)</f>
      </c>
      <c r="L3279">
        <f>IF(K3279=1,(Pu-E3279)/(H3279-E3279),"")</f>
      </c>
      <c r="M3279" s="12">
        <f>IF(K3279=1,F3279+L3279*(I3279-F3279),"")</f>
      </c>
      <c r="N3279" s="12">
        <f>IF(K3279=1,G3279+L3279*(J3279-G3279),"")</f>
      </c>
    </row>
    <row r="3280" spans="2:14" x14ac:dyDescent="0.25">
      <c r="B3280">
        <v>92</v>
      </c>
      <c r="C3280">
        <v>359.06249999999994</v>
      </c>
      <c r="D3280">
        <v>2</v>
      </c>
      <c r="E3280" s="18">
        <v>16764.646425060964</v>
      </c>
      <c r="F3280" s="18">
        <v>-34.874656326033076</v>
      </c>
      <c r="G3280" s="18">
        <v>3157.5370745414953</v>
      </c>
      <c r="H3280" s="12">
        <f>E3281</f>
      </c>
      <c r="I3280" s="12">
        <f>F3281</f>
      </c>
      <c r="J3280" s="12">
        <f>G3281</f>
      </c>
      <c r="K3280">
        <f>IF(AND(Pu&gt;=MIN(E3280,H3280),Pu&lt;=MAX(E3280,H3280),E3280&lt;&gt;H3280),1,0)</f>
      </c>
      <c r="L3280">
        <f>IF(K3280=1,(Pu-E3280)/(H3280-E3280),"")</f>
      </c>
      <c r="M3280" s="12">
        <f>IF(K3280=1,F3280+L3280*(I3280-F3280),"")</f>
      </c>
      <c r="N3280" s="12">
        <f>IF(K3280=1,G3280+L3280*(J3280-G3280),"")</f>
      </c>
    </row>
    <row r="3281" spans="2:14" x14ac:dyDescent="0.25">
      <c r="B3281">
        <v>92</v>
      </c>
      <c r="C3281">
        <v>359.06249999999994</v>
      </c>
      <c r="D3281">
        <v>3</v>
      </c>
      <c r="E3281" s="18">
        <v>16050.011924417855</v>
      </c>
      <c r="F3281" s="18">
        <v>-36.298554156480925</v>
      </c>
      <c r="G3281" s="18">
        <v>3459.3057969753118</v>
      </c>
      <c r="H3281" s="12">
        <f>E3282</f>
      </c>
      <c r="I3281" s="12">
        <f>F3282</f>
      </c>
      <c r="J3281" s="12">
        <f>G3282</f>
      </c>
      <c r="K3281">
        <f>IF(AND(Pu&gt;=MIN(E3281,H3281),Pu&lt;=MAX(E3281,H3281),E3281&lt;&gt;H3281),1,0)</f>
      </c>
      <c r="L3281">
        <f>IF(K3281=1,(Pu-E3281)/(H3281-E3281),"")</f>
      </c>
      <c r="M3281" s="12">
        <f>IF(K3281=1,F3281+L3281*(I3281-F3281),"")</f>
      </c>
      <c r="N3281" s="12">
        <f>IF(K3281=1,G3281+L3281*(J3281-G3281),"")</f>
      </c>
    </row>
    <row r="3282" spans="2:14" x14ac:dyDescent="0.25">
      <c r="B3282">
        <v>92</v>
      </c>
      <c r="C3282">
        <v>359.06249999999994</v>
      </c>
      <c r="D3282">
        <v>4</v>
      </c>
      <c r="E3282" s="18">
        <v>15317.188085605389</v>
      </c>
      <c r="F3282" s="18">
        <v>-37.99982644329657</v>
      </c>
      <c r="G3282" s="18">
        <v>3718.6210057229464</v>
      </c>
      <c r="H3282" s="12">
        <f>E3283</f>
      </c>
      <c r="I3282" s="12">
        <f>F3283</f>
      </c>
      <c r="J3282" s="12">
        <f>G3283</f>
      </c>
      <c r="K3282">
        <f>IF(AND(Pu&gt;=MIN(E3282,H3282),Pu&lt;=MAX(E3282,H3282),E3282&lt;&gt;H3282),1,0)</f>
      </c>
      <c r="L3282">
        <f>IF(K3282=1,(Pu-E3282)/(H3282-E3282),"")</f>
      </c>
      <c r="M3282" s="12">
        <f>IF(K3282=1,F3282+L3282*(I3282-F3282),"")</f>
      </c>
      <c r="N3282" s="12">
        <f>IF(K3282=1,G3282+L3282*(J3282-G3282),"")</f>
      </c>
    </row>
    <row r="3283" spans="2:14" x14ac:dyDescent="0.25">
      <c r="B3283">
        <v>92</v>
      </c>
      <c r="C3283">
        <v>359.06249999999994</v>
      </c>
      <c r="D3283">
        <v>5</v>
      </c>
      <c r="E3283" s="18">
        <v>13997.961513146172</v>
      </c>
      <c r="F3283" s="18">
        <v>-44.89198211060804</v>
      </c>
      <c r="G3283" s="18">
        <v>4094.854408435919</v>
      </c>
      <c r="H3283" s="12">
        <f>E3284</f>
      </c>
      <c r="I3283" s="12">
        <f>F3284</f>
      </c>
      <c r="J3283" s="12">
        <f>G3284</f>
      </c>
      <c r="K3283">
        <f>IF(AND(Pu&gt;=MIN(E3283,H3283),Pu&lt;=MAX(E3283,H3283),E3283&lt;&gt;H3283),1,0)</f>
      </c>
      <c r="L3283">
        <f>IF(K3283=1,(Pu-E3283)/(H3283-E3283),"")</f>
      </c>
      <c r="M3283" s="12">
        <f>IF(K3283=1,F3283+L3283*(I3283-F3283),"")</f>
      </c>
      <c r="N3283" s="12">
        <f>IF(K3283=1,G3283+L3283*(J3283-G3283),"")</f>
      </c>
    </row>
    <row r="3284" spans="2:14" x14ac:dyDescent="0.25">
      <c r="B3284">
        <v>92</v>
      </c>
      <c r="C3284">
        <v>359.06249999999994</v>
      </c>
      <c r="D3284">
        <v>6</v>
      </c>
      <c r="E3284" s="18">
        <v>11869.768450906739</v>
      </c>
      <c r="F3284" s="18">
        <v>-52.339492920765444</v>
      </c>
      <c r="G3284" s="18">
        <v>4468.631588399882</v>
      </c>
      <c r="H3284" s="12">
        <f>E3285</f>
      </c>
      <c r="I3284" s="12">
        <f>F3285</f>
      </c>
      <c r="J3284" s="12">
        <f>G3285</f>
      </c>
      <c r="K3284">
        <f>IF(AND(Pu&gt;=MIN(E3284,H3284),Pu&lt;=MAX(E3284,H3284),E3284&lt;&gt;H3284),1,0)</f>
      </c>
      <c r="L3284">
        <f>IF(K3284=1,(Pu-E3284)/(H3284-E3284),"")</f>
      </c>
      <c r="M3284" s="12">
        <f>IF(K3284=1,F3284+L3284*(I3284-F3284),"")</f>
      </c>
      <c r="N3284" s="12">
        <f>IF(K3284=1,G3284+L3284*(J3284-G3284),"")</f>
      </c>
    </row>
    <row r="3285" spans="2:14" x14ac:dyDescent="0.25">
      <c r="B3285">
        <v>92</v>
      </c>
      <c r="C3285">
        <v>359.06249999999994</v>
      </c>
      <c r="D3285">
        <v>7</v>
      </c>
      <c r="E3285" s="18">
        <v>9886.276153649333</v>
      </c>
      <c r="F3285" s="18">
        <v>-46.65792814016515</v>
      </c>
      <c r="G3285" s="18">
        <v>4697.963629952542</v>
      </c>
      <c r="H3285" s="12">
        <f>E3286</f>
      </c>
      <c r="I3285" s="12">
        <f>F3286</f>
      </c>
      <c r="J3285" s="12">
        <f>G3286</f>
      </c>
      <c r="K3285">
        <f>IF(AND(Pu&gt;=MIN(E3285,H3285),Pu&lt;=MAX(E3285,H3285),E3285&lt;&gt;H3285),1,0)</f>
      </c>
      <c r="L3285">
        <f>IF(K3285=1,(Pu-E3285)/(H3285-E3285),"")</f>
      </c>
      <c r="M3285" s="12">
        <f>IF(K3285=1,F3285+L3285*(I3285-F3285),"")</f>
      </c>
      <c r="N3285" s="12">
        <f>IF(K3285=1,G3285+L3285*(J3285-G3285),"")</f>
      </c>
    </row>
    <row r="3286" spans="2:14" x14ac:dyDescent="0.25">
      <c r="B3286">
        <v>92</v>
      </c>
      <c r="C3286">
        <v>359.06249999999994</v>
      </c>
      <c r="D3286">
        <v>8</v>
      </c>
      <c r="E3286" s="18">
        <v>8956.094611186876</v>
      </c>
      <c r="F3286" s="18">
        <v>-56.8263286223118</v>
      </c>
      <c r="G3286" s="18">
        <v>4772.3497827054625</v>
      </c>
      <c r="H3286" s="12">
        <f>E3287</f>
      </c>
      <c r="I3286" s="12">
        <f>F3287</f>
      </c>
      <c r="J3286" s="12">
        <f>G3287</f>
      </c>
      <c r="K3286">
        <f>IF(AND(Pu&gt;=MIN(E3286,H3286),Pu&lt;=MAX(E3286,H3286),E3286&lt;&gt;H3286),1,0)</f>
      </c>
      <c r="L3286">
        <f>IF(K3286=1,(Pu-E3286)/(H3286-E3286),"")</f>
      </c>
      <c r="M3286" s="12">
        <f>IF(K3286=1,F3286+L3286*(I3286-F3286),"")</f>
      </c>
      <c r="N3286" s="12">
        <f>IF(K3286=1,G3286+L3286*(J3286-G3286),"")</f>
      </c>
    </row>
    <row r="3287" spans="2:14" x14ac:dyDescent="0.25">
      <c r="B3287">
        <v>92</v>
      </c>
      <c r="C3287">
        <v>359.06249999999994</v>
      </c>
      <c r="D3287">
        <v>9</v>
      </c>
      <c r="E3287" s="18">
        <v>8435.059353715527</v>
      </c>
      <c r="F3287" s="18">
        <v>-58.80816325339467</v>
      </c>
      <c r="G3287" s="18">
        <v>4870.5068686636</v>
      </c>
      <c r="H3287" s="12">
        <f>E3288</f>
      </c>
      <c r="I3287" s="12">
        <f>F3288</f>
      </c>
      <c r="J3287" s="12">
        <f>G3288</f>
      </c>
      <c r="K3287">
        <f>IF(AND(Pu&gt;=MIN(E3287,H3287),Pu&lt;=MAX(E3287,H3287),E3287&lt;&gt;H3287),1,0)</f>
      </c>
      <c r="L3287">
        <f>IF(K3287=1,(Pu-E3287)/(H3287-E3287),"")</f>
      </c>
      <c r="M3287" s="12">
        <f>IF(K3287=1,F3287+L3287*(I3287-F3287),"")</f>
      </c>
      <c r="N3287" s="12">
        <f>IF(K3287=1,G3287+L3287*(J3287-G3287),"")</f>
      </c>
    </row>
    <row r="3288" spans="2:14" x14ac:dyDescent="0.25">
      <c r="B3288">
        <v>92</v>
      </c>
      <c r="C3288">
        <v>359.06249999999994</v>
      </c>
      <c r="D3288">
        <v>10</v>
      </c>
      <c r="E3288" s="18">
        <v>8101.314946239597</v>
      </c>
      <c r="F3288" s="18">
        <v>-60.20803607896636</v>
      </c>
      <c r="G3288" s="18">
        <v>4923.723270989461</v>
      </c>
      <c r="H3288" s="12">
        <f>E3289</f>
      </c>
      <c r="I3288" s="12">
        <f>F3289</f>
      </c>
      <c r="J3288" s="12">
        <f>G3289</f>
      </c>
      <c r="K3288">
        <f>IF(AND(Pu&gt;=MIN(E3288,H3288),Pu&lt;=MAX(E3288,H3288),E3288&lt;&gt;H3288),1,0)</f>
      </c>
      <c r="L3288">
        <f>IF(K3288=1,(Pu-E3288)/(H3288-E3288),"")</f>
      </c>
      <c r="M3288" s="12">
        <f>IF(K3288=1,F3288+L3288*(I3288-F3288),"")</f>
      </c>
      <c r="N3288" s="12">
        <f>IF(K3288=1,G3288+L3288*(J3288-G3288),"")</f>
      </c>
    </row>
    <row r="3289" spans="2:14" x14ac:dyDescent="0.25">
      <c r="B3289">
        <v>92</v>
      </c>
      <c r="C3289">
        <v>359.06249999999994</v>
      </c>
      <c r="D3289">
        <v>11</v>
      </c>
      <c r="E3289" s="18">
        <v>7392.205640761796</v>
      </c>
      <c r="F3289" s="18">
        <v>-63.31866372839226</v>
      </c>
      <c r="G3289" s="18">
        <v>5021.802361364519</v>
      </c>
      <c r="H3289" s="12">
        <f>E3290</f>
      </c>
      <c r="I3289" s="12">
        <f>F3290</f>
      </c>
      <c r="J3289" s="12">
        <f>G3290</f>
      </c>
      <c r="K3289">
        <f>IF(AND(Pu&gt;=MIN(E3289,H3289),Pu&lt;=MAX(E3289,H3289),E3289&lt;&gt;H3289),1,0)</f>
      </c>
      <c r="L3289">
        <f>IF(K3289=1,(Pu-E3289)/(H3289-E3289),"")</f>
      </c>
      <c r="M3289" s="12">
        <f>IF(K3289=1,F3289+L3289*(I3289-F3289),"")</f>
      </c>
      <c r="N3289" s="12">
        <f>IF(K3289=1,G3289+L3289*(J3289-G3289),"")</f>
      </c>
    </row>
    <row r="3290" spans="2:14" x14ac:dyDescent="0.25">
      <c r="B3290">
        <v>92</v>
      </c>
      <c r="C3290">
        <v>359.06249999999994</v>
      </c>
      <c r="D3290">
        <v>12</v>
      </c>
      <c r="E3290" s="18">
        <v>7289.460755377656</v>
      </c>
      <c r="F3290" s="18">
        <v>-63.78440417052513</v>
      </c>
      <c r="G3290" s="18">
        <v>5034.464268329611</v>
      </c>
      <c r="H3290" s="12">
        <f>E3291</f>
      </c>
      <c r="I3290" s="12">
        <f>F3291</f>
      </c>
      <c r="J3290" s="12">
        <f>G3291</f>
      </c>
      <c r="K3290">
        <f>IF(AND(Pu&gt;=MIN(E3290,H3290),Pu&lt;=MAX(E3290,H3290),E3290&lt;&gt;H3290),1,0)</f>
      </c>
      <c r="L3290">
        <f>IF(K3290=1,(Pu-E3290)/(H3290-E3290),"")</f>
      </c>
      <c r="M3290" s="12">
        <f>IF(K3290=1,F3290+L3290*(I3290-F3290),"")</f>
      </c>
      <c r="N3290" s="12">
        <f>IF(K3290=1,G3290+L3290*(J3290-G3290),"")</f>
      </c>
    </row>
    <row r="3291" spans="2:14" x14ac:dyDescent="0.25">
      <c r="B3291">
        <v>92</v>
      </c>
      <c r="C3291">
        <v>359.06249999999994</v>
      </c>
      <c r="D3291">
        <v>13</v>
      </c>
      <c r="E3291" s="18">
        <v>6668.239247503234</v>
      </c>
      <c r="F3291" s="18">
        <v>-61.19411749433646</v>
      </c>
      <c r="G3291" s="18">
        <v>5145.289690948929</v>
      </c>
      <c r="H3291" s="12">
        <f>E3292</f>
      </c>
      <c r="I3291" s="12">
        <f>F3292</f>
      </c>
      <c r="J3291" s="12">
        <f>G3292</f>
      </c>
      <c r="K3291">
        <f>IF(AND(Pu&gt;=MIN(E3291,H3291),Pu&lt;=MAX(E3291,H3291),E3291&lt;&gt;H3291),1,0)</f>
      </c>
      <c r="L3291">
        <f>IF(K3291=1,(Pu-E3291)/(H3291-E3291),"")</f>
      </c>
      <c r="M3291" s="12">
        <f>IF(K3291=1,F3291+L3291*(I3291-F3291),"")</f>
      </c>
      <c r="N3291" s="12">
        <f>IF(K3291=1,G3291+L3291*(J3291-G3291),"")</f>
      </c>
    </row>
    <row r="3292" spans="2:14" x14ac:dyDescent="0.25">
      <c r="B3292">
        <v>92</v>
      </c>
      <c r="C3292">
        <v>359.06249999999994</v>
      </c>
      <c r="D3292">
        <v>14</v>
      </c>
      <c r="E3292" s="18">
        <v>6633.895440880828</v>
      </c>
      <c r="F3292" s="18">
        <v>-61.3291641247433</v>
      </c>
      <c r="G3292" s="18">
        <v>5158.7142590357225</v>
      </c>
      <c r="H3292" s="12">
        <f>E3293</f>
      </c>
      <c r="I3292" s="12">
        <f>F3293</f>
      </c>
      <c r="J3292" s="12">
        <f>G3293</f>
      </c>
      <c r="K3292">
        <f>IF(AND(Pu&gt;=MIN(E3292,H3292),Pu&lt;=MAX(E3292,H3292),E3292&lt;&gt;H3292),1,0)</f>
      </c>
      <c r="L3292">
        <f>IF(K3292=1,(Pu-E3292)/(H3292-E3292),"")</f>
      </c>
      <c r="M3292" s="12">
        <f>IF(K3292=1,F3292+L3292*(I3292-F3292),"")</f>
      </c>
      <c r="N3292" s="12">
        <f>IF(K3292=1,G3292+L3292*(J3292-G3292),"")</f>
      </c>
    </row>
    <row r="3293" spans="2:14" x14ac:dyDescent="0.25">
      <c r="B3293">
        <v>92</v>
      </c>
      <c r="C3293">
        <v>359.06249999999994</v>
      </c>
      <c r="D3293">
        <v>15</v>
      </c>
      <c r="E3293" s="18">
        <v>6377.274142161345</v>
      </c>
      <c r="F3293" s="18">
        <v>-49.1255551286736</v>
      </c>
      <c r="G3293" s="18">
        <v>5275.229193745342</v>
      </c>
      <c r="H3293" s="12">
        <f>E3294</f>
      </c>
      <c r="I3293" s="12">
        <f>F3294</f>
      </c>
      <c r="J3293" s="12">
        <f>G3294</f>
      </c>
      <c r="K3293">
        <f>IF(AND(Pu&gt;=MIN(E3293,H3293),Pu&lt;=MAX(E3293,H3293),E3293&lt;&gt;H3293),1,0)</f>
      </c>
      <c r="L3293">
        <f>IF(K3293=1,(Pu-E3293)/(H3293-E3293),"")</f>
      </c>
      <c r="M3293" s="12">
        <f>IF(K3293=1,F3293+L3293*(I3293-F3293),"")</f>
      </c>
      <c r="N3293" s="12">
        <f>IF(K3293=1,G3293+L3293*(J3293-G3293),"")</f>
      </c>
    </row>
    <row r="3294" spans="2:14" x14ac:dyDescent="0.25">
      <c r="B3294">
        <v>92</v>
      </c>
      <c r="C3294">
        <v>359.06249999999994</v>
      </c>
      <c r="D3294">
        <v>16</v>
      </c>
      <c r="E3294" s="18">
        <v>6292.712082015461</v>
      </c>
      <c r="F3294" s="18">
        <v>-57.56165165428819</v>
      </c>
      <c r="G3294" s="18">
        <v>5324.9750188492735</v>
      </c>
      <c r="H3294" s="12">
        <f>E3295</f>
      </c>
      <c r="I3294" s="12">
        <f>F3295</f>
      </c>
      <c r="J3294" s="12">
        <f>G3295</f>
      </c>
      <c r="K3294">
        <f>IF(AND(Pu&gt;=MIN(E3294,H3294),Pu&lt;=MAX(E3294,H3294),E3294&lt;&gt;H3294),1,0)</f>
      </c>
      <c r="L3294">
        <f>IF(K3294=1,(Pu-E3294)/(H3294-E3294),"")</f>
      </c>
      <c r="M3294" s="12">
        <f>IF(K3294=1,F3294+L3294*(I3294-F3294),"")</f>
      </c>
      <c r="N3294" s="12">
        <f>IF(K3294=1,G3294+L3294*(J3294-G3294),"")</f>
      </c>
    </row>
    <row r="3295" spans="2:14" x14ac:dyDescent="0.25">
      <c r="B3295">
        <v>92</v>
      </c>
      <c r="C3295">
        <v>359.06249999999994</v>
      </c>
      <c r="D3295">
        <v>17</v>
      </c>
      <c r="E3295" s="18">
        <v>6159.854918394716</v>
      </c>
      <c r="F3295" s="18">
        <v>-57.903932757345025</v>
      </c>
      <c r="G3295" s="18">
        <v>5392.018251313908</v>
      </c>
      <c r="H3295" s="12">
        <f>E3296</f>
      </c>
      <c r="I3295" s="12">
        <f>F3296</f>
      </c>
      <c r="J3295" s="12">
        <f>G3296</f>
      </c>
      <c r="K3295">
        <f>IF(AND(Pu&gt;=MIN(E3295,H3295),Pu&lt;=MAX(E3295,H3295),E3295&lt;&gt;H3295),1,0)</f>
      </c>
      <c r="L3295">
        <f>IF(K3295=1,(Pu-E3295)/(H3295-E3295),"")</f>
      </c>
      <c r="M3295" s="12">
        <f>IF(K3295=1,F3295+L3295*(I3295-F3295),"")</f>
      </c>
      <c r="N3295" s="12">
        <f>IF(K3295=1,G3295+L3295*(J3295-G3295),"")</f>
      </c>
    </row>
    <row r="3296" spans="2:14" x14ac:dyDescent="0.25">
      <c r="B3296">
        <v>92</v>
      </c>
      <c r="C3296">
        <v>359.06249999999994</v>
      </c>
      <c r="D3296">
        <v>18</v>
      </c>
      <c r="E3296" s="18">
        <v>5955.575175883005</v>
      </c>
      <c r="F3296" s="18">
        <v>-58.67731011311344</v>
      </c>
      <c r="G3296" s="18">
        <v>5507.485919857044</v>
      </c>
      <c r="H3296" s="12">
        <f>E3297</f>
      </c>
      <c r="I3296" s="12">
        <f>F3297</f>
      </c>
      <c r="J3296" s="12">
        <f>G3297</f>
      </c>
      <c r="K3296">
        <f>IF(AND(Pu&gt;=MIN(E3296,H3296),Pu&lt;=MAX(E3296,H3296),E3296&lt;&gt;H3296),1,0)</f>
      </c>
      <c r="L3296">
        <f>IF(K3296=1,(Pu-E3296)/(H3296-E3296),"")</f>
      </c>
      <c r="M3296" s="12">
        <f>IF(K3296=1,F3296+L3296*(I3296-F3296),"")</f>
      </c>
      <c r="N3296" s="12">
        <f>IF(K3296=1,G3296+L3296*(J3296-G3296),"")</f>
      </c>
    </row>
    <row r="3297" spans="2:14" x14ac:dyDescent="0.25">
      <c r="B3297">
        <v>92</v>
      </c>
      <c r="C3297">
        <v>359.06249999999994</v>
      </c>
      <c r="D3297">
        <v>19</v>
      </c>
      <c r="E3297" s="18">
        <v>5768.971501281176</v>
      </c>
      <c r="F3297" s="18">
        <v>-61.56313896120264</v>
      </c>
      <c r="G3297" s="18">
        <v>5616.732805881785</v>
      </c>
      <c r="H3297" s="12">
        <f>E3298</f>
      </c>
      <c r="I3297" s="12">
        <f>F3298</f>
      </c>
      <c r="J3297" s="12">
        <f>G3298</f>
      </c>
      <c r="K3297">
        <f>IF(AND(Pu&gt;=MIN(E3297,H3297),Pu&lt;=MAX(E3297,H3297),E3297&lt;&gt;H3297),1,0)</f>
      </c>
      <c r="L3297">
        <f>IF(K3297=1,(Pu-E3297)/(H3297-E3297),"")</f>
      </c>
      <c r="M3297" s="12">
        <f>IF(K3297=1,F3297+L3297*(I3297-F3297),"")</f>
      </c>
      <c r="N3297" s="12">
        <f>IF(K3297=1,G3297+L3297*(J3297-G3297),"")</f>
      </c>
    </row>
    <row r="3298" spans="2:14" x14ac:dyDescent="0.25">
      <c r="B3298">
        <v>92</v>
      </c>
      <c r="C3298">
        <v>359.06249999999994</v>
      </c>
      <c r="D3298">
        <v>20</v>
      </c>
      <c r="E3298" s="18">
        <v>5760.382683985854</v>
      </c>
      <c r="F3298" s="18">
        <v>-61.24275457975473</v>
      </c>
      <c r="G3298" s="18">
        <v>5621.979687889685</v>
      </c>
      <c r="H3298" s="12">
        <f>E3299</f>
      </c>
      <c r="I3298" s="12">
        <f>F3299</f>
      </c>
      <c r="J3298" s="12">
        <f>G3299</f>
      </c>
      <c r="K3298">
        <f>IF(AND(Pu&gt;=MIN(E3298,H3298),Pu&lt;=MAX(E3298,H3298),E3298&lt;&gt;H3298),1,0)</f>
      </c>
      <c r="L3298">
        <f>IF(K3298=1,(Pu-E3298)/(H3298-E3298),"")</f>
      </c>
      <c r="M3298" s="12">
        <f>IF(K3298=1,F3298+L3298*(I3298-F3298),"")</f>
      </c>
      <c r="N3298" s="12">
        <f>IF(K3298=1,G3298+L3298*(J3298-G3298),"")</f>
      </c>
    </row>
    <row r="3299" spans="2:14" x14ac:dyDescent="0.25">
      <c r="B3299">
        <v>92</v>
      </c>
      <c r="C3299">
        <v>359.06249999999994</v>
      </c>
      <c r="D3299">
        <v>21</v>
      </c>
      <c r="E3299" s="18">
        <v>5615.946890931648</v>
      </c>
      <c r="F3299" s="18">
        <v>-57.6540386951232</v>
      </c>
      <c r="G3299" s="18">
        <v>5722.680574395441</v>
      </c>
      <c r="H3299" s="12">
        <f>E3300</f>
      </c>
      <c r="I3299" s="12">
        <f>F3300</f>
      </c>
      <c r="J3299" s="12">
        <f>G3300</f>
      </c>
      <c r="K3299">
        <f>IF(AND(Pu&gt;=MIN(E3299,H3299),Pu&lt;=MAX(E3299,H3299),E3299&lt;&gt;H3299),1,0)</f>
      </c>
      <c r="L3299">
        <f>IF(K3299=1,(Pu-E3299)/(H3299-E3299),"")</f>
      </c>
      <c r="M3299" s="12">
        <f>IF(K3299=1,F3299+L3299*(I3299-F3299),"")</f>
      </c>
      <c r="N3299" s="12">
        <f>IF(K3299=1,G3299+L3299*(J3299-G3299),"")</f>
      </c>
    </row>
    <row r="3300" spans="2:14" x14ac:dyDescent="0.25">
      <c r="B3300">
        <v>92</v>
      </c>
      <c r="C3300">
        <v>359.06249999999994</v>
      </c>
      <c r="D3300">
        <v>22</v>
      </c>
      <c r="E3300" s="18">
        <v>5473.335099442655</v>
      </c>
      <c r="F3300" s="18">
        <v>-58.12903605398701</v>
      </c>
      <c r="G3300" s="18">
        <v>5688.1513385802</v>
      </c>
      <c r="H3300" s="12">
        <f>E3301</f>
      </c>
      <c r="I3300" s="12">
        <f>F3301</f>
      </c>
      <c r="J3300" s="12">
        <f>G3301</f>
      </c>
      <c r="K3300">
        <f>IF(AND(Pu&gt;=MIN(E3300,H3300),Pu&lt;=MAX(E3300,H3300),E3300&lt;&gt;H3300),1,0)</f>
      </c>
      <c r="L3300">
        <f>IF(K3300=1,(Pu-E3300)/(H3300-E3300),"")</f>
      </c>
      <c r="M3300" s="12">
        <f>IF(K3300=1,F3300+L3300*(I3300-F3300),"")</f>
      </c>
      <c r="N3300" s="12">
        <f>IF(K3300=1,G3300+L3300*(J3300-G3300),"")</f>
      </c>
    </row>
    <row r="3301" spans="2:14" x14ac:dyDescent="0.25">
      <c r="B3301">
        <v>92</v>
      </c>
      <c r="C3301">
        <v>359.06249999999994</v>
      </c>
      <c r="D3301">
        <v>23</v>
      </c>
      <c r="E3301" s="18">
        <v>5014.634866906763</v>
      </c>
      <c r="F3301" s="18">
        <v>-59.74119688617188</v>
      </c>
      <c r="G3301" s="18">
        <v>5573.334328943307</v>
      </c>
      <c r="H3301" s="12">
        <f>E3302</f>
      </c>
      <c r="I3301" s="12">
        <f>F3302</f>
      </c>
      <c r="J3301" s="12">
        <f>G3302</f>
      </c>
      <c r="K3301">
        <f>IF(AND(Pu&gt;=MIN(E3301,H3301),Pu&lt;=MAX(E3301,H3301),E3301&lt;&gt;H3301),1,0)</f>
      </c>
      <c r="L3301">
        <f>IF(K3301=1,(Pu-E3301)/(H3301-E3301),"")</f>
      </c>
      <c r="M3301" s="12">
        <f>IF(K3301=1,F3301+L3301*(I3301-F3301),"")</f>
      </c>
      <c r="N3301" s="12">
        <f>IF(K3301=1,G3301+L3301*(J3301-G3301),"")</f>
      </c>
    </row>
    <row r="3302" spans="2:14" x14ac:dyDescent="0.25">
      <c r="B3302">
        <v>92</v>
      </c>
      <c r="C3302">
        <v>359.06249999999994</v>
      </c>
      <c r="D3302">
        <v>24</v>
      </c>
      <c r="E3302" s="18">
        <v>4245.079618854726</v>
      </c>
      <c r="F3302" s="18">
        <v>-53.88478075798226</v>
      </c>
      <c r="G3302" s="18">
        <v>5363.831379719477</v>
      </c>
      <c r="H3302" s="12">
        <f>E3303</f>
      </c>
      <c r="I3302" s="12">
        <f>F3303</f>
      </c>
      <c r="J3302" s="12">
        <f>G3303</f>
      </c>
      <c r="K3302">
        <f>IF(AND(Pu&gt;=MIN(E3302,H3302),Pu&lt;=MAX(E3302,H3302),E3302&lt;&gt;H3302),1,0)</f>
      </c>
      <c r="L3302">
        <f>IF(K3302=1,(Pu-E3302)/(H3302-E3302),"")</f>
      </c>
      <c r="M3302" s="12">
        <f>IF(K3302=1,F3302+L3302*(I3302-F3302),"")</f>
      </c>
      <c r="N3302" s="12">
        <f>IF(K3302=1,G3302+L3302*(J3302-G3302),"")</f>
      </c>
    </row>
    <row r="3303" spans="2:14" x14ac:dyDescent="0.25">
      <c r="B3303">
        <v>92</v>
      </c>
      <c r="C3303">
        <v>359.06249999999994</v>
      </c>
      <c r="D3303">
        <v>25</v>
      </c>
      <c r="E3303" s="18">
        <v>3741.02783801218</v>
      </c>
      <c r="F3303" s="18">
        <v>-55.961524065850504</v>
      </c>
      <c r="G3303" s="18">
        <v>5185.40498737614</v>
      </c>
      <c r="H3303" s="12">
        <f>E3304</f>
      </c>
      <c r="I3303" s="12">
        <f>F3304</f>
      </c>
      <c r="J3303" s="12">
        <f>G3304</f>
      </c>
      <c r="K3303">
        <f>IF(AND(Pu&gt;=MIN(E3303,H3303),Pu&lt;=MAX(E3303,H3303),E3303&lt;&gt;H3303),1,0)</f>
      </c>
      <c r="L3303">
        <f>IF(K3303=1,(Pu-E3303)/(H3303-E3303),"")</f>
      </c>
      <c r="M3303" s="12">
        <f>IF(K3303=1,F3303+L3303*(I3303-F3303),"")</f>
      </c>
      <c r="N3303" s="12">
        <f>IF(K3303=1,G3303+L3303*(J3303-G3303),"")</f>
      </c>
    </row>
    <row r="3304" spans="2:14" x14ac:dyDescent="0.25">
      <c r="B3304">
        <v>92</v>
      </c>
      <c r="C3304">
        <v>359.06249999999994</v>
      </c>
      <c r="D3304">
        <v>26</v>
      </c>
      <c r="E3304" s="18">
        <v>3262.907158530716</v>
      </c>
      <c r="F3304" s="18">
        <v>-58.724192398210995</v>
      </c>
      <c r="G3304" s="18">
        <v>5008.226425027317</v>
      </c>
      <c r="H3304" s="12">
        <f>E3305</f>
      </c>
      <c r="I3304" s="12">
        <f>F3305</f>
      </c>
      <c r="J3304" s="12">
        <f>G3305</f>
      </c>
      <c r="K3304">
        <f>IF(AND(Pu&gt;=MIN(E3304,H3304),Pu&lt;=MAX(E3304,H3304),E3304&lt;&gt;H3304),1,0)</f>
      </c>
      <c r="L3304">
        <f>IF(K3304=1,(Pu-E3304)/(H3304-E3304),"")</f>
      </c>
      <c r="M3304" s="12">
        <f>IF(K3304=1,F3304+L3304*(I3304-F3304),"")</f>
      </c>
      <c r="N3304" s="12">
        <f>IF(K3304=1,G3304+L3304*(J3304-G3304),"")</f>
      </c>
    </row>
    <row r="3305" spans="2:14" x14ac:dyDescent="0.25">
      <c r="B3305">
        <v>92</v>
      </c>
      <c r="C3305">
        <v>359.06249999999994</v>
      </c>
      <c r="D3305">
        <v>27</v>
      </c>
      <c r="E3305" s="18">
        <v>2516.7110596654265</v>
      </c>
      <c r="F3305" s="18">
        <v>-54.37695356441948</v>
      </c>
      <c r="G3305" s="18">
        <v>4693.7303582641825</v>
      </c>
      <c r="H3305" s="12">
        <f>E3306</f>
      </c>
      <c r="I3305" s="12">
        <f>F3306</f>
      </c>
      <c r="J3305" s="12">
        <f>G3306</f>
      </c>
      <c r="K3305">
        <f>IF(AND(Pu&gt;=MIN(E3305,H3305),Pu&lt;=MAX(E3305,H3305),E3305&lt;&gt;H3305),1,0)</f>
      </c>
      <c r="L3305">
        <f>IF(K3305=1,(Pu-E3305)/(H3305-E3305),"")</f>
      </c>
      <c r="M3305" s="12">
        <f>IF(K3305=1,F3305+L3305*(I3305-F3305),"")</f>
      </c>
      <c r="N3305" s="12">
        <f>IF(K3305=1,G3305+L3305*(J3305-G3305),"")</f>
      </c>
    </row>
    <row r="3306" spans="2:14" x14ac:dyDescent="0.25">
      <c r="B3306">
        <v>92</v>
      </c>
      <c r="C3306">
        <v>359.06249999999994</v>
      </c>
      <c r="D3306">
        <v>28</v>
      </c>
      <c r="E3306" s="18">
        <v>1950.0143460882825</v>
      </c>
      <c r="F3306" s="18">
        <v>-59.1096178461098</v>
      </c>
      <c r="G3306" s="18">
        <v>4417.782741957645</v>
      </c>
      <c r="H3306" s="12">
        <f>E3307</f>
      </c>
      <c r="I3306" s="12">
        <f>F3307</f>
      </c>
      <c r="J3306" s="12">
        <f>G3307</f>
      </c>
      <c r="K3306">
        <f>IF(AND(Pu&gt;=MIN(E3306,H3306),Pu&lt;=MAX(E3306,H3306),E3306&lt;&gt;H3306),1,0)</f>
      </c>
      <c r="L3306">
        <f>IF(K3306=1,(Pu-E3306)/(H3306-E3306),"")</f>
      </c>
      <c r="M3306" s="12">
        <f>IF(K3306=1,F3306+L3306*(I3306-F3306),"")</f>
      </c>
      <c r="N3306" s="12">
        <f>IF(K3306=1,G3306+L3306*(J3306-G3306),"")</f>
      </c>
    </row>
    <row r="3307" spans="2:14" x14ac:dyDescent="0.25">
      <c r="B3307">
        <v>92</v>
      </c>
      <c r="C3307">
        <v>359.06249999999994</v>
      </c>
      <c r="D3307">
        <v>29</v>
      </c>
      <c r="E3307" s="18">
        <v>1269.2634925785933</v>
      </c>
      <c r="F3307" s="18">
        <v>-64.76497972614038</v>
      </c>
      <c r="G3307" s="18">
        <v>4065.7078559863876</v>
      </c>
      <c r="H3307" s="12">
        <f>E3308</f>
      </c>
      <c r="I3307" s="12">
        <f>F3308</f>
      </c>
      <c r="J3307" s="12">
        <f>G3308</f>
      </c>
      <c r="K3307">
        <f>IF(AND(Pu&gt;=MIN(E3307,H3307),Pu&lt;=MAX(E3307,H3307),E3307&lt;&gt;H3307),1,0)</f>
      </c>
      <c r="L3307">
        <f>IF(K3307=1,(Pu-E3307)/(H3307-E3307),"")</f>
      </c>
      <c r="M3307" s="12">
        <f>IF(K3307=1,F3307+L3307*(I3307-F3307),"")</f>
      </c>
      <c r="N3307" s="12">
        <f>IF(K3307=1,G3307+L3307*(J3307-G3307),"")</f>
      </c>
    </row>
    <row r="3308" spans="2:14" x14ac:dyDescent="0.25">
      <c r="B3308">
        <v>92</v>
      </c>
      <c r="C3308">
        <v>359.06249999999994</v>
      </c>
      <c r="D3308">
        <v>30</v>
      </c>
      <c r="E3308" s="18">
        <v>646.307580216217</v>
      </c>
      <c r="F3308" s="18">
        <v>-42.64720790332685</v>
      </c>
      <c r="G3308" s="18">
        <v>3726.7984247378017</v>
      </c>
      <c r="H3308" s="12">
        <f>E3309</f>
      </c>
      <c r="I3308" s="12">
        <f>F3309</f>
      </c>
      <c r="J3308" s="12">
        <f>G3309</f>
      </c>
      <c r="K3308">
        <f>IF(AND(Pu&gt;=MIN(E3308,H3308),Pu&lt;=MAX(E3308,H3308),E3308&lt;&gt;H3308),1,0)</f>
      </c>
      <c r="L3308">
        <f>IF(K3308=1,(Pu-E3308)/(H3308-E3308),"")</f>
      </c>
      <c r="M3308" s="12">
        <f>IF(K3308=1,F3308+L3308*(I3308-F3308),"")</f>
      </c>
      <c r="N3308" s="12">
        <f>IF(K3308=1,G3308+L3308*(J3308-G3308),"")</f>
      </c>
    </row>
    <row r="3309" spans="2:14" x14ac:dyDescent="0.25">
      <c r="B3309">
        <v>92</v>
      </c>
      <c r="C3309">
        <v>359.06249999999994</v>
      </c>
      <c r="D3309">
        <v>31</v>
      </c>
      <c r="E3309" s="18">
        <v>-147.7484020001233</v>
      </c>
      <c r="F3309" s="18">
        <v>-44.51729266391356</v>
      </c>
      <c r="G3309" s="18">
        <v>3244.630527446508</v>
      </c>
      <c r="H3309" s="12">
        <f>E3310</f>
      </c>
      <c r="I3309" s="12">
        <f>F3310</f>
      </c>
      <c r="J3309" s="12">
        <f>G3310</f>
      </c>
      <c r="K3309">
        <f>IF(AND(Pu&gt;=MIN(E3309,H3309),Pu&lt;=MAX(E3309,H3309),E3309&lt;&gt;H3309),1,0)</f>
      </c>
      <c r="L3309">
        <f>IF(K3309=1,(Pu-E3309)/(H3309-E3309),"")</f>
      </c>
      <c r="M3309" s="12">
        <f>IF(K3309=1,F3309+L3309*(I3309-F3309),"")</f>
      </c>
      <c r="N3309" s="12">
        <f>IF(K3309=1,G3309+L3309*(J3309-G3309),"")</f>
      </c>
    </row>
    <row r="3310" spans="2:14" x14ac:dyDescent="0.25">
      <c r="B3310">
        <v>92</v>
      </c>
      <c r="C3310">
        <v>359.06249999999994</v>
      </c>
      <c r="D3310">
        <v>32</v>
      </c>
      <c r="E3310" s="18">
        <v>-767.6422400899103</v>
      </c>
      <c r="F3310" s="18">
        <v>-41.86495204004136</v>
      </c>
      <c r="G3310" s="18">
        <v>2849.212934586247</v>
      </c>
      <c r="H3310" s="12">
        <f>E3311</f>
      </c>
      <c r="I3310" s="12">
        <f>F3311</f>
      </c>
      <c r="J3310" s="12">
        <f>G3311</f>
      </c>
      <c r="K3310">
        <f>IF(AND(Pu&gt;=MIN(E3310,H3310),Pu&lt;=MAX(E3310,H3310),E3310&lt;&gt;H3310),1,0)</f>
      </c>
      <c r="L3310">
        <f>IF(K3310=1,(Pu-E3310)/(H3310-E3310),"")</f>
      </c>
      <c r="M3310" s="12">
        <f>IF(K3310=1,F3310+L3310*(I3310-F3310),"")</f>
      </c>
      <c r="N3310" s="12">
        <f>IF(K3310=1,G3310+L3310*(J3310-G3310),"")</f>
      </c>
    </row>
    <row r="3311" spans="2:14" x14ac:dyDescent="0.25">
      <c r="B3311">
        <v>92</v>
      </c>
      <c r="C3311">
        <v>359.06249999999994</v>
      </c>
      <c r="D3311">
        <v>33</v>
      </c>
      <c r="E3311" s="18">
        <v>-1644.414922041395</v>
      </c>
      <c r="F3311" s="18">
        <v>-39.913917677766534</v>
      </c>
      <c r="G3311" s="18">
        <v>2270.9034838452453</v>
      </c>
      <c r="H3311" s="12">
        <f>E3312</f>
      </c>
      <c r="I3311" s="12">
        <f>F3312</f>
      </c>
      <c r="J3311" s="12">
        <f>G3312</f>
      </c>
      <c r="K3311">
        <f>IF(AND(Pu&gt;=MIN(E3311,H3311),Pu&lt;=MAX(E3311,H3311),E3311&lt;&gt;H3311),1,0)</f>
      </c>
      <c r="L3311">
        <f>IF(K3311=1,(Pu-E3311)/(H3311-E3311),"")</f>
      </c>
      <c r="M3311" s="12">
        <f>IF(K3311=1,F3311+L3311*(I3311-F3311),"")</f>
      </c>
      <c r="N3311" s="12">
        <f>IF(K3311=1,G3311+L3311*(J3311-G3311),"")</f>
      </c>
    </row>
    <row r="3312" spans="2:14" x14ac:dyDescent="0.25">
      <c r="B3312">
        <v>92</v>
      </c>
      <c r="C3312">
        <v>359.06249999999994</v>
      </c>
      <c r="D3312">
        <v>34</v>
      </c>
      <c r="E3312" s="18">
        <v>-2244.251166554612</v>
      </c>
      <c r="F3312" s="18">
        <v>-33.102312056873735</v>
      </c>
      <c r="G3312" s="18">
        <v>1865.6047055293059</v>
      </c>
      <c r="H3312" s="12">
        <f>E3313</f>
      </c>
      <c r="I3312" s="12">
        <f>F3313</f>
      </c>
      <c r="J3312" s="12">
        <f>G3313</f>
      </c>
      <c r="K3312">
        <f>IF(AND(Pu&gt;=MIN(E3312,H3312),Pu&lt;=MAX(E3312,H3312),E3312&lt;&gt;H3312),1,0)</f>
      </c>
      <c r="L3312">
        <f>IF(K3312=1,(Pu-E3312)/(H3312-E3312),"")</f>
      </c>
      <c r="M3312" s="12">
        <f>IF(K3312=1,F3312+L3312*(I3312-F3312),"")</f>
      </c>
      <c r="N3312" s="12">
        <f>IF(K3312=1,G3312+L3312*(J3312-G3312),"")</f>
      </c>
    </row>
    <row r="3313" spans="2:14" x14ac:dyDescent="0.25">
      <c r="B3313">
        <v>92</v>
      </c>
      <c r="C3313">
        <v>359.06249999999994</v>
      </c>
      <c r="D3313">
        <v>35</v>
      </c>
      <c r="E3313" s="18">
        <v>-3374.6406793095784</v>
      </c>
      <c r="F3313" s="18">
        <v>-43.929269334127156</v>
      </c>
      <c r="G3313" s="18">
        <v>1090.6229396309268</v>
      </c>
      <c r="H3313" s="12">
        <f>E3314</f>
      </c>
      <c r="I3313" s="12">
        <f>F3314</f>
      </c>
      <c r="J3313" s="12">
        <f>G3314</f>
      </c>
      <c r="K3313">
        <f>IF(AND(Pu&gt;=MIN(E3313,H3313),Pu&lt;=MAX(E3313,H3313),E3313&lt;&gt;H3313),1,0)</f>
      </c>
      <c r="L3313">
        <f>IF(K3313=1,(Pu-E3313)/(H3313-E3313),"")</f>
      </c>
      <c r="M3313" s="12">
        <f>IF(K3313=1,F3313+L3313*(I3313-F3313),"")</f>
      </c>
      <c r="N3313" s="12">
        <f>IF(K3313=1,G3313+L3313*(J3313-G3313),"")</f>
      </c>
    </row>
    <row r="3314" spans="2:7" x14ac:dyDescent="0.25">
      <c r="B3314">
        <v>92</v>
      </c>
      <c r="C3314">
        <v>359.06249999999994</v>
      </c>
      <c r="D3314">
        <v>36</v>
      </c>
      <c r="E3314" s="18">
        <v>-4260.136771791485</v>
      </c>
      <c r="F3314" s="18">
        <v>-38.42087199900381</v>
      </c>
      <c r="G3314" s="18">
        <v>481.080884529095</v>
      </c>
    </row>
    <row r="3317" spans="2:13" x14ac:dyDescent="0.25">
      <c r="B3317" s="3" t="s">
        <v>236</v>
      </c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</row>
    <row r="3318" spans="2:5" x14ac:dyDescent="0.25">
      <c r="B3318" t="s">
        <v>237</v>
      </c>
      <c r="C3318" s="17">
        <f>SUMPRODUCT(--(K8:K3315=1))</f>
      </c>
      <c r="E3318" s="2" t="s">
        <v>238</v>
      </c>
    </row>
    <row r="3319" spans="2:5" x14ac:dyDescent="0.25">
      <c r="B3319" t="s">
        <v>239</v>
      </c>
      <c r="C3319" s="17">
        <f>IFERROR(SUMPRODUCT((K8:K3315=1)*(ABS(MOD(DEGREES(ATAN2(IF(M8:M3315="",1,M8:M3315),IF(N8:N3315="",0,N8:N3315)))-theta_L+180,360)-180)&lt;=6)*SQRT(IF(M8:M3315="",0,M8:M3315)^2+IF(N8:N3315="",0,N8:N3315)^2))/MAX(1,SUMPRODUCT((K8:K3315=1)*(ABS(MOD(DEGREES(ATAN2(IF(M8:M3315="",1,M8:M3315),IF(N8:N3315="",0,N8:N3315)))-theta_L+180,360)-180)&lt;=6))),"")</f>
      </c>
      <c r="E3319" s="2" t="s">
        <v>240</v>
      </c>
    </row>
    <row r="3320" spans="2:5" x14ac:dyDescent="0.25">
      <c r="B3320" t="s">
        <v>241</v>
      </c>
      <c r="C3320" s="17">
        <f>Mu</f>
      </c>
      <c r="E3320" s="2" t="s">
        <v>242</v>
      </c>
    </row>
    <row r="3321" spans="2:5" x14ac:dyDescent="0.25">
      <c r="B3321" t="s">
        <v>243</v>
      </c>
      <c r="C3321" s="17">
        <f>IFERROR(Mu/C3319,"")</f>
      </c>
      <c r="E3321" s="2" t="s">
        <v>244</v>
      </c>
    </row>
    <row r="3323" spans="2:5" x14ac:dyDescent="0.25">
      <c r="B3323" t="s">
        <v>245</v>
      </c>
      <c r="C3323" s="22" t="s">
        <v>246</v>
      </c>
      <c r="E3323" s="2" t="s">
        <v>247</v>
      </c>
    </row>
  </sheetData>
  <mergeCells count="3">
    <mergeCell ref="B1:N1"/>
    <mergeCell ref="B2:N4"/>
    <mergeCell ref="B3317:M33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" customWidth="1"/>
    <col min="3" max="6" width="16" customWidth="1"/>
    <col min="7" max="7" width="46" customWidth="1"/>
  </cols>
  <sheetData>
    <row r="1" ht="22" customHeight="1" spans="2:6" x14ac:dyDescent="0.25">
      <c r="B1" s="1" t="s">
        <v>248</v>
      </c>
      <c r="C1" s="1"/>
      <c r="D1" s="1"/>
      <c r="E1" s="1"/>
      <c r="F1" s="1"/>
    </row>
    <row r="2" spans="2:7" x14ac:dyDescent="0.25">
      <c r="B2" s="2" t="s">
        <v>249</v>
      </c>
      <c r="C2" s="2"/>
      <c r="D2" s="2"/>
      <c r="E2" s="2"/>
      <c r="F2" s="2"/>
      <c r="G2" s="2"/>
    </row>
    <row r="3" spans="2:7" x14ac:dyDescent="0.25">
      <c r="B3" s="2"/>
      <c r="C3" s="2"/>
      <c r="D3" s="2"/>
      <c r="E3" s="2"/>
      <c r="F3" s="2"/>
      <c r="G3" s="2"/>
    </row>
    <row r="6" ht="28" customHeight="1" spans="2:7" x14ac:dyDescent="0.25">
      <c r="B6" s="11" t="s">
        <v>129</v>
      </c>
      <c r="C6" s="11" t="s">
        <v>250</v>
      </c>
      <c r="D6" s="11" t="s">
        <v>228</v>
      </c>
      <c r="E6" s="11" t="s">
        <v>251</v>
      </c>
      <c r="F6" s="11" t="s">
        <v>206</v>
      </c>
      <c r="G6" s="11" t="s">
        <v>207</v>
      </c>
    </row>
    <row r="7" spans="2:7" x14ac:dyDescent="0.25">
      <c r="B7">
        <v>1</v>
      </c>
      <c r="C7">
        <v>1</v>
      </c>
      <c r="D7" s="18">
        <v>17670.345615483235</v>
      </c>
      <c r="E7" s="18">
        <v>-2258.059789427365</v>
      </c>
      <c r="F7" s="18">
        <v>-2106.9308403626073</v>
      </c>
      <c r="G7" s="18">
        <v>-812.2046826740623</v>
      </c>
    </row>
    <row r="8" spans="2:7" x14ac:dyDescent="0.25">
      <c r="B8">
        <v>2</v>
      </c>
      <c r="C8">
        <v>1</v>
      </c>
      <c r="D8" s="18">
        <v>17598.200256253454</v>
      </c>
      <c r="E8" s="18">
        <v>-2291.078142238691</v>
      </c>
      <c r="F8" s="18">
        <v>-2137.7393185800056</v>
      </c>
      <c r="G8" s="18">
        <v>-824.081100160042</v>
      </c>
    </row>
    <row r="9" spans="2:7" x14ac:dyDescent="0.25">
      <c r="B9">
        <v>3</v>
      </c>
      <c r="C9">
        <v>1</v>
      </c>
      <c r="D9" s="18">
        <v>17435.267210148442</v>
      </c>
      <c r="E9" s="18">
        <v>-2361.6390336913137</v>
      </c>
      <c r="F9" s="18">
        <v>-2203.5776630831465</v>
      </c>
      <c r="G9" s="18">
        <v>-849.4612458584915</v>
      </c>
    </row>
    <row r="10" spans="2:7" x14ac:dyDescent="0.25">
      <c r="B10">
        <v>4</v>
      </c>
      <c r="C10">
        <v>1</v>
      </c>
      <c r="D10" s="18">
        <v>17322.672229398035</v>
      </c>
      <c r="E10" s="18">
        <v>-2413.0167719788265</v>
      </c>
      <c r="F10" s="18">
        <v>-2251.5167574387883</v>
      </c>
      <c r="G10" s="18">
        <v>-867.9413763748329</v>
      </c>
    </row>
    <row r="11" spans="2:7" x14ac:dyDescent="0.25">
      <c r="B11">
        <v>5</v>
      </c>
      <c r="C11">
        <v>1</v>
      </c>
      <c r="D11" s="18">
        <v>16798.219668298505</v>
      </c>
      <c r="E11" s="18">
        <v>-2601.816705574906</v>
      </c>
      <c r="F11" s="18">
        <v>-2427.680561698759</v>
      </c>
      <c r="G11" s="18">
        <v>-935.8510884529951</v>
      </c>
    </row>
    <row r="12" spans="2:7" x14ac:dyDescent="0.25">
      <c r="B12">
        <v>6</v>
      </c>
      <c r="C12">
        <v>1</v>
      </c>
      <c r="D12" s="18">
        <v>16109.624561213406</v>
      </c>
      <c r="E12" s="18">
        <v>-2878.570253019367</v>
      </c>
      <c r="F12" s="18">
        <v>-2685.9113609985257</v>
      </c>
      <c r="G12" s="18">
        <v>-1035.3969588650682</v>
      </c>
    </row>
    <row r="13" spans="2:7" x14ac:dyDescent="0.25">
      <c r="B13">
        <v>7</v>
      </c>
      <c r="C13">
        <v>1</v>
      </c>
      <c r="D13" s="18">
        <v>16048.526315227555</v>
      </c>
      <c r="E13" s="18">
        <v>-2897.3306900237912</v>
      </c>
      <c r="F13" s="18">
        <v>-2703.4161868177407</v>
      </c>
      <c r="G13" s="18">
        <v>-1042.1449266803352</v>
      </c>
    </row>
    <row r="14" spans="2:7" x14ac:dyDescent="0.25">
      <c r="B14">
        <v>8</v>
      </c>
      <c r="C14">
        <v>1</v>
      </c>
      <c r="D14" s="18">
        <v>15946.326236423742</v>
      </c>
      <c r="E14" s="18">
        <v>-2931.415769428304</v>
      </c>
      <c r="F14" s="18">
        <v>-2735.2199970311935</v>
      </c>
      <c r="G14" s="18">
        <v>-1054.4050365460191</v>
      </c>
    </row>
    <row r="15" spans="2:7" x14ac:dyDescent="0.25">
      <c r="B15">
        <v>9</v>
      </c>
      <c r="C15">
        <v>1</v>
      </c>
      <c r="D15" s="18">
        <v>14930.133306450829</v>
      </c>
      <c r="E15" s="18">
        <v>-3262.0372265818937</v>
      </c>
      <c r="F15" s="18">
        <v>-3043.7133982352325</v>
      </c>
      <c r="G15" s="18">
        <v>-1173.3267307146073</v>
      </c>
    </row>
    <row r="16" spans="2:7" x14ac:dyDescent="0.25">
      <c r="B16">
        <v>10</v>
      </c>
      <c r="C16">
        <v>1</v>
      </c>
      <c r="D16" s="18">
        <v>14476.062548090815</v>
      </c>
      <c r="E16" s="18">
        <v>-3373.397119518172</v>
      </c>
      <c r="F16" s="18">
        <v>-3147.6201211242765</v>
      </c>
      <c r="G16" s="18">
        <v>-1213.381926298186</v>
      </c>
    </row>
    <row r="17" spans="2:7" x14ac:dyDescent="0.25">
      <c r="B17">
        <v>11</v>
      </c>
      <c r="C17">
        <v>1</v>
      </c>
      <c r="D17" s="18">
        <v>13522.34491536795</v>
      </c>
      <c r="E17" s="18">
        <v>-3624.3034467389793</v>
      </c>
      <c r="F17" s="18">
        <v>-3381.733620394237</v>
      </c>
      <c r="G17" s="18">
        <v>-1303.6307739307679</v>
      </c>
    </row>
    <row r="18" spans="2:7" x14ac:dyDescent="0.25">
      <c r="B18">
        <v>12</v>
      </c>
      <c r="C18">
        <v>1</v>
      </c>
      <c r="D18" s="18">
        <v>13216.133835171062</v>
      </c>
      <c r="E18" s="18">
        <v>-3701.544405777303</v>
      </c>
      <c r="F18" s="18">
        <v>-3453.804944412765</v>
      </c>
      <c r="G18" s="18">
        <v>-1331.413682478584</v>
      </c>
    </row>
    <row r="19" spans="2:7" x14ac:dyDescent="0.25">
      <c r="B19">
        <v>13</v>
      </c>
      <c r="C19">
        <v>1</v>
      </c>
      <c r="D19" s="18">
        <v>13036.78035389945</v>
      </c>
      <c r="E19" s="18">
        <v>-3749.5681352458487</v>
      </c>
      <c r="F19" s="18">
        <v>-3498.6145093145738</v>
      </c>
      <c r="G19" s="18">
        <v>-1348.6874048735597</v>
      </c>
    </row>
    <row r="20" spans="2:7" x14ac:dyDescent="0.25">
      <c r="B20">
        <v>14</v>
      </c>
      <c r="C20">
        <v>1</v>
      </c>
      <c r="D20" s="18">
        <v>12765.583338475342</v>
      </c>
      <c r="E20" s="18">
        <v>-3799.1815875742504</v>
      </c>
      <c r="F20" s="18">
        <v>-3544.907399032112</v>
      </c>
      <c r="G20" s="18">
        <v>-1366.5329369066033</v>
      </c>
    </row>
    <row r="21" spans="2:7" x14ac:dyDescent="0.25">
      <c r="B21">
        <v>15</v>
      </c>
      <c r="C21">
        <v>1</v>
      </c>
      <c r="D21" s="18">
        <v>11458.535983135078</v>
      </c>
      <c r="E21" s="18">
        <v>-4034.419466171989</v>
      </c>
      <c r="F21" s="18">
        <v>-3764.4011181797086</v>
      </c>
      <c r="G21" s="18">
        <v>-1451.1459783477464</v>
      </c>
    </row>
    <row r="22" spans="2:7" x14ac:dyDescent="0.25">
      <c r="B22">
        <v>16</v>
      </c>
      <c r="C22">
        <v>1</v>
      </c>
      <c r="D22" s="18">
        <v>10587.910512908975</v>
      </c>
      <c r="E22" s="18">
        <v>-4146.069930019797</v>
      </c>
      <c r="F22" s="18">
        <v>-3868.578964454272</v>
      </c>
      <c r="G22" s="18">
        <v>-1491.305689788743</v>
      </c>
    </row>
    <row r="23" spans="2:7" x14ac:dyDescent="0.25">
      <c r="B23">
        <v>17</v>
      </c>
      <c r="C23">
        <v>1</v>
      </c>
      <c r="D23" s="18">
        <v>10082.013860835019</v>
      </c>
      <c r="E23" s="18">
        <v>-4208.036840598097</v>
      </c>
      <c r="F23" s="18">
        <v>-3926.398511833273</v>
      </c>
      <c r="G23" s="18">
        <v>-1513.5946544911803</v>
      </c>
    </row>
    <row r="24" spans="2:7" x14ac:dyDescent="0.25">
      <c r="B24">
        <v>18</v>
      </c>
      <c r="C24">
        <v>1</v>
      </c>
      <c r="D24" s="18">
        <v>9335.031782772716</v>
      </c>
      <c r="E24" s="18">
        <v>-4277.027649076345</v>
      </c>
      <c r="F24" s="18">
        <v>-3990.771856934659</v>
      </c>
      <c r="G24" s="18">
        <v>-1538.4100548494291</v>
      </c>
    </row>
    <row r="25" spans="2:7" x14ac:dyDescent="0.25">
      <c r="B25">
        <v>19</v>
      </c>
      <c r="C25">
        <v>1</v>
      </c>
      <c r="D25" s="18">
        <v>8980.671557910257</v>
      </c>
      <c r="E25" s="18">
        <v>-4307.734726470471</v>
      </c>
      <c r="F25" s="18">
        <v>-4019.4237503353615</v>
      </c>
      <c r="G25" s="18">
        <v>-1549.4551264491802</v>
      </c>
    </row>
    <row r="26" spans="2:7" x14ac:dyDescent="0.25">
      <c r="B26">
        <v>20</v>
      </c>
      <c r="C26">
        <v>1</v>
      </c>
      <c r="D26" s="18">
        <v>8933.322329163899</v>
      </c>
      <c r="E26" s="18">
        <v>-4329.369565342331</v>
      </c>
      <c r="F26" s="18">
        <v>-4039.6105981145142</v>
      </c>
      <c r="G26" s="18">
        <v>-1557.236991890874</v>
      </c>
    </row>
    <row r="27" spans="2:7" x14ac:dyDescent="0.25">
      <c r="B27">
        <v>21</v>
      </c>
      <c r="C27">
        <v>1</v>
      </c>
      <c r="D27" s="18">
        <v>8914.967949264636</v>
      </c>
      <c r="E27" s="18">
        <v>-4335.787279861874</v>
      </c>
      <c r="F27" s="18">
        <v>-4045.598783506761</v>
      </c>
      <c r="G27" s="18">
        <v>-1559.545388599076</v>
      </c>
    </row>
    <row r="28" spans="2:7" x14ac:dyDescent="0.25">
      <c r="B28">
        <v>22</v>
      </c>
      <c r="C28">
        <v>1</v>
      </c>
      <c r="D28" s="18">
        <v>8584.756077443479</v>
      </c>
      <c r="E28" s="18">
        <v>-4459.058733566959</v>
      </c>
      <c r="F28" s="18">
        <v>-4160.619842188931</v>
      </c>
      <c r="G28" s="18">
        <v>-1603.8850701292533</v>
      </c>
    </row>
    <row r="29" spans="2:7" x14ac:dyDescent="0.25">
      <c r="B29">
        <v>23</v>
      </c>
      <c r="C29">
        <v>1</v>
      </c>
      <c r="D29" s="18">
        <v>8437.840202059222</v>
      </c>
      <c r="E29" s="18">
        <v>-4508.051644208377</v>
      </c>
      <c r="F29" s="18">
        <v>-4206.333722252183</v>
      </c>
      <c r="G29" s="18">
        <v>-1621.5073986553211</v>
      </c>
    </row>
    <row r="30" spans="2:7" x14ac:dyDescent="0.25">
      <c r="B30">
        <v>24</v>
      </c>
      <c r="C30">
        <v>1</v>
      </c>
      <c r="D30" s="18">
        <v>8292.417133628578</v>
      </c>
      <c r="E30" s="18">
        <v>-4559.213577887977</v>
      </c>
      <c r="F30" s="18">
        <v>-4254.071455516311</v>
      </c>
      <c r="G30" s="18">
        <v>-1639.9099061105244</v>
      </c>
    </row>
    <row r="31" spans="2:7" x14ac:dyDescent="0.25">
      <c r="B31">
        <v>25</v>
      </c>
      <c r="C31">
        <v>1</v>
      </c>
      <c r="D31" s="18">
        <v>8252.494133998449</v>
      </c>
      <c r="E31" s="18">
        <v>-4570.996129878165</v>
      </c>
      <c r="F31" s="18">
        <v>-4265.065416917395</v>
      </c>
      <c r="G31" s="18">
        <v>-1644.1479887091732</v>
      </c>
    </row>
    <row r="32" spans="2:7" x14ac:dyDescent="0.25">
      <c r="B32">
        <v>26</v>
      </c>
      <c r="C32">
        <v>1</v>
      </c>
      <c r="D32" s="18">
        <v>8031.002668856513</v>
      </c>
      <c r="E32" s="18">
        <v>-4642.767781459566</v>
      </c>
      <c r="F32" s="18">
        <v>-4332.033486978534</v>
      </c>
      <c r="G32" s="18">
        <v>-1669.963634411118</v>
      </c>
    </row>
    <row r="33" spans="2:7" x14ac:dyDescent="0.25">
      <c r="B33">
        <v>27</v>
      </c>
      <c r="C33">
        <v>1</v>
      </c>
      <c r="D33" s="18">
        <v>7975.556705872841</v>
      </c>
      <c r="E33" s="18">
        <v>-4657.719293302008</v>
      </c>
      <c r="F33" s="18">
        <v>-4345.98431394883</v>
      </c>
      <c r="G33" s="18">
        <v>-1675.3415646095773</v>
      </c>
    </row>
    <row r="34" spans="2:7" x14ac:dyDescent="0.25">
      <c r="B34">
        <v>28</v>
      </c>
      <c r="C34">
        <v>1</v>
      </c>
      <c r="D34" s="18">
        <v>7768.765198760316</v>
      </c>
      <c r="E34" s="18">
        <v>-4714.285692292398</v>
      </c>
      <c r="F34" s="18">
        <v>-4398.764798823119</v>
      </c>
      <c r="G34" s="18">
        <v>-1695.6880117484527</v>
      </c>
    </row>
    <row r="35" spans="2:7" x14ac:dyDescent="0.25">
      <c r="B35">
        <v>29</v>
      </c>
      <c r="C35">
        <v>1</v>
      </c>
      <c r="D35" s="18">
        <v>7743.925176992556</v>
      </c>
      <c r="E35" s="18">
        <v>-4721.313797972868</v>
      </c>
      <c r="F35" s="18">
        <v>-4405.322522704852</v>
      </c>
      <c r="G35" s="18">
        <v>-1698.2159609067223</v>
      </c>
    </row>
    <row r="36" spans="2:7" x14ac:dyDescent="0.25">
      <c r="B36">
        <v>30</v>
      </c>
      <c r="C36">
        <v>1</v>
      </c>
      <c r="D36" s="18">
        <v>7583.338793443906</v>
      </c>
      <c r="E36" s="18">
        <v>-4762.729505744429</v>
      </c>
      <c r="F36" s="18">
        <v>-4443.966332044141</v>
      </c>
      <c r="G36" s="18">
        <v>-1713.1128347387714</v>
      </c>
    </row>
    <row r="37" spans="2:7" x14ac:dyDescent="0.25">
      <c r="B37">
        <v>31</v>
      </c>
      <c r="C37">
        <v>1</v>
      </c>
      <c r="D37" s="18">
        <v>7569.883189775705</v>
      </c>
      <c r="E37" s="18">
        <v>-4765.864413559378</v>
      </c>
      <c r="F37" s="18">
        <v>-4446.891424633777</v>
      </c>
      <c r="G37" s="18">
        <v>-1714.2404341136746</v>
      </c>
    </row>
    <row r="38" spans="2:7" x14ac:dyDescent="0.25">
      <c r="B38">
        <v>32</v>
      </c>
      <c r="C38">
        <v>1</v>
      </c>
      <c r="D38" s="18">
        <v>7423.144009172582</v>
      </c>
      <c r="E38" s="18">
        <v>-4802.158052173902</v>
      </c>
      <c r="F38" s="18">
        <v>-4480.755978116354</v>
      </c>
      <c r="G38" s="18">
        <v>-1727.294943729416</v>
      </c>
    </row>
    <row r="39" spans="2:7" x14ac:dyDescent="0.25">
      <c r="B39">
        <v>33</v>
      </c>
      <c r="C39">
        <v>1</v>
      </c>
      <c r="D39" s="18">
        <v>7280.196560044473</v>
      </c>
      <c r="E39" s="18">
        <v>-4837.430078469634</v>
      </c>
      <c r="F39" s="18">
        <v>-4513.667294438675</v>
      </c>
      <c r="G39" s="18">
        <v>-1739.9819881818837</v>
      </c>
    </row>
    <row r="40" spans="2:7" x14ac:dyDescent="0.25">
      <c r="B40">
        <v>34</v>
      </c>
      <c r="C40">
        <v>1</v>
      </c>
      <c r="D40" s="18">
        <v>7278.334876198728</v>
      </c>
      <c r="E40" s="18">
        <v>-4837.931309352714</v>
      </c>
      <c r="F40" s="18">
        <v>-4514.13497860304</v>
      </c>
      <c r="G40" s="18">
        <v>-1740.1622766189948</v>
      </c>
    </row>
    <row r="41" spans="2:7" x14ac:dyDescent="0.25">
      <c r="B41">
        <v>35</v>
      </c>
      <c r="C41">
        <v>1</v>
      </c>
      <c r="D41" s="18">
        <v>7229.209563407848</v>
      </c>
      <c r="E41" s="18">
        <v>-4849.561926585215</v>
      </c>
      <c r="F41" s="18">
        <v>-4524.987174038406</v>
      </c>
      <c r="G41" s="18">
        <v>-1744.3457095922297</v>
      </c>
    </row>
    <row r="42" spans="2:7" x14ac:dyDescent="0.25">
      <c r="B42">
        <v>36</v>
      </c>
      <c r="C42">
        <v>1</v>
      </c>
      <c r="D42" s="18">
        <v>7200.557631198282</v>
      </c>
      <c r="E42" s="18">
        <v>-4856.382329688708</v>
      </c>
      <c r="F42" s="18">
        <v>-4531.351096601368</v>
      </c>
      <c r="G42" s="18">
        <v>-1746.7989499201954</v>
      </c>
    </row>
    <row r="43" spans="2:7" x14ac:dyDescent="0.25">
      <c r="B43">
        <v>37</v>
      </c>
      <c r="C43">
        <v>1</v>
      </c>
      <c r="D43" s="18">
        <v>6927.300776273484</v>
      </c>
      <c r="E43" s="18">
        <v>-4913.031749579548</v>
      </c>
      <c r="F43" s="18">
        <v>-4584.209045897268</v>
      </c>
      <c r="G43" s="18">
        <v>-1767.1752589628263</v>
      </c>
    </row>
    <row r="44" spans="2:7" x14ac:dyDescent="0.25">
      <c r="B44">
        <v>38</v>
      </c>
      <c r="C44">
        <v>1</v>
      </c>
      <c r="D44" s="18">
        <v>6867.2556545930875</v>
      </c>
      <c r="E44" s="18">
        <v>-4924.718991047082</v>
      </c>
      <c r="F44" s="18">
        <v>-4595.114075782663</v>
      </c>
      <c r="G44" s="18">
        <v>-1771.3790591863278</v>
      </c>
    </row>
    <row r="45" spans="2:7" x14ac:dyDescent="0.25">
      <c r="B45">
        <v>39</v>
      </c>
      <c r="C45">
        <v>1</v>
      </c>
      <c r="D45" s="18">
        <v>6615.445975809365</v>
      </c>
      <c r="E45" s="18">
        <v>-4958.232656935603</v>
      </c>
      <c r="F45" s="18">
        <v>-4626.384716429446</v>
      </c>
      <c r="G45" s="18">
        <v>-1783.4336365255456</v>
      </c>
    </row>
    <row r="46" spans="2:7" x14ac:dyDescent="0.25">
      <c r="B46">
        <v>40</v>
      </c>
      <c r="C46">
        <v>1</v>
      </c>
      <c r="D46" s="18">
        <v>6582.006751711017</v>
      </c>
      <c r="E46" s="18">
        <v>-4964.200720960953</v>
      </c>
      <c r="F46" s="18">
        <v>-4631.953345839146</v>
      </c>
      <c r="G46" s="18">
        <v>-1785.580297818831</v>
      </c>
    </row>
    <row r="47" spans="2:7" x14ac:dyDescent="0.25">
      <c r="B47">
        <v>41</v>
      </c>
      <c r="C47">
        <v>1</v>
      </c>
      <c r="D47" s="18">
        <v>6510.92981850201</v>
      </c>
      <c r="E47" s="18">
        <v>-4969.968807620465</v>
      </c>
      <c r="F47" s="18">
        <v>-4637.335382103071</v>
      </c>
      <c r="G47" s="18">
        <v>-1787.6550289738075</v>
      </c>
    </row>
    <row r="48" spans="2:7" x14ac:dyDescent="0.25">
      <c r="B48">
        <v>42</v>
      </c>
      <c r="C48">
        <v>1</v>
      </c>
      <c r="D48" s="18">
        <v>6451.4478595937</v>
      </c>
      <c r="E48" s="18">
        <v>-4983.621181420817</v>
      </c>
      <c r="F48" s="18">
        <v>-4650.074020618668</v>
      </c>
      <c r="G48" s="18">
        <v>-1792.5656703935706</v>
      </c>
    </row>
    <row r="49" spans="2:7" x14ac:dyDescent="0.25">
      <c r="B49">
        <v>43</v>
      </c>
      <c r="C49">
        <v>1</v>
      </c>
      <c r="D49" s="18">
        <v>6298.212252614588</v>
      </c>
      <c r="E49" s="18">
        <v>-4994.108730594502</v>
      </c>
      <c r="F49" s="18">
        <v>-4659.8596520254705</v>
      </c>
      <c r="G49" s="18">
        <v>-1796.337951618596</v>
      </c>
    </row>
    <row r="50" spans="2:7" x14ac:dyDescent="0.25">
      <c r="B50">
        <v>44</v>
      </c>
      <c r="C50">
        <v>1</v>
      </c>
      <c r="D50" s="18">
        <v>6175.079529944088</v>
      </c>
      <c r="E50" s="18">
        <v>-5010.434905627463</v>
      </c>
      <c r="F50" s="18">
        <v>-4675.093137800808</v>
      </c>
      <c r="G50" s="18">
        <v>-1802.2103363419826</v>
      </c>
    </row>
    <row r="51" spans="2:7" x14ac:dyDescent="0.25">
      <c r="B51">
        <v>45</v>
      </c>
      <c r="C51">
        <v>1</v>
      </c>
      <c r="D51" s="18">
        <v>6027.264037357311</v>
      </c>
      <c r="E51" s="18">
        <v>-5017.460889202485</v>
      </c>
      <c r="F51" s="18">
        <v>-4681.648881606799</v>
      </c>
      <c r="G51" s="18">
        <v>-1804.7375221971768</v>
      </c>
    </row>
    <row r="52" spans="2:7" x14ac:dyDescent="0.25">
      <c r="B52">
        <v>46</v>
      </c>
      <c r="C52">
        <v>1</v>
      </c>
      <c r="D52" s="18">
        <v>6002.685520593201</v>
      </c>
      <c r="E52" s="18">
        <v>-5020.219346733323</v>
      </c>
      <c r="F52" s="18">
        <v>-4684.222719230925</v>
      </c>
      <c r="G52" s="18">
        <v>-1805.72971564307</v>
      </c>
    </row>
    <row r="53" spans="2:7" x14ac:dyDescent="0.25">
      <c r="B53">
        <v>47</v>
      </c>
      <c r="C53">
        <v>1</v>
      </c>
      <c r="D53" s="18">
        <v>5968.224851552575</v>
      </c>
      <c r="E53" s="18">
        <v>-5021.493795376765</v>
      </c>
      <c r="F53" s="18">
        <v>-4685.411870715707</v>
      </c>
      <c r="G53" s="18">
        <v>-1806.1881238574483</v>
      </c>
    </row>
    <row r="54" spans="2:7" x14ac:dyDescent="0.25">
      <c r="B54">
        <v>48</v>
      </c>
      <c r="C54">
        <v>1</v>
      </c>
      <c r="D54" s="18">
        <v>5492.820546178759</v>
      </c>
      <c r="E54" s="18">
        <v>-4899.514467441766</v>
      </c>
      <c r="F54" s="18">
        <v>-4571.596457538304</v>
      </c>
      <c r="G54" s="18">
        <v>-1762.3132088520465</v>
      </c>
    </row>
    <row r="55" spans="2:7" x14ac:dyDescent="0.25">
      <c r="B55">
        <v>49</v>
      </c>
      <c r="C55">
        <v>1</v>
      </c>
      <c r="D55" s="18">
        <v>5314.733444778345</v>
      </c>
      <c r="E55" s="18">
        <v>-4849.874177065221</v>
      </c>
      <c r="F55" s="18">
        <v>-4525.278526007617</v>
      </c>
      <c r="G55" s="18">
        <v>-1744.4580234039438</v>
      </c>
    </row>
    <row r="56" spans="2:7" x14ac:dyDescent="0.25">
      <c r="B56">
        <v>50</v>
      </c>
      <c r="C56">
        <v>1</v>
      </c>
      <c r="D56" s="18">
        <v>4613.97285998129</v>
      </c>
      <c r="E56" s="18">
        <v>-4626.77680225799</v>
      </c>
      <c r="F56" s="18">
        <v>-4317.1127628218255</v>
      </c>
      <c r="G56" s="18">
        <v>-1664.2118167449626</v>
      </c>
    </row>
    <row r="57" spans="2:7" x14ac:dyDescent="0.25">
      <c r="B57">
        <v>51</v>
      </c>
      <c r="C57">
        <v>1</v>
      </c>
      <c r="D57" s="18">
        <v>4157.646268293394</v>
      </c>
      <c r="E57" s="18">
        <v>-4480.184852230198</v>
      </c>
      <c r="F57" s="18">
        <v>-4180.3320177288115</v>
      </c>
      <c r="G57" s="18">
        <v>-1611.483953287862</v>
      </c>
    </row>
    <row r="58" spans="2:7" x14ac:dyDescent="0.25">
      <c r="B58">
        <v>52</v>
      </c>
      <c r="C58">
        <v>1</v>
      </c>
      <c r="D58" s="18">
        <v>3971.3713255522703</v>
      </c>
      <c r="E58" s="18">
        <v>-4415.6782645708445</v>
      </c>
      <c r="F58" s="18">
        <v>-4120.14277048992</v>
      </c>
      <c r="G58" s="18">
        <v>-1588.2814885853936</v>
      </c>
    </row>
    <row r="59" spans="2:7" x14ac:dyDescent="0.25">
      <c r="B59">
        <v>53</v>
      </c>
      <c r="C59">
        <v>1</v>
      </c>
      <c r="D59" s="18">
        <v>3228.5588765259154</v>
      </c>
      <c r="E59" s="18">
        <v>-4153.687998982612</v>
      </c>
      <c r="F59" s="18">
        <v>-3875.6871661577507</v>
      </c>
      <c r="G59" s="18">
        <v>-1494.0458436648728</v>
      </c>
    </row>
    <row r="60" spans="2:7" x14ac:dyDescent="0.25">
      <c r="B60">
        <v>54</v>
      </c>
      <c r="C60">
        <v>1</v>
      </c>
      <c r="D60" s="18">
        <v>2782.742985350903</v>
      </c>
      <c r="E60" s="18">
        <v>-3984.3379281474854</v>
      </c>
      <c r="F60" s="18">
        <v>-3717.6714711213463</v>
      </c>
      <c r="G60" s="18">
        <v>-1433.132079916236</v>
      </c>
    </row>
    <row r="61" spans="2:7" x14ac:dyDescent="0.25">
      <c r="B61">
        <v>55</v>
      </c>
      <c r="C61">
        <v>1</v>
      </c>
      <c r="D61" s="18">
        <v>2526.764366853296</v>
      </c>
      <c r="E61" s="18">
        <v>-3879.5020104622267</v>
      </c>
      <c r="F61" s="18">
        <v>-3619.852082466097</v>
      </c>
      <c r="G61" s="18">
        <v>-1395.423502111929</v>
      </c>
    </row>
    <row r="62" spans="2:7" x14ac:dyDescent="0.25">
      <c r="B62">
        <v>56</v>
      </c>
      <c r="C62">
        <v>1</v>
      </c>
      <c r="D62" s="18">
        <v>1404.846400664742</v>
      </c>
      <c r="E62" s="18">
        <v>-3400.1497052339996</v>
      </c>
      <c r="F62" s="18">
        <v>-3172.58219173376</v>
      </c>
      <c r="G62" s="18">
        <v>-1223.0046012573573</v>
      </c>
    </row>
    <row r="63" spans="2:7" x14ac:dyDescent="0.25">
      <c r="B63">
        <v>57</v>
      </c>
      <c r="C63">
        <v>1</v>
      </c>
      <c r="D63" s="18">
        <v>1279.6785840616596</v>
      </c>
      <c r="E63" s="18">
        <v>-3346.626469538457</v>
      </c>
      <c r="F63" s="18">
        <v>-3122.6411952681465</v>
      </c>
      <c r="G63" s="18">
        <v>-1203.752753778681</v>
      </c>
    </row>
    <row r="64" spans="2:7" x14ac:dyDescent="0.25">
      <c r="B64">
        <v>58</v>
      </c>
      <c r="C64">
        <v>1</v>
      </c>
      <c r="D64" s="18">
        <v>1242.114578291377</v>
      </c>
      <c r="E64" s="18">
        <v>-3328.960511319556</v>
      </c>
      <c r="F64" s="18">
        <v>-3106.1575962198685</v>
      </c>
      <c r="G64" s="18">
        <v>-1197.39846056798</v>
      </c>
    </row>
    <row r="65" spans="2:7" x14ac:dyDescent="0.25">
      <c r="B65">
        <v>59</v>
      </c>
      <c r="C65">
        <v>1</v>
      </c>
      <c r="D65" s="18">
        <v>310.6363548193595</v>
      </c>
      <c r="E65" s="18">
        <v>-2877.272400769235</v>
      </c>
      <c r="F65" s="18">
        <v>-2684.7003722794307</v>
      </c>
      <c r="G65" s="18">
        <v>-1034.9301325746783</v>
      </c>
    </row>
    <row r="66" spans="2:7" x14ac:dyDescent="0.25">
      <c r="B66">
        <v>60</v>
      </c>
      <c r="C66">
        <v>1</v>
      </c>
      <c r="D66" s="18">
        <v>-274.3045081099736</v>
      </c>
      <c r="E66" s="18">
        <v>-2579.4280769082025</v>
      </c>
      <c r="F66" s="18">
        <v>-2406.7903742767216</v>
      </c>
      <c r="G66" s="18">
        <v>-927.798091306113</v>
      </c>
    </row>
    <row r="67" spans="2:7" x14ac:dyDescent="0.25">
      <c r="B67">
        <v>61</v>
      </c>
      <c r="C67">
        <v>1</v>
      </c>
      <c r="D67" s="18">
        <v>-507.3336614122601</v>
      </c>
      <c r="E67" s="18">
        <v>-2465.4380985950747</v>
      </c>
      <c r="F67" s="18">
        <v>-2300.4295941394075</v>
      </c>
      <c r="G67" s="18">
        <v>-886.796876636188</v>
      </c>
    </row>
    <row r="68" spans="2:7" x14ac:dyDescent="0.25">
      <c r="B68">
        <v>62</v>
      </c>
      <c r="C68">
        <v>1</v>
      </c>
      <c r="D68" s="18">
        <v>-779.080482146252</v>
      </c>
      <c r="E68" s="18">
        <v>-2327.513667946907</v>
      </c>
      <c r="F68" s="18">
        <v>-2171.736262841137</v>
      </c>
      <c r="G68" s="18">
        <v>-837.1866453428862</v>
      </c>
    </row>
    <row r="69" spans="2:7" x14ac:dyDescent="0.25">
      <c r="B69">
        <v>63</v>
      </c>
      <c r="C69">
        <v>1</v>
      </c>
      <c r="D69" s="18">
        <v>-1179.765845615873</v>
      </c>
      <c r="E69" s="18">
        <v>-2119.550894339039</v>
      </c>
      <c r="F69" s="18">
        <v>-1977.692162054559</v>
      </c>
      <c r="G69" s="18">
        <v>-762.3842245491347</v>
      </c>
    </row>
    <row r="70" spans="2:7" x14ac:dyDescent="0.25">
      <c r="B70">
        <v>64</v>
      </c>
      <c r="C70">
        <v>1</v>
      </c>
      <c r="D70" s="18">
        <v>-1761.622487145428</v>
      </c>
      <c r="E70" s="18">
        <v>-1812.467693554888</v>
      </c>
      <c r="F70" s="18">
        <v>-1691.1616329167682</v>
      </c>
      <c r="G70" s="18">
        <v>-651.9290387231307</v>
      </c>
    </row>
    <row r="71" spans="2:7" x14ac:dyDescent="0.25">
      <c r="B71">
        <v>65</v>
      </c>
      <c r="C71">
        <v>1</v>
      </c>
      <c r="D71" s="18">
        <v>-2085.97196441121</v>
      </c>
      <c r="E71" s="18">
        <v>-1641.276196374483</v>
      </c>
      <c r="F71" s="18">
        <v>-1531.4277557599048</v>
      </c>
      <c r="G71" s="18">
        <v>-590.3529297578456</v>
      </c>
    </row>
    <row r="72" spans="2:7" x14ac:dyDescent="0.25">
      <c r="B72">
        <v>66</v>
      </c>
      <c r="C72">
        <v>1</v>
      </c>
      <c r="D72" s="18">
        <v>-2375.741738651516</v>
      </c>
      <c r="E72" s="18">
        <v>-1480.3774513270407</v>
      </c>
      <c r="F72" s="18">
        <v>-1381.2977504768887</v>
      </c>
      <c r="G72" s="18">
        <v>-532.4790351976606</v>
      </c>
    </row>
    <row r="73" spans="2:7" x14ac:dyDescent="0.25">
      <c r="B73">
        <v>67</v>
      </c>
      <c r="C73">
        <v>1</v>
      </c>
      <c r="D73" s="18">
        <v>-2538.4074757749468</v>
      </c>
      <c r="E73" s="18">
        <v>-1389.9974083827706</v>
      </c>
      <c r="F73" s="18">
        <v>-1296.9667240248077</v>
      </c>
      <c r="G73" s="18">
        <v>-499.9701111898358</v>
      </c>
    </row>
    <row r="74" spans="2:7" x14ac:dyDescent="0.25">
      <c r="B74">
        <v>68</v>
      </c>
      <c r="C74">
        <v>1</v>
      </c>
      <c r="D74" s="18">
        <v>-2919.819683130511</v>
      </c>
      <c r="E74" s="18">
        <v>-1174.7061394715386</v>
      </c>
      <c r="F74" s="18">
        <v>-1096.084614412951</v>
      </c>
      <c r="G74" s="18">
        <v>-422.5316936743779</v>
      </c>
    </row>
    <row r="75" spans="2:7" x14ac:dyDescent="0.25">
      <c r="B75">
        <v>69</v>
      </c>
      <c r="C75">
        <v>1</v>
      </c>
      <c r="D75" s="18">
        <v>-3118.107703304735</v>
      </c>
      <c r="E75" s="18">
        <v>-1062.9781445492556</v>
      </c>
      <c r="F75" s="18">
        <v>-991.8344261159742</v>
      </c>
      <c r="G75" s="18">
        <v>-382.3440949728063</v>
      </c>
    </row>
    <row r="76" spans="2:7" x14ac:dyDescent="0.25">
      <c r="B76">
        <v>70</v>
      </c>
      <c r="C76">
        <v>1</v>
      </c>
      <c r="D76" s="18">
        <v>-3442.2942327412484</v>
      </c>
      <c r="E76" s="18">
        <v>-875.3692778837292</v>
      </c>
      <c r="F76" s="18">
        <v>-816.7819722554345</v>
      </c>
      <c r="G76" s="18">
        <v>-314.8627994241369</v>
      </c>
    </row>
    <row r="77" spans="2:7" x14ac:dyDescent="0.25">
      <c r="B77">
        <v>71</v>
      </c>
      <c r="C77">
        <v>1</v>
      </c>
      <c r="D77" s="18">
        <v>-3446.937115287941</v>
      </c>
      <c r="E77" s="18">
        <v>-875.7330692076379</v>
      </c>
      <c r="F77" s="18">
        <v>-817.1214155081722</v>
      </c>
      <c r="G77" s="18">
        <v>-314.99365203405375</v>
      </c>
    </row>
    <row r="78" spans="2:7" x14ac:dyDescent="0.25">
      <c r="B78">
        <v>72</v>
      </c>
      <c r="C78">
        <v>1</v>
      </c>
      <c r="D78" s="18">
        <v>-3520.3358680166334</v>
      </c>
      <c r="E78" s="18">
        <v>-833.7820072885171</v>
      </c>
      <c r="F78" s="18">
        <v>-777.978082564906</v>
      </c>
      <c r="G78" s="18">
        <v>-299.90421592018527</v>
      </c>
    </row>
    <row r="79" spans="2:7" x14ac:dyDescent="0.25">
      <c r="B79">
        <v>73</v>
      </c>
      <c r="C79">
        <v>1</v>
      </c>
      <c r="D79" s="18">
        <v>-3941.8323177309107</v>
      </c>
      <c r="E79" s="18">
        <v>-591.9515452875272</v>
      </c>
      <c r="F79" s="18">
        <v>-552.3330128839851</v>
      </c>
      <c r="G79" s="18">
        <v>-212.9198789375733</v>
      </c>
    </row>
    <row r="80" spans="2:7" x14ac:dyDescent="0.25">
      <c r="B80">
        <v>74</v>
      </c>
      <c r="C80">
        <v>1</v>
      </c>
      <c r="D80" s="18">
        <v>-4349.877402052268</v>
      </c>
      <c r="E80" s="18">
        <v>-354.11560878314185</v>
      </c>
      <c r="F80" s="18">
        <v>-330.41512040218765</v>
      </c>
      <c r="G80" s="18">
        <v>-127.37233841561914</v>
      </c>
    </row>
    <row r="81" spans="2:7" x14ac:dyDescent="0.25">
      <c r="B81">
        <v>75</v>
      </c>
      <c r="C81">
        <v>1</v>
      </c>
      <c r="D81" s="18">
        <v>-4536.342596756128</v>
      </c>
      <c r="E81" s="18">
        <v>-242.40130049570934</v>
      </c>
      <c r="F81" s="18">
        <v>-226.1777027117298</v>
      </c>
      <c r="G81" s="18">
        <v>-87.1896626788724</v>
      </c>
    </row>
    <row r="82" spans="2:7" x14ac:dyDescent="0.25">
      <c r="B82">
        <v>76</v>
      </c>
      <c r="C82">
        <v>1</v>
      </c>
      <c r="D82" s="18">
        <v>-4570.477388269478</v>
      </c>
      <c r="E82" s="18">
        <v>-221.91066382394743</v>
      </c>
      <c r="F82" s="18">
        <v>-207.05847719585074</v>
      </c>
      <c r="G82" s="18">
        <v>-79.81935692625174</v>
      </c>
    </row>
    <row r="83" spans="2:7" x14ac:dyDescent="0.25">
      <c r="B83">
        <v>77</v>
      </c>
      <c r="C83">
        <v>1</v>
      </c>
      <c r="D83" s="18">
        <v>-4921.996042232201</v>
      </c>
      <c r="E83" s="18">
        <v>1.8223386311120326e-14</v>
      </c>
      <c r="F83" s="18">
        <v>0</v>
      </c>
      <c r="G83" s="18">
        <v>5.066394805908203e-14</v>
      </c>
    </row>
    <row r="84" spans="2:7" x14ac:dyDescent="0.25">
      <c r="B84">
        <v>78</v>
      </c>
      <c r="C84">
        <v>1</v>
      </c>
      <c r="D84" s="18">
        <v>-4570.477388269476</v>
      </c>
      <c r="E84" s="18">
        <v>221.91066382394803</v>
      </c>
      <c r="F84" s="18">
        <v>207.0584771958513</v>
      </c>
      <c r="G84" s="18">
        <v>79.81935692625194</v>
      </c>
    </row>
    <row r="85" spans="2:7" x14ac:dyDescent="0.25">
      <c r="B85">
        <v>79</v>
      </c>
      <c r="C85">
        <v>1</v>
      </c>
      <c r="D85" s="18">
        <v>-4536.342596756136</v>
      </c>
      <c r="E85" s="18">
        <v>242.40130049570388</v>
      </c>
      <c r="F85" s="18">
        <v>226.1777027117247</v>
      </c>
      <c r="G85" s="18">
        <v>87.1896626788704</v>
      </c>
    </row>
    <row r="86" spans="2:7" x14ac:dyDescent="0.25">
      <c r="B86">
        <v>80</v>
      </c>
      <c r="C86">
        <v>1</v>
      </c>
      <c r="D86" s="18">
        <v>-4349.87740205227</v>
      </c>
      <c r="E86" s="18">
        <v>354.1156087831415</v>
      </c>
      <c r="F86" s="18">
        <v>330.4151204021873</v>
      </c>
      <c r="G86" s="18">
        <v>127.37233841561901</v>
      </c>
    </row>
    <row r="87" spans="2:7" x14ac:dyDescent="0.25">
      <c r="B87">
        <v>81</v>
      </c>
      <c r="C87">
        <v>1</v>
      </c>
      <c r="D87" s="18">
        <v>-3941.8323177308753</v>
      </c>
      <c r="E87" s="18">
        <v>591.951545287548</v>
      </c>
      <c r="F87" s="18">
        <v>552.3330128840046</v>
      </c>
      <c r="G87" s="18">
        <v>212.91987893758076</v>
      </c>
    </row>
    <row r="88" spans="2:7" x14ac:dyDescent="0.25">
      <c r="B88">
        <v>82</v>
      </c>
      <c r="C88">
        <v>1</v>
      </c>
      <c r="D88" s="18">
        <v>-3520.3358680166334</v>
      </c>
      <c r="E88" s="18">
        <v>833.7820072885179</v>
      </c>
      <c r="F88" s="18">
        <v>777.9780825649067</v>
      </c>
      <c r="G88" s="18">
        <v>299.9042159201855</v>
      </c>
    </row>
    <row r="89" spans="2:7" x14ac:dyDescent="0.25">
      <c r="B89">
        <v>83</v>
      </c>
      <c r="C89">
        <v>1</v>
      </c>
      <c r="D89" s="18">
        <v>-3498.0114945515033</v>
      </c>
      <c r="E89" s="18">
        <v>846.2382149645458</v>
      </c>
      <c r="F89" s="18">
        <v>789.6006127695831</v>
      </c>
      <c r="G89" s="18">
        <v>304.3846066743188</v>
      </c>
    </row>
    <row r="90" spans="2:7" x14ac:dyDescent="0.25">
      <c r="B90">
        <v>84</v>
      </c>
      <c r="C90">
        <v>1</v>
      </c>
      <c r="D90" s="18">
        <v>-3446.9371152879485</v>
      </c>
      <c r="E90" s="18">
        <v>875.7330692076342</v>
      </c>
      <c r="F90" s="18">
        <v>817.1214155081689</v>
      </c>
      <c r="G90" s="18">
        <v>314.9936520340524</v>
      </c>
    </row>
    <row r="91" spans="2:7" x14ac:dyDescent="0.25">
      <c r="B91">
        <v>85</v>
      </c>
      <c r="C91">
        <v>1</v>
      </c>
      <c r="D91" s="18">
        <v>-3118.1077033047354</v>
      </c>
      <c r="E91" s="18">
        <v>1062.9781445492556</v>
      </c>
      <c r="F91" s="18">
        <v>991.8344261159741</v>
      </c>
      <c r="G91" s="18">
        <v>382.34409497280626</v>
      </c>
    </row>
    <row r="92" spans="2:7" x14ac:dyDescent="0.25">
      <c r="B92">
        <v>86</v>
      </c>
      <c r="C92">
        <v>1</v>
      </c>
      <c r="D92" s="18">
        <v>-3048.650174552569</v>
      </c>
      <c r="E92" s="18">
        <v>1101.3884277173079</v>
      </c>
      <c r="F92" s="18">
        <v>1027.6739599373318</v>
      </c>
      <c r="G92" s="18">
        <v>396.15994342730636</v>
      </c>
    </row>
    <row r="93" spans="2:7" x14ac:dyDescent="0.25">
      <c r="B93">
        <v>87</v>
      </c>
      <c r="C93">
        <v>1</v>
      </c>
      <c r="D93" s="18">
        <v>-2919.819683130509</v>
      </c>
      <c r="E93" s="18">
        <v>1174.706139471539</v>
      </c>
      <c r="F93" s="18">
        <v>1096.0846144129514</v>
      </c>
      <c r="G93" s="18">
        <v>422.53169367437806</v>
      </c>
    </row>
    <row r="94" spans="2:7" x14ac:dyDescent="0.25">
      <c r="B94">
        <v>88</v>
      </c>
      <c r="C94">
        <v>1</v>
      </c>
      <c r="D94" s="18">
        <v>-2538.407475774945</v>
      </c>
      <c r="E94" s="18">
        <v>1389.9974083827717</v>
      </c>
      <c r="F94" s="18">
        <v>1296.9667240248089</v>
      </c>
      <c r="G94" s="18">
        <v>499.9701111898362</v>
      </c>
    </row>
    <row r="95" spans="2:7" x14ac:dyDescent="0.25">
      <c r="B95">
        <v>89</v>
      </c>
      <c r="C95">
        <v>1</v>
      </c>
      <c r="D95" s="18">
        <v>-2375.741738651517</v>
      </c>
      <c r="E95" s="18">
        <v>1480.37745132704</v>
      </c>
      <c r="F95" s="18">
        <v>1381.297750476888</v>
      </c>
      <c r="G95" s="18">
        <v>532.4790351976603</v>
      </c>
    </row>
    <row r="96" spans="2:7" x14ac:dyDescent="0.25">
      <c r="B96">
        <v>90</v>
      </c>
      <c r="C96">
        <v>1</v>
      </c>
      <c r="D96" s="18">
        <v>-2241.4510848976006</v>
      </c>
      <c r="E96" s="18">
        <v>1553.967682170319</v>
      </c>
      <c r="F96" s="18">
        <v>1449.9626847000995</v>
      </c>
      <c r="G96" s="18">
        <v>558.9488082168832</v>
      </c>
    </row>
    <row r="97" spans="2:7" x14ac:dyDescent="0.25">
      <c r="B97">
        <v>91</v>
      </c>
      <c r="C97">
        <v>1</v>
      </c>
      <c r="D97" s="18">
        <v>-2085.9719644112097</v>
      </c>
      <c r="E97" s="18">
        <v>1641.276196374483</v>
      </c>
      <c r="F97" s="18">
        <v>1531.4277557599048</v>
      </c>
      <c r="G97" s="18">
        <v>590.3529297578456</v>
      </c>
    </row>
    <row r="98" spans="2:7" x14ac:dyDescent="0.25">
      <c r="B98">
        <v>92</v>
      </c>
      <c r="C98">
        <v>1</v>
      </c>
      <c r="D98" s="18">
        <v>-1761.622487145428</v>
      </c>
      <c r="E98" s="18">
        <v>1812.467693554888</v>
      </c>
      <c r="F98" s="18">
        <v>1691.1616329167682</v>
      </c>
      <c r="G98" s="18">
        <v>651.9290387231308</v>
      </c>
    </row>
    <row r="99" spans="2:7" x14ac:dyDescent="0.25">
      <c r="B99">
        <v>93</v>
      </c>
      <c r="C99">
        <v>1</v>
      </c>
      <c r="D99" s="18">
        <v>-1179.765845615876</v>
      </c>
      <c r="E99" s="18">
        <v>2119.550894339038</v>
      </c>
      <c r="F99" s="18">
        <v>1977.6921620545581</v>
      </c>
      <c r="G99" s="18">
        <v>762.3842245491344</v>
      </c>
    </row>
    <row r="100" spans="2:7" x14ac:dyDescent="0.25">
      <c r="B100">
        <v>94</v>
      </c>
      <c r="C100">
        <v>1</v>
      </c>
      <c r="D100" s="18">
        <v>-779.0804821462531</v>
      </c>
      <c r="E100" s="18">
        <v>2327.513667946907</v>
      </c>
      <c r="F100" s="18">
        <v>2171.736262841137</v>
      </c>
      <c r="G100" s="18">
        <v>837.1866453428862</v>
      </c>
    </row>
    <row r="101" spans="2:7" x14ac:dyDescent="0.25">
      <c r="B101">
        <v>95</v>
      </c>
      <c r="C101">
        <v>1</v>
      </c>
      <c r="D101" s="18">
        <v>-507.3336614122596</v>
      </c>
      <c r="E101" s="18">
        <v>2465.4380985950756</v>
      </c>
      <c r="F101" s="18">
        <v>2300.429594139408</v>
      </c>
      <c r="G101" s="18">
        <v>886.7968766361882</v>
      </c>
    </row>
    <row r="102" spans="2:7" x14ac:dyDescent="0.25">
      <c r="B102">
        <v>96</v>
      </c>
      <c r="C102">
        <v>1</v>
      </c>
      <c r="D102" s="18">
        <v>81.04868705633596</v>
      </c>
      <c r="E102" s="18">
        <v>2764.1652672330333</v>
      </c>
      <c r="F102" s="18">
        <v>2579.1633492881715</v>
      </c>
      <c r="G102" s="18">
        <v>994.2464695768796</v>
      </c>
    </row>
    <row r="103" spans="2:7" x14ac:dyDescent="0.25">
      <c r="B103">
        <v>97</v>
      </c>
      <c r="C103">
        <v>1</v>
      </c>
      <c r="D103" s="18">
        <v>310.63635481935563</v>
      </c>
      <c r="E103" s="18">
        <v>2877.2724007692327</v>
      </c>
      <c r="F103" s="18">
        <v>2684.700372279429</v>
      </c>
      <c r="G103" s="18">
        <v>1034.9301325746776</v>
      </c>
    </row>
    <row r="104" spans="2:7" x14ac:dyDescent="0.25">
      <c r="B104">
        <v>98</v>
      </c>
      <c r="C104">
        <v>1</v>
      </c>
      <c r="D104" s="18">
        <v>495.658845628727</v>
      </c>
      <c r="E104" s="18">
        <v>2963.499903240455</v>
      </c>
      <c r="F104" s="18">
        <v>2765.1567822888965</v>
      </c>
      <c r="G104" s="18">
        <v>1065.9454234940451</v>
      </c>
    </row>
    <row r="105" spans="2:7" x14ac:dyDescent="0.25">
      <c r="B105">
        <v>99</v>
      </c>
      <c r="C105">
        <v>1</v>
      </c>
      <c r="D105" s="18">
        <v>1279.6785840616615</v>
      </c>
      <c r="E105" s="18">
        <v>3346.626469538459</v>
      </c>
      <c r="F105" s="18">
        <v>3122.641195268148</v>
      </c>
      <c r="G105" s="18">
        <v>1203.7527537786816</v>
      </c>
    </row>
    <row r="106" spans="2:7" x14ac:dyDescent="0.25">
      <c r="B106">
        <v>100</v>
      </c>
      <c r="C106">
        <v>1</v>
      </c>
      <c r="D106" s="18">
        <v>1404.8464006647623</v>
      </c>
      <c r="E106" s="18">
        <v>3400.149705234009</v>
      </c>
      <c r="F106" s="18">
        <v>3172.5821917337685</v>
      </c>
      <c r="G106" s="18">
        <v>1223.0046012573607</v>
      </c>
    </row>
    <row r="107" spans="2:7" x14ac:dyDescent="0.25">
      <c r="B107">
        <v>101</v>
      </c>
      <c r="C107">
        <v>1</v>
      </c>
      <c r="D107" s="18">
        <v>2526.764366853298</v>
      </c>
      <c r="E107" s="18">
        <v>3879.5020104622286</v>
      </c>
      <c r="F107" s="18">
        <v>3619.8520824660986</v>
      </c>
      <c r="G107" s="18">
        <v>1395.4235021119296</v>
      </c>
    </row>
    <row r="108" spans="2:7" x14ac:dyDescent="0.25">
      <c r="B108">
        <v>102</v>
      </c>
      <c r="C108">
        <v>1</v>
      </c>
      <c r="D108" s="18">
        <v>2782.7429853509007</v>
      </c>
      <c r="E108" s="18">
        <v>3984.3379281474854</v>
      </c>
      <c r="F108" s="18">
        <v>3717.6714711213463</v>
      </c>
      <c r="G108" s="18">
        <v>1433.132079916236</v>
      </c>
    </row>
    <row r="109" spans="2:7" x14ac:dyDescent="0.25">
      <c r="B109">
        <v>103</v>
      </c>
      <c r="C109">
        <v>1</v>
      </c>
      <c r="D109" s="18">
        <v>3228.558876525917</v>
      </c>
      <c r="E109" s="18">
        <v>4153.687998982615</v>
      </c>
      <c r="F109" s="18">
        <v>3875.6871661577525</v>
      </c>
      <c r="G109" s="18">
        <v>1494.0458436648737</v>
      </c>
    </row>
    <row r="110" spans="2:7" x14ac:dyDescent="0.25">
      <c r="B110">
        <v>104</v>
      </c>
      <c r="C110">
        <v>1</v>
      </c>
      <c r="D110" s="18">
        <v>3971.3713255522744</v>
      </c>
      <c r="E110" s="18">
        <v>4415.6782645708445</v>
      </c>
      <c r="F110" s="18">
        <v>4120.14277048992</v>
      </c>
      <c r="G110" s="18">
        <v>1588.2814885853936</v>
      </c>
    </row>
    <row r="111" spans="2:7" x14ac:dyDescent="0.25">
      <c r="B111">
        <v>105</v>
      </c>
      <c r="C111">
        <v>1</v>
      </c>
      <c r="D111" s="18">
        <v>4157.646268293401</v>
      </c>
      <c r="E111" s="18">
        <v>4480.184852230198</v>
      </c>
      <c r="F111" s="18">
        <v>4180.332017728812</v>
      </c>
      <c r="G111" s="18">
        <v>1611.483953287862</v>
      </c>
    </row>
    <row r="112" spans="2:7" x14ac:dyDescent="0.25">
      <c r="B112">
        <v>106</v>
      </c>
      <c r="C112">
        <v>1</v>
      </c>
      <c r="D112" s="18">
        <v>4613.972859981299</v>
      </c>
      <c r="E112" s="18">
        <v>4626.776802257991</v>
      </c>
      <c r="F112" s="18">
        <v>4317.112762821827</v>
      </c>
      <c r="G112" s="18">
        <v>1664.2118167449628</v>
      </c>
    </row>
    <row r="113" spans="2:7" x14ac:dyDescent="0.25">
      <c r="B113">
        <v>107</v>
      </c>
      <c r="C113">
        <v>1</v>
      </c>
      <c r="D113" s="18">
        <v>5314.733444778348</v>
      </c>
      <c r="E113" s="18">
        <v>4849.874177065221</v>
      </c>
      <c r="F113" s="18">
        <v>4525.278526007617</v>
      </c>
      <c r="G113" s="18">
        <v>1744.4580234039438</v>
      </c>
    </row>
    <row r="114" spans="2:7" x14ac:dyDescent="0.25">
      <c r="B114">
        <v>108</v>
      </c>
      <c r="C114">
        <v>1</v>
      </c>
      <c r="D114" s="18">
        <v>5492.820546178762</v>
      </c>
      <c r="E114" s="18">
        <v>4899.514467441767</v>
      </c>
      <c r="F114" s="18">
        <v>4571.596457538305</v>
      </c>
      <c r="G114" s="18">
        <v>1762.3132088520467</v>
      </c>
    </row>
    <row r="115" spans="2:7" x14ac:dyDescent="0.25">
      <c r="B115">
        <v>109</v>
      </c>
      <c r="C115">
        <v>1</v>
      </c>
      <c r="D115" s="18">
        <v>5968.224851552577</v>
      </c>
      <c r="E115" s="18">
        <v>5021.493795376768</v>
      </c>
      <c r="F115" s="18">
        <v>4685.411870715709</v>
      </c>
      <c r="G115" s="18">
        <v>1806.188123857449</v>
      </c>
    </row>
    <row r="116" spans="2:7" x14ac:dyDescent="0.25">
      <c r="B116">
        <v>110</v>
      </c>
      <c r="C116">
        <v>1</v>
      </c>
      <c r="D116" s="18">
        <v>6002.6855205932015</v>
      </c>
      <c r="E116" s="18">
        <v>5020.219346733324</v>
      </c>
      <c r="F116" s="18">
        <v>4684.222719230925</v>
      </c>
      <c r="G116" s="18">
        <v>1805.7297156430704</v>
      </c>
    </row>
    <row r="117" spans="2:7" x14ac:dyDescent="0.25">
      <c r="B117">
        <v>111</v>
      </c>
      <c r="C117">
        <v>1</v>
      </c>
      <c r="D117" s="18">
        <v>6027.264037357312</v>
      </c>
      <c r="E117" s="18">
        <v>5017.460889202485</v>
      </c>
      <c r="F117" s="18">
        <v>4681.648881606799</v>
      </c>
      <c r="G117" s="18">
        <v>1804.737522197177</v>
      </c>
    </row>
    <row r="118" spans="2:7" x14ac:dyDescent="0.25">
      <c r="B118">
        <v>112</v>
      </c>
      <c r="C118">
        <v>1</v>
      </c>
      <c r="D118" s="18">
        <v>6175.0795299440915</v>
      </c>
      <c r="E118" s="18">
        <v>5010.434905627463</v>
      </c>
      <c r="F118" s="18">
        <v>4675.093137800808</v>
      </c>
      <c r="G118" s="18">
        <v>1802.2103363419828</v>
      </c>
    </row>
    <row r="119" spans="2:7" x14ac:dyDescent="0.25">
      <c r="B119">
        <v>113</v>
      </c>
      <c r="C119">
        <v>1</v>
      </c>
      <c r="D119" s="18">
        <v>6298.2122526145895</v>
      </c>
      <c r="E119" s="18">
        <v>4994.108730594502</v>
      </c>
      <c r="F119" s="18">
        <v>4659.8596520254705</v>
      </c>
      <c r="G119" s="18">
        <v>1796.337951618596</v>
      </c>
    </row>
    <row r="120" spans="2:7" x14ac:dyDescent="0.25">
      <c r="B120">
        <v>114</v>
      </c>
      <c r="C120">
        <v>1</v>
      </c>
      <c r="D120" s="18">
        <v>6363.0341707844855</v>
      </c>
      <c r="E120" s="18">
        <v>4978.1820033282165</v>
      </c>
      <c r="F120" s="18">
        <v>4644.998879507179</v>
      </c>
      <c r="G120" s="18">
        <v>1790.609244820876</v>
      </c>
    </row>
    <row r="121" spans="2:7" x14ac:dyDescent="0.25">
      <c r="B121">
        <v>115</v>
      </c>
      <c r="C121">
        <v>1</v>
      </c>
      <c r="D121" s="18">
        <v>6510.92981850201</v>
      </c>
      <c r="E121" s="18">
        <v>4969.968807620465</v>
      </c>
      <c r="F121" s="18">
        <v>4637.335382103071</v>
      </c>
      <c r="G121" s="18">
        <v>1787.6550289738075</v>
      </c>
    </row>
    <row r="122" spans="2:7" x14ac:dyDescent="0.25">
      <c r="B122">
        <v>116</v>
      </c>
      <c r="C122">
        <v>1</v>
      </c>
      <c r="D122" s="18">
        <v>6582.006751711017</v>
      </c>
      <c r="E122" s="18">
        <v>4964.200720960954</v>
      </c>
      <c r="F122" s="18">
        <v>4631.953345839147</v>
      </c>
      <c r="G122" s="18">
        <v>1785.5802978188315</v>
      </c>
    </row>
    <row r="123" spans="2:7" x14ac:dyDescent="0.25">
      <c r="B123">
        <v>117</v>
      </c>
      <c r="C123">
        <v>1</v>
      </c>
      <c r="D123" s="18">
        <v>6615.445975809366</v>
      </c>
      <c r="E123" s="18">
        <v>4958.232656935604</v>
      </c>
      <c r="F123" s="18">
        <v>4626.384716429447</v>
      </c>
      <c r="G123" s="18">
        <v>1783.433636525546</v>
      </c>
    </row>
    <row r="124" spans="2:7" x14ac:dyDescent="0.25">
      <c r="B124">
        <v>118</v>
      </c>
      <c r="C124">
        <v>1</v>
      </c>
      <c r="D124" s="18">
        <v>6867.255654593089</v>
      </c>
      <c r="E124" s="18">
        <v>4924.718991047082</v>
      </c>
      <c r="F124" s="18">
        <v>4595.114075782663</v>
      </c>
      <c r="G124" s="18">
        <v>1771.3790591863276</v>
      </c>
    </row>
    <row r="125" spans="2:7" x14ac:dyDescent="0.25">
      <c r="B125">
        <v>119</v>
      </c>
      <c r="C125">
        <v>1</v>
      </c>
      <c r="D125" s="18">
        <v>6927.300776273485</v>
      </c>
      <c r="E125" s="18">
        <v>4913.031749579547</v>
      </c>
      <c r="F125" s="18">
        <v>4584.209045897267</v>
      </c>
      <c r="G125" s="18">
        <v>1767.175258962826</v>
      </c>
    </row>
    <row r="126" spans="2:7" x14ac:dyDescent="0.25">
      <c r="B126">
        <v>120</v>
      </c>
      <c r="C126">
        <v>1</v>
      </c>
      <c r="D126" s="18">
        <v>7200.557631198286</v>
      </c>
      <c r="E126" s="18">
        <v>4856.382329688708</v>
      </c>
      <c r="F126" s="18">
        <v>4531.351096601368</v>
      </c>
      <c r="G126" s="18">
        <v>1746.7989499201958</v>
      </c>
    </row>
    <row r="127" spans="2:7" x14ac:dyDescent="0.25">
      <c r="B127">
        <v>121</v>
      </c>
      <c r="C127">
        <v>1</v>
      </c>
      <c r="D127" s="18">
        <v>7229.209563407851</v>
      </c>
      <c r="E127" s="18">
        <v>4849.561926585216</v>
      </c>
      <c r="F127" s="18">
        <v>4524.987174038407</v>
      </c>
      <c r="G127" s="18">
        <v>1744.3457095922302</v>
      </c>
    </row>
    <row r="128" spans="2:7" x14ac:dyDescent="0.25">
      <c r="B128">
        <v>122</v>
      </c>
      <c r="C128">
        <v>1</v>
      </c>
      <c r="D128" s="18">
        <v>7278.334876198725</v>
      </c>
      <c r="E128" s="18">
        <v>4837.931309352715</v>
      </c>
      <c r="F128" s="18">
        <v>4514.1349786030405</v>
      </c>
      <c r="G128" s="18">
        <v>1740.1622766189948</v>
      </c>
    </row>
    <row r="129" spans="2:7" x14ac:dyDescent="0.25">
      <c r="B129">
        <v>123</v>
      </c>
      <c r="C129">
        <v>1</v>
      </c>
      <c r="D129" s="18">
        <v>7280.19656004447</v>
      </c>
      <c r="E129" s="18">
        <v>4837.430078469635</v>
      </c>
      <c r="F129" s="18">
        <v>4513.6672944386755</v>
      </c>
      <c r="G129" s="18">
        <v>1739.9819881818842</v>
      </c>
    </row>
    <row r="130" spans="2:7" x14ac:dyDescent="0.25">
      <c r="B130">
        <v>124</v>
      </c>
      <c r="C130">
        <v>1</v>
      </c>
      <c r="D130" s="18">
        <v>7423.144009172577</v>
      </c>
      <c r="E130" s="18">
        <v>4802.158052173905</v>
      </c>
      <c r="F130" s="18">
        <v>4480.755978116357</v>
      </c>
      <c r="G130" s="18">
        <v>1727.2949437294167</v>
      </c>
    </row>
    <row r="131" spans="2:7" x14ac:dyDescent="0.25">
      <c r="B131">
        <v>125</v>
      </c>
      <c r="C131">
        <v>1</v>
      </c>
      <c r="D131" s="18">
        <v>7569.883189775709</v>
      </c>
      <c r="E131" s="18">
        <v>4765.864413559379</v>
      </c>
      <c r="F131" s="18">
        <v>4446.891424633779</v>
      </c>
      <c r="G131" s="18">
        <v>1714.240434113675</v>
      </c>
    </row>
    <row r="132" spans="2:7" x14ac:dyDescent="0.25">
      <c r="B132">
        <v>126</v>
      </c>
      <c r="C132">
        <v>1</v>
      </c>
      <c r="D132" s="18">
        <v>7583.338793443911</v>
      </c>
      <c r="E132" s="18">
        <v>4762.729505744431</v>
      </c>
      <c r="F132" s="18">
        <v>4443.966332044144</v>
      </c>
      <c r="G132" s="18">
        <v>1713.1128347387719</v>
      </c>
    </row>
    <row r="133" spans="2:7" x14ac:dyDescent="0.25">
      <c r="B133">
        <v>127</v>
      </c>
      <c r="C133">
        <v>1</v>
      </c>
      <c r="D133" s="18">
        <v>7743.9251769925595</v>
      </c>
      <c r="E133" s="18">
        <v>4721.313797972868</v>
      </c>
      <c r="F133" s="18">
        <v>4405.322522704852</v>
      </c>
      <c r="G133" s="18">
        <v>1698.2159609067226</v>
      </c>
    </row>
    <row r="134" spans="2:7" x14ac:dyDescent="0.25">
      <c r="B134">
        <v>128</v>
      </c>
      <c r="C134">
        <v>1</v>
      </c>
      <c r="D134" s="18">
        <v>7768.76519876032</v>
      </c>
      <c r="E134" s="18">
        <v>4714.285692292398</v>
      </c>
      <c r="F134" s="18">
        <v>4398.764798823119</v>
      </c>
      <c r="G134" s="18">
        <v>1695.6880117484527</v>
      </c>
    </row>
    <row r="135" spans="2:7" x14ac:dyDescent="0.25">
      <c r="B135">
        <v>129</v>
      </c>
      <c r="C135">
        <v>1</v>
      </c>
      <c r="D135" s="18">
        <v>7975.556705872843</v>
      </c>
      <c r="E135" s="18">
        <v>4657.719293302008</v>
      </c>
      <c r="F135" s="18">
        <v>4345.98431394883</v>
      </c>
      <c r="G135" s="18">
        <v>1675.3415646095768</v>
      </c>
    </row>
    <row r="136" spans="2:7" x14ac:dyDescent="0.25">
      <c r="B136">
        <v>130</v>
      </c>
      <c r="C136">
        <v>1</v>
      </c>
      <c r="D136" s="18">
        <v>8031.002668856518</v>
      </c>
      <c r="E136" s="18">
        <v>4642.767781459565</v>
      </c>
      <c r="F136" s="18">
        <v>4332.033486978533</v>
      </c>
      <c r="G136" s="18">
        <v>1669.9636344111175</v>
      </c>
    </row>
    <row r="137" spans="2:7" x14ac:dyDescent="0.25">
      <c r="B137">
        <v>131</v>
      </c>
      <c r="C137">
        <v>1</v>
      </c>
      <c r="D137" s="18">
        <v>8252.494133998449</v>
      </c>
      <c r="E137" s="18">
        <v>4570.996129878165</v>
      </c>
      <c r="F137" s="18">
        <v>4265.065416917394</v>
      </c>
      <c r="G137" s="18">
        <v>1644.1479887091732</v>
      </c>
    </row>
    <row r="138" spans="2:7" x14ac:dyDescent="0.25">
      <c r="B138">
        <v>132</v>
      </c>
      <c r="C138">
        <v>1</v>
      </c>
      <c r="D138" s="18">
        <v>8292.417133628576</v>
      </c>
      <c r="E138" s="18">
        <v>4559.213577887977</v>
      </c>
      <c r="F138" s="18">
        <v>4254.071455516311</v>
      </c>
      <c r="G138" s="18">
        <v>1639.9099061105244</v>
      </c>
    </row>
    <row r="139" spans="2:7" x14ac:dyDescent="0.25">
      <c r="B139">
        <v>133</v>
      </c>
      <c r="C139">
        <v>1</v>
      </c>
      <c r="D139" s="18">
        <v>8437.840202059226</v>
      </c>
      <c r="E139" s="18">
        <v>4508.051644208378</v>
      </c>
      <c r="F139" s="18">
        <v>4206.333722252183</v>
      </c>
      <c r="G139" s="18">
        <v>1621.5073986553214</v>
      </c>
    </row>
    <row r="140" spans="2:7" x14ac:dyDescent="0.25">
      <c r="B140">
        <v>134</v>
      </c>
      <c r="C140">
        <v>1</v>
      </c>
      <c r="D140" s="18">
        <v>8584.756077443484</v>
      </c>
      <c r="E140" s="18">
        <v>4459.058733566958</v>
      </c>
      <c r="F140" s="18">
        <v>4160.61984218893</v>
      </c>
      <c r="G140" s="18">
        <v>1603.885070129253</v>
      </c>
    </row>
    <row r="141" spans="2:7" x14ac:dyDescent="0.25">
      <c r="B141">
        <v>135</v>
      </c>
      <c r="C141">
        <v>1</v>
      </c>
      <c r="D141" s="18">
        <v>8914.967949264636</v>
      </c>
      <c r="E141" s="18">
        <v>4335.787279861874</v>
      </c>
      <c r="F141" s="18">
        <v>4045.598783506761</v>
      </c>
      <c r="G141" s="18">
        <v>1559.545388599076</v>
      </c>
    </row>
    <row r="142" spans="2:7" x14ac:dyDescent="0.25">
      <c r="B142">
        <v>136</v>
      </c>
      <c r="C142">
        <v>1</v>
      </c>
      <c r="D142" s="18">
        <v>8933.322329163902</v>
      </c>
      <c r="E142" s="18">
        <v>4329.369565342331</v>
      </c>
      <c r="F142" s="18">
        <v>4039.6105981145142</v>
      </c>
      <c r="G142" s="18">
        <v>1557.236991890874</v>
      </c>
    </row>
    <row r="143" spans="2:7" x14ac:dyDescent="0.25">
      <c r="B143">
        <v>137</v>
      </c>
      <c r="C143">
        <v>1</v>
      </c>
      <c r="D143" s="18">
        <v>8980.671557910258</v>
      </c>
      <c r="E143" s="18">
        <v>4307.73472647047</v>
      </c>
      <c r="F143" s="18">
        <v>4019.423750335361</v>
      </c>
      <c r="G143" s="18">
        <v>1549.45512644918</v>
      </c>
    </row>
    <row r="144" spans="2:7" x14ac:dyDescent="0.25">
      <c r="B144">
        <v>138</v>
      </c>
      <c r="C144">
        <v>1</v>
      </c>
      <c r="D144" s="18">
        <v>9335.03178277272</v>
      </c>
      <c r="E144" s="18">
        <v>4277.027649076345</v>
      </c>
      <c r="F144" s="18">
        <v>3990.7718569346584</v>
      </c>
      <c r="G144" s="18">
        <v>1538.410054849429</v>
      </c>
    </row>
    <row r="145" spans="2:7" x14ac:dyDescent="0.25">
      <c r="B145">
        <v>139</v>
      </c>
      <c r="C145">
        <v>1</v>
      </c>
      <c r="D145" s="18">
        <v>10082.01386083502</v>
      </c>
      <c r="E145" s="18">
        <v>4208.036840598097</v>
      </c>
      <c r="F145" s="18">
        <v>3926.3985118332726</v>
      </c>
      <c r="G145" s="18">
        <v>1513.59465449118</v>
      </c>
    </row>
    <row r="146" spans="2:7" x14ac:dyDescent="0.25">
      <c r="B146">
        <v>140</v>
      </c>
      <c r="C146">
        <v>1</v>
      </c>
      <c r="D146" s="18">
        <v>10587.91051290898</v>
      </c>
      <c r="E146" s="18">
        <v>4146.069930019796</v>
      </c>
      <c r="F146" s="18">
        <v>3868.5789644542706</v>
      </c>
      <c r="G146" s="18">
        <v>1491.3056897887423</v>
      </c>
    </row>
    <row r="147" spans="2:7" x14ac:dyDescent="0.25">
      <c r="B147">
        <v>141</v>
      </c>
      <c r="C147">
        <v>1</v>
      </c>
      <c r="D147" s="18">
        <v>11458.535983135076</v>
      </c>
      <c r="E147" s="18">
        <v>4034.419466171989</v>
      </c>
      <c r="F147" s="18">
        <v>3764.4011181797086</v>
      </c>
      <c r="G147" s="18">
        <v>1451.1459783477464</v>
      </c>
    </row>
    <row r="148" spans="2:7" x14ac:dyDescent="0.25">
      <c r="B148">
        <v>142</v>
      </c>
      <c r="C148">
        <v>1</v>
      </c>
      <c r="D148" s="18">
        <v>11958.658094798973</v>
      </c>
      <c r="E148" s="18">
        <v>3942.627063852259</v>
      </c>
      <c r="F148" s="18">
        <v>3678.7522596933454</v>
      </c>
      <c r="G148" s="18">
        <v>1418.1290408215293</v>
      </c>
    </row>
    <row r="149" spans="2:7" x14ac:dyDescent="0.25">
      <c r="B149">
        <v>143</v>
      </c>
      <c r="C149">
        <v>1</v>
      </c>
      <c r="D149" s="18">
        <v>13036.780353899447</v>
      </c>
      <c r="E149" s="18">
        <v>3749.5681352458487</v>
      </c>
      <c r="F149" s="18">
        <v>3498.6145093145738</v>
      </c>
      <c r="G149" s="18">
        <v>1348.6874048735597</v>
      </c>
    </row>
    <row r="150" spans="2:7" x14ac:dyDescent="0.25">
      <c r="B150">
        <v>144</v>
      </c>
      <c r="C150">
        <v>1</v>
      </c>
      <c r="D150" s="18">
        <v>13216.13383517106</v>
      </c>
      <c r="E150" s="18">
        <v>3701.5444057773016</v>
      </c>
      <c r="F150" s="18">
        <v>3453.804944412764</v>
      </c>
      <c r="G150" s="18">
        <v>1331.4136824785837</v>
      </c>
    </row>
    <row r="151" spans="2:7" x14ac:dyDescent="0.25">
      <c r="B151">
        <v>145</v>
      </c>
      <c r="C151">
        <v>1</v>
      </c>
      <c r="D151" s="18">
        <v>13522.344915367952</v>
      </c>
      <c r="E151" s="18">
        <v>3624.303446738978</v>
      </c>
      <c r="F151" s="18">
        <v>3381.7336203942355</v>
      </c>
      <c r="G151" s="18">
        <v>1303.6307739307672</v>
      </c>
    </row>
    <row r="152" spans="2:7" x14ac:dyDescent="0.25">
      <c r="B152">
        <v>146</v>
      </c>
      <c r="C152">
        <v>1</v>
      </c>
      <c r="D152" s="18">
        <v>14930.13330645083</v>
      </c>
      <c r="E152" s="18">
        <v>3262.037226581894</v>
      </c>
      <c r="F152" s="18">
        <v>3043.7133982352325</v>
      </c>
      <c r="G152" s="18">
        <v>1173.3267307146075</v>
      </c>
    </row>
    <row r="153" spans="2:7" x14ac:dyDescent="0.25">
      <c r="B153">
        <v>147</v>
      </c>
      <c r="C153">
        <v>1</v>
      </c>
      <c r="D153" s="18">
        <v>15946.32623642374</v>
      </c>
      <c r="E153" s="18">
        <v>2931.415769428304</v>
      </c>
      <c r="F153" s="18">
        <v>2735.2199970311935</v>
      </c>
      <c r="G153" s="18">
        <v>1054.4050365460191</v>
      </c>
    </row>
    <row r="154" spans="2:7" x14ac:dyDescent="0.25">
      <c r="B154">
        <v>148</v>
      </c>
      <c r="C154">
        <v>1</v>
      </c>
      <c r="D154" s="18">
        <v>16048.526315227553</v>
      </c>
      <c r="E154" s="18">
        <v>2897.3306900237912</v>
      </c>
      <c r="F154" s="18">
        <v>2703.4161868177416</v>
      </c>
      <c r="G154" s="18">
        <v>1042.1449266803352</v>
      </c>
    </row>
    <row r="155" spans="2:7" x14ac:dyDescent="0.25">
      <c r="B155">
        <v>149</v>
      </c>
      <c r="C155">
        <v>1</v>
      </c>
      <c r="D155" s="18">
        <v>16109.624561213403</v>
      </c>
      <c r="E155" s="18">
        <v>2878.570253019368</v>
      </c>
      <c r="F155" s="18">
        <v>2685.9113609985266</v>
      </c>
      <c r="G155" s="18">
        <v>1035.3969588650684</v>
      </c>
    </row>
    <row r="156" spans="2:7" x14ac:dyDescent="0.25">
      <c r="B156">
        <v>150</v>
      </c>
      <c r="C156">
        <v>1</v>
      </c>
      <c r="D156" s="18">
        <v>16798.2196682985</v>
      </c>
      <c r="E156" s="18">
        <v>2601.8167055749072</v>
      </c>
      <c r="F156" s="18">
        <v>2427.68056169876</v>
      </c>
      <c r="G156" s="18">
        <v>935.8510884529954</v>
      </c>
    </row>
    <row r="157" spans="2:7" x14ac:dyDescent="0.25">
      <c r="B157">
        <v>151</v>
      </c>
      <c r="C157">
        <v>1</v>
      </c>
      <c r="D157" s="18">
        <v>17322.67222939804</v>
      </c>
      <c r="E157" s="18">
        <v>2413.0167719788255</v>
      </c>
      <c r="F157" s="18">
        <v>2251.516757438788</v>
      </c>
      <c r="G157" s="18">
        <v>867.9413763748325</v>
      </c>
    </row>
    <row r="158" spans="2:7" x14ac:dyDescent="0.25">
      <c r="B158">
        <v>152</v>
      </c>
      <c r="C158">
        <v>1</v>
      </c>
      <c r="D158" s="18">
        <v>17435.267210148446</v>
      </c>
      <c r="E158" s="18">
        <v>2361.6390336913146</v>
      </c>
      <c r="F158" s="18">
        <v>2203.5776630831474</v>
      </c>
      <c r="G158" s="18">
        <v>849.4612458584917</v>
      </c>
    </row>
    <row r="159" spans="2:7" x14ac:dyDescent="0.25">
      <c r="B159">
        <v>153</v>
      </c>
      <c r="C159">
        <v>1</v>
      </c>
      <c r="D159" s="18">
        <v>17598.200256253447</v>
      </c>
      <c r="E159" s="18">
        <v>2291.078142238694</v>
      </c>
      <c r="F159" s="18">
        <v>2137.7393185800083</v>
      </c>
      <c r="G159" s="18">
        <v>824.081100160043</v>
      </c>
    </row>
    <row r="160" spans="2:7" x14ac:dyDescent="0.25">
      <c r="B160">
        <v>154</v>
      </c>
      <c r="C160">
        <v>1</v>
      </c>
      <c r="D160" s="18">
        <v>17670.345615483235</v>
      </c>
      <c r="E160" s="18">
        <v>2258.0597894273656</v>
      </c>
      <c r="F160" s="18">
        <v>2106.930840362608</v>
      </c>
      <c r="G160" s="18">
        <v>812.2046826740623</v>
      </c>
    </row>
    <row r="161" spans="2:7" x14ac:dyDescent="0.25">
      <c r="B161">
        <v>155</v>
      </c>
      <c r="C161">
        <v>1</v>
      </c>
      <c r="D161" s="18">
        <v>17670.345615483235</v>
      </c>
      <c r="E161" s="18">
        <v>2180.765716297826</v>
      </c>
      <c r="F161" s="18">
        <v>2034.8099571085963</v>
      </c>
      <c r="G161" s="18">
        <v>784.4026694445174</v>
      </c>
    </row>
    <row r="162" spans="2:7" x14ac:dyDescent="0.25">
      <c r="B162">
        <v>156</v>
      </c>
      <c r="C162">
        <v>1</v>
      </c>
      <c r="D162" s="18">
        <v>17670.345615483235</v>
      </c>
      <c r="E162" s="18">
        <v>2111.452157008822</v>
      </c>
      <c r="F162" s="18">
        <v>1970.1354624804712</v>
      </c>
      <c r="G162" s="18">
        <v>759.4711783959069</v>
      </c>
    </row>
    <row r="163" spans="2:7" x14ac:dyDescent="0.25">
      <c r="B163">
        <v>157</v>
      </c>
      <c r="C163">
        <v>1</v>
      </c>
      <c r="D163" s="18">
        <v>17670.345615483235</v>
      </c>
      <c r="E163" s="18">
        <v>2093.692430340435</v>
      </c>
      <c r="F163" s="18">
        <v>1953.5643707807583</v>
      </c>
      <c r="G163" s="18">
        <v>753.0831574805114</v>
      </c>
    </row>
    <row r="164" spans="2:7" x14ac:dyDescent="0.25">
      <c r="B164">
        <v>158</v>
      </c>
      <c r="C164">
        <v>1</v>
      </c>
      <c r="D164" s="18">
        <v>17670.345615483235</v>
      </c>
      <c r="E164" s="18">
        <v>2038.4172485254473</v>
      </c>
      <c r="F164" s="18">
        <v>1901.9886836275932</v>
      </c>
      <c r="G164" s="18">
        <v>733.2011500527195</v>
      </c>
    </row>
    <row r="165" spans="2:7" x14ac:dyDescent="0.25">
      <c r="B165">
        <v>159</v>
      </c>
      <c r="C165">
        <v>1</v>
      </c>
      <c r="D165" s="18">
        <v>17670.345615483235</v>
      </c>
      <c r="E165" s="18">
        <v>2037.768183017872</v>
      </c>
      <c r="F165" s="18">
        <v>1901.383059214223</v>
      </c>
      <c r="G165" s="18">
        <v>732.967686772835</v>
      </c>
    </row>
    <row r="166" spans="2:7" x14ac:dyDescent="0.25">
      <c r="B166">
        <v>160</v>
      </c>
      <c r="C166">
        <v>1</v>
      </c>
      <c r="D166" s="18">
        <v>17670.345615483235</v>
      </c>
      <c r="E166" s="18">
        <v>2035.6902216786975</v>
      </c>
      <c r="F166" s="18">
        <v>1899.4441730735255</v>
      </c>
      <c r="G166" s="18">
        <v>732.2202619535299</v>
      </c>
    </row>
    <row r="167" spans="2:7" x14ac:dyDescent="0.25">
      <c r="B167">
        <v>161</v>
      </c>
      <c r="C167">
        <v>1</v>
      </c>
      <c r="D167" s="18">
        <v>17670.345615483235</v>
      </c>
      <c r="E167" s="18">
        <v>1961.3839188558338</v>
      </c>
      <c r="F167" s="18">
        <v>1830.1110926193019</v>
      </c>
      <c r="G167" s="18">
        <v>705.4929240028231</v>
      </c>
    </row>
    <row r="168" spans="2:7" x14ac:dyDescent="0.25">
      <c r="B168">
        <v>162</v>
      </c>
      <c r="C168">
        <v>1</v>
      </c>
      <c r="D168" s="18">
        <v>17670.345615483235</v>
      </c>
      <c r="E168" s="18">
        <v>1951.7561376654883</v>
      </c>
      <c r="F168" s="18">
        <v>1821.1276860641788</v>
      </c>
      <c r="G168" s="18">
        <v>702.0298939257749</v>
      </c>
    </row>
    <row r="169" spans="2:7" x14ac:dyDescent="0.25">
      <c r="B169">
        <v>163</v>
      </c>
      <c r="C169">
        <v>1</v>
      </c>
      <c r="D169" s="18">
        <v>17670.345615483235</v>
      </c>
      <c r="E169" s="18">
        <v>1890.833990115645</v>
      </c>
      <c r="F169" s="18">
        <v>1764.2829771087806</v>
      </c>
      <c r="G169" s="18">
        <v>680.1167214977362</v>
      </c>
    </row>
    <row r="170" spans="2:7" x14ac:dyDescent="0.25">
      <c r="B170">
        <v>164</v>
      </c>
      <c r="C170">
        <v>1</v>
      </c>
      <c r="D170" s="18">
        <v>17670.345615483235</v>
      </c>
      <c r="E170" s="18">
        <v>1870.0808133259388</v>
      </c>
      <c r="F170" s="18">
        <v>1744.9187829371028</v>
      </c>
      <c r="G170" s="18">
        <v>672.6519823230324</v>
      </c>
    </row>
    <row r="171" spans="2:7" x14ac:dyDescent="0.25">
      <c r="B171">
        <v>165</v>
      </c>
      <c r="C171">
        <v>1</v>
      </c>
      <c r="D171" s="18">
        <v>17670.345615483235</v>
      </c>
      <c r="E171" s="18">
        <v>1846.4940793945852</v>
      </c>
      <c r="F171" s="18">
        <v>1722.9106778479106</v>
      </c>
      <c r="G171" s="18">
        <v>664.1680370184258</v>
      </c>
    </row>
    <row r="172" spans="2:7" x14ac:dyDescent="0.25">
      <c r="B172">
        <v>166</v>
      </c>
      <c r="C172">
        <v>1</v>
      </c>
      <c r="D172" s="18">
        <v>17670.345615483235</v>
      </c>
      <c r="E172" s="18">
        <v>1831.3844871902352</v>
      </c>
      <c r="F172" s="18">
        <v>1708.8123506248212</v>
      </c>
      <c r="G172" s="18">
        <v>658.7332466735785</v>
      </c>
    </row>
    <row r="173" spans="2:7" x14ac:dyDescent="0.25">
      <c r="B173">
        <v>167</v>
      </c>
      <c r="C173">
        <v>1</v>
      </c>
      <c r="D173" s="18">
        <v>17670.345615483235</v>
      </c>
      <c r="E173" s="18">
        <v>1812.429384150669</v>
      </c>
      <c r="F173" s="18">
        <v>1691.1258875102014</v>
      </c>
      <c r="G173" s="18">
        <v>651.9152591599662</v>
      </c>
    </row>
    <row r="174" spans="2:7" x14ac:dyDescent="0.25">
      <c r="B174">
        <v>168</v>
      </c>
      <c r="C174">
        <v>1</v>
      </c>
      <c r="D174" s="18">
        <v>17670.345615483235</v>
      </c>
      <c r="E174" s="18">
        <v>1793.9235189052606</v>
      </c>
      <c r="F174" s="18">
        <v>1673.8585952995584</v>
      </c>
      <c r="G174" s="18">
        <v>645.2588586166186</v>
      </c>
    </row>
    <row r="175" spans="2:7" x14ac:dyDescent="0.25">
      <c r="B175">
        <v>169</v>
      </c>
      <c r="C175">
        <v>1</v>
      </c>
      <c r="D175" s="18">
        <v>17670.345615483235</v>
      </c>
      <c r="E175" s="18">
        <v>1777.9045990224324</v>
      </c>
      <c r="F175" s="18">
        <v>1658.9118004943655</v>
      </c>
      <c r="G175" s="18">
        <v>639.4969909277596</v>
      </c>
    </row>
    <row r="176" spans="2:7" x14ac:dyDescent="0.25">
      <c r="B176">
        <v>170</v>
      </c>
      <c r="C176">
        <v>1</v>
      </c>
      <c r="D176" s="18">
        <v>17670.345615483235</v>
      </c>
      <c r="E176" s="18">
        <v>1754.5580575818203</v>
      </c>
      <c r="F176" s="18">
        <v>1637.1278121308403</v>
      </c>
      <c r="G176" s="18">
        <v>631.0994407959635</v>
      </c>
    </row>
    <row r="177" spans="2:7" x14ac:dyDescent="0.25">
      <c r="B177">
        <v>171</v>
      </c>
      <c r="C177">
        <v>1</v>
      </c>
      <c r="D177" s="18">
        <v>17670.345615483235</v>
      </c>
      <c r="E177" s="18">
        <v>1733.5659230339704</v>
      </c>
      <c r="F177" s="18">
        <v>1617.5406533270768</v>
      </c>
      <c r="G177" s="18">
        <v>623.5487505711437</v>
      </c>
    </row>
    <row r="178" spans="2:7" x14ac:dyDescent="0.25">
      <c r="B178">
        <v>172</v>
      </c>
      <c r="C178">
        <v>1</v>
      </c>
      <c r="D178" s="18">
        <v>17670.345615483235</v>
      </c>
      <c r="E178" s="18">
        <v>1716.0213097378378</v>
      </c>
      <c r="F178" s="18">
        <v>1601.1702777467067</v>
      </c>
      <c r="G178" s="18">
        <v>617.2381040853666</v>
      </c>
    </row>
    <row r="179" spans="2:7" x14ac:dyDescent="0.25">
      <c r="B179">
        <v>173</v>
      </c>
      <c r="C179">
        <v>1</v>
      </c>
      <c r="D179" s="18">
        <v>17670.345615483235</v>
      </c>
      <c r="E179" s="18">
        <v>1660.358824227707</v>
      </c>
      <c r="F179" s="18">
        <v>1549.2332086214146</v>
      </c>
      <c r="G179" s="18">
        <v>597.2167868499754</v>
      </c>
    </row>
    <row r="180" spans="2:7" x14ac:dyDescent="0.25">
      <c r="B180">
        <v>174</v>
      </c>
      <c r="C180">
        <v>1</v>
      </c>
      <c r="D180" s="18">
        <v>17670.345615483235</v>
      </c>
      <c r="E180" s="18">
        <v>1642.5733884867755</v>
      </c>
      <c r="F180" s="18">
        <v>1532.6381285233101</v>
      </c>
      <c r="G180" s="18">
        <v>590.8195186023324</v>
      </c>
    </row>
    <row r="181" spans="2:7" x14ac:dyDescent="0.25">
      <c r="B181">
        <v>175</v>
      </c>
      <c r="C181">
        <v>1</v>
      </c>
      <c r="D181" s="18">
        <v>17670.345615483235</v>
      </c>
      <c r="E181" s="18">
        <v>1577.4613485603227</v>
      </c>
      <c r="F181" s="18">
        <v>1471.88395113514</v>
      </c>
      <c r="G181" s="18">
        <v>567.3992779274226</v>
      </c>
    </row>
    <row r="182" spans="2:7" x14ac:dyDescent="0.25">
      <c r="B182">
        <v>176</v>
      </c>
      <c r="C182">
        <v>1</v>
      </c>
      <c r="D182" s="18">
        <v>17670.345615483235</v>
      </c>
      <c r="E182" s="18">
        <v>1575.1566675884192</v>
      </c>
      <c r="F182" s="18">
        <v>1469.7335194062566</v>
      </c>
      <c r="G182" s="18">
        <v>566.5703040064425</v>
      </c>
    </row>
    <row r="183" spans="2:7" x14ac:dyDescent="0.25">
      <c r="B183">
        <v>177</v>
      </c>
      <c r="C183">
        <v>1</v>
      </c>
      <c r="D183" s="18">
        <v>17670.345615483235</v>
      </c>
      <c r="E183" s="18">
        <v>1574.4740394011396</v>
      </c>
      <c r="F183" s="18">
        <v>1469.096578618854</v>
      </c>
      <c r="G183" s="18">
        <v>566.3247685193705</v>
      </c>
    </row>
    <row r="184" spans="2:7" x14ac:dyDescent="0.25">
      <c r="B184">
        <v>178</v>
      </c>
      <c r="C184">
        <v>1</v>
      </c>
      <c r="D184" s="18">
        <v>17670.345615483235</v>
      </c>
      <c r="E184" s="18">
        <v>1513.8614876851375</v>
      </c>
      <c r="F184" s="18">
        <v>1412.5407446584502</v>
      </c>
      <c r="G184" s="18">
        <v>544.5229550496548</v>
      </c>
    </row>
    <row r="185" spans="2:7" x14ac:dyDescent="0.25">
      <c r="B185">
        <v>179</v>
      </c>
      <c r="C185">
        <v>1</v>
      </c>
      <c r="D185" s="18">
        <v>17670.345615483235</v>
      </c>
      <c r="E185" s="18">
        <v>1470.7471708851608</v>
      </c>
      <c r="F185" s="18">
        <v>1372.3120119418243</v>
      </c>
      <c r="G185" s="18">
        <v>529.0151061613337</v>
      </c>
    </row>
    <row r="186" spans="2:7" x14ac:dyDescent="0.25">
      <c r="B186">
        <v>180</v>
      </c>
      <c r="C186">
        <v>1</v>
      </c>
      <c r="D186" s="18">
        <v>17670.345615483235</v>
      </c>
      <c r="E186" s="18">
        <v>1407.3916634291377</v>
      </c>
      <c r="F186" s="18">
        <v>1313.1968046337972</v>
      </c>
      <c r="G186" s="18">
        <v>506.2266751065376</v>
      </c>
    </row>
    <row r="187" spans="2:7" x14ac:dyDescent="0.25">
      <c r="B187">
        <v>181</v>
      </c>
      <c r="C187">
        <v>1</v>
      </c>
      <c r="D187" s="18">
        <v>17670.345615483235</v>
      </c>
      <c r="E187" s="18">
        <v>1308.8332472708114</v>
      </c>
      <c r="F187" s="18">
        <v>1221.234772647952</v>
      </c>
      <c r="G187" s="18">
        <v>470.77606060308716</v>
      </c>
    </row>
    <row r="188" spans="2:7" x14ac:dyDescent="0.25">
      <c r="B188">
        <v>182</v>
      </c>
      <c r="C188">
        <v>1</v>
      </c>
      <c r="D188" s="18">
        <v>17670.345615483235</v>
      </c>
      <c r="E188" s="18">
        <v>1308.0514065147163</v>
      </c>
      <c r="F188" s="18">
        <v>1220.5052594574768</v>
      </c>
      <c r="G188" s="18">
        <v>470.4948392084283</v>
      </c>
    </row>
    <row r="189" spans="2:7" x14ac:dyDescent="0.25">
      <c r="B189">
        <v>183</v>
      </c>
      <c r="C189">
        <v>1</v>
      </c>
      <c r="D189" s="18">
        <v>17670.345615483235</v>
      </c>
      <c r="E189" s="18">
        <v>1306.0377923272465</v>
      </c>
      <c r="F189" s="18">
        <v>1218.6264137989</v>
      </c>
      <c r="G189" s="18">
        <v>469.7705595060838</v>
      </c>
    </row>
    <row r="190" spans="2:7" x14ac:dyDescent="0.25">
      <c r="B190">
        <v>184</v>
      </c>
      <c r="C190">
        <v>1</v>
      </c>
      <c r="D190" s="18">
        <v>17670.345615483235</v>
      </c>
      <c r="E190" s="18">
        <v>1221.9442538590415</v>
      </c>
      <c r="F190" s="18">
        <v>1140.161144409903</v>
      </c>
      <c r="G190" s="18">
        <v>439.5228370824771</v>
      </c>
    </row>
    <row r="191" spans="2:7" x14ac:dyDescent="0.25">
      <c r="B191">
        <v>185</v>
      </c>
      <c r="C191">
        <v>1</v>
      </c>
      <c r="D191" s="18">
        <v>17670.345615483235</v>
      </c>
      <c r="E191" s="18">
        <v>1197.6147989283345</v>
      </c>
      <c r="F191" s="18">
        <v>1117.4600276535048</v>
      </c>
      <c r="G191" s="18">
        <v>430.77174142320797</v>
      </c>
    </row>
    <row r="192" spans="2:7" x14ac:dyDescent="0.25">
      <c r="B192">
        <v>186</v>
      </c>
      <c r="C192">
        <v>1</v>
      </c>
      <c r="D192" s="18">
        <v>17670.345615483235</v>
      </c>
      <c r="E192" s="18">
        <v>1148.7726184779153</v>
      </c>
      <c r="F192" s="18">
        <v>1071.886789609334</v>
      </c>
      <c r="G192" s="18">
        <v>413.2036292502785</v>
      </c>
    </row>
    <row r="193" spans="2:7" x14ac:dyDescent="0.25">
      <c r="B193">
        <v>187</v>
      </c>
      <c r="C193">
        <v>1</v>
      </c>
      <c r="D193" s="18">
        <v>17670.345615483235</v>
      </c>
      <c r="E193" s="18">
        <v>1078.96105157523</v>
      </c>
      <c r="F193" s="18">
        <v>1006.7476183570942</v>
      </c>
      <c r="G193" s="18">
        <v>388.0930091468339</v>
      </c>
    </row>
    <row r="194" spans="2:7" x14ac:dyDescent="0.25">
      <c r="B194">
        <v>188</v>
      </c>
      <c r="C194">
        <v>1</v>
      </c>
      <c r="D194" s="18">
        <v>17670.345615483235</v>
      </c>
      <c r="E194" s="18">
        <v>1026.47468540579</v>
      </c>
      <c r="F194" s="18">
        <v>957.774095114381</v>
      </c>
      <c r="G194" s="18">
        <v>369.2141147176585</v>
      </c>
    </row>
    <row r="195" spans="2:7" x14ac:dyDescent="0.25">
      <c r="B195">
        <v>189</v>
      </c>
      <c r="C195">
        <v>1</v>
      </c>
      <c r="D195" s="18">
        <v>17670.345615483235</v>
      </c>
      <c r="E195" s="18">
        <v>948.1590698960401</v>
      </c>
      <c r="F195" s="18">
        <v>884.7000399578002</v>
      </c>
      <c r="G195" s="18">
        <v>341.0446614811478</v>
      </c>
    </row>
    <row r="196" spans="2:7" x14ac:dyDescent="0.25">
      <c r="B196">
        <v>190</v>
      </c>
      <c r="C196">
        <v>1</v>
      </c>
      <c r="D196" s="18">
        <v>17670.345615483235</v>
      </c>
      <c r="E196" s="18">
        <v>914.0311781145414</v>
      </c>
      <c r="F196" s="18">
        <v>852.8562827430137</v>
      </c>
      <c r="G196" s="18">
        <v>328.76915237172915</v>
      </c>
    </row>
    <row r="197" spans="2:7" x14ac:dyDescent="0.25">
      <c r="B197">
        <v>191</v>
      </c>
      <c r="C197">
        <v>1</v>
      </c>
      <c r="D197" s="18">
        <v>17670.345615483235</v>
      </c>
      <c r="E197" s="18">
        <v>842.5409655973143</v>
      </c>
      <c r="F197" s="18">
        <v>786.1508154024784</v>
      </c>
      <c r="G197" s="18">
        <v>303.05473788026</v>
      </c>
    </row>
    <row r="198" spans="2:7" x14ac:dyDescent="0.25">
      <c r="B198">
        <v>192</v>
      </c>
      <c r="C198">
        <v>1</v>
      </c>
      <c r="D198" s="18">
        <v>17670.345615483235</v>
      </c>
      <c r="E198" s="18">
        <v>804.9814055506439</v>
      </c>
      <c r="F198" s="18">
        <v>751.105066931465</v>
      </c>
      <c r="G198" s="18">
        <v>289.5448872146936</v>
      </c>
    </row>
    <row r="199" spans="2:7" x14ac:dyDescent="0.25">
      <c r="B199">
        <v>193</v>
      </c>
      <c r="C199">
        <v>1</v>
      </c>
      <c r="D199" s="18">
        <v>17670.345615483235</v>
      </c>
      <c r="E199" s="18">
        <v>735.702228599712</v>
      </c>
      <c r="F199" s="18">
        <v>686.4626534770929</v>
      </c>
      <c r="G199" s="18">
        <v>264.62576319733427</v>
      </c>
    </row>
    <row r="200" spans="2:7" x14ac:dyDescent="0.25">
      <c r="B200">
        <v>194</v>
      </c>
      <c r="C200">
        <v>1</v>
      </c>
      <c r="D200" s="18">
        <v>17670.345615483235</v>
      </c>
      <c r="E200" s="18">
        <v>690.0460990468933</v>
      </c>
      <c r="F200" s="18">
        <v>643.8622281664685</v>
      </c>
      <c r="G200" s="18">
        <v>248.20364612621117</v>
      </c>
    </row>
    <row r="201" spans="2:7" x14ac:dyDescent="0.25">
      <c r="B201">
        <v>195</v>
      </c>
      <c r="C201">
        <v>1</v>
      </c>
      <c r="D201" s="18">
        <v>17670.345615483235</v>
      </c>
      <c r="E201" s="18">
        <v>624.7010156819144</v>
      </c>
      <c r="F201" s="18">
        <v>582.8906046282566</v>
      </c>
      <c r="G201" s="18">
        <v>224.6995817310772</v>
      </c>
    </row>
    <row r="202" spans="2:7" x14ac:dyDescent="0.25">
      <c r="B202">
        <v>196</v>
      </c>
      <c r="C202">
        <v>1</v>
      </c>
      <c r="D202" s="18">
        <v>17670.345615483235</v>
      </c>
      <c r="E202" s="18">
        <v>568.0246712611586</v>
      </c>
      <c r="F202" s="18">
        <v>530.0075328255448</v>
      </c>
      <c r="G202" s="18">
        <v>204.31358816663743</v>
      </c>
    </row>
    <row r="203" spans="2:7" x14ac:dyDescent="0.25">
      <c r="B203">
        <v>197</v>
      </c>
      <c r="C203">
        <v>1</v>
      </c>
      <c r="D203" s="18">
        <v>17670.345615483235</v>
      </c>
      <c r="E203" s="18">
        <v>523.140052934964</v>
      </c>
      <c r="F203" s="18">
        <v>488.1269825176423</v>
      </c>
      <c r="G203" s="18">
        <v>188.16897704727603</v>
      </c>
    </row>
    <row r="204" spans="2:7" x14ac:dyDescent="0.25">
      <c r="B204">
        <v>198</v>
      </c>
      <c r="C204">
        <v>1</v>
      </c>
      <c r="D204" s="18">
        <v>17670.345615483235</v>
      </c>
      <c r="E204" s="18">
        <v>438.79253427281157</v>
      </c>
      <c r="F204" s="18">
        <v>409.4247314924747</v>
      </c>
      <c r="G204" s="18">
        <v>157.82990013261605</v>
      </c>
    </row>
    <row r="205" spans="2:7" x14ac:dyDescent="0.25">
      <c r="B205">
        <v>199</v>
      </c>
      <c r="C205">
        <v>1</v>
      </c>
      <c r="D205" s="18">
        <v>17670.345615483235</v>
      </c>
      <c r="E205" s="18">
        <v>431.5161044061824</v>
      </c>
      <c r="F205" s="18">
        <v>402.6353034332539</v>
      </c>
      <c r="G205" s="18">
        <v>155.21263090064193</v>
      </c>
    </row>
    <row r="206" spans="2:7" x14ac:dyDescent="0.25">
      <c r="B206">
        <v>200</v>
      </c>
      <c r="C206">
        <v>1</v>
      </c>
      <c r="D206" s="18">
        <v>17670.345615483235</v>
      </c>
      <c r="E206" s="18">
        <v>397.49646077385466</v>
      </c>
      <c r="F206" s="18">
        <v>370.89254946247735</v>
      </c>
      <c r="G206" s="18">
        <v>142.97605771934127</v>
      </c>
    </row>
    <row r="207" spans="2:7" x14ac:dyDescent="0.25">
      <c r="B207">
        <v>201</v>
      </c>
      <c r="C207">
        <v>1</v>
      </c>
      <c r="D207" s="18">
        <v>17670.345615483235</v>
      </c>
      <c r="E207" s="18">
        <v>374.94879219401724</v>
      </c>
      <c r="F207" s="18">
        <v>349.8539664579137</v>
      </c>
      <c r="G207" s="18">
        <v>134.86585528374957</v>
      </c>
    </row>
    <row r="208" spans="2:7" x14ac:dyDescent="0.25">
      <c r="B208">
        <v>202</v>
      </c>
      <c r="C208">
        <v>1</v>
      </c>
      <c r="D208" s="18">
        <v>17670.345615483235</v>
      </c>
      <c r="E208" s="18">
        <v>371.34406230860424</v>
      </c>
      <c r="F208" s="18">
        <v>346.4904963663273</v>
      </c>
      <c r="G208" s="18">
        <v>133.5692649514575</v>
      </c>
    </row>
    <row r="209" spans="2:7" x14ac:dyDescent="0.25">
      <c r="B209">
        <v>203</v>
      </c>
      <c r="C209">
        <v>1</v>
      </c>
      <c r="D209" s="18">
        <v>17670.345615483235</v>
      </c>
      <c r="E209" s="18">
        <v>318.25972113025205</v>
      </c>
      <c r="F209" s="18">
        <v>296.95901978954265</v>
      </c>
      <c r="G209" s="18">
        <v>114.47528405529214</v>
      </c>
    </row>
    <row r="210" spans="2:7" x14ac:dyDescent="0.25">
      <c r="B210">
        <v>204</v>
      </c>
      <c r="C210">
        <v>1</v>
      </c>
      <c r="D210" s="18">
        <v>17670.345615483235</v>
      </c>
      <c r="E210" s="18">
        <v>304.1183485165364</v>
      </c>
      <c r="F210" s="18">
        <v>283.76411050308275</v>
      </c>
      <c r="G210" s="18">
        <v>109.38875396867705</v>
      </c>
    </row>
    <row r="211" spans="2:7" x14ac:dyDescent="0.25">
      <c r="B211">
        <v>205</v>
      </c>
      <c r="C211">
        <v>1</v>
      </c>
      <c r="D211" s="18">
        <v>17670.345615483235</v>
      </c>
      <c r="E211" s="18">
        <v>263.6350003021912</v>
      </c>
      <c r="F211" s="18">
        <v>245.99025913151527</v>
      </c>
      <c r="G211" s="18">
        <v>94.82724184930372</v>
      </c>
    </row>
    <row r="212" spans="2:7" x14ac:dyDescent="0.25">
      <c r="B212">
        <v>206</v>
      </c>
      <c r="C212">
        <v>1</v>
      </c>
      <c r="D212" s="18">
        <v>17670.345615483235</v>
      </c>
      <c r="E212" s="18">
        <v>235.84133545417728</v>
      </c>
      <c r="F212" s="18">
        <v>220.0567874364041</v>
      </c>
      <c r="G212" s="18">
        <v>84.83009968153429</v>
      </c>
    </row>
    <row r="213" spans="2:7" x14ac:dyDescent="0.25">
      <c r="B213">
        <v>207</v>
      </c>
      <c r="C213">
        <v>1</v>
      </c>
      <c r="D213" s="18">
        <v>17670.345615483235</v>
      </c>
      <c r="E213" s="18">
        <v>212.08985660334653</v>
      </c>
      <c r="F213" s="18">
        <v>197.89496358685645</v>
      </c>
      <c r="G213" s="18">
        <v>76.28689704651022</v>
      </c>
    </row>
    <row r="214" spans="2:7" x14ac:dyDescent="0.25">
      <c r="B214">
        <v>208</v>
      </c>
      <c r="C214">
        <v>1</v>
      </c>
      <c r="D214" s="18">
        <v>17670.345615483235</v>
      </c>
      <c r="E214" s="18">
        <v>164.1469155520621</v>
      </c>
      <c r="F214" s="18">
        <v>153.16078004061256</v>
      </c>
      <c r="G214" s="18">
        <v>59.042233550289154</v>
      </c>
    </row>
    <row r="215" spans="2:7" x14ac:dyDescent="0.25">
      <c r="B215">
        <v>209</v>
      </c>
      <c r="C215">
        <v>1</v>
      </c>
      <c r="D215" s="18">
        <v>17670.345615483235</v>
      </c>
      <c r="E215" s="18">
        <v>158.59657015477282</v>
      </c>
      <c r="F215" s="18">
        <v>147.9819119048051</v>
      </c>
      <c r="G215" s="18">
        <v>57.04582205434752</v>
      </c>
    </row>
    <row r="216" spans="2:7" x14ac:dyDescent="0.25">
      <c r="B216">
        <v>210</v>
      </c>
      <c r="C216">
        <v>1</v>
      </c>
      <c r="D216" s="18">
        <v>17670.345615483235</v>
      </c>
      <c r="E216" s="18">
        <v>144.49225126576036</v>
      </c>
      <c r="F216" s="18">
        <v>134.82157638636173</v>
      </c>
      <c r="G216" s="18">
        <v>51.97261987377644</v>
      </c>
    </row>
    <row r="217" spans="2:7" x14ac:dyDescent="0.25">
      <c r="B217">
        <v>211</v>
      </c>
      <c r="C217">
        <v>1</v>
      </c>
      <c r="D217" s="18">
        <v>17670.345615483235</v>
      </c>
      <c r="E217" s="18">
        <v>91.70371008075908</v>
      </c>
      <c r="F217" s="18">
        <v>85.5661023014013</v>
      </c>
      <c r="G217" s="18">
        <v>32.985035690780165</v>
      </c>
    </row>
    <row r="218" spans="2:7" x14ac:dyDescent="0.25">
      <c r="B218">
        <v>212</v>
      </c>
      <c r="C218">
        <v>1</v>
      </c>
      <c r="D218" s="18">
        <v>17670.345615483235</v>
      </c>
      <c r="E218" s="18">
        <v>82.84715174236514</v>
      </c>
      <c r="F218" s="18">
        <v>77.30230167486218</v>
      </c>
      <c r="G218" s="18">
        <v>29.799407839604378</v>
      </c>
    </row>
    <row r="219" spans="2:7" x14ac:dyDescent="0.25">
      <c r="B219">
        <v>213</v>
      </c>
      <c r="C219">
        <v>1</v>
      </c>
      <c r="D219" s="18">
        <v>17670.345615483235</v>
      </c>
      <c r="E219" s="18">
        <v>51.08734819957524</v>
      </c>
      <c r="F219" s="18">
        <v>47.66813969143177</v>
      </c>
      <c r="G219" s="18">
        <v>18.37567969961357</v>
      </c>
    </row>
    <row r="220" spans="2:7" x14ac:dyDescent="0.25">
      <c r="B220">
        <v>214</v>
      </c>
      <c r="C220">
        <v>1</v>
      </c>
      <c r="D220" s="18">
        <v>17670.345615483235</v>
      </c>
      <c r="E220" s="18">
        <v>41.90090728239042</v>
      </c>
      <c r="F220" s="18">
        <v>39.09653508990156</v>
      </c>
      <c r="G220" s="18">
        <v>15.071395922461033</v>
      </c>
    </row>
    <row r="221" spans="2:7" x14ac:dyDescent="0.25">
      <c r="B221">
        <v>215</v>
      </c>
      <c r="C221">
        <v>1</v>
      </c>
      <c r="D221" s="18">
        <v>17670.345615483235</v>
      </c>
      <c r="E221" s="18">
        <v>27.607152261401936</v>
      </c>
      <c r="F221" s="18">
        <v>25.759442148732884</v>
      </c>
      <c r="G221" s="18">
        <v>9.930055194726467</v>
      </c>
    </row>
    <row r="222" spans="2:7" x14ac:dyDescent="0.25">
      <c r="B222">
        <v>216</v>
      </c>
      <c r="C222">
        <v>1</v>
      </c>
      <c r="D222" s="18">
        <v>17670.345615483235</v>
      </c>
      <c r="E222" s="18">
        <v>21.12074823085909</v>
      </c>
      <c r="F222" s="18">
        <v>19.70716454342256</v>
      </c>
      <c r="G222" s="18">
        <v>7.59695146027708</v>
      </c>
    </row>
    <row r="223" spans="2:7" x14ac:dyDescent="0.25">
      <c r="B223">
        <v>217</v>
      </c>
      <c r="C223">
        <v>1</v>
      </c>
      <c r="D223" s="18">
        <v>17670.345615483235</v>
      </c>
      <c r="E223" s="18">
        <v>8.211969796123174</v>
      </c>
      <c r="F223" s="18">
        <v>7.662353541119344</v>
      </c>
      <c r="G223" s="18">
        <v>2.953774897201061</v>
      </c>
    </row>
    <row r="224" spans="2:7" x14ac:dyDescent="0.25">
      <c r="B224">
        <v>218</v>
      </c>
      <c r="C224">
        <v>1</v>
      </c>
      <c r="D224" s="18">
        <v>17670.345615483235</v>
      </c>
      <c r="E224" s="18">
        <v>1.2843058655721903e-13</v>
      </c>
      <c r="F224" s="18">
        <v>1.3764283937650118e-13</v>
      </c>
      <c r="G224" s="18">
        <v>0</v>
      </c>
    </row>
    <row r="225" spans="2:7" x14ac:dyDescent="0.25">
      <c r="B225">
        <v>219</v>
      </c>
      <c r="C225">
        <v>1</v>
      </c>
      <c r="D225" s="18">
        <v>17670.345615483235</v>
      </c>
      <c r="E225" s="18">
        <v>-12.787840086306565</v>
      </c>
      <c r="F225" s="18">
        <v>-11.931966897252774</v>
      </c>
      <c r="G225" s="18">
        <v>-4.599676079444408</v>
      </c>
    </row>
    <row r="226" spans="2:7" x14ac:dyDescent="0.25">
      <c r="B226">
        <v>220</v>
      </c>
      <c r="C226">
        <v>1</v>
      </c>
      <c r="D226" s="18">
        <v>17670.345615483235</v>
      </c>
      <c r="E226" s="18">
        <v>-21.240005823421388</v>
      </c>
      <c r="F226" s="18">
        <v>-19.818440383368415</v>
      </c>
      <c r="G226" s="18">
        <v>-7.639847390481472</v>
      </c>
    </row>
    <row r="227" spans="2:7" x14ac:dyDescent="0.25">
      <c r="B227">
        <v>221</v>
      </c>
      <c r="C227">
        <v>1</v>
      </c>
      <c r="D227" s="18">
        <v>17670.345615483235</v>
      </c>
      <c r="E227" s="18">
        <v>-35.8247117984198</v>
      </c>
      <c r="F227" s="18">
        <v>-33.42701131679699</v>
      </c>
      <c r="G227" s="18">
        <v>-12.885840673645019</v>
      </c>
    </row>
    <row r="228" spans="2:7" x14ac:dyDescent="0.25">
      <c r="B228">
        <v>222</v>
      </c>
      <c r="C228">
        <v>1</v>
      </c>
      <c r="D228" s="18">
        <v>17670.345615483235</v>
      </c>
      <c r="E228" s="18">
        <v>-42.37289826792483</v>
      </c>
      <c r="F228" s="18">
        <v>-39.53693634431102</v>
      </c>
      <c r="G228" s="18">
        <v>-15.241167019943237</v>
      </c>
    </row>
    <row r="229" spans="2:7" x14ac:dyDescent="0.25">
      <c r="B229">
        <v>223</v>
      </c>
      <c r="C229">
        <v>1</v>
      </c>
      <c r="D229" s="18">
        <v>17670.345615483235</v>
      </c>
      <c r="E229" s="18">
        <v>-76.50858066323254</v>
      </c>
      <c r="F229" s="18">
        <v>-71.38796275744942</v>
      </c>
      <c r="G229" s="18">
        <v>-27.51947834613466</v>
      </c>
    </row>
    <row r="230" spans="2:7" x14ac:dyDescent="0.25">
      <c r="B230">
        <v>224</v>
      </c>
      <c r="C230">
        <v>1</v>
      </c>
      <c r="D230" s="18">
        <v>17670.345615483235</v>
      </c>
      <c r="E230" s="18">
        <v>-84.71288327971513</v>
      </c>
      <c r="F230" s="18">
        <v>-79.04316227310025</v>
      </c>
      <c r="G230" s="18">
        <v>-30.47049542477083</v>
      </c>
    </row>
    <row r="231" spans="2:7" x14ac:dyDescent="0.25">
      <c r="B231">
        <v>225</v>
      </c>
      <c r="C231">
        <v>1</v>
      </c>
      <c r="D231" s="18">
        <v>17670.345615483235</v>
      </c>
      <c r="E231" s="18">
        <v>-150.2641961726732</v>
      </c>
      <c r="F231" s="18">
        <v>-140.20721267030288</v>
      </c>
      <c r="G231" s="18">
        <v>-54.04873880715513</v>
      </c>
    </row>
    <row r="232" spans="2:7" x14ac:dyDescent="0.25">
      <c r="B232">
        <v>226</v>
      </c>
      <c r="C232">
        <v>1</v>
      </c>
      <c r="D232" s="18">
        <v>17670.345615483235</v>
      </c>
      <c r="E232" s="18">
        <v>-171.63662192179348</v>
      </c>
      <c r="F232" s="18">
        <v>-160.1492102892415</v>
      </c>
      <c r="G232" s="18">
        <v>-61.73621650584841</v>
      </c>
    </row>
    <row r="233" spans="2:7" x14ac:dyDescent="0.25">
      <c r="B233">
        <v>227</v>
      </c>
      <c r="C233">
        <v>1</v>
      </c>
      <c r="D233" s="18">
        <v>17670.345615483235</v>
      </c>
      <c r="E233" s="18">
        <v>-180.59581721041664</v>
      </c>
      <c r="F233" s="18">
        <v>-168.5087785109573</v>
      </c>
      <c r="G233" s="18">
        <v>-64.95876198514986</v>
      </c>
    </row>
    <row r="234" spans="2:7" x14ac:dyDescent="0.25">
      <c r="B234">
        <v>228</v>
      </c>
      <c r="C234">
        <v>1</v>
      </c>
      <c r="D234" s="18">
        <v>17670.345615483235</v>
      </c>
      <c r="E234" s="18">
        <v>-251.61678101919577</v>
      </c>
      <c r="F234" s="18">
        <v>-234.7764033371984</v>
      </c>
      <c r="G234" s="18">
        <v>-90.5043917526164</v>
      </c>
    </row>
    <row r="235" spans="2:7" x14ac:dyDescent="0.25">
      <c r="B235">
        <v>229</v>
      </c>
      <c r="C235">
        <v>1</v>
      </c>
      <c r="D235" s="18">
        <v>17670.345615483235</v>
      </c>
      <c r="E235" s="18">
        <v>-295.98222968346903</v>
      </c>
      <c r="F235" s="18">
        <v>-276.1725313205883</v>
      </c>
      <c r="G235" s="18">
        <v>-106.46226201042556</v>
      </c>
    </row>
    <row r="236" spans="2:7" x14ac:dyDescent="0.25">
      <c r="B236">
        <v>230</v>
      </c>
      <c r="C236">
        <v>1</v>
      </c>
      <c r="D236" s="18">
        <v>17670.345615483235</v>
      </c>
      <c r="E236" s="18">
        <v>-330.8680917128088</v>
      </c>
      <c r="F236" s="18">
        <v>-308.7235288390774</v>
      </c>
      <c r="G236" s="18">
        <v>-119.01040649801588</v>
      </c>
    </row>
    <row r="237" spans="2:7" x14ac:dyDescent="0.25">
      <c r="B237">
        <v>231</v>
      </c>
      <c r="C237">
        <v>1</v>
      </c>
      <c r="D237" s="18">
        <v>17670.345615483235</v>
      </c>
      <c r="E237" s="18">
        <v>-403.8043698745604</v>
      </c>
      <c r="F237" s="18">
        <v>-376.77827856704215</v>
      </c>
      <c r="G237" s="18">
        <v>-145.24495836292266</v>
      </c>
    </row>
    <row r="238" spans="2:7" x14ac:dyDescent="0.25">
      <c r="B238">
        <v>232</v>
      </c>
      <c r="C238">
        <v>1</v>
      </c>
      <c r="D238" s="18">
        <v>17670.345615483235</v>
      </c>
      <c r="E238" s="18">
        <v>-412.0178505396565</v>
      </c>
      <c r="F238" s="18">
        <v>-384.4420418566764</v>
      </c>
      <c r="G238" s="18">
        <v>-148.199276706697</v>
      </c>
    </row>
    <row r="239" spans="2:7" x14ac:dyDescent="0.25">
      <c r="B239">
        <v>233</v>
      </c>
      <c r="C239">
        <v>1</v>
      </c>
      <c r="D239" s="18">
        <v>17670.345615483235</v>
      </c>
      <c r="E239" s="18">
        <v>-444.46329341372234</v>
      </c>
      <c r="F239" s="18">
        <v>-414.71595423962935</v>
      </c>
      <c r="G239" s="18">
        <v>-159.86962341635228</v>
      </c>
    </row>
    <row r="240" spans="2:7" x14ac:dyDescent="0.25">
      <c r="B240">
        <v>234</v>
      </c>
      <c r="C240">
        <v>1</v>
      </c>
      <c r="D240" s="18">
        <v>17670.345615483235</v>
      </c>
      <c r="E240" s="18">
        <v>-496.7363783194649</v>
      </c>
      <c r="F240" s="18">
        <v>-463.4904708509597</v>
      </c>
      <c r="G240" s="18">
        <v>-178.6718024095974</v>
      </c>
    </row>
    <row r="241" spans="2:7" x14ac:dyDescent="0.25">
      <c r="B241">
        <v>235</v>
      </c>
      <c r="C241">
        <v>1</v>
      </c>
      <c r="D241" s="18">
        <v>17670.345615483235</v>
      </c>
      <c r="E241" s="18">
        <v>-522.7402777676717</v>
      </c>
      <c r="F241" s="18">
        <v>-487.7539637724686</v>
      </c>
      <c r="G241" s="18">
        <v>-188.02518135842323</v>
      </c>
    </row>
    <row r="242" spans="2:7" x14ac:dyDescent="0.25">
      <c r="B242">
        <v>236</v>
      </c>
      <c r="C242">
        <v>1</v>
      </c>
      <c r="D242" s="18">
        <v>17670.345615483235</v>
      </c>
      <c r="E242" s="18">
        <v>-669.0548247714423</v>
      </c>
      <c r="F242" s="18">
        <v>-624.2758720582125</v>
      </c>
      <c r="G242" s="18">
        <v>-240.65326533397317</v>
      </c>
    </row>
    <row r="243" spans="2:7" x14ac:dyDescent="0.25">
      <c r="B243">
        <v>237</v>
      </c>
      <c r="C243">
        <v>1</v>
      </c>
      <c r="D243" s="18">
        <v>17670.345615483235</v>
      </c>
      <c r="E243" s="18">
        <v>-757.6939201843257</v>
      </c>
      <c r="F243" s="18">
        <v>-706.9824702898776</v>
      </c>
      <c r="G243" s="18">
        <v>-272.53598549019813</v>
      </c>
    </row>
    <row r="244" spans="2:7" x14ac:dyDescent="0.25">
      <c r="B244">
        <v>238</v>
      </c>
      <c r="C244">
        <v>1</v>
      </c>
      <c r="D244" s="18">
        <v>17670.345615483235</v>
      </c>
      <c r="E244" s="18">
        <v>-845.0674800726922</v>
      </c>
      <c r="F244" s="18">
        <v>-788.5082336124481</v>
      </c>
      <c r="G244" s="18">
        <v>-303.96350340425226</v>
      </c>
    </row>
    <row r="245" spans="2:7" x14ac:dyDescent="0.25">
      <c r="B245">
        <v>239</v>
      </c>
      <c r="C245">
        <v>1</v>
      </c>
      <c r="D245" s="18">
        <v>17670.345615483235</v>
      </c>
      <c r="E245" s="18">
        <v>-951.1655942848711</v>
      </c>
      <c r="F245" s="18">
        <v>-887.5053416538801</v>
      </c>
      <c r="G245" s="18">
        <v>-342.12608244201635</v>
      </c>
    </row>
    <row r="246" spans="2:7" x14ac:dyDescent="0.25">
      <c r="B246">
        <v>240</v>
      </c>
      <c r="C246">
        <v>1</v>
      </c>
      <c r="D246" s="18">
        <v>17670.345615483235</v>
      </c>
      <c r="E246" s="18">
        <v>-1024.1456356628953</v>
      </c>
      <c r="F246" s="18">
        <v>-955.6009255840523</v>
      </c>
      <c r="G246" s="18">
        <v>-368.3763755593703</v>
      </c>
    </row>
    <row r="247" spans="2:7" x14ac:dyDescent="0.25">
      <c r="B247">
        <v>241</v>
      </c>
      <c r="C247">
        <v>1</v>
      </c>
      <c r="D247" s="18">
        <v>17670.345615483235</v>
      </c>
      <c r="E247" s="18">
        <v>-1135.6504104083615</v>
      </c>
      <c r="F247" s="18">
        <v>-1059.6428335348096</v>
      </c>
      <c r="G247" s="18">
        <v>-408.48368388345625</v>
      </c>
    </row>
    <row r="248" spans="2:7" x14ac:dyDescent="0.25">
      <c r="B248">
        <v>242</v>
      </c>
      <c r="C248">
        <v>1</v>
      </c>
      <c r="D248" s="18">
        <v>17670.345615483235</v>
      </c>
      <c r="E248" s="18">
        <v>-1207.4181430432898</v>
      </c>
      <c r="F248" s="18">
        <v>-1126.6072469393698</v>
      </c>
      <c r="G248" s="18">
        <v>-434.2979199740653</v>
      </c>
    </row>
    <row r="249" spans="2:7" x14ac:dyDescent="0.25">
      <c r="B249">
        <v>243</v>
      </c>
      <c r="C249">
        <v>1</v>
      </c>
      <c r="D249" s="18">
        <v>17670.345615483235</v>
      </c>
      <c r="E249" s="18">
        <v>-1339.9046176219754</v>
      </c>
      <c r="F249" s="18">
        <v>-1250.226577360881</v>
      </c>
      <c r="G249" s="18">
        <v>-481.9521652458768</v>
      </c>
    </row>
    <row r="250" spans="2:7" x14ac:dyDescent="0.25">
      <c r="B250">
        <v>244</v>
      </c>
      <c r="C250">
        <v>1</v>
      </c>
      <c r="D250" s="18">
        <v>17670.345615483235</v>
      </c>
      <c r="E250" s="18">
        <v>-1411.6974950503509</v>
      </c>
      <c r="F250" s="18">
        <v>-1317.214452651188</v>
      </c>
      <c r="G250" s="18">
        <v>-507.77544570239615</v>
      </c>
    </row>
    <row r="251" spans="2:7" x14ac:dyDescent="0.25">
      <c r="B251">
        <v>245</v>
      </c>
      <c r="C251">
        <v>1</v>
      </c>
      <c r="D251" s="18">
        <v>17670.345615483235</v>
      </c>
      <c r="E251" s="18">
        <v>-1536.744536504524</v>
      </c>
      <c r="F251" s="18">
        <v>-1433.892261347614</v>
      </c>
      <c r="G251" s="18">
        <v>-552.7537908725092</v>
      </c>
    </row>
    <row r="252" spans="2:7" x14ac:dyDescent="0.25">
      <c r="B252">
        <v>246</v>
      </c>
      <c r="C252">
        <v>1</v>
      </c>
      <c r="D252" s="18">
        <v>17670.345615483235</v>
      </c>
      <c r="E252" s="18">
        <v>-1653.8405899878342</v>
      </c>
      <c r="F252" s="18">
        <v>-1543.1512311605</v>
      </c>
      <c r="G252" s="18">
        <v>-594.8722340630302</v>
      </c>
    </row>
    <row r="253" spans="2:7" x14ac:dyDescent="0.25">
      <c r="B253">
        <v>247</v>
      </c>
      <c r="C253">
        <v>1</v>
      </c>
      <c r="D253" s="18">
        <v>17670.345615483235</v>
      </c>
      <c r="E253" s="18">
        <v>-1714.5776838003956</v>
      </c>
      <c r="F253" s="18">
        <v>-1599.8232717799979</v>
      </c>
      <c r="G253" s="18">
        <v>-616.718844253581</v>
      </c>
    </row>
    <row r="254" spans="2:7" x14ac:dyDescent="0.25">
      <c r="B254">
        <v>248</v>
      </c>
      <c r="C254">
        <v>1</v>
      </c>
      <c r="D254" s="18">
        <v>17670.345615483235</v>
      </c>
      <c r="E254" s="18">
        <v>-1809.8667974136422</v>
      </c>
      <c r="F254" s="18">
        <v>-1688.734811307248</v>
      </c>
      <c r="G254" s="18">
        <v>-650.9935187537483</v>
      </c>
    </row>
    <row r="255" spans="2:7" x14ac:dyDescent="0.25">
      <c r="B255">
        <v>249</v>
      </c>
      <c r="C255">
        <v>1</v>
      </c>
      <c r="D255" s="18">
        <v>17670.345615483235</v>
      </c>
      <c r="E255" s="18">
        <v>-1846.4422540208247</v>
      </c>
      <c r="F255" s="18">
        <v>-1722.8623210777312</v>
      </c>
      <c r="G255" s="18">
        <v>-664.1493958772808</v>
      </c>
    </row>
    <row r="256" spans="2:7" x14ac:dyDescent="0.25">
      <c r="B256">
        <v>250</v>
      </c>
      <c r="C256">
        <v>1</v>
      </c>
      <c r="D256" s="18">
        <v>17670.345615483235</v>
      </c>
      <c r="E256" s="18">
        <v>-2000.666067298491</v>
      </c>
      <c r="F256" s="18">
        <v>-1866.7641389279318</v>
      </c>
      <c r="G256" s="18">
        <v>-719.622374896909</v>
      </c>
    </row>
    <row r="257" spans="2:7" x14ac:dyDescent="0.25">
      <c r="B257">
        <v>251</v>
      </c>
      <c r="C257">
        <v>1</v>
      </c>
      <c r="D257" s="18">
        <v>17670.345615483235</v>
      </c>
      <c r="E257" s="18">
        <v>-2004.6193356222107</v>
      </c>
      <c r="F257" s="18">
        <v>-1870.452820242073</v>
      </c>
      <c r="G257" s="18">
        <v>-721.04433150737</v>
      </c>
    </row>
    <row r="258" spans="2:7" x14ac:dyDescent="0.25">
      <c r="B258">
        <v>252</v>
      </c>
      <c r="C258">
        <v>1</v>
      </c>
      <c r="D258" s="18">
        <v>17670.345615483235</v>
      </c>
      <c r="E258" s="18">
        <v>-2005.3950775674266</v>
      </c>
      <c r="F258" s="18">
        <v>-1871.176642806998</v>
      </c>
      <c r="G258" s="18">
        <v>-721.3233592122168</v>
      </c>
    </row>
    <row r="259" spans="2:7" x14ac:dyDescent="0.25">
      <c r="B259">
        <v>253</v>
      </c>
      <c r="C259">
        <v>1</v>
      </c>
      <c r="D259" s="18">
        <v>17670.345615483235</v>
      </c>
      <c r="E259" s="18">
        <v>-2190.809846104262</v>
      </c>
      <c r="F259" s="18">
        <v>-2044.1818466187278</v>
      </c>
      <c r="G259" s="18">
        <v>-788.0154565373879</v>
      </c>
    </row>
    <row r="260" spans="2:7" x14ac:dyDescent="0.25">
      <c r="B260">
        <v>254</v>
      </c>
      <c r="C260">
        <v>1</v>
      </c>
      <c r="D260" s="18">
        <v>17670.345615483235</v>
      </c>
      <c r="E260" s="18">
        <v>-2248.741503800631</v>
      </c>
      <c r="F260" s="18">
        <v>-2098.2362152432024</v>
      </c>
      <c r="G260" s="18">
        <v>-808.8529754889981</v>
      </c>
    </row>
    <row r="261" spans="2:7" x14ac:dyDescent="0.25">
      <c r="B261">
        <v>255</v>
      </c>
      <c r="C261">
        <v>1</v>
      </c>
      <c r="D261" s="18">
        <v>17670.345615483235</v>
      </c>
      <c r="E261" s="18">
        <v>-2258.059789427365</v>
      </c>
      <c r="F261" s="18">
        <v>-2106.9308403626073</v>
      </c>
      <c r="G261" s="18">
        <v>-812.2046826740623</v>
      </c>
    </row>
  </sheetData>
  <mergeCells count="2">
    <mergeCell ref="B1:F1"/>
    <mergeCell ref="B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3" width="20" customWidth="1"/>
    <col min="4" max="4" width="12" customWidth="1"/>
    <col min="5" max="5" width="66" customWidth="1"/>
  </cols>
  <sheetData>
    <row r="1" ht="22" customHeight="1" spans="2:5" x14ac:dyDescent="0.25">
      <c r="B1" s="1" t="s">
        <v>252</v>
      </c>
      <c r="C1" s="1"/>
      <c r="D1" s="1"/>
      <c r="E1" s="1"/>
    </row>
    <row r="3" spans="2:5" x14ac:dyDescent="0.25">
      <c r="B3" t="s">
        <v>253</v>
      </c>
      <c r="C3" s="23">
        <v>76.70920734333282</v>
      </c>
      <c r="D3" t="s">
        <v>65</v>
      </c>
      <c r="E3" s="2" t="s">
        <v>254</v>
      </c>
    </row>
    <row r="4" spans="2:5" x14ac:dyDescent="0.25">
      <c r="B4" t="s">
        <v>255</v>
      </c>
      <c r="C4" s="23">
        <v>1369.9439547293923</v>
      </c>
      <c r="D4" t="s">
        <v>68</v>
      </c>
      <c r="E4" s="2" t="s">
        <v>256</v>
      </c>
    </row>
    <row r="5" spans="2:4" x14ac:dyDescent="0.25">
      <c r="B5" t="s">
        <v>257</v>
      </c>
      <c r="C5" s="23">
        <v>1095.9551637835139</v>
      </c>
      <c r="D5" t="s">
        <v>68</v>
      </c>
    </row>
    <row r="6" spans="2:5" x14ac:dyDescent="0.25">
      <c r="B6" t="s">
        <v>258</v>
      </c>
      <c r="C6" s="23">
        <v>868224.2240480285</v>
      </c>
      <c r="D6" t="s">
        <v>259</v>
      </c>
      <c r="E6" s="2" t="s">
        <v>260</v>
      </c>
    </row>
    <row r="7" spans="2:4" x14ac:dyDescent="0.25">
      <c r="B7" t="s">
        <v>261</v>
      </c>
      <c r="C7" s="23">
        <v>22139.717713224727</v>
      </c>
      <c r="D7" t="s">
        <v>88</v>
      </c>
    </row>
    <row r="8" spans="2:4" x14ac:dyDescent="0.25">
      <c r="B8" t="s">
        <v>262</v>
      </c>
      <c r="C8" s="23">
        <v>3545.706534004565</v>
      </c>
      <c r="D8" t="s">
        <v>88</v>
      </c>
    </row>
    <row r="9" spans="2:4" x14ac:dyDescent="0.25">
      <c r="B9" t="s">
        <v>263</v>
      </c>
      <c r="C9" s="23">
        <v>25685.424247229294</v>
      </c>
      <c r="D9" t="s">
        <v>88</v>
      </c>
    </row>
    <row r="10" spans="2:4" x14ac:dyDescent="0.25">
      <c r="B10" t="s">
        <v>264</v>
      </c>
      <c r="C10" s="23">
        <v>3824.729420248276</v>
      </c>
      <c r="D10" t="s">
        <v>91</v>
      </c>
    </row>
    <row r="11" spans="2:4" x14ac:dyDescent="0.25">
      <c r="B11" t="s">
        <v>265</v>
      </c>
      <c r="C11" s="23">
        <v>1474.4020475547566</v>
      </c>
      <c r="D11" t="s">
        <v>91</v>
      </c>
    </row>
    <row r="12" spans="2:5" x14ac:dyDescent="0.25">
      <c r="B12" t="s">
        <v>214</v>
      </c>
      <c r="C12" s="23">
        <v>0</v>
      </c>
      <c r="D12" t="s">
        <v>29</v>
      </c>
      <c r="E12" s="2" t="s">
        <v>266</v>
      </c>
    </row>
    <row r="13" spans="2:5" x14ac:dyDescent="0.25">
      <c r="B13" t="s">
        <v>267</v>
      </c>
      <c r="C13" s="23">
        <v>0.65</v>
      </c>
      <c r="D13" t="s">
        <v>29</v>
      </c>
      <c r="E13" s="2" t="s">
        <v>268</v>
      </c>
    </row>
    <row r="14" spans="2:5" x14ac:dyDescent="0.25">
      <c r="B14" t="s">
        <v>269</v>
      </c>
      <c r="C14" s="23">
        <v>1.4939884170145357</v>
      </c>
      <c r="D14" t="s">
        <v>29</v>
      </c>
      <c r="E14" s="2" t="s">
        <v>270</v>
      </c>
    </row>
    <row r="15" spans="2:5" x14ac:dyDescent="0.25">
      <c r="B15" t="s">
        <v>271</v>
      </c>
      <c r="C15" s="23">
        <v>0.6693492323041689</v>
      </c>
      <c r="D15" t="s">
        <v>29</v>
      </c>
      <c r="E15" s="2" t="s">
        <v>272</v>
      </c>
    </row>
    <row r="16" spans="2:4" x14ac:dyDescent="0.25">
      <c r="B16" t="s">
        <v>273</v>
      </c>
      <c r="C16" t="s">
        <v>20</v>
      </c>
      <c r="D16" t="s">
        <v>11</v>
      </c>
    </row>
    <row r="18" spans="2:5" x14ac:dyDescent="0.25">
      <c r="B18" s="3" t="s">
        <v>274</v>
      </c>
      <c r="C18" s="3"/>
      <c r="D18" s="3"/>
      <c r="E18" s="3"/>
    </row>
    <row r="19" spans="2:4" x14ac:dyDescent="0.25">
      <c r="B19" t="s">
        <v>275</v>
      </c>
      <c r="C19" s="19">
        <f>C13*C9-C15*Pu</f>
      </c>
      <c r="D19" t="s">
        <v>88</v>
      </c>
    </row>
    <row r="20" spans="2:4" x14ac:dyDescent="0.25">
      <c r="B20" t="s">
        <v>276</v>
      </c>
      <c r="C20" s="19">
        <f>C13*C10-C15*Mux</f>
      </c>
      <c r="D20" t="s">
        <v>91</v>
      </c>
    </row>
    <row r="21" spans="2:4" x14ac:dyDescent="0.25">
      <c r="B21" t="s">
        <v>277</v>
      </c>
      <c r="C21" s="19">
        <f>C13*C11-C15*Muy</f>
      </c>
      <c r="D21" t="s">
        <v>91</v>
      </c>
    </row>
    <row r="22" spans="2:5" x14ac:dyDescent="0.25">
      <c r="B22" s="13" t="s">
        <v>278</v>
      </c>
      <c r="C22" s="24">
        <f>SQRT((C19/MAX(1,ABS(C13*C9),ABS(C15*Pu)))^2+(C20/MAX(1,ABS(C13*C10),ABS(C15*Mux)))^2+(C21/MAX(1,ABS(C13*C11),ABS(C15*Muy)))^2)</f>
      </c>
      <c r="E22" s="15">
        <f>IF(C22&lt;=0.0001,"capacity state reconciled with the scaled demand ray","CHECK - the stored state does not balance the scaled demand ray")</f>
      </c>
    </row>
    <row r="24" spans="2:2" x14ac:dyDescent="0.25">
      <c r="B24" s="2" t="s">
        <v>279</v>
      </c>
    </row>
  </sheetData>
  <mergeCells count="2">
    <mergeCell ref="B1:E1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2" customWidth="1"/>
    <col min="5" max="5" width="70" customWidth="1"/>
  </cols>
  <sheetData>
    <row r="1" ht="22" customHeight="1" spans="2:5" x14ac:dyDescent="0.25">
      <c r="B1" s="1" t="s">
        <v>280</v>
      </c>
      <c r="C1" s="1"/>
      <c r="D1" s="1"/>
      <c r="E1" s="1"/>
    </row>
    <row r="2" ht="28" customHeight="1" spans="2:5" x14ac:dyDescent="0.25">
      <c r="B2" s="2" t="s">
        <v>281</v>
      </c>
      <c r="C2" s="2"/>
      <c r="D2" s="2"/>
      <c r="E2" s="2"/>
    </row>
    <row r="3" spans="2:5" x14ac:dyDescent="0.25">
      <c r="B3" s="2"/>
      <c r="C3" s="2"/>
      <c r="D3" s="2"/>
      <c r="E3" s="2"/>
    </row>
    <row r="5" spans="2:4" x14ac:dyDescent="0.25">
      <c r="B5" t="s">
        <v>282</v>
      </c>
      <c r="C5" s="25" t="s">
        <v>10</v>
      </c>
      <c r="D5" t="s">
        <v>11</v>
      </c>
    </row>
    <row r="6" spans="2:5" x14ac:dyDescent="0.25">
      <c r="B6" t="s">
        <v>13</v>
      </c>
      <c r="C6" s="25" t="s">
        <v>14</v>
      </c>
      <c r="D6" t="s">
        <v>11</v>
      </c>
      <c r="E6" s="2" t="s">
        <v>283</v>
      </c>
    </row>
    <row r="7" spans="2:5" x14ac:dyDescent="0.25">
      <c r="B7" t="s">
        <v>16</v>
      </c>
      <c r="C7" s="25" t="s">
        <v>17</v>
      </c>
      <c r="D7" t="s">
        <v>11</v>
      </c>
      <c r="E7" s="2" t="s">
        <v>284</v>
      </c>
    </row>
    <row r="8" spans="2:5" x14ac:dyDescent="0.25">
      <c r="B8" t="s">
        <v>285</v>
      </c>
      <c r="C8" s="25" t="s">
        <v>286</v>
      </c>
      <c r="D8" t="s">
        <v>11</v>
      </c>
      <c r="E8" s="2" t="s">
        <v>287</v>
      </c>
    </row>
    <row r="9" spans="2:4" x14ac:dyDescent="0.25">
      <c r="B9" t="s">
        <v>53</v>
      </c>
      <c r="C9" s="25" t="s">
        <v>54</v>
      </c>
      <c r="D9" t="s">
        <v>11</v>
      </c>
    </row>
    <row r="10" spans="2:4" x14ac:dyDescent="0.25">
      <c r="B10" t="s">
        <v>288</v>
      </c>
      <c r="C10" s="25" t="s">
        <v>289</v>
      </c>
      <c r="D10" t="s">
        <v>11</v>
      </c>
    </row>
    <row r="11" spans="2:5" x14ac:dyDescent="0.25">
      <c r="B11" t="s">
        <v>290</v>
      </c>
      <c r="C11" s="25" t="s">
        <v>291</v>
      </c>
      <c r="D11" t="s">
        <v>11</v>
      </c>
      <c r="E11" s="2" t="s">
        <v>292</v>
      </c>
    </row>
    <row r="13" spans="2:5" x14ac:dyDescent="0.25">
      <c r="B13" s="3" t="s">
        <v>293</v>
      </c>
      <c r="C13" s="3"/>
      <c r="D13" s="3"/>
      <c r="E13" s="3"/>
    </row>
    <row r="14" spans="2:4" x14ac:dyDescent="0.25">
      <c r="B14" t="s">
        <v>87</v>
      </c>
      <c r="C14" s="17">
        <v>24942.922102452183</v>
      </c>
      <c r="D14" t="s">
        <v>88</v>
      </c>
    </row>
    <row r="15" spans="2:4" x14ac:dyDescent="0.25">
      <c r="B15" t="s">
        <v>90</v>
      </c>
      <c r="C15" s="17">
        <v>3714.165943842699</v>
      </c>
      <c r="D15" t="s">
        <v>91</v>
      </c>
    </row>
    <row r="16" spans="2:4" x14ac:dyDescent="0.25">
      <c r="B16" t="s">
        <v>92</v>
      </c>
      <c r="C16" s="17">
        <v>1431.7807276950741</v>
      </c>
      <c r="D16" t="s">
        <v>91</v>
      </c>
    </row>
    <row r="17" spans="2:5" x14ac:dyDescent="0.25">
      <c r="B17" t="s">
        <v>294</v>
      </c>
      <c r="C17" s="17">
        <v>1.4939884170145357</v>
      </c>
      <c r="D17" t="s">
        <v>29</v>
      </c>
      <c r="E17" s="2" t="s">
        <v>295</v>
      </c>
    </row>
    <row r="18" spans="2:5" x14ac:dyDescent="0.25">
      <c r="B18" t="s">
        <v>243</v>
      </c>
      <c r="C18" s="26" t="s">
        <v>296</v>
      </c>
      <c r="D18" t="s">
        <v>29</v>
      </c>
      <c r="E18" s="2" t="s">
        <v>297</v>
      </c>
    </row>
    <row r="19" spans="2:4" x14ac:dyDescent="0.25">
      <c r="B19" t="s">
        <v>298</v>
      </c>
      <c r="C19" s="26" t="s">
        <v>37</v>
      </c>
      <c r="D19" t="s">
        <v>11</v>
      </c>
    </row>
    <row r="20" spans="2:4" x14ac:dyDescent="0.25">
      <c r="B20" t="s">
        <v>299</v>
      </c>
      <c r="C20" s="26" t="s">
        <v>37</v>
      </c>
      <c r="D20" t="s">
        <v>11</v>
      </c>
    </row>
    <row r="21" spans="2:4" x14ac:dyDescent="0.25">
      <c r="B21" t="s">
        <v>300</v>
      </c>
      <c r="C21" s="26" t="s">
        <v>301</v>
      </c>
      <c r="D21" t="s">
        <v>11</v>
      </c>
    </row>
    <row r="23" spans="2:3" x14ac:dyDescent="0.25">
      <c r="B23" s="13" t="s">
        <v>302</v>
      </c>
      <c r="C23" s="13">
        <f>IF(C19&lt;&gt;"yes","NOT CHECKED - solver did not converge",IF(C20&lt;&gt;"yes","NOT CHECKED - strain state is not admissible",IF(NOT(ISNUMBER(C17)),"NOT CHECKED - no intersection",IF(C17&lt;=1,"ADEQUATE - factored demand is inside the design surface","INADEQUATE - factored demand exceeds the design surface"))))</f>
      </c>
    </row>
    <row r="25" spans="2:5" x14ac:dyDescent="0.25">
      <c r="B25" s="2" t="s">
        <v>303</v>
      </c>
      <c r="C25" s="2"/>
      <c r="D25" s="2"/>
      <c r="E25" s="2"/>
    </row>
  </sheetData>
  <mergeCells count="4">
    <mergeCell ref="B1:E1"/>
    <mergeCell ref="B2:E3"/>
    <mergeCell ref="B13:E13"/>
    <mergeCell ref="B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</vt:lpstr>
      <vt:lpstr>Geometry</vt:lpstr>
      <vt:lpstr>Block_Clip</vt:lpstr>
      <vt:lpstr>Block</vt:lpstr>
      <vt:lpstr>Steel</vt:lpstr>
      <vt:lpstr>PM_Angle</vt:lpstr>
      <vt:lpstr>MxMy_FixedP</vt:lpstr>
      <vt:lpstr>PM_Theta</vt:lpstr>
      <vt:lpstr>Equilibrium</vt:lpstr>
      <vt:lpstr>Design_Check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P-M Column Designer</dc:creator>
  <dc:title/>
  <dc:subject/>
  <dc:description/>
  <cp:keywords/>
  <cp:category/>
  <cp:lastModifiedBy>Unknown</cp:lastModifiedBy>
  <dcterms:created xsi:type="dcterms:W3CDTF">2026-08-04T23:05:32Z</dcterms:created>
  <dcterms:modified xsi:type="dcterms:W3CDTF">2026-08-04T23:05:32Z</dcterms:modified>
</cp:coreProperties>
</file>