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'PM_Angle'!$J$7:$J$33</definedName>
    <definedName name="St_kx">'PM_Angle'!$K$7:$K$33</definedName>
    <definedName name="St_ky">'PM_Angle'!$L$7:$L$33</definedName>
    <definedName name="Det">Concrete!$C$4</definedName>
    <definedName name="St_P">'PM_Angle'!$S$7:$S$33</definedName>
    <definedName name="St_Mx">'PM_Angle'!$T$7:$T$33</definedName>
    <definedName name="St_My">'PM_Angle'!$U$7:$U$33</definedName>
    <definedName name="Mb">'MxMy_FixedP'!$E$53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c/D = 3</t>
        </r>
      </text>
    </comment>
    <comment ref="B9" authorId="0">
      <text>
        <r>
          <t>c/D = 2</t>
        </r>
      </text>
    </comment>
    <comment ref="B10" authorId="0">
      <text>
        <r>
          <t>c/D = 1.5</t>
        </r>
      </text>
    </comment>
    <comment ref="B11" authorId="0">
      <text>
        <r>
          <t>c/D = 1.2</t>
        </r>
      </text>
    </comment>
    <comment ref="B12" authorId="0">
      <text>
        <r>
          <t>c/D = 1.1</t>
        </r>
      </text>
    </comment>
    <comment ref="B13" authorId="0">
      <text>
        <r>
          <t>c/D = 1</t>
        </r>
      </text>
    </comment>
    <comment ref="B14" authorId="0">
      <text>
        <r>
          <t>εₛ/εy = 0</t>
        </r>
      </text>
    </comment>
    <comment ref="G14" authorId="0">
      <text>
        <r>
          <t>Engine-resolved controlling-bar tensile strain at the requested εₛ/εy.</t>
        </r>
      </text>
    </comment>
    <comment ref="B15" authorId="0">
      <text>
        <r>
          <t>εₛ/εy = 0.25</t>
        </r>
      </text>
    </comment>
    <comment ref="G15" authorId="0">
      <text>
        <r>
          <t>Engine-resolved controlling-bar tensile strain at the requested εₛ/εy.</t>
        </r>
      </text>
    </comment>
    <comment ref="B16" authorId="0">
      <text>
        <r>
          <t>εₛ/εy = 0.375</t>
        </r>
      </text>
    </comment>
    <comment ref="G16" authorId="0">
      <text>
        <r>
          <t>Engine-resolved controlling-bar tensile strain at the requested εₛ/εy.</t>
        </r>
      </text>
    </comment>
    <comment ref="B17" authorId="0">
      <text>
        <r>
          <t>εₛ/εy = 0.5</t>
        </r>
      </text>
    </comment>
    <comment ref="G17" authorId="0">
      <text>
        <r>
          <t>Engine-resolved controlling-bar tensile strain at the requested εₛ/εy.</t>
        </r>
      </text>
    </comment>
    <comment ref="B18" authorId="0">
      <text>
        <r>
          <t>εₛ/εy = 0.625</t>
        </r>
      </text>
    </comment>
    <comment ref="G18" authorId="0">
      <text>
        <r>
          <t>Engine-resolved controlling-bar tensile strain at the requested εₛ/εy.</t>
        </r>
      </text>
    </comment>
    <comment ref="B19" authorId="0">
      <text>
        <r>
          <t>εₛ/εy = 0.75</t>
        </r>
      </text>
    </comment>
    <comment ref="G19" authorId="0">
      <text>
        <r>
          <t>Engine-resolved controlling-bar tensile strain at the requested εₛ/εy.</t>
        </r>
      </text>
    </comment>
    <comment ref="B20" authorId="0">
      <text>
        <r>
          <t>εₛ/εy = 0.875</t>
        </r>
      </text>
    </comment>
    <comment ref="G20" authorId="0">
      <text>
        <r>
          <t>Engine-resolved controlling-bar tensile strain at the requested εₛ/εy.</t>
        </r>
      </text>
    </comment>
    <comment ref="B21" authorId="0">
      <text>
        <r>
          <t>εₛ/εy = 1</t>
        </r>
      </text>
    </comment>
    <comment ref="G21" authorId="0">
      <text>
        <r>
          <t>Engine-resolved controlling-bar tensile strain at the requested εₛ/εy.</t>
        </r>
      </text>
    </comment>
    <comment ref="B22" authorId="0">
      <text>
        <r>
          <t>εₛ/εy = 1.25</t>
        </r>
      </text>
    </comment>
    <comment ref="G22" authorId="0">
      <text>
        <r>
          <t>Engine-resolved controlling-bar tensile strain at the requested εₛ/εy.</t>
        </r>
      </text>
    </comment>
    <comment ref="B23" authorId="0">
      <text>
        <r>
          <t>εₛ/εy = 1.5</t>
        </r>
      </text>
    </comment>
    <comment ref="G23" authorId="0">
      <text>
        <r>
          <t>Engine-resolved controlling-bar tensile strain at the requested εₛ/εy.</t>
        </r>
      </text>
    </comment>
    <comment ref="B24" authorId="0">
      <text>
        <r>
          <t>εₛ/εy = 1.75</t>
        </r>
      </text>
    </comment>
    <comment ref="G24" authorId="0">
      <text>
        <r>
          <t>Engine-resolved controlling-bar tensile strain at the requested εₛ/εy.</t>
        </r>
      </text>
    </comment>
    <comment ref="B25" authorId="0">
      <text>
        <r>
          <t>εₛ/εy = 2</t>
        </r>
      </text>
    </comment>
    <comment ref="G25" authorId="0">
      <text>
        <r>
          <t>Engine-resolved controlling-bar tensile strain at the requested εₛ/εy.</t>
        </r>
      </text>
    </comment>
    <comment ref="B26" authorId="0">
      <text>
        <r>
          <t>εₛ/εy = 2.5</t>
        </r>
      </text>
    </comment>
    <comment ref="G26" authorId="0">
      <text>
        <r>
          <t>Engine-resolved controlling-bar tensile strain at the requested εₛ/εy.</t>
        </r>
      </text>
    </comment>
    <comment ref="B27" authorId="0">
      <text>
        <r>
          <t>εₛ/εy = 3</t>
        </r>
      </text>
    </comment>
    <comment ref="G27" authorId="0">
      <text>
        <r>
          <t>Engine-resolved controlling-bar tensile strain at the requested εₛ/εy.</t>
        </r>
      </text>
    </comment>
    <comment ref="B28" authorId="0">
      <text>
        <r>
          <t>εₛ/εy = 4</t>
        </r>
      </text>
    </comment>
    <comment ref="G28" authorId="0">
      <text>
        <r>
          <t>Engine-resolved controlling-bar tensile strain at the requested εₛ/εy.</t>
        </r>
      </text>
    </comment>
    <comment ref="B29" authorId="0">
      <text>
        <r>
          <t>εₛ/εy = 5</t>
        </r>
      </text>
    </comment>
    <comment ref="G29" authorId="0">
      <text>
        <r>
          <t>Engine-resolved controlling-bar tensile strain at the requested εₛ/εy.</t>
        </r>
      </text>
    </comment>
    <comment ref="B30" authorId="0">
      <text>
        <r>
          <t>εₛ/εy = 7.5</t>
        </r>
      </text>
    </comment>
    <comment ref="G30" authorId="0">
      <text>
        <r>
          <t>Engine-resolved controlling-bar tensile strain at the requested εₛ/εy.</t>
        </r>
      </text>
    </comment>
    <comment ref="B31" authorId="0">
      <text>
        <r>
          <t>εₛ/εy = 10</t>
        </r>
      </text>
    </comment>
    <comment ref="G31" authorId="0">
      <text>
        <r>
          <t>Engine-resolved controlling-bar tensile strain at the requested εₛ/εy.</t>
        </r>
      </text>
    </comment>
    <comment ref="B32" authorId="0">
      <text>
        <r>
          <t>εₛ/εy = 20</t>
        </r>
      </text>
    </comment>
    <comment ref="G32" authorId="0">
      <text>
        <r>
          <t>Engine-resolved controlling-bar tensile strain at the requested εₛ/εy.</t>
        </r>
      </text>
    </comment>
    <comment ref="B33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44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<sst xmlns="http://schemas.openxmlformats.org/spreadsheetml/2006/main" count="983" uniqueCount="412">
  <si>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</si>
  <si>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</si>
  <si>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</si>
  <si>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</si>
  <si>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</si>
  <si>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</si>
  <si>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</si>
  <si>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2026-08-11 11:54:48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</si>
  <si>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</si>
  <si>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</si>
  <si>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</si>
  <si>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</si>
  <si>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</si>
  <si>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</si>
  <si>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</si>
  <si>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</si>
  <si>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</si>
  <si>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</si>
  <si>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</si>
  <si>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</si>
  <si>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</si>
  <si>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</si>
  <si>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</si>
  <si>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</si>
  <si>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</si>
  <si>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</si>
  <si>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</si>
  <si>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</si>
  <si>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</si>
  <si>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</si>
  <si>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</si>
  <si>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</si>
  <si>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</si>
  <si>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</si>
  <si>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</si>
  <si>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</si>
  <si>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</si>
  <si>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</si>
  <si>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</si>
  <si>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</si>
  <si>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</si>
  <si>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</si>
  <si>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</si>
  <si>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</si>
  <si>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</si>
  <si>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</si>
  <si>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</si>
  <si>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</si>
  <si>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</si>
  <si>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</si>
  <si>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</si>
  <si>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</si>
  <si>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</si>
  <si>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</si>
  <si>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</si>
  <si>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</si>
  <si>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</si>
  <si>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</si>
  <si>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</si>
  <si>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</si>
  <si>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</si>
  <si>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</si>
  <si>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</si>
  <si>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</si>
  <si>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</si>
  <si>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</si>
  <si>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</si>
  <si>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</si>
  <si>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</si>
  <si>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</si>
  <si>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</si>
  <si>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</si>
  <si>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</si>
  <si>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</si>
  <si>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</si>
  <si>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</si>
  <si>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</si>
  <si>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</si>
  <si>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</si>
  <si>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</si>
  <si>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</si>
  <si>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</si>
  <si>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</si>
  <si>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</si>
  <si>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</si>
  <si>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</si>
  <si>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</si>
  <si>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</si>
  <si>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36 x 27 surface integrals (MxMy_FixedP)</t>
  </si>
  <si>
    <t>2916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</si>
  <si>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</si>
  <si>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</si>
  <si>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</si>
  <si>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</si>
  <si>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</si>
  <si>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</si>
  <si>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</si>
  <si>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</si>
  <si>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</si>
  <si>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</si>
  <si>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</si>
  <si>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</si>
  <si>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</si>
  <si>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</si>
  <si>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</si>
  <si>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</si>
  <si>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</si>
  <si>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</si>
  <si>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</si>
  <si>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</si>
  <si>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</si>
  <si>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</si>
  <si>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</si>
  <si>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</si>
  <si>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</si>
  <si>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</si>
  <si>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</si>
  <si>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</si>
  <si>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</si>
  <si>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</si>
  <si>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</si>
  <si>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</si>
  <si>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</si>
  <si>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</si>
  <si>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</si>
  <si>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</si>
  <si>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</si>
  <si>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</si>
  <si>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</si>
  <si>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</si>
  <si>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</si>
  <si>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</si>
  <si>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</si>
  <si>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</si>
  <si>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</si>
  <si>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</si>
  <si>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</si>
  <si>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</si>
  <si>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</si>
  <si>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</si>
  <si>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</si>
  <si>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</si>
  <si>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</si>
  <si>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</si>
  <si>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</si>
  <si>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</si>
  <si>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</si>
  <si>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</si>
  <si>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</si>
  <si>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</si>
  <si>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</si>
  <si>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INADEQUATE</t>
  </si>
  <si>
    <t>Fixed-grid checks use ADEQUATE / INDETERMINATE / INADEQUATE screening; indeterminate requires Adaptive sampling</t>
  </si>
  <si>
    <t>UR screening interval</t>
  </si>
  <si>
    <t>1.5092 – 1.5708</t>
  </si>
  <si>
    <t>fixed-grid-screening-margin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</si>
  <si>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</si>
  <si>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</si>
  <si>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</si>
  <si>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</si>
  <si>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</si>
  <si>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</si>
  <si>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</si>
  <si>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</si>
  <si>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</si>
  <si>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</si>
  <si>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</si>
  <si>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</si>
  <si>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</si>
  <si>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</si>
  <si>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</si>
  <si>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</si>
  <si>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</si>
  <si>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</si>
  <si>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</si>
  <si>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</si>
  <si>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</si>
  <si>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</si>
  <si>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</si>
  <si>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</si>
  <si>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</si>
  <si>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</si>
  <si>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</si>
  <si>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</si>
  <si>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</si>
  <si>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</si>
  <si>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</si>
  <si>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</si>
  <si>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</si>
  <si>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</si>
  <si>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</si>
  <si>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</si>
  <si>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27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</si>
  <si>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</si>
  <si>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</si>
  <si>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</si>
  <si>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</si>
  <si>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</si>
  <si>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</si>
  <si>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</si>
  <si>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c/D or c/c₁</t>
  </si>
  <si>
    <t>εₛ/εy or 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</si>
  <si>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</si>
  <si>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</si>
  <si>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</si>
  <si>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</si>
  <si>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</si>
  <si>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</si>
  <si>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</si>
  <si>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</si>
  <si>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</si>
  <si>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</si>
  <si>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</si>
  <si>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</si>
  <si>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</si>
  <si>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</si>
  <si>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</si>
  <si>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</si>
  <si>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</si>
  <si>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</si>
  <si>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</si>
  <si>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</si>
  <si>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</si>
  <si>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</si>
  <si>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</si>
  <si>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</si>
  <si>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</si>
  <si>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</si>
  <si>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</si>
  <si>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</si>
  <si>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</si>
  <si>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</si>
  <si>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</si>
  <si>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</si>
  <si>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</si>
  <si>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</si>
  <si>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</si>
  <si>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</si>
  <si>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</si>
  <si>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</si>
  <si>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</si>
  <si>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</si>
  <si>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</si>
  <si>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</si>
  <si>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</si>
  <si>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</si>
  <si>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</si>
  <si>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</si>
  <si>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</si>
  <si>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</si>
  <si>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27 station totals on PM_Angle integrate the same law over the same mesh without materialising 27 more column blocks.</t>
  </si>
  <si>
    <t>Detail station (0…26)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</si>
  <si>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</si>
  <si>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</si>
  <si>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</si>
  <si>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</si>
  <si>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</si>
  <si>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</si>
  <si>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</si>
  <si>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27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</si>
  <si>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</si>
  <si>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</si>
  <si>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</si>
  <si>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</si>
  <si>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</si>
  <si>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</si>
  <si>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</si>
  <si>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36 directions repeats the 27-station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</si>
  <si>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</si>
  <si>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</si>
  <si>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</si>
  <si>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</si>
  <si>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</si>
  <si>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</si>
  <si>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</si>
  <si>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</si>
  <si>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</si>
  <si>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</si>
  <si>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</si>
  <si>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</si>
  <si>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</si>
  <si>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</si>
  <si>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</si>
  <si>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</si>
  <si>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</si>
  <si>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</si>
  <si>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</si>
  <si>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</si>
  <si>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P19 plane</t>
  </si>
  <si>
    <t>P20 plane</t>
  </si>
  <si>
    <t>P21 plane</t>
  </si>
  <si>
    <t>P22 plane</t>
  </si>
  <si>
    <t>P23 plane</t>
  </si>
  <si>
    <t>P24 plane</t>
  </si>
  <si>
    <t>P25 plane</t>
  </si>
  <si>
    <t>P26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</si>
  <si>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</si>
  <si>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</si>
  <si>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</si>
  <si>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</si>
  <si>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</si>
  <si>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</si>
  <si>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</si>
  <si>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</si>
  <si>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</si>
  <si>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</si>
  <si>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</si>
  <si>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</si>
  <si>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</si>
  <si>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</si>
  <si>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</si>
  <si>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</si>
  <si>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</si>
  <si>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</si>
  <si>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</si>
  <si>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</si>
  <si>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</si>
  <si>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</si>
  <si>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P26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</si>
  <si>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</si>
  <si>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</si>
  <si>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</si>
  <si>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</si>
  <si>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</si>
  <si>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</si>
  <si>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</si>
  <si>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</si>
  <si>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</si>
  <si>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GEOMETRIC P–Mθ DEMAND-PLANE DIAGNOSTIC</t>
  </si>
  <si>
    <t>Independent plane-cut diagnostic on the fixed surface. The application Vertical chart is a direct fixed or exact-β meridian, not this demand-moment plane.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</si>
  <si>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</si>
  <si>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</si>
  <si>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</si>
  <si>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</si>
  <si>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</si>
  <si>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</si>
  <si>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</si>
  <si>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</si>
  <si>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</si>
  <si>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</si>
  <si>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</si>
  <si>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</si>
  <si>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</si>
  <si>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c/D = 3</t>
  </si>
  <si>
    <t>c/D = 2</t>
  </si>
  <si>
    <t>c/D = 1.5</t>
  </si>
  <si>
    <t>c/D = 1.2</t>
  </si>
  <si>
    <t>c/D = 1.1</t>
  </si>
  <si>
    <t>c/D = 1</t>
  </si>
  <si>
    <t>εₛ/εy = 0</t>
  </si>
  <si>
    <t>εₛ/εy = 0.25</t>
  </si>
  <si>
    <t>εₛ/εy = 0.375</t>
  </si>
  <si>
    <t>εₛ/εy = 0.5</t>
  </si>
  <si>
    <t>εₛ/εy = 0.625</t>
  </si>
  <si>
    <t>εₛ/εy = 0.75</t>
  </si>
  <si>
    <t>εₛ/εy = 0.875</t>
  </si>
  <si>
    <t>εₛ/εy = 1</t>
  </si>
  <si>
    <t>εₛ/εy = 1.25</t>
  </si>
  <si>
    <t>εₛ/εy = 1.5</t>
  </si>
  <si>
    <t>εₛ/εy = 1.75</t>
  </si>
  <si>
    <t>εₛ/εy = 2</t>
  </si>
  <si>
    <t>εₛ/εy = 2.5</t>
  </si>
  <si>
    <t>εₛ/εy = 3</t>
  </si>
  <si>
    <t>εₛ/εy = 4</t>
  </si>
  <si>
    <t>εₛ/εy = 5</t>
  </si>
  <si>
    <t>εₛ/εy = 7.5</t>
  </si>
  <si>
    <t>εₛ/εy = 10</t>
  </si>
  <si>
    <t>εₛ/εy = 20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</si>
  <si>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</si>
  <si>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</si>
  <si>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</si>
  <si>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</si>
  <si>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</si>
  <si>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</si>
  <si>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</si>
  <si>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</si>
  <si>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</si>
  <si>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</si>
  <si>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36x27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</si>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</sst>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1.5393849947404965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6" t="s">
        <v>154</v>
      </c>
      <c r="D31" t="s">
        <v>11</v>
      </c>
      <c r="E31" t="s">
        <v>155</v>
      </c>
    </row>
    <row r="32" spans="2:5" x14ac:dyDescent="0.25">
      <c r="B32" t="s">
        <v>156</v>
      </c>
      <c r="C32" s="15">
        <v>16203.173467113704</v>
      </c>
      <c r="D32" t="s">
        <v>56</v>
      </c>
      <c r="E32" t="s">
        <v>157</v>
      </c>
    </row>
    <row r="33" spans="2:5" x14ac:dyDescent="0.25">
      <c r="B33" t="s">
        <v>158</v>
      </c>
      <c r="C33" s="15">
        <v>2412.759612788625</v>
      </c>
      <c r="D33" t="s">
        <v>59</v>
      </c>
      <c r="E33" t="s">
        <v>157</v>
      </c>
    </row>
    <row r="34" spans="2:5" x14ac:dyDescent="0.25">
      <c r="B34" t="s">
        <v>159</v>
      </c>
      <c r="C34" s="15">
        <v>930.0991841462233</v>
      </c>
      <c r="D34" t="s">
        <v>59</v>
      </c>
      <c r="E34" t="s">
        <v>157</v>
      </c>
    </row>
    <row r="35" spans="2:5" x14ac:dyDescent="0.25">
      <c r="B35" t="s">
        <v>160</v>
      </c>
      <c r="C35" s="15">
        <v>0.65</v>
      </c>
      <c r="D35" t="s">
        <v>17</v>
      </c>
      <c r="E35" t="s">
        <v>161</v>
      </c>
    </row>
    <row r="36" spans="2:5" x14ac:dyDescent="0.25">
      <c r="B36" t="s">
        <v>162</v>
      </c>
      <c r="C36" s="15">
        <v>0</v>
      </c>
      <c r="D36" t="s">
        <v>17</v>
      </c>
      <c r="E36" t="s">
        <v>163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164</v>
      </c>
      <c r="C1" s="1"/>
      <c r="D1" s="1"/>
      <c r="E1" s="1"/>
      <c r="F1" s="1"/>
      <c r="G1" s="1"/>
      <c r="H1" s="1"/>
    </row>
    <row r="2" spans="2:2" x14ac:dyDescent="0.25">
      <c r="B2" s="5" t="s">
        <v>165</v>
      </c>
    </row>
    <row r="4" spans="2:8" x14ac:dyDescent="0.25">
      <c r="B4" s="3" t="s">
        <v>166</v>
      </c>
      <c r="C4" s="3"/>
      <c r="D4" s="3"/>
      <c r="E4" s="3"/>
      <c r="F4" s="3"/>
      <c r="G4" s="3"/>
      <c r="H4" s="3"/>
    </row>
    <row r="5" spans="2:7" x14ac:dyDescent="0.25">
      <c r="B5" s="17" t="s">
        <v>167</v>
      </c>
      <c r="C5" s="17" t="s">
        <v>168</v>
      </c>
      <c r="D5" s="17" t="s">
        <v>169</v>
      </c>
      <c r="E5" s="17" t="s">
        <v>170</v>
      </c>
      <c r="F5" s="17" t="s">
        <v>171</v>
      </c>
      <c r="G5" s="17" t="s">
        <v>172</v>
      </c>
    </row>
    <row r="6" spans="2:7" x14ac:dyDescent="0.25">
      <c r="B6">
        <v>1</v>
      </c>
      <c r="C6" t="s">
        <v>166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166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166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166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166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166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166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166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173</v>
      </c>
      <c r="F14" s="21">
        <f>SUM(F6:F13)/2</f>
      </c>
    </row>
    <row r="16" spans="2:8" x14ac:dyDescent="0.25">
      <c r="B16" s="3" t="s">
        <v>174</v>
      </c>
      <c r="C16" s="3"/>
      <c r="D16" s="3"/>
      <c r="E16" s="3"/>
      <c r="F16" s="3"/>
      <c r="G16" s="3"/>
      <c r="H16" s="3"/>
    </row>
    <row r="17" spans="2:7" x14ac:dyDescent="0.25">
      <c r="B17" s="17" t="s">
        <v>167</v>
      </c>
      <c r="C17" s="17" t="s">
        <v>168</v>
      </c>
      <c r="D17" s="17" t="s">
        <v>169</v>
      </c>
      <c r="E17" s="17" t="s">
        <v>170</v>
      </c>
      <c r="F17" s="17" t="s">
        <v>171</v>
      </c>
      <c r="G17" s="17" t="s">
        <v>172</v>
      </c>
    </row>
    <row r="18" spans="2:7" x14ac:dyDescent="0.25">
      <c r="B18">
        <v>1</v>
      </c>
      <c r="C18" t="s">
        <v>174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174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174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174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174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174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174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174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173</v>
      </c>
      <c r="F26" s="21">
        <f>SUM(F18:F25)/2</f>
      </c>
    </row>
    <row r="28" spans="2:8" x14ac:dyDescent="0.25">
      <c r="B28" s="3" t="s">
        <v>175</v>
      </c>
      <c r="C28" s="3"/>
      <c r="D28" s="3"/>
      <c r="E28" s="3"/>
      <c r="F28" s="3"/>
      <c r="G28" s="3"/>
      <c r="H28" s="3"/>
    </row>
    <row r="29" spans="2:7" x14ac:dyDescent="0.25">
      <c r="B29" s="17" t="s">
        <v>167</v>
      </c>
      <c r="C29" s="17" t="s">
        <v>168</v>
      </c>
      <c r="D29" s="17" t="s">
        <v>169</v>
      </c>
      <c r="E29" s="17" t="s">
        <v>170</v>
      </c>
      <c r="F29" s="17" t="s">
        <v>171</v>
      </c>
      <c r="G29" s="17" t="s">
        <v>172</v>
      </c>
    </row>
    <row r="30" spans="2:7" x14ac:dyDescent="0.25">
      <c r="B30">
        <v>1</v>
      </c>
      <c r="C30" t="s">
        <v>175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175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175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175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175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175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175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175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173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167</v>
      </c>
      <c r="C41" s="17" t="s">
        <v>176</v>
      </c>
      <c r="D41" s="17" t="s">
        <v>169</v>
      </c>
      <c r="E41" s="17" t="s">
        <v>170</v>
      </c>
      <c r="F41" s="17" t="s">
        <v>177</v>
      </c>
      <c r="G41" s="17" t="s">
        <v>172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178</v>
      </c>
      <c r="C61" s="3"/>
      <c r="D61" s="3"/>
      <c r="E61" s="3"/>
      <c r="F61" s="3"/>
      <c r="G61" s="3"/>
      <c r="H61" s="3"/>
    </row>
    <row r="62" spans="2:7" x14ac:dyDescent="0.25">
      <c r="B62" t="s">
        <v>179</v>
      </c>
      <c r="D62" s="21">
        <f>ABS(SUM(F6:F13)/2)+-ABS(SUM(F18:F25)/2)+-ABS(SUM(F30:F37)/2)</f>
      </c>
      <c r="E62" t="s">
        <v>71</v>
      </c>
      <c r="G62" s="5" t="s">
        <v>180</v>
      </c>
    </row>
    <row r="63" spans="2:7" x14ac:dyDescent="0.25">
      <c r="B63" t="s">
        <v>181</v>
      </c>
      <c r="D63" s="22">
        <f>MAX(G6:G13)</f>
      </c>
      <c r="E63" t="s">
        <v>46</v>
      </c>
      <c r="G63" s="5" t="s">
        <v>182</v>
      </c>
    </row>
    <row r="64" spans="2:5" x14ac:dyDescent="0.25">
      <c r="B64" t="s">
        <v>183</v>
      </c>
      <c r="D64" s="22">
        <f>MIN(G6:G13)</f>
      </c>
      <c r="E64" t="s">
        <v>46</v>
      </c>
    </row>
    <row r="65" spans="2:7" x14ac:dyDescent="0.25">
      <c r="B65" t="s">
        <v>184</v>
      </c>
      <c r="D65" s="22">
        <f>MIN(G42:G59)</f>
      </c>
      <c r="E65" t="s">
        <v>46</v>
      </c>
      <c r="G65" s="5" t="s">
        <v>185</v>
      </c>
    </row>
    <row r="66" spans="2:5" x14ac:dyDescent="0.25">
      <c r="B66" t="s">
        <v>186</v>
      </c>
      <c r="D66" s="22">
        <f>u_max-u_bar</f>
      </c>
      <c r="E66" t="s">
        <v>46</v>
      </c>
    </row>
    <row r="67" spans="2:5" x14ac:dyDescent="0.25">
      <c r="B67" t="s">
        <v>187</v>
      </c>
      <c r="D67" s="22">
        <f>u_max-u_min</f>
      </c>
      <c r="E67" t="s">
        <v>46</v>
      </c>
    </row>
    <row r="68" spans="2:5" x14ac:dyDescent="0.25">
      <c r="B68" t="s">
        <v>188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189</v>
      </c>
      <c r="B1" s="23"/>
      <c r="C1" s="23"/>
      <c r="D1" s="23"/>
    </row>
    <row r="2" ht="30" customHeight="1" spans="1:4" x14ac:dyDescent="0.25">
      <c r="A2" s="2" t="s">
        <v>190</v>
      </c>
      <c r="B2" s="2"/>
      <c r="C2" s="2"/>
      <c r="D2" s="2"/>
    </row>
    <row r="4" spans="1:4" x14ac:dyDescent="0.25">
      <c r="A4" s="24" t="s">
        <v>167</v>
      </c>
      <c r="B4" s="24" t="s">
        <v>169</v>
      </c>
      <c r="C4" s="24" t="s">
        <v>170</v>
      </c>
      <c r="D4" s="24" t="s">
        <v>191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8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192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193</v>
      </c>
    </row>
    <row r="4" spans="2:24" x14ac:dyDescent="0.25">
      <c r="B4" s="25" t="s">
        <v>194</v>
      </c>
      <c r="C4" s="25"/>
      <c r="D4" s="25"/>
      <c r="E4" s="25"/>
      <c r="F4" s="25" t="s">
        <v>195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196</v>
      </c>
      <c r="Q4" s="25"/>
      <c r="R4" s="25"/>
      <c r="S4" s="25" t="s">
        <v>197</v>
      </c>
      <c r="T4" s="25"/>
      <c r="U4" s="25"/>
      <c r="V4" s="25"/>
      <c r="W4" s="25" t="s">
        <v>198</v>
      </c>
      <c r="X4" s="25"/>
    </row>
    <row r="5" ht="30" customHeight="1" spans="2:24" x14ac:dyDescent="0.25">
      <c r="B5" s="17" t="s">
        <v>199</v>
      </c>
      <c r="C5" s="17" t="s">
        <v>200</v>
      </c>
      <c r="D5" s="17" t="s">
        <v>201</v>
      </c>
      <c r="E5" s="17" t="s">
        <v>202</v>
      </c>
      <c r="F5" s="17" t="s">
        <v>203</v>
      </c>
      <c r="G5" s="17" t="s">
        <v>204</v>
      </c>
      <c r="H5" s="17" t="s">
        <v>205</v>
      </c>
      <c r="I5" s="17" t="s">
        <v>206</v>
      </c>
      <c r="J5" s="17" t="s">
        <v>207</v>
      </c>
      <c r="K5" s="17" t="s">
        <v>208</v>
      </c>
      <c r="L5" s="17" t="s">
        <v>209</v>
      </c>
      <c r="M5" s="17" t="s">
        <v>210</v>
      </c>
      <c r="N5" s="17" t="s">
        <v>211</v>
      </c>
      <c r="O5" s="17" t="s">
        <v>212</v>
      </c>
      <c r="P5" s="17" t="s">
        <v>210</v>
      </c>
      <c r="Q5" s="17" t="s">
        <v>211</v>
      </c>
      <c r="R5" s="17" t="s">
        <v>212</v>
      </c>
      <c r="S5" s="17" t="s">
        <v>210</v>
      </c>
      <c r="T5" s="17" t="s">
        <v>211</v>
      </c>
      <c r="U5" s="17" t="s">
        <v>212</v>
      </c>
      <c r="V5" s="17" t="s">
        <v>213</v>
      </c>
      <c r="W5" s="17" t="s">
        <v>214</v>
      </c>
      <c r="X5" s="17" t="s">
        <v>215</v>
      </c>
    </row>
    <row r="7" spans="2:24" x14ac:dyDescent="0.25">
      <c r="B7" s="26" t="s">
        <v>216</v>
      </c>
      <c r="C7" s="27"/>
      <c r="D7" s="27"/>
      <c r="E7" s="27"/>
      <c r="F7" s="28" t="s">
        <v>217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218</v>
      </c>
      <c r="C8" s="36">
        <v>3</v>
      </c>
      <c r="D8" s="36"/>
      <c r="E8" s="36"/>
      <c r="F8" s="20">
        <f>u_max-C8*(u_max-u_min)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219</v>
      </c>
      <c r="C9" s="36">
        <v>2</v>
      </c>
      <c r="D9" s="36"/>
      <c r="E9" s="36"/>
      <c r="F9" s="20">
        <f>u_max-C9*(u_max-u_min)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33850.50181793656</v>
      </c>
      <c r="X9" s="40">
        <f>IF(ABS(W9)&lt;0.000000001,0,(S9-W9)/W9*100)</f>
      </c>
    </row>
    <row r="10" spans="2:24" x14ac:dyDescent="0.25">
      <c r="B10" s="35" t="s">
        <v>220</v>
      </c>
      <c r="C10" s="36">
        <v>1.5</v>
      </c>
      <c r="D10" s="36"/>
      <c r="E10" s="36"/>
      <c r="F10" s="20">
        <f>u_max-C10*(u_max-u_min)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32774.62802725625</v>
      </c>
      <c r="X10" s="40">
        <f>IF(ABS(W10)&lt;0.000000001,0,(S10-W10)/W10*100)</f>
      </c>
    </row>
    <row r="11" spans="2:24" x14ac:dyDescent="0.25">
      <c r="B11" s="35" t="s">
        <v>221</v>
      </c>
      <c r="C11" s="36">
        <v>1.2</v>
      </c>
      <c r="D11" s="36"/>
      <c r="E11" s="36"/>
      <c r="F11" s="20">
        <f>u_max-C11*(u_max-u_min)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30527.487770543754</v>
      </c>
      <c r="X11" s="40">
        <f>IF(ABS(W11)&lt;0.000000001,0,(S11-W11)/W11*100)</f>
      </c>
    </row>
    <row r="12" spans="2:24" x14ac:dyDescent="0.25">
      <c r="B12" s="35" t="s">
        <v>222</v>
      </c>
      <c r="C12" s="36">
        <v>1.1</v>
      </c>
      <c r="D12" s="36"/>
      <c r="E12" s="36"/>
      <c r="F12" s="20">
        <f>u_max-C12*(u_max-u_min)</f>
      </c>
      <c r="G12" s="37">
        <f>ROUND(0,0)</f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29097.594418450528</v>
      </c>
      <c r="X12" s="40">
        <f>IF(ABS(W12)&lt;0.000000001,0,(S12-W12)/W12*100)</f>
      </c>
    </row>
    <row r="13" spans="2:24" x14ac:dyDescent="0.25">
      <c r="B13" s="35" t="s">
        <v>223</v>
      </c>
      <c r="C13" s="36">
        <v>1</v>
      </c>
      <c r="D13" s="36"/>
      <c r="E13" s="36"/>
      <c r="F13" s="20">
        <f>u_max-C13*(u_max-u_min)</f>
      </c>
      <c r="G13" s="37">
        <f>ROUND(0,0)</f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27011.95729301388</v>
      </c>
      <c r="X13" s="40">
        <f>IF(ABS(W13)&lt;0.000000001,0,(S13-W13)/W13*100)</f>
      </c>
    </row>
    <row r="14" spans="2:24" x14ac:dyDescent="0.25">
      <c r="B14" s="35" t="s">
        <v>224</v>
      </c>
      <c r="C14" s="36"/>
      <c r="D14" s="36">
        <v>0</v>
      </c>
      <c r="E14" s="36"/>
      <c r="F14" s="20">
        <f>u_bar</f>
      </c>
      <c r="G14" s="15">
        <v>2.168404344971009e-19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24941.453505539637</v>
      </c>
      <c r="X14" s="40">
        <f>IF(ABS(W14)&lt;0.000000001,0,(S14-W14)/W14*100)</f>
      </c>
    </row>
    <row r="15" spans="2:24" x14ac:dyDescent="0.25">
      <c r="B15" s="35" t="s">
        <v>225</v>
      </c>
      <c r="C15" s="36"/>
      <c r="D15" s="36">
        <v>0.25</v>
      </c>
      <c r="E15" s="36"/>
      <c r="F15" s="20">
        <f>u_bar</f>
      </c>
      <c r="G15" s="15">
        <v>-0.0005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21079.019157045306</v>
      </c>
      <c r="X15" s="40">
        <f>IF(ABS(W15)&lt;0.000000001,0,(S15-W15)/W15*100)</f>
      </c>
    </row>
    <row r="16" spans="2:24" x14ac:dyDescent="0.25">
      <c r="B16" s="35" t="s">
        <v>226</v>
      </c>
      <c r="C16" s="36"/>
      <c r="D16" s="36">
        <v>0.375</v>
      </c>
      <c r="E16" s="36"/>
      <c r="F16" s="20">
        <f>u_bar</f>
      </c>
      <c r="G16" s="15">
        <v>-0.0007499999999999994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19511.951064896195</v>
      </c>
      <c r="X16" s="40">
        <f>IF(ABS(W16)&lt;0.000000001,0,(S16-W16)/W16*100)</f>
      </c>
    </row>
    <row r="17" spans="2:24" x14ac:dyDescent="0.25">
      <c r="B17" s="35" t="s">
        <v>227</v>
      </c>
      <c r="C17" s="36"/>
      <c r="D17" s="36">
        <v>0.5</v>
      </c>
      <c r="E17" s="36"/>
      <c r="F17" s="20">
        <f>u_bar</f>
      </c>
      <c r="G17" s="15">
        <v>-0.0009999999999999996</v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18153.31005527712</v>
      </c>
      <c r="X17" s="40">
        <f>IF(ABS(W17)&lt;0.000000001,0,(S17-W17)/W17*100)</f>
      </c>
    </row>
    <row r="18" spans="2:24" x14ac:dyDescent="0.25">
      <c r="B18" s="35" t="s">
        <v>228</v>
      </c>
      <c r="C18" s="36"/>
      <c r="D18" s="36">
        <v>0.625</v>
      </c>
      <c r="E18" s="36"/>
      <c r="F18" s="20">
        <f>u_bar</f>
      </c>
      <c r="G18" s="15">
        <v>-0.0012499999999999998</v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16953.847448644996</v>
      </c>
      <c r="X18" s="40">
        <f>IF(ABS(W18)&lt;0.000000001,0,(S18-W18)/W18*100)</f>
      </c>
    </row>
    <row r="19" spans="2:24" x14ac:dyDescent="0.25">
      <c r="B19" s="35" t="s">
        <v>229</v>
      </c>
      <c r="C19" s="36"/>
      <c r="D19" s="36">
        <v>0.75</v>
      </c>
      <c r="E19" s="36"/>
      <c r="F19" s="20">
        <f>u_bar</f>
      </c>
      <c r="G19" s="15">
        <v>-0.0015000000000000005</v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15853.978475694379</v>
      </c>
      <c r="X19" s="40">
        <f>IF(ABS(W19)&lt;0.000000001,0,(S19-W19)/W19*100)</f>
      </c>
    </row>
    <row r="20" spans="2:24" x14ac:dyDescent="0.25">
      <c r="B20" s="35" t="s">
        <v>230</v>
      </c>
      <c r="C20" s="36"/>
      <c r="D20" s="36">
        <v>0.875</v>
      </c>
      <c r="E20" s="36"/>
      <c r="F20" s="20">
        <f>u_bar</f>
      </c>
      <c r="G20" s="15">
        <v>-0.0017499999999999998</v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14830.262128727716</v>
      </c>
      <c r="X20" s="40">
        <f>IF(ABS(W20)&lt;0.000000001,0,(S20-W20)/W20*100)</f>
      </c>
    </row>
    <row r="21" spans="2:24" x14ac:dyDescent="0.25">
      <c r="B21" s="35" t="s">
        <v>231</v>
      </c>
      <c r="C21" s="36"/>
      <c r="D21" s="36">
        <v>1</v>
      </c>
      <c r="E21" s="36"/>
      <c r="F21" s="20">
        <f>u_bar</f>
      </c>
      <c r="G21" s="15">
        <v>-0.002</v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13872.542689247419</v>
      </c>
      <c r="X21" s="40">
        <f>IF(ABS(W21)&lt;0.000000001,0,(S21-W21)/W21*100)</f>
      </c>
    </row>
    <row r="22" spans="2:24" x14ac:dyDescent="0.25">
      <c r="B22" s="35" t="s">
        <v>232</v>
      </c>
      <c r="C22" s="36"/>
      <c r="D22" s="36">
        <v>1.25</v>
      </c>
      <c r="E22" s="36"/>
      <c r="F22" s="20">
        <f>u_bar</f>
      </c>
      <c r="G22" s="15">
        <v>-0.0025</v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12219.38299624925</v>
      </c>
      <c r="X22" s="40">
        <f>IF(ABS(W22)&lt;0.000000001,0,(S22-W22)/W22*100)</f>
      </c>
    </row>
    <row r="23" spans="2:24" x14ac:dyDescent="0.25">
      <c r="B23" s="35" t="s">
        <v>233</v>
      </c>
      <c r="C23" s="36"/>
      <c r="D23" s="36">
        <v>1.5</v>
      </c>
      <c r="E23" s="36"/>
      <c r="F23" s="20">
        <f>u_bar</f>
      </c>
      <c r="G23" s="15">
        <v>-0.003</v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10905.321204451915</v>
      </c>
      <c r="X23" s="40">
        <f>IF(ABS(W23)&lt;0.000000001,0,(S23-W23)/W23*100)</f>
      </c>
    </row>
    <row r="24" spans="2:24" x14ac:dyDescent="0.25">
      <c r="B24" s="35" t="s">
        <v>234</v>
      </c>
      <c r="C24" s="36"/>
      <c r="D24" s="36">
        <v>1.75</v>
      </c>
      <c r="E24" s="36"/>
      <c r="F24" s="20">
        <f>u_bar</f>
      </c>
      <c r="G24" s="15">
        <v>-0.0035000000000000005</v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9823.79302508641</v>
      </c>
      <c r="X24" s="40">
        <f>IF(ABS(W24)&lt;0.000000001,0,(S24-W24)/W24*100)</f>
      </c>
    </row>
    <row r="25" spans="2:24" x14ac:dyDescent="0.25">
      <c r="B25" s="35" t="s">
        <v>235</v>
      </c>
      <c r="C25" s="36"/>
      <c r="D25" s="36">
        <v>2</v>
      </c>
      <c r="E25" s="36"/>
      <c r="F25" s="20">
        <f>u_bar</f>
      </c>
      <c r="G25" s="15">
        <v>-0.004</v>
      </c>
      <c r="H25" s="12">
        <f>ecu/I25</f>
      </c>
      <c r="I25" s="38">
        <f>(ecu-G25)/(u_max-F25)</f>
      </c>
      <c r="J25" s="37">
        <f>ecu-I25*u_max</f>
      </c>
      <c r="K25" s="38">
        <f>I25*COS(RADIANS(beta))</f>
      </c>
      <c r="L25" s="38">
        <f>I25*SIN(RADIANS(beta))</f>
      </c>
      <c r="M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10">
        <f>Steel!EF6/1000</f>
      </c>
      <c r="Q25" s="10">
        <f>Steel!EG6/1000000</f>
      </c>
      <c r="R25" s="10">
        <f>Steel!EH6/1000000</f>
      </c>
      <c r="S25" s="39">
        <f>M25+P25</f>
      </c>
      <c r="T25" s="39">
        <f>N25+Q25</f>
      </c>
      <c r="U25" s="39">
        <f>O25+R25</f>
      </c>
      <c r="V25" s="10">
        <f>SQRT(T25^2+U25^2)</f>
      </c>
      <c r="W25" s="10">
        <v>8823.417547821995</v>
      </c>
      <c r="X25" s="40">
        <f>IF(ABS(W25)&lt;0.000000001,0,(S25-W25)/W25*100)</f>
      </c>
    </row>
    <row r="26" spans="2:24" x14ac:dyDescent="0.25">
      <c r="B26" s="35" t="s">
        <v>236</v>
      </c>
      <c r="C26" s="36"/>
      <c r="D26" s="36">
        <v>2.5</v>
      </c>
      <c r="E26" s="36"/>
      <c r="F26" s="20">
        <f>u_bar</f>
      </c>
      <c r="G26" s="15">
        <v>-0.005</v>
      </c>
      <c r="H26" s="12">
        <f>ecu/I26</f>
      </c>
      <c r="I26" s="38">
        <f>(ecu-G26)/(u_max-F26)</f>
      </c>
      <c r="J26" s="37">
        <f>ecu-I26*u_max</f>
      </c>
      <c r="K26" s="38">
        <f>I26*COS(RADIANS(beta))</f>
      </c>
      <c r="L26" s="38">
        <f>I26*SIN(RADIANS(beta))</f>
      </c>
      <c r="M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)/1000</f>
      </c>
      <c r="N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Y)/1000000</f>
      </c>
      <c r="O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X)/1000000</f>
      </c>
      <c r="P26" s="10">
        <f>Steel!EM6/1000</f>
      </c>
      <c r="Q26" s="10">
        <f>Steel!EN6/1000000</f>
      </c>
      <c r="R26" s="10">
        <f>Steel!EO6/1000000</f>
      </c>
      <c r="S26" s="39">
        <f>M26+P26</f>
      </c>
      <c r="T26" s="39">
        <f>N26+Q26</f>
      </c>
      <c r="U26" s="39">
        <f>O26+R26</f>
      </c>
      <c r="V26" s="10">
        <f>SQRT(T26^2+U26^2)</f>
      </c>
      <c r="W26" s="10">
        <v>7089.749963110848</v>
      </c>
      <c r="X26" s="40">
        <f>IF(ABS(W26)&lt;0.000000001,0,(S26-W26)/W26*100)</f>
      </c>
    </row>
    <row r="27" spans="2:24" x14ac:dyDescent="0.25">
      <c r="B27" s="35" t="s">
        <v>237</v>
      </c>
      <c r="C27" s="36"/>
      <c r="D27" s="36">
        <v>3</v>
      </c>
      <c r="E27" s="36"/>
      <c r="F27" s="20">
        <f>u_bar</f>
      </c>
      <c r="G27" s="15">
        <v>-0.005999999999999998</v>
      </c>
      <c r="H27" s="12">
        <f>ecu/I27</f>
      </c>
      <c r="I27" s="38">
        <f>(ecu-G27)/(u_max-F27)</f>
      </c>
      <c r="J27" s="37">
        <f>ecu-I27*u_max</f>
      </c>
      <c r="K27" s="38">
        <f>I27*COS(RADIANS(beta))</f>
      </c>
      <c r="L27" s="38">
        <f>I27*SIN(RADIANS(beta))</f>
      </c>
      <c r="M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)/1000</f>
      </c>
      <c r="N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Y)/1000000</f>
      </c>
      <c r="O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X)/1000000</f>
      </c>
      <c r="P27" s="10">
        <f>Steel!ET6/1000</f>
      </c>
      <c r="Q27" s="10">
        <f>Steel!EU6/1000000</f>
      </c>
      <c r="R27" s="10">
        <f>Steel!EV6/1000000</f>
      </c>
      <c r="S27" s="39">
        <f>M27+P27</f>
      </c>
      <c r="T27" s="39">
        <f>N27+Q27</f>
      </c>
      <c r="U27" s="39">
        <f>O27+R27</f>
      </c>
      <c r="V27" s="10">
        <f>SQRT(T27^2+U27^2)</f>
      </c>
      <c r="W27" s="10">
        <v>5653.327167182719</v>
      </c>
      <c r="X27" s="40">
        <f>IF(ABS(W27)&lt;0.000000001,0,(S27-W27)/W27*100)</f>
      </c>
    </row>
    <row r="28" spans="2:24" x14ac:dyDescent="0.25">
      <c r="B28" s="35" t="s">
        <v>238</v>
      </c>
      <c r="C28" s="36"/>
      <c r="D28" s="36">
        <v>4</v>
      </c>
      <c r="E28" s="36"/>
      <c r="F28" s="20">
        <f>u_bar</f>
      </c>
      <c r="G28" s="15">
        <v>-0.008</v>
      </c>
      <c r="H28" s="12">
        <f>ecu/I28</f>
      </c>
      <c r="I28" s="38">
        <f>(ecu-G28)/(u_max-F28)</f>
      </c>
      <c r="J28" s="37">
        <f>ecu-I28*u_max</f>
      </c>
      <c r="K28" s="38">
        <f>I28*COS(RADIANS(beta))</f>
      </c>
      <c r="L28" s="38">
        <f>I28*SIN(RADIANS(beta))</f>
      </c>
      <c r="M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)/1000</f>
      </c>
      <c r="N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Y)/1000000</f>
      </c>
      <c r="O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X)/1000000</f>
      </c>
      <c r="P28" s="10">
        <f>Steel!FA6/1000</f>
      </c>
      <c r="Q28" s="10">
        <f>Steel!FB6/1000000</f>
      </c>
      <c r="R28" s="10">
        <f>Steel!FC6/1000000</f>
      </c>
      <c r="S28" s="39">
        <f>M28+P28</f>
      </c>
      <c r="T28" s="39">
        <f>N28+Q28</f>
      </c>
      <c r="U28" s="39">
        <f>O28+R28</f>
      </c>
      <c r="V28" s="10">
        <f>SQRT(T28^2+U28^2)</f>
      </c>
      <c r="W28" s="10">
        <v>3322.757244273447</v>
      </c>
      <c r="X28" s="40">
        <f>IF(ABS(W28)&lt;0.000000001,0,(S28-W28)/W28*100)</f>
      </c>
    </row>
    <row r="29" spans="2:24" x14ac:dyDescent="0.25">
      <c r="B29" s="35" t="s">
        <v>239</v>
      </c>
      <c r="C29" s="36"/>
      <c r="D29" s="36">
        <v>5</v>
      </c>
      <c r="E29" s="36"/>
      <c r="F29" s="20">
        <f>u_bar</f>
      </c>
      <c r="G29" s="15">
        <v>-0.009999999999999997</v>
      </c>
      <c r="H29" s="12">
        <f>ecu/I29</f>
      </c>
      <c r="I29" s="38">
        <f>(ecu-G29)/(u_max-F29)</f>
      </c>
      <c r="J29" s="37">
        <f>ecu-I29*u_max</f>
      </c>
      <c r="K29" s="38">
        <f>I29*COS(RADIANS(beta))</f>
      </c>
      <c r="L29" s="38">
        <f>I29*SIN(RADIANS(beta))</f>
      </c>
      <c r="M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)/1000</f>
      </c>
      <c r="N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Y)/1000000</f>
      </c>
      <c r="O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X)/1000000</f>
      </c>
      <c r="P29" s="10">
        <f>Steel!FH6/1000</f>
      </c>
      <c r="Q29" s="10">
        <f>Steel!FI6/1000000</f>
      </c>
      <c r="R29" s="10">
        <f>Steel!FJ6/1000000</f>
      </c>
      <c r="S29" s="39">
        <f>M29+P29</f>
      </c>
      <c r="T29" s="39">
        <f>N29+Q29</f>
      </c>
      <c r="U29" s="39">
        <f>O29+R29</f>
      </c>
      <c r="V29" s="10">
        <f>SQRT(T29^2+U29^2)</f>
      </c>
      <c r="W29" s="10">
        <v>1694.8502135948982</v>
      </c>
      <c r="X29" s="40">
        <f>IF(ABS(W29)&lt;0.000000001,0,(S29-W29)/W29*100)</f>
      </c>
    </row>
    <row r="30" spans="2:24" x14ac:dyDescent="0.25">
      <c r="B30" s="35" t="s">
        <v>240</v>
      </c>
      <c r="C30" s="36"/>
      <c r="D30" s="36">
        <v>7.5</v>
      </c>
      <c r="E30" s="36"/>
      <c r="F30" s="20">
        <f>u_bar</f>
      </c>
      <c r="G30" s="15">
        <v>-0.015</v>
      </c>
      <c r="H30" s="12">
        <f>ecu/I30</f>
      </c>
      <c r="I30" s="38">
        <f>(ecu-G30)/(u_max-F30)</f>
      </c>
      <c r="J30" s="37">
        <f>ecu-I30*u_max</f>
      </c>
      <c r="K30" s="38">
        <f>I30*COS(RADIANS(beta))</f>
      </c>
      <c r="L30" s="38">
        <f>I30*SIN(RADIANS(beta))</f>
      </c>
      <c r="M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)/1000</f>
      </c>
      <c r="N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Y)/1000000</f>
      </c>
      <c r="O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X)/1000000</f>
      </c>
      <c r="P30" s="10">
        <f>Steel!FO6/1000</f>
      </c>
      <c r="Q30" s="10">
        <f>Steel!FP6/1000000</f>
      </c>
      <c r="R30" s="10">
        <f>Steel!FQ6/1000000</f>
      </c>
      <c r="S30" s="39">
        <f>M30+P30</f>
      </c>
      <c r="T30" s="39">
        <f>N30+Q30</f>
      </c>
      <c r="U30" s="39">
        <f>O30+R30</f>
      </c>
      <c r="V30" s="10">
        <f>SQRT(T30^2+U30^2)</f>
      </c>
      <c r="W30" s="10">
        <v>-1005.0490032452154</v>
      </c>
      <c r="X30" s="40">
        <f>IF(ABS(W30)&lt;0.000000001,0,(S30-W30)/W30*100)</f>
      </c>
    </row>
    <row r="31" spans="2:24" x14ac:dyDescent="0.25">
      <c r="B31" s="35" t="s">
        <v>241</v>
      </c>
      <c r="C31" s="36"/>
      <c r="D31" s="36">
        <v>10</v>
      </c>
      <c r="E31" s="36"/>
      <c r="F31" s="20">
        <f>u_bar</f>
      </c>
      <c r="G31" s="15">
        <v>-0.020000000000000004</v>
      </c>
      <c r="H31" s="12">
        <f>ecu/I31</f>
      </c>
      <c r="I31" s="38">
        <f>(ecu-G31)/(u_max-F31)</f>
      </c>
      <c r="J31" s="37">
        <f>ecu-I31*u_max</f>
      </c>
      <c r="K31" s="38">
        <f>I31*COS(RADIANS(beta))</f>
      </c>
      <c r="L31" s="38">
        <f>I31*SIN(RADIANS(beta))</f>
      </c>
      <c r="M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)/1000</f>
      </c>
      <c r="N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Y)/1000000</f>
      </c>
      <c r="O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X)/1000000</f>
      </c>
      <c r="P31" s="10">
        <f>Steel!FV6/1000</f>
      </c>
      <c r="Q31" s="10">
        <f>Steel!FW6/1000000</f>
      </c>
      <c r="R31" s="10">
        <f>Steel!FX6/1000000</f>
      </c>
      <c r="S31" s="39">
        <f>M31+P31</f>
      </c>
      <c r="T31" s="39">
        <f>N31+Q31</f>
      </c>
      <c r="U31" s="39">
        <f>O31+R31</f>
      </c>
      <c r="V31" s="10">
        <f>SQRT(T31^2+U31^2)</f>
      </c>
      <c r="W31" s="10">
        <v>-2705.1851104091907</v>
      </c>
      <c r="X31" s="40">
        <f>IF(ABS(W31)&lt;0.000000001,0,(S31-W31)/W31*100)</f>
      </c>
    </row>
    <row r="32" spans="2:24" x14ac:dyDescent="0.25">
      <c r="B32" s="35" t="s">
        <v>242</v>
      </c>
      <c r="C32" s="36"/>
      <c r="D32" s="36">
        <v>20</v>
      </c>
      <c r="E32" s="36"/>
      <c r="F32" s="20">
        <f>u_bar</f>
      </c>
      <c r="G32" s="15">
        <v>-0.04</v>
      </c>
      <c r="H32" s="12">
        <f>ecu/I32</f>
      </c>
      <c r="I32" s="38">
        <f>(ecu-G32)/(u_max-F32)</f>
      </c>
      <c r="J32" s="37">
        <f>ecu-I32*u_max</f>
      </c>
      <c r="K32" s="38">
        <f>I32*COS(RADIANS(beta))</f>
      </c>
      <c r="L32" s="38">
        <f>I32*SIN(RADIANS(beta))</f>
      </c>
      <c r="M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)/1000</f>
      </c>
      <c r="N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Y)/1000000</f>
      </c>
      <c r="O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X)/1000000</f>
      </c>
      <c r="P32" s="10">
        <f>Steel!GC6/1000</f>
      </c>
      <c r="Q32" s="10">
        <f>Steel!GD6/1000000</f>
      </c>
      <c r="R32" s="10">
        <f>Steel!GE6/1000000</f>
      </c>
      <c r="S32" s="39">
        <f>M32+P32</f>
      </c>
      <c r="T32" s="39">
        <f>N32+Q32</f>
      </c>
      <c r="U32" s="39">
        <f>O32+R32</f>
      </c>
      <c r="V32" s="10">
        <f>SQRT(T32^2+U32^2)</f>
      </c>
      <c r="W32" s="10">
        <v>-4986.1897604569185</v>
      </c>
      <c r="X32" s="40">
        <f>IF(ABS(W32)&lt;0.000000001,0,(S32-W32)/W32*100)</f>
      </c>
    </row>
    <row r="33" spans="2:24" x14ac:dyDescent="0.25">
      <c r="B33" s="26" t="s">
        <v>243</v>
      </c>
      <c r="C33" s="27"/>
      <c r="D33" s="27"/>
      <c r="E33" s="27"/>
      <c r="F33" s="28" t="s">
        <v>217</v>
      </c>
      <c r="G33" s="29">
        <f>etu</f>
      </c>
      <c r="H33" s="30" t="s">
        <v>148</v>
      </c>
      <c r="I33" s="31">
        <v>0</v>
      </c>
      <c r="J33" s="29">
        <f>etu</f>
      </c>
      <c r="K33" s="31">
        <f>I33*COS(RADIANS(beta))</f>
      </c>
      <c r="L33" s="31">
        <f>I33*SIN(RADIANS(beta))</f>
      </c>
      <c r="M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)/1000</f>
      </c>
      <c r="N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Y)/1000000</f>
      </c>
      <c r="O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X)/1000000</f>
      </c>
      <c r="P33" s="32">
        <f>Steel!GJ6/1000</f>
      </c>
      <c r="Q33" s="32">
        <f>Steel!GK6/1000000</f>
      </c>
      <c r="R33" s="32">
        <f>Steel!GL6/1000000</f>
      </c>
      <c r="S33" s="33">
        <f>M33+P33</f>
      </c>
      <c r="T33" s="33">
        <f>N33+Q33</f>
      </c>
      <c r="U33" s="33">
        <f>O33+R33</f>
      </c>
      <c r="V33" s="32">
        <f>SQRT(T33^2+U33^2)</f>
      </c>
      <c r="W33" s="32">
        <v>-5790.583579096708</v>
      </c>
      <c r="X33" s="34">
        <f>IF(ABS(W33)&lt;0.000000001,0,(S33-W33)/W33*100)</f>
      </c>
    </row>
    <row r="35" spans="2:11" x14ac:dyDescent="0.25">
      <c r="B35" s="3" t="s">
        <v>244</v>
      </c>
      <c r="C35" s="3"/>
      <c r="D35" s="3"/>
      <c r="E35" s="3"/>
      <c r="F35" s="3"/>
      <c r="G35" s="3"/>
      <c r="H35" s="3"/>
      <c r="I35" s="3"/>
      <c r="J35" s="3"/>
      <c r="K35" s="3"/>
    </row>
    <row r="36" spans="3:3" x14ac:dyDescent="0.25">
      <c r="C36" s="5" t="s">
        <v>245</v>
      </c>
    </row>
    <row r="37" spans="3:3" x14ac:dyDescent="0.25">
      <c r="C37" s="5" t="s">
        <v>246</v>
      </c>
    </row>
    <row r="38" spans="2:4" x14ac:dyDescent="0.25">
      <c r="B38" s="11">
        <f>beta</f>
      </c>
      <c r="C38" t="s">
        <v>247</v>
      </c>
      <c r="D38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35:K35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248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249</v>
      </c>
    </row>
    <row r="3" ht="28" customHeight="1" spans="1:9" x14ac:dyDescent="0.25">
      <c r="A3" s="2" t="s">
        <v>250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251</v>
      </c>
      <c r="C4" s="41">
        <v>5</v>
      </c>
      <c r="D4" s="5">
        <f>"detail shown for station P"&amp;C4</f>
      </c>
    </row>
    <row r="5" spans="11:12" x14ac:dyDescent="0.25">
      <c r="K5" s="25" t="s">
        <v>252</v>
      </c>
      <c r="L5" s="25"/>
    </row>
    <row r="6" spans="1:12" x14ac:dyDescent="0.25">
      <c r="A6" s="17" t="s">
        <v>167</v>
      </c>
      <c r="B6" s="17" t="s">
        <v>169</v>
      </c>
      <c r="C6" s="17" t="s">
        <v>170</v>
      </c>
      <c r="D6" s="17" t="s">
        <v>191</v>
      </c>
      <c r="E6" s="17" t="s">
        <v>253</v>
      </c>
      <c r="F6" s="17" t="s">
        <v>254</v>
      </c>
      <c r="G6" s="17" t="s">
        <v>255</v>
      </c>
      <c r="H6" s="17" t="s">
        <v>256</v>
      </c>
      <c r="I6" s="17" t="s">
        <v>257</v>
      </c>
      <c r="K6" s="24" t="s">
        <v>253</v>
      </c>
      <c r="L6" s="24" t="s">
        <v>254</v>
      </c>
    </row>
    <row r="7" spans="1:9" x14ac:dyDescent="0.25">
      <c r="A7" s="35" t="s">
        <v>258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S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201" width="13" customWidth="1"/>
  </cols>
  <sheetData>
    <row r="1" spans="1:12" x14ac:dyDescent="0.25">
      <c r="A1" s="23" t="s">
        <v>259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201" x14ac:dyDescent="0.25">
      <c r="F4" s="25" t="s">
        <v>216</v>
      </c>
      <c r="G4" s="25"/>
      <c r="H4" s="25"/>
      <c r="I4" s="25"/>
      <c r="J4" s="25"/>
      <c r="K4" s="25"/>
      <c r="L4" s="25"/>
      <c r="M4" s="25" t="s">
        <v>218</v>
      </c>
      <c r="N4" s="25"/>
      <c r="O4" s="25"/>
      <c r="P4" s="25"/>
      <c r="Q4" s="25"/>
      <c r="R4" s="25"/>
      <c r="S4" s="25"/>
      <c r="T4" s="25" t="s">
        <v>219</v>
      </c>
      <c r="U4" s="25"/>
      <c r="V4" s="25"/>
      <c r="W4" s="25"/>
      <c r="X4" s="25"/>
      <c r="Y4" s="25"/>
      <c r="Z4" s="25"/>
      <c r="AA4" s="25" t="s">
        <v>220</v>
      </c>
      <c r="AB4" s="25"/>
      <c r="AC4" s="25"/>
      <c r="AD4" s="25"/>
      <c r="AE4" s="25"/>
      <c r="AF4" s="25"/>
      <c r="AG4" s="25"/>
      <c r="AH4" s="25" t="s">
        <v>221</v>
      </c>
      <c r="AI4" s="25"/>
      <c r="AJ4" s="25"/>
      <c r="AK4" s="25"/>
      <c r="AL4" s="25"/>
      <c r="AM4" s="25"/>
      <c r="AN4" s="25"/>
      <c r="AO4" s="25" t="s">
        <v>222</v>
      </c>
      <c r="AP4" s="25"/>
      <c r="AQ4" s="25"/>
      <c r="AR4" s="25"/>
      <c r="AS4" s="25"/>
      <c r="AT4" s="25"/>
      <c r="AU4" s="25"/>
      <c r="AV4" s="25" t="s">
        <v>223</v>
      </c>
      <c r="AW4" s="25"/>
      <c r="AX4" s="25"/>
      <c r="AY4" s="25"/>
      <c r="AZ4" s="25"/>
      <c r="BA4" s="25"/>
      <c r="BB4" s="25"/>
      <c r="BC4" s="25" t="s">
        <v>224</v>
      </c>
      <c r="BD4" s="25"/>
      <c r="BE4" s="25"/>
      <c r="BF4" s="25"/>
      <c r="BG4" s="25"/>
      <c r="BH4" s="25"/>
      <c r="BI4" s="25"/>
      <c r="BJ4" s="25" t="s">
        <v>225</v>
      </c>
      <c r="BK4" s="25"/>
      <c r="BL4" s="25"/>
      <c r="BM4" s="25"/>
      <c r="BN4" s="25"/>
      <c r="BO4" s="25"/>
      <c r="BP4" s="25"/>
      <c r="BQ4" s="25" t="s">
        <v>226</v>
      </c>
      <c r="BR4" s="25"/>
      <c r="BS4" s="25"/>
      <c r="BT4" s="25"/>
      <c r="BU4" s="25"/>
      <c r="BV4" s="25"/>
      <c r="BW4" s="25"/>
      <c r="BX4" s="25" t="s">
        <v>227</v>
      </c>
      <c r="BY4" s="25"/>
      <c r="BZ4" s="25"/>
      <c r="CA4" s="25"/>
      <c r="CB4" s="25"/>
      <c r="CC4" s="25"/>
      <c r="CD4" s="25"/>
      <c r="CE4" s="25" t="s">
        <v>228</v>
      </c>
      <c r="CF4" s="25"/>
      <c r="CG4" s="25"/>
      <c r="CH4" s="25"/>
      <c r="CI4" s="25"/>
      <c r="CJ4" s="25"/>
      <c r="CK4" s="25"/>
      <c r="CL4" s="25" t="s">
        <v>229</v>
      </c>
      <c r="CM4" s="25"/>
      <c r="CN4" s="25"/>
      <c r="CO4" s="25"/>
      <c r="CP4" s="25"/>
      <c r="CQ4" s="25"/>
      <c r="CR4" s="25"/>
      <c r="CS4" s="25" t="s">
        <v>230</v>
      </c>
      <c r="CT4" s="25"/>
      <c r="CU4" s="25"/>
      <c r="CV4" s="25"/>
      <c r="CW4" s="25"/>
      <c r="CX4" s="25"/>
      <c r="CY4" s="25"/>
      <c r="CZ4" s="25" t="s">
        <v>231</v>
      </c>
      <c r="DA4" s="25"/>
      <c r="DB4" s="25"/>
      <c r="DC4" s="25"/>
      <c r="DD4" s="25"/>
      <c r="DE4" s="25"/>
      <c r="DF4" s="25"/>
      <c r="DG4" s="25" t="s">
        <v>232</v>
      </c>
      <c r="DH4" s="25"/>
      <c r="DI4" s="25"/>
      <c r="DJ4" s="25"/>
      <c r="DK4" s="25"/>
      <c r="DL4" s="25"/>
      <c r="DM4" s="25"/>
      <c r="DN4" s="25" t="s">
        <v>233</v>
      </c>
      <c r="DO4" s="25"/>
      <c r="DP4" s="25"/>
      <c r="DQ4" s="25"/>
      <c r="DR4" s="25"/>
      <c r="DS4" s="25"/>
      <c r="DT4" s="25"/>
      <c r="DU4" s="25" t="s">
        <v>234</v>
      </c>
      <c r="DV4" s="25"/>
      <c r="DW4" s="25"/>
      <c r="DX4" s="25"/>
      <c r="DY4" s="25"/>
      <c r="DZ4" s="25"/>
      <c r="EA4" s="25"/>
      <c r="EB4" s="25" t="s">
        <v>235</v>
      </c>
      <c r="EC4" s="25"/>
      <c r="ED4" s="25"/>
      <c r="EE4" s="25"/>
      <c r="EF4" s="25"/>
      <c r="EG4" s="25"/>
      <c r="EH4" s="25"/>
      <c r="EI4" s="25" t="s">
        <v>236</v>
      </c>
      <c r="EJ4" s="25"/>
      <c r="EK4" s="25"/>
      <c r="EL4" s="25"/>
      <c r="EM4" s="25"/>
      <c r="EN4" s="25"/>
      <c r="EO4" s="25"/>
      <c r="EP4" s="25" t="s">
        <v>237</v>
      </c>
      <c r="EQ4" s="25"/>
      <c r="ER4" s="25"/>
      <c r="ES4" s="25"/>
      <c r="ET4" s="25"/>
      <c r="EU4" s="25"/>
      <c r="EV4" s="25"/>
      <c r="EW4" s="25" t="s">
        <v>238</v>
      </c>
      <c r="EX4" s="25"/>
      <c r="EY4" s="25"/>
      <c r="EZ4" s="25"/>
      <c r="FA4" s="25"/>
      <c r="FB4" s="25"/>
      <c r="FC4" s="25"/>
      <c r="FD4" s="25" t="s">
        <v>239</v>
      </c>
      <c r="FE4" s="25"/>
      <c r="FF4" s="25"/>
      <c r="FG4" s="25"/>
      <c r="FH4" s="25"/>
      <c r="FI4" s="25"/>
      <c r="FJ4" s="25"/>
      <c r="FK4" s="25" t="s">
        <v>240</v>
      </c>
      <c r="FL4" s="25"/>
      <c r="FM4" s="25"/>
      <c r="FN4" s="25"/>
      <c r="FO4" s="25"/>
      <c r="FP4" s="25"/>
      <c r="FQ4" s="25"/>
      <c r="FR4" s="25" t="s">
        <v>241</v>
      </c>
      <c r="FS4" s="25"/>
      <c r="FT4" s="25"/>
      <c r="FU4" s="25"/>
      <c r="FV4" s="25"/>
      <c r="FW4" s="25"/>
      <c r="FX4" s="25"/>
      <c r="FY4" s="25" t="s">
        <v>242</v>
      </c>
      <c r="FZ4" s="25"/>
      <c r="GA4" s="25"/>
      <c r="GB4" s="25"/>
      <c r="GC4" s="25"/>
      <c r="GD4" s="25"/>
      <c r="GE4" s="25"/>
      <c r="GF4" s="25" t="s">
        <v>243</v>
      </c>
      <c r="GG4" s="25"/>
      <c r="GH4" s="25"/>
      <c r="GI4" s="25"/>
      <c r="GJ4" s="25"/>
      <c r="GK4" s="25"/>
      <c r="GL4" s="25"/>
      <c r="GM4" s="25" t="s">
        <v>252</v>
      </c>
      <c r="GN4" s="25"/>
      <c r="GO4" s="25"/>
      <c r="GP4" s="25"/>
      <c r="GQ4" s="25"/>
      <c r="GR4" s="25"/>
      <c r="GS4" s="25"/>
    </row>
    <row r="5" ht="28" customHeight="1" spans="1:201" x14ac:dyDescent="0.25">
      <c r="A5" s="17" t="s">
        <v>167</v>
      </c>
      <c r="B5" s="17" t="s">
        <v>176</v>
      </c>
      <c r="C5" s="17" t="s">
        <v>169</v>
      </c>
      <c r="D5" s="17" t="s">
        <v>170</v>
      </c>
      <c r="E5" s="17" t="s">
        <v>177</v>
      </c>
      <c r="F5" s="17" t="s">
        <v>202</v>
      </c>
      <c r="G5" s="17" t="s">
        <v>261</v>
      </c>
      <c r="H5" s="17" t="s">
        <v>254</v>
      </c>
      <c r="I5" s="17" t="s">
        <v>262</v>
      </c>
      <c r="J5" s="17" t="s">
        <v>263</v>
      </c>
      <c r="K5" s="17" t="s">
        <v>264</v>
      </c>
      <c r="L5" s="17" t="s">
        <v>265</v>
      </c>
      <c r="M5" s="17" t="s">
        <v>202</v>
      </c>
      <c r="N5" s="17" t="s">
        <v>261</v>
      </c>
      <c r="O5" s="17" t="s">
        <v>254</v>
      </c>
      <c r="P5" s="17" t="s">
        <v>262</v>
      </c>
      <c r="Q5" s="17" t="s">
        <v>263</v>
      </c>
      <c r="R5" s="17" t="s">
        <v>264</v>
      </c>
      <c r="S5" s="17" t="s">
        <v>265</v>
      </c>
      <c r="T5" s="17" t="s">
        <v>202</v>
      </c>
      <c r="U5" s="17" t="s">
        <v>261</v>
      </c>
      <c r="V5" s="17" t="s">
        <v>254</v>
      </c>
      <c r="W5" s="17" t="s">
        <v>262</v>
      </c>
      <c r="X5" s="17" t="s">
        <v>263</v>
      </c>
      <c r="Y5" s="17" t="s">
        <v>264</v>
      </c>
      <c r="Z5" s="17" t="s">
        <v>265</v>
      </c>
      <c r="AA5" s="17" t="s">
        <v>202</v>
      </c>
      <c r="AB5" s="17" t="s">
        <v>261</v>
      </c>
      <c r="AC5" s="17" t="s">
        <v>254</v>
      </c>
      <c r="AD5" s="17" t="s">
        <v>262</v>
      </c>
      <c r="AE5" s="17" t="s">
        <v>263</v>
      </c>
      <c r="AF5" s="17" t="s">
        <v>264</v>
      </c>
      <c r="AG5" s="17" t="s">
        <v>265</v>
      </c>
      <c r="AH5" s="17" t="s">
        <v>202</v>
      </c>
      <c r="AI5" s="17" t="s">
        <v>261</v>
      </c>
      <c r="AJ5" s="17" t="s">
        <v>254</v>
      </c>
      <c r="AK5" s="17" t="s">
        <v>262</v>
      </c>
      <c r="AL5" s="17" t="s">
        <v>263</v>
      </c>
      <c r="AM5" s="17" t="s">
        <v>264</v>
      </c>
      <c r="AN5" s="17" t="s">
        <v>265</v>
      </c>
      <c r="AO5" s="17" t="s">
        <v>202</v>
      </c>
      <c r="AP5" s="17" t="s">
        <v>261</v>
      </c>
      <c r="AQ5" s="17" t="s">
        <v>254</v>
      </c>
      <c r="AR5" s="17" t="s">
        <v>262</v>
      </c>
      <c r="AS5" s="17" t="s">
        <v>263</v>
      </c>
      <c r="AT5" s="17" t="s">
        <v>264</v>
      </c>
      <c r="AU5" s="17" t="s">
        <v>265</v>
      </c>
      <c r="AV5" s="17" t="s">
        <v>202</v>
      </c>
      <c r="AW5" s="17" t="s">
        <v>261</v>
      </c>
      <c r="AX5" s="17" t="s">
        <v>254</v>
      </c>
      <c r="AY5" s="17" t="s">
        <v>262</v>
      </c>
      <c r="AZ5" s="17" t="s">
        <v>263</v>
      </c>
      <c r="BA5" s="17" t="s">
        <v>264</v>
      </c>
      <c r="BB5" s="17" t="s">
        <v>265</v>
      </c>
      <c r="BC5" s="17" t="s">
        <v>202</v>
      </c>
      <c r="BD5" s="17" t="s">
        <v>261</v>
      </c>
      <c r="BE5" s="17" t="s">
        <v>254</v>
      </c>
      <c r="BF5" s="17" t="s">
        <v>262</v>
      </c>
      <c r="BG5" s="17" t="s">
        <v>263</v>
      </c>
      <c r="BH5" s="17" t="s">
        <v>264</v>
      </c>
      <c r="BI5" s="17" t="s">
        <v>265</v>
      </c>
      <c r="BJ5" s="17" t="s">
        <v>202</v>
      </c>
      <c r="BK5" s="17" t="s">
        <v>261</v>
      </c>
      <c r="BL5" s="17" t="s">
        <v>254</v>
      </c>
      <c r="BM5" s="17" t="s">
        <v>262</v>
      </c>
      <c r="BN5" s="17" t="s">
        <v>263</v>
      </c>
      <c r="BO5" s="17" t="s">
        <v>264</v>
      </c>
      <c r="BP5" s="17" t="s">
        <v>265</v>
      </c>
      <c r="BQ5" s="17" t="s">
        <v>202</v>
      </c>
      <c r="BR5" s="17" t="s">
        <v>261</v>
      </c>
      <c r="BS5" s="17" t="s">
        <v>254</v>
      </c>
      <c r="BT5" s="17" t="s">
        <v>262</v>
      </c>
      <c r="BU5" s="17" t="s">
        <v>263</v>
      </c>
      <c r="BV5" s="17" t="s">
        <v>264</v>
      </c>
      <c r="BW5" s="17" t="s">
        <v>265</v>
      </c>
      <c r="BX5" s="17" t="s">
        <v>202</v>
      </c>
      <c r="BY5" s="17" t="s">
        <v>261</v>
      </c>
      <c r="BZ5" s="17" t="s">
        <v>254</v>
      </c>
      <c r="CA5" s="17" t="s">
        <v>262</v>
      </c>
      <c r="CB5" s="17" t="s">
        <v>263</v>
      </c>
      <c r="CC5" s="17" t="s">
        <v>264</v>
      </c>
      <c r="CD5" s="17" t="s">
        <v>265</v>
      </c>
      <c r="CE5" s="17" t="s">
        <v>202</v>
      </c>
      <c r="CF5" s="17" t="s">
        <v>261</v>
      </c>
      <c r="CG5" s="17" t="s">
        <v>254</v>
      </c>
      <c r="CH5" s="17" t="s">
        <v>262</v>
      </c>
      <c r="CI5" s="17" t="s">
        <v>263</v>
      </c>
      <c r="CJ5" s="17" t="s">
        <v>264</v>
      </c>
      <c r="CK5" s="17" t="s">
        <v>265</v>
      </c>
      <c r="CL5" s="17" t="s">
        <v>202</v>
      </c>
      <c r="CM5" s="17" t="s">
        <v>261</v>
      </c>
      <c r="CN5" s="17" t="s">
        <v>254</v>
      </c>
      <c r="CO5" s="17" t="s">
        <v>262</v>
      </c>
      <c r="CP5" s="17" t="s">
        <v>263</v>
      </c>
      <c r="CQ5" s="17" t="s">
        <v>264</v>
      </c>
      <c r="CR5" s="17" t="s">
        <v>265</v>
      </c>
      <c r="CS5" s="17" t="s">
        <v>202</v>
      </c>
      <c r="CT5" s="17" t="s">
        <v>261</v>
      </c>
      <c r="CU5" s="17" t="s">
        <v>254</v>
      </c>
      <c r="CV5" s="17" t="s">
        <v>262</v>
      </c>
      <c r="CW5" s="17" t="s">
        <v>263</v>
      </c>
      <c r="CX5" s="17" t="s">
        <v>264</v>
      </c>
      <c r="CY5" s="17" t="s">
        <v>265</v>
      </c>
      <c r="CZ5" s="17" t="s">
        <v>202</v>
      </c>
      <c r="DA5" s="17" t="s">
        <v>261</v>
      </c>
      <c r="DB5" s="17" t="s">
        <v>254</v>
      </c>
      <c r="DC5" s="17" t="s">
        <v>262</v>
      </c>
      <c r="DD5" s="17" t="s">
        <v>263</v>
      </c>
      <c r="DE5" s="17" t="s">
        <v>264</v>
      </c>
      <c r="DF5" s="17" t="s">
        <v>265</v>
      </c>
      <c r="DG5" s="17" t="s">
        <v>202</v>
      </c>
      <c r="DH5" s="17" t="s">
        <v>261</v>
      </c>
      <c r="DI5" s="17" t="s">
        <v>254</v>
      </c>
      <c r="DJ5" s="17" t="s">
        <v>262</v>
      </c>
      <c r="DK5" s="17" t="s">
        <v>263</v>
      </c>
      <c r="DL5" s="17" t="s">
        <v>264</v>
      </c>
      <c r="DM5" s="17" t="s">
        <v>265</v>
      </c>
      <c r="DN5" s="17" t="s">
        <v>202</v>
      </c>
      <c r="DO5" s="17" t="s">
        <v>261</v>
      </c>
      <c r="DP5" s="17" t="s">
        <v>254</v>
      </c>
      <c r="DQ5" s="17" t="s">
        <v>262</v>
      </c>
      <c r="DR5" s="17" t="s">
        <v>263</v>
      </c>
      <c r="DS5" s="17" t="s">
        <v>264</v>
      </c>
      <c r="DT5" s="17" t="s">
        <v>265</v>
      </c>
      <c r="DU5" s="17" t="s">
        <v>202</v>
      </c>
      <c r="DV5" s="17" t="s">
        <v>261</v>
      </c>
      <c r="DW5" s="17" t="s">
        <v>254</v>
      </c>
      <c r="DX5" s="17" t="s">
        <v>262</v>
      </c>
      <c r="DY5" s="17" t="s">
        <v>263</v>
      </c>
      <c r="DZ5" s="17" t="s">
        <v>264</v>
      </c>
      <c r="EA5" s="17" t="s">
        <v>265</v>
      </c>
      <c r="EB5" s="17" t="s">
        <v>202</v>
      </c>
      <c r="EC5" s="17" t="s">
        <v>261</v>
      </c>
      <c r="ED5" s="17" t="s">
        <v>254</v>
      </c>
      <c r="EE5" s="17" t="s">
        <v>262</v>
      </c>
      <c r="EF5" s="17" t="s">
        <v>263</v>
      </c>
      <c r="EG5" s="17" t="s">
        <v>264</v>
      </c>
      <c r="EH5" s="17" t="s">
        <v>265</v>
      </c>
      <c r="EI5" s="17" t="s">
        <v>202</v>
      </c>
      <c r="EJ5" s="17" t="s">
        <v>261</v>
      </c>
      <c r="EK5" s="17" t="s">
        <v>254</v>
      </c>
      <c r="EL5" s="17" t="s">
        <v>262</v>
      </c>
      <c r="EM5" s="17" t="s">
        <v>263</v>
      </c>
      <c r="EN5" s="17" t="s">
        <v>264</v>
      </c>
      <c r="EO5" s="17" t="s">
        <v>265</v>
      </c>
      <c r="EP5" s="17" t="s">
        <v>202</v>
      </c>
      <c r="EQ5" s="17" t="s">
        <v>261</v>
      </c>
      <c r="ER5" s="17" t="s">
        <v>254</v>
      </c>
      <c r="ES5" s="17" t="s">
        <v>262</v>
      </c>
      <c r="ET5" s="17" t="s">
        <v>263</v>
      </c>
      <c r="EU5" s="17" t="s">
        <v>264</v>
      </c>
      <c r="EV5" s="17" t="s">
        <v>265</v>
      </c>
      <c r="EW5" s="17" t="s">
        <v>202</v>
      </c>
      <c r="EX5" s="17" t="s">
        <v>261</v>
      </c>
      <c r="EY5" s="17" t="s">
        <v>254</v>
      </c>
      <c r="EZ5" s="17" t="s">
        <v>262</v>
      </c>
      <c r="FA5" s="17" t="s">
        <v>263</v>
      </c>
      <c r="FB5" s="17" t="s">
        <v>264</v>
      </c>
      <c r="FC5" s="17" t="s">
        <v>265</v>
      </c>
      <c r="FD5" s="17" t="s">
        <v>202</v>
      </c>
      <c r="FE5" s="17" t="s">
        <v>261</v>
      </c>
      <c r="FF5" s="17" t="s">
        <v>254</v>
      </c>
      <c r="FG5" s="17" t="s">
        <v>262</v>
      </c>
      <c r="FH5" s="17" t="s">
        <v>263</v>
      </c>
      <c r="FI5" s="17" t="s">
        <v>264</v>
      </c>
      <c r="FJ5" s="17" t="s">
        <v>265</v>
      </c>
      <c r="FK5" s="17" t="s">
        <v>202</v>
      </c>
      <c r="FL5" s="17" t="s">
        <v>261</v>
      </c>
      <c r="FM5" s="17" t="s">
        <v>254</v>
      </c>
      <c r="FN5" s="17" t="s">
        <v>262</v>
      </c>
      <c r="FO5" s="17" t="s">
        <v>263</v>
      </c>
      <c r="FP5" s="17" t="s">
        <v>264</v>
      </c>
      <c r="FQ5" s="17" t="s">
        <v>265</v>
      </c>
      <c r="FR5" s="17" t="s">
        <v>202</v>
      </c>
      <c r="FS5" s="17" t="s">
        <v>261</v>
      </c>
      <c r="FT5" s="17" t="s">
        <v>254</v>
      </c>
      <c r="FU5" s="17" t="s">
        <v>262</v>
      </c>
      <c r="FV5" s="17" t="s">
        <v>263</v>
      </c>
      <c r="FW5" s="17" t="s">
        <v>264</v>
      </c>
      <c r="FX5" s="17" t="s">
        <v>265</v>
      </c>
      <c r="FY5" s="17" t="s">
        <v>202</v>
      </c>
      <c r="FZ5" s="17" t="s">
        <v>261</v>
      </c>
      <c r="GA5" s="17" t="s">
        <v>254</v>
      </c>
      <c r="GB5" s="17" t="s">
        <v>262</v>
      </c>
      <c r="GC5" s="17" t="s">
        <v>263</v>
      </c>
      <c r="GD5" s="17" t="s">
        <v>264</v>
      </c>
      <c r="GE5" s="17" t="s">
        <v>265</v>
      </c>
      <c r="GF5" s="17" t="s">
        <v>202</v>
      </c>
      <c r="GG5" s="17" t="s">
        <v>261</v>
      </c>
      <c r="GH5" s="17" t="s">
        <v>254</v>
      </c>
      <c r="GI5" s="17" t="s">
        <v>262</v>
      </c>
      <c r="GJ5" s="17" t="s">
        <v>263</v>
      </c>
      <c r="GK5" s="17" t="s">
        <v>264</v>
      </c>
      <c r="GL5" s="17" t="s">
        <v>265</v>
      </c>
      <c r="GM5" s="17" t="s">
        <v>202</v>
      </c>
      <c r="GN5" s="17" t="s">
        <v>261</v>
      </c>
      <c r="GO5" s="17" t="s">
        <v>254</v>
      </c>
      <c r="GP5" s="17" t="s">
        <v>262</v>
      </c>
      <c r="GQ5" s="17" t="s">
        <v>263</v>
      </c>
      <c r="GR5" s="17" t="s">
        <v>264</v>
      </c>
      <c r="GS5" s="17" t="s">
        <v>265</v>
      </c>
    </row>
    <row r="6" spans="1:201" x14ac:dyDescent="0.25">
      <c r="A6" s="35" t="s">
        <v>258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  <c r="ET6" s="42">
        <f>SUM(ET7:ET24)</f>
      </c>
      <c r="EU6" s="42">
        <f>SUM(EU7:EU24)</f>
      </c>
      <c r="EV6" s="42">
        <f>SUM(EV7:EV24)</f>
      </c>
      <c r="FA6" s="42">
        <f>SUM(FA7:FA24)</f>
      </c>
      <c r="FB6" s="42">
        <f>SUM(FB7:FB24)</f>
      </c>
      <c r="FC6" s="42">
        <f>SUM(FC7:FC24)</f>
      </c>
      <c r="FH6" s="42">
        <f>SUM(FH7:FH24)</f>
      </c>
      <c r="FI6" s="42">
        <f>SUM(FI7:FI24)</f>
      </c>
      <c r="FJ6" s="42">
        <f>SUM(FJ7:FJ24)</f>
      </c>
      <c r="FO6" s="42">
        <f>SUM(FO7:FO24)</f>
      </c>
      <c r="FP6" s="42">
        <f>SUM(FP7:FP24)</f>
      </c>
      <c r="FQ6" s="42">
        <f>SUM(FQ7:FQ24)</f>
      </c>
      <c r="FV6" s="42">
        <f>SUM(FV7:FV24)</f>
      </c>
      <c r="FW6" s="42">
        <f>SUM(FW7:FW24)</f>
      </c>
      <c r="FX6" s="42">
        <f>SUM(FX7:FX24)</f>
      </c>
      <c r="GC6" s="42">
        <f>SUM(GC7:GC24)</f>
      </c>
      <c r="GD6" s="42">
        <f>SUM(GD7:GD24)</f>
      </c>
      <c r="GE6" s="42">
        <f>SUM(GE7:GE24)</f>
      </c>
      <c r="GJ6" s="42">
        <f>SUM(GJ7:GJ24)</f>
      </c>
      <c r="GK6" s="42">
        <f>SUM(GK7:GK24)</f>
      </c>
      <c r="GL6" s="42">
        <f>SUM(GL7:GL24)</f>
      </c>
      <c r="GQ6" s="42">
        <f>SUM(GQ7:GQ24)</f>
      </c>
      <c r="GR6" s="42">
        <f>SUM(GR7:GR24)</f>
      </c>
      <c r="GS6" s="42">
        <f>SUM(GS7:GS24)</f>
      </c>
    </row>
    <row r="7" spans="1:201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PM_Angle!$J$26+PM_Angle!$K$26*$D7+PM_Angle!$L$26*$C7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  <c r="EP7" s="37">
        <f>PM_Angle!$J$27+PM_Angle!$K$27*$D7+PM_Angle!$L$27*$C7</f>
      </c>
      <c r="EQ7" s="20">
        <f>MAX(MIN(Es*EP7,fy),-fy)</f>
      </c>
      <c r="ER7" s="20">
        <f>IF(EP7&gt;0,IF(EP7&lt;=eco,alpha*fck*(1-(1-EP7/eco)^n),alpha*fck),0)</f>
      </c>
      <c r="ES7" s="20">
        <f>EQ7-ER7</f>
      </c>
      <c r="ET7" s="19">
        <f>ES7*$E7</f>
      </c>
      <c r="EU7" s="19">
        <f>ET7*$D7</f>
      </c>
      <c r="EV7" s="19">
        <f>ET7*$C7</f>
      </c>
      <c r="EW7" s="37">
        <f>PM_Angle!$J$28+PM_Angle!$K$28*$D7+PM_Angle!$L$28*$C7</f>
      </c>
      <c r="EX7" s="20">
        <f>MAX(MIN(Es*EW7,fy),-fy)</f>
      </c>
      <c r="EY7" s="20">
        <f>IF(EW7&gt;0,IF(EW7&lt;=eco,alpha*fck*(1-(1-EW7/eco)^n),alpha*fck),0)</f>
      </c>
      <c r="EZ7" s="20">
        <f>EX7-EY7</f>
      </c>
      <c r="FA7" s="19">
        <f>EZ7*$E7</f>
      </c>
      <c r="FB7" s="19">
        <f>FA7*$D7</f>
      </c>
      <c r="FC7" s="19">
        <f>FA7*$C7</f>
      </c>
      <c r="FD7" s="37">
        <f>PM_Angle!$J$29+PM_Angle!$K$29*$D7+PM_Angle!$L$29*$C7</f>
      </c>
      <c r="FE7" s="20">
        <f>MAX(MIN(Es*FD7,fy),-fy)</f>
      </c>
      <c r="FF7" s="20">
        <f>IF(FD7&gt;0,IF(FD7&lt;=eco,alpha*fck*(1-(1-FD7/eco)^n),alpha*fck),0)</f>
      </c>
      <c r="FG7" s="20">
        <f>FE7-FF7</f>
      </c>
      <c r="FH7" s="19">
        <f>FG7*$E7</f>
      </c>
      <c r="FI7" s="19">
        <f>FH7*$D7</f>
      </c>
      <c r="FJ7" s="19">
        <f>FH7*$C7</f>
      </c>
      <c r="FK7" s="37">
        <f>PM_Angle!$J$30+PM_Angle!$K$30*$D7+PM_Angle!$L$30*$C7</f>
      </c>
      <c r="FL7" s="20">
        <f>MAX(MIN(Es*FK7,fy),-fy)</f>
      </c>
      <c r="FM7" s="20">
        <f>IF(FK7&gt;0,IF(FK7&lt;=eco,alpha*fck*(1-(1-FK7/eco)^n),alpha*fck),0)</f>
      </c>
      <c r="FN7" s="20">
        <f>FL7-FM7</f>
      </c>
      <c r="FO7" s="19">
        <f>FN7*$E7</f>
      </c>
      <c r="FP7" s="19">
        <f>FO7*$D7</f>
      </c>
      <c r="FQ7" s="19">
        <f>FO7*$C7</f>
      </c>
      <c r="FR7" s="37">
        <f>PM_Angle!$J$31+PM_Angle!$K$31*$D7+PM_Angle!$L$31*$C7</f>
      </c>
      <c r="FS7" s="20">
        <f>MAX(MIN(Es*FR7,fy),-fy)</f>
      </c>
      <c r="FT7" s="20">
        <f>IF(FR7&gt;0,IF(FR7&lt;=eco,alpha*fck*(1-(1-FR7/eco)^n),alpha*fck),0)</f>
      </c>
      <c r="FU7" s="20">
        <f>FS7-FT7</f>
      </c>
      <c r="FV7" s="19">
        <f>FU7*$E7</f>
      </c>
      <c r="FW7" s="19">
        <f>FV7*$D7</f>
      </c>
      <c r="FX7" s="19">
        <f>FV7*$C7</f>
      </c>
      <c r="FY7" s="37">
        <f>PM_Angle!$J$32+PM_Angle!$K$32*$D7+PM_Angle!$L$32*$C7</f>
      </c>
      <c r="FZ7" s="20">
        <f>MAX(MIN(Es*FY7,fy),-fy)</f>
      </c>
      <c r="GA7" s="20">
        <f>IF(FY7&gt;0,IF(FY7&lt;=eco,alpha*fck*(1-(1-FY7/eco)^n),alpha*fck),0)</f>
      </c>
      <c r="GB7" s="20">
        <f>FZ7-GA7</f>
      </c>
      <c r="GC7" s="19">
        <f>GB7*$E7</f>
      </c>
      <c r="GD7" s="19">
        <f>GC7*$D7</f>
      </c>
      <c r="GE7" s="19">
        <f>GC7*$C7</f>
      </c>
      <c r="GF7" s="37">
        <f>PM_Angle!$J$33+PM_Angle!$K$33*$D7+PM_Angle!$L$33*$C7</f>
      </c>
      <c r="GG7" s="20">
        <f>MAX(MIN(Es*GF7,fy),-fy)</f>
      </c>
      <c r="GH7" s="20">
        <f>IF(GF7&gt;0,IF(GF7&lt;=eco,alpha*fck*(1-(1-GF7/eco)^n),alpha*fck),0)</f>
      </c>
      <c r="GI7" s="20">
        <f>GG7-GH7</f>
      </c>
      <c r="GJ7" s="19">
        <f>GI7*$E7</f>
      </c>
      <c r="GK7" s="19">
        <f>GJ7*$D7</f>
      </c>
      <c r="GL7" s="19">
        <f>GJ7*$C7</f>
      </c>
      <c r="GM7" s="37">
        <f>Eq_e0+Eq_kx*$D7+Eq_ky*$C7</f>
      </c>
      <c r="GN7" s="20">
        <f>MAX(MIN(Es*GM7,fy),-fy)</f>
      </c>
      <c r="GO7" s="20">
        <f>IF(GM7&gt;0,IF(GM7&lt;=eco,alpha*fck*(1-(1-GM7/eco)^n),alpha*fck),0)</f>
      </c>
      <c r="GP7" s="20">
        <f>GN7-GO7</f>
      </c>
      <c r="GQ7" s="19">
        <f>GP7*$E7</f>
      </c>
      <c r="GR7" s="19">
        <f>GQ7*$D7</f>
      </c>
      <c r="GS7" s="19">
        <f>GQ7*$C7</f>
      </c>
    </row>
    <row r="8" spans="1:201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PM_Angle!$J$26+PM_Angle!$K$26*$D8+PM_Angle!$L$26*$C8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  <c r="EP8" s="37">
        <f>PM_Angle!$J$27+PM_Angle!$K$27*$D8+PM_Angle!$L$27*$C8</f>
      </c>
      <c r="EQ8" s="20">
        <f>MAX(MIN(Es*EP8,fy),-fy)</f>
      </c>
      <c r="ER8" s="20">
        <f>IF(EP8&gt;0,IF(EP8&lt;=eco,alpha*fck*(1-(1-EP8/eco)^n),alpha*fck),0)</f>
      </c>
      <c r="ES8" s="20">
        <f>EQ8-ER8</f>
      </c>
      <c r="ET8" s="19">
        <f>ES8*$E8</f>
      </c>
      <c r="EU8" s="19">
        <f>ET8*$D8</f>
      </c>
      <c r="EV8" s="19">
        <f>ET8*$C8</f>
      </c>
      <c r="EW8" s="37">
        <f>PM_Angle!$J$28+PM_Angle!$K$28*$D8+PM_Angle!$L$28*$C8</f>
      </c>
      <c r="EX8" s="20">
        <f>MAX(MIN(Es*EW8,fy),-fy)</f>
      </c>
      <c r="EY8" s="20">
        <f>IF(EW8&gt;0,IF(EW8&lt;=eco,alpha*fck*(1-(1-EW8/eco)^n),alpha*fck),0)</f>
      </c>
      <c r="EZ8" s="20">
        <f>EX8-EY8</f>
      </c>
      <c r="FA8" s="19">
        <f>EZ8*$E8</f>
      </c>
      <c r="FB8" s="19">
        <f>FA8*$D8</f>
      </c>
      <c r="FC8" s="19">
        <f>FA8*$C8</f>
      </c>
      <c r="FD8" s="37">
        <f>PM_Angle!$J$29+PM_Angle!$K$29*$D8+PM_Angle!$L$29*$C8</f>
      </c>
      <c r="FE8" s="20">
        <f>MAX(MIN(Es*FD8,fy),-fy)</f>
      </c>
      <c r="FF8" s="20">
        <f>IF(FD8&gt;0,IF(FD8&lt;=eco,alpha*fck*(1-(1-FD8/eco)^n),alpha*fck),0)</f>
      </c>
      <c r="FG8" s="20">
        <f>FE8-FF8</f>
      </c>
      <c r="FH8" s="19">
        <f>FG8*$E8</f>
      </c>
      <c r="FI8" s="19">
        <f>FH8*$D8</f>
      </c>
      <c r="FJ8" s="19">
        <f>FH8*$C8</f>
      </c>
      <c r="FK8" s="37">
        <f>PM_Angle!$J$30+PM_Angle!$K$30*$D8+PM_Angle!$L$30*$C8</f>
      </c>
      <c r="FL8" s="20">
        <f>MAX(MIN(Es*FK8,fy),-fy)</f>
      </c>
      <c r="FM8" s="20">
        <f>IF(FK8&gt;0,IF(FK8&lt;=eco,alpha*fck*(1-(1-FK8/eco)^n),alpha*fck),0)</f>
      </c>
      <c r="FN8" s="20">
        <f>FL8-FM8</f>
      </c>
      <c r="FO8" s="19">
        <f>FN8*$E8</f>
      </c>
      <c r="FP8" s="19">
        <f>FO8*$D8</f>
      </c>
      <c r="FQ8" s="19">
        <f>FO8*$C8</f>
      </c>
      <c r="FR8" s="37">
        <f>PM_Angle!$J$31+PM_Angle!$K$31*$D8+PM_Angle!$L$31*$C8</f>
      </c>
      <c r="FS8" s="20">
        <f>MAX(MIN(Es*FR8,fy),-fy)</f>
      </c>
      <c r="FT8" s="20">
        <f>IF(FR8&gt;0,IF(FR8&lt;=eco,alpha*fck*(1-(1-FR8/eco)^n),alpha*fck),0)</f>
      </c>
      <c r="FU8" s="20">
        <f>FS8-FT8</f>
      </c>
      <c r="FV8" s="19">
        <f>FU8*$E8</f>
      </c>
      <c r="FW8" s="19">
        <f>FV8*$D8</f>
      </c>
      <c r="FX8" s="19">
        <f>FV8*$C8</f>
      </c>
      <c r="FY8" s="37">
        <f>PM_Angle!$J$32+PM_Angle!$K$32*$D8+PM_Angle!$L$32*$C8</f>
      </c>
      <c r="FZ8" s="20">
        <f>MAX(MIN(Es*FY8,fy),-fy)</f>
      </c>
      <c r="GA8" s="20">
        <f>IF(FY8&gt;0,IF(FY8&lt;=eco,alpha*fck*(1-(1-FY8/eco)^n),alpha*fck),0)</f>
      </c>
      <c r="GB8" s="20">
        <f>FZ8-GA8</f>
      </c>
      <c r="GC8" s="19">
        <f>GB8*$E8</f>
      </c>
      <c r="GD8" s="19">
        <f>GC8*$D8</f>
      </c>
      <c r="GE8" s="19">
        <f>GC8*$C8</f>
      </c>
      <c r="GF8" s="37">
        <f>PM_Angle!$J$33+PM_Angle!$K$33*$D8+PM_Angle!$L$33*$C8</f>
      </c>
      <c r="GG8" s="20">
        <f>MAX(MIN(Es*GF8,fy),-fy)</f>
      </c>
      <c r="GH8" s="20">
        <f>IF(GF8&gt;0,IF(GF8&lt;=eco,alpha*fck*(1-(1-GF8/eco)^n),alpha*fck),0)</f>
      </c>
      <c r="GI8" s="20">
        <f>GG8-GH8</f>
      </c>
      <c r="GJ8" s="19">
        <f>GI8*$E8</f>
      </c>
      <c r="GK8" s="19">
        <f>GJ8*$D8</f>
      </c>
      <c r="GL8" s="19">
        <f>GJ8*$C8</f>
      </c>
      <c r="GM8" s="37">
        <f>Eq_e0+Eq_kx*$D8+Eq_ky*$C8</f>
      </c>
      <c r="GN8" s="20">
        <f>MAX(MIN(Es*GM8,fy),-fy)</f>
      </c>
      <c r="GO8" s="20">
        <f>IF(GM8&gt;0,IF(GM8&lt;=eco,alpha*fck*(1-(1-GM8/eco)^n),alpha*fck),0)</f>
      </c>
      <c r="GP8" s="20">
        <f>GN8-GO8</f>
      </c>
      <c r="GQ8" s="19">
        <f>GP8*$E8</f>
      </c>
      <c r="GR8" s="19">
        <f>GQ8*$D8</f>
      </c>
      <c r="GS8" s="19">
        <f>GQ8*$C8</f>
      </c>
    </row>
    <row r="9" spans="1:201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PM_Angle!$J$26+PM_Angle!$K$26*$D9+PM_Angle!$L$26*$C9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  <c r="EP9" s="37">
        <f>PM_Angle!$J$27+PM_Angle!$K$27*$D9+PM_Angle!$L$27*$C9</f>
      </c>
      <c r="EQ9" s="20">
        <f>MAX(MIN(Es*EP9,fy),-fy)</f>
      </c>
      <c r="ER9" s="20">
        <f>IF(EP9&gt;0,IF(EP9&lt;=eco,alpha*fck*(1-(1-EP9/eco)^n),alpha*fck),0)</f>
      </c>
      <c r="ES9" s="20">
        <f>EQ9-ER9</f>
      </c>
      <c r="ET9" s="19">
        <f>ES9*$E9</f>
      </c>
      <c r="EU9" s="19">
        <f>ET9*$D9</f>
      </c>
      <c r="EV9" s="19">
        <f>ET9*$C9</f>
      </c>
      <c r="EW9" s="37">
        <f>PM_Angle!$J$28+PM_Angle!$K$28*$D9+PM_Angle!$L$28*$C9</f>
      </c>
      <c r="EX9" s="20">
        <f>MAX(MIN(Es*EW9,fy),-fy)</f>
      </c>
      <c r="EY9" s="20">
        <f>IF(EW9&gt;0,IF(EW9&lt;=eco,alpha*fck*(1-(1-EW9/eco)^n),alpha*fck),0)</f>
      </c>
      <c r="EZ9" s="20">
        <f>EX9-EY9</f>
      </c>
      <c r="FA9" s="19">
        <f>EZ9*$E9</f>
      </c>
      <c r="FB9" s="19">
        <f>FA9*$D9</f>
      </c>
      <c r="FC9" s="19">
        <f>FA9*$C9</f>
      </c>
      <c r="FD9" s="37">
        <f>PM_Angle!$J$29+PM_Angle!$K$29*$D9+PM_Angle!$L$29*$C9</f>
      </c>
      <c r="FE9" s="20">
        <f>MAX(MIN(Es*FD9,fy),-fy)</f>
      </c>
      <c r="FF9" s="20">
        <f>IF(FD9&gt;0,IF(FD9&lt;=eco,alpha*fck*(1-(1-FD9/eco)^n),alpha*fck),0)</f>
      </c>
      <c r="FG9" s="20">
        <f>FE9-FF9</f>
      </c>
      <c r="FH9" s="19">
        <f>FG9*$E9</f>
      </c>
      <c r="FI9" s="19">
        <f>FH9*$D9</f>
      </c>
      <c r="FJ9" s="19">
        <f>FH9*$C9</f>
      </c>
      <c r="FK9" s="37">
        <f>PM_Angle!$J$30+PM_Angle!$K$30*$D9+PM_Angle!$L$30*$C9</f>
      </c>
      <c r="FL9" s="20">
        <f>MAX(MIN(Es*FK9,fy),-fy)</f>
      </c>
      <c r="FM9" s="20">
        <f>IF(FK9&gt;0,IF(FK9&lt;=eco,alpha*fck*(1-(1-FK9/eco)^n),alpha*fck),0)</f>
      </c>
      <c r="FN9" s="20">
        <f>FL9-FM9</f>
      </c>
      <c r="FO9" s="19">
        <f>FN9*$E9</f>
      </c>
      <c r="FP9" s="19">
        <f>FO9*$D9</f>
      </c>
      <c r="FQ9" s="19">
        <f>FO9*$C9</f>
      </c>
      <c r="FR9" s="37">
        <f>PM_Angle!$J$31+PM_Angle!$K$31*$D9+PM_Angle!$L$31*$C9</f>
      </c>
      <c r="FS9" s="20">
        <f>MAX(MIN(Es*FR9,fy),-fy)</f>
      </c>
      <c r="FT9" s="20">
        <f>IF(FR9&gt;0,IF(FR9&lt;=eco,alpha*fck*(1-(1-FR9/eco)^n),alpha*fck),0)</f>
      </c>
      <c r="FU9" s="20">
        <f>FS9-FT9</f>
      </c>
      <c r="FV9" s="19">
        <f>FU9*$E9</f>
      </c>
      <c r="FW9" s="19">
        <f>FV9*$D9</f>
      </c>
      <c r="FX9" s="19">
        <f>FV9*$C9</f>
      </c>
      <c r="FY9" s="37">
        <f>PM_Angle!$J$32+PM_Angle!$K$32*$D9+PM_Angle!$L$32*$C9</f>
      </c>
      <c r="FZ9" s="20">
        <f>MAX(MIN(Es*FY9,fy),-fy)</f>
      </c>
      <c r="GA9" s="20">
        <f>IF(FY9&gt;0,IF(FY9&lt;=eco,alpha*fck*(1-(1-FY9/eco)^n),alpha*fck),0)</f>
      </c>
      <c r="GB9" s="20">
        <f>FZ9-GA9</f>
      </c>
      <c r="GC9" s="19">
        <f>GB9*$E9</f>
      </c>
      <c r="GD9" s="19">
        <f>GC9*$D9</f>
      </c>
      <c r="GE9" s="19">
        <f>GC9*$C9</f>
      </c>
      <c r="GF9" s="37">
        <f>PM_Angle!$J$33+PM_Angle!$K$33*$D9+PM_Angle!$L$33*$C9</f>
      </c>
      <c r="GG9" s="20">
        <f>MAX(MIN(Es*GF9,fy),-fy)</f>
      </c>
      <c r="GH9" s="20">
        <f>IF(GF9&gt;0,IF(GF9&lt;=eco,alpha*fck*(1-(1-GF9/eco)^n),alpha*fck),0)</f>
      </c>
      <c r="GI9" s="20">
        <f>GG9-GH9</f>
      </c>
      <c r="GJ9" s="19">
        <f>GI9*$E9</f>
      </c>
      <c r="GK9" s="19">
        <f>GJ9*$D9</f>
      </c>
      <c r="GL9" s="19">
        <f>GJ9*$C9</f>
      </c>
      <c r="GM9" s="37">
        <f>Eq_e0+Eq_kx*$D9+Eq_ky*$C9</f>
      </c>
      <c r="GN9" s="20">
        <f>MAX(MIN(Es*GM9,fy),-fy)</f>
      </c>
      <c r="GO9" s="20">
        <f>IF(GM9&gt;0,IF(GM9&lt;=eco,alpha*fck*(1-(1-GM9/eco)^n),alpha*fck),0)</f>
      </c>
      <c r="GP9" s="20">
        <f>GN9-GO9</f>
      </c>
      <c r="GQ9" s="19">
        <f>GP9*$E9</f>
      </c>
      <c r="GR9" s="19">
        <f>GQ9*$D9</f>
      </c>
      <c r="GS9" s="19">
        <f>GQ9*$C9</f>
      </c>
    </row>
    <row r="10" spans="1:201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PM_Angle!$J$26+PM_Angle!$K$26*$D10+PM_Angle!$L$26*$C10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  <c r="EP10" s="37">
        <f>PM_Angle!$J$27+PM_Angle!$K$27*$D10+PM_Angle!$L$27*$C10</f>
      </c>
      <c r="EQ10" s="20">
        <f>MAX(MIN(Es*EP10,fy),-fy)</f>
      </c>
      <c r="ER10" s="20">
        <f>IF(EP10&gt;0,IF(EP10&lt;=eco,alpha*fck*(1-(1-EP10/eco)^n),alpha*fck),0)</f>
      </c>
      <c r="ES10" s="20">
        <f>EQ10-ER10</f>
      </c>
      <c r="ET10" s="19">
        <f>ES10*$E10</f>
      </c>
      <c r="EU10" s="19">
        <f>ET10*$D10</f>
      </c>
      <c r="EV10" s="19">
        <f>ET10*$C10</f>
      </c>
      <c r="EW10" s="37">
        <f>PM_Angle!$J$28+PM_Angle!$K$28*$D10+PM_Angle!$L$28*$C10</f>
      </c>
      <c r="EX10" s="20">
        <f>MAX(MIN(Es*EW10,fy),-fy)</f>
      </c>
      <c r="EY10" s="20">
        <f>IF(EW10&gt;0,IF(EW10&lt;=eco,alpha*fck*(1-(1-EW10/eco)^n),alpha*fck),0)</f>
      </c>
      <c r="EZ10" s="20">
        <f>EX10-EY10</f>
      </c>
      <c r="FA10" s="19">
        <f>EZ10*$E10</f>
      </c>
      <c r="FB10" s="19">
        <f>FA10*$D10</f>
      </c>
      <c r="FC10" s="19">
        <f>FA10*$C10</f>
      </c>
      <c r="FD10" s="37">
        <f>PM_Angle!$J$29+PM_Angle!$K$29*$D10+PM_Angle!$L$29*$C10</f>
      </c>
      <c r="FE10" s="20">
        <f>MAX(MIN(Es*FD10,fy),-fy)</f>
      </c>
      <c r="FF10" s="20">
        <f>IF(FD10&gt;0,IF(FD10&lt;=eco,alpha*fck*(1-(1-FD10/eco)^n),alpha*fck),0)</f>
      </c>
      <c r="FG10" s="20">
        <f>FE10-FF10</f>
      </c>
      <c r="FH10" s="19">
        <f>FG10*$E10</f>
      </c>
      <c r="FI10" s="19">
        <f>FH10*$D10</f>
      </c>
      <c r="FJ10" s="19">
        <f>FH10*$C10</f>
      </c>
      <c r="FK10" s="37">
        <f>PM_Angle!$J$30+PM_Angle!$K$30*$D10+PM_Angle!$L$30*$C10</f>
      </c>
      <c r="FL10" s="20">
        <f>MAX(MIN(Es*FK10,fy),-fy)</f>
      </c>
      <c r="FM10" s="20">
        <f>IF(FK10&gt;0,IF(FK10&lt;=eco,alpha*fck*(1-(1-FK10/eco)^n),alpha*fck),0)</f>
      </c>
      <c r="FN10" s="20">
        <f>FL10-FM10</f>
      </c>
      <c r="FO10" s="19">
        <f>FN10*$E10</f>
      </c>
      <c r="FP10" s="19">
        <f>FO10*$D10</f>
      </c>
      <c r="FQ10" s="19">
        <f>FO10*$C10</f>
      </c>
      <c r="FR10" s="37">
        <f>PM_Angle!$J$31+PM_Angle!$K$31*$D10+PM_Angle!$L$31*$C10</f>
      </c>
      <c r="FS10" s="20">
        <f>MAX(MIN(Es*FR10,fy),-fy)</f>
      </c>
      <c r="FT10" s="20">
        <f>IF(FR10&gt;0,IF(FR10&lt;=eco,alpha*fck*(1-(1-FR10/eco)^n),alpha*fck),0)</f>
      </c>
      <c r="FU10" s="20">
        <f>FS10-FT10</f>
      </c>
      <c r="FV10" s="19">
        <f>FU10*$E10</f>
      </c>
      <c r="FW10" s="19">
        <f>FV10*$D10</f>
      </c>
      <c r="FX10" s="19">
        <f>FV10*$C10</f>
      </c>
      <c r="FY10" s="37">
        <f>PM_Angle!$J$32+PM_Angle!$K$32*$D10+PM_Angle!$L$32*$C10</f>
      </c>
      <c r="FZ10" s="20">
        <f>MAX(MIN(Es*FY10,fy),-fy)</f>
      </c>
      <c r="GA10" s="20">
        <f>IF(FY10&gt;0,IF(FY10&lt;=eco,alpha*fck*(1-(1-FY10/eco)^n),alpha*fck),0)</f>
      </c>
      <c r="GB10" s="20">
        <f>FZ10-GA10</f>
      </c>
      <c r="GC10" s="19">
        <f>GB10*$E10</f>
      </c>
      <c r="GD10" s="19">
        <f>GC10*$D10</f>
      </c>
      <c r="GE10" s="19">
        <f>GC10*$C10</f>
      </c>
      <c r="GF10" s="37">
        <f>PM_Angle!$J$33+PM_Angle!$K$33*$D10+PM_Angle!$L$33*$C10</f>
      </c>
      <c r="GG10" s="20">
        <f>MAX(MIN(Es*GF10,fy),-fy)</f>
      </c>
      <c r="GH10" s="20">
        <f>IF(GF10&gt;0,IF(GF10&lt;=eco,alpha*fck*(1-(1-GF10/eco)^n),alpha*fck),0)</f>
      </c>
      <c r="GI10" s="20">
        <f>GG10-GH10</f>
      </c>
      <c r="GJ10" s="19">
        <f>GI10*$E10</f>
      </c>
      <c r="GK10" s="19">
        <f>GJ10*$D10</f>
      </c>
      <c r="GL10" s="19">
        <f>GJ10*$C10</f>
      </c>
      <c r="GM10" s="37">
        <f>Eq_e0+Eq_kx*$D10+Eq_ky*$C10</f>
      </c>
      <c r="GN10" s="20">
        <f>MAX(MIN(Es*GM10,fy),-fy)</f>
      </c>
      <c r="GO10" s="20">
        <f>IF(GM10&gt;0,IF(GM10&lt;=eco,alpha*fck*(1-(1-GM10/eco)^n),alpha*fck),0)</f>
      </c>
      <c r="GP10" s="20">
        <f>GN10-GO10</f>
      </c>
      <c r="GQ10" s="19">
        <f>GP10*$E10</f>
      </c>
      <c r="GR10" s="19">
        <f>GQ10*$D10</f>
      </c>
      <c r="GS10" s="19">
        <f>GQ10*$C10</f>
      </c>
    </row>
    <row r="11" spans="1:201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PM_Angle!$J$26+PM_Angle!$K$26*$D11+PM_Angle!$L$26*$C11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  <c r="EP11" s="37">
        <f>PM_Angle!$J$27+PM_Angle!$K$27*$D11+PM_Angle!$L$27*$C11</f>
      </c>
      <c r="EQ11" s="20">
        <f>MAX(MIN(Es*EP11,fy),-fy)</f>
      </c>
      <c r="ER11" s="20">
        <f>IF(EP11&gt;0,IF(EP11&lt;=eco,alpha*fck*(1-(1-EP11/eco)^n),alpha*fck),0)</f>
      </c>
      <c r="ES11" s="20">
        <f>EQ11-ER11</f>
      </c>
      <c r="ET11" s="19">
        <f>ES11*$E11</f>
      </c>
      <c r="EU11" s="19">
        <f>ET11*$D11</f>
      </c>
      <c r="EV11" s="19">
        <f>ET11*$C11</f>
      </c>
      <c r="EW11" s="37">
        <f>PM_Angle!$J$28+PM_Angle!$K$28*$D11+PM_Angle!$L$28*$C11</f>
      </c>
      <c r="EX11" s="20">
        <f>MAX(MIN(Es*EW11,fy),-fy)</f>
      </c>
      <c r="EY11" s="20">
        <f>IF(EW11&gt;0,IF(EW11&lt;=eco,alpha*fck*(1-(1-EW11/eco)^n),alpha*fck),0)</f>
      </c>
      <c r="EZ11" s="20">
        <f>EX11-EY11</f>
      </c>
      <c r="FA11" s="19">
        <f>EZ11*$E11</f>
      </c>
      <c r="FB11" s="19">
        <f>FA11*$D11</f>
      </c>
      <c r="FC11" s="19">
        <f>FA11*$C11</f>
      </c>
      <c r="FD11" s="37">
        <f>PM_Angle!$J$29+PM_Angle!$K$29*$D11+PM_Angle!$L$29*$C11</f>
      </c>
      <c r="FE11" s="20">
        <f>MAX(MIN(Es*FD11,fy),-fy)</f>
      </c>
      <c r="FF11" s="20">
        <f>IF(FD11&gt;0,IF(FD11&lt;=eco,alpha*fck*(1-(1-FD11/eco)^n),alpha*fck),0)</f>
      </c>
      <c r="FG11" s="20">
        <f>FE11-FF11</f>
      </c>
      <c r="FH11" s="19">
        <f>FG11*$E11</f>
      </c>
      <c r="FI11" s="19">
        <f>FH11*$D11</f>
      </c>
      <c r="FJ11" s="19">
        <f>FH11*$C11</f>
      </c>
      <c r="FK11" s="37">
        <f>PM_Angle!$J$30+PM_Angle!$K$30*$D11+PM_Angle!$L$30*$C11</f>
      </c>
      <c r="FL11" s="20">
        <f>MAX(MIN(Es*FK11,fy),-fy)</f>
      </c>
      <c r="FM11" s="20">
        <f>IF(FK11&gt;0,IF(FK11&lt;=eco,alpha*fck*(1-(1-FK11/eco)^n),alpha*fck),0)</f>
      </c>
      <c r="FN11" s="20">
        <f>FL11-FM11</f>
      </c>
      <c r="FO11" s="19">
        <f>FN11*$E11</f>
      </c>
      <c r="FP11" s="19">
        <f>FO11*$D11</f>
      </c>
      <c r="FQ11" s="19">
        <f>FO11*$C11</f>
      </c>
      <c r="FR11" s="37">
        <f>PM_Angle!$J$31+PM_Angle!$K$31*$D11+PM_Angle!$L$31*$C11</f>
      </c>
      <c r="FS11" s="20">
        <f>MAX(MIN(Es*FR11,fy),-fy)</f>
      </c>
      <c r="FT11" s="20">
        <f>IF(FR11&gt;0,IF(FR11&lt;=eco,alpha*fck*(1-(1-FR11/eco)^n),alpha*fck),0)</f>
      </c>
      <c r="FU11" s="20">
        <f>FS11-FT11</f>
      </c>
      <c r="FV11" s="19">
        <f>FU11*$E11</f>
      </c>
      <c r="FW11" s="19">
        <f>FV11*$D11</f>
      </c>
      <c r="FX11" s="19">
        <f>FV11*$C11</f>
      </c>
      <c r="FY11" s="37">
        <f>PM_Angle!$J$32+PM_Angle!$K$32*$D11+PM_Angle!$L$32*$C11</f>
      </c>
      <c r="FZ11" s="20">
        <f>MAX(MIN(Es*FY11,fy),-fy)</f>
      </c>
      <c r="GA11" s="20">
        <f>IF(FY11&gt;0,IF(FY11&lt;=eco,alpha*fck*(1-(1-FY11/eco)^n),alpha*fck),0)</f>
      </c>
      <c r="GB11" s="20">
        <f>FZ11-GA11</f>
      </c>
      <c r="GC11" s="19">
        <f>GB11*$E11</f>
      </c>
      <c r="GD11" s="19">
        <f>GC11*$D11</f>
      </c>
      <c r="GE11" s="19">
        <f>GC11*$C11</f>
      </c>
      <c r="GF11" s="37">
        <f>PM_Angle!$J$33+PM_Angle!$K$33*$D11+PM_Angle!$L$33*$C11</f>
      </c>
      <c r="GG11" s="20">
        <f>MAX(MIN(Es*GF11,fy),-fy)</f>
      </c>
      <c r="GH11" s="20">
        <f>IF(GF11&gt;0,IF(GF11&lt;=eco,alpha*fck*(1-(1-GF11/eco)^n),alpha*fck),0)</f>
      </c>
      <c r="GI11" s="20">
        <f>GG11-GH11</f>
      </c>
      <c r="GJ11" s="19">
        <f>GI11*$E11</f>
      </c>
      <c r="GK11" s="19">
        <f>GJ11*$D11</f>
      </c>
      <c r="GL11" s="19">
        <f>GJ11*$C11</f>
      </c>
      <c r="GM11" s="37">
        <f>Eq_e0+Eq_kx*$D11+Eq_ky*$C11</f>
      </c>
      <c r="GN11" s="20">
        <f>MAX(MIN(Es*GM11,fy),-fy)</f>
      </c>
      <c r="GO11" s="20">
        <f>IF(GM11&gt;0,IF(GM11&lt;=eco,alpha*fck*(1-(1-GM11/eco)^n),alpha*fck),0)</f>
      </c>
      <c r="GP11" s="20">
        <f>GN11-GO11</f>
      </c>
      <c r="GQ11" s="19">
        <f>GP11*$E11</f>
      </c>
      <c r="GR11" s="19">
        <f>GQ11*$D11</f>
      </c>
      <c r="GS11" s="19">
        <f>GQ11*$C11</f>
      </c>
    </row>
    <row r="12" spans="1:201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PM_Angle!$J$26+PM_Angle!$K$26*$D12+PM_Angle!$L$26*$C12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  <c r="EP12" s="37">
        <f>PM_Angle!$J$27+PM_Angle!$K$27*$D12+PM_Angle!$L$27*$C12</f>
      </c>
      <c r="EQ12" s="20">
        <f>MAX(MIN(Es*EP12,fy),-fy)</f>
      </c>
      <c r="ER12" s="20">
        <f>IF(EP12&gt;0,IF(EP12&lt;=eco,alpha*fck*(1-(1-EP12/eco)^n),alpha*fck),0)</f>
      </c>
      <c r="ES12" s="20">
        <f>EQ12-ER12</f>
      </c>
      <c r="ET12" s="19">
        <f>ES12*$E12</f>
      </c>
      <c r="EU12" s="19">
        <f>ET12*$D12</f>
      </c>
      <c r="EV12" s="19">
        <f>ET12*$C12</f>
      </c>
      <c r="EW12" s="37">
        <f>PM_Angle!$J$28+PM_Angle!$K$28*$D12+PM_Angle!$L$28*$C12</f>
      </c>
      <c r="EX12" s="20">
        <f>MAX(MIN(Es*EW12,fy),-fy)</f>
      </c>
      <c r="EY12" s="20">
        <f>IF(EW12&gt;0,IF(EW12&lt;=eco,alpha*fck*(1-(1-EW12/eco)^n),alpha*fck),0)</f>
      </c>
      <c r="EZ12" s="20">
        <f>EX12-EY12</f>
      </c>
      <c r="FA12" s="19">
        <f>EZ12*$E12</f>
      </c>
      <c r="FB12" s="19">
        <f>FA12*$D12</f>
      </c>
      <c r="FC12" s="19">
        <f>FA12*$C12</f>
      </c>
      <c r="FD12" s="37">
        <f>PM_Angle!$J$29+PM_Angle!$K$29*$D12+PM_Angle!$L$29*$C12</f>
      </c>
      <c r="FE12" s="20">
        <f>MAX(MIN(Es*FD12,fy),-fy)</f>
      </c>
      <c r="FF12" s="20">
        <f>IF(FD12&gt;0,IF(FD12&lt;=eco,alpha*fck*(1-(1-FD12/eco)^n),alpha*fck),0)</f>
      </c>
      <c r="FG12" s="20">
        <f>FE12-FF12</f>
      </c>
      <c r="FH12" s="19">
        <f>FG12*$E12</f>
      </c>
      <c r="FI12" s="19">
        <f>FH12*$D12</f>
      </c>
      <c r="FJ12" s="19">
        <f>FH12*$C12</f>
      </c>
      <c r="FK12" s="37">
        <f>PM_Angle!$J$30+PM_Angle!$K$30*$D12+PM_Angle!$L$30*$C12</f>
      </c>
      <c r="FL12" s="20">
        <f>MAX(MIN(Es*FK12,fy),-fy)</f>
      </c>
      <c r="FM12" s="20">
        <f>IF(FK12&gt;0,IF(FK12&lt;=eco,alpha*fck*(1-(1-FK12/eco)^n),alpha*fck),0)</f>
      </c>
      <c r="FN12" s="20">
        <f>FL12-FM12</f>
      </c>
      <c r="FO12" s="19">
        <f>FN12*$E12</f>
      </c>
      <c r="FP12" s="19">
        <f>FO12*$D12</f>
      </c>
      <c r="FQ12" s="19">
        <f>FO12*$C12</f>
      </c>
      <c r="FR12" s="37">
        <f>PM_Angle!$J$31+PM_Angle!$K$31*$D12+PM_Angle!$L$31*$C12</f>
      </c>
      <c r="FS12" s="20">
        <f>MAX(MIN(Es*FR12,fy),-fy)</f>
      </c>
      <c r="FT12" s="20">
        <f>IF(FR12&gt;0,IF(FR12&lt;=eco,alpha*fck*(1-(1-FR12/eco)^n),alpha*fck),0)</f>
      </c>
      <c r="FU12" s="20">
        <f>FS12-FT12</f>
      </c>
      <c r="FV12" s="19">
        <f>FU12*$E12</f>
      </c>
      <c r="FW12" s="19">
        <f>FV12*$D12</f>
      </c>
      <c r="FX12" s="19">
        <f>FV12*$C12</f>
      </c>
      <c r="FY12" s="37">
        <f>PM_Angle!$J$32+PM_Angle!$K$32*$D12+PM_Angle!$L$32*$C12</f>
      </c>
      <c r="FZ12" s="20">
        <f>MAX(MIN(Es*FY12,fy),-fy)</f>
      </c>
      <c r="GA12" s="20">
        <f>IF(FY12&gt;0,IF(FY12&lt;=eco,alpha*fck*(1-(1-FY12/eco)^n),alpha*fck),0)</f>
      </c>
      <c r="GB12" s="20">
        <f>FZ12-GA12</f>
      </c>
      <c r="GC12" s="19">
        <f>GB12*$E12</f>
      </c>
      <c r="GD12" s="19">
        <f>GC12*$D12</f>
      </c>
      <c r="GE12" s="19">
        <f>GC12*$C12</f>
      </c>
      <c r="GF12" s="37">
        <f>PM_Angle!$J$33+PM_Angle!$K$33*$D12+PM_Angle!$L$33*$C12</f>
      </c>
      <c r="GG12" s="20">
        <f>MAX(MIN(Es*GF12,fy),-fy)</f>
      </c>
      <c r="GH12" s="20">
        <f>IF(GF12&gt;0,IF(GF12&lt;=eco,alpha*fck*(1-(1-GF12/eco)^n),alpha*fck),0)</f>
      </c>
      <c r="GI12" s="20">
        <f>GG12-GH12</f>
      </c>
      <c r="GJ12" s="19">
        <f>GI12*$E12</f>
      </c>
      <c r="GK12" s="19">
        <f>GJ12*$D12</f>
      </c>
      <c r="GL12" s="19">
        <f>GJ12*$C12</f>
      </c>
      <c r="GM12" s="37">
        <f>Eq_e0+Eq_kx*$D12+Eq_ky*$C12</f>
      </c>
      <c r="GN12" s="20">
        <f>MAX(MIN(Es*GM12,fy),-fy)</f>
      </c>
      <c r="GO12" s="20">
        <f>IF(GM12&gt;0,IF(GM12&lt;=eco,alpha*fck*(1-(1-GM12/eco)^n),alpha*fck),0)</f>
      </c>
      <c r="GP12" s="20">
        <f>GN12-GO12</f>
      </c>
      <c r="GQ12" s="19">
        <f>GP12*$E12</f>
      </c>
      <c r="GR12" s="19">
        <f>GQ12*$D12</f>
      </c>
      <c r="GS12" s="19">
        <f>GQ12*$C12</f>
      </c>
    </row>
    <row r="13" spans="1:201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PM_Angle!$J$26+PM_Angle!$K$26*$D13+PM_Angle!$L$26*$C13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  <c r="EP13" s="37">
        <f>PM_Angle!$J$27+PM_Angle!$K$27*$D13+PM_Angle!$L$27*$C13</f>
      </c>
      <c r="EQ13" s="20">
        <f>MAX(MIN(Es*EP13,fy),-fy)</f>
      </c>
      <c r="ER13" s="20">
        <f>IF(EP13&gt;0,IF(EP13&lt;=eco,alpha*fck*(1-(1-EP13/eco)^n),alpha*fck),0)</f>
      </c>
      <c r="ES13" s="20">
        <f>EQ13-ER13</f>
      </c>
      <c r="ET13" s="19">
        <f>ES13*$E13</f>
      </c>
      <c r="EU13" s="19">
        <f>ET13*$D13</f>
      </c>
      <c r="EV13" s="19">
        <f>ET13*$C13</f>
      </c>
      <c r="EW13" s="37">
        <f>PM_Angle!$J$28+PM_Angle!$K$28*$D13+PM_Angle!$L$28*$C13</f>
      </c>
      <c r="EX13" s="20">
        <f>MAX(MIN(Es*EW13,fy),-fy)</f>
      </c>
      <c r="EY13" s="20">
        <f>IF(EW13&gt;0,IF(EW13&lt;=eco,alpha*fck*(1-(1-EW13/eco)^n),alpha*fck),0)</f>
      </c>
      <c r="EZ13" s="20">
        <f>EX13-EY13</f>
      </c>
      <c r="FA13" s="19">
        <f>EZ13*$E13</f>
      </c>
      <c r="FB13" s="19">
        <f>FA13*$D13</f>
      </c>
      <c r="FC13" s="19">
        <f>FA13*$C13</f>
      </c>
      <c r="FD13" s="37">
        <f>PM_Angle!$J$29+PM_Angle!$K$29*$D13+PM_Angle!$L$29*$C13</f>
      </c>
      <c r="FE13" s="20">
        <f>MAX(MIN(Es*FD13,fy),-fy)</f>
      </c>
      <c r="FF13" s="20">
        <f>IF(FD13&gt;0,IF(FD13&lt;=eco,alpha*fck*(1-(1-FD13/eco)^n),alpha*fck),0)</f>
      </c>
      <c r="FG13" s="20">
        <f>FE13-FF13</f>
      </c>
      <c r="FH13" s="19">
        <f>FG13*$E13</f>
      </c>
      <c r="FI13" s="19">
        <f>FH13*$D13</f>
      </c>
      <c r="FJ13" s="19">
        <f>FH13*$C13</f>
      </c>
      <c r="FK13" s="37">
        <f>PM_Angle!$J$30+PM_Angle!$K$30*$D13+PM_Angle!$L$30*$C13</f>
      </c>
      <c r="FL13" s="20">
        <f>MAX(MIN(Es*FK13,fy),-fy)</f>
      </c>
      <c r="FM13" s="20">
        <f>IF(FK13&gt;0,IF(FK13&lt;=eco,alpha*fck*(1-(1-FK13/eco)^n),alpha*fck),0)</f>
      </c>
      <c r="FN13" s="20">
        <f>FL13-FM13</f>
      </c>
      <c r="FO13" s="19">
        <f>FN13*$E13</f>
      </c>
      <c r="FP13" s="19">
        <f>FO13*$D13</f>
      </c>
      <c r="FQ13" s="19">
        <f>FO13*$C13</f>
      </c>
      <c r="FR13" s="37">
        <f>PM_Angle!$J$31+PM_Angle!$K$31*$D13+PM_Angle!$L$31*$C13</f>
      </c>
      <c r="FS13" s="20">
        <f>MAX(MIN(Es*FR13,fy),-fy)</f>
      </c>
      <c r="FT13" s="20">
        <f>IF(FR13&gt;0,IF(FR13&lt;=eco,alpha*fck*(1-(1-FR13/eco)^n),alpha*fck),0)</f>
      </c>
      <c r="FU13" s="20">
        <f>FS13-FT13</f>
      </c>
      <c r="FV13" s="19">
        <f>FU13*$E13</f>
      </c>
      <c r="FW13" s="19">
        <f>FV13*$D13</f>
      </c>
      <c r="FX13" s="19">
        <f>FV13*$C13</f>
      </c>
      <c r="FY13" s="37">
        <f>PM_Angle!$J$32+PM_Angle!$K$32*$D13+PM_Angle!$L$32*$C13</f>
      </c>
      <c r="FZ13" s="20">
        <f>MAX(MIN(Es*FY13,fy),-fy)</f>
      </c>
      <c r="GA13" s="20">
        <f>IF(FY13&gt;0,IF(FY13&lt;=eco,alpha*fck*(1-(1-FY13/eco)^n),alpha*fck),0)</f>
      </c>
      <c r="GB13" s="20">
        <f>FZ13-GA13</f>
      </c>
      <c r="GC13" s="19">
        <f>GB13*$E13</f>
      </c>
      <c r="GD13" s="19">
        <f>GC13*$D13</f>
      </c>
      <c r="GE13" s="19">
        <f>GC13*$C13</f>
      </c>
      <c r="GF13" s="37">
        <f>PM_Angle!$J$33+PM_Angle!$K$33*$D13+PM_Angle!$L$33*$C13</f>
      </c>
      <c r="GG13" s="20">
        <f>MAX(MIN(Es*GF13,fy),-fy)</f>
      </c>
      <c r="GH13" s="20">
        <f>IF(GF13&gt;0,IF(GF13&lt;=eco,alpha*fck*(1-(1-GF13/eco)^n),alpha*fck),0)</f>
      </c>
      <c r="GI13" s="20">
        <f>GG13-GH13</f>
      </c>
      <c r="GJ13" s="19">
        <f>GI13*$E13</f>
      </c>
      <c r="GK13" s="19">
        <f>GJ13*$D13</f>
      </c>
      <c r="GL13" s="19">
        <f>GJ13*$C13</f>
      </c>
      <c r="GM13" s="37">
        <f>Eq_e0+Eq_kx*$D13+Eq_ky*$C13</f>
      </c>
      <c r="GN13" s="20">
        <f>MAX(MIN(Es*GM13,fy),-fy)</f>
      </c>
      <c r="GO13" s="20">
        <f>IF(GM13&gt;0,IF(GM13&lt;=eco,alpha*fck*(1-(1-GM13/eco)^n),alpha*fck),0)</f>
      </c>
      <c r="GP13" s="20">
        <f>GN13-GO13</f>
      </c>
      <c r="GQ13" s="19">
        <f>GP13*$E13</f>
      </c>
      <c r="GR13" s="19">
        <f>GQ13*$D13</f>
      </c>
      <c r="GS13" s="19">
        <f>GQ13*$C13</f>
      </c>
    </row>
    <row r="14" spans="1:201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PM_Angle!$J$26+PM_Angle!$K$26*$D14+PM_Angle!$L$26*$C14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  <c r="EP14" s="37">
        <f>PM_Angle!$J$27+PM_Angle!$K$27*$D14+PM_Angle!$L$27*$C14</f>
      </c>
      <c r="EQ14" s="20">
        <f>MAX(MIN(Es*EP14,fy),-fy)</f>
      </c>
      <c r="ER14" s="20">
        <f>IF(EP14&gt;0,IF(EP14&lt;=eco,alpha*fck*(1-(1-EP14/eco)^n),alpha*fck),0)</f>
      </c>
      <c r="ES14" s="20">
        <f>EQ14-ER14</f>
      </c>
      <c r="ET14" s="19">
        <f>ES14*$E14</f>
      </c>
      <c r="EU14" s="19">
        <f>ET14*$D14</f>
      </c>
      <c r="EV14" s="19">
        <f>ET14*$C14</f>
      </c>
      <c r="EW14" s="37">
        <f>PM_Angle!$J$28+PM_Angle!$K$28*$D14+PM_Angle!$L$28*$C14</f>
      </c>
      <c r="EX14" s="20">
        <f>MAX(MIN(Es*EW14,fy),-fy)</f>
      </c>
      <c r="EY14" s="20">
        <f>IF(EW14&gt;0,IF(EW14&lt;=eco,alpha*fck*(1-(1-EW14/eco)^n),alpha*fck),0)</f>
      </c>
      <c r="EZ14" s="20">
        <f>EX14-EY14</f>
      </c>
      <c r="FA14" s="19">
        <f>EZ14*$E14</f>
      </c>
      <c r="FB14" s="19">
        <f>FA14*$D14</f>
      </c>
      <c r="FC14" s="19">
        <f>FA14*$C14</f>
      </c>
      <c r="FD14" s="37">
        <f>PM_Angle!$J$29+PM_Angle!$K$29*$D14+PM_Angle!$L$29*$C14</f>
      </c>
      <c r="FE14" s="20">
        <f>MAX(MIN(Es*FD14,fy),-fy)</f>
      </c>
      <c r="FF14" s="20">
        <f>IF(FD14&gt;0,IF(FD14&lt;=eco,alpha*fck*(1-(1-FD14/eco)^n),alpha*fck),0)</f>
      </c>
      <c r="FG14" s="20">
        <f>FE14-FF14</f>
      </c>
      <c r="FH14" s="19">
        <f>FG14*$E14</f>
      </c>
      <c r="FI14" s="19">
        <f>FH14*$D14</f>
      </c>
      <c r="FJ14" s="19">
        <f>FH14*$C14</f>
      </c>
      <c r="FK14" s="37">
        <f>PM_Angle!$J$30+PM_Angle!$K$30*$D14+PM_Angle!$L$30*$C14</f>
      </c>
      <c r="FL14" s="20">
        <f>MAX(MIN(Es*FK14,fy),-fy)</f>
      </c>
      <c r="FM14" s="20">
        <f>IF(FK14&gt;0,IF(FK14&lt;=eco,alpha*fck*(1-(1-FK14/eco)^n),alpha*fck),0)</f>
      </c>
      <c r="FN14" s="20">
        <f>FL14-FM14</f>
      </c>
      <c r="FO14" s="19">
        <f>FN14*$E14</f>
      </c>
      <c r="FP14" s="19">
        <f>FO14*$D14</f>
      </c>
      <c r="FQ14" s="19">
        <f>FO14*$C14</f>
      </c>
      <c r="FR14" s="37">
        <f>PM_Angle!$J$31+PM_Angle!$K$31*$D14+PM_Angle!$L$31*$C14</f>
      </c>
      <c r="FS14" s="20">
        <f>MAX(MIN(Es*FR14,fy),-fy)</f>
      </c>
      <c r="FT14" s="20">
        <f>IF(FR14&gt;0,IF(FR14&lt;=eco,alpha*fck*(1-(1-FR14/eco)^n),alpha*fck),0)</f>
      </c>
      <c r="FU14" s="20">
        <f>FS14-FT14</f>
      </c>
      <c r="FV14" s="19">
        <f>FU14*$E14</f>
      </c>
      <c r="FW14" s="19">
        <f>FV14*$D14</f>
      </c>
      <c r="FX14" s="19">
        <f>FV14*$C14</f>
      </c>
      <c r="FY14" s="37">
        <f>PM_Angle!$J$32+PM_Angle!$K$32*$D14+PM_Angle!$L$32*$C14</f>
      </c>
      <c r="FZ14" s="20">
        <f>MAX(MIN(Es*FY14,fy),-fy)</f>
      </c>
      <c r="GA14" s="20">
        <f>IF(FY14&gt;0,IF(FY14&lt;=eco,alpha*fck*(1-(1-FY14/eco)^n),alpha*fck),0)</f>
      </c>
      <c r="GB14" s="20">
        <f>FZ14-GA14</f>
      </c>
      <c r="GC14" s="19">
        <f>GB14*$E14</f>
      </c>
      <c r="GD14" s="19">
        <f>GC14*$D14</f>
      </c>
      <c r="GE14" s="19">
        <f>GC14*$C14</f>
      </c>
      <c r="GF14" s="37">
        <f>PM_Angle!$J$33+PM_Angle!$K$33*$D14+PM_Angle!$L$33*$C14</f>
      </c>
      <c r="GG14" s="20">
        <f>MAX(MIN(Es*GF14,fy),-fy)</f>
      </c>
      <c r="GH14" s="20">
        <f>IF(GF14&gt;0,IF(GF14&lt;=eco,alpha*fck*(1-(1-GF14/eco)^n),alpha*fck),0)</f>
      </c>
      <c r="GI14" s="20">
        <f>GG14-GH14</f>
      </c>
      <c r="GJ14" s="19">
        <f>GI14*$E14</f>
      </c>
      <c r="GK14" s="19">
        <f>GJ14*$D14</f>
      </c>
      <c r="GL14" s="19">
        <f>GJ14*$C14</f>
      </c>
      <c r="GM14" s="37">
        <f>Eq_e0+Eq_kx*$D14+Eq_ky*$C14</f>
      </c>
      <c r="GN14" s="20">
        <f>MAX(MIN(Es*GM14,fy),-fy)</f>
      </c>
      <c r="GO14" s="20">
        <f>IF(GM14&gt;0,IF(GM14&lt;=eco,alpha*fck*(1-(1-GM14/eco)^n),alpha*fck),0)</f>
      </c>
      <c r="GP14" s="20">
        <f>GN14-GO14</f>
      </c>
      <c r="GQ14" s="19">
        <f>GP14*$E14</f>
      </c>
      <c r="GR14" s="19">
        <f>GQ14*$D14</f>
      </c>
      <c r="GS14" s="19">
        <f>GQ14*$C14</f>
      </c>
    </row>
    <row r="15" spans="1:201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PM_Angle!$J$26+PM_Angle!$K$26*$D15+PM_Angle!$L$26*$C15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  <c r="EP15" s="37">
        <f>PM_Angle!$J$27+PM_Angle!$K$27*$D15+PM_Angle!$L$27*$C15</f>
      </c>
      <c r="EQ15" s="20">
        <f>MAX(MIN(Es*EP15,fy),-fy)</f>
      </c>
      <c r="ER15" s="20">
        <f>IF(EP15&gt;0,IF(EP15&lt;=eco,alpha*fck*(1-(1-EP15/eco)^n),alpha*fck),0)</f>
      </c>
      <c r="ES15" s="20">
        <f>EQ15-ER15</f>
      </c>
      <c r="ET15" s="19">
        <f>ES15*$E15</f>
      </c>
      <c r="EU15" s="19">
        <f>ET15*$D15</f>
      </c>
      <c r="EV15" s="19">
        <f>ET15*$C15</f>
      </c>
      <c r="EW15" s="37">
        <f>PM_Angle!$J$28+PM_Angle!$K$28*$D15+PM_Angle!$L$28*$C15</f>
      </c>
      <c r="EX15" s="20">
        <f>MAX(MIN(Es*EW15,fy),-fy)</f>
      </c>
      <c r="EY15" s="20">
        <f>IF(EW15&gt;0,IF(EW15&lt;=eco,alpha*fck*(1-(1-EW15/eco)^n),alpha*fck),0)</f>
      </c>
      <c r="EZ15" s="20">
        <f>EX15-EY15</f>
      </c>
      <c r="FA15" s="19">
        <f>EZ15*$E15</f>
      </c>
      <c r="FB15" s="19">
        <f>FA15*$D15</f>
      </c>
      <c r="FC15" s="19">
        <f>FA15*$C15</f>
      </c>
      <c r="FD15" s="37">
        <f>PM_Angle!$J$29+PM_Angle!$K$29*$D15+PM_Angle!$L$29*$C15</f>
      </c>
      <c r="FE15" s="20">
        <f>MAX(MIN(Es*FD15,fy),-fy)</f>
      </c>
      <c r="FF15" s="20">
        <f>IF(FD15&gt;0,IF(FD15&lt;=eco,alpha*fck*(1-(1-FD15/eco)^n),alpha*fck),0)</f>
      </c>
      <c r="FG15" s="20">
        <f>FE15-FF15</f>
      </c>
      <c r="FH15" s="19">
        <f>FG15*$E15</f>
      </c>
      <c r="FI15" s="19">
        <f>FH15*$D15</f>
      </c>
      <c r="FJ15" s="19">
        <f>FH15*$C15</f>
      </c>
      <c r="FK15" s="37">
        <f>PM_Angle!$J$30+PM_Angle!$K$30*$D15+PM_Angle!$L$30*$C15</f>
      </c>
      <c r="FL15" s="20">
        <f>MAX(MIN(Es*FK15,fy),-fy)</f>
      </c>
      <c r="FM15" s="20">
        <f>IF(FK15&gt;0,IF(FK15&lt;=eco,alpha*fck*(1-(1-FK15/eco)^n),alpha*fck),0)</f>
      </c>
      <c r="FN15" s="20">
        <f>FL15-FM15</f>
      </c>
      <c r="FO15" s="19">
        <f>FN15*$E15</f>
      </c>
      <c r="FP15" s="19">
        <f>FO15*$D15</f>
      </c>
      <c r="FQ15" s="19">
        <f>FO15*$C15</f>
      </c>
      <c r="FR15" s="37">
        <f>PM_Angle!$J$31+PM_Angle!$K$31*$D15+PM_Angle!$L$31*$C15</f>
      </c>
      <c r="FS15" s="20">
        <f>MAX(MIN(Es*FR15,fy),-fy)</f>
      </c>
      <c r="FT15" s="20">
        <f>IF(FR15&gt;0,IF(FR15&lt;=eco,alpha*fck*(1-(1-FR15/eco)^n),alpha*fck),0)</f>
      </c>
      <c r="FU15" s="20">
        <f>FS15-FT15</f>
      </c>
      <c r="FV15" s="19">
        <f>FU15*$E15</f>
      </c>
      <c r="FW15" s="19">
        <f>FV15*$D15</f>
      </c>
      <c r="FX15" s="19">
        <f>FV15*$C15</f>
      </c>
      <c r="FY15" s="37">
        <f>PM_Angle!$J$32+PM_Angle!$K$32*$D15+PM_Angle!$L$32*$C15</f>
      </c>
      <c r="FZ15" s="20">
        <f>MAX(MIN(Es*FY15,fy),-fy)</f>
      </c>
      <c r="GA15" s="20">
        <f>IF(FY15&gt;0,IF(FY15&lt;=eco,alpha*fck*(1-(1-FY15/eco)^n),alpha*fck),0)</f>
      </c>
      <c r="GB15" s="20">
        <f>FZ15-GA15</f>
      </c>
      <c r="GC15" s="19">
        <f>GB15*$E15</f>
      </c>
      <c r="GD15" s="19">
        <f>GC15*$D15</f>
      </c>
      <c r="GE15" s="19">
        <f>GC15*$C15</f>
      </c>
      <c r="GF15" s="37">
        <f>PM_Angle!$J$33+PM_Angle!$K$33*$D15+PM_Angle!$L$33*$C15</f>
      </c>
      <c r="GG15" s="20">
        <f>MAX(MIN(Es*GF15,fy),-fy)</f>
      </c>
      <c r="GH15" s="20">
        <f>IF(GF15&gt;0,IF(GF15&lt;=eco,alpha*fck*(1-(1-GF15/eco)^n),alpha*fck),0)</f>
      </c>
      <c r="GI15" s="20">
        <f>GG15-GH15</f>
      </c>
      <c r="GJ15" s="19">
        <f>GI15*$E15</f>
      </c>
      <c r="GK15" s="19">
        <f>GJ15*$D15</f>
      </c>
      <c r="GL15" s="19">
        <f>GJ15*$C15</f>
      </c>
      <c r="GM15" s="37">
        <f>Eq_e0+Eq_kx*$D15+Eq_ky*$C15</f>
      </c>
      <c r="GN15" s="20">
        <f>MAX(MIN(Es*GM15,fy),-fy)</f>
      </c>
      <c r="GO15" s="20">
        <f>IF(GM15&gt;0,IF(GM15&lt;=eco,alpha*fck*(1-(1-GM15/eco)^n),alpha*fck),0)</f>
      </c>
      <c r="GP15" s="20">
        <f>GN15-GO15</f>
      </c>
      <c r="GQ15" s="19">
        <f>GP15*$E15</f>
      </c>
      <c r="GR15" s="19">
        <f>GQ15*$D15</f>
      </c>
      <c r="GS15" s="19">
        <f>GQ15*$C15</f>
      </c>
    </row>
    <row r="16" spans="1:201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PM_Angle!$J$26+PM_Angle!$K$26*$D16+PM_Angle!$L$26*$C16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  <c r="EP16" s="37">
        <f>PM_Angle!$J$27+PM_Angle!$K$27*$D16+PM_Angle!$L$27*$C16</f>
      </c>
      <c r="EQ16" s="20">
        <f>MAX(MIN(Es*EP16,fy),-fy)</f>
      </c>
      <c r="ER16" s="20">
        <f>IF(EP16&gt;0,IF(EP16&lt;=eco,alpha*fck*(1-(1-EP16/eco)^n),alpha*fck),0)</f>
      </c>
      <c r="ES16" s="20">
        <f>EQ16-ER16</f>
      </c>
      <c r="ET16" s="19">
        <f>ES16*$E16</f>
      </c>
      <c r="EU16" s="19">
        <f>ET16*$D16</f>
      </c>
      <c r="EV16" s="19">
        <f>ET16*$C16</f>
      </c>
      <c r="EW16" s="37">
        <f>PM_Angle!$J$28+PM_Angle!$K$28*$D16+PM_Angle!$L$28*$C16</f>
      </c>
      <c r="EX16" s="20">
        <f>MAX(MIN(Es*EW16,fy),-fy)</f>
      </c>
      <c r="EY16" s="20">
        <f>IF(EW16&gt;0,IF(EW16&lt;=eco,alpha*fck*(1-(1-EW16/eco)^n),alpha*fck),0)</f>
      </c>
      <c r="EZ16" s="20">
        <f>EX16-EY16</f>
      </c>
      <c r="FA16" s="19">
        <f>EZ16*$E16</f>
      </c>
      <c r="FB16" s="19">
        <f>FA16*$D16</f>
      </c>
      <c r="FC16" s="19">
        <f>FA16*$C16</f>
      </c>
      <c r="FD16" s="37">
        <f>PM_Angle!$J$29+PM_Angle!$K$29*$D16+PM_Angle!$L$29*$C16</f>
      </c>
      <c r="FE16" s="20">
        <f>MAX(MIN(Es*FD16,fy),-fy)</f>
      </c>
      <c r="FF16" s="20">
        <f>IF(FD16&gt;0,IF(FD16&lt;=eco,alpha*fck*(1-(1-FD16/eco)^n),alpha*fck),0)</f>
      </c>
      <c r="FG16" s="20">
        <f>FE16-FF16</f>
      </c>
      <c r="FH16" s="19">
        <f>FG16*$E16</f>
      </c>
      <c r="FI16" s="19">
        <f>FH16*$D16</f>
      </c>
      <c r="FJ16" s="19">
        <f>FH16*$C16</f>
      </c>
      <c r="FK16" s="37">
        <f>PM_Angle!$J$30+PM_Angle!$K$30*$D16+PM_Angle!$L$30*$C16</f>
      </c>
      <c r="FL16" s="20">
        <f>MAX(MIN(Es*FK16,fy),-fy)</f>
      </c>
      <c r="FM16" s="20">
        <f>IF(FK16&gt;0,IF(FK16&lt;=eco,alpha*fck*(1-(1-FK16/eco)^n),alpha*fck),0)</f>
      </c>
      <c r="FN16" s="20">
        <f>FL16-FM16</f>
      </c>
      <c r="FO16" s="19">
        <f>FN16*$E16</f>
      </c>
      <c r="FP16" s="19">
        <f>FO16*$D16</f>
      </c>
      <c r="FQ16" s="19">
        <f>FO16*$C16</f>
      </c>
      <c r="FR16" s="37">
        <f>PM_Angle!$J$31+PM_Angle!$K$31*$D16+PM_Angle!$L$31*$C16</f>
      </c>
      <c r="FS16" s="20">
        <f>MAX(MIN(Es*FR16,fy),-fy)</f>
      </c>
      <c r="FT16" s="20">
        <f>IF(FR16&gt;0,IF(FR16&lt;=eco,alpha*fck*(1-(1-FR16/eco)^n),alpha*fck),0)</f>
      </c>
      <c r="FU16" s="20">
        <f>FS16-FT16</f>
      </c>
      <c r="FV16" s="19">
        <f>FU16*$E16</f>
      </c>
      <c r="FW16" s="19">
        <f>FV16*$D16</f>
      </c>
      <c r="FX16" s="19">
        <f>FV16*$C16</f>
      </c>
      <c r="FY16" s="37">
        <f>PM_Angle!$J$32+PM_Angle!$K$32*$D16+PM_Angle!$L$32*$C16</f>
      </c>
      <c r="FZ16" s="20">
        <f>MAX(MIN(Es*FY16,fy),-fy)</f>
      </c>
      <c r="GA16" s="20">
        <f>IF(FY16&gt;0,IF(FY16&lt;=eco,alpha*fck*(1-(1-FY16/eco)^n),alpha*fck),0)</f>
      </c>
      <c r="GB16" s="20">
        <f>FZ16-GA16</f>
      </c>
      <c r="GC16" s="19">
        <f>GB16*$E16</f>
      </c>
      <c r="GD16" s="19">
        <f>GC16*$D16</f>
      </c>
      <c r="GE16" s="19">
        <f>GC16*$C16</f>
      </c>
      <c r="GF16" s="37">
        <f>PM_Angle!$J$33+PM_Angle!$K$33*$D16+PM_Angle!$L$33*$C16</f>
      </c>
      <c r="GG16" s="20">
        <f>MAX(MIN(Es*GF16,fy),-fy)</f>
      </c>
      <c r="GH16" s="20">
        <f>IF(GF16&gt;0,IF(GF16&lt;=eco,alpha*fck*(1-(1-GF16/eco)^n),alpha*fck),0)</f>
      </c>
      <c r="GI16" s="20">
        <f>GG16-GH16</f>
      </c>
      <c r="GJ16" s="19">
        <f>GI16*$E16</f>
      </c>
      <c r="GK16" s="19">
        <f>GJ16*$D16</f>
      </c>
      <c r="GL16" s="19">
        <f>GJ16*$C16</f>
      </c>
      <c r="GM16" s="37">
        <f>Eq_e0+Eq_kx*$D16+Eq_ky*$C16</f>
      </c>
      <c r="GN16" s="20">
        <f>MAX(MIN(Es*GM16,fy),-fy)</f>
      </c>
      <c r="GO16" s="20">
        <f>IF(GM16&gt;0,IF(GM16&lt;=eco,alpha*fck*(1-(1-GM16/eco)^n),alpha*fck),0)</f>
      </c>
      <c r="GP16" s="20">
        <f>GN16-GO16</f>
      </c>
      <c r="GQ16" s="19">
        <f>GP16*$E16</f>
      </c>
      <c r="GR16" s="19">
        <f>GQ16*$D16</f>
      </c>
      <c r="GS16" s="19">
        <f>GQ16*$C16</f>
      </c>
    </row>
    <row r="17" spans="1:201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PM_Angle!$J$26+PM_Angle!$K$26*$D17+PM_Angle!$L$26*$C17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  <c r="EP17" s="37">
        <f>PM_Angle!$J$27+PM_Angle!$K$27*$D17+PM_Angle!$L$27*$C17</f>
      </c>
      <c r="EQ17" s="20">
        <f>MAX(MIN(Es*EP17,fy),-fy)</f>
      </c>
      <c r="ER17" s="20">
        <f>IF(EP17&gt;0,IF(EP17&lt;=eco,alpha*fck*(1-(1-EP17/eco)^n),alpha*fck),0)</f>
      </c>
      <c r="ES17" s="20">
        <f>EQ17-ER17</f>
      </c>
      <c r="ET17" s="19">
        <f>ES17*$E17</f>
      </c>
      <c r="EU17" s="19">
        <f>ET17*$D17</f>
      </c>
      <c r="EV17" s="19">
        <f>ET17*$C17</f>
      </c>
      <c r="EW17" s="37">
        <f>PM_Angle!$J$28+PM_Angle!$K$28*$D17+PM_Angle!$L$28*$C17</f>
      </c>
      <c r="EX17" s="20">
        <f>MAX(MIN(Es*EW17,fy),-fy)</f>
      </c>
      <c r="EY17" s="20">
        <f>IF(EW17&gt;0,IF(EW17&lt;=eco,alpha*fck*(1-(1-EW17/eco)^n),alpha*fck),0)</f>
      </c>
      <c r="EZ17" s="20">
        <f>EX17-EY17</f>
      </c>
      <c r="FA17" s="19">
        <f>EZ17*$E17</f>
      </c>
      <c r="FB17" s="19">
        <f>FA17*$D17</f>
      </c>
      <c r="FC17" s="19">
        <f>FA17*$C17</f>
      </c>
      <c r="FD17" s="37">
        <f>PM_Angle!$J$29+PM_Angle!$K$29*$D17+PM_Angle!$L$29*$C17</f>
      </c>
      <c r="FE17" s="20">
        <f>MAX(MIN(Es*FD17,fy),-fy)</f>
      </c>
      <c r="FF17" s="20">
        <f>IF(FD17&gt;0,IF(FD17&lt;=eco,alpha*fck*(1-(1-FD17/eco)^n),alpha*fck),0)</f>
      </c>
      <c r="FG17" s="20">
        <f>FE17-FF17</f>
      </c>
      <c r="FH17" s="19">
        <f>FG17*$E17</f>
      </c>
      <c r="FI17" s="19">
        <f>FH17*$D17</f>
      </c>
      <c r="FJ17" s="19">
        <f>FH17*$C17</f>
      </c>
      <c r="FK17" s="37">
        <f>PM_Angle!$J$30+PM_Angle!$K$30*$D17+PM_Angle!$L$30*$C17</f>
      </c>
      <c r="FL17" s="20">
        <f>MAX(MIN(Es*FK17,fy),-fy)</f>
      </c>
      <c r="FM17" s="20">
        <f>IF(FK17&gt;0,IF(FK17&lt;=eco,alpha*fck*(1-(1-FK17/eco)^n),alpha*fck),0)</f>
      </c>
      <c r="FN17" s="20">
        <f>FL17-FM17</f>
      </c>
      <c r="FO17" s="19">
        <f>FN17*$E17</f>
      </c>
      <c r="FP17" s="19">
        <f>FO17*$D17</f>
      </c>
      <c r="FQ17" s="19">
        <f>FO17*$C17</f>
      </c>
      <c r="FR17" s="37">
        <f>PM_Angle!$J$31+PM_Angle!$K$31*$D17+PM_Angle!$L$31*$C17</f>
      </c>
      <c r="FS17" s="20">
        <f>MAX(MIN(Es*FR17,fy),-fy)</f>
      </c>
      <c r="FT17" s="20">
        <f>IF(FR17&gt;0,IF(FR17&lt;=eco,alpha*fck*(1-(1-FR17/eco)^n),alpha*fck),0)</f>
      </c>
      <c r="FU17" s="20">
        <f>FS17-FT17</f>
      </c>
      <c r="FV17" s="19">
        <f>FU17*$E17</f>
      </c>
      <c r="FW17" s="19">
        <f>FV17*$D17</f>
      </c>
      <c r="FX17" s="19">
        <f>FV17*$C17</f>
      </c>
      <c r="FY17" s="37">
        <f>PM_Angle!$J$32+PM_Angle!$K$32*$D17+PM_Angle!$L$32*$C17</f>
      </c>
      <c r="FZ17" s="20">
        <f>MAX(MIN(Es*FY17,fy),-fy)</f>
      </c>
      <c r="GA17" s="20">
        <f>IF(FY17&gt;0,IF(FY17&lt;=eco,alpha*fck*(1-(1-FY17/eco)^n),alpha*fck),0)</f>
      </c>
      <c r="GB17" s="20">
        <f>FZ17-GA17</f>
      </c>
      <c r="GC17" s="19">
        <f>GB17*$E17</f>
      </c>
      <c r="GD17" s="19">
        <f>GC17*$D17</f>
      </c>
      <c r="GE17" s="19">
        <f>GC17*$C17</f>
      </c>
      <c r="GF17" s="37">
        <f>PM_Angle!$J$33+PM_Angle!$K$33*$D17+PM_Angle!$L$33*$C17</f>
      </c>
      <c r="GG17" s="20">
        <f>MAX(MIN(Es*GF17,fy),-fy)</f>
      </c>
      <c r="GH17" s="20">
        <f>IF(GF17&gt;0,IF(GF17&lt;=eco,alpha*fck*(1-(1-GF17/eco)^n),alpha*fck),0)</f>
      </c>
      <c r="GI17" s="20">
        <f>GG17-GH17</f>
      </c>
      <c r="GJ17" s="19">
        <f>GI17*$E17</f>
      </c>
      <c r="GK17" s="19">
        <f>GJ17*$D17</f>
      </c>
      <c r="GL17" s="19">
        <f>GJ17*$C17</f>
      </c>
      <c r="GM17" s="37">
        <f>Eq_e0+Eq_kx*$D17+Eq_ky*$C17</f>
      </c>
      <c r="GN17" s="20">
        <f>MAX(MIN(Es*GM17,fy),-fy)</f>
      </c>
      <c r="GO17" s="20">
        <f>IF(GM17&gt;0,IF(GM17&lt;=eco,alpha*fck*(1-(1-GM17/eco)^n),alpha*fck),0)</f>
      </c>
      <c r="GP17" s="20">
        <f>GN17-GO17</f>
      </c>
      <c r="GQ17" s="19">
        <f>GP17*$E17</f>
      </c>
      <c r="GR17" s="19">
        <f>GQ17*$D17</f>
      </c>
      <c r="GS17" s="19">
        <f>GQ17*$C17</f>
      </c>
    </row>
    <row r="18" spans="1:201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PM_Angle!$J$26+PM_Angle!$K$26*$D18+PM_Angle!$L$26*$C18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  <c r="EP18" s="37">
        <f>PM_Angle!$J$27+PM_Angle!$K$27*$D18+PM_Angle!$L$27*$C18</f>
      </c>
      <c r="EQ18" s="20">
        <f>MAX(MIN(Es*EP18,fy),-fy)</f>
      </c>
      <c r="ER18" s="20">
        <f>IF(EP18&gt;0,IF(EP18&lt;=eco,alpha*fck*(1-(1-EP18/eco)^n),alpha*fck),0)</f>
      </c>
      <c r="ES18" s="20">
        <f>EQ18-ER18</f>
      </c>
      <c r="ET18" s="19">
        <f>ES18*$E18</f>
      </c>
      <c r="EU18" s="19">
        <f>ET18*$D18</f>
      </c>
      <c r="EV18" s="19">
        <f>ET18*$C18</f>
      </c>
      <c r="EW18" s="37">
        <f>PM_Angle!$J$28+PM_Angle!$K$28*$D18+PM_Angle!$L$28*$C18</f>
      </c>
      <c r="EX18" s="20">
        <f>MAX(MIN(Es*EW18,fy),-fy)</f>
      </c>
      <c r="EY18" s="20">
        <f>IF(EW18&gt;0,IF(EW18&lt;=eco,alpha*fck*(1-(1-EW18/eco)^n),alpha*fck),0)</f>
      </c>
      <c r="EZ18" s="20">
        <f>EX18-EY18</f>
      </c>
      <c r="FA18" s="19">
        <f>EZ18*$E18</f>
      </c>
      <c r="FB18" s="19">
        <f>FA18*$D18</f>
      </c>
      <c r="FC18" s="19">
        <f>FA18*$C18</f>
      </c>
      <c r="FD18" s="37">
        <f>PM_Angle!$J$29+PM_Angle!$K$29*$D18+PM_Angle!$L$29*$C18</f>
      </c>
      <c r="FE18" s="20">
        <f>MAX(MIN(Es*FD18,fy),-fy)</f>
      </c>
      <c r="FF18" s="20">
        <f>IF(FD18&gt;0,IF(FD18&lt;=eco,alpha*fck*(1-(1-FD18/eco)^n),alpha*fck),0)</f>
      </c>
      <c r="FG18" s="20">
        <f>FE18-FF18</f>
      </c>
      <c r="FH18" s="19">
        <f>FG18*$E18</f>
      </c>
      <c r="FI18" s="19">
        <f>FH18*$D18</f>
      </c>
      <c r="FJ18" s="19">
        <f>FH18*$C18</f>
      </c>
      <c r="FK18" s="37">
        <f>PM_Angle!$J$30+PM_Angle!$K$30*$D18+PM_Angle!$L$30*$C18</f>
      </c>
      <c r="FL18" s="20">
        <f>MAX(MIN(Es*FK18,fy),-fy)</f>
      </c>
      <c r="FM18" s="20">
        <f>IF(FK18&gt;0,IF(FK18&lt;=eco,alpha*fck*(1-(1-FK18/eco)^n),alpha*fck),0)</f>
      </c>
      <c r="FN18" s="20">
        <f>FL18-FM18</f>
      </c>
      <c r="FO18" s="19">
        <f>FN18*$E18</f>
      </c>
      <c r="FP18" s="19">
        <f>FO18*$D18</f>
      </c>
      <c r="FQ18" s="19">
        <f>FO18*$C18</f>
      </c>
      <c r="FR18" s="37">
        <f>PM_Angle!$J$31+PM_Angle!$K$31*$D18+PM_Angle!$L$31*$C18</f>
      </c>
      <c r="FS18" s="20">
        <f>MAX(MIN(Es*FR18,fy),-fy)</f>
      </c>
      <c r="FT18" s="20">
        <f>IF(FR18&gt;0,IF(FR18&lt;=eco,alpha*fck*(1-(1-FR18/eco)^n),alpha*fck),0)</f>
      </c>
      <c r="FU18" s="20">
        <f>FS18-FT18</f>
      </c>
      <c r="FV18" s="19">
        <f>FU18*$E18</f>
      </c>
      <c r="FW18" s="19">
        <f>FV18*$D18</f>
      </c>
      <c r="FX18" s="19">
        <f>FV18*$C18</f>
      </c>
      <c r="FY18" s="37">
        <f>PM_Angle!$J$32+PM_Angle!$K$32*$D18+PM_Angle!$L$32*$C18</f>
      </c>
      <c r="FZ18" s="20">
        <f>MAX(MIN(Es*FY18,fy),-fy)</f>
      </c>
      <c r="GA18" s="20">
        <f>IF(FY18&gt;0,IF(FY18&lt;=eco,alpha*fck*(1-(1-FY18/eco)^n),alpha*fck),0)</f>
      </c>
      <c r="GB18" s="20">
        <f>FZ18-GA18</f>
      </c>
      <c r="GC18" s="19">
        <f>GB18*$E18</f>
      </c>
      <c r="GD18" s="19">
        <f>GC18*$D18</f>
      </c>
      <c r="GE18" s="19">
        <f>GC18*$C18</f>
      </c>
      <c r="GF18" s="37">
        <f>PM_Angle!$J$33+PM_Angle!$K$33*$D18+PM_Angle!$L$33*$C18</f>
      </c>
      <c r="GG18" s="20">
        <f>MAX(MIN(Es*GF18,fy),-fy)</f>
      </c>
      <c r="GH18" s="20">
        <f>IF(GF18&gt;0,IF(GF18&lt;=eco,alpha*fck*(1-(1-GF18/eco)^n),alpha*fck),0)</f>
      </c>
      <c r="GI18" s="20">
        <f>GG18-GH18</f>
      </c>
      <c r="GJ18" s="19">
        <f>GI18*$E18</f>
      </c>
      <c r="GK18" s="19">
        <f>GJ18*$D18</f>
      </c>
      <c r="GL18" s="19">
        <f>GJ18*$C18</f>
      </c>
      <c r="GM18" s="37">
        <f>Eq_e0+Eq_kx*$D18+Eq_ky*$C18</f>
      </c>
      <c r="GN18" s="20">
        <f>MAX(MIN(Es*GM18,fy),-fy)</f>
      </c>
      <c r="GO18" s="20">
        <f>IF(GM18&gt;0,IF(GM18&lt;=eco,alpha*fck*(1-(1-GM18/eco)^n),alpha*fck),0)</f>
      </c>
      <c r="GP18" s="20">
        <f>GN18-GO18</f>
      </c>
      <c r="GQ18" s="19">
        <f>GP18*$E18</f>
      </c>
      <c r="GR18" s="19">
        <f>GQ18*$D18</f>
      </c>
      <c r="GS18" s="19">
        <f>GQ18*$C18</f>
      </c>
    </row>
    <row r="19" spans="1:201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PM_Angle!$J$26+PM_Angle!$K$26*$D19+PM_Angle!$L$26*$C19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  <c r="EP19" s="37">
        <f>PM_Angle!$J$27+PM_Angle!$K$27*$D19+PM_Angle!$L$27*$C19</f>
      </c>
      <c r="EQ19" s="20">
        <f>MAX(MIN(Es*EP19,fy),-fy)</f>
      </c>
      <c r="ER19" s="20">
        <f>IF(EP19&gt;0,IF(EP19&lt;=eco,alpha*fck*(1-(1-EP19/eco)^n),alpha*fck),0)</f>
      </c>
      <c r="ES19" s="20">
        <f>EQ19-ER19</f>
      </c>
      <c r="ET19" s="19">
        <f>ES19*$E19</f>
      </c>
      <c r="EU19" s="19">
        <f>ET19*$D19</f>
      </c>
      <c r="EV19" s="19">
        <f>ET19*$C19</f>
      </c>
      <c r="EW19" s="37">
        <f>PM_Angle!$J$28+PM_Angle!$K$28*$D19+PM_Angle!$L$28*$C19</f>
      </c>
      <c r="EX19" s="20">
        <f>MAX(MIN(Es*EW19,fy),-fy)</f>
      </c>
      <c r="EY19" s="20">
        <f>IF(EW19&gt;0,IF(EW19&lt;=eco,alpha*fck*(1-(1-EW19/eco)^n),alpha*fck),0)</f>
      </c>
      <c r="EZ19" s="20">
        <f>EX19-EY19</f>
      </c>
      <c r="FA19" s="19">
        <f>EZ19*$E19</f>
      </c>
      <c r="FB19" s="19">
        <f>FA19*$D19</f>
      </c>
      <c r="FC19" s="19">
        <f>FA19*$C19</f>
      </c>
      <c r="FD19" s="37">
        <f>PM_Angle!$J$29+PM_Angle!$K$29*$D19+PM_Angle!$L$29*$C19</f>
      </c>
      <c r="FE19" s="20">
        <f>MAX(MIN(Es*FD19,fy),-fy)</f>
      </c>
      <c r="FF19" s="20">
        <f>IF(FD19&gt;0,IF(FD19&lt;=eco,alpha*fck*(1-(1-FD19/eco)^n),alpha*fck),0)</f>
      </c>
      <c r="FG19" s="20">
        <f>FE19-FF19</f>
      </c>
      <c r="FH19" s="19">
        <f>FG19*$E19</f>
      </c>
      <c r="FI19" s="19">
        <f>FH19*$D19</f>
      </c>
      <c r="FJ19" s="19">
        <f>FH19*$C19</f>
      </c>
      <c r="FK19" s="37">
        <f>PM_Angle!$J$30+PM_Angle!$K$30*$D19+PM_Angle!$L$30*$C19</f>
      </c>
      <c r="FL19" s="20">
        <f>MAX(MIN(Es*FK19,fy),-fy)</f>
      </c>
      <c r="FM19" s="20">
        <f>IF(FK19&gt;0,IF(FK19&lt;=eco,alpha*fck*(1-(1-FK19/eco)^n),alpha*fck),0)</f>
      </c>
      <c r="FN19" s="20">
        <f>FL19-FM19</f>
      </c>
      <c r="FO19" s="19">
        <f>FN19*$E19</f>
      </c>
      <c r="FP19" s="19">
        <f>FO19*$D19</f>
      </c>
      <c r="FQ19" s="19">
        <f>FO19*$C19</f>
      </c>
      <c r="FR19" s="37">
        <f>PM_Angle!$J$31+PM_Angle!$K$31*$D19+PM_Angle!$L$31*$C19</f>
      </c>
      <c r="FS19" s="20">
        <f>MAX(MIN(Es*FR19,fy),-fy)</f>
      </c>
      <c r="FT19" s="20">
        <f>IF(FR19&gt;0,IF(FR19&lt;=eco,alpha*fck*(1-(1-FR19/eco)^n),alpha*fck),0)</f>
      </c>
      <c r="FU19" s="20">
        <f>FS19-FT19</f>
      </c>
      <c r="FV19" s="19">
        <f>FU19*$E19</f>
      </c>
      <c r="FW19" s="19">
        <f>FV19*$D19</f>
      </c>
      <c r="FX19" s="19">
        <f>FV19*$C19</f>
      </c>
      <c r="FY19" s="37">
        <f>PM_Angle!$J$32+PM_Angle!$K$32*$D19+PM_Angle!$L$32*$C19</f>
      </c>
      <c r="FZ19" s="20">
        <f>MAX(MIN(Es*FY19,fy),-fy)</f>
      </c>
      <c r="GA19" s="20">
        <f>IF(FY19&gt;0,IF(FY19&lt;=eco,alpha*fck*(1-(1-FY19/eco)^n),alpha*fck),0)</f>
      </c>
      <c r="GB19" s="20">
        <f>FZ19-GA19</f>
      </c>
      <c r="GC19" s="19">
        <f>GB19*$E19</f>
      </c>
      <c r="GD19" s="19">
        <f>GC19*$D19</f>
      </c>
      <c r="GE19" s="19">
        <f>GC19*$C19</f>
      </c>
      <c r="GF19" s="37">
        <f>PM_Angle!$J$33+PM_Angle!$K$33*$D19+PM_Angle!$L$33*$C19</f>
      </c>
      <c r="GG19" s="20">
        <f>MAX(MIN(Es*GF19,fy),-fy)</f>
      </c>
      <c r="GH19" s="20">
        <f>IF(GF19&gt;0,IF(GF19&lt;=eco,alpha*fck*(1-(1-GF19/eco)^n),alpha*fck),0)</f>
      </c>
      <c r="GI19" s="20">
        <f>GG19-GH19</f>
      </c>
      <c r="GJ19" s="19">
        <f>GI19*$E19</f>
      </c>
      <c r="GK19" s="19">
        <f>GJ19*$D19</f>
      </c>
      <c r="GL19" s="19">
        <f>GJ19*$C19</f>
      </c>
      <c r="GM19" s="37">
        <f>Eq_e0+Eq_kx*$D19+Eq_ky*$C19</f>
      </c>
      <c r="GN19" s="20">
        <f>MAX(MIN(Es*GM19,fy),-fy)</f>
      </c>
      <c r="GO19" s="20">
        <f>IF(GM19&gt;0,IF(GM19&lt;=eco,alpha*fck*(1-(1-GM19/eco)^n),alpha*fck),0)</f>
      </c>
      <c r="GP19" s="20">
        <f>GN19-GO19</f>
      </c>
      <c r="GQ19" s="19">
        <f>GP19*$E19</f>
      </c>
      <c r="GR19" s="19">
        <f>GQ19*$D19</f>
      </c>
      <c r="GS19" s="19">
        <f>GQ19*$C19</f>
      </c>
    </row>
    <row r="20" spans="1:201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PM_Angle!$J$26+PM_Angle!$K$26*$D20+PM_Angle!$L$26*$C20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  <c r="EP20" s="37">
        <f>PM_Angle!$J$27+PM_Angle!$K$27*$D20+PM_Angle!$L$27*$C20</f>
      </c>
      <c r="EQ20" s="20">
        <f>MAX(MIN(Es*EP20,fy),-fy)</f>
      </c>
      <c r="ER20" s="20">
        <f>IF(EP20&gt;0,IF(EP20&lt;=eco,alpha*fck*(1-(1-EP20/eco)^n),alpha*fck),0)</f>
      </c>
      <c r="ES20" s="20">
        <f>EQ20-ER20</f>
      </c>
      <c r="ET20" s="19">
        <f>ES20*$E20</f>
      </c>
      <c r="EU20" s="19">
        <f>ET20*$D20</f>
      </c>
      <c r="EV20" s="19">
        <f>ET20*$C20</f>
      </c>
      <c r="EW20" s="37">
        <f>PM_Angle!$J$28+PM_Angle!$K$28*$D20+PM_Angle!$L$28*$C20</f>
      </c>
      <c r="EX20" s="20">
        <f>MAX(MIN(Es*EW20,fy),-fy)</f>
      </c>
      <c r="EY20" s="20">
        <f>IF(EW20&gt;0,IF(EW20&lt;=eco,alpha*fck*(1-(1-EW20/eco)^n),alpha*fck),0)</f>
      </c>
      <c r="EZ20" s="20">
        <f>EX20-EY20</f>
      </c>
      <c r="FA20" s="19">
        <f>EZ20*$E20</f>
      </c>
      <c r="FB20" s="19">
        <f>FA20*$D20</f>
      </c>
      <c r="FC20" s="19">
        <f>FA20*$C20</f>
      </c>
      <c r="FD20" s="37">
        <f>PM_Angle!$J$29+PM_Angle!$K$29*$D20+PM_Angle!$L$29*$C20</f>
      </c>
      <c r="FE20" s="20">
        <f>MAX(MIN(Es*FD20,fy),-fy)</f>
      </c>
      <c r="FF20" s="20">
        <f>IF(FD20&gt;0,IF(FD20&lt;=eco,alpha*fck*(1-(1-FD20/eco)^n),alpha*fck),0)</f>
      </c>
      <c r="FG20" s="20">
        <f>FE20-FF20</f>
      </c>
      <c r="FH20" s="19">
        <f>FG20*$E20</f>
      </c>
      <c r="FI20" s="19">
        <f>FH20*$D20</f>
      </c>
      <c r="FJ20" s="19">
        <f>FH20*$C20</f>
      </c>
      <c r="FK20" s="37">
        <f>PM_Angle!$J$30+PM_Angle!$K$30*$D20+PM_Angle!$L$30*$C20</f>
      </c>
      <c r="FL20" s="20">
        <f>MAX(MIN(Es*FK20,fy),-fy)</f>
      </c>
      <c r="FM20" s="20">
        <f>IF(FK20&gt;0,IF(FK20&lt;=eco,alpha*fck*(1-(1-FK20/eco)^n),alpha*fck),0)</f>
      </c>
      <c r="FN20" s="20">
        <f>FL20-FM20</f>
      </c>
      <c r="FO20" s="19">
        <f>FN20*$E20</f>
      </c>
      <c r="FP20" s="19">
        <f>FO20*$D20</f>
      </c>
      <c r="FQ20" s="19">
        <f>FO20*$C20</f>
      </c>
      <c r="FR20" s="37">
        <f>PM_Angle!$J$31+PM_Angle!$K$31*$D20+PM_Angle!$L$31*$C20</f>
      </c>
      <c r="FS20" s="20">
        <f>MAX(MIN(Es*FR20,fy),-fy)</f>
      </c>
      <c r="FT20" s="20">
        <f>IF(FR20&gt;0,IF(FR20&lt;=eco,alpha*fck*(1-(1-FR20/eco)^n),alpha*fck),0)</f>
      </c>
      <c r="FU20" s="20">
        <f>FS20-FT20</f>
      </c>
      <c r="FV20" s="19">
        <f>FU20*$E20</f>
      </c>
      <c r="FW20" s="19">
        <f>FV20*$D20</f>
      </c>
      <c r="FX20" s="19">
        <f>FV20*$C20</f>
      </c>
      <c r="FY20" s="37">
        <f>PM_Angle!$J$32+PM_Angle!$K$32*$D20+PM_Angle!$L$32*$C20</f>
      </c>
      <c r="FZ20" s="20">
        <f>MAX(MIN(Es*FY20,fy),-fy)</f>
      </c>
      <c r="GA20" s="20">
        <f>IF(FY20&gt;0,IF(FY20&lt;=eco,alpha*fck*(1-(1-FY20/eco)^n),alpha*fck),0)</f>
      </c>
      <c r="GB20" s="20">
        <f>FZ20-GA20</f>
      </c>
      <c r="GC20" s="19">
        <f>GB20*$E20</f>
      </c>
      <c r="GD20" s="19">
        <f>GC20*$D20</f>
      </c>
      <c r="GE20" s="19">
        <f>GC20*$C20</f>
      </c>
      <c r="GF20" s="37">
        <f>PM_Angle!$J$33+PM_Angle!$K$33*$D20+PM_Angle!$L$33*$C20</f>
      </c>
      <c r="GG20" s="20">
        <f>MAX(MIN(Es*GF20,fy),-fy)</f>
      </c>
      <c r="GH20" s="20">
        <f>IF(GF20&gt;0,IF(GF20&lt;=eco,alpha*fck*(1-(1-GF20/eco)^n),alpha*fck),0)</f>
      </c>
      <c r="GI20" s="20">
        <f>GG20-GH20</f>
      </c>
      <c r="GJ20" s="19">
        <f>GI20*$E20</f>
      </c>
      <c r="GK20" s="19">
        <f>GJ20*$D20</f>
      </c>
      <c r="GL20" s="19">
        <f>GJ20*$C20</f>
      </c>
      <c r="GM20" s="37">
        <f>Eq_e0+Eq_kx*$D20+Eq_ky*$C20</f>
      </c>
      <c r="GN20" s="20">
        <f>MAX(MIN(Es*GM20,fy),-fy)</f>
      </c>
      <c r="GO20" s="20">
        <f>IF(GM20&gt;0,IF(GM20&lt;=eco,alpha*fck*(1-(1-GM20/eco)^n),alpha*fck),0)</f>
      </c>
      <c r="GP20" s="20">
        <f>GN20-GO20</f>
      </c>
      <c r="GQ20" s="19">
        <f>GP20*$E20</f>
      </c>
      <c r="GR20" s="19">
        <f>GQ20*$D20</f>
      </c>
      <c r="GS20" s="19">
        <f>GQ20*$C20</f>
      </c>
    </row>
    <row r="21" spans="1:201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PM_Angle!$J$26+PM_Angle!$K$26*$D21+PM_Angle!$L$26*$C21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  <c r="EP21" s="37">
        <f>PM_Angle!$J$27+PM_Angle!$K$27*$D21+PM_Angle!$L$27*$C21</f>
      </c>
      <c r="EQ21" s="20">
        <f>MAX(MIN(Es*EP21,fy),-fy)</f>
      </c>
      <c r="ER21" s="20">
        <f>IF(EP21&gt;0,IF(EP21&lt;=eco,alpha*fck*(1-(1-EP21/eco)^n),alpha*fck),0)</f>
      </c>
      <c r="ES21" s="20">
        <f>EQ21-ER21</f>
      </c>
      <c r="ET21" s="19">
        <f>ES21*$E21</f>
      </c>
      <c r="EU21" s="19">
        <f>ET21*$D21</f>
      </c>
      <c r="EV21" s="19">
        <f>ET21*$C21</f>
      </c>
      <c r="EW21" s="37">
        <f>PM_Angle!$J$28+PM_Angle!$K$28*$D21+PM_Angle!$L$28*$C21</f>
      </c>
      <c r="EX21" s="20">
        <f>MAX(MIN(Es*EW21,fy),-fy)</f>
      </c>
      <c r="EY21" s="20">
        <f>IF(EW21&gt;0,IF(EW21&lt;=eco,alpha*fck*(1-(1-EW21/eco)^n),alpha*fck),0)</f>
      </c>
      <c r="EZ21" s="20">
        <f>EX21-EY21</f>
      </c>
      <c r="FA21" s="19">
        <f>EZ21*$E21</f>
      </c>
      <c r="FB21" s="19">
        <f>FA21*$D21</f>
      </c>
      <c r="FC21" s="19">
        <f>FA21*$C21</f>
      </c>
      <c r="FD21" s="37">
        <f>PM_Angle!$J$29+PM_Angle!$K$29*$D21+PM_Angle!$L$29*$C21</f>
      </c>
      <c r="FE21" s="20">
        <f>MAX(MIN(Es*FD21,fy),-fy)</f>
      </c>
      <c r="FF21" s="20">
        <f>IF(FD21&gt;0,IF(FD21&lt;=eco,alpha*fck*(1-(1-FD21/eco)^n),alpha*fck),0)</f>
      </c>
      <c r="FG21" s="20">
        <f>FE21-FF21</f>
      </c>
      <c r="FH21" s="19">
        <f>FG21*$E21</f>
      </c>
      <c r="FI21" s="19">
        <f>FH21*$D21</f>
      </c>
      <c r="FJ21" s="19">
        <f>FH21*$C21</f>
      </c>
      <c r="FK21" s="37">
        <f>PM_Angle!$J$30+PM_Angle!$K$30*$D21+PM_Angle!$L$30*$C21</f>
      </c>
      <c r="FL21" s="20">
        <f>MAX(MIN(Es*FK21,fy),-fy)</f>
      </c>
      <c r="FM21" s="20">
        <f>IF(FK21&gt;0,IF(FK21&lt;=eco,alpha*fck*(1-(1-FK21/eco)^n),alpha*fck),0)</f>
      </c>
      <c r="FN21" s="20">
        <f>FL21-FM21</f>
      </c>
      <c r="FO21" s="19">
        <f>FN21*$E21</f>
      </c>
      <c r="FP21" s="19">
        <f>FO21*$D21</f>
      </c>
      <c r="FQ21" s="19">
        <f>FO21*$C21</f>
      </c>
      <c r="FR21" s="37">
        <f>PM_Angle!$J$31+PM_Angle!$K$31*$D21+PM_Angle!$L$31*$C21</f>
      </c>
      <c r="FS21" s="20">
        <f>MAX(MIN(Es*FR21,fy),-fy)</f>
      </c>
      <c r="FT21" s="20">
        <f>IF(FR21&gt;0,IF(FR21&lt;=eco,alpha*fck*(1-(1-FR21/eco)^n),alpha*fck),0)</f>
      </c>
      <c r="FU21" s="20">
        <f>FS21-FT21</f>
      </c>
      <c r="FV21" s="19">
        <f>FU21*$E21</f>
      </c>
      <c r="FW21" s="19">
        <f>FV21*$D21</f>
      </c>
      <c r="FX21" s="19">
        <f>FV21*$C21</f>
      </c>
      <c r="FY21" s="37">
        <f>PM_Angle!$J$32+PM_Angle!$K$32*$D21+PM_Angle!$L$32*$C21</f>
      </c>
      <c r="FZ21" s="20">
        <f>MAX(MIN(Es*FY21,fy),-fy)</f>
      </c>
      <c r="GA21" s="20">
        <f>IF(FY21&gt;0,IF(FY21&lt;=eco,alpha*fck*(1-(1-FY21/eco)^n),alpha*fck),0)</f>
      </c>
      <c r="GB21" s="20">
        <f>FZ21-GA21</f>
      </c>
      <c r="GC21" s="19">
        <f>GB21*$E21</f>
      </c>
      <c r="GD21" s="19">
        <f>GC21*$D21</f>
      </c>
      <c r="GE21" s="19">
        <f>GC21*$C21</f>
      </c>
      <c r="GF21" s="37">
        <f>PM_Angle!$J$33+PM_Angle!$K$33*$D21+PM_Angle!$L$33*$C21</f>
      </c>
      <c r="GG21" s="20">
        <f>MAX(MIN(Es*GF21,fy),-fy)</f>
      </c>
      <c r="GH21" s="20">
        <f>IF(GF21&gt;0,IF(GF21&lt;=eco,alpha*fck*(1-(1-GF21/eco)^n),alpha*fck),0)</f>
      </c>
      <c r="GI21" s="20">
        <f>GG21-GH21</f>
      </c>
      <c r="GJ21" s="19">
        <f>GI21*$E21</f>
      </c>
      <c r="GK21" s="19">
        <f>GJ21*$D21</f>
      </c>
      <c r="GL21" s="19">
        <f>GJ21*$C21</f>
      </c>
      <c r="GM21" s="37">
        <f>Eq_e0+Eq_kx*$D21+Eq_ky*$C21</f>
      </c>
      <c r="GN21" s="20">
        <f>MAX(MIN(Es*GM21,fy),-fy)</f>
      </c>
      <c r="GO21" s="20">
        <f>IF(GM21&gt;0,IF(GM21&lt;=eco,alpha*fck*(1-(1-GM21/eco)^n),alpha*fck),0)</f>
      </c>
      <c r="GP21" s="20">
        <f>GN21-GO21</f>
      </c>
      <c r="GQ21" s="19">
        <f>GP21*$E21</f>
      </c>
      <c r="GR21" s="19">
        <f>GQ21*$D21</f>
      </c>
      <c r="GS21" s="19">
        <f>GQ21*$C21</f>
      </c>
    </row>
    <row r="22" spans="1:201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PM_Angle!$J$26+PM_Angle!$K$26*$D22+PM_Angle!$L$26*$C22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  <c r="EP22" s="37">
        <f>PM_Angle!$J$27+PM_Angle!$K$27*$D22+PM_Angle!$L$27*$C22</f>
      </c>
      <c r="EQ22" s="20">
        <f>MAX(MIN(Es*EP22,fy),-fy)</f>
      </c>
      <c r="ER22" s="20">
        <f>IF(EP22&gt;0,IF(EP22&lt;=eco,alpha*fck*(1-(1-EP22/eco)^n),alpha*fck),0)</f>
      </c>
      <c r="ES22" s="20">
        <f>EQ22-ER22</f>
      </c>
      <c r="ET22" s="19">
        <f>ES22*$E22</f>
      </c>
      <c r="EU22" s="19">
        <f>ET22*$D22</f>
      </c>
      <c r="EV22" s="19">
        <f>ET22*$C22</f>
      </c>
      <c r="EW22" s="37">
        <f>PM_Angle!$J$28+PM_Angle!$K$28*$D22+PM_Angle!$L$28*$C22</f>
      </c>
      <c r="EX22" s="20">
        <f>MAX(MIN(Es*EW22,fy),-fy)</f>
      </c>
      <c r="EY22" s="20">
        <f>IF(EW22&gt;0,IF(EW22&lt;=eco,alpha*fck*(1-(1-EW22/eco)^n),alpha*fck),0)</f>
      </c>
      <c r="EZ22" s="20">
        <f>EX22-EY22</f>
      </c>
      <c r="FA22" s="19">
        <f>EZ22*$E22</f>
      </c>
      <c r="FB22" s="19">
        <f>FA22*$D22</f>
      </c>
      <c r="FC22" s="19">
        <f>FA22*$C22</f>
      </c>
      <c r="FD22" s="37">
        <f>PM_Angle!$J$29+PM_Angle!$K$29*$D22+PM_Angle!$L$29*$C22</f>
      </c>
      <c r="FE22" s="20">
        <f>MAX(MIN(Es*FD22,fy),-fy)</f>
      </c>
      <c r="FF22" s="20">
        <f>IF(FD22&gt;0,IF(FD22&lt;=eco,alpha*fck*(1-(1-FD22/eco)^n),alpha*fck),0)</f>
      </c>
      <c r="FG22" s="20">
        <f>FE22-FF22</f>
      </c>
      <c r="FH22" s="19">
        <f>FG22*$E22</f>
      </c>
      <c r="FI22" s="19">
        <f>FH22*$D22</f>
      </c>
      <c r="FJ22" s="19">
        <f>FH22*$C22</f>
      </c>
      <c r="FK22" s="37">
        <f>PM_Angle!$J$30+PM_Angle!$K$30*$D22+PM_Angle!$L$30*$C22</f>
      </c>
      <c r="FL22" s="20">
        <f>MAX(MIN(Es*FK22,fy),-fy)</f>
      </c>
      <c r="FM22" s="20">
        <f>IF(FK22&gt;0,IF(FK22&lt;=eco,alpha*fck*(1-(1-FK22/eco)^n),alpha*fck),0)</f>
      </c>
      <c r="FN22" s="20">
        <f>FL22-FM22</f>
      </c>
      <c r="FO22" s="19">
        <f>FN22*$E22</f>
      </c>
      <c r="FP22" s="19">
        <f>FO22*$D22</f>
      </c>
      <c r="FQ22" s="19">
        <f>FO22*$C22</f>
      </c>
      <c r="FR22" s="37">
        <f>PM_Angle!$J$31+PM_Angle!$K$31*$D22+PM_Angle!$L$31*$C22</f>
      </c>
      <c r="FS22" s="20">
        <f>MAX(MIN(Es*FR22,fy),-fy)</f>
      </c>
      <c r="FT22" s="20">
        <f>IF(FR22&gt;0,IF(FR22&lt;=eco,alpha*fck*(1-(1-FR22/eco)^n),alpha*fck),0)</f>
      </c>
      <c r="FU22" s="20">
        <f>FS22-FT22</f>
      </c>
      <c r="FV22" s="19">
        <f>FU22*$E22</f>
      </c>
      <c r="FW22" s="19">
        <f>FV22*$D22</f>
      </c>
      <c r="FX22" s="19">
        <f>FV22*$C22</f>
      </c>
      <c r="FY22" s="37">
        <f>PM_Angle!$J$32+PM_Angle!$K$32*$D22+PM_Angle!$L$32*$C22</f>
      </c>
      <c r="FZ22" s="20">
        <f>MAX(MIN(Es*FY22,fy),-fy)</f>
      </c>
      <c r="GA22" s="20">
        <f>IF(FY22&gt;0,IF(FY22&lt;=eco,alpha*fck*(1-(1-FY22/eco)^n),alpha*fck),0)</f>
      </c>
      <c r="GB22" s="20">
        <f>FZ22-GA22</f>
      </c>
      <c r="GC22" s="19">
        <f>GB22*$E22</f>
      </c>
      <c r="GD22" s="19">
        <f>GC22*$D22</f>
      </c>
      <c r="GE22" s="19">
        <f>GC22*$C22</f>
      </c>
      <c r="GF22" s="37">
        <f>PM_Angle!$J$33+PM_Angle!$K$33*$D22+PM_Angle!$L$33*$C22</f>
      </c>
      <c r="GG22" s="20">
        <f>MAX(MIN(Es*GF22,fy),-fy)</f>
      </c>
      <c r="GH22" s="20">
        <f>IF(GF22&gt;0,IF(GF22&lt;=eco,alpha*fck*(1-(1-GF22/eco)^n),alpha*fck),0)</f>
      </c>
      <c r="GI22" s="20">
        <f>GG22-GH22</f>
      </c>
      <c r="GJ22" s="19">
        <f>GI22*$E22</f>
      </c>
      <c r="GK22" s="19">
        <f>GJ22*$D22</f>
      </c>
      <c r="GL22" s="19">
        <f>GJ22*$C22</f>
      </c>
      <c r="GM22" s="37">
        <f>Eq_e0+Eq_kx*$D22+Eq_ky*$C22</f>
      </c>
      <c r="GN22" s="20">
        <f>MAX(MIN(Es*GM22,fy),-fy)</f>
      </c>
      <c r="GO22" s="20">
        <f>IF(GM22&gt;0,IF(GM22&lt;=eco,alpha*fck*(1-(1-GM22/eco)^n),alpha*fck),0)</f>
      </c>
      <c r="GP22" s="20">
        <f>GN22-GO22</f>
      </c>
      <c r="GQ22" s="19">
        <f>GP22*$E22</f>
      </c>
      <c r="GR22" s="19">
        <f>GQ22*$D22</f>
      </c>
      <c r="GS22" s="19">
        <f>GQ22*$C22</f>
      </c>
    </row>
    <row r="23" spans="1:201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PM_Angle!$J$26+PM_Angle!$K$26*$D23+PM_Angle!$L$26*$C23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  <c r="EP23" s="37">
        <f>PM_Angle!$J$27+PM_Angle!$K$27*$D23+PM_Angle!$L$27*$C23</f>
      </c>
      <c r="EQ23" s="20">
        <f>MAX(MIN(Es*EP23,fy),-fy)</f>
      </c>
      <c r="ER23" s="20">
        <f>IF(EP23&gt;0,IF(EP23&lt;=eco,alpha*fck*(1-(1-EP23/eco)^n),alpha*fck),0)</f>
      </c>
      <c r="ES23" s="20">
        <f>EQ23-ER23</f>
      </c>
      <c r="ET23" s="19">
        <f>ES23*$E23</f>
      </c>
      <c r="EU23" s="19">
        <f>ET23*$D23</f>
      </c>
      <c r="EV23" s="19">
        <f>ET23*$C23</f>
      </c>
      <c r="EW23" s="37">
        <f>PM_Angle!$J$28+PM_Angle!$K$28*$D23+PM_Angle!$L$28*$C23</f>
      </c>
      <c r="EX23" s="20">
        <f>MAX(MIN(Es*EW23,fy),-fy)</f>
      </c>
      <c r="EY23" s="20">
        <f>IF(EW23&gt;0,IF(EW23&lt;=eco,alpha*fck*(1-(1-EW23/eco)^n),alpha*fck),0)</f>
      </c>
      <c r="EZ23" s="20">
        <f>EX23-EY23</f>
      </c>
      <c r="FA23" s="19">
        <f>EZ23*$E23</f>
      </c>
      <c r="FB23" s="19">
        <f>FA23*$D23</f>
      </c>
      <c r="FC23" s="19">
        <f>FA23*$C23</f>
      </c>
      <c r="FD23" s="37">
        <f>PM_Angle!$J$29+PM_Angle!$K$29*$D23+PM_Angle!$L$29*$C23</f>
      </c>
      <c r="FE23" s="20">
        <f>MAX(MIN(Es*FD23,fy),-fy)</f>
      </c>
      <c r="FF23" s="20">
        <f>IF(FD23&gt;0,IF(FD23&lt;=eco,alpha*fck*(1-(1-FD23/eco)^n),alpha*fck),0)</f>
      </c>
      <c r="FG23" s="20">
        <f>FE23-FF23</f>
      </c>
      <c r="FH23" s="19">
        <f>FG23*$E23</f>
      </c>
      <c r="FI23" s="19">
        <f>FH23*$D23</f>
      </c>
      <c r="FJ23" s="19">
        <f>FH23*$C23</f>
      </c>
      <c r="FK23" s="37">
        <f>PM_Angle!$J$30+PM_Angle!$K$30*$D23+PM_Angle!$L$30*$C23</f>
      </c>
      <c r="FL23" s="20">
        <f>MAX(MIN(Es*FK23,fy),-fy)</f>
      </c>
      <c r="FM23" s="20">
        <f>IF(FK23&gt;0,IF(FK23&lt;=eco,alpha*fck*(1-(1-FK23/eco)^n),alpha*fck),0)</f>
      </c>
      <c r="FN23" s="20">
        <f>FL23-FM23</f>
      </c>
      <c r="FO23" s="19">
        <f>FN23*$E23</f>
      </c>
      <c r="FP23" s="19">
        <f>FO23*$D23</f>
      </c>
      <c r="FQ23" s="19">
        <f>FO23*$C23</f>
      </c>
      <c r="FR23" s="37">
        <f>PM_Angle!$J$31+PM_Angle!$K$31*$D23+PM_Angle!$L$31*$C23</f>
      </c>
      <c r="FS23" s="20">
        <f>MAX(MIN(Es*FR23,fy),-fy)</f>
      </c>
      <c r="FT23" s="20">
        <f>IF(FR23&gt;0,IF(FR23&lt;=eco,alpha*fck*(1-(1-FR23/eco)^n),alpha*fck),0)</f>
      </c>
      <c r="FU23" s="20">
        <f>FS23-FT23</f>
      </c>
      <c r="FV23" s="19">
        <f>FU23*$E23</f>
      </c>
      <c r="FW23" s="19">
        <f>FV23*$D23</f>
      </c>
      <c r="FX23" s="19">
        <f>FV23*$C23</f>
      </c>
      <c r="FY23" s="37">
        <f>PM_Angle!$J$32+PM_Angle!$K$32*$D23+PM_Angle!$L$32*$C23</f>
      </c>
      <c r="FZ23" s="20">
        <f>MAX(MIN(Es*FY23,fy),-fy)</f>
      </c>
      <c r="GA23" s="20">
        <f>IF(FY23&gt;0,IF(FY23&lt;=eco,alpha*fck*(1-(1-FY23/eco)^n),alpha*fck),0)</f>
      </c>
      <c r="GB23" s="20">
        <f>FZ23-GA23</f>
      </c>
      <c r="GC23" s="19">
        <f>GB23*$E23</f>
      </c>
      <c r="GD23" s="19">
        <f>GC23*$D23</f>
      </c>
      <c r="GE23" s="19">
        <f>GC23*$C23</f>
      </c>
      <c r="GF23" s="37">
        <f>PM_Angle!$J$33+PM_Angle!$K$33*$D23+PM_Angle!$L$33*$C23</f>
      </c>
      <c r="GG23" s="20">
        <f>MAX(MIN(Es*GF23,fy),-fy)</f>
      </c>
      <c r="GH23" s="20">
        <f>IF(GF23&gt;0,IF(GF23&lt;=eco,alpha*fck*(1-(1-GF23/eco)^n),alpha*fck),0)</f>
      </c>
      <c r="GI23" s="20">
        <f>GG23-GH23</f>
      </c>
      <c r="GJ23" s="19">
        <f>GI23*$E23</f>
      </c>
      <c r="GK23" s="19">
        <f>GJ23*$D23</f>
      </c>
      <c r="GL23" s="19">
        <f>GJ23*$C23</f>
      </c>
      <c r="GM23" s="37">
        <f>Eq_e0+Eq_kx*$D23+Eq_ky*$C23</f>
      </c>
      <c r="GN23" s="20">
        <f>MAX(MIN(Es*GM23,fy),-fy)</f>
      </c>
      <c r="GO23" s="20">
        <f>IF(GM23&gt;0,IF(GM23&lt;=eco,alpha*fck*(1-(1-GM23/eco)^n),alpha*fck),0)</f>
      </c>
      <c r="GP23" s="20">
        <f>GN23-GO23</f>
      </c>
      <c r="GQ23" s="19">
        <f>GP23*$E23</f>
      </c>
      <c r="GR23" s="19">
        <f>GQ23*$D23</f>
      </c>
      <c r="GS23" s="19">
        <f>GQ23*$C23</f>
      </c>
    </row>
    <row r="24" spans="1:201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PM_Angle!$J$26+PM_Angle!$K$26*$D24+PM_Angle!$L$26*$C24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  <c r="EP24" s="37">
        <f>PM_Angle!$J$27+PM_Angle!$K$27*$D24+PM_Angle!$L$27*$C24</f>
      </c>
      <c r="EQ24" s="20">
        <f>MAX(MIN(Es*EP24,fy),-fy)</f>
      </c>
      <c r="ER24" s="20">
        <f>IF(EP24&gt;0,IF(EP24&lt;=eco,alpha*fck*(1-(1-EP24/eco)^n),alpha*fck),0)</f>
      </c>
      <c r="ES24" s="20">
        <f>EQ24-ER24</f>
      </c>
      <c r="ET24" s="19">
        <f>ES24*$E24</f>
      </c>
      <c r="EU24" s="19">
        <f>ET24*$D24</f>
      </c>
      <c r="EV24" s="19">
        <f>ET24*$C24</f>
      </c>
      <c r="EW24" s="37">
        <f>PM_Angle!$J$28+PM_Angle!$K$28*$D24+PM_Angle!$L$28*$C24</f>
      </c>
      <c r="EX24" s="20">
        <f>MAX(MIN(Es*EW24,fy),-fy)</f>
      </c>
      <c r="EY24" s="20">
        <f>IF(EW24&gt;0,IF(EW24&lt;=eco,alpha*fck*(1-(1-EW24/eco)^n),alpha*fck),0)</f>
      </c>
      <c r="EZ24" s="20">
        <f>EX24-EY24</f>
      </c>
      <c r="FA24" s="19">
        <f>EZ24*$E24</f>
      </c>
      <c r="FB24" s="19">
        <f>FA24*$D24</f>
      </c>
      <c r="FC24" s="19">
        <f>FA24*$C24</f>
      </c>
      <c r="FD24" s="37">
        <f>PM_Angle!$J$29+PM_Angle!$K$29*$D24+PM_Angle!$L$29*$C24</f>
      </c>
      <c r="FE24" s="20">
        <f>MAX(MIN(Es*FD24,fy),-fy)</f>
      </c>
      <c r="FF24" s="20">
        <f>IF(FD24&gt;0,IF(FD24&lt;=eco,alpha*fck*(1-(1-FD24/eco)^n),alpha*fck),0)</f>
      </c>
      <c r="FG24" s="20">
        <f>FE24-FF24</f>
      </c>
      <c r="FH24" s="19">
        <f>FG24*$E24</f>
      </c>
      <c r="FI24" s="19">
        <f>FH24*$D24</f>
      </c>
      <c r="FJ24" s="19">
        <f>FH24*$C24</f>
      </c>
      <c r="FK24" s="37">
        <f>PM_Angle!$J$30+PM_Angle!$K$30*$D24+PM_Angle!$L$30*$C24</f>
      </c>
      <c r="FL24" s="20">
        <f>MAX(MIN(Es*FK24,fy),-fy)</f>
      </c>
      <c r="FM24" s="20">
        <f>IF(FK24&gt;0,IF(FK24&lt;=eco,alpha*fck*(1-(1-FK24/eco)^n),alpha*fck),0)</f>
      </c>
      <c r="FN24" s="20">
        <f>FL24-FM24</f>
      </c>
      <c r="FO24" s="19">
        <f>FN24*$E24</f>
      </c>
      <c r="FP24" s="19">
        <f>FO24*$D24</f>
      </c>
      <c r="FQ24" s="19">
        <f>FO24*$C24</f>
      </c>
      <c r="FR24" s="37">
        <f>PM_Angle!$J$31+PM_Angle!$K$31*$D24+PM_Angle!$L$31*$C24</f>
      </c>
      <c r="FS24" s="20">
        <f>MAX(MIN(Es*FR24,fy),-fy)</f>
      </c>
      <c r="FT24" s="20">
        <f>IF(FR24&gt;0,IF(FR24&lt;=eco,alpha*fck*(1-(1-FR24/eco)^n),alpha*fck),0)</f>
      </c>
      <c r="FU24" s="20">
        <f>FS24-FT24</f>
      </c>
      <c r="FV24" s="19">
        <f>FU24*$E24</f>
      </c>
      <c r="FW24" s="19">
        <f>FV24*$D24</f>
      </c>
      <c r="FX24" s="19">
        <f>FV24*$C24</f>
      </c>
      <c r="FY24" s="37">
        <f>PM_Angle!$J$32+PM_Angle!$K$32*$D24+PM_Angle!$L$32*$C24</f>
      </c>
      <c r="FZ24" s="20">
        <f>MAX(MIN(Es*FY24,fy),-fy)</f>
      </c>
      <c r="GA24" s="20">
        <f>IF(FY24&gt;0,IF(FY24&lt;=eco,alpha*fck*(1-(1-FY24/eco)^n),alpha*fck),0)</f>
      </c>
      <c r="GB24" s="20">
        <f>FZ24-GA24</f>
      </c>
      <c r="GC24" s="19">
        <f>GB24*$E24</f>
      </c>
      <c r="GD24" s="19">
        <f>GC24*$D24</f>
      </c>
      <c r="GE24" s="19">
        <f>GC24*$C24</f>
      </c>
      <c r="GF24" s="37">
        <f>PM_Angle!$J$33+PM_Angle!$K$33*$D24+PM_Angle!$L$33*$C24</f>
      </c>
      <c r="GG24" s="20">
        <f>MAX(MIN(Es*GF24,fy),-fy)</f>
      </c>
      <c r="GH24" s="20">
        <f>IF(GF24&gt;0,IF(GF24&lt;=eco,alpha*fck*(1-(1-GF24/eco)^n),alpha*fck),0)</f>
      </c>
      <c r="GI24" s="20">
        <f>GG24-GH24</f>
      </c>
      <c r="GJ24" s="19">
        <f>GI24*$E24</f>
      </c>
      <c r="GK24" s="19">
        <f>GJ24*$D24</f>
      </c>
      <c r="GL24" s="19">
        <f>GJ24*$C24</f>
      </c>
      <c r="GM24" s="37">
        <f>Eq_e0+Eq_kx*$D24+Eq_ky*$C24</f>
      </c>
      <c r="GN24" s="20">
        <f>MAX(MIN(Es*GM24,fy),-fy)</f>
      </c>
      <c r="GO24" s="20">
        <f>IF(GM24&gt;0,IF(GM24&lt;=eco,alpha*fck*(1-(1-GM24/eco)^n),alpha*fck),0)</f>
      </c>
      <c r="GP24" s="20">
        <f>GN24-GO24</f>
      </c>
      <c r="GQ24" s="19">
        <f>GP24*$E24</f>
      </c>
      <c r="GR24" s="19">
        <f>GQ24*$D24</f>
      </c>
      <c r="GS24" s="19">
        <f>GQ24*$C24</f>
      </c>
    </row>
  </sheetData>
  <mergeCells count="30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  <mergeCell ref="EP4:EV4"/>
    <mergeCell ref="EW4:FC4"/>
    <mergeCell ref="FD4:FJ4"/>
    <mergeCell ref="FK4:FQ4"/>
    <mergeCell ref="FR4:FX4"/>
    <mergeCell ref="FY4:GE4"/>
    <mergeCell ref="GF4:GL4"/>
    <mergeCell ref="GM4:GS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V58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78" width="12" customWidth="1"/>
  </cols>
  <sheetData>
    <row r="1" ht="22" customHeight="1" spans="2:13" x14ac:dyDescent="0.25">
      <c r="B1" s="1" t="s">
        <v>266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78" x14ac:dyDescent="0.25">
      <c r="B6" s="25" t="s">
        <v>268</v>
      </c>
      <c r="C6" s="25"/>
      <c r="D6" s="25"/>
      <c r="E6" s="25"/>
      <c r="F6" s="25" t="s">
        <v>269</v>
      </c>
      <c r="G6" s="25"/>
      <c r="H6" s="25"/>
      <c r="I6" s="25" t="s">
        <v>270</v>
      </c>
      <c r="J6" s="25"/>
      <c r="K6" s="25"/>
      <c r="L6" s="25" t="s">
        <v>271</v>
      </c>
      <c r="M6" s="25"/>
      <c r="N6" s="25"/>
      <c r="O6" s="25" t="s">
        <v>272</v>
      </c>
      <c r="P6" s="25"/>
      <c r="Q6" s="25"/>
      <c r="R6" s="25" t="s">
        <v>273</v>
      </c>
      <c r="S6" s="25"/>
      <c r="T6" s="25"/>
      <c r="U6" s="25" t="s">
        <v>274</v>
      </c>
      <c r="V6" s="25"/>
      <c r="W6" s="25"/>
      <c r="X6" s="25" t="s">
        <v>275</v>
      </c>
      <c r="Y6" s="25"/>
      <c r="Z6" s="25"/>
      <c r="AA6" s="25" t="s">
        <v>276</v>
      </c>
      <c r="AB6" s="25"/>
      <c r="AC6" s="25"/>
      <c r="AD6" s="25" t="s">
        <v>277</v>
      </c>
      <c r="AE6" s="25"/>
      <c r="AF6" s="25"/>
      <c r="AG6" s="25" t="s">
        <v>278</v>
      </c>
      <c r="AH6" s="25"/>
      <c r="AI6" s="25"/>
      <c r="AJ6" s="25" t="s">
        <v>279</v>
      </c>
      <c r="AK6" s="25"/>
      <c r="AL6" s="25"/>
      <c r="AM6" s="25" t="s">
        <v>280</v>
      </c>
      <c r="AN6" s="25"/>
      <c r="AO6" s="25"/>
      <c r="AP6" s="25" t="s">
        <v>281</v>
      </c>
      <c r="AQ6" s="25"/>
      <c r="AR6" s="25"/>
      <c r="AS6" s="25" t="s">
        <v>282</v>
      </c>
      <c r="AT6" s="25"/>
      <c r="AU6" s="25"/>
      <c r="AV6" s="25" t="s">
        <v>283</v>
      </c>
      <c r="AW6" s="25"/>
      <c r="AX6" s="25"/>
      <c r="AY6" s="25" t="s">
        <v>284</v>
      </c>
      <c r="AZ6" s="25"/>
      <c r="BA6" s="25"/>
      <c r="BB6" s="25" t="s">
        <v>285</v>
      </c>
      <c r="BC6" s="25"/>
      <c r="BD6" s="25"/>
      <c r="BE6" s="25" t="s">
        <v>286</v>
      </c>
      <c r="BF6" s="25"/>
      <c r="BG6" s="25"/>
      <c r="BH6" s="25" t="s">
        <v>287</v>
      </c>
      <c r="BI6" s="25"/>
      <c r="BJ6" s="25"/>
      <c r="BK6" s="25" t="s">
        <v>288</v>
      </c>
      <c r="BL6" s="25"/>
      <c r="BM6" s="25"/>
      <c r="BN6" s="25" t="s">
        <v>289</v>
      </c>
      <c r="BO6" s="25"/>
      <c r="BP6" s="25"/>
      <c r="BQ6" s="25" t="s">
        <v>290</v>
      </c>
      <c r="BR6" s="25"/>
      <c r="BS6" s="25"/>
      <c r="BT6" s="25" t="s">
        <v>291</v>
      </c>
      <c r="BU6" s="25"/>
      <c r="BV6" s="25"/>
      <c r="BW6" s="25" t="s">
        <v>292</v>
      </c>
      <c r="BX6" s="25"/>
      <c r="BY6" s="25"/>
      <c r="BZ6" s="25" t="s">
        <v>293</v>
      </c>
      <c r="CA6" s="25"/>
      <c r="CB6" s="25"/>
      <c r="CC6" s="25" t="s">
        <v>294</v>
      </c>
      <c r="CD6" s="25"/>
      <c r="CE6" s="25"/>
      <c r="CF6" s="25" t="s">
        <v>295</v>
      </c>
      <c r="CG6" s="25"/>
      <c r="CH6" s="25"/>
      <c r="CI6" s="25" t="s">
        <v>296</v>
      </c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 t="s">
        <v>297</v>
      </c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 t="s">
        <v>298</v>
      </c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 t="s">
        <v>299</v>
      </c>
      <c r="FM6" s="25"/>
      <c r="FN6" s="25"/>
      <c r="FO6" s="25"/>
      <c r="FP6" s="25"/>
      <c r="FQ6" s="25" t="s">
        <v>300</v>
      </c>
      <c r="FR6" s="25"/>
      <c r="FS6" s="25"/>
      <c r="FT6" s="25"/>
      <c r="FU6" s="25"/>
      <c r="FV6" s="25"/>
    </row>
    <row r="7" ht="26" customHeight="1" spans="2:178" x14ac:dyDescent="0.25">
      <c r="B7" s="17" t="s">
        <v>301</v>
      </c>
      <c r="C7" s="17" t="s">
        <v>302</v>
      </c>
      <c r="D7" s="17" t="s">
        <v>303</v>
      </c>
      <c r="E7" s="17" t="s">
        <v>304</v>
      </c>
      <c r="F7" s="17" t="s">
        <v>207</v>
      </c>
      <c r="G7" s="17" t="s">
        <v>305</v>
      </c>
      <c r="H7" s="17" t="s">
        <v>306</v>
      </c>
      <c r="I7" s="17" t="s">
        <v>207</v>
      </c>
      <c r="J7" s="17" t="s">
        <v>305</v>
      </c>
      <c r="K7" s="17" t="s">
        <v>306</v>
      </c>
      <c r="L7" s="17" t="s">
        <v>207</v>
      </c>
      <c r="M7" s="17" t="s">
        <v>305</v>
      </c>
      <c r="N7" s="17" t="s">
        <v>306</v>
      </c>
      <c r="O7" s="17" t="s">
        <v>207</v>
      </c>
      <c r="P7" s="17" t="s">
        <v>305</v>
      </c>
      <c r="Q7" s="17" t="s">
        <v>306</v>
      </c>
      <c r="R7" s="17" t="s">
        <v>207</v>
      </c>
      <c r="S7" s="17" t="s">
        <v>305</v>
      </c>
      <c r="T7" s="17" t="s">
        <v>306</v>
      </c>
      <c r="U7" s="17" t="s">
        <v>207</v>
      </c>
      <c r="V7" s="17" t="s">
        <v>305</v>
      </c>
      <c r="W7" s="17" t="s">
        <v>306</v>
      </c>
      <c r="X7" s="17" t="s">
        <v>207</v>
      </c>
      <c r="Y7" s="17" t="s">
        <v>305</v>
      </c>
      <c r="Z7" s="17" t="s">
        <v>306</v>
      </c>
      <c r="AA7" s="17" t="s">
        <v>207</v>
      </c>
      <c r="AB7" s="17" t="s">
        <v>305</v>
      </c>
      <c r="AC7" s="17" t="s">
        <v>306</v>
      </c>
      <c r="AD7" s="17" t="s">
        <v>207</v>
      </c>
      <c r="AE7" s="17" t="s">
        <v>305</v>
      </c>
      <c r="AF7" s="17" t="s">
        <v>306</v>
      </c>
      <c r="AG7" s="17" t="s">
        <v>207</v>
      </c>
      <c r="AH7" s="17" t="s">
        <v>305</v>
      </c>
      <c r="AI7" s="17" t="s">
        <v>306</v>
      </c>
      <c r="AJ7" s="17" t="s">
        <v>207</v>
      </c>
      <c r="AK7" s="17" t="s">
        <v>305</v>
      </c>
      <c r="AL7" s="17" t="s">
        <v>306</v>
      </c>
      <c r="AM7" s="17" t="s">
        <v>207</v>
      </c>
      <c r="AN7" s="17" t="s">
        <v>305</v>
      </c>
      <c r="AO7" s="17" t="s">
        <v>306</v>
      </c>
      <c r="AP7" s="17" t="s">
        <v>207</v>
      </c>
      <c r="AQ7" s="17" t="s">
        <v>305</v>
      </c>
      <c r="AR7" s="17" t="s">
        <v>306</v>
      </c>
      <c r="AS7" s="17" t="s">
        <v>207</v>
      </c>
      <c r="AT7" s="17" t="s">
        <v>305</v>
      </c>
      <c r="AU7" s="17" t="s">
        <v>306</v>
      </c>
      <c r="AV7" s="17" t="s">
        <v>207</v>
      </c>
      <c r="AW7" s="17" t="s">
        <v>305</v>
      </c>
      <c r="AX7" s="17" t="s">
        <v>306</v>
      </c>
      <c r="AY7" s="17" t="s">
        <v>207</v>
      </c>
      <c r="AZ7" s="17" t="s">
        <v>305</v>
      </c>
      <c r="BA7" s="17" t="s">
        <v>306</v>
      </c>
      <c r="BB7" s="17" t="s">
        <v>207</v>
      </c>
      <c r="BC7" s="17" t="s">
        <v>305</v>
      </c>
      <c r="BD7" s="17" t="s">
        <v>306</v>
      </c>
      <c r="BE7" s="17" t="s">
        <v>207</v>
      </c>
      <c r="BF7" s="17" t="s">
        <v>305</v>
      </c>
      <c r="BG7" s="17" t="s">
        <v>306</v>
      </c>
      <c r="BH7" s="17" t="s">
        <v>207</v>
      </c>
      <c r="BI7" s="17" t="s">
        <v>305</v>
      </c>
      <c r="BJ7" s="17" t="s">
        <v>306</v>
      </c>
      <c r="BK7" s="17" t="s">
        <v>207</v>
      </c>
      <c r="BL7" s="17" t="s">
        <v>305</v>
      </c>
      <c r="BM7" s="17" t="s">
        <v>306</v>
      </c>
      <c r="BN7" s="17" t="s">
        <v>207</v>
      </c>
      <c r="BO7" s="17" t="s">
        <v>305</v>
      </c>
      <c r="BP7" s="17" t="s">
        <v>306</v>
      </c>
      <c r="BQ7" s="17" t="s">
        <v>207</v>
      </c>
      <c r="BR7" s="17" t="s">
        <v>305</v>
      </c>
      <c r="BS7" s="17" t="s">
        <v>306</v>
      </c>
      <c r="BT7" s="17" t="s">
        <v>207</v>
      </c>
      <c r="BU7" s="17" t="s">
        <v>305</v>
      </c>
      <c r="BV7" s="17" t="s">
        <v>306</v>
      </c>
      <c r="BW7" s="17" t="s">
        <v>207</v>
      </c>
      <c r="BX7" s="17" t="s">
        <v>305</v>
      </c>
      <c r="BY7" s="17" t="s">
        <v>306</v>
      </c>
      <c r="BZ7" s="17" t="s">
        <v>207</v>
      </c>
      <c r="CA7" s="17" t="s">
        <v>305</v>
      </c>
      <c r="CB7" s="17" t="s">
        <v>306</v>
      </c>
      <c r="CC7" s="17" t="s">
        <v>207</v>
      </c>
      <c r="CD7" s="17" t="s">
        <v>305</v>
      </c>
      <c r="CE7" s="17" t="s">
        <v>306</v>
      </c>
      <c r="CF7" s="17" t="s">
        <v>207</v>
      </c>
      <c r="CG7" s="17" t="s">
        <v>305</v>
      </c>
      <c r="CH7" s="17" t="s">
        <v>306</v>
      </c>
      <c r="CI7" s="17" t="s">
        <v>216</v>
      </c>
      <c r="CJ7" s="17" t="s">
        <v>218</v>
      </c>
      <c r="CK7" s="17" t="s">
        <v>219</v>
      </c>
      <c r="CL7" s="17" t="s">
        <v>220</v>
      </c>
      <c r="CM7" s="17" t="s">
        <v>221</v>
      </c>
      <c r="CN7" s="17" t="s">
        <v>222</v>
      </c>
      <c r="CO7" s="17" t="s">
        <v>223</v>
      </c>
      <c r="CP7" s="17" t="s">
        <v>224</v>
      </c>
      <c r="CQ7" s="17" t="s">
        <v>225</v>
      </c>
      <c r="CR7" s="17" t="s">
        <v>226</v>
      </c>
      <c r="CS7" s="17" t="s">
        <v>227</v>
      </c>
      <c r="CT7" s="17" t="s">
        <v>228</v>
      </c>
      <c r="CU7" s="17" t="s">
        <v>229</v>
      </c>
      <c r="CV7" s="17" t="s">
        <v>230</v>
      </c>
      <c r="CW7" s="17" t="s">
        <v>231</v>
      </c>
      <c r="CX7" s="17" t="s">
        <v>232</v>
      </c>
      <c r="CY7" s="17" t="s">
        <v>233</v>
      </c>
      <c r="CZ7" s="17" t="s">
        <v>234</v>
      </c>
      <c r="DA7" s="17" t="s">
        <v>235</v>
      </c>
      <c r="DB7" s="17" t="s">
        <v>236</v>
      </c>
      <c r="DC7" s="17" t="s">
        <v>237</v>
      </c>
      <c r="DD7" s="17" t="s">
        <v>238</v>
      </c>
      <c r="DE7" s="17" t="s">
        <v>239</v>
      </c>
      <c r="DF7" s="17" t="s">
        <v>240</v>
      </c>
      <c r="DG7" s="17" t="s">
        <v>241</v>
      </c>
      <c r="DH7" s="17" t="s">
        <v>242</v>
      </c>
      <c r="DI7" s="17" t="s">
        <v>243</v>
      </c>
      <c r="DJ7" s="17" t="s">
        <v>216</v>
      </c>
      <c r="DK7" s="17" t="s">
        <v>218</v>
      </c>
      <c r="DL7" s="17" t="s">
        <v>219</v>
      </c>
      <c r="DM7" s="17" t="s">
        <v>220</v>
      </c>
      <c r="DN7" s="17" t="s">
        <v>221</v>
      </c>
      <c r="DO7" s="17" t="s">
        <v>222</v>
      </c>
      <c r="DP7" s="17" t="s">
        <v>223</v>
      </c>
      <c r="DQ7" s="17" t="s">
        <v>224</v>
      </c>
      <c r="DR7" s="17" t="s">
        <v>225</v>
      </c>
      <c r="DS7" s="17" t="s">
        <v>226</v>
      </c>
      <c r="DT7" s="17" t="s">
        <v>227</v>
      </c>
      <c r="DU7" s="17" t="s">
        <v>228</v>
      </c>
      <c r="DV7" s="17" t="s">
        <v>229</v>
      </c>
      <c r="DW7" s="17" t="s">
        <v>230</v>
      </c>
      <c r="DX7" s="17" t="s">
        <v>231</v>
      </c>
      <c r="DY7" s="17" t="s">
        <v>232</v>
      </c>
      <c r="DZ7" s="17" t="s">
        <v>233</v>
      </c>
      <c r="EA7" s="17" t="s">
        <v>234</v>
      </c>
      <c r="EB7" s="17" t="s">
        <v>235</v>
      </c>
      <c r="EC7" s="17" t="s">
        <v>236</v>
      </c>
      <c r="ED7" s="17" t="s">
        <v>237</v>
      </c>
      <c r="EE7" s="17" t="s">
        <v>238</v>
      </c>
      <c r="EF7" s="17" t="s">
        <v>239</v>
      </c>
      <c r="EG7" s="17" t="s">
        <v>240</v>
      </c>
      <c r="EH7" s="17" t="s">
        <v>241</v>
      </c>
      <c r="EI7" s="17" t="s">
        <v>242</v>
      </c>
      <c r="EJ7" s="17" t="s">
        <v>243</v>
      </c>
      <c r="EK7" s="17" t="s">
        <v>216</v>
      </c>
      <c r="EL7" s="17" t="s">
        <v>218</v>
      </c>
      <c r="EM7" s="17" t="s">
        <v>219</v>
      </c>
      <c r="EN7" s="17" t="s">
        <v>220</v>
      </c>
      <c r="EO7" s="17" t="s">
        <v>221</v>
      </c>
      <c r="EP7" s="17" t="s">
        <v>222</v>
      </c>
      <c r="EQ7" s="17" t="s">
        <v>223</v>
      </c>
      <c r="ER7" s="17" t="s">
        <v>224</v>
      </c>
      <c r="ES7" s="17" t="s">
        <v>225</v>
      </c>
      <c r="ET7" s="17" t="s">
        <v>226</v>
      </c>
      <c r="EU7" s="17" t="s">
        <v>227</v>
      </c>
      <c r="EV7" s="17" t="s">
        <v>228</v>
      </c>
      <c r="EW7" s="17" t="s">
        <v>229</v>
      </c>
      <c r="EX7" s="17" t="s">
        <v>230</v>
      </c>
      <c r="EY7" s="17" t="s">
        <v>231</v>
      </c>
      <c r="EZ7" s="17" t="s">
        <v>232</v>
      </c>
      <c r="FA7" s="17" t="s">
        <v>233</v>
      </c>
      <c r="FB7" s="17" t="s">
        <v>234</v>
      </c>
      <c r="FC7" s="17" t="s">
        <v>235</v>
      </c>
      <c r="FD7" s="17" t="s">
        <v>236</v>
      </c>
      <c r="FE7" s="17" t="s">
        <v>237</v>
      </c>
      <c r="FF7" s="17" t="s">
        <v>238</v>
      </c>
      <c r="FG7" s="17" t="s">
        <v>239</v>
      </c>
      <c r="FH7" s="17" t="s">
        <v>240</v>
      </c>
      <c r="FI7" s="17" t="s">
        <v>241</v>
      </c>
      <c r="FJ7" s="17" t="s">
        <v>242</v>
      </c>
      <c r="FK7" s="17" t="s">
        <v>243</v>
      </c>
      <c r="FL7" s="43" t="s">
        <v>307</v>
      </c>
      <c r="FM7" s="43" t="s">
        <v>308</v>
      </c>
      <c r="FN7" s="43" t="s">
        <v>211</v>
      </c>
      <c r="FO7" s="43" t="s">
        <v>212</v>
      </c>
      <c r="FP7" s="43" t="s">
        <v>213</v>
      </c>
      <c r="FQ7" s="43" t="s">
        <v>309</v>
      </c>
      <c r="FR7" s="43" t="s">
        <v>310</v>
      </c>
      <c r="FS7" s="43" t="s">
        <v>311</v>
      </c>
      <c r="FT7" s="43" t="s">
        <v>312</v>
      </c>
      <c r="FU7" s="43" t="s">
        <v>313</v>
      </c>
      <c r="FV7" s="43" t="s">
        <v>314</v>
      </c>
    </row>
    <row r="8" spans="1:178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0.00275</v>
      </c>
      <c r="J8" s="16">
        <v>9.166666666666666e-7</v>
      </c>
      <c r="K8" s="16">
        <v>0</v>
      </c>
      <c r="L8" s="16">
        <v>0.0024749999999999998</v>
      </c>
      <c r="M8" s="16">
        <v>0.000001375</v>
      </c>
      <c r="N8" s="16">
        <v>0</v>
      </c>
      <c r="O8" s="16">
        <v>0.0021999999999999997</v>
      </c>
      <c r="P8" s="16">
        <v>0.0000018333333333333333</v>
      </c>
      <c r="Q8" s="16">
        <v>0</v>
      </c>
      <c r="R8" s="16">
        <v>0.001925</v>
      </c>
      <c r="S8" s="16">
        <v>0.0000022916666666666666</v>
      </c>
      <c r="T8" s="16">
        <v>0</v>
      </c>
      <c r="U8" s="16">
        <v>0.0018000000000000002</v>
      </c>
      <c r="V8" s="16">
        <v>0.0000024999999999999998</v>
      </c>
      <c r="W8" s="16">
        <v>0</v>
      </c>
      <c r="X8" s="16">
        <v>0.00165</v>
      </c>
      <c r="Y8" s="16">
        <v>0.00000275</v>
      </c>
      <c r="Z8" s="16">
        <v>0</v>
      </c>
      <c r="AA8" s="16">
        <v>0.001547787610619469</v>
      </c>
      <c r="AB8" s="16">
        <v>0.000002920353982300885</v>
      </c>
      <c r="AC8" s="16">
        <v>0</v>
      </c>
      <c r="AD8" s="16">
        <v>0.001282300884955752</v>
      </c>
      <c r="AE8" s="16">
        <v>0.0000033628318584070798</v>
      </c>
      <c r="AF8" s="16">
        <v>0</v>
      </c>
      <c r="AG8" s="16">
        <v>0.0011495575221238939</v>
      </c>
      <c r="AH8" s="16">
        <v>0.000003584070796460177</v>
      </c>
      <c r="AI8" s="16">
        <v>0</v>
      </c>
      <c r="AJ8" s="16">
        <v>0.0010168141592920353</v>
      </c>
      <c r="AK8" s="16">
        <v>0.000003805309734513274</v>
      </c>
      <c r="AL8" s="16">
        <v>0</v>
      </c>
      <c r="AM8" s="16">
        <v>0.0008840707964601767</v>
      </c>
      <c r="AN8" s="16">
        <v>0.000004026548672566372</v>
      </c>
      <c r="AO8" s="16">
        <v>0</v>
      </c>
      <c r="AP8" s="16">
        <v>0.0007513274336283186</v>
      </c>
      <c r="AQ8" s="16">
        <v>0.000004247787610619469</v>
      </c>
      <c r="AR8" s="16">
        <v>0</v>
      </c>
      <c r="AS8" s="16">
        <v>0.0006185840707964604</v>
      </c>
      <c r="AT8" s="16">
        <v>0.000004469026548672566</v>
      </c>
      <c r="AU8" s="16">
        <v>0</v>
      </c>
      <c r="AV8" s="16">
        <v>0.00048584070796460184</v>
      </c>
      <c r="AW8" s="16">
        <v>0.0000046902654867256635</v>
      </c>
      <c r="AX8" s="16">
        <v>0</v>
      </c>
      <c r="AY8" s="16">
        <v>0.00022035398230088512</v>
      </c>
      <c r="AZ8" s="16">
        <v>0.000005132743362831858</v>
      </c>
      <c r="BA8" s="16">
        <v>0</v>
      </c>
      <c r="BB8" s="16">
        <v>-0.00004513274336283204</v>
      </c>
      <c r="BC8" s="16">
        <v>0.000005575221238938053</v>
      </c>
      <c r="BD8" s="16">
        <v>0</v>
      </c>
      <c r="BE8" s="16">
        <v>-0.0003106194690265492</v>
      </c>
      <c r="BF8" s="16">
        <v>0.0000060176991150442484</v>
      </c>
      <c r="BG8" s="16">
        <v>0</v>
      </c>
      <c r="BH8" s="16">
        <v>-0.0005761061946902659</v>
      </c>
      <c r="BI8" s="16">
        <v>0.000006460176991150443</v>
      </c>
      <c r="BJ8" s="16">
        <v>0</v>
      </c>
      <c r="BK8" s="16">
        <v>-0.001107079646017699</v>
      </c>
      <c r="BL8" s="16">
        <v>0.000007345132743362832</v>
      </c>
      <c r="BM8" s="16">
        <v>0</v>
      </c>
      <c r="BN8" s="16">
        <v>-0.0016380530973451315</v>
      </c>
      <c r="BO8" s="16">
        <v>0.00000823008849557522</v>
      </c>
      <c r="BP8" s="16">
        <v>0</v>
      </c>
      <c r="BQ8" s="16">
        <v>-0.0027</v>
      </c>
      <c r="BR8" s="16">
        <v>0.00001</v>
      </c>
      <c r="BS8" s="16">
        <v>0</v>
      </c>
      <c r="BT8" s="16">
        <v>-0.003761946902654867</v>
      </c>
      <c r="BU8" s="16">
        <v>0.000011769911504424779</v>
      </c>
      <c r="BV8" s="16">
        <v>0</v>
      </c>
      <c r="BW8" s="16">
        <v>-0.006416814159292035</v>
      </c>
      <c r="BX8" s="16">
        <v>0.000016194690265486724</v>
      </c>
      <c r="BY8" s="16">
        <v>0</v>
      </c>
      <c r="BZ8" s="16">
        <v>-0.009071681415929202</v>
      </c>
      <c r="CA8" s="16">
        <v>0.000020619469026548672</v>
      </c>
      <c r="CB8" s="16">
        <v>0</v>
      </c>
      <c r="CC8" s="16">
        <v>-0.01969115044247787</v>
      </c>
      <c r="CD8" s="16">
        <v>0.000038318584070796456</v>
      </c>
      <c r="CE8" s="16">
        <v>0</v>
      </c>
      <c r="CF8" s="16">
        <v>-0.05</v>
      </c>
      <c r="CG8" s="16">
        <v>0</v>
      </c>
      <c r="CH8" s="16">
        <v>0</v>
      </c>
      <c r="CI8" s="45">
        <v>33981.43387592912</v>
      </c>
      <c r="CJ8" s="45">
        <v>33981.43387592912</v>
      </c>
      <c r="CK8" s="45">
        <v>33697.99889567864</v>
      </c>
      <c r="CL8" s="45">
        <v>32265.41983671862</v>
      </c>
      <c r="CM8" s="45">
        <v>29458.701738526564</v>
      </c>
      <c r="CN8" s="45">
        <v>27730.09410184366</v>
      </c>
      <c r="CO8" s="45">
        <v>25248.563599258836</v>
      </c>
      <c r="CP8" s="45">
        <v>23514.322248754543</v>
      </c>
      <c r="CQ8" s="45">
        <v>20124.121038215144</v>
      </c>
      <c r="CR8" s="45">
        <v>18882.738169040487</v>
      </c>
      <c r="CS8" s="45">
        <v>17776.353375143117</v>
      </c>
      <c r="CT8" s="45">
        <v>16760.388558863382</v>
      </c>
      <c r="CU8" s="45">
        <v>15800.236623069633</v>
      </c>
      <c r="CV8" s="45">
        <v>14902.046247507536</v>
      </c>
      <c r="CW8" s="45">
        <v>14042.955356745177</v>
      </c>
      <c r="CX8" s="45">
        <v>12848.396583065864</v>
      </c>
      <c r="CY8" s="45">
        <v>11780.888412913204</v>
      </c>
      <c r="CZ8" s="45">
        <v>10874.165106109966</v>
      </c>
      <c r="DA8" s="45">
        <v>10115.37601589935</v>
      </c>
      <c r="DB8" s="45">
        <v>8812.745574290735</v>
      </c>
      <c r="DC8" s="45">
        <v>7793.573662012833</v>
      </c>
      <c r="DD8" s="45">
        <v>6221.462349919355</v>
      </c>
      <c r="DE8" s="45">
        <v>5040.452657994034</v>
      </c>
      <c r="DF8" s="45">
        <v>2747.5191908344864</v>
      </c>
      <c r="DG8" s="45">
        <v>1203.7013416344244</v>
      </c>
      <c r="DH8" s="45">
        <v>-1714.4396393656968</v>
      </c>
      <c r="DI8" s="45">
        <v>-5790.583579096708</v>
      </c>
      <c r="DJ8" s="45">
        <v>6.55418261885643e-13</v>
      </c>
      <c r="DK8" s="45">
        <v>6.55418261885643e-13</v>
      </c>
      <c r="DL8" s="45">
        <v>150.46136414826947</v>
      </c>
      <c r="DM8" s="45">
        <v>838.9046608751036</v>
      </c>
      <c r="DN8" s="45">
        <v>2076.7979535082554</v>
      </c>
      <c r="DO8" s="45">
        <v>2819.1055487374533</v>
      </c>
      <c r="DP8" s="45">
        <v>3855.0903161670462</v>
      </c>
      <c r="DQ8" s="45">
        <v>4530.118037670052</v>
      </c>
      <c r="DR8" s="45">
        <v>5598.135049837574</v>
      </c>
      <c r="DS8" s="45">
        <v>5894.79693613114</v>
      </c>
      <c r="DT8" s="45">
        <v>6124.812619238588</v>
      </c>
      <c r="DU8" s="45">
        <v>6314.337858211325</v>
      </c>
      <c r="DV8" s="45">
        <v>6477.537136847315</v>
      </c>
      <c r="DW8" s="45">
        <v>6612.75498641875</v>
      </c>
      <c r="DX8" s="45">
        <v>6729.602944736926</v>
      </c>
      <c r="DY8" s="45">
        <v>6719.392919295084</v>
      </c>
      <c r="DZ8" s="45">
        <v>6681.944730043465</v>
      </c>
      <c r="EA8" s="45">
        <v>6619.376661682477</v>
      </c>
      <c r="EB8" s="45">
        <v>6520.300492379301</v>
      </c>
      <c r="EC8" s="45">
        <v>6317.221588401691</v>
      </c>
      <c r="ED8" s="45">
        <v>6095.595406911573</v>
      </c>
      <c r="EE8" s="45">
        <v>5669.773965842053</v>
      </c>
      <c r="EF8" s="45">
        <v>5279.5486588665335</v>
      </c>
      <c r="EG8" s="45">
        <v>4395.024835253348</v>
      </c>
      <c r="EH8" s="45">
        <v>3714.4317841181155</v>
      </c>
      <c r="EI8" s="45">
        <v>2227.93189961245</v>
      </c>
      <c r="EJ8" s="45">
        <v>0</v>
      </c>
      <c r="EK8" s="45">
        <v>-5.220063030719757e-12</v>
      </c>
      <c r="EL8" s="45">
        <v>-5.220063030719757e-12</v>
      </c>
      <c r="EM8" s="45">
        <v>0.000017494509751908482</v>
      </c>
      <c r="EN8" s="45">
        <v>0.0009406118215573952</v>
      </c>
      <c r="EO8" s="45">
        <v>0.00037674127167556436</v>
      </c>
      <c r="EP8" s="45">
        <v>0.0002115091088814661</v>
      </c>
      <c r="EQ8" s="45">
        <v>0.0015901064639454708</v>
      </c>
      <c r="ER8" s="45">
        <v>0.07635615567926224</v>
      </c>
      <c r="ES8" s="45">
        <v>-0.298929788221614</v>
      </c>
      <c r="ET8" s="45">
        <v>-0.06835164865992638</v>
      </c>
      <c r="EU8" s="45">
        <v>-0.036833113046715035</v>
      </c>
      <c r="EV8" s="45">
        <v>-0.17062774422102422</v>
      </c>
      <c r="EW8" s="45">
        <v>0.000766949239820242</v>
      </c>
      <c r="EX8" s="45">
        <v>-0.16007528021579376</v>
      </c>
      <c r="EY8" s="45">
        <v>0.2033703180078668</v>
      </c>
      <c r="EZ8" s="45">
        <v>-0.18254523419917001</v>
      </c>
      <c r="FA8" s="45">
        <v>0.00011138413645233958</v>
      </c>
      <c r="FB8" s="45">
        <v>-0.04691961909174547</v>
      </c>
      <c r="FC8" s="45">
        <v>0.017060437182207358</v>
      </c>
      <c r="FD8" s="45">
        <v>0.22085739108868455</v>
      </c>
      <c r="FE8" s="45">
        <v>0.0005276283492443618</v>
      </c>
      <c r="FF8" s="45">
        <v>0.058994860705671136</v>
      </c>
      <c r="FG8" s="45">
        <v>0.3035026830671234</v>
      </c>
      <c r="FH8" s="45">
        <v>0.8146481828627189</v>
      </c>
      <c r="FI8" s="45">
        <v>0.3976159518024968</v>
      </c>
      <c r="FJ8" s="45">
        <v>0.7652766825170573</v>
      </c>
      <c r="FK8" s="45">
        <v>5.960464477539062e-14</v>
      </c>
      <c r="FL8" s="46">
        <f>MAX(1,MIN(26,SUMPRODUCT(--($CI8:$DI8&gt;=Pu))))</f>
      </c>
      <c r="FM8" s="47">
        <f>(Pu-INDEX($CI8:$DI8,1,$FL8))/(INDEX($CI8:$DI8,1,$FL8+1)-INDEX($CI8:$DI8,1,$FL8))</f>
      </c>
      <c r="FN8" s="39">
        <f>INDEX($DJ8:$EJ8,1,$FL8)+$FM8*(INDEX($DJ8:$EJ8,1,$FL8+1)-INDEX($DJ8:$EJ8,1,$FL8))</f>
      </c>
      <c r="FO8" s="39">
        <f>INDEX($EK8:$FK8,1,$FL8)+$FM8*(INDEX($EK8:$FK8,1,$FL8+1)-INDEX($EK8:$FK8,1,$FL8))</f>
      </c>
      <c r="FP8" s="39">
        <f>SQRT(FN8^2+FO8^2)</f>
      </c>
      <c r="FQ8" s="20">
        <f>FN9-FN8</f>
      </c>
      <c r="FR8" s="20">
        <f>FO9-FO8</f>
      </c>
      <c r="FS8" s="20">
        <f>FQ8*SIN(RADIANS(theta_L))-FR8*COS(RADIANS(theta_L))</f>
      </c>
      <c r="FT8" s="47">
        <f>IF(FS8=0,"",-(FN8*SIN(RADIANS(theta_L))-FO8*COS(RADIANS(theta_L)))/FS8)</f>
      </c>
      <c r="FU8" s="20">
        <f>IF(FT8="","",(FN8+FT8*FQ8)*COS(RADIANS(theta_L))+(FO8+FT8*FR8)*SIN(RADIANS(theta_L)))</f>
      </c>
      <c r="FV8" s="20">
        <f>IF(OR(FT8="",FT8&lt;0,FT8&gt;1,FU8&lt;0),"",FU8)</f>
      </c>
    </row>
    <row r="9" spans="1:178" x14ac:dyDescent="0.25">
      <c r="A9">
        <v>2</v>
      </c>
      <c r="B9" s="44">
        <v>10</v>
      </c>
      <c r="C9" s="18">
        <v>686.3911495241364</v>
      </c>
      <c r="D9" s="18">
        <v>-591.4073801632424</v>
      </c>
      <c r="E9" s="18">
        <v>1277.7985296873787</v>
      </c>
      <c r="F9" s="16">
        <v>0.0033</v>
      </c>
      <c r="G9" s="16">
        <v>0</v>
      </c>
      <c r="H9" s="16">
        <v>0</v>
      </c>
      <c r="I9" s="16">
        <v>0.00275</v>
      </c>
      <c r="J9" s="16">
        <v>7.891189513912401e-7</v>
      </c>
      <c r="K9" s="16">
        <v>1.391429621186473e-7</v>
      </c>
      <c r="L9" s="16">
        <v>0.0024749999999999998</v>
      </c>
      <c r="M9" s="16">
        <v>0.0000011836784270868602</v>
      </c>
      <c r="N9" s="16">
        <v>2.0871444317797096e-7</v>
      </c>
      <c r="O9" s="16">
        <v>0.0021999999999999997</v>
      </c>
      <c r="P9" s="16">
        <v>0.0000015782379027824802</v>
      </c>
      <c r="Q9" s="16">
        <v>2.782859242372946e-7</v>
      </c>
      <c r="R9" s="16">
        <v>0.001925</v>
      </c>
      <c r="S9" s="16">
        <v>0.0000019727973784781</v>
      </c>
      <c r="T9" s="16">
        <v>3.4785740529661824e-7</v>
      </c>
      <c r="U9" s="16">
        <v>0.0018000000000000002</v>
      </c>
      <c r="V9" s="16">
        <v>0.000002152142594703382</v>
      </c>
      <c r="W9" s="16">
        <v>3.7948080577812895e-7</v>
      </c>
      <c r="X9" s="16">
        <v>0.00165</v>
      </c>
      <c r="Y9" s="16">
        <v>0.0000023673568541737205</v>
      </c>
      <c r="Z9" s="16">
        <v>4.174288863559419e-7</v>
      </c>
      <c r="AA9" s="16">
        <v>0.0015273490375796422</v>
      </c>
      <c r="AB9" s="16">
        <v>0.0000025433317611778644</v>
      </c>
      <c r="AC9" s="16">
        <v>4.4845801038843545e-7</v>
      </c>
      <c r="AD9" s="16">
        <v>0.0012587655584250425</v>
      </c>
      <c r="AE9" s="16">
        <v>0.0000029286850583260253</v>
      </c>
      <c r="AF9" s="16">
        <v>5.164061937806227e-7</v>
      </c>
      <c r="AG9" s="16">
        <v>0.0011244738188477426</v>
      </c>
      <c r="AH9" s="16">
        <v>0.000003121361706900106</v>
      </c>
      <c r="AI9" s="16">
        <v>5.503802854767163e-7</v>
      </c>
      <c r="AJ9" s="16">
        <v>0.0009901820792704427</v>
      </c>
      <c r="AK9" s="16">
        <v>0.0000033140383554741867</v>
      </c>
      <c r="AL9" s="16">
        <v>5.843543771728099e-7</v>
      </c>
      <c r="AM9" s="16">
        <v>0.0008558903396931432</v>
      </c>
      <c r="AN9" s="16">
        <v>0.0000035067150040482674</v>
      </c>
      <c r="AO9" s="16">
        <v>6.183284688689035e-7</v>
      </c>
      <c r="AP9" s="16">
        <v>0.0007215986001158428</v>
      </c>
      <c r="AQ9" s="16">
        <v>0.0000036993916526223485</v>
      </c>
      <c r="AR9" s="16">
        <v>6.523025605649972e-7</v>
      </c>
      <c r="AS9" s="16">
        <v>0.0005873068605385437</v>
      </c>
      <c r="AT9" s="16">
        <v>0.000003892068301196428</v>
      </c>
      <c r="AU9" s="16">
        <v>6.862766522610906e-7</v>
      </c>
      <c r="AV9" s="16">
        <v>0.0004530151209612434</v>
      </c>
      <c r="AW9" s="16">
        <v>0.00000408474494977051</v>
      </c>
      <c r="AX9" s="16">
        <v>7.202507439571843e-7</v>
      </c>
      <c r="AY9" s="16">
        <v>0.00018443164180664395</v>
      </c>
      <c r="AZ9" s="16">
        <v>0.00000447009824691867</v>
      </c>
      <c r="BA9" s="16">
        <v>7.881989273493715e-7</v>
      </c>
      <c r="BB9" s="16">
        <v>-0.00008415183734795592</v>
      </c>
      <c r="BC9" s="16">
        <v>0.000004855451544066832</v>
      </c>
      <c r="BD9" s="16">
        <v>8.561471107415587e-7</v>
      </c>
      <c r="BE9" s="16">
        <v>-0.0003527353165025558</v>
      </c>
      <c r="BF9" s="16">
        <v>0.000005240804841214993</v>
      </c>
      <c r="BG9" s="16">
        <v>9.240952941337459e-7</v>
      </c>
      <c r="BH9" s="16">
        <v>-0.0006213187956571557</v>
      </c>
      <c r="BI9" s="16">
        <v>0.000005626158138363154</v>
      </c>
      <c r="BJ9" s="16">
        <v>9.920434775259332e-7</v>
      </c>
      <c r="BK9" s="16">
        <v>-0.0011584857539663545</v>
      </c>
      <c r="BL9" s="16">
        <v>0.000006396864732659477</v>
      </c>
      <c r="BM9" s="16">
        <v>0.0000011279398443103075</v>
      </c>
      <c r="BN9" s="16">
        <v>-0.0016956527122755534</v>
      </c>
      <c r="BO9" s="16">
        <v>0.000007167571326955799</v>
      </c>
      <c r="BP9" s="16">
        <v>0.0000012638362110946818</v>
      </c>
      <c r="BQ9" s="16">
        <v>-0.0027699866288939537</v>
      </c>
      <c r="BR9" s="16">
        <v>0.000008708984515548445</v>
      </c>
      <c r="BS9" s="16">
        <v>0.0000015356289446634309</v>
      </c>
      <c r="BT9" s="16">
        <v>-0.0038443205455123515</v>
      </c>
      <c r="BU9" s="16">
        <v>0.000010250397704141089</v>
      </c>
      <c r="BV9" s="16">
        <v>0.0000018074216782321795</v>
      </c>
      <c r="BW9" s="16">
        <v>-0.006530155337058348</v>
      </c>
      <c r="BX9" s="16">
        <v>0.000014103930675622702</v>
      </c>
      <c r="BY9" s="16">
        <v>0.0000024869035121540515</v>
      </c>
      <c r="BZ9" s="16">
        <v>-0.009215990128604346</v>
      </c>
      <c r="CA9" s="16">
        <v>0.000017957463647104316</v>
      </c>
      <c r="CB9" s="16">
        <v>0.0000031663853460759237</v>
      </c>
      <c r="CC9" s="16">
        <v>-0.019959329294788327</v>
      </c>
      <c r="CD9" s="16">
        <v>0.00003337159553303076</v>
      </c>
      <c r="CE9" s="16">
        <v>0.000005884312681763411</v>
      </c>
      <c r="CF9" s="16">
        <v>-0.05</v>
      </c>
      <c r="CG9" s="16">
        <v>0</v>
      </c>
      <c r="CH9" s="16">
        <v>0</v>
      </c>
      <c r="CI9" s="45">
        <v>33981.43387592912</v>
      </c>
      <c r="CJ9" s="45">
        <v>33981.43387592912</v>
      </c>
      <c r="CK9" s="45">
        <v>33817.70229793882</v>
      </c>
      <c r="CL9" s="45">
        <v>32659.15227582878</v>
      </c>
      <c r="CM9" s="45">
        <v>30287.885774757073</v>
      </c>
      <c r="CN9" s="45">
        <v>28772.242328926623</v>
      </c>
      <c r="CO9" s="45">
        <v>26602.77332718322</v>
      </c>
      <c r="CP9" s="45">
        <v>24605.694925875352</v>
      </c>
      <c r="CQ9" s="45">
        <v>20756.860759489846</v>
      </c>
      <c r="CR9" s="45">
        <v>19289.695251555466</v>
      </c>
      <c r="CS9" s="45">
        <v>18031.85531842189</v>
      </c>
      <c r="CT9" s="45">
        <v>16897.794068023148</v>
      </c>
      <c r="CU9" s="45">
        <v>15852.238104788283</v>
      </c>
      <c r="CV9" s="45">
        <v>14872.890440450217</v>
      </c>
      <c r="CW9" s="45">
        <v>13950.734450522887</v>
      </c>
      <c r="CX9" s="45">
        <v>12421.584724792363</v>
      </c>
      <c r="CY9" s="45">
        <v>11242.929729050154</v>
      </c>
      <c r="CZ9" s="45">
        <v>10233.38967847071</v>
      </c>
      <c r="DA9" s="45">
        <v>9306.558897226829</v>
      </c>
      <c r="DB9" s="45">
        <v>7768.054582530266</v>
      </c>
      <c r="DC9" s="45">
        <v>6450.509280520864</v>
      </c>
      <c r="DD9" s="45">
        <v>4346.027660578646</v>
      </c>
      <c r="DE9" s="45">
        <v>2621.2595382002214</v>
      </c>
      <c r="DF9" s="45">
        <v>-149.6918872167412</v>
      </c>
      <c r="DG9" s="45">
        <v>-1975.4894876477308</v>
      </c>
      <c r="DH9" s="45">
        <v>-4743.388239756604</v>
      </c>
      <c r="DI9" s="45">
        <v>-5790.583579096708</v>
      </c>
      <c r="DJ9" s="45">
        <v>6.55418261885643e-13</v>
      </c>
      <c r="DK9" s="45">
        <v>6.55418261885643e-13</v>
      </c>
      <c r="DL9" s="45">
        <v>85.94863994576858</v>
      </c>
      <c r="DM9" s="45">
        <v>635.3999294732182</v>
      </c>
      <c r="DN9" s="45">
        <v>1666.7516846922656</v>
      </c>
      <c r="DO9" s="45">
        <v>2294.594182795671</v>
      </c>
      <c r="DP9" s="45">
        <v>3178.3038294731846</v>
      </c>
      <c r="DQ9" s="45">
        <v>3966.1187487697935</v>
      </c>
      <c r="DR9" s="45">
        <v>5242.333438696812</v>
      </c>
      <c r="DS9" s="45">
        <v>5608.668611952205</v>
      </c>
      <c r="DT9" s="45">
        <v>5866.584398792459</v>
      </c>
      <c r="DU9" s="45">
        <v>6062.778230313486</v>
      </c>
      <c r="DV9" s="45">
        <v>6217.649088725267</v>
      </c>
      <c r="DW9" s="45">
        <v>6345.043372952546</v>
      </c>
      <c r="DX9" s="45">
        <v>6451.20121461931</v>
      </c>
      <c r="DY9" s="45">
        <v>6529.861721602958</v>
      </c>
      <c r="DZ9" s="45">
        <v>6462.170385549775</v>
      </c>
      <c r="EA9" s="45">
        <v>6344.428744700177</v>
      </c>
      <c r="EB9" s="45">
        <v>6212.486002589654</v>
      </c>
      <c r="EC9" s="45">
        <v>5898.101182529763</v>
      </c>
      <c r="ED9" s="45">
        <v>5542.26458873892</v>
      </c>
      <c r="EE9" s="45">
        <v>4834.426688912027</v>
      </c>
      <c r="EF9" s="45">
        <v>4161.046889884811</v>
      </c>
      <c r="EG9" s="45">
        <v>2909.979336255783</v>
      </c>
      <c r="EH9" s="45">
        <v>2023.4448033094009</v>
      </c>
      <c r="EI9" s="45">
        <v>575.1013934478117</v>
      </c>
      <c r="EJ9" s="45">
        <v>0</v>
      </c>
      <c r="EK9" s="45">
        <v>-5.220063030719757e-12</v>
      </c>
      <c r="EL9" s="45">
        <v>-5.220063030719757e-12</v>
      </c>
      <c r="EM9" s="45">
        <v>26.912752098990065</v>
      </c>
      <c r="EN9" s="45">
        <v>191.34828260522957</v>
      </c>
      <c r="EO9" s="45">
        <v>464.04737650584104</v>
      </c>
      <c r="EP9" s="45">
        <v>619.3559050249659</v>
      </c>
      <c r="EQ9" s="45">
        <v>834.2371502851801</v>
      </c>
      <c r="ER9" s="45">
        <v>1004.2477006600777</v>
      </c>
      <c r="ES9" s="45">
        <v>1097.3172805828272</v>
      </c>
      <c r="ET9" s="45">
        <v>1093.6509556557012</v>
      </c>
      <c r="EU9" s="45">
        <v>1108.1301429528146</v>
      </c>
      <c r="EV9" s="45">
        <v>1131.1251607466093</v>
      </c>
      <c r="EW9" s="45">
        <v>1161.297481402388</v>
      </c>
      <c r="EX9" s="45">
        <v>1189.611182464058</v>
      </c>
      <c r="EY9" s="45">
        <v>1219.542265375773</v>
      </c>
      <c r="EZ9" s="45">
        <v>1235.8863313681268</v>
      </c>
      <c r="FA9" s="45">
        <v>1268.4115242690955</v>
      </c>
      <c r="FB9" s="45">
        <v>1270.7857198489912</v>
      </c>
      <c r="FC9" s="45">
        <v>1274.0359303159098</v>
      </c>
      <c r="FD9" s="45">
        <v>1270.7531542999632</v>
      </c>
      <c r="FE9" s="45">
        <v>1304.5254438976897</v>
      </c>
      <c r="FF9" s="45">
        <v>1322.0346356462587</v>
      </c>
      <c r="FG9" s="45">
        <v>1334.930749221124</v>
      </c>
      <c r="FH9" s="45">
        <v>1103.3040717625886</v>
      </c>
      <c r="FI9" s="45">
        <v>853.1630492279968</v>
      </c>
      <c r="FJ9" s="45">
        <v>405.27515551443014</v>
      </c>
      <c r="FK9" s="45">
        <v>5.960464477539062e-14</v>
      </c>
      <c r="FL9" s="46">
        <f>MAX(1,MIN(26,SUMPRODUCT(--($CI9:$DI9&gt;=Pu))))</f>
      </c>
      <c r="FM9" s="47">
        <f>(Pu-INDEX($CI9:$DI9,1,$FL9))/(INDEX($CI9:$DI9,1,$FL9+1)-INDEX($CI9:$DI9,1,$FL9))</f>
      </c>
      <c r="FN9" s="39">
        <f>INDEX($DJ9:$EJ9,1,$FL9)+$FM9*(INDEX($DJ9:$EJ9,1,$FL9+1)-INDEX($DJ9:$EJ9,1,$FL9))</f>
      </c>
      <c r="FO9" s="39">
        <f>INDEX($EK9:$FK9,1,$FL9)+$FM9*(INDEX($EK9:$FK9,1,$FL9+1)-INDEX($EK9:$FK9,1,$FL9))</f>
      </c>
      <c r="FP9" s="39">
        <f>SQRT(FN9^2+FO9^2)</f>
      </c>
      <c r="FQ9" s="20">
        <f>FN10-FN9</f>
      </c>
      <c r="FR9" s="20">
        <f>FO10-FO9</f>
      </c>
      <c r="FS9" s="20">
        <f>FQ9*SIN(RADIANS(theta_L))-FR9*COS(RADIANS(theta_L))</f>
      </c>
      <c r="FT9" s="47">
        <f>IF(FS9=0,"",-(FN9*SIN(RADIANS(theta_L))-FO9*COS(RADIANS(theta_L)))/FS9)</f>
      </c>
      <c r="FU9" s="20">
        <f>IF(FT9="","",(FN9+FT9*FQ9)*COS(RADIANS(theta_L))+(FO9+FT9*FR9)*SIN(RADIANS(theta_L)))</f>
      </c>
      <c r="FV9" s="20">
        <f>IF(OR(FT9="",FT9&lt;0,FT9&gt;1,FU9&lt;0),"",FU9)</f>
      </c>
    </row>
    <row r="10" spans="1:178" x14ac:dyDescent="0.25">
      <c r="A10">
        <v>3</v>
      </c>
      <c r="B10" s="44">
        <v>20</v>
      </c>
      <c r="C10" s="18">
        <v>751.9266513006628</v>
      </c>
      <c r="D10" s="18">
        <v>-634.845146346799</v>
      </c>
      <c r="E10" s="18">
        <v>1386.7717976474619</v>
      </c>
      <c r="F10" s="16">
        <v>0.0033</v>
      </c>
      <c r="G10" s="16">
        <v>0</v>
      </c>
      <c r="H10" s="16">
        <v>0</v>
      </c>
      <c r="I10" s="16">
        <v>0.00275</v>
      </c>
      <c r="J10" s="16">
        <v>6.873422301739792e-7</v>
      </c>
      <c r="K10" s="16">
        <v>2.501721125374772e-7</v>
      </c>
      <c r="L10" s="16">
        <v>0.0024749999999999998</v>
      </c>
      <c r="M10" s="16">
        <v>0.000001031013345260969</v>
      </c>
      <c r="N10" s="16">
        <v>3.752581688062158e-7</v>
      </c>
      <c r="O10" s="16">
        <v>0.0021999999999999997</v>
      </c>
      <c r="P10" s="16">
        <v>0.0000013746844603479585</v>
      </c>
      <c r="Q10" s="16">
        <v>5.003442250749544e-7</v>
      </c>
      <c r="R10" s="16">
        <v>0.0019249999999999998</v>
      </c>
      <c r="S10" s="16">
        <v>0.0000017183555754349485</v>
      </c>
      <c r="T10" s="16">
        <v>6.254302813436931e-7</v>
      </c>
      <c r="U10" s="16">
        <v>0.0018000000000000002</v>
      </c>
      <c r="V10" s="16">
        <v>0.000001874569718656307</v>
      </c>
      <c r="W10" s="16">
        <v>6.822875796476651e-7</v>
      </c>
      <c r="X10" s="16">
        <v>0.00165</v>
      </c>
      <c r="Y10" s="16">
        <v>0.000002062026690521938</v>
      </c>
      <c r="Z10" s="16">
        <v>7.505163376124316e-7</v>
      </c>
      <c r="AA10" s="16">
        <v>0.0015106948284486347</v>
      </c>
      <c r="AB10" s="16">
        <v>0.0000022361181946835456</v>
      </c>
      <c r="AC10" s="16">
        <v>8.138804631658875e-7</v>
      </c>
      <c r="AD10" s="16">
        <v>0.001239587984274185</v>
      </c>
      <c r="AE10" s="16">
        <v>0.00000257492398175681</v>
      </c>
      <c r="AF10" s="16">
        <v>9.371956848576887e-7</v>
      </c>
      <c r="AG10" s="16">
        <v>0.0011040345621869609</v>
      </c>
      <c r="AH10" s="16">
        <v>0.000002744326875293442</v>
      </c>
      <c r="AI10" s="16">
        <v>9.988532957035892e-7</v>
      </c>
      <c r="AJ10" s="16">
        <v>0.0009684811400997358</v>
      </c>
      <c r="AK10" s="16">
        <v>0.0000029137297688300746</v>
      </c>
      <c r="AL10" s="16">
        <v>0.0000010605109065494898</v>
      </c>
      <c r="AM10" s="16">
        <v>0.0008329277180125112</v>
      </c>
      <c r="AN10" s="16">
        <v>0.000003083132662366707</v>
      </c>
      <c r="AO10" s="16">
        <v>0.0000011221685173953904</v>
      </c>
      <c r="AP10" s="16">
        <v>0.0006973742959252866</v>
      </c>
      <c r="AQ10" s="16">
        <v>0.0000032525355559033396</v>
      </c>
      <c r="AR10" s="16">
        <v>0.000001183826128241291</v>
      </c>
      <c r="AS10" s="16">
        <v>0.000561820873838062</v>
      </c>
      <c r="AT10" s="16">
        <v>0.0000034219384494399716</v>
      </c>
      <c r="AU10" s="16">
        <v>0.0000012454837390871916</v>
      </c>
      <c r="AV10" s="16">
        <v>0.0004262674517508374</v>
      </c>
      <c r="AW10" s="16">
        <v>0.0000035913413429766037</v>
      </c>
      <c r="AX10" s="16">
        <v>0.0000013071413499330922</v>
      </c>
      <c r="AY10" s="16">
        <v>0.00015516060757638818</v>
      </c>
      <c r="AZ10" s="16">
        <v>0.000003930147130049868</v>
      </c>
      <c r="BA10" s="16">
        <v>0.000001430456571624893</v>
      </c>
      <c r="BB10" s="16">
        <v>-0.00011594623659806104</v>
      </c>
      <c r="BC10" s="16">
        <v>0.000004268952917123133</v>
      </c>
      <c r="BD10" s="16">
        <v>0.0000015537717933166943</v>
      </c>
      <c r="BE10" s="16">
        <v>-0.0003870530807725107</v>
      </c>
      <c r="BF10" s="16">
        <v>0.000004607758704196398</v>
      </c>
      <c r="BG10" s="16">
        <v>0.0000016770870150084955</v>
      </c>
      <c r="BH10" s="16">
        <v>-0.0006581599249469603</v>
      </c>
      <c r="BI10" s="16">
        <v>0.000004946564491269662</v>
      </c>
      <c r="BJ10" s="16">
        <v>0.0000018004022367002968</v>
      </c>
      <c r="BK10" s="16">
        <v>-0.0012003736132958588</v>
      </c>
      <c r="BL10" s="16">
        <v>0.000005624176065416191</v>
      </c>
      <c r="BM10" s="16">
        <v>0.000002047032680083899</v>
      </c>
      <c r="BN10" s="16">
        <v>-0.0017425873016447572</v>
      </c>
      <c r="BO10" s="16">
        <v>0.00000630178763956272</v>
      </c>
      <c r="BP10" s="16">
        <v>0.000002293663123467501</v>
      </c>
      <c r="BQ10" s="16">
        <v>-0.002827014678342554</v>
      </c>
      <c r="BR10" s="16">
        <v>0.000007657010787855779</v>
      </c>
      <c r="BS10" s="16">
        <v>0.000002786924010234706</v>
      </c>
      <c r="BT10" s="16">
        <v>-0.003911442055040351</v>
      </c>
      <c r="BU10" s="16">
        <v>0.000009012233936148835</v>
      </c>
      <c r="BV10" s="16">
        <v>0.00000328018489700191</v>
      </c>
      <c r="BW10" s="16">
        <v>-0.006622510496784845</v>
      </c>
      <c r="BX10" s="16">
        <v>0.00001240029180688148</v>
      </c>
      <c r="BY10" s="16">
        <v>0.000004513337113919922</v>
      </c>
      <c r="BZ10" s="16">
        <v>-0.00933357893852934</v>
      </c>
      <c r="CA10" s="16">
        <v>0.000015788349677614127</v>
      </c>
      <c r="CB10" s="16">
        <v>0.000005746489330837933</v>
      </c>
      <c r="CC10" s="16">
        <v>-0.020177852705507312</v>
      </c>
      <c r="CD10" s="16">
        <v>0.000029340581160544707</v>
      </c>
      <c r="CE10" s="16">
        <v>0.00001067909819850998</v>
      </c>
      <c r="CF10" s="16">
        <v>-0.05</v>
      </c>
      <c r="CG10" s="16">
        <v>0</v>
      </c>
      <c r="CH10" s="16">
        <v>0</v>
      </c>
      <c r="CI10" s="45">
        <v>33981.43387592912</v>
      </c>
      <c r="CJ10" s="45">
        <v>33981.43387592912</v>
      </c>
      <c r="CK10" s="45">
        <v>33866.46115926956</v>
      </c>
      <c r="CL10" s="45">
        <v>32846.243392726465</v>
      </c>
      <c r="CM10" s="45">
        <v>30697.218104554984</v>
      </c>
      <c r="CN10" s="45">
        <v>29309.608441659388</v>
      </c>
      <c r="CO10" s="45">
        <v>27300.75380776754</v>
      </c>
      <c r="CP10" s="45">
        <v>25173.070023499105</v>
      </c>
      <c r="CQ10" s="45">
        <v>21360.538222376872</v>
      </c>
      <c r="CR10" s="45">
        <v>19730.655335128373</v>
      </c>
      <c r="CS10" s="45">
        <v>18286.15307895993</v>
      </c>
      <c r="CT10" s="45">
        <v>17005.320874263653</v>
      </c>
      <c r="CU10" s="45">
        <v>15841.22870035382</v>
      </c>
      <c r="CV10" s="45">
        <v>14756.3481272819</v>
      </c>
      <c r="CW10" s="45">
        <v>13737.506806493247</v>
      </c>
      <c r="CX10" s="45">
        <v>11968.67959043299</v>
      </c>
      <c r="CY10" s="45">
        <v>10539.574187577791</v>
      </c>
      <c r="CZ10" s="45">
        <v>9327.014335856833</v>
      </c>
      <c r="DA10" s="45">
        <v>8303.819816445108</v>
      </c>
      <c r="DB10" s="45">
        <v>6450.666424255945</v>
      </c>
      <c r="DC10" s="45">
        <v>4912.473218237895</v>
      </c>
      <c r="DD10" s="45">
        <v>2611.7963047008457</v>
      </c>
      <c r="DE10" s="45">
        <v>1066.5351454072556</v>
      </c>
      <c r="DF10" s="45">
        <v>-1528.0088222185475</v>
      </c>
      <c r="DG10" s="45">
        <v>-3015.7821499045026</v>
      </c>
      <c r="DH10" s="45">
        <v>-5070.125862798883</v>
      </c>
      <c r="DI10" s="45">
        <v>-5790.583579096708</v>
      </c>
      <c r="DJ10" s="45">
        <v>6.55418261885643e-13</v>
      </c>
      <c r="DK10" s="45">
        <v>6.55418261885643e-13</v>
      </c>
      <c r="DL10" s="45">
        <v>56.91932962290377</v>
      </c>
      <c r="DM10" s="45">
        <v>522.0524115494659</v>
      </c>
      <c r="DN10" s="45">
        <v>1409.5705451258646</v>
      </c>
      <c r="DO10" s="45">
        <v>1952.5956977239046</v>
      </c>
      <c r="DP10" s="45">
        <v>2720.320068058655</v>
      </c>
      <c r="DQ10" s="45">
        <v>3501.6011220569285</v>
      </c>
      <c r="DR10" s="45">
        <v>4715.239522321556</v>
      </c>
      <c r="DS10" s="45">
        <v>5138.427881000349</v>
      </c>
      <c r="DT10" s="45">
        <v>5448.689927340278</v>
      </c>
      <c r="DU10" s="45">
        <v>5665.491378815598</v>
      </c>
      <c r="DV10" s="45">
        <v>5816.135134743739</v>
      </c>
      <c r="DW10" s="45">
        <v>5927.480711235712</v>
      </c>
      <c r="DX10" s="45">
        <v>6010.03583450326</v>
      </c>
      <c r="DY10" s="45">
        <v>6051.51799057294</v>
      </c>
      <c r="DZ10" s="45">
        <v>5958.154498155275</v>
      </c>
      <c r="EA10" s="45">
        <v>5787.0341589309455</v>
      </c>
      <c r="EB10" s="45">
        <v>5570.648550219881</v>
      </c>
      <c r="EC10" s="45">
        <v>5111.873628892475</v>
      </c>
      <c r="ED10" s="45">
        <v>4662.133602370184</v>
      </c>
      <c r="EE10" s="45">
        <v>3839.201768525085</v>
      </c>
      <c r="EF10" s="45">
        <v>3221.718264693535</v>
      </c>
      <c r="EG10" s="45">
        <v>2096.9735275721464</v>
      </c>
      <c r="EH10" s="45">
        <v>1395.3286237833101</v>
      </c>
      <c r="EI10" s="45">
        <v>391.09172695750755</v>
      </c>
      <c r="EJ10" s="45">
        <v>0</v>
      </c>
      <c r="EK10" s="45">
        <v>-5.220063030719757e-12</v>
      </c>
      <c r="EL10" s="45">
        <v>-5.220063030719757e-12</v>
      </c>
      <c r="EM10" s="45">
        <v>42.247982437666295</v>
      </c>
      <c r="EN10" s="45">
        <v>301.8109180484808</v>
      </c>
      <c r="EO10" s="45">
        <v>778.5047817438386</v>
      </c>
      <c r="EP10" s="45">
        <v>1063.1972554083263</v>
      </c>
      <c r="EQ10" s="45">
        <v>1453.9449850019532</v>
      </c>
      <c r="ER10" s="45">
        <v>1817.8613637785795</v>
      </c>
      <c r="ES10" s="45">
        <v>2144.0905912075846</v>
      </c>
      <c r="ET10" s="45">
        <v>2186.899815340587</v>
      </c>
      <c r="EU10" s="45">
        <v>2220.543868075521</v>
      </c>
      <c r="EV10" s="45">
        <v>2258.874310603832</v>
      </c>
      <c r="EW10" s="45">
        <v>2307.222284637683</v>
      </c>
      <c r="EX10" s="45">
        <v>2356.103047517989</v>
      </c>
      <c r="EY10" s="45">
        <v>2407.892176054269</v>
      </c>
      <c r="EZ10" s="45">
        <v>2477.7778281979063</v>
      </c>
      <c r="FA10" s="45">
        <v>2492.7451336041827</v>
      </c>
      <c r="FB10" s="45">
        <v>2530.940786061861</v>
      </c>
      <c r="FC10" s="45">
        <v>2546.117483206379</v>
      </c>
      <c r="FD10" s="45">
        <v>2545.716512078066</v>
      </c>
      <c r="FE10" s="45">
        <v>2475.0876354913917</v>
      </c>
      <c r="FF10" s="45">
        <v>2329.4832128374946</v>
      </c>
      <c r="FG10" s="45">
        <v>2097.0482137373856</v>
      </c>
      <c r="FH10" s="45">
        <v>1555.1543124943107</v>
      </c>
      <c r="FI10" s="45">
        <v>1142.4853831035773</v>
      </c>
      <c r="FJ10" s="45">
        <v>339.8580570824619</v>
      </c>
      <c r="FK10" s="45">
        <v>5.960464477539062e-14</v>
      </c>
      <c r="FL10" s="46">
        <f>MAX(1,MIN(26,SUMPRODUCT(--($CI10:$DI10&gt;=Pu))))</f>
      </c>
      <c r="FM10" s="47">
        <f>(Pu-INDEX($CI10:$DI10,1,$FL10))/(INDEX($CI10:$DI10,1,$FL10+1)-INDEX($CI10:$DI10,1,$FL10))</f>
      </c>
      <c r="FN10" s="39">
        <f>INDEX($DJ10:$EJ10,1,$FL10)+$FM10*(INDEX($DJ10:$EJ10,1,$FL10+1)-INDEX($DJ10:$EJ10,1,$FL10))</f>
      </c>
      <c r="FO10" s="39">
        <f>INDEX($EK10:$FK10,1,$FL10)+$FM10*(INDEX($EK10:$FK10,1,$FL10+1)-INDEX($EK10:$FK10,1,$FL10))</f>
      </c>
      <c r="FP10" s="39">
        <f>SQRT(FN10^2+FO10^2)</f>
      </c>
      <c r="FQ10" s="20">
        <f>FN11-FN10</f>
      </c>
      <c r="FR10" s="20">
        <f>FO11-FO10</f>
      </c>
      <c r="FS10" s="20">
        <f>FQ10*SIN(RADIANS(theta_L))-FR10*COS(RADIANS(theta_L))</f>
      </c>
      <c r="FT10" s="47">
        <f>IF(FS10=0,"",-(FN10*SIN(RADIANS(theta_L))-FO10*COS(RADIANS(theta_L)))/FS10)</f>
      </c>
      <c r="FU10" s="20">
        <f>IF(FT10="","",(FN10+FT10*FQ10)*COS(RADIANS(theta_L))+(FO10+FT10*FR10)*SIN(RADIANS(theta_L)))</f>
      </c>
      <c r="FV10" s="20">
        <f>IF(OR(FT10="",FT10&lt;0,FT10&gt;1,FU10&lt;0),"",FU10)</f>
      </c>
    </row>
    <row r="11" spans="1:178" x14ac:dyDescent="0.25">
      <c r="A11">
        <v>4</v>
      </c>
      <c r="B11" s="44">
        <v>29.999999999999996</v>
      </c>
      <c r="C11" s="18">
        <v>794.6152422706632</v>
      </c>
      <c r="D11" s="18">
        <v>-658.9934640057525</v>
      </c>
      <c r="E11" s="18">
        <v>1453.6087062764157</v>
      </c>
      <c r="F11" s="16">
        <v>0.0033</v>
      </c>
      <c r="G11" s="16">
        <v>0</v>
      </c>
      <c r="H11" s="16">
        <v>0</v>
      </c>
      <c r="I11" s="16">
        <v>0.00275</v>
      </c>
      <c r="J11" s="16">
        <v>5.994271777625911e-7</v>
      </c>
      <c r="K11" s="16">
        <v>3.460794424408096e-7</v>
      </c>
      <c r="L11" s="16">
        <v>0.0024749999999999998</v>
      </c>
      <c r="M11" s="16">
        <v>8.991407666438868e-7</v>
      </c>
      <c r="N11" s="16">
        <v>5.191191636612143e-7</v>
      </c>
      <c r="O11" s="16">
        <v>0.0022</v>
      </c>
      <c r="P11" s="16">
        <v>0.0000011988543555251822</v>
      </c>
      <c r="Q11" s="16">
        <v>6.921588848816192e-7</v>
      </c>
      <c r="R11" s="16">
        <v>0.001925</v>
      </c>
      <c r="S11" s="16">
        <v>0.0000014985679444064779</v>
      </c>
      <c r="T11" s="16">
        <v>8.65198606102024e-7</v>
      </c>
      <c r="U11" s="16">
        <v>0.0018000000000000002</v>
      </c>
      <c r="V11" s="16">
        <v>0.0000016348013938979757</v>
      </c>
      <c r="W11" s="16">
        <v>9.438530248385715e-7</v>
      </c>
      <c r="X11" s="16">
        <v>0.00165</v>
      </c>
      <c r="Y11" s="16">
        <v>0.0000017982815332877735</v>
      </c>
      <c r="Z11" s="16">
        <v>0.0000010382383273224287</v>
      </c>
      <c r="AA11" s="16">
        <v>0.0014960549024157057</v>
      </c>
      <c r="AB11" s="16">
        <v>0.000001966061306697483</v>
      </c>
      <c r="AC11" s="16">
        <v>0.000001135106024665099</v>
      </c>
      <c r="AD11" s="16">
        <v>0.0012227298876302064</v>
      </c>
      <c r="AE11" s="16">
        <v>0.000002263949383469829</v>
      </c>
      <c r="AF11" s="16">
        <v>0.0000013070917859779928</v>
      </c>
      <c r="AG11" s="16">
        <v>0.001086067380237457</v>
      </c>
      <c r="AH11" s="16">
        <v>0.000002412893421856002</v>
      </c>
      <c r="AI11" s="16">
        <v>0.0000013930846666344397</v>
      </c>
      <c r="AJ11" s="16">
        <v>0.0009494048728447071</v>
      </c>
      <c r="AK11" s="16">
        <v>0.0000025618374602421753</v>
      </c>
      <c r="AL11" s="16">
        <v>0.0000014790775472908867</v>
      </c>
      <c r="AM11" s="16">
        <v>0.0008127423654519577</v>
      </c>
      <c r="AN11" s="16">
        <v>0.000002710781498628348</v>
      </c>
      <c r="AO11" s="16">
        <v>0.0000015650704279473335</v>
      </c>
      <c r="AP11" s="16">
        <v>0.0006760798580592079</v>
      </c>
      <c r="AQ11" s="16">
        <v>0.0000028597255370145212</v>
      </c>
      <c r="AR11" s="16">
        <v>0.0000016510633086037806</v>
      </c>
      <c r="AS11" s="16">
        <v>0.0005394173506664589</v>
      </c>
      <c r="AT11" s="16">
        <v>0.0000030086695754006935</v>
      </c>
      <c r="AU11" s="16">
        <v>0.0000017370561892602272</v>
      </c>
      <c r="AV11" s="16">
        <v>0.00040275484327370907</v>
      </c>
      <c r="AW11" s="16">
        <v>0.0000031576136137868667</v>
      </c>
      <c r="AX11" s="16">
        <v>0.0000018230490699166743</v>
      </c>
      <c r="AY11" s="16">
        <v>0.00012942982848821024</v>
      </c>
      <c r="AZ11" s="16">
        <v>0.0000034555016905592126</v>
      </c>
      <c r="BA11" s="16">
        <v>0.0000019950348312295677</v>
      </c>
      <c r="BB11" s="16">
        <v>-0.00014389518629728945</v>
      </c>
      <c r="BC11" s="16">
        <v>0.000003753389767331559</v>
      </c>
      <c r="BD11" s="16">
        <v>0.000002167020592542462</v>
      </c>
      <c r="BE11" s="16">
        <v>-0.0004172202010827887</v>
      </c>
      <c r="BF11" s="16">
        <v>0.000004051277844103905</v>
      </c>
      <c r="BG11" s="16">
        <v>0.0000023390063538553555</v>
      </c>
      <c r="BH11" s="16">
        <v>-0.0006905452158682875</v>
      </c>
      <c r="BI11" s="16">
        <v>0.00000434916592087625</v>
      </c>
      <c r="BJ11" s="16">
        <v>0.000002510992115168249</v>
      </c>
      <c r="BK11" s="16">
        <v>-0.001237195245439286</v>
      </c>
      <c r="BL11" s="16">
        <v>0.000004944942074420942</v>
      </c>
      <c r="BM11" s="16">
        <v>0.000002854963637794037</v>
      </c>
      <c r="BN11" s="16">
        <v>-0.0017838452750102837</v>
      </c>
      <c r="BO11" s="16">
        <v>0.000005540718227965634</v>
      </c>
      <c r="BP11" s="16">
        <v>0.0000031989351604198243</v>
      </c>
      <c r="BQ11" s="16">
        <v>-0.0028771453341522807</v>
      </c>
      <c r="BR11" s="16">
        <v>0.0000067322705350550184</v>
      </c>
      <c r="BS11" s="16">
        <v>0.0000038868782056713994</v>
      </c>
      <c r="BT11" s="16">
        <v>-0.003970445393294277</v>
      </c>
      <c r="BU11" s="16">
        <v>0.0000079238228421444</v>
      </c>
      <c r="BV11" s="16">
        <v>0.000004574821250922974</v>
      </c>
      <c r="BW11" s="16">
        <v>-0.006703695541149268</v>
      </c>
      <c r="BX11" s="16">
        <v>0.00001090270360986786</v>
      </c>
      <c r="BY11" s="16">
        <v>0.0000062946788640519126</v>
      </c>
      <c r="BZ11" s="16">
        <v>-0.009436945689004262</v>
      </c>
      <c r="CA11" s="16">
        <v>0.00001388158437759132</v>
      </c>
      <c r="CB11" s="16">
        <v>0.00000801453647718085</v>
      </c>
      <c r="CC11" s="16">
        <v>-0.020369946280424225</v>
      </c>
      <c r="CD11" s="16">
        <v>0.000025797107448485158</v>
      </c>
      <c r="CE11" s="16">
        <v>0.000014893966929696602</v>
      </c>
      <c r="CF11" s="16">
        <v>-0.05</v>
      </c>
      <c r="CG11" s="16">
        <v>0</v>
      </c>
      <c r="CH11" s="16">
        <v>0</v>
      </c>
      <c r="CI11" s="45">
        <v>33981.43387592912</v>
      </c>
      <c r="CJ11" s="45">
        <v>33981.43387592912</v>
      </c>
      <c r="CK11" s="45">
        <v>33876.03056615473</v>
      </c>
      <c r="CL11" s="45">
        <v>32906.01178851932</v>
      </c>
      <c r="CM11" s="45">
        <v>30851.920509876694</v>
      </c>
      <c r="CN11" s="45">
        <v>29530.371489867903</v>
      </c>
      <c r="CO11" s="45">
        <v>27606.296201041132</v>
      </c>
      <c r="CP11" s="45">
        <v>25380.86323540859</v>
      </c>
      <c r="CQ11" s="45">
        <v>21708.388171722734</v>
      </c>
      <c r="CR11" s="45">
        <v>20028.769037314978</v>
      </c>
      <c r="CS11" s="45">
        <v>18459.098358075855</v>
      </c>
      <c r="CT11" s="45">
        <v>17009.087636417506</v>
      </c>
      <c r="CU11" s="45">
        <v>15698.064949720847</v>
      </c>
      <c r="CV11" s="45">
        <v>14509.518685661613</v>
      </c>
      <c r="CW11" s="45">
        <v>13398.558181464363</v>
      </c>
      <c r="CX11" s="45">
        <v>11481.010011114</v>
      </c>
      <c r="CY11" s="45">
        <v>9856.426280410444</v>
      </c>
      <c r="CZ11" s="45">
        <v>8503.76831256637</v>
      </c>
      <c r="DA11" s="45">
        <v>7316.387390805251</v>
      </c>
      <c r="DB11" s="45">
        <v>5445.897484036579</v>
      </c>
      <c r="DC11" s="45">
        <v>3997.7266310209325</v>
      </c>
      <c r="DD11" s="45">
        <v>1950.9838840341615</v>
      </c>
      <c r="DE11" s="45">
        <v>508.677244907836</v>
      </c>
      <c r="DF11" s="45">
        <v>-1808.7552903519556</v>
      </c>
      <c r="DG11" s="45">
        <v>-3139.05732773258</v>
      </c>
      <c r="DH11" s="45">
        <v>-5044.668022560147</v>
      </c>
      <c r="DI11" s="45">
        <v>-5790.583579096708</v>
      </c>
      <c r="DJ11" s="45">
        <v>6.55418261885643e-13</v>
      </c>
      <c r="DK11" s="45">
        <v>6.55418261885643e-13</v>
      </c>
      <c r="DL11" s="45">
        <v>48.82791381012355</v>
      </c>
      <c r="DM11" s="45">
        <v>451.61667014415667</v>
      </c>
      <c r="DN11" s="45">
        <v>1225.072932055232</v>
      </c>
      <c r="DO11" s="45">
        <v>1702.4506196215966</v>
      </c>
      <c r="DP11" s="45">
        <v>2381.6932871152885</v>
      </c>
      <c r="DQ11" s="45">
        <v>3127.116699800583</v>
      </c>
      <c r="DR11" s="45">
        <v>4144.952822607358</v>
      </c>
      <c r="DS11" s="45">
        <v>4521.823095870025</v>
      </c>
      <c r="DT11" s="45">
        <v>4824.02175288371</v>
      </c>
      <c r="DU11" s="45">
        <v>5045.692950968513</v>
      </c>
      <c r="DV11" s="45">
        <v>5194.520925566539</v>
      </c>
      <c r="DW11" s="45">
        <v>5287.233712702831</v>
      </c>
      <c r="DX11" s="45">
        <v>5345.367703847265</v>
      </c>
      <c r="DY11" s="45">
        <v>5332.562286786956</v>
      </c>
      <c r="DZ11" s="45">
        <v>5211.010266921576</v>
      </c>
      <c r="EA11" s="45">
        <v>5022.633609330719</v>
      </c>
      <c r="EB11" s="45">
        <v>4796.654940796912</v>
      </c>
      <c r="EC11" s="45">
        <v>4296.04868560701</v>
      </c>
      <c r="ED11" s="45">
        <v>3875.03318506901</v>
      </c>
      <c r="EE11" s="45">
        <v>3246.4322241358614</v>
      </c>
      <c r="EF11" s="45">
        <v>2731.3046332448416</v>
      </c>
      <c r="EG11" s="45">
        <v>1813.4055011192856</v>
      </c>
      <c r="EH11" s="45">
        <v>1252.5262117187629</v>
      </c>
      <c r="EI11" s="45">
        <v>390.01149467631905</v>
      </c>
      <c r="EJ11" s="45">
        <v>0</v>
      </c>
      <c r="EK11" s="45">
        <v>-5.220063030719757e-12</v>
      </c>
      <c r="EL11" s="45">
        <v>-5.220063030719757e-12</v>
      </c>
      <c r="EM11" s="45">
        <v>49.00906050673975</v>
      </c>
      <c r="EN11" s="45">
        <v>395.30343166716597</v>
      </c>
      <c r="EO11" s="45">
        <v>1044.9473847494498</v>
      </c>
      <c r="EP11" s="45">
        <v>1429.3883928366295</v>
      </c>
      <c r="EQ11" s="45">
        <v>1956.4268193190899</v>
      </c>
      <c r="ER11" s="45">
        <v>2508.5541519539247</v>
      </c>
      <c r="ES11" s="45">
        <v>3072.3243988693134</v>
      </c>
      <c r="ET11" s="45">
        <v>3217.541978767996</v>
      </c>
      <c r="EU11" s="45">
        <v>3317.9870544614937</v>
      </c>
      <c r="EV11" s="45">
        <v>3398.128740616591</v>
      </c>
      <c r="EW11" s="45">
        <v>3475.181445882785</v>
      </c>
      <c r="EX11" s="45">
        <v>3554.1906133089337</v>
      </c>
      <c r="EY11" s="45">
        <v>3624.778026789106</v>
      </c>
      <c r="EZ11" s="45">
        <v>3682.9297482900897</v>
      </c>
      <c r="FA11" s="45">
        <v>3694.632587230479</v>
      </c>
      <c r="FB11" s="45">
        <v>3660.009299856681</v>
      </c>
      <c r="FC11" s="45">
        <v>3632.3766178319847</v>
      </c>
      <c r="FD11" s="45">
        <v>3539.2938275018173</v>
      </c>
      <c r="FE11" s="45">
        <v>3370.1544662181723</v>
      </c>
      <c r="FF11" s="45">
        <v>2927.21160435815</v>
      </c>
      <c r="FG11" s="45">
        <v>2575.5968664263683</v>
      </c>
      <c r="FH11" s="45">
        <v>1853.2097743702893</v>
      </c>
      <c r="FI11" s="45">
        <v>1317.6610707113998</v>
      </c>
      <c r="FJ11" s="45">
        <v>388.2413941258377</v>
      </c>
      <c r="FK11" s="45">
        <v>5.960464477539062e-14</v>
      </c>
      <c r="FL11" s="46">
        <f>MAX(1,MIN(26,SUMPRODUCT(--($CI11:$DI11&gt;=Pu))))</f>
      </c>
      <c r="FM11" s="47">
        <f>(Pu-INDEX($CI11:$DI11,1,$FL11))/(INDEX($CI11:$DI11,1,$FL11+1)-INDEX($CI11:$DI11,1,$FL11))</f>
      </c>
      <c r="FN11" s="39">
        <f>INDEX($DJ11:$EJ11,1,$FL11)+$FM11*(INDEX($DJ11:$EJ11,1,$FL11+1)-INDEX($DJ11:$EJ11,1,$FL11))</f>
      </c>
      <c r="FO11" s="39">
        <f>INDEX($EK11:$FK11,1,$FL11)+$FM11*(INDEX($EK11:$FK11,1,$FL11+1)-INDEX($EK11:$FK11,1,$FL11))</f>
      </c>
      <c r="FP11" s="39">
        <f>SQRT(FN11^2+FO11^2)</f>
      </c>
      <c r="FQ11" s="20">
        <f>FN12-FN11</f>
      </c>
      <c r="FR11" s="20">
        <f>FO12-FO11</f>
      </c>
      <c r="FS11" s="20">
        <f>FQ11*SIN(RADIANS(theta_L))-FR11*COS(RADIANS(theta_L))</f>
      </c>
      <c r="FT11" s="47">
        <f>IF(FS11=0,"",-(FN11*SIN(RADIANS(theta_L))-FO11*COS(RADIANS(theta_L)))/FS11)</f>
      </c>
      <c r="FU11" s="20">
        <f>IF(FT11="","",(FN11+FT11*FQ11)*COS(RADIANS(theta_L))+(FO11+FT11*FR11)*SIN(RADIANS(theta_L)))</f>
      </c>
      <c r="FV11" s="20">
        <f>IF(OR(FT11="",FT11&lt;0,FT11&gt;1,FU11&lt;0),"",FU11)</f>
      </c>
    </row>
    <row r="12" spans="1:178" x14ac:dyDescent="0.25">
      <c r="A12">
        <v>5</v>
      </c>
      <c r="B12" s="44">
        <v>40</v>
      </c>
      <c r="C12" s="18">
        <v>813.1598511989835</v>
      </c>
      <c r="D12" s="18">
        <v>-666.9089075225401</v>
      </c>
      <c r="E12" s="18">
        <v>1480.0687587215234</v>
      </c>
      <c r="F12" s="16">
        <v>0.0033</v>
      </c>
      <c r="G12" s="16">
        <v>0</v>
      </c>
      <c r="H12" s="16">
        <v>0</v>
      </c>
      <c r="I12" s="16">
        <v>0.00275</v>
      </c>
      <c r="J12" s="16">
        <v>5.18132373473931e-7</v>
      </c>
      <c r="K12" s="16">
        <v>4.3476468348298417e-7</v>
      </c>
      <c r="L12" s="16">
        <v>0.002475</v>
      </c>
      <c r="M12" s="16">
        <v>7.771985602108965e-7</v>
      </c>
      <c r="N12" s="16">
        <v>6.521470252244763e-7</v>
      </c>
      <c r="O12" s="16">
        <v>0.0022</v>
      </c>
      <c r="P12" s="16">
        <v>0.000001036264746947862</v>
      </c>
      <c r="Q12" s="16">
        <v>8.695293669659683e-7</v>
      </c>
      <c r="R12" s="16">
        <v>0.0019249999999999998</v>
      </c>
      <c r="S12" s="16">
        <v>0.0000012953309336848276</v>
      </c>
      <c r="T12" s="16">
        <v>0.0000010869117087074606</v>
      </c>
      <c r="U12" s="16">
        <v>0.0018</v>
      </c>
      <c r="V12" s="16">
        <v>0.0000014130882912925392</v>
      </c>
      <c r="W12" s="16">
        <v>0.0000011857218640445023</v>
      </c>
      <c r="X12" s="16">
        <v>0.0016500000000000002</v>
      </c>
      <c r="Y12" s="16">
        <v>0.000001554397120421793</v>
      </c>
      <c r="Z12" s="16">
        <v>0.0000013042940504489526</v>
      </c>
      <c r="AA12" s="16">
        <v>0.0014869575361656999</v>
      </c>
      <c r="AB12" s="16">
        <v>0.0000017079927181736179</v>
      </c>
      <c r="AC12" s="16">
        <v>0.0000014331760598729625</v>
      </c>
      <c r="AD12" s="16">
        <v>0.001212254132554442</v>
      </c>
      <c r="AE12" s="16">
        <v>0.000001966779493654469</v>
      </c>
      <c r="AF12" s="16">
        <v>0.0000016503239477325025</v>
      </c>
      <c r="AG12" s="16">
        <v>0.0010749024307488133</v>
      </c>
      <c r="AH12" s="16">
        <v>0.0000020961728813948945</v>
      </c>
      <c r="AI12" s="16">
        <v>0.0000017588978916622723</v>
      </c>
      <c r="AJ12" s="16">
        <v>0.0009375507289431841</v>
      </c>
      <c r="AK12" s="16">
        <v>0.0000022255662691353206</v>
      </c>
      <c r="AL12" s="16">
        <v>0.0000018674718355920423</v>
      </c>
      <c r="AM12" s="16">
        <v>0.0008001990271375554</v>
      </c>
      <c r="AN12" s="16">
        <v>0.000002354959656875746</v>
      </c>
      <c r="AO12" s="16">
        <v>0.0000019760457795218125</v>
      </c>
      <c r="AP12" s="16">
        <v>0.0006628473253319266</v>
      </c>
      <c r="AQ12" s="16">
        <v>0.000002484353044616172</v>
      </c>
      <c r="AR12" s="16">
        <v>0.000002084619723451582</v>
      </c>
      <c r="AS12" s="16">
        <v>0.0005254956235262978</v>
      </c>
      <c r="AT12" s="16">
        <v>0.000002613746432356597</v>
      </c>
      <c r="AU12" s="16">
        <v>0.000002193193667381352</v>
      </c>
      <c r="AV12" s="16">
        <v>0.00038814392172066906</v>
      </c>
      <c r="AW12" s="16">
        <v>0.0000027431398200970226</v>
      </c>
      <c r="AX12" s="16">
        <v>0.0000023017676113111216</v>
      </c>
      <c r="AY12" s="16">
        <v>0.00011344051810941195</v>
      </c>
      <c r="AZ12" s="16">
        <v>0.0000030019265955778734</v>
      </c>
      <c r="BA12" s="16">
        <v>0.000002518915499170661</v>
      </c>
      <c r="BB12" s="16">
        <v>-0.00016126288550184645</v>
      </c>
      <c r="BC12" s="16">
        <v>0.000003260713371058725</v>
      </c>
      <c r="BD12" s="16">
        <v>0.0000027360633870302016</v>
      </c>
      <c r="BE12" s="16">
        <v>-0.0004359662891131044</v>
      </c>
      <c r="BF12" s="16">
        <v>0.0000035195001465395768</v>
      </c>
      <c r="BG12" s="16">
        <v>0.0000029532112748897416</v>
      </c>
      <c r="BH12" s="16">
        <v>-0.000710669692724362</v>
      </c>
      <c r="BI12" s="16">
        <v>0.000003778286922020428</v>
      </c>
      <c r="BJ12" s="16">
        <v>0.000003170359162749281</v>
      </c>
      <c r="BK12" s="16">
        <v>-0.0012600764999468762</v>
      </c>
      <c r="BL12" s="16">
        <v>0.00000429586047298213</v>
      </c>
      <c r="BM12" s="16">
        <v>0.0000036046549384683603</v>
      </c>
      <c r="BN12" s="16">
        <v>-0.0018094833071693912</v>
      </c>
      <c r="BO12" s="16">
        <v>0.000004813434023943832</v>
      </c>
      <c r="BP12" s="16">
        <v>0.0000040389507141874394</v>
      </c>
      <c r="BQ12" s="16">
        <v>-0.002908296921614424</v>
      </c>
      <c r="BR12" s="16">
        <v>0.000005848581125867238</v>
      </c>
      <c r="BS12" s="16">
        <v>0.0000049075422656256</v>
      </c>
      <c r="BT12" s="16">
        <v>-0.004007110536059453</v>
      </c>
      <c r="BU12" s="16">
        <v>0.0000068837282277906424</v>
      </c>
      <c r="BV12" s="16">
        <v>0.0000057761338170637585</v>
      </c>
      <c r="BW12" s="16">
        <v>-0.0067541445721720295</v>
      </c>
      <c r="BX12" s="16">
        <v>0.000009471595982599155</v>
      </c>
      <c r="BY12" s="16">
        <v>0.000007947612695659157</v>
      </c>
      <c r="BZ12" s="16">
        <v>-0.009501178608284606</v>
      </c>
      <c r="CA12" s="16">
        <v>0.000012059463737407667</v>
      </c>
      <c r="CB12" s="16">
        <v>0.000010119091574254555</v>
      </c>
      <c r="CC12" s="16">
        <v>-0.02048931475273491</v>
      </c>
      <c r="CD12" s="16">
        <v>0.000022410934756641713</v>
      </c>
      <c r="CE12" s="16">
        <v>0.000018805007088636146</v>
      </c>
      <c r="CF12" s="16">
        <v>-0.05</v>
      </c>
      <c r="CG12" s="16">
        <v>0</v>
      </c>
      <c r="CH12" s="16">
        <v>0</v>
      </c>
      <c r="CI12" s="45">
        <v>33981.43387592912</v>
      </c>
      <c r="CJ12" s="45">
        <v>33981.43387592912</v>
      </c>
      <c r="CK12" s="45">
        <v>33863.4019278609</v>
      </c>
      <c r="CL12" s="45">
        <v>32899.22926191779</v>
      </c>
      <c r="CM12" s="45">
        <v>30842.141157638685</v>
      </c>
      <c r="CN12" s="45">
        <v>29535.78122262831</v>
      </c>
      <c r="CO12" s="45">
        <v>27634.203654828656</v>
      </c>
      <c r="CP12" s="45">
        <v>25331.98561091937</v>
      </c>
      <c r="CQ12" s="45">
        <v>21761.49832435747</v>
      </c>
      <c r="CR12" s="45">
        <v>20101.233755674148</v>
      </c>
      <c r="CS12" s="45">
        <v>18512.965438943043</v>
      </c>
      <c r="CT12" s="45">
        <v>17004.16819477337</v>
      </c>
      <c r="CU12" s="45">
        <v>15596.041271232392</v>
      </c>
      <c r="CV12" s="45">
        <v>14295.108616266318</v>
      </c>
      <c r="CW12" s="45">
        <v>13105.429237884797</v>
      </c>
      <c r="CX12" s="45">
        <v>11110.812129683569</v>
      </c>
      <c r="CY12" s="45">
        <v>9458.564835327312</v>
      </c>
      <c r="CZ12" s="45">
        <v>8044.434706052966</v>
      </c>
      <c r="DA12" s="45">
        <v>6845.7055909640585</v>
      </c>
      <c r="DB12" s="45">
        <v>5045.352005767924</v>
      </c>
      <c r="DC12" s="45">
        <v>3785.1692362146955</v>
      </c>
      <c r="DD12" s="45">
        <v>1892.8787054045847</v>
      </c>
      <c r="DE12" s="45">
        <v>539.2842817507508</v>
      </c>
      <c r="DF12" s="45">
        <v>-1617.030559325174</v>
      </c>
      <c r="DG12" s="45">
        <v>-2848.8840854358505</v>
      </c>
      <c r="DH12" s="45">
        <v>-4753.272036817409</v>
      </c>
      <c r="DI12" s="45">
        <v>-5790.583579096708</v>
      </c>
      <c r="DJ12" s="45">
        <v>6.55418261885643e-13</v>
      </c>
      <c r="DK12" s="45">
        <v>6.55418261885643e-13</v>
      </c>
      <c r="DL12" s="45">
        <v>48.95821174686092</v>
      </c>
      <c r="DM12" s="45">
        <v>398.07614815868817</v>
      </c>
      <c r="DN12" s="45">
        <v>1088.2677593914796</v>
      </c>
      <c r="DO12" s="45">
        <v>1510.5394062163482</v>
      </c>
      <c r="DP12" s="45">
        <v>2101.5490608098685</v>
      </c>
      <c r="DQ12" s="45">
        <v>2749.17244630961</v>
      </c>
      <c r="DR12" s="45">
        <v>3532.4595008386927</v>
      </c>
      <c r="DS12" s="45">
        <v>3817.9038691272594</v>
      </c>
      <c r="DT12" s="45">
        <v>4054.012628913973</v>
      </c>
      <c r="DU12" s="45">
        <v>4242.4304934374395</v>
      </c>
      <c r="DV12" s="45">
        <v>4383.050984922743</v>
      </c>
      <c r="DW12" s="45">
        <v>4474.361403091517</v>
      </c>
      <c r="DX12" s="45">
        <v>4527.252028689051</v>
      </c>
      <c r="DY12" s="45">
        <v>4493.000379010573</v>
      </c>
      <c r="DZ12" s="45">
        <v>4364.299420136142</v>
      </c>
      <c r="EA12" s="45">
        <v>4189.796532898555</v>
      </c>
      <c r="EB12" s="45">
        <v>4004.450322337828</v>
      </c>
      <c r="EC12" s="45">
        <v>3650.144863259121</v>
      </c>
      <c r="ED12" s="45">
        <v>3332.9834706241627</v>
      </c>
      <c r="EE12" s="45">
        <v>2821.363259907644</v>
      </c>
      <c r="EF12" s="45">
        <v>2452.2456179077435</v>
      </c>
      <c r="EG12" s="45">
        <v>1732.8119981166421</v>
      </c>
      <c r="EH12" s="45">
        <v>1269.4998932099595</v>
      </c>
      <c r="EI12" s="45">
        <v>478.2994270238235</v>
      </c>
      <c r="EJ12" s="45">
        <v>0</v>
      </c>
      <c r="EK12" s="45">
        <v>-5.220063030719757e-12</v>
      </c>
      <c r="EL12" s="45">
        <v>-5.220063030719757e-12</v>
      </c>
      <c r="EM12" s="45">
        <v>61.95277245291322</v>
      </c>
      <c r="EN12" s="45">
        <v>493.73002813324047</v>
      </c>
      <c r="EO12" s="45">
        <v>1280.8287853018498</v>
      </c>
      <c r="EP12" s="45">
        <v>1753.7364955417304</v>
      </c>
      <c r="EQ12" s="45">
        <v>2419.2840497207385</v>
      </c>
      <c r="ER12" s="45">
        <v>3138.3267249623345</v>
      </c>
      <c r="ES12" s="45">
        <v>3910.0948671110946</v>
      </c>
      <c r="ET12" s="45">
        <v>4157.552279320432</v>
      </c>
      <c r="EU12" s="45">
        <v>4343.443561540246</v>
      </c>
      <c r="EV12" s="45">
        <v>4477.967966764084</v>
      </c>
      <c r="EW12" s="45">
        <v>4579.698006938624</v>
      </c>
      <c r="EX12" s="45">
        <v>4662.446581960033</v>
      </c>
      <c r="EY12" s="45">
        <v>4734.757205790492</v>
      </c>
      <c r="EZ12" s="45">
        <v>4781.25242679108</v>
      </c>
      <c r="FA12" s="45">
        <v>4758.5854572323415</v>
      </c>
      <c r="FB12" s="45">
        <v>4691.187232885849</v>
      </c>
      <c r="FC12" s="45">
        <v>4570.485374880952</v>
      </c>
      <c r="FD12" s="45">
        <v>4282.198490446652</v>
      </c>
      <c r="FE12" s="45">
        <v>4003.380286508313</v>
      </c>
      <c r="FF12" s="45">
        <v>3509.6294181023322</v>
      </c>
      <c r="FG12" s="45">
        <v>3053.453364898382</v>
      </c>
      <c r="FH12" s="45">
        <v>2184.1011427265976</v>
      </c>
      <c r="FI12" s="45">
        <v>1603.0135655680524</v>
      </c>
      <c r="FJ12" s="45">
        <v>608.3293457977202</v>
      </c>
      <c r="FK12" s="45">
        <v>5.960464477539062e-14</v>
      </c>
      <c r="FL12" s="46">
        <f>MAX(1,MIN(26,SUMPRODUCT(--($CI12:$DI12&gt;=Pu))))</f>
      </c>
      <c r="FM12" s="47">
        <f>(Pu-INDEX($CI12:$DI12,1,$FL12))/(INDEX($CI12:$DI12,1,$FL12+1)-INDEX($CI12:$DI12,1,$FL12))</f>
      </c>
      <c r="FN12" s="39">
        <f>INDEX($DJ12:$EJ12,1,$FL12)+$FM12*(INDEX($DJ12:$EJ12,1,$FL12+1)-INDEX($DJ12:$EJ12,1,$FL12))</f>
      </c>
      <c r="FO12" s="39">
        <f>INDEX($EK12:$FK12,1,$FL12)+$FM12*(INDEX($EK12:$FK12,1,$FL12+1)-INDEX($EK12:$FK12,1,$FL12))</f>
      </c>
      <c r="FP12" s="39">
        <f>SQRT(FN12^2+FO12^2)</f>
      </c>
      <c r="FQ12" s="20">
        <f>FN13-FN12</f>
      </c>
      <c r="FR12" s="20">
        <f>FO13-FO12</f>
      </c>
      <c r="FS12" s="20">
        <f>FQ12*SIN(RADIANS(theta_L))-FR12*COS(RADIANS(theta_L))</f>
      </c>
      <c r="FT12" s="47">
        <f>IF(FS12=0,"",-(FN12*SIN(RADIANS(theta_L))-FO12*COS(RADIANS(theta_L)))/FS12)</f>
      </c>
      <c r="FU12" s="20">
        <f>IF(FT12="","",(FN12+FT12*FQ12)*COS(RADIANS(theta_L))+(FO12+FT12*FR12)*SIN(RADIANS(theta_L)))</f>
      </c>
      <c r="FV12" s="20">
        <f>IF(OR(FT12="",FT12&lt;0,FT12&gt;1,FU12&lt;0),"",FU12)</f>
      </c>
    </row>
    <row r="13" spans="1:178" x14ac:dyDescent="0.25">
      <c r="A13">
        <v>6</v>
      </c>
      <c r="B13" s="44">
        <v>50</v>
      </c>
      <c r="C13" s="18">
        <v>831.6483762138494</v>
      </c>
      <c r="D13" s="18">
        <v>-713.7465042268668</v>
      </c>
      <c r="E13" s="18">
        <v>1545.3948804407162</v>
      </c>
      <c r="F13" s="16">
        <v>0.0033</v>
      </c>
      <c r="G13" s="16">
        <v>0</v>
      </c>
      <c r="H13" s="16">
        <v>0</v>
      </c>
      <c r="I13" s="16">
        <v>0.00275</v>
      </c>
      <c r="J13" s="16">
        <v>4.250993514074865e-7</v>
      </c>
      <c r="K13" s="16">
        <v>5.066136792493406e-7</v>
      </c>
      <c r="L13" s="16">
        <v>0.0024749999999999998</v>
      </c>
      <c r="M13" s="16">
        <v>6.376490271112297e-7</v>
      </c>
      <c r="N13" s="16">
        <v>7.599205188740108e-7</v>
      </c>
      <c r="O13" s="16">
        <v>0.0021999999999999997</v>
      </c>
      <c r="P13" s="16">
        <v>8.50198702814973e-7</v>
      </c>
      <c r="Q13" s="16">
        <v>0.0000010132273584986811</v>
      </c>
      <c r="R13" s="16">
        <v>0.0019249999999999998</v>
      </c>
      <c r="S13" s="16">
        <v>0.0000010627483785187162</v>
      </c>
      <c r="T13" s="16">
        <v>0.0000012665341981233513</v>
      </c>
      <c r="U13" s="16">
        <v>0.0018000000000000002</v>
      </c>
      <c r="V13" s="16">
        <v>0.0000011593618674749628</v>
      </c>
      <c r="W13" s="16">
        <v>0.0000013816736706800193</v>
      </c>
      <c r="X13" s="16">
        <v>0.00165</v>
      </c>
      <c r="Y13" s="16">
        <v>0.0000012752980542224595</v>
      </c>
      <c r="Z13" s="16">
        <v>0.0000015198410377480215</v>
      </c>
      <c r="AA13" s="16">
        <v>0.0015241175532281802</v>
      </c>
      <c r="AB13" s="16">
        <v>0.0000013725935932702558</v>
      </c>
      <c r="AC13" s="16">
        <v>0.0000016357933459516229</v>
      </c>
      <c r="AD13" s="16">
        <v>0.0012550444552324501</v>
      </c>
      <c r="AE13" s="16">
        <v>0.0000015805623195233249</v>
      </c>
      <c r="AF13" s="16">
        <v>0.00000188364082261096</v>
      </c>
      <c r="AG13" s="16">
        <v>0.001120507906234585</v>
      </c>
      <c r="AH13" s="16">
        <v>0.0000016845466826498592</v>
      </c>
      <c r="AI13" s="16">
        <v>0.0000020075645609406282</v>
      </c>
      <c r="AJ13" s="16">
        <v>0.0009859713572367198</v>
      </c>
      <c r="AK13" s="16">
        <v>0.0000017885310457763938</v>
      </c>
      <c r="AL13" s="16">
        <v>0.0000021314882992702965</v>
      </c>
      <c r="AM13" s="16">
        <v>0.0008514348082388546</v>
      </c>
      <c r="AN13" s="16">
        <v>0.0000018925154089029285</v>
      </c>
      <c r="AO13" s="16">
        <v>0.0000022554120375999653</v>
      </c>
      <c r="AP13" s="16">
        <v>0.000716898259240989</v>
      </c>
      <c r="AQ13" s="16">
        <v>0.000001996499772029463</v>
      </c>
      <c r="AR13" s="16">
        <v>0.0000023793357759296336</v>
      </c>
      <c r="AS13" s="16">
        <v>0.0005823617102431243</v>
      </c>
      <c r="AT13" s="16">
        <v>0.0000021004841351559974</v>
      </c>
      <c r="AU13" s="16">
        <v>0.0000025032595142593015</v>
      </c>
      <c r="AV13" s="16">
        <v>0.0004478251612452591</v>
      </c>
      <c r="AW13" s="16">
        <v>0.000002204468498282532</v>
      </c>
      <c r="AX13" s="16">
        <v>0.0000026271832525889702</v>
      </c>
      <c r="AY13" s="16">
        <v>0.00017875206324952922</v>
      </c>
      <c r="AZ13" s="16">
        <v>0.000002412437224535601</v>
      </c>
      <c r="BA13" s="16">
        <v>0.000002875030729248307</v>
      </c>
      <c r="BB13" s="16">
        <v>-0.00009032103474620155</v>
      </c>
      <c r="BC13" s="16">
        <v>0.00000262040595078867</v>
      </c>
      <c r="BD13" s="16">
        <v>0.000003122878205907644</v>
      </c>
      <c r="BE13" s="16">
        <v>-0.0003593941327419319</v>
      </c>
      <c r="BF13" s="16">
        <v>0.0000028283746770417395</v>
      </c>
      <c r="BG13" s="16">
        <v>0.000003370725682566981</v>
      </c>
      <c r="BH13" s="16">
        <v>-0.0006284672307376622</v>
      </c>
      <c r="BI13" s="16">
        <v>0.000003036343403294808</v>
      </c>
      <c r="BJ13" s="16">
        <v>0.0000036185731592263176</v>
      </c>
      <c r="BK13" s="16">
        <v>-0.001166613426729122</v>
      </c>
      <c r="BL13" s="16">
        <v>0.000003452280855800946</v>
      </c>
      <c r="BM13" s="16">
        <v>0.000004114268112544991</v>
      </c>
      <c r="BN13" s="16">
        <v>-0.0017047596227205827</v>
      </c>
      <c r="BO13" s="16">
        <v>0.000003868218308307084</v>
      </c>
      <c r="BP13" s="16">
        <v>0.0000046099630658636645</v>
      </c>
      <c r="BQ13" s="16">
        <v>-0.002781052014703505</v>
      </c>
      <c r="BR13" s="16">
        <v>0.000004700093213319361</v>
      </c>
      <c r="BS13" s="16">
        <v>0.000005601352972501013</v>
      </c>
      <c r="BT13" s="16">
        <v>-0.0038573444066864245</v>
      </c>
      <c r="BU13" s="16">
        <v>0.000005531968118331637</v>
      </c>
      <c r="BV13" s="16">
        <v>0.000006592742879138359</v>
      </c>
      <c r="BW13" s="16">
        <v>-0.006548075386643729</v>
      </c>
      <c r="BX13" s="16">
        <v>0.000007611655380862328</v>
      </c>
      <c r="BY13" s="16">
        <v>0.000009071217645731727</v>
      </c>
      <c r="BZ13" s="16">
        <v>-0.00923880636660103</v>
      </c>
      <c r="CA13" s="16">
        <v>0.000009691342643393018</v>
      </c>
      <c r="CB13" s="16">
        <v>0.000011549692412325097</v>
      </c>
      <c r="CC13" s="16">
        <v>-0.02000173028643024</v>
      </c>
      <c r="CD13" s="16">
        <v>0.00001801009169351578</v>
      </c>
      <c r="CE13" s="16">
        <v>0.000021463591478698567</v>
      </c>
      <c r="CF13" s="16">
        <v>-0.05</v>
      </c>
      <c r="CG13" s="16">
        <v>0</v>
      </c>
      <c r="CH13" s="16">
        <v>0</v>
      </c>
      <c r="CI13" s="45">
        <v>33981.43387592912</v>
      </c>
      <c r="CJ13" s="45">
        <v>33981.43387592912</v>
      </c>
      <c r="CK13" s="45">
        <v>33861.11987355758</v>
      </c>
      <c r="CL13" s="45">
        <v>32881.80530550579</v>
      </c>
      <c r="CM13" s="45">
        <v>30855.015523442326</v>
      </c>
      <c r="CN13" s="45">
        <v>29533.92295661245</v>
      </c>
      <c r="CO13" s="45">
        <v>27619.545603007748</v>
      </c>
      <c r="CP13" s="45">
        <v>25828.732590736738</v>
      </c>
      <c r="CQ13" s="45">
        <v>22308.650651053966</v>
      </c>
      <c r="CR13" s="45">
        <v>20694.56114589393</v>
      </c>
      <c r="CS13" s="45">
        <v>19128.94112824127</v>
      </c>
      <c r="CT13" s="45">
        <v>17629.78011271354</v>
      </c>
      <c r="CU13" s="45">
        <v>16201.95377751613</v>
      </c>
      <c r="CV13" s="45">
        <v>14847.85709123559</v>
      </c>
      <c r="CW13" s="45">
        <v>13572.613813574288</v>
      </c>
      <c r="CX13" s="45">
        <v>11395.089372935574</v>
      </c>
      <c r="CY13" s="45">
        <v>9623.714727508263</v>
      </c>
      <c r="CZ13" s="45">
        <v>8193.757011200709</v>
      </c>
      <c r="DA13" s="45">
        <v>7046.6806064266575</v>
      </c>
      <c r="DB13" s="45">
        <v>5322.575503546272</v>
      </c>
      <c r="DC13" s="45">
        <v>4001.047488836841</v>
      </c>
      <c r="DD13" s="45">
        <v>2162.5299859065553</v>
      </c>
      <c r="DE13" s="45">
        <v>836.105408563802</v>
      </c>
      <c r="DF13" s="45">
        <v>-1331.0195891740643</v>
      </c>
      <c r="DG13" s="45">
        <v>-2663.8787007552955</v>
      </c>
      <c r="DH13" s="45">
        <v>-4670.644880305006</v>
      </c>
      <c r="DI13" s="45">
        <v>-5790.583579096708</v>
      </c>
      <c r="DJ13" s="45">
        <v>6.55418261885643e-13</v>
      </c>
      <c r="DK13" s="45">
        <v>6.55418261885643e-13</v>
      </c>
      <c r="DL13" s="45">
        <v>43.470385618144384</v>
      </c>
      <c r="DM13" s="45">
        <v>338.26049379112754</v>
      </c>
      <c r="DN13" s="45">
        <v>920.3014575978341</v>
      </c>
      <c r="DO13" s="45">
        <v>1269.558884673265</v>
      </c>
      <c r="DP13" s="45">
        <v>1760.1984683471119</v>
      </c>
      <c r="DQ13" s="45">
        <v>2172.9750267083946</v>
      </c>
      <c r="DR13" s="45">
        <v>2766.6055127465497</v>
      </c>
      <c r="DS13" s="45">
        <v>2970.9908541036234</v>
      </c>
      <c r="DT13" s="45">
        <v>3141.1591661033676</v>
      </c>
      <c r="DU13" s="45">
        <v>3286.97351365593</v>
      </c>
      <c r="DV13" s="45">
        <v>3409.1802013741685</v>
      </c>
      <c r="DW13" s="45">
        <v>3502.9996997005805</v>
      </c>
      <c r="DX13" s="45">
        <v>3568.005718388447</v>
      </c>
      <c r="DY13" s="45">
        <v>3576.268162611187</v>
      </c>
      <c r="DZ13" s="45">
        <v>3491.330025144508</v>
      </c>
      <c r="EA13" s="45">
        <v>3364.180817610131</v>
      </c>
      <c r="EB13" s="45">
        <v>3239.1330678446425</v>
      </c>
      <c r="EC13" s="45">
        <v>3028.6831705245486</v>
      </c>
      <c r="ED13" s="45">
        <v>2830.132233021573</v>
      </c>
      <c r="EE13" s="45">
        <v>2449.7161085146686</v>
      </c>
      <c r="EF13" s="45">
        <v>2145.9229954756315</v>
      </c>
      <c r="EG13" s="45">
        <v>1613.0539465387396</v>
      </c>
      <c r="EH13" s="45">
        <v>1203.0074617618</v>
      </c>
      <c r="EI13" s="45">
        <v>458.03500999883084</v>
      </c>
      <c r="EJ13" s="45">
        <v>0</v>
      </c>
      <c r="EK13" s="45">
        <v>-5.220063030719757e-12</v>
      </c>
      <c r="EL13" s="45">
        <v>-5.220063030719757e-12</v>
      </c>
      <c r="EM13" s="45">
        <v>70.03734147386379</v>
      </c>
      <c r="EN13" s="45">
        <v>568.3569397542186</v>
      </c>
      <c r="EO13" s="45">
        <v>1467.8047555854366</v>
      </c>
      <c r="EP13" s="45">
        <v>2015.1913813636484</v>
      </c>
      <c r="EQ13" s="45">
        <v>2783.8130733790076</v>
      </c>
      <c r="ER13" s="45">
        <v>3452.385222558172</v>
      </c>
      <c r="ES13" s="45">
        <v>4479.465630782855</v>
      </c>
      <c r="ET13" s="45">
        <v>4822.626737001372</v>
      </c>
      <c r="EU13" s="45">
        <v>5080.669509422898</v>
      </c>
      <c r="EV13" s="45">
        <v>5273.746598899371</v>
      </c>
      <c r="EW13" s="45">
        <v>5417.822551830352</v>
      </c>
      <c r="EX13" s="45">
        <v>5530.106265675667</v>
      </c>
      <c r="EY13" s="45">
        <v>5621.660873287397</v>
      </c>
      <c r="EZ13" s="45">
        <v>5684.951174118129</v>
      </c>
      <c r="FA13" s="45">
        <v>5644.053931677196</v>
      </c>
      <c r="FB13" s="45">
        <v>5533.7185775037515</v>
      </c>
      <c r="FC13" s="45">
        <v>5383.16224653089</v>
      </c>
      <c r="FD13" s="45">
        <v>5021.170969469249</v>
      </c>
      <c r="FE13" s="45">
        <v>4664.7684282958935</v>
      </c>
      <c r="FF13" s="45">
        <v>4071.123604989439</v>
      </c>
      <c r="FG13" s="45">
        <v>3547.968301729883</v>
      </c>
      <c r="FH13" s="45">
        <v>2529.294747544302</v>
      </c>
      <c r="FI13" s="45">
        <v>1841.732380371836</v>
      </c>
      <c r="FJ13" s="45">
        <v>718.0661238671553</v>
      </c>
      <c r="FK13" s="45">
        <v>5.960464477539062e-14</v>
      </c>
      <c r="FL13" s="46">
        <f>MAX(1,MIN(26,SUMPRODUCT(--($CI13:$DI13&gt;=Pu))))</f>
      </c>
      <c r="FM13" s="47">
        <f>(Pu-INDEX($CI13:$DI13,1,$FL13))/(INDEX($CI13:$DI13,1,$FL13+1)-INDEX($CI13:$DI13,1,$FL13))</f>
      </c>
      <c r="FN13" s="39">
        <f>INDEX($DJ13:$EJ13,1,$FL13)+$FM13*(INDEX($DJ13:$EJ13,1,$FL13+1)-INDEX($DJ13:$EJ13,1,$FL13))</f>
      </c>
      <c r="FO13" s="39">
        <f>INDEX($EK13:$FK13,1,$FL13)+$FM13*(INDEX($EK13:$FK13,1,$FL13+1)-INDEX($EK13:$FK13,1,$FL13))</f>
      </c>
      <c r="FP13" s="39">
        <f>SQRT(FN13^2+FO13^2)</f>
      </c>
      <c r="FQ13" s="20">
        <f>FN14-FN13</f>
      </c>
      <c r="FR13" s="20">
        <f>FO14-FO13</f>
      </c>
      <c r="FS13" s="20">
        <f>FQ13*SIN(RADIANS(theta_L))-FR13*COS(RADIANS(theta_L))</f>
      </c>
      <c r="FT13" s="47">
        <f>IF(FS13=0,"",-(FN13*SIN(RADIANS(theta_L))-FO13*COS(RADIANS(theta_L)))/FS13)</f>
      </c>
      <c r="FU13" s="20">
        <f>IF(FT13="","",(FN13+FT13*FQ13)*COS(RADIANS(theta_L))+(FO13+FT13*FR13)*SIN(RADIANS(theta_L)))</f>
      </c>
      <c r="FV13" s="20">
        <f>IF(OR(FT13="",FT13&lt;0,FT13&gt;1,FU13&lt;0),"",FU13)</f>
      </c>
    </row>
    <row r="14" spans="1:178" x14ac:dyDescent="0.25">
      <c r="A14">
        <v>7</v>
      </c>
      <c r="B14" s="44">
        <v>59.99999999999999</v>
      </c>
      <c r="C14" s="18">
        <v>849.5190528383291</v>
      </c>
      <c r="D14" s="18">
        <v>-738.8972745734183</v>
      </c>
      <c r="E14" s="18">
        <v>1588.4163274117473</v>
      </c>
      <c r="F14" s="16">
        <v>0.0033</v>
      </c>
      <c r="G14" s="16">
        <v>0</v>
      </c>
      <c r="H14" s="16">
        <v>0</v>
      </c>
      <c r="I14" s="16">
        <v>0.00275</v>
      </c>
      <c r="J14" s="16">
        <v>3.237125748753924e-7</v>
      </c>
      <c r="K14" s="16">
        <v>5.606866267331239e-7</v>
      </c>
      <c r="L14" s="16">
        <v>0.0024749999999999998</v>
      </c>
      <c r="M14" s="16">
        <v>4.855688623130887e-7</v>
      </c>
      <c r="N14" s="16">
        <v>8.41029940099686e-7</v>
      </c>
      <c r="O14" s="16">
        <v>0.0021999999999999997</v>
      </c>
      <c r="P14" s="16">
        <v>6.474251497507848e-7</v>
      </c>
      <c r="Q14" s="16">
        <v>0.0000011213732534662478</v>
      </c>
      <c r="R14" s="16">
        <v>0.001925</v>
      </c>
      <c r="S14" s="16">
        <v>8.092814371884811e-7</v>
      </c>
      <c r="T14" s="16">
        <v>0.0000014017165668328098</v>
      </c>
      <c r="U14" s="16">
        <v>0.0018000000000000002</v>
      </c>
      <c r="V14" s="16">
        <v>8.828524769328883e-7</v>
      </c>
      <c r="W14" s="16">
        <v>0.0000015291453456357924</v>
      </c>
      <c r="X14" s="16">
        <v>0.0016499999999999998</v>
      </c>
      <c r="Y14" s="16">
        <v>9.711377246261773e-7</v>
      </c>
      <c r="Z14" s="16">
        <v>0.000001682059880199372</v>
      </c>
      <c r="AA14" s="16">
        <v>0.0015350893616571412</v>
      </c>
      <c r="AB14" s="16">
        <v>0.0000010387704857507987</v>
      </c>
      <c r="AC14" s="16">
        <v>0.0000017992032587233852</v>
      </c>
      <c r="AD14" s="16">
        <v>0.0012676786588779205</v>
      </c>
      <c r="AE14" s="16">
        <v>0.0000011961599532887984</v>
      </c>
      <c r="AF14" s="16">
        <v>0.000002071809813075413</v>
      </c>
      <c r="AG14" s="16">
        <v>0.00113397330748831</v>
      </c>
      <c r="AH14" s="16">
        <v>0.0000012748546870577983</v>
      </c>
      <c r="AI14" s="16">
        <v>0.0000022081130902514273</v>
      </c>
      <c r="AJ14" s="16">
        <v>0.0010002679560986993</v>
      </c>
      <c r="AK14" s="16">
        <v>0.0000013535494208267981</v>
      </c>
      <c r="AL14" s="16">
        <v>0.0000023444163674274413</v>
      </c>
      <c r="AM14" s="16">
        <v>0.0008665626047090883</v>
      </c>
      <c r="AN14" s="16">
        <v>0.0000014322441545957984</v>
      </c>
      <c r="AO14" s="16">
        <v>0.000002480719644603456</v>
      </c>
      <c r="AP14" s="16">
        <v>0.0007328572533194782</v>
      </c>
      <c r="AQ14" s="16">
        <v>0.0000015109388883647983</v>
      </c>
      <c r="AR14" s="16">
        <v>0.00000261702292177947</v>
      </c>
      <c r="AS14" s="16">
        <v>0.0005991519019298681</v>
      </c>
      <c r="AT14" s="16">
        <v>0.000001589633622133798</v>
      </c>
      <c r="AU14" s="16">
        <v>0.0000027533261989554836</v>
      </c>
      <c r="AV14" s="16">
        <v>0.00046544655054025705</v>
      </c>
      <c r="AW14" s="16">
        <v>0.000001668328355902798</v>
      </c>
      <c r="AX14" s="16">
        <v>0.0000028896294761314977</v>
      </c>
      <c r="AY14" s="16">
        <v>0.00019803584776103634</v>
      </c>
      <c r="AZ14" s="16">
        <v>0.0000018257178234407975</v>
      </c>
      <c r="BA14" s="16">
        <v>0.0000031622360304835254</v>
      </c>
      <c r="BB14" s="16">
        <v>-0.00006937485501818481</v>
      </c>
      <c r="BC14" s="16">
        <v>0.0000019831072909787975</v>
      </c>
      <c r="BD14" s="16">
        <v>0.000003434842584835554</v>
      </c>
      <c r="BE14" s="16">
        <v>-0.00033678555779740596</v>
      </c>
      <c r="BF14" s="16">
        <v>0.0000021404967585167972</v>
      </c>
      <c r="BG14" s="16">
        <v>0.0000037074491391875817</v>
      </c>
      <c r="BH14" s="16">
        <v>-0.0006041962605766267</v>
      </c>
      <c r="BI14" s="16">
        <v>0.000002297886226054797</v>
      </c>
      <c r="BJ14" s="16">
        <v>0.0000039800556935396095</v>
      </c>
      <c r="BK14" s="16">
        <v>-0.001139017666135069</v>
      </c>
      <c r="BL14" s="16">
        <v>0.0000026126651611307964</v>
      </c>
      <c r="BM14" s="16">
        <v>0.000004525268802243666</v>
      </c>
      <c r="BN14" s="16">
        <v>-0.0016738390716935104</v>
      </c>
      <c r="BO14" s="16">
        <v>0.0000029274440962067963</v>
      </c>
      <c r="BP14" s="16">
        <v>0.000005070481910947722</v>
      </c>
      <c r="BQ14" s="16">
        <v>-0.002743481882810395</v>
      </c>
      <c r="BR14" s="16">
        <v>0.0000035570019663587957</v>
      </c>
      <c r="BS14" s="16">
        <v>0.000006160908128355835</v>
      </c>
      <c r="BT14" s="16">
        <v>-0.0038131246939272787</v>
      </c>
      <c r="BU14" s="16">
        <v>0.000004186559836510794</v>
      </c>
      <c r="BV14" s="16">
        <v>0.000007251334345763946</v>
      </c>
      <c r="BW14" s="16">
        <v>-0.00648723172171949</v>
      </c>
      <c r="BX14" s="16">
        <v>0.000005760454511890793</v>
      </c>
      <c r="BY14" s="16">
        <v>0.000009977399889284227</v>
      </c>
      <c r="BZ14" s="16">
        <v>-0.0091613387495117</v>
      </c>
      <c r="CA14" s="16">
        <v>0.000007334349187270791</v>
      </c>
      <c r="CB14" s="16">
        <v>0.000012703465432804509</v>
      </c>
      <c r="CC14" s="16">
        <v>-0.01985776686068054</v>
      </c>
      <c r="CD14" s="16">
        <v>0.000013629927888790782</v>
      </c>
      <c r="CE14" s="16">
        <v>0.00002360772760688563</v>
      </c>
      <c r="CF14" s="16">
        <v>-0.05</v>
      </c>
      <c r="CG14" s="16">
        <v>0</v>
      </c>
      <c r="CH14" s="16">
        <v>0</v>
      </c>
      <c r="CI14" s="45">
        <v>33981.43387592912</v>
      </c>
      <c r="CJ14" s="45">
        <v>33981.43387592912</v>
      </c>
      <c r="CK14" s="45">
        <v>33858.008926913506</v>
      </c>
      <c r="CL14" s="45">
        <v>32881.28527068503</v>
      </c>
      <c r="CM14" s="45">
        <v>30862.420778163585</v>
      </c>
      <c r="CN14" s="45">
        <v>29545.977401892065</v>
      </c>
      <c r="CO14" s="45">
        <v>27609.648492070977</v>
      </c>
      <c r="CP14" s="45">
        <v>25940.546929557837</v>
      </c>
      <c r="CQ14" s="45">
        <v>22365.056293892365</v>
      </c>
      <c r="CR14" s="45">
        <v>20781.35896864792</v>
      </c>
      <c r="CS14" s="45">
        <v>19282.099301619695</v>
      </c>
      <c r="CT14" s="45">
        <v>17834.011315777818</v>
      </c>
      <c r="CU14" s="45">
        <v>16419.912862858284</v>
      </c>
      <c r="CV14" s="45">
        <v>15049.593801230054</v>
      </c>
      <c r="CW14" s="45">
        <v>13726.14402666004</v>
      </c>
      <c r="CX14" s="45">
        <v>11427.235734381187</v>
      </c>
      <c r="CY14" s="45">
        <v>9630.539386630138</v>
      </c>
      <c r="CZ14" s="45">
        <v>8260.278473405078</v>
      </c>
      <c r="DA14" s="45">
        <v>7167.348146760594</v>
      </c>
      <c r="DB14" s="45">
        <v>5508.747972884244</v>
      </c>
      <c r="DC14" s="45">
        <v>4245.448163779906</v>
      </c>
      <c r="DD14" s="45">
        <v>2368.9259532496335</v>
      </c>
      <c r="DE14" s="45">
        <v>1058.986334659224</v>
      </c>
      <c r="DF14" s="45">
        <v>-1196.8281060371623</v>
      </c>
      <c r="DG14" s="45">
        <v>-2637.701608428711</v>
      </c>
      <c r="DH14" s="45">
        <v>-4794.143648381746</v>
      </c>
      <c r="DI14" s="45">
        <v>-5790.583579096708</v>
      </c>
      <c r="DJ14" s="45">
        <v>6.55418261885643e-13</v>
      </c>
      <c r="DK14" s="45">
        <v>6.55418261885643e-13</v>
      </c>
      <c r="DL14" s="45">
        <v>35.78973637903496</v>
      </c>
      <c r="DM14" s="45">
        <v>269.47170084239775</v>
      </c>
      <c r="DN14" s="45">
        <v>712.7729967400338</v>
      </c>
      <c r="DO14" s="45">
        <v>981.7415451907975</v>
      </c>
      <c r="DP14" s="45">
        <v>1356.4043955543561</v>
      </c>
      <c r="DQ14" s="45">
        <v>1654.9809739342713</v>
      </c>
      <c r="DR14" s="45">
        <v>2065.6607176110756</v>
      </c>
      <c r="DS14" s="45">
        <v>2183.3081142494766</v>
      </c>
      <c r="DT14" s="45">
        <v>2293.7415307423275</v>
      </c>
      <c r="DU14" s="45">
        <v>2396.773797924037</v>
      </c>
      <c r="DV14" s="45">
        <v>2487.291764485568</v>
      </c>
      <c r="DW14" s="45">
        <v>2560.629386289851</v>
      </c>
      <c r="DX14" s="45">
        <v>2613.1907890263437</v>
      </c>
      <c r="DY14" s="45">
        <v>2638.0852053712997</v>
      </c>
      <c r="DZ14" s="45">
        <v>2568.336069400564</v>
      </c>
      <c r="EA14" s="45">
        <v>2490.6715883932734</v>
      </c>
      <c r="EB14" s="45">
        <v>2425.327025164202</v>
      </c>
      <c r="EC14" s="45">
        <v>2293.6033831874665</v>
      </c>
      <c r="ED14" s="45">
        <v>2174.928578914172</v>
      </c>
      <c r="EE14" s="45">
        <v>1970.1160644894323</v>
      </c>
      <c r="EF14" s="45">
        <v>1771.8188658267422</v>
      </c>
      <c r="EG14" s="45">
        <v>1356.7755011088157</v>
      </c>
      <c r="EH14" s="45">
        <v>1030.1210905064202</v>
      </c>
      <c r="EI14" s="45">
        <v>370.7077571339184</v>
      </c>
      <c r="EJ14" s="45">
        <v>0</v>
      </c>
      <c r="EK14" s="45">
        <v>-5.220063030719757e-12</v>
      </c>
      <c r="EL14" s="45">
        <v>-5.220063030719757e-12</v>
      </c>
      <c r="EM14" s="45">
        <v>76.68525933694781</v>
      </c>
      <c r="EN14" s="45">
        <v>617.9471514372192</v>
      </c>
      <c r="EO14" s="45">
        <v>1613.8491636516997</v>
      </c>
      <c r="EP14" s="45">
        <v>2216.7307548428057</v>
      </c>
      <c r="EQ14" s="45">
        <v>3062.6441574832743</v>
      </c>
      <c r="ER14" s="45">
        <v>3756.767842390123</v>
      </c>
      <c r="ES14" s="45">
        <v>4955.668609924965</v>
      </c>
      <c r="ET14" s="45">
        <v>5339.286265361528</v>
      </c>
      <c r="EU14" s="45">
        <v>5622.895415514314</v>
      </c>
      <c r="EV14" s="45">
        <v>5840.732374923039</v>
      </c>
      <c r="EW14" s="45">
        <v>6015.640819147438</v>
      </c>
      <c r="EX14" s="45">
        <v>6156.303451561607</v>
      </c>
      <c r="EY14" s="45">
        <v>6261.0453900840885</v>
      </c>
      <c r="EZ14" s="45">
        <v>6339.790254261059</v>
      </c>
      <c r="FA14" s="45">
        <v>6292.813226473766</v>
      </c>
      <c r="FB14" s="45">
        <v>6161.870024451688</v>
      </c>
      <c r="FC14" s="45">
        <v>5982.638792869891</v>
      </c>
      <c r="FD14" s="45">
        <v>5625.969198198719</v>
      </c>
      <c r="FE14" s="45">
        <v>5274.7791402349985</v>
      </c>
      <c r="FF14" s="45">
        <v>4562.167788043867</v>
      </c>
      <c r="FG14" s="45">
        <v>3949.8309751312704</v>
      </c>
      <c r="FH14" s="45">
        <v>2781.508261019259</v>
      </c>
      <c r="FI14" s="45">
        <v>1966.7823008591577</v>
      </c>
      <c r="FJ14" s="45">
        <v>668.639815825191</v>
      </c>
      <c r="FK14" s="45">
        <v>5.960464477539062e-14</v>
      </c>
      <c r="FL14" s="46">
        <f>MAX(1,MIN(26,SUMPRODUCT(--($CI14:$DI14&gt;=Pu))))</f>
      </c>
      <c r="FM14" s="47">
        <f>(Pu-INDEX($CI14:$DI14,1,$FL14))/(INDEX($CI14:$DI14,1,$FL14+1)-INDEX($CI14:$DI14,1,$FL14))</f>
      </c>
      <c r="FN14" s="39">
        <f>INDEX($DJ14:$EJ14,1,$FL14)+$FM14*(INDEX($DJ14:$EJ14,1,$FL14+1)-INDEX($DJ14:$EJ14,1,$FL14))</f>
      </c>
      <c r="FO14" s="39">
        <f>INDEX($EK14:$FK14,1,$FL14)+$FM14*(INDEX($EK14:$FK14,1,$FL14+1)-INDEX($EK14:$FK14,1,$FL14))</f>
      </c>
      <c r="FP14" s="39">
        <f>SQRT(FN14^2+FO14^2)</f>
      </c>
      <c r="FQ14" s="20">
        <f>FN15-FN14</f>
      </c>
      <c r="FR14" s="20">
        <f>FO15-FO14</f>
      </c>
      <c r="FS14" s="20">
        <f>FQ14*SIN(RADIANS(theta_L))-FR14*COS(RADIANS(theta_L))</f>
      </c>
      <c r="FT14" s="47">
        <f>IF(FS14=0,"",-(FN14*SIN(RADIANS(theta_L))-FO14*COS(RADIANS(theta_L)))/FS14)</f>
      </c>
      <c r="FU14" s="20">
        <f>IF(FT14="","",(FN14+FT14*FQ14)*COS(RADIANS(theta_L))+(FO14+FT14*FR14)*SIN(RADIANS(theta_L)))</f>
      </c>
      <c r="FV14" s="20">
        <f>IF(OR(FT14="",FT14&lt;0,FT14&gt;1,FU14&lt;0),"",FU14)</f>
      </c>
    </row>
    <row r="15" spans="1:178" x14ac:dyDescent="0.25">
      <c r="A15">
        <v>8</v>
      </c>
      <c r="B15" s="44">
        <v>70</v>
      </c>
      <c r="C15" s="18">
        <v>841.5775229196987</v>
      </c>
      <c r="D15" s="18">
        <v>-741.5970251321183</v>
      </c>
      <c r="E15" s="18">
        <v>1583.174548051817</v>
      </c>
      <c r="F15" s="16">
        <v>0.0033</v>
      </c>
      <c r="G15" s="16">
        <v>0</v>
      </c>
      <c r="H15" s="16">
        <v>0</v>
      </c>
      <c r="I15" s="16">
        <v>0.00275</v>
      </c>
      <c r="J15" s="16">
        <v>2.2352198544526355e-7</v>
      </c>
      <c r="K15" s="16">
        <v>6.141216077625262e-7</v>
      </c>
      <c r="L15" s="16">
        <v>0.0024749999999999998</v>
      </c>
      <c r="M15" s="16">
        <v>3.352829781678953e-7</v>
      </c>
      <c r="N15" s="16">
        <v>9.211824116437892e-7</v>
      </c>
      <c r="O15" s="16">
        <v>0.0021999999999999997</v>
      </c>
      <c r="P15" s="16">
        <v>4.470439708905271e-7</v>
      </c>
      <c r="Q15" s="16">
        <v>0.0000012282432155250523</v>
      </c>
      <c r="R15" s="16">
        <v>0.001925</v>
      </c>
      <c r="S15" s="16">
        <v>5.58804963613159e-7</v>
      </c>
      <c r="T15" s="16">
        <v>0.0000015353040194063154</v>
      </c>
      <c r="U15" s="16">
        <v>0.0018000000000000002</v>
      </c>
      <c r="V15" s="16">
        <v>6.096054148507187e-7</v>
      </c>
      <c r="W15" s="16">
        <v>0.0000016748771120796167</v>
      </c>
      <c r="X15" s="16">
        <v>0.00165</v>
      </c>
      <c r="Y15" s="16">
        <v>6.705659563357906e-7</v>
      </c>
      <c r="Z15" s="16">
        <v>0.0000018423648232875784</v>
      </c>
      <c r="AA15" s="16">
        <v>0.0015457993472340055</v>
      </c>
      <c r="AB15" s="16">
        <v>7.129134777738772e-7</v>
      </c>
      <c r="AC15" s="16">
        <v>0.0000019587136822085915</v>
      </c>
      <c r="AD15" s="16">
        <v>0.0012800113695421883</v>
      </c>
      <c r="AE15" s="16">
        <v>8.209306713759797e-7</v>
      </c>
      <c r="AF15" s="16">
        <v>0.0000022554884825432266</v>
      </c>
      <c r="AG15" s="16">
        <v>0.0011471173806962796</v>
      </c>
      <c r="AH15" s="16">
        <v>8.749392681770311e-7</v>
      </c>
      <c r="AI15" s="16">
        <v>0.000002403875882710544</v>
      </c>
      <c r="AJ15" s="16">
        <v>0.0010142233918503706</v>
      </c>
      <c r="AK15" s="16">
        <v>9.289478649780824e-7</v>
      </c>
      <c r="AL15" s="16">
        <v>0.000002552263282877862</v>
      </c>
      <c r="AM15" s="16">
        <v>0.000881329403004462</v>
      </c>
      <c r="AN15" s="16">
        <v>9.829564617791338e-7</v>
      </c>
      <c r="AO15" s="16">
        <v>0.0000027006506830451796</v>
      </c>
      <c r="AP15" s="16">
        <v>0.0007484354141585529</v>
      </c>
      <c r="AQ15" s="16">
        <v>0.000001036965058580185</v>
      </c>
      <c r="AR15" s="16">
        <v>0.000002849038083212497</v>
      </c>
      <c r="AS15" s="16">
        <v>0.0006155414253126452</v>
      </c>
      <c r="AT15" s="16">
        <v>0.0000010909736553812362</v>
      </c>
      <c r="AU15" s="16">
        <v>0.0000029974254833798143</v>
      </c>
      <c r="AV15" s="16">
        <v>0.00048264743646673613</v>
      </c>
      <c r="AW15" s="16">
        <v>0.0000011449822521822875</v>
      </c>
      <c r="AX15" s="16">
        <v>0.000003145812883547132</v>
      </c>
      <c r="AY15" s="16">
        <v>0.0002168594587749189</v>
      </c>
      <c r="AZ15" s="16">
        <v>0.00000125299944578439</v>
      </c>
      <c r="BA15" s="16">
        <v>0.000003442587683881767</v>
      </c>
      <c r="BB15" s="16">
        <v>-0.00004892851891689833</v>
      </c>
      <c r="BC15" s="16">
        <v>0.0000013610166393864927</v>
      </c>
      <c r="BD15" s="16">
        <v>0.000003739362484216402</v>
      </c>
      <c r="BE15" s="16">
        <v>-0.000314716496608716</v>
      </c>
      <c r="BF15" s="16">
        <v>0.0000014690338329885954</v>
      </c>
      <c r="BG15" s="16">
        <v>0.000004036137284551038</v>
      </c>
      <c r="BH15" s="16">
        <v>-0.0005805044743005328</v>
      </c>
      <c r="BI15" s="16">
        <v>0.0000015770510265906978</v>
      </c>
      <c r="BJ15" s="16">
        <v>0.000004332912084885672</v>
      </c>
      <c r="BK15" s="16">
        <v>-0.0011120804296841681</v>
      </c>
      <c r="BL15" s="16">
        <v>0.0000017930854137949033</v>
      </c>
      <c r="BM15" s="16">
        <v>0.000004926461685554943</v>
      </c>
      <c r="BN15" s="16">
        <v>-0.0016436563850678017</v>
      </c>
      <c r="BO15" s="16">
        <v>0.000002009119800999108</v>
      </c>
      <c r="BP15" s="16">
        <v>0.000005520011286224212</v>
      </c>
      <c r="BQ15" s="16">
        <v>-0.0027068082958350724</v>
      </c>
      <c r="BR15" s="16">
        <v>0.0000024411885754075188</v>
      </c>
      <c r="BS15" s="16">
        <v>0.000006707110487562754</v>
      </c>
      <c r="BT15" s="16">
        <v>-0.0037699602066023413</v>
      </c>
      <c r="BU15" s="16">
        <v>0.0000028732573498159293</v>
      </c>
      <c r="BV15" s="16">
        <v>0.000007894209688901294</v>
      </c>
      <c r="BW15" s="16">
        <v>-0.006427839983520515</v>
      </c>
      <c r="BX15" s="16">
        <v>0.000003953429285836955</v>
      </c>
      <c r="BY15" s="16">
        <v>0.000010861957692247645</v>
      </c>
      <c r="BZ15" s="16">
        <v>-0.009085719760438687</v>
      </c>
      <c r="CA15" s="16">
        <v>0.000005033601221857981</v>
      </c>
      <c r="CB15" s="16">
        <v>0.000013829705695593996</v>
      </c>
      <c r="CC15" s="16">
        <v>-0.01971723886811138</v>
      </c>
      <c r="CD15" s="16">
        <v>0.000009354288965942085</v>
      </c>
      <c r="CE15" s="16">
        <v>0.0000257006977089794</v>
      </c>
      <c r="CF15" s="16">
        <v>-0.05</v>
      </c>
      <c r="CG15" s="16">
        <v>0</v>
      </c>
      <c r="CH15" s="16">
        <v>0</v>
      </c>
      <c r="CI15" s="45">
        <v>33981.43387592912</v>
      </c>
      <c r="CJ15" s="45">
        <v>33981.43387592912</v>
      </c>
      <c r="CK15" s="45">
        <v>33836.34804643079</v>
      </c>
      <c r="CL15" s="45">
        <v>32825.41073445812</v>
      </c>
      <c r="CM15" s="45">
        <v>30736.23781218096</v>
      </c>
      <c r="CN15" s="45">
        <v>29379.98691898861</v>
      </c>
      <c r="CO15" s="45">
        <v>27414.14035528285</v>
      </c>
      <c r="CP15" s="45">
        <v>25849.92906629291</v>
      </c>
      <c r="CQ15" s="45">
        <v>22255.619125350004</v>
      </c>
      <c r="CR15" s="45">
        <v>20764.4016754925</v>
      </c>
      <c r="CS15" s="45">
        <v>19344.177995447084</v>
      </c>
      <c r="CT15" s="45">
        <v>17934.406157313293</v>
      </c>
      <c r="CU15" s="45">
        <v>16541.518850913104</v>
      </c>
      <c r="CV15" s="45">
        <v>15174.686948705463</v>
      </c>
      <c r="CW15" s="45">
        <v>13848.349619090231</v>
      </c>
      <c r="CX15" s="45">
        <v>11528.004317238358</v>
      </c>
      <c r="CY15" s="45">
        <v>9770.70396721421</v>
      </c>
      <c r="CZ15" s="45">
        <v>8448.539549933796</v>
      </c>
      <c r="DA15" s="45">
        <v>7424.225954141329</v>
      </c>
      <c r="DB15" s="45">
        <v>5858.7897272436885</v>
      </c>
      <c r="DC15" s="45">
        <v>4737.414659634635</v>
      </c>
      <c r="DD15" s="45">
        <v>3042.1507553788774</v>
      </c>
      <c r="DE15" s="45">
        <v>1690.3730062034726</v>
      </c>
      <c r="DF15" s="45">
        <v>-654.457682446253</v>
      </c>
      <c r="DG15" s="45">
        <v>-2196.6426200522883</v>
      </c>
      <c r="DH15" s="45">
        <v>-4678.162413345976</v>
      </c>
      <c r="DI15" s="45">
        <v>-5790.583579096708</v>
      </c>
      <c r="DJ15" s="45">
        <v>6.55418261885643e-13</v>
      </c>
      <c r="DK15" s="45">
        <v>6.55418261885643e-13</v>
      </c>
      <c r="DL15" s="45">
        <v>27.19737474406521</v>
      </c>
      <c r="DM15" s="45">
        <v>198.56493352020783</v>
      </c>
      <c r="DN15" s="45">
        <v>507.06669233175256</v>
      </c>
      <c r="DO15" s="45">
        <v>693.2985261889228</v>
      </c>
      <c r="DP15" s="45">
        <v>953.4930739231036</v>
      </c>
      <c r="DQ15" s="45">
        <v>1138.5017574635615</v>
      </c>
      <c r="DR15" s="45">
        <v>1371.395385952342</v>
      </c>
      <c r="DS15" s="45">
        <v>1436.7963594803432</v>
      </c>
      <c r="DT15" s="45">
        <v>1504.75807543784</v>
      </c>
      <c r="DU15" s="45">
        <v>1570.4274796556629</v>
      </c>
      <c r="DV15" s="45">
        <v>1632.5943124053829</v>
      </c>
      <c r="DW15" s="45">
        <v>1686.8836695574437</v>
      </c>
      <c r="DX15" s="45">
        <v>1726.4785090368864</v>
      </c>
      <c r="DY15" s="45">
        <v>1733.5288739597515</v>
      </c>
      <c r="DZ15" s="45">
        <v>1701.4292899679006</v>
      </c>
      <c r="EA15" s="45">
        <v>1659.41768165265</v>
      </c>
      <c r="EB15" s="45">
        <v>1603.7739535741578</v>
      </c>
      <c r="EC15" s="45">
        <v>1516.9745826044277</v>
      </c>
      <c r="ED15" s="45">
        <v>1467.9492960438572</v>
      </c>
      <c r="EE15" s="45">
        <v>1402.6339641960978</v>
      </c>
      <c r="EF15" s="45">
        <v>1328.8119834969286</v>
      </c>
      <c r="EG15" s="45">
        <v>1065.030333228197</v>
      </c>
      <c r="EH15" s="45">
        <v>843.8934420595334</v>
      </c>
      <c r="EI15" s="45">
        <v>345.9890205099358</v>
      </c>
      <c r="EJ15" s="45">
        <v>0</v>
      </c>
      <c r="EK15" s="45">
        <v>-5.220063030719757e-12</v>
      </c>
      <c r="EL15" s="45">
        <v>-5.220063030719757e-12</v>
      </c>
      <c r="EM15" s="45">
        <v>94.3381126276373</v>
      </c>
      <c r="EN15" s="45">
        <v>686.5205954627518</v>
      </c>
      <c r="EO15" s="45">
        <v>1782.7733200694877</v>
      </c>
      <c r="EP15" s="45">
        <v>2445.2371199646673</v>
      </c>
      <c r="EQ15" s="45">
        <v>3374.8920141652175</v>
      </c>
      <c r="ER15" s="45">
        <v>4072.0022276578943</v>
      </c>
      <c r="ES15" s="45">
        <v>5365.227351448006</v>
      </c>
      <c r="ET15" s="45">
        <v>5730.395634446339</v>
      </c>
      <c r="EU15" s="45">
        <v>6005.804850623931</v>
      </c>
      <c r="EV15" s="45">
        <v>6227.485252652085</v>
      </c>
      <c r="EW15" s="45">
        <v>6408.5008469370705</v>
      </c>
      <c r="EX15" s="45">
        <v>6558.168904543588</v>
      </c>
      <c r="EY15" s="45">
        <v>6683.305584915304</v>
      </c>
      <c r="EZ15" s="45">
        <v>6791.531256765541</v>
      </c>
      <c r="FA15" s="45">
        <v>6731.608852784827</v>
      </c>
      <c r="FB15" s="45">
        <v>6610.312079585384</v>
      </c>
      <c r="FC15" s="45">
        <v>6467.808582064206</v>
      </c>
      <c r="FD15" s="45">
        <v>6165.601153452135</v>
      </c>
      <c r="FE15" s="45">
        <v>5830.997539309641</v>
      </c>
      <c r="FF15" s="45">
        <v>5179.519497675735</v>
      </c>
      <c r="FG15" s="45">
        <v>4552.8161984944</v>
      </c>
      <c r="FH15" s="45">
        <v>3271.1702599225646</v>
      </c>
      <c r="FI15" s="45">
        <v>2341.561199356002</v>
      </c>
      <c r="FJ15" s="45">
        <v>764.1509477946122</v>
      </c>
      <c r="FK15" s="45">
        <v>5.960464477539062e-14</v>
      </c>
      <c r="FL15" s="46">
        <f>MAX(1,MIN(26,SUMPRODUCT(--($CI15:$DI15&gt;=Pu))))</f>
      </c>
      <c r="FM15" s="47">
        <f>(Pu-INDEX($CI15:$DI15,1,$FL15))/(INDEX($CI15:$DI15,1,$FL15+1)-INDEX($CI15:$DI15,1,$FL15))</f>
      </c>
      <c r="FN15" s="39">
        <f>INDEX($DJ15:$EJ15,1,$FL15)+$FM15*(INDEX($DJ15:$EJ15,1,$FL15+1)-INDEX($DJ15:$EJ15,1,$FL15))</f>
      </c>
      <c r="FO15" s="39">
        <f>INDEX($EK15:$FK15,1,$FL15)+$FM15*(INDEX($EK15:$FK15,1,$FL15+1)-INDEX($EK15:$FK15,1,$FL15))</f>
      </c>
      <c r="FP15" s="39">
        <f>SQRT(FN15^2+FO15^2)</f>
      </c>
      <c r="FQ15" s="20">
        <f>FN16-FN15</f>
      </c>
      <c r="FR15" s="20">
        <f>FO16-FO15</f>
      </c>
      <c r="FS15" s="20">
        <f>FQ15*SIN(RADIANS(theta_L))-FR15*COS(RADIANS(theta_L))</f>
      </c>
      <c r="FT15" s="47">
        <f>IF(FS15=0,"",-(FN15*SIN(RADIANS(theta_L))-FO15*COS(RADIANS(theta_L)))/FS15)</f>
      </c>
      <c r="FU15" s="20">
        <f>IF(FT15="","",(FN15+FT15*FQ15)*COS(RADIANS(theta_L))+(FO15+FT15*FR15)*SIN(RADIANS(theta_L)))</f>
      </c>
      <c r="FV15" s="20">
        <f>IF(OR(FT15="",FT15&lt;0,FT15&gt;1,FU15&lt;0),"",FU15)</f>
      </c>
    </row>
    <row r="16" spans="1:178" x14ac:dyDescent="0.25">
      <c r="A16">
        <v>9</v>
      </c>
      <c r="B16" s="44">
        <v>80</v>
      </c>
      <c r="C16" s="18">
        <v>808.0650858259282</v>
      </c>
      <c r="D16" s="18">
        <v>-721.7637253483806</v>
      </c>
      <c r="E16" s="18">
        <v>1529.8288111743088</v>
      </c>
      <c r="F16" s="16">
        <v>0.0033</v>
      </c>
      <c r="G16" s="16">
        <v>0</v>
      </c>
      <c r="H16" s="16">
        <v>0</v>
      </c>
      <c r="I16" s="16">
        <v>0.00275</v>
      </c>
      <c r="J16" s="16">
        <v>1.1819159049446365e-7</v>
      </c>
      <c r="K16" s="16">
        <v>6.702978184029527e-7</v>
      </c>
      <c r="L16" s="16">
        <v>0.0024749999999999998</v>
      </c>
      <c r="M16" s="16">
        <v>1.772873857416955e-7</v>
      </c>
      <c r="N16" s="16">
        <v>0.000001005446727604429</v>
      </c>
      <c r="O16" s="16">
        <v>0.0021999999999999997</v>
      </c>
      <c r="P16" s="16">
        <v>2.363831809889273e-7</v>
      </c>
      <c r="Q16" s="16">
        <v>0.0000013405956368059054</v>
      </c>
      <c r="R16" s="16">
        <v>0.001925</v>
      </c>
      <c r="S16" s="16">
        <v>2.954789762361591e-7</v>
      </c>
      <c r="T16" s="16">
        <v>0.0000016757445460073818</v>
      </c>
      <c r="U16" s="16">
        <v>0.0018</v>
      </c>
      <c r="V16" s="16">
        <v>3.223407013485372e-7</v>
      </c>
      <c r="W16" s="16">
        <v>0.0000018280849592807799</v>
      </c>
      <c r="X16" s="16">
        <v>0.0016499999999999998</v>
      </c>
      <c r="Y16" s="16">
        <v>3.54574771483391e-7</v>
      </c>
      <c r="Z16" s="16">
        <v>0.000002010893455208858</v>
      </c>
      <c r="AA16" s="16">
        <v>0.001556919490764036</v>
      </c>
      <c r="AB16" s="16">
        <v>3.74577195902724e-7</v>
      </c>
      <c r="AC16" s="16">
        <v>0.000002124332841166499</v>
      </c>
      <c r="AD16" s="16">
        <v>0.0012928163833040417</v>
      </c>
      <c r="AE16" s="16">
        <v>4.313313164940458e-7</v>
      </c>
      <c r="AF16" s="16">
        <v>0.0000024462014534644528</v>
      </c>
      <c r="AG16" s="16">
        <v>0.0011607648295740448</v>
      </c>
      <c r="AH16" s="16">
        <v>4.597083767897067e-7</v>
      </c>
      <c r="AI16" s="16">
        <v>0.00000260713575961343</v>
      </c>
      <c r="AJ16" s="16">
        <v>0.0010287132758440474</v>
      </c>
      <c r="AK16" s="16">
        <v>4.880854370853675e-7</v>
      </c>
      <c r="AL16" s="16">
        <v>0.000002768070065762407</v>
      </c>
      <c r="AM16" s="16">
        <v>0.00089666172211405</v>
      </c>
      <c r="AN16" s="16">
        <v>5.164624973810285e-7</v>
      </c>
      <c r="AO16" s="16">
        <v>0.0000029290043719113847</v>
      </c>
      <c r="AP16" s="16">
        <v>0.0007646101683840526</v>
      </c>
      <c r="AQ16" s="16">
        <v>5.448395576766894e-7</v>
      </c>
      <c r="AR16" s="16">
        <v>0.000003089938678060362</v>
      </c>
      <c r="AS16" s="16">
        <v>0.0006325586146540556</v>
      </c>
      <c r="AT16" s="16">
        <v>5.732166179723503e-7</v>
      </c>
      <c r="AU16" s="16">
        <v>0.000003250872984209339</v>
      </c>
      <c r="AV16" s="16">
        <v>0.0005005070609240582</v>
      </c>
      <c r="AW16" s="16">
        <v>6.015936782680112e-7</v>
      </c>
      <c r="AX16" s="16">
        <v>0.000003411807290358316</v>
      </c>
      <c r="AY16" s="16">
        <v>0.00023640395346406383</v>
      </c>
      <c r="AZ16" s="16">
        <v>6.58347798859333e-7</v>
      </c>
      <c r="BA16" s="16">
        <v>0.00000373367590265627</v>
      </c>
      <c r="BB16" s="16">
        <v>-0.000027699153995930977</v>
      </c>
      <c r="BC16" s="16">
        <v>7.151019194506548e-7</v>
      </c>
      <c r="BD16" s="16">
        <v>0.000004055544514954225</v>
      </c>
      <c r="BE16" s="16">
        <v>-0.00029180226145592535</v>
      </c>
      <c r="BF16" s="16">
        <v>7.718560400419766e-7</v>
      </c>
      <c r="BG16" s="16">
        <v>0.000004377413127252179</v>
      </c>
      <c r="BH16" s="16">
        <v>-0.0005559053689159197</v>
      </c>
      <c r="BI16" s="16">
        <v>8.286101606332984e-7</v>
      </c>
      <c r="BJ16" s="16">
        <v>0.0000046992817395501335</v>
      </c>
      <c r="BK16" s="16">
        <v>-0.0010841115838359089</v>
      </c>
      <c r="BL16" s="16">
        <v>9.421184018159422e-7</v>
      </c>
      <c r="BM16" s="16">
        <v>0.000005343018964146042</v>
      </c>
      <c r="BN16" s="16">
        <v>-0.0016123177987558968</v>
      </c>
      <c r="BO16" s="16">
        <v>0.0000010556266429985855</v>
      </c>
      <c r="BP16" s="16">
        <v>0.00000598675618874195</v>
      </c>
      <c r="BQ16" s="16">
        <v>-0.002668730228595876</v>
      </c>
      <c r="BR16" s="16">
        <v>0.000001282643125363873</v>
      </c>
      <c r="BS16" s="16">
        <v>0.000007274230637933769</v>
      </c>
      <c r="BT16" s="16">
        <v>-0.0037251426584358534</v>
      </c>
      <c r="BU16" s="16">
        <v>0.00000150965960772916</v>
      </c>
      <c r="BV16" s="16">
        <v>0.000008561705087125585</v>
      </c>
      <c r="BW16" s="16">
        <v>-0.006366173733035799</v>
      </c>
      <c r="BX16" s="16">
        <v>0.0000020772008136423784</v>
      </c>
      <c r="BY16" s="16">
        <v>0.000011780391210105129</v>
      </c>
      <c r="BZ16" s="16">
        <v>-0.009007204807635744</v>
      </c>
      <c r="CA16" s="16">
        <v>0.0000026447420195555964</v>
      </c>
      <c r="CB16" s="16">
        <v>0.000014999077333084674</v>
      </c>
      <c r="CC16" s="16">
        <v>-0.019571329106035523</v>
      </c>
      <c r="CD16" s="16">
        <v>0.000004914906843208469</v>
      </c>
      <c r="CE16" s="16">
        <v>0.000027873821825002845</v>
      </c>
      <c r="CF16" s="16">
        <v>-0.05</v>
      </c>
      <c r="CG16" s="16">
        <v>0</v>
      </c>
      <c r="CH16" s="16">
        <v>0</v>
      </c>
      <c r="CI16" s="45">
        <v>33981.43387592912</v>
      </c>
      <c r="CJ16" s="45">
        <v>33981.43387592912</v>
      </c>
      <c r="CK16" s="45">
        <v>33796.94841348857</v>
      </c>
      <c r="CL16" s="45">
        <v>32693.446059030623</v>
      </c>
      <c r="CM16" s="45">
        <v>30469.955567605244</v>
      </c>
      <c r="CN16" s="45">
        <v>29053.730742253072</v>
      </c>
      <c r="CO16" s="45">
        <v>26969.395504306864</v>
      </c>
      <c r="CP16" s="45">
        <v>25522.242089644693</v>
      </c>
      <c r="CQ16" s="45">
        <v>22092.105646373715</v>
      </c>
      <c r="CR16" s="45">
        <v>20700.003289395176</v>
      </c>
      <c r="CS16" s="45">
        <v>19337.524218794773</v>
      </c>
      <c r="CT16" s="45">
        <v>17985.686543835607</v>
      </c>
      <c r="CU16" s="45">
        <v>16631.63447954474</v>
      </c>
      <c r="CV16" s="45">
        <v>15281.373543731224</v>
      </c>
      <c r="CW16" s="45">
        <v>13950.68883106677</v>
      </c>
      <c r="CX16" s="45">
        <v>11713.21683141249</v>
      </c>
      <c r="CY16" s="45">
        <v>9986.02331276656</v>
      </c>
      <c r="CZ16" s="45">
        <v>8652.122643884262</v>
      </c>
      <c r="DA16" s="45">
        <v>7604.876355022803</v>
      </c>
      <c r="DB16" s="45">
        <v>6264.345644254712</v>
      </c>
      <c r="DC16" s="45">
        <v>5275.282130442076</v>
      </c>
      <c r="DD16" s="45">
        <v>3788.7509768730642</v>
      </c>
      <c r="DE16" s="45">
        <v>2713.39222663151</v>
      </c>
      <c r="DF16" s="45">
        <v>525.622545111389</v>
      </c>
      <c r="DG16" s="45">
        <v>-1078.9294487799518</v>
      </c>
      <c r="DH16" s="45">
        <v>-4093.977491613538</v>
      </c>
      <c r="DI16" s="45">
        <v>-5790.583579096708</v>
      </c>
      <c r="DJ16" s="45">
        <v>6.55418261885643e-13</v>
      </c>
      <c r="DK16" s="45">
        <v>6.55418261885643e-13</v>
      </c>
      <c r="DL16" s="45">
        <v>14.815260913190249</v>
      </c>
      <c r="DM16" s="45">
        <v>113.98118785823569</v>
      </c>
      <c r="DN16" s="45">
        <v>279.71030779939485</v>
      </c>
      <c r="DO16" s="45">
        <v>377.30157084538257</v>
      </c>
      <c r="DP16" s="45">
        <v>516.0379815146194</v>
      </c>
      <c r="DQ16" s="45">
        <v>599.5705512431122</v>
      </c>
      <c r="DR16" s="45">
        <v>682.8935642782459</v>
      </c>
      <c r="DS16" s="45">
        <v>707.0322320272536</v>
      </c>
      <c r="DT16" s="45">
        <v>741.5958160197497</v>
      </c>
      <c r="DU16" s="45">
        <v>778.9864484834147</v>
      </c>
      <c r="DV16" s="45">
        <v>815.6719088274408</v>
      </c>
      <c r="DW16" s="45">
        <v>848.2303232864851</v>
      </c>
      <c r="DX16" s="45">
        <v>871.5291100570875</v>
      </c>
      <c r="DY16" s="45">
        <v>869.9380839103744</v>
      </c>
      <c r="DZ16" s="45">
        <v>877.0497884445737</v>
      </c>
      <c r="EA16" s="45">
        <v>839.3456182851356</v>
      </c>
      <c r="EB16" s="45">
        <v>798.3817596328271</v>
      </c>
      <c r="EC16" s="45">
        <v>746.8695485537944</v>
      </c>
      <c r="ED16" s="45">
        <v>729.9893384063647</v>
      </c>
      <c r="EE16" s="45">
        <v>709.6023256468175</v>
      </c>
      <c r="EF16" s="45">
        <v>710.0980456062168</v>
      </c>
      <c r="EG16" s="45">
        <v>656.3827009082911</v>
      </c>
      <c r="EH16" s="45">
        <v>522.3619276176956</v>
      </c>
      <c r="EI16" s="45">
        <v>351.8306751035948</v>
      </c>
      <c r="EJ16" s="45">
        <v>0</v>
      </c>
      <c r="EK16" s="45">
        <v>-5.220063030719757e-12</v>
      </c>
      <c r="EL16" s="45">
        <v>-5.220063030719757e-12</v>
      </c>
      <c r="EM16" s="45">
        <v>123.87275928823291</v>
      </c>
      <c r="EN16" s="45">
        <v>787.0982084074326</v>
      </c>
      <c r="EO16" s="45">
        <v>1996.1560329055503</v>
      </c>
      <c r="EP16" s="45">
        <v>2723.9704070145253</v>
      </c>
      <c r="EQ16" s="45">
        <v>3738.705969147661</v>
      </c>
      <c r="ER16" s="45">
        <v>4416.604224134835</v>
      </c>
      <c r="ES16" s="45">
        <v>5680.071488093091</v>
      </c>
      <c r="ET16" s="45">
        <v>6009.517990539773</v>
      </c>
      <c r="EU16" s="45">
        <v>6269.347736131932</v>
      </c>
      <c r="EV16" s="45">
        <v>6485.9687392218975</v>
      </c>
      <c r="EW16" s="45">
        <v>6672.446168405426</v>
      </c>
      <c r="EX16" s="45">
        <v>6834.2579643767685</v>
      </c>
      <c r="EY16" s="45">
        <v>6974.520951136511</v>
      </c>
      <c r="EZ16" s="45">
        <v>7056.366636600159</v>
      </c>
      <c r="FA16" s="45">
        <v>6993.606911318537</v>
      </c>
      <c r="FB16" s="45">
        <v>6879.460196329958</v>
      </c>
      <c r="FC16" s="45">
        <v>6769.088563661113</v>
      </c>
      <c r="FD16" s="45">
        <v>6513.746159202857</v>
      </c>
      <c r="FE16" s="45">
        <v>6267.446298198744</v>
      </c>
      <c r="FF16" s="45">
        <v>5760.054180607279</v>
      </c>
      <c r="FG16" s="45">
        <v>5273.149844826889</v>
      </c>
      <c r="FH16" s="45">
        <v>4119.673953179303</v>
      </c>
      <c r="FI16" s="45">
        <v>3166.2552001148633</v>
      </c>
      <c r="FJ16" s="45">
        <v>1177.579169071515</v>
      </c>
      <c r="FK16" s="45">
        <v>5.960464477539062e-14</v>
      </c>
      <c r="FL16" s="46">
        <f>MAX(1,MIN(26,SUMPRODUCT(--($CI16:$DI16&gt;=Pu))))</f>
      </c>
      <c r="FM16" s="47">
        <f>(Pu-INDEX($CI16:$DI16,1,$FL16))/(INDEX($CI16:$DI16,1,$FL16+1)-INDEX($CI16:$DI16,1,$FL16))</f>
      </c>
      <c r="FN16" s="39">
        <f>INDEX($DJ16:$EJ16,1,$FL16)+$FM16*(INDEX($DJ16:$EJ16,1,$FL16+1)-INDEX($DJ16:$EJ16,1,$FL16))</f>
      </c>
      <c r="FO16" s="39">
        <f>INDEX($EK16:$FK16,1,$FL16)+$FM16*(INDEX($EK16:$FK16,1,$FL16+1)-INDEX($EK16:$FK16,1,$FL16))</f>
      </c>
      <c r="FP16" s="39">
        <f>SQRT(FN16^2+FO16^2)</f>
      </c>
      <c r="FQ16" s="20">
        <f>FN17-FN16</f>
      </c>
      <c r="FR16" s="20">
        <f>FO17-FO16</f>
      </c>
      <c r="FS16" s="20">
        <f>FQ16*SIN(RADIANS(theta_L))-FR16*COS(RADIANS(theta_L))</f>
      </c>
      <c r="FT16" s="47">
        <f>IF(FS16=0,"",-(FN16*SIN(RADIANS(theta_L))-FO16*COS(RADIANS(theta_L)))/FS16)</f>
      </c>
      <c r="FU16" s="20">
        <f>IF(FT16="","",(FN16+FT16*FQ16)*COS(RADIANS(theta_L))+(FO16+FT16*FR16)*SIN(RADIANS(theta_L)))</f>
      </c>
      <c r="FV16" s="20">
        <f>IF(OR(FT16="",FT16&lt;0,FT16&gt;1,FU16&lt;0),"",FU16)</f>
      </c>
    </row>
    <row r="17" spans="1:178" x14ac:dyDescent="0.25">
      <c r="A17">
        <v>10</v>
      </c>
      <c r="B17" s="44">
        <v>90</v>
      </c>
      <c r="C17" s="18">
        <v>750</v>
      </c>
      <c r="D17" s="18">
        <v>-680</v>
      </c>
      <c r="E17" s="18">
        <v>1430</v>
      </c>
      <c r="F17" s="16">
        <v>0.0033</v>
      </c>
      <c r="G17" s="16">
        <v>0</v>
      </c>
      <c r="H17" s="16">
        <v>0</v>
      </c>
      <c r="I17" s="16">
        <v>0.00275</v>
      </c>
      <c r="J17" s="16">
        <v>4.4903715968736284e-23</v>
      </c>
      <c r="K17" s="16">
        <v>7.333333333333333e-7</v>
      </c>
      <c r="L17" s="16">
        <v>0.0024749999999999998</v>
      </c>
      <c r="M17" s="16">
        <v>6.735557395310443e-23</v>
      </c>
      <c r="N17" s="16">
        <v>0.0000011</v>
      </c>
      <c r="O17" s="16">
        <v>0.0021999999999999997</v>
      </c>
      <c r="P17" s="16">
        <v>8.980743193747257e-23</v>
      </c>
      <c r="Q17" s="16">
        <v>0.0000014666666666666667</v>
      </c>
      <c r="R17" s="16">
        <v>0.001925</v>
      </c>
      <c r="S17" s="16">
        <v>1.122592899218407e-22</v>
      </c>
      <c r="T17" s="16">
        <v>0.0000018333333333333333</v>
      </c>
      <c r="U17" s="16">
        <v>0.0018</v>
      </c>
      <c r="V17" s="16">
        <v>1.2246467991473532e-22</v>
      </c>
      <c r="W17" s="16">
        <v>0.000002</v>
      </c>
      <c r="X17" s="16">
        <v>0.00165</v>
      </c>
      <c r="Y17" s="16">
        <v>1.3471114790620886e-22</v>
      </c>
      <c r="Z17" s="16">
        <v>0.0000022</v>
      </c>
      <c r="AA17" s="16">
        <v>0.0015692307692307692</v>
      </c>
      <c r="AB17" s="16">
        <v>1.4130539990161768e-22</v>
      </c>
      <c r="AC17" s="16">
        <v>0.0000023076923076923077</v>
      </c>
      <c r="AD17" s="16">
        <v>0.001306993006993007</v>
      </c>
      <c r="AE17" s="16">
        <v>1.6271530897762037e-22</v>
      </c>
      <c r="AF17" s="16">
        <v>0.0000026573426573426574</v>
      </c>
      <c r="AG17" s="16">
        <v>0.0011758741258741262</v>
      </c>
      <c r="AH17" s="16">
        <v>1.7342026351562169e-22</v>
      </c>
      <c r="AI17" s="16">
        <v>0.000002832167832167832</v>
      </c>
      <c r="AJ17" s="16">
        <v>0.0010447552447552448</v>
      </c>
      <c r="AK17" s="16">
        <v>1.8412521805362302e-22</v>
      </c>
      <c r="AL17" s="16">
        <v>0.000003006993006993007</v>
      </c>
      <c r="AM17" s="16">
        <v>0.0009136363636363634</v>
      </c>
      <c r="AN17" s="16">
        <v>1.9483017259162438e-22</v>
      </c>
      <c r="AO17" s="16">
        <v>0.000003181818181818182</v>
      </c>
      <c r="AP17" s="16">
        <v>0.0007825174825174821</v>
      </c>
      <c r="AQ17" s="16">
        <v>2.0553512712962574e-22</v>
      </c>
      <c r="AR17" s="16">
        <v>0.000003356643356643357</v>
      </c>
      <c r="AS17" s="16">
        <v>0.0006513986013986016</v>
      </c>
      <c r="AT17" s="16">
        <v>2.1624008166762705e-22</v>
      </c>
      <c r="AU17" s="16">
        <v>0.0000035314685314685315</v>
      </c>
      <c r="AV17" s="16">
        <v>0.0005202797202797202</v>
      </c>
      <c r="AW17" s="16">
        <v>2.269450362056284e-22</v>
      </c>
      <c r="AX17" s="16">
        <v>0.0000037062937062937064</v>
      </c>
      <c r="AY17" s="16">
        <v>0.00025804195804195835</v>
      </c>
      <c r="AZ17" s="16">
        <v>2.4835494528163104e-22</v>
      </c>
      <c r="BA17" s="16">
        <v>0.000004055944055944055</v>
      </c>
      <c r="BB17" s="16">
        <v>-0.000004195804195804374</v>
      </c>
      <c r="BC17" s="16">
        <v>2.6976485435763376e-22</v>
      </c>
      <c r="BD17" s="16">
        <v>0.000004405594405594406</v>
      </c>
      <c r="BE17" s="16">
        <v>-0.00026643356643356667</v>
      </c>
      <c r="BF17" s="16">
        <v>2.911747634336365e-22</v>
      </c>
      <c r="BG17" s="16">
        <v>0.000004755244755244756</v>
      </c>
      <c r="BH17" s="16">
        <v>-0.0005286713286713285</v>
      </c>
      <c r="BI17" s="16">
        <v>3.125846725096391e-22</v>
      </c>
      <c r="BJ17" s="16">
        <v>0.000005104895104895105</v>
      </c>
      <c r="BK17" s="16">
        <v>-0.001053146853146853</v>
      </c>
      <c r="BL17" s="16">
        <v>3.5540449066164445e-22</v>
      </c>
      <c r="BM17" s="16">
        <v>0.000005804195804195804</v>
      </c>
      <c r="BN17" s="16">
        <v>-0.0015776223776223768</v>
      </c>
      <c r="BO17" s="16">
        <v>3.982243088136498e-22</v>
      </c>
      <c r="BP17" s="16">
        <v>0.000006503496503496503</v>
      </c>
      <c r="BQ17" s="16">
        <v>-0.002626573426573427</v>
      </c>
      <c r="BR17" s="16">
        <v>4.838639451176606e-22</v>
      </c>
      <c r="BS17" s="16">
        <v>0.000007902097902097902</v>
      </c>
      <c r="BT17" s="16">
        <v>-0.0036755244755244743</v>
      </c>
      <c r="BU17" s="16">
        <v>5.695035814216712e-22</v>
      </c>
      <c r="BV17" s="16">
        <v>0.0000093006993006993</v>
      </c>
      <c r="BW17" s="16">
        <v>-0.006297902097902098</v>
      </c>
      <c r="BX17" s="16">
        <v>7.836026721816981e-22</v>
      </c>
      <c r="BY17" s="16">
        <v>0.000012797202797202797</v>
      </c>
      <c r="BZ17" s="16">
        <v>-0.008920279720279721</v>
      </c>
      <c r="CA17" s="16">
        <v>9.97701762941725e-22</v>
      </c>
      <c r="CB17" s="16">
        <v>0.000016293706293706295</v>
      </c>
      <c r="CC17" s="16">
        <v>-0.01940979020979021</v>
      </c>
      <c r="CD17" s="16">
        <v>1.854098125981832e-21</v>
      </c>
      <c r="CE17" s="16">
        <v>0.00003027972027972028</v>
      </c>
      <c r="CF17" s="16">
        <v>-0.05</v>
      </c>
      <c r="CG17" s="16">
        <v>0</v>
      </c>
      <c r="CH17" s="16">
        <v>0</v>
      </c>
      <c r="CI17" s="45">
        <v>33981.43387592912</v>
      </c>
      <c r="CJ17" s="45">
        <v>33981.43387592912</v>
      </c>
      <c r="CK17" s="45">
        <v>33730.918345783655</v>
      </c>
      <c r="CL17" s="45">
        <v>32465.04135606111</v>
      </c>
      <c r="CM17" s="45">
        <v>30022.0775888111</v>
      </c>
      <c r="CN17" s="45">
        <v>28470.429513529605</v>
      </c>
      <c r="CO17" s="45">
        <v>26243.4807491744</v>
      </c>
      <c r="CP17" s="45">
        <v>24996.6946488549</v>
      </c>
      <c r="CQ17" s="45">
        <v>21859.873675260937</v>
      </c>
      <c r="CR17" s="45">
        <v>20549.235181546614</v>
      </c>
      <c r="CS17" s="45">
        <v>19257.34528368032</v>
      </c>
      <c r="CT17" s="45">
        <v>17960.88684361845</v>
      </c>
      <c r="CU17" s="45">
        <v>16660.144228338402</v>
      </c>
      <c r="CV17" s="45">
        <v>15357.877064296614</v>
      </c>
      <c r="CW17" s="45">
        <v>14050.571202410852</v>
      </c>
      <c r="CX17" s="45">
        <v>11985.400841663712</v>
      </c>
      <c r="CY17" s="45">
        <v>10315.097752359867</v>
      </c>
      <c r="CZ17" s="45">
        <v>8965.541535624372</v>
      </c>
      <c r="DA17" s="45">
        <v>7963.904131310896</v>
      </c>
      <c r="DB17" s="45">
        <v>6651.61059748359</v>
      </c>
      <c r="DC17" s="45">
        <v>5775.624602046034</v>
      </c>
      <c r="DD17" s="45">
        <v>4498.9668412284345</v>
      </c>
      <c r="DE17" s="45">
        <v>3530.3143006987975</v>
      </c>
      <c r="DF17" s="45">
        <v>1945.3988118058605</v>
      </c>
      <c r="DG17" s="45">
        <v>674.413710760259</v>
      </c>
      <c r="DH17" s="45">
        <v>-1858.5665227544646</v>
      </c>
      <c r="DI17" s="45">
        <v>-5790.583579096708</v>
      </c>
      <c r="DJ17" s="45">
        <v>6.55418261885643e-13</v>
      </c>
      <c r="DK17" s="45">
        <v>6.55418261885643e-13</v>
      </c>
      <c r="DL17" s="45">
        <v>0.00011222892552590929</v>
      </c>
      <c r="DM17" s="45">
        <v>-0.0001381042217577342</v>
      </c>
      <c r="DN17" s="45">
        <v>-0.00021578784555220044</v>
      </c>
      <c r="DO17" s="45">
        <v>0.00014039817786565983</v>
      </c>
      <c r="DP17" s="45">
        <v>0.0011537770876360591</v>
      </c>
      <c r="DQ17" s="45">
        <v>-0.009812315038196975</v>
      </c>
      <c r="DR17" s="45">
        <v>0.0012424812019781676</v>
      </c>
      <c r="DS17" s="45">
        <v>-0.00020636864029453136</v>
      </c>
      <c r="DT17" s="45">
        <v>0.05416357428831025</v>
      </c>
      <c r="DU17" s="45">
        <v>-0.0645688396626322</v>
      </c>
      <c r="DV17" s="45">
        <v>0.016425851074659964</v>
      </c>
      <c r="DW17" s="45">
        <v>-0.06923895250375406</v>
      </c>
      <c r="DX17" s="45">
        <v>-0.0007738427507265006</v>
      </c>
      <c r="DY17" s="45">
        <v>0.0028770378543992994</v>
      </c>
      <c r="DZ17" s="45">
        <v>0.2546113302428105</v>
      </c>
      <c r="EA17" s="45">
        <v>-0.19313882154022552</v>
      </c>
      <c r="EB17" s="45">
        <v>0.14031428690526984</v>
      </c>
      <c r="EC17" s="45">
        <v>0.24954921305241598</v>
      </c>
      <c r="ED17" s="45">
        <v>-0.2022892272097033</v>
      </c>
      <c r="EE17" s="45">
        <v>-0.11688335950552696</v>
      </c>
      <c r="EF17" s="45">
        <v>0.0446924803431991</v>
      </c>
      <c r="EG17" s="45">
        <v>-0.4905368469607087</v>
      </c>
      <c r="EH17" s="45">
        <v>0.048462490699708226</v>
      </c>
      <c r="EI17" s="45">
        <v>0.08246456787968404</v>
      </c>
      <c r="EJ17" s="45">
        <v>0</v>
      </c>
      <c r="EK17" s="45">
        <v>-5.220063030719757e-12</v>
      </c>
      <c r="EL17" s="45">
        <v>-5.220063030719757e-12</v>
      </c>
      <c r="EM17" s="45">
        <v>169.4569257436545</v>
      </c>
      <c r="EN17" s="45">
        <v>931.8347186772166</v>
      </c>
      <c r="EO17" s="45">
        <v>2280.331227265779</v>
      </c>
      <c r="EP17" s="45">
        <v>3085.0979024875514</v>
      </c>
      <c r="EQ17" s="45">
        <v>4208.047328578062</v>
      </c>
      <c r="ER17" s="45">
        <v>4794.5115703832125</v>
      </c>
      <c r="ES17" s="45">
        <v>5873.180220832167</v>
      </c>
      <c r="ET17" s="45">
        <v>6176.961299171682</v>
      </c>
      <c r="EU17" s="45">
        <v>6430.541388868624</v>
      </c>
      <c r="EV17" s="45">
        <v>6651.857021413534</v>
      </c>
      <c r="EW17" s="45">
        <v>6846.5319861405615</v>
      </c>
      <c r="EX17" s="45">
        <v>7019.957576508832</v>
      </c>
      <c r="EY17" s="45">
        <v>7177.124260039108</v>
      </c>
      <c r="EZ17" s="45">
        <v>7186.385290245283</v>
      </c>
      <c r="FA17" s="45">
        <v>7136.0916462236155</v>
      </c>
      <c r="FB17" s="45">
        <v>7044.071002780853</v>
      </c>
      <c r="FC17" s="45">
        <v>6922.062538064366</v>
      </c>
      <c r="FD17" s="45">
        <v>6711.896942577079</v>
      </c>
      <c r="FE17" s="45">
        <v>6501.570596289839</v>
      </c>
      <c r="FF17" s="45">
        <v>6115.040040968902</v>
      </c>
      <c r="FG17" s="45">
        <v>5753.063025049909</v>
      </c>
      <c r="FH17" s="45">
        <v>5001.371693863676</v>
      </c>
      <c r="FI17" s="45">
        <v>4323.340680095894</v>
      </c>
      <c r="FJ17" s="45">
        <v>2719.738269291223</v>
      </c>
      <c r="FK17" s="45">
        <v>5.960464477539062e-14</v>
      </c>
      <c r="FL17" s="46">
        <f>MAX(1,MIN(26,SUMPRODUCT(--($CI17:$DI17&gt;=Pu))))</f>
      </c>
      <c r="FM17" s="47">
        <f>(Pu-INDEX($CI17:$DI17,1,$FL17))/(INDEX($CI17:$DI17,1,$FL17+1)-INDEX($CI17:$DI17,1,$FL17))</f>
      </c>
      <c r="FN17" s="39">
        <f>INDEX($DJ17:$EJ17,1,$FL17)+$FM17*(INDEX($DJ17:$EJ17,1,$FL17+1)-INDEX($DJ17:$EJ17,1,$FL17))</f>
      </c>
      <c r="FO17" s="39">
        <f>INDEX($EK17:$FK17,1,$FL17)+$FM17*(INDEX($EK17:$FK17,1,$FL17+1)-INDEX($EK17:$FK17,1,$FL17))</f>
      </c>
      <c r="FP17" s="39">
        <f>SQRT(FN17^2+FO17^2)</f>
      </c>
      <c r="FQ17" s="20">
        <f>FN18-FN17</f>
      </c>
      <c r="FR17" s="20">
        <f>FO18-FO17</f>
      </c>
      <c r="FS17" s="20">
        <f>FQ17*SIN(RADIANS(theta_L))-FR17*COS(RADIANS(theta_L))</f>
      </c>
      <c r="FT17" s="47">
        <f>IF(FS17=0,"",-(FN17*SIN(RADIANS(theta_L))-FO17*COS(RADIANS(theta_L)))/FS17)</f>
      </c>
      <c r="FU17" s="20">
        <f>IF(FT17="","",(FN17+FT17*FQ17)*COS(RADIANS(theta_L))+(FO17+FT17*FR17)*SIN(RADIANS(theta_L)))</f>
      </c>
      <c r="FV17" s="20">
        <f>IF(OR(FT17="",FT17&lt;0,FT17&gt;1,FU17&lt;0),"",FU17)</f>
      </c>
    </row>
    <row r="18" spans="1:178" x14ac:dyDescent="0.25">
      <c r="A18">
        <v>11</v>
      </c>
      <c r="B18" s="44">
        <v>100</v>
      </c>
      <c r="C18" s="18">
        <v>808.0650858259281</v>
      </c>
      <c r="D18" s="18">
        <v>-721.7637253483805</v>
      </c>
      <c r="E18" s="18">
        <v>1529.8288111743086</v>
      </c>
      <c r="F18" s="16">
        <v>0.0033</v>
      </c>
      <c r="G18" s="16">
        <v>0</v>
      </c>
      <c r="H18" s="16">
        <v>0</v>
      </c>
      <c r="I18" s="16">
        <v>0.00275</v>
      </c>
      <c r="J18" s="16">
        <v>-1.181915904944636e-7</v>
      </c>
      <c r="K18" s="16">
        <v>6.702978184029528e-7</v>
      </c>
      <c r="L18" s="16">
        <v>0.0024749999999999998</v>
      </c>
      <c r="M18" s="16">
        <v>-1.7728738574169536e-7</v>
      </c>
      <c r="N18" s="16">
        <v>0.000001005446727604429</v>
      </c>
      <c r="O18" s="16">
        <v>0.0021999999999999997</v>
      </c>
      <c r="P18" s="16">
        <v>-2.363831809889272e-7</v>
      </c>
      <c r="Q18" s="16">
        <v>0.0000013405956368059057</v>
      </c>
      <c r="R18" s="16">
        <v>0.001925</v>
      </c>
      <c r="S18" s="16">
        <v>-2.9547897623615897e-7</v>
      </c>
      <c r="T18" s="16">
        <v>0.000001675744546007382</v>
      </c>
      <c r="U18" s="16">
        <v>0.0018000000000000002</v>
      </c>
      <c r="V18" s="16">
        <v>-3.22340701348537e-7</v>
      </c>
      <c r="W18" s="16">
        <v>0.00000182808495928078</v>
      </c>
      <c r="X18" s="16">
        <v>0.00165</v>
      </c>
      <c r="Y18" s="16">
        <v>-3.545747714833907e-7</v>
      </c>
      <c r="Z18" s="16">
        <v>0.000002010893455208858</v>
      </c>
      <c r="AA18" s="16">
        <v>0.0015569194907640365</v>
      </c>
      <c r="AB18" s="16">
        <v>-3.745771959027237e-7</v>
      </c>
      <c r="AC18" s="16">
        <v>0.000002124332841166499</v>
      </c>
      <c r="AD18" s="16">
        <v>0.0012928163833040417</v>
      </c>
      <c r="AE18" s="16">
        <v>-4.3133131649404557e-7</v>
      </c>
      <c r="AF18" s="16">
        <v>0.000002446201453464453</v>
      </c>
      <c r="AG18" s="16">
        <v>0.0011607648295740448</v>
      </c>
      <c r="AH18" s="16">
        <v>-4.597083767897064e-7</v>
      </c>
      <c r="AI18" s="16">
        <v>0.0000026071357596134304</v>
      </c>
      <c r="AJ18" s="16">
        <v>0.0010287132758440474</v>
      </c>
      <c r="AK18" s="16">
        <v>-4.880854370853673e-7</v>
      </c>
      <c r="AL18" s="16">
        <v>0.0000027680700657624075</v>
      </c>
      <c r="AM18" s="16">
        <v>0.00089666172211405</v>
      </c>
      <c r="AN18" s="16">
        <v>-5.164624973810282e-7</v>
      </c>
      <c r="AO18" s="16">
        <v>0.000002929004371911385</v>
      </c>
      <c r="AP18" s="16">
        <v>0.0007646101683840526</v>
      </c>
      <c r="AQ18" s="16">
        <v>-5.448395576766891e-7</v>
      </c>
      <c r="AR18" s="16">
        <v>0.0000030899386780603623</v>
      </c>
      <c r="AS18" s="16">
        <v>0.0006325586146540556</v>
      </c>
      <c r="AT18" s="16">
        <v>-5.7321661797235e-7</v>
      </c>
      <c r="AU18" s="16">
        <v>0.0000032508729842093394</v>
      </c>
      <c r="AV18" s="16">
        <v>0.0005005070609240582</v>
      </c>
      <c r="AW18" s="16">
        <v>-6.015936782680109e-7</v>
      </c>
      <c r="AX18" s="16">
        <v>0.0000034118072903583166</v>
      </c>
      <c r="AY18" s="16">
        <v>0.00023640395346406383</v>
      </c>
      <c r="AZ18" s="16">
        <v>-6.583477988593327e-7</v>
      </c>
      <c r="BA18" s="16">
        <v>0.0000037336759026562705</v>
      </c>
      <c r="BB18" s="16">
        <v>-0.000027699153995930977</v>
      </c>
      <c r="BC18" s="16">
        <v>-7.151019194506546e-7</v>
      </c>
      <c r="BD18" s="16">
        <v>0.000004055544514954226</v>
      </c>
      <c r="BE18" s="16">
        <v>-0.00029180226145592535</v>
      </c>
      <c r="BF18" s="16">
        <v>-7.718560400419763e-7</v>
      </c>
      <c r="BG18" s="16">
        <v>0.00000437741312725218</v>
      </c>
      <c r="BH18" s="16">
        <v>-0.0005559053689159197</v>
      </c>
      <c r="BI18" s="16">
        <v>-8.286101606332981e-7</v>
      </c>
      <c r="BJ18" s="16">
        <v>0.000004699281739550134</v>
      </c>
      <c r="BK18" s="16">
        <v>-0.001084111583835908</v>
      </c>
      <c r="BL18" s="16">
        <v>-9.421184018159415e-7</v>
      </c>
      <c r="BM18" s="16">
        <v>0.000005343018964146042</v>
      </c>
      <c r="BN18" s="16">
        <v>-0.0016123177987558968</v>
      </c>
      <c r="BO18" s="16">
        <v>-0.0000010556266429985851</v>
      </c>
      <c r="BP18" s="16">
        <v>0.000005986756188741951</v>
      </c>
      <c r="BQ18" s="16">
        <v>-0.002668730228595877</v>
      </c>
      <c r="BR18" s="16">
        <v>-0.0000012826431253638725</v>
      </c>
      <c r="BS18" s="16">
        <v>0.000007274230637933771</v>
      </c>
      <c r="BT18" s="16">
        <v>-0.0037251426584358543</v>
      </c>
      <c r="BU18" s="16">
        <v>-0.0000015096596077291595</v>
      </c>
      <c r="BV18" s="16">
        <v>0.000008561705087125587</v>
      </c>
      <c r="BW18" s="16">
        <v>-0.006366173733035799</v>
      </c>
      <c r="BX18" s="16">
        <v>-0.000002077200813642377</v>
      </c>
      <c r="BY18" s="16">
        <v>0.00001178039121010513</v>
      </c>
      <c r="BZ18" s="16">
        <v>-0.009007204807635744</v>
      </c>
      <c r="CA18" s="16">
        <v>-0.000002644742019555595</v>
      </c>
      <c r="CB18" s="16">
        <v>0.000014999077333084675</v>
      </c>
      <c r="CC18" s="16">
        <v>-0.019571329106035523</v>
      </c>
      <c r="CD18" s="16">
        <v>-0.000004914906843208466</v>
      </c>
      <c r="CE18" s="16">
        <v>0.000027873821825002848</v>
      </c>
      <c r="CF18" s="16">
        <v>-0.05</v>
      </c>
      <c r="CG18" s="16">
        <v>0</v>
      </c>
      <c r="CH18" s="16">
        <v>0</v>
      </c>
      <c r="CI18" s="45">
        <v>33981.43387592912</v>
      </c>
      <c r="CJ18" s="45">
        <v>33981.43387592912</v>
      </c>
      <c r="CK18" s="45">
        <v>33796.950255158394</v>
      </c>
      <c r="CL18" s="45">
        <v>32693.445213509345</v>
      </c>
      <c r="CM18" s="45">
        <v>30469.95667032236</v>
      </c>
      <c r="CN18" s="45">
        <v>29053.72531090656</v>
      </c>
      <c r="CO18" s="45">
        <v>26969.38768186543</v>
      </c>
      <c r="CP18" s="45">
        <v>25522.097382746873</v>
      </c>
      <c r="CQ18" s="45">
        <v>22092.13498116457</v>
      </c>
      <c r="CR18" s="45">
        <v>20700.916107857473</v>
      </c>
      <c r="CS18" s="45">
        <v>19337.878913528926</v>
      </c>
      <c r="CT18" s="45">
        <v>17985.151281230064</v>
      </c>
      <c r="CU18" s="45">
        <v>16631.372030389823</v>
      </c>
      <c r="CV18" s="45">
        <v>15281.799944474547</v>
      </c>
      <c r="CW18" s="45">
        <v>13949.822938290741</v>
      </c>
      <c r="CX18" s="45">
        <v>11712.731739864035</v>
      </c>
      <c r="CY18" s="45">
        <v>9986.203602843989</v>
      </c>
      <c r="CZ18" s="45">
        <v>8652.531179073738</v>
      </c>
      <c r="DA18" s="45">
        <v>7603.77040059274</v>
      </c>
      <c r="DB18" s="45">
        <v>6263.642028119872</v>
      </c>
      <c r="DC18" s="45">
        <v>5275.342145099679</v>
      </c>
      <c r="DD18" s="45">
        <v>3787.0906344174987</v>
      </c>
      <c r="DE18" s="45">
        <v>2716.1321899574905</v>
      </c>
      <c r="DF18" s="45">
        <v>525.3919800732681</v>
      </c>
      <c r="DG18" s="45">
        <v>-1079.784725437686</v>
      </c>
      <c r="DH18" s="45">
        <v>-4098.208511215942</v>
      </c>
      <c r="DI18" s="45">
        <v>-5790.583579096708</v>
      </c>
      <c r="DJ18" s="45">
        <v>6.55418261885643e-13</v>
      </c>
      <c r="DK18" s="45">
        <v>6.55418261885643e-13</v>
      </c>
      <c r="DL18" s="45">
        <v>-14.815164214181527</v>
      </c>
      <c r="DM18" s="45">
        <v>-113.98095060598013</v>
      </c>
      <c r="DN18" s="45">
        <v>-279.7098814863177</v>
      </c>
      <c r="DO18" s="45">
        <v>-377.30172428004954</v>
      </c>
      <c r="DP18" s="45">
        <v>-516.0380043217509</v>
      </c>
      <c r="DQ18" s="45">
        <v>-599.6436883265151</v>
      </c>
      <c r="DR18" s="45">
        <v>-682.5889086427431</v>
      </c>
      <c r="DS18" s="45">
        <v>-706.7485379512938</v>
      </c>
      <c r="DT18" s="45">
        <v>-741.4668747101939</v>
      </c>
      <c r="DU18" s="45">
        <v>-779.0676502908935</v>
      </c>
      <c r="DV18" s="45">
        <v>-815.7274064457195</v>
      </c>
      <c r="DW18" s="45">
        <v>-848.2240831168178</v>
      </c>
      <c r="DX18" s="45">
        <v>-871.2578860211053</v>
      </c>
      <c r="DY18" s="45">
        <v>-869.6459898979932</v>
      </c>
      <c r="DZ18" s="45">
        <v>-876.903566655197</v>
      </c>
      <c r="EA18" s="45">
        <v>-839.1633024008801</v>
      </c>
      <c r="EB18" s="45">
        <v>-798.3779707145312</v>
      </c>
      <c r="EC18" s="45">
        <v>-746.6553002754432</v>
      </c>
      <c r="ED18" s="45">
        <v>-729.7764628040306</v>
      </c>
      <c r="EE18" s="45">
        <v>-709.7894179932783</v>
      </c>
      <c r="EF18" s="45">
        <v>-710.8844635103767</v>
      </c>
      <c r="EG18" s="45">
        <v>-655.9480519158317</v>
      </c>
      <c r="EH18" s="45">
        <v>-525.7704431224757</v>
      </c>
      <c r="EI18" s="45">
        <v>-349.6548678474978</v>
      </c>
      <c r="EJ18" s="45">
        <v>0</v>
      </c>
      <c r="EK18" s="45">
        <v>-5.220063030719757e-12</v>
      </c>
      <c r="EL18" s="45">
        <v>-5.220063030719757e-12</v>
      </c>
      <c r="EM18" s="45">
        <v>123.87187777743804</v>
      </c>
      <c r="EN18" s="45">
        <v>787.0983072469969</v>
      </c>
      <c r="EO18" s="45">
        <v>1996.1557587428813</v>
      </c>
      <c r="EP18" s="45">
        <v>2723.9695174745025</v>
      </c>
      <c r="EQ18" s="45">
        <v>3738.7043380804835</v>
      </c>
      <c r="ER18" s="45">
        <v>4416.7008923333005</v>
      </c>
      <c r="ES18" s="45">
        <v>5680.092985913906</v>
      </c>
      <c r="ET18" s="45">
        <v>6009.1609590552025</v>
      </c>
      <c r="EU18" s="45">
        <v>6269.248784105469</v>
      </c>
      <c r="EV18" s="45">
        <v>6486.1228773138655</v>
      </c>
      <c r="EW18" s="45">
        <v>6672.489721079426</v>
      </c>
      <c r="EX18" s="45">
        <v>6834.211544324216</v>
      </c>
      <c r="EY18" s="45">
        <v>6974.679511506632</v>
      </c>
      <c r="EZ18" s="45">
        <v>7056.4425953032805</v>
      </c>
      <c r="FA18" s="45">
        <v>6993.6386909287685</v>
      </c>
      <c r="FB18" s="45">
        <v>6879.5380227992</v>
      </c>
      <c r="FC18" s="45">
        <v>6768.935334399641</v>
      </c>
      <c r="FD18" s="45">
        <v>6513.642025018983</v>
      </c>
      <c r="FE18" s="45">
        <v>6267.449913659511</v>
      </c>
      <c r="FF18" s="45">
        <v>5759.363645807278</v>
      </c>
      <c r="FG18" s="45">
        <v>5274.144030372774</v>
      </c>
      <c r="FH18" s="45">
        <v>4119.577280472779</v>
      </c>
      <c r="FI18" s="45">
        <v>3165.2013342808027</v>
      </c>
      <c r="FJ18" s="45">
        <v>1174.940098979493</v>
      </c>
      <c r="FK18" s="45">
        <v>5.960464477539062e-14</v>
      </c>
      <c r="FL18" s="46">
        <f>MAX(1,MIN(26,SUMPRODUCT(--($CI18:$DI18&gt;=Pu))))</f>
      </c>
      <c r="FM18" s="47">
        <f>(Pu-INDEX($CI18:$DI18,1,$FL18))/(INDEX($CI18:$DI18,1,$FL18+1)-INDEX($CI18:$DI18,1,$FL18))</f>
      </c>
      <c r="FN18" s="39">
        <f>INDEX($DJ18:$EJ18,1,$FL18)+$FM18*(INDEX($DJ18:$EJ18,1,$FL18+1)-INDEX($DJ18:$EJ18,1,$FL18))</f>
      </c>
      <c r="FO18" s="39">
        <f>INDEX($EK18:$FK18,1,$FL18)+$FM18*(INDEX($EK18:$FK18,1,$FL18+1)-INDEX($EK18:$FK18,1,$FL18))</f>
      </c>
      <c r="FP18" s="39">
        <f>SQRT(FN18^2+FO18^2)</f>
      </c>
      <c r="FQ18" s="20">
        <f>FN19-FN18</f>
      </c>
      <c r="FR18" s="20">
        <f>FO19-FO18</f>
      </c>
      <c r="FS18" s="20">
        <f>FQ18*SIN(RADIANS(theta_L))-FR18*COS(RADIANS(theta_L))</f>
      </c>
      <c r="FT18" s="47">
        <f>IF(FS18=0,"",-(FN18*SIN(RADIANS(theta_L))-FO18*COS(RADIANS(theta_L)))/FS18)</f>
      </c>
      <c r="FU18" s="20">
        <f>IF(FT18="","",(FN18+FT18*FQ18)*COS(RADIANS(theta_L))+(FO18+FT18*FR18)*SIN(RADIANS(theta_L)))</f>
      </c>
      <c r="FV18" s="20">
        <f>IF(OR(FT18="",FT18&lt;0,FT18&gt;1,FU18&lt;0),"",FU18)</f>
      </c>
    </row>
    <row r="19" spans="1:178" x14ac:dyDescent="0.25">
      <c r="A19">
        <v>12</v>
      </c>
      <c r="B19" s="44">
        <v>109.99999999999999</v>
      </c>
      <c r="C19" s="18">
        <v>841.5775229196987</v>
      </c>
      <c r="D19" s="18">
        <v>-741.5970251321183</v>
      </c>
      <c r="E19" s="18">
        <v>1583.174548051817</v>
      </c>
      <c r="F19" s="16">
        <v>0.0033</v>
      </c>
      <c r="G19" s="16">
        <v>0</v>
      </c>
      <c r="H19" s="16">
        <v>0</v>
      </c>
      <c r="I19" s="16">
        <v>0.00275</v>
      </c>
      <c r="J19" s="16">
        <v>-2.2352198544526334e-7</v>
      </c>
      <c r="K19" s="16">
        <v>6.141216077625262e-7</v>
      </c>
      <c r="L19" s="16">
        <v>0.0024749999999999998</v>
      </c>
      <c r="M19" s="16">
        <v>-3.35282978167895e-7</v>
      </c>
      <c r="N19" s="16">
        <v>9.211824116437893e-7</v>
      </c>
      <c r="O19" s="16">
        <v>0.0021999999999999997</v>
      </c>
      <c r="P19" s="16">
        <v>-4.4704397089052667e-7</v>
      </c>
      <c r="Q19" s="16">
        <v>0.0000012282432155250523</v>
      </c>
      <c r="R19" s="16">
        <v>0.001925</v>
      </c>
      <c r="S19" s="16">
        <v>-5.588049636131583e-7</v>
      </c>
      <c r="T19" s="16">
        <v>0.0000015353040194063156</v>
      </c>
      <c r="U19" s="16">
        <v>0.0018000000000000002</v>
      </c>
      <c r="V19" s="16">
        <v>-6.096054148507182e-7</v>
      </c>
      <c r="W19" s="16">
        <v>0.0000016748771120796169</v>
      </c>
      <c r="X19" s="16">
        <v>0.00165</v>
      </c>
      <c r="Y19" s="16">
        <v>-6.7056595633579e-7</v>
      </c>
      <c r="Z19" s="16">
        <v>0.0000018423648232875786</v>
      </c>
      <c r="AA19" s="16">
        <v>0.0015457993472340055</v>
      </c>
      <c r="AB19" s="16">
        <v>-7.129134777738765e-7</v>
      </c>
      <c r="AC19" s="16">
        <v>0.000001958713682208592</v>
      </c>
      <c r="AD19" s="16">
        <v>0.0012800113695421883</v>
      </c>
      <c r="AE19" s="16">
        <v>-8.209306713759789e-7</v>
      </c>
      <c r="AF19" s="16">
        <v>0.000002255488482543227</v>
      </c>
      <c r="AG19" s="16">
        <v>0.0011471173806962796</v>
      </c>
      <c r="AH19" s="16">
        <v>-8.749392681770302e-7</v>
      </c>
      <c r="AI19" s="16">
        <v>0.0000024038758827105445</v>
      </c>
      <c r="AJ19" s="16">
        <v>0.0010142233918503706</v>
      </c>
      <c r="AK19" s="16">
        <v>-9.289478649780815e-7</v>
      </c>
      <c r="AL19" s="16">
        <v>0.000002552263282877862</v>
      </c>
      <c r="AM19" s="16">
        <v>0.000881329403004462</v>
      </c>
      <c r="AN19" s="16">
        <v>-9.829564617791328e-7</v>
      </c>
      <c r="AO19" s="16">
        <v>0.00000270065068304518</v>
      </c>
      <c r="AP19" s="16">
        <v>0.0007484354141585529</v>
      </c>
      <c r="AQ19" s="16">
        <v>-0.0000010369650585801842</v>
      </c>
      <c r="AR19" s="16">
        <v>0.0000028490380832124976</v>
      </c>
      <c r="AS19" s="16">
        <v>0.0006155414253126452</v>
      </c>
      <c r="AT19" s="16">
        <v>-0.0000010909736553812352</v>
      </c>
      <c r="AU19" s="16">
        <v>0.0000029974254833798143</v>
      </c>
      <c r="AV19" s="16">
        <v>0.00048264743646673613</v>
      </c>
      <c r="AW19" s="16">
        <v>-0.0000011449822521822864</v>
      </c>
      <c r="AX19" s="16">
        <v>0.0000031458128835471323</v>
      </c>
      <c r="AY19" s="16">
        <v>0.0002168594587749189</v>
      </c>
      <c r="AZ19" s="16">
        <v>-0.0000012529994457843888</v>
      </c>
      <c r="BA19" s="16">
        <v>0.0000034425876838817674</v>
      </c>
      <c r="BB19" s="16">
        <v>-0.00004892851891689833</v>
      </c>
      <c r="BC19" s="16">
        <v>-0.0000013610166393864915</v>
      </c>
      <c r="BD19" s="16">
        <v>0.0000037393624842164025</v>
      </c>
      <c r="BE19" s="16">
        <v>-0.000314716496608716</v>
      </c>
      <c r="BF19" s="16">
        <v>-0.0000014690338329885941</v>
      </c>
      <c r="BG19" s="16">
        <v>0.000004036137284551038</v>
      </c>
      <c r="BH19" s="16">
        <v>-0.0005805044743005328</v>
      </c>
      <c r="BI19" s="16">
        <v>-0.0000015770510265906963</v>
      </c>
      <c r="BJ19" s="16">
        <v>0.000004332912084885673</v>
      </c>
      <c r="BK19" s="16">
        <v>-0.0011120804296841681</v>
      </c>
      <c r="BL19" s="16">
        <v>-0.0000017930854137949016</v>
      </c>
      <c r="BM19" s="16">
        <v>0.000004926461685554944</v>
      </c>
      <c r="BN19" s="16">
        <v>-0.0016436563850678017</v>
      </c>
      <c r="BO19" s="16">
        <v>-0.000002009119800999106</v>
      </c>
      <c r="BP19" s="16">
        <v>0.000005520011286224212</v>
      </c>
      <c r="BQ19" s="16">
        <v>-0.0027068082958350724</v>
      </c>
      <c r="BR19" s="16">
        <v>-0.0000024411885754075166</v>
      </c>
      <c r="BS19" s="16">
        <v>0.0000067071104875627544</v>
      </c>
      <c r="BT19" s="16">
        <v>-0.0037699602066023413</v>
      </c>
      <c r="BU19" s="16">
        <v>-0.0000028732573498159264</v>
      </c>
      <c r="BV19" s="16">
        <v>0.000007894209688901294</v>
      </c>
      <c r="BW19" s="16">
        <v>-0.006427839983520515</v>
      </c>
      <c r="BX19" s="16">
        <v>-0.000003953429285836952</v>
      </c>
      <c r="BY19" s="16">
        <v>0.000010861957692247647</v>
      </c>
      <c r="BZ19" s="16">
        <v>-0.009085719760438687</v>
      </c>
      <c r="CA19" s="16">
        <v>-0.000005033601221857976</v>
      </c>
      <c r="CB19" s="16">
        <v>0.000013829705695593998</v>
      </c>
      <c r="CC19" s="16">
        <v>-0.01971723886811138</v>
      </c>
      <c r="CD19" s="16">
        <v>-0.000009354288965942075</v>
      </c>
      <c r="CE19" s="16">
        <v>0.0000257006977089794</v>
      </c>
      <c r="CF19" s="16">
        <v>-0.05</v>
      </c>
      <c r="CG19" s="16">
        <v>0</v>
      </c>
      <c r="CH19" s="16">
        <v>0</v>
      </c>
      <c r="CI19" s="45">
        <v>33981.43387592912</v>
      </c>
      <c r="CJ19" s="45">
        <v>33981.43387592912</v>
      </c>
      <c r="CK19" s="45">
        <v>33836.34683483384</v>
      </c>
      <c r="CL19" s="45">
        <v>32825.40991692369</v>
      </c>
      <c r="CM19" s="45">
        <v>30736.23599089433</v>
      </c>
      <c r="CN19" s="45">
        <v>29379.98622408417</v>
      </c>
      <c r="CO19" s="45">
        <v>27414.136149591624</v>
      </c>
      <c r="CP19" s="45">
        <v>25850.015384867576</v>
      </c>
      <c r="CQ19" s="45">
        <v>22255.70394684678</v>
      </c>
      <c r="CR19" s="45">
        <v>20764.836420739597</v>
      </c>
      <c r="CS19" s="45">
        <v>19344.455695562647</v>
      </c>
      <c r="CT19" s="45">
        <v>17933.789295652838</v>
      </c>
      <c r="CU19" s="45">
        <v>16542.17466366308</v>
      </c>
      <c r="CV19" s="45">
        <v>15174.495935602554</v>
      </c>
      <c r="CW19" s="45">
        <v>13847.865258732154</v>
      </c>
      <c r="CX19" s="45">
        <v>11527.170121473824</v>
      </c>
      <c r="CY19" s="45">
        <v>9770.62220874658</v>
      </c>
      <c r="CZ19" s="45">
        <v>8449.45930484283</v>
      </c>
      <c r="DA19" s="45">
        <v>7424.504488016121</v>
      </c>
      <c r="DB19" s="45">
        <v>5858.5095326173905</v>
      </c>
      <c r="DC19" s="45">
        <v>4737.69646944351</v>
      </c>
      <c r="DD19" s="45">
        <v>3038.482733475703</v>
      </c>
      <c r="DE19" s="45">
        <v>1687.7371041771169</v>
      </c>
      <c r="DF19" s="45">
        <v>-653.0454433987727</v>
      </c>
      <c r="DG19" s="45">
        <v>-2196.679644703563</v>
      </c>
      <c r="DH19" s="45">
        <v>-4679.206242630987</v>
      </c>
      <c r="DI19" s="45">
        <v>-5790.583579096708</v>
      </c>
      <c r="DJ19" s="45">
        <v>6.55418261885643e-13</v>
      </c>
      <c r="DK19" s="45">
        <v>6.55418261885643e-13</v>
      </c>
      <c r="DL19" s="45">
        <v>-27.197853444145174</v>
      </c>
      <c r="DM19" s="45">
        <v>-198.56492753808266</v>
      </c>
      <c r="DN19" s="45">
        <v>-507.06557215701474</v>
      </c>
      <c r="DO19" s="45">
        <v>-693.2947561608717</v>
      </c>
      <c r="DP19" s="45">
        <v>-953.4940600144416</v>
      </c>
      <c r="DQ19" s="45">
        <v>-1138.4895333770012</v>
      </c>
      <c r="DR19" s="45">
        <v>-1371.2308207226615</v>
      </c>
      <c r="DS19" s="45">
        <v>-1436.6863540220734</v>
      </c>
      <c r="DT19" s="45">
        <v>-1504.7742468466736</v>
      </c>
      <c r="DU19" s="45">
        <v>-1570.635755222437</v>
      </c>
      <c r="DV19" s="45">
        <v>-1632.6491010601376</v>
      </c>
      <c r="DW19" s="45">
        <v>-1686.4163095650003</v>
      </c>
      <c r="DX19" s="45">
        <v>-1726.9872658107029</v>
      </c>
      <c r="DY19" s="45">
        <v>-1733.992215033174</v>
      </c>
      <c r="DZ19" s="45">
        <v>-1701.7554178569394</v>
      </c>
      <c r="EA19" s="45">
        <v>-1659.2382810304387</v>
      </c>
      <c r="EB19" s="45">
        <v>-1603.1410952148817</v>
      </c>
      <c r="EC19" s="45">
        <v>-1516.2443442677984</v>
      </c>
      <c r="ED19" s="45">
        <v>-1467.9049465577511</v>
      </c>
      <c r="EE19" s="45">
        <v>-1402.7974461308804</v>
      </c>
      <c r="EF19" s="45">
        <v>-1328.0282825677607</v>
      </c>
      <c r="EG19" s="45">
        <v>-1065.144384227219</v>
      </c>
      <c r="EH19" s="45">
        <v>-843.1669953420247</v>
      </c>
      <c r="EI19" s="45">
        <v>-346.0743108155071</v>
      </c>
      <c r="EJ19" s="45">
        <v>0</v>
      </c>
      <c r="EK19" s="45">
        <v>-5.220063030719757e-12</v>
      </c>
      <c r="EL19" s="45">
        <v>-5.220063030719757e-12</v>
      </c>
      <c r="EM19" s="45">
        <v>94.33843637037602</v>
      </c>
      <c r="EN19" s="45">
        <v>686.5204544891857</v>
      </c>
      <c r="EO19" s="45">
        <v>1782.7729045974097</v>
      </c>
      <c r="EP19" s="45">
        <v>2445.237922204549</v>
      </c>
      <c r="EQ19" s="45">
        <v>3374.8904879406678</v>
      </c>
      <c r="ER19" s="45">
        <v>4071.946288972635</v>
      </c>
      <c r="ES19" s="45">
        <v>5365.239477580422</v>
      </c>
      <c r="ET19" s="45">
        <v>5730.229035188359</v>
      </c>
      <c r="EU19" s="45">
        <v>6005.70318688497</v>
      </c>
      <c r="EV19" s="45">
        <v>6227.6147860646915</v>
      </c>
      <c r="EW19" s="45">
        <v>6408.304460633652</v>
      </c>
      <c r="EX19" s="45">
        <v>6558.393952544411</v>
      </c>
      <c r="EY19" s="45">
        <v>6683.197364866203</v>
      </c>
      <c r="EZ19" s="45">
        <v>6791.434884009807</v>
      </c>
      <c r="FA19" s="45">
        <v>6731.486218850721</v>
      </c>
      <c r="FB19" s="45">
        <v>6610.452701814494</v>
      </c>
      <c r="FC19" s="45">
        <v>6468.085420216953</v>
      </c>
      <c r="FD19" s="45">
        <v>6165.800537140165</v>
      </c>
      <c r="FE19" s="45">
        <v>5831.121893805829</v>
      </c>
      <c r="FF19" s="45">
        <v>5178.0258454515015</v>
      </c>
      <c r="FG19" s="45">
        <v>4551.79002792473</v>
      </c>
      <c r="FH19" s="45">
        <v>3272.0001815230416</v>
      </c>
      <c r="FI19" s="45">
        <v>2341.8086233153927</v>
      </c>
      <c r="FJ19" s="45">
        <v>763.341964116267</v>
      </c>
      <c r="FK19" s="45">
        <v>5.960464477539062e-14</v>
      </c>
      <c r="FL19" s="46">
        <f>MAX(1,MIN(26,SUMPRODUCT(--($CI19:$DI19&gt;=Pu))))</f>
      </c>
      <c r="FM19" s="47">
        <f>(Pu-INDEX($CI19:$DI19,1,$FL19))/(INDEX($CI19:$DI19,1,$FL19+1)-INDEX($CI19:$DI19,1,$FL19))</f>
      </c>
      <c r="FN19" s="39">
        <f>INDEX($DJ19:$EJ19,1,$FL19)+$FM19*(INDEX($DJ19:$EJ19,1,$FL19+1)-INDEX($DJ19:$EJ19,1,$FL19))</f>
      </c>
      <c r="FO19" s="39">
        <f>INDEX($EK19:$FK19,1,$FL19)+$FM19*(INDEX($EK19:$FK19,1,$FL19+1)-INDEX($EK19:$FK19,1,$FL19))</f>
      </c>
      <c r="FP19" s="39">
        <f>SQRT(FN19^2+FO19^2)</f>
      </c>
      <c r="FQ19" s="20">
        <f>FN20-FN19</f>
      </c>
      <c r="FR19" s="20">
        <f>FO20-FO19</f>
      </c>
      <c r="FS19" s="20">
        <f>FQ19*SIN(RADIANS(theta_L))-FR19*COS(RADIANS(theta_L))</f>
      </c>
      <c r="FT19" s="47">
        <f>IF(FS19=0,"",-(FN19*SIN(RADIANS(theta_L))-FO19*COS(RADIANS(theta_L)))/FS19)</f>
      </c>
      <c r="FU19" s="20">
        <f>IF(FT19="","",(FN19+FT19*FQ19)*COS(RADIANS(theta_L))+(FO19+FT19*FR19)*SIN(RADIANS(theta_L)))</f>
      </c>
      <c r="FV19" s="20">
        <f>IF(OR(FT19="",FT19&lt;0,FT19&gt;1,FU19&lt;0),"",FU19)</f>
      </c>
    </row>
    <row r="20" spans="1:178" x14ac:dyDescent="0.25">
      <c r="A20">
        <v>13</v>
      </c>
      <c r="B20" s="44">
        <v>119.99999999999999</v>
      </c>
      <c r="C20" s="18">
        <v>849.5190528383289</v>
      </c>
      <c r="D20" s="18">
        <v>-738.8972745734184</v>
      </c>
      <c r="E20" s="18">
        <v>1588.4163274117473</v>
      </c>
      <c r="F20" s="16">
        <v>0.0033</v>
      </c>
      <c r="G20" s="16">
        <v>0</v>
      </c>
      <c r="H20" s="16">
        <v>0</v>
      </c>
      <c r="I20" s="16">
        <v>0.00275</v>
      </c>
      <c r="J20" s="16">
        <v>-3.237125748753923e-7</v>
      </c>
      <c r="K20" s="16">
        <v>5.606866267331242e-7</v>
      </c>
      <c r="L20" s="16">
        <v>0.0024749999999999998</v>
      </c>
      <c r="M20" s="16">
        <v>-4.855688623130884e-7</v>
      </c>
      <c r="N20" s="16">
        <v>8.410299400996863e-7</v>
      </c>
      <c r="O20" s="16">
        <v>0.0021999999999999997</v>
      </c>
      <c r="P20" s="16">
        <v>-6.474251497507846e-7</v>
      </c>
      <c r="Q20" s="16">
        <v>0.0000011213732534662485</v>
      </c>
      <c r="R20" s="16">
        <v>0.0019249999999999998</v>
      </c>
      <c r="S20" s="16">
        <v>-8.092814371884808e-7</v>
      </c>
      <c r="T20" s="16">
        <v>0.0000014017165668328106</v>
      </c>
      <c r="U20" s="16">
        <v>0.0018000000000000002</v>
      </c>
      <c r="V20" s="16">
        <v>-8.828524769328879e-7</v>
      </c>
      <c r="W20" s="16">
        <v>0.000001529145345635793</v>
      </c>
      <c r="X20" s="16">
        <v>0.00165</v>
      </c>
      <c r="Y20" s="16">
        <v>-9.711377246261769e-7</v>
      </c>
      <c r="Z20" s="16">
        <v>0.0000016820598801993726</v>
      </c>
      <c r="AA20" s="16">
        <v>0.0015350893616571418</v>
      </c>
      <c r="AB20" s="16">
        <v>-0.000001038770485750798</v>
      </c>
      <c r="AC20" s="16">
        <v>0.0000017992032587233854</v>
      </c>
      <c r="AD20" s="16">
        <v>0.001267678658877921</v>
      </c>
      <c r="AE20" s="16">
        <v>-0.0000011961599532887976</v>
      </c>
      <c r="AF20" s="16">
        <v>0.0000020718098130754136</v>
      </c>
      <c r="AG20" s="16">
        <v>0.0011339733074883103</v>
      </c>
      <c r="AH20" s="16">
        <v>-0.0000012748546870577974</v>
      </c>
      <c r="AI20" s="16">
        <v>0.0000022081130902514277</v>
      </c>
      <c r="AJ20" s="16">
        <v>0.0010002679560986998</v>
      </c>
      <c r="AK20" s="16">
        <v>-0.0000013535494208267973</v>
      </c>
      <c r="AL20" s="16">
        <v>0.0000023444163674274418</v>
      </c>
      <c r="AM20" s="16">
        <v>0.0008665626047090892</v>
      </c>
      <c r="AN20" s="16">
        <v>-0.0000014322441545957974</v>
      </c>
      <c r="AO20" s="16">
        <v>0.000002480719644603456</v>
      </c>
      <c r="AP20" s="16">
        <v>0.0007328572533194786</v>
      </c>
      <c r="AQ20" s="16">
        <v>-0.0000015109388883647972</v>
      </c>
      <c r="AR20" s="16">
        <v>0.00000261702292177947</v>
      </c>
      <c r="AS20" s="16">
        <v>0.0005991519019298685</v>
      </c>
      <c r="AT20" s="16">
        <v>-0.0000015896336221337969</v>
      </c>
      <c r="AU20" s="16">
        <v>0.0000027533261989554836</v>
      </c>
      <c r="AV20" s="16">
        <v>0.0004654465505402579</v>
      </c>
      <c r="AW20" s="16">
        <v>-0.000001668328355902797</v>
      </c>
      <c r="AX20" s="16">
        <v>0.000002889629476131498</v>
      </c>
      <c r="AY20" s="16">
        <v>0.0001980358477610372</v>
      </c>
      <c r="AZ20" s="16">
        <v>-0.0000018257178234407963</v>
      </c>
      <c r="BA20" s="16">
        <v>0.000003162236030483526</v>
      </c>
      <c r="BB20" s="16">
        <v>-0.00006937485501818394</v>
      </c>
      <c r="BC20" s="16">
        <v>-0.0000019831072909787962</v>
      </c>
      <c r="BD20" s="16">
        <v>0.0000034348425848355544</v>
      </c>
      <c r="BE20" s="16">
        <v>-0.00033678555779740466</v>
      </c>
      <c r="BF20" s="16">
        <v>-0.000002140496758516796</v>
      </c>
      <c r="BG20" s="16">
        <v>0.000003707449139187582</v>
      </c>
      <c r="BH20" s="16">
        <v>-0.0006041962605766258</v>
      </c>
      <c r="BI20" s="16">
        <v>-0.0000022978862260547957</v>
      </c>
      <c r="BJ20" s="16">
        <v>0.00000398005569353961</v>
      </c>
      <c r="BK20" s="16">
        <v>-0.0011390176661350672</v>
      </c>
      <c r="BL20" s="16">
        <v>-0.0000026126651611307947</v>
      </c>
      <c r="BM20" s="16">
        <v>0.000004525268802243667</v>
      </c>
      <c r="BN20" s="16">
        <v>-0.0016738390716935095</v>
      </c>
      <c r="BO20" s="16">
        <v>-0.000002927444096206794</v>
      </c>
      <c r="BP20" s="16">
        <v>0.000005070481910947723</v>
      </c>
      <c r="BQ20" s="16">
        <v>-0.0027434818828103932</v>
      </c>
      <c r="BR20" s="16">
        <v>-0.000003557001966358793</v>
      </c>
      <c r="BS20" s="16">
        <v>0.000006160908128355836</v>
      </c>
      <c r="BT20" s="16">
        <v>-0.003813124693927276</v>
      </c>
      <c r="BU20" s="16">
        <v>-0.000004186559836510792</v>
      </c>
      <c r="BV20" s="16">
        <v>0.000007251334345763947</v>
      </c>
      <c r="BW20" s="16">
        <v>-0.006487231721719487</v>
      </c>
      <c r="BX20" s="16">
        <v>-0.000005760454511890789</v>
      </c>
      <c r="BY20" s="16">
        <v>0.000009977399889284229</v>
      </c>
      <c r="BZ20" s="16">
        <v>-0.009161338749511697</v>
      </c>
      <c r="CA20" s="16">
        <v>-0.000007334349187270786</v>
      </c>
      <c r="CB20" s="16">
        <v>0.00001270346543280451</v>
      </c>
      <c r="CC20" s="16">
        <v>-0.019857766860680533</v>
      </c>
      <c r="CD20" s="16">
        <v>-0.000013629927888790772</v>
      </c>
      <c r="CE20" s="16">
        <v>0.000023607727606885634</v>
      </c>
      <c r="CF20" s="16">
        <v>-0.05</v>
      </c>
      <c r="CG20" s="16">
        <v>0</v>
      </c>
      <c r="CH20" s="16">
        <v>0</v>
      </c>
      <c r="CI20" s="45">
        <v>33981.43387592912</v>
      </c>
      <c r="CJ20" s="45">
        <v>33981.43387592912</v>
      </c>
      <c r="CK20" s="45">
        <v>33858.009080359014</v>
      </c>
      <c r="CL20" s="45">
        <v>32881.28661994507</v>
      </c>
      <c r="CM20" s="45">
        <v>30862.424634179613</v>
      </c>
      <c r="CN20" s="45">
        <v>29545.978448688606</v>
      </c>
      <c r="CO20" s="45">
        <v>27609.650051226738</v>
      </c>
      <c r="CP20" s="45">
        <v>25940.440407992995</v>
      </c>
      <c r="CQ20" s="45">
        <v>22364.36905667349</v>
      </c>
      <c r="CR20" s="45">
        <v>20780.51299779107</v>
      </c>
      <c r="CS20" s="45">
        <v>19282.325347258426</v>
      </c>
      <c r="CT20" s="45">
        <v>17833.822602301752</v>
      </c>
      <c r="CU20" s="45">
        <v>16419.57350466651</v>
      </c>
      <c r="CV20" s="45">
        <v>15049.476981344984</v>
      </c>
      <c r="CW20" s="45">
        <v>13726.638239995787</v>
      </c>
      <c r="CX20" s="45">
        <v>11427.223489263097</v>
      </c>
      <c r="CY20" s="45">
        <v>9630.756601455381</v>
      </c>
      <c r="CZ20" s="45">
        <v>8259.976599100582</v>
      </c>
      <c r="DA20" s="45">
        <v>7168.398748811488</v>
      </c>
      <c r="DB20" s="45">
        <v>5508.486912984249</v>
      </c>
      <c r="DC20" s="45">
        <v>4245.278139611561</v>
      </c>
      <c r="DD20" s="45">
        <v>2370.1576672295405</v>
      </c>
      <c r="DE20" s="45">
        <v>1060.1483470416824</v>
      </c>
      <c r="DF20" s="45">
        <v>-1201.3762587647439</v>
      </c>
      <c r="DG20" s="45">
        <v>-2637.9210003419394</v>
      </c>
      <c r="DH20" s="45">
        <v>-4790.827764753658</v>
      </c>
      <c r="DI20" s="45">
        <v>-5790.583579096708</v>
      </c>
      <c r="DJ20" s="45">
        <v>6.55418261885643e-13</v>
      </c>
      <c r="DK20" s="45">
        <v>6.55418261885643e-13</v>
      </c>
      <c r="DL20" s="45">
        <v>-35.789356700408</v>
      </c>
      <c r="DM20" s="45">
        <v>-269.470761068003</v>
      </c>
      <c r="DN20" s="45">
        <v>-712.7723687199457</v>
      </c>
      <c r="DO20" s="45">
        <v>-981.7414392371213</v>
      </c>
      <c r="DP20" s="45">
        <v>-1356.4047227104268</v>
      </c>
      <c r="DQ20" s="45">
        <v>-1654.9559691161162</v>
      </c>
      <c r="DR20" s="45">
        <v>-2065.6212864672393</v>
      </c>
      <c r="DS20" s="45">
        <v>-2183.2257909891828</v>
      </c>
      <c r="DT20" s="45">
        <v>-2293.687313497708</v>
      </c>
      <c r="DU20" s="45">
        <v>-2397.008433895084</v>
      </c>
      <c r="DV20" s="45">
        <v>-2487.086200356003</v>
      </c>
      <c r="DW20" s="45">
        <v>-2560.7515279200543</v>
      </c>
      <c r="DX20" s="45">
        <v>-2613.154528296417</v>
      </c>
      <c r="DY20" s="45">
        <v>-2637.654787425441</v>
      </c>
      <c r="DZ20" s="45">
        <v>-2567.9649924945597</v>
      </c>
      <c r="EA20" s="45">
        <v>-2490.455672139138</v>
      </c>
      <c r="EB20" s="45">
        <v>-2425.18339602054</v>
      </c>
      <c r="EC20" s="45">
        <v>-2293.3910412462815</v>
      </c>
      <c r="ED20" s="45">
        <v>-2174.3647585518015</v>
      </c>
      <c r="EE20" s="45">
        <v>-1970.2553545952192</v>
      </c>
      <c r="EF20" s="45">
        <v>-1771.1022574811402</v>
      </c>
      <c r="EG20" s="45">
        <v>-1355.3945500106072</v>
      </c>
      <c r="EH20" s="45">
        <v>-1029.2470694599467</v>
      </c>
      <c r="EI20" s="45">
        <v>-373.99048597878874</v>
      </c>
      <c r="EJ20" s="45">
        <v>0</v>
      </c>
      <c r="EK20" s="45">
        <v>-5.220063030719757e-12</v>
      </c>
      <c r="EL20" s="45">
        <v>-5.220063030719757e-12</v>
      </c>
      <c r="EM20" s="45">
        <v>76.68514906917204</v>
      </c>
      <c r="EN20" s="45">
        <v>617.9469717822292</v>
      </c>
      <c r="EO20" s="45">
        <v>1613.8486914358846</v>
      </c>
      <c r="EP20" s="45">
        <v>2216.7300226249563</v>
      </c>
      <c r="EQ20" s="45">
        <v>3062.6435499260924</v>
      </c>
      <c r="ER20" s="45">
        <v>3756.8783198188517</v>
      </c>
      <c r="ES20" s="45">
        <v>4956.117540219163</v>
      </c>
      <c r="ET20" s="45">
        <v>5339.759992624872</v>
      </c>
      <c r="EU20" s="45">
        <v>5622.832205894558</v>
      </c>
      <c r="EV20" s="45">
        <v>5840.667367711726</v>
      </c>
      <c r="EW20" s="45">
        <v>6015.862732350805</v>
      </c>
      <c r="EX20" s="45">
        <v>6156.258895239392</v>
      </c>
      <c r="EY20" s="45">
        <v>6260.980502652927</v>
      </c>
      <c r="EZ20" s="45">
        <v>6340.042601365806</v>
      </c>
      <c r="FA20" s="45">
        <v>6293.026564320863</v>
      </c>
      <c r="FB20" s="45">
        <v>6161.961059519671</v>
      </c>
      <c r="FC20" s="45">
        <v>5982.8941973823685</v>
      </c>
      <c r="FD20" s="45">
        <v>5625.989011011412</v>
      </c>
      <c r="FE20" s="45">
        <v>5275.006114867101</v>
      </c>
      <c r="FF20" s="45">
        <v>4562.646435837371</v>
      </c>
      <c r="FG20" s="45">
        <v>3950.832933135185</v>
      </c>
      <c r="FH20" s="45">
        <v>2779.3840947276203</v>
      </c>
      <c r="FI20" s="45">
        <v>1967.1347677402207</v>
      </c>
      <c r="FJ20" s="45">
        <v>669.4742550661371</v>
      </c>
      <c r="FK20" s="45">
        <v>5.960464477539062e-14</v>
      </c>
      <c r="FL20" s="46">
        <f>MAX(1,MIN(26,SUMPRODUCT(--($CI20:$DI20&gt;=Pu))))</f>
      </c>
      <c r="FM20" s="47">
        <f>(Pu-INDEX($CI20:$DI20,1,$FL20))/(INDEX($CI20:$DI20,1,$FL20+1)-INDEX($CI20:$DI20,1,$FL20))</f>
      </c>
      <c r="FN20" s="39">
        <f>INDEX($DJ20:$EJ20,1,$FL20)+$FM20*(INDEX($DJ20:$EJ20,1,$FL20+1)-INDEX($DJ20:$EJ20,1,$FL20))</f>
      </c>
      <c r="FO20" s="39">
        <f>INDEX($EK20:$FK20,1,$FL20)+$FM20*(INDEX($EK20:$FK20,1,$FL20+1)-INDEX($EK20:$FK20,1,$FL20))</f>
      </c>
      <c r="FP20" s="39">
        <f>SQRT(FN20^2+FO20^2)</f>
      </c>
      <c r="FQ20" s="20">
        <f>FN21-FN20</f>
      </c>
      <c r="FR20" s="20">
        <f>FO21-FO20</f>
      </c>
      <c r="FS20" s="20">
        <f>FQ20*SIN(RADIANS(theta_L))-FR20*COS(RADIANS(theta_L))</f>
      </c>
      <c r="FT20" s="47">
        <f>IF(FS20=0,"",-(FN20*SIN(RADIANS(theta_L))-FO20*COS(RADIANS(theta_L)))/FS20)</f>
      </c>
      <c r="FU20" s="20">
        <f>IF(FT20="","",(FN20+FT20*FQ20)*COS(RADIANS(theta_L))+(FO20+FT20*FR20)*SIN(RADIANS(theta_L)))</f>
      </c>
      <c r="FV20" s="20">
        <f>IF(OR(FT20="",FT20&lt;0,FT20&gt;1,FU20&lt;0),"",FU20)</f>
      </c>
    </row>
    <row r="21" spans="1:178" x14ac:dyDescent="0.25">
      <c r="A21">
        <v>14</v>
      </c>
      <c r="B21" s="44">
        <v>130</v>
      </c>
      <c r="C21" s="18">
        <v>831.6483762138494</v>
      </c>
      <c r="D21" s="18">
        <v>-713.7465042268668</v>
      </c>
      <c r="E21" s="18">
        <v>1545.3948804407162</v>
      </c>
      <c r="F21" s="16">
        <v>0.0033</v>
      </c>
      <c r="G21" s="16">
        <v>0</v>
      </c>
      <c r="H21" s="16">
        <v>0</v>
      </c>
      <c r="I21" s="16">
        <v>0.00275</v>
      </c>
      <c r="J21" s="16">
        <v>-4.250993514074865e-7</v>
      </c>
      <c r="K21" s="16">
        <v>5.066136792493406e-7</v>
      </c>
      <c r="L21" s="16">
        <v>0.0024749999999999998</v>
      </c>
      <c r="M21" s="16">
        <v>-6.376490271112297e-7</v>
      </c>
      <c r="N21" s="16">
        <v>7.599205188740108e-7</v>
      </c>
      <c r="O21" s="16">
        <v>0.0021999999999999997</v>
      </c>
      <c r="P21" s="16">
        <v>-8.50198702814973e-7</v>
      </c>
      <c r="Q21" s="16">
        <v>0.0000010132273584986811</v>
      </c>
      <c r="R21" s="16">
        <v>0.0019249999999999998</v>
      </c>
      <c r="S21" s="16">
        <v>-0.0000010627483785187162</v>
      </c>
      <c r="T21" s="16">
        <v>0.0000012665341981233513</v>
      </c>
      <c r="U21" s="16">
        <v>0.0018000000000000002</v>
      </c>
      <c r="V21" s="16">
        <v>-0.0000011593618674749628</v>
      </c>
      <c r="W21" s="16">
        <v>0.0000013816736706800193</v>
      </c>
      <c r="X21" s="16">
        <v>0.00165</v>
      </c>
      <c r="Y21" s="16">
        <v>-0.0000012752980542224595</v>
      </c>
      <c r="Z21" s="16">
        <v>0.0000015198410377480215</v>
      </c>
      <c r="AA21" s="16">
        <v>0.0015241175532281802</v>
      </c>
      <c r="AB21" s="16">
        <v>-0.0000013725935932702558</v>
      </c>
      <c r="AC21" s="16">
        <v>0.0000016357933459516229</v>
      </c>
      <c r="AD21" s="16">
        <v>0.0012550444552324501</v>
      </c>
      <c r="AE21" s="16">
        <v>-0.0000015805623195233249</v>
      </c>
      <c r="AF21" s="16">
        <v>0.00000188364082261096</v>
      </c>
      <c r="AG21" s="16">
        <v>0.001120507906234585</v>
      </c>
      <c r="AH21" s="16">
        <v>-0.0000016845466826498592</v>
      </c>
      <c r="AI21" s="16">
        <v>0.0000020075645609406282</v>
      </c>
      <c r="AJ21" s="16">
        <v>0.0009859713572367198</v>
      </c>
      <c r="AK21" s="16">
        <v>-0.0000017885310457763938</v>
      </c>
      <c r="AL21" s="16">
        <v>0.0000021314882992702965</v>
      </c>
      <c r="AM21" s="16">
        <v>0.0008514348082388546</v>
      </c>
      <c r="AN21" s="16">
        <v>-0.0000018925154089029285</v>
      </c>
      <c r="AO21" s="16">
        <v>0.0000022554120375999653</v>
      </c>
      <c r="AP21" s="16">
        <v>0.000716898259240989</v>
      </c>
      <c r="AQ21" s="16">
        <v>-0.000001996499772029463</v>
      </c>
      <c r="AR21" s="16">
        <v>0.0000023793357759296336</v>
      </c>
      <c r="AS21" s="16">
        <v>0.0005823617102431243</v>
      </c>
      <c r="AT21" s="16">
        <v>-0.0000021004841351559974</v>
      </c>
      <c r="AU21" s="16">
        <v>0.0000025032595142593015</v>
      </c>
      <c r="AV21" s="16">
        <v>0.0004478251612452591</v>
      </c>
      <c r="AW21" s="16">
        <v>-0.000002204468498282532</v>
      </c>
      <c r="AX21" s="16">
        <v>0.0000026271832525889702</v>
      </c>
      <c r="AY21" s="16">
        <v>0.00017875206324952922</v>
      </c>
      <c r="AZ21" s="16">
        <v>-0.000002412437224535601</v>
      </c>
      <c r="BA21" s="16">
        <v>0.000002875030729248307</v>
      </c>
      <c r="BB21" s="16">
        <v>-0.00009032103474620155</v>
      </c>
      <c r="BC21" s="16">
        <v>-0.00000262040595078867</v>
      </c>
      <c r="BD21" s="16">
        <v>0.000003122878205907644</v>
      </c>
      <c r="BE21" s="16">
        <v>-0.0003593941327419319</v>
      </c>
      <c r="BF21" s="16">
        <v>-0.0000028283746770417395</v>
      </c>
      <c r="BG21" s="16">
        <v>0.000003370725682566981</v>
      </c>
      <c r="BH21" s="16">
        <v>-0.0006284672307376622</v>
      </c>
      <c r="BI21" s="16">
        <v>-0.000003036343403294808</v>
      </c>
      <c r="BJ21" s="16">
        <v>0.0000036185731592263176</v>
      </c>
      <c r="BK21" s="16">
        <v>-0.001166613426729122</v>
      </c>
      <c r="BL21" s="16">
        <v>-0.000003452280855800946</v>
      </c>
      <c r="BM21" s="16">
        <v>0.000004114268112544991</v>
      </c>
      <c r="BN21" s="16">
        <v>-0.0017047596227205827</v>
      </c>
      <c r="BO21" s="16">
        <v>-0.000003868218308307084</v>
      </c>
      <c r="BP21" s="16">
        <v>0.0000046099630658636645</v>
      </c>
      <c r="BQ21" s="16">
        <v>-0.002781052014703505</v>
      </c>
      <c r="BR21" s="16">
        <v>-0.000004700093213319361</v>
      </c>
      <c r="BS21" s="16">
        <v>0.000005601352972501013</v>
      </c>
      <c r="BT21" s="16">
        <v>-0.0038573444066864245</v>
      </c>
      <c r="BU21" s="16">
        <v>-0.000005531968118331637</v>
      </c>
      <c r="BV21" s="16">
        <v>0.000006592742879138359</v>
      </c>
      <c r="BW21" s="16">
        <v>-0.006548075386643729</v>
      </c>
      <c r="BX21" s="16">
        <v>-0.000007611655380862328</v>
      </c>
      <c r="BY21" s="16">
        <v>0.000009071217645731727</v>
      </c>
      <c r="BZ21" s="16">
        <v>-0.00923880636660103</v>
      </c>
      <c r="CA21" s="16">
        <v>-0.000009691342643393018</v>
      </c>
      <c r="CB21" s="16">
        <v>0.000011549692412325097</v>
      </c>
      <c r="CC21" s="16">
        <v>-0.02000173028643024</v>
      </c>
      <c r="CD21" s="16">
        <v>-0.00001801009169351578</v>
      </c>
      <c r="CE21" s="16">
        <v>0.000021463591478698567</v>
      </c>
      <c r="CF21" s="16">
        <v>-0.05</v>
      </c>
      <c r="CG21" s="16">
        <v>0</v>
      </c>
      <c r="CH21" s="16">
        <v>0</v>
      </c>
      <c r="CI21" s="45">
        <v>33981.43387592912</v>
      </c>
      <c r="CJ21" s="45">
        <v>33981.43387592912</v>
      </c>
      <c r="CK21" s="45">
        <v>33861.12011412981</v>
      </c>
      <c r="CL21" s="45">
        <v>32881.80265926324</v>
      </c>
      <c r="CM21" s="45">
        <v>30855.005526209377</v>
      </c>
      <c r="CN21" s="45">
        <v>29533.92349375708</v>
      </c>
      <c r="CO21" s="45">
        <v>27619.544658542214</v>
      </c>
      <c r="CP21" s="45">
        <v>25828.834090045955</v>
      </c>
      <c r="CQ21" s="45">
        <v>22310.378409219877</v>
      </c>
      <c r="CR21" s="45">
        <v>20692.9706490081</v>
      </c>
      <c r="CS21" s="45">
        <v>19128.451438865763</v>
      </c>
      <c r="CT21" s="45">
        <v>17629.3670931777</v>
      </c>
      <c r="CU21" s="45">
        <v>16201.438440933865</v>
      </c>
      <c r="CV21" s="45">
        <v>14848.147011311112</v>
      </c>
      <c r="CW21" s="45">
        <v>13571.021658828146</v>
      </c>
      <c r="CX21" s="45">
        <v>11397.31266132688</v>
      </c>
      <c r="CY21" s="45">
        <v>9627.546798389118</v>
      </c>
      <c r="CZ21" s="45">
        <v>8197.09325101943</v>
      </c>
      <c r="DA21" s="45">
        <v>7049.482802975906</v>
      </c>
      <c r="DB21" s="45">
        <v>5321.774382932601</v>
      </c>
      <c r="DC21" s="45">
        <v>3999.840416724033</v>
      </c>
      <c r="DD21" s="45">
        <v>2165.2711975185725</v>
      </c>
      <c r="DE21" s="45">
        <v>835.2502338755801</v>
      </c>
      <c r="DF21" s="45">
        <v>-1325.4698372256803</v>
      </c>
      <c r="DG21" s="45">
        <v>-2658.507710420096</v>
      </c>
      <c r="DH21" s="45">
        <v>-4668.297312131807</v>
      </c>
      <c r="DI21" s="45">
        <v>-5790.583579096708</v>
      </c>
      <c r="DJ21" s="45">
        <v>6.55418261885643e-13</v>
      </c>
      <c r="DK21" s="45">
        <v>6.55418261885643e-13</v>
      </c>
      <c r="DL21" s="45">
        <v>-43.470578514860385</v>
      </c>
      <c r="DM21" s="45">
        <v>-338.2578093986828</v>
      </c>
      <c r="DN21" s="45">
        <v>-920.3007501188997</v>
      </c>
      <c r="DO21" s="45">
        <v>-1269.556165375445</v>
      </c>
      <c r="DP21" s="45">
        <v>-1760.1945402314525</v>
      </c>
      <c r="DQ21" s="45">
        <v>-2172.796443685329</v>
      </c>
      <c r="DR21" s="45">
        <v>-2766.152262028416</v>
      </c>
      <c r="DS21" s="45">
        <v>-2971.1275112906565</v>
      </c>
      <c r="DT21" s="45">
        <v>-3141.605870781592</v>
      </c>
      <c r="DU21" s="45">
        <v>-3287.6000516610443</v>
      </c>
      <c r="DV21" s="45">
        <v>-3409.739431741207</v>
      </c>
      <c r="DW21" s="45">
        <v>-3503.0629127004286</v>
      </c>
      <c r="DX21" s="45">
        <v>-3567.6283620251747</v>
      </c>
      <c r="DY21" s="45">
        <v>-3576.313082001725</v>
      </c>
      <c r="DZ21" s="45">
        <v>-3491.155447859436</v>
      </c>
      <c r="EA21" s="45">
        <v>-3364.1290927452187</v>
      </c>
      <c r="EB21" s="45">
        <v>-3238.4153891761152</v>
      </c>
      <c r="EC21" s="45">
        <v>-3028.302212085409</v>
      </c>
      <c r="ED21" s="45">
        <v>-2830.263398761134</v>
      </c>
      <c r="EE21" s="45">
        <v>-2448.942870237528</v>
      </c>
      <c r="EF21" s="45">
        <v>-2144.3326353486245</v>
      </c>
      <c r="EG21" s="45">
        <v>-1614.4882664959716</v>
      </c>
      <c r="EH21" s="45">
        <v>-1204.3610062051935</v>
      </c>
      <c r="EI21" s="45">
        <v>-457.72422894053</v>
      </c>
      <c r="EJ21" s="45">
        <v>0</v>
      </c>
      <c r="EK21" s="45">
        <v>-5.220063030719757e-12</v>
      </c>
      <c r="EL21" s="45">
        <v>-5.220063030719757e-12</v>
      </c>
      <c r="EM21" s="45">
        <v>70.03682558763164</v>
      </c>
      <c r="EN21" s="45">
        <v>568.3588749254336</v>
      </c>
      <c r="EO21" s="45">
        <v>1467.8040444089777</v>
      </c>
      <c r="EP21" s="45">
        <v>2015.1928831863395</v>
      </c>
      <c r="EQ21" s="45">
        <v>2783.8151446957113</v>
      </c>
      <c r="ER21" s="45">
        <v>3452.432810203995</v>
      </c>
      <c r="ES21" s="45">
        <v>4478.699668239828</v>
      </c>
      <c r="ET21" s="45">
        <v>4823.374935221731</v>
      </c>
      <c r="EU21" s="45">
        <v>5080.561858085566</v>
      </c>
      <c r="EV21" s="45">
        <v>5273.357110107376</v>
      </c>
      <c r="EW21" s="45">
        <v>5417.540724100972</v>
      </c>
      <c r="EX21" s="45">
        <v>5530.010043723447</v>
      </c>
      <c r="EY21" s="45">
        <v>5622.239334190098</v>
      </c>
      <c r="EZ21" s="45">
        <v>5684.8560640102905</v>
      </c>
      <c r="FA21" s="45">
        <v>5644.291834759379</v>
      </c>
      <c r="FB21" s="45">
        <v>5534.159485811004</v>
      </c>
      <c r="FC21" s="45">
        <v>5384.288030667616</v>
      </c>
      <c r="FD21" s="45">
        <v>5021.272862451933</v>
      </c>
      <c r="FE21" s="45">
        <v>4664.195319656198</v>
      </c>
      <c r="FF21" s="45">
        <v>4073.0440936493774</v>
      </c>
      <c r="FG21" s="45">
        <v>3548.643645668581</v>
      </c>
      <c r="FH21" s="45">
        <v>2532.081750739266</v>
      </c>
      <c r="FI21" s="45">
        <v>1844.9712769077469</v>
      </c>
      <c r="FJ21" s="45">
        <v>720.2796840587451</v>
      </c>
      <c r="FK21" s="45">
        <v>5.960464477539062e-14</v>
      </c>
      <c r="FL21" s="46">
        <f>MAX(1,MIN(26,SUMPRODUCT(--($CI21:$DI21&gt;=Pu))))</f>
      </c>
      <c r="FM21" s="47">
        <f>(Pu-INDEX($CI21:$DI21,1,$FL21))/(INDEX($CI21:$DI21,1,$FL21+1)-INDEX($CI21:$DI21,1,$FL21))</f>
      </c>
      <c r="FN21" s="39">
        <f>INDEX($DJ21:$EJ21,1,$FL21)+$FM21*(INDEX($DJ21:$EJ21,1,$FL21+1)-INDEX($DJ21:$EJ21,1,$FL21))</f>
      </c>
      <c r="FO21" s="39">
        <f>INDEX($EK21:$FK21,1,$FL21)+$FM21*(INDEX($EK21:$FK21,1,$FL21+1)-INDEX($EK21:$FK21,1,$FL21))</f>
      </c>
      <c r="FP21" s="39">
        <f>SQRT(FN21^2+FO21^2)</f>
      </c>
      <c r="FQ21" s="20">
        <f>FN22-FN21</f>
      </c>
      <c r="FR21" s="20">
        <f>FO22-FO21</f>
      </c>
      <c r="FS21" s="20">
        <f>FQ21*SIN(RADIANS(theta_L))-FR21*COS(RADIANS(theta_L))</f>
      </c>
      <c r="FT21" s="47">
        <f>IF(FS21=0,"",-(FN21*SIN(RADIANS(theta_L))-FO21*COS(RADIANS(theta_L)))/FS21)</f>
      </c>
      <c r="FU21" s="20">
        <f>IF(FT21="","",(FN21+FT21*FQ21)*COS(RADIANS(theta_L))+(FO21+FT21*FR21)*SIN(RADIANS(theta_L)))</f>
      </c>
      <c r="FV21" s="20">
        <f>IF(OR(FT21="",FT21&lt;0,FT21&gt;1,FU21&lt;0),"",FU21)</f>
      </c>
    </row>
    <row r="22" spans="1:178" x14ac:dyDescent="0.25">
      <c r="A22">
        <v>15</v>
      </c>
      <c r="B22" s="44">
        <v>140</v>
      </c>
      <c r="C22" s="18">
        <v>813.1598511989835</v>
      </c>
      <c r="D22" s="18">
        <v>-666.9089075225402</v>
      </c>
      <c r="E22" s="18">
        <v>1480.0687587215236</v>
      </c>
      <c r="F22" s="16">
        <v>0.0033</v>
      </c>
      <c r="G22" s="16">
        <v>0</v>
      </c>
      <c r="H22" s="16">
        <v>0</v>
      </c>
      <c r="I22" s="16">
        <v>0.00275</v>
      </c>
      <c r="J22" s="16">
        <v>-5.181323734739309e-7</v>
      </c>
      <c r="K22" s="16">
        <v>4.3476468348298433e-7</v>
      </c>
      <c r="L22" s="16">
        <v>0.002475</v>
      </c>
      <c r="M22" s="16">
        <v>-7.771985602108964e-7</v>
      </c>
      <c r="N22" s="16">
        <v>6.521470252244765e-7</v>
      </c>
      <c r="O22" s="16">
        <v>0.0022</v>
      </c>
      <c r="P22" s="16">
        <v>-0.0000010362647469478618</v>
      </c>
      <c r="Q22" s="16">
        <v>8.695293669659687e-7</v>
      </c>
      <c r="R22" s="16">
        <v>0.0019249999999999998</v>
      </c>
      <c r="S22" s="16">
        <v>-0.0000012953309336848276</v>
      </c>
      <c r="T22" s="16">
        <v>0.000001086911708707461</v>
      </c>
      <c r="U22" s="16">
        <v>0.0018</v>
      </c>
      <c r="V22" s="16">
        <v>-0.000001413088291292539</v>
      </c>
      <c r="W22" s="16">
        <v>0.0000011857218640445027</v>
      </c>
      <c r="X22" s="16">
        <v>0.0016500000000000002</v>
      </c>
      <c r="Y22" s="16">
        <v>-0.0000015543971204217928</v>
      </c>
      <c r="Z22" s="16">
        <v>0.000001304294050448953</v>
      </c>
      <c r="AA22" s="16">
        <v>0.0014869575361656999</v>
      </c>
      <c r="AB22" s="16">
        <v>-0.0000017079927181736175</v>
      </c>
      <c r="AC22" s="16">
        <v>0.000001433176059872963</v>
      </c>
      <c r="AD22" s="16">
        <v>0.0012122541325544425</v>
      </c>
      <c r="AE22" s="16">
        <v>-0.0000019667794936544685</v>
      </c>
      <c r="AF22" s="16">
        <v>0.0000016503239477325027</v>
      </c>
      <c r="AG22" s="16">
        <v>0.0010749024307488138</v>
      </c>
      <c r="AH22" s="16">
        <v>-0.000002096172881394894</v>
      </c>
      <c r="AI22" s="16">
        <v>0.0000017588978916622725</v>
      </c>
      <c r="AJ22" s="16">
        <v>0.0009375507289431846</v>
      </c>
      <c r="AK22" s="16">
        <v>-0.0000022255662691353197</v>
      </c>
      <c r="AL22" s="16">
        <v>0.0000018674718355920427</v>
      </c>
      <c r="AM22" s="16">
        <v>0.0008001990271375558</v>
      </c>
      <c r="AN22" s="16">
        <v>-0.0000023549596568757453</v>
      </c>
      <c r="AO22" s="16">
        <v>0.0000019760457795218125</v>
      </c>
      <c r="AP22" s="16">
        <v>0.000662847325331927</v>
      </c>
      <c r="AQ22" s="16">
        <v>-0.000002484353044616171</v>
      </c>
      <c r="AR22" s="16">
        <v>0.0000020846197234515825</v>
      </c>
      <c r="AS22" s="16">
        <v>0.0005254956235262987</v>
      </c>
      <c r="AT22" s="16">
        <v>-0.000002613746432356596</v>
      </c>
      <c r="AU22" s="16">
        <v>0.000002193193667381352</v>
      </c>
      <c r="AV22" s="16">
        <v>0.0003881439217206695</v>
      </c>
      <c r="AW22" s="16">
        <v>-0.0000027431398200970218</v>
      </c>
      <c r="AX22" s="16">
        <v>0.0000023017676113111225</v>
      </c>
      <c r="AY22" s="16">
        <v>0.00011344051810941239</v>
      </c>
      <c r="AZ22" s="16">
        <v>-0.0000030019265955778726</v>
      </c>
      <c r="BA22" s="16">
        <v>0.0000025189154991706616</v>
      </c>
      <c r="BB22" s="16">
        <v>-0.00016126288550184558</v>
      </c>
      <c r="BC22" s="16">
        <v>-0.0000032607133710587242</v>
      </c>
      <c r="BD22" s="16">
        <v>0.000002736063387030202</v>
      </c>
      <c r="BE22" s="16">
        <v>-0.00043596628911310355</v>
      </c>
      <c r="BF22" s="16">
        <v>-0.000003519500146539576</v>
      </c>
      <c r="BG22" s="16">
        <v>0.000002953211274889742</v>
      </c>
      <c r="BH22" s="16">
        <v>-0.0007106696927243611</v>
      </c>
      <c r="BI22" s="16">
        <v>-0.0000037782869220204267</v>
      </c>
      <c r="BJ22" s="16">
        <v>0.000003170359162749282</v>
      </c>
      <c r="BK22" s="16">
        <v>-0.0012600764999468762</v>
      </c>
      <c r="BL22" s="16">
        <v>-0.000004295860472982128</v>
      </c>
      <c r="BM22" s="16">
        <v>0.000003604654938468361</v>
      </c>
      <c r="BN22" s="16">
        <v>-0.0018094833071693904</v>
      </c>
      <c r="BO22" s="16">
        <v>-0.00000481343402394383</v>
      </c>
      <c r="BP22" s="16">
        <v>0.00000403895071418744</v>
      </c>
      <c r="BQ22" s="16">
        <v>-0.0029082969216144222</v>
      </c>
      <c r="BR22" s="16">
        <v>-0.000005848581125867236</v>
      </c>
      <c r="BS22" s="16">
        <v>0.000004907542265625601</v>
      </c>
      <c r="BT22" s="16">
        <v>-0.0040071105360594515</v>
      </c>
      <c r="BU22" s="16">
        <v>-0.00000688372822779064</v>
      </c>
      <c r="BV22" s="16">
        <v>0.000005776133817063759</v>
      </c>
      <c r="BW22" s="16">
        <v>-0.006754144572172028</v>
      </c>
      <c r="BX22" s="16">
        <v>-0.000009471595982599151</v>
      </c>
      <c r="BY22" s="16">
        <v>0.000007947612695659158</v>
      </c>
      <c r="BZ22" s="16">
        <v>-0.009501178608284602</v>
      </c>
      <c r="CA22" s="16">
        <v>-0.000012059463737407662</v>
      </c>
      <c r="CB22" s="16">
        <v>0.000010119091574254557</v>
      </c>
      <c r="CC22" s="16">
        <v>-0.020489314752734907</v>
      </c>
      <c r="CD22" s="16">
        <v>-0.000022410934756641707</v>
      </c>
      <c r="CE22" s="16">
        <v>0.00001880500708863615</v>
      </c>
      <c r="CF22" s="16">
        <v>-0.05</v>
      </c>
      <c r="CG22" s="16">
        <v>0</v>
      </c>
      <c r="CH22" s="16">
        <v>0</v>
      </c>
      <c r="CI22" s="45">
        <v>33981.43387592912</v>
      </c>
      <c r="CJ22" s="45">
        <v>33981.43387592912</v>
      </c>
      <c r="CK22" s="45">
        <v>33863.399702958624</v>
      </c>
      <c r="CL22" s="45">
        <v>32899.21981623408</v>
      </c>
      <c r="CM22" s="45">
        <v>30842.125818211876</v>
      </c>
      <c r="CN22" s="45">
        <v>29535.772279034274</v>
      </c>
      <c r="CO22" s="45">
        <v>27634.198706586183</v>
      </c>
      <c r="CP22" s="45">
        <v>25331.45132890057</v>
      </c>
      <c r="CQ22" s="45">
        <v>21760.322248916444</v>
      </c>
      <c r="CR22" s="45">
        <v>20099.396951737763</v>
      </c>
      <c r="CS22" s="45">
        <v>18513.13731805183</v>
      </c>
      <c r="CT22" s="45">
        <v>17004.111375666704</v>
      </c>
      <c r="CU22" s="45">
        <v>15595.283433307739</v>
      </c>
      <c r="CV22" s="45">
        <v>14296.166726999612</v>
      </c>
      <c r="CW22" s="45">
        <v>13108.16712629838</v>
      </c>
      <c r="CX22" s="45">
        <v>11112.679501230268</v>
      </c>
      <c r="CY22" s="45">
        <v>9459.856233908784</v>
      </c>
      <c r="CZ22" s="45">
        <v>8046.687322654508</v>
      </c>
      <c r="DA22" s="45">
        <v>6848.925450177883</v>
      </c>
      <c r="DB22" s="45">
        <v>5046.398268532079</v>
      </c>
      <c r="DC22" s="45">
        <v>3788.3229484121825</v>
      </c>
      <c r="DD22" s="45">
        <v>1887.7959285797729</v>
      </c>
      <c r="DE22" s="45">
        <v>530.255801803785</v>
      </c>
      <c r="DF22" s="45">
        <v>-1612.596664867675</v>
      </c>
      <c r="DG22" s="45">
        <v>-2843.9781608715934</v>
      </c>
      <c r="DH22" s="45">
        <v>-4747.928328036806</v>
      </c>
      <c r="DI22" s="45">
        <v>-5790.583579096708</v>
      </c>
      <c r="DJ22" s="45">
        <v>6.55418261885643e-13</v>
      </c>
      <c r="DK22" s="45">
        <v>6.55418261885643e-13</v>
      </c>
      <c r="DL22" s="45">
        <v>-48.958749949947816</v>
      </c>
      <c r="DM22" s="45">
        <v>-398.07487368961654</v>
      </c>
      <c r="DN22" s="45">
        <v>-1088.2689795255794</v>
      </c>
      <c r="DO22" s="45">
        <v>-1510.5359062884645</v>
      </c>
      <c r="DP22" s="45">
        <v>-2101.5510864134494</v>
      </c>
      <c r="DQ22" s="45">
        <v>-2749.2590197014633</v>
      </c>
      <c r="DR22" s="45">
        <v>-3532.7211669010458</v>
      </c>
      <c r="DS22" s="45">
        <v>-3818.0405401335083</v>
      </c>
      <c r="DT22" s="45">
        <v>-4053.4033227156942</v>
      </c>
      <c r="DU22" s="45">
        <v>-4241.46094610851</v>
      </c>
      <c r="DV22" s="45">
        <v>-4382.332586994836</v>
      </c>
      <c r="DW22" s="45">
        <v>-4474.609540935373</v>
      </c>
      <c r="DX22" s="45">
        <v>-4526.954348123551</v>
      </c>
      <c r="DY22" s="45">
        <v>-4493.501927191643</v>
      </c>
      <c r="DZ22" s="45">
        <v>-4364.208251969574</v>
      </c>
      <c r="EA22" s="45">
        <v>-4190.247699752607</v>
      </c>
      <c r="EB22" s="45">
        <v>-4004.9008574008312</v>
      </c>
      <c r="EC22" s="45">
        <v>-3648.936488645754</v>
      </c>
      <c r="ED22" s="45">
        <v>-3332.614886175481</v>
      </c>
      <c r="EE22" s="45">
        <v>-2820.971901243181</v>
      </c>
      <c r="EF22" s="45">
        <v>-2449.4967885377496</v>
      </c>
      <c r="EG22" s="45">
        <v>-1733.8828488807712</v>
      </c>
      <c r="EH22" s="45">
        <v>-1271.1941975865855</v>
      </c>
      <c r="EI22" s="45">
        <v>-481.9439440512204</v>
      </c>
      <c r="EJ22" s="45">
        <v>0</v>
      </c>
      <c r="EK22" s="45">
        <v>-5.220063030719757e-12</v>
      </c>
      <c r="EL22" s="45">
        <v>-5.220063030719757e-12</v>
      </c>
      <c r="EM22" s="45">
        <v>61.953521070099995</v>
      </c>
      <c r="EN22" s="45">
        <v>493.7327338958014</v>
      </c>
      <c r="EO22" s="45">
        <v>1280.8257430680267</v>
      </c>
      <c r="EP22" s="45">
        <v>1753.738440878117</v>
      </c>
      <c r="EQ22" s="45">
        <v>2419.2792007055427</v>
      </c>
      <c r="ER22" s="45">
        <v>3138.788608692687</v>
      </c>
      <c r="ES22" s="45">
        <v>3910.562698120713</v>
      </c>
      <c r="ET22" s="45">
        <v>4158.582913229491</v>
      </c>
      <c r="EU22" s="45">
        <v>4344.114165484369</v>
      </c>
      <c r="EV22" s="45">
        <v>4479.214604815689</v>
      </c>
      <c r="EW22" s="45">
        <v>4580.792479568259</v>
      </c>
      <c r="EX22" s="45">
        <v>4661.756579654492</v>
      </c>
      <c r="EY22" s="45">
        <v>4734.73162021244</v>
      </c>
      <c r="EZ22" s="45">
        <v>4780.4278574436485</v>
      </c>
      <c r="FA22" s="45">
        <v>4758.621804881603</v>
      </c>
      <c r="FB22" s="45">
        <v>4690.914638154413</v>
      </c>
      <c r="FC22" s="45">
        <v>4570.681848285162</v>
      </c>
      <c r="FD22" s="45">
        <v>4283.99716127675</v>
      </c>
      <c r="FE22" s="45">
        <v>4005.227687459116</v>
      </c>
      <c r="FF22" s="45">
        <v>3507.0550627953053</v>
      </c>
      <c r="FG22" s="45">
        <v>3050.461000333123</v>
      </c>
      <c r="FH22" s="45">
        <v>2186.382614813867</v>
      </c>
      <c r="FI22" s="45">
        <v>1605.6285614258188</v>
      </c>
      <c r="FJ22" s="45">
        <v>609.3567258624712</v>
      </c>
      <c r="FK22" s="45">
        <v>5.960464477539062e-14</v>
      </c>
      <c r="FL22" s="46">
        <f>MAX(1,MIN(26,SUMPRODUCT(--($CI22:$DI22&gt;=Pu))))</f>
      </c>
      <c r="FM22" s="47">
        <f>(Pu-INDEX($CI22:$DI22,1,$FL22))/(INDEX($CI22:$DI22,1,$FL22+1)-INDEX($CI22:$DI22,1,$FL22))</f>
      </c>
      <c r="FN22" s="39">
        <f>INDEX($DJ22:$EJ22,1,$FL22)+$FM22*(INDEX($DJ22:$EJ22,1,$FL22+1)-INDEX($DJ22:$EJ22,1,$FL22))</f>
      </c>
      <c r="FO22" s="39">
        <f>INDEX($EK22:$FK22,1,$FL22)+$FM22*(INDEX($EK22:$FK22,1,$FL22+1)-INDEX($EK22:$FK22,1,$FL22))</f>
      </c>
      <c r="FP22" s="39">
        <f>SQRT(FN22^2+FO22^2)</f>
      </c>
      <c r="FQ22" s="20">
        <f>FN23-FN22</f>
      </c>
      <c r="FR22" s="20">
        <f>FO23-FO22</f>
      </c>
      <c r="FS22" s="20">
        <f>FQ22*SIN(RADIANS(theta_L))-FR22*COS(RADIANS(theta_L))</f>
      </c>
      <c r="FT22" s="47">
        <f>IF(FS22=0,"",-(FN22*SIN(RADIANS(theta_L))-FO22*COS(RADIANS(theta_L)))/FS22)</f>
      </c>
      <c r="FU22" s="20">
        <f>IF(FT22="","",(FN22+FT22*FQ22)*COS(RADIANS(theta_L))+(FO22+FT22*FR22)*SIN(RADIANS(theta_L)))</f>
      </c>
      <c r="FV22" s="20">
        <f>IF(OR(FT22="",FT22&lt;0,FT22&gt;1,FU22&lt;0),"",FU22)</f>
      </c>
    </row>
    <row r="23" spans="1:178" x14ac:dyDescent="0.25">
      <c r="A23">
        <v>16</v>
      </c>
      <c r="B23" s="44">
        <v>149.99999999999997</v>
      </c>
      <c r="C23" s="18">
        <v>794.6152422706632</v>
      </c>
      <c r="D23" s="18">
        <v>-658.9934640057526</v>
      </c>
      <c r="E23" s="18">
        <v>1453.608706276416</v>
      </c>
      <c r="F23" s="16">
        <v>0.0033</v>
      </c>
      <c r="G23" s="16">
        <v>0</v>
      </c>
      <c r="H23" s="16">
        <v>0</v>
      </c>
      <c r="I23" s="16">
        <v>0.00275</v>
      </c>
      <c r="J23" s="16">
        <v>-5.99427177762591e-7</v>
      </c>
      <c r="K23" s="16">
        <v>3.4607944244080984e-7</v>
      </c>
      <c r="L23" s="16">
        <v>0.0024749999999999998</v>
      </c>
      <c r="M23" s="16">
        <v>-8.991407666438865e-7</v>
      </c>
      <c r="N23" s="16">
        <v>5.191191636612148e-7</v>
      </c>
      <c r="O23" s="16">
        <v>0.0022</v>
      </c>
      <c r="P23" s="16">
        <v>-0.000001198854355525182</v>
      </c>
      <c r="Q23" s="16">
        <v>6.921588848816197e-7</v>
      </c>
      <c r="R23" s="16">
        <v>0.001925</v>
      </c>
      <c r="S23" s="16">
        <v>-0.0000014985679444064775</v>
      </c>
      <c r="T23" s="16">
        <v>8.651986061020246e-7</v>
      </c>
      <c r="U23" s="16">
        <v>0.0018000000000000002</v>
      </c>
      <c r="V23" s="16">
        <v>-0.0000016348013938979753</v>
      </c>
      <c r="W23" s="16">
        <v>9.438530248385723e-7</v>
      </c>
      <c r="X23" s="16">
        <v>0.00165</v>
      </c>
      <c r="Y23" s="16">
        <v>-0.000001798281533287773</v>
      </c>
      <c r="Z23" s="16">
        <v>0.0000010382383273224295</v>
      </c>
      <c r="AA23" s="16">
        <v>0.001496054902415706</v>
      </c>
      <c r="AB23" s="16">
        <v>-0.0000019660613066974822</v>
      </c>
      <c r="AC23" s="16">
        <v>0.0000011351060246650998</v>
      </c>
      <c r="AD23" s="16">
        <v>0.0012227298876302068</v>
      </c>
      <c r="AE23" s="16">
        <v>-0.000002263949383469828</v>
      </c>
      <c r="AF23" s="16">
        <v>0.0000013070917859779937</v>
      </c>
      <c r="AG23" s="16">
        <v>0.0010860673802374574</v>
      </c>
      <c r="AH23" s="16">
        <v>-0.000002412893421856001</v>
      </c>
      <c r="AI23" s="16">
        <v>0.0000013930846666344405</v>
      </c>
      <c r="AJ23" s="16">
        <v>0.000949404872844708</v>
      </c>
      <c r="AK23" s="16">
        <v>-0.0000025618374602421736</v>
      </c>
      <c r="AL23" s="16">
        <v>0.0000014790775472908876</v>
      </c>
      <c r="AM23" s="16">
        <v>0.0008127423654519582</v>
      </c>
      <c r="AN23" s="16">
        <v>-0.0000027107814986283468</v>
      </c>
      <c r="AO23" s="16">
        <v>0.0000015650704279473346</v>
      </c>
      <c r="AP23" s="16">
        <v>0.0006760798580592083</v>
      </c>
      <c r="AQ23" s="16">
        <v>-0.00000285972553701452</v>
      </c>
      <c r="AR23" s="16">
        <v>0.0000016510633086037817</v>
      </c>
      <c r="AS23" s="16">
        <v>0.0005394173506664589</v>
      </c>
      <c r="AT23" s="16">
        <v>-0.0000030086695754006927</v>
      </c>
      <c r="AU23" s="16">
        <v>0.0000017370561892602283</v>
      </c>
      <c r="AV23" s="16">
        <v>0.0004027548432737095</v>
      </c>
      <c r="AW23" s="16">
        <v>-0.000003157613613786866</v>
      </c>
      <c r="AX23" s="16">
        <v>0.0000018230490699166755</v>
      </c>
      <c r="AY23" s="16">
        <v>0.00012942982848821068</v>
      </c>
      <c r="AZ23" s="16">
        <v>-0.000003455501690559211</v>
      </c>
      <c r="BA23" s="16">
        <v>0.000001995034831229569</v>
      </c>
      <c r="BB23" s="16">
        <v>-0.00014389518629728901</v>
      </c>
      <c r="BC23" s="16">
        <v>-0.0000037533897673315573</v>
      </c>
      <c r="BD23" s="16">
        <v>0.000002167020592542463</v>
      </c>
      <c r="BE23" s="16">
        <v>-0.00041722020108278784</v>
      </c>
      <c r="BF23" s="16">
        <v>-0.000004051277844103903</v>
      </c>
      <c r="BG23" s="16">
        <v>0.000002339006353855357</v>
      </c>
      <c r="BH23" s="16">
        <v>-0.0006905452158682867</v>
      </c>
      <c r="BI23" s="16">
        <v>-0.000004349165920876249</v>
      </c>
      <c r="BJ23" s="16">
        <v>0.000002510992115168251</v>
      </c>
      <c r="BK23" s="16">
        <v>-0.0012371952454392852</v>
      </c>
      <c r="BL23" s="16">
        <v>-0.0000049449420744209405</v>
      </c>
      <c r="BM23" s="16">
        <v>0.0000028549636377940386</v>
      </c>
      <c r="BN23" s="16">
        <v>-0.0017838452750102828</v>
      </c>
      <c r="BO23" s="16">
        <v>-0.0000055407182279656314</v>
      </c>
      <c r="BP23" s="16">
        <v>0.0000031989351604198264</v>
      </c>
      <c r="BQ23" s="16">
        <v>-0.0028771453341522807</v>
      </c>
      <c r="BR23" s="16">
        <v>-0.000006732270535055016</v>
      </c>
      <c r="BS23" s="16">
        <v>0.000003886878205671403</v>
      </c>
      <c r="BT23" s="16">
        <v>-0.003970445393294277</v>
      </c>
      <c r="BU23" s="16">
        <v>-0.000007923822842144399</v>
      </c>
      <c r="BV23" s="16">
        <v>0.000004574821250922978</v>
      </c>
      <c r="BW23" s="16">
        <v>-0.006703695541149268</v>
      </c>
      <c r="BX23" s="16">
        <v>-0.000010902703609867857</v>
      </c>
      <c r="BY23" s="16">
        <v>0.000006294678864051917</v>
      </c>
      <c r="BZ23" s="16">
        <v>-0.009436945689004262</v>
      </c>
      <c r="CA23" s="16">
        <v>-0.000013881584377591317</v>
      </c>
      <c r="CB23" s="16">
        <v>0.000008014536477180857</v>
      </c>
      <c r="CC23" s="16">
        <v>-0.020369946280424222</v>
      </c>
      <c r="CD23" s="16">
        <v>-0.000025797107448485148</v>
      </c>
      <c r="CE23" s="16">
        <v>0.000014893966929696612</v>
      </c>
      <c r="CF23" s="16">
        <v>-0.05</v>
      </c>
      <c r="CG23" s="16">
        <v>0</v>
      </c>
      <c r="CH23" s="16">
        <v>0</v>
      </c>
      <c r="CI23" s="45">
        <v>33981.43387592912</v>
      </c>
      <c r="CJ23" s="45">
        <v>33981.43387592912</v>
      </c>
      <c r="CK23" s="45">
        <v>33876.032423720506</v>
      </c>
      <c r="CL23" s="45">
        <v>32906.00896253187</v>
      </c>
      <c r="CM23" s="45">
        <v>30851.92170191501</v>
      </c>
      <c r="CN23" s="45">
        <v>29530.365543009226</v>
      </c>
      <c r="CO23" s="45">
        <v>27606.287904631015</v>
      </c>
      <c r="CP23" s="45">
        <v>25380.737018622607</v>
      </c>
      <c r="CQ23" s="45">
        <v>21707.524511551168</v>
      </c>
      <c r="CR23" s="45">
        <v>20027.977686561753</v>
      </c>
      <c r="CS23" s="45">
        <v>18459.700761718</v>
      </c>
      <c r="CT23" s="45">
        <v>17010.06513182722</v>
      </c>
      <c r="CU23" s="45">
        <v>15697.191393702924</v>
      </c>
      <c r="CV23" s="45">
        <v>14509.847419832777</v>
      </c>
      <c r="CW23" s="45">
        <v>13400.03008413472</v>
      </c>
      <c r="CX23" s="45">
        <v>11482.620029205329</v>
      </c>
      <c r="CY23" s="45">
        <v>9855.756716821383</v>
      </c>
      <c r="CZ23" s="45">
        <v>8506.000783745014</v>
      </c>
      <c r="DA23" s="45">
        <v>7315.769153577812</v>
      </c>
      <c r="DB23" s="45">
        <v>5445.803689066823</v>
      </c>
      <c r="DC23" s="45">
        <v>3997.387410376516</v>
      </c>
      <c r="DD23" s="45">
        <v>1949.8973719397882</v>
      </c>
      <c r="DE23" s="45">
        <v>509.633182821041</v>
      </c>
      <c r="DF23" s="45">
        <v>-1807.5002700487496</v>
      </c>
      <c r="DG23" s="45">
        <v>-3145.9229606543713</v>
      </c>
      <c r="DH23" s="45">
        <v>-5044.245735349632</v>
      </c>
      <c r="DI23" s="45">
        <v>-5790.583579096708</v>
      </c>
      <c r="DJ23" s="45">
        <v>6.55418261885643e-13</v>
      </c>
      <c r="DK23" s="45">
        <v>6.55418261885643e-13</v>
      </c>
      <c r="DL23" s="45">
        <v>-48.82677273249524</v>
      </c>
      <c r="DM23" s="45">
        <v>-451.61693024945544</v>
      </c>
      <c r="DN23" s="45">
        <v>-1225.0723114306484</v>
      </c>
      <c r="DO23" s="45">
        <v>-1702.4499008397042</v>
      </c>
      <c r="DP23" s="45">
        <v>-2381.6927872113242</v>
      </c>
      <c r="DQ23" s="45">
        <v>-3127.08126746846</v>
      </c>
      <c r="DR23" s="45">
        <v>-4145.3008580027235</v>
      </c>
      <c r="DS23" s="45">
        <v>-4522.005748210319</v>
      </c>
      <c r="DT23" s="45">
        <v>-4823.786066720646</v>
      </c>
      <c r="DU23" s="45">
        <v>-5045.744661282662</v>
      </c>
      <c r="DV23" s="45">
        <v>-5194.549653500879</v>
      </c>
      <c r="DW23" s="45">
        <v>-5287.121300461979</v>
      </c>
      <c r="DX23" s="45">
        <v>-5345.534657736141</v>
      </c>
      <c r="DY23" s="45">
        <v>-5332.733812545469</v>
      </c>
      <c r="DZ23" s="45">
        <v>-5211.147246092593</v>
      </c>
      <c r="EA23" s="45">
        <v>-5022.4899501368245</v>
      </c>
      <c r="EB23" s="45">
        <v>-4796.765707672195</v>
      </c>
      <c r="EC23" s="45">
        <v>-4296.292370197109</v>
      </c>
      <c r="ED23" s="45">
        <v>-3874.8874951089133</v>
      </c>
      <c r="EE23" s="45">
        <v>-3246.0607146233892</v>
      </c>
      <c r="EF23" s="45">
        <v>-2732.1097803069597</v>
      </c>
      <c r="EG23" s="45">
        <v>-1813.692983001575</v>
      </c>
      <c r="EH23" s="45">
        <v>-1249.9554175270023</v>
      </c>
      <c r="EI23" s="45">
        <v>-389.3207116980091</v>
      </c>
      <c r="EJ23" s="45">
        <v>0</v>
      </c>
      <c r="EK23" s="45">
        <v>-5.220063030719757e-12</v>
      </c>
      <c r="EL23" s="45">
        <v>-5.220063030719757e-12</v>
      </c>
      <c r="EM23" s="45">
        <v>49.00876038762486</v>
      </c>
      <c r="EN23" s="45">
        <v>395.3026346468644</v>
      </c>
      <c r="EO23" s="45">
        <v>1044.9474662340915</v>
      </c>
      <c r="EP23" s="45">
        <v>1429.3873844491482</v>
      </c>
      <c r="EQ23" s="45">
        <v>1956.4233746819339</v>
      </c>
      <c r="ER23" s="45">
        <v>2508.7943372891564</v>
      </c>
      <c r="ES23" s="45">
        <v>3072.5485790399744</v>
      </c>
      <c r="ET23" s="45">
        <v>3217.804563413731</v>
      </c>
      <c r="EU23" s="45">
        <v>3317.9925711855376</v>
      </c>
      <c r="EV23" s="45">
        <v>3397.542972175255</v>
      </c>
      <c r="EW23" s="45">
        <v>3475.4697803282047</v>
      </c>
      <c r="EX23" s="45">
        <v>3554.293561438723</v>
      </c>
      <c r="EY23" s="45">
        <v>3624.1906109761353</v>
      </c>
      <c r="EZ23" s="45">
        <v>3682.544096439456</v>
      </c>
      <c r="FA23" s="45">
        <v>3694.3509130744646</v>
      </c>
      <c r="FB23" s="45">
        <v>3660.613517515544</v>
      </c>
      <c r="FC23" s="45">
        <v>3632.0901167991974</v>
      </c>
      <c r="FD23" s="45">
        <v>3538.8952098945</v>
      </c>
      <c r="FE23" s="45">
        <v>3370.2552296006297</v>
      </c>
      <c r="FF23" s="45">
        <v>2927.05646436924</v>
      </c>
      <c r="FG23" s="45">
        <v>2574.973232754143</v>
      </c>
      <c r="FH23" s="45">
        <v>1854.0928130728937</v>
      </c>
      <c r="FI23" s="45">
        <v>1314.1407121190196</v>
      </c>
      <c r="FJ23" s="45">
        <v>390.1156249147635</v>
      </c>
      <c r="FK23" s="45">
        <v>5.960464477539062e-14</v>
      </c>
      <c r="FL23" s="46">
        <f>MAX(1,MIN(26,SUMPRODUCT(--($CI23:$DI23&gt;=Pu))))</f>
      </c>
      <c r="FM23" s="47">
        <f>(Pu-INDEX($CI23:$DI23,1,$FL23))/(INDEX($CI23:$DI23,1,$FL23+1)-INDEX($CI23:$DI23,1,$FL23))</f>
      </c>
      <c r="FN23" s="39">
        <f>INDEX($DJ23:$EJ23,1,$FL23)+$FM23*(INDEX($DJ23:$EJ23,1,$FL23+1)-INDEX($DJ23:$EJ23,1,$FL23))</f>
      </c>
      <c r="FO23" s="39">
        <f>INDEX($EK23:$FK23,1,$FL23)+$FM23*(INDEX($EK23:$FK23,1,$FL23+1)-INDEX($EK23:$FK23,1,$FL23))</f>
      </c>
      <c r="FP23" s="39">
        <f>SQRT(FN23^2+FO23^2)</f>
      </c>
      <c r="FQ23" s="20">
        <f>FN24-FN23</f>
      </c>
      <c r="FR23" s="20">
        <f>FO24-FO23</f>
      </c>
      <c r="FS23" s="20">
        <f>FQ23*SIN(RADIANS(theta_L))-FR23*COS(RADIANS(theta_L))</f>
      </c>
      <c r="FT23" s="47">
        <f>IF(FS23=0,"",-(FN23*SIN(RADIANS(theta_L))-FO23*COS(RADIANS(theta_L)))/FS23)</f>
      </c>
      <c r="FU23" s="20">
        <f>IF(FT23="","",(FN23+FT23*FQ23)*COS(RADIANS(theta_L))+(FO23+FT23*FR23)*SIN(RADIANS(theta_L)))</f>
      </c>
      <c r="FV23" s="20">
        <f>IF(OR(FT23="",FT23&lt;0,FT23&gt;1,FU23&lt;0),"",FU23)</f>
      </c>
    </row>
    <row r="24" spans="1:178" x14ac:dyDescent="0.25">
      <c r="A24">
        <v>17</v>
      </c>
      <c r="B24" s="44">
        <v>160</v>
      </c>
      <c r="C24" s="18">
        <v>751.9266513006629</v>
      </c>
      <c r="D24" s="18">
        <v>-634.845146346799</v>
      </c>
      <c r="E24" s="18">
        <v>1386.7717976474619</v>
      </c>
      <c r="F24" s="16">
        <v>0.0033</v>
      </c>
      <c r="G24" s="16">
        <v>0</v>
      </c>
      <c r="H24" s="16">
        <v>0</v>
      </c>
      <c r="I24" s="16">
        <v>0.00275</v>
      </c>
      <c r="J24" s="16">
        <v>-6.873422301739791e-7</v>
      </c>
      <c r="K24" s="16">
        <v>2.501721125374773e-7</v>
      </c>
      <c r="L24" s="16">
        <v>0.0024749999999999998</v>
      </c>
      <c r="M24" s="16">
        <v>-0.0000010310133452609685</v>
      </c>
      <c r="N24" s="16">
        <v>3.752581688062159e-7</v>
      </c>
      <c r="O24" s="16">
        <v>0.0021999999999999997</v>
      </c>
      <c r="P24" s="16">
        <v>-0.0000013746844603479583</v>
      </c>
      <c r="Q24" s="16">
        <v>5.003442250749546e-7</v>
      </c>
      <c r="R24" s="16">
        <v>0.0019249999999999998</v>
      </c>
      <c r="S24" s="16">
        <v>-0.000001718355575434948</v>
      </c>
      <c r="T24" s="16">
        <v>6.254302813436933e-7</v>
      </c>
      <c r="U24" s="16">
        <v>0.0018</v>
      </c>
      <c r="V24" s="16">
        <v>-0.0000018745697186563068</v>
      </c>
      <c r="W24" s="16">
        <v>6.822875796476654e-7</v>
      </c>
      <c r="X24" s="16">
        <v>0.00165</v>
      </c>
      <c r="Y24" s="16">
        <v>-0.000002062026690521937</v>
      </c>
      <c r="Z24" s="16">
        <v>7.505163376124318e-7</v>
      </c>
      <c r="AA24" s="16">
        <v>0.0015106948284486345</v>
      </c>
      <c r="AB24" s="16">
        <v>-0.0000022361181946835452</v>
      </c>
      <c r="AC24" s="16">
        <v>8.138804631658879e-7</v>
      </c>
      <c r="AD24" s="16">
        <v>0.0012395879842741846</v>
      </c>
      <c r="AE24" s="16">
        <v>-0.00000257492398175681</v>
      </c>
      <c r="AF24" s="16">
        <v>9.371956848576892e-7</v>
      </c>
      <c r="AG24" s="16">
        <v>0.0011040345621869604</v>
      </c>
      <c r="AH24" s="16">
        <v>-0.0000027443268752934418</v>
      </c>
      <c r="AI24" s="16">
        <v>9.988532957035898e-7</v>
      </c>
      <c r="AJ24" s="16">
        <v>0.0009684811400997354</v>
      </c>
      <c r="AK24" s="16">
        <v>-0.0000029137297688300742</v>
      </c>
      <c r="AL24" s="16">
        <v>0.0000010605109065494904</v>
      </c>
      <c r="AM24" s="16">
        <v>0.0008329277180125108</v>
      </c>
      <c r="AN24" s="16">
        <v>-0.0000030831326623667067</v>
      </c>
      <c r="AO24" s="16">
        <v>0.000001122168517395391</v>
      </c>
      <c r="AP24" s="16">
        <v>0.0006973742959252862</v>
      </c>
      <c r="AQ24" s="16">
        <v>-0.000003252535555903339</v>
      </c>
      <c r="AR24" s="16">
        <v>0.0000011838261282412916</v>
      </c>
      <c r="AS24" s="16">
        <v>0.0005618208738380616</v>
      </c>
      <c r="AT24" s="16">
        <v>-0.000003421938449439971</v>
      </c>
      <c r="AU24" s="16">
        <v>0.000001245483739087192</v>
      </c>
      <c r="AV24" s="16">
        <v>0.00042626745175083696</v>
      </c>
      <c r="AW24" s="16">
        <v>-0.0000035913413429766032</v>
      </c>
      <c r="AX24" s="16">
        <v>0.0000013071413499330929</v>
      </c>
      <c r="AY24" s="16">
        <v>0.00015516060757638775</v>
      </c>
      <c r="AZ24" s="16">
        <v>-0.000003930147130049868</v>
      </c>
      <c r="BA24" s="16">
        <v>0.0000014304565716248937</v>
      </c>
      <c r="BB24" s="16">
        <v>-0.0001159462365980619</v>
      </c>
      <c r="BC24" s="16">
        <v>-0.000004268952917123132</v>
      </c>
      <c r="BD24" s="16">
        <v>0.0000015537717933166952</v>
      </c>
      <c r="BE24" s="16">
        <v>-0.0003870530807725111</v>
      </c>
      <c r="BF24" s="16">
        <v>-0.000004607758704196397</v>
      </c>
      <c r="BG24" s="16">
        <v>0.0000016770870150084964</v>
      </c>
      <c r="BH24" s="16">
        <v>-0.0006581599249469612</v>
      </c>
      <c r="BI24" s="16">
        <v>-0.000004946564491269662</v>
      </c>
      <c r="BJ24" s="16">
        <v>0.0000018004022367002976</v>
      </c>
      <c r="BK24" s="16">
        <v>-0.0012003736132958596</v>
      </c>
      <c r="BL24" s="16">
        <v>-0.00000562417606541619</v>
      </c>
      <c r="BM24" s="16">
        <v>0.0000020470326800839</v>
      </c>
      <c r="BN24" s="16">
        <v>-0.001742587301644758</v>
      </c>
      <c r="BO24" s="16">
        <v>-0.000006301787639562719</v>
      </c>
      <c r="BP24" s="16">
        <v>0.0000022936631234675024</v>
      </c>
      <c r="BQ24" s="16">
        <v>-0.002827014678342556</v>
      </c>
      <c r="BR24" s="16">
        <v>-0.000007657010787855777</v>
      </c>
      <c r="BS24" s="16">
        <v>0.0000027869240102347073</v>
      </c>
      <c r="BT24" s="16">
        <v>-0.003911442055040353</v>
      </c>
      <c r="BU24" s="16">
        <v>-0.000009012233936148835</v>
      </c>
      <c r="BV24" s="16">
        <v>0.000003280184897001912</v>
      </c>
      <c r="BW24" s="16">
        <v>-0.006622510496784847</v>
      </c>
      <c r="BX24" s="16">
        <v>-0.000012400291806881479</v>
      </c>
      <c r="BY24" s="16">
        <v>0.000004513337113919924</v>
      </c>
      <c r="BZ24" s="16">
        <v>-0.00933357893852934</v>
      </c>
      <c r="CA24" s="16">
        <v>-0.000015788349677614123</v>
      </c>
      <c r="CB24" s="16">
        <v>0.000005746489330837936</v>
      </c>
      <c r="CC24" s="16">
        <v>-0.020177852705507315</v>
      </c>
      <c r="CD24" s="16">
        <v>-0.000029340581160544703</v>
      </c>
      <c r="CE24" s="16">
        <v>0.000010679098198509985</v>
      </c>
      <c r="CF24" s="16">
        <v>-0.05</v>
      </c>
      <c r="CG24" s="16">
        <v>0</v>
      </c>
      <c r="CH24" s="16">
        <v>0</v>
      </c>
      <c r="CI24" s="45">
        <v>33981.43387592912</v>
      </c>
      <c r="CJ24" s="45">
        <v>33981.43387592912</v>
      </c>
      <c r="CK24" s="45">
        <v>33866.46043470934</v>
      </c>
      <c r="CL24" s="45">
        <v>32846.244609645684</v>
      </c>
      <c r="CM24" s="45">
        <v>30697.219949188813</v>
      </c>
      <c r="CN24" s="45">
        <v>29309.6097443066</v>
      </c>
      <c r="CO24" s="45">
        <v>27300.750818011173</v>
      </c>
      <c r="CP24" s="45">
        <v>25172.733490727733</v>
      </c>
      <c r="CQ24" s="45">
        <v>21360.98716647161</v>
      </c>
      <c r="CR24" s="45">
        <v>19730.60798691844</v>
      </c>
      <c r="CS24" s="45">
        <v>18285.33534803117</v>
      </c>
      <c r="CT24" s="45">
        <v>17006.17177091882</v>
      </c>
      <c r="CU24" s="45">
        <v>15841.58145508318</v>
      </c>
      <c r="CV24" s="45">
        <v>14755.360392492448</v>
      </c>
      <c r="CW24" s="45">
        <v>13737.084597095234</v>
      </c>
      <c r="CX24" s="45">
        <v>11968.347317246924</v>
      </c>
      <c r="CY24" s="45">
        <v>10539.206333801088</v>
      </c>
      <c r="CZ24" s="45">
        <v>9328.107551995714</v>
      </c>
      <c r="DA24" s="45">
        <v>8304.338217146409</v>
      </c>
      <c r="DB24" s="45">
        <v>6449.765646713419</v>
      </c>
      <c r="DC24" s="45">
        <v>4910.892907757391</v>
      </c>
      <c r="DD24" s="45">
        <v>2614.200481915442</v>
      </c>
      <c r="DE24" s="45">
        <v>1068.158012931651</v>
      </c>
      <c r="DF24" s="45">
        <v>-1527.4808413953674</v>
      </c>
      <c r="DG24" s="45">
        <v>-3013.774870172399</v>
      </c>
      <c r="DH24" s="45">
        <v>-5064.846896047958</v>
      </c>
      <c r="DI24" s="45">
        <v>-5790.583579096708</v>
      </c>
      <c r="DJ24" s="45">
        <v>6.55418261885643e-13</v>
      </c>
      <c r="DK24" s="45">
        <v>6.55418261885643e-13</v>
      </c>
      <c r="DL24" s="45">
        <v>-56.91913748612648</v>
      </c>
      <c r="DM24" s="45">
        <v>-522.0529703940143</v>
      </c>
      <c r="DN24" s="45">
        <v>-1409.5712960921974</v>
      </c>
      <c r="DO24" s="45">
        <v>-1952.5973421514973</v>
      </c>
      <c r="DP24" s="45">
        <v>-2720.3181651620525</v>
      </c>
      <c r="DQ24" s="45">
        <v>-3501.781795613699</v>
      </c>
      <c r="DR24" s="45">
        <v>-4715.179969752153</v>
      </c>
      <c r="DS24" s="45">
        <v>-5138.519927349573</v>
      </c>
      <c r="DT24" s="45">
        <v>-5448.856768776006</v>
      </c>
      <c r="DU24" s="45">
        <v>-5665.290932819792</v>
      </c>
      <c r="DV24" s="45">
        <v>-5816.184773196854</v>
      </c>
      <c r="DW24" s="45">
        <v>-5927.414130888652</v>
      </c>
      <c r="DX24" s="45">
        <v>-6010.378867388586</v>
      </c>
      <c r="DY24" s="45">
        <v>-6051.790660153101</v>
      </c>
      <c r="DZ24" s="45">
        <v>-5958.179081079269</v>
      </c>
      <c r="EA24" s="45">
        <v>-5787.017731851669</v>
      </c>
      <c r="EB24" s="45">
        <v>-5571.273697428158</v>
      </c>
      <c r="EC24" s="45">
        <v>-5111.531530264861</v>
      </c>
      <c r="ED24" s="45">
        <v>-4661.28482362186</v>
      </c>
      <c r="EE24" s="45">
        <v>-3840.1740430725195</v>
      </c>
      <c r="EF24" s="45">
        <v>-3222.2946150285284</v>
      </c>
      <c r="EG24" s="45">
        <v>-2097.1878703522852</v>
      </c>
      <c r="EH24" s="45">
        <v>-1396.4195364665704</v>
      </c>
      <c r="EI24" s="45">
        <v>-393.5871041442493</v>
      </c>
      <c r="EJ24" s="45">
        <v>0</v>
      </c>
      <c r="EK24" s="45">
        <v>-5.220063030719757e-12</v>
      </c>
      <c r="EL24" s="45">
        <v>-5.220063030719757e-12</v>
      </c>
      <c r="EM24" s="45">
        <v>42.24822612637365</v>
      </c>
      <c r="EN24" s="45">
        <v>301.8082060193556</v>
      </c>
      <c r="EO24" s="45">
        <v>778.50154163991</v>
      </c>
      <c r="EP24" s="45">
        <v>1063.1919130931306</v>
      </c>
      <c r="EQ24" s="45">
        <v>1453.9460873012738</v>
      </c>
      <c r="ER24" s="45">
        <v>1817.9940195256252</v>
      </c>
      <c r="ES24" s="45">
        <v>2143.7265997812547</v>
      </c>
      <c r="ET24" s="45">
        <v>2186.7647164589166</v>
      </c>
      <c r="EU24" s="45">
        <v>2220.820369769435</v>
      </c>
      <c r="EV24" s="45">
        <v>2258.6741248095495</v>
      </c>
      <c r="EW24" s="45">
        <v>2306.9564840841144</v>
      </c>
      <c r="EX24" s="45">
        <v>2356.6800105447787</v>
      </c>
      <c r="EY24" s="45">
        <v>2407.1256724062887</v>
      </c>
      <c r="EZ24" s="45">
        <v>2477.04987814416</v>
      </c>
      <c r="FA24" s="45">
        <v>2492.7102488303553</v>
      </c>
      <c r="FB24" s="45">
        <v>2531.1486575665463</v>
      </c>
      <c r="FC24" s="45">
        <v>2544.5965267164315</v>
      </c>
      <c r="FD24" s="45">
        <v>2546.068484370609</v>
      </c>
      <c r="FE24" s="45">
        <v>2476.13697414869</v>
      </c>
      <c r="FF24" s="45">
        <v>2329.1979741880114</v>
      </c>
      <c r="FG24" s="45">
        <v>2097.373178438847</v>
      </c>
      <c r="FH24" s="45">
        <v>1555.283866677683</v>
      </c>
      <c r="FI24" s="45">
        <v>1143.0389241118341</v>
      </c>
      <c r="FJ24" s="45">
        <v>342.864959626809</v>
      </c>
      <c r="FK24" s="45">
        <v>5.960464477539062e-14</v>
      </c>
      <c r="FL24" s="46">
        <f>MAX(1,MIN(26,SUMPRODUCT(--($CI24:$DI24&gt;=Pu))))</f>
      </c>
      <c r="FM24" s="47">
        <f>(Pu-INDEX($CI24:$DI24,1,$FL24))/(INDEX($CI24:$DI24,1,$FL24+1)-INDEX($CI24:$DI24,1,$FL24))</f>
      </c>
      <c r="FN24" s="39">
        <f>INDEX($DJ24:$EJ24,1,$FL24)+$FM24*(INDEX($DJ24:$EJ24,1,$FL24+1)-INDEX($DJ24:$EJ24,1,$FL24))</f>
      </c>
      <c r="FO24" s="39">
        <f>INDEX($EK24:$FK24,1,$FL24)+$FM24*(INDEX($EK24:$FK24,1,$FL24+1)-INDEX($EK24:$FK24,1,$FL24))</f>
      </c>
      <c r="FP24" s="39">
        <f>SQRT(FN24^2+FO24^2)</f>
      </c>
      <c r="FQ24" s="20">
        <f>FN25-FN24</f>
      </c>
      <c r="FR24" s="20">
        <f>FO25-FO24</f>
      </c>
      <c r="FS24" s="20">
        <f>FQ24*SIN(RADIANS(theta_L))-FR24*COS(RADIANS(theta_L))</f>
      </c>
      <c r="FT24" s="47">
        <f>IF(FS24=0,"",-(FN24*SIN(RADIANS(theta_L))-FO24*COS(RADIANS(theta_L)))/FS24)</f>
      </c>
      <c r="FU24" s="20">
        <f>IF(FT24="","",(FN24+FT24*FQ24)*COS(RADIANS(theta_L))+(FO24+FT24*FR24)*SIN(RADIANS(theta_L)))</f>
      </c>
      <c r="FV24" s="20">
        <f>IF(OR(FT24="",FT24&lt;0,FT24&gt;1,FU24&lt;0),"",FU24)</f>
      </c>
    </row>
    <row r="25" spans="1:178" x14ac:dyDescent="0.25">
      <c r="A25">
        <v>18</v>
      </c>
      <c r="B25" s="44">
        <v>170</v>
      </c>
      <c r="C25" s="18">
        <v>686.3911495241364</v>
      </c>
      <c r="D25" s="18">
        <v>-591.4073801632424</v>
      </c>
      <c r="E25" s="18">
        <v>1277.7985296873787</v>
      </c>
      <c r="F25" s="16">
        <v>0.0033</v>
      </c>
      <c r="G25" s="16">
        <v>0</v>
      </c>
      <c r="H25" s="16">
        <v>0</v>
      </c>
      <c r="I25" s="16">
        <v>0.00275</v>
      </c>
      <c r="J25" s="16">
        <v>-7.891189513912401e-7</v>
      </c>
      <c r="K25" s="16">
        <v>1.3914296211864725e-7</v>
      </c>
      <c r="L25" s="16">
        <v>0.0024749999999999998</v>
      </c>
      <c r="M25" s="16">
        <v>-0.0000011836784270868602</v>
      </c>
      <c r="N25" s="16">
        <v>2.087144431779709e-7</v>
      </c>
      <c r="O25" s="16">
        <v>0.0021999999999999997</v>
      </c>
      <c r="P25" s="16">
        <v>-0.0000015782379027824802</v>
      </c>
      <c r="Q25" s="16">
        <v>2.782859242372945e-7</v>
      </c>
      <c r="R25" s="16">
        <v>0.001925</v>
      </c>
      <c r="S25" s="16">
        <v>-0.0000019727973784781</v>
      </c>
      <c r="T25" s="16">
        <v>3.4785740529661813e-7</v>
      </c>
      <c r="U25" s="16">
        <v>0.0018000000000000002</v>
      </c>
      <c r="V25" s="16">
        <v>-0.000002152142594703382</v>
      </c>
      <c r="W25" s="16">
        <v>3.7948080577812884e-7</v>
      </c>
      <c r="X25" s="16">
        <v>0.00165</v>
      </c>
      <c r="Y25" s="16">
        <v>-0.0000023673568541737205</v>
      </c>
      <c r="Z25" s="16">
        <v>4.174288863559418e-7</v>
      </c>
      <c r="AA25" s="16">
        <v>0.0015273490375796422</v>
      </c>
      <c r="AB25" s="16">
        <v>-0.0000025433317611778644</v>
      </c>
      <c r="AC25" s="16">
        <v>4.4845801038843535e-7</v>
      </c>
      <c r="AD25" s="16">
        <v>0.0012587655584250425</v>
      </c>
      <c r="AE25" s="16">
        <v>-0.0000029286850583260253</v>
      </c>
      <c r="AF25" s="16">
        <v>5.164061937806226e-7</v>
      </c>
      <c r="AG25" s="16">
        <v>0.0011244738188477426</v>
      </c>
      <c r="AH25" s="16">
        <v>-0.000003121361706900106</v>
      </c>
      <c r="AI25" s="16">
        <v>5.503802854767161e-7</v>
      </c>
      <c r="AJ25" s="16">
        <v>0.0009901820792704427</v>
      </c>
      <c r="AK25" s="16">
        <v>-0.0000033140383554741867</v>
      </c>
      <c r="AL25" s="16">
        <v>5.843543771728097e-7</v>
      </c>
      <c r="AM25" s="16">
        <v>0.0008558903396931432</v>
      </c>
      <c r="AN25" s="16">
        <v>-0.0000035067150040482674</v>
      </c>
      <c r="AO25" s="16">
        <v>6.183284688689032e-7</v>
      </c>
      <c r="AP25" s="16">
        <v>0.0007215986001158428</v>
      </c>
      <c r="AQ25" s="16">
        <v>-0.0000036993916526223485</v>
      </c>
      <c r="AR25" s="16">
        <v>6.52302560564997e-7</v>
      </c>
      <c r="AS25" s="16">
        <v>0.0005873068605385437</v>
      </c>
      <c r="AT25" s="16">
        <v>-0.000003892068301196428</v>
      </c>
      <c r="AU25" s="16">
        <v>6.862766522610904e-7</v>
      </c>
      <c r="AV25" s="16">
        <v>0.0004530151209612434</v>
      </c>
      <c r="AW25" s="16">
        <v>-0.00000408474494977051</v>
      </c>
      <c r="AX25" s="16">
        <v>7.20250743957184e-7</v>
      </c>
      <c r="AY25" s="16">
        <v>0.00018443164180664395</v>
      </c>
      <c r="AZ25" s="16">
        <v>-0.00000447009824691867</v>
      </c>
      <c r="BA25" s="16">
        <v>7.881989273493713e-7</v>
      </c>
      <c r="BB25" s="16">
        <v>-0.00008415183734795592</v>
      </c>
      <c r="BC25" s="16">
        <v>-0.000004855451544066832</v>
      </c>
      <c r="BD25" s="16">
        <v>8.561471107415584e-7</v>
      </c>
      <c r="BE25" s="16">
        <v>-0.0003527353165025558</v>
      </c>
      <c r="BF25" s="16">
        <v>-0.000005240804841214993</v>
      </c>
      <c r="BG25" s="16">
        <v>9.240952941337456e-7</v>
      </c>
      <c r="BH25" s="16">
        <v>-0.0006213187956571557</v>
      </c>
      <c r="BI25" s="16">
        <v>-0.000005626158138363154</v>
      </c>
      <c r="BJ25" s="16">
        <v>9.920434775259328e-7</v>
      </c>
      <c r="BK25" s="16">
        <v>-0.0011584857539663545</v>
      </c>
      <c r="BL25" s="16">
        <v>-0.000006396864732659477</v>
      </c>
      <c r="BM25" s="16">
        <v>0.000001127939844310307</v>
      </c>
      <c r="BN25" s="16">
        <v>-0.0016956527122755534</v>
      </c>
      <c r="BO25" s="16">
        <v>-0.000007167571326955799</v>
      </c>
      <c r="BP25" s="16">
        <v>0.0000012638362110946814</v>
      </c>
      <c r="BQ25" s="16">
        <v>-0.0027699866288939537</v>
      </c>
      <c r="BR25" s="16">
        <v>-0.000008708984515548445</v>
      </c>
      <c r="BS25" s="16">
        <v>0.0000015356289446634304</v>
      </c>
      <c r="BT25" s="16">
        <v>-0.0038443205455123515</v>
      </c>
      <c r="BU25" s="16">
        <v>-0.000010250397704141089</v>
      </c>
      <c r="BV25" s="16">
        <v>0.0000018074216782321788</v>
      </c>
      <c r="BW25" s="16">
        <v>-0.006530155337058348</v>
      </c>
      <c r="BX25" s="16">
        <v>-0.000014103930675622702</v>
      </c>
      <c r="BY25" s="16">
        <v>0.0000024869035121540506</v>
      </c>
      <c r="BZ25" s="16">
        <v>-0.009215990128604346</v>
      </c>
      <c r="CA25" s="16">
        <v>-0.000017957463647104316</v>
      </c>
      <c r="CB25" s="16">
        <v>0.000003166385346075923</v>
      </c>
      <c r="CC25" s="16">
        <v>-0.019959329294788327</v>
      </c>
      <c r="CD25" s="16">
        <v>-0.00003337159553303076</v>
      </c>
      <c r="CE25" s="16">
        <v>0.000005884312681763409</v>
      </c>
      <c r="CF25" s="16">
        <v>-0.05</v>
      </c>
      <c r="CG25" s="16">
        <v>0</v>
      </c>
      <c r="CH25" s="16">
        <v>0</v>
      </c>
      <c r="CI25" s="45">
        <v>33981.43387592912</v>
      </c>
      <c r="CJ25" s="45">
        <v>33981.43387592912</v>
      </c>
      <c r="CK25" s="45">
        <v>33817.69819449096</v>
      </c>
      <c r="CL25" s="45">
        <v>32659.152233986217</v>
      </c>
      <c r="CM25" s="45">
        <v>30287.887092940524</v>
      </c>
      <c r="CN25" s="45">
        <v>28772.248196924425</v>
      </c>
      <c r="CO25" s="45">
        <v>26602.768355528173</v>
      </c>
      <c r="CP25" s="45">
        <v>24605.38698064708</v>
      </c>
      <c r="CQ25" s="45">
        <v>20759.985824739164</v>
      </c>
      <c r="CR25" s="45">
        <v>19288.583017044384</v>
      </c>
      <c r="CS25" s="45">
        <v>18032.0207927484</v>
      </c>
      <c r="CT25" s="45">
        <v>16898.562411681454</v>
      </c>
      <c r="CU25" s="45">
        <v>15852.082122324548</v>
      </c>
      <c r="CV25" s="45">
        <v>14873.106437773695</v>
      </c>
      <c r="CW25" s="45">
        <v>13951.279006534854</v>
      </c>
      <c r="CX25" s="45">
        <v>12422.05161413835</v>
      </c>
      <c r="CY25" s="45">
        <v>11243.614950790728</v>
      </c>
      <c r="CZ25" s="45">
        <v>10232.993853214319</v>
      </c>
      <c r="DA25" s="45">
        <v>9306.973481646524</v>
      </c>
      <c r="DB25" s="45">
        <v>7770.13479672648</v>
      </c>
      <c r="DC25" s="45">
        <v>6451.881819179729</v>
      </c>
      <c r="DD25" s="45">
        <v>4346.7837913852745</v>
      </c>
      <c r="DE25" s="45">
        <v>2623.944914272959</v>
      </c>
      <c r="DF25" s="45">
        <v>-145.2873060250422</v>
      </c>
      <c r="DG25" s="45">
        <v>-1980.7189719030685</v>
      </c>
      <c r="DH25" s="45">
        <v>-4756.490574324481</v>
      </c>
      <c r="DI25" s="45">
        <v>-5790.583579096708</v>
      </c>
      <c r="DJ25" s="45">
        <v>6.55418261885643e-13</v>
      </c>
      <c r="DK25" s="45">
        <v>6.55418261885643e-13</v>
      </c>
      <c r="DL25" s="45">
        <v>-85.95010823306283</v>
      </c>
      <c r="DM25" s="45">
        <v>-635.3997901825403</v>
      </c>
      <c r="DN25" s="45">
        <v>-1666.7504590545386</v>
      </c>
      <c r="DO25" s="45">
        <v>-2294.5939991187543</v>
      </c>
      <c r="DP25" s="45">
        <v>-3178.3055057747165</v>
      </c>
      <c r="DQ25" s="45">
        <v>-3966.297069267776</v>
      </c>
      <c r="DR25" s="45">
        <v>-5241.198459287927</v>
      </c>
      <c r="DS25" s="45">
        <v>-5609.205039262797</v>
      </c>
      <c r="DT25" s="45">
        <v>-5866.23810515942</v>
      </c>
      <c r="DU25" s="45">
        <v>-6062.621217943197</v>
      </c>
      <c r="DV25" s="45">
        <v>-6217.554466684792</v>
      </c>
      <c r="DW25" s="45">
        <v>-6345.052807270401</v>
      </c>
      <c r="DX25" s="45">
        <v>-6450.836730726594</v>
      </c>
      <c r="DY25" s="45">
        <v>-6529.573170853704</v>
      </c>
      <c r="DZ25" s="45">
        <v>-6462.301642714423</v>
      </c>
      <c r="EA25" s="45">
        <v>-6344.2712759391925</v>
      </c>
      <c r="EB25" s="45">
        <v>-6212.608348653811</v>
      </c>
      <c r="EC25" s="45">
        <v>-5899.162620496416</v>
      </c>
      <c r="ED25" s="45">
        <v>-5541.974485727463</v>
      </c>
      <c r="EE25" s="45">
        <v>-4833.924424507916</v>
      </c>
      <c r="EF25" s="45">
        <v>-4162.549504768833</v>
      </c>
      <c r="EG25" s="45">
        <v>-2912.7008173264226</v>
      </c>
      <c r="EH25" s="45">
        <v>-2021.2815479402996</v>
      </c>
      <c r="EI25" s="45">
        <v>-568.722331014076</v>
      </c>
      <c r="EJ25" s="45">
        <v>0</v>
      </c>
      <c r="EK25" s="45">
        <v>-5.220063030719757e-12</v>
      </c>
      <c r="EL25" s="45">
        <v>-5.220063030719757e-12</v>
      </c>
      <c r="EM25" s="45">
        <v>26.91244464190541</v>
      </c>
      <c r="EN25" s="45">
        <v>191.34822684240092</v>
      </c>
      <c r="EO25" s="45">
        <v>464.05338859890537</v>
      </c>
      <c r="EP25" s="45">
        <v>619.3581875809298</v>
      </c>
      <c r="EQ25" s="45">
        <v>834.2219051382043</v>
      </c>
      <c r="ER25" s="45">
        <v>1004.381089015507</v>
      </c>
      <c r="ES25" s="45">
        <v>1096.2082275739056</v>
      </c>
      <c r="ET25" s="45">
        <v>1092.9282606003585</v>
      </c>
      <c r="EU25" s="45">
        <v>1109.5382325586447</v>
      </c>
      <c r="EV25" s="45">
        <v>1130.8103942886005</v>
      </c>
      <c r="EW25" s="45">
        <v>1162.0209775449814</v>
      </c>
      <c r="EX25" s="45">
        <v>1189.4576292931781</v>
      </c>
      <c r="EY25" s="45">
        <v>1221.1764390032351</v>
      </c>
      <c r="EZ25" s="45">
        <v>1237.2911235078295</v>
      </c>
      <c r="FA25" s="45">
        <v>1267.5490814355312</v>
      </c>
      <c r="FB25" s="45">
        <v>1271.620856786367</v>
      </c>
      <c r="FC25" s="45">
        <v>1273.7476866057518</v>
      </c>
      <c r="FD25" s="45">
        <v>1266.834631073773</v>
      </c>
      <c r="FE25" s="45">
        <v>1307.6348851104076</v>
      </c>
      <c r="FF25" s="45">
        <v>1325.8373063211102</v>
      </c>
      <c r="FG25" s="45">
        <v>1332.2791214301164</v>
      </c>
      <c r="FH25" s="45">
        <v>1101.1669373287073</v>
      </c>
      <c r="FI25" s="45">
        <v>849.606233058404</v>
      </c>
      <c r="FJ25" s="45">
        <v>397.02604773009176</v>
      </c>
      <c r="FK25" s="45">
        <v>5.960464477539062e-14</v>
      </c>
      <c r="FL25" s="46">
        <f>MAX(1,MIN(26,SUMPRODUCT(--($CI25:$DI25&gt;=Pu))))</f>
      </c>
      <c r="FM25" s="47">
        <f>(Pu-INDEX($CI25:$DI25,1,$FL25))/(INDEX($CI25:$DI25,1,$FL25+1)-INDEX($CI25:$DI25,1,$FL25))</f>
      </c>
      <c r="FN25" s="39">
        <f>INDEX($DJ25:$EJ25,1,$FL25)+$FM25*(INDEX($DJ25:$EJ25,1,$FL25+1)-INDEX($DJ25:$EJ25,1,$FL25))</f>
      </c>
      <c r="FO25" s="39">
        <f>INDEX($EK25:$FK25,1,$FL25)+$FM25*(INDEX($EK25:$FK25,1,$FL25+1)-INDEX($EK25:$FK25,1,$FL25))</f>
      </c>
      <c r="FP25" s="39">
        <f>SQRT(FN25^2+FO25^2)</f>
      </c>
      <c r="FQ25" s="20">
        <f>FN26-FN25</f>
      </c>
      <c r="FR25" s="20">
        <f>FO26-FO25</f>
      </c>
      <c r="FS25" s="20">
        <f>FQ25*SIN(RADIANS(theta_L))-FR25*COS(RADIANS(theta_L))</f>
      </c>
      <c r="FT25" s="47">
        <f>IF(FS25=0,"",-(FN25*SIN(RADIANS(theta_L))-FO25*COS(RADIANS(theta_L)))/FS25)</f>
      </c>
      <c r="FU25" s="20">
        <f>IF(FT25="","",(FN25+FT25*FQ25)*COS(RADIANS(theta_L))+(FO25+FT25*FR25)*SIN(RADIANS(theta_L)))</f>
      </c>
      <c r="FV25" s="20">
        <f>IF(OR(FT25="",FT25&lt;0,FT25&gt;1,FU25&lt;0),"",FU25)</f>
      </c>
    </row>
    <row r="26" spans="1:178" x14ac:dyDescent="0.25">
      <c r="A26">
        <v>19</v>
      </c>
      <c r="B26" s="44">
        <v>180</v>
      </c>
      <c r="C26" s="18">
        <v>600.0000000000001</v>
      </c>
      <c r="D26" s="18">
        <v>-530</v>
      </c>
      <c r="E26" s="18">
        <v>1130</v>
      </c>
      <c r="F26" s="16">
        <v>0.0033</v>
      </c>
      <c r="G26" s="16">
        <v>0</v>
      </c>
      <c r="H26" s="16">
        <v>0</v>
      </c>
      <c r="I26" s="16">
        <v>0.00275</v>
      </c>
      <c r="J26" s="16">
        <v>-9.166666666666664e-7</v>
      </c>
      <c r="K26" s="16">
        <v>1.1225928992184068e-22</v>
      </c>
      <c r="L26" s="16">
        <v>0.0024749999999999998</v>
      </c>
      <c r="M26" s="16">
        <v>-0.0000013749999999999998</v>
      </c>
      <c r="N26" s="16">
        <v>1.6838893488276103e-22</v>
      </c>
      <c r="O26" s="16">
        <v>0.0022</v>
      </c>
      <c r="P26" s="16">
        <v>-0.0000018333333333333329</v>
      </c>
      <c r="Q26" s="16">
        <v>2.2451857984368136e-22</v>
      </c>
      <c r="R26" s="16">
        <v>0.001925</v>
      </c>
      <c r="S26" s="16">
        <v>-0.000002291666666666666</v>
      </c>
      <c r="T26" s="16">
        <v>2.806482248046017e-22</v>
      </c>
      <c r="U26" s="16">
        <v>0.0018000000000000004</v>
      </c>
      <c r="V26" s="16">
        <v>-0.000002499999999999999</v>
      </c>
      <c r="W26" s="16">
        <v>3.0616169978683817e-22</v>
      </c>
      <c r="X26" s="16">
        <v>0.00165</v>
      </c>
      <c r="Y26" s="16">
        <v>-0.0000027499999999999995</v>
      </c>
      <c r="Z26" s="16">
        <v>3.3677786976552207e-22</v>
      </c>
      <c r="AA26" s="16">
        <v>0.0015477876106194687</v>
      </c>
      <c r="AB26" s="16">
        <v>-0.000002920353982300885</v>
      </c>
      <c r="AC26" s="16">
        <v>3.576402156802005e-22</v>
      </c>
      <c r="AD26" s="16">
        <v>0.0012823008849557516</v>
      </c>
      <c r="AE26" s="16">
        <v>-0.0000033628318584070798</v>
      </c>
      <c r="AF26" s="16">
        <v>4.1182812714689754e-22</v>
      </c>
      <c r="AG26" s="16">
        <v>0.0011495575221238934</v>
      </c>
      <c r="AH26" s="16">
        <v>-0.000003584070796460177</v>
      </c>
      <c r="AI26" s="16">
        <v>4.389220828802461e-22</v>
      </c>
      <c r="AJ26" s="16">
        <v>0.0010168141592920349</v>
      </c>
      <c r="AK26" s="16">
        <v>-0.000003805309734513274</v>
      </c>
      <c r="AL26" s="16">
        <v>4.6601603861359455e-22</v>
      </c>
      <c r="AM26" s="16">
        <v>0.0008840707964601763</v>
      </c>
      <c r="AN26" s="16">
        <v>-0.000004026548672566372</v>
      </c>
      <c r="AO26" s="16">
        <v>4.931099943469431e-22</v>
      </c>
      <c r="AP26" s="16">
        <v>0.0007513274336283181</v>
      </c>
      <c r="AQ26" s="16">
        <v>-0.000004247787610619469</v>
      </c>
      <c r="AR26" s="16">
        <v>5.2020395008029165e-22</v>
      </c>
      <c r="AS26" s="16">
        <v>0.0006185840707964596</v>
      </c>
      <c r="AT26" s="16">
        <v>-0.000004469026548672566</v>
      </c>
      <c r="AU26" s="16">
        <v>5.472979058136401e-22</v>
      </c>
      <c r="AV26" s="16">
        <v>0.0004858407079646014</v>
      </c>
      <c r="AW26" s="16">
        <v>-0.0000046902654867256635</v>
      </c>
      <c r="AX26" s="16">
        <v>5.743918615469887e-22</v>
      </c>
      <c r="AY26" s="16">
        <v>0.00022035398230088469</v>
      </c>
      <c r="AZ26" s="16">
        <v>-0.000005132743362831858</v>
      </c>
      <c r="BA26" s="16">
        <v>6.285797730136857e-22</v>
      </c>
      <c r="BB26" s="16">
        <v>-0.00004513274336283247</v>
      </c>
      <c r="BC26" s="16">
        <v>-0.000005575221238938053</v>
      </c>
      <c r="BD26" s="16">
        <v>6.827676844803828e-22</v>
      </c>
      <c r="BE26" s="16">
        <v>-0.00031061946902654963</v>
      </c>
      <c r="BF26" s="16">
        <v>-0.0000060176991150442484</v>
      </c>
      <c r="BG26" s="16">
        <v>7.369555959470799e-22</v>
      </c>
      <c r="BH26" s="16">
        <v>-0.0005761061946902664</v>
      </c>
      <c r="BI26" s="16">
        <v>-0.000006460176991150443</v>
      </c>
      <c r="BJ26" s="16">
        <v>7.911435074137769e-22</v>
      </c>
      <c r="BK26" s="16">
        <v>-0.0011070796460176998</v>
      </c>
      <c r="BL26" s="16">
        <v>-0.000007345132743362832</v>
      </c>
      <c r="BM26" s="16">
        <v>8.99519330347171e-22</v>
      </c>
      <c r="BN26" s="16">
        <v>-0.0016380530973451324</v>
      </c>
      <c r="BO26" s="16">
        <v>-0.00000823008849557522</v>
      </c>
      <c r="BP26" s="16">
        <v>1.0078951532805648e-21</v>
      </c>
      <c r="BQ26" s="16">
        <v>-0.002700000000000002</v>
      </c>
      <c r="BR26" s="16">
        <v>-0.00001</v>
      </c>
      <c r="BS26" s="16">
        <v>1.2246467991473532e-21</v>
      </c>
      <c r="BT26" s="16">
        <v>-0.0037619469026548688</v>
      </c>
      <c r="BU26" s="16">
        <v>-0.000011769911504424779</v>
      </c>
      <c r="BV26" s="16">
        <v>1.4413984450141414e-21</v>
      </c>
      <c r="BW26" s="16">
        <v>-0.006416814159292037</v>
      </c>
      <c r="BX26" s="16">
        <v>-0.000016194690265486724</v>
      </c>
      <c r="BY26" s="16">
        <v>1.9832775596811117e-21</v>
      </c>
      <c r="BZ26" s="16">
        <v>-0.009071681415929206</v>
      </c>
      <c r="CA26" s="16">
        <v>-0.000020619469026548672</v>
      </c>
      <c r="CB26" s="16">
        <v>2.5251566743480824e-21</v>
      </c>
      <c r="CC26" s="16">
        <v>-0.01969115044247788</v>
      </c>
      <c r="CD26" s="16">
        <v>-0.000038318584070796456</v>
      </c>
      <c r="CE26" s="16">
        <v>4.6926731330159634e-21</v>
      </c>
      <c r="CF26" s="16">
        <v>-0.05</v>
      </c>
      <c r="CG26" s="16">
        <v>0</v>
      </c>
      <c r="CH26" s="16">
        <v>0</v>
      </c>
      <c r="CI26" s="45">
        <v>33981.43387592912</v>
      </c>
      <c r="CJ26" s="45">
        <v>33981.43387592912</v>
      </c>
      <c r="CK26" s="45">
        <v>33698.00934472476</v>
      </c>
      <c r="CL26" s="45">
        <v>32265.44123729754</v>
      </c>
      <c r="CM26" s="45">
        <v>29458.65740892347</v>
      </c>
      <c r="CN26" s="45">
        <v>27730.13880342822</v>
      </c>
      <c r="CO26" s="45">
        <v>25248.44778281695</v>
      </c>
      <c r="CP26" s="45">
        <v>23519.3524091918</v>
      </c>
      <c r="CQ26" s="45">
        <v>20114.66988381167</v>
      </c>
      <c r="CR26" s="45">
        <v>18891.805535826818</v>
      </c>
      <c r="CS26" s="45">
        <v>17780.480514091738</v>
      </c>
      <c r="CT26" s="45">
        <v>16763.022351513177</v>
      </c>
      <c r="CU26" s="45">
        <v>15803.893722164325</v>
      </c>
      <c r="CV26" s="45">
        <v>14910.588644043606</v>
      </c>
      <c r="CW26" s="45">
        <v>14041.607359925214</v>
      </c>
      <c r="CX26" s="45">
        <v>12847.605429876321</v>
      </c>
      <c r="CY26" s="45">
        <v>11776.01047781701</v>
      </c>
      <c r="CZ26" s="45">
        <v>10862.220476664379</v>
      </c>
      <c r="DA26" s="45">
        <v>10109.776247635666</v>
      </c>
      <c r="DB26" s="45">
        <v>8793.556936127505</v>
      </c>
      <c r="DC26" s="45">
        <v>7818.6810726428985</v>
      </c>
      <c r="DD26" s="45">
        <v>6211.270387095731</v>
      </c>
      <c r="DE26" s="45">
        <v>5010.559344086973</v>
      </c>
      <c r="DF26" s="45">
        <v>2729.644384331354</v>
      </c>
      <c r="DG26" s="45">
        <v>1150.035950816786</v>
      </c>
      <c r="DH26" s="45">
        <v>-1706.2132372526755</v>
      </c>
      <c r="DI26" s="45">
        <v>-5790.583579096708</v>
      </c>
      <c r="DJ26" s="45">
        <v>6.55418261885643e-13</v>
      </c>
      <c r="DK26" s="45">
        <v>6.55418261885643e-13</v>
      </c>
      <c r="DL26" s="45">
        <v>-150.4577836670172</v>
      </c>
      <c r="DM26" s="45">
        <v>-838.9041821678363</v>
      </c>
      <c r="DN26" s="45">
        <v>-2076.7946003602656</v>
      </c>
      <c r="DO26" s="45">
        <v>-2819.1103012445196</v>
      </c>
      <c r="DP26" s="45">
        <v>-3855.074849757815</v>
      </c>
      <c r="DQ26" s="45">
        <v>-4527.638240543402</v>
      </c>
      <c r="DR26" s="45">
        <v>-5601.505222312361</v>
      </c>
      <c r="DS26" s="45">
        <v>-5891.888803566449</v>
      </c>
      <c r="DT26" s="45">
        <v>-6123.832291339832</v>
      </c>
      <c r="DU26" s="45">
        <v>-6313.559103342136</v>
      </c>
      <c r="DV26" s="45">
        <v>-6476.8858918286005</v>
      </c>
      <c r="DW26" s="45">
        <v>-6611.241926216232</v>
      </c>
      <c r="DX26" s="45">
        <v>-6729.91519519182</v>
      </c>
      <c r="DY26" s="45">
        <v>-6719.138154666231</v>
      </c>
      <c r="DZ26" s="45">
        <v>-6682.167593807906</v>
      </c>
      <c r="EA26" s="45">
        <v>-6618.299553287571</v>
      </c>
      <c r="EB26" s="45">
        <v>-6519.720477788166</v>
      </c>
      <c r="EC26" s="45">
        <v>-6314.606963418669</v>
      </c>
      <c r="ED26" s="45">
        <v>-6100.9306482478405</v>
      </c>
      <c r="EE26" s="45">
        <v>-5666.888234148671</v>
      </c>
      <c r="EF26" s="45">
        <v>-5269.431072035049</v>
      </c>
      <c r="EG26" s="45">
        <v>-4387.003126167122</v>
      </c>
      <c r="EH26" s="45">
        <v>-3692.1137578220923</v>
      </c>
      <c r="EI26" s="45">
        <v>-2232.057027574651</v>
      </c>
      <c r="EJ26" s="45">
        <v>0</v>
      </c>
      <c r="EK26" s="45">
        <v>-5.220063030719757e-12</v>
      </c>
      <c r="EL26" s="45">
        <v>-5.220063030719757e-12</v>
      </c>
      <c r="EM26" s="45">
        <v>0.00003535303426533938</v>
      </c>
      <c r="EN26" s="45">
        <v>0.000015093681963393465</v>
      </c>
      <c r="EO26" s="45">
        <v>-0.0018688374156416393</v>
      </c>
      <c r="EP26" s="45">
        <v>0.000028066767512355</v>
      </c>
      <c r="EQ26" s="45">
        <v>-0.002365661586874863</v>
      </c>
      <c r="ER26" s="45">
        <v>0.00005955687234038487</v>
      </c>
      <c r="ES26" s="45">
        <v>-0.05904518479251512</v>
      </c>
      <c r="ET26" s="45">
        <v>0.10323128769298445</v>
      </c>
      <c r="EU26" s="45">
        <v>5.254667485132813e-12</v>
      </c>
      <c r="EV26" s="45">
        <v>-0.12295042978744954</v>
      </c>
      <c r="EW26" s="45">
        <v>-0.006030513816840743</v>
      </c>
      <c r="EX26" s="45">
        <v>-0.045766228212455344</v>
      </c>
      <c r="EY26" s="45">
        <v>-0.0009918963676331914</v>
      </c>
      <c r="EZ26" s="45">
        <v>-0.19212709224245308</v>
      </c>
      <c r="FA26" s="45">
        <v>0.06463869971007738</v>
      </c>
      <c r="FB26" s="45">
        <v>-0.22754139526280284</v>
      </c>
      <c r="FC26" s="45">
        <v>0.006006112223848038</v>
      </c>
      <c r="FD26" s="45">
        <v>0.0001150786182951415</v>
      </c>
      <c r="FE26" s="45">
        <v>0.25871785237228895</v>
      </c>
      <c r="FF26" s="45">
        <v>-0.031107028702247887</v>
      </c>
      <c r="FG26" s="45">
        <v>-0.23759404721924143</v>
      </c>
      <c r="FH26" s="45">
        <v>-0.4655718281849647</v>
      </c>
      <c r="FI26" s="45">
        <v>-0.02207308053882327</v>
      </c>
      <c r="FJ26" s="45">
        <v>-0.5958286324448082</v>
      </c>
      <c r="FK26" s="45">
        <v>5.960464477539062e-14</v>
      </c>
      <c r="FL26" s="46">
        <f>MAX(1,MIN(26,SUMPRODUCT(--($CI26:$DI26&gt;=Pu))))</f>
      </c>
      <c r="FM26" s="47">
        <f>(Pu-INDEX($CI26:$DI26,1,$FL26))/(INDEX($CI26:$DI26,1,$FL26+1)-INDEX($CI26:$DI26,1,$FL26))</f>
      </c>
      <c r="FN26" s="39">
        <f>INDEX($DJ26:$EJ26,1,$FL26)+$FM26*(INDEX($DJ26:$EJ26,1,$FL26+1)-INDEX($DJ26:$EJ26,1,$FL26))</f>
      </c>
      <c r="FO26" s="39">
        <f>INDEX($EK26:$FK26,1,$FL26)+$FM26*(INDEX($EK26:$FK26,1,$FL26+1)-INDEX($EK26:$FK26,1,$FL26))</f>
      </c>
      <c r="FP26" s="39">
        <f>SQRT(FN26^2+FO26^2)</f>
      </c>
      <c r="FQ26" s="20">
        <f>FN27-FN26</f>
      </c>
      <c r="FR26" s="20">
        <f>FO27-FO26</f>
      </c>
      <c r="FS26" s="20">
        <f>FQ26*SIN(RADIANS(theta_L))-FR26*COS(RADIANS(theta_L))</f>
      </c>
      <c r="FT26" s="47">
        <f>IF(FS26=0,"",-(FN26*SIN(RADIANS(theta_L))-FO26*COS(RADIANS(theta_L)))/FS26)</f>
      </c>
      <c r="FU26" s="20">
        <f>IF(FT26="","",(FN26+FT26*FQ26)*COS(RADIANS(theta_L))+(FO26+FT26*FR26)*SIN(RADIANS(theta_L)))</f>
      </c>
      <c r="FV26" s="20">
        <f>IF(OR(FT26="",FT26&lt;0,FT26&gt;1,FU26&lt;0),"",FU26)</f>
      </c>
    </row>
    <row r="27" spans="1:178" x14ac:dyDescent="0.25">
      <c r="A27">
        <v>20</v>
      </c>
      <c r="B27" s="44">
        <v>190</v>
      </c>
      <c r="C27" s="18">
        <v>686.3911495241364</v>
      </c>
      <c r="D27" s="18">
        <v>-591.4073801632422</v>
      </c>
      <c r="E27" s="18">
        <v>1277.7985296873785</v>
      </c>
      <c r="F27" s="16">
        <v>0.0033</v>
      </c>
      <c r="G27" s="16">
        <v>0</v>
      </c>
      <c r="H27" s="16">
        <v>0</v>
      </c>
      <c r="I27" s="16">
        <v>0.00275</v>
      </c>
      <c r="J27" s="16">
        <v>-7.891189513912402e-7</v>
      </c>
      <c r="K27" s="16">
        <v>-1.3914296211864707e-7</v>
      </c>
      <c r="L27" s="16">
        <v>0.0024749999999999998</v>
      </c>
      <c r="M27" s="16">
        <v>-0.0000011836784270868605</v>
      </c>
      <c r="N27" s="16">
        <v>-2.0871444317797059e-7</v>
      </c>
      <c r="O27" s="16">
        <v>0.0021999999999999997</v>
      </c>
      <c r="P27" s="16">
        <v>-0.0000015782379027824804</v>
      </c>
      <c r="Q27" s="16">
        <v>-2.7828592423729413e-7</v>
      </c>
      <c r="R27" s="16">
        <v>0.001925</v>
      </c>
      <c r="S27" s="16">
        <v>-0.0000019727973784781005</v>
      </c>
      <c r="T27" s="16">
        <v>-3.4785740529661765e-7</v>
      </c>
      <c r="U27" s="16">
        <v>0.0018000000000000002</v>
      </c>
      <c r="V27" s="16">
        <v>-0.0000021521425947033823</v>
      </c>
      <c r="W27" s="16">
        <v>-3.7948080577812826e-7</v>
      </c>
      <c r="X27" s="16">
        <v>0.00165</v>
      </c>
      <c r="Y27" s="16">
        <v>-0.000002367356854173721</v>
      </c>
      <c r="Z27" s="16">
        <v>-4.1742888635594117e-7</v>
      </c>
      <c r="AA27" s="16">
        <v>0.001527349037579642</v>
      </c>
      <c r="AB27" s="16">
        <v>-0.000002543331761177865</v>
      </c>
      <c r="AC27" s="16">
        <v>-4.4845801038843477e-7</v>
      </c>
      <c r="AD27" s="16">
        <v>0.0012587655584250421</v>
      </c>
      <c r="AE27" s="16">
        <v>-0.000002928685058326026</v>
      </c>
      <c r="AF27" s="16">
        <v>-5.164061937806218e-7</v>
      </c>
      <c r="AG27" s="16">
        <v>0.0011244738188477426</v>
      </c>
      <c r="AH27" s="16">
        <v>-0.000003121361706900107</v>
      </c>
      <c r="AI27" s="16">
        <v>-5.503802854767153e-7</v>
      </c>
      <c r="AJ27" s="16">
        <v>0.0009901820792704427</v>
      </c>
      <c r="AK27" s="16">
        <v>-0.0000033140383554741875</v>
      </c>
      <c r="AL27" s="16">
        <v>-5.84354377172809e-7</v>
      </c>
      <c r="AM27" s="16">
        <v>0.0008558903396931423</v>
      </c>
      <c r="AN27" s="16">
        <v>-0.0000035067150040482686</v>
      </c>
      <c r="AO27" s="16">
        <v>-6.183284688689025e-7</v>
      </c>
      <c r="AP27" s="16">
        <v>0.0007215986001158424</v>
      </c>
      <c r="AQ27" s="16">
        <v>-0.0000036993916526223493</v>
      </c>
      <c r="AR27" s="16">
        <v>-6.523025605649961e-7</v>
      </c>
      <c r="AS27" s="16">
        <v>0.0005873068605385429</v>
      </c>
      <c r="AT27" s="16">
        <v>-0.00000389206830119643</v>
      </c>
      <c r="AU27" s="16">
        <v>-6.862766522610895e-7</v>
      </c>
      <c r="AV27" s="16">
        <v>0.00045301512096124295</v>
      </c>
      <c r="AW27" s="16">
        <v>-0.000004084744949770511</v>
      </c>
      <c r="AX27" s="16">
        <v>-7.202507439571832e-7</v>
      </c>
      <c r="AY27" s="16">
        <v>0.00018443164180664395</v>
      </c>
      <c r="AZ27" s="16">
        <v>-0.000004470098246918671</v>
      </c>
      <c r="BA27" s="16">
        <v>-7.881989273493701e-7</v>
      </c>
      <c r="BB27" s="16">
        <v>-0.00008415183734795635</v>
      </c>
      <c r="BC27" s="16">
        <v>-0.000004855451544066833</v>
      </c>
      <c r="BD27" s="16">
        <v>-8.561471107415574e-7</v>
      </c>
      <c r="BE27" s="16">
        <v>-0.0003527353165025562</v>
      </c>
      <c r="BF27" s="16">
        <v>-0.000005240804841214995</v>
      </c>
      <c r="BG27" s="16">
        <v>-9.240952941337444e-7</v>
      </c>
      <c r="BH27" s="16">
        <v>-0.0006213187956571557</v>
      </c>
      <c r="BI27" s="16">
        <v>-0.000005626158138363156</v>
      </c>
      <c r="BJ27" s="16">
        <v>-9.920434775259315e-7</v>
      </c>
      <c r="BK27" s="16">
        <v>-0.0011584857539663554</v>
      </c>
      <c r="BL27" s="16">
        <v>-0.000006396864732659479</v>
      </c>
      <c r="BM27" s="16">
        <v>-0.0000011279398443103056</v>
      </c>
      <c r="BN27" s="16">
        <v>-0.0016956527122755543</v>
      </c>
      <c r="BO27" s="16">
        <v>-0.000007167571326955801</v>
      </c>
      <c r="BP27" s="16">
        <v>-0.0000012638362110946797</v>
      </c>
      <c r="BQ27" s="16">
        <v>-0.0027699866288939546</v>
      </c>
      <c r="BR27" s="16">
        <v>-0.000008708984515548449</v>
      </c>
      <c r="BS27" s="16">
        <v>-0.0000015356289446634285</v>
      </c>
      <c r="BT27" s="16">
        <v>-0.0038443205455123523</v>
      </c>
      <c r="BU27" s="16">
        <v>-0.000010250397704141092</v>
      </c>
      <c r="BV27" s="16">
        <v>-0.0000018074216782321765</v>
      </c>
      <c r="BW27" s="16">
        <v>-0.00653015533705835</v>
      </c>
      <c r="BX27" s="16">
        <v>-0.000014103930675622707</v>
      </c>
      <c r="BY27" s="16">
        <v>-0.0000024869035121540477</v>
      </c>
      <c r="BZ27" s="16">
        <v>-0.00921599012860435</v>
      </c>
      <c r="CA27" s="16">
        <v>-0.000017957463647104323</v>
      </c>
      <c r="CB27" s="16">
        <v>-0.0000031663853460759186</v>
      </c>
      <c r="CC27" s="16">
        <v>-0.019959329294788334</v>
      </c>
      <c r="CD27" s="16">
        <v>-0.00003337159553303077</v>
      </c>
      <c r="CE27" s="16">
        <v>-0.0000058843126817634014</v>
      </c>
      <c r="CF27" s="16">
        <v>-0.05</v>
      </c>
      <c r="CG27" s="16">
        <v>0</v>
      </c>
      <c r="CH27" s="16">
        <v>0</v>
      </c>
      <c r="CI27" s="45">
        <v>33981.43387592912</v>
      </c>
      <c r="CJ27" s="45">
        <v>33981.43387592912</v>
      </c>
      <c r="CK27" s="45">
        <v>33817.69981060283</v>
      </c>
      <c r="CL27" s="45">
        <v>32659.151964925328</v>
      </c>
      <c r="CM27" s="45">
        <v>30287.885334435556</v>
      </c>
      <c r="CN27" s="45">
        <v>28772.245272369528</v>
      </c>
      <c r="CO27" s="45">
        <v>26602.772004302955</v>
      </c>
      <c r="CP27" s="45">
        <v>24605.85383266287</v>
      </c>
      <c r="CQ27" s="45">
        <v>20758.861333901223</v>
      </c>
      <c r="CR27" s="45">
        <v>19288.93626668274</v>
      </c>
      <c r="CS27" s="45">
        <v>18031.714211044276</v>
      </c>
      <c r="CT27" s="45">
        <v>16898.61896953326</v>
      </c>
      <c r="CU27" s="45">
        <v>15852.343399000274</v>
      </c>
      <c r="CV27" s="45">
        <v>14872.550883922242</v>
      </c>
      <c r="CW27" s="45">
        <v>13951.11587744091</v>
      </c>
      <c r="CX27" s="45">
        <v>12421.393166414402</v>
      </c>
      <c r="CY27" s="45">
        <v>11243.198400221583</v>
      </c>
      <c r="CZ27" s="45">
        <v>10233.327648088367</v>
      </c>
      <c r="DA27" s="45">
        <v>9306.17143955051</v>
      </c>
      <c r="DB27" s="45">
        <v>7769.01210807301</v>
      </c>
      <c r="DC27" s="45">
        <v>6451.275501328343</v>
      </c>
      <c r="DD27" s="45">
        <v>4346.253412270877</v>
      </c>
      <c r="DE27" s="45">
        <v>2623.097082354886</v>
      </c>
      <c r="DF27" s="45">
        <v>-146.3985943512409</v>
      </c>
      <c r="DG27" s="45">
        <v>-1978.908772419001</v>
      </c>
      <c r="DH27" s="45">
        <v>-4753.306783483274</v>
      </c>
      <c r="DI27" s="45">
        <v>-5790.583579096708</v>
      </c>
      <c r="DJ27" s="45">
        <v>6.55418261885643e-13</v>
      </c>
      <c r="DK27" s="45">
        <v>6.55418261885643e-13</v>
      </c>
      <c r="DL27" s="45">
        <v>-85.94975902454784</v>
      </c>
      <c r="DM27" s="45">
        <v>-635.4003853751817</v>
      </c>
      <c r="DN27" s="45">
        <v>-1666.7514101489749</v>
      </c>
      <c r="DO27" s="45">
        <v>-2294.5939256600136</v>
      </c>
      <c r="DP27" s="45">
        <v>-3178.3061995727785</v>
      </c>
      <c r="DQ27" s="45">
        <v>-3966.056134738004</v>
      </c>
      <c r="DR27" s="45">
        <v>-5241.553612897495</v>
      </c>
      <c r="DS27" s="45">
        <v>-5609.062629960072</v>
      </c>
      <c r="DT27" s="45">
        <v>-5866.413492888881</v>
      </c>
      <c r="DU27" s="45">
        <v>-6062.561084784191</v>
      </c>
      <c r="DV27" s="45">
        <v>-6217.639461630622</v>
      </c>
      <c r="DW27" s="45">
        <v>-6345.05620944823</v>
      </c>
      <c r="DX27" s="45">
        <v>-6451.090034215364</v>
      </c>
      <c r="DY27" s="45">
        <v>-6529.638458740238</v>
      </c>
      <c r="DZ27" s="45">
        <v>-6462.297328965139</v>
      </c>
      <c r="EA27" s="45">
        <v>-6344.464917244122</v>
      </c>
      <c r="EB27" s="45">
        <v>-6212.419035361694</v>
      </c>
      <c r="EC27" s="45">
        <v>-5898.6150067535145</v>
      </c>
      <c r="ED27" s="45">
        <v>-5542.276729191338</v>
      </c>
      <c r="EE27" s="45">
        <v>-4834.111766052884</v>
      </c>
      <c r="EF27" s="45">
        <v>-4162.01862319291</v>
      </c>
      <c r="EG27" s="45">
        <v>-2911.710553902407</v>
      </c>
      <c r="EH27" s="45">
        <v>-2022.1267387069258</v>
      </c>
      <c r="EI27" s="45">
        <v>-570.1619860880456</v>
      </c>
      <c r="EJ27" s="45">
        <v>0</v>
      </c>
      <c r="EK27" s="45">
        <v>-5.220063030719757e-12</v>
      </c>
      <c r="EL27" s="45">
        <v>-5.220063030719757e-12</v>
      </c>
      <c r="EM27" s="45">
        <v>-26.912546520206018</v>
      </c>
      <c r="EN27" s="45">
        <v>-191.34697497024942</v>
      </c>
      <c r="EO27" s="45">
        <v>-464.05039567230654</v>
      </c>
      <c r="EP27" s="45">
        <v>-619.3604893191279</v>
      </c>
      <c r="EQ27" s="45">
        <v>-834.2251563136106</v>
      </c>
      <c r="ER27" s="45">
        <v>-1004.1192206816</v>
      </c>
      <c r="ES27" s="45">
        <v>-1096.8948649419995</v>
      </c>
      <c r="ET27" s="45">
        <v>-1093.0341272434214</v>
      </c>
      <c r="EU27" s="45">
        <v>-1109.209320181542</v>
      </c>
      <c r="EV27" s="45">
        <v>-1131.157256821314</v>
      </c>
      <c r="EW27" s="45">
        <v>-1161.2636502518526</v>
      </c>
      <c r="EX27" s="45">
        <v>-1189.8435951536483</v>
      </c>
      <c r="EY27" s="45">
        <v>-1219.8923216829944</v>
      </c>
      <c r="EZ27" s="45">
        <v>-1237.0672845478505</v>
      </c>
      <c r="FA27" s="45">
        <v>-1267.6890767511384</v>
      </c>
      <c r="FB27" s="45">
        <v>-1270.6658162519234</v>
      </c>
      <c r="FC27" s="45">
        <v>-1274.2848429229</v>
      </c>
      <c r="FD27" s="45">
        <v>-1268.7680801793977</v>
      </c>
      <c r="FE27" s="45">
        <v>-1305.285462491857</v>
      </c>
      <c r="FF27" s="45">
        <v>-1324.1095009096782</v>
      </c>
      <c r="FG27" s="45">
        <v>-1333.3560295202099</v>
      </c>
      <c r="FH27" s="45">
        <v>-1103.2487612230552</v>
      </c>
      <c r="FI27" s="45">
        <v>-850.2817833584593</v>
      </c>
      <c r="FJ27" s="45">
        <v>-399.9340402570527</v>
      </c>
      <c r="FK27" s="45">
        <v>5.960464477539062e-14</v>
      </c>
      <c r="FL27" s="46">
        <f>MAX(1,MIN(26,SUMPRODUCT(--($CI27:$DI27&gt;=Pu))))</f>
      </c>
      <c r="FM27" s="47">
        <f>(Pu-INDEX($CI27:$DI27,1,$FL27))/(INDEX($CI27:$DI27,1,$FL27+1)-INDEX($CI27:$DI27,1,$FL27))</f>
      </c>
      <c r="FN27" s="39">
        <f>INDEX($DJ27:$EJ27,1,$FL27)+$FM27*(INDEX($DJ27:$EJ27,1,$FL27+1)-INDEX($DJ27:$EJ27,1,$FL27))</f>
      </c>
      <c r="FO27" s="39">
        <f>INDEX($EK27:$FK27,1,$FL27)+$FM27*(INDEX($EK27:$FK27,1,$FL27+1)-INDEX($EK27:$FK27,1,$FL27))</f>
      </c>
      <c r="FP27" s="39">
        <f>SQRT(FN27^2+FO27^2)</f>
      </c>
      <c r="FQ27" s="20">
        <f>FN28-FN27</f>
      </c>
      <c r="FR27" s="20">
        <f>FO28-FO27</f>
      </c>
      <c r="FS27" s="20">
        <f>FQ27*SIN(RADIANS(theta_L))-FR27*COS(RADIANS(theta_L))</f>
      </c>
      <c r="FT27" s="47">
        <f>IF(FS27=0,"",-(FN27*SIN(RADIANS(theta_L))-FO27*COS(RADIANS(theta_L)))/FS27)</f>
      </c>
      <c r="FU27" s="20">
        <f>IF(FT27="","",(FN27+FT27*FQ27)*COS(RADIANS(theta_L))+(FO27+FT27*FR27)*SIN(RADIANS(theta_L)))</f>
      </c>
      <c r="FV27" s="20">
        <f>IF(OR(FT27="",FT27&lt;0,FT27&gt;1,FU27&lt;0),"",FU27)</f>
      </c>
    </row>
    <row r="28" spans="1:178" x14ac:dyDescent="0.25">
      <c r="A28">
        <v>21</v>
      </c>
      <c r="B28" s="44">
        <v>200</v>
      </c>
      <c r="C28" s="18">
        <v>751.9266513006628</v>
      </c>
      <c r="D28" s="18">
        <v>-634.845146346799</v>
      </c>
      <c r="E28" s="18">
        <v>1386.7717976474619</v>
      </c>
      <c r="F28" s="16">
        <v>0.0033</v>
      </c>
      <c r="G28" s="16">
        <v>0</v>
      </c>
      <c r="H28" s="16">
        <v>0</v>
      </c>
      <c r="I28" s="16">
        <v>0.00275</v>
      </c>
      <c r="J28" s="16">
        <v>-6.873422301739792e-7</v>
      </c>
      <c r="K28" s="16">
        <v>-2.5017211253747714e-7</v>
      </c>
      <c r="L28" s="16">
        <v>0.0024749999999999998</v>
      </c>
      <c r="M28" s="16">
        <v>-0.000001031013345260969</v>
      </c>
      <c r="N28" s="16">
        <v>-3.752581688062157e-7</v>
      </c>
      <c r="O28" s="16">
        <v>0.0021999999999999997</v>
      </c>
      <c r="P28" s="16">
        <v>-0.0000013746844603479585</v>
      </c>
      <c r="Q28" s="16">
        <v>-5.003442250749543e-7</v>
      </c>
      <c r="R28" s="16">
        <v>0.0019249999999999998</v>
      </c>
      <c r="S28" s="16">
        <v>-0.0000017183555754349485</v>
      </c>
      <c r="T28" s="16">
        <v>-6.25430281343693e-7</v>
      </c>
      <c r="U28" s="16">
        <v>0.0018000000000000002</v>
      </c>
      <c r="V28" s="16">
        <v>-0.000001874569718656307</v>
      </c>
      <c r="W28" s="16">
        <v>-6.82287579647665e-7</v>
      </c>
      <c r="X28" s="16">
        <v>0.00165</v>
      </c>
      <c r="Y28" s="16">
        <v>-0.000002062026690521938</v>
      </c>
      <c r="Z28" s="16">
        <v>-7.505163376124314e-7</v>
      </c>
      <c r="AA28" s="16">
        <v>0.0015106948284486347</v>
      </c>
      <c r="AB28" s="16">
        <v>-0.0000022361181946835456</v>
      </c>
      <c r="AC28" s="16">
        <v>-8.138804631658874e-7</v>
      </c>
      <c r="AD28" s="16">
        <v>0.001239587984274185</v>
      </c>
      <c r="AE28" s="16">
        <v>-0.00000257492398175681</v>
      </c>
      <c r="AF28" s="16">
        <v>-9.371956848576885e-7</v>
      </c>
      <c r="AG28" s="16">
        <v>0.0011040345621869609</v>
      </c>
      <c r="AH28" s="16">
        <v>-0.000002744326875293442</v>
      </c>
      <c r="AI28" s="16">
        <v>-9.98853295703589e-7</v>
      </c>
      <c r="AJ28" s="16">
        <v>0.0009684811400997358</v>
      </c>
      <c r="AK28" s="16">
        <v>-0.0000029137297688300746</v>
      </c>
      <c r="AL28" s="16">
        <v>-0.0000010605109065494896</v>
      </c>
      <c r="AM28" s="16">
        <v>0.0008329277180125112</v>
      </c>
      <c r="AN28" s="16">
        <v>-0.000003083132662366707</v>
      </c>
      <c r="AO28" s="16">
        <v>-0.0000011221685173953902</v>
      </c>
      <c r="AP28" s="16">
        <v>0.0006973742959252866</v>
      </c>
      <c r="AQ28" s="16">
        <v>-0.0000032525355559033396</v>
      </c>
      <c r="AR28" s="16">
        <v>-0.0000011838261282412908</v>
      </c>
      <c r="AS28" s="16">
        <v>0.000561820873838062</v>
      </c>
      <c r="AT28" s="16">
        <v>-0.0000034219384494399716</v>
      </c>
      <c r="AU28" s="16">
        <v>-0.0000012454837390871914</v>
      </c>
      <c r="AV28" s="16">
        <v>0.0004262674517508374</v>
      </c>
      <c r="AW28" s="16">
        <v>-0.0000035913413429766037</v>
      </c>
      <c r="AX28" s="16">
        <v>-0.000001307141349933092</v>
      </c>
      <c r="AY28" s="16">
        <v>0.00015516060757638818</v>
      </c>
      <c r="AZ28" s="16">
        <v>-0.000003930147130049868</v>
      </c>
      <c r="BA28" s="16">
        <v>-0.0000014304565716248929</v>
      </c>
      <c r="BB28" s="16">
        <v>-0.00011594623659806104</v>
      </c>
      <c r="BC28" s="16">
        <v>-0.000004268952917123133</v>
      </c>
      <c r="BD28" s="16">
        <v>-0.000001553771793316694</v>
      </c>
      <c r="BE28" s="16">
        <v>-0.0003870530807725107</v>
      </c>
      <c r="BF28" s="16">
        <v>-0.000004607758704196398</v>
      </c>
      <c r="BG28" s="16">
        <v>-0.0000016770870150084953</v>
      </c>
      <c r="BH28" s="16">
        <v>-0.0006581599249469603</v>
      </c>
      <c r="BI28" s="16">
        <v>-0.000004946564491269662</v>
      </c>
      <c r="BJ28" s="16">
        <v>-0.0000018004022367002966</v>
      </c>
      <c r="BK28" s="16">
        <v>-0.0012003736132958588</v>
      </c>
      <c r="BL28" s="16">
        <v>-0.000005624176065416191</v>
      </c>
      <c r="BM28" s="16">
        <v>-0.0000020470326800838986</v>
      </c>
      <c r="BN28" s="16">
        <v>-0.0017425873016447572</v>
      </c>
      <c r="BO28" s="16">
        <v>-0.00000630178763956272</v>
      </c>
      <c r="BP28" s="16">
        <v>-0.0000022936631234675007</v>
      </c>
      <c r="BQ28" s="16">
        <v>-0.002827014678342554</v>
      </c>
      <c r="BR28" s="16">
        <v>-0.000007657010787855779</v>
      </c>
      <c r="BS28" s="16">
        <v>-0.0000027869240102347052</v>
      </c>
      <c r="BT28" s="16">
        <v>-0.003911442055040351</v>
      </c>
      <c r="BU28" s="16">
        <v>-0.000009012233936148835</v>
      </c>
      <c r="BV28" s="16">
        <v>-0.0000032801848970019098</v>
      </c>
      <c r="BW28" s="16">
        <v>-0.006622510496784845</v>
      </c>
      <c r="BX28" s="16">
        <v>-0.00001240029180688148</v>
      </c>
      <c r="BY28" s="16">
        <v>-0.000004513337113919922</v>
      </c>
      <c r="BZ28" s="16">
        <v>-0.00933357893852934</v>
      </c>
      <c r="CA28" s="16">
        <v>-0.000015788349677614127</v>
      </c>
      <c r="CB28" s="16">
        <v>-0.0000057464893308379324</v>
      </c>
      <c r="CC28" s="16">
        <v>-0.020177852705507312</v>
      </c>
      <c r="CD28" s="16">
        <v>-0.000029340581160544707</v>
      </c>
      <c r="CE28" s="16">
        <v>-0.000010679098198509978</v>
      </c>
      <c r="CF28" s="16">
        <v>-0.05</v>
      </c>
      <c r="CG28" s="16">
        <v>0</v>
      </c>
      <c r="CH28" s="16">
        <v>0</v>
      </c>
      <c r="CI28" s="45">
        <v>33981.43387592912</v>
      </c>
      <c r="CJ28" s="45">
        <v>33981.43387592912</v>
      </c>
      <c r="CK28" s="45">
        <v>33866.46038088049</v>
      </c>
      <c r="CL28" s="45">
        <v>32846.24160741138</v>
      </c>
      <c r="CM28" s="45">
        <v>30697.223228992647</v>
      </c>
      <c r="CN28" s="45">
        <v>29309.605206004922</v>
      </c>
      <c r="CO28" s="45">
        <v>27300.755468963154</v>
      </c>
      <c r="CP28" s="45">
        <v>25172.72680650582</v>
      </c>
      <c r="CQ28" s="45">
        <v>21360.451109480982</v>
      </c>
      <c r="CR28" s="45">
        <v>19730.051142762208</v>
      </c>
      <c r="CS28" s="45">
        <v>18285.653894029107</v>
      </c>
      <c r="CT28" s="45">
        <v>17005.319573460074</v>
      </c>
      <c r="CU28" s="45">
        <v>15840.924577130423</v>
      </c>
      <c r="CV28" s="45">
        <v>14757.046583712752</v>
      </c>
      <c r="CW28" s="45">
        <v>13738.818328340469</v>
      </c>
      <c r="CX28" s="45">
        <v>11969.51845152273</v>
      </c>
      <c r="CY28" s="45">
        <v>10538.307697067334</v>
      </c>
      <c r="CZ28" s="45">
        <v>9327.007378869508</v>
      </c>
      <c r="DA28" s="45">
        <v>8305.14877629858</v>
      </c>
      <c r="DB28" s="45">
        <v>6450.976263608236</v>
      </c>
      <c r="DC28" s="45">
        <v>4911.59390921279</v>
      </c>
      <c r="DD28" s="45">
        <v>2611.9614746422103</v>
      </c>
      <c r="DE28" s="45">
        <v>1068.1211383746308</v>
      </c>
      <c r="DF28" s="45">
        <v>-1527.3005595969614</v>
      </c>
      <c r="DG28" s="45">
        <v>-3016.130408836321</v>
      </c>
      <c r="DH28" s="45">
        <v>-5068.5814248840215</v>
      </c>
      <c r="DI28" s="45">
        <v>-5790.583579096708</v>
      </c>
      <c r="DJ28" s="45">
        <v>6.55418261885643e-13</v>
      </c>
      <c r="DK28" s="45">
        <v>6.55418261885643e-13</v>
      </c>
      <c r="DL28" s="45">
        <v>-56.91952712150265</v>
      </c>
      <c r="DM28" s="45">
        <v>-522.0532157475437</v>
      </c>
      <c r="DN28" s="45">
        <v>-1409.5709838368907</v>
      </c>
      <c r="DO28" s="45">
        <v>-1952.5964129862484</v>
      </c>
      <c r="DP28" s="45">
        <v>-2720.320790803787</v>
      </c>
      <c r="DQ28" s="45">
        <v>-3501.7695048238484</v>
      </c>
      <c r="DR28" s="45">
        <v>-4715.298779605154</v>
      </c>
      <c r="DS28" s="45">
        <v>-5138.6726038514635</v>
      </c>
      <c r="DT28" s="45">
        <v>-5449.038240179951</v>
      </c>
      <c r="DU28" s="45">
        <v>-5665.310375971667</v>
      </c>
      <c r="DV28" s="45">
        <v>-5816.306920415162</v>
      </c>
      <c r="DW28" s="45">
        <v>-5927.256932068104</v>
      </c>
      <c r="DX28" s="45">
        <v>-6010.038493179282</v>
      </c>
      <c r="DY28" s="45">
        <v>-6051.353730396353</v>
      </c>
      <c r="DZ28" s="45">
        <v>-5958.30702310341</v>
      </c>
      <c r="EA28" s="45">
        <v>-5786.936787852286</v>
      </c>
      <c r="EB28" s="45">
        <v>-5570.943457995071</v>
      </c>
      <c r="EC28" s="45">
        <v>-5112.140799377338</v>
      </c>
      <c r="ED28" s="45">
        <v>-4661.255385514827</v>
      </c>
      <c r="EE28" s="45">
        <v>-3839.342081133855</v>
      </c>
      <c r="EF28" s="45">
        <v>-3222.3269708989087</v>
      </c>
      <c r="EG28" s="45">
        <v>-2096.9599472305777</v>
      </c>
      <c r="EH28" s="45">
        <v>-1395.342803843023</v>
      </c>
      <c r="EI28" s="45">
        <v>-391.86077782301317</v>
      </c>
      <c r="EJ28" s="45">
        <v>0</v>
      </c>
      <c r="EK28" s="45">
        <v>-5.220063030719757e-12</v>
      </c>
      <c r="EL28" s="45">
        <v>-5.220063030719757e-12</v>
      </c>
      <c r="EM28" s="45">
        <v>-42.24842770035647</v>
      </c>
      <c r="EN28" s="45">
        <v>-301.80997452584893</v>
      </c>
      <c r="EO28" s="45">
        <v>-778.5048827558678</v>
      </c>
      <c r="EP28" s="45">
        <v>-1063.1954917202274</v>
      </c>
      <c r="EQ28" s="45">
        <v>-1453.945074929388</v>
      </c>
      <c r="ER28" s="45">
        <v>-1818.0516930188876</v>
      </c>
      <c r="ES28" s="45">
        <v>-2144.0850533778726</v>
      </c>
      <c r="ET28" s="45">
        <v>-2186.898779793724</v>
      </c>
      <c r="EU28" s="45">
        <v>-2220.0392626023067</v>
      </c>
      <c r="EV28" s="45">
        <v>-2259.317095028226</v>
      </c>
      <c r="EW28" s="45">
        <v>-2306.993048306037</v>
      </c>
      <c r="EX28" s="45">
        <v>-2356.4163809676675</v>
      </c>
      <c r="EY28" s="45">
        <v>-2407.467688394888</v>
      </c>
      <c r="EZ28" s="45">
        <v>-2478.2099750888633</v>
      </c>
      <c r="FA28" s="45">
        <v>-2492.208821371652</v>
      </c>
      <c r="FB28" s="45">
        <v>-2531.2120738594626</v>
      </c>
      <c r="FC28" s="45">
        <v>-2545.87303646232</v>
      </c>
      <c r="FD28" s="45">
        <v>-2545.2747919726507</v>
      </c>
      <c r="FE28" s="45">
        <v>-2476.726029060492</v>
      </c>
      <c r="FF28" s="45">
        <v>-2329.1901032187357</v>
      </c>
      <c r="FG28" s="45">
        <v>-2097.2535073510508</v>
      </c>
      <c r="FH28" s="45">
        <v>-1556.2049107442494</v>
      </c>
      <c r="FI28" s="45">
        <v>-1141.848411675025</v>
      </c>
      <c r="FJ28" s="45">
        <v>-340.5214313684327</v>
      </c>
      <c r="FK28" s="45">
        <v>5.960464477539062e-14</v>
      </c>
      <c r="FL28" s="46">
        <f>MAX(1,MIN(26,SUMPRODUCT(--($CI28:$DI28&gt;=Pu))))</f>
      </c>
      <c r="FM28" s="47">
        <f>(Pu-INDEX($CI28:$DI28,1,$FL28))/(INDEX($CI28:$DI28,1,$FL28+1)-INDEX($CI28:$DI28,1,$FL28))</f>
      </c>
      <c r="FN28" s="39">
        <f>INDEX($DJ28:$EJ28,1,$FL28)+$FM28*(INDEX($DJ28:$EJ28,1,$FL28+1)-INDEX($DJ28:$EJ28,1,$FL28))</f>
      </c>
      <c r="FO28" s="39">
        <f>INDEX($EK28:$FK28,1,$FL28)+$FM28*(INDEX($EK28:$FK28,1,$FL28+1)-INDEX($EK28:$FK28,1,$FL28))</f>
      </c>
      <c r="FP28" s="39">
        <f>SQRT(FN28^2+FO28^2)</f>
      </c>
      <c r="FQ28" s="20">
        <f>FN29-FN28</f>
      </c>
      <c r="FR28" s="20">
        <f>FO29-FO28</f>
      </c>
      <c r="FS28" s="20">
        <f>FQ28*SIN(RADIANS(theta_L))-FR28*COS(RADIANS(theta_L))</f>
      </c>
      <c r="FT28" s="47">
        <f>IF(FS28=0,"",-(FN28*SIN(RADIANS(theta_L))-FO28*COS(RADIANS(theta_L)))/FS28)</f>
      </c>
      <c r="FU28" s="20">
        <f>IF(FT28="","",(FN28+FT28*FQ28)*COS(RADIANS(theta_L))+(FO28+FT28*FR28)*SIN(RADIANS(theta_L)))</f>
      </c>
      <c r="FV28" s="20">
        <f>IF(OR(FT28="",FT28&lt;0,FT28&gt;1,FU28&lt;0),"",FU28)</f>
      </c>
    </row>
    <row r="29" spans="1:178" x14ac:dyDescent="0.25">
      <c r="A29">
        <v>22</v>
      </c>
      <c r="B29" s="44">
        <v>210</v>
      </c>
      <c r="C29" s="18">
        <v>794.6152422706632</v>
      </c>
      <c r="D29" s="18">
        <v>-658.9934640057525</v>
      </c>
      <c r="E29" s="18">
        <v>1453.6087062764157</v>
      </c>
      <c r="F29" s="16">
        <v>0.0033</v>
      </c>
      <c r="G29" s="16">
        <v>0</v>
      </c>
      <c r="H29" s="16">
        <v>0</v>
      </c>
      <c r="I29" s="16">
        <v>0.00275</v>
      </c>
      <c r="J29" s="16">
        <v>-5.994271777625911e-7</v>
      </c>
      <c r="K29" s="16">
        <v>-3.460794424408097e-7</v>
      </c>
      <c r="L29" s="16">
        <v>0.0024749999999999998</v>
      </c>
      <c r="M29" s="16">
        <v>-8.991407666438866e-7</v>
      </c>
      <c r="N29" s="16">
        <v>-5.191191636612146e-7</v>
      </c>
      <c r="O29" s="16">
        <v>0.0022</v>
      </c>
      <c r="P29" s="16">
        <v>-0.0000011988543555251822</v>
      </c>
      <c r="Q29" s="16">
        <v>-6.921588848816194e-7</v>
      </c>
      <c r="R29" s="16">
        <v>0.001925</v>
      </c>
      <c r="S29" s="16">
        <v>-0.0000014985679444064777</v>
      </c>
      <c r="T29" s="16">
        <v>-8.651986061020243e-7</v>
      </c>
      <c r="U29" s="16">
        <v>0.0018000000000000002</v>
      </c>
      <c r="V29" s="16">
        <v>-0.0000016348013938979755</v>
      </c>
      <c r="W29" s="16">
        <v>-9.438530248385719e-7</v>
      </c>
      <c r="X29" s="16">
        <v>0.00165</v>
      </c>
      <c r="Y29" s="16">
        <v>-0.0000017982815332877731</v>
      </c>
      <c r="Z29" s="16">
        <v>-0.000001038238327322429</v>
      </c>
      <c r="AA29" s="16">
        <v>0.0014960549024157057</v>
      </c>
      <c r="AB29" s="16">
        <v>-0.0000019660613066974827</v>
      </c>
      <c r="AC29" s="16">
        <v>-0.0000011351060246650994</v>
      </c>
      <c r="AD29" s="16">
        <v>0.0012227298876302064</v>
      </c>
      <c r="AE29" s="16">
        <v>-0.000002263949383469829</v>
      </c>
      <c r="AF29" s="16">
        <v>-0.0000013070917859779932</v>
      </c>
      <c r="AG29" s="16">
        <v>0.001086067380237457</v>
      </c>
      <c r="AH29" s="16">
        <v>-0.0000024128934218560017</v>
      </c>
      <c r="AI29" s="16">
        <v>-0.00000139308466663444</v>
      </c>
      <c r="AJ29" s="16">
        <v>0.0009494048728447071</v>
      </c>
      <c r="AK29" s="16">
        <v>-0.000002561837460242175</v>
      </c>
      <c r="AL29" s="16">
        <v>-0.0000014790775472908873</v>
      </c>
      <c r="AM29" s="16">
        <v>0.0008127423654519577</v>
      </c>
      <c r="AN29" s="16">
        <v>-0.0000027107814986283476</v>
      </c>
      <c r="AO29" s="16">
        <v>-0.0000015650704279473342</v>
      </c>
      <c r="AP29" s="16">
        <v>0.0006760798580592079</v>
      </c>
      <c r="AQ29" s="16">
        <v>-0.000002859725537014521</v>
      </c>
      <c r="AR29" s="16">
        <v>-0.0000016510633086037812</v>
      </c>
      <c r="AS29" s="16">
        <v>0.0005394173506664589</v>
      </c>
      <c r="AT29" s="16">
        <v>-0.000003008669575400693</v>
      </c>
      <c r="AU29" s="16">
        <v>-0.0000017370561892602279</v>
      </c>
      <c r="AV29" s="16">
        <v>0.00040275484327370907</v>
      </c>
      <c r="AW29" s="16">
        <v>-0.0000031576136137868663</v>
      </c>
      <c r="AX29" s="16">
        <v>-0.000001823049069916675</v>
      </c>
      <c r="AY29" s="16">
        <v>0.00012942982848821024</v>
      </c>
      <c r="AZ29" s="16">
        <v>-0.000003455501690559212</v>
      </c>
      <c r="BA29" s="16">
        <v>-0.0000019950348312295686</v>
      </c>
      <c r="BB29" s="16">
        <v>-0.00014389518629728945</v>
      </c>
      <c r="BC29" s="16">
        <v>-0.0000037533897673315585</v>
      </c>
      <c r="BD29" s="16">
        <v>-0.0000021670205925424627</v>
      </c>
      <c r="BE29" s="16">
        <v>-0.0004172202010827887</v>
      </c>
      <c r="BF29" s="16">
        <v>-0.000004051277844103904</v>
      </c>
      <c r="BG29" s="16">
        <v>-0.0000023390063538553564</v>
      </c>
      <c r="BH29" s="16">
        <v>-0.0006905452158682875</v>
      </c>
      <c r="BI29" s="16">
        <v>-0.0000043491659208762495</v>
      </c>
      <c r="BJ29" s="16">
        <v>-0.00000251099211516825</v>
      </c>
      <c r="BK29" s="16">
        <v>-0.001237195245439286</v>
      </c>
      <c r="BL29" s="16">
        <v>-0.000004944942074420942</v>
      </c>
      <c r="BM29" s="16">
        <v>-0.000002854963637794038</v>
      </c>
      <c r="BN29" s="16">
        <v>-0.0017838452750102837</v>
      </c>
      <c r="BO29" s="16">
        <v>-0.000005540718227965633</v>
      </c>
      <c r="BP29" s="16">
        <v>-0.0000031989351604198256</v>
      </c>
      <c r="BQ29" s="16">
        <v>-0.0028771453341522807</v>
      </c>
      <c r="BR29" s="16">
        <v>-0.000006732270535055018</v>
      </c>
      <c r="BS29" s="16">
        <v>-0.000003886878205671401</v>
      </c>
      <c r="BT29" s="16">
        <v>-0.003970445393294277</v>
      </c>
      <c r="BU29" s="16">
        <v>-0.0000079238228421444</v>
      </c>
      <c r="BV29" s="16">
        <v>-0.000004574821250922976</v>
      </c>
      <c r="BW29" s="16">
        <v>-0.006703695541149268</v>
      </c>
      <c r="BX29" s="16">
        <v>-0.000010902703609867859</v>
      </c>
      <c r="BY29" s="16">
        <v>-0.000006294678864051915</v>
      </c>
      <c r="BZ29" s="16">
        <v>-0.009436945689004262</v>
      </c>
      <c r="CA29" s="16">
        <v>-0.000013881584377591319</v>
      </c>
      <c r="CB29" s="16">
        <v>-0.000008014536477180854</v>
      </c>
      <c r="CC29" s="16">
        <v>-0.020369946280424225</v>
      </c>
      <c r="CD29" s="16">
        <v>-0.000025797107448485155</v>
      </c>
      <c r="CE29" s="16">
        <v>-0.000014893966929696607</v>
      </c>
      <c r="CF29" s="16">
        <v>-0.05</v>
      </c>
      <c r="CG29" s="16">
        <v>0</v>
      </c>
      <c r="CH29" s="16">
        <v>0</v>
      </c>
      <c r="CI29" s="45">
        <v>33981.43387592912</v>
      </c>
      <c r="CJ29" s="45">
        <v>33981.43387592912</v>
      </c>
      <c r="CK29" s="45">
        <v>33876.03213295795</v>
      </c>
      <c r="CL29" s="45">
        <v>32906.01325096785</v>
      </c>
      <c r="CM29" s="45">
        <v>30851.925454771626</v>
      </c>
      <c r="CN29" s="45">
        <v>29530.369281447915</v>
      </c>
      <c r="CO29" s="45">
        <v>27606.29172738972</v>
      </c>
      <c r="CP29" s="45">
        <v>25380.973765469163</v>
      </c>
      <c r="CQ29" s="45">
        <v>21707.329253162665</v>
      </c>
      <c r="CR29" s="45">
        <v>20027.310123110772</v>
      </c>
      <c r="CS29" s="45">
        <v>18459.473777459072</v>
      </c>
      <c r="CT29" s="45">
        <v>17009.192709478302</v>
      </c>
      <c r="CU29" s="45">
        <v>15697.08036515825</v>
      </c>
      <c r="CV29" s="45">
        <v>14508.92628459579</v>
      </c>
      <c r="CW29" s="45">
        <v>13399.503215462624</v>
      </c>
      <c r="CX29" s="45">
        <v>11482.879130004003</v>
      </c>
      <c r="CY29" s="45">
        <v>9854.503094740641</v>
      </c>
      <c r="CZ29" s="45">
        <v>8505.70364520526</v>
      </c>
      <c r="DA29" s="45">
        <v>7315.198362801137</v>
      </c>
      <c r="DB29" s="45">
        <v>5444.444550948747</v>
      </c>
      <c r="DC29" s="45">
        <v>3998.2944795254284</v>
      </c>
      <c r="DD29" s="45">
        <v>1949.6808039073976</v>
      </c>
      <c r="DE29" s="45">
        <v>511.26210997562345</v>
      </c>
      <c r="DF29" s="45">
        <v>-1812.460497372271</v>
      </c>
      <c r="DG29" s="45">
        <v>-3139.320491048343</v>
      </c>
      <c r="DH29" s="45">
        <v>-5043.762423542305</v>
      </c>
      <c r="DI29" s="45">
        <v>-5790.583579096708</v>
      </c>
      <c r="DJ29" s="45">
        <v>6.55418261885643e-13</v>
      </c>
      <c r="DK29" s="45">
        <v>6.55418261885643e-13</v>
      </c>
      <c r="DL29" s="45">
        <v>-48.82737897610025</v>
      </c>
      <c r="DM29" s="45">
        <v>-451.615918305546</v>
      </c>
      <c r="DN29" s="45">
        <v>-1225.0734674282305</v>
      </c>
      <c r="DO29" s="45">
        <v>-1702.4514385348818</v>
      </c>
      <c r="DP29" s="45">
        <v>-2381.69358926521</v>
      </c>
      <c r="DQ29" s="45">
        <v>-3126.99782166084</v>
      </c>
      <c r="DR29" s="45">
        <v>-4145.278835316722</v>
      </c>
      <c r="DS29" s="45">
        <v>-4522.222382735998</v>
      </c>
      <c r="DT29" s="45">
        <v>-4823.7701921769885</v>
      </c>
      <c r="DU29" s="45">
        <v>-5045.950067069866</v>
      </c>
      <c r="DV29" s="45">
        <v>-5194.68506788422</v>
      </c>
      <c r="DW29" s="45">
        <v>-5287.606148098286</v>
      </c>
      <c r="DX29" s="45">
        <v>-5345.641387896185</v>
      </c>
      <c r="DY29" s="45">
        <v>-5332.535715362699</v>
      </c>
      <c r="DZ29" s="45">
        <v>-5211.0731023903445</v>
      </c>
      <c r="EA29" s="45">
        <v>-5022.430466273361</v>
      </c>
      <c r="EB29" s="45">
        <v>-4796.2583190464575</v>
      </c>
      <c r="EC29" s="45">
        <v>-4295.481529775293</v>
      </c>
      <c r="ED29" s="45">
        <v>-3874.7562747465877</v>
      </c>
      <c r="EE29" s="45">
        <v>-3245.9772676604334</v>
      </c>
      <c r="EF29" s="45">
        <v>-2732.25224133507</v>
      </c>
      <c r="EG29" s="45">
        <v>-1811.8862886257757</v>
      </c>
      <c r="EH29" s="45">
        <v>-1252.4501174205975</v>
      </c>
      <c r="EI29" s="45">
        <v>-390.94105290413614</v>
      </c>
      <c r="EJ29" s="45">
        <v>0</v>
      </c>
      <c r="EK29" s="45">
        <v>-5.220063030719757e-12</v>
      </c>
      <c r="EL29" s="45">
        <v>-5.220063030719757e-12</v>
      </c>
      <c r="EM29" s="45">
        <v>-49.008561187525956</v>
      </c>
      <c r="EN29" s="45">
        <v>-395.3042930080064</v>
      </c>
      <c r="EO29" s="45">
        <v>-1044.9472750163882</v>
      </c>
      <c r="EP29" s="45">
        <v>-1429.3874678290456</v>
      </c>
      <c r="EQ29" s="45">
        <v>-1956.4254380642615</v>
      </c>
      <c r="ER29" s="45">
        <v>-2508.604723676955</v>
      </c>
      <c r="ES29" s="45">
        <v>-3072.756183721881</v>
      </c>
      <c r="ET29" s="45">
        <v>-3217.986629953551</v>
      </c>
      <c r="EU29" s="45">
        <v>-3318.1563609051645</v>
      </c>
      <c r="EV29" s="45">
        <v>-3397.6254059745434</v>
      </c>
      <c r="EW29" s="45">
        <v>-3475.2731875085706</v>
      </c>
      <c r="EX29" s="45">
        <v>-3553.802880810791</v>
      </c>
      <c r="EY29" s="45">
        <v>-3624.0803357245036</v>
      </c>
      <c r="EZ29" s="45">
        <v>-3682.8893057261726</v>
      </c>
      <c r="FA29" s="45">
        <v>-3694.4573071277423</v>
      </c>
      <c r="FB29" s="45">
        <v>-3660.6584302057922</v>
      </c>
      <c r="FC29" s="45">
        <v>-3632.740807414711</v>
      </c>
      <c r="FD29" s="45">
        <v>-3539.615758254851</v>
      </c>
      <c r="FE29" s="45">
        <v>-3370.9622004176017</v>
      </c>
      <c r="FF29" s="45">
        <v>-2927.0416833708387</v>
      </c>
      <c r="FG29" s="45">
        <v>-2576.1224045675226</v>
      </c>
      <c r="FH29" s="45">
        <v>-1851.9191068231153</v>
      </c>
      <c r="FI29" s="45">
        <v>-1317.540551083515</v>
      </c>
      <c r="FJ29" s="45">
        <v>-388.05478209691546</v>
      </c>
      <c r="FK29" s="45">
        <v>5.960464477539062e-14</v>
      </c>
      <c r="FL29" s="46">
        <f>MAX(1,MIN(26,SUMPRODUCT(--($CI29:$DI29&gt;=Pu))))</f>
      </c>
      <c r="FM29" s="47">
        <f>(Pu-INDEX($CI29:$DI29,1,$FL29))/(INDEX($CI29:$DI29,1,$FL29+1)-INDEX($CI29:$DI29,1,$FL29))</f>
      </c>
      <c r="FN29" s="39">
        <f>INDEX($DJ29:$EJ29,1,$FL29)+$FM29*(INDEX($DJ29:$EJ29,1,$FL29+1)-INDEX($DJ29:$EJ29,1,$FL29))</f>
      </c>
      <c r="FO29" s="39">
        <f>INDEX($EK29:$FK29,1,$FL29)+$FM29*(INDEX($EK29:$FK29,1,$FL29+1)-INDEX($EK29:$FK29,1,$FL29))</f>
      </c>
      <c r="FP29" s="39">
        <f>SQRT(FN29^2+FO29^2)</f>
      </c>
      <c r="FQ29" s="20">
        <f>FN30-FN29</f>
      </c>
      <c r="FR29" s="20">
        <f>FO30-FO29</f>
      </c>
      <c r="FS29" s="20">
        <f>FQ29*SIN(RADIANS(theta_L))-FR29*COS(RADIANS(theta_L))</f>
      </c>
      <c r="FT29" s="47">
        <f>IF(FS29=0,"",-(FN29*SIN(RADIANS(theta_L))-FO29*COS(RADIANS(theta_L)))/FS29)</f>
      </c>
      <c r="FU29" s="20">
        <f>IF(FT29="","",(FN29+FT29*FQ29)*COS(RADIANS(theta_L))+(FO29+FT29*FR29)*SIN(RADIANS(theta_L)))</f>
      </c>
      <c r="FV29" s="20">
        <f>IF(OR(FT29="",FT29&lt;0,FT29&gt;1,FU29&lt;0),"",FU29)</f>
      </c>
    </row>
    <row r="30" spans="1:178" x14ac:dyDescent="0.25">
      <c r="A30">
        <v>23</v>
      </c>
      <c r="B30" s="44">
        <v>219.99999999999997</v>
      </c>
      <c r="C30" s="18">
        <v>813.1598511989835</v>
      </c>
      <c r="D30" s="18">
        <v>-666.90890752254</v>
      </c>
      <c r="E30" s="18">
        <v>1480.0687587215234</v>
      </c>
      <c r="F30" s="16">
        <v>0.0033</v>
      </c>
      <c r="G30" s="16">
        <v>0</v>
      </c>
      <c r="H30" s="16">
        <v>0</v>
      </c>
      <c r="I30" s="16">
        <v>0.00275</v>
      </c>
      <c r="J30" s="16">
        <v>-5.181323734739312e-7</v>
      </c>
      <c r="K30" s="16">
        <v>-4.3476468348298396e-7</v>
      </c>
      <c r="L30" s="16">
        <v>0.002475</v>
      </c>
      <c r="M30" s="16">
        <v>-7.771985602108968e-7</v>
      </c>
      <c r="N30" s="16">
        <v>-6.521470252244759e-7</v>
      </c>
      <c r="O30" s="16">
        <v>0.0022</v>
      </c>
      <c r="P30" s="16">
        <v>-0.0000010362647469478624</v>
      </c>
      <c r="Q30" s="16">
        <v>-8.695293669659679e-7</v>
      </c>
      <c r="R30" s="16">
        <v>0.0019249999999999998</v>
      </c>
      <c r="S30" s="16">
        <v>-0.0000012953309336848282</v>
      </c>
      <c r="T30" s="16">
        <v>-0.00000108691170870746</v>
      </c>
      <c r="U30" s="16">
        <v>0.0018</v>
      </c>
      <c r="V30" s="16">
        <v>-0.0000014130882912925398</v>
      </c>
      <c r="W30" s="16">
        <v>-0.0000011857218640445017</v>
      </c>
      <c r="X30" s="16">
        <v>0.0016500000000000002</v>
      </c>
      <c r="Y30" s="16">
        <v>-0.0000015543971204217936</v>
      </c>
      <c r="Z30" s="16">
        <v>-0.0000013042940504489518</v>
      </c>
      <c r="AA30" s="16">
        <v>0.0014869575361656999</v>
      </c>
      <c r="AB30" s="16">
        <v>-0.0000017079927181736185</v>
      </c>
      <c r="AC30" s="16">
        <v>-0.0000014331760598729619</v>
      </c>
      <c r="AD30" s="16">
        <v>0.001212254132554442</v>
      </c>
      <c r="AE30" s="16">
        <v>-0.0000019667794936544697</v>
      </c>
      <c r="AF30" s="16">
        <v>-0.0000016503239477325016</v>
      </c>
      <c r="AG30" s="16">
        <v>0.0010749024307488133</v>
      </c>
      <c r="AH30" s="16">
        <v>-0.0000020961728813948954</v>
      </c>
      <c r="AI30" s="16">
        <v>-0.0000017588978916622712</v>
      </c>
      <c r="AJ30" s="16">
        <v>0.0009375507289431841</v>
      </c>
      <c r="AK30" s="16">
        <v>-0.0000022255662691353214</v>
      </c>
      <c r="AL30" s="16">
        <v>-0.0000018674718355920412</v>
      </c>
      <c r="AM30" s="16">
        <v>0.0008001990271375554</v>
      </c>
      <c r="AN30" s="16">
        <v>-0.000002354959656875747</v>
      </c>
      <c r="AO30" s="16">
        <v>-0.000001976045779521811</v>
      </c>
      <c r="AP30" s="16">
        <v>0.0006628473253319266</v>
      </c>
      <c r="AQ30" s="16">
        <v>-0.0000024843530446161726</v>
      </c>
      <c r="AR30" s="16">
        <v>-0.000002084619723451581</v>
      </c>
      <c r="AS30" s="16">
        <v>0.0005254956235262978</v>
      </c>
      <c r="AT30" s="16">
        <v>-0.0000026137464323565983</v>
      </c>
      <c r="AU30" s="16">
        <v>-0.0000021931936673813508</v>
      </c>
      <c r="AV30" s="16">
        <v>0.00038814392172066906</v>
      </c>
      <c r="AW30" s="16">
        <v>-0.000002743139820097024</v>
      </c>
      <c r="AX30" s="16">
        <v>-0.0000023017676113111203</v>
      </c>
      <c r="AY30" s="16">
        <v>0.00011344051810941195</v>
      </c>
      <c r="AZ30" s="16">
        <v>-0.000003001926595577875</v>
      </c>
      <c r="BA30" s="16">
        <v>-0.00000251891549917066</v>
      </c>
      <c r="BB30" s="16">
        <v>-0.00016126288550184645</v>
      </c>
      <c r="BC30" s="16">
        <v>-0.0000032607133710587268</v>
      </c>
      <c r="BD30" s="16">
        <v>-0.0000027360633870302</v>
      </c>
      <c r="BE30" s="16">
        <v>-0.0004359662891131044</v>
      </c>
      <c r="BF30" s="16">
        <v>-0.0000035195001465395784</v>
      </c>
      <c r="BG30" s="16">
        <v>-0.0000029532112748897403</v>
      </c>
      <c r="BH30" s="16">
        <v>-0.000710669692724362</v>
      </c>
      <c r="BI30" s="16">
        <v>-0.0000037782869220204297</v>
      </c>
      <c r="BJ30" s="16">
        <v>-0.0000031703591627492795</v>
      </c>
      <c r="BK30" s="16">
        <v>-0.0012600764999468762</v>
      </c>
      <c r="BL30" s="16">
        <v>-0.000004295860472982132</v>
      </c>
      <c r="BM30" s="16">
        <v>-0.0000036046549384683586</v>
      </c>
      <c r="BN30" s="16">
        <v>-0.0018094833071693912</v>
      </c>
      <c r="BO30" s="16">
        <v>-0.000004813434023943834</v>
      </c>
      <c r="BP30" s="16">
        <v>-0.000004038950714187438</v>
      </c>
      <c r="BQ30" s="16">
        <v>-0.002908296921614424</v>
      </c>
      <c r="BR30" s="16">
        <v>-0.000005848581125867241</v>
      </c>
      <c r="BS30" s="16">
        <v>-0.000004907542265625598</v>
      </c>
      <c r="BT30" s="16">
        <v>-0.004007110536059453</v>
      </c>
      <c r="BU30" s="16">
        <v>-0.000006883728227790645</v>
      </c>
      <c r="BV30" s="16">
        <v>-0.000005776133817063756</v>
      </c>
      <c r="BW30" s="16">
        <v>-0.0067541445721720295</v>
      </c>
      <c r="BX30" s="16">
        <v>-0.000009471595982599158</v>
      </c>
      <c r="BY30" s="16">
        <v>-0.000007947612695659153</v>
      </c>
      <c r="BZ30" s="16">
        <v>-0.009501178608284606</v>
      </c>
      <c r="CA30" s="16">
        <v>-0.000012059463737407672</v>
      </c>
      <c r="CB30" s="16">
        <v>-0.00001011909157425455</v>
      </c>
      <c r="CC30" s="16">
        <v>-0.02048931475273491</v>
      </c>
      <c r="CD30" s="16">
        <v>-0.000022410934756641723</v>
      </c>
      <c r="CE30" s="16">
        <v>-0.000018805007088636136</v>
      </c>
      <c r="CF30" s="16">
        <v>-0.05</v>
      </c>
      <c r="CG30" s="16">
        <v>0</v>
      </c>
      <c r="CH30" s="16">
        <v>0</v>
      </c>
      <c r="CI30" s="45">
        <v>33981.43387592912</v>
      </c>
      <c r="CJ30" s="45">
        <v>33981.43387592912</v>
      </c>
      <c r="CK30" s="45">
        <v>33863.401961756674</v>
      </c>
      <c r="CL30" s="45">
        <v>32899.22900636582</v>
      </c>
      <c r="CM30" s="45">
        <v>30842.140259191136</v>
      </c>
      <c r="CN30" s="45">
        <v>29535.783675959967</v>
      </c>
      <c r="CO30" s="45">
        <v>27634.205024094677</v>
      </c>
      <c r="CP30" s="45">
        <v>25332.233745221645</v>
      </c>
      <c r="CQ30" s="45">
        <v>21761.56042439466</v>
      </c>
      <c r="CR30" s="45">
        <v>20101.224978027964</v>
      </c>
      <c r="CS30" s="45">
        <v>18512.818954302034</v>
      </c>
      <c r="CT30" s="45">
        <v>17004.408123578432</v>
      </c>
      <c r="CU30" s="45">
        <v>15596.516851973447</v>
      </c>
      <c r="CV30" s="45">
        <v>14294.869815560665</v>
      </c>
      <c r="CW30" s="45">
        <v>13104.8791266839</v>
      </c>
      <c r="CX30" s="45">
        <v>11110.884833042266</v>
      </c>
      <c r="CY30" s="45">
        <v>9458.95332207135</v>
      </c>
      <c r="CZ30" s="45">
        <v>8043.1654788070955</v>
      </c>
      <c r="DA30" s="45">
        <v>6844.629912111164</v>
      </c>
      <c r="DB30" s="45">
        <v>5044.902711743984</v>
      </c>
      <c r="DC30" s="45">
        <v>3785.4267341656296</v>
      </c>
      <c r="DD30" s="45">
        <v>1893.5135774425642</v>
      </c>
      <c r="DE30" s="45">
        <v>539.058511288472</v>
      </c>
      <c r="DF30" s="45">
        <v>-1617.1256590809053</v>
      </c>
      <c r="DG30" s="45">
        <v>-2847.6718646728477</v>
      </c>
      <c r="DH30" s="45">
        <v>-4751.34665962874</v>
      </c>
      <c r="DI30" s="45">
        <v>-5790.583579096708</v>
      </c>
      <c r="DJ30" s="45">
        <v>6.55418261885643e-13</v>
      </c>
      <c r="DK30" s="45">
        <v>6.55418261885643e-13</v>
      </c>
      <c r="DL30" s="45">
        <v>-48.958263339747944</v>
      </c>
      <c r="DM30" s="45">
        <v>-398.0757906164403</v>
      </c>
      <c r="DN30" s="45">
        <v>-1088.2690308146505</v>
      </c>
      <c r="DO30" s="45">
        <v>-1510.5385693199</v>
      </c>
      <c r="DP30" s="45">
        <v>-2101.5497614287774</v>
      </c>
      <c r="DQ30" s="45">
        <v>-2749.0950305457104</v>
      </c>
      <c r="DR30" s="45">
        <v>-3532.437769708687</v>
      </c>
      <c r="DS30" s="45">
        <v>-3817.8889792252025</v>
      </c>
      <c r="DT30" s="45">
        <v>-4054.084505202739</v>
      </c>
      <c r="DU30" s="45">
        <v>-4242.420926286809</v>
      </c>
      <c r="DV30" s="45">
        <v>-4383.00903664338</v>
      </c>
      <c r="DW30" s="45">
        <v>-4474.54778540164</v>
      </c>
      <c r="DX30" s="45">
        <v>-4527.173760955919</v>
      </c>
      <c r="DY30" s="45">
        <v>-4493.212345325519</v>
      </c>
      <c r="DZ30" s="45">
        <v>-4364.214520318649</v>
      </c>
      <c r="EA30" s="45">
        <v>-4189.898235503853</v>
      </c>
      <c r="EB30" s="45">
        <v>-4004.359886716836</v>
      </c>
      <c r="EC30" s="45">
        <v>-3649.857267542735</v>
      </c>
      <c r="ED30" s="45">
        <v>-3333.056961239355</v>
      </c>
      <c r="EE30" s="45">
        <v>-2821.6453130223535</v>
      </c>
      <c r="EF30" s="45">
        <v>-2451.7278494402162</v>
      </c>
      <c r="EG30" s="45">
        <v>-1732.8767229561272</v>
      </c>
      <c r="EH30" s="45">
        <v>-1270.1862289909416</v>
      </c>
      <c r="EI30" s="45">
        <v>-478.9243111428827</v>
      </c>
      <c r="EJ30" s="45">
        <v>0</v>
      </c>
      <c r="EK30" s="45">
        <v>-5.220063030719757e-12</v>
      </c>
      <c r="EL30" s="45">
        <v>-5.220063030719757e-12</v>
      </c>
      <c r="EM30" s="45">
        <v>-61.95267625857963</v>
      </c>
      <c r="EN30" s="45">
        <v>-493.73059946020294</v>
      </c>
      <c r="EO30" s="45">
        <v>-1280.8274411753707</v>
      </c>
      <c r="EP30" s="45">
        <v>-1753.7383745309983</v>
      </c>
      <c r="EQ30" s="45">
        <v>-2419.284212618864</v>
      </c>
      <c r="ER30" s="45">
        <v>-3138.164009826728</v>
      </c>
      <c r="ES30" s="45">
        <v>-3910.077001241621</v>
      </c>
      <c r="ET30" s="45">
        <v>-4157.571374021751</v>
      </c>
      <c r="EU30" s="45">
        <v>-4343.422555444722</v>
      </c>
      <c r="EV30" s="45">
        <v>-4477.868024295576</v>
      </c>
      <c r="EW30" s="45">
        <v>-4579.592899760917</v>
      </c>
      <c r="EX30" s="45">
        <v>-4662.285223226658</v>
      </c>
      <c r="EY30" s="45">
        <v>-4734.958946770769</v>
      </c>
      <c r="EZ30" s="45">
        <v>-4781.003576036507</v>
      </c>
      <c r="FA30" s="45">
        <v>-4758.713504104199</v>
      </c>
      <c r="FB30" s="45">
        <v>-4690.889950990288</v>
      </c>
      <c r="FC30" s="45">
        <v>-4570.343560203538</v>
      </c>
      <c r="FD30" s="45">
        <v>-4282.394407140975</v>
      </c>
      <c r="FE30" s="45">
        <v>-4003.4371459442264</v>
      </c>
      <c r="FF30" s="45">
        <v>-3509.669015263958</v>
      </c>
      <c r="FG30" s="45">
        <v>-3053.8936194001967</v>
      </c>
      <c r="FH30" s="45">
        <v>-2183.9795886350516</v>
      </c>
      <c r="FI30" s="45">
        <v>-1603.3563382542457</v>
      </c>
      <c r="FJ30" s="45">
        <v>-609.6888341933746</v>
      </c>
      <c r="FK30" s="45">
        <v>5.960464477539062e-14</v>
      </c>
      <c r="FL30" s="46">
        <f>MAX(1,MIN(26,SUMPRODUCT(--($CI30:$DI30&gt;=Pu))))</f>
      </c>
      <c r="FM30" s="47">
        <f>(Pu-INDEX($CI30:$DI30,1,$FL30))/(INDEX($CI30:$DI30,1,$FL30+1)-INDEX($CI30:$DI30,1,$FL30))</f>
      </c>
      <c r="FN30" s="39">
        <f>INDEX($DJ30:$EJ30,1,$FL30)+$FM30*(INDEX($DJ30:$EJ30,1,$FL30+1)-INDEX($DJ30:$EJ30,1,$FL30))</f>
      </c>
      <c r="FO30" s="39">
        <f>INDEX($EK30:$FK30,1,$FL30)+$FM30*(INDEX($EK30:$FK30,1,$FL30+1)-INDEX($EK30:$FK30,1,$FL30))</f>
      </c>
      <c r="FP30" s="39">
        <f>SQRT(FN30^2+FO30^2)</f>
      </c>
      <c r="FQ30" s="20">
        <f>FN31-FN30</f>
      </c>
      <c r="FR30" s="20">
        <f>FO31-FO30</f>
      </c>
      <c r="FS30" s="20">
        <f>FQ30*SIN(RADIANS(theta_L))-FR30*COS(RADIANS(theta_L))</f>
      </c>
      <c r="FT30" s="47">
        <f>IF(FS30=0,"",-(FN30*SIN(RADIANS(theta_L))-FO30*COS(RADIANS(theta_L)))/FS30)</f>
      </c>
      <c r="FU30" s="20">
        <f>IF(FT30="","",(FN30+FT30*FQ30)*COS(RADIANS(theta_L))+(FO30+FT30*FR30)*SIN(RADIANS(theta_L)))</f>
      </c>
      <c r="FV30" s="20">
        <f>IF(OR(FT30="",FT30&lt;0,FT30&gt;1,FU30&lt;0),"",FU30)</f>
      </c>
    </row>
    <row r="31" spans="1:178" x14ac:dyDescent="0.25">
      <c r="A31">
        <v>24</v>
      </c>
      <c r="B31" s="44">
        <v>229.99999999999997</v>
      </c>
      <c r="C31" s="18">
        <v>831.6483762138491</v>
      </c>
      <c r="D31" s="18">
        <v>-713.7465042268668</v>
      </c>
      <c r="E31" s="18">
        <v>1545.394880440716</v>
      </c>
      <c r="F31" s="16">
        <v>0.0033</v>
      </c>
      <c r="G31" s="16">
        <v>0</v>
      </c>
      <c r="H31" s="16">
        <v>0</v>
      </c>
      <c r="I31" s="16">
        <v>0.00275</v>
      </c>
      <c r="J31" s="16">
        <v>-4.2509935140748674e-7</v>
      </c>
      <c r="K31" s="16">
        <v>-5.066136792493406e-7</v>
      </c>
      <c r="L31" s="16">
        <v>0.0024749999999999998</v>
      </c>
      <c r="M31" s="16">
        <v>-6.376490271112299e-7</v>
      </c>
      <c r="N31" s="16">
        <v>-7.599205188740108e-7</v>
      </c>
      <c r="O31" s="16">
        <v>0.0021999999999999997</v>
      </c>
      <c r="P31" s="16">
        <v>-8.501987028149733e-7</v>
      </c>
      <c r="Q31" s="16">
        <v>-0.0000010132273584986811</v>
      </c>
      <c r="R31" s="16">
        <v>0.0019249999999999998</v>
      </c>
      <c r="S31" s="16">
        <v>-0.0000010627483785187166</v>
      </c>
      <c r="T31" s="16">
        <v>-0.0000012665341981233513</v>
      </c>
      <c r="U31" s="16">
        <v>0.0018</v>
      </c>
      <c r="V31" s="16">
        <v>-0.0000011593618674749635</v>
      </c>
      <c r="W31" s="16">
        <v>-0.0000013816736706800195</v>
      </c>
      <c r="X31" s="16">
        <v>0.00165</v>
      </c>
      <c r="Y31" s="16">
        <v>-0.0000012752980542224599</v>
      </c>
      <c r="Z31" s="16">
        <v>-0.0000015198410377480215</v>
      </c>
      <c r="AA31" s="16">
        <v>0.0015241175532281805</v>
      </c>
      <c r="AB31" s="16">
        <v>-0.0000013725935932702562</v>
      </c>
      <c r="AC31" s="16">
        <v>-0.000001635793345951623</v>
      </c>
      <c r="AD31" s="16">
        <v>0.0012550444552324501</v>
      </c>
      <c r="AE31" s="16">
        <v>-0.0000015805623195233255</v>
      </c>
      <c r="AF31" s="16">
        <v>-0.00000188364082261096</v>
      </c>
      <c r="AG31" s="16">
        <v>0.001120507906234585</v>
      </c>
      <c r="AH31" s="16">
        <v>-0.0000016845466826498598</v>
      </c>
      <c r="AI31" s="16">
        <v>-0.0000020075645609406282</v>
      </c>
      <c r="AJ31" s="16">
        <v>0.0009859713572367202</v>
      </c>
      <c r="AK31" s="16">
        <v>-0.0000017885310457763944</v>
      </c>
      <c r="AL31" s="16">
        <v>-0.0000021314882992702965</v>
      </c>
      <c r="AM31" s="16">
        <v>0.0008514348082388546</v>
      </c>
      <c r="AN31" s="16">
        <v>-0.000001892515408902929</v>
      </c>
      <c r="AO31" s="16">
        <v>-0.000002255412037599965</v>
      </c>
      <c r="AP31" s="16">
        <v>0.0007168982592409895</v>
      </c>
      <c r="AQ31" s="16">
        <v>-0.000001996499772029464</v>
      </c>
      <c r="AR31" s="16">
        <v>-0.0000023793357759296336</v>
      </c>
      <c r="AS31" s="16">
        <v>0.0005823617102431247</v>
      </c>
      <c r="AT31" s="16">
        <v>-0.000002100484135155998</v>
      </c>
      <c r="AU31" s="16">
        <v>-0.0000025032595142593015</v>
      </c>
      <c r="AV31" s="16">
        <v>0.00044782516124525955</v>
      </c>
      <c r="AW31" s="16">
        <v>-0.0000022044684982825326</v>
      </c>
      <c r="AX31" s="16">
        <v>-0.0000026271832525889702</v>
      </c>
      <c r="AY31" s="16">
        <v>0.00017875206324952965</v>
      </c>
      <c r="AZ31" s="16">
        <v>-0.0000024124372245356017</v>
      </c>
      <c r="BA31" s="16">
        <v>-0.000002875030729248307</v>
      </c>
      <c r="BB31" s="16">
        <v>-0.00009032103474620112</v>
      </c>
      <c r="BC31" s="16">
        <v>-0.0000026204059507886712</v>
      </c>
      <c r="BD31" s="16">
        <v>-0.000003122878205907644</v>
      </c>
      <c r="BE31" s="16">
        <v>-0.000359394132741931</v>
      </c>
      <c r="BF31" s="16">
        <v>-0.00000282837467704174</v>
      </c>
      <c r="BG31" s="16">
        <v>-0.0000033707256825669805</v>
      </c>
      <c r="BH31" s="16">
        <v>-0.0006284672307376614</v>
      </c>
      <c r="BI31" s="16">
        <v>-0.0000030363434032948094</v>
      </c>
      <c r="BJ31" s="16">
        <v>-0.000003618573159226318</v>
      </c>
      <c r="BK31" s="16">
        <v>-0.001166613426729122</v>
      </c>
      <c r="BL31" s="16">
        <v>-0.0000034522808558009472</v>
      </c>
      <c r="BM31" s="16">
        <v>-0.000004114268112544991</v>
      </c>
      <c r="BN31" s="16">
        <v>-0.0017047596227205818</v>
      </c>
      <c r="BO31" s="16">
        <v>-0.0000038682183083070854</v>
      </c>
      <c r="BP31" s="16">
        <v>-0.0000046099630658636645</v>
      </c>
      <c r="BQ31" s="16">
        <v>-0.002781052014703503</v>
      </c>
      <c r="BR31" s="16">
        <v>-0.000004700093213319363</v>
      </c>
      <c r="BS31" s="16">
        <v>-0.000005601352972501013</v>
      </c>
      <c r="BT31" s="16">
        <v>-0.0038573444066864245</v>
      </c>
      <c r="BU31" s="16">
        <v>-0.000005531968118331638</v>
      </c>
      <c r="BV31" s="16">
        <v>-0.000006592742879138359</v>
      </c>
      <c r="BW31" s="16">
        <v>-0.006548075386643727</v>
      </c>
      <c r="BX31" s="16">
        <v>-0.00000761165538086233</v>
      </c>
      <c r="BY31" s="16">
        <v>-0.000009071217645731727</v>
      </c>
      <c r="BZ31" s="16">
        <v>-0.00923880636660103</v>
      </c>
      <c r="CA31" s="16">
        <v>-0.000009691342643393021</v>
      </c>
      <c r="CB31" s="16">
        <v>-0.000011549692412325095</v>
      </c>
      <c r="CC31" s="16">
        <v>-0.020001730286430236</v>
      </c>
      <c r="CD31" s="16">
        <v>-0.000018010091693515785</v>
      </c>
      <c r="CE31" s="16">
        <v>-0.000021463591478698567</v>
      </c>
      <c r="CF31" s="16">
        <v>-0.05</v>
      </c>
      <c r="CG31" s="16">
        <v>0</v>
      </c>
      <c r="CH31" s="16">
        <v>0</v>
      </c>
      <c r="CI31" s="45">
        <v>33981.43387592912</v>
      </c>
      <c r="CJ31" s="45">
        <v>33981.43387592912</v>
      </c>
      <c r="CK31" s="45">
        <v>33861.11941091311</v>
      </c>
      <c r="CL31" s="45">
        <v>32881.80373731946</v>
      </c>
      <c r="CM31" s="45">
        <v>30855.015677708063</v>
      </c>
      <c r="CN31" s="45">
        <v>29533.92482868913</v>
      </c>
      <c r="CO31" s="45">
        <v>27619.547925267736</v>
      </c>
      <c r="CP31" s="45">
        <v>25828.944738169932</v>
      </c>
      <c r="CQ31" s="45">
        <v>22309.030785578878</v>
      </c>
      <c r="CR31" s="45">
        <v>20694.528676100555</v>
      </c>
      <c r="CS31" s="45">
        <v>19129.273337512244</v>
      </c>
      <c r="CT31" s="45">
        <v>17629.84366136611</v>
      </c>
      <c r="CU31" s="45">
        <v>16202.01867284073</v>
      </c>
      <c r="CV31" s="45">
        <v>14847.90193342402</v>
      </c>
      <c r="CW31" s="45">
        <v>13572.318907330013</v>
      </c>
      <c r="CX31" s="45">
        <v>11395.329569452102</v>
      </c>
      <c r="CY31" s="45">
        <v>9624.185665708459</v>
      </c>
      <c r="CZ31" s="45">
        <v>8193.367442954379</v>
      </c>
      <c r="DA31" s="45">
        <v>7046.9850086274755</v>
      </c>
      <c r="DB31" s="45">
        <v>5322.042464505348</v>
      </c>
      <c r="DC31" s="45">
        <v>4001.1294367277983</v>
      </c>
      <c r="DD31" s="45">
        <v>2162.771322358068</v>
      </c>
      <c r="DE31" s="45">
        <v>835.6460013542967</v>
      </c>
      <c r="DF31" s="45">
        <v>-1331.3939036607142</v>
      </c>
      <c r="DG31" s="45">
        <v>-2663.97439866753</v>
      </c>
      <c r="DH31" s="45">
        <v>-4673.630550613127</v>
      </c>
      <c r="DI31" s="45">
        <v>-5790.583579096708</v>
      </c>
      <c r="DJ31" s="45">
        <v>6.55418261885643e-13</v>
      </c>
      <c r="DK31" s="45">
        <v>6.55418261885643e-13</v>
      </c>
      <c r="DL31" s="45">
        <v>-43.470549674689984</v>
      </c>
      <c r="DM31" s="45">
        <v>-338.26037721195246</v>
      </c>
      <c r="DN31" s="45">
        <v>-920.3029079826174</v>
      </c>
      <c r="DO31" s="45">
        <v>-1269.5593384797905</v>
      </c>
      <c r="DP31" s="45">
        <v>-1760.199094483151</v>
      </c>
      <c r="DQ31" s="45">
        <v>-2172.884341928995</v>
      </c>
      <c r="DR31" s="45">
        <v>-2766.415913909549</v>
      </c>
      <c r="DS31" s="45">
        <v>-2971.0647982948126</v>
      </c>
      <c r="DT31" s="45">
        <v>-3140.929660858207</v>
      </c>
      <c r="DU31" s="45">
        <v>-3286.8734746732016</v>
      </c>
      <c r="DV31" s="45">
        <v>-3409.2195525686266</v>
      </c>
      <c r="DW31" s="45">
        <v>-3502.726645895818</v>
      </c>
      <c r="DX31" s="45">
        <v>-3568.11347800173</v>
      </c>
      <c r="DY31" s="45">
        <v>-3576.1171459563184</v>
      </c>
      <c r="DZ31" s="45">
        <v>-3490.8288288884005</v>
      </c>
      <c r="EA31" s="45">
        <v>-3363.9972775954157</v>
      </c>
      <c r="EB31" s="45">
        <v>-3239.274440159027</v>
      </c>
      <c r="EC31" s="45">
        <v>-3028.633515053862</v>
      </c>
      <c r="ED31" s="45">
        <v>-2829.888296071576</v>
      </c>
      <c r="EE31" s="45">
        <v>-2449.8091702078596</v>
      </c>
      <c r="EF31" s="45">
        <v>-2145.701893508659</v>
      </c>
      <c r="EG31" s="45">
        <v>-1612.810576098915</v>
      </c>
      <c r="EH31" s="45">
        <v>-1202.9831703576112</v>
      </c>
      <c r="EI31" s="45">
        <v>-456.7173967036648</v>
      </c>
      <c r="EJ31" s="45">
        <v>0</v>
      </c>
      <c r="EK31" s="45">
        <v>-5.220063030719757e-12</v>
      </c>
      <c r="EL31" s="45">
        <v>-5.220063030719757e-12</v>
      </c>
      <c r="EM31" s="45">
        <v>-70.03749424886189</v>
      </c>
      <c r="EN31" s="45">
        <v>-568.3574622308521</v>
      </c>
      <c r="EO31" s="45">
        <v>-1467.8036941435034</v>
      </c>
      <c r="EP31" s="45">
        <v>-2015.191611120875</v>
      </c>
      <c r="EQ31" s="45">
        <v>-2783.813437779914</v>
      </c>
      <c r="ER31" s="45">
        <v>-3452.267781680792</v>
      </c>
      <c r="ES31" s="45">
        <v>-4479.373336810409</v>
      </c>
      <c r="ET31" s="45">
        <v>-4822.580917305342</v>
      </c>
      <c r="EU31" s="45">
        <v>-5080.715414726542</v>
      </c>
      <c r="EV31" s="45">
        <v>-5273.793840468966</v>
      </c>
      <c r="EW31" s="45">
        <v>-5417.7632664990715</v>
      </c>
      <c r="EX31" s="45">
        <v>-5530.338390487945</v>
      </c>
      <c r="EY31" s="45">
        <v>-5621.6353150455925</v>
      </c>
      <c r="EZ31" s="45">
        <v>-5685.063475747935</v>
      </c>
      <c r="FA31" s="45">
        <v>-5644.501602147596</v>
      </c>
      <c r="FB31" s="45">
        <v>-5533.8097468352435</v>
      </c>
      <c r="FC31" s="45">
        <v>-5383.108094724508</v>
      </c>
      <c r="FD31" s="45">
        <v>-5021.055676324054</v>
      </c>
      <c r="FE31" s="45">
        <v>-4664.973113127802</v>
      </c>
      <c r="FF31" s="45">
        <v>-4071.1843989501576</v>
      </c>
      <c r="FG31" s="45">
        <v>-3547.9008305586976</v>
      </c>
      <c r="FH31" s="45">
        <v>-2529.23233936988</v>
      </c>
      <c r="FI31" s="45">
        <v>-1841.6259250823568</v>
      </c>
      <c r="FJ31" s="45">
        <v>-716.4645902078242</v>
      </c>
      <c r="FK31" s="45">
        <v>5.960464477539062e-14</v>
      </c>
      <c r="FL31" s="46">
        <f>MAX(1,MIN(26,SUMPRODUCT(--($CI31:$DI31&gt;=Pu))))</f>
      </c>
      <c r="FM31" s="47">
        <f>(Pu-INDEX($CI31:$DI31,1,$FL31))/(INDEX($CI31:$DI31,1,$FL31+1)-INDEX($CI31:$DI31,1,$FL31))</f>
      </c>
      <c r="FN31" s="39">
        <f>INDEX($DJ31:$EJ31,1,$FL31)+$FM31*(INDEX($DJ31:$EJ31,1,$FL31+1)-INDEX($DJ31:$EJ31,1,$FL31))</f>
      </c>
      <c r="FO31" s="39">
        <f>INDEX($EK31:$FK31,1,$FL31)+$FM31*(INDEX($EK31:$FK31,1,$FL31+1)-INDEX($EK31:$FK31,1,$FL31))</f>
      </c>
      <c r="FP31" s="39">
        <f>SQRT(FN31^2+FO31^2)</f>
      </c>
      <c r="FQ31" s="20">
        <f>FN32-FN31</f>
      </c>
      <c r="FR31" s="20">
        <f>FO32-FO31</f>
      </c>
      <c r="FS31" s="20">
        <f>FQ31*SIN(RADIANS(theta_L))-FR31*COS(RADIANS(theta_L))</f>
      </c>
      <c r="FT31" s="47">
        <f>IF(FS31=0,"",-(FN31*SIN(RADIANS(theta_L))-FO31*COS(RADIANS(theta_L)))/FS31)</f>
      </c>
      <c r="FU31" s="20">
        <f>IF(FT31="","",(FN31+FT31*FQ31)*COS(RADIANS(theta_L))+(FO31+FT31*FR31)*SIN(RADIANS(theta_L)))</f>
      </c>
      <c r="FV31" s="20">
        <f>IF(OR(FT31="",FT31&lt;0,FT31&gt;1,FU31&lt;0),"",FU31)</f>
      </c>
    </row>
    <row r="32" spans="1:178" x14ac:dyDescent="0.25">
      <c r="A32">
        <v>25</v>
      </c>
      <c r="B32" s="44">
        <v>239.99999999999997</v>
      </c>
      <c r="C32" s="18">
        <v>849.5190528383291</v>
      </c>
      <c r="D32" s="18">
        <v>-738.8972745734183</v>
      </c>
      <c r="E32" s="18">
        <v>1588.4163274117473</v>
      </c>
      <c r="F32" s="16">
        <v>0.0033</v>
      </c>
      <c r="G32" s="16">
        <v>0</v>
      </c>
      <c r="H32" s="16">
        <v>0</v>
      </c>
      <c r="I32" s="16">
        <v>0.00275</v>
      </c>
      <c r="J32" s="16">
        <v>-3.237125748753926e-7</v>
      </c>
      <c r="K32" s="16">
        <v>-5.606866267331239e-7</v>
      </c>
      <c r="L32" s="16">
        <v>0.0024749999999999998</v>
      </c>
      <c r="M32" s="16">
        <v>-4.85568862313089e-7</v>
      </c>
      <c r="N32" s="16">
        <v>-8.410299400996859e-7</v>
      </c>
      <c r="O32" s="16">
        <v>0.0021999999999999997</v>
      </c>
      <c r="P32" s="16">
        <v>-6.474251497507852e-7</v>
      </c>
      <c r="Q32" s="16">
        <v>-0.0000011213732534662478</v>
      </c>
      <c r="R32" s="16">
        <v>0.001925</v>
      </c>
      <c r="S32" s="16">
        <v>-8.092814371884816e-7</v>
      </c>
      <c r="T32" s="16">
        <v>-0.0000014017165668328096</v>
      </c>
      <c r="U32" s="16">
        <v>0.0018000000000000002</v>
      </c>
      <c r="V32" s="16">
        <v>-8.828524769328889e-7</v>
      </c>
      <c r="W32" s="16">
        <v>-0.0000015291453456357922</v>
      </c>
      <c r="X32" s="16">
        <v>0.0016499999999999998</v>
      </c>
      <c r="Y32" s="16">
        <v>-9.71137724626178e-7</v>
      </c>
      <c r="Z32" s="16">
        <v>-0.0000016820598801993718</v>
      </c>
      <c r="AA32" s="16">
        <v>0.0015350893616571412</v>
      </c>
      <c r="AB32" s="16">
        <v>-0.0000010387704857507993</v>
      </c>
      <c r="AC32" s="16">
        <v>-0.000001799203258723385</v>
      </c>
      <c r="AD32" s="16">
        <v>0.0012676786588779205</v>
      </c>
      <c r="AE32" s="16">
        <v>-0.0000011961599532887992</v>
      </c>
      <c r="AF32" s="16">
        <v>-0.000002071809813075413</v>
      </c>
      <c r="AG32" s="16">
        <v>0.00113397330748831</v>
      </c>
      <c r="AH32" s="16">
        <v>-0.0000012748546870577991</v>
      </c>
      <c r="AI32" s="16">
        <v>-0.0000022081130902514273</v>
      </c>
      <c r="AJ32" s="16">
        <v>0.0010002679560986993</v>
      </c>
      <c r="AK32" s="16">
        <v>-0.0000013535494208267992</v>
      </c>
      <c r="AL32" s="16">
        <v>-0.000002344416367427441</v>
      </c>
      <c r="AM32" s="16">
        <v>0.0008665626047090883</v>
      </c>
      <c r="AN32" s="16">
        <v>-0.0000014322441545957993</v>
      </c>
      <c r="AO32" s="16">
        <v>-0.0000024807196446034554</v>
      </c>
      <c r="AP32" s="16">
        <v>0.0007328572533194782</v>
      </c>
      <c r="AQ32" s="16">
        <v>-0.0000015109388883647991</v>
      </c>
      <c r="AR32" s="16">
        <v>-0.0000026170229217794695</v>
      </c>
      <c r="AS32" s="16">
        <v>0.0005991519019298681</v>
      </c>
      <c r="AT32" s="16">
        <v>-0.000001589633622133799</v>
      </c>
      <c r="AU32" s="16">
        <v>-0.000002753326198955483</v>
      </c>
      <c r="AV32" s="16">
        <v>0.00046544655054025705</v>
      </c>
      <c r="AW32" s="16">
        <v>-0.000001668328355902799</v>
      </c>
      <c r="AX32" s="16">
        <v>-0.0000028896294761314972</v>
      </c>
      <c r="AY32" s="16">
        <v>0.00019803584776103634</v>
      </c>
      <c r="AZ32" s="16">
        <v>-0.0000018257178234407988</v>
      </c>
      <c r="BA32" s="16">
        <v>-0.000003162236030483525</v>
      </c>
      <c r="BB32" s="16">
        <v>-0.00006937485501818481</v>
      </c>
      <c r="BC32" s="16">
        <v>-0.0000019831072909787988</v>
      </c>
      <c r="BD32" s="16">
        <v>-0.0000034348425848355536</v>
      </c>
      <c r="BE32" s="16">
        <v>-0.00033678555779740596</v>
      </c>
      <c r="BF32" s="16">
        <v>-0.0000021404967585167985</v>
      </c>
      <c r="BG32" s="16">
        <v>-0.0000037074491391875813</v>
      </c>
      <c r="BH32" s="16">
        <v>-0.0006041962605766267</v>
      </c>
      <c r="BI32" s="16">
        <v>-0.0000022978862260547987</v>
      </c>
      <c r="BJ32" s="16">
        <v>-0.0000039800556935396095</v>
      </c>
      <c r="BK32" s="16">
        <v>-0.001139017666135069</v>
      </c>
      <c r="BL32" s="16">
        <v>-0.000002612665161130798</v>
      </c>
      <c r="BM32" s="16">
        <v>-0.000004525268802243665</v>
      </c>
      <c r="BN32" s="16">
        <v>-0.0016738390716935104</v>
      </c>
      <c r="BO32" s="16">
        <v>-0.000002927444096206798</v>
      </c>
      <c r="BP32" s="16">
        <v>-0.000005070481910947721</v>
      </c>
      <c r="BQ32" s="16">
        <v>-0.002743481882810395</v>
      </c>
      <c r="BR32" s="16">
        <v>-0.000003557001966358798</v>
      </c>
      <c r="BS32" s="16">
        <v>-0.000006160908128355834</v>
      </c>
      <c r="BT32" s="16">
        <v>-0.0038131246939272787</v>
      </c>
      <c r="BU32" s="16">
        <v>-0.000004186559836510797</v>
      </c>
      <c r="BV32" s="16">
        <v>-0.000007251334345763945</v>
      </c>
      <c r="BW32" s="16">
        <v>-0.00648723172171949</v>
      </c>
      <c r="BX32" s="16">
        <v>-0.000005760454511890797</v>
      </c>
      <c r="BY32" s="16">
        <v>-0.000009977399889284227</v>
      </c>
      <c r="BZ32" s="16">
        <v>-0.0091613387495117</v>
      </c>
      <c r="CA32" s="16">
        <v>-0.0000073343491872707965</v>
      </c>
      <c r="CB32" s="16">
        <v>-0.000012703465432804507</v>
      </c>
      <c r="CC32" s="16">
        <v>-0.01985776686068054</v>
      </c>
      <c r="CD32" s="16">
        <v>-0.000013629927888790791</v>
      </c>
      <c r="CE32" s="16">
        <v>-0.000023607727606885627</v>
      </c>
      <c r="CF32" s="16">
        <v>-0.05</v>
      </c>
      <c r="CG32" s="16">
        <v>0</v>
      </c>
      <c r="CH32" s="16">
        <v>0</v>
      </c>
      <c r="CI32" s="45">
        <v>33981.43387592912</v>
      </c>
      <c r="CJ32" s="45">
        <v>33981.43387592912</v>
      </c>
      <c r="CK32" s="45">
        <v>33858.00890908785</v>
      </c>
      <c r="CL32" s="45">
        <v>32881.286607822396</v>
      </c>
      <c r="CM32" s="45">
        <v>30862.42066396293</v>
      </c>
      <c r="CN32" s="45">
        <v>29545.977069541877</v>
      </c>
      <c r="CO32" s="45">
        <v>27609.64673449544</v>
      </c>
      <c r="CP32" s="45">
        <v>25940.81350928852</v>
      </c>
      <c r="CQ32" s="45">
        <v>22364.787481436968</v>
      </c>
      <c r="CR32" s="45">
        <v>20781.0318564983</v>
      </c>
      <c r="CS32" s="45">
        <v>19282.24082253629</v>
      </c>
      <c r="CT32" s="45">
        <v>17834.367780527686</v>
      </c>
      <c r="CU32" s="45">
        <v>16419.875710347947</v>
      </c>
      <c r="CV32" s="45">
        <v>15049.746602477711</v>
      </c>
      <c r="CW32" s="45">
        <v>13726.998365273803</v>
      </c>
      <c r="CX32" s="45">
        <v>11427.087449107587</v>
      </c>
      <c r="CY32" s="45">
        <v>9630.589372107817</v>
      </c>
      <c r="CZ32" s="45">
        <v>8260.595222967986</v>
      </c>
      <c r="DA32" s="45">
        <v>7167.301427283116</v>
      </c>
      <c r="DB32" s="45">
        <v>5508.418715469646</v>
      </c>
      <c r="DC32" s="45">
        <v>4246.405743473104</v>
      </c>
      <c r="DD32" s="45">
        <v>2370.7150543191087</v>
      </c>
      <c r="DE32" s="45">
        <v>1059.2605961207043</v>
      </c>
      <c r="DF32" s="45">
        <v>-1197.6390365317031</v>
      </c>
      <c r="DG32" s="45">
        <v>-2639.48051354372</v>
      </c>
      <c r="DH32" s="45">
        <v>-4792.589894212263</v>
      </c>
      <c r="DI32" s="45">
        <v>-5790.583579096708</v>
      </c>
      <c r="DJ32" s="45">
        <v>6.55418261885643e-13</v>
      </c>
      <c r="DK32" s="45">
        <v>6.55418261885643e-13</v>
      </c>
      <c r="DL32" s="45">
        <v>-35.789761790494644</v>
      </c>
      <c r="DM32" s="45">
        <v>-269.4721974407658</v>
      </c>
      <c r="DN32" s="45">
        <v>-712.7729123431916</v>
      </c>
      <c r="DO32" s="45">
        <v>-981.7416934500854</v>
      </c>
      <c r="DP32" s="45">
        <v>-1356.4057998250908</v>
      </c>
      <c r="DQ32" s="45">
        <v>-1654.8230313272863</v>
      </c>
      <c r="DR32" s="45">
        <v>-2065.6276586016597</v>
      </c>
      <c r="DS32" s="45">
        <v>-2183.2586444974127</v>
      </c>
      <c r="DT32" s="45">
        <v>-2293.804991342371</v>
      </c>
      <c r="DU32" s="45">
        <v>-2397.0441540533075</v>
      </c>
      <c r="DV32" s="45">
        <v>-2487.183191698188</v>
      </c>
      <c r="DW32" s="45">
        <v>-2560.730138119383</v>
      </c>
      <c r="DX32" s="45">
        <v>-2613.407007623532</v>
      </c>
      <c r="DY32" s="45">
        <v>-2637.5709552461612</v>
      </c>
      <c r="DZ32" s="45">
        <v>-2567.7418753040274</v>
      </c>
      <c r="EA32" s="45">
        <v>-2490.7914813803923</v>
      </c>
      <c r="EB32" s="45">
        <v>-2424.68992061897</v>
      </c>
      <c r="EC32" s="45">
        <v>-2293.8549176947317</v>
      </c>
      <c r="ED32" s="45">
        <v>-2173.5119787474728</v>
      </c>
      <c r="EE32" s="45">
        <v>-1970.7920542870045</v>
      </c>
      <c r="EF32" s="45">
        <v>-1771.9956628796792</v>
      </c>
      <c r="EG32" s="45">
        <v>-1356.320127709476</v>
      </c>
      <c r="EH32" s="45">
        <v>-1029.0100790460754</v>
      </c>
      <c r="EI32" s="45">
        <v>-371.86515216985845</v>
      </c>
      <c r="EJ32" s="45">
        <v>0</v>
      </c>
      <c r="EK32" s="45">
        <v>-5.220063030719757e-12</v>
      </c>
      <c r="EL32" s="45">
        <v>-5.220063030719757e-12</v>
      </c>
      <c r="EM32" s="45">
        <v>-76.68524944877117</v>
      </c>
      <c r="EN32" s="45">
        <v>-617.9466897289985</v>
      </c>
      <c r="EO32" s="45">
        <v>-1613.8492112417975</v>
      </c>
      <c r="EP32" s="45">
        <v>-2216.7306303455925</v>
      </c>
      <c r="EQ32" s="45">
        <v>-3062.6429120519033</v>
      </c>
      <c r="ER32" s="45">
        <v>-3756.6329151156838</v>
      </c>
      <c r="ES32" s="45">
        <v>-4955.854971681475</v>
      </c>
      <c r="ET32" s="45">
        <v>-5339.490814474965</v>
      </c>
      <c r="EU32" s="45">
        <v>-5622.805185801681</v>
      </c>
      <c r="EV32" s="45">
        <v>-5840.441769536468</v>
      </c>
      <c r="EW32" s="45">
        <v>-6015.697616478879</v>
      </c>
      <c r="EX32" s="45">
        <v>-6156.211738197813</v>
      </c>
      <c r="EY32" s="45">
        <v>-6260.782085960871</v>
      </c>
      <c r="EZ32" s="45">
        <v>-6340.084469203291</v>
      </c>
      <c r="FA32" s="45">
        <v>-6293.15172440257</v>
      </c>
      <c r="FB32" s="45">
        <v>-6161.837049394913</v>
      </c>
      <c r="FC32" s="45">
        <v>-5982.999248794874</v>
      </c>
      <c r="FD32" s="45">
        <v>-5625.746049551829</v>
      </c>
      <c r="FE32" s="45">
        <v>-5275.922552962516</v>
      </c>
      <c r="FF32" s="45">
        <v>-4562.614694892635</v>
      </c>
      <c r="FG32" s="45">
        <v>-3949.8708871748354</v>
      </c>
      <c r="FH32" s="45">
        <v>-2781.265659341161</v>
      </c>
      <c r="FI32" s="45">
        <v>-1966.1067023794146</v>
      </c>
      <c r="FJ32" s="45">
        <v>-669.2252099312501</v>
      </c>
      <c r="FK32" s="45">
        <v>5.960464477539062e-14</v>
      </c>
      <c r="FL32" s="46">
        <f>MAX(1,MIN(26,SUMPRODUCT(--($CI32:$DI32&gt;=Pu))))</f>
      </c>
      <c r="FM32" s="47">
        <f>(Pu-INDEX($CI32:$DI32,1,$FL32))/(INDEX($CI32:$DI32,1,$FL32+1)-INDEX($CI32:$DI32,1,$FL32))</f>
      </c>
      <c r="FN32" s="39">
        <f>INDEX($DJ32:$EJ32,1,$FL32)+$FM32*(INDEX($DJ32:$EJ32,1,$FL32+1)-INDEX($DJ32:$EJ32,1,$FL32))</f>
      </c>
      <c r="FO32" s="39">
        <f>INDEX($EK32:$FK32,1,$FL32)+$FM32*(INDEX($EK32:$FK32,1,$FL32+1)-INDEX($EK32:$FK32,1,$FL32))</f>
      </c>
      <c r="FP32" s="39">
        <f>SQRT(FN32^2+FO32^2)</f>
      </c>
      <c r="FQ32" s="20">
        <f>FN33-FN32</f>
      </c>
      <c r="FR32" s="20">
        <f>FO33-FO32</f>
      </c>
      <c r="FS32" s="20">
        <f>FQ32*SIN(RADIANS(theta_L))-FR32*COS(RADIANS(theta_L))</f>
      </c>
      <c r="FT32" s="47">
        <f>IF(FS32=0,"",-(FN32*SIN(RADIANS(theta_L))-FO32*COS(RADIANS(theta_L)))/FS32)</f>
      </c>
      <c r="FU32" s="20">
        <f>IF(FT32="","",(FN32+FT32*FQ32)*COS(RADIANS(theta_L))+(FO32+FT32*FR32)*SIN(RADIANS(theta_L)))</f>
      </c>
      <c r="FV32" s="20">
        <f>IF(OR(FT32="",FT32&lt;0,FT32&gt;1,FU32&lt;0),"",FU32)</f>
      </c>
    </row>
    <row r="33" spans="1:178" x14ac:dyDescent="0.25">
      <c r="A33">
        <v>26</v>
      </c>
      <c r="B33" s="44">
        <v>250.00000000000003</v>
      </c>
      <c r="C33" s="18">
        <v>841.5775229196987</v>
      </c>
      <c r="D33" s="18">
        <v>-741.5970251321183</v>
      </c>
      <c r="E33" s="18">
        <v>1583.174548051817</v>
      </c>
      <c r="F33" s="16">
        <v>0.0033</v>
      </c>
      <c r="G33" s="16">
        <v>0</v>
      </c>
      <c r="H33" s="16">
        <v>0</v>
      </c>
      <c r="I33" s="16">
        <v>0.00275</v>
      </c>
      <c r="J33" s="16">
        <v>-2.2352198544526336e-7</v>
      </c>
      <c r="K33" s="16">
        <v>-6.141216077625262e-7</v>
      </c>
      <c r="L33" s="16">
        <v>0.0024749999999999998</v>
      </c>
      <c r="M33" s="16">
        <v>-3.3528297816789503e-7</v>
      </c>
      <c r="N33" s="16">
        <v>-9.211824116437893e-7</v>
      </c>
      <c r="O33" s="16">
        <v>0.0021999999999999997</v>
      </c>
      <c r="P33" s="16">
        <v>-4.470439708905267e-7</v>
      </c>
      <c r="Q33" s="16">
        <v>-0.0000012282432155250523</v>
      </c>
      <c r="R33" s="16">
        <v>0.001925</v>
      </c>
      <c r="S33" s="16">
        <v>-5.588049636131584e-7</v>
      </c>
      <c r="T33" s="16">
        <v>-0.0000015353040194063156</v>
      </c>
      <c r="U33" s="16">
        <v>0.0018000000000000002</v>
      </c>
      <c r="V33" s="16">
        <v>-6.096054148507183e-7</v>
      </c>
      <c r="W33" s="16">
        <v>-0.0000016748771120796169</v>
      </c>
      <c r="X33" s="16">
        <v>0.00165</v>
      </c>
      <c r="Y33" s="16">
        <v>-6.705659563357901e-7</v>
      </c>
      <c r="Z33" s="16">
        <v>-0.0000018423648232875786</v>
      </c>
      <c r="AA33" s="16">
        <v>0.0015457993472340055</v>
      </c>
      <c r="AB33" s="16">
        <v>-7.129134777738766e-7</v>
      </c>
      <c r="AC33" s="16">
        <v>-0.000001958713682208592</v>
      </c>
      <c r="AD33" s="16">
        <v>0.0012800113695421883</v>
      </c>
      <c r="AE33" s="16">
        <v>-8.209306713759791e-7</v>
      </c>
      <c r="AF33" s="16">
        <v>-0.000002255488482543227</v>
      </c>
      <c r="AG33" s="16">
        <v>0.0011471173806962796</v>
      </c>
      <c r="AH33" s="16">
        <v>-8.749392681770303e-7</v>
      </c>
      <c r="AI33" s="16">
        <v>-0.0000024038758827105445</v>
      </c>
      <c r="AJ33" s="16">
        <v>0.0010142233918503706</v>
      </c>
      <c r="AK33" s="16">
        <v>-9.289478649780816e-7</v>
      </c>
      <c r="AL33" s="16">
        <v>-0.000002552263282877862</v>
      </c>
      <c r="AM33" s="16">
        <v>0.000881329403004462</v>
      </c>
      <c r="AN33" s="16">
        <v>-9.82956461779133e-7</v>
      </c>
      <c r="AO33" s="16">
        <v>-0.00000270065068304518</v>
      </c>
      <c r="AP33" s="16">
        <v>0.0007484354141585529</v>
      </c>
      <c r="AQ33" s="16">
        <v>-0.0000010369650585801842</v>
      </c>
      <c r="AR33" s="16">
        <v>-0.0000028490380832124976</v>
      </c>
      <c r="AS33" s="16">
        <v>0.0006155414253126452</v>
      </c>
      <c r="AT33" s="16">
        <v>-0.0000010909736553812354</v>
      </c>
      <c r="AU33" s="16">
        <v>-0.0000029974254833798143</v>
      </c>
      <c r="AV33" s="16">
        <v>0.00048264743646673613</v>
      </c>
      <c r="AW33" s="16">
        <v>-0.0000011449822521822866</v>
      </c>
      <c r="AX33" s="16">
        <v>-0.0000031458128835471323</v>
      </c>
      <c r="AY33" s="16">
        <v>0.0002168594587749189</v>
      </c>
      <c r="AZ33" s="16">
        <v>-0.000001252999445784389</v>
      </c>
      <c r="BA33" s="16">
        <v>-0.0000034425876838817674</v>
      </c>
      <c r="BB33" s="16">
        <v>-0.00004892851891689833</v>
      </c>
      <c r="BC33" s="16">
        <v>-0.0000013610166393864917</v>
      </c>
      <c r="BD33" s="16">
        <v>-0.0000037393624842164025</v>
      </c>
      <c r="BE33" s="16">
        <v>-0.000314716496608716</v>
      </c>
      <c r="BF33" s="16">
        <v>-0.0000014690338329885943</v>
      </c>
      <c r="BG33" s="16">
        <v>-0.000004036137284551038</v>
      </c>
      <c r="BH33" s="16">
        <v>-0.0005805044743005328</v>
      </c>
      <c r="BI33" s="16">
        <v>-0.0000015770510265906966</v>
      </c>
      <c r="BJ33" s="16">
        <v>-0.000004332912084885673</v>
      </c>
      <c r="BK33" s="16">
        <v>-0.0011120804296841681</v>
      </c>
      <c r="BL33" s="16">
        <v>-0.0000017930854137949018</v>
      </c>
      <c r="BM33" s="16">
        <v>-0.000004926461685554944</v>
      </c>
      <c r="BN33" s="16">
        <v>-0.0016436563850678017</v>
      </c>
      <c r="BO33" s="16">
        <v>-0.0000020091198009991065</v>
      </c>
      <c r="BP33" s="16">
        <v>-0.000005520011286224212</v>
      </c>
      <c r="BQ33" s="16">
        <v>-0.0027068082958350724</v>
      </c>
      <c r="BR33" s="16">
        <v>-0.000002441188575407517</v>
      </c>
      <c r="BS33" s="16">
        <v>-0.0000067071104875627544</v>
      </c>
      <c r="BT33" s="16">
        <v>-0.0037699602066023413</v>
      </c>
      <c r="BU33" s="16">
        <v>-0.0000028732573498159268</v>
      </c>
      <c r="BV33" s="16">
        <v>-0.000007894209688901294</v>
      </c>
      <c r="BW33" s="16">
        <v>-0.006427839983520515</v>
      </c>
      <c r="BX33" s="16">
        <v>-0.000003953429285836952</v>
      </c>
      <c r="BY33" s="16">
        <v>-0.000010861957692247647</v>
      </c>
      <c r="BZ33" s="16">
        <v>-0.009085719760438687</v>
      </c>
      <c r="CA33" s="16">
        <v>-0.000005033601221857977</v>
      </c>
      <c r="CB33" s="16">
        <v>-0.000013829705695593998</v>
      </c>
      <c r="CC33" s="16">
        <v>-0.01971723886811138</v>
      </c>
      <c r="CD33" s="16">
        <v>-0.000009354288965942077</v>
      </c>
      <c r="CE33" s="16">
        <v>-0.0000257006977089794</v>
      </c>
      <c r="CF33" s="16">
        <v>-0.05</v>
      </c>
      <c r="CG33" s="16">
        <v>0</v>
      </c>
      <c r="CH33" s="16">
        <v>0</v>
      </c>
      <c r="CI33" s="45">
        <v>33981.43387592912</v>
      </c>
      <c r="CJ33" s="45">
        <v>33981.43387592912</v>
      </c>
      <c r="CK33" s="45">
        <v>33836.34808747643</v>
      </c>
      <c r="CL33" s="45">
        <v>32825.41069381918</v>
      </c>
      <c r="CM33" s="45">
        <v>30736.23784908707</v>
      </c>
      <c r="CN33" s="45">
        <v>29379.988567640823</v>
      </c>
      <c r="CO33" s="45">
        <v>27414.141880873223</v>
      </c>
      <c r="CP33" s="45">
        <v>25850.11438409473</v>
      </c>
      <c r="CQ33" s="45">
        <v>22255.918255132154</v>
      </c>
      <c r="CR33" s="45">
        <v>20765.001968967106</v>
      </c>
      <c r="CS33" s="45">
        <v>19344.215025217793</v>
      </c>
      <c r="CT33" s="45">
        <v>17934.520197767422</v>
      </c>
      <c r="CU33" s="45">
        <v>16541.55736742738</v>
      </c>
      <c r="CV33" s="45">
        <v>15174.982495835337</v>
      </c>
      <c r="CW33" s="45">
        <v>13848.649922224567</v>
      </c>
      <c r="CX33" s="45">
        <v>11528.007701850884</v>
      </c>
      <c r="CY33" s="45">
        <v>9770.193897502191</v>
      </c>
      <c r="CZ33" s="45">
        <v>8449.135766229683</v>
      </c>
      <c r="DA33" s="45">
        <v>7425.342768962312</v>
      </c>
      <c r="DB33" s="45">
        <v>5859.134998753663</v>
      </c>
      <c r="DC33" s="45">
        <v>4736.623047368047</v>
      </c>
      <c r="DD33" s="45">
        <v>3041.2948651592783</v>
      </c>
      <c r="DE33" s="45">
        <v>1688.5042626825295</v>
      </c>
      <c r="DF33" s="45">
        <v>-655.2488731579679</v>
      </c>
      <c r="DG33" s="45">
        <v>-2196.8524640870155</v>
      </c>
      <c r="DH33" s="45">
        <v>-4677.958586801249</v>
      </c>
      <c r="DI33" s="45">
        <v>-5790.583579096708</v>
      </c>
      <c r="DJ33" s="45">
        <v>6.55418261885643e-13</v>
      </c>
      <c r="DK33" s="45">
        <v>6.55418261885643e-13</v>
      </c>
      <c r="DL33" s="45">
        <v>-27.197430986823974</v>
      </c>
      <c r="DM33" s="45">
        <v>-198.5654919984511</v>
      </c>
      <c r="DN33" s="45">
        <v>-507.06699116127425</v>
      </c>
      <c r="DO33" s="45">
        <v>-693.2987699946581</v>
      </c>
      <c r="DP33" s="45">
        <v>-953.4941982926716</v>
      </c>
      <c r="DQ33" s="45">
        <v>-1138.4888960791534</v>
      </c>
      <c r="DR33" s="45">
        <v>-1371.3704677804517</v>
      </c>
      <c r="DS33" s="45">
        <v>-1436.8040889149186</v>
      </c>
      <c r="DT33" s="45">
        <v>-1504.984004726396</v>
      </c>
      <c r="DU33" s="45">
        <v>-1570.5008560190931</v>
      </c>
      <c r="DV33" s="45">
        <v>-1632.6492924315103</v>
      </c>
      <c r="DW33" s="45">
        <v>-1686.814686800621</v>
      </c>
      <c r="DX33" s="45">
        <v>-1726.618910374578</v>
      </c>
      <c r="DY33" s="45">
        <v>-1733.5853338372299</v>
      </c>
      <c r="DZ33" s="45">
        <v>-1701.433186591485</v>
      </c>
      <c r="EA33" s="45">
        <v>-1659.1854624423513</v>
      </c>
      <c r="EB33" s="45">
        <v>-1603.8251762456696</v>
      </c>
      <c r="EC33" s="45">
        <v>-1517.1777338527552</v>
      </c>
      <c r="ED33" s="45">
        <v>-1467.7268009567144</v>
      </c>
      <c r="EE33" s="45">
        <v>-1403.2092974993138</v>
      </c>
      <c r="EF33" s="45">
        <v>-1328.839332042616</v>
      </c>
      <c r="EG33" s="45">
        <v>-1065.0834285933452</v>
      </c>
      <c r="EH33" s="45">
        <v>-844.3480185761287</v>
      </c>
      <c r="EI33" s="45">
        <v>-345.28077052365353</v>
      </c>
      <c r="EJ33" s="45">
        <v>0</v>
      </c>
      <c r="EK33" s="45">
        <v>-5.220063030719757e-12</v>
      </c>
      <c r="EL33" s="45">
        <v>-5.220063030719757e-12</v>
      </c>
      <c r="EM33" s="45">
        <v>-94.33800480879368</v>
      </c>
      <c r="EN33" s="45">
        <v>-686.5203661960024</v>
      </c>
      <c r="EO33" s="45">
        <v>-1782.7730634687243</v>
      </c>
      <c r="EP33" s="45">
        <v>-2445.237076347368</v>
      </c>
      <c r="EQ33" s="45">
        <v>-3374.891662482753</v>
      </c>
      <c r="ER33" s="45">
        <v>-4071.8587872752555</v>
      </c>
      <c r="ES33" s="45">
        <v>-5365.064356903673</v>
      </c>
      <c r="ET33" s="45">
        <v>-5730.101851621863</v>
      </c>
      <c r="EU33" s="45">
        <v>-6005.710694255843</v>
      </c>
      <c r="EV33" s="45">
        <v>-6227.420548581115</v>
      </c>
      <c r="EW33" s="45">
        <v>-6408.462626400027</v>
      </c>
      <c r="EX33" s="45">
        <v>-6558.130743960064</v>
      </c>
      <c r="EY33" s="45">
        <v>-6683.2128005392515</v>
      </c>
      <c r="EZ33" s="45">
        <v>-6791.5104176641635</v>
      </c>
      <c r="FA33" s="45">
        <v>-6731.606056257953</v>
      </c>
      <c r="FB33" s="45">
        <v>-6610.441093158313</v>
      </c>
      <c r="FC33" s="45">
        <v>-6467.939395423858</v>
      </c>
      <c r="FD33" s="45">
        <v>-6165.599522685701</v>
      </c>
      <c r="FE33" s="45">
        <v>-5830.856861734377</v>
      </c>
      <c r="FF33" s="45">
        <v>-5178.98314510896</v>
      </c>
      <c r="FG33" s="45">
        <v>-4551.910889521905</v>
      </c>
      <c r="FH33" s="45">
        <v>-3270.6623781247376</v>
      </c>
      <c r="FI33" s="45">
        <v>-2341.237110622212</v>
      </c>
      <c r="FJ33" s="45">
        <v>-764.589615329438</v>
      </c>
      <c r="FK33" s="45">
        <v>5.960464477539062e-14</v>
      </c>
      <c r="FL33" s="46">
        <f>MAX(1,MIN(26,SUMPRODUCT(--($CI33:$DI33&gt;=Pu))))</f>
      </c>
      <c r="FM33" s="47">
        <f>(Pu-INDEX($CI33:$DI33,1,$FL33))/(INDEX($CI33:$DI33,1,$FL33+1)-INDEX($CI33:$DI33,1,$FL33))</f>
      </c>
      <c r="FN33" s="39">
        <f>INDEX($DJ33:$EJ33,1,$FL33)+$FM33*(INDEX($DJ33:$EJ33,1,$FL33+1)-INDEX($DJ33:$EJ33,1,$FL33))</f>
      </c>
      <c r="FO33" s="39">
        <f>INDEX($EK33:$FK33,1,$FL33)+$FM33*(INDEX($EK33:$FK33,1,$FL33+1)-INDEX($EK33:$FK33,1,$FL33))</f>
      </c>
      <c r="FP33" s="39">
        <f>SQRT(FN33^2+FO33^2)</f>
      </c>
      <c r="FQ33" s="20">
        <f>FN34-FN33</f>
      </c>
      <c r="FR33" s="20">
        <f>FO34-FO33</f>
      </c>
      <c r="FS33" s="20">
        <f>FQ33*SIN(RADIANS(theta_L))-FR33*COS(RADIANS(theta_L))</f>
      </c>
      <c r="FT33" s="47">
        <f>IF(FS33=0,"",-(FN33*SIN(RADIANS(theta_L))-FO33*COS(RADIANS(theta_L)))/FS33)</f>
      </c>
      <c r="FU33" s="20">
        <f>IF(FT33="","",(FN33+FT33*FQ33)*COS(RADIANS(theta_L))+(FO33+FT33*FR33)*SIN(RADIANS(theta_L)))</f>
      </c>
      <c r="FV33" s="20">
        <f>IF(OR(FT33="",FT33&lt;0,FT33&gt;1,FU33&lt;0),"",FU33)</f>
      </c>
    </row>
    <row r="34" spans="1:178" x14ac:dyDescent="0.25">
      <c r="A34">
        <v>27</v>
      </c>
      <c r="B34" s="44">
        <v>260</v>
      </c>
      <c r="C34" s="18">
        <v>808.0650858259281</v>
      </c>
      <c r="D34" s="18">
        <v>-721.7637253483805</v>
      </c>
      <c r="E34" s="18">
        <v>1529.8288111743086</v>
      </c>
      <c r="F34" s="16">
        <v>0.0033</v>
      </c>
      <c r="G34" s="16">
        <v>0</v>
      </c>
      <c r="H34" s="16">
        <v>0</v>
      </c>
      <c r="I34" s="16">
        <v>0.00275</v>
      </c>
      <c r="J34" s="16">
        <v>-1.1819159049446361e-7</v>
      </c>
      <c r="K34" s="16">
        <v>-6.702978184029528e-7</v>
      </c>
      <c r="L34" s="16">
        <v>0.0024749999999999998</v>
      </c>
      <c r="M34" s="16">
        <v>-1.7728738574169539e-7</v>
      </c>
      <c r="N34" s="16">
        <v>-0.000001005446727604429</v>
      </c>
      <c r="O34" s="16">
        <v>0.0021999999999999997</v>
      </c>
      <c r="P34" s="16">
        <v>-2.3638318098892722e-7</v>
      </c>
      <c r="Q34" s="16">
        <v>-0.0000013405956368059057</v>
      </c>
      <c r="R34" s="16">
        <v>0.001925</v>
      </c>
      <c r="S34" s="16">
        <v>-2.95478976236159e-7</v>
      </c>
      <c r="T34" s="16">
        <v>-0.000001675744546007382</v>
      </c>
      <c r="U34" s="16">
        <v>0.0018000000000000002</v>
      </c>
      <c r="V34" s="16">
        <v>-3.223407013485371e-7</v>
      </c>
      <c r="W34" s="16">
        <v>-0.00000182808495928078</v>
      </c>
      <c r="X34" s="16">
        <v>0.00165</v>
      </c>
      <c r="Y34" s="16">
        <v>-3.5457477148339077e-7</v>
      </c>
      <c r="Z34" s="16">
        <v>-0.000002010893455208858</v>
      </c>
      <c r="AA34" s="16">
        <v>0.0015569194907640365</v>
      </c>
      <c r="AB34" s="16">
        <v>-3.745771959027238e-7</v>
      </c>
      <c r="AC34" s="16">
        <v>-0.000002124332841166499</v>
      </c>
      <c r="AD34" s="16">
        <v>0.0012928163833040417</v>
      </c>
      <c r="AE34" s="16">
        <v>-4.313313164940456e-7</v>
      </c>
      <c r="AF34" s="16">
        <v>-0.000002446201453464453</v>
      </c>
      <c r="AG34" s="16">
        <v>0.0011607648295740448</v>
      </c>
      <c r="AH34" s="16">
        <v>-4.597083767897065e-7</v>
      </c>
      <c r="AI34" s="16">
        <v>-0.0000026071357596134304</v>
      </c>
      <c r="AJ34" s="16">
        <v>0.0010287132758440474</v>
      </c>
      <c r="AK34" s="16">
        <v>-4.880854370853674e-7</v>
      </c>
      <c r="AL34" s="16">
        <v>-0.0000027680700657624075</v>
      </c>
      <c r="AM34" s="16">
        <v>0.00089666172211405</v>
      </c>
      <c r="AN34" s="16">
        <v>-5.164624973810283e-7</v>
      </c>
      <c r="AO34" s="16">
        <v>-0.000002929004371911385</v>
      </c>
      <c r="AP34" s="16">
        <v>0.0007646101683840526</v>
      </c>
      <c r="AQ34" s="16">
        <v>-5.448395576766892e-7</v>
      </c>
      <c r="AR34" s="16">
        <v>-0.0000030899386780603623</v>
      </c>
      <c r="AS34" s="16">
        <v>0.0006325586146540556</v>
      </c>
      <c r="AT34" s="16">
        <v>-5.732166179723501e-7</v>
      </c>
      <c r="AU34" s="16">
        <v>-0.0000032508729842093394</v>
      </c>
      <c r="AV34" s="16">
        <v>0.0005005070609240582</v>
      </c>
      <c r="AW34" s="16">
        <v>-6.01593678268011e-7</v>
      </c>
      <c r="AX34" s="16">
        <v>-0.0000034118072903583166</v>
      </c>
      <c r="AY34" s="16">
        <v>0.00023640395346406383</v>
      </c>
      <c r="AZ34" s="16">
        <v>-6.583477988593328e-7</v>
      </c>
      <c r="BA34" s="16">
        <v>-0.0000037336759026562705</v>
      </c>
      <c r="BB34" s="16">
        <v>-0.000027699153995930977</v>
      </c>
      <c r="BC34" s="16">
        <v>-7.151019194506547e-7</v>
      </c>
      <c r="BD34" s="16">
        <v>-0.000004055544514954226</v>
      </c>
      <c r="BE34" s="16">
        <v>-0.00029180226145592535</v>
      </c>
      <c r="BF34" s="16">
        <v>-7.718560400419764e-7</v>
      </c>
      <c r="BG34" s="16">
        <v>-0.00000437741312725218</v>
      </c>
      <c r="BH34" s="16">
        <v>-0.0005559053689159197</v>
      </c>
      <c r="BI34" s="16">
        <v>-8.286101606332982e-7</v>
      </c>
      <c r="BJ34" s="16">
        <v>-0.000004699281739550134</v>
      </c>
      <c r="BK34" s="16">
        <v>-0.001084111583835908</v>
      </c>
      <c r="BL34" s="16">
        <v>-9.421184018159416e-7</v>
      </c>
      <c r="BM34" s="16">
        <v>-0.000005343018964146042</v>
      </c>
      <c r="BN34" s="16">
        <v>-0.0016123177987558968</v>
      </c>
      <c r="BO34" s="16">
        <v>-0.0000010556266429985851</v>
      </c>
      <c r="BP34" s="16">
        <v>-0.000005986756188741951</v>
      </c>
      <c r="BQ34" s="16">
        <v>-0.002668730228595877</v>
      </c>
      <c r="BR34" s="16">
        <v>-0.0000012826431253638727</v>
      </c>
      <c r="BS34" s="16">
        <v>-0.000007274230637933771</v>
      </c>
      <c r="BT34" s="16">
        <v>-0.0037251426584358543</v>
      </c>
      <c r="BU34" s="16">
        <v>-0.0000015096596077291597</v>
      </c>
      <c r="BV34" s="16">
        <v>-0.000008561705087125587</v>
      </c>
      <c r="BW34" s="16">
        <v>-0.006366173733035799</v>
      </c>
      <c r="BX34" s="16">
        <v>-0.0000020772008136423776</v>
      </c>
      <c r="BY34" s="16">
        <v>-0.00001178039121010513</v>
      </c>
      <c r="BZ34" s="16">
        <v>-0.009007204807635744</v>
      </c>
      <c r="CA34" s="16">
        <v>-0.0000026447420195555955</v>
      </c>
      <c r="CB34" s="16">
        <v>-0.000014999077333084675</v>
      </c>
      <c r="CC34" s="16">
        <v>-0.019571329106035523</v>
      </c>
      <c r="CD34" s="16">
        <v>-0.000004914906843208467</v>
      </c>
      <c r="CE34" s="16">
        <v>-0.000027873821825002848</v>
      </c>
      <c r="CF34" s="16">
        <v>-0.05</v>
      </c>
      <c r="CG34" s="16">
        <v>0</v>
      </c>
      <c r="CH34" s="16">
        <v>0</v>
      </c>
      <c r="CI34" s="45">
        <v>33981.43387592912</v>
      </c>
      <c r="CJ34" s="45">
        <v>33981.43387592912</v>
      </c>
      <c r="CK34" s="45">
        <v>33796.946864879355</v>
      </c>
      <c r="CL34" s="45">
        <v>32693.445416906277</v>
      </c>
      <c r="CM34" s="45">
        <v>30469.9513829079</v>
      </c>
      <c r="CN34" s="45">
        <v>29053.731108257205</v>
      </c>
      <c r="CO34" s="45">
        <v>26969.40359283283</v>
      </c>
      <c r="CP34" s="45">
        <v>25522.292874102313</v>
      </c>
      <c r="CQ34" s="45">
        <v>22092.01642039207</v>
      </c>
      <c r="CR34" s="45">
        <v>20699.60847723883</v>
      </c>
      <c r="CS34" s="45">
        <v>19336.540762912115</v>
      </c>
      <c r="CT34" s="45">
        <v>17985.6492925051</v>
      </c>
      <c r="CU34" s="45">
        <v>16632.264881022493</v>
      </c>
      <c r="CV34" s="45">
        <v>15280.521075534802</v>
      </c>
      <c r="CW34" s="45">
        <v>13950.968239526464</v>
      </c>
      <c r="CX34" s="45">
        <v>11713.870664242131</v>
      </c>
      <c r="CY34" s="45">
        <v>9986.5894573492</v>
      </c>
      <c r="CZ34" s="45">
        <v>8651.226624656145</v>
      </c>
      <c r="DA34" s="45">
        <v>7606.102960763538</v>
      </c>
      <c r="DB34" s="45">
        <v>6266.316214756502</v>
      </c>
      <c r="DC34" s="45">
        <v>5276.7096397367295</v>
      </c>
      <c r="DD34" s="45">
        <v>3791.9820232034886</v>
      </c>
      <c r="DE34" s="45">
        <v>2712.5120661047285</v>
      </c>
      <c r="DF34" s="45">
        <v>528.5016138277836</v>
      </c>
      <c r="DG34" s="45">
        <v>-1083.2650680408167</v>
      </c>
      <c r="DH34" s="45">
        <v>-4088.677714225727</v>
      </c>
      <c r="DI34" s="45">
        <v>-5790.583579096708</v>
      </c>
      <c r="DJ34" s="45">
        <v>6.55418261885643e-13</v>
      </c>
      <c r="DK34" s="45">
        <v>6.55418261885643e-13</v>
      </c>
      <c r="DL34" s="45">
        <v>-14.815415485245335</v>
      </c>
      <c r="DM34" s="45">
        <v>-113.98133172316557</v>
      </c>
      <c r="DN34" s="45">
        <v>-279.7106664682269</v>
      </c>
      <c r="DO34" s="45">
        <v>-377.3023485835172</v>
      </c>
      <c r="DP34" s="45">
        <v>-516.0381993381255</v>
      </c>
      <c r="DQ34" s="45">
        <v>-599.5439331125003</v>
      </c>
      <c r="DR34" s="45">
        <v>-682.9018021561558</v>
      </c>
      <c r="DS34" s="45">
        <v>-706.9258834126989</v>
      </c>
      <c r="DT34" s="45">
        <v>-741.6853284676238</v>
      </c>
      <c r="DU34" s="45">
        <v>-779.2175767208266</v>
      </c>
      <c r="DV34" s="45">
        <v>-815.7557393988737</v>
      </c>
      <c r="DW34" s="45">
        <v>-848.4371636932659</v>
      </c>
      <c r="DX34" s="45">
        <v>-871.7254317437507</v>
      </c>
      <c r="DY34" s="45">
        <v>-870.1599332811713</v>
      </c>
      <c r="DZ34" s="45">
        <v>-876.8554596238873</v>
      </c>
      <c r="EA34" s="45">
        <v>-839.5889905756982</v>
      </c>
      <c r="EB34" s="45">
        <v>-798.1955135174882</v>
      </c>
      <c r="EC34" s="45">
        <v>-747.2234515249588</v>
      </c>
      <c r="ED34" s="45">
        <v>-729.5107138514834</v>
      </c>
      <c r="EE34" s="45">
        <v>-709.7674543297819</v>
      </c>
      <c r="EF34" s="45">
        <v>-710.1567536238477</v>
      </c>
      <c r="EG34" s="45">
        <v>-657.4063167170542</v>
      </c>
      <c r="EH34" s="45">
        <v>-522.2874691167726</v>
      </c>
      <c r="EI34" s="45">
        <v>-354.65289096948516</v>
      </c>
      <c r="EJ34" s="45">
        <v>0</v>
      </c>
      <c r="EK34" s="45">
        <v>-5.220063030719757e-12</v>
      </c>
      <c r="EL34" s="45">
        <v>-5.220063030719757e-12</v>
      </c>
      <c r="EM34" s="45">
        <v>-123.87349040243559</v>
      </c>
      <c r="EN34" s="45">
        <v>-787.0980002584629</v>
      </c>
      <c r="EO34" s="45">
        <v>-1996.1554859458247</v>
      </c>
      <c r="EP34" s="45">
        <v>-2723.96957593661</v>
      </c>
      <c r="EQ34" s="45">
        <v>-3738.706731632226</v>
      </c>
      <c r="ER34" s="45">
        <v>-4416.561164797146</v>
      </c>
      <c r="ES34" s="45">
        <v>-5680.1245350949575</v>
      </c>
      <c r="ET34" s="45">
        <v>-6009.727455728731</v>
      </c>
      <c r="EU34" s="45">
        <v>-6269.706616466175</v>
      </c>
      <c r="EV34" s="45">
        <v>-6485.901692196674</v>
      </c>
      <c r="EW34" s="45">
        <v>-6672.286205063182</v>
      </c>
      <c r="EX34" s="45">
        <v>-6834.391692524689</v>
      </c>
      <c r="EY34" s="45">
        <v>-6974.454836912981</v>
      </c>
      <c r="EZ34" s="45">
        <v>-7056.26973538525</v>
      </c>
      <c r="FA34" s="45">
        <v>-6993.660793983501</v>
      </c>
      <c r="FB34" s="45">
        <v>-6879.371703999675</v>
      </c>
      <c r="FC34" s="45">
        <v>-6769.245516311514</v>
      </c>
      <c r="FD34" s="45">
        <v>-6514.041698098367</v>
      </c>
      <c r="FE34" s="45">
        <v>-6267.982165607196</v>
      </c>
      <c r="FF34" s="45">
        <v>-5761.221046768871</v>
      </c>
      <c r="FG34" s="45">
        <v>-5272.8393916604255</v>
      </c>
      <c r="FH34" s="45">
        <v>-4121.084011741388</v>
      </c>
      <c r="FI34" s="45">
        <v>-3163.6850564638967</v>
      </c>
      <c r="FJ34" s="45">
        <v>-1180.7341931985727</v>
      </c>
      <c r="FK34" s="45">
        <v>5.960464477539062e-14</v>
      </c>
      <c r="FL34" s="46">
        <f>MAX(1,MIN(26,SUMPRODUCT(--($CI34:$DI34&gt;=Pu))))</f>
      </c>
      <c r="FM34" s="47">
        <f>(Pu-INDEX($CI34:$DI34,1,$FL34))/(INDEX($CI34:$DI34,1,$FL34+1)-INDEX($CI34:$DI34,1,$FL34))</f>
      </c>
      <c r="FN34" s="39">
        <f>INDEX($DJ34:$EJ34,1,$FL34)+$FM34*(INDEX($DJ34:$EJ34,1,$FL34+1)-INDEX($DJ34:$EJ34,1,$FL34))</f>
      </c>
      <c r="FO34" s="39">
        <f>INDEX($EK34:$FK34,1,$FL34)+$FM34*(INDEX($EK34:$FK34,1,$FL34+1)-INDEX($EK34:$FK34,1,$FL34))</f>
      </c>
      <c r="FP34" s="39">
        <f>SQRT(FN34^2+FO34^2)</f>
      </c>
      <c r="FQ34" s="20">
        <f>FN35-FN34</f>
      </c>
      <c r="FR34" s="20">
        <f>FO35-FO34</f>
      </c>
      <c r="FS34" s="20">
        <f>FQ34*SIN(RADIANS(theta_L))-FR34*COS(RADIANS(theta_L))</f>
      </c>
      <c r="FT34" s="47">
        <f>IF(FS34=0,"",-(FN34*SIN(RADIANS(theta_L))-FO34*COS(RADIANS(theta_L)))/FS34)</f>
      </c>
      <c r="FU34" s="20">
        <f>IF(FT34="","",(FN34+FT34*FQ34)*COS(RADIANS(theta_L))+(FO34+FT34*FR34)*SIN(RADIANS(theta_L)))</f>
      </c>
      <c r="FV34" s="20">
        <f>IF(OR(FT34="",FT34&lt;0,FT34&gt;1,FU34&lt;0),"",FU34)</f>
      </c>
    </row>
    <row r="35" spans="1:178" x14ac:dyDescent="0.25">
      <c r="A35">
        <v>28</v>
      </c>
      <c r="B35" s="44">
        <v>270</v>
      </c>
      <c r="C35" s="18">
        <v>750.0000000000001</v>
      </c>
      <c r="D35" s="18">
        <v>-680</v>
      </c>
      <c r="E35" s="18">
        <v>1430</v>
      </c>
      <c r="F35" s="16">
        <v>0.0033</v>
      </c>
      <c r="G35" s="16">
        <v>0</v>
      </c>
      <c r="H35" s="16">
        <v>0</v>
      </c>
      <c r="I35" s="16">
        <v>0.00275</v>
      </c>
      <c r="J35" s="16">
        <v>-1.3471114790620882e-22</v>
      </c>
      <c r="K35" s="16">
        <v>-7.333333333333332e-7</v>
      </c>
      <c r="L35" s="16">
        <v>0.0024749999999999998</v>
      </c>
      <c r="M35" s="16">
        <v>-2.0206672185931323e-22</v>
      </c>
      <c r="N35" s="16">
        <v>-0.0000010999999999999998</v>
      </c>
      <c r="O35" s="16">
        <v>0.0021999999999999997</v>
      </c>
      <c r="P35" s="16">
        <v>-2.6942229581241763e-22</v>
      </c>
      <c r="Q35" s="16">
        <v>-0.0000014666666666666665</v>
      </c>
      <c r="R35" s="16">
        <v>0.0019249999999999998</v>
      </c>
      <c r="S35" s="16">
        <v>-3.367778697655221e-22</v>
      </c>
      <c r="T35" s="16">
        <v>-0.0000018333333333333333</v>
      </c>
      <c r="U35" s="16">
        <v>0.0018000000000000002</v>
      </c>
      <c r="V35" s="16">
        <v>-3.6739403974420583e-22</v>
      </c>
      <c r="W35" s="16">
        <v>-0.0000019999999999999995</v>
      </c>
      <c r="X35" s="16">
        <v>0.00165</v>
      </c>
      <c r="Y35" s="16">
        <v>-4.0413344371862645e-22</v>
      </c>
      <c r="Z35" s="16">
        <v>-0.0000021999999999999997</v>
      </c>
      <c r="AA35" s="16">
        <v>0.001569230769230769</v>
      </c>
      <c r="AB35" s="16">
        <v>-4.23916199704853e-22</v>
      </c>
      <c r="AC35" s="16">
        <v>-0.0000023076923076923077</v>
      </c>
      <c r="AD35" s="16">
        <v>0.0013069930069930067</v>
      </c>
      <c r="AE35" s="16">
        <v>-4.88145926932861e-22</v>
      </c>
      <c r="AF35" s="16">
        <v>-0.0000026573426573426574</v>
      </c>
      <c r="AG35" s="16">
        <v>0.0011758741258741257</v>
      </c>
      <c r="AH35" s="16">
        <v>-5.20260790546865e-22</v>
      </c>
      <c r="AI35" s="16">
        <v>-0.000002832167832167832</v>
      </c>
      <c r="AJ35" s="16">
        <v>0.0010447552447552444</v>
      </c>
      <c r="AK35" s="16">
        <v>-5.52375654160869e-22</v>
      </c>
      <c r="AL35" s="16">
        <v>-0.000003006993006993007</v>
      </c>
      <c r="AM35" s="16">
        <v>0.000913636363636363</v>
      </c>
      <c r="AN35" s="16">
        <v>-5.844905177748731e-22</v>
      </c>
      <c r="AO35" s="16">
        <v>-0.000003181818181818182</v>
      </c>
      <c r="AP35" s="16">
        <v>0.0007825174825174816</v>
      </c>
      <c r="AQ35" s="16">
        <v>-6.166053813888772e-22</v>
      </c>
      <c r="AR35" s="16">
        <v>-0.000003356643356643357</v>
      </c>
      <c r="AS35" s="16">
        <v>0.0006513986013986011</v>
      </c>
      <c r="AT35" s="16">
        <v>-6.487202450028811e-22</v>
      </c>
      <c r="AU35" s="16">
        <v>-0.0000035314685314685315</v>
      </c>
      <c r="AV35" s="16">
        <v>0.0005202797202797198</v>
      </c>
      <c r="AW35" s="16">
        <v>-6.808351086168851e-22</v>
      </c>
      <c r="AX35" s="16">
        <v>-0.0000037062937062937064</v>
      </c>
      <c r="AY35" s="16">
        <v>0.0002580419580419579</v>
      </c>
      <c r="AZ35" s="16">
        <v>-7.45064835844893e-22</v>
      </c>
      <c r="BA35" s="16">
        <v>-0.000004055944055944055</v>
      </c>
      <c r="BB35" s="16">
        <v>-0.000004195804195804807</v>
      </c>
      <c r="BC35" s="16">
        <v>-8.092945630729013e-22</v>
      </c>
      <c r="BD35" s="16">
        <v>-0.000004405594405594406</v>
      </c>
      <c r="BE35" s="16">
        <v>-0.00026643356643356753</v>
      </c>
      <c r="BF35" s="16">
        <v>-8.735242903009093e-22</v>
      </c>
      <c r="BG35" s="16">
        <v>-0.000004755244755244756</v>
      </c>
      <c r="BH35" s="16">
        <v>-0.000528671328671329</v>
      </c>
      <c r="BI35" s="16">
        <v>-9.377540175289172e-22</v>
      </c>
      <c r="BJ35" s="16">
        <v>-0.000005104895104895105</v>
      </c>
      <c r="BK35" s="16">
        <v>-0.001053146853146854</v>
      </c>
      <c r="BL35" s="16">
        <v>-1.0662134719849333e-21</v>
      </c>
      <c r="BM35" s="16">
        <v>-0.000005804195804195804</v>
      </c>
      <c r="BN35" s="16">
        <v>-0.0015776223776223777</v>
      </c>
      <c r="BO35" s="16">
        <v>-1.1946729264409493e-21</v>
      </c>
      <c r="BP35" s="16">
        <v>-0.000006503496503496503</v>
      </c>
      <c r="BQ35" s="16">
        <v>-0.0026265734265734277</v>
      </c>
      <c r="BR35" s="16">
        <v>-1.4515918353529815e-21</v>
      </c>
      <c r="BS35" s="16">
        <v>-0.000007902097902097902</v>
      </c>
      <c r="BT35" s="16">
        <v>-0.003675524475524476</v>
      </c>
      <c r="BU35" s="16">
        <v>-1.7085107442650132e-21</v>
      </c>
      <c r="BV35" s="16">
        <v>-0.0000093006993006993</v>
      </c>
      <c r="BW35" s="16">
        <v>-0.0062979020979021</v>
      </c>
      <c r="BX35" s="16">
        <v>-2.350808016545094e-21</v>
      </c>
      <c r="BY35" s="16">
        <v>-0.000012797202797202797</v>
      </c>
      <c r="BZ35" s="16">
        <v>-0.008920279720279724</v>
      </c>
      <c r="CA35" s="16">
        <v>-2.9931052888251745e-21</v>
      </c>
      <c r="CB35" s="16">
        <v>-0.000016293706293706295</v>
      </c>
      <c r="CC35" s="16">
        <v>-0.019409790209790213</v>
      </c>
      <c r="CD35" s="16">
        <v>-5.562294377945495e-21</v>
      </c>
      <c r="CE35" s="16">
        <v>-0.00003027972027972028</v>
      </c>
      <c r="CF35" s="16">
        <v>-0.05</v>
      </c>
      <c r="CG35" s="16">
        <v>0</v>
      </c>
      <c r="CH35" s="16">
        <v>0</v>
      </c>
      <c r="CI35" s="45">
        <v>33981.43387592912</v>
      </c>
      <c r="CJ35" s="45">
        <v>33981.43387592912</v>
      </c>
      <c r="CK35" s="45">
        <v>33730.92687382824</v>
      </c>
      <c r="CL35" s="45">
        <v>32465.0348992255</v>
      </c>
      <c r="CM35" s="45">
        <v>30022.064109595984</v>
      </c>
      <c r="CN35" s="45">
        <v>28470.462088041528</v>
      </c>
      <c r="CO35" s="45">
        <v>26243.48772017123</v>
      </c>
      <c r="CP35" s="45">
        <v>25003.60781611536</v>
      </c>
      <c r="CQ35" s="45">
        <v>21858.984973550847</v>
      </c>
      <c r="CR35" s="45">
        <v>20552.976587216133</v>
      </c>
      <c r="CS35" s="45">
        <v>19258.022396878634</v>
      </c>
      <c r="CT35" s="45">
        <v>17959.46242292167</v>
      </c>
      <c r="CU35" s="45">
        <v>16660.195250385903</v>
      </c>
      <c r="CV35" s="45">
        <v>15352.724316098518</v>
      </c>
      <c r="CW35" s="45">
        <v>14047.573804671045</v>
      </c>
      <c r="CX35" s="45">
        <v>11993.967924732584</v>
      </c>
      <c r="CY35" s="45">
        <v>10316.770596158798</v>
      </c>
      <c r="CZ35" s="45">
        <v>8969.618334642562</v>
      </c>
      <c r="DA35" s="45">
        <v>7983.545926293632</v>
      </c>
      <c r="DB35" s="45">
        <v>6659.639237389148</v>
      </c>
      <c r="DC35" s="45">
        <v>5767.8628405447525</v>
      </c>
      <c r="DD35" s="45">
        <v>4487.964263760281</v>
      </c>
      <c r="DE35" s="45">
        <v>3536.3460848841037</v>
      </c>
      <c r="DF35" s="45">
        <v>1949.4624679197605</v>
      </c>
      <c r="DG35" s="45">
        <v>684.1681483604917</v>
      </c>
      <c r="DH35" s="45">
        <v>-1852.6621941155468</v>
      </c>
      <c r="DI35" s="45">
        <v>-5790.583579096708</v>
      </c>
      <c r="DJ35" s="45">
        <v>6.55418261885643e-13</v>
      </c>
      <c r="DK35" s="45">
        <v>6.55418261885643e-13</v>
      </c>
      <c r="DL35" s="45">
        <v>-0.0003085921201715246</v>
      </c>
      <c r="DM35" s="45">
        <v>-0.000058574761460069564</v>
      </c>
      <c r="DN35" s="45">
        <v>-0.00018069883312063758</v>
      </c>
      <c r="DO35" s="45">
        <v>-0.0027946975583796737</v>
      </c>
      <c r="DP35" s="45">
        <v>-0.00040176026106910647</v>
      </c>
      <c r="DQ35" s="45">
        <v>-0.13900215292411713</v>
      </c>
      <c r="DR35" s="45">
        <v>-0.10343440789202732</v>
      </c>
      <c r="DS35" s="45">
        <v>-0.0683975719148318</v>
      </c>
      <c r="DT35" s="45">
        <v>0.03986276401591755</v>
      </c>
      <c r="DU35" s="45">
        <v>-0.0010666054150932469</v>
      </c>
      <c r="DV35" s="45">
        <v>-0.06892470908831869</v>
      </c>
      <c r="DW35" s="45">
        <v>0.06487387983581307</v>
      </c>
      <c r="DX35" s="45">
        <v>-0.03484832567005872</v>
      </c>
      <c r="DY35" s="45">
        <v>-0.3565129396871206</v>
      </c>
      <c r="DZ35" s="45">
        <v>0.21945209553790604</v>
      </c>
      <c r="EA35" s="45">
        <v>0.00005264413828169927</v>
      </c>
      <c r="EB35" s="45">
        <v>-0.24234861388243192</v>
      </c>
      <c r="EC35" s="45">
        <v>-0.0021061085251597687</v>
      </c>
      <c r="ED35" s="45">
        <v>0.08643930231230333</v>
      </c>
      <c r="EE35" s="45">
        <v>0.05717526422546618</v>
      </c>
      <c r="EF35" s="45">
        <v>-0.02260784946891479</v>
      </c>
      <c r="EG35" s="45">
        <v>-0.03154463889460964</v>
      </c>
      <c r="EH35" s="45">
        <v>0.10686250715117797</v>
      </c>
      <c r="EI35" s="45">
        <v>-1.2297118902626138</v>
      </c>
      <c r="EJ35" s="45">
        <v>0</v>
      </c>
      <c r="EK35" s="45">
        <v>-5.220063030719757e-12</v>
      </c>
      <c r="EL35" s="45">
        <v>-5.220063030719757e-12</v>
      </c>
      <c r="EM35" s="45">
        <v>-169.45299543293027</v>
      </c>
      <c r="EN35" s="45">
        <v>-931.8351525567556</v>
      </c>
      <c r="EO35" s="45">
        <v>-2280.330009267766</v>
      </c>
      <c r="EP35" s="45">
        <v>-3085.0977088823033</v>
      </c>
      <c r="EQ35" s="45">
        <v>-4208.0491630023935</v>
      </c>
      <c r="ER35" s="45">
        <v>-4789.821465961175</v>
      </c>
      <c r="ES35" s="45">
        <v>-5873.608507474756</v>
      </c>
      <c r="ET35" s="45">
        <v>-6175.357203798309</v>
      </c>
      <c r="EU35" s="45">
        <v>-6430.374399186983</v>
      </c>
      <c r="EV35" s="45">
        <v>-6652.249892869756</v>
      </c>
      <c r="EW35" s="45">
        <v>-6846.477090804602</v>
      </c>
      <c r="EX35" s="45">
        <v>-7020.944088335308</v>
      </c>
      <c r="EY35" s="45">
        <v>-7177.451205986206</v>
      </c>
      <c r="EZ35" s="45">
        <v>-7185.711356544101</v>
      </c>
      <c r="FA35" s="45">
        <v>-7136.502579475227</v>
      </c>
      <c r="FB35" s="45">
        <v>-7044.009858649292</v>
      </c>
      <c r="FC35" s="45">
        <v>-6924.098500168922</v>
      </c>
      <c r="FD35" s="45">
        <v>-6713.624102614421</v>
      </c>
      <c r="FE35" s="45">
        <v>-6499.557698073621</v>
      </c>
      <c r="FF35" s="45">
        <v>-6111.223708154452</v>
      </c>
      <c r="FG35" s="45">
        <v>-5755.775289057241</v>
      </c>
      <c r="FH35" s="45">
        <v>-5002.944205954929</v>
      </c>
      <c r="FI35" s="45">
        <v>-4328.180459587969</v>
      </c>
      <c r="FJ35" s="45">
        <v>-2722.6257015136584</v>
      </c>
      <c r="FK35" s="45">
        <v>5.960464477539062e-14</v>
      </c>
      <c r="FL35" s="46">
        <f>MAX(1,MIN(26,SUMPRODUCT(--($CI35:$DI35&gt;=Pu))))</f>
      </c>
      <c r="FM35" s="47">
        <f>(Pu-INDEX($CI35:$DI35,1,$FL35))/(INDEX($CI35:$DI35,1,$FL35+1)-INDEX($CI35:$DI35,1,$FL35))</f>
      </c>
      <c r="FN35" s="39">
        <f>INDEX($DJ35:$EJ35,1,$FL35)+$FM35*(INDEX($DJ35:$EJ35,1,$FL35+1)-INDEX($DJ35:$EJ35,1,$FL35))</f>
      </c>
      <c r="FO35" s="39">
        <f>INDEX($EK35:$FK35,1,$FL35)+$FM35*(INDEX($EK35:$FK35,1,$FL35+1)-INDEX($EK35:$FK35,1,$FL35))</f>
      </c>
      <c r="FP35" s="39">
        <f>SQRT(FN35^2+FO35^2)</f>
      </c>
      <c r="FQ35" s="20">
        <f>FN36-FN35</f>
      </c>
      <c r="FR35" s="20">
        <f>FO36-FO35</f>
      </c>
      <c r="FS35" s="20">
        <f>FQ35*SIN(RADIANS(theta_L))-FR35*COS(RADIANS(theta_L))</f>
      </c>
      <c r="FT35" s="47">
        <f>IF(FS35=0,"",-(FN35*SIN(RADIANS(theta_L))-FO35*COS(RADIANS(theta_L)))/FS35)</f>
      </c>
      <c r="FU35" s="20">
        <f>IF(FT35="","",(FN35+FT35*FQ35)*COS(RADIANS(theta_L))+(FO35+FT35*FR35)*SIN(RADIANS(theta_L)))</f>
      </c>
      <c r="FV35" s="20">
        <f>IF(OR(FT35="",FT35&lt;0,FT35&gt;1,FU35&lt;0),"",FU35)</f>
      </c>
    </row>
    <row r="36" spans="1:178" x14ac:dyDescent="0.25">
      <c r="A36">
        <v>29</v>
      </c>
      <c r="B36" s="44">
        <v>280</v>
      </c>
      <c r="C36" s="18">
        <v>808.0650858259281</v>
      </c>
      <c r="D36" s="18">
        <v>-721.7637253483805</v>
      </c>
      <c r="E36" s="18">
        <v>1529.8288111743086</v>
      </c>
      <c r="F36" s="16">
        <v>0.0033</v>
      </c>
      <c r="G36" s="16">
        <v>0</v>
      </c>
      <c r="H36" s="16">
        <v>0</v>
      </c>
      <c r="I36" s="16">
        <v>0.00275</v>
      </c>
      <c r="J36" s="16">
        <v>1.1819159049446337e-7</v>
      </c>
      <c r="K36" s="16">
        <v>-6.702978184029529e-7</v>
      </c>
      <c r="L36" s="16">
        <v>0.0024749999999999998</v>
      </c>
      <c r="M36" s="16">
        <v>1.7728738574169504e-7</v>
      </c>
      <c r="N36" s="16">
        <v>-0.0000010054467276044293</v>
      </c>
      <c r="O36" s="16">
        <v>0.0021999999999999997</v>
      </c>
      <c r="P36" s="16">
        <v>2.3638318098892674e-7</v>
      </c>
      <c r="Q36" s="16">
        <v>-0.0000013405956368059059</v>
      </c>
      <c r="R36" s="16">
        <v>0.001925</v>
      </c>
      <c r="S36" s="16">
        <v>2.954789762361584e-7</v>
      </c>
      <c r="T36" s="16">
        <v>-0.000001675744546007382</v>
      </c>
      <c r="U36" s="16">
        <v>0.0018000000000000002</v>
      </c>
      <c r="V36" s="16">
        <v>3.223407013485364e-7</v>
      </c>
      <c r="W36" s="16">
        <v>-0.0000018280849592807803</v>
      </c>
      <c r="X36" s="16">
        <v>0.00165</v>
      </c>
      <c r="Y36" s="16">
        <v>3.545747714833901e-7</v>
      </c>
      <c r="Z36" s="16">
        <v>-0.0000020108934552088586</v>
      </c>
      <c r="AA36" s="16">
        <v>0.0015569194907640365</v>
      </c>
      <c r="AB36" s="16">
        <v>3.7457719590272303e-7</v>
      </c>
      <c r="AC36" s="16">
        <v>-0.000002124332841166499</v>
      </c>
      <c r="AD36" s="16">
        <v>0.0012928163833040417</v>
      </c>
      <c r="AE36" s="16">
        <v>4.313313164940447e-7</v>
      </c>
      <c r="AF36" s="16">
        <v>-0.0000024462014534644536</v>
      </c>
      <c r="AG36" s="16">
        <v>0.0011607648295740448</v>
      </c>
      <c r="AH36" s="16">
        <v>4.5970837678970556e-7</v>
      </c>
      <c r="AI36" s="16">
        <v>-0.000002607135759613431</v>
      </c>
      <c r="AJ36" s="16">
        <v>0.0010287132758440474</v>
      </c>
      <c r="AK36" s="16">
        <v>4.880854370853664e-7</v>
      </c>
      <c r="AL36" s="16">
        <v>-0.000002768070065762408</v>
      </c>
      <c r="AM36" s="16">
        <v>0.00089666172211405</v>
      </c>
      <c r="AN36" s="16">
        <v>5.164624973810272e-7</v>
      </c>
      <c r="AO36" s="16">
        <v>-0.0000029290043719113855</v>
      </c>
      <c r="AP36" s="16">
        <v>0.0007646101683840526</v>
      </c>
      <c r="AQ36" s="16">
        <v>5.44839557676688e-7</v>
      </c>
      <c r="AR36" s="16">
        <v>-0.0000030899386780603627</v>
      </c>
      <c r="AS36" s="16">
        <v>0.0006325586146540556</v>
      </c>
      <c r="AT36" s="16">
        <v>5.732166179723489e-7</v>
      </c>
      <c r="AU36" s="16">
        <v>-0.00000325087298420934</v>
      </c>
      <c r="AV36" s="16">
        <v>0.0005005070609240582</v>
      </c>
      <c r="AW36" s="16">
        <v>6.015936782680097e-7</v>
      </c>
      <c r="AX36" s="16">
        <v>-0.0000034118072903583166</v>
      </c>
      <c r="AY36" s="16">
        <v>0.00023640395346406383</v>
      </c>
      <c r="AZ36" s="16">
        <v>6.583477988593314e-7</v>
      </c>
      <c r="BA36" s="16">
        <v>-0.000003733675902656271</v>
      </c>
      <c r="BB36" s="16">
        <v>-0.000027699153995930977</v>
      </c>
      <c r="BC36" s="16">
        <v>7.151019194506532e-7</v>
      </c>
      <c r="BD36" s="16">
        <v>-0.0000040555445149542265</v>
      </c>
      <c r="BE36" s="16">
        <v>-0.00029180226145592535</v>
      </c>
      <c r="BF36" s="16">
        <v>7.718560400419748e-7</v>
      </c>
      <c r="BG36" s="16">
        <v>-0.00000437741312725218</v>
      </c>
      <c r="BH36" s="16">
        <v>-0.0005559053689159197</v>
      </c>
      <c r="BI36" s="16">
        <v>8.286101606332965e-7</v>
      </c>
      <c r="BJ36" s="16">
        <v>-0.000004699281739550134</v>
      </c>
      <c r="BK36" s="16">
        <v>-0.001084111583835908</v>
      </c>
      <c r="BL36" s="16">
        <v>9.421184018159397e-7</v>
      </c>
      <c r="BM36" s="16">
        <v>-0.000005343018964146043</v>
      </c>
      <c r="BN36" s="16">
        <v>-0.0016123177987558968</v>
      </c>
      <c r="BO36" s="16">
        <v>0.000001055626642998583</v>
      </c>
      <c r="BP36" s="16">
        <v>-0.000005986756188741952</v>
      </c>
      <c r="BQ36" s="16">
        <v>-0.002668730228595877</v>
      </c>
      <c r="BR36" s="16">
        <v>0.00000128264312536387</v>
      </c>
      <c r="BS36" s="16">
        <v>-0.000007274230637933771</v>
      </c>
      <c r="BT36" s="16">
        <v>-0.0037251426584358543</v>
      </c>
      <c r="BU36" s="16">
        <v>0.0000015096596077291565</v>
      </c>
      <c r="BV36" s="16">
        <v>-0.000008561705087125589</v>
      </c>
      <c r="BW36" s="16">
        <v>-0.006366173733035799</v>
      </c>
      <c r="BX36" s="16">
        <v>0.0000020772008136423734</v>
      </c>
      <c r="BY36" s="16">
        <v>-0.000011780391210105132</v>
      </c>
      <c r="BZ36" s="16">
        <v>-0.009007204807635744</v>
      </c>
      <c r="CA36" s="16">
        <v>0.00000264474201955559</v>
      </c>
      <c r="CB36" s="16">
        <v>-0.000014999077333084677</v>
      </c>
      <c r="CC36" s="16">
        <v>-0.019571329106035523</v>
      </c>
      <c r="CD36" s="16">
        <v>0.000004914906843208456</v>
      </c>
      <c r="CE36" s="16">
        <v>-0.00002787382182500285</v>
      </c>
      <c r="CF36" s="16">
        <v>-0.05</v>
      </c>
      <c r="CG36" s="16">
        <v>0</v>
      </c>
      <c r="CH36" s="16">
        <v>0</v>
      </c>
      <c r="CI36" s="45">
        <v>33981.43387592912</v>
      </c>
      <c r="CJ36" s="45">
        <v>33981.43387592912</v>
      </c>
      <c r="CK36" s="45">
        <v>33796.94694990778</v>
      </c>
      <c r="CL36" s="45">
        <v>32693.443696975228</v>
      </c>
      <c r="CM36" s="45">
        <v>30469.950728093463</v>
      </c>
      <c r="CN36" s="45">
        <v>29053.724486610277</v>
      </c>
      <c r="CO36" s="45">
        <v>26969.406816725208</v>
      </c>
      <c r="CP36" s="45">
        <v>25522.401662241053</v>
      </c>
      <c r="CQ36" s="45">
        <v>22092.35822606</v>
      </c>
      <c r="CR36" s="45">
        <v>20699.437452813796</v>
      </c>
      <c r="CS36" s="45">
        <v>19335.875256443433</v>
      </c>
      <c r="CT36" s="45">
        <v>17985.109331043182</v>
      </c>
      <c r="CU36" s="45">
        <v>16633.776651592707</v>
      </c>
      <c r="CV36" s="45">
        <v>15279.597428500796</v>
      </c>
      <c r="CW36" s="45">
        <v>13951.093705975125</v>
      </c>
      <c r="CX36" s="45">
        <v>11713.778666232016</v>
      </c>
      <c r="CY36" s="45">
        <v>9987.621831676995</v>
      </c>
      <c r="CZ36" s="45">
        <v>8650.852079133687</v>
      </c>
      <c r="DA36" s="45">
        <v>7605.641064840288</v>
      </c>
      <c r="DB36" s="45">
        <v>6266.135824964242</v>
      </c>
      <c r="DC36" s="45">
        <v>5279.360967890404</v>
      </c>
      <c r="DD36" s="45">
        <v>3793.9375105422037</v>
      </c>
      <c r="DE36" s="45">
        <v>2713.217552900818</v>
      </c>
      <c r="DF36" s="45">
        <v>530.9158617156744</v>
      </c>
      <c r="DG36" s="45">
        <v>-1082.3523960080217</v>
      </c>
      <c r="DH36" s="45">
        <v>-4086.7549738188663</v>
      </c>
      <c r="DI36" s="45">
        <v>-5790.583579096708</v>
      </c>
      <c r="DJ36" s="45">
        <v>6.55418261885643e-13</v>
      </c>
      <c r="DK36" s="45">
        <v>6.55418261885643e-13</v>
      </c>
      <c r="DL36" s="45">
        <v>14.815463536244117</v>
      </c>
      <c r="DM36" s="45">
        <v>113.97999810839903</v>
      </c>
      <c r="DN36" s="45">
        <v>279.7098222733983</v>
      </c>
      <c r="DO36" s="45">
        <v>377.3007134798157</v>
      </c>
      <c r="DP36" s="45">
        <v>516.0351098525956</v>
      </c>
      <c r="DQ36" s="45">
        <v>599.5037830193401</v>
      </c>
      <c r="DR36" s="45">
        <v>682.9722624045228</v>
      </c>
      <c r="DS36" s="45">
        <v>706.9482597194617</v>
      </c>
      <c r="DT36" s="45">
        <v>741.8517955011937</v>
      </c>
      <c r="DU36" s="45">
        <v>779.0630668374348</v>
      </c>
      <c r="DV36" s="45">
        <v>815.844639635112</v>
      </c>
      <c r="DW36" s="45">
        <v>848.6172837295233</v>
      </c>
      <c r="DX36" s="45">
        <v>871.750606236681</v>
      </c>
      <c r="DY36" s="45">
        <v>870.1823800939536</v>
      </c>
      <c r="DZ36" s="45">
        <v>876.803324573528</v>
      </c>
      <c r="EA36" s="45">
        <v>840.0389512196915</v>
      </c>
      <c r="EB36" s="45">
        <v>798.0767708759757</v>
      </c>
      <c r="EC36" s="45">
        <v>747.2819519248477</v>
      </c>
      <c r="ED36" s="45">
        <v>729.226947224515</v>
      </c>
      <c r="EE36" s="45">
        <v>710.2160952757297</v>
      </c>
      <c r="EF36" s="45">
        <v>710.3241169417373</v>
      </c>
      <c r="EG36" s="45">
        <v>658.645850178619</v>
      </c>
      <c r="EH36" s="45">
        <v>521.8606213134061</v>
      </c>
      <c r="EI36" s="45">
        <v>355.3866929928256</v>
      </c>
      <c r="EJ36" s="45">
        <v>0</v>
      </c>
      <c r="EK36" s="45">
        <v>-5.220063030719757e-12</v>
      </c>
      <c r="EL36" s="45">
        <v>-5.220063030719757e-12</v>
      </c>
      <c r="EM36" s="45">
        <v>-123.87340961984023</v>
      </c>
      <c r="EN36" s="45">
        <v>-787.0981112310167</v>
      </c>
      <c r="EO36" s="45">
        <v>-1996.1548598566778</v>
      </c>
      <c r="EP36" s="45">
        <v>-2723.9681381691425</v>
      </c>
      <c r="EQ36" s="45">
        <v>-3738.70687056946</v>
      </c>
      <c r="ER36" s="45">
        <v>-4416.481199735625</v>
      </c>
      <c r="ES36" s="45">
        <v>-5679.932957583232</v>
      </c>
      <c r="ET36" s="45">
        <v>-6009.823644415388</v>
      </c>
      <c r="EU36" s="45">
        <v>-6269.940677524256</v>
      </c>
      <c r="EV36" s="45">
        <v>-6486.072555095585</v>
      </c>
      <c r="EW36" s="45">
        <v>-6671.889250603272</v>
      </c>
      <c r="EX36" s="45">
        <v>-6834.56362711747</v>
      </c>
      <c r="EY36" s="45">
        <v>-6974.431282801745</v>
      </c>
      <c r="EZ36" s="45">
        <v>-7056.24246751559</v>
      </c>
      <c r="FA36" s="45">
        <v>-6993.684729213758</v>
      </c>
      <c r="FB36" s="45">
        <v>-6879.296337098099</v>
      </c>
      <c r="FC36" s="45">
        <v>-6769.179172734101</v>
      </c>
      <c r="FD36" s="45">
        <v>-6513.94720081459</v>
      </c>
      <c r="FE36" s="45">
        <v>-6268.759878799801</v>
      </c>
      <c r="FF36" s="45">
        <v>-5761.812439876744</v>
      </c>
      <c r="FG36" s="45">
        <v>-5273.181464450747</v>
      </c>
      <c r="FH36" s="45">
        <v>-4122.16900313871</v>
      </c>
      <c r="FI36" s="45">
        <v>-3164.390787527139</v>
      </c>
      <c r="FJ36" s="45">
        <v>-1181.914583054016</v>
      </c>
      <c r="FK36" s="45">
        <v>5.960464477539062e-14</v>
      </c>
      <c r="FL36" s="46">
        <f>MAX(1,MIN(26,SUMPRODUCT(--($CI36:$DI36&gt;=Pu))))</f>
      </c>
      <c r="FM36" s="47">
        <f>(Pu-INDEX($CI36:$DI36,1,$FL36))/(INDEX($CI36:$DI36,1,$FL36+1)-INDEX($CI36:$DI36,1,$FL36))</f>
      </c>
      <c r="FN36" s="39">
        <f>INDEX($DJ36:$EJ36,1,$FL36)+$FM36*(INDEX($DJ36:$EJ36,1,$FL36+1)-INDEX($DJ36:$EJ36,1,$FL36))</f>
      </c>
      <c r="FO36" s="39">
        <f>INDEX($EK36:$FK36,1,$FL36)+$FM36*(INDEX($EK36:$FK36,1,$FL36+1)-INDEX($EK36:$FK36,1,$FL36))</f>
      </c>
      <c r="FP36" s="39">
        <f>SQRT(FN36^2+FO36^2)</f>
      </c>
      <c r="FQ36" s="20">
        <f>FN37-FN36</f>
      </c>
      <c r="FR36" s="20">
        <f>FO37-FO36</f>
      </c>
      <c r="FS36" s="20">
        <f>FQ36*SIN(RADIANS(theta_L))-FR36*COS(RADIANS(theta_L))</f>
      </c>
      <c r="FT36" s="47">
        <f>IF(FS36=0,"",-(FN36*SIN(RADIANS(theta_L))-FO36*COS(RADIANS(theta_L)))/FS36)</f>
      </c>
      <c r="FU36" s="20">
        <f>IF(FT36="","",(FN36+FT36*FQ36)*COS(RADIANS(theta_L))+(FO36+FT36*FR36)*SIN(RADIANS(theta_L)))</f>
      </c>
      <c r="FV36" s="20">
        <f>IF(OR(FT36="",FT36&lt;0,FT36&gt;1,FU36&lt;0),"",FU36)</f>
      </c>
    </row>
    <row r="37" spans="1:178" x14ac:dyDescent="0.25">
      <c r="A37">
        <v>30</v>
      </c>
      <c r="B37" s="44">
        <v>290.00000000000006</v>
      </c>
      <c r="C37" s="18">
        <v>841.5775229196988</v>
      </c>
      <c r="D37" s="18">
        <v>-741.5970251321183</v>
      </c>
      <c r="E37" s="18">
        <v>1583.174548051817</v>
      </c>
      <c r="F37" s="16">
        <v>0.0033</v>
      </c>
      <c r="G37" s="16">
        <v>0</v>
      </c>
      <c r="H37" s="16">
        <v>0</v>
      </c>
      <c r="I37" s="16">
        <v>0.00275</v>
      </c>
      <c r="J37" s="16">
        <v>2.2352198544526363e-7</v>
      </c>
      <c r="K37" s="16">
        <v>-6.141216077625261e-7</v>
      </c>
      <c r="L37" s="16">
        <v>0.0024749999999999998</v>
      </c>
      <c r="M37" s="16">
        <v>3.3528297816789545e-7</v>
      </c>
      <c r="N37" s="16">
        <v>-9.211824116437892e-7</v>
      </c>
      <c r="O37" s="16">
        <v>0.0022</v>
      </c>
      <c r="P37" s="16">
        <v>4.4704397089052726e-7</v>
      </c>
      <c r="Q37" s="16">
        <v>-0.0000012282432155250521</v>
      </c>
      <c r="R37" s="16">
        <v>0.0019249999999999998</v>
      </c>
      <c r="S37" s="16">
        <v>5.588049636131591e-7</v>
      </c>
      <c r="T37" s="16">
        <v>-0.0000015353040194063152</v>
      </c>
      <c r="U37" s="16">
        <v>0.0018000000000000002</v>
      </c>
      <c r="V37" s="16">
        <v>6.09605414850719e-7</v>
      </c>
      <c r="W37" s="16">
        <v>-0.0000016748771120796165</v>
      </c>
      <c r="X37" s="16">
        <v>0.0016499999999999998</v>
      </c>
      <c r="Y37" s="16">
        <v>6.705659563357909e-7</v>
      </c>
      <c r="Z37" s="16">
        <v>-0.0000018423648232875784</v>
      </c>
      <c r="AA37" s="16">
        <v>0.0015457993472340053</v>
      </c>
      <c r="AB37" s="16">
        <v>7.129134777738775e-7</v>
      </c>
      <c r="AC37" s="16">
        <v>-0.0000019587136822085915</v>
      </c>
      <c r="AD37" s="16">
        <v>0.0012800113695421878</v>
      </c>
      <c r="AE37" s="16">
        <v>8.209306713759802e-7</v>
      </c>
      <c r="AF37" s="16">
        <v>-0.0000022554884825432266</v>
      </c>
      <c r="AG37" s="16">
        <v>0.0011471173806962792</v>
      </c>
      <c r="AH37" s="16">
        <v>8.749392681770315e-7</v>
      </c>
      <c r="AI37" s="16">
        <v>-0.000002403875882710544</v>
      </c>
      <c r="AJ37" s="16">
        <v>0.0010142233918503706</v>
      </c>
      <c r="AK37" s="16">
        <v>9.289478649780829e-7</v>
      </c>
      <c r="AL37" s="16">
        <v>-0.000002552263282877862</v>
      </c>
      <c r="AM37" s="16">
        <v>0.0008813294030044615</v>
      </c>
      <c r="AN37" s="16">
        <v>9.829564617791342e-7</v>
      </c>
      <c r="AO37" s="16">
        <v>-0.0000027006506830451796</v>
      </c>
      <c r="AP37" s="16">
        <v>0.0007484354141585529</v>
      </c>
      <c r="AQ37" s="16">
        <v>0.0000010369650585801857</v>
      </c>
      <c r="AR37" s="16">
        <v>-0.000002849038083212497</v>
      </c>
      <c r="AS37" s="16">
        <v>0.0006155414253126447</v>
      </c>
      <c r="AT37" s="16">
        <v>0.0000010909736553812367</v>
      </c>
      <c r="AU37" s="16">
        <v>-0.0000029974254833798143</v>
      </c>
      <c r="AV37" s="16">
        <v>0.0004826474364667357</v>
      </c>
      <c r="AW37" s="16">
        <v>0.000001144982252182288</v>
      </c>
      <c r="AX37" s="16">
        <v>-0.000003145812883547132</v>
      </c>
      <c r="AY37" s="16">
        <v>0.00021685945877491846</v>
      </c>
      <c r="AZ37" s="16">
        <v>0.0000012529994457843907</v>
      </c>
      <c r="BA37" s="16">
        <v>-0.000003442587683881767</v>
      </c>
      <c r="BB37" s="16">
        <v>-0.0000489285189168992</v>
      </c>
      <c r="BC37" s="16">
        <v>0.0000013610166393864934</v>
      </c>
      <c r="BD37" s="16">
        <v>-0.000003739362484216402</v>
      </c>
      <c r="BE37" s="16">
        <v>-0.00031471649660871643</v>
      </c>
      <c r="BF37" s="16">
        <v>0.0000014690338329885962</v>
      </c>
      <c r="BG37" s="16">
        <v>-0.000004036137284551038</v>
      </c>
      <c r="BH37" s="16">
        <v>-0.0005805044743005337</v>
      </c>
      <c r="BI37" s="16">
        <v>0.0000015770510265906987</v>
      </c>
      <c r="BJ37" s="16">
        <v>-0.000004332912084885672</v>
      </c>
      <c r="BK37" s="16">
        <v>-0.001112080429684169</v>
      </c>
      <c r="BL37" s="16">
        <v>0.0000017930854137949042</v>
      </c>
      <c r="BM37" s="16">
        <v>-0.000004926461685554943</v>
      </c>
      <c r="BN37" s="16">
        <v>-0.0016436563850678026</v>
      </c>
      <c r="BO37" s="16">
        <v>0.000002009119800999109</v>
      </c>
      <c r="BP37" s="16">
        <v>-0.000005520011286224212</v>
      </c>
      <c r="BQ37" s="16">
        <v>-0.0027068082958350732</v>
      </c>
      <c r="BR37" s="16">
        <v>0.00000244118857540752</v>
      </c>
      <c r="BS37" s="16">
        <v>-0.000006707110487562754</v>
      </c>
      <c r="BT37" s="16">
        <v>-0.003769960206602342</v>
      </c>
      <c r="BU37" s="16">
        <v>0.0000028732573498159306</v>
      </c>
      <c r="BV37" s="16">
        <v>-0.000007894209688901294</v>
      </c>
      <c r="BW37" s="16">
        <v>-0.006427839983520517</v>
      </c>
      <c r="BX37" s="16">
        <v>0.000003953429285836958</v>
      </c>
      <c r="BY37" s="16">
        <v>-0.000010861957692247645</v>
      </c>
      <c r="BZ37" s="16">
        <v>-0.00908571976043869</v>
      </c>
      <c r="CA37" s="16">
        <v>0.000005033601221857984</v>
      </c>
      <c r="CB37" s="16">
        <v>-0.000013829705695593996</v>
      </c>
      <c r="CC37" s="16">
        <v>-0.019717238868111383</v>
      </c>
      <c r="CD37" s="16">
        <v>0.000009354288965942089</v>
      </c>
      <c r="CE37" s="16">
        <v>-0.0000257006977089794</v>
      </c>
      <c r="CF37" s="16">
        <v>-0.05</v>
      </c>
      <c r="CG37" s="16">
        <v>0</v>
      </c>
      <c r="CH37" s="16">
        <v>0</v>
      </c>
      <c r="CI37" s="45">
        <v>33981.43387592912</v>
      </c>
      <c r="CJ37" s="45">
        <v>33981.43387592912</v>
      </c>
      <c r="CK37" s="45">
        <v>33836.34720381349</v>
      </c>
      <c r="CL37" s="45">
        <v>32825.4102704677</v>
      </c>
      <c r="CM37" s="45">
        <v>30736.236133313032</v>
      </c>
      <c r="CN37" s="45">
        <v>29379.9841350131</v>
      </c>
      <c r="CO37" s="45">
        <v>27414.13888366179</v>
      </c>
      <c r="CP37" s="45">
        <v>25849.965702989077</v>
      </c>
      <c r="CQ37" s="45">
        <v>22255.258970605515</v>
      </c>
      <c r="CR37" s="45">
        <v>20764.216011756274</v>
      </c>
      <c r="CS37" s="45">
        <v>19342.78910459185</v>
      </c>
      <c r="CT37" s="45">
        <v>17934.301994549136</v>
      </c>
      <c r="CU37" s="45">
        <v>16542.336066054748</v>
      </c>
      <c r="CV37" s="45">
        <v>15174.827373048613</v>
      </c>
      <c r="CW37" s="45">
        <v>13848.347403579408</v>
      </c>
      <c r="CX37" s="45">
        <v>11527.86094850163</v>
      </c>
      <c r="CY37" s="45">
        <v>9770.861366390971</v>
      </c>
      <c r="CZ37" s="45">
        <v>8448.900375157666</v>
      </c>
      <c r="DA37" s="45">
        <v>7424.590749444938</v>
      </c>
      <c r="DB37" s="45">
        <v>5858.998068095736</v>
      </c>
      <c r="DC37" s="45">
        <v>4735.554400534144</v>
      </c>
      <c r="DD37" s="45">
        <v>3041.59251263208</v>
      </c>
      <c r="DE37" s="45">
        <v>1689.8118979115677</v>
      </c>
      <c r="DF37" s="45">
        <v>-656.0205704562325</v>
      </c>
      <c r="DG37" s="45">
        <v>-2197.280810607383</v>
      </c>
      <c r="DH37" s="45">
        <v>-4679.7920068782505</v>
      </c>
      <c r="DI37" s="45">
        <v>-5790.583579096708</v>
      </c>
      <c r="DJ37" s="45">
        <v>6.55418261885643e-13</v>
      </c>
      <c r="DK37" s="45">
        <v>6.55418261885643e-13</v>
      </c>
      <c r="DL37" s="45">
        <v>27.197230856824927</v>
      </c>
      <c r="DM37" s="45">
        <v>198.5652251210284</v>
      </c>
      <c r="DN37" s="45">
        <v>507.0640089987721</v>
      </c>
      <c r="DO37" s="45">
        <v>693.2984891921449</v>
      </c>
      <c r="DP37" s="45">
        <v>953.4942933782283</v>
      </c>
      <c r="DQ37" s="45">
        <v>1138.5200755461062</v>
      </c>
      <c r="DR37" s="45">
        <v>1371.4967157297074</v>
      </c>
      <c r="DS37" s="45">
        <v>1437.0437568855405</v>
      </c>
      <c r="DT37" s="45">
        <v>1504.8665012384192</v>
      </c>
      <c r="DU37" s="45">
        <v>1570.5890027168798</v>
      </c>
      <c r="DV37" s="45">
        <v>1632.908549853394</v>
      </c>
      <c r="DW37" s="45">
        <v>1686.4088029736618</v>
      </c>
      <c r="DX37" s="45">
        <v>1726.5870008880786</v>
      </c>
      <c r="DY37" s="45">
        <v>1733.7449420772336</v>
      </c>
      <c r="DZ37" s="45">
        <v>1701.344635345096</v>
      </c>
      <c r="EA37" s="45">
        <v>1659.1996617877082</v>
      </c>
      <c r="EB37" s="45">
        <v>1604.3504170166998</v>
      </c>
      <c r="EC37" s="45">
        <v>1517.4231564349236</v>
      </c>
      <c r="ED37" s="45">
        <v>1468.5150174199043</v>
      </c>
      <c r="EE37" s="45">
        <v>1402.4912949672714</v>
      </c>
      <c r="EF37" s="45">
        <v>1329.239978299655</v>
      </c>
      <c r="EG37" s="45">
        <v>1063.4152307689567</v>
      </c>
      <c r="EH37" s="45">
        <v>844.1461296709217</v>
      </c>
      <c r="EI37" s="45">
        <v>344.7780635522069</v>
      </c>
      <c r="EJ37" s="45">
        <v>0</v>
      </c>
      <c r="EK37" s="45">
        <v>-5.220063030719757e-12</v>
      </c>
      <c r="EL37" s="45">
        <v>-5.220063030719757e-12</v>
      </c>
      <c r="EM37" s="45">
        <v>-94.33831253086547</v>
      </c>
      <c r="EN37" s="45">
        <v>-686.5198515967822</v>
      </c>
      <c r="EO37" s="45">
        <v>-1782.772633725408</v>
      </c>
      <c r="EP37" s="45">
        <v>-2445.235243575464</v>
      </c>
      <c r="EQ37" s="45">
        <v>-3374.8895702783325</v>
      </c>
      <c r="ER37" s="45">
        <v>-4071.975541574688</v>
      </c>
      <c r="ES37" s="45">
        <v>-5365.399240607431</v>
      </c>
      <c r="ET37" s="45">
        <v>-5730.399218213337</v>
      </c>
      <c r="EU37" s="45">
        <v>-6006.307723963136</v>
      </c>
      <c r="EV37" s="45">
        <v>-6227.457906667757</v>
      </c>
      <c r="EW37" s="45">
        <v>-6408.192053969584</v>
      </c>
      <c r="EX37" s="45">
        <v>-6558.322888880803</v>
      </c>
      <c r="EY37" s="45">
        <v>-6683.262958666145</v>
      </c>
      <c r="EZ37" s="45">
        <v>-6791.473338559455</v>
      </c>
      <c r="FA37" s="45">
        <v>-6731.645690458657</v>
      </c>
      <c r="FB37" s="45">
        <v>-6610.426194527998</v>
      </c>
      <c r="FC37" s="45">
        <v>-6467.64811677708</v>
      </c>
      <c r="FD37" s="45">
        <v>-6165.474269362703</v>
      </c>
      <c r="FE37" s="45">
        <v>-5830.219335674961</v>
      </c>
      <c r="FF37" s="45">
        <v>-5179.274442981983</v>
      </c>
      <c r="FG37" s="45">
        <v>-4552.343094454319</v>
      </c>
      <c r="FH37" s="45">
        <v>-3270.843022703111</v>
      </c>
      <c r="FI37" s="45">
        <v>-2341.049418476031</v>
      </c>
      <c r="FJ37" s="45">
        <v>-763.3765225666853</v>
      </c>
      <c r="FK37" s="45">
        <v>5.960464477539062e-14</v>
      </c>
      <c r="FL37" s="46">
        <f>MAX(1,MIN(26,SUMPRODUCT(--($CI37:$DI37&gt;=Pu))))</f>
      </c>
      <c r="FM37" s="47">
        <f>(Pu-INDEX($CI37:$DI37,1,$FL37))/(INDEX($CI37:$DI37,1,$FL37+1)-INDEX($CI37:$DI37,1,$FL37))</f>
      </c>
      <c r="FN37" s="39">
        <f>INDEX($DJ37:$EJ37,1,$FL37)+$FM37*(INDEX($DJ37:$EJ37,1,$FL37+1)-INDEX($DJ37:$EJ37,1,$FL37))</f>
      </c>
      <c r="FO37" s="39">
        <f>INDEX($EK37:$FK37,1,$FL37)+$FM37*(INDEX($EK37:$FK37,1,$FL37+1)-INDEX($EK37:$FK37,1,$FL37))</f>
      </c>
      <c r="FP37" s="39">
        <f>SQRT(FN37^2+FO37^2)</f>
      </c>
      <c r="FQ37" s="20">
        <f>FN38-FN37</f>
      </c>
      <c r="FR37" s="20">
        <f>FO38-FO37</f>
      </c>
      <c r="FS37" s="20">
        <f>FQ37*SIN(RADIANS(theta_L))-FR37*COS(RADIANS(theta_L))</f>
      </c>
      <c r="FT37" s="47">
        <f>IF(FS37=0,"",-(FN37*SIN(RADIANS(theta_L))-FO37*COS(RADIANS(theta_L)))/FS37)</f>
      </c>
      <c r="FU37" s="20">
        <f>IF(FT37="","",(FN37+FT37*FQ37)*COS(RADIANS(theta_L))+(FO37+FT37*FR37)*SIN(RADIANS(theta_L)))</f>
      </c>
      <c r="FV37" s="20">
        <f>IF(OR(FT37="",FT37&lt;0,FT37&gt;1,FU37&lt;0),"",FU37)</f>
      </c>
    </row>
    <row r="38" spans="1:178" x14ac:dyDescent="0.25">
      <c r="A38">
        <v>31</v>
      </c>
      <c r="B38" s="44">
        <v>299.99999999999994</v>
      </c>
      <c r="C38" s="18">
        <v>849.519052838329</v>
      </c>
      <c r="D38" s="18">
        <v>-738.8972745734184</v>
      </c>
      <c r="E38" s="18">
        <v>1588.4163274117473</v>
      </c>
      <c r="F38" s="16">
        <v>0.0033</v>
      </c>
      <c r="G38" s="16">
        <v>0</v>
      </c>
      <c r="H38" s="16">
        <v>0</v>
      </c>
      <c r="I38" s="16">
        <v>0.00275</v>
      </c>
      <c r="J38" s="16">
        <v>3.23712574875392e-7</v>
      </c>
      <c r="K38" s="16">
        <v>-5.606866267331243e-7</v>
      </c>
      <c r="L38" s="16">
        <v>0.0024749999999999998</v>
      </c>
      <c r="M38" s="16">
        <v>4.855688623130879e-7</v>
      </c>
      <c r="N38" s="16">
        <v>-8.410299400996864e-7</v>
      </c>
      <c r="O38" s="16">
        <v>0.0021999999999999997</v>
      </c>
      <c r="P38" s="16">
        <v>6.47425149750784e-7</v>
      </c>
      <c r="Q38" s="16">
        <v>-0.0000011213732534662487</v>
      </c>
      <c r="R38" s="16">
        <v>0.001925</v>
      </c>
      <c r="S38" s="16">
        <v>8.092814371884799e-7</v>
      </c>
      <c r="T38" s="16">
        <v>-0.0000014017165668328106</v>
      </c>
      <c r="U38" s="16">
        <v>0.0018000000000000002</v>
      </c>
      <c r="V38" s="16">
        <v>8.828524769328871e-7</v>
      </c>
      <c r="W38" s="16">
        <v>-0.0000015291453456357935</v>
      </c>
      <c r="X38" s="16">
        <v>0.00165</v>
      </c>
      <c r="Y38" s="16">
        <v>9.711377246261758e-7</v>
      </c>
      <c r="Z38" s="16">
        <v>-0.0000016820598801993728</v>
      </c>
      <c r="AA38" s="16">
        <v>0.0015350893616571414</v>
      </c>
      <c r="AB38" s="16">
        <v>0.000001038770485750797</v>
      </c>
      <c r="AC38" s="16">
        <v>-0.0000017992032587233863</v>
      </c>
      <c r="AD38" s="16">
        <v>0.0012676786588779205</v>
      </c>
      <c r="AE38" s="16">
        <v>0.0000011961599532887965</v>
      </c>
      <c r="AF38" s="16">
        <v>-0.0000020718098130754144</v>
      </c>
      <c r="AG38" s="16">
        <v>0.00113397330748831</v>
      </c>
      <c r="AH38" s="16">
        <v>0.0000012748546870577964</v>
      </c>
      <c r="AI38" s="16">
        <v>-0.0000022081130902514285</v>
      </c>
      <c r="AJ38" s="16">
        <v>0.0010002679560986998</v>
      </c>
      <c r="AK38" s="16">
        <v>0.000001353549420826796</v>
      </c>
      <c r="AL38" s="16">
        <v>-0.0000023444163674274426</v>
      </c>
      <c r="AM38" s="16">
        <v>0.0008665626047090888</v>
      </c>
      <c r="AN38" s="16">
        <v>0.000001432244154595796</v>
      </c>
      <c r="AO38" s="16">
        <v>-0.000002480719644603457</v>
      </c>
      <c r="AP38" s="16">
        <v>0.0007328572533194782</v>
      </c>
      <c r="AQ38" s="16">
        <v>0.0000015109388883647957</v>
      </c>
      <c r="AR38" s="16">
        <v>-0.000002617022921779471</v>
      </c>
      <c r="AS38" s="16">
        <v>0.0005991519019298681</v>
      </c>
      <c r="AT38" s="16">
        <v>0.0000015896336221337954</v>
      </c>
      <c r="AU38" s="16">
        <v>-0.000002753326198955485</v>
      </c>
      <c r="AV38" s="16">
        <v>0.0004654465505402575</v>
      </c>
      <c r="AW38" s="16">
        <v>0.0000016683283559027955</v>
      </c>
      <c r="AX38" s="16">
        <v>-0.0000028896294761314994</v>
      </c>
      <c r="AY38" s="16">
        <v>0.00019803584776103677</v>
      </c>
      <c r="AZ38" s="16">
        <v>0.0000018257178234407948</v>
      </c>
      <c r="BA38" s="16">
        <v>-0.000003162236030483527</v>
      </c>
      <c r="BB38" s="16">
        <v>-0.00006937485501818438</v>
      </c>
      <c r="BC38" s="16">
        <v>0.0000019831072909787945</v>
      </c>
      <c r="BD38" s="16">
        <v>-0.0000034348425848355557</v>
      </c>
      <c r="BE38" s="16">
        <v>-0.0003367855577974055</v>
      </c>
      <c r="BF38" s="16">
        <v>0.000002140496758516794</v>
      </c>
      <c r="BG38" s="16">
        <v>-0.000003707449139187584</v>
      </c>
      <c r="BH38" s="16">
        <v>-0.0006041962605766262</v>
      </c>
      <c r="BI38" s="16">
        <v>0.0000022978862260547936</v>
      </c>
      <c r="BJ38" s="16">
        <v>-0.000003980055693539612</v>
      </c>
      <c r="BK38" s="16">
        <v>-0.001139017666135068</v>
      </c>
      <c r="BL38" s="16">
        <v>0.0000026126651611307926</v>
      </c>
      <c r="BM38" s="16">
        <v>-0.000004525268802243668</v>
      </c>
      <c r="BN38" s="16">
        <v>-0.0016738390716935104</v>
      </c>
      <c r="BO38" s="16">
        <v>0.0000029274440962067917</v>
      </c>
      <c r="BP38" s="16">
        <v>-0.000005070481910947725</v>
      </c>
      <c r="BQ38" s="16">
        <v>-0.002743481882810394</v>
      </c>
      <c r="BR38" s="16">
        <v>0.00000355700196635879</v>
      </c>
      <c r="BS38" s="16">
        <v>-0.000006160908128355838</v>
      </c>
      <c r="BT38" s="16">
        <v>-0.003813124693927277</v>
      </c>
      <c r="BU38" s="16">
        <v>0.000004186559836510787</v>
      </c>
      <c r="BV38" s="16">
        <v>-0.00000725133434576395</v>
      </c>
      <c r="BW38" s="16">
        <v>-0.006487231721719488</v>
      </c>
      <c r="BX38" s="16">
        <v>0.000005760454511890784</v>
      </c>
      <c r="BY38" s="16">
        <v>-0.000009977399889284232</v>
      </c>
      <c r="BZ38" s="16">
        <v>-0.009161338749511697</v>
      </c>
      <c r="CA38" s="16">
        <v>0.0000073343491872707795</v>
      </c>
      <c r="CB38" s="16">
        <v>-0.000012703465432804516</v>
      </c>
      <c r="CC38" s="16">
        <v>-0.019857766860680536</v>
      </c>
      <c r="CD38" s="16">
        <v>0.00001362992788879076</v>
      </c>
      <c r="CE38" s="16">
        <v>-0.000023607727606885644</v>
      </c>
      <c r="CF38" s="16">
        <v>-0.05</v>
      </c>
      <c r="CG38" s="16">
        <v>0</v>
      </c>
      <c r="CH38" s="16">
        <v>0</v>
      </c>
      <c r="CI38" s="45">
        <v>33981.43387592912</v>
      </c>
      <c r="CJ38" s="45">
        <v>33981.43387592912</v>
      </c>
      <c r="CK38" s="45">
        <v>33858.007691238</v>
      </c>
      <c r="CL38" s="45">
        <v>32881.288631107825</v>
      </c>
      <c r="CM38" s="45">
        <v>30862.421595068266</v>
      </c>
      <c r="CN38" s="45">
        <v>29545.973522179953</v>
      </c>
      <c r="CO38" s="45">
        <v>27609.646126597647</v>
      </c>
      <c r="CP38" s="45">
        <v>25940.565024424173</v>
      </c>
      <c r="CQ38" s="45">
        <v>22364.83567873184</v>
      </c>
      <c r="CR38" s="45">
        <v>20781.484566336898</v>
      </c>
      <c r="CS38" s="45">
        <v>19281.800206949567</v>
      </c>
      <c r="CT38" s="45">
        <v>17833.159412692734</v>
      </c>
      <c r="CU38" s="45">
        <v>16419.000326638445</v>
      </c>
      <c r="CV38" s="45">
        <v>15049.976577519887</v>
      </c>
      <c r="CW38" s="45">
        <v>13727.087588801574</v>
      </c>
      <c r="CX38" s="45">
        <v>11428.344938291923</v>
      </c>
      <c r="CY38" s="45">
        <v>9631.205783494568</v>
      </c>
      <c r="CZ38" s="45">
        <v>8259.660669197508</v>
      </c>
      <c r="DA38" s="45">
        <v>7166.95775524246</v>
      </c>
      <c r="DB38" s="45">
        <v>5509.142614880212</v>
      </c>
      <c r="DC38" s="45">
        <v>4246.931336080596</v>
      </c>
      <c r="DD38" s="45">
        <v>2369.6762024574596</v>
      </c>
      <c r="DE38" s="45">
        <v>1060.1510534396841</v>
      </c>
      <c r="DF38" s="45">
        <v>-1199.298485457603</v>
      </c>
      <c r="DG38" s="45">
        <v>-2640.393582378684</v>
      </c>
      <c r="DH38" s="45">
        <v>-4788.691937566217</v>
      </c>
      <c r="DI38" s="45">
        <v>-5790.583579096708</v>
      </c>
      <c r="DJ38" s="45">
        <v>6.55418261885643e-13</v>
      </c>
      <c r="DK38" s="45">
        <v>6.55418261885643e-13</v>
      </c>
      <c r="DL38" s="45">
        <v>35.78993769333926</v>
      </c>
      <c r="DM38" s="45">
        <v>269.4715319757384</v>
      </c>
      <c r="DN38" s="45">
        <v>712.7728686862918</v>
      </c>
      <c r="DO38" s="45">
        <v>981.7421893986568</v>
      </c>
      <c r="DP38" s="45">
        <v>1356.4041276599244</v>
      </c>
      <c r="DQ38" s="45">
        <v>1654.9197939384558</v>
      </c>
      <c r="DR38" s="45">
        <v>2065.8286065571087</v>
      </c>
      <c r="DS38" s="45">
        <v>2183.409259997914</v>
      </c>
      <c r="DT38" s="45">
        <v>2293.975500930307</v>
      </c>
      <c r="DU38" s="45">
        <v>2397.1030812011218</v>
      </c>
      <c r="DV38" s="45">
        <v>2487.166812670945</v>
      </c>
      <c r="DW38" s="45">
        <v>2560.5050751798876</v>
      </c>
      <c r="DX38" s="45">
        <v>2613.584010436705</v>
      </c>
      <c r="DY38" s="45">
        <v>2637.5878302889846</v>
      </c>
      <c r="DZ38" s="45">
        <v>2567.5351373556055</v>
      </c>
      <c r="EA38" s="45">
        <v>2490.9277531059784</v>
      </c>
      <c r="EB38" s="45">
        <v>2425.138576641114</v>
      </c>
      <c r="EC38" s="45">
        <v>2293.2420179113938</v>
      </c>
      <c r="ED38" s="45">
        <v>2174.5176929695513</v>
      </c>
      <c r="EE38" s="45">
        <v>1970.343320471158</v>
      </c>
      <c r="EF38" s="45">
        <v>1771.5712298579285</v>
      </c>
      <c r="EG38" s="45">
        <v>1356.0627149829575</v>
      </c>
      <c r="EH38" s="45">
        <v>1028.9629814941873</v>
      </c>
      <c r="EI38" s="45">
        <v>372.9016243661399</v>
      </c>
      <c r="EJ38" s="45">
        <v>0</v>
      </c>
      <c r="EK38" s="45">
        <v>-5.220063030719757e-12</v>
      </c>
      <c r="EL38" s="45">
        <v>-5.220063030719757e-12</v>
      </c>
      <c r="EM38" s="45">
        <v>-76.68548999725094</v>
      </c>
      <c r="EN38" s="45">
        <v>-617.9457995770372</v>
      </c>
      <c r="EO38" s="45">
        <v>-1613.8473929752597</v>
      </c>
      <c r="EP38" s="45">
        <v>-2216.72783251965</v>
      </c>
      <c r="EQ38" s="45">
        <v>-3062.641695673251</v>
      </c>
      <c r="ER38" s="45">
        <v>-3756.794434783477</v>
      </c>
      <c r="ES38" s="45">
        <v>-4955.701326593931</v>
      </c>
      <c r="ET38" s="45">
        <v>-5339.169645936741</v>
      </c>
      <c r="EU38" s="45">
        <v>-5622.890260630531</v>
      </c>
      <c r="EV38" s="45">
        <v>-5840.831933259902</v>
      </c>
      <c r="EW38" s="45">
        <v>-6015.969140119922</v>
      </c>
      <c r="EX38" s="45">
        <v>-6156.286506221502</v>
      </c>
      <c r="EY38" s="45">
        <v>-6260.693797500239</v>
      </c>
      <c r="EZ38" s="45">
        <v>-6340.007846619667</v>
      </c>
      <c r="FA38" s="45">
        <v>-6293.298541190808</v>
      </c>
      <c r="FB38" s="45">
        <v>-6161.666806496793</v>
      </c>
      <c r="FC38" s="45">
        <v>-5982.682049405886</v>
      </c>
      <c r="FD38" s="45">
        <v>-5626.263820187032</v>
      </c>
      <c r="FE38" s="45">
        <v>-5275.503952494114</v>
      </c>
      <c r="FF38" s="45">
        <v>-4562.370296682682</v>
      </c>
      <c r="FG38" s="45">
        <v>-3950.6237242289503</v>
      </c>
      <c r="FH38" s="45">
        <v>-2780.2292427286616</v>
      </c>
      <c r="FI38" s="45">
        <v>-1965.5419212283307</v>
      </c>
      <c r="FJ38" s="45">
        <v>-671.9598767808169</v>
      </c>
      <c r="FK38" s="45">
        <v>5.960464477539062e-14</v>
      </c>
      <c r="FL38" s="46">
        <f>MAX(1,MIN(26,SUMPRODUCT(--($CI38:$DI38&gt;=Pu))))</f>
      </c>
      <c r="FM38" s="47">
        <f>(Pu-INDEX($CI38:$DI38,1,$FL38))/(INDEX($CI38:$DI38,1,$FL38+1)-INDEX($CI38:$DI38,1,$FL38))</f>
      </c>
      <c r="FN38" s="39">
        <f>INDEX($DJ38:$EJ38,1,$FL38)+$FM38*(INDEX($DJ38:$EJ38,1,$FL38+1)-INDEX($DJ38:$EJ38,1,$FL38))</f>
      </c>
      <c r="FO38" s="39">
        <f>INDEX($EK38:$FK38,1,$FL38)+$FM38*(INDEX($EK38:$FK38,1,$FL38+1)-INDEX($EK38:$FK38,1,$FL38))</f>
      </c>
      <c r="FP38" s="39">
        <f>SQRT(FN38^2+FO38^2)</f>
      </c>
      <c r="FQ38" s="20">
        <f>FN39-FN38</f>
      </c>
      <c r="FR38" s="20">
        <f>FO39-FO38</f>
      </c>
      <c r="FS38" s="20">
        <f>FQ38*SIN(RADIANS(theta_L))-FR38*COS(RADIANS(theta_L))</f>
      </c>
      <c r="FT38" s="47">
        <f>IF(FS38=0,"",-(FN38*SIN(RADIANS(theta_L))-FO38*COS(RADIANS(theta_L)))/FS38)</f>
      </c>
      <c r="FU38" s="20">
        <f>IF(FT38="","",(FN38+FT38*FQ38)*COS(RADIANS(theta_L))+(FO38+FT38*FR38)*SIN(RADIANS(theta_L)))</f>
      </c>
      <c r="FV38" s="20">
        <f>IF(OR(FT38="",FT38&lt;0,FT38&gt;1,FU38&lt;0),"",FU38)</f>
      </c>
    </row>
    <row r="39" spans="1:178" x14ac:dyDescent="0.25">
      <c r="A39">
        <v>32</v>
      </c>
      <c r="B39" s="44">
        <v>310</v>
      </c>
      <c r="C39" s="18">
        <v>831.6483762138492</v>
      </c>
      <c r="D39" s="18">
        <v>-713.7465042268669</v>
      </c>
      <c r="E39" s="18">
        <v>1545.3948804407162</v>
      </c>
      <c r="F39" s="16">
        <v>0.0033</v>
      </c>
      <c r="G39" s="16">
        <v>0</v>
      </c>
      <c r="H39" s="16">
        <v>0</v>
      </c>
      <c r="I39" s="16">
        <v>0.00275</v>
      </c>
      <c r="J39" s="16">
        <v>4.250993514074864e-7</v>
      </c>
      <c r="K39" s="16">
        <v>-5.066136792493406e-7</v>
      </c>
      <c r="L39" s="16">
        <v>0.0024749999999999998</v>
      </c>
      <c r="M39" s="16">
        <v>6.376490271112297e-7</v>
      </c>
      <c r="N39" s="16">
        <v>-7.59920518874011e-7</v>
      </c>
      <c r="O39" s="16">
        <v>0.0021999999999999997</v>
      </c>
      <c r="P39" s="16">
        <v>8.501987028149728e-7</v>
      </c>
      <c r="Q39" s="16">
        <v>-0.0000010132273584986811</v>
      </c>
      <c r="R39" s="16">
        <v>0.0019249999999999998</v>
      </c>
      <c r="S39" s="16">
        <v>0.0000010627483785187164</v>
      </c>
      <c r="T39" s="16">
        <v>-0.0000012665341981233517</v>
      </c>
      <c r="U39" s="16">
        <v>0.0018000000000000002</v>
      </c>
      <c r="V39" s="16">
        <v>0.0000011593618674749628</v>
      </c>
      <c r="W39" s="16">
        <v>-0.0000013816736706800197</v>
      </c>
      <c r="X39" s="16">
        <v>0.0016499999999999998</v>
      </c>
      <c r="Y39" s="16">
        <v>0.0000012752980542224595</v>
      </c>
      <c r="Z39" s="16">
        <v>-0.000001519841037748022</v>
      </c>
      <c r="AA39" s="16">
        <v>0.0015241175532281805</v>
      </c>
      <c r="AB39" s="16">
        <v>0.0000013725935932702555</v>
      </c>
      <c r="AC39" s="16">
        <v>-0.000001635793345951623</v>
      </c>
      <c r="AD39" s="16">
        <v>0.0012550444552324501</v>
      </c>
      <c r="AE39" s="16">
        <v>0.0000015805623195233246</v>
      </c>
      <c r="AF39" s="16">
        <v>-0.0000018836408226109601</v>
      </c>
      <c r="AG39" s="16">
        <v>0.0011205079062345854</v>
      </c>
      <c r="AH39" s="16">
        <v>0.000001684546682649859</v>
      </c>
      <c r="AI39" s="16">
        <v>-0.0000020075645609406282</v>
      </c>
      <c r="AJ39" s="16">
        <v>0.0009859713572367202</v>
      </c>
      <c r="AK39" s="16">
        <v>0.0000017885310457763933</v>
      </c>
      <c r="AL39" s="16">
        <v>-0.0000021314882992702965</v>
      </c>
      <c r="AM39" s="16">
        <v>0.0008514348082388546</v>
      </c>
      <c r="AN39" s="16">
        <v>0.000001892515408902928</v>
      </c>
      <c r="AO39" s="16">
        <v>-0.0000022554120375999653</v>
      </c>
      <c r="AP39" s="16">
        <v>0.0007168982592409895</v>
      </c>
      <c r="AQ39" s="16">
        <v>0.0000019964997720294626</v>
      </c>
      <c r="AR39" s="16">
        <v>-0.000002379335775929634</v>
      </c>
      <c r="AS39" s="16">
        <v>0.0005823617102431247</v>
      </c>
      <c r="AT39" s="16">
        <v>0.000002100484135155997</v>
      </c>
      <c r="AU39" s="16">
        <v>-0.000002503259514259302</v>
      </c>
      <c r="AV39" s="16">
        <v>0.00044782516124525955</v>
      </c>
      <c r="AW39" s="16">
        <v>0.0000022044684982825318</v>
      </c>
      <c r="AX39" s="16">
        <v>-0.0000026271832525889706</v>
      </c>
      <c r="AY39" s="16">
        <v>0.00017875206324952965</v>
      </c>
      <c r="AZ39" s="16">
        <v>0.0000024124372245356004</v>
      </c>
      <c r="BA39" s="16">
        <v>-0.0000028750307292483073</v>
      </c>
      <c r="BB39" s="16">
        <v>-0.00009032103474620069</v>
      </c>
      <c r="BC39" s="16">
        <v>0.0000026204059507886695</v>
      </c>
      <c r="BD39" s="16">
        <v>-0.0000031228782059076443</v>
      </c>
      <c r="BE39" s="16">
        <v>-0.00035939413274193146</v>
      </c>
      <c r="BF39" s="16">
        <v>0.000002828374677041739</v>
      </c>
      <c r="BG39" s="16">
        <v>-0.0000033707256825669814</v>
      </c>
      <c r="BH39" s="16">
        <v>-0.0006284672307376614</v>
      </c>
      <c r="BI39" s="16">
        <v>0.0000030363434032948078</v>
      </c>
      <c r="BJ39" s="16">
        <v>-0.0000036185731592263184</v>
      </c>
      <c r="BK39" s="16">
        <v>-0.001166613426729122</v>
      </c>
      <c r="BL39" s="16">
        <v>0.0000034522808558009455</v>
      </c>
      <c r="BM39" s="16">
        <v>-0.000004114268112544991</v>
      </c>
      <c r="BN39" s="16">
        <v>-0.0017047596227205818</v>
      </c>
      <c r="BO39" s="16">
        <v>0.000003868218308307083</v>
      </c>
      <c r="BP39" s="16">
        <v>-0.0000046099630658636645</v>
      </c>
      <c r="BQ39" s="16">
        <v>-0.002781052014703504</v>
      </c>
      <c r="BR39" s="16">
        <v>0.00000470009321331936</v>
      </c>
      <c r="BS39" s="16">
        <v>-0.0000056013529725010136</v>
      </c>
      <c r="BT39" s="16">
        <v>-0.0038573444066864237</v>
      </c>
      <c r="BU39" s="16">
        <v>0.000005531968118331636</v>
      </c>
      <c r="BV39" s="16">
        <v>-0.00000659274287913836</v>
      </c>
      <c r="BW39" s="16">
        <v>-0.006548075386643727</v>
      </c>
      <c r="BX39" s="16">
        <v>0.000007611655380862326</v>
      </c>
      <c r="BY39" s="16">
        <v>-0.000009071217645731729</v>
      </c>
      <c r="BZ39" s="16">
        <v>-0.00923880636660103</v>
      </c>
      <c r="CA39" s="16">
        <v>0.000009691342643393016</v>
      </c>
      <c r="CB39" s="16">
        <v>-0.000011549692412325099</v>
      </c>
      <c r="CC39" s="16">
        <v>-0.020001730286430236</v>
      </c>
      <c r="CD39" s="16">
        <v>0.000018010091693515775</v>
      </c>
      <c r="CE39" s="16">
        <v>-0.00002146359147869857</v>
      </c>
      <c r="CF39" s="16">
        <v>-0.05</v>
      </c>
      <c r="CG39" s="16">
        <v>0</v>
      </c>
      <c r="CH39" s="16">
        <v>0</v>
      </c>
      <c r="CI39" s="45">
        <v>33981.43387592912</v>
      </c>
      <c r="CJ39" s="45">
        <v>33981.43387592912</v>
      </c>
      <c r="CK39" s="45">
        <v>33861.11626287166</v>
      </c>
      <c r="CL39" s="45">
        <v>32881.807256194574</v>
      </c>
      <c r="CM39" s="45">
        <v>30855.01008662239</v>
      </c>
      <c r="CN39" s="45">
        <v>29533.919997718614</v>
      </c>
      <c r="CO39" s="45">
        <v>27619.542601452675</v>
      </c>
      <c r="CP39" s="45">
        <v>25829.19277848814</v>
      </c>
      <c r="CQ39" s="45">
        <v>22308.550548809486</v>
      </c>
      <c r="CR39" s="45">
        <v>20696.121167803478</v>
      </c>
      <c r="CS39" s="45">
        <v>19128.70866609775</v>
      </c>
      <c r="CT39" s="45">
        <v>17629.189028603705</v>
      </c>
      <c r="CU39" s="45">
        <v>16201.570444687197</v>
      </c>
      <c r="CV39" s="45">
        <v>14847.615453117944</v>
      </c>
      <c r="CW39" s="45">
        <v>13573.807692831137</v>
      </c>
      <c r="CX39" s="45">
        <v>11391.786563807193</v>
      </c>
      <c r="CY39" s="45">
        <v>9622.46236241001</v>
      </c>
      <c r="CZ39" s="45">
        <v>8192.387071394378</v>
      </c>
      <c r="DA39" s="45">
        <v>7045.0792408549305</v>
      </c>
      <c r="DB39" s="45">
        <v>5322.370119797343</v>
      </c>
      <c r="DC39" s="45">
        <v>4001.458226606567</v>
      </c>
      <c r="DD39" s="45">
        <v>2164.1209384482486</v>
      </c>
      <c r="DE39" s="45">
        <v>840.1859279349255</v>
      </c>
      <c r="DF39" s="45">
        <v>-1334.1381867471878</v>
      </c>
      <c r="DG39" s="45">
        <v>-2665.790808216634</v>
      </c>
      <c r="DH39" s="45">
        <v>-4674.0928609835555</v>
      </c>
      <c r="DI39" s="45">
        <v>-5790.583579096708</v>
      </c>
      <c r="DJ39" s="45">
        <v>6.55418261885643e-13</v>
      </c>
      <c r="DK39" s="45">
        <v>6.55418261885643e-13</v>
      </c>
      <c r="DL39" s="45">
        <v>43.471097405415954</v>
      </c>
      <c r="DM39" s="45">
        <v>338.26164895741545</v>
      </c>
      <c r="DN39" s="45">
        <v>920.2998168655603</v>
      </c>
      <c r="DO39" s="45">
        <v>1269.5594478860917</v>
      </c>
      <c r="DP39" s="45">
        <v>1760.1995789699358</v>
      </c>
      <c r="DQ39" s="45">
        <v>2172.8932238867155</v>
      </c>
      <c r="DR39" s="45">
        <v>2766.591755650274</v>
      </c>
      <c r="DS39" s="45">
        <v>2970.527067580899</v>
      </c>
      <c r="DT39" s="45">
        <v>3140.4222742383636</v>
      </c>
      <c r="DU39" s="45">
        <v>3286.2914238078138</v>
      </c>
      <c r="DV39" s="45">
        <v>3408.2026607852454</v>
      </c>
      <c r="DW39" s="45">
        <v>3502.3622154308555</v>
      </c>
      <c r="DX39" s="45">
        <v>3568.675549717335</v>
      </c>
      <c r="DY39" s="45">
        <v>3576.3218698139235</v>
      </c>
      <c r="DZ39" s="45">
        <v>3490.947813980756</v>
      </c>
      <c r="EA39" s="45">
        <v>3364.131119164527</v>
      </c>
      <c r="EB39" s="45">
        <v>3239.9420327955704</v>
      </c>
      <c r="EC39" s="45">
        <v>3028.072925478798</v>
      </c>
      <c r="ED39" s="45">
        <v>2828.930879559684</v>
      </c>
      <c r="EE39" s="45">
        <v>2451.331249890314</v>
      </c>
      <c r="EF39" s="45">
        <v>2146.7398807995805</v>
      </c>
      <c r="EG39" s="45">
        <v>1611.6788117020412</v>
      </c>
      <c r="EH39" s="45">
        <v>1201.3710280962757</v>
      </c>
      <c r="EI39" s="45">
        <v>458.5307647140031</v>
      </c>
      <c r="EJ39" s="45">
        <v>0</v>
      </c>
      <c r="EK39" s="45">
        <v>-5.220063030719757e-12</v>
      </c>
      <c r="EL39" s="45">
        <v>-5.220063030719757e-12</v>
      </c>
      <c r="EM39" s="45">
        <v>-70.03855680527934</v>
      </c>
      <c r="EN39" s="45">
        <v>-568.354274200481</v>
      </c>
      <c r="EO39" s="45">
        <v>-1467.8033516920855</v>
      </c>
      <c r="EP39" s="45">
        <v>-2015.1878309555311</v>
      </c>
      <c r="EQ39" s="45">
        <v>-2783.808282512887</v>
      </c>
      <c r="ER39" s="45">
        <v>-3452.0407620162114</v>
      </c>
      <c r="ES39" s="45">
        <v>-4479.592525287218</v>
      </c>
      <c r="ET39" s="45">
        <v>-4822.119995438223</v>
      </c>
      <c r="EU39" s="45">
        <v>-5081.368747432395</v>
      </c>
      <c r="EV39" s="45">
        <v>-5274.529595208532</v>
      </c>
      <c r="EW39" s="45">
        <v>-5418.724198993898</v>
      </c>
      <c r="EX39" s="45">
        <v>-5530.733938330594</v>
      </c>
      <c r="EY39" s="45">
        <v>-5620.863442378044</v>
      </c>
      <c r="EZ39" s="45">
        <v>-5685.180248416022</v>
      </c>
      <c r="FA39" s="45">
        <v>-5644.4400900927985</v>
      </c>
      <c r="FB39" s="45">
        <v>-5533.660948824503</v>
      </c>
      <c r="FC39" s="45">
        <v>-5382.248222878504</v>
      </c>
      <c r="FD39" s="45">
        <v>-5021.567021436726</v>
      </c>
      <c r="FE39" s="45">
        <v>-4665.919365693891</v>
      </c>
      <c r="FF39" s="45">
        <v>-4070.666526542295</v>
      </c>
      <c r="FG39" s="45">
        <v>-3549.665642750025</v>
      </c>
      <c r="FH39" s="45">
        <v>-2528.337528554965</v>
      </c>
      <c r="FI39" s="45">
        <v>-1841.5912465449146</v>
      </c>
      <c r="FJ39" s="45">
        <v>-714.7148825196319</v>
      </c>
      <c r="FK39" s="45">
        <v>5.960464477539062e-14</v>
      </c>
      <c r="FL39" s="46">
        <f>MAX(1,MIN(26,SUMPRODUCT(--($CI39:$DI39&gt;=Pu))))</f>
      </c>
      <c r="FM39" s="47">
        <f>(Pu-INDEX($CI39:$DI39,1,$FL39))/(INDEX($CI39:$DI39,1,$FL39+1)-INDEX($CI39:$DI39,1,$FL39))</f>
      </c>
      <c r="FN39" s="39">
        <f>INDEX($DJ39:$EJ39,1,$FL39)+$FM39*(INDEX($DJ39:$EJ39,1,$FL39+1)-INDEX($DJ39:$EJ39,1,$FL39))</f>
      </c>
      <c r="FO39" s="39">
        <f>INDEX($EK39:$FK39,1,$FL39)+$FM39*(INDEX($EK39:$FK39,1,$FL39+1)-INDEX($EK39:$FK39,1,$FL39))</f>
      </c>
      <c r="FP39" s="39">
        <f>SQRT(FN39^2+FO39^2)</f>
      </c>
      <c r="FQ39" s="20">
        <f>FN40-FN39</f>
      </c>
      <c r="FR39" s="20">
        <f>FO40-FO39</f>
      </c>
      <c r="FS39" s="20">
        <f>FQ39*SIN(RADIANS(theta_L))-FR39*COS(RADIANS(theta_L))</f>
      </c>
      <c r="FT39" s="47">
        <f>IF(FS39=0,"",-(FN39*SIN(RADIANS(theta_L))-FO39*COS(RADIANS(theta_L)))/FS39)</f>
      </c>
      <c r="FU39" s="20">
        <f>IF(FT39="","",(FN39+FT39*FQ39)*COS(RADIANS(theta_L))+(FO39+FT39*FR39)*SIN(RADIANS(theta_L)))</f>
      </c>
      <c r="FV39" s="20">
        <f>IF(OR(FT39="",FT39&lt;0,FT39&gt;1,FU39&lt;0),"",FU39)</f>
      </c>
    </row>
    <row r="40" spans="1:178" x14ac:dyDescent="0.25">
      <c r="A40">
        <v>33</v>
      </c>
      <c r="B40" s="44">
        <v>320</v>
      </c>
      <c r="C40" s="18">
        <v>813.1598511989835</v>
      </c>
      <c r="D40" s="18">
        <v>-666.9089075225402</v>
      </c>
      <c r="E40" s="18">
        <v>1480.0687587215236</v>
      </c>
      <c r="F40" s="16">
        <v>0.0033</v>
      </c>
      <c r="G40" s="16">
        <v>0</v>
      </c>
      <c r="H40" s="16">
        <v>0</v>
      </c>
      <c r="I40" s="16">
        <v>0.00275</v>
      </c>
      <c r="J40" s="16">
        <v>5.181323734739309e-7</v>
      </c>
      <c r="K40" s="16">
        <v>-4.347646834829844e-7</v>
      </c>
      <c r="L40" s="16">
        <v>0.002475</v>
      </c>
      <c r="M40" s="16">
        <v>7.771985602108963e-7</v>
      </c>
      <c r="N40" s="16">
        <v>-6.521470252244766e-7</v>
      </c>
      <c r="O40" s="16">
        <v>0.0022</v>
      </c>
      <c r="P40" s="16">
        <v>0.0000010362647469478618</v>
      </c>
      <c r="Q40" s="16">
        <v>-8.695293669659688e-7</v>
      </c>
      <c r="R40" s="16">
        <v>0.0019249999999999998</v>
      </c>
      <c r="S40" s="16">
        <v>0.0000012953309336848274</v>
      </c>
      <c r="T40" s="16">
        <v>-0.0000010869117087074612</v>
      </c>
      <c r="U40" s="16">
        <v>0.0018</v>
      </c>
      <c r="V40" s="16">
        <v>0.0000014130882912925388</v>
      </c>
      <c r="W40" s="16">
        <v>-0.000001185721864044503</v>
      </c>
      <c r="X40" s="16">
        <v>0.0016500000000000002</v>
      </c>
      <c r="Y40" s="16">
        <v>0.0000015543971204217926</v>
      </c>
      <c r="Z40" s="16">
        <v>-0.0000013042940504489533</v>
      </c>
      <c r="AA40" s="16">
        <v>0.0014869575361656999</v>
      </c>
      <c r="AB40" s="16">
        <v>0.0000017079927181736172</v>
      </c>
      <c r="AC40" s="16">
        <v>-0.0000014331760598729633</v>
      </c>
      <c r="AD40" s="16">
        <v>0.0012122541325544425</v>
      </c>
      <c r="AE40" s="16">
        <v>0.000001966779493654468</v>
      </c>
      <c r="AF40" s="16">
        <v>-0.000001650323947732503</v>
      </c>
      <c r="AG40" s="16">
        <v>0.0010749024307488138</v>
      </c>
      <c r="AH40" s="16">
        <v>0.0000020961728813948937</v>
      </c>
      <c r="AI40" s="16">
        <v>-0.000001758897891662273</v>
      </c>
      <c r="AJ40" s="16">
        <v>0.0009375507289431846</v>
      </c>
      <c r="AK40" s="16">
        <v>0.0000022255662691353193</v>
      </c>
      <c r="AL40" s="16">
        <v>-0.000001867471835592043</v>
      </c>
      <c r="AM40" s="16">
        <v>0.0008001990271375558</v>
      </c>
      <c r="AN40" s="16">
        <v>0.000002354959656875745</v>
      </c>
      <c r="AO40" s="16">
        <v>-0.000001976045779521813</v>
      </c>
      <c r="AP40" s="16">
        <v>0.000662847325331927</v>
      </c>
      <c r="AQ40" s="16">
        <v>0.0000024843530446161705</v>
      </c>
      <c r="AR40" s="16">
        <v>-0.000002084619723451583</v>
      </c>
      <c r="AS40" s="16">
        <v>0.0005254956235262987</v>
      </c>
      <c r="AT40" s="16">
        <v>0.0000026137464323565957</v>
      </c>
      <c r="AU40" s="16">
        <v>-0.0000021931936673813525</v>
      </c>
      <c r="AV40" s="16">
        <v>0.0003881439217206695</v>
      </c>
      <c r="AW40" s="16">
        <v>0.0000027431398200970213</v>
      </c>
      <c r="AX40" s="16">
        <v>-0.0000023017676113111225</v>
      </c>
      <c r="AY40" s="16">
        <v>0.00011344051810941239</v>
      </c>
      <c r="AZ40" s="16">
        <v>0.000003001926595577872</v>
      </c>
      <c r="BA40" s="16">
        <v>-0.000002518915499170662</v>
      </c>
      <c r="BB40" s="16">
        <v>-0.00016126288550184558</v>
      </c>
      <c r="BC40" s="16">
        <v>0.000003260713371058724</v>
      </c>
      <c r="BD40" s="16">
        <v>-0.0000027360633870302024</v>
      </c>
      <c r="BE40" s="16">
        <v>-0.00043596628911310355</v>
      </c>
      <c r="BF40" s="16">
        <v>0.000003519500146539575</v>
      </c>
      <c r="BG40" s="16">
        <v>-0.0000029532112748897424</v>
      </c>
      <c r="BH40" s="16">
        <v>-0.0007106696927243611</v>
      </c>
      <c r="BI40" s="16">
        <v>0.0000037782869220204263</v>
      </c>
      <c r="BJ40" s="16">
        <v>-0.0000031703591627492824</v>
      </c>
      <c r="BK40" s="16">
        <v>-0.0012600764999468762</v>
      </c>
      <c r="BL40" s="16">
        <v>0.0000042958604729821275</v>
      </c>
      <c r="BM40" s="16">
        <v>-0.0000036046549384683616</v>
      </c>
      <c r="BN40" s="16">
        <v>-0.0018094833071693904</v>
      </c>
      <c r="BO40" s="16">
        <v>0.00000481343402394383</v>
      </c>
      <c r="BP40" s="16">
        <v>-0.000004038950714187441</v>
      </c>
      <c r="BQ40" s="16">
        <v>-0.0029082969216144222</v>
      </c>
      <c r="BR40" s="16">
        <v>0.000005848581125867235</v>
      </c>
      <c r="BS40" s="16">
        <v>-0.000004907542265625602</v>
      </c>
      <c r="BT40" s="16">
        <v>-0.0040071105360594515</v>
      </c>
      <c r="BU40" s="16">
        <v>0.000006883728227790639</v>
      </c>
      <c r="BV40" s="16">
        <v>-0.00000577613381706376</v>
      </c>
      <c r="BW40" s="16">
        <v>-0.006754144572172028</v>
      </c>
      <c r="BX40" s="16">
        <v>0.00000947159598259915</v>
      </c>
      <c r="BY40" s="16">
        <v>-0.00000794761269565916</v>
      </c>
      <c r="BZ40" s="16">
        <v>-0.009501178608284602</v>
      </c>
      <c r="CA40" s="16">
        <v>0.00001205946373740766</v>
      </c>
      <c r="CB40" s="16">
        <v>-0.000010119091574254558</v>
      </c>
      <c r="CC40" s="16">
        <v>-0.020489314752734907</v>
      </c>
      <c r="CD40" s="16">
        <v>0.000022410934756641703</v>
      </c>
      <c r="CE40" s="16">
        <v>-0.000018805007088636153</v>
      </c>
      <c r="CF40" s="16">
        <v>-0.05</v>
      </c>
      <c r="CG40" s="16">
        <v>0</v>
      </c>
      <c r="CH40" s="16">
        <v>0</v>
      </c>
      <c r="CI40" s="45">
        <v>33981.43387592912</v>
      </c>
      <c r="CJ40" s="45">
        <v>33981.43387592912</v>
      </c>
      <c r="CK40" s="45">
        <v>33863.39916557486</v>
      </c>
      <c r="CL40" s="45">
        <v>32899.229260763255</v>
      </c>
      <c r="CM40" s="45">
        <v>30842.138248618754</v>
      </c>
      <c r="CN40" s="45">
        <v>29535.776099623625</v>
      </c>
      <c r="CO40" s="45">
        <v>27634.199470908487</v>
      </c>
      <c r="CP40" s="45">
        <v>25331.59559040491</v>
      </c>
      <c r="CQ40" s="45">
        <v>21763.12230511045</v>
      </c>
      <c r="CR40" s="45">
        <v>20100.341842191938</v>
      </c>
      <c r="CS40" s="45">
        <v>18511.809642488537</v>
      </c>
      <c r="CT40" s="45">
        <v>17003.925454128897</v>
      </c>
      <c r="CU40" s="45">
        <v>15597.531255315664</v>
      </c>
      <c r="CV40" s="45">
        <v>14297.416362065467</v>
      </c>
      <c r="CW40" s="45">
        <v>13101.90726769063</v>
      </c>
      <c r="CX40" s="45">
        <v>11114.317069989778</v>
      </c>
      <c r="CY40" s="45">
        <v>9462.555050280009</v>
      </c>
      <c r="CZ40" s="45">
        <v>8046.6660568621555</v>
      </c>
      <c r="DA40" s="45">
        <v>6843.48384694221</v>
      </c>
      <c r="DB40" s="45">
        <v>5046.40251907861</v>
      </c>
      <c r="DC40" s="45">
        <v>3784.9764659287107</v>
      </c>
      <c r="DD40" s="45">
        <v>1896.3969658781853</v>
      </c>
      <c r="DE40" s="45">
        <v>541.5421235183859</v>
      </c>
      <c r="DF40" s="45">
        <v>-1611.9890552315605</v>
      </c>
      <c r="DG40" s="45">
        <v>-2851.617464280563</v>
      </c>
      <c r="DH40" s="45">
        <v>-4742.744757041798</v>
      </c>
      <c r="DI40" s="45">
        <v>-5790.583579096708</v>
      </c>
      <c r="DJ40" s="45">
        <v>6.55418261885643e-13</v>
      </c>
      <c r="DK40" s="45">
        <v>6.55418261885643e-13</v>
      </c>
      <c r="DL40" s="45">
        <v>48.95874266178892</v>
      </c>
      <c r="DM40" s="45">
        <v>398.07487279518773</v>
      </c>
      <c r="DN40" s="45">
        <v>1088.2677156214008</v>
      </c>
      <c r="DO40" s="45">
        <v>1510.5365828051215</v>
      </c>
      <c r="DP40" s="45">
        <v>2101.5484153383936</v>
      </c>
      <c r="DQ40" s="45">
        <v>2749.4377430247</v>
      </c>
      <c r="DR40" s="45">
        <v>3531.9462036915074</v>
      </c>
      <c r="DS40" s="45">
        <v>3818.478991956254</v>
      </c>
      <c r="DT40" s="45">
        <v>4054.3652893221397</v>
      </c>
      <c r="DU40" s="45">
        <v>4242.558651032698</v>
      </c>
      <c r="DV40" s="45">
        <v>4383.047112486704</v>
      </c>
      <c r="DW40" s="45">
        <v>4474.443861485649</v>
      </c>
      <c r="DX40" s="45">
        <v>4527.5702413239305</v>
      </c>
      <c r="DY40" s="45">
        <v>4493.2159985541775</v>
      </c>
      <c r="DZ40" s="45">
        <v>4363.961838431345</v>
      </c>
      <c r="EA40" s="45">
        <v>4190.230533072649</v>
      </c>
      <c r="EB40" s="45">
        <v>4004.820852739973</v>
      </c>
      <c r="EC40" s="45">
        <v>3649.3323807650886</v>
      </c>
      <c r="ED40" s="45">
        <v>3331.5561443328193</v>
      </c>
      <c r="EE40" s="45">
        <v>2822.7521058181446</v>
      </c>
      <c r="EF40" s="45">
        <v>2452.6782394515067</v>
      </c>
      <c r="EG40" s="45">
        <v>1735.3055891511349</v>
      </c>
      <c r="EH40" s="45">
        <v>1270.1874421876926</v>
      </c>
      <c r="EI40" s="45">
        <v>482.53332144063205</v>
      </c>
      <c r="EJ40" s="45">
        <v>0</v>
      </c>
      <c r="EK40" s="45">
        <v>-5.220063030719757e-12</v>
      </c>
      <c r="EL40" s="45">
        <v>-5.220063030719757e-12</v>
      </c>
      <c r="EM40" s="45">
        <v>-61.95350704428935</v>
      </c>
      <c r="EN40" s="45">
        <v>-493.72973406857903</v>
      </c>
      <c r="EO40" s="45">
        <v>-1280.8256893341627</v>
      </c>
      <c r="EP40" s="45">
        <v>-1753.735600841936</v>
      </c>
      <c r="EQ40" s="45">
        <v>-2419.2790081983444</v>
      </c>
      <c r="ER40" s="45">
        <v>-3138.405405880925</v>
      </c>
      <c r="ES40" s="45">
        <v>-3909.48779226513</v>
      </c>
      <c r="ET40" s="45">
        <v>-4157.3567308621805</v>
      </c>
      <c r="EU40" s="45">
        <v>-4343.592536609753</v>
      </c>
      <c r="EV40" s="45">
        <v>-4477.854362264873</v>
      </c>
      <c r="EW40" s="45">
        <v>-4579.253995022448</v>
      </c>
      <c r="EX40" s="45">
        <v>-4661.844624959833</v>
      </c>
      <c r="EY40" s="45">
        <v>-4734.991685216318</v>
      </c>
      <c r="EZ40" s="45">
        <v>-4780.965550095365</v>
      </c>
      <c r="FA40" s="45">
        <v>-4759.240788072535</v>
      </c>
      <c r="FB40" s="45">
        <v>-4691.156555134668</v>
      </c>
      <c r="FC40" s="45">
        <v>-4569.711264782977</v>
      </c>
      <c r="FD40" s="45">
        <v>-4283.560100000381</v>
      </c>
      <c r="FE40" s="45">
        <v>-4005.1082956951145</v>
      </c>
      <c r="FF40" s="45">
        <v>-3509.892327751328</v>
      </c>
      <c r="FG40" s="45">
        <v>-3054.1999012564775</v>
      </c>
      <c r="FH40" s="45">
        <v>-2185.5975663635454</v>
      </c>
      <c r="FI40" s="45">
        <v>-1599.6964030779804</v>
      </c>
      <c r="FJ40" s="45">
        <v>-615.2396010268598</v>
      </c>
      <c r="FK40" s="45">
        <v>5.960464477539062e-14</v>
      </c>
      <c r="FL40" s="46">
        <f>MAX(1,MIN(26,SUMPRODUCT(--($CI40:$DI40&gt;=Pu))))</f>
      </c>
      <c r="FM40" s="47">
        <f>(Pu-INDEX($CI40:$DI40,1,$FL40))/(INDEX($CI40:$DI40,1,$FL40+1)-INDEX($CI40:$DI40,1,$FL40))</f>
      </c>
      <c r="FN40" s="39">
        <f>INDEX($DJ40:$EJ40,1,$FL40)+$FM40*(INDEX($DJ40:$EJ40,1,$FL40+1)-INDEX($DJ40:$EJ40,1,$FL40))</f>
      </c>
      <c r="FO40" s="39">
        <f>INDEX($EK40:$FK40,1,$FL40)+$FM40*(INDEX($EK40:$FK40,1,$FL40+1)-INDEX($EK40:$FK40,1,$FL40))</f>
      </c>
      <c r="FP40" s="39">
        <f>SQRT(FN40^2+FO40^2)</f>
      </c>
      <c r="FQ40" s="20">
        <f>FN41-FN40</f>
      </c>
      <c r="FR40" s="20">
        <f>FO41-FO40</f>
      </c>
      <c r="FS40" s="20">
        <f>FQ40*SIN(RADIANS(theta_L))-FR40*COS(RADIANS(theta_L))</f>
      </c>
      <c r="FT40" s="47">
        <f>IF(FS40=0,"",-(FN40*SIN(RADIANS(theta_L))-FO40*COS(RADIANS(theta_L)))/FS40)</f>
      </c>
      <c r="FU40" s="20">
        <f>IF(FT40="","",(FN40+FT40*FQ40)*COS(RADIANS(theta_L))+(FO40+FT40*FR40)*SIN(RADIANS(theta_L)))</f>
      </c>
      <c r="FV40" s="20">
        <f>IF(OR(FT40="",FT40&lt;0,FT40&gt;1,FU40&lt;0),"",FU40)</f>
      </c>
    </row>
    <row r="41" spans="1:178" x14ac:dyDescent="0.25">
      <c r="A41">
        <v>34</v>
      </c>
      <c r="B41" s="44">
        <v>330.00000000000006</v>
      </c>
      <c r="C41" s="18">
        <v>794.6152422706632</v>
      </c>
      <c r="D41" s="18">
        <v>-658.9934640057525</v>
      </c>
      <c r="E41" s="18">
        <v>1453.6087062764157</v>
      </c>
      <c r="F41" s="16">
        <v>0.0033</v>
      </c>
      <c r="G41" s="16">
        <v>0</v>
      </c>
      <c r="H41" s="16">
        <v>0</v>
      </c>
      <c r="I41" s="16">
        <v>0.00275</v>
      </c>
      <c r="J41" s="16">
        <v>5.994271777625912e-7</v>
      </c>
      <c r="K41" s="16">
        <v>-3.460794424408094e-7</v>
      </c>
      <c r="L41" s="16">
        <v>0.0024749999999999998</v>
      </c>
      <c r="M41" s="16">
        <v>8.991407666438869e-7</v>
      </c>
      <c r="N41" s="16">
        <v>-5.191191636612141e-7</v>
      </c>
      <c r="O41" s="16">
        <v>0.0022</v>
      </c>
      <c r="P41" s="16">
        <v>0.0000011988543555251824</v>
      </c>
      <c r="Q41" s="16">
        <v>-6.921588848816188e-7</v>
      </c>
      <c r="R41" s="16">
        <v>0.001925</v>
      </c>
      <c r="S41" s="16">
        <v>0.000001498567944406478</v>
      </c>
      <c r="T41" s="16">
        <v>-8.651986061020235e-7</v>
      </c>
      <c r="U41" s="16">
        <v>0.0018000000000000002</v>
      </c>
      <c r="V41" s="16">
        <v>0.000001634801393897976</v>
      </c>
      <c r="W41" s="16">
        <v>-9.43853024838571e-7</v>
      </c>
      <c r="X41" s="16">
        <v>0.00165</v>
      </c>
      <c r="Y41" s="16">
        <v>0.0000017982815332877738</v>
      </c>
      <c r="Z41" s="16">
        <v>-0.0000010382383273224283</v>
      </c>
      <c r="AA41" s="16">
        <v>0.0014960549024157057</v>
      </c>
      <c r="AB41" s="16">
        <v>0.0000019660613066974835</v>
      </c>
      <c r="AC41" s="16">
        <v>-0.0000011351060246650983</v>
      </c>
      <c r="AD41" s="16">
        <v>0.0012227298876302064</v>
      </c>
      <c r="AE41" s="16">
        <v>0.0000022639493834698294</v>
      </c>
      <c r="AF41" s="16">
        <v>-0.0000013070917859779922</v>
      </c>
      <c r="AG41" s="16">
        <v>0.001086067380237457</v>
      </c>
      <c r="AH41" s="16">
        <v>0.000002412893421856002</v>
      </c>
      <c r="AI41" s="16">
        <v>-0.000001393084666634439</v>
      </c>
      <c r="AJ41" s="16">
        <v>0.0009494048728447071</v>
      </c>
      <c r="AK41" s="16">
        <v>0.0000025618374602421753</v>
      </c>
      <c r="AL41" s="16">
        <v>-0.0000014790775472908859</v>
      </c>
      <c r="AM41" s="16">
        <v>0.0008127423654519577</v>
      </c>
      <c r="AN41" s="16">
        <v>0.0000027107814986283485</v>
      </c>
      <c r="AO41" s="16">
        <v>-0.0000015650704279473327</v>
      </c>
      <c r="AP41" s="16">
        <v>0.0006760798580592079</v>
      </c>
      <c r="AQ41" s="16">
        <v>0.0000028597255370145216</v>
      </c>
      <c r="AR41" s="16">
        <v>-0.0000016510633086037797</v>
      </c>
      <c r="AS41" s="16">
        <v>0.0005394173506664589</v>
      </c>
      <c r="AT41" s="16">
        <v>0.000003008669575400694</v>
      </c>
      <c r="AU41" s="16">
        <v>-0.0000017370561892602264</v>
      </c>
      <c r="AV41" s="16">
        <v>0.00040275484327370907</v>
      </c>
      <c r="AW41" s="16">
        <v>0.000003157613613786867</v>
      </c>
      <c r="AX41" s="16">
        <v>-0.0000018230490699166732</v>
      </c>
      <c r="AY41" s="16">
        <v>0.00012942982848821024</v>
      </c>
      <c r="AZ41" s="16">
        <v>0.000003455501690559213</v>
      </c>
      <c r="BA41" s="16">
        <v>-0.000001995034831229567</v>
      </c>
      <c r="BB41" s="16">
        <v>-0.00014389518629728945</v>
      </c>
      <c r="BC41" s="16">
        <v>0.0000037533897673315594</v>
      </c>
      <c r="BD41" s="16">
        <v>-0.000002167020592542461</v>
      </c>
      <c r="BE41" s="16">
        <v>-0.0004172202010827887</v>
      </c>
      <c r="BF41" s="16">
        <v>0.000004051277844103905</v>
      </c>
      <c r="BG41" s="16">
        <v>-0.0000023390063538553542</v>
      </c>
      <c r="BH41" s="16">
        <v>-0.0006905452158682875</v>
      </c>
      <c r="BI41" s="16">
        <v>0.000004349165920876251</v>
      </c>
      <c r="BJ41" s="16">
        <v>-0.000002510992115168248</v>
      </c>
      <c r="BK41" s="16">
        <v>-0.001237195245439286</v>
      </c>
      <c r="BL41" s="16">
        <v>0.000004944942074420943</v>
      </c>
      <c r="BM41" s="16">
        <v>-0.0000028549636377940357</v>
      </c>
      <c r="BN41" s="16">
        <v>-0.0017838452750102837</v>
      </c>
      <c r="BO41" s="16">
        <v>0.000005540718227965635</v>
      </c>
      <c r="BP41" s="16">
        <v>-0.0000031989351604198226</v>
      </c>
      <c r="BQ41" s="16">
        <v>-0.0028771453341522807</v>
      </c>
      <c r="BR41" s="16">
        <v>0.000006732270535055019</v>
      </c>
      <c r="BS41" s="16">
        <v>-0.000003886878205671398</v>
      </c>
      <c r="BT41" s="16">
        <v>-0.003970445393294277</v>
      </c>
      <c r="BU41" s="16">
        <v>0.000007923822842144402</v>
      </c>
      <c r="BV41" s="16">
        <v>-0.000004574821250922972</v>
      </c>
      <c r="BW41" s="16">
        <v>-0.006703695541149268</v>
      </c>
      <c r="BX41" s="16">
        <v>0.000010902703609867862</v>
      </c>
      <c r="BY41" s="16">
        <v>-0.000006294678864051909</v>
      </c>
      <c r="BZ41" s="16">
        <v>-0.009436945689004262</v>
      </c>
      <c r="CA41" s="16">
        <v>0.000013881584377591322</v>
      </c>
      <c r="CB41" s="16">
        <v>-0.000008014536477180847</v>
      </c>
      <c r="CC41" s="16">
        <v>-0.020369946280424225</v>
      </c>
      <c r="CD41" s="16">
        <v>0.000025797107448485158</v>
      </c>
      <c r="CE41" s="16">
        <v>-0.000014893966929696594</v>
      </c>
      <c r="CF41" s="16">
        <v>-0.05</v>
      </c>
      <c r="CG41" s="16">
        <v>0</v>
      </c>
      <c r="CH41" s="16">
        <v>0</v>
      </c>
      <c r="CI41" s="45">
        <v>33981.43387592912</v>
      </c>
      <c r="CJ41" s="45">
        <v>33981.43387592912</v>
      </c>
      <c r="CK41" s="45">
        <v>33876.031355448366</v>
      </c>
      <c r="CL41" s="45">
        <v>32906.01017364879</v>
      </c>
      <c r="CM41" s="45">
        <v>30851.919282869218</v>
      </c>
      <c r="CN41" s="45">
        <v>29530.368669951364</v>
      </c>
      <c r="CO41" s="45">
        <v>27606.29182834962</v>
      </c>
      <c r="CP41" s="45">
        <v>25381.091793473508</v>
      </c>
      <c r="CQ41" s="45">
        <v>21708.014888095622</v>
      </c>
      <c r="CR41" s="45">
        <v>20028.856901347426</v>
      </c>
      <c r="CS41" s="45">
        <v>18459.43266837633</v>
      </c>
      <c r="CT41" s="45">
        <v>17009.40345199579</v>
      </c>
      <c r="CU41" s="45">
        <v>15697.549819149835</v>
      </c>
      <c r="CV41" s="45">
        <v>14510.15417895921</v>
      </c>
      <c r="CW41" s="45">
        <v>13398.360174703597</v>
      </c>
      <c r="CX41" s="45">
        <v>11482.272302138887</v>
      </c>
      <c r="CY41" s="45">
        <v>9856.233004162146</v>
      </c>
      <c r="CZ41" s="45">
        <v>8505.515550852304</v>
      </c>
      <c r="DA41" s="45">
        <v>7313.559394457703</v>
      </c>
      <c r="DB41" s="45">
        <v>5443.634353254709</v>
      </c>
      <c r="DC41" s="45">
        <v>3997.4630745937443</v>
      </c>
      <c r="DD41" s="45">
        <v>1948.2656288286419</v>
      </c>
      <c r="DE41" s="45">
        <v>510.4116643759729</v>
      </c>
      <c r="DF41" s="45">
        <v>-1810.583265463571</v>
      </c>
      <c r="DG41" s="45">
        <v>-3142.764424623504</v>
      </c>
      <c r="DH41" s="45">
        <v>-5041.423983406865</v>
      </c>
      <c r="DI41" s="45">
        <v>-5790.583579096708</v>
      </c>
      <c r="DJ41" s="45">
        <v>6.55418261885643e-13</v>
      </c>
      <c r="DK41" s="45">
        <v>6.55418261885643e-13</v>
      </c>
      <c r="DL41" s="45">
        <v>48.82713843739282</v>
      </c>
      <c r="DM41" s="45">
        <v>451.6155111144447</v>
      </c>
      <c r="DN41" s="45">
        <v>1225.0725364398352</v>
      </c>
      <c r="DO41" s="45">
        <v>1702.448852784374</v>
      </c>
      <c r="DP41" s="45">
        <v>2381.689061196726</v>
      </c>
      <c r="DQ41" s="45">
        <v>3126.9328268338236</v>
      </c>
      <c r="DR41" s="45">
        <v>4145.241642415056</v>
      </c>
      <c r="DS41" s="45">
        <v>4521.877258530331</v>
      </c>
      <c r="DT41" s="45">
        <v>4823.92249910161</v>
      </c>
      <c r="DU41" s="45">
        <v>5045.597745637783</v>
      </c>
      <c r="DV41" s="45">
        <v>5194.349753502199</v>
      </c>
      <c r="DW41" s="45">
        <v>5287.446762186264</v>
      </c>
      <c r="DX41" s="45">
        <v>5345.51860924454</v>
      </c>
      <c r="DY41" s="45">
        <v>5332.405781407123</v>
      </c>
      <c r="DZ41" s="45">
        <v>5210.828498784743</v>
      </c>
      <c r="EA41" s="45">
        <v>5022.723728656769</v>
      </c>
      <c r="EB41" s="45">
        <v>4796.099720561125</v>
      </c>
      <c r="EC41" s="45">
        <v>4296.013810333422</v>
      </c>
      <c r="ED41" s="45">
        <v>3874.856017487694</v>
      </c>
      <c r="EE41" s="45">
        <v>3245.8622164735375</v>
      </c>
      <c r="EF41" s="45">
        <v>2732.0356568630677</v>
      </c>
      <c r="EG41" s="45">
        <v>1812.9207353365773</v>
      </c>
      <c r="EH41" s="45">
        <v>1251.3561331522035</v>
      </c>
      <c r="EI41" s="45">
        <v>391.2390804906461</v>
      </c>
      <c r="EJ41" s="45">
        <v>0</v>
      </c>
      <c r="EK41" s="45">
        <v>-5.220063030719757e-12</v>
      </c>
      <c r="EL41" s="45">
        <v>-5.220063030719757e-12</v>
      </c>
      <c r="EM41" s="45">
        <v>-49.00897828459445</v>
      </c>
      <c r="EN41" s="45">
        <v>-395.30423681634954</v>
      </c>
      <c r="EO41" s="45">
        <v>-1044.9453218525268</v>
      </c>
      <c r="EP41" s="45">
        <v>-1429.38745766985</v>
      </c>
      <c r="EQ41" s="45">
        <v>-1956.4283592695217</v>
      </c>
      <c r="ER41" s="45">
        <v>-2508.578263704938</v>
      </c>
      <c r="ES41" s="45">
        <v>-3072.176158346998</v>
      </c>
      <c r="ET41" s="45">
        <v>-3217.3768555057195</v>
      </c>
      <c r="EU41" s="45">
        <v>-3317.9653296761953</v>
      </c>
      <c r="EV41" s="45">
        <v>-3398.132967413442</v>
      </c>
      <c r="EW41" s="45">
        <v>-3475.6414972391362</v>
      </c>
      <c r="EX41" s="45">
        <v>-3553.6743240287697</v>
      </c>
      <c r="EY41" s="45">
        <v>-3624.5755958886098</v>
      </c>
      <c r="EZ41" s="45">
        <v>-3683.1511373757494</v>
      </c>
      <c r="FA41" s="45">
        <v>-3694.968216280413</v>
      </c>
      <c r="FB41" s="45">
        <v>-3660.1670537064524</v>
      </c>
      <c r="FC41" s="45">
        <v>-3632.6139086551398</v>
      </c>
      <c r="FD41" s="45">
        <v>-3538.4099581076616</v>
      </c>
      <c r="FE41" s="45">
        <v>-3370.2383446802182</v>
      </c>
      <c r="FF41" s="45">
        <v>-2926.1545485100287</v>
      </c>
      <c r="FG41" s="45">
        <v>-2575.7523362428715</v>
      </c>
      <c r="FH41" s="45">
        <v>-1852.1643985580515</v>
      </c>
      <c r="FI41" s="45">
        <v>-1315.4073381259468</v>
      </c>
      <c r="FJ41" s="45">
        <v>-390.6361079849347</v>
      </c>
      <c r="FK41" s="45">
        <v>5.960464477539062e-14</v>
      </c>
      <c r="FL41" s="46">
        <f>MAX(1,MIN(26,SUMPRODUCT(--($CI41:$DI41&gt;=Pu))))</f>
      </c>
      <c r="FM41" s="47">
        <f>(Pu-INDEX($CI41:$DI41,1,$FL41))/(INDEX($CI41:$DI41,1,$FL41+1)-INDEX($CI41:$DI41,1,$FL41))</f>
      </c>
      <c r="FN41" s="39">
        <f>INDEX($DJ41:$EJ41,1,$FL41)+$FM41*(INDEX($DJ41:$EJ41,1,$FL41+1)-INDEX($DJ41:$EJ41,1,$FL41))</f>
      </c>
      <c r="FO41" s="39">
        <f>INDEX($EK41:$FK41,1,$FL41)+$FM41*(INDEX($EK41:$FK41,1,$FL41+1)-INDEX($EK41:$FK41,1,$FL41))</f>
      </c>
      <c r="FP41" s="39">
        <f>SQRT(FN41^2+FO41^2)</f>
      </c>
      <c r="FQ41" s="20">
        <f>FN42-FN41</f>
      </c>
      <c r="FR41" s="20">
        <f>FO42-FO41</f>
      </c>
      <c r="FS41" s="20">
        <f>FQ41*SIN(RADIANS(theta_L))-FR41*COS(RADIANS(theta_L))</f>
      </c>
      <c r="FT41" s="47">
        <f>IF(FS41=0,"",-(FN41*SIN(RADIANS(theta_L))-FO41*COS(RADIANS(theta_L)))/FS41)</f>
      </c>
      <c r="FU41" s="20">
        <f>IF(FT41="","",(FN41+FT41*FQ41)*COS(RADIANS(theta_L))+(FO41+FT41*FR41)*SIN(RADIANS(theta_L)))</f>
      </c>
      <c r="FV41" s="20">
        <f>IF(OR(FT41="",FT41&lt;0,FT41&gt;1,FU41&lt;0),"",FU41)</f>
      </c>
    </row>
    <row r="42" spans="1:178" x14ac:dyDescent="0.25">
      <c r="A42">
        <v>35</v>
      </c>
      <c r="B42" s="44">
        <v>340</v>
      </c>
      <c r="C42" s="18">
        <v>751.9266513006628</v>
      </c>
      <c r="D42" s="18">
        <v>-634.8451463467989</v>
      </c>
      <c r="E42" s="18">
        <v>1386.7717976474617</v>
      </c>
      <c r="F42" s="16">
        <v>0.0033</v>
      </c>
      <c r="G42" s="16">
        <v>0</v>
      </c>
      <c r="H42" s="16">
        <v>0</v>
      </c>
      <c r="I42" s="16">
        <v>0.00275</v>
      </c>
      <c r="J42" s="16">
        <v>6.873422301739792e-7</v>
      </c>
      <c r="K42" s="16">
        <v>-2.5017211253747714e-7</v>
      </c>
      <c r="L42" s="16">
        <v>0.0024749999999999998</v>
      </c>
      <c r="M42" s="16">
        <v>0.000001031013345260969</v>
      </c>
      <c r="N42" s="16">
        <v>-3.7525816880621566e-7</v>
      </c>
      <c r="O42" s="16">
        <v>0.0021999999999999997</v>
      </c>
      <c r="P42" s="16">
        <v>0.0000013746844603479585</v>
      </c>
      <c r="Q42" s="16">
        <v>-5.003442250749543e-7</v>
      </c>
      <c r="R42" s="16">
        <v>0.0019249999999999998</v>
      </c>
      <c r="S42" s="16">
        <v>0.0000017183555754349485</v>
      </c>
      <c r="T42" s="16">
        <v>-6.254302813436929e-7</v>
      </c>
      <c r="U42" s="16">
        <v>0.0018000000000000002</v>
      </c>
      <c r="V42" s="16">
        <v>0.000001874569718656307</v>
      </c>
      <c r="W42" s="16">
        <v>-6.822875796476649e-7</v>
      </c>
      <c r="X42" s="16">
        <v>0.00165</v>
      </c>
      <c r="Y42" s="16">
        <v>0.000002062026690521938</v>
      </c>
      <c r="Z42" s="16">
        <v>-7.505163376124313e-7</v>
      </c>
      <c r="AA42" s="16">
        <v>0.0015106948284486343</v>
      </c>
      <c r="AB42" s="16">
        <v>0.000002236118194683546</v>
      </c>
      <c r="AC42" s="16">
        <v>-8.138804631658874e-7</v>
      </c>
      <c r="AD42" s="16">
        <v>0.0012395879842741846</v>
      </c>
      <c r="AE42" s="16">
        <v>0.0000025749239817568106</v>
      </c>
      <c r="AF42" s="16">
        <v>-9.371956848576885e-7</v>
      </c>
      <c r="AG42" s="16">
        <v>0.0011040345621869604</v>
      </c>
      <c r="AH42" s="16">
        <v>0.0000027443268752934426</v>
      </c>
      <c r="AI42" s="16">
        <v>-9.98853295703589e-7</v>
      </c>
      <c r="AJ42" s="16">
        <v>0.0009684811400997358</v>
      </c>
      <c r="AK42" s="16">
        <v>0.000002913729768830075</v>
      </c>
      <c r="AL42" s="16">
        <v>-0.0000010605109065494896</v>
      </c>
      <c r="AM42" s="16">
        <v>0.0008329277180125108</v>
      </c>
      <c r="AN42" s="16">
        <v>0.0000030831326623667075</v>
      </c>
      <c r="AO42" s="16">
        <v>-0.0000011221685173953902</v>
      </c>
      <c r="AP42" s="16">
        <v>0.0006973742959252857</v>
      </c>
      <c r="AQ42" s="16">
        <v>0.0000032525355559033404</v>
      </c>
      <c r="AR42" s="16">
        <v>-0.000001183826128241291</v>
      </c>
      <c r="AS42" s="16">
        <v>0.0005618208738380616</v>
      </c>
      <c r="AT42" s="16">
        <v>0.0000034219384494399716</v>
      </c>
      <c r="AU42" s="16">
        <v>-0.0000012454837390871912</v>
      </c>
      <c r="AV42" s="16">
        <v>0.00042626745175083653</v>
      </c>
      <c r="AW42" s="16">
        <v>0.0000035913413429766045</v>
      </c>
      <c r="AX42" s="16">
        <v>-0.000001307141349933092</v>
      </c>
      <c r="AY42" s="16">
        <v>0.00015516060757638775</v>
      </c>
      <c r="AZ42" s="16">
        <v>0.000003930147130049869</v>
      </c>
      <c r="BA42" s="16">
        <v>-0.0000014304565716248929</v>
      </c>
      <c r="BB42" s="16">
        <v>-0.0001159462365980619</v>
      </c>
      <c r="BC42" s="16">
        <v>0.0000042689529171231335</v>
      </c>
      <c r="BD42" s="16">
        <v>-0.000001553771793316694</v>
      </c>
      <c r="BE42" s="16">
        <v>-0.00038705308077251156</v>
      </c>
      <c r="BF42" s="16">
        <v>0.0000046077587041963984</v>
      </c>
      <c r="BG42" s="16">
        <v>-0.0000016770870150084953</v>
      </c>
      <c r="BH42" s="16">
        <v>-0.0006581599249469612</v>
      </c>
      <c r="BI42" s="16">
        <v>0.0000049465644912696625</v>
      </c>
      <c r="BJ42" s="16">
        <v>-0.0000018004022367002966</v>
      </c>
      <c r="BK42" s="16">
        <v>-0.0012003736132958596</v>
      </c>
      <c r="BL42" s="16">
        <v>0.0000056241760654161915</v>
      </c>
      <c r="BM42" s="16">
        <v>-0.0000020470326800838986</v>
      </c>
      <c r="BN42" s="16">
        <v>-0.001742587301644758</v>
      </c>
      <c r="BO42" s="16">
        <v>0.0000063017876395627205</v>
      </c>
      <c r="BP42" s="16">
        <v>-0.0000022936631234675007</v>
      </c>
      <c r="BQ42" s="16">
        <v>-0.002827014678342556</v>
      </c>
      <c r="BR42" s="16">
        <v>0.00000765701078785578</v>
      </c>
      <c r="BS42" s="16">
        <v>-0.0000027869240102347056</v>
      </c>
      <c r="BT42" s="16">
        <v>-0.003911442055040353</v>
      </c>
      <c r="BU42" s="16">
        <v>0.000009012233936148837</v>
      </c>
      <c r="BV42" s="16">
        <v>-0.0000032801848970019098</v>
      </c>
      <c r="BW42" s="16">
        <v>-0.006622510496784847</v>
      </c>
      <c r="BX42" s="16">
        <v>0.000012400291806881482</v>
      </c>
      <c r="BY42" s="16">
        <v>-0.000004513337113919921</v>
      </c>
      <c r="BZ42" s="16">
        <v>-0.00933357893852934</v>
      </c>
      <c r="CA42" s="16">
        <v>0.00001578834967761413</v>
      </c>
      <c r="CB42" s="16">
        <v>-0.0000057464893308379324</v>
      </c>
      <c r="CC42" s="16">
        <v>-0.020177852705507312</v>
      </c>
      <c r="CD42" s="16">
        <v>0.000029340581160544707</v>
      </c>
      <c r="CE42" s="16">
        <v>-0.000010679098198509976</v>
      </c>
      <c r="CF42" s="16">
        <v>-0.05</v>
      </c>
      <c r="CG42" s="16">
        <v>0</v>
      </c>
      <c r="CH42" s="16">
        <v>0</v>
      </c>
      <c r="CI42" s="45">
        <v>33981.43387592912</v>
      </c>
      <c r="CJ42" s="45">
        <v>33981.43387592912</v>
      </c>
      <c r="CK42" s="45">
        <v>33866.462449571845</v>
      </c>
      <c r="CL42" s="45">
        <v>32846.24051813572</v>
      </c>
      <c r="CM42" s="45">
        <v>30697.22138623459</v>
      </c>
      <c r="CN42" s="45">
        <v>29309.60161574372</v>
      </c>
      <c r="CO42" s="45">
        <v>27300.76604184358</v>
      </c>
      <c r="CP42" s="45">
        <v>25172.84514837413</v>
      </c>
      <c r="CQ42" s="45">
        <v>21359.511500554156</v>
      </c>
      <c r="CR42" s="45">
        <v>19729.877423616505</v>
      </c>
      <c r="CS42" s="45">
        <v>18286.572869684198</v>
      </c>
      <c r="CT42" s="45">
        <v>17004.568780540507</v>
      </c>
      <c r="CU42" s="45">
        <v>15840.232042761949</v>
      </c>
      <c r="CV42" s="45">
        <v>14758.050396490882</v>
      </c>
      <c r="CW42" s="45">
        <v>13739.115763317328</v>
      </c>
      <c r="CX42" s="45">
        <v>11969.564494169768</v>
      </c>
      <c r="CY42" s="45">
        <v>10538.175888246264</v>
      </c>
      <c r="CZ42" s="45">
        <v>9326.472625762444</v>
      </c>
      <c r="DA42" s="45">
        <v>8305.131303568824</v>
      </c>
      <c r="DB42" s="45">
        <v>6451.546971269042</v>
      </c>
      <c r="DC42" s="45">
        <v>4913.494843753261</v>
      </c>
      <c r="DD42" s="45">
        <v>2613.0866190504244</v>
      </c>
      <c r="DE42" s="45">
        <v>1065.0604405110018</v>
      </c>
      <c r="DF42" s="45">
        <v>-1526.3484629635284</v>
      </c>
      <c r="DG42" s="45">
        <v>-3014.367162179323</v>
      </c>
      <c r="DH42" s="45">
        <v>-5065.202716459819</v>
      </c>
      <c r="DI42" s="45">
        <v>-5790.583579096708</v>
      </c>
      <c r="DJ42" s="45">
        <v>6.55418261885643e-13</v>
      </c>
      <c r="DK42" s="45">
        <v>6.55418261885643e-13</v>
      </c>
      <c r="DL42" s="45">
        <v>56.918512074112286</v>
      </c>
      <c r="DM42" s="45">
        <v>522.0519093728911</v>
      </c>
      <c r="DN42" s="45">
        <v>1409.5710273188133</v>
      </c>
      <c r="DO42" s="45">
        <v>1952.5933142978834</v>
      </c>
      <c r="DP42" s="45">
        <v>2720.3212506716686</v>
      </c>
      <c r="DQ42" s="45">
        <v>3501.722133408528</v>
      </c>
      <c r="DR42" s="45">
        <v>4715.6061135531245</v>
      </c>
      <c r="DS42" s="45">
        <v>5138.526469649722</v>
      </c>
      <c r="DT42" s="45">
        <v>5448.771851441808</v>
      </c>
      <c r="DU42" s="45">
        <v>5665.702795068251</v>
      </c>
      <c r="DV42" s="45">
        <v>5816.506461502521</v>
      </c>
      <c r="DW42" s="45">
        <v>5927.255824362247</v>
      </c>
      <c r="DX42" s="45">
        <v>6009.9061168036205</v>
      </c>
      <c r="DY42" s="45">
        <v>6051.201032693487</v>
      </c>
      <c r="DZ42" s="45">
        <v>5958.033816685864</v>
      </c>
      <c r="EA42" s="45">
        <v>5787.246884664996</v>
      </c>
      <c r="EB42" s="45">
        <v>5570.623197118064</v>
      </c>
      <c r="EC42" s="45">
        <v>5112.077780237947</v>
      </c>
      <c r="ED42" s="45">
        <v>4662.049581172815</v>
      </c>
      <c r="EE42" s="45">
        <v>3839.6989436190997</v>
      </c>
      <c r="EF42" s="45">
        <v>3221.5603821993077</v>
      </c>
      <c r="EG42" s="45">
        <v>2097.635189429109</v>
      </c>
      <c r="EH42" s="45">
        <v>1395.9728918525682</v>
      </c>
      <c r="EI42" s="45">
        <v>393.4412622165588</v>
      </c>
      <c r="EJ42" s="45">
        <v>0</v>
      </c>
      <c r="EK42" s="45">
        <v>-5.220063030719757e-12</v>
      </c>
      <c r="EL42" s="45">
        <v>-5.220063030719757e-12</v>
      </c>
      <c r="EM42" s="45">
        <v>-42.24733086650739</v>
      </c>
      <c r="EN42" s="45">
        <v>-301.81168557579645</v>
      </c>
      <c r="EO42" s="45">
        <v>-778.5011212975776</v>
      </c>
      <c r="EP42" s="45">
        <v>-1063.1979570273909</v>
      </c>
      <c r="EQ42" s="45">
        <v>-1453.9435102259245</v>
      </c>
      <c r="ER42" s="45">
        <v>-1817.9398615895377</v>
      </c>
      <c r="ES42" s="45">
        <v>-2144.4901681486863</v>
      </c>
      <c r="ET42" s="45">
        <v>-2187.4842520032043</v>
      </c>
      <c r="EU42" s="45">
        <v>-2219.89378758982</v>
      </c>
      <c r="EV42" s="45">
        <v>-2258.8583972526517</v>
      </c>
      <c r="EW42" s="45">
        <v>-2306.8503659633184</v>
      </c>
      <c r="EX42" s="45">
        <v>-2355.944485340574</v>
      </c>
      <c r="EY42" s="45">
        <v>-2407.727252314516</v>
      </c>
      <c r="EZ42" s="45">
        <v>-2478.576807959541</v>
      </c>
      <c r="FA42" s="45">
        <v>-2492.832755606079</v>
      </c>
      <c r="FB42" s="45">
        <v>-2530.3705674830726</v>
      </c>
      <c r="FC42" s="45">
        <v>-2546.7047631262626</v>
      </c>
      <c r="FD42" s="45">
        <v>-2545.6664652340955</v>
      </c>
      <c r="FE42" s="45">
        <v>-2476.108465398265</v>
      </c>
      <c r="FF42" s="45">
        <v>-2329.3154270514096</v>
      </c>
      <c r="FG42" s="45">
        <v>-2095.837159637727</v>
      </c>
      <c r="FH42" s="45">
        <v>-1555.8668449423838</v>
      </c>
      <c r="FI42" s="45">
        <v>-1143.0528514639493</v>
      </c>
      <c r="FJ42" s="45">
        <v>-342.79929373818527</v>
      </c>
      <c r="FK42" s="45">
        <v>5.960464477539062e-14</v>
      </c>
      <c r="FL42" s="46">
        <f>MAX(1,MIN(26,SUMPRODUCT(--($CI42:$DI42&gt;=Pu))))</f>
      </c>
      <c r="FM42" s="47">
        <f>(Pu-INDEX($CI42:$DI42,1,$FL42))/(INDEX($CI42:$DI42,1,$FL42+1)-INDEX($CI42:$DI42,1,$FL42))</f>
      </c>
      <c r="FN42" s="39">
        <f>INDEX($DJ42:$EJ42,1,$FL42)+$FM42*(INDEX($DJ42:$EJ42,1,$FL42+1)-INDEX($DJ42:$EJ42,1,$FL42))</f>
      </c>
      <c r="FO42" s="39">
        <f>INDEX($EK42:$FK42,1,$FL42)+$FM42*(INDEX($EK42:$FK42,1,$FL42+1)-INDEX($EK42:$FK42,1,$FL42))</f>
      </c>
      <c r="FP42" s="39">
        <f>SQRT(FN42^2+FO42^2)</f>
      </c>
      <c r="FQ42" s="20">
        <f>FN43-FN42</f>
      </c>
      <c r="FR42" s="20">
        <f>FO43-FO42</f>
      </c>
      <c r="FS42" s="20">
        <f>FQ42*SIN(RADIANS(theta_L))-FR42*COS(RADIANS(theta_L))</f>
      </c>
      <c r="FT42" s="47">
        <f>IF(FS42=0,"",-(FN42*SIN(RADIANS(theta_L))-FO42*COS(RADIANS(theta_L)))/FS42)</f>
      </c>
      <c r="FU42" s="20">
        <f>IF(FT42="","",(FN42+FT42*FQ42)*COS(RADIANS(theta_L))+(FO42+FT42*FR42)*SIN(RADIANS(theta_L)))</f>
      </c>
      <c r="FV42" s="20">
        <f>IF(OR(FT42="",FT42&lt;0,FT42&gt;1,FU42&lt;0),"",FU42)</f>
      </c>
    </row>
    <row r="43" spans="1:178" x14ac:dyDescent="0.25">
      <c r="A43">
        <v>36</v>
      </c>
      <c r="B43" s="44">
        <v>350.00000000000006</v>
      </c>
      <c r="C43" s="18">
        <v>686.3911495241365</v>
      </c>
      <c r="D43" s="18">
        <v>-591.4073801632425</v>
      </c>
      <c r="E43" s="18">
        <v>1277.798529687379</v>
      </c>
      <c r="F43" s="16">
        <v>0.0033</v>
      </c>
      <c r="G43" s="16">
        <v>0</v>
      </c>
      <c r="H43" s="16">
        <v>0</v>
      </c>
      <c r="I43" s="16">
        <v>0.00275</v>
      </c>
      <c r="J43" s="16">
        <v>7.891189513912399e-7</v>
      </c>
      <c r="K43" s="16">
        <v>-1.391429621186473e-7</v>
      </c>
      <c r="L43" s="16">
        <v>0.0024749999999999998</v>
      </c>
      <c r="M43" s="16">
        <v>0.00000118367842708686</v>
      </c>
      <c r="N43" s="16">
        <v>-2.0871444317797098e-7</v>
      </c>
      <c r="O43" s="16">
        <v>0.0022</v>
      </c>
      <c r="P43" s="16">
        <v>0.0000015782379027824798</v>
      </c>
      <c r="Q43" s="16">
        <v>-2.782859242372946e-7</v>
      </c>
      <c r="R43" s="16">
        <v>0.001925</v>
      </c>
      <c r="S43" s="16">
        <v>0.0000019727973784780997</v>
      </c>
      <c r="T43" s="16">
        <v>-3.478574052966183e-7</v>
      </c>
      <c r="U43" s="16">
        <v>0.0018000000000000002</v>
      </c>
      <c r="V43" s="16">
        <v>0.0000021521425947033815</v>
      </c>
      <c r="W43" s="16">
        <v>-3.79480805778129e-7</v>
      </c>
      <c r="X43" s="16">
        <v>0.00165</v>
      </c>
      <c r="Y43" s="16">
        <v>0.00000236735685417372</v>
      </c>
      <c r="Z43" s="16">
        <v>-4.1742888635594197e-7</v>
      </c>
      <c r="AA43" s="16">
        <v>0.0015273490375796422</v>
      </c>
      <c r="AB43" s="16">
        <v>0.000002543331761177864</v>
      </c>
      <c r="AC43" s="16">
        <v>-4.4845801038843556e-7</v>
      </c>
      <c r="AD43" s="16">
        <v>0.0012587655584250425</v>
      </c>
      <c r="AE43" s="16">
        <v>0.000002928685058326025</v>
      </c>
      <c r="AF43" s="16">
        <v>-5.164061937806228e-7</v>
      </c>
      <c r="AG43" s="16">
        <v>0.001124473818847743</v>
      </c>
      <c r="AH43" s="16">
        <v>0.000003121361706900105</v>
      </c>
      <c r="AI43" s="16">
        <v>-5.503802854767163e-7</v>
      </c>
      <c r="AJ43" s="16">
        <v>0.0009901820792704427</v>
      </c>
      <c r="AK43" s="16">
        <v>0.0000033140383554741863</v>
      </c>
      <c r="AL43" s="16">
        <v>-5.8435437717281e-7</v>
      </c>
      <c r="AM43" s="16">
        <v>0.0008558903396931427</v>
      </c>
      <c r="AN43" s="16">
        <v>0.000003506715004048267</v>
      </c>
      <c r="AO43" s="16">
        <v>-6.183284688689037e-7</v>
      </c>
      <c r="AP43" s="16">
        <v>0.0007215986001158428</v>
      </c>
      <c r="AQ43" s="16">
        <v>0.0000036993916526223476</v>
      </c>
      <c r="AR43" s="16">
        <v>-6.523025605649972e-7</v>
      </c>
      <c r="AS43" s="16">
        <v>0.0005873068605385437</v>
      </c>
      <c r="AT43" s="16">
        <v>0.0000038920683011964274</v>
      </c>
      <c r="AU43" s="16">
        <v>-6.862766522610907e-7</v>
      </c>
      <c r="AV43" s="16">
        <v>0.0004530151209612434</v>
      </c>
      <c r="AW43" s="16">
        <v>0.000004084744949770509</v>
      </c>
      <c r="AX43" s="16">
        <v>-7.202507439571843e-7</v>
      </c>
      <c r="AY43" s="16">
        <v>0.00018443164180664395</v>
      </c>
      <c r="AZ43" s="16">
        <v>0.0000044700982469186695</v>
      </c>
      <c r="BA43" s="16">
        <v>-7.881989273493716e-7</v>
      </c>
      <c r="BB43" s="16">
        <v>-0.00008415183734795592</v>
      </c>
      <c r="BC43" s="16">
        <v>0.000004855451544066831</v>
      </c>
      <c r="BD43" s="16">
        <v>-8.561471107415589e-7</v>
      </c>
      <c r="BE43" s="16">
        <v>-0.0003527353165025558</v>
      </c>
      <c r="BF43" s="16">
        <v>0.000005240804841214992</v>
      </c>
      <c r="BG43" s="16">
        <v>-9.24095294133746e-7</v>
      </c>
      <c r="BH43" s="16">
        <v>-0.0006213187956571557</v>
      </c>
      <c r="BI43" s="16">
        <v>0.0000056261581383631535</v>
      </c>
      <c r="BJ43" s="16">
        <v>-9.920434775259332e-7</v>
      </c>
      <c r="BK43" s="16">
        <v>-0.0011584857539663545</v>
      </c>
      <c r="BL43" s="16">
        <v>0.000006396864732659475</v>
      </c>
      <c r="BM43" s="16">
        <v>-0.0000011279398443103075</v>
      </c>
      <c r="BN43" s="16">
        <v>-0.0016956527122755534</v>
      </c>
      <c r="BO43" s="16">
        <v>0.000007167571326955797</v>
      </c>
      <c r="BP43" s="16">
        <v>-0.0000012638362110946818</v>
      </c>
      <c r="BQ43" s="16">
        <v>-0.002769986628893953</v>
      </c>
      <c r="BR43" s="16">
        <v>0.000008708984515548443</v>
      </c>
      <c r="BS43" s="16">
        <v>-0.000001535628944663431</v>
      </c>
      <c r="BT43" s="16">
        <v>-0.0038443205455123515</v>
      </c>
      <c r="BU43" s="16">
        <v>0.000010250397704141087</v>
      </c>
      <c r="BV43" s="16">
        <v>-0.0000018074216782321797</v>
      </c>
      <c r="BW43" s="16">
        <v>-0.006530155337058348</v>
      </c>
      <c r="BX43" s="16">
        <v>0.0000141039306756227</v>
      </c>
      <c r="BY43" s="16">
        <v>-0.000002486903512154052</v>
      </c>
      <c r="BZ43" s="16">
        <v>-0.009215990128604346</v>
      </c>
      <c r="CA43" s="16">
        <v>0.000017957463647104312</v>
      </c>
      <c r="CB43" s="16">
        <v>-0.000003166385346075924</v>
      </c>
      <c r="CC43" s="16">
        <v>-0.019959329294788327</v>
      </c>
      <c r="CD43" s="16">
        <v>0.000033371595533030756</v>
      </c>
      <c r="CE43" s="16">
        <v>-0.000005884312681763412</v>
      </c>
      <c r="CF43" s="16">
        <v>-0.05</v>
      </c>
      <c r="CG43" s="16">
        <v>0</v>
      </c>
      <c r="CH43" s="16">
        <v>0</v>
      </c>
      <c r="CI43" s="45">
        <v>33981.43387592912</v>
      </c>
      <c r="CJ43" s="45">
        <v>33981.43387592912</v>
      </c>
      <c r="CK43" s="45">
        <v>33817.701507394675</v>
      </c>
      <c r="CL43" s="45">
        <v>32659.15104673117</v>
      </c>
      <c r="CM43" s="45">
        <v>30287.88553620258</v>
      </c>
      <c r="CN43" s="45">
        <v>28772.240246435613</v>
      </c>
      <c r="CO43" s="45">
        <v>26602.776134756514</v>
      </c>
      <c r="CP43" s="45">
        <v>24605.43796029775</v>
      </c>
      <c r="CQ43" s="45">
        <v>20757.170692229683</v>
      </c>
      <c r="CR43" s="45">
        <v>19290.00291326094</v>
      </c>
      <c r="CS43" s="45">
        <v>18032.009332030713</v>
      </c>
      <c r="CT43" s="45">
        <v>16897.23331456378</v>
      </c>
      <c r="CU43" s="45">
        <v>15852.405348145594</v>
      </c>
      <c r="CV43" s="45">
        <v>14873.013844795665</v>
      </c>
      <c r="CW43" s="45">
        <v>13951.272230337185</v>
      </c>
      <c r="CX43" s="45">
        <v>12421.828233453763</v>
      </c>
      <c r="CY43" s="45">
        <v>11242.071584918773</v>
      </c>
      <c r="CZ43" s="45">
        <v>10233.710280592522</v>
      </c>
      <c r="DA43" s="45">
        <v>9306.691783648223</v>
      </c>
      <c r="DB43" s="45">
        <v>7767.250008421847</v>
      </c>
      <c r="DC43" s="45">
        <v>6451.036788516125</v>
      </c>
      <c r="DD43" s="45">
        <v>4346.697341490555</v>
      </c>
      <c r="DE43" s="45">
        <v>2621.68918090758</v>
      </c>
      <c r="DF43" s="45">
        <v>-150.83136101588374</v>
      </c>
      <c r="DG43" s="45">
        <v>-1972.9526197015834</v>
      </c>
      <c r="DH43" s="45">
        <v>-4750.175199596196</v>
      </c>
      <c r="DI43" s="45">
        <v>-5790.583579096708</v>
      </c>
      <c r="DJ43" s="45">
        <v>6.55418261885643e-13</v>
      </c>
      <c r="DK43" s="45">
        <v>6.55418261885643e-13</v>
      </c>
      <c r="DL43" s="45">
        <v>85.94843525542095</v>
      </c>
      <c r="DM43" s="45">
        <v>635.3993939907631</v>
      </c>
      <c r="DN43" s="45">
        <v>1666.7507363816576</v>
      </c>
      <c r="DO43" s="45">
        <v>2294.594844515911</v>
      </c>
      <c r="DP43" s="45">
        <v>3178.302639363237</v>
      </c>
      <c r="DQ43" s="45">
        <v>3966.244513686082</v>
      </c>
      <c r="DR43" s="45">
        <v>5242.248492140797</v>
      </c>
      <c r="DS43" s="45">
        <v>5608.419023839459</v>
      </c>
      <c r="DT43" s="45">
        <v>5866.522276077715</v>
      </c>
      <c r="DU43" s="45">
        <v>6062.959743591635</v>
      </c>
      <c r="DV43" s="45">
        <v>6217.602728627305</v>
      </c>
      <c r="DW43" s="45">
        <v>6345.25464602729</v>
      </c>
      <c r="DX43" s="45">
        <v>6451.09103021208</v>
      </c>
      <c r="DY43" s="45">
        <v>6529.897981559441</v>
      </c>
      <c r="DZ43" s="45">
        <v>6462.232865630922</v>
      </c>
      <c r="EA43" s="45">
        <v>6344.404751617119</v>
      </c>
      <c r="EB43" s="45">
        <v>6212.811668253318</v>
      </c>
      <c r="EC43" s="45">
        <v>5897.9293433270705</v>
      </c>
      <c r="ED43" s="45">
        <v>5542.276569090083</v>
      </c>
      <c r="EE43" s="45">
        <v>4834.858860387758</v>
      </c>
      <c r="EF43" s="45">
        <v>4161.52739788789</v>
      </c>
      <c r="EG43" s="45">
        <v>2909.8816207249934</v>
      </c>
      <c r="EH43" s="45">
        <v>2024.5719710169071</v>
      </c>
      <c r="EI43" s="45">
        <v>571.5107830170551</v>
      </c>
      <c r="EJ43" s="45">
        <v>0</v>
      </c>
      <c r="EK43" s="45">
        <v>-5.220063030719757e-12</v>
      </c>
      <c r="EL43" s="45">
        <v>-5.220063030719757e-12</v>
      </c>
      <c r="EM43" s="45">
        <v>-26.913278275566167</v>
      </c>
      <c r="EN43" s="45">
        <v>-191.34994207932988</v>
      </c>
      <c r="EO43" s="45">
        <v>-464.04897303499206</v>
      </c>
      <c r="EP43" s="45">
        <v>-619.3474138745597</v>
      </c>
      <c r="EQ43" s="45">
        <v>-834.2411610225384</v>
      </c>
      <c r="ER43" s="45">
        <v>-1004.4315064344055</v>
      </c>
      <c r="ES43" s="45">
        <v>-1097.2222452691217</v>
      </c>
      <c r="ET43" s="45">
        <v>-1094.2600490064126</v>
      </c>
      <c r="EU43" s="45">
        <v>-1108.2700108245494</v>
      </c>
      <c r="EV43" s="45">
        <v>-1130.8621023375265</v>
      </c>
      <c r="EW43" s="45">
        <v>-1161.3556736691596</v>
      </c>
      <c r="EX43" s="45">
        <v>-1188.404447208841</v>
      </c>
      <c r="EY43" s="45">
        <v>-1219.8996727221013</v>
      </c>
      <c r="EZ43" s="45">
        <v>-1235.6324405633172</v>
      </c>
      <c r="FA43" s="45">
        <v>-1268.0041168298521</v>
      </c>
      <c r="FB43" s="45">
        <v>-1270.9379571195059</v>
      </c>
      <c r="FC43" s="45">
        <v>-1272.3692309041153</v>
      </c>
      <c r="FD43" s="45">
        <v>-1270.90012627532</v>
      </c>
      <c r="FE43" s="45">
        <v>-1305.0767034251694</v>
      </c>
      <c r="FF43" s="45">
        <v>-1320.7725973843737</v>
      </c>
      <c r="FG43" s="45">
        <v>-1333.3244936455021</v>
      </c>
      <c r="FH43" s="45">
        <v>-1100.881919125305</v>
      </c>
      <c r="FI43" s="45">
        <v>-853.9835637394607</v>
      </c>
      <c r="FJ43" s="45">
        <v>-401.9625610780254</v>
      </c>
      <c r="FK43" s="45">
        <v>5.960464477539062e-14</v>
      </c>
      <c r="FL43" s="46">
        <f>MAX(1,MIN(26,SUMPRODUCT(--($CI43:$DI43&gt;=Pu))))</f>
      </c>
      <c r="FM43" s="47">
        <f>(Pu-INDEX($CI43:$DI43,1,$FL43))/(INDEX($CI43:$DI43,1,$FL43+1)-INDEX($CI43:$DI43,1,$FL43))</f>
      </c>
      <c r="FN43" s="39">
        <f>INDEX($DJ43:$EJ43,1,$FL43)+$FM43*(INDEX($DJ43:$EJ43,1,$FL43+1)-INDEX($DJ43:$EJ43,1,$FL43))</f>
      </c>
      <c r="FO43" s="39">
        <f>INDEX($EK43:$FK43,1,$FL43)+$FM43*(INDEX($EK43:$FK43,1,$FL43+1)-INDEX($EK43:$FK43,1,$FL43))</f>
      </c>
      <c r="FP43" s="39">
        <f>SQRT(FN43^2+FO43^2)</f>
      </c>
      <c r="FQ43" s="20">
        <f>FN44-FN43</f>
      </c>
      <c r="FR43" s="20">
        <f>FO44-FO43</f>
      </c>
      <c r="FS43" s="20">
        <f>FQ43*SIN(RADIANS(theta_L))-FR43*COS(RADIANS(theta_L))</f>
      </c>
      <c r="FT43" s="47">
        <f>IF(FS43=0,"",-(FN43*SIN(RADIANS(theta_L))-FO43*COS(RADIANS(theta_L)))/FS43)</f>
      </c>
      <c r="FU43" s="20">
        <f>IF(FT43="","",(FN43+FT43*FQ43)*COS(RADIANS(theta_L))+(FO43+FT43*FR43)*SIN(RADIANS(theta_L)))</f>
      </c>
      <c r="FV43" s="20">
        <f>IF(OR(FT43="",FT43&lt;0,FT43&gt;1,FU43&lt;0),"",FU43)</f>
      </c>
    </row>
    <row r="44" spans="1:172" x14ac:dyDescent="0.25">
      <c r="A44" t="s">
        <v>315</v>
      </c>
      <c r="B44" s="44">
        <v>360</v>
      </c>
      <c r="C44" s="18">
        <v>600</v>
      </c>
      <c r="D44" s="18">
        <v>-530</v>
      </c>
      <c r="E44" s="18">
        <v>1130</v>
      </c>
      <c r="F44" s="16">
        <v>0.0033</v>
      </c>
      <c r="G44" s="16">
        <v>0</v>
      </c>
      <c r="H44" s="16">
        <v>0</v>
      </c>
      <c r="I44" s="16">
        <v>0.00275</v>
      </c>
      <c r="J44" s="16">
        <v>9.166666666666666e-7</v>
      </c>
      <c r="K44" s="16">
        <v>0</v>
      </c>
      <c r="L44" s="16">
        <v>0.0024749999999999998</v>
      </c>
      <c r="M44" s="16">
        <v>0.000001375</v>
      </c>
      <c r="N44" s="16">
        <v>0</v>
      </c>
      <c r="O44" s="16">
        <v>0.0021999999999999997</v>
      </c>
      <c r="P44" s="16">
        <v>0.0000018333333333333333</v>
      </c>
      <c r="Q44" s="16">
        <v>0</v>
      </c>
      <c r="R44" s="16">
        <v>0.001925</v>
      </c>
      <c r="S44" s="16">
        <v>0.0000022916666666666666</v>
      </c>
      <c r="T44" s="16">
        <v>0</v>
      </c>
      <c r="U44" s="16">
        <v>0.0018000000000000002</v>
      </c>
      <c r="V44" s="16">
        <v>0.0000024999999999999998</v>
      </c>
      <c r="W44" s="16">
        <v>0</v>
      </c>
      <c r="X44" s="16">
        <v>0.00165</v>
      </c>
      <c r="Y44" s="16">
        <v>0.00000275</v>
      </c>
      <c r="Z44" s="16">
        <v>0</v>
      </c>
      <c r="AA44" s="16">
        <v>0.001547787610619469</v>
      </c>
      <c r="AB44" s="16">
        <v>0.000002920353982300885</v>
      </c>
      <c r="AC44" s="16">
        <v>0</v>
      </c>
      <c r="AD44" s="16">
        <v>0.001282300884955752</v>
      </c>
      <c r="AE44" s="16">
        <v>0.0000033628318584070798</v>
      </c>
      <c r="AF44" s="16">
        <v>0</v>
      </c>
      <c r="AG44" s="16">
        <v>0.0011495575221238939</v>
      </c>
      <c r="AH44" s="16">
        <v>0.000003584070796460177</v>
      </c>
      <c r="AI44" s="16">
        <v>0</v>
      </c>
      <c r="AJ44" s="16">
        <v>0.0010168141592920353</v>
      </c>
      <c r="AK44" s="16">
        <v>0.000003805309734513274</v>
      </c>
      <c r="AL44" s="16">
        <v>0</v>
      </c>
      <c r="AM44" s="16">
        <v>0.0008840707964601767</v>
      </c>
      <c r="AN44" s="16">
        <v>0.000004026548672566372</v>
      </c>
      <c r="AO44" s="16">
        <v>0</v>
      </c>
      <c r="AP44" s="16">
        <v>0.0007513274336283186</v>
      </c>
      <c r="AQ44" s="16">
        <v>0.000004247787610619469</v>
      </c>
      <c r="AR44" s="16">
        <v>0</v>
      </c>
      <c r="AS44" s="16">
        <v>0.0006185840707964604</v>
      </c>
      <c r="AT44" s="16">
        <v>0.000004469026548672566</v>
      </c>
      <c r="AU44" s="16">
        <v>0</v>
      </c>
      <c r="AV44" s="16">
        <v>0.00048584070796460184</v>
      </c>
      <c r="AW44" s="16">
        <v>0.0000046902654867256635</v>
      </c>
      <c r="AX44" s="16">
        <v>0</v>
      </c>
      <c r="AY44" s="16">
        <v>0.00022035398230088512</v>
      </c>
      <c r="AZ44" s="16">
        <v>0.000005132743362831858</v>
      </c>
      <c r="BA44" s="16">
        <v>0</v>
      </c>
      <c r="BB44" s="16">
        <v>-0.00004513274336283204</v>
      </c>
      <c r="BC44" s="16">
        <v>0.000005575221238938053</v>
      </c>
      <c r="BD44" s="16">
        <v>0</v>
      </c>
      <c r="BE44" s="16">
        <v>-0.0003106194690265492</v>
      </c>
      <c r="BF44" s="16">
        <v>0.0000060176991150442484</v>
      </c>
      <c r="BG44" s="16">
        <v>0</v>
      </c>
      <c r="BH44" s="16">
        <v>-0.0005761061946902659</v>
      </c>
      <c r="BI44" s="16">
        <v>0.000006460176991150443</v>
      </c>
      <c r="BJ44" s="16">
        <v>0</v>
      </c>
      <c r="BK44" s="16">
        <v>-0.001107079646017699</v>
      </c>
      <c r="BL44" s="16">
        <v>0.000007345132743362832</v>
      </c>
      <c r="BM44" s="16">
        <v>0</v>
      </c>
      <c r="BN44" s="16">
        <v>-0.0016380530973451315</v>
      </c>
      <c r="BO44" s="16">
        <v>0.00000823008849557522</v>
      </c>
      <c r="BP44" s="16">
        <v>0</v>
      </c>
      <c r="BQ44" s="16">
        <v>-0.0027</v>
      </c>
      <c r="BR44" s="16">
        <v>0.00001</v>
      </c>
      <c r="BS44" s="16">
        <v>0</v>
      </c>
      <c r="BT44" s="16">
        <v>-0.003761946902654867</v>
      </c>
      <c r="BU44" s="16">
        <v>0.000011769911504424779</v>
      </c>
      <c r="BV44" s="16">
        <v>0</v>
      </c>
      <c r="BW44" s="16">
        <v>-0.006416814159292035</v>
      </c>
      <c r="BX44" s="16">
        <v>0.000016194690265486724</v>
      </c>
      <c r="BY44" s="16">
        <v>0</v>
      </c>
      <c r="BZ44" s="16">
        <v>-0.009071681415929202</v>
      </c>
      <c r="CA44" s="16">
        <v>0.000020619469026548672</v>
      </c>
      <c r="CB44" s="16">
        <v>0</v>
      </c>
      <c r="CC44" s="16">
        <v>-0.01969115044247787</v>
      </c>
      <c r="CD44" s="16">
        <v>0.000038318584070796456</v>
      </c>
      <c r="CE44" s="16">
        <v>0</v>
      </c>
      <c r="CF44" s="16">
        <v>-0.05</v>
      </c>
      <c r="CG44" s="16">
        <v>0</v>
      </c>
      <c r="CH44" s="16">
        <v>0</v>
      </c>
      <c r="CI44" s="45">
        <v>33981.43387592912</v>
      </c>
      <c r="CJ44" s="45">
        <v>33981.43387592912</v>
      </c>
      <c r="CK44" s="45">
        <v>33697.99889567864</v>
      </c>
      <c r="CL44" s="45">
        <v>32265.41983671862</v>
      </c>
      <c r="CM44" s="45">
        <v>29458.701738526564</v>
      </c>
      <c r="CN44" s="45">
        <v>27730.09410184366</v>
      </c>
      <c r="CO44" s="45">
        <v>25248.563599258836</v>
      </c>
      <c r="CP44" s="45">
        <v>23514.322248754543</v>
      </c>
      <c r="CQ44" s="45">
        <v>20124.121038215144</v>
      </c>
      <c r="CR44" s="45">
        <v>18882.738169040487</v>
      </c>
      <c r="CS44" s="45">
        <v>17776.353375143117</v>
      </c>
      <c r="CT44" s="45">
        <v>16760.388558863382</v>
      </c>
      <c r="CU44" s="45">
        <v>15800.236623069633</v>
      </c>
      <c r="CV44" s="45">
        <v>14902.046247507536</v>
      </c>
      <c r="CW44" s="45">
        <v>14042.955356745177</v>
      </c>
      <c r="CX44" s="45">
        <v>12848.396583065864</v>
      </c>
      <c r="CY44" s="45">
        <v>11780.888412913204</v>
      </c>
      <c r="CZ44" s="45">
        <v>10874.165106109966</v>
      </c>
      <c r="DA44" s="45">
        <v>10115.37601589935</v>
      </c>
      <c r="DB44" s="45">
        <v>8812.745574290735</v>
      </c>
      <c r="DC44" s="45">
        <v>7793.573662012833</v>
      </c>
      <c r="DD44" s="45">
        <v>6221.462349919355</v>
      </c>
      <c r="DE44" s="45">
        <v>5040.452657994034</v>
      </c>
      <c r="DF44" s="45">
        <v>2747.5191908344864</v>
      </c>
      <c r="DG44" s="45">
        <v>1203.7013416344244</v>
      </c>
      <c r="DH44" s="45">
        <v>-1714.4396393656968</v>
      </c>
      <c r="DI44" s="45">
        <v>-5790.583579096708</v>
      </c>
      <c r="DJ44" s="45">
        <v>6.55418261885643e-13</v>
      </c>
      <c r="DK44" s="45">
        <v>6.55418261885643e-13</v>
      </c>
      <c r="DL44" s="45">
        <v>150.46136414826947</v>
      </c>
      <c r="DM44" s="45">
        <v>838.9046608751036</v>
      </c>
      <c r="DN44" s="45">
        <v>2076.7979535082554</v>
      </c>
      <c r="DO44" s="45">
        <v>2819.1055487374533</v>
      </c>
      <c r="DP44" s="45">
        <v>3855.0903161670462</v>
      </c>
      <c r="DQ44" s="45">
        <v>4530.118037670052</v>
      </c>
      <c r="DR44" s="45">
        <v>5598.135049837574</v>
      </c>
      <c r="DS44" s="45">
        <v>5894.79693613114</v>
      </c>
      <c r="DT44" s="45">
        <v>6124.812619238588</v>
      </c>
      <c r="DU44" s="45">
        <v>6314.337858211325</v>
      </c>
      <c r="DV44" s="45">
        <v>6477.537136847315</v>
      </c>
      <c r="DW44" s="45">
        <v>6612.75498641875</v>
      </c>
      <c r="DX44" s="45">
        <v>6729.602944736926</v>
      </c>
      <c r="DY44" s="45">
        <v>6719.392919295084</v>
      </c>
      <c r="DZ44" s="45">
        <v>6681.944730043465</v>
      </c>
      <c r="EA44" s="45">
        <v>6619.376661682477</v>
      </c>
      <c r="EB44" s="45">
        <v>6520.300492379301</v>
      </c>
      <c r="EC44" s="45">
        <v>6317.221588401691</v>
      </c>
      <c r="ED44" s="45">
        <v>6095.595406911573</v>
      </c>
      <c r="EE44" s="45">
        <v>5669.773965842053</v>
      </c>
      <c r="EF44" s="45">
        <v>5279.5486588665335</v>
      </c>
      <c r="EG44" s="45">
        <v>4395.024835253348</v>
      </c>
      <c r="EH44" s="45">
        <v>3714.4317841181155</v>
      </c>
      <c r="EI44" s="45">
        <v>2227.93189961245</v>
      </c>
      <c r="EJ44" s="45">
        <v>0</v>
      </c>
      <c r="EK44" s="45">
        <v>-5.220063030719757e-12</v>
      </c>
      <c r="EL44" s="45">
        <v>-5.220063030719757e-12</v>
      </c>
      <c r="EM44" s="45">
        <v>0.000017494509751908482</v>
      </c>
      <c r="EN44" s="45">
        <v>0.0009406118215573952</v>
      </c>
      <c r="EO44" s="45">
        <v>0.00037674127167556436</v>
      </c>
      <c r="EP44" s="45">
        <v>0.0002115091088814661</v>
      </c>
      <c r="EQ44" s="45">
        <v>0.0015901064639454708</v>
      </c>
      <c r="ER44" s="45">
        <v>0.07635615567926224</v>
      </c>
      <c r="ES44" s="45">
        <v>-0.298929788221614</v>
      </c>
      <c r="ET44" s="45">
        <v>-0.06835164865992638</v>
      </c>
      <c r="EU44" s="45">
        <v>-0.036833113046715035</v>
      </c>
      <c r="EV44" s="45">
        <v>-0.17062774422102422</v>
      </c>
      <c r="EW44" s="45">
        <v>0.000766949239820242</v>
      </c>
      <c r="EX44" s="45">
        <v>-0.16007528021579376</v>
      </c>
      <c r="EY44" s="45">
        <v>0.2033703180078668</v>
      </c>
      <c r="EZ44" s="45">
        <v>-0.18254523419917001</v>
      </c>
      <c r="FA44" s="45">
        <v>0.00011138413645233958</v>
      </c>
      <c r="FB44" s="45">
        <v>-0.04691961909174547</v>
      </c>
      <c r="FC44" s="45">
        <v>0.017060437182207358</v>
      </c>
      <c r="FD44" s="45">
        <v>0.22085739108868455</v>
      </c>
      <c r="FE44" s="45">
        <v>0.0005276283492443618</v>
      </c>
      <c r="FF44" s="45">
        <v>0.058994860705671136</v>
      </c>
      <c r="FG44" s="45">
        <v>0.3035026830671234</v>
      </c>
      <c r="FH44" s="45">
        <v>0.8146481828627189</v>
      </c>
      <c r="FI44" s="45">
        <v>0.3976159518024968</v>
      </c>
      <c r="FJ44" s="45">
        <v>0.7652766825170573</v>
      </c>
      <c r="FK44" s="45">
        <v>5.960464477539062e-14</v>
      </c>
      <c r="FL44" s="46">
        <f>MAX(1,MIN(26,SUMPRODUCT(--($CI44:$DI44&gt;=Pu))))</f>
      </c>
      <c r="FM44" s="47">
        <f>(Pu-INDEX($CI44:$DI44,1,$FL44))/(INDEX($CI44:$DI44,1,$FL44+1)-INDEX($CI44:$DI44,1,$FL44))</f>
      </c>
      <c r="FN44" s="39">
        <f>INDEX($DJ44:$EJ44,1,$FL44)+$FM44*(INDEX($DJ44:$EJ44,1,$FL44+1)-INDEX($DJ44:$EJ44,1,$FL44))</f>
      </c>
      <c r="FO44" s="39">
        <f>INDEX($EK44:$FK44,1,$FL44)+$FM44*(INDEX($EK44:$FK44,1,$FL44+1)-INDEX($EK44:$FK44,1,$FL44))</f>
      </c>
      <c r="FP44" s="39">
        <f>SQRT(FN44^2+FO44^2)</f>
      </c>
    </row>
    <row r="45" spans="169:172" x14ac:dyDescent="0.25">
      <c r="FM45" s="35" t="s">
        <v>54</v>
      </c>
      <c r="FN45" s="48">
        <f>Mux</f>
      </c>
      <c r="FO45" s="48">
        <f>Muy</f>
      </c>
      <c r="FP45" s="48">
        <f>Mu</f>
      </c>
    </row>
    <row r="46" spans="2:9" x14ac:dyDescent="0.25">
      <c r="B46" s="3" t="s">
        <v>316</v>
      </c>
      <c r="C46" s="3"/>
      <c r="D46" s="3"/>
      <c r="E46" s="3"/>
      <c r="F46" s="3"/>
      <c r="G46" s="3"/>
      <c r="H46" s="3"/>
      <c r="I46" s="3"/>
    </row>
    <row r="47" spans="2:7" x14ac:dyDescent="0.25">
      <c r="B47" t="s">
        <v>317</v>
      </c>
      <c r="E47" s="10">
        <f>CI8</f>
      </c>
      <c r="F47" s="10">
        <f>PM_Angle!$S$7</f>
      </c>
      <c r="G47" s="35">
        <f>IF(ABS(E47-F47)&lt;=0.000001*MAX(ABS(F47),1),"ok - imported surface matches the live calculation","STALE - material or geometry inputs changed; re-export from the app")</f>
      </c>
    </row>
    <row r="48" spans="2:7" x14ac:dyDescent="0.25">
      <c r="B48" t="s">
        <v>318</v>
      </c>
      <c r="E48" s="10">
        <f>DI8</f>
      </c>
      <c r="F48" s="10">
        <f>PM_Angle!$S$33</f>
      </c>
      <c r="G48" s="35">
        <f>IF(ABS(E48-F48)&lt;=0.000001*MAX(ABS(F48),1),"ok - imported surface matches the live calculation","STALE - material or geometry inputs changed; re-export from the app")</f>
      </c>
    </row>
    <row r="50" spans="2:9" x14ac:dyDescent="0.25">
      <c r="B50" s="3" t="s">
        <v>319</v>
      </c>
      <c r="C50" s="3"/>
      <c r="D50" s="3"/>
      <c r="E50" s="3"/>
      <c r="F50" s="3"/>
      <c r="G50" s="3"/>
      <c r="H50" s="3"/>
      <c r="I50" s="3"/>
    </row>
    <row r="51" spans="2:5" x14ac:dyDescent="0.25">
      <c r="B51" t="s">
        <v>320</v>
      </c>
      <c r="E51" s="49">
        <f>theta_L</f>
      </c>
    </row>
    <row r="52" spans="2:5" x14ac:dyDescent="0.25">
      <c r="B52" t="s">
        <v>321</v>
      </c>
      <c r="E52" s="50">
        <f>COUNT(FV8:FV43)</f>
      </c>
    </row>
    <row r="53" spans="2:5" x14ac:dyDescent="0.25">
      <c r="B53" t="s">
        <v>322</v>
      </c>
      <c r="E53" s="51">
        <f>IF(COUNT(FV8:FV43)=0,"no crossing",MIN(FV8:FV43))</f>
      </c>
    </row>
    <row r="54" spans="2:5" x14ac:dyDescent="0.25">
      <c r="B54" t="s">
        <v>323</v>
      </c>
      <c r="E54" s="51">
        <f>IF(ISNUMBER(Mb),Mb*COS(RADIANS(theta_L)),"n/a")</f>
      </c>
    </row>
    <row r="55" spans="2:5" x14ac:dyDescent="0.25">
      <c r="B55" t="s">
        <v>324</v>
      </c>
      <c r="E55" s="51">
        <f>IF(ISNUMBER(Mb),Mb*SIN(RADIANS(theta_L)),"n/a")</f>
      </c>
    </row>
    <row r="56" spans="2:5" x14ac:dyDescent="0.25">
      <c r="B56" t="s">
        <v>325</v>
      </c>
      <c r="E56" s="51">
        <f>Mu</f>
      </c>
    </row>
    <row r="57" spans="2:5" x14ac:dyDescent="0.25">
      <c r="B57" t="s">
        <v>326</v>
      </c>
      <c r="E57" s="52">
        <f>IF(ISNUMBER(Mb),IF(Mb&lt;=0,"n/a",Mu/Mb),"n/a")</f>
      </c>
    </row>
    <row r="58" spans="2:2" x14ac:dyDescent="0.25">
      <c r="B58" s="5" t="s">
        <v>327</v>
      </c>
    </row>
  </sheetData>
  <mergeCells count="37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BM6"/>
    <mergeCell ref="BN6:BP6"/>
    <mergeCell ref="BQ6:BS6"/>
    <mergeCell ref="BT6:BV6"/>
    <mergeCell ref="BW6:BY6"/>
    <mergeCell ref="BZ6:CB6"/>
    <mergeCell ref="CC6:CE6"/>
    <mergeCell ref="CF6:CH6"/>
    <mergeCell ref="CI6:DI6"/>
    <mergeCell ref="DJ6:EJ6"/>
    <mergeCell ref="EK6:FK6"/>
    <mergeCell ref="FL6:FP6"/>
    <mergeCell ref="FQ6:FV6"/>
    <mergeCell ref="B46:I46"/>
    <mergeCell ref="B50:I5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50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329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320</v>
      </c>
      <c r="C5" s="11">
        <f>theta_L</f>
      </c>
    </row>
    <row r="6" spans="2:4" x14ac:dyDescent="0.25">
      <c r="B6" t="s">
        <v>330</v>
      </c>
      <c r="C6" s="11">
        <f>beta</f>
      </c>
      <c r="D6" s="5" t="s">
        <v>331</v>
      </c>
    </row>
    <row r="7" spans="2:4" x14ac:dyDescent="0.25">
      <c r="B7" t="s">
        <v>332</v>
      </c>
      <c r="C7" s="53">
        <f>0.000000001*MAX(MAX(MxMy_FixedP!$DJ$8:$EJ$44),-MIN(MxMy_FixedP!$DJ$8:$EJ$44),MAX(MxMy_FixedP!$EK$8:$FK$44),-MIN(MxMy_FixedP!$EK$8:$FK$44))</f>
      </c>
      <c r="D7" s="5" t="s">
        <v>333</v>
      </c>
    </row>
    <row r="8" spans="2:10" x14ac:dyDescent="0.25">
      <c r="B8" s="25" t="s">
        <v>334</v>
      </c>
      <c r="C8" s="25"/>
      <c r="D8" s="25" t="s">
        <v>335</v>
      </c>
      <c r="E8" s="25"/>
      <c r="F8" s="25"/>
      <c r="G8" s="25" t="s">
        <v>336</v>
      </c>
      <c r="H8" s="25"/>
      <c r="I8" s="25"/>
      <c r="J8" s="25" t="s">
        <v>337</v>
      </c>
    </row>
    <row r="9" ht="26" customHeight="1" spans="2:10" x14ac:dyDescent="0.25">
      <c r="B9" s="17" t="s">
        <v>199</v>
      </c>
      <c r="C9" s="17" t="s">
        <v>338</v>
      </c>
      <c r="D9" s="17" t="s">
        <v>339</v>
      </c>
      <c r="E9" s="17" t="s">
        <v>210</v>
      </c>
      <c r="F9" s="17" t="s">
        <v>340</v>
      </c>
      <c r="G9" s="17" t="s">
        <v>339</v>
      </c>
      <c r="H9" s="17" t="s">
        <v>210</v>
      </c>
      <c r="I9" s="17" t="s">
        <v>340</v>
      </c>
      <c r="J9" s="17" t="s">
        <v>341</v>
      </c>
    </row>
    <row r="10" spans="2:11" x14ac:dyDescent="0.25">
      <c r="B10" s="35" t="s">
        <v>216</v>
      </c>
      <c r="C10" s="54" t="s">
        <v>342</v>
      </c>
      <c r="D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))</f>
      </c>
      <c r="E10" s="10">
        <f>IF($K10&lt;=Mtol,MxMy_FixedP!$CI$8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D10))</f>
      </c>
      <c r="F10" s="10">
        <f>IF($K10&lt;=Mtol,0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D10))</f>
      </c>
      <c r="G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))</f>
      </c>
      <c r="H10" s="10">
        <f>IF($K10&lt;=Mtol,MxMy_FixedP!$CI$8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G10))</f>
      </c>
      <c r="I10" s="10">
        <f>IF($K10&lt;=Mtol,0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218</v>
      </c>
      <c r="C11" s="54" t="s">
        <v>343</v>
      </c>
      <c r="D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))</f>
      </c>
      <c r="E11" s="10">
        <f>IF($K11&lt;=Mtol,MxMy_FixedP!$CJ$8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D11))</f>
      </c>
      <c r="F11" s="10">
        <f>IF($K11&lt;=Mtol,0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D11))</f>
      </c>
      <c r="G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))</f>
      </c>
      <c r="H11" s="10">
        <f>IF($K11&lt;=Mtol,MxMy_FixedP!$CJ$8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G11))</f>
      </c>
      <c r="I11" s="10">
        <f>IF($K11&lt;=Mtol,0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219</v>
      </c>
      <c r="C12" s="54" t="s">
        <v>344</v>
      </c>
      <c r="D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))</f>
      </c>
      <c r="E12" s="10">
        <f>IF($K12&lt;=Mtol,MxMy_FixedP!$CK$8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D12))</f>
      </c>
      <c r="F12" s="10">
        <f>IF($K12&lt;=Mtol,0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D12))</f>
      </c>
      <c r="G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))</f>
      </c>
      <c r="H12" s="10">
        <f>IF($K12&lt;=Mtol,MxMy_FixedP!$CK$8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G12))</f>
      </c>
      <c r="I12" s="10">
        <f>IF($K12&lt;=Mtol,0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G12))</f>
      </c>
      <c r="J12">
        <f>IF($K12&lt;=Mtol,"pole",IF(AND(D12&gt;=1,G12&gt;=1),"ok","CHECK: "&amp;D12&amp;"/"&amp;G12&amp;" cuts"))</f>
      </c>
      <c r="K12" s="18">
        <v>169.4569257436916</v>
      </c>
    </row>
    <row r="13" spans="2:11" x14ac:dyDescent="0.25">
      <c r="B13" s="35" t="s">
        <v>220</v>
      </c>
      <c r="C13" s="54" t="s">
        <v>345</v>
      </c>
      <c r="D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))</f>
      </c>
      <c r="E13" s="10">
        <f>IF($K13&lt;=Mtol,MxMy_FixedP!$CL$8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D13))</f>
      </c>
      <c r="F13" s="10">
        <f>IF($K13&lt;=Mtol,0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D13))</f>
      </c>
      <c r="G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))</f>
      </c>
      <c r="H13" s="10">
        <f>IF($K13&lt;=Mtol,MxMy_FixedP!$CL$8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G13))</f>
      </c>
      <c r="I13" s="10">
        <f>IF($K13&lt;=Mtol,0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G13))</f>
      </c>
      <c r="J13">
        <f>IF($K13&lt;=Mtol,"pole",IF(AND(D13&gt;=1,G13&gt;=1),"ok","CHECK: "&amp;D13&amp;"/"&amp;G13&amp;" cuts"))</f>
      </c>
      <c r="K13" s="18">
        <v>931.8351525567574</v>
      </c>
    </row>
    <row r="14" spans="2:11" x14ac:dyDescent="0.25">
      <c r="B14" s="35" t="s">
        <v>221</v>
      </c>
      <c r="C14" s="54" t="s">
        <v>346</v>
      </c>
      <c r="D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))</f>
      </c>
      <c r="E14" s="10">
        <f>IF($K14&lt;=Mtol,MxMy_FixedP!$CM$8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D14))</f>
      </c>
      <c r="F14" s="10">
        <f>IF($K14&lt;=Mtol,0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D14))</f>
      </c>
      <c r="G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))</f>
      </c>
      <c r="H14" s="10">
        <f>IF($K14&lt;=Mtol,MxMy_FixedP!$CM$8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G14))</f>
      </c>
      <c r="I14" s="10">
        <f>IF($K14&lt;=Mtol,0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G14))</f>
      </c>
      <c r="J14">
        <f>IF($K14&lt;=Mtol,"pole",IF(AND(D14&gt;=1,G14&gt;=1),"ok","CHECK: "&amp;D14&amp;"/"&amp;G14&amp;" cuts"))</f>
      </c>
      <c r="K14" s="18">
        <v>2280.331227265789</v>
      </c>
    </row>
    <row r="15" spans="2:11" x14ac:dyDescent="0.25">
      <c r="B15" s="35" t="s">
        <v>222</v>
      </c>
      <c r="C15" s="54" t="s">
        <v>347</v>
      </c>
      <c r="D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))</f>
      </c>
      <c r="E15" s="10">
        <f>IF($K15&lt;=Mtol,MxMy_FixedP!$CN$8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D15))</f>
      </c>
      <c r="F15" s="10">
        <f>IF($K15&lt;=Mtol,0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D15))</f>
      </c>
      <c r="G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))</f>
      </c>
      <c r="H15" s="10">
        <f>IF($K15&lt;=Mtol,MxMy_FixedP!$CN$8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G15))</f>
      </c>
      <c r="I15" s="10">
        <f>IF($K15&lt;=Mtol,0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G15))</f>
      </c>
      <c r="J15">
        <f>IF($K15&lt;=Mtol,"pole",IF(AND(D15&gt;=1,G15&gt;=1),"ok","CHECK: "&amp;D15&amp;"/"&amp;G15&amp;" cuts"))</f>
      </c>
      <c r="K15" s="18">
        <v>3085.097902487554</v>
      </c>
    </row>
    <row r="16" spans="2:11" x14ac:dyDescent="0.25">
      <c r="B16" s="35" t="s">
        <v>223</v>
      </c>
      <c r="C16" s="54" t="s">
        <v>348</v>
      </c>
      <c r="D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))</f>
      </c>
      <c r="E16" s="10">
        <f>IF($K16&lt;=Mtol,MxMy_FixedP!$CO$8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D16))</f>
      </c>
      <c r="F16" s="10">
        <f>IF($K16&lt;=Mtol,0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D16))</f>
      </c>
      <c r="G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))</f>
      </c>
      <c r="H16" s="10">
        <f>IF($K16&lt;=Mtol,MxMy_FixedP!$CO$8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G16))</f>
      </c>
      <c r="I16" s="10">
        <f>IF($K16&lt;=Mtol,0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G16))</f>
      </c>
      <c r="J16">
        <f>IF($K16&lt;=Mtol,"pole",IF(AND(D16&gt;=1,G16&gt;=1),"ok","CHECK: "&amp;D16&amp;"/"&amp;G16&amp;" cuts"))</f>
      </c>
      <c r="K16" s="18">
        <v>4208.049163002413</v>
      </c>
    </row>
    <row r="17" spans="2:11" x14ac:dyDescent="0.25">
      <c r="B17" s="35" t="s">
        <v>224</v>
      </c>
      <c r="C17" s="54" t="s">
        <v>349</v>
      </c>
      <c r="D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))</f>
      </c>
      <c r="E17" s="10">
        <f>IF($K17&lt;=Mtol,MxMy_FixedP!$CP$8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D17))</f>
      </c>
      <c r="F17" s="10">
        <f>IF($K17&lt;=Mtol,0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D17))</f>
      </c>
      <c r="G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))</f>
      </c>
      <c r="H17" s="10">
        <f>IF($K17&lt;=Mtol,MxMy_FixedP!$CP$8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G17))</f>
      </c>
      <c r="I17" s="10">
        <f>IF($K17&lt;=Mtol,0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G17))</f>
      </c>
      <c r="J17">
        <f>IF($K17&lt;=Mtol,"pole",IF(AND(D17&gt;=1,G17&gt;=1),"ok","CHECK: "&amp;D17&amp;"/"&amp;G17&amp;" cuts"))</f>
      </c>
      <c r="K17" s="18">
        <v>4794.511570393252</v>
      </c>
    </row>
    <row r="18" spans="2:11" x14ac:dyDescent="0.25">
      <c r="B18" s="35" t="s">
        <v>225</v>
      </c>
      <c r="C18" s="54" t="s">
        <v>350</v>
      </c>
      <c r="D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))</f>
      </c>
      <c r="E18" s="10">
        <f>IF($K18&lt;=Mtol,MxMy_FixedP!$CQ$8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D18))</f>
      </c>
      <c r="F18" s="10">
        <f>IF($K18&lt;=Mtol,0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D18))</f>
      </c>
      <c r="G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))</f>
      </c>
      <c r="H18" s="10">
        <f>IF($K18&lt;=Mtol,MxMy_FixedP!$CQ$8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G18))</f>
      </c>
      <c r="I18" s="10">
        <f>IF($K18&lt;=Mtol,0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G18))</f>
      </c>
      <c r="J18">
        <f>IF($K18&lt;=Mtol,"pole",IF(AND(D18&gt;=1,G18&gt;=1),"ok","CHECK: "&amp;D18&amp;"/"&amp;G18&amp;" cuts"))</f>
      </c>
      <c r="K18" s="18">
        <v>5873.608508385497</v>
      </c>
    </row>
    <row r="19" spans="2:11" x14ac:dyDescent="0.25">
      <c r="B19" s="35" t="s">
        <v>226</v>
      </c>
      <c r="C19" s="54" t="s">
        <v>351</v>
      </c>
      <c r="D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))</f>
      </c>
      <c r="E19" s="10">
        <f>IF($K19&lt;=Mtol,MxMy_FixedP!$CR$8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D19))</f>
      </c>
      <c r="F19" s="10">
        <f>IF($K19&lt;=Mtol,0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D19))</f>
      </c>
      <c r="G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))</f>
      </c>
      <c r="H19" s="10">
        <f>IF($K19&lt;=Mtol,MxMy_FixedP!$CR$8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G19))</f>
      </c>
      <c r="I19" s="10">
        <f>IF($K19&lt;=Mtol,0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G19))</f>
      </c>
      <c r="J19">
        <f>IF($K19&lt;=Mtol,"pole",IF(AND(D19&gt;=1,G19&gt;=1),"ok","CHECK: "&amp;D19&amp;"/"&amp;G19&amp;" cuts"))</f>
      </c>
      <c r="K19" s="18">
        <v>6176.961299171685</v>
      </c>
    </row>
    <row r="20" spans="2:11" x14ac:dyDescent="0.25">
      <c r="B20" s="35" t="s">
        <v>227</v>
      </c>
      <c r="C20" s="54" t="s">
        <v>352</v>
      </c>
      <c r="D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))</f>
      </c>
      <c r="E20" s="10">
        <f>IF($K20&lt;=Mtol,MxMy_FixedP!$CS$8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D20))</f>
      </c>
      <c r="F20" s="10">
        <f>IF($K20&lt;=Mtol,0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D20))</f>
      </c>
      <c r="G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))</f>
      </c>
      <c r="H20" s="10">
        <f>IF($K20&lt;=Mtol,MxMy_FixedP!$CS$8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G20))</f>
      </c>
      <c r="I20" s="10">
        <f>IF($K20&lt;=Mtol,0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G20))</f>
      </c>
      <c r="J20">
        <f>IF($K20&lt;=Mtol,"pole",IF(AND(D20&gt;=1,G20&gt;=1),"ok","CHECK: "&amp;D20&amp;"/"&amp;G20&amp;" cuts"))</f>
      </c>
      <c r="K20" s="18">
        <v>6430.541389096731</v>
      </c>
    </row>
    <row r="21" spans="2:11" x14ac:dyDescent="0.25">
      <c r="B21" s="35" t="s">
        <v>228</v>
      </c>
      <c r="C21" s="54" t="s">
        <v>353</v>
      </c>
      <c r="D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))</f>
      </c>
      <c r="E21" s="10">
        <f>IF($K21&lt;=Mtol,MxMy_FixedP!$CT$8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D21))</f>
      </c>
      <c r="F21" s="10">
        <f>IF($K21&lt;=Mtol,0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D21))</f>
      </c>
      <c r="G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))</f>
      </c>
      <c r="H21" s="10">
        <f>IF($K21&lt;=Mtol,MxMy_FixedP!$CT$8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G21))</f>
      </c>
      <c r="I21" s="10">
        <f>IF($K21&lt;=Mtol,0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G21))</f>
      </c>
      <c r="J21">
        <f>IF($K21&lt;=Mtol,"pole",IF(AND(D21&gt;=1,G21&gt;=1),"ok","CHECK: "&amp;D21&amp;"/"&amp;G21&amp;" cuts"))</f>
      </c>
      <c r="K21" s="18">
        <v>6652.2498928698415</v>
      </c>
    </row>
    <row r="22" spans="2:11" x14ac:dyDescent="0.25">
      <c r="B22" s="35" t="s">
        <v>229</v>
      </c>
      <c r="C22" s="54" t="s">
        <v>354</v>
      </c>
      <c r="D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))</f>
      </c>
      <c r="E22" s="10">
        <f>IF($K22&lt;=Mtol,MxMy_FixedP!$CU$8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D22))</f>
      </c>
      <c r="F22" s="10">
        <f>IF($K22&lt;=Mtol,0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D22))</f>
      </c>
      <c r="G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))</f>
      </c>
      <c r="H22" s="10">
        <f>IF($K22&lt;=Mtol,MxMy_FixedP!$CU$8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G22))</f>
      </c>
      <c r="I22" s="10">
        <f>IF($K22&lt;=Mtol,0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G22))</f>
      </c>
      <c r="J22">
        <f>IF($K22&lt;=Mtol,"pole",IF(AND(D22&gt;=1,G22&gt;=1),"ok","CHECK: "&amp;D22&amp;"/"&amp;G22&amp;" cuts"))</f>
      </c>
      <c r="K22" s="18">
        <v>6846.531986160265</v>
      </c>
    </row>
    <row r="23" spans="2:11" x14ac:dyDescent="0.25">
      <c r="B23" s="35" t="s">
        <v>230</v>
      </c>
      <c r="C23" s="54" t="s">
        <v>355</v>
      </c>
      <c r="D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))</f>
      </c>
      <c r="E23" s="10">
        <f>IF($K23&lt;=Mtol,MxMy_FixedP!$CV$8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D23))</f>
      </c>
      <c r="F23" s="10">
        <f>IF($K23&lt;=Mtol,0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D23))</f>
      </c>
      <c r="G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))</f>
      </c>
      <c r="H23" s="10">
        <f>IF($K23&lt;=Mtol,MxMy_FixedP!$CV$8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G23))</f>
      </c>
      <c r="I23" s="10">
        <f>IF($K23&lt;=Mtol,0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G23))</f>
      </c>
      <c r="J23">
        <f>IF($K23&lt;=Mtol,"pole",IF(AND(D23&gt;=1,G23&gt;=1),"ok","CHECK: "&amp;D23&amp;"/"&amp;G23&amp;" cuts"))</f>
      </c>
      <c r="K23" s="18">
        <v>7020.944088635027</v>
      </c>
    </row>
    <row r="24" spans="2:11" x14ac:dyDescent="0.25">
      <c r="B24" s="35" t="s">
        <v>231</v>
      </c>
      <c r="C24" s="54" t="s">
        <v>356</v>
      </c>
      <c r="D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))</f>
      </c>
      <c r="E24" s="10">
        <f>IF($K24&lt;=Mtol,MxMy_FixedP!$CW$8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D24))</f>
      </c>
      <c r="F24" s="10">
        <f>IF($K24&lt;=Mtol,0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D24))</f>
      </c>
      <c r="G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))</f>
      </c>
      <c r="H24" s="10">
        <f>IF($K24&lt;=Mtol,MxMy_FixedP!$CW$8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G24))</f>
      </c>
      <c r="I24" s="10">
        <f>IF($K24&lt;=Mtol,0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G24))</f>
      </c>
      <c r="J24">
        <f>IF($K24&lt;=Mtol,"pole",IF(AND(D24&gt;=1,G24&gt;=1),"ok","CHECK: "&amp;D24&amp;"/"&amp;G24&amp;" cuts"))</f>
      </c>
      <c r="K24" s="18">
        <v>7177.451206070804</v>
      </c>
    </row>
    <row r="25" spans="2:11" x14ac:dyDescent="0.25">
      <c r="B25" s="35" t="s">
        <v>232</v>
      </c>
      <c r="C25" s="54" t="s">
        <v>357</v>
      </c>
      <c r="D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))</f>
      </c>
      <c r="E25" s="10">
        <f>IF($K25&lt;=Mtol,MxMy_FixedP!$CX$8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D25))</f>
      </c>
      <c r="F25" s="10">
        <f>IF($K25&lt;=Mtol,0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D25))</f>
      </c>
      <c r="G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))</f>
      </c>
      <c r="H25" s="10">
        <f>IF($K25&lt;=Mtol,MxMy_FixedP!$CX$8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G25))</f>
      </c>
      <c r="I25" s="10">
        <f>IF($K25&lt;=Mtol,0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G25))</f>
      </c>
      <c r="J25">
        <f>IF($K25&lt;=Mtol,"pole",IF(AND(D25&gt;=1,G25&gt;=1),"ok","CHECK: "&amp;D25&amp;"/"&amp;G25&amp;" cuts"))</f>
      </c>
      <c r="K25" s="18">
        <v>7186.385290245859</v>
      </c>
    </row>
    <row r="26" spans="2:11" x14ac:dyDescent="0.25">
      <c r="B26" s="35" t="s">
        <v>233</v>
      </c>
      <c r="C26" s="54" t="s">
        <v>358</v>
      </c>
      <c r="D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))</f>
      </c>
      <c r="E26" s="10">
        <f>IF($K26&lt;=Mtol,MxMy_FixedP!$CY$8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D26))</f>
      </c>
      <c r="F26" s="10">
        <f>IF($K26&lt;=Mtol,0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D26))</f>
      </c>
      <c r="G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))</f>
      </c>
      <c r="H26" s="10">
        <f>IF($K26&lt;=Mtol,MxMy_FixedP!$CY$8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G26))</f>
      </c>
      <c r="I26" s="10">
        <f>IF($K26&lt;=Mtol,0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G26))</f>
      </c>
      <c r="J26">
        <f>IF($K26&lt;=Mtol,"pole",IF(AND(D26&gt;=1,G26&gt;=1),"ok","CHECK: "&amp;D26&amp;"/"&amp;G26&amp;" cuts"))</f>
      </c>
      <c r="K26" s="18">
        <v>7136.5025828493735</v>
      </c>
    </row>
    <row r="27" spans="2:11" x14ac:dyDescent="0.25">
      <c r="B27" s="35" t="s">
        <v>234</v>
      </c>
      <c r="C27" s="54" t="s">
        <v>359</v>
      </c>
      <c r="D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))</f>
      </c>
      <c r="E27" s="10">
        <f>IF($K27&lt;=Mtol,MxMy_FixedP!$CZ$8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D27))</f>
      </c>
      <c r="F27" s="10">
        <f>IF($K27&lt;=Mtol,0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D27))</f>
      </c>
      <c r="G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))</f>
      </c>
      <c r="H27" s="10">
        <f>IF($K27&lt;=Mtol,MxMy_FixedP!$CZ$8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G27))</f>
      </c>
      <c r="I27" s="10">
        <f>IF($K27&lt;=Mtol,0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G27))</f>
      </c>
      <c r="J27">
        <f>IF($K27&lt;=Mtol,"pole",IF(AND(D27&gt;=1,G27&gt;=1),"ok","CHECK: "&amp;D27&amp;"/"&amp;G27&amp;" cuts"))</f>
      </c>
      <c r="K27" s="18">
        <v>7044.071005428653</v>
      </c>
    </row>
    <row r="28" spans="2:11" x14ac:dyDescent="0.25">
      <c r="B28" s="35" t="s">
        <v>235</v>
      </c>
      <c r="C28" s="54" t="s">
        <v>360</v>
      </c>
      <c r="D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))</f>
      </c>
      <c r="E28" s="10">
        <f>IF($K28&lt;=Mtol,MxMy_FixedP!$DA$8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D28))</f>
      </c>
      <c r="F28" s="10">
        <f>IF($K28&lt;=Mtol,0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D28))</f>
      </c>
      <c r="G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))</f>
      </c>
      <c r="H28" s="10">
        <f>IF($K28&lt;=Mtol,MxMy_FixedP!$DA$8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G28))</f>
      </c>
      <c r="I28" s="10">
        <f>IF($K28&lt;=Mtol,0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G28))</f>
      </c>
      <c r="J28">
        <f>IF($K28&lt;=Mtol,"pole",IF(AND(D28&gt;=1,G28&gt;=1),"ok","CHECK: "&amp;D28&amp;"/"&amp;G28&amp;" cuts"))</f>
      </c>
      <c r="K28" s="18">
        <v>6924.0985044101135</v>
      </c>
    </row>
    <row r="29" spans="2:11" x14ac:dyDescent="0.25">
      <c r="B29" s="35" t="s">
        <v>236</v>
      </c>
      <c r="C29" s="54" t="s">
        <v>361</v>
      </c>
      <c r="D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))</f>
      </c>
      <c r="E29" s="10">
        <f>IF($K29&lt;=Mtol,MxMy_FixedP!$DB$8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D29))</f>
      </c>
      <c r="F29" s="10">
        <f>IF($K29&lt;=Mtol,0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D29))</f>
      </c>
      <c r="G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))</f>
      </c>
      <c r="H29" s="10">
        <f>IF($K29&lt;=Mtol,MxMy_FixedP!$DB$8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G29))</f>
      </c>
      <c r="I29" s="10">
        <f>IF($K29&lt;=Mtol,0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G29))</f>
      </c>
      <c r="J29">
        <f>IF($K29&lt;=Mtol,"pole",IF(AND(D29&gt;=1,G29&gt;=1),"ok","CHECK: "&amp;D29&amp;"/"&amp;G29&amp;" cuts"))</f>
      </c>
      <c r="K29" s="18">
        <v>6713.62410261475</v>
      </c>
    </row>
    <row r="30" spans="2:11" x14ac:dyDescent="0.25">
      <c r="B30" s="35" t="s">
        <v>237</v>
      </c>
      <c r="C30" s="54" t="s">
        <v>362</v>
      </c>
      <c r="D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))</f>
      </c>
      <c r="E30" s="10">
        <f>IF($K30&lt;=Mtol,MxMy_FixedP!$DC$8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D30))</f>
      </c>
      <c r="F30" s="10">
        <f>IF($K30&lt;=Mtol,0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D30))</f>
      </c>
      <c r="G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))</f>
      </c>
      <c r="H30" s="10">
        <f>IF($K30&lt;=Mtol,MxMy_FixedP!$DC$8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G30))</f>
      </c>
      <c r="I30" s="10">
        <f>IF($K30&lt;=Mtol,0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G30))</f>
      </c>
      <c r="J30">
        <f>IF($K30&lt;=Mtol,"pole",IF(AND(D30&gt;=1,G30&gt;=1),"ok","CHECK: "&amp;D30&amp;"/"&amp;G30&amp;" cuts"))</f>
      </c>
      <c r="K30" s="18">
        <v>6501.570599436843</v>
      </c>
    </row>
    <row r="31" spans="2:11" x14ac:dyDescent="0.25">
      <c r="B31" s="35" t="s">
        <v>238</v>
      </c>
      <c r="C31" s="54" t="s">
        <v>363</v>
      </c>
      <c r="D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))</f>
      </c>
      <c r="E31" s="10">
        <f>IF($K31&lt;=Mtol,MxMy_FixedP!$DD$8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D31))</f>
      </c>
      <c r="F31" s="10">
        <f>IF($K31&lt;=Mtol,0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D31))</f>
      </c>
      <c r="G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))</f>
      </c>
      <c r="H31" s="10">
        <f>IF($K31&lt;=Mtol,MxMy_FixedP!$DD$8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G31))</f>
      </c>
      <c r="I31" s="10">
        <f>IF($K31&lt;=Mtol,0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G31))</f>
      </c>
      <c r="J31">
        <f>IF($K31&lt;=Mtol,"pole",IF(AND(D31&gt;=1,G31&gt;=1),"ok","CHECK: "&amp;D31&amp;"/"&amp;G31&amp;" cuts"))</f>
      </c>
      <c r="K31" s="18">
        <v>6115.04004208596</v>
      </c>
    </row>
    <row r="32" spans="2:11" x14ac:dyDescent="0.25">
      <c r="B32" s="35" t="s">
        <v>239</v>
      </c>
      <c r="C32" s="54" t="s">
        <v>364</v>
      </c>
      <c r="D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))</f>
      </c>
      <c r="E32" s="10">
        <f>IF($K32&lt;=Mtol,MxMy_FixedP!$DE$8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D32))</f>
      </c>
      <c r="F32" s="10">
        <f>IF($K32&lt;=Mtol,0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D32))</f>
      </c>
      <c r="G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))</f>
      </c>
      <c r="H32" s="10">
        <f>IF($K32&lt;=Mtol,MxMy_FixedP!$DE$8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G32))</f>
      </c>
      <c r="I32" s="10">
        <f>IF($K32&lt;=Mtol,0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G32))</f>
      </c>
      <c r="J32">
        <f>IF($K32&lt;=Mtol,"pole",IF(AND(D32&gt;=1,G32&gt;=1),"ok","CHECK: "&amp;D32&amp;"/"&amp;G32&amp;" cuts"))</f>
      </c>
      <c r="K32" s="18">
        <v>5755.775289101642</v>
      </c>
    </row>
    <row r="33" spans="2:11" x14ac:dyDescent="0.25">
      <c r="B33" s="35" t="s">
        <v>240</v>
      </c>
      <c r="C33" s="54" t="s">
        <v>365</v>
      </c>
      <c r="D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))</f>
      </c>
      <c r="E33" s="10">
        <f>IF($K33&lt;=Mtol,MxMy_FixedP!$DF$8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D33))</f>
      </c>
      <c r="F33" s="10">
        <f>IF($K33&lt;=Mtol,0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D33))</f>
      </c>
      <c r="G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))</f>
      </c>
      <c r="H33" s="10">
        <f>IF($K33&lt;=Mtol,MxMy_FixedP!$DF$8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G33))</f>
      </c>
      <c r="I33" s="10">
        <f>IF($K33&lt;=Mtol,0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G33))</f>
      </c>
      <c r="J33">
        <f>IF($K33&lt;=Mtol,"pole",IF(AND(D33&gt;=1,G33&gt;=1),"ok","CHECK: "&amp;D33&amp;"/"&amp;G33&amp;" cuts"))</f>
      </c>
      <c r="K33" s="18">
        <v>5002.944206054378</v>
      </c>
    </row>
    <row r="34" spans="2:11" x14ac:dyDescent="0.25">
      <c r="B34" s="35" t="s">
        <v>241</v>
      </c>
      <c r="C34" s="54" t="s">
        <v>366</v>
      </c>
      <c r="D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))</f>
      </c>
      <c r="E34" s="10">
        <f>IF($K34&lt;=Mtol,MxMy_FixedP!$DG$8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D34))</f>
      </c>
      <c r="F34" s="10">
        <f>IF($K34&lt;=Mtol,0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D34))</f>
      </c>
      <c r="G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))</f>
      </c>
      <c r="H34" s="10">
        <f>IF($K34&lt;=Mtol,MxMy_FixedP!$DG$8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G34))</f>
      </c>
      <c r="I34" s="10">
        <f>IF($K34&lt;=Mtol,0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G34))</f>
      </c>
      <c r="J34">
        <f>IF($K34&lt;=Mtol,"pole",IF(AND(D34&gt;=1,G34&gt;=1),"ok","CHECK: "&amp;D34&amp;"/"&amp;G34&amp;" cuts"))</f>
      </c>
      <c r="K34" s="18">
        <v>4328.180460907183</v>
      </c>
    </row>
    <row r="35" spans="2:11" x14ac:dyDescent="0.25">
      <c r="B35" s="35" t="s">
        <v>242</v>
      </c>
      <c r="C35" s="54" t="s">
        <v>367</v>
      </c>
      <c r="D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))</f>
      </c>
      <c r="E35" s="10">
        <f>IF($K35&lt;=Mtol,MxMy_FixedP!$DH$8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D35))</f>
      </c>
      <c r="F35" s="10">
        <f>IF($K35&lt;=Mtol,0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D35))</f>
      </c>
      <c r="G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))</f>
      </c>
      <c r="H35" s="10">
        <f>IF($K35&lt;=Mtol,MxMy_FixedP!$DH$8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G35))</f>
      </c>
      <c r="I35" s="10">
        <f>IF($K35&lt;=Mtol,0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G35))</f>
      </c>
      <c r="J35">
        <f>IF($K35&lt;=Mtol,"pole",IF(AND(D35&gt;=1,G35&gt;=1),"ok","CHECK: "&amp;D35&amp;"/"&amp;G35&amp;" cuts"))</f>
      </c>
      <c r="K35" s="18">
        <v>2722.625979221912</v>
      </c>
    </row>
    <row r="36" spans="2:11" x14ac:dyDescent="0.25">
      <c r="B36" s="35" t="s">
        <v>243</v>
      </c>
      <c r="C36" s="54" t="s">
        <v>368</v>
      </c>
      <c r="D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))</f>
      </c>
      <c r="E36" s="10">
        <f>IF($K36&lt;=Mtol,MxMy_FixedP!$DI$8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D36))</f>
      </c>
      <c r="F36" s="10">
        <f>IF($K36&lt;=Mtol,0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D36))</f>
      </c>
      <c r="G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))</f>
      </c>
      <c r="H36" s="10">
        <f>IF($K36&lt;=Mtol,MxMy_FixedP!$DI$8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G36))</f>
      </c>
      <c r="I36" s="10">
        <f>IF($K36&lt;=Mtol,0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G36))</f>
      </c>
      <c r="J36">
        <f>IF($K36&lt;=Mtol,"pole",IF(AND(D36&gt;=1,G36&gt;=1),"ok","CHECK: "&amp;D36&amp;"/"&amp;G36&amp;" cuts"))</f>
      </c>
      <c r="K36" s="18">
        <v>5.960464477539062e-14</v>
      </c>
    </row>
    <row r="38" spans="2:9" x14ac:dyDescent="0.25">
      <c r="B38" s="3" t="s">
        <v>369</v>
      </c>
      <c r="C38" s="3"/>
      <c r="D38" s="3"/>
      <c r="E38" s="3"/>
      <c r="F38" s="3"/>
      <c r="G38" s="3"/>
      <c r="H38" s="3"/>
      <c r="I38" s="3"/>
    </row>
    <row r="39" spans="2:3" x14ac:dyDescent="0.25">
      <c r="B39" t="s">
        <v>370</v>
      </c>
      <c r="C39" s="51">
        <f>Pu</f>
      </c>
    </row>
    <row r="40" spans="2:3" x14ac:dyDescent="0.25">
      <c r="B40" t="s">
        <v>371</v>
      </c>
      <c r="C40" s="51">
        <f>Mu</f>
      </c>
    </row>
    <row r="41" spans="2:3" x14ac:dyDescent="0.25">
      <c r="B41" t="s">
        <v>372</v>
      </c>
      <c r="C41" s="50">
        <f>MAX(1,MIN(26,SUMPRODUCT(--($E$10:$E$36&gt;=Pu))))</f>
      </c>
    </row>
    <row r="42" spans="2:3" x14ac:dyDescent="0.25">
      <c r="B42" t="s">
        <v>308</v>
      </c>
      <c r="C42" s="55">
        <f>IF((INDEX($E$10:$E$36,C41+1,1)-INDEX($E$10:$E$36,C41,1))=0,0,(Pu-INDEX($E$10:$E$36,C41,1))/(INDEX($E$10:$E$36,C41+1,1)-INDEX($E$10:$E$36,C41,1)))</f>
      </c>
    </row>
    <row r="43" spans="2:3" x14ac:dyDescent="0.25">
      <c r="B43" t="s">
        <v>373</v>
      </c>
      <c r="C43" s="51">
        <f>INDEX($F$10:$F$36,C41,1)+C42*(INDEX($F$10:$F$36,C41+1,1)-INDEX($F$10:$F$36,C41,1))</f>
      </c>
    </row>
    <row r="44" spans="2:3" x14ac:dyDescent="0.25">
      <c r="B44" t="s">
        <v>374</v>
      </c>
      <c r="C44" s="51">
        <f>Mb</f>
      </c>
    </row>
    <row r="45" spans="2:3" x14ac:dyDescent="0.25">
      <c r="B45" t="s">
        <v>375</v>
      </c>
      <c r="C45" s="51">
        <f>3972.3688973434664</f>
      </c>
    </row>
    <row r="46" spans="2:3" x14ac:dyDescent="0.25">
      <c r="B46" t="s">
        <v>376</v>
      </c>
      <c r="C46" s="55">
        <f>IF(NOT(ISNUMBER(Mb)),"n/a",(MAX(C43,Mb,C45)-MIN(C43,Mb,C45))/MAX(C43,Mb,C45)*100)</f>
      </c>
    </row>
    <row r="47" spans="2:3" x14ac:dyDescent="0.25">
      <c r="B47" t="s">
        <v>377</v>
      </c>
      <c r="C47" s="56">
        <f>IF(NOT(ISNUMBER(C46)),"n/a",IF(C46&lt;=0.5,"ok - within the configured direction-grid spread","CHECK - routes disagree beyond the sampling spread"))</f>
      </c>
    </row>
    <row r="48" spans="2:3" x14ac:dyDescent="0.25">
      <c r="B48" t="s">
        <v>326</v>
      </c>
      <c r="C48" s="52">
        <f>IF(C43&lt;=0,"n/a",Mu/C43)</f>
      </c>
    </row>
    <row r="50" spans="2:10" x14ac:dyDescent="0.25">
      <c r="B50" s="5" t="s">
        <v>378</v>
      </c>
      <c r="C50" s="5"/>
      <c r="D50" s="5"/>
      <c r="E50" s="5"/>
      <c r="F50" s="5"/>
      <c r="G50" s="5"/>
      <c r="H50" s="5"/>
      <c r="I50" s="5"/>
      <c r="J50" s="5"/>
    </row>
  </sheetData>
  <mergeCells count="7">
    <mergeCell ref="B1:M1"/>
    <mergeCell ref="B2:M3"/>
    <mergeCell ref="B8:C8"/>
    <mergeCell ref="D8:F8"/>
    <mergeCell ref="G8:I8"/>
    <mergeCell ref="B38:I38"/>
    <mergeCell ref="B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379</v>
      </c>
      <c r="C1" s="1"/>
      <c r="D1" s="1"/>
      <c r="E1" s="1"/>
    </row>
    <row r="2" ht="16" customHeight="1" spans="2:5" x14ac:dyDescent="0.25">
      <c r="B2" s="2" t="s">
        <v>380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381</v>
      </c>
      <c r="C6" s="3"/>
      <c r="D6" s="3"/>
      <c r="E6" s="3"/>
    </row>
    <row r="7" spans="2:5" x14ac:dyDescent="0.25">
      <c r="B7" t="s">
        <v>207</v>
      </c>
      <c r="C7" s="57">
        <v>0.001516186005200579</v>
      </c>
      <c r="D7" t="s">
        <v>17</v>
      </c>
      <c r="E7" s="5" t="s">
        <v>382</v>
      </c>
    </row>
    <row r="8" spans="2:5" x14ac:dyDescent="0.25">
      <c r="B8" t="s">
        <v>305</v>
      </c>
      <c r="C8" s="57">
        <v>0.000002375892659229933</v>
      </c>
      <c r="D8" t="s">
        <v>383</v>
      </c>
      <c r="E8" s="5" t="s">
        <v>384</v>
      </c>
    </row>
    <row r="9" spans="2:5" x14ac:dyDescent="0.25">
      <c r="B9" t="s">
        <v>306</v>
      </c>
      <c r="C9" s="57">
        <v>6.374808514492822e-7</v>
      </c>
      <c r="D9" t="s">
        <v>383</v>
      </c>
      <c r="E9" s="5" t="s">
        <v>385</v>
      </c>
    </row>
    <row r="11" spans="2:5" x14ac:dyDescent="0.25">
      <c r="B11" t="s">
        <v>386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387</v>
      </c>
      <c r="C12" s="11">
        <f>MOD(DEGREES(ATAN2(-Eq_kx,Eq_ky)),180)</f>
      </c>
      <c r="D12" t="s">
        <v>41</v>
      </c>
      <c r="E12" s="5" t="s">
        <v>388</v>
      </c>
    </row>
    <row r="13" spans="2:5" x14ac:dyDescent="0.25">
      <c r="B13" t="s">
        <v>389</v>
      </c>
      <c r="C13" s="11">
        <f>IF(AND(Mux=0,Muy=0),0,MOD(DEGREES(ATAN2(-Mux,Muy)),180))</f>
      </c>
      <c r="D13" t="s">
        <v>41</v>
      </c>
      <c r="E13" s="5" t="s">
        <v>390</v>
      </c>
    </row>
    <row r="14" spans="2:5" x14ac:dyDescent="0.25">
      <c r="B14" t="s">
        <v>391</v>
      </c>
      <c r="C14" s="11">
        <f>MIN(ABS(C12-C13),180-ABS(C12-C13))</f>
      </c>
      <c r="D14" t="s">
        <v>41</v>
      </c>
      <c r="E14" s="5" t="s">
        <v>392</v>
      </c>
    </row>
    <row r="16" spans="2:5" x14ac:dyDescent="0.25">
      <c r="B16" s="3" t="s">
        <v>393</v>
      </c>
      <c r="C16" s="3"/>
      <c r="D16" s="3"/>
      <c r="E16" s="3"/>
    </row>
    <row r="17" spans="2:3" x14ac:dyDescent="0.25">
      <c r="B17" t="s">
        <v>394</v>
      </c>
      <c r="C17" s="10">
        <f>SUMPRODUCT(Concrete!$L$8:$L$1264,Mesh_A)/1000</f>
      </c>
    </row>
    <row r="18" spans="2:3" x14ac:dyDescent="0.25">
      <c r="B18" t="s">
        <v>395</v>
      </c>
      <c r="C18" s="10">
        <f>SUMPRODUCT(Concrete!$L$8:$L$1264,Mesh_A,Mesh_Y)/1000000</f>
      </c>
    </row>
    <row r="19" spans="2:3" x14ac:dyDescent="0.25">
      <c r="B19" t="s">
        <v>396</v>
      </c>
      <c r="C19" s="10">
        <f>SUMPRODUCT(Concrete!$L$8:$L$1264,Mesh_A,Mesh_X)/1000000</f>
      </c>
    </row>
    <row r="20" spans="2:3" x14ac:dyDescent="0.25">
      <c r="B20" t="s">
        <v>397</v>
      </c>
      <c r="C20" s="10">
        <f>Steel!GQ6/1000</f>
      </c>
    </row>
    <row r="21" spans="2:3" x14ac:dyDescent="0.25">
      <c r="B21" t="s">
        <v>398</v>
      </c>
      <c r="C21" s="10">
        <f>Steel!GR6/1000000</f>
      </c>
    </row>
    <row r="22" spans="2:3" x14ac:dyDescent="0.25">
      <c r="B22" t="s">
        <v>399</v>
      </c>
      <c r="C22" s="10">
        <f>Steel!GS6/1000000</f>
      </c>
    </row>
    <row r="24" spans="2:5" x14ac:dyDescent="0.25">
      <c r="B24" s="3" t="s">
        <v>400</v>
      </c>
      <c r="C24" s="3"/>
      <c r="D24" s="3"/>
      <c r="E24" s="3"/>
    </row>
    <row r="25" spans="2:3" x14ac:dyDescent="0.25">
      <c r="B25" t="s">
        <v>401</v>
      </c>
      <c r="C25" s="39">
        <f>C17+C20</f>
      </c>
    </row>
    <row r="26" spans="2:3" x14ac:dyDescent="0.25">
      <c r="B26" t="s">
        <v>402</v>
      </c>
      <c r="C26" s="39">
        <f>C18+C21</f>
      </c>
    </row>
    <row r="27" spans="2:3" x14ac:dyDescent="0.25">
      <c r="B27" t="s">
        <v>403</v>
      </c>
      <c r="C27" s="39">
        <f>C19+C22</f>
      </c>
    </row>
    <row r="28" spans="2:3" x14ac:dyDescent="0.25">
      <c r="B28" t="s">
        <v>404</v>
      </c>
      <c r="C28" s="51">
        <f>Pu</f>
      </c>
    </row>
    <row r="29" spans="2:3" x14ac:dyDescent="0.25">
      <c r="B29" t="s">
        <v>405</v>
      </c>
      <c r="C29" s="51">
        <f>Mux</f>
      </c>
    </row>
    <row r="30" spans="2:3" x14ac:dyDescent="0.25">
      <c r="B30" t="s">
        <v>406</v>
      </c>
      <c r="C30" s="51">
        <f>Muy</f>
      </c>
    </row>
    <row r="32" spans="2:3" x14ac:dyDescent="0.25">
      <c r="B32" t="s">
        <v>407</v>
      </c>
      <c r="C32" s="11">
        <f>C25-C28</f>
      </c>
    </row>
    <row r="33" spans="2:3" x14ac:dyDescent="0.25">
      <c r="B33" t="s">
        <v>408</v>
      </c>
      <c r="C33" s="11">
        <f>C26-C29</f>
      </c>
    </row>
    <row r="34" spans="2:3" x14ac:dyDescent="0.25">
      <c r="B34" t="s">
        <v>409</v>
      </c>
      <c r="C34" s="11">
        <f>C27-C30</f>
      </c>
    </row>
    <row r="35" spans="2:3" x14ac:dyDescent="0.25">
      <c r="B35" t="s">
        <v>410</v>
      </c>
      <c r="C35" s="53">
        <f>MAX(ABS(C32)/MAX(ABS(Pu),1),ABS(C33)/MAX(ABS(Mux),1),ABS(C34)/MAX(ABS(Muy),1))</f>
      </c>
    </row>
    <row r="36" spans="2:5" x14ac:dyDescent="0.25">
      <c r="B36" t="s">
        <v>377</v>
      </c>
      <c r="C36" s="35">
        <f>IF(C35&lt;=0.0001,"in equilibrium","CHECK - the stored plane does not balance the demand")</f>
      </c>
      <c r="E36" s="5" t="s">
        <v>411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2026-08-11T11:54:48Z</dcterms:created>
  <dcterms:modified xsi:type="dcterms:W3CDTF">2026-08-11T11:54:48Z</dcterms:modified>
</cp:coreProperties>
</file>