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5.xml" ContentType="application/vnd.openxmlformats-officedocument.spreadsheetml.comments+xml"/>
  <Override PartName="/xl/comments8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put" state="visible" r:id="rId4"/>
    <sheet sheetId="2" name="Design_Check" state="visible" r:id="rId5"/>
    <sheet sheetId="3" name="Geometry" state="visible" r:id="rId6"/>
    <sheet sheetId="4" name="Mesh" state="visible" r:id="rId7"/>
    <sheet sheetId="5" name="PM_Angle" state="visible" r:id="rId8"/>
    <sheet sheetId="6" name="Concrete" state="visible" r:id="rId9"/>
    <sheet sheetId="7" name="Steel" state="visible" r:id="rId10"/>
    <sheet sheetId="8" name="MxMy_FixedP" state="visible" r:id="rId11"/>
    <sheet sheetId="9" name="PM_Theta" state="visible" r:id="rId12"/>
    <sheet sheetId="10" name="Equilibrium" state="visible" r:id="rId13"/>
  </sheets>
  <definedNames>
    <definedName name="fck">Input!$C$8</definedName>
    <definedName name="alpha_source">Input!$C$9</definedName>
    <definedName name="gamma_c">Input!$C$10</definedName>
    <definedName name="alpha">Input!$C$11</definedName>
    <definedName name="fcd">Input!$C$12</definedName>
    <definedName name="eco">Input!$C$13</definedName>
    <definedName name="ecu">Input!$C$14</definedName>
    <definedName name="n">Input!$C$15</definedName>
    <definedName name="Es">Input!$C$20</definedName>
    <definedName name="fy_char">Input!$C$21</definedName>
    <definedName name="gamma_s">Input!$C$22</definedName>
    <definedName name="fy">Input!$C$23</definedName>
    <definedName name="beta">Input!$C$28</definedName>
    <definedName name="etu">Input!$C$29</definedName>
    <definedName name="xc">Input!$C$30</definedName>
    <definedName name="yc">Input!$C$31</definedName>
    <definedName name="Pu">Input!$C$36</definedName>
    <definedName name="Mux">Input!$C$37</definedName>
    <definedName name="Muy">Input!$C$38</definedName>
    <definedName name="theta_L">Input!$C$40</definedName>
    <definedName name="Mu">Input!$C$41</definedName>
    <definedName name="Geom_Area">Geometry!$D$62</definedName>
    <definedName name="u_max">Geometry!$D$63</definedName>
    <definedName name="u_min">Geometry!$D$64</definedName>
    <definedName name="u_bar">Geometry!$D$65</definedName>
    <definedName name="u_C1">Geometry!$D$66</definedName>
    <definedName name="As_tot">Geometry!$D$68</definedName>
    <definedName name="Mesh_X">Mesh!$B$5:$B$1261</definedName>
    <definedName name="Mesh_Y">Mesh!$C$5:$C$1261</definedName>
    <definedName name="Mesh_A">Mesh!$D$5:$D$1261</definedName>
    <definedName name="St_e0">'PM_Angle'!$J$7:$J$33</definedName>
    <definedName name="St_kx">'PM_Angle'!$K$7:$K$33</definedName>
    <definedName name="St_ky">'PM_Angle'!$L$7:$L$33</definedName>
    <definedName name="Det">Concrete!$C$4</definedName>
    <definedName name="St_P">'PM_Angle'!$S$7:$S$33</definedName>
    <definedName name="St_Mx">'PM_Angle'!$T$7:$T$33</definedName>
    <definedName name="St_My">'PM_Angle'!$U$7:$U$33</definedName>
    <definedName name="Mb">'MxMy_FixedP'!$E$53</definedName>
    <definedName name="Mtol">'PM_Theta'!$C$7</definedName>
    <definedName name="Eq_e0">Equilibrium!$C$7</definedName>
    <definedName name="Eq_kx">Equilibrium!$C$8</definedName>
    <definedName name="Eq_ky">Equilibrium!$C$9</definedName>
  </definedNames>
  <calcPr calcId="171027" fullCalcOnLoad="1"/>
</workbook>
</file>

<file path=xl/comments5.xml><?xml version="1.0" encoding="utf-8"?>
<comments xmlns="http://schemas.openxmlformats.org/spreadsheetml/2006/main">
  <authors>
    <author>Author</author>
  </authors>
  <commentList>
    <comment ref="B7" authorId="0">
      <text>
        <r>
          <t>Pure compression</t>
        </r>
      </text>
    </comment>
    <comment ref="B8" authorId="0">
      <text>
        <r>
          <t>c/D = 3</t>
        </r>
      </text>
    </comment>
    <comment ref="B9" authorId="0">
      <text>
        <r>
          <t>c/D = 2</t>
        </r>
      </text>
    </comment>
    <comment ref="B10" authorId="0">
      <text>
        <r>
          <t>c/D = 1.5</t>
        </r>
      </text>
    </comment>
    <comment ref="B11" authorId="0">
      <text>
        <r>
          <t>c/D = 1.2</t>
        </r>
      </text>
    </comment>
    <comment ref="B12" authorId="0">
      <text>
        <r>
          <t>c/D = 1.1</t>
        </r>
      </text>
    </comment>
    <comment ref="B13" authorId="0">
      <text>
        <r>
          <t>c/D = 1</t>
        </r>
      </text>
    </comment>
    <comment ref="B14" authorId="0">
      <text>
        <r>
          <t>εₛ/εy = 0</t>
        </r>
      </text>
    </comment>
    <comment ref="G14" authorId="0">
      <text>
        <r>
          <t>Engine-resolved controlling-bar tensile strain at the requested εₛ/εy.</t>
        </r>
      </text>
    </comment>
    <comment ref="B15" authorId="0">
      <text>
        <r>
          <t>εₛ/εy = 0.25</t>
        </r>
      </text>
    </comment>
    <comment ref="G15" authorId="0">
      <text>
        <r>
          <t>Engine-resolved controlling-bar tensile strain at the requested εₛ/εy.</t>
        </r>
      </text>
    </comment>
    <comment ref="B16" authorId="0">
      <text>
        <r>
          <t>εₛ/εy = 0.375</t>
        </r>
      </text>
    </comment>
    <comment ref="G16" authorId="0">
      <text>
        <r>
          <t>Engine-resolved controlling-bar tensile strain at the requested εₛ/εy.</t>
        </r>
      </text>
    </comment>
    <comment ref="B17" authorId="0">
      <text>
        <r>
          <t>εₛ/εy = 0.5</t>
        </r>
      </text>
    </comment>
    <comment ref="G17" authorId="0">
      <text>
        <r>
          <t>Engine-resolved controlling-bar tensile strain at the requested εₛ/εy.</t>
        </r>
      </text>
    </comment>
    <comment ref="B18" authorId="0">
      <text>
        <r>
          <t>εₛ/εy = 0.625</t>
        </r>
      </text>
    </comment>
    <comment ref="G18" authorId="0">
      <text>
        <r>
          <t>Engine-resolved controlling-bar tensile strain at the requested εₛ/εy.</t>
        </r>
      </text>
    </comment>
    <comment ref="B19" authorId="0">
      <text>
        <r>
          <t>εₛ/εy = 0.75</t>
        </r>
      </text>
    </comment>
    <comment ref="G19" authorId="0">
      <text>
        <r>
          <t>Engine-resolved controlling-bar tensile strain at the requested εₛ/εy.</t>
        </r>
      </text>
    </comment>
    <comment ref="B20" authorId="0">
      <text>
        <r>
          <t>εₛ/εy = 0.875</t>
        </r>
      </text>
    </comment>
    <comment ref="G20" authorId="0">
      <text>
        <r>
          <t>Engine-resolved controlling-bar tensile strain at the requested εₛ/εy.</t>
        </r>
      </text>
    </comment>
    <comment ref="B21" authorId="0">
      <text>
        <r>
          <t>εₛ/εy = 1</t>
        </r>
      </text>
    </comment>
    <comment ref="G21" authorId="0">
      <text>
        <r>
          <t>Engine-resolved controlling-bar tensile strain at the requested εₛ/εy.</t>
        </r>
      </text>
    </comment>
    <comment ref="B22" authorId="0">
      <text>
        <r>
          <t>εₛ/εy = 1.25</t>
        </r>
      </text>
    </comment>
    <comment ref="G22" authorId="0">
      <text>
        <r>
          <t>Engine-resolved controlling-bar tensile strain at the requested εₛ/εy.</t>
        </r>
      </text>
    </comment>
    <comment ref="B23" authorId="0">
      <text>
        <r>
          <t>εₛ/εy = 1.5</t>
        </r>
      </text>
    </comment>
    <comment ref="G23" authorId="0">
      <text>
        <r>
          <t>Engine-resolved controlling-bar tensile strain at the requested εₛ/εy.</t>
        </r>
      </text>
    </comment>
    <comment ref="B24" authorId="0">
      <text>
        <r>
          <t>εₛ/εy = 1.75</t>
        </r>
      </text>
    </comment>
    <comment ref="G24" authorId="0">
      <text>
        <r>
          <t>Engine-resolved controlling-bar tensile strain at the requested εₛ/εy.</t>
        </r>
      </text>
    </comment>
    <comment ref="B25" authorId="0">
      <text>
        <r>
          <t>εₛ/εy = 2</t>
        </r>
      </text>
    </comment>
    <comment ref="G25" authorId="0">
      <text>
        <r>
          <t>Engine-resolved controlling-bar tensile strain at the requested εₛ/εy.</t>
        </r>
      </text>
    </comment>
    <comment ref="B26" authorId="0">
      <text>
        <r>
          <t>εₛ/εy = 2.5</t>
        </r>
      </text>
    </comment>
    <comment ref="G26" authorId="0">
      <text>
        <r>
          <t>Engine-resolved controlling-bar tensile strain at the requested εₛ/εy.</t>
        </r>
      </text>
    </comment>
    <comment ref="B27" authorId="0">
      <text>
        <r>
          <t>εₛ/εy = 3</t>
        </r>
      </text>
    </comment>
    <comment ref="G27" authorId="0">
      <text>
        <r>
          <t>Engine-resolved controlling-bar tensile strain at the requested εₛ/εy.</t>
        </r>
      </text>
    </comment>
    <comment ref="B28" authorId="0">
      <text>
        <r>
          <t>εₛ/εy = 4</t>
        </r>
      </text>
    </comment>
    <comment ref="G28" authorId="0">
      <text>
        <r>
          <t>Engine-resolved controlling-bar tensile strain at the requested εₛ/εy.</t>
        </r>
      </text>
    </comment>
    <comment ref="B29" authorId="0">
      <text>
        <r>
          <t>εₛ/εy = 5</t>
        </r>
      </text>
    </comment>
    <comment ref="G29" authorId="0">
      <text>
        <r>
          <t>Engine-resolved controlling-bar tensile strain at the requested εₛ/εy.</t>
        </r>
      </text>
    </comment>
    <comment ref="B30" authorId="0">
      <text>
        <r>
          <t>εₛ/εy = 7.5</t>
        </r>
      </text>
    </comment>
    <comment ref="G30" authorId="0">
      <text>
        <r>
          <t>Engine-resolved controlling-bar tensile strain at the requested εₛ/εy.</t>
        </r>
      </text>
    </comment>
    <comment ref="B31" authorId="0">
      <text>
        <r>
          <t>εₛ/εy = 10</t>
        </r>
      </text>
    </comment>
    <comment ref="G31" authorId="0">
      <text>
        <r>
          <t>Engine-resolved controlling-bar tensile strain at the requested εₛ/εy.</t>
        </r>
      </text>
    </comment>
    <comment ref="B32" authorId="0">
      <text>
        <r>
          <t>εₛ/εy = 20</t>
        </r>
      </text>
    </comment>
    <comment ref="G32" authorId="0">
      <text>
        <r>
          <t>Engine-resolved controlling-bar tensile strain at the requested εₛ/εy.</t>
        </r>
      </text>
    </comment>
    <comment ref="B33" authorId="0">
      <text>
        <r>
          <t>Pure tension</t>
        </r>
      </text>
    </comment>
  </commentList>
</comments>
</file>

<file path=xl/comments8.xml><?xml version="1.0" encoding="utf-8"?>
<comments xmlns="http://schemas.openxmlformats.org/spreadsheetml/2006/main">
  <authors>
    <author>Author</author>
  </authors>
  <commentList>
    <comment ref="B44" authorId="0">
      <text>
        <r>
          <t>Same direction as the first row, repeated so ring ranges are contiguous.</t>
        </r>
      </text>
    </comment>
  </commentList>
</comments>
</file>

<file path=xl/sharedStrings.xml><?xml version="1.0" encoding="utf-8"?>
<sst xmlns="http://schemas.openxmlformats.org/spreadsheetml/2006/main" count="983" uniqueCount="412">
  <si>
    <t>P–M–M SECTION CALCULATION — DESIGN RESISTANCE</t>
  </si>
  <si>
    <t>Project</t>
  </si>
  <si>
    <t>PM-advanced (7) 2D reference case</t>
  </si>
  <si>
    <t>Every value on a shaded input cell drives live formulas on the other sheets. Only the Mesh, Geometry and bar tables hold engine-computed constants.</t>
  </si>
  <si>
    <t>Section</t>
  </si>
  <si>
    <t>PM-advanced (7) 2D — 1500x1200 chamfered section, two voids</t>
  </si>
  <si>
    <t>Generated</t>
  </si>
  <si>
    <t>2026-08-11 08:16:25</t>
  </si>
  <si>
    <t>Concrete</t>
  </si>
  <si>
    <t>standard</t>
  </si>
  <si>
    <t>KDS</t>
  </si>
  <si>
    <t/>
  </si>
  <si>
    <t>KDS C30 (workbook Input)</t>
  </si>
  <si>
    <t>fck</t>
  </si>
  <si>
    <t>MPa</t>
  </si>
  <si>
    <t>characteristic/input strength</t>
  </si>
  <si>
    <t>α source</t>
  </si>
  <si>
    <t>-</t>
  </si>
  <si>
    <t>α_cc for EN 1992, α₁/block factor for other families</t>
  </si>
  <si>
    <t>γc</t>
  </si>
  <si>
    <t>not applied by this material family</t>
  </si>
  <si>
    <t>α_eff</t>
  </si>
  <si>
    <t>stress multiplier used by formulas</t>
  </si>
  <si>
    <t>fcd = α_eff·fck</t>
  </si>
  <si>
    <t>εco</t>
  </si>
  <si>
    <t>εcu</t>
  </si>
  <si>
    <t>n</t>
  </si>
  <si>
    <t>law</t>
  </si>
  <si>
    <t>KDS parabola-rectangle: fc = α·fck·(1−(1−ε/εco)^n) up to εco, then α·fck</t>
  </si>
  <si>
    <t>Reinforcement</t>
  </si>
  <si>
    <t>SD400 (workbook Input)</t>
  </si>
  <si>
    <t>Es</t>
  </si>
  <si>
    <t>fy (characteristic)</t>
  </si>
  <si>
    <t>γs</t>
  </si>
  <si>
    <t>fy (model) / fyd</t>
  </si>
  <si>
    <t>yield stress used by formulas</t>
  </si>
  <si>
    <t>εy = fyd/Es</t>
  </si>
  <si>
    <t>used by the fₛ/fyd stations</t>
  </si>
  <si>
    <t>Elastic – perfectly plastic: fs = clamp(Es·ε, −fy, +fy)</t>
  </si>
  <si>
    <t>Analysis</t>
  </si>
  <si>
    <t>β (strain direction)</t>
  </si>
  <si>
    <t>deg</t>
  </si>
  <si>
    <t>strain-gradient direction of the audited states; not the N.A. line angle; drives Geometry, PM_Angle, Concrete, Steel</t>
  </si>
  <si>
    <t>εtu</t>
  </si>
  <si>
    <t>uniform strain used for station P18</t>
  </si>
  <si>
    <t>xc</t>
  </si>
  <si>
    <t>mm</t>
  </si>
  <si>
    <t>analysis origin = net concrete centroid</t>
  </si>
  <si>
    <t>yc</t>
  </si>
  <si>
    <t>all X, Y below are measured from it</t>
  </si>
  <si>
    <t>mesh cell size</t>
  </si>
  <si>
    <t>clipped-cell grid, docs/02 §5</t>
  </si>
  <si>
    <t>mesh points</t>
  </si>
  <si>
    <t>3-point degree-2 rule per clipped triangle</t>
  </si>
  <si>
    <t>Demand</t>
  </si>
  <si>
    <t>Pu</t>
  </si>
  <si>
    <t>kN</t>
  </si>
  <si>
    <t>ULS-1 workbook Newton demand (on the 15 deg surface)</t>
  </si>
  <si>
    <t>Mux</t>
  </si>
  <si>
    <t>kN·m</t>
  </si>
  <si>
    <t>Muy</t>
  </si>
  <si>
    <t>θ_L (demand direction)</t>
  </si>
  <si>
    <t>atan2 of the demand moment vector. Used only to query the finished surface (MxMy_FixedP, PM_Theta). It is not the strain-plane angle β above.</t>
  </si>
  <si>
    <t>Mu resultant</t>
  </si>
  <si>
    <t>αNA (N.A. axis in section x-y)</t>
  </si>
  <si>
    <t>Undirected ε = 0 line angle, CCW from section +x. This is the line angle corresponding to β.</t>
  </si>
  <si>
    <t>α⊥ (axis perpendicular to Rₘ)</t>
  </si>
  <si>
    <t>Reference line perpendicular to the in-section bending direction Rₘ = (Muy,Mux).</t>
  </si>
  <si>
    <t>Δα = angle(N.A., ⊥Rₘ)</t>
  </si>
  <si>
    <t>Smallest angle between two undirected section lines. This is the valid N.A. comparison.</t>
  </si>
  <si>
    <t>Net concrete area (from mesh)</t>
  </si>
  <si>
    <t>mm²</t>
  </si>
  <si>
    <t>What is a formula and what is an engine value</t>
  </si>
  <si>
    <t>Mesh No, X, Y, A</t>
  </si>
  <si>
    <t>engine value</t>
  </si>
  <si>
    <t>polygon clipping and quadrature cannot be written as spreadsheet formulas</t>
  </si>
  <si>
    <t>Geometry vertices, bar schedule</t>
  </si>
  <si>
    <t>input data</t>
  </si>
  <si>
    <t>Material law</t>
  </si>
  <si>
    <t>formula</t>
  </si>
  <si>
    <t>algebra over the named inputs, so fck and fy stay live</t>
  </si>
  <si>
    <t>Station strain planes</t>
  </si>
  <si>
    <t>formula plus resolved material inverses at β; engine values on direction grid</t>
  </si>
  <si>
    <t>PM_Angle exposes geometric schedule algebra; fₛ/fyd inversion and MxMy_FixedP states come from the compiled material engine</t>
  </si>
  <si>
    <t>Fibre and bar ledger (Concrete, Steel)</t>
  </si>
  <si>
    <t>the audit trail a reviewer follows term by term</t>
  </si>
  <si>
    <t>Station totals at β (PM_Angle)</t>
  </si>
  <si>
    <t>SUMPRODUCT of the law over the mesh</t>
  </si>
  <si>
    <t>36 x 27 surface integrals (MxMy_FixedP)</t>
  </si>
  <si>
    <t>2916 resultant values avoid mesh-wide array formulas; two sentinels flag a stale import</t>
  </si>
  <si>
    <t>Contour, ray query, plane cut, interpolation</t>
  </si>
  <si>
    <t>this is the logic under audit, so it stays visible</t>
  </si>
  <si>
    <t>Converged strain plane (Equilibrium)</t>
  </si>
  <si>
    <t>Newton needs d(σ)/d(ε), which a tabulated law does not have in closed form</t>
  </si>
  <si>
    <t>Equilibrium residual</t>
  </si>
  <si>
    <t>the workbook proves the stored plane balances the demand</t>
  </si>
  <si>
    <t>GOVERNING DESIGN-RESISTANCE CHECK</t>
  </si>
  <si>
    <t>The design surface is authoritative for acceptance. Nominal/reference results remain available for audit and are never compared directly with factored ULS demand.</t>
  </si>
  <si>
    <t>Profile identity</t>
  </si>
  <si>
    <t>Organization</t>
  </si>
  <si>
    <t>MOLIT/KDS</t>
  </si>
  <si>
    <t>Profile publisher</t>
  </si>
  <si>
    <t>Document</t>
  </si>
  <si>
    <t>KDS 2024 current set · resistance: KDS 14 20 10:2021 + KDS 14 20 20:2022</t>
  </si>
  <si>
    <t>Exact code document selected in the project</t>
  </si>
  <si>
    <t>Edition</t>
  </si>
  <si>
    <t>2024 partial-revision framework (effective 2025-01-05)</t>
  </si>
  <si>
    <t>MOLIT Notice 2024-879, 2024-12-30</t>
  </si>
  <si>
    <t>Method ID</t>
  </si>
  <si>
    <t>kds-2024-current-set-global-strength-reduction</t>
  </si>
  <si>
    <t>Profile 1.0.0</t>
  </si>
  <si>
    <t>Resistance format</t>
  </si>
  <si>
    <t>globalResultantFactor</t>
  </si>
  <si>
    <t>Determines whether factors act on resultants or material strengths</t>
  </si>
  <si>
    <t>Profile status</t>
  </si>
  <si>
    <t>draft</t>
  </si>
  <si>
    <t>Unmodified profile snapshot</t>
  </si>
  <si>
    <t>Concrete model basis</t>
  </si>
  <si>
    <t>Code-default</t>
  </si>
  <si>
    <t>Resolved by the calculation profile</t>
  </si>
  <si>
    <t>Override reason</t>
  </si>
  <si>
    <t>None</t>
  </si>
  <si>
    <t>Resistance factors</t>
  </si>
  <si>
    <t>φ compression · ties/other</t>
  </si>
  <si>
    <t>Global factor on Pn, Mnx and Mny</t>
  </si>
  <si>
    <t>φ compression · spiral</t>
  </si>
  <si>
    <t>Used only for qualifying spiral classification</t>
  </si>
  <si>
    <t>φ tension-controlled</t>
  </si>
  <si>
    <t>Global factor on the complete resultant ledger</t>
  </si>
  <si>
    <t>Transition fixed strain limit</t>
  </si>
  <si>
    <t>Fixed through fy = 400 MPa; above: 2.5 eps_y</t>
  </si>
  <si>
    <t>Maximum axial ratio · ties/other</t>
  </si>
  <si>
    <t>Applied after φ</t>
  </si>
  <si>
    <t>Maximum axial ratio · spiral</t>
  </si>
  <si>
    <t>Transverse reinforcement</t>
  </si>
  <si>
    <t>other</t>
  </si>
  <si>
    <t>Project classification</t>
  </si>
  <si>
    <t>Axial cap</t>
  </si>
  <si>
    <t>Enabled</t>
  </si>
  <si>
    <t>Project setting</t>
  </si>
  <si>
    <t>Factored ULS demand versus design surface</t>
  </si>
  <si>
    <t>Action basis</t>
  </si>
  <si>
    <t>factoredULS</t>
  </si>
  <si>
    <t>Pipeline: factored ULS demand → 3D demand ray → design-resistance surface → UR = 1/λ.</t>
  </si>
  <si>
    <t>Loadcase</t>
  </si>
  <si>
    <t>3D proportional UR</t>
  </si>
  <si>
    <t>Governing reported section utilization</t>
  </si>
  <si>
    <t>Fixed-P UR</t>
  </si>
  <si>
    <t>n/a</t>
  </si>
  <si>
    <t>Secondary diagnostic at Pu</t>
  </si>
  <si>
    <t>Verdict</t>
  </si>
  <si>
    <t>INADEQUATE</t>
  </si>
  <si>
    <t>Fixed-grid checks use ADEQUATE / INDETERMINATE / INADEQUATE screening; indeterminate requires Adaptive sampling</t>
  </si>
  <si>
    <t>UR screening interval</t>
  </si>
  <si>
    <t>1.5092 – 1.5708</t>
  </si>
  <si>
    <t>fixed-grid-screening-margin</t>
  </si>
  <si>
    <t>Capacity P</t>
  </si>
  <si>
    <t>Demand-ray intersection</t>
  </si>
  <si>
    <t>Capacity Mx</t>
  </si>
  <si>
    <t>Capacity My</t>
  </si>
  <si>
    <t>Controlling factor</t>
  </si>
  <si>
    <t>compression-controlled</t>
  </si>
  <si>
    <t>εt,control</t>
  </si>
  <si>
    <t>Recorded when a global factor is state-dependent</t>
  </si>
  <si>
    <t>GEOMETRY ABOUT THE ANALYSIS ORIGIN</t>
  </si>
  <si>
    <t>Coordinates are engine constants, already translated by (xc, yc). Everything else on this sheet is a formula.</t>
  </si>
  <si>
    <t>Solid 1 outer</t>
  </si>
  <si>
    <t>No.</t>
  </si>
  <si>
    <t>Ring</t>
  </si>
  <si>
    <t>X (mm)</t>
  </si>
  <si>
    <t>Y (mm)</t>
  </si>
  <si>
    <t>D_i</t>
  </si>
  <si>
    <t>u = Y·cosθ + X·sinθ</t>
  </si>
  <si>
    <t>Area = ½·Σ D_i</t>
  </si>
  <si>
    <t>Solid 1 hole 1</t>
  </si>
  <si>
    <t>Solid 1 hole 2</t>
  </si>
  <si>
    <t>Dia (mm)</t>
  </si>
  <si>
    <t>As (mm²)</t>
  </si>
  <si>
    <t>Derived properties (all formulas)</t>
  </si>
  <si>
    <t>Net area A</t>
  </si>
  <si>
    <t>shoelace over every ring</t>
  </si>
  <si>
    <t>u_max</t>
  </si>
  <si>
    <t>extreme compression fibre, outer rings only</t>
  </si>
  <si>
    <t>u_min</t>
  </si>
  <si>
    <t>u_s,tension</t>
  </si>
  <si>
    <t>farthest tension bar</t>
  </si>
  <si>
    <t>C1 = u_max − u_s,tension</t>
  </si>
  <si>
    <t>Depth h = u_max − u_min</t>
  </si>
  <si>
    <t>Total As</t>
  </si>
  <si>
    <t>CONCRETE INTEGRATION MESH — ENGINE CONSTANTS</t>
  </si>
  <si>
    <t>Quadrature points of the clipped-cell mesh (docs/02 §5). X, Y are measured from the analysis origin; A is the tributary area. These four columns are the only geometric constants the workbook needs.</t>
  </si>
  <si>
    <t>A (mm²)</t>
  </si>
  <si>
    <t>P–M ENVELOPE AT β (STRAIN DIRECTION) — 27 STATIONS, NOMINAL</t>
  </si>
  <si>
    <t>Strain-plane sampling angle β = 15.00 deg. This is a resistance sampling row, not the demand-direction diagram — see PM_Theta for that. Shaded cells are the station schedule.</t>
  </si>
  <si>
    <t>Station definition</t>
  </si>
  <si>
    <t>Strain plane (formula)</t>
  </si>
  <si>
    <t>Steel</t>
  </si>
  <si>
    <t>Total (nominal)</t>
  </si>
  <si>
    <t>Engine check</t>
  </si>
  <si>
    <t>Point</t>
  </si>
  <si>
    <t>c/D or c/c₁</t>
  </si>
  <si>
    <t>εₛ/εy or fₛ/fyd</t>
  </si>
  <si>
    <t>εs</t>
  </si>
  <si>
    <t>u_ctrl (mm)</t>
  </si>
  <si>
    <t>ε_ctrl</t>
  </si>
  <si>
    <t>c (mm)</t>
  </si>
  <si>
    <t>κ (1/mm)</t>
  </si>
  <si>
    <t>ε₀</t>
  </si>
  <si>
    <t>κx (1/mm)</t>
  </si>
  <si>
    <t>κy (1/mm)</t>
  </si>
  <si>
    <t>P (kN)</t>
  </si>
  <si>
    <t>Mx (kN·m)</t>
  </si>
  <si>
    <t>My (kN·m)</t>
  </si>
  <si>
    <t>|M| (kN·m)</t>
  </si>
  <si>
    <t>P engine (kN)</t>
  </si>
  <si>
    <t>Δ P (%)</t>
  </si>
  <si>
    <t>P0</t>
  </si>
  <si>
    <t>—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</si>
  <si>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</si>
  <si>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</si>
  <si>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</si>
  <si>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</si>
  <si>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</si>
  <si>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</si>
  <si>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</si>
  <si>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</si>
  <si>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</si>
  <si>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</si>
  <si>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</si>
  <si>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</si>
  <si>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</si>
  <si>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</si>
  <si>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</si>
  <si>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</si>
  <si>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</si>
  <si>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</si>
  <si>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</si>
  <si>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</si>
  <si>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</si>
  <si>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</si>
  <si>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</si>
  <si>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</si>
  <si>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</si>
  <si>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</si>
  <si>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Where the demand check lives</t>
  </si>
  <si>
    <t>This table is the resistance sampled at β. The moment direction of each row is atan2(My, Mx) of that row, which is generally not β.</t>
  </si>
  <si>
    <t>Capacity against the demand: MxMy_FixedP intersects the P = Pu contour with the ray at θ_L; PM_Theta cuts the surface with the plane Mx·sin(θ_L) − My·cos(θ_L) = 0.</t>
  </si>
  <si>
    <t>β of this sheet vs θ_L of the demand (deg)</t>
  </si>
  <si>
    <t>CONCRETE — FIBRE STRAIN AND STRESS PER STATION</t>
  </si>
  <si>
    <t>ε = ε₀ + κx·Y + κy·X    |    fc = KDS parabola-rectangle: fc = α·fck·(1−(1−ε/εco)^n) up to εco, then α·fck</t>
  </si>
  <si>
    <t>Columns A-D mirror the Mesh sheet. Columns E-I expand the full force/moment ledger for the station chosen in cell C4. The 27 station totals on PM_Angle integrate the same law over the same mesh without materialising 27 more column blocks.</t>
  </si>
  <si>
    <t>Detail station (0…26)</t>
  </si>
  <si>
    <t>At the converged equilibrium state</t>
  </si>
  <si>
    <t>ε</t>
  </si>
  <si>
    <t>fc (MPa)</t>
  </si>
  <si>
    <t>Fc (N)</t>
  </si>
  <si>
    <t>Mcx (N·mm)</t>
  </si>
  <si>
    <t>Mcy (N·mm)</t>
  </si>
  <si>
    <t>SUM</t>
  </si>
  <si>
    <t>REINFORCEMENT — PER BAR, ALL 27 STATIONS</t>
  </si>
  <si>
    <t>fs = Elastic – perfectly plastic: fs = clamp(Es·ε, −fy, +fy). The bar force uses fs,eff = fs − fc so the concrete displaced by the bar is not counted twice (docs/11 §3.3).</t>
  </si>
  <si>
    <t>fs (MPa)</t>
  </si>
  <si>
    <t>fs,eff (MPa)</t>
  </si>
  <si>
    <t>Fs (N)</t>
  </si>
  <si>
    <t>Msx (N·mm)</t>
  </si>
  <si>
    <t>Msy (N·mm)</t>
  </si>
  <si>
    <t>Mx–My INTERACTION CONTOUR AT P = Pu</t>
  </si>
  <si>
    <t>Each of the 36 directions repeats the 27-station schedule. The strain planes and P, Mx, My mesh integrals are engine values (shaded grey); contour, ray query and interpolation remain formulas.</t>
  </si>
  <si>
    <t>Direction</t>
  </si>
  <si>
    <t>P0 plane</t>
  </si>
  <si>
    <t>P1 plane</t>
  </si>
  <si>
    <t>P2 plane</t>
  </si>
  <si>
    <t>P3 plane</t>
  </si>
  <si>
    <t>P4 plane</t>
  </si>
  <si>
    <t>P5 plane</t>
  </si>
  <si>
    <t>P6 plane</t>
  </si>
  <si>
    <t>P7 plane</t>
  </si>
  <si>
    <t>P8 plane</t>
  </si>
  <si>
    <t>P9 plane</t>
  </si>
  <si>
    <t>P10 plane</t>
  </si>
  <si>
    <t>P11 plane</t>
  </si>
  <si>
    <t>P12 plane</t>
  </si>
  <si>
    <t>P13 plane</t>
  </si>
  <si>
    <t>P14 plane</t>
  </si>
  <si>
    <t>P15 plane</t>
  </si>
  <si>
    <t>P16 plane</t>
  </si>
  <si>
    <t>P17 plane</t>
  </si>
  <si>
    <t>P18 plane</t>
  </si>
  <si>
    <t>P19 plane</t>
  </si>
  <si>
    <t>P20 plane</t>
  </si>
  <si>
    <t>P21 plane</t>
  </si>
  <si>
    <t>P22 plane</t>
  </si>
  <si>
    <t>P23 plane</t>
  </si>
  <si>
    <t>P24 plane</t>
  </si>
  <si>
    <t>P25 plane</t>
  </si>
  <si>
    <t>P26 plane</t>
  </si>
  <si>
    <t>Station P (kN)</t>
  </si>
  <si>
    <t>Station Mx (kN·m)</t>
  </si>
  <si>
    <t>Station My (kN·m)</t>
  </si>
  <si>
    <t>Contour at P = Pu</t>
  </si>
  <si>
    <t>Ray at θ_L (demand direction)</t>
  </si>
  <si>
    <t>β (deg)</t>
  </si>
  <si>
    <t>u_max (mm)</t>
  </si>
  <si>
    <t>u_bar (mm)</t>
  </si>
  <si>
    <t>C1 (mm)</t>
  </si>
  <si>
    <t>κx</t>
  </si>
  <si>
    <t>κy</t>
  </si>
  <si>
    <t>k</t>
  </si>
  <si>
    <t>t</t>
  </si>
  <si>
    <t>edge dx</t>
  </si>
  <si>
    <t>edge dy</t>
  </si>
  <si>
    <t>cross(e,d)</t>
  </si>
  <si>
    <t>q</t>
  </si>
  <si>
    <t>M on ray</t>
  </si>
  <si>
    <t>admissible M</t>
  </si>
  <si>
    <t>wrap</t>
  </si>
  <si>
    <t>Imported-surface consistency</t>
  </si>
  <si>
    <t>P0 pure compression: grid vs PM_Angle</t>
  </si>
  <si>
    <t>P26 pure tension: grid vs PM_Angle</t>
  </si>
  <si>
    <t>Capacity in the demand direction at P = Pu</t>
  </si>
  <si>
    <t>θ_L (deg)</t>
  </si>
  <si>
    <t>crossings found</t>
  </si>
  <si>
    <t>Mb (kN·m)</t>
  </si>
  <si>
    <t>Mbx = Mb·cos(θ_L)</t>
  </si>
  <si>
    <t>Mby = Mb·sin(θ_L)</t>
  </si>
  <si>
    <t>Mu (kN·m)</t>
  </si>
  <si>
    <t>Mu / Mb  (fixed-axial moment ratio)</t>
  </si>
  <si>
    <t>Mu / Mb is the secondary fixed-axial metric of docs/engineering/05. It is not total utilisation and is undefined for a pure axial demand.</t>
  </si>
  <si>
    <t>GEOMETRIC P–Mθ DEMAND-PLANE DIAGNOSTIC</t>
  </si>
  <si>
    <t>Independent plane-cut diagnostic on the fixed surface. The application Vertical chart is a direct fixed or exact-β meridian, not this demand-moment plane.</t>
  </si>
  <si>
    <t>β of the detail sheets (deg)</t>
  </si>
  <si>
    <t>Different angles by construction: β orients the strain plane, θ_L orients the moment vector.</t>
  </si>
  <si>
    <t>moment tolerance</t>
  </si>
  <si>
    <t>A station whose whole ring is below this radius is a pole: it lies in every vertical plane, so its section point is (P, Mθ = 0).</t>
  </si>
  <si>
    <t>Station</t>
  </si>
  <si>
    <t>+M branch (demand side)</t>
  </si>
  <si>
    <t>-M branch (opposite)</t>
  </si>
  <si>
    <t>Check</t>
  </si>
  <si>
    <t>definition</t>
  </si>
  <si>
    <t>cuts</t>
  </si>
  <si>
    <t>Mθ (kN·m)</t>
  </si>
  <si>
    <t>ring closes</t>
  </si>
  <si>
    <t>Pure compression</t>
  </si>
  <si>
    <t>c/D = 3</t>
  </si>
  <si>
    <t>c/D = 2</t>
  </si>
  <si>
    <t>c/D = 1.5</t>
  </si>
  <si>
    <t>c/D = 1.2</t>
  </si>
  <si>
    <t>c/D = 1.1</t>
  </si>
  <si>
    <t>c/D = 1</t>
  </si>
  <si>
    <t>εₛ/εy = 0</t>
  </si>
  <si>
    <t>εₛ/εy = 0.25</t>
  </si>
  <si>
    <t>εₛ/εy = 0.375</t>
  </si>
  <si>
    <t>εₛ/εy = 0.5</t>
  </si>
  <si>
    <t>εₛ/εy = 0.625</t>
  </si>
  <si>
    <t>εₛ/εy = 0.75</t>
  </si>
  <si>
    <t>εₛ/εy = 0.875</t>
  </si>
  <si>
    <t>εₛ/εy = 1</t>
  </si>
  <si>
    <t>εₛ/εy = 1.25</t>
  </si>
  <si>
    <t>εₛ/εy = 1.5</t>
  </si>
  <si>
    <t>εₛ/εy = 1.75</t>
  </si>
  <si>
    <t>εₛ/εy = 2</t>
  </si>
  <si>
    <t>εₛ/εy = 2.5</t>
  </si>
  <si>
    <t>εₛ/εy = 3</t>
  </si>
  <si>
    <t>εₛ/εy = 4</t>
  </si>
  <si>
    <t>εₛ/εy = 5</t>
  </si>
  <si>
    <t>εₛ/εy = 7.5</t>
  </si>
  <si>
    <t>εₛ/εy = 10</t>
  </si>
  <si>
    <t>εₛ/εy = 20</t>
  </si>
  <si>
    <t>Pure tension</t>
  </si>
  <si>
    <t>Demand on the +M branch</t>
  </si>
  <si>
    <t>Pu (kN)</t>
  </si>
  <si>
    <t>Mu in the θ_L direction (kN·m)</t>
  </si>
  <si>
    <t>bracketing station k</t>
  </si>
  <si>
    <t>Mb from this section (kN·m)</t>
  </si>
  <si>
    <t>Mb from the fixed-P ray query (kN·m)</t>
  </si>
  <si>
    <t>Mb from the engine triangle mesh (kN·m)</t>
  </si>
  <si>
    <t>spread over the three routes (%)</t>
  </si>
  <si>
    <t>verdict</t>
  </si>
  <si>
    <t>Three independent readings of the same 36x27 samples: the plane cut of the station rings, the ray on the P = Pu contour, and the engine triangle mesh. Their spread is direction-sampling error, not formula error.</t>
  </si>
  <si>
    <t>EQUILIBRIUM CHECK OF THE CONVERGED STRAIN PLANE</t>
  </si>
  <si>
    <t>Newton-Raphson needs the tangent modulus d(σ)/d(ε). A material given only as points has no closed-form derivative, so the iteration and its Jacobian belong to the program. The workbook does the part a reviewer actually needs: take the converged plane as given and prove by formula that it is in equilibrium with the demand.</t>
  </si>
  <si>
    <t>Converged strain plane — engine values</t>
  </si>
  <si>
    <t>strain at the analysis origin</t>
  </si>
  <si>
    <t>1/mm</t>
  </si>
  <si>
    <t>curvature about x</t>
  </si>
  <si>
    <t>curvature about y</t>
  </si>
  <si>
    <t>strain direction βeq = atan2(κy, κx)</t>
  </si>
  <si>
    <t>N.A. axis αNA (section x-y)</t>
  </si>
  <si>
    <t>tangent (-κx,κy) to the actual ε = 0 line</t>
  </si>
  <si>
    <t>reference axis α⊥ = ⊥Rₘ</t>
  </si>
  <si>
    <t>reference tangent (-Mux,Muy), perpendicular to Rₘ = (Muy,Mux)</t>
  </si>
  <si>
    <t>angular deviation Δα</t>
  </si>
  <si>
    <t>smallest angle between the actual N.A. and the perpendicular reference axis</t>
  </si>
  <si>
    <t>Section response at that plane — formulas</t>
  </si>
  <si>
    <t>Concrete P (kN)</t>
  </si>
  <si>
    <t>Concrete Mx (kN·m)</t>
  </si>
  <si>
    <t>Concrete My (kN·m)</t>
  </si>
  <si>
    <t>Steel P (kN)</t>
  </si>
  <si>
    <t>Steel Mx (kN·m)</t>
  </si>
  <si>
    <t>Steel My (kN·m)</t>
  </si>
  <si>
    <t>Residual against the demand</t>
  </si>
  <si>
    <t>P total (kN)</t>
  </si>
  <si>
    <t>Mx total (kN·m)</t>
  </si>
  <si>
    <t>My total (kN·m)</t>
  </si>
  <si>
    <t>Pu demand (kN)</t>
  </si>
  <si>
    <t>Mux demand (kN·m)</t>
  </si>
  <si>
    <t>Muy demand (kN·m)</t>
  </si>
  <si>
    <t>residual P (kN)</t>
  </si>
  <si>
    <t>residual Mx (kN·m)</t>
  </si>
  <si>
    <t>residual My (kN·m)</t>
  </si>
  <si>
    <t>relative residual</t>
  </si>
  <si>
    <t>The fibre and bar columns behind these sums are on Concrete (K, L) and Steel (right-hand block), so the residual can be traced term by term for any material law.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</si>
</sst>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164" formatCode="#,##0.000"/>
    <numFmt numFmtId="165" formatCode="0.000000"/>
    <numFmt numFmtId="166" formatCode="#,##0.0000"/>
    <numFmt numFmtId="167" formatCode="#,##0.0"/>
    <numFmt numFmtId="168" formatCode="0.####"/>
    <numFmt numFmtId="169" formatCode="0.000E+00"/>
    <numFmt numFmtId="170" formatCode="0.0000&quot;%&quot;"/>
    <numFmt numFmtId="171" formatCode="0.########"/>
    <numFmt numFmtId="172" formatCode="0.0000"/>
    <numFmt numFmtId="173" formatCode="0.000000000E+00"/>
  </numFmts>
  <fonts count="13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1F3864"/>
      <sz val="11"/>
    </font>
    <font>
      <i/>
      <color rgb="FF6B7280"/>
    </font>
    <font>
      <b/>
    </font>
    <font>
      <b/>
      <color rgb="FF92400E"/>
    </font>
    <font>
      <color rgb="FF1F3864"/>
    </font>
    <font>
      <b/>
      <sz val="10"/>
    </font>
    <font>
      <b/>
      <color rgb="FFFFFFFF"/>
      <sz val="12"/>
    </font>
    <font>
      <b/>
      <color rgb="FF1F3864"/>
      <sz val="10"/>
    </font>
    <font>
      <b/>
      <color rgb="FFB91C1C"/>
    </font>
    <font/>
    <font>
      <color rgb="FF6B7280"/>
      <sz val="9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6E4F5"/>
      </patternFill>
    </fill>
    <fill>
      <patternFill patternType="solid">
        <fgColor rgb="FFFFF3CD"/>
      </patternFill>
    </fill>
    <fill>
      <patternFill patternType="solid">
        <fgColor rgb="FFEFEFEF"/>
      </patternFill>
    </fill>
    <fill>
      <patternFill patternType="solid">
        <fgColor rgb="FFE8EEF7"/>
      </patternFill>
    </fill>
  </fills>
  <borders count="4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/>
      <bottom style="thin"/>
      <diagonal/>
    </border>
    <border>
      <left/>
      <right/>
      <top style="hair"/>
      <bottom style="hair"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Alignment="1">
      <alignment vertical="top" wrapText="1"/>
    </xf>
    <xf numFmtId="0" fontId="2" fillId="3" borderId="0" xfId="0" applyFont="1" applyFill="1"/>
    <xf numFmtId="0" fontId="0" fillId="4" borderId="1" xfId="0" applyFill="1" applyBorder="1" applyAlignment="1">
      <alignment horizontal="left"/>
    </xf>
    <xf numFmtId="0" fontId="3" fillId="0" borderId="0" xfId="0" applyFont="1"/>
    <xf numFmtId="164" fontId="0" fillId="4" borderId="1" xfId="0" applyNumberFormat="1" applyFill="1" applyBorder="1"/>
    <xf numFmtId="165" fontId="0" fillId="4" borderId="1" xfId="0" applyNumberFormat="1" applyFill="1" applyBorder="1"/>
    <xf numFmtId="166" fontId="4" fillId="0" borderId="0" xfId="0" applyNumberFormat="1" applyFont="1"/>
    <xf numFmtId="0" fontId="3" fillId="0" borderId="0" xfId="0" applyFont="1" applyAlignment="1">
      <alignment wrapText="1"/>
    </xf>
    <xf numFmtId="4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5" fillId="5" borderId="0" xfId="0" applyFont="1" applyFill="1" applyAlignment="1">
      <alignment horizontal="left"/>
    </xf>
    <xf numFmtId="0" fontId="6" fillId="0" borderId="0" xfId="0" applyFont="1" applyAlignment="1">
      <alignment horizontal="left"/>
    </xf>
    <xf numFmtId="165" fontId="0" fillId="5" borderId="0" xfId="0" applyNumberFormat="1" applyFill="1"/>
    <xf numFmtId="0" fontId="0" fillId="5" borderId="0" xfId="0" applyFill="1"/>
    <xf numFmtId="0" fontId="7" fillId="6" borderId="2" xfId="0" applyFont="1" applyFill="1" applyBorder="1" applyAlignment="1">
      <alignment horizontal="center" wrapText="1"/>
    </xf>
    <xf numFmtId="164" fontId="0" fillId="5" borderId="0" xfId="0" applyNumberFormat="1" applyFill="1"/>
    <xf numFmtId="3" fontId="0" fillId="0" borderId="0" xfId="0" applyNumberFormat="1"/>
    <xf numFmtId="164" fontId="0" fillId="0" borderId="0" xfId="0" applyNumberFormat="1"/>
    <xf numFmtId="167" fontId="4" fillId="0" borderId="0" xfId="0" applyNumberFormat="1" applyFont="1"/>
    <xf numFmtId="164" fontId="4" fillId="0" borderId="0" xfId="0" applyNumberFormat="1" applyFont="1"/>
    <xf numFmtId="0" fontId="8" fillId="2" borderId="0" xfId="0" applyFont="1" applyFill="1"/>
    <xf numFmtId="0" fontId="7" fillId="6" borderId="2" xfId="0" applyFont="1" applyFill="1" applyBorder="1" applyAlignment="1">
      <alignment horizontal="center"/>
    </xf>
    <xf numFmtId="0" fontId="9" fillId="3" borderId="0" xfId="0" applyFont="1" applyFill="1" applyAlignment="1">
      <alignment horizontal="center"/>
    </xf>
    <xf numFmtId="0" fontId="4" fillId="0" borderId="3" xfId="0" applyFont="1" applyBorder="1"/>
    <xf numFmtId="168" fontId="0" fillId="4" borderId="3" xfId="0" applyNumberFormat="1" applyFill="1" applyBorder="1" applyAlignment="1">
      <alignment horizontal="center"/>
    </xf>
    <xf numFmtId="164" fontId="0" fillId="0" borderId="3" xfId="0" applyNumberFormat="1" applyBorder="1"/>
    <xf numFmtId="165" fontId="0" fillId="0" borderId="3" xfId="0" applyNumberFormat="1" applyBorder="1"/>
    <xf numFmtId="167" fontId="0" fillId="0" borderId="3" xfId="0" applyNumberFormat="1" applyBorder="1"/>
    <xf numFmtId="169" fontId="0" fillId="0" borderId="3" xfId="0" applyNumberFormat="1" applyBorder="1"/>
    <xf numFmtId="4" fontId="0" fillId="0" borderId="3" xfId="0" applyNumberFormat="1" applyBorder="1"/>
    <xf numFmtId="4" fontId="4" fillId="0" borderId="3" xfId="0" applyNumberFormat="1" applyFont="1" applyBorder="1"/>
    <xf numFmtId="170" fontId="0" fillId="0" borderId="3" xfId="0" applyNumberFormat="1" applyBorder="1"/>
    <xf numFmtId="0" fontId="4" fillId="0" borderId="0" xfId="0" applyFont="1"/>
    <xf numFmtId="168" fontId="0" fillId="4" borderId="0" xfId="0" applyNumberFormat="1" applyFill="1" applyAlignment="1">
      <alignment horizontal="center"/>
    </xf>
    <xf numFmtId="165" fontId="0" fillId="0" borderId="0" xfId="0" applyNumberFormat="1"/>
    <xf numFmtId="169" fontId="0" fillId="0" borderId="0" xfId="0" applyNumberFormat="1"/>
    <xf numFmtId="4" fontId="4" fillId="0" borderId="0" xfId="0" applyNumberFormat="1" applyFont="1"/>
    <xf numFmtId="170" fontId="0" fillId="0" borderId="0" xfId="0" applyNumberFormat="1"/>
    <xf numFmtId="0" fontId="4" fillId="4" borderId="0" xfId="0" applyFont="1" applyFill="1" applyAlignment="1">
      <alignment horizontal="center"/>
    </xf>
    <xf numFmtId="3" fontId="4" fillId="0" borderId="0" xfId="0" applyNumberFormat="1" applyFont="1"/>
    <xf numFmtId="0" fontId="7" fillId="3" borderId="2" xfId="0" applyFont="1" applyFill="1" applyBorder="1" applyAlignment="1">
      <alignment horizontal="center" wrapText="1"/>
    </xf>
    <xf numFmtId="171" fontId="0" fillId="4" borderId="0" xfId="0" applyNumberFormat="1" applyFill="1"/>
    <xf numFmtId="4" fontId="0" fillId="5" borderId="0" xfId="0" applyNumberFormat="1" applyFill="1"/>
    <xf numFmtId="1" fontId="0" fillId="0" borderId="0" xfId="0" applyNumberFormat="1"/>
    <xf numFmtId="172" fontId="0" fillId="0" borderId="0" xfId="0" applyNumberFormat="1"/>
    <xf numFmtId="4" fontId="10" fillId="0" borderId="0" xfId="0" applyNumberFormat="1" applyFont="1"/>
    <xf numFmtId="166" fontId="11" fillId="0" borderId="0" xfId="0" applyNumberFormat="1" applyFont="1"/>
    <xf numFmtId="1" fontId="11" fillId="0" borderId="0" xfId="0" applyNumberFormat="1" applyFont="1"/>
    <xf numFmtId="4" fontId="11" fillId="0" borderId="0" xfId="0" applyNumberFormat="1" applyFont="1"/>
    <xf numFmtId="172" fontId="4" fillId="0" borderId="0" xfId="0" applyNumberFormat="1" applyFont="1"/>
    <xf numFmtId="11" fontId="0" fillId="0" borderId="0" xfId="0" applyNumberFormat="1"/>
    <xf numFmtId="0" fontId="12" fillId="0" borderId="0" xfId="0" applyFont="1"/>
    <xf numFmtId="172" fontId="11" fillId="0" borderId="0" xfId="0" applyNumberFormat="1" applyFont="1"/>
    <xf numFmtId="49" fontId="4" fillId="0" borderId="0" xfId="0" applyNumberFormat="1" applyFont="1"/>
    <xf numFmtId="173" fontId="0" fillId="5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58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26" customWidth="1"/>
    <col min="3" max="3" width="18" customWidth="1"/>
    <col min="4" max="4" width="10" customWidth="1"/>
    <col min="5" max="5" width="62" customWidth="1"/>
  </cols>
  <sheetData>
    <row r="1" ht="22" customHeight="1" spans="2:5" x14ac:dyDescent="0.25">
      <c r="B1" s="1" t="s">
        <v>0</v>
      </c>
      <c r="C1" s="1"/>
      <c r="D1" s="1"/>
      <c r="E1" s="1"/>
    </row>
    <row r="2" spans="2:5" x14ac:dyDescent="0.25">
      <c r="B2" t="s">
        <v>1</v>
      </c>
      <c r="C2" t="s">
        <v>2</v>
      </c>
      <c r="E2" s="2" t="s">
        <v>3</v>
      </c>
    </row>
    <row r="3" spans="2:5" x14ac:dyDescent="0.25">
      <c r="B3" t="s">
        <v>4</v>
      </c>
      <c r="C3" t="s">
        <v>5</v>
      </c>
      <c r="E3" s="2"/>
    </row>
    <row r="4" spans="2:5" x14ac:dyDescent="0.25">
      <c r="B4" t="s">
        <v>6</v>
      </c>
      <c r="C4" t="s">
        <v>7</v>
      </c>
      <c r="E4" s="2"/>
    </row>
    <row r="6" spans="2:5" x14ac:dyDescent="0.25">
      <c r="B6" s="3" t="s">
        <v>8</v>
      </c>
      <c r="C6" s="3"/>
      <c r="D6" s="3"/>
      <c r="E6" s="3"/>
    </row>
    <row r="7" spans="2:5" x14ac:dyDescent="0.25">
      <c r="B7" t="s">
        <v>9</v>
      </c>
      <c r="C7" s="4" t="s">
        <v>10</v>
      </c>
      <c r="D7" t="s">
        <v>11</v>
      </c>
      <c r="E7" s="5" t="s">
        <v>12</v>
      </c>
    </row>
    <row r="8" spans="2:5" x14ac:dyDescent="0.25">
      <c r="B8" t="s">
        <v>13</v>
      </c>
      <c r="C8" s="6">
        <v>30</v>
      </c>
      <c r="D8" t="s">
        <v>14</v>
      </c>
      <c r="E8" s="5" t="s">
        <v>15</v>
      </c>
    </row>
    <row r="9" spans="2:5" x14ac:dyDescent="0.25">
      <c r="B9" t="s">
        <v>16</v>
      </c>
      <c r="C9" s="6">
        <v>0.85</v>
      </c>
      <c r="D9" t="s">
        <v>17</v>
      </c>
      <c r="E9" s="5" t="s">
        <v>18</v>
      </c>
    </row>
    <row r="10" spans="2:5" x14ac:dyDescent="0.25">
      <c r="B10" t="s">
        <v>19</v>
      </c>
      <c r="C10" s="6">
        <v>1</v>
      </c>
      <c r="D10" t="s">
        <v>17</v>
      </c>
      <c r="E10" s="5" t="s">
        <v>20</v>
      </c>
    </row>
    <row r="11" spans="2:5" x14ac:dyDescent="0.25">
      <c r="B11" t="s">
        <v>21</v>
      </c>
      <c r="C11" s="6">
        <f>alpha_source</f>
        <v>0.85</v>
      </c>
      <c r="D11" t="s">
        <v>17</v>
      </c>
      <c r="E11" s="5" t="s">
        <v>22</v>
      </c>
    </row>
    <row r="12" spans="2:4" x14ac:dyDescent="0.25">
      <c r="B12" t="s">
        <v>23</v>
      </c>
      <c r="C12" s="6">
        <f>alpha*fck</f>
        <v>25.5</v>
      </c>
      <c r="D12" t="s">
        <v>14</v>
      </c>
    </row>
    <row r="13" spans="2:4" x14ac:dyDescent="0.25">
      <c r="B13" t="s">
        <v>24</v>
      </c>
      <c r="C13" s="7">
        <v>0.002</v>
      </c>
      <c r="D13" t="s">
        <v>17</v>
      </c>
    </row>
    <row r="14" spans="2:4" x14ac:dyDescent="0.25">
      <c r="B14" t="s">
        <v>25</v>
      </c>
      <c r="C14" s="7">
        <v>0.0033</v>
      </c>
      <c r="D14" t="s">
        <v>17</v>
      </c>
    </row>
    <row r="15" spans="2:4" x14ac:dyDescent="0.25">
      <c r="B15" t="s">
        <v>26</v>
      </c>
      <c r="C15" s="6">
        <v>2</v>
      </c>
      <c r="D15" t="s">
        <v>17</v>
      </c>
    </row>
    <row r="16" spans="2:4" x14ac:dyDescent="0.25">
      <c r="B16" t="s">
        <v>27</v>
      </c>
      <c r="C16" s="4" t="s">
        <v>28</v>
      </c>
      <c r="D16" t="s">
        <v>11</v>
      </c>
    </row>
    <row r="18" spans="2:5" x14ac:dyDescent="0.25">
      <c r="B18" s="3" t="s">
        <v>29</v>
      </c>
      <c r="C18" s="3"/>
      <c r="D18" s="3"/>
      <c r="E18" s="3"/>
    </row>
    <row r="19" spans="2:5" x14ac:dyDescent="0.25">
      <c r="B19" t="s">
        <v>9</v>
      </c>
      <c r="C19" s="4" t="s">
        <v>10</v>
      </c>
      <c r="D19" t="s">
        <v>11</v>
      </c>
      <c r="E19" s="5" t="s">
        <v>30</v>
      </c>
    </row>
    <row r="20" spans="2:4" x14ac:dyDescent="0.25">
      <c r="B20" t="s">
        <v>31</v>
      </c>
      <c r="C20" s="6">
        <v>200000</v>
      </c>
      <c r="D20" t="s">
        <v>14</v>
      </c>
    </row>
    <row r="21" spans="2:4" x14ac:dyDescent="0.25">
      <c r="B21" t="s">
        <v>32</v>
      </c>
      <c r="C21" s="6">
        <v>400</v>
      </c>
      <c r="D21" t="s">
        <v>14</v>
      </c>
    </row>
    <row r="22" spans="2:5" x14ac:dyDescent="0.25">
      <c r="B22" t="s">
        <v>33</v>
      </c>
      <c r="C22" s="6">
        <v>1</v>
      </c>
      <c r="D22" t="s">
        <v>17</v>
      </c>
      <c r="E22" s="5" t="s">
        <v>20</v>
      </c>
    </row>
    <row r="23" spans="2:5" x14ac:dyDescent="0.25">
      <c r="B23" t="s">
        <v>34</v>
      </c>
      <c r="C23" s="6">
        <f>fy_char</f>
        <v>400</v>
      </c>
      <c r="D23" t="s">
        <v>14</v>
      </c>
      <c r="E23" s="5" t="s">
        <v>35</v>
      </c>
    </row>
    <row r="24" spans="2:5" x14ac:dyDescent="0.25">
      <c r="B24" t="s">
        <v>36</v>
      </c>
      <c r="C24" s="7">
        <f>fy/Es</f>
        <v>0.002</v>
      </c>
      <c r="D24" t="s">
        <v>17</v>
      </c>
      <c r="E24" s="5" t="s">
        <v>37</v>
      </c>
    </row>
    <row r="25" spans="2:4" x14ac:dyDescent="0.25">
      <c r="B25" t="s">
        <v>27</v>
      </c>
      <c r="C25" s="4" t="s">
        <v>38</v>
      </c>
      <c r="D25" t="s">
        <v>11</v>
      </c>
    </row>
    <row r="27" spans="2:5" x14ac:dyDescent="0.25">
      <c r="B27" s="3" t="s">
        <v>39</v>
      </c>
      <c r="C27" s="3"/>
      <c r="D27" s="3"/>
      <c r="E27" s="3"/>
    </row>
    <row r="28" spans="2:5" x14ac:dyDescent="0.25">
      <c r="B28" t="s">
        <v>40</v>
      </c>
      <c r="C28" s="6">
        <v>15</v>
      </c>
      <c r="D28" t="s">
        <v>41</v>
      </c>
      <c r="E28" s="5" t="s">
        <v>42</v>
      </c>
    </row>
    <row r="29" spans="2:5" x14ac:dyDescent="0.25">
      <c r="B29" t="s">
        <v>43</v>
      </c>
      <c r="C29" s="6">
        <v>-0.05</v>
      </c>
      <c r="D29" t="s">
        <v>17</v>
      </c>
      <c r="E29" s="5" t="s">
        <v>44</v>
      </c>
    </row>
    <row r="30" spans="2:5" x14ac:dyDescent="0.25">
      <c r="B30" t="s">
        <v>45</v>
      </c>
      <c r="C30" s="6">
        <v>0</v>
      </c>
      <c r="D30" t="s">
        <v>46</v>
      </c>
      <c r="E30" s="5" t="s">
        <v>47</v>
      </c>
    </row>
    <row r="31" spans="2:5" x14ac:dyDescent="0.25">
      <c r="B31" t="s">
        <v>48</v>
      </c>
      <c r="C31" s="6">
        <v>0</v>
      </c>
      <c r="D31" t="s">
        <v>46</v>
      </c>
      <c r="E31" s="5" t="s">
        <v>49</v>
      </c>
    </row>
    <row r="32" spans="2:5" x14ac:dyDescent="0.25">
      <c r="B32" t="s">
        <v>50</v>
      </c>
      <c r="C32" s="6">
        <v>87.2429259309888</v>
      </c>
      <c r="D32" t="s">
        <v>46</v>
      </c>
      <c r="E32" s="5" t="s">
        <v>51</v>
      </c>
    </row>
    <row r="33" spans="2:5" x14ac:dyDescent="0.25">
      <c r="B33" t="s">
        <v>52</v>
      </c>
      <c r="C33" s="6">
        <v>1257</v>
      </c>
      <c r="D33" t="s">
        <v>17</v>
      </c>
      <c r="E33" s="5" t="s">
        <v>53</v>
      </c>
    </row>
    <row r="35" spans="2:5" x14ac:dyDescent="0.25">
      <c r="B35" s="3" t="s">
        <v>54</v>
      </c>
      <c r="C35" s="3"/>
      <c r="D35" s="3"/>
      <c r="E35" s="3"/>
    </row>
    <row r="36" spans="2:5" x14ac:dyDescent="0.25">
      <c r="B36" t="s">
        <v>55</v>
      </c>
      <c r="C36" s="6">
        <v>24942.922102452183</v>
      </c>
      <c r="D36" t="s">
        <v>56</v>
      </c>
      <c r="E36" s="5" t="s">
        <v>57</v>
      </c>
    </row>
    <row r="37" spans="2:4" x14ac:dyDescent="0.25">
      <c r="B37" t="s">
        <v>58</v>
      </c>
      <c r="C37" s="6">
        <v>3714.165943842699</v>
      </c>
      <c r="D37" t="s">
        <v>59</v>
      </c>
    </row>
    <row r="38" spans="2:4" x14ac:dyDescent="0.25">
      <c r="B38" t="s">
        <v>60</v>
      </c>
      <c r="C38" s="6">
        <v>1431.7807276950741</v>
      </c>
      <c r="D38" t="s">
        <v>59</v>
      </c>
    </row>
    <row r="40" spans="2:5" x14ac:dyDescent="0.25">
      <c r="B40" t="s">
        <v>61</v>
      </c>
      <c r="C40" s="8">
        <f>IF(AND(Mux=0,Muy=0),0,DEGREES(ATAN2(Mux,Muy)))</f>
      </c>
      <c r="D40" t="s">
        <v>41</v>
      </c>
      <c r="E40" s="9" t="s">
        <v>62</v>
      </c>
    </row>
    <row r="41" spans="2:4" x14ac:dyDescent="0.25">
      <c r="B41" t="s">
        <v>63</v>
      </c>
      <c r="C41" s="10">
        <f>SQRT(Mux^2+Muy^2)</f>
      </c>
      <c r="D41" t="s">
        <v>59</v>
      </c>
    </row>
    <row r="42" spans="2:5" x14ac:dyDescent="0.25">
      <c r="B42" t="s">
        <v>64</v>
      </c>
      <c r="C42" s="11">
        <f>MOD(180-beta,180)</f>
      </c>
      <c r="D42" t="s">
        <v>41</v>
      </c>
      <c r="E42" s="9" t="s">
        <v>65</v>
      </c>
    </row>
    <row r="43" spans="2:5" x14ac:dyDescent="0.25">
      <c r="B43" t="s">
        <v>66</v>
      </c>
      <c r="C43" s="11">
        <f>IF(AND(Mux=0,Muy=0),0,MOD(DEGREES(ATAN2(-Mux,Muy)),180))</f>
      </c>
      <c r="D43" t="s">
        <v>41</v>
      </c>
      <c r="E43" s="9" t="s">
        <v>67</v>
      </c>
    </row>
    <row r="44" spans="2:5" x14ac:dyDescent="0.25">
      <c r="B44" t="s">
        <v>68</v>
      </c>
      <c r="C44" s="11">
        <f>MIN(ABS(C42-C43),180-ABS(C42-C43))</f>
      </c>
      <c r="D44" t="s">
        <v>41</v>
      </c>
      <c r="E44" s="9" t="s">
        <v>69</v>
      </c>
    </row>
    <row r="46" spans="2:5" x14ac:dyDescent="0.25">
      <c r="B46" t="s">
        <v>70</v>
      </c>
      <c r="C46" s="12">
        <f>SUM(Mesh_A)</f>
      </c>
      <c r="D46" t="s">
        <v>71</v>
      </c>
      <c r="E46" s="5">
        <f>IF(ABS(C46-Geom_Area)&lt;=0.000001*Geom_Area,"OK - matches the exact polygon area","CHECK - mesh and polygon areas differ")</f>
      </c>
    </row>
    <row r="48" spans="2:5" x14ac:dyDescent="0.25">
      <c r="B48" s="3" t="s">
        <v>72</v>
      </c>
      <c r="C48" s="3"/>
      <c r="D48" s="3"/>
      <c r="E48" s="3"/>
    </row>
    <row r="49" spans="2:5" x14ac:dyDescent="0.25">
      <c r="B49" t="s">
        <v>73</v>
      </c>
      <c r="C49" s="13" t="s">
        <v>74</v>
      </c>
      <c r="E49" s="5" t="s">
        <v>75</v>
      </c>
    </row>
    <row r="50" spans="2:5" x14ac:dyDescent="0.25">
      <c r="B50" t="s">
        <v>76</v>
      </c>
      <c r="C50" s="13" t="s">
        <v>74</v>
      </c>
      <c r="E50" s="5" t="s">
        <v>77</v>
      </c>
    </row>
    <row r="51" spans="2:5" x14ac:dyDescent="0.25">
      <c r="B51" t="s">
        <v>78</v>
      </c>
      <c r="C51" s="14" t="s">
        <v>79</v>
      </c>
      <c r="E51" s="5" t="s">
        <v>80</v>
      </c>
    </row>
    <row r="52" spans="2:5" x14ac:dyDescent="0.25">
      <c r="B52" t="s">
        <v>81</v>
      </c>
      <c r="C52" s="13" t="s">
        <v>82</v>
      </c>
      <c r="E52" s="5" t="s">
        <v>83</v>
      </c>
    </row>
    <row r="53" spans="2:5" x14ac:dyDescent="0.25">
      <c r="B53" t="s">
        <v>84</v>
      </c>
      <c r="C53" s="14" t="s">
        <v>79</v>
      </c>
      <c r="E53" s="5" t="s">
        <v>85</v>
      </c>
    </row>
    <row r="54" spans="2:5" x14ac:dyDescent="0.25">
      <c r="B54" t="s">
        <v>86</v>
      </c>
      <c r="C54" s="14" t="s">
        <v>79</v>
      </c>
      <c r="E54" s="5" t="s">
        <v>87</v>
      </c>
    </row>
    <row r="55" spans="2:5" x14ac:dyDescent="0.25">
      <c r="B55" t="s">
        <v>88</v>
      </c>
      <c r="C55" s="13" t="s">
        <v>74</v>
      </c>
      <c r="E55" s="5" t="s">
        <v>89</v>
      </c>
    </row>
    <row r="56" spans="2:5" x14ac:dyDescent="0.25">
      <c r="B56" t="s">
        <v>90</v>
      </c>
      <c r="C56" s="14" t="s">
        <v>79</v>
      </c>
      <c r="E56" s="5" t="s">
        <v>91</v>
      </c>
    </row>
    <row r="57" spans="2:5" x14ac:dyDescent="0.25">
      <c r="B57" t="s">
        <v>92</v>
      </c>
      <c r="C57" s="13" t="s">
        <v>74</v>
      </c>
      <c r="E57" s="5" t="s">
        <v>93</v>
      </c>
    </row>
    <row r="58" spans="2:5" x14ac:dyDescent="0.25">
      <c r="B58" t="s">
        <v>94</v>
      </c>
      <c r="C58" s="14" t="s">
        <v>79</v>
      </c>
      <c r="E58" s="5" t="s">
        <v>95</v>
      </c>
    </row>
  </sheetData>
  <mergeCells count="7">
    <mergeCell ref="B1:E1"/>
    <mergeCell ref="E2:E4"/>
    <mergeCell ref="B6:E6"/>
    <mergeCell ref="B18:E18"/>
    <mergeCell ref="B27:E27"/>
    <mergeCell ref="B35:E35"/>
    <mergeCell ref="B48:E4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6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30" customWidth="1"/>
    <col min="3" max="3" width="23" customWidth="1"/>
    <col min="4" max="4" width="14" customWidth="1"/>
    <col min="5" max="5" width="68" customWidth="1"/>
  </cols>
  <sheetData>
    <row r="1" ht="22" customHeight="1" spans="2:5" x14ac:dyDescent="0.25">
      <c r="B1" s="1" t="s">
        <v>96</v>
      </c>
      <c r="C1" s="1"/>
      <c r="D1" s="1"/>
      <c r="E1" s="1"/>
    </row>
    <row r="2" ht="30" customHeight="1" spans="2:5" x14ac:dyDescent="0.25">
      <c r="B2" s="2" t="s">
        <v>97</v>
      </c>
      <c r="C2" s="2"/>
      <c r="D2" s="2"/>
      <c r="E2" s="2"/>
    </row>
    <row r="3" spans="2:5" x14ac:dyDescent="0.25">
      <c r="B3" s="2"/>
      <c r="C3" s="2"/>
      <c r="D3" s="2"/>
      <c r="E3" s="2"/>
    </row>
    <row r="5" spans="2:5" x14ac:dyDescent="0.25">
      <c r="B5" s="3" t="s">
        <v>98</v>
      </c>
      <c r="C5" s="3"/>
      <c r="D5" s="3"/>
      <c r="E5" s="3"/>
    </row>
    <row r="6" spans="2:5" x14ac:dyDescent="0.25">
      <c r="B6" t="s">
        <v>99</v>
      </c>
      <c r="C6" t="s">
        <v>100</v>
      </c>
      <c r="D6" t="s">
        <v>11</v>
      </c>
      <c r="E6" t="s">
        <v>101</v>
      </c>
    </row>
    <row r="7" spans="2:5" x14ac:dyDescent="0.25">
      <c r="B7" t="s">
        <v>102</v>
      </c>
      <c r="C7" t="s">
        <v>103</v>
      </c>
      <c r="D7" t="s">
        <v>11</v>
      </c>
      <c r="E7" t="s">
        <v>104</v>
      </c>
    </row>
    <row r="8" spans="2:5" x14ac:dyDescent="0.25">
      <c r="B8" t="s">
        <v>105</v>
      </c>
      <c r="C8" t="s">
        <v>106</v>
      </c>
      <c r="D8" t="s">
        <v>11</v>
      </c>
      <c r="E8" t="s">
        <v>107</v>
      </c>
    </row>
    <row r="9" spans="2:5" x14ac:dyDescent="0.25">
      <c r="B9" t="s">
        <v>108</v>
      </c>
      <c r="C9" t="s">
        <v>109</v>
      </c>
      <c r="D9" t="s">
        <v>11</v>
      </c>
      <c r="E9" t="s">
        <v>110</v>
      </c>
    </row>
    <row r="10" spans="2:5" x14ac:dyDescent="0.25">
      <c r="B10" t="s">
        <v>111</v>
      </c>
      <c r="C10" t="s">
        <v>112</v>
      </c>
      <c r="D10" t="s">
        <v>11</v>
      </c>
      <c r="E10" t="s">
        <v>113</v>
      </c>
    </row>
    <row r="11" spans="2:5" x14ac:dyDescent="0.25">
      <c r="B11" t="s">
        <v>114</v>
      </c>
      <c r="C11" t="s">
        <v>115</v>
      </c>
      <c r="D11" t="s">
        <v>11</v>
      </c>
      <c r="E11" t="s">
        <v>116</v>
      </c>
    </row>
    <row r="12" spans="2:5" x14ac:dyDescent="0.25">
      <c r="B12" t="s">
        <v>117</v>
      </c>
      <c r="C12" t="s">
        <v>118</v>
      </c>
      <c r="D12" t="s">
        <v>11</v>
      </c>
      <c r="E12" t="s">
        <v>119</v>
      </c>
    </row>
    <row r="13" spans="2:5" x14ac:dyDescent="0.25">
      <c r="B13" t="s">
        <v>120</v>
      </c>
      <c r="C13" t="s">
        <v>121</v>
      </c>
      <c r="D13" t="s">
        <v>11</v>
      </c>
      <c r="E13" t="s">
        <v>11</v>
      </c>
    </row>
    <row r="15" spans="2:5" x14ac:dyDescent="0.25">
      <c r="B15" s="3" t="s">
        <v>122</v>
      </c>
      <c r="C15" s="3"/>
      <c r="D15" s="3"/>
      <c r="E15" s="3"/>
    </row>
    <row r="16" spans="2:5" x14ac:dyDescent="0.25">
      <c r="B16" t="s">
        <v>123</v>
      </c>
      <c r="C16" s="15">
        <v>0.65</v>
      </c>
      <c r="D16" t="s">
        <v>17</v>
      </c>
      <c r="E16" t="s">
        <v>124</v>
      </c>
    </row>
    <row r="17" spans="2:5" x14ac:dyDescent="0.25">
      <c r="B17" t="s">
        <v>125</v>
      </c>
      <c r="C17" s="15">
        <v>0.7</v>
      </c>
      <c r="D17" t="s">
        <v>17</v>
      </c>
      <c r="E17" t="s">
        <v>126</v>
      </c>
    </row>
    <row r="18" spans="2:5" x14ac:dyDescent="0.25">
      <c r="B18" t="s">
        <v>127</v>
      </c>
      <c r="C18" s="15">
        <v>0.85</v>
      </c>
      <c r="D18" t="s">
        <v>17</v>
      </c>
      <c r="E18" t="s">
        <v>128</v>
      </c>
    </row>
    <row r="19" spans="2:5" x14ac:dyDescent="0.25">
      <c r="B19" t="s">
        <v>129</v>
      </c>
      <c r="C19" s="15">
        <v>0.005</v>
      </c>
      <c r="D19" t="s">
        <v>17</v>
      </c>
      <c r="E19" t="s">
        <v>130</v>
      </c>
    </row>
    <row r="20" spans="2:5" x14ac:dyDescent="0.25">
      <c r="B20" t="s">
        <v>131</v>
      </c>
      <c r="C20" s="15">
        <v>0.8</v>
      </c>
      <c r="D20" t="s">
        <v>17</v>
      </c>
      <c r="E20" t="s">
        <v>132</v>
      </c>
    </row>
    <row r="21" spans="2:5" x14ac:dyDescent="0.25">
      <c r="B21" t="s">
        <v>133</v>
      </c>
      <c r="C21" s="15">
        <v>0.85</v>
      </c>
      <c r="D21" t="s">
        <v>17</v>
      </c>
      <c r="E21" t="s">
        <v>132</v>
      </c>
    </row>
    <row r="22" spans="2:5" x14ac:dyDescent="0.25">
      <c r="B22" t="s">
        <v>134</v>
      </c>
      <c r="C22" s="16" t="s">
        <v>135</v>
      </c>
      <c r="D22" t="s">
        <v>11</v>
      </c>
      <c r="E22" t="s">
        <v>136</v>
      </c>
    </row>
    <row r="23" spans="2:5" x14ac:dyDescent="0.25">
      <c r="B23" t="s">
        <v>137</v>
      </c>
      <c r="C23" s="16" t="s">
        <v>138</v>
      </c>
      <c r="D23" t="s">
        <v>11</v>
      </c>
      <c r="E23" t="s">
        <v>139</v>
      </c>
    </row>
    <row r="25" spans="2:5" x14ac:dyDescent="0.25">
      <c r="B25" s="3" t="s">
        <v>140</v>
      </c>
      <c r="C25" s="3"/>
      <c r="D25" s="3"/>
      <c r="E25" s="3"/>
    </row>
    <row r="26" spans="2:5" x14ac:dyDescent="0.25">
      <c r="B26" t="s">
        <v>141</v>
      </c>
      <c r="C26" s="16" t="s">
        <v>142</v>
      </c>
      <c r="D26" t="s">
        <v>11</v>
      </c>
      <c r="E26" t="s">
        <v>143</v>
      </c>
    </row>
    <row r="27" spans="2:5" x14ac:dyDescent="0.25">
      <c r="B27" t="s">
        <v>144</v>
      </c>
      <c r="C27" s="16" t="s">
        <v>57</v>
      </c>
      <c r="D27" t="s">
        <v>11</v>
      </c>
      <c r="E27" t="s">
        <v>11</v>
      </c>
    </row>
    <row r="28" spans="2:5" x14ac:dyDescent="0.25">
      <c r="B28" t="s">
        <v>145</v>
      </c>
      <c r="C28" s="15">
        <v>1.5393849947404965</v>
      </c>
      <c r="D28" t="s">
        <v>17</v>
      </c>
      <c r="E28" t="s">
        <v>146</v>
      </c>
    </row>
    <row r="29" spans="2:5" x14ac:dyDescent="0.25">
      <c r="B29" t="s">
        <v>147</v>
      </c>
      <c r="C29" s="16" t="s">
        <v>148</v>
      </c>
      <c r="D29" t="s">
        <v>17</v>
      </c>
      <c r="E29" t="s">
        <v>149</v>
      </c>
    </row>
    <row r="30" spans="2:5" x14ac:dyDescent="0.25">
      <c r="B30" t="s">
        <v>150</v>
      </c>
      <c r="C30" s="16" t="s">
        <v>151</v>
      </c>
      <c r="D30" t="s">
        <v>11</v>
      </c>
      <c r="E30" t="s">
        <v>152</v>
      </c>
    </row>
    <row r="31" spans="2:5" x14ac:dyDescent="0.25">
      <c r="B31" t="s">
        <v>153</v>
      </c>
      <c r="C31" s="16" t="s">
        <v>154</v>
      </c>
      <c r="D31" t="s">
        <v>11</v>
      </c>
      <c r="E31" t="s">
        <v>155</v>
      </c>
    </row>
    <row r="32" spans="2:5" x14ac:dyDescent="0.25">
      <c r="B32" t="s">
        <v>156</v>
      </c>
      <c r="C32" s="15">
        <v>16203.173467113704</v>
      </c>
      <c r="D32" t="s">
        <v>56</v>
      </c>
      <c r="E32" t="s">
        <v>157</v>
      </c>
    </row>
    <row r="33" spans="2:5" x14ac:dyDescent="0.25">
      <c r="B33" t="s">
        <v>158</v>
      </c>
      <c r="C33" s="15">
        <v>2412.759612788625</v>
      </c>
      <c r="D33" t="s">
        <v>59</v>
      </c>
      <c r="E33" t="s">
        <v>157</v>
      </c>
    </row>
    <row r="34" spans="2:5" x14ac:dyDescent="0.25">
      <c r="B34" t="s">
        <v>159</v>
      </c>
      <c r="C34" s="15">
        <v>930.0991841462233</v>
      </c>
      <c r="D34" t="s">
        <v>59</v>
      </c>
      <c r="E34" t="s">
        <v>157</v>
      </c>
    </row>
    <row r="35" spans="2:5" x14ac:dyDescent="0.25">
      <c r="B35" t="s">
        <v>160</v>
      </c>
      <c r="C35" s="15">
        <v>0.65</v>
      </c>
      <c r="D35" t="s">
        <v>17</v>
      </c>
      <c r="E35" t="s">
        <v>161</v>
      </c>
    </row>
    <row r="36" spans="2:5" x14ac:dyDescent="0.25">
      <c r="B36" t="s">
        <v>162</v>
      </c>
      <c r="C36" s="15">
        <v>0</v>
      </c>
      <c r="D36" t="s">
        <v>17</v>
      </c>
      <c r="E36" t="s">
        <v>163</v>
      </c>
    </row>
  </sheetData>
  <mergeCells count="5">
    <mergeCell ref="B1:E1"/>
    <mergeCell ref="B2:E3"/>
    <mergeCell ref="B5:E5"/>
    <mergeCell ref="B15:E15"/>
    <mergeCell ref="B25:E2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68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10" customWidth="1"/>
    <col min="3" max="3" width="8" customWidth="1"/>
    <col min="4" max="6" width="14" customWidth="1"/>
    <col min="7" max="8" width="16" customWidth="1"/>
    <col min="9" max="9" width="46" customWidth="1"/>
  </cols>
  <sheetData>
    <row r="1" ht="22" customHeight="1" spans="2:8" x14ac:dyDescent="0.25">
      <c r="B1" s="1" t="s">
        <v>164</v>
      </c>
      <c r="C1" s="1"/>
      <c r="D1" s="1"/>
      <c r="E1" s="1"/>
      <c r="F1" s="1"/>
      <c r="G1" s="1"/>
      <c r="H1" s="1"/>
    </row>
    <row r="2" spans="2:2" x14ac:dyDescent="0.25">
      <c r="B2" s="5" t="s">
        <v>165</v>
      </c>
    </row>
    <row r="4" spans="2:8" x14ac:dyDescent="0.25">
      <c r="B4" s="3" t="s">
        <v>166</v>
      </c>
      <c r="C4" s="3"/>
      <c r="D4" s="3"/>
      <c r="E4" s="3"/>
      <c r="F4" s="3"/>
      <c r="G4" s="3"/>
      <c r="H4" s="3"/>
    </row>
    <row r="5" spans="2:7" x14ac:dyDescent="0.25">
      <c r="B5" s="17" t="s">
        <v>167</v>
      </c>
      <c r="C5" s="17" t="s">
        <v>168</v>
      </c>
      <c r="D5" s="17" t="s">
        <v>169</v>
      </c>
      <c r="E5" s="17" t="s">
        <v>170</v>
      </c>
      <c r="F5" s="17" t="s">
        <v>171</v>
      </c>
      <c r="G5" s="17" t="s">
        <v>172</v>
      </c>
    </row>
    <row r="6" spans="2:7" x14ac:dyDescent="0.25">
      <c r="B6">
        <v>1</v>
      </c>
      <c r="C6" t="s">
        <v>166</v>
      </c>
      <c r="D6" s="18">
        <v>-550</v>
      </c>
      <c r="E6" s="18">
        <v>600</v>
      </c>
      <c r="F6" s="19">
        <f>D6*E7-D7*E6</f>
      </c>
      <c r="G6" s="20">
        <f>E6*COS(RADIANS(beta))+D6*SIN(RADIANS(beta))</f>
      </c>
    </row>
    <row r="7" spans="2:7" x14ac:dyDescent="0.25">
      <c r="B7">
        <v>2</v>
      </c>
      <c r="C7" t="s">
        <v>166</v>
      </c>
      <c r="D7" s="18">
        <v>550</v>
      </c>
      <c r="E7" s="18">
        <v>600</v>
      </c>
      <c r="F7" s="19">
        <f>D7*E8-D8*E7</f>
      </c>
      <c r="G7" s="20">
        <f>E7*COS(RADIANS(beta))+D7*SIN(RADIANS(beta))</f>
      </c>
    </row>
    <row r="8" spans="2:7" x14ac:dyDescent="0.25">
      <c r="B8">
        <v>3</v>
      </c>
      <c r="C8" t="s">
        <v>166</v>
      </c>
      <c r="D8" s="18">
        <v>750</v>
      </c>
      <c r="E8" s="18">
        <v>400</v>
      </c>
      <c r="F8" s="19">
        <f>D8*E9-D9*E8</f>
      </c>
      <c r="G8" s="20">
        <f>E8*COS(RADIANS(beta))+D8*SIN(RADIANS(beta))</f>
      </c>
    </row>
    <row r="9" spans="2:7" x14ac:dyDescent="0.25">
      <c r="B9">
        <v>4</v>
      </c>
      <c r="C9" t="s">
        <v>166</v>
      </c>
      <c r="D9" s="18">
        <v>750</v>
      </c>
      <c r="E9" s="18">
        <v>-400</v>
      </c>
      <c r="F9" s="19">
        <f>D9*E10-D10*E9</f>
      </c>
      <c r="G9" s="20">
        <f>E9*COS(RADIANS(beta))+D9*SIN(RADIANS(beta))</f>
      </c>
    </row>
    <row r="10" spans="2:7" x14ac:dyDescent="0.25">
      <c r="B10">
        <v>5</v>
      </c>
      <c r="C10" t="s">
        <v>166</v>
      </c>
      <c r="D10" s="18">
        <v>550</v>
      </c>
      <c r="E10" s="18">
        <v>-600</v>
      </c>
      <c r="F10" s="19">
        <f>D10*E11-D11*E10</f>
      </c>
      <c r="G10" s="20">
        <f>E10*COS(RADIANS(beta))+D10*SIN(RADIANS(beta))</f>
      </c>
    </row>
    <row r="11" spans="2:7" x14ac:dyDescent="0.25">
      <c r="B11">
        <v>6</v>
      </c>
      <c r="C11" t="s">
        <v>166</v>
      </c>
      <c r="D11" s="18">
        <v>-550</v>
      </c>
      <c r="E11" s="18">
        <v>-600</v>
      </c>
      <c r="F11" s="19">
        <f>D11*E12-D12*E11</f>
      </c>
      <c r="G11" s="20">
        <f>E11*COS(RADIANS(beta))+D11*SIN(RADIANS(beta))</f>
      </c>
    </row>
    <row r="12" spans="2:7" x14ac:dyDescent="0.25">
      <c r="B12">
        <v>7</v>
      </c>
      <c r="C12" t="s">
        <v>166</v>
      </c>
      <c r="D12" s="18">
        <v>-750</v>
      </c>
      <c r="E12" s="18">
        <v>-400</v>
      </c>
      <c r="F12" s="19">
        <f>D12*E13-D13*E12</f>
      </c>
      <c r="G12" s="20">
        <f>E12*COS(RADIANS(beta))+D12*SIN(RADIANS(beta))</f>
      </c>
    </row>
    <row r="13" spans="2:7" x14ac:dyDescent="0.25">
      <c r="B13">
        <v>8</v>
      </c>
      <c r="C13" t="s">
        <v>166</v>
      </c>
      <c r="D13" s="18">
        <v>-750</v>
      </c>
      <c r="E13" s="18">
        <v>400</v>
      </c>
      <c r="F13" s="19">
        <f>D13*E6-D6*E13</f>
      </c>
      <c r="G13" s="20">
        <f>E13*COS(RADIANS(beta))+D13*SIN(RADIANS(beta))</f>
      </c>
    </row>
    <row r="14" spans="3:6" x14ac:dyDescent="0.25">
      <c r="C14" t="s">
        <v>173</v>
      </c>
      <c r="F14" s="21">
        <f>SUM(F6:F13)/2</f>
      </c>
    </row>
    <row r="16" spans="2:8" x14ac:dyDescent="0.25">
      <c r="B16" s="3" t="s">
        <v>174</v>
      </c>
      <c r="C16" s="3"/>
      <c r="D16" s="3"/>
      <c r="E16" s="3"/>
      <c r="F16" s="3"/>
      <c r="G16" s="3"/>
      <c r="H16" s="3"/>
    </row>
    <row r="17" spans="2:7" x14ac:dyDescent="0.25">
      <c r="B17" s="17" t="s">
        <v>167</v>
      </c>
      <c r="C17" s="17" t="s">
        <v>168</v>
      </c>
      <c r="D17" s="17" t="s">
        <v>169</v>
      </c>
      <c r="E17" s="17" t="s">
        <v>170</v>
      </c>
      <c r="F17" s="17" t="s">
        <v>171</v>
      </c>
      <c r="G17" s="17" t="s">
        <v>172</v>
      </c>
    </row>
    <row r="18" spans="2:7" x14ac:dyDescent="0.25">
      <c r="B18">
        <v>1</v>
      </c>
      <c r="C18" t="s">
        <v>174</v>
      </c>
      <c r="D18" s="18">
        <v>-450</v>
      </c>
      <c r="E18" s="18">
        <v>400</v>
      </c>
      <c r="F18" s="19">
        <f>D18*E19-D19*E18</f>
      </c>
      <c r="G18" s="20">
        <f>E18*COS(RADIANS(beta))+D18*SIN(RADIANS(beta))</f>
      </c>
    </row>
    <row r="19" spans="2:7" x14ac:dyDescent="0.25">
      <c r="B19">
        <v>2</v>
      </c>
      <c r="C19" t="s">
        <v>174</v>
      </c>
      <c r="D19" s="18">
        <v>-250</v>
      </c>
      <c r="E19" s="18">
        <v>400</v>
      </c>
      <c r="F19" s="19">
        <f>D19*E20-D20*E19</f>
      </c>
      <c r="G19" s="20">
        <f>E19*COS(RADIANS(beta))+D19*SIN(RADIANS(beta))</f>
      </c>
    </row>
    <row r="20" spans="2:7" x14ac:dyDescent="0.25">
      <c r="B20">
        <v>3</v>
      </c>
      <c r="C20" t="s">
        <v>174</v>
      </c>
      <c r="D20" s="18">
        <v>-150</v>
      </c>
      <c r="E20" s="18">
        <v>300</v>
      </c>
      <c r="F20" s="19">
        <f>D20*E21-D21*E20</f>
      </c>
      <c r="G20" s="20">
        <f>E20*COS(RADIANS(beta))+D20*SIN(RADIANS(beta))</f>
      </c>
    </row>
    <row r="21" spans="2:7" x14ac:dyDescent="0.25">
      <c r="B21">
        <v>4</v>
      </c>
      <c r="C21" t="s">
        <v>174</v>
      </c>
      <c r="D21" s="18">
        <v>-150</v>
      </c>
      <c r="E21" s="18">
        <v>-300</v>
      </c>
      <c r="F21" s="19">
        <f>D21*E22-D22*E21</f>
      </c>
      <c r="G21" s="20">
        <f>E21*COS(RADIANS(beta))+D21*SIN(RADIANS(beta))</f>
      </c>
    </row>
    <row r="22" spans="2:7" x14ac:dyDescent="0.25">
      <c r="B22">
        <v>5</v>
      </c>
      <c r="C22" t="s">
        <v>174</v>
      </c>
      <c r="D22" s="18">
        <v>-250</v>
      </c>
      <c r="E22" s="18">
        <v>-400</v>
      </c>
      <c r="F22" s="19">
        <f>D22*E23-D23*E22</f>
      </c>
      <c r="G22" s="20">
        <f>E22*COS(RADIANS(beta))+D22*SIN(RADIANS(beta))</f>
      </c>
    </row>
    <row r="23" spans="2:7" x14ac:dyDescent="0.25">
      <c r="B23">
        <v>6</v>
      </c>
      <c r="C23" t="s">
        <v>174</v>
      </c>
      <c r="D23" s="18">
        <v>-450</v>
      </c>
      <c r="E23" s="18">
        <v>-400</v>
      </c>
      <c r="F23" s="19">
        <f>D23*E24-D24*E23</f>
      </c>
      <c r="G23" s="20">
        <f>E23*COS(RADIANS(beta))+D23*SIN(RADIANS(beta))</f>
      </c>
    </row>
    <row r="24" spans="2:7" x14ac:dyDescent="0.25">
      <c r="B24">
        <v>7</v>
      </c>
      <c r="C24" t="s">
        <v>174</v>
      </c>
      <c r="D24" s="18">
        <v>-550</v>
      </c>
      <c r="E24" s="18">
        <v>-300</v>
      </c>
      <c r="F24" s="19">
        <f>D24*E25-D25*E24</f>
      </c>
      <c r="G24" s="20">
        <f>E24*COS(RADIANS(beta))+D24*SIN(RADIANS(beta))</f>
      </c>
    </row>
    <row r="25" spans="2:7" x14ac:dyDescent="0.25">
      <c r="B25">
        <v>8</v>
      </c>
      <c r="C25" t="s">
        <v>174</v>
      </c>
      <c r="D25" s="18">
        <v>-550</v>
      </c>
      <c r="E25" s="18">
        <v>300</v>
      </c>
      <c r="F25" s="19">
        <f>D25*E18-D18*E25</f>
      </c>
      <c r="G25" s="20">
        <f>E25*COS(RADIANS(beta))+D25*SIN(RADIANS(beta))</f>
      </c>
    </row>
    <row r="26" spans="3:6" x14ac:dyDescent="0.25">
      <c r="C26" t="s">
        <v>173</v>
      </c>
      <c r="F26" s="21">
        <f>SUM(F18:F25)/2</f>
      </c>
    </row>
    <row r="28" spans="2:8" x14ac:dyDescent="0.25">
      <c r="B28" s="3" t="s">
        <v>175</v>
      </c>
      <c r="C28" s="3"/>
      <c r="D28" s="3"/>
      <c r="E28" s="3"/>
      <c r="F28" s="3"/>
      <c r="G28" s="3"/>
      <c r="H28" s="3"/>
    </row>
    <row r="29" spans="2:7" x14ac:dyDescent="0.25">
      <c r="B29" s="17" t="s">
        <v>167</v>
      </c>
      <c r="C29" s="17" t="s">
        <v>168</v>
      </c>
      <c r="D29" s="17" t="s">
        <v>169</v>
      </c>
      <c r="E29" s="17" t="s">
        <v>170</v>
      </c>
      <c r="F29" s="17" t="s">
        <v>171</v>
      </c>
      <c r="G29" s="17" t="s">
        <v>172</v>
      </c>
    </row>
    <row r="30" spans="2:7" x14ac:dyDescent="0.25">
      <c r="B30">
        <v>1</v>
      </c>
      <c r="C30" t="s">
        <v>175</v>
      </c>
      <c r="D30" s="18">
        <v>250</v>
      </c>
      <c r="E30" s="18">
        <v>400</v>
      </c>
      <c r="F30" s="19">
        <f>D30*E31-D31*E30</f>
      </c>
      <c r="G30" s="20">
        <f>E30*COS(RADIANS(beta))+D30*SIN(RADIANS(beta))</f>
      </c>
    </row>
    <row r="31" spans="2:7" x14ac:dyDescent="0.25">
      <c r="B31">
        <v>2</v>
      </c>
      <c r="C31" t="s">
        <v>175</v>
      </c>
      <c r="D31" s="18">
        <v>450</v>
      </c>
      <c r="E31" s="18">
        <v>400</v>
      </c>
      <c r="F31" s="19">
        <f>D31*E32-D32*E31</f>
      </c>
      <c r="G31" s="20">
        <f>E31*COS(RADIANS(beta))+D31*SIN(RADIANS(beta))</f>
      </c>
    </row>
    <row r="32" spans="2:7" x14ac:dyDescent="0.25">
      <c r="B32">
        <v>3</v>
      </c>
      <c r="C32" t="s">
        <v>175</v>
      </c>
      <c r="D32" s="18">
        <v>550</v>
      </c>
      <c r="E32" s="18">
        <v>300</v>
      </c>
      <c r="F32" s="19">
        <f>D32*E33-D33*E32</f>
      </c>
      <c r="G32" s="20">
        <f>E32*COS(RADIANS(beta))+D32*SIN(RADIANS(beta))</f>
      </c>
    </row>
    <row r="33" spans="2:7" x14ac:dyDescent="0.25">
      <c r="B33">
        <v>4</v>
      </c>
      <c r="C33" t="s">
        <v>175</v>
      </c>
      <c r="D33" s="18">
        <v>550</v>
      </c>
      <c r="E33" s="18">
        <v>-300</v>
      </c>
      <c r="F33" s="19">
        <f>D33*E34-D34*E33</f>
      </c>
      <c r="G33" s="20">
        <f>E33*COS(RADIANS(beta))+D33*SIN(RADIANS(beta))</f>
      </c>
    </row>
    <row r="34" spans="2:7" x14ac:dyDescent="0.25">
      <c r="B34">
        <v>5</v>
      </c>
      <c r="C34" t="s">
        <v>175</v>
      </c>
      <c r="D34" s="18">
        <v>450</v>
      </c>
      <c r="E34" s="18">
        <v>-400</v>
      </c>
      <c r="F34" s="19">
        <f>D34*E35-D35*E34</f>
      </c>
      <c r="G34" s="20">
        <f>E34*COS(RADIANS(beta))+D34*SIN(RADIANS(beta))</f>
      </c>
    </row>
    <row r="35" spans="2:7" x14ac:dyDescent="0.25">
      <c r="B35">
        <v>6</v>
      </c>
      <c r="C35" t="s">
        <v>175</v>
      </c>
      <c r="D35" s="18">
        <v>250</v>
      </c>
      <c r="E35" s="18">
        <v>-400</v>
      </c>
      <c r="F35" s="19">
        <f>D35*E36-D36*E35</f>
      </c>
      <c r="G35" s="20">
        <f>E35*COS(RADIANS(beta))+D35*SIN(RADIANS(beta))</f>
      </c>
    </row>
    <row r="36" spans="2:7" x14ac:dyDescent="0.25">
      <c r="B36">
        <v>7</v>
      </c>
      <c r="C36" t="s">
        <v>175</v>
      </c>
      <c r="D36" s="18">
        <v>150</v>
      </c>
      <c r="E36" s="18">
        <v>-300</v>
      </c>
      <c r="F36" s="19">
        <f>D36*E37-D37*E36</f>
      </c>
      <c r="G36" s="20">
        <f>E36*COS(RADIANS(beta))+D36*SIN(RADIANS(beta))</f>
      </c>
    </row>
    <row r="37" spans="2:7" x14ac:dyDescent="0.25">
      <c r="B37">
        <v>8</v>
      </c>
      <c r="C37" t="s">
        <v>175</v>
      </c>
      <c r="D37" s="18">
        <v>150</v>
      </c>
      <c r="E37" s="18">
        <v>300</v>
      </c>
      <c r="F37" s="19">
        <f>D37*E30-D30*E37</f>
      </c>
      <c r="G37" s="20">
        <f>E37*COS(RADIANS(beta))+D37*SIN(RADIANS(beta))</f>
      </c>
    </row>
    <row r="38" spans="3:6" x14ac:dyDescent="0.25">
      <c r="C38" t="s">
        <v>173</v>
      </c>
      <c r="F38" s="21">
        <f>SUM(F30:F37)/2</f>
      </c>
    </row>
    <row r="40" spans="2:8" x14ac:dyDescent="0.25">
      <c r="B40" s="3" t="s">
        <v>29</v>
      </c>
      <c r="C40" s="3"/>
      <c r="D40" s="3"/>
      <c r="E40" s="3"/>
      <c r="F40" s="3"/>
      <c r="G40" s="3"/>
      <c r="H40" s="3"/>
    </row>
    <row r="41" spans="2:7" x14ac:dyDescent="0.25">
      <c r="B41" s="17" t="s">
        <v>167</v>
      </c>
      <c r="C41" s="17" t="s">
        <v>176</v>
      </c>
      <c r="D41" s="17" t="s">
        <v>169</v>
      </c>
      <c r="E41" s="17" t="s">
        <v>170</v>
      </c>
      <c r="F41" s="17" t="s">
        <v>177</v>
      </c>
      <c r="G41" s="17" t="s">
        <v>172</v>
      </c>
    </row>
    <row r="42" spans="2:7" x14ac:dyDescent="0.25">
      <c r="B42">
        <v>1</v>
      </c>
      <c r="C42" s="18">
        <v>32</v>
      </c>
      <c r="D42" s="18">
        <v>-400</v>
      </c>
      <c r="E42" s="18">
        <v>530</v>
      </c>
      <c r="F42" s="20">
        <f>PI()*C42^2/4</f>
      </c>
      <c r="G42" s="20">
        <f>E42*COS(RADIANS(beta))+D42*SIN(RADIANS(beta))</f>
      </c>
    </row>
    <row r="43" spans="2:7" x14ac:dyDescent="0.25">
      <c r="B43">
        <v>2</v>
      </c>
      <c r="C43" s="18">
        <v>32</v>
      </c>
      <c r="D43" s="18">
        <v>-200</v>
      </c>
      <c r="E43" s="18">
        <v>530</v>
      </c>
      <c r="F43" s="20">
        <f>PI()*C43^2/4</f>
      </c>
      <c r="G43" s="20">
        <f>E43*COS(RADIANS(beta))+D43*SIN(RADIANS(beta))</f>
      </c>
    </row>
    <row r="44" spans="2:7" x14ac:dyDescent="0.25">
      <c r="B44">
        <v>3</v>
      </c>
      <c r="C44" s="18">
        <v>32</v>
      </c>
      <c r="D44" s="18">
        <v>0</v>
      </c>
      <c r="E44" s="18">
        <v>530</v>
      </c>
      <c r="F44" s="20">
        <f>PI()*C44^2/4</f>
      </c>
      <c r="G44" s="20">
        <f>E44*COS(RADIANS(beta))+D44*SIN(RADIANS(beta))</f>
      </c>
    </row>
    <row r="45" spans="2:7" x14ac:dyDescent="0.25">
      <c r="B45">
        <v>4</v>
      </c>
      <c r="C45" s="18">
        <v>32</v>
      </c>
      <c r="D45" s="18">
        <v>200</v>
      </c>
      <c r="E45" s="18">
        <v>530</v>
      </c>
      <c r="F45" s="20">
        <f>PI()*C45^2/4</f>
      </c>
      <c r="G45" s="20">
        <f>E45*COS(RADIANS(beta))+D45*SIN(RADIANS(beta))</f>
      </c>
    </row>
    <row r="46" spans="2:7" x14ac:dyDescent="0.25">
      <c r="B46">
        <v>5</v>
      </c>
      <c r="C46" s="18">
        <v>32</v>
      </c>
      <c r="D46" s="18">
        <v>400</v>
      </c>
      <c r="E46" s="18">
        <v>530</v>
      </c>
      <c r="F46" s="20">
        <f>PI()*C46^2/4</f>
      </c>
      <c r="G46" s="20">
        <f>E46*COS(RADIANS(beta))+D46*SIN(RADIANS(beta))</f>
      </c>
    </row>
    <row r="47" spans="2:7" x14ac:dyDescent="0.25">
      <c r="B47">
        <v>6</v>
      </c>
      <c r="C47" s="18">
        <v>32</v>
      </c>
      <c r="D47" s="18">
        <v>-400</v>
      </c>
      <c r="E47" s="18">
        <v>-530</v>
      </c>
      <c r="F47" s="20">
        <f>PI()*C47^2/4</f>
      </c>
      <c r="G47" s="20">
        <f>E47*COS(RADIANS(beta))+D47*SIN(RADIANS(beta))</f>
      </c>
    </row>
    <row r="48" spans="2:7" x14ac:dyDescent="0.25">
      <c r="B48">
        <v>7</v>
      </c>
      <c r="C48" s="18">
        <v>32</v>
      </c>
      <c r="D48" s="18">
        <v>-200</v>
      </c>
      <c r="E48" s="18">
        <v>-530</v>
      </c>
      <c r="F48" s="20">
        <f>PI()*C48^2/4</f>
      </c>
      <c r="G48" s="20">
        <f>E48*COS(RADIANS(beta))+D48*SIN(RADIANS(beta))</f>
      </c>
    </row>
    <row r="49" spans="2:7" x14ac:dyDescent="0.25">
      <c r="B49">
        <v>8</v>
      </c>
      <c r="C49" s="18">
        <v>32</v>
      </c>
      <c r="D49" s="18">
        <v>0</v>
      </c>
      <c r="E49" s="18">
        <v>-530</v>
      </c>
      <c r="F49" s="20">
        <f>PI()*C49^2/4</f>
      </c>
      <c r="G49" s="20">
        <f>E49*COS(RADIANS(beta))+D49*SIN(RADIANS(beta))</f>
      </c>
    </row>
    <row r="50" spans="2:7" x14ac:dyDescent="0.25">
      <c r="B50">
        <v>9</v>
      </c>
      <c r="C50" s="18">
        <v>32</v>
      </c>
      <c r="D50" s="18">
        <v>200</v>
      </c>
      <c r="E50" s="18">
        <v>-530</v>
      </c>
      <c r="F50" s="20">
        <f>PI()*C50^2/4</f>
      </c>
      <c r="G50" s="20">
        <f>E50*COS(RADIANS(beta))+D50*SIN(RADIANS(beta))</f>
      </c>
    </row>
    <row r="51" spans="2:7" x14ac:dyDescent="0.25">
      <c r="B51">
        <v>10</v>
      </c>
      <c r="C51" s="18">
        <v>32</v>
      </c>
      <c r="D51" s="18">
        <v>400</v>
      </c>
      <c r="E51" s="18">
        <v>-530</v>
      </c>
      <c r="F51" s="20">
        <f>PI()*C51^2/4</f>
      </c>
      <c r="G51" s="20">
        <f>E51*COS(RADIANS(beta))+D51*SIN(RADIANS(beta))</f>
      </c>
    </row>
    <row r="52" spans="2:7" x14ac:dyDescent="0.25">
      <c r="B52">
        <v>11</v>
      </c>
      <c r="C52" s="18">
        <v>32</v>
      </c>
      <c r="D52" s="18">
        <v>-680</v>
      </c>
      <c r="E52" s="18">
        <v>300</v>
      </c>
      <c r="F52" s="20">
        <f>PI()*C52^2/4</f>
      </c>
      <c r="G52" s="20">
        <f>E52*COS(RADIANS(beta))+D52*SIN(RADIANS(beta))</f>
      </c>
    </row>
    <row r="53" spans="2:7" x14ac:dyDescent="0.25">
      <c r="B53">
        <v>12</v>
      </c>
      <c r="C53" s="18">
        <v>32</v>
      </c>
      <c r="D53" s="18">
        <v>-680</v>
      </c>
      <c r="E53" s="18">
        <v>100</v>
      </c>
      <c r="F53" s="20">
        <f>PI()*C53^2/4</f>
      </c>
      <c r="G53" s="20">
        <f>E53*COS(RADIANS(beta))+D53*SIN(RADIANS(beta))</f>
      </c>
    </row>
    <row r="54" spans="2:7" x14ac:dyDescent="0.25">
      <c r="B54">
        <v>13</v>
      </c>
      <c r="C54" s="18">
        <v>32</v>
      </c>
      <c r="D54" s="18">
        <v>-680</v>
      </c>
      <c r="E54" s="18">
        <v>-100</v>
      </c>
      <c r="F54" s="20">
        <f>PI()*C54^2/4</f>
      </c>
      <c r="G54" s="20">
        <f>E54*COS(RADIANS(beta))+D54*SIN(RADIANS(beta))</f>
      </c>
    </row>
    <row r="55" spans="2:7" x14ac:dyDescent="0.25">
      <c r="B55">
        <v>14</v>
      </c>
      <c r="C55" s="18">
        <v>32</v>
      </c>
      <c r="D55" s="18">
        <v>-680</v>
      </c>
      <c r="E55" s="18">
        <v>-300</v>
      </c>
      <c r="F55" s="20">
        <f>PI()*C55^2/4</f>
      </c>
      <c r="G55" s="20">
        <f>E55*COS(RADIANS(beta))+D55*SIN(RADIANS(beta))</f>
      </c>
    </row>
    <row r="56" spans="2:7" x14ac:dyDescent="0.25">
      <c r="B56">
        <v>15</v>
      </c>
      <c r="C56" s="18">
        <v>32</v>
      </c>
      <c r="D56" s="18">
        <v>680</v>
      </c>
      <c r="E56" s="18">
        <v>300</v>
      </c>
      <c r="F56" s="20">
        <f>PI()*C56^2/4</f>
      </c>
      <c r="G56" s="20">
        <f>E56*COS(RADIANS(beta))+D56*SIN(RADIANS(beta))</f>
      </c>
    </row>
    <row r="57" spans="2:7" x14ac:dyDescent="0.25">
      <c r="B57">
        <v>16</v>
      </c>
      <c r="C57" s="18">
        <v>32</v>
      </c>
      <c r="D57" s="18">
        <v>680</v>
      </c>
      <c r="E57" s="18">
        <v>100</v>
      </c>
      <c r="F57" s="20">
        <f>PI()*C57^2/4</f>
      </c>
      <c r="G57" s="20">
        <f>E57*COS(RADIANS(beta))+D57*SIN(RADIANS(beta))</f>
      </c>
    </row>
    <row r="58" spans="2:7" x14ac:dyDescent="0.25">
      <c r="B58">
        <v>17</v>
      </c>
      <c r="C58" s="18">
        <v>32</v>
      </c>
      <c r="D58" s="18">
        <v>680</v>
      </c>
      <c r="E58" s="18">
        <v>-100</v>
      </c>
      <c r="F58" s="20">
        <f>PI()*C58^2/4</f>
      </c>
      <c r="G58" s="20">
        <f>E58*COS(RADIANS(beta))+D58*SIN(RADIANS(beta))</f>
      </c>
    </row>
    <row r="59" spans="2:7" x14ac:dyDescent="0.25">
      <c r="B59">
        <v>18</v>
      </c>
      <c r="C59" s="18">
        <v>32</v>
      </c>
      <c r="D59" s="18">
        <v>680</v>
      </c>
      <c r="E59" s="18">
        <v>-300</v>
      </c>
      <c r="F59" s="20">
        <f>PI()*C59^2/4</f>
      </c>
      <c r="G59" s="20">
        <f>E59*COS(RADIANS(beta))+D59*SIN(RADIANS(beta))</f>
      </c>
    </row>
    <row r="61" spans="2:8" x14ac:dyDescent="0.25">
      <c r="B61" s="3" t="s">
        <v>178</v>
      </c>
      <c r="C61" s="3"/>
      <c r="D61" s="3"/>
      <c r="E61" s="3"/>
      <c r="F61" s="3"/>
      <c r="G61" s="3"/>
      <c r="H61" s="3"/>
    </row>
    <row r="62" spans="2:7" x14ac:dyDescent="0.25">
      <c r="B62" t="s">
        <v>179</v>
      </c>
      <c r="D62" s="21">
        <f>ABS(SUM(F6:F13)/2)+-ABS(SUM(F18:F25)/2)+-ABS(SUM(F30:F37)/2)</f>
      </c>
      <c r="E62" t="s">
        <v>71</v>
      </c>
      <c r="G62" s="5" t="s">
        <v>180</v>
      </c>
    </row>
    <row r="63" spans="2:7" x14ac:dyDescent="0.25">
      <c r="B63" t="s">
        <v>181</v>
      </c>
      <c r="D63" s="22">
        <f>MAX(G6:G13)</f>
      </c>
      <c r="E63" t="s">
        <v>46</v>
      </c>
      <c r="G63" s="5" t="s">
        <v>182</v>
      </c>
    </row>
    <row r="64" spans="2:5" x14ac:dyDescent="0.25">
      <c r="B64" t="s">
        <v>183</v>
      </c>
      <c r="D64" s="22">
        <f>MIN(G6:G13)</f>
      </c>
      <c r="E64" t="s">
        <v>46</v>
      </c>
    </row>
    <row r="65" spans="2:7" x14ac:dyDescent="0.25">
      <c r="B65" t="s">
        <v>184</v>
      </c>
      <c r="D65" s="22">
        <f>MIN(G42:G59)</f>
      </c>
      <c r="E65" t="s">
        <v>46</v>
      </c>
      <c r="G65" s="5" t="s">
        <v>185</v>
      </c>
    </row>
    <row r="66" spans="2:5" x14ac:dyDescent="0.25">
      <c r="B66" t="s">
        <v>186</v>
      </c>
      <c r="D66" s="22">
        <f>u_max-u_bar</f>
      </c>
      <c r="E66" t="s">
        <v>46</v>
      </c>
    </row>
    <row r="67" spans="2:5" x14ac:dyDescent="0.25">
      <c r="B67" t="s">
        <v>187</v>
      </c>
      <c r="D67" s="22">
        <f>u_max-u_min</f>
      </c>
      <c r="E67" t="s">
        <v>46</v>
      </c>
    </row>
    <row r="68" spans="2:5" x14ac:dyDescent="0.25">
      <c r="B68" t="s">
        <v>188</v>
      </c>
      <c r="D68" s="21">
        <f>SUM(F42:F59)</f>
      </c>
      <c r="E68" t="s">
        <v>71</v>
      </c>
    </row>
  </sheetData>
  <mergeCells count="6">
    <mergeCell ref="B1:H1"/>
    <mergeCell ref="B4:H4"/>
    <mergeCell ref="B16:H16"/>
    <mergeCell ref="B28:H28"/>
    <mergeCell ref="B40:H40"/>
    <mergeCell ref="B61:H6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6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4" width="14" customWidth="1"/>
  </cols>
  <sheetData>
    <row r="1" spans="1:4" x14ac:dyDescent="0.25">
      <c r="A1" s="23" t="s">
        <v>189</v>
      </c>
      <c r="B1" s="23"/>
      <c r="C1" s="23"/>
      <c r="D1" s="23"/>
    </row>
    <row r="2" ht="30" customHeight="1" spans="1:4" x14ac:dyDescent="0.25">
      <c r="A2" s="2" t="s">
        <v>190</v>
      </c>
      <c r="B2" s="2"/>
      <c r="C2" s="2"/>
      <c r="D2" s="2"/>
    </row>
    <row r="4" spans="1:4" x14ac:dyDescent="0.25">
      <c r="A4" s="24" t="s">
        <v>167</v>
      </c>
      <c r="B4" s="24" t="s">
        <v>169</v>
      </c>
      <c r="C4" s="24" t="s">
        <v>170</v>
      </c>
      <c r="D4" s="24" t="s">
        <v>191</v>
      </c>
    </row>
    <row r="5" spans="1:4" x14ac:dyDescent="0.25">
      <c r="A5">
        <v>1</v>
      </c>
      <c r="B5" s="11">
        <v>-703.9095925976554</v>
      </c>
      <c r="C5" s="11">
        <v>-435.8022777701834</v>
      </c>
      <c r="D5" s="11">
        <v>635.0736679689038</v>
      </c>
    </row>
    <row r="6" spans="1:4" x14ac:dyDescent="0.25">
      <c r="A6">
        <v>2</v>
      </c>
      <c r="B6" s="11">
        <v>-673.0452037011722</v>
      </c>
      <c r="C6" s="11">
        <v>-466.66666666666663</v>
      </c>
      <c r="D6" s="11">
        <v>635.0736679689038</v>
      </c>
    </row>
    <row r="7" spans="1:4" x14ac:dyDescent="0.25">
      <c r="A7">
        <v>3</v>
      </c>
      <c r="B7" s="11">
        <v>-673.0452037011722</v>
      </c>
      <c r="C7" s="11">
        <v>-435.8022777701834</v>
      </c>
      <c r="D7" s="11">
        <v>635.0736679689038</v>
      </c>
    </row>
    <row r="8" spans="1:4" x14ac:dyDescent="0.25">
      <c r="A8">
        <v>4</v>
      </c>
      <c r="B8" s="11">
        <v>-745.7476419769963</v>
      </c>
      <c r="C8" s="11">
        <v>-363.0998394943594</v>
      </c>
      <c r="D8" s="11">
        <v>262.49286349813536</v>
      </c>
    </row>
    <row r="9" spans="1:4" x14ac:dyDescent="0.25">
      <c r="A9">
        <v>5</v>
      </c>
      <c r="B9" s="11">
        <v>-745.7476419769963</v>
      </c>
      <c r="C9" s="11">
        <v>-393.9642283908426</v>
      </c>
      <c r="D9" s="11">
        <v>262.49286349813536</v>
      </c>
    </row>
    <row r="10" spans="1:4" x14ac:dyDescent="0.25">
      <c r="A10">
        <v>6</v>
      </c>
      <c r="B10" s="11">
        <v>-732.990567907985</v>
      </c>
      <c r="C10" s="11">
        <v>-406.72130245985386</v>
      </c>
      <c r="D10" s="11">
        <v>262.49286349813536</v>
      </c>
    </row>
    <row r="11" spans="1:4" x14ac:dyDescent="0.25">
      <c r="A11">
        <v>7</v>
      </c>
      <c r="B11" s="11">
        <v>-731.2071543218315</v>
      </c>
      <c r="C11" s="11">
        <v>-367.35219751736315</v>
      </c>
      <c r="D11" s="11">
        <v>897.5665314670392</v>
      </c>
    </row>
    <row r="12" spans="1:4" x14ac:dyDescent="0.25">
      <c r="A12">
        <v>8</v>
      </c>
      <c r="B12" s="11">
        <v>-718.4500802528202</v>
      </c>
      <c r="C12" s="11">
        <v>-410.97366048285755</v>
      </c>
      <c r="D12" s="11">
        <v>897.5665314670392</v>
      </c>
    </row>
    <row r="13" spans="1:4" x14ac:dyDescent="0.25">
      <c r="A13">
        <v>9</v>
      </c>
      <c r="B13" s="11">
        <v>-687.5856913563371</v>
      </c>
      <c r="C13" s="11">
        <v>-410.97366048285755</v>
      </c>
      <c r="D13" s="11">
        <v>897.5665314670392</v>
      </c>
    </row>
    <row r="14" spans="1:4" x14ac:dyDescent="0.25">
      <c r="A14">
        <v>10</v>
      </c>
      <c r="B14" s="11">
        <v>-677.2975617241759</v>
      </c>
      <c r="C14" s="11">
        <v>-396.4331728276928</v>
      </c>
      <c r="D14" s="11">
        <v>1268.5546874999998</v>
      </c>
    </row>
    <row r="15" spans="1:4" x14ac:dyDescent="0.25">
      <c r="A15">
        <v>11</v>
      </c>
      <c r="B15" s="11">
        <v>-677.2975617241759</v>
      </c>
      <c r="C15" s="11">
        <v>-352.81170986219837</v>
      </c>
      <c r="D15" s="11">
        <v>1268.5546874999998</v>
      </c>
    </row>
    <row r="16" spans="1:4" x14ac:dyDescent="0.25">
      <c r="A16">
        <v>12</v>
      </c>
      <c r="B16" s="11">
        <v>-720.9190246896703</v>
      </c>
      <c r="C16" s="11">
        <v>-352.81170986219837</v>
      </c>
      <c r="D16" s="11">
        <v>1268.5546874999998</v>
      </c>
    </row>
    <row r="17" spans="1:4" x14ac:dyDescent="0.25">
      <c r="A17">
        <v>13</v>
      </c>
      <c r="B17" s="11">
        <v>-735.4595123448352</v>
      </c>
      <c r="C17" s="11">
        <v>-280.10927158637435</v>
      </c>
      <c r="D17" s="11">
        <v>1268.5546874999998</v>
      </c>
    </row>
    <row r="18" spans="1:4" x14ac:dyDescent="0.25">
      <c r="A18">
        <v>14</v>
      </c>
      <c r="B18" s="11">
        <v>-735.4595123448352</v>
      </c>
      <c r="C18" s="11">
        <v>-323.7307345518688</v>
      </c>
      <c r="D18" s="11">
        <v>1268.5546874999998</v>
      </c>
    </row>
    <row r="19" spans="1:4" x14ac:dyDescent="0.25">
      <c r="A19">
        <v>15</v>
      </c>
      <c r="B19" s="11">
        <v>-691.8380493793408</v>
      </c>
      <c r="C19" s="11">
        <v>-323.73073455186875</v>
      </c>
      <c r="D19" s="11">
        <v>1268.5546874999998</v>
      </c>
    </row>
    <row r="20" spans="1:4" x14ac:dyDescent="0.25">
      <c r="A20">
        <v>16</v>
      </c>
      <c r="B20" s="11">
        <v>-677.2975617241759</v>
      </c>
      <c r="C20" s="11">
        <v>-309.190246896704</v>
      </c>
      <c r="D20" s="11">
        <v>1268.5546874999998</v>
      </c>
    </row>
    <row r="21" spans="1:4" x14ac:dyDescent="0.25">
      <c r="A21">
        <v>17</v>
      </c>
      <c r="B21" s="11">
        <v>-677.2975617241759</v>
      </c>
      <c r="C21" s="11">
        <v>-265.56878393120957</v>
      </c>
      <c r="D21" s="11">
        <v>1268.5546874999998</v>
      </c>
    </row>
    <row r="22" spans="1:4" x14ac:dyDescent="0.25">
      <c r="A22">
        <v>18</v>
      </c>
      <c r="B22" s="11">
        <v>-720.9190246896703</v>
      </c>
      <c r="C22" s="11">
        <v>-265.56878393120957</v>
      </c>
      <c r="D22" s="11">
        <v>1268.5546874999998</v>
      </c>
    </row>
    <row r="23" spans="1:4" x14ac:dyDescent="0.25">
      <c r="A23">
        <v>19</v>
      </c>
      <c r="B23" s="11">
        <v>-735.4595123448352</v>
      </c>
      <c r="C23" s="11">
        <v>-192.86634565538557</v>
      </c>
      <c r="D23" s="11">
        <v>1268.5546874999998</v>
      </c>
    </row>
    <row r="24" spans="1:4" x14ac:dyDescent="0.25">
      <c r="A24">
        <v>20</v>
      </c>
      <c r="B24" s="11">
        <v>-735.4595123448352</v>
      </c>
      <c r="C24" s="11">
        <v>-236.48780862087997</v>
      </c>
      <c r="D24" s="11">
        <v>1268.5546874999998</v>
      </c>
    </row>
    <row r="25" spans="1:4" x14ac:dyDescent="0.25">
      <c r="A25">
        <v>21</v>
      </c>
      <c r="B25" s="11">
        <v>-691.8380493793408</v>
      </c>
      <c r="C25" s="11">
        <v>-236.48780862087997</v>
      </c>
      <c r="D25" s="11">
        <v>1268.5546874999998</v>
      </c>
    </row>
    <row r="26" spans="1:4" x14ac:dyDescent="0.25">
      <c r="A26">
        <v>22</v>
      </c>
      <c r="B26" s="11">
        <v>-677.2975617241759</v>
      </c>
      <c r="C26" s="11">
        <v>-221.9473209657152</v>
      </c>
      <c r="D26" s="11">
        <v>1268.5546874999998</v>
      </c>
    </row>
    <row r="27" spans="1:4" x14ac:dyDescent="0.25">
      <c r="A27">
        <v>23</v>
      </c>
      <c r="B27" s="11">
        <v>-677.2975617241759</v>
      </c>
      <c r="C27" s="11">
        <v>-178.3258580002208</v>
      </c>
      <c r="D27" s="11">
        <v>1268.5546874999998</v>
      </c>
    </row>
    <row r="28" spans="1:4" x14ac:dyDescent="0.25">
      <c r="A28">
        <v>24</v>
      </c>
      <c r="B28" s="11">
        <v>-720.9190246896703</v>
      </c>
      <c r="C28" s="11">
        <v>-178.32585800022076</v>
      </c>
      <c r="D28" s="11">
        <v>1268.5546874999998</v>
      </c>
    </row>
    <row r="29" spans="1:4" x14ac:dyDescent="0.25">
      <c r="A29">
        <v>25</v>
      </c>
      <c r="B29" s="11">
        <v>-735.4595123448352</v>
      </c>
      <c r="C29" s="11">
        <v>-105.62341972439677</v>
      </c>
      <c r="D29" s="11">
        <v>1268.5546874999998</v>
      </c>
    </row>
    <row r="30" spans="1:4" x14ac:dyDescent="0.25">
      <c r="A30">
        <v>26</v>
      </c>
      <c r="B30" s="11">
        <v>-735.4595123448352</v>
      </c>
      <c r="C30" s="11">
        <v>-149.24488268989117</v>
      </c>
      <c r="D30" s="11">
        <v>1268.5546874999998</v>
      </c>
    </row>
    <row r="31" spans="1:4" x14ac:dyDescent="0.25">
      <c r="A31">
        <v>27</v>
      </c>
      <c r="B31" s="11">
        <v>-691.8380493793408</v>
      </c>
      <c r="C31" s="11">
        <v>-149.24488268989117</v>
      </c>
      <c r="D31" s="11">
        <v>1268.5546874999998</v>
      </c>
    </row>
    <row r="32" spans="1:4" x14ac:dyDescent="0.25">
      <c r="A32">
        <v>28</v>
      </c>
      <c r="B32" s="11">
        <v>-677.2975617241759</v>
      </c>
      <c r="C32" s="11">
        <v>-134.70439503472636</v>
      </c>
      <c r="D32" s="11">
        <v>1268.5546874999998</v>
      </c>
    </row>
    <row r="33" spans="1:4" x14ac:dyDescent="0.25">
      <c r="A33">
        <v>29</v>
      </c>
      <c r="B33" s="11">
        <v>-677.2975617241759</v>
      </c>
      <c r="C33" s="11">
        <v>-91.08293206923197</v>
      </c>
      <c r="D33" s="11">
        <v>1268.5546874999998</v>
      </c>
    </row>
    <row r="34" spans="1:4" x14ac:dyDescent="0.25">
      <c r="A34">
        <v>30</v>
      </c>
      <c r="B34" s="11">
        <v>-720.9190246896703</v>
      </c>
      <c r="C34" s="11">
        <v>-91.08293206923197</v>
      </c>
      <c r="D34" s="11">
        <v>1268.5546874999998</v>
      </c>
    </row>
    <row r="35" spans="1:4" x14ac:dyDescent="0.25">
      <c r="A35">
        <v>31</v>
      </c>
      <c r="B35" s="11">
        <v>-735.4595123448352</v>
      </c>
      <c r="C35" s="11">
        <v>-18.380493793407975</v>
      </c>
      <c r="D35" s="11">
        <v>1268.5546874999998</v>
      </c>
    </row>
    <row r="36" spans="1:4" x14ac:dyDescent="0.25">
      <c r="A36">
        <v>32</v>
      </c>
      <c r="B36" s="11">
        <v>-735.4595123448352</v>
      </c>
      <c r="C36" s="11">
        <v>-62.001956758902374</v>
      </c>
      <c r="D36" s="11">
        <v>1268.5546874999998</v>
      </c>
    </row>
    <row r="37" spans="1:4" x14ac:dyDescent="0.25">
      <c r="A37">
        <v>33</v>
      </c>
      <c r="B37" s="11">
        <v>-691.8380493793408</v>
      </c>
      <c r="C37" s="11">
        <v>-62.001956758902374</v>
      </c>
      <c r="D37" s="11">
        <v>1268.5546874999998</v>
      </c>
    </row>
    <row r="38" spans="1:4" x14ac:dyDescent="0.25">
      <c r="A38">
        <v>34</v>
      </c>
      <c r="B38" s="11">
        <v>-677.2975617241759</v>
      </c>
      <c r="C38" s="11">
        <v>-47.46146910373757</v>
      </c>
      <c r="D38" s="11">
        <v>1268.5546874999998</v>
      </c>
    </row>
    <row r="39" spans="1:4" x14ac:dyDescent="0.25">
      <c r="A39">
        <v>35</v>
      </c>
      <c r="B39" s="11">
        <v>-677.2975617241759</v>
      </c>
      <c r="C39" s="11">
        <v>-3.840006138243174</v>
      </c>
      <c r="D39" s="11">
        <v>1268.5546874999998</v>
      </c>
    </row>
    <row r="40" spans="1:4" x14ac:dyDescent="0.25">
      <c r="A40">
        <v>36</v>
      </c>
      <c r="B40" s="11">
        <v>-720.9190246896703</v>
      </c>
      <c r="C40" s="11">
        <v>-3.840006138243173</v>
      </c>
      <c r="D40" s="11">
        <v>1268.5546874999998</v>
      </c>
    </row>
    <row r="41" spans="1:4" x14ac:dyDescent="0.25">
      <c r="A41">
        <v>37</v>
      </c>
      <c r="B41" s="11">
        <v>-735.4595123448352</v>
      </c>
      <c r="C41" s="11">
        <v>68.86243213758081</v>
      </c>
      <c r="D41" s="11">
        <v>1268.5546874999998</v>
      </c>
    </row>
    <row r="42" spans="1:4" x14ac:dyDescent="0.25">
      <c r="A42">
        <v>38</v>
      </c>
      <c r="B42" s="11">
        <v>-735.4595123448352</v>
      </c>
      <c r="C42" s="11">
        <v>25.240969172086423</v>
      </c>
      <c r="D42" s="11">
        <v>1268.5546874999998</v>
      </c>
    </row>
    <row r="43" spans="1:4" x14ac:dyDescent="0.25">
      <c r="A43">
        <v>39</v>
      </c>
      <c r="B43" s="11">
        <v>-691.8380493793408</v>
      </c>
      <c r="C43" s="11">
        <v>25.240969172086423</v>
      </c>
      <c r="D43" s="11">
        <v>1268.5546874999998</v>
      </c>
    </row>
    <row r="44" spans="1:4" x14ac:dyDescent="0.25">
      <c r="A44">
        <v>40</v>
      </c>
      <c r="B44" s="11">
        <v>-677.2975617241759</v>
      </c>
      <c r="C44" s="11">
        <v>39.78145682725122</v>
      </c>
      <c r="D44" s="11">
        <v>1268.5546874999998</v>
      </c>
    </row>
    <row r="45" spans="1:4" x14ac:dyDescent="0.25">
      <c r="A45">
        <v>41</v>
      </c>
      <c r="B45" s="11">
        <v>-677.2975617241759</v>
      </c>
      <c r="C45" s="11">
        <v>83.40291979274562</v>
      </c>
      <c r="D45" s="11">
        <v>1268.5546874999998</v>
      </c>
    </row>
    <row r="46" spans="1:4" x14ac:dyDescent="0.25">
      <c r="A46">
        <v>42</v>
      </c>
      <c r="B46" s="11">
        <v>-720.9190246896703</v>
      </c>
      <c r="C46" s="11">
        <v>83.40291979274562</v>
      </c>
      <c r="D46" s="11">
        <v>1268.5546874999998</v>
      </c>
    </row>
    <row r="47" spans="1:4" x14ac:dyDescent="0.25">
      <c r="A47">
        <v>43</v>
      </c>
      <c r="B47" s="11">
        <v>-735.4595123448352</v>
      </c>
      <c r="C47" s="11">
        <v>156.10535806856961</v>
      </c>
      <c r="D47" s="11">
        <v>1268.5546874999998</v>
      </c>
    </row>
    <row r="48" spans="1:4" x14ac:dyDescent="0.25">
      <c r="A48">
        <v>44</v>
      </c>
      <c r="B48" s="11">
        <v>-735.4595123448352</v>
      </c>
      <c r="C48" s="11">
        <v>112.48389510307521</v>
      </c>
      <c r="D48" s="11">
        <v>1268.5546874999998</v>
      </c>
    </row>
    <row r="49" spans="1:4" x14ac:dyDescent="0.25">
      <c r="A49">
        <v>45</v>
      </c>
      <c r="B49" s="11">
        <v>-691.8380493793408</v>
      </c>
      <c r="C49" s="11">
        <v>112.48389510307521</v>
      </c>
      <c r="D49" s="11">
        <v>1268.5546874999998</v>
      </c>
    </row>
    <row r="50" spans="1:4" x14ac:dyDescent="0.25">
      <c r="A50">
        <v>46</v>
      </c>
      <c r="B50" s="11">
        <v>-677.2975617241759</v>
      </c>
      <c r="C50" s="11">
        <v>127.02438275824002</v>
      </c>
      <c r="D50" s="11">
        <v>1268.5546874999998</v>
      </c>
    </row>
    <row r="51" spans="1:4" x14ac:dyDescent="0.25">
      <c r="A51">
        <v>47</v>
      </c>
      <c r="B51" s="11">
        <v>-677.2975617241759</v>
      </c>
      <c r="C51" s="11">
        <v>170.64584572373442</v>
      </c>
      <c r="D51" s="11">
        <v>1268.5546874999998</v>
      </c>
    </row>
    <row r="52" spans="1:4" x14ac:dyDescent="0.25">
      <c r="A52">
        <v>48</v>
      </c>
      <c r="B52" s="11">
        <v>-720.9190246896703</v>
      </c>
      <c r="C52" s="11">
        <v>170.64584572373442</v>
      </c>
      <c r="D52" s="11">
        <v>1268.5546874999998</v>
      </c>
    </row>
    <row r="53" spans="1:4" x14ac:dyDescent="0.25">
      <c r="A53">
        <v>49</v>
      </c>
      <c r="B53" s="11">
        <v>-735.4595123448352</v>
      </c>
      <c r="C53" s="11">
        <v>243.34828399955842</v>
      </c>
      <c r="D53" s="11">
        <v>1268.5546874999998</v>
      </c>
    </row>
    <row r="54" spans="1:4" x14ac:dyDescent="0.25">
      <c r="A54">
        <v>50</v>
      </c>
      <c r="B54" s="11">
        <v>-735.4595123448352</v>
      </c>
      <c r="C54" s="11">
        <v>199.72682103406402</v>
      </c>
      <c r="D54" s="11">
        <v>1268.5546874999998</v>
      </c>
    </row>
    <row r="55" spans="1:4" x14ac:dyDescent="0.25">
      <c r="A55">
        <v>51</v>
      </c>
      <c r="B55" s="11">
        <v>-691.8380493793408</v>
      </c>
      <c r="C55" s="11">
        <v>199.72682103406402</v>
      </c>
      <c r="D55" s="11">
        <v>1268.5546874999998</v>
      </c>
    </row>
    <row r="56" spans="1:4" x14ac:dyDescent="0.25">
      <c r="A56">
        <v>52</v>
      </c>
      <c r="B56" s="11">
        <v>-677.2975617241759</v>
      </c>
      <c r="C56" s="11">
        <v>214.2673086892288</v>
      </c>
      <c r="D56" s="11">
        <v>1268.5546874999998</v>
      </c>
    </row>
    <row r="57" spans="1:4" x14ac:dyDescent="0.25">
      <c r="A57">
        <v>53</v>
      </c>
      <c r="B57" s="11">
        <v>-677.2975617241759</v>
      </c>
      <c r="C57" s="11">
        <v>257.8887716547232</v>
      </c>
      <c r="D57" s="11">
        <v>1268.5546874999998</v>
      </c>
    </row>
    <row r="58" spans="1:4" x14ac:dyDescent="0.25">
      <c r="A58">
        <v>54</v>
      </c>
      <c r="B58" s="11">
        <v>-720.9190246896703</v>
      </c>
      <c r="C58" s="11">
        <v>257.8887716547232</v>
      </c>
      <c r="D58" s="11">
        <v>1268.5546874999998</v>
      </c>
    </row>
    <row r="59" spans="1:4" x14ac:dyDescent="0.25">
      <c r="A59">
        <v>55</v>
      </c>
      <c r="B59" s="11">
        <v>-735.4595123448352</v>
      </c>
      <c r="C59" s="11">
        <v>330.5912099305472</v>
      </c>
      <c r="D59" s="11">
        <v>1268.5546874999998</v>
      </c>
    </row>
    <row r="60" spans="1:4" x14ac:dyDescent="0.25">
      <c r="A60">
        <v>56</v>
      </c>
      <c r="B60" s="11">
        <v>-735.4595123448352</v>
      </c>
      <c r="C60" s="11">
        <v>286.9697469650528</v>
      </c>
      <c r="D60" s="11">
        <v>1268.5546874999998</v>
      </c>
    </row>
    <row r="61" spans="1:4" x14ac:dyDescent="0.25">
      <c r="A61">
        <v>57</v>
      </c>
      <c r="B61" s="11">
        <v>-691.8380493793408</v>
      </c>
      <c r="C61" s="11">
        <v>286.9697469650528</v>
      </c>
      <c r="D61" s="11">
        <v>1268.5546874999998</v>
      </c>
    </row>
    <row r="62" spans="1:4" x14ac:dyDescent="0.25">
      <c r="A62">
        <v>58</v>
      </c>
      <c r="B62" s="11">
        <v>-677.2975617241759</v>
      </c>
      <c r="C62" s="11">
        <v>301.5102346202176</v>
      </c>
      <c r="D62" s="11">
        <v>1268.5546874999998</v>
      </c>
    </row>
    <row r="63" spans="1:4" x14ac:dyDescent="0.25">
      <c r="A63">
        <v>59</v>
      </c>
      <c r="B63" s="11">
        <v>-677.2975617241759</v>
      </c>
      <c r="C63" s="11">
        <v>345.13169758571206</v>
      </c>
      <c r="D63" s="11">
        <v>1268.5546874999998</v>
      </c>
    </row>
    <row r="64" spans="1:4" x14ac:dyDescent="0.25">
      <c r="A64">
        <v>60</v>
      </c>
      <c r="B64" s="11">
        <v>-720.9190246896703</v>
      </c>
      <c r="C64" s="11">
        <v>345.131697585712</v>
      </c>
      <c r="D64" s="11">
        <v>1268.5546874999998</v>
      </c>
    </row>
    <row r="65" spans="1:4" x14ac:dyDescent="0.25">
      <c r="A65">
        <v>61</v>
      </c>
      <c r="B65" s="11">
        <v>-735.4595123448352</v>
      </c>
      <c r="C65" s="11">
        <v>386.5573950802923</v>
      </c>
      <c r="D65" s="11">
        <v>586.3860926648032</v>
      </c>
    </row>
    <row r="66" spans="1:4" x14ac:dyDescent="0.25">
      <c r="A66">
        <v>62</v>
      </c>
      <c r="B66" s="11">
        <v>-735.4595123448352</v>
      </c>
      <c r="C66" s="11">
        <v>366.3934877007307</v>
      </c>
      <c r="D66" s="11">
        <v>586.3860926648032</v>
      </c>
    </row>
    <row r="67" spans="1:4" x14ac:dyDescent="0.25">
      <c r="A67">
        <v>63</v>
      </c>
      <c r="B67" s="11">
        <v>-691.8380493793408</v>
      </c>
      <c r="C67" s="11">
        <v>366.3934877007307</v>
      </c>
      <c r="D67" s="11">
        <v>586.3860926648032</v>
      </c>
    </row>
    <row r="68" spans="1:4" x14ac:dyDescent="0.25">
      <c r="A68">
        <v>64</v>
      </c>
      <c r="B68" s="11">
        <v>-720.9190246896703</v>
      </c>
      <c r="C68" s="11">
        <v>401.09788273545706</v>
      </c>
      <c r="D68" s="11">
        <v>1268.5546874999998</v>
      </c>
    </row>
    <row r="69" spans="1:4" x14ac:dyDescent="0.25">
      <c r="A69">
        <v>65</v>
      </c>
      <c r="B69" s="11">
        <v>-677.2975617241759</v>
      </c>
      <c r="C69" s="11">
        <v>380.9339753558955</v>
      </c>
      <c r="D69" s="11">
        <v>1268.5546874999998</v>
      </c>
    </row>
    <row r="70" spans="1:4" x14ac:dyDescent="0.25">
      <c r="A70">
        <v>66</v>
      </c>
      <c r="B70" s="11">
        <v>-677.2975617241759</v>
      </c>
      <c r="C70" s="11">
        <v>424.5554383213899</v>
      </c>
      <c r="D70" s="11">
        <v>1268.5546874999998</v>
      </c>
    </row>
    <row r="71" spans="1:4" x14ac:dyDescent="0.25">
      <c r="A71">
        <v>67</v>
      </c>
      <c r="B71" s="11">
        <v>-684.0188641840298</v>
      </c>
      <c r="C71" s="11">
        <v>439.09592597655467</v>
      </c>
      <c r="D71" s="11">
        <v>315.33065212377784</v>
      </c>
    </row>
    <row r="72" spans="1:4" x14ac:dyDescent="0.25">
      <c r="A72">
        <v>68</v>
      </c>
      <c r="B72" s="11">
        <v>-704.1827715635914</v>
      </c>
      <c r="C72" s="11">
        <v>439.09592597655467</v>
      </c>
      <c r="D72" s="11">
        <v>315.33065212377784</v>
      </c>
    </row>
    <row r="73" spans="1:4" x14ac:dyDescent="0.25">
      <c r="A73">
        <v>69</v>
      </c>
      <c r="B73" s="11">
        <v>-727.6403271495242</v>
      </c>
      <c r="C73" s="11">
        <v>415.63837039062184</v>
      </c>
      <c r="D73" s="11">
        <v>315.33065212377784</v>
      </c>
    </row>
    <row r="74" spans="1:4" x14ac:dyDescent="0.25">
      <c r="A74">
        <v>70</v>
      </c>
      <c r="B74" s="11">
        <v>-689.6422839084265</v>
      </c>
      <c r="C74" s="11">
        <v>453.6364136317195</v>
      </c>
      <c r="D74" s="11">
        <v>271.05544054102523</v>
      </c>
    </row>
    <row r="75" spans="1:4" x14ac:dyDescent="0.25">
      <c r="A75">
        <v>71</v>
      </c>
      <c r="B75" s="11">
        <v>-669.4783765288649</v>
      </c>
      <c r="C75" s="11">
        <v>453.6364136317195</v>
      </c>
      <c r="D75" s="11">
        <v>271.05544054102523</v>
      </c>
    </row>
    <row r="76" spans="1:4" x14ac:dyDescent="0.25">
      <c r="A76">
        <v>72</v>
      </c>
      <c r="B76" s="11">
        <v>-669.478376528865</v>
      </c>
      <c r="C76" s="11">
        <v>473.8003210112811</v>
      </c>
      <c r="D76" s="11">
        <v>271.05544054102523</v>
      </c>
    </row>
    <row r="77" spans="1:4" x14ac:dyDescent="0.25">
      <c r="A77">
        <v>73</v>
      </c>
      <c r="B77" s="11">
        <v>-616.6666666666667</v>
      </c>
      <c r="C77" s="11">
        <v>-523.0452037011722</v>
      </c>
      <c r="D77" s="11">
        <v>635.0736679689038</v>
      </c>
    </row>
    <row r="78" spans="1:4" x14ac:dyDescent="0.25">
      <c r="A78">
        <v>74</v>
      </c>
      <c r="B78" s="11">
        <v>-585.8022777701834</v>
      </c>
      <c r="C78" s="11">
        <v>-553.9095925976554</v>
      </c>
      <c r="D78" s="11">
        <v>635.0736679689038</v>
      </c>
    </row>
    <row r="79" spans="1:4" x14ac:dyDescent="0.25">
      <c r="A79">
        <v>75</v>
      </c>
      <c r="B79" s="11">
        <v>-585.8022777701834</v>
      </c>
      <c r="C79" s="11">
        <v>-523.0452037011722</v>
      </c>
      <c r="D79" s="11">
        <v>635.0736679689038</v>
      </c>
    </row>
    <row r="80" spans="1:4" x14ac:dyDescent="0.25">
      <c r="A80">
        <v>76</v>
      </c>
      <c r="B80" s="11">
        <v>-658.5047160460074</v>
      </c>
      <c r="C80" s="11">
        <v>-450.34276542534826</v>
      </c>
      <c r="D80" s="11">
        <v>262.49286349813536</v>
      </c>
    </row>
    <row r="81" spans="1:4" x14ac:dyDescent="0.25">
      <c r="A81">
        <v>77</v>
      </c>
      <c r="B81" s="11">
        <v>-658.5047160460074</v>
      </c>
      <c r="C81" s="11">
        <v>-481.20715432183147</v>
      </c>
      <c r="D81" s="11">
        <v>262.49286349813536</v>
      </c>
    </row>
    <row r="82" spans="1:4" x14ac:dyDescent="0.25">
      <c r="A82">
        <v>78</v>
      </c>
      <c r="B82" s="11">
        <v>-645.7476419769962</v>
      </c>
      <c r="C82" s="11">
        <v>-493.9642283908426</v>
      </c>
      <c r="D82" s="11">
        <v>262.49286349813536</v>
      </c>
    </row>
    <row r="83" spans="1:4" x14ac:dyDescent="0.25">
      <c r="A83">
        <v>79</v>
      </c>
      <c r="B83" s="11">
        <v>-643.9642283908427</v>
      </c>
      <c r="C83" s="11">
        <v>-454.59512344835196</v>
      </c>
      <c r="D83" s="11">
        <v>897.5665314670392</v>
      </c>
    </row>
    <row r="84" spans="1:4" x14ac:dyDescent="0.25">
      <c r="A84">
        <v>80</v>
      </c>
      <c r="B84" s="11">
        <v>-631.2071543218315</v>
      </c>
      <c r="C84" s="11">
        <v>-498.21658641384636</v>
      </c>
      <c r="D84" s="11">
        <v>897.5665314670392</v>
      </c>
    </row>
    <row r="85" spans="1:4" x14ac:dyDescent="0.25">
      <c r="A85">
        <v>81</v>
      </c>
      <c r="B85" s="11">
        <v>-600.3427654253483</v>
      </c>
      <c r="C85" s="11">
        <v>-498.21658641384636</v>
      </c>
      <c r="D85" s="11">
        <v>897.5665314670392</v>
      </c>
    </row>
    <row r="86" spans="1:4" x14ac:dyDescent="0.25">
      <c r="A86">
        <v>82</v>
      </c>
      <c r="B86" s="11">
        <v>-590.0546357931871</v>
      </c>
      <c r="C86" s="11">
        <v>-483.6760987586815</v>
      </c>
      <c r="D86" s="11">
        <v>1268.5546874999998</v>
      </c>
    </row>
    <row r="87" spans="1:4" x14ac:dyDescent="0.25">
      <c r="A87">
        <v>83</v>
      </c>
      <c r="B87" s="11">
        <v>-590.0546357931871</v>
      </c>
      <c r="C87" s="11">
        <v>-440.0546357931872</v>
      </c>
      <c r="D87" s="11">
        <v>1268.5546874999998</v>
      </c>
    </row>
    <row r="88" spans="1:4" x14ac:dyDescent="0.25">
      <c r="A88">
        <v>84</v>
      </c>
      <c r="B88" s="11">
        <v>-633.6760987586815</v>
      </c>
      <c r="C88" s="11">
        <v>-440.0546357931872</v>
      </c>
      <c r="D88" s="11">
        <v>1268.5546874999998</v>
      </c>
    </row>
    <row r="89" spans="1:4" x14ac:dyDescent="0.25">
      <c r="A89">
        <v>85</v>
      </c>
      <c r="B89" s="11">
        <v>-648.2165864138464</v>
      </c>
      <c r="C89" s="11">
        <v>-367.35219751736315</v>
      </c>
      <c r="D89" s="11">
        <v>1268.5546874999998</v>
      </c>
    </row>
    <row r="90" spans="1:4" x14ac:dyDescent="0.25">
      <c r="A90">
        <v>86</v>
      </c>
      <c r="B90" s="11">
        <v>-648.2165864138464</v>
      </c>
      <c r="C90" s="11">
        <v>-410.97366048285755</v>
      </c>
      <c r="D90" s="11">
        <v>1268.5546874999998</v>
      </c>
    </row>
    <row r="91" spans="1:4" x14ac:dyDescent="0.25">
      <c r="A91">
        <v>87</v>
      </c>
      <c r="B91" s="11">
        <v>-604.595123448352</v>
      </c>
      <c r="C91" s="11">
        <v>-410.97366048285755</v>
      </c>
      <c r="D91" s="11">
        <v>1268.5546874999998</v>
      </c>
    </row>
    <row r="92" spans="1:4" x14ac:dyDescent="0.25">
      <c r="A92">
        <v>88</v>
      </c>
      <c r="B92" s="11">
        <v>-590.0546357931871</v>
      </c>
      <c r="C92" s="11">
        <v>-396.4331728276928</v>
      </c>
      <c r="D92" s="11">
        <v>1268.5546874999998</v>
      </c>
    </row>
    <row r="93" spans="1:4" x14ac:dyDescent="0.25">
      <c r="A93">
        <v>89</v>
      </c>
      <c r="B93" s="11">
        <v>-590.0546357931871</v>
      </c>
      <c r="C93" s="11">
        <v>-352.81170986219837</v>
      </c>
      <c r="D93" s="11">
        <v>1268.5546874999998</v>
      </c>
    </row>
    <row r="94" spans="1:4" x14ac:dyDescent="0.25">
      <c r="A94">
        <v>90</v>
      </c>
      <c r="B94" s="11">
        <v>-633.6760987586815</v>
      </c>
      <c r="C94" s="11">
        <v>-352.81170986219837</v>
      </c>
      <c r="D94" s="11">
        <v>1268.5546874999998</v>
      </c>
    </row>
    <row r="95" spans="1:4" x14ac:dyDescent="0.25">
      <c r="A95">
        <v>91</v>
      </c>
      <c r="B95" s="11">
        <v>-648.2165864138464</v>
      </c>
      <c r="C95" s="11">
        <v>-280.10927158637435</v>
      </c>
      <c r="D95" s="11">
        <v>1268.5546874999998</v>
      </c>
    </row>
    <row r="96" spans="1:4" x14ac:dyDescent="0.25">
      <c r="A96">
        <v>92</v>
      </c>
      <c r="B96" s="11">
        <v>-648.2165864138464</v>
      </c>
      <c r="C96" s="11">
        <v>-323.7307345518688</v>
      </c>
      <c r="D96" s="11">
        <v>1268.5546874999998</v>
      </c>
    </row>
    <row r="97" spans="1:4" x14ac:dyDescent="0.25">
      <c r="A97">
        <v>93</v>
      </c>
      <c r="B97" s="11">
        <v>-604.595123448352</v>
      </c>
      <c r="C97" s="11">
        <v>-323.73073455186875</v>
      </c>
      <c r="D97" s="11">
        <v>1268.5546874999998</v>
      </c>
    </row>
    <row r="98" spans="1:4" x14ac:dyDescent="0.25">
      <c r="A98">
        <v>94</v>
      </c>
      <c r="B98" s="11">
        <v>-590.0546357931871</v>
      </c>
      <c r="C98" s="11">
        <v>-309.190246896704</v>
      </c>
      <c r="D98" s="11">
        <v>1268.5546874999998</v>
      </c>
    </row>
    <row r="99" spans="1:4" x14ac:dyDescent="0.25">
      <c r="A99">
        <v>95</v>
      </c>
      <c r="B99" s="11">
        <v>-590.0546357931871</v>
      </c>
      <c r="C99" s="11">
        <v>-265.56878393120957</v>
      </c>
      <c r="D99" s="11">
        <v>1268.5546874999998</v>
      </c>
    </row>
    <row r="100" spans="1:4" x14ac:dyDescent="0.25">
      <c r="A100">
        <v>96</v>
      </c>
      <c r="B100" s="11">
        <v>-633.6760987586815</v>
      </c>
      <c r="C100" s="11">
        <v>-265.56878393120957</v>
      </c>
      <c r="D100" s="11">
        <v>1268.5546874999998</v>
      </c>
    </row>
    <row r="101" spans="1:4" x14ac:dyDescent="0.25">
      <c r="A101">
        <v>97</v>
      </c>
      <c r="B101" s="11">
        <v>-648.2165864138464</v>
      </c>
      <c r="C101" s="11">
        <v>-192.86634565538557</v>
      </c>
      <c r="D101" s="11">
        <v>1268.5546874999998</v>
      </c>
    </row>
    <row r="102" spans="1:4" x14ac:dyDescent="0.25">
      <c r="A102">
        <v>98</v>
      </c>
      <c r="B102" s="11">
        <v>-648.2165864138464</v>
      </c>
      <c r="C102" s="11">
        <v>-236.48780862087997</v>
      </c>
      <c r="D102" s="11">
        <v>1268.5546874999998</v>
      </c>
    </row>
    <row r="103" spans="1:4" x14ac:dyDescent="0.25">
      <c r="A103">
        <v>99</v>
      </c>
      <c r="B103" s="11">
        <v>-604.595123448352</v>
      </c>
      <c r="C103" s="11">
        <v>-236.48780862087997</v>
      </c>
      <c r="D103" s="11">
        <v>1268.5546874999998</v>
      </c>
    </row>
    <row r="104" spans="1:4" x14ac:dyDescent="0.25">
      <c r="A104">
        <v>100</v>
      </c>
      <c r="B104" s="11">
        <v>-590.0546357931871</v>
      </c>
      <c r="C104" s="11">
        <v>-221.9473209657152</v>
      </c>
      <c r="D104" s="11">
        <v>1268.5546874999998</v>
      </c>
    </row>
    <row r="105" spans="1:4" x14ac:dyDescent="0.25">
      <c r="A105">
        <v>101</v>
      </c>
      <c r="B105" s="11">
        <v>-590.0546357931871</v>
      </c>
      <c r="C105" s="11">
        <v>-178.3258580002208</v>
      </c>
      <c r="D105" s="11">
        <v>1268.5546874999998</v>
      </c>
    </row>
    <row r="106" spans="1:4" x14ac:dyDescent="0.25">
      <c r="A106">
        <v>102</v>
      </c>
      <c r="B106" s="11">
        <v>-633.6760987586815</v>
      </c>
      <c r="C106" s="11">
        <v>-178.32585800022076</v>
      </c>
      <c r="D106" s="11">
        <v>1268.5546874999998</v>
      </c>
    </row>
    <row r="107" spans="1:4" x14ac:dyDescent="0.25">
      <c r="A107">
        <v>103</v>
      </c>
      <c r="B107" s="11">
        <v>-648.2165864138464</v>
      </c>
      <c r="C107" s="11">
        <v>-105.62341972439677</v>
      </c>
      <c r="D107" s="11">
        <v>1268.5546874999998</v>
      </c>
    </row>
    <row r="108" spans="1:4" x14ac:dyDescent="0.25">
      <c r="A108">
        <v>104</v>
      </c>
      <c r="B108" s="11">
        <v>-648.2165864138464</v>
      </c>
      <c r="C108" s="11">
        <v>-149.24488268989117</v>
      </c>
      <c r="D108" s="11">
        <v>1268.5546874999998</v>
      </c>
    </row>
    <row r="109" spans="1:4" x14ac:dyDescent="0.25">
      <c r="A109">
        <v>105</v>
      </c>
      <c r="B109" s="11">
        <v>-604.595123448352</v>
      </c>
      <c r="C109" s="11">
        <v>-149.24488268989117</v>
      </c>
      <c r="D109" s="11">
        <v>1268.5546874999998</v>
      </c>
    </row>
    <row r="110" spans="1:4" x14ac:dyDescent="0.25">
      <c r="A110">
        <v>106</v>
      </c>
      <c r="B110" s="11">
        <v>-590.0546357931871</v>
      </c>
      <c r="C110" s="11">
        <v>-134.70439503472636</v>
      </c>
      <c r="D110" s="11">
        <v>1268.5546874999998</v>
      </c>
    </row>
    <row r="111" spans="1:4" x14ac:dyDescent="0.25">
      <c r="A111">
        <v>107</v>
      </c>
      <c r="B111" s="11">
        <v>-590.0546357931871</v>
      </c>
      <c r="C111" s="11">
        <v>-91.08293206923197</v>
      </c>
      <c r="D111" s="11">
        <v>1268.5546874999998</v>
      </c>
    </row>
    <row r="112" spans="1:4" x14ac:dyDescent="0.25">
      <c r="A112">
        <v>108</v>
      </c>
      <c r="B112" s="11">
        <v>-633.6760987586815</v>
      </c>
      <c r="C112" s="11">
        <v>-91.08293206923197</v>
      </c>
      <c r="D112" s="11">
        <v>1268.5546874999998</v>
      </c>
    </row>
    <row r="113" spans="1:4" x14ac:dyDescent="0.25">
      <c r="A113">
        <v>109</v>
      </c>
      <c r="B113" s="11">
        <v>-648.2165864138464</v>
      </c>
      <c r="C113" s="11">
        <v>-18.380493793407975</v>
      </c>
      <c r="D113" s="11">
        <v>1268.5546874999998</v>
      </c>
    </row>
    <row r="114" spans="1:4" x14ac:dyDescent="0.25">
      <c r="A114">
        <v>110</v>
      </c>
      <c r="B114" s="11">
        <v>-648.2165864138464</v>
      </c>
      <c r="C114" s="11">
        <v>-62.001956758902374</v>
      </c>
      <c r="D114" s="11">
        <v>1268.5546874999998</v>
      </c>
    </row>
    <row r="115" spans="1:4" x14ac:dyDescent="0.25">
      <c r="A115">
        <v>111</v>
      </c>
      <c r="B115" s="11">
        <v>-604.595123448352</v>
      </c>
      <c r="C115" s="11">
        <v>-62.001956758902374</v>
      </c>
      <c r="D115" s="11">
        <v>1268.5546874999998</v>
      </c>
    </row>
    <row r="116" spans="1:4" x14ac:dyDescent="0.25">
      <c r="A116">
        <v>112</v>
      </c>
      <c r="B116" s="11">
        <v>-590.0546357931871</v>
      </c>
      <c r="C116" s="11">
        <v>-47.46146910373757</v>
      </c>
      <c r="D116" s="11">
        <v>1268.5546874999998</v>
      </c>
    </row>
    <row r="117" spans="1:4" x14ac:dyDescent="0.25">
      <c r="A117">
        <v>113</v>
      </c>
      <c r="B117" s="11">
        <v>-590.0546357931871</v>
      </c>
      <c r="C117" s="11">
        <v>-3.840006138243174</v>
      </c>
      <c r="D117" s="11">
        <v>1268.5546874999998</v>
      </c>
    </row>
    <row r="118" spans="1:4" x14ac:dyDescent="0.25">
      <c r="A118">
        <v>114</v>
      </c>
      <c r="B118" s="11">
        <v>-633.6760987586815</v>
      </c>
      <c r="C118" s="11">
        <v>-3.840006138243173</v>
      </c>
      <c r="D118" s="11">
        <v>1268.5546874999998</v>
      </c>
    </row>
    <row r="119" spans="1:4" x14ac:dyDescent="0.25">
      <c r="A119">
        <v>115</v>
      </c>
      <c r="B119" s="11">
        <v>-648.2165864138464</v>
      </c>
      <c r="C119" s="11">
        <v>68.86243213758081</v>
      </c>
      <c r="D119" s="11">
        <v>1268.5546874999998</v>
      </c>
    </row>
    <row r="120" spans="1:4" x14ac:dyDescent="0.25">
      <c r="A120">
        <v>116</v>
      </c>
      <c r="B120" s="11">
        <v>-648.2165864138464</v>
      </c>
      <c r="C120" s="11">
        <v>25.240969172086423</v>
      </c>
      <c r="D120" s="11">
        <v>1268.5546874999998</v>
      </c>
    </row>
    <row r="121" spans="1:4" x14ac:dyDescent="0.25">
      <c r="A121">
        <v>117</v>
      </c>
      <c r="B121" s="11">
        <v>-604.595123448352</v>
      </c>
      <c r="C121" s="11">
        <v>25.240969172086423</v>
      </c>
      <c r="D121" s="11">
        <v>1268.5546874999998</v>
      </c>
    </row>
    <row r="122" spans="1:4" x14ac:dyDescent="0.25">
      <c r="A122">
        <v>118</v>
      </c>
      <c r="B122" s="11">
        <v>-590.0546357931871</v>
      </c>
      <c r="C122" s="11">
        <v>39.78145682725122</v>
      </c>
      <c r="D122" s="11">
        <v>1268.5546874999998</v>
      </c>
    </row>
    <row r="123" spans="1:4" x14ac:dyDescent="0.25">
      <c r="A123">
        <v>119</v>
      </c>
      <c r="B123" s="11">
        <v>-590.0546357931871</v>
      </c>
      <c r="C123" s="11">
        <v>83.40291979274562</v>
      </c>
      <c r="D123" s="11">
        <v>1268.5546874999998</v>
      </c>
    </row>
    <row r="124" spans="1:4" x14ac:dyDescent="0.25">
      <c r="A124">
        <v>120</v>
      </c>
      <c r="B124" s="11">
        <v>-633.6760987586815</v>
      </c>
      <c r="C124" s="11">
        <v>83.40291979274562</v>
      </c>
      <c r="D124" s="11">
        <v>1268.5546874999998</v>
      </c>
    </row>
    <row r="125" spans="1:4" x14ac:dyDescent="0.25">
      <c r="A125">
        <v>121</v>
      </c>
      <c r="B125" s="11">
        <v>-648.2165864138464</v>
      </c>
      <c r="C125" s="11">
        <v>156.10535806856961</v>
      </c>
      <c r="D125" s="11">
        <v>1268.5546874999998</v>
      </c>
    </row>
    <row r="126" spans="1:4" x14ac:dyDescent="0.25">
      <c r="A126">
        <v>122</v>
      </c>
      <c r="B126" s="11">
        <v>-648.2165864138464</v>
      </c>
      <c r="C126" s="11">
        <v>112.48389510307521</v>
      </c>
      <c r="D126" s="11">
        <v>1268.5546874999998</v>
      </c>
    </row>
    <row r="127" spans="1:4" x14ac:dyDescent="0.25">
      <c r="A127">
        <v>123</v>
      </c>
      <c r="B127" s="11">
        <v>-604.595123448352</v>
      </c>
      <c r="C127" s="11">
        <v>112.48389510307521</v>
      </c>
      <c r="D127" s="11">
        <v>1268.5546874999998</v>
      </c>
    </row>
    <row r="128" spans="1:4" x14ac:dyDescent="0.25">
      <c r="A128">
        <v>124</v>
      </c>
      <c r="B128" s="11">
        <v>-590.0546357931871</v>
      </c>
      <c r="C128" s="11">
        <v>127.02438275824002</v>
      </c>
      <c r="D128" s="11">
        <v>1268.5546874999998</v>
      </c>
    </row>
    <row r="129" spans="1:4" x14ac:dyDescent="0.25">
      <c r="A129">
        <v>125</v>
      </c>
      <c r="B129" s="11">
        <v>-590.0546357931871</v>
      </c>
      <c r="C129" s="11">
        <v>170.64584572373442</v>
      </c>
      <c r="D129" s="11">
        <v>1268.5546874999998</v>
      </c>
    </row>
    <row r="130" spans="1:4" x14ac:dyDescent="0.25">
      <c r="A130">
        <v>126</v>
      </c>
      <c r="B130" s="11">
        <v>-633.6760987586815</v>
      </c>
      <c r="C130" s="11">
        <v>170.64584572373442</v>
      </c>
      <c r="D130" s="11">
        <v>1268.5546874999998</v>
      </c>
    </row>
    <row r="131" spans="1:4" x14ac:dyDescent="0.25">
      <c r="A131">
        <v>127</v>
      </c>
      <c r="B131" s="11">
        <v>-648.2165864138464</v>
      </c>
      <c r="C131" s="11">
        <v>243.34828399955842</v>
      </c>
      <c r="D131" s="11">
        <v>1268.5546874999998</v>
      </c>
    </row>
    <row r="132" spans="1:4" x14ac:dyDescent="0.25">
      <c r="A132">
        <v>128</v>
      </c>
      <c r="B132" s="11">
        <v>-648.2165864138464</v>
      </c>
      <c r="C132" s="11">
        <v>199.72682103406402</v>
      </c>
      <c r="D132" s="11">
        <v>1268.5546874999998</v>
      </c>
    </row>
    <row r="133" spans="1:4" x14ac:dyDescent="0.25">
      <c r="A133">
        <v>129</v>
      </c>
      <c r="B133" s="11">
        <v>-604.595123448352</v>
      </c>
      <c r="C133" s="11">
        <v>199.72682103406402</v>
      </c>
      <c r="D133" s="11">
        <v>1268.5546874999998</v>
      </c>
    </row>
    <row r="134" spans="1:4" x14ac:dyDescent="0.25">
      <c r="A134">
        <v>130</v>
      </c>
      <c r="B134" s="11">
        <v>-590.0546357931871</v>
      </c>
      <c r="C134" s="11">
        <v>214.2673086892288</v>
      </c>
      <c r="D134" s="11">
        <v>1268.5546874999998</v>
      </c>
    </row>
    <row r="135" spans="1:4" x14ac:dyDescent="0.25">
      <c r="A135">
        <v>131</v>
      </c>
      <c r="B135" s="11">
        <v>-590.0546357931871</v>
      </c>
      <c r="C135" s="11">
        <v>257.8887716547232</v>
      </c>
      <c r="D135" s="11">
        <v>1268.5546874999998</v>
      </c>
    </row>
    <row r="136" spans="1:4" x14ac:dyDescent="0.25">
      <c r="A136">
        <v>132</v>
      </c>
      <c r="B136" s="11">
        <v>-633.6760987586815</v>
      </c>
      <c r="C136" s="11">
        <v>257.8887716547232</v>
      </c>
      <c r="D136" s="11">
        <v>1268.5546874999998</v>
      </c>
    </row>
    <row r="137" spans="1:4" x14ac:dyDescent="0.25">
      <c r="A137">
        <v>133</v>
      </c>
      <c r="B137" s="11">
        <v>-648.2165864138464</v>
      </c>
      <c r="C137" s="11">
        <v>330.5912099305472</v>
      </c>
      <c r="D137" s="11">
        <v>1268.5546874999998</v>
      </c>
    </row>
    <row r="138" spans="1:4" x14ac:dyDescent="0.25">
      <c r="A138">
        <v>134</v>
      </c>
      <c r="B138" s="11">
        <v>-648.2165864138464</v>
      </c>
      <c r="C138" s="11">
        <v>286.9697469650528</v>
      </c>
      <c r="D138" s="11">
        <v>1268.5546874999998</v>
      </c>
    </row>
    <row r="139" spans="1:4" x14ac:dyDescent="0.25">
      <c r="A139">
        <v>135</v>
      </c>
      <c r="B139" s="11">
        <v>-604.595123448352</v>
      </c>
      <c r="C139" s="11">
        <v>286.9697469650528</v>
      </c>
      <c r="D139" s="11">
        <v>1268.5546874999998</v>
      </c>
    </row>
    <row r="140" spans="1:4" x14ac:dyDescent="0.25">
      <c r="A140">
        <v>136</v>
      </c>
      <c r="B140" s="11">
        <v>-590.0546357931871</v>
      </c>
      <c r="C140" s="11">
        <v>301.5102346202176</v>
      </c>
      <c r="D140" s="11">
        <v>1268.5546874999998</v>
      </c>
    </row>
    <row r="141" spans="1:4" x14ac:dyDescent="0.25">
      <c r="A141">
        <v>137</v>
      </c>
      <c r="B141" s="11">
        <v>-590.0546357931871</v>
      </c>
      <c r="C141" s="11">
        <v>345.13169758571206</v>
      </c>
      <c r="D141" s="11">
        <v>1268.5546874999998</v>
      </c>
    </row>
    <row r="142" spans="1:4" x14ac:dyDescent="0.25">
      <c r="A142">
        <v>138</v>
      </c>
      <c r="B142" s="11">
        <v>-633.6760987586815</v>
      </c>
      <c r="C142" s="11">
        <v>345.131697585712</v>
      </c>
      <c r="D142" s="11">
        <v>1268.5546874999998</v>
      </c>
    </row>
    <row r="143" spans="1:4" x14ac:dyDescent="0.25">
      <c r="A143">
        <v>139</v>
      </c>
      <c r="B143" s="11">
        <v>-648.2165864138464</v>
      </c>
      <c r="C143" s="11">
        <v>417.8341358615361</v>
      </c>
      <c r="D143" s="11">
        <v>1268.5546874999998</v>
      </c>
    </row>
    <row r="144" spans="1:4" x14ac:dyDescent="0.25">
      <c r="A144">
        <v>140</v>
      </c>
      <c r="B144" s="11">
        <v>-648.2165864138464</v>
      </c>
      <c r="C144" s="11">
        <v>374.2126728960416</v>
      </c>
      <c r="D144" s="11">
        <v>1268.5546874999998</v>
      </c>
    </row>
    <row r="145" spans="1:4" x14ac:dyDescent="0.25">
      <c r="A145">
        <v>141</v>
      </c>
      <c r="B145" s="11">
        <v>-604.595123448352</v>
      </c>
      <c r="C145" s="11">
        <v>374.2126728960416</v>
      </c>
      <c r="D145" s="11">
        <v>1268.5546874999998</v>
      </c>
    </row>
    <row r="146" spans="1:4" x14ac:dyDescent="0.25">
      <c r="A146">
        <v>142</v>
      </c>
      <c r="B146" s="11">
        <v>-590.0546357931871</v>
      </c>
      <c r="C146" s="11">
        <v>388.7531605512064</v>
      </c>
      <c r="D146" s="11">
        <v>1268.5546874999998</v>
      </c>
    </row>
    <row r="147" spans="1:4" x14ac:dyDescent="0.25">
      <c r="A147">
        <v>143</v>
      </c>
      <c r="B147" s="11">
        <v>-590.0546357931871</v>
      </c>
      <c r="C147" s="11">
        <v>432.37462351670086</v>
      </c>
      <c r="D147" s="11">
        <v>1268.5546874999998</v>
      </c>
    </row>
    <row r="148" spans="1:4" x14ac:dyDescent="0.25">
      <c r="A148">
        <v>144</v>
      </c>
      <c r="B148" s="11">
        <v>-633.6760987586815</v>
      </c>
      <c r="C148" s="11">
        <v>432.3746235167008</v>
      </c>
      <c r="D148" s="11">
        <v>1268.5546874999998</v>
      </c>
    </row>
    <row r="149" spans="1:4" x14ac:dyDescent="0.25">
      <c r="A149">
        <v>145</v>
      </c>
      <c r="B149" s="11">
        <v>-648.2165864138464</v>
      </c>
      <c r="C149" s="11">
        <v>473.8003210112811</v>
      </c>
      <c r="D149" s="11">
        <v>586.3860926648032</v>
      </c>
    </row>
    <row r="150" spans="1:4" x14ac:dyDescent="0.25">
      <c r="A150">
        <v>146</v>
      </c>
      <c r="B150" s="11">
        <v>-648.2165864138464</v>
      </c>
      <c r="C150" s="11">
        <v>453.6364136317195</v>
      </c>
      <c r="D150" s="11">
        <v>586.3860926648032</v>
      </c>
    </row>
    <row r="151" spans="1:4" x14ac:dyDescent="0.25">
      <c r="A151">
        <v>147</v>
      </c>
      <c r="B151" s="11">
        <v>-604.595123448352</v>
      </c>
      <c r="C151" s="11">
        <v>453.6364136317195</v>
      </c>
      <c r="D151" s="11">
        <v>586.3860926648032</v>
      </c>
    </row>
    <row r="152" spans="1:4" x14ac:dyDescent="0.25">
      <c r="A152">
        <v>148</v>
      </c>
      <c r="B152" s="11">
        <v>-633.6760987586816</v>
      </c>
      <c r="C152" s="11">
        <v>488.34080866644587</v>
      </c>
      <c r="D152" s="11">
        <v>1268.5546874999998</v>
      </c>
    </row>
    <row r="153" spans="1:4" x14ac:dyDescent="0.25">
      <c r="A153">
        <v>149</v>
      </c>
      <c r="B153" s="11">
        <v>-590.0546357931872</v>
      </c>
      <c r="C153" s="11">
        <v>468.1769012868843</v>
      </c>
      <c r="D153" s="11">
        <v>1268.5546874999998</v>
      </c>
    </row>
    <row r="154" spans="1:4" x14ac:dyDescent="0.25">
      <c r="A154">
        <v>150</v>
      </c>
      <c r="B154" s="11">
        <v>-590.0546357931871</v>
      </c>
      <c r="C154" s="11">
        <v>511.7983642523787</v>
      </c>
      <c r="D154" s="11">
        <v>1268.5546874999998</v>
      </c>
    </row>
    <row r="155" spans="1:4" x14ac:dyDescent="0.25">
      <c r="A155">
        <v>151</v>
      </c>
      <c r="B155" s="11">
        <v>-596.775938253041</v>
      </c>
      <c r="C155" s="11">
        <v>526.3388519075435</v>
      </c>
      <c r="D155" s="11">
        <v>315.33065212377784</v>
      </c>
    </row>
    <row r="156" spans="1:4" x14ac:dyDescent="0.25">
      <c r="A156">
        <v>152</v>
      </c>
      <c r="B156" s="11">
        <v>-616.9398456326026</v>
      </c>
      <c r="C156" s="11">
        <v>526.3388519075435</v>
      </c>
      <c r="D156" s="11">
        <v>315.33065212377784</v>
      </c>
    </row>
    <row r="157" spans="1:4" x14ac:dyDescent="0.25">
      <c r="A157">
        <v>153</v>
      </c>
      <c r="B157" s="11">
        <v>-640.3974012185354</v>
      </c>
      <c r="C157" s="11">
        <v>502.88129632161065</v>
      </c>
      <c r="D157" s="11">
        <v>315.33065212377784</v>
      </c>
    </row>
    <row r="158" spans="1:4" x14ac:dyDescent="0.25">
      <c r="A158">
        <v>154</v>
      </c>
      <c r="B158" s="11">
        <v>-602.3993579774378</v>
      </c>
      <c r="C158" s="11">
        <v>540.8793395627083</v>
      </c>
      <c r="D158" s="11">
        <v>271.05544054102523</v>
      </c>
    </row>
    <row r="159" spans="1:4" x14ac:dyDescent="0.25">
      <c r="A159">
        <v>155</v>
      </c>
      <c r="B159" s="11">
        <v>-582.2354505978763</v>
      </c>
      <c r="C159" s="11">
        <v>540.8793395627083</v>
      </c>
      <c r="D159" s="11">
        <v>271.05544054102523</v>
      </c>
    </row>
    <row r="160" spans="1:4" x14ac:dyDescent="0.25">
      <c r="A160">
        <v>156</v>
      </c>
      <c r="B160" s="11">
        <v>-582.2354505978763</v>
      </c>
      <c r="C160" s="11">
        <v>561.0432469422699</v>
      </c>
      <c r="D160" s="11">
        <v>271.05544054102523</v>
      </c>
    </row>
    <row r="161" spans="1:4" x14ac:dyDescent="0.25">
      <c r="A161">
        <v>157</v>
      </c>
      <c r="B161" s="11">
        <v>-571.2617901150186</v>
      </c>
      <c r="C161" s="11">
        <v>-537.5856913563371</v>
      </c>
      <c r="D161" s="11">
        <v>262.49286349813536</v>
      </c>
    </row>
    <row r="162" spans="1:4" x14ac:dyDescent="0.25">
      <c r="A162">
        <v>158</v>
      </c>
      <c r="B162" s="11">
        <v>-571.2617901150186</v>
      </c>
      <c r="C162" s="11">
        <v>-568.4500802528203</v>
      </c>
      <c r="D162" s="11">
        <v>262.49286349813536</v>
      </c>
    </row>
    <row r="163" spans="1:4" x14ac:dyDescent="0.25">
      <c r="A163">
        <v>159</v>
      </c>
      <c r="B163" s="11">
        <v>-558.5047160460074</v>
      </c>
      <c r="C163" s="11">
        <v>-581.2071543218315</v>
      </c>
      <c r="D163" s="11">
        <v>262.49286349813536</v>
      </c>
    </row>
    <row r="164" spans="1:4" x14ac:dyDescent="0.25">
      <c r="A164">
        <v>160</v>
      </c>
      <c r="B164" s="11">
        <v>-556.7213024598539</v>
      </c>
      <c r="C164" s="11">
        <v>-541.8380493793408</v>
      </c>
      <c r="D164" s="11">
        <v>897.5665314670392</v>
      </c>
    </row>
    <row r="165" spans="1:4" x14ac:dyDescent="0.25">
      <c r="A165">
        <v>161</v>
      </c>
      <c r="B165" s="11">
        <v>-543.9642283908427</v>
      </c>
      <c r="C165" s="11">
        <v>-585.4595123448352</v>
      </c>
      <c r="D165" s="11">
        <v>897.5665314670392</v>
      </c>
    </row>
    <row r="166" spans="1:4" x14ac:dyDescent="0.25">
      <c r="A166">
        <v>162</v>
      </c>
      <c r="B166" s="11">
        <v>-513.0998394943595</v>
      </c>
      <c r="C166" s="11">
        <v>-585.4595123448352</v>
      </c>
      <c r="D166" s="11">
        <v>897.5665314670392</v>
      </c>
    </row>
    <row r="167" spans="1:4" x14ac:dyDescent="0.25">
      <c r="A167">
        <v>163</v>
      </c>
      <c r="B167" s="11">
        <v>-502.81170986219837</v>
      </c>
      <c r="C167" s="11">
        <v>-570.9190246896703</v>
      </c>
      <c r="D167" s="11">
        <v>1268.5546874999998</v>
      </c>
    </row>
    <row r="168" spans="1:4" x14ac:dyDescent="0.25">
      <c r="A168">
        <v>164</v>
      </c>
      <c r="B168" s="11">
        <v>-502.81170986219837</v>
      </c>
      <c r="C168" s="11">
        <v>-527.2975617241759</v>
      </c>
      <c r="D168" s="11">
        <v>1268.5546874999998</v>
      </c>
    </row>
    <row r="169" spans="1:4" x14ac:dyDescent="0.25">
      <c r="A169">
        <v>165</v>
      </c>
      <c r="B169" s="11">
        <v>-546.4331728276927</v>
      </c>
      <c r="C169" s="11">
        <v>-527.2975617241759</v>
      </c>
      <c r="D169" s="11">
        <v>1268.5546874999998</v>
      </c>
    </row>
    <row r="170" spans="1:4" x14ac:dyDescent="0.25">
      <c r="A170">
        <v>166</v>
      </c>
      <c r="B170" s="11">
        <v>-560.9736604828576</v>
      </c>
      <c r="C170" s="11">
        <v>-454.59512344835196</v>
      </c>
      <c r="D170" s="11">
        <v>1268.5546874999998</v>
      </c>
    </row>
    <row r="171" spans="1:4" x14ac:dyDescent="0.25">
      <c r="A171">
        <v>167</v>
      </c>
      <c r="B171" s="11">
        <v>-560.9736604828576</v>
      </c>
      <c r="C171" s="11">
        <v>-498.21658641384636</v>
      </c>
      <c r="D171" s="11">
        <v>1268.5546874999998</v>
      </c>
    </row>
    <row r="172" spans="1:4" x14ac:dyDescent="0.25">
      <c r="A172">
        <v>168</v>
      </c>
      <c r="B172" s="11">
        <v>-517.3521975173632</v>
      </c>
      <c r="C172" s="11">
        <v>-498.21658641384636</v>
      </c>
      <c r="D172" s="11">
        <v>1268.5546874999998</v>
      </c>
    </row>
    <row r="173" spans="1:4" x14ac:dyDescent="0.25">
      <c r="A173">
        <v>169</v>
      </c>
      <c r="B173" s="11">
        <v>-502.81170986219837</v>
      </c>
      <c r="C173" s="11">
        <v>-483.6760987586815</v>
      </c>
      <c r="D173" s="11">
        <v>1268.5546874999998</v>
      </c>
    </row>
    <row r="174" spans="1:4" x14ac:dyDescent="0.25">
      <c r="A174">
        <v>170</v>
      </c>
      <c r="B174" s="11">
        <v>-502.81170986219837</v>
      </c>
      <c r="C174" s="11">
        <v>-440.0546357931872</v>
      </c>
      <c r="D174" s="11">
        <v>1268.5546874999998</v>
      </c>
    </row>
    <row r="175" spans="1:4" x14ac:dyDescent="0.25">
      <c r="A175">
        <v>171</v>
      </c>
      <c r="B175" s="11">
        <v>-546.4331728276927</v>
      </c>
      <c r="C175" s="11">
        <v>-440.0546357931872</v>
      </c>
      <c r="D175" s="11">
        <v>1268.5546874999998</v>
      </c>
    </row>
    <row r="176" spans="1:4" x14ac:dyDescent="0.25">
      <c r="A176">
        <v>172</v>
      </c>
      <c r="B176" s="11">
        <v>-560.9736604828576</v>
      </c>
      <c r="C176" s="11">
        <v>-367.35219751736315</v>
      </c>
      <c r="D176" s="11">
        <v>1268.5546874999998</v>
      </c>
    </row>
    <row r="177" spans="1:4" x14ac:dyDescent="0.25">
      <c r="A177">
        <v>173</v>
      </c>
      <c r="B177" s="11">
        <v>-560.9736604828576</v>
      </c>
      <c r="C177" s="11">
        <v>-410.97366048285755</v>
      </c>
      <c r="D177" s="11">
        <v>1268.5546874999998</v>
      </c>
    </row>
    <row r="178" spans="1:4" x14ac:dyDescent="0.25">
      <c r="A178">
        <v>174</v>
      </c>
      <c r="B178" s="11">
        <v>-517.3521975173632</v>
      </c>
      <c r="C178" s="11">
        <v>-410.97366048285755</v>
      </c>
      <c r="D178" s="11">
        <v>1268.5546874999998</v>
      </c>
    </row>
    <row r="179" spans="1:4" x14ac:dyDescent="0.25">
      <c r="A179">
        <v>175</v>
      </c>
      <c r="B179" s="11">
        <v>-546.4331728276927</v>
      </c>
      <c r="C179" s="11">
        <v>-356.72130245985386</v>
      </c>
      <c r="D179" s="11">
        <v>927.4703900824015</v>
      </c>
    </row>
    <row r="180" spans="1:4" x14ac:dyDescent="0.25">
      <c r="A180">
        <v>176</v>
      </c>
      <c r="B180" s="11">
        <v>-502.81170986219837</v>
      </c>
      <c r="C180" s="11">
        <v>-400.34276542534826</v>
      </c>
      <c r="D180" s="11">
        <v>927.4703900824015</v>
      </c>
    </row>
    <row r="181" spans="1:4" x14ac:dyDescent="0.25">
      <c r="A181">
        <v>177</v>
      </c>
      <c r="B181" s="11">
        <v>-502.81170986219837</v>
      </c>
      <c r="C181" s="11">
        <v>-368.45008025282027</v>
      </c>
      <c r="D181" s="11">
        <v>927.4703900824015</v>
      </c>
    </row>
    <row r="182" spans="1:4" x14ac:dyDescent="0.25">
      <c r="A182">
        <v>178</v>
      </c>
      <c r="B182" s="11">
        <v>-506.7213024598538</v>
      </c>
      <c r="C182" s="11">
        <v>-353.90959259765543</v>
      </c>
      <c r="D182" s="11">
        <v>249.37481173974365</v>
      </c>
    </row>
    <row r="183" spans="1:4" x14ac:dyDescent="0.25">
      <c r="A183">
        <v>179</v>
      </c>
      <c r="B183" s="11">
        <v>-518.4500802528203</v>
      </c>
      <c r="C183" s="11">
        <v>-342.1808148046891</v>
      </c>
      <c r="D183" s="11">
        <v>249.37481173974365</v>
      </c>
    </row>
    <row r="184" spans="1:4" x14ac:dyDescent="0.25">
      <c r="A184">
        <v>180</v>
      </c>
      <c r="B184" s="11">
        <v>-550.3427654253483</v>
      </c>
      <c r="C184" s="11">
        <v>-342.180814804689</v>
      </c>
      <c r="D184" s="11">
        <v>249.37481173974365</v>
      </c>
    </row>
    <row r="185" spans="1:4" x14ac:dyDescent="0.25">
      <c r="A185">
        <v>181</v>
      </c>
      <c r="B185" s="11">
        <v>-560.6308950575093</v>
      </c>
      <c r="C185" s="11">
        <v>-331.892685172528</v>
      </c>
      <c r="D185" s="11">
        <v>406.8573470055947</v>
      </c>
    </row>
    <row r="186" spans="1:4" x14ac:dyDescent="0.25">
      <c r="A186">
        <v>182</v>
      </c>
      <c r="B186" s="11">
        <v>-528.7382098849813</v>
      </c>
      <c r="C186" s="11">
        <v>-331.892685172528</v>
      </c>
      <c r="D186" s="11">
        <v>406.8573470055947</v>
      </c>
    </row>
    <row r="187" spans="1:4" x14ac:dyDescent="0.25">
      <c r="A187">
        <v>183</v>
      </c>
      <c r="B187" s="11">
        <v>-547.8738209884981</v>
      </c>
      <c r="C187" s="11">
        <v>-312.7570740690112</v>
      </c>
      <c r="D187" s="11">
        <v>406.8573470055947</v>
      </c>
    </row>
    <row r="188" spans="1:4" x14ac:dyDescent="0.25">
      <c r="A188">
        <v>184</v>
      </c>
      <c r="B188" s="11">
        <v>-571.2617901150186</v>
      </c>
      <c r="C188" s="11">
        <v>-273.73073455186875</v>
      </c>
      <c r="D188" s="11">
        <v>370.9881560329606</v>
      </c>
    </row>
    <row r="189" spans="1:4" x14ac:dyDescent="0.25">
      <c r="A189">
        <v>185</v>
      </c>
      <c r="B189" s="11">
        <v>-571.2617901150186</v>
      </c>
      <c r="C189" s="11">
        <v>-317.3521975173632</v>
      </c>
      <c r="D189" s="11">
        <v>370.9881560329606</v>
      </c>
    </row>
    <row r="190" spans="1:4" x14ac:dyDescent="0.25">
      <c r="A190">
        <v>186</v>
      </c>
      <c r="B190" s="11">
        <v>-558.5047160460074</v>
      </c>
      <c r="C190" s="11">
        <v>-298.21658641384636</v>
      </c>
      <c r="D190" s="11">
        <v>370.9881560329606</v>
      </c>
    </row>
    <row r="191" spans="1:4" x14ac:dyDescent="0.25">
      <c r="A191">
        <v>187</v>
      </c>
      <c r="B191" s="11">
        <v>-554.2523580230037</v>
      </c>
      <c r="C191" s="11">
        <v>-283.6760987586816</v>
      </c>
      <c r="D191" s="11">
        <v>208.2452172307227</v>
      </c>
    </row>
    <row r="192" spans="1:4" x14ac:dyDescent="0.25">
      <c r="A192">
        <v>188</v>
      </c>
      <c r="B192" s="11">
        <v>-554.2523580230037</v>
      </c>
      <c r="C192" s="11">
        <v>-259.19024689670397</v>
      </c>
      <c r="D192" s="11">
        <v>208.2452172307227</v>
      </c>
    </row>
    <row r="193" spans="1:4" x14ac:dyDescent="0.25">
      <c r="A193">
        <v>189</v>
      </c>
      <c r="B193" s="11">
        <v>-567.0094320920149</v>
      </c>
      <c r="C193" s="11">
        <v>-259.19024689670397</v>
      </c>
      <c r="D193" s="11">
        <v>208.2452172307227</v>
      </c>
    </row>
    <row r="194" spans="1:4" x14ac:dyDescent="0.25">
      <c r="A194">
        <v>190</v>
      </c>
      <c r="B194" s="11">
        <v>-571.2617901150186</v>
      </c>
      <c r="C194" s="11">
        <v>-192.86634565538557</v>
      </c>
      <c r="D194" s="11">
        <v>370.9881560329606</v>
      </c>
    </row>
    <row r="195" spans="1:4" x14ac:dyDescent="0.25">
      <c r="A195">
        <v>191</v>
      </c>
      <c r="B195" s="11">
        <v>-571.2617901150186</v>
      </c>
      <c r="C195" s="11">
        <v>-236.48780862087997</v>
      </c>
      <c r="D195" s="11">
        <v>370.9881560329606</v>
      </c>
    </row>
    <row r="196" spans="1:4" x14ac:dyDescent="0.25">
      <c r="A196">
        <v>192</v>
      </c>
      <c r="B196" s="11">
        <v>-558.5047160460074</v>
      </c>
      <c r="C196" s="11">
        <v>-236.48780862087997</v>
      </c>
      <c r="D196" s="11">
        <v>370.9881560329606</v>
      </c>
    </row>
    <row r="197" spans="1:4" x14ac:dyDescent="0.25">
      <c r="A197">
        <v>193</v>
      </c>
      <c r="B197" s="11">
        <v>-554.2523580230037</v>
      </c>
      <c r="C197" s="11">
        <v>-221.9473209657152</v>
      </c>
      <c r="D197" s="11">
        <v>370.9881560329606</v>
      </c>
    </row>
    <row r="198" spans="1:4" x14ac:dyDescent="0.25">
      <c r="A198">
        <v>194</v>
      </c>
      <c r="B198" s="11">
        <v>-554.2523580230037</v>
      </c>
      <c r="C198" s="11">
        <v>-178.3258580002208</v>
      </c>
      <c r="D198" s="11">
        <v>370.9881560329606</v>
      </c>
    </row>
    <row r="199" spans="1:4" x14ac:dyDescent="0.25">
      <c r="A199">
        <v>195</v>
      </c>
      <c r="B199" s="11">
        <v>-567.0094320920149</v>
      </c>
      <c r="C199" s="11">
        <v>-178.32585800022076</v>
      </c>
      <c r="D199" s="11">
        <v>370.9881560329606</v>
      </c>
    </row>
    <row r="200" spans="1:4" x14ac:dyDescent="0.25">
      <c r="A200">
        <v>196</v>
      </c>
      <c r="B200" s="11">
        <v>-571.2617901150186</v>
      </c>
      <c r="C200" s="11">
        <v>-105.62341972439677</v>
      </c>
      <c r="D200" s="11">
        <v>370.9881560329606</v>
      </c>
    </row>
    <row r="201" spans="1:4" x14ac:dyDescent="0.25">
      <c r="A201">
        <v>197</v>
      </c>
      <c r="B201" s="11">
        <v>-571.2617901150186</v>
      </c>
      <c r="C201" s="11">
        <v>-149.24488268989117</v>
      </c>
      <c r="D201" s="11">
        <v>370.9881560329606</v>
      </c>
    </row>
    <row r="202" spans="1:4" x14ac:dyDescent="0.25">
      <c r="A202">
        <v>198</v>
      </c>
      <c r="B202" s="11">
        <v>-558.5047160460074</v>
      </c>
      <c r="C202" s="11">
        <v>-149.24488268989117</v>
      </c>
      <c r="D202" s="11">
        <v>370.9881560329606</v>
      </c>
    </row>
    <row r="203" spans="1:4" x14ac:dyDescent="0.25">
      <c r="A203">
        <v>199</v>
      </c>
      <c r="B203" s="11">
        <v>-554.2523580230037</v>
      </c>
      <c r="C203" s="11">
        <v>-134.70439503472636</v>
      </c>
      <c r="D203" s="11">
        <v>370.9881560329606</v>
      </c>
    </row>
    <row r="204" spans="1:4" x14ac:dyDescent="0.25">
      <c r="A204">
        <v>200</v>
      </c>
      <c r="B204" s="11">
        <v>-554.2523580230037</v>
      </c>
      <c r="C204" s="11">
        <v>-91.08293206923197</v>
      </c>
      <c r="D204" s="11">
        <v>370.9881560329606</v>
      </c>
    </row>
    <row r="205" spans="1:4" x14ac:dyDescent="0.25">
      <c r="A205">
        <v>201</v>
      </c>
      <c r="B205" s="11">
        <v>-567.0094320920149</v>
      </c>
      <c r="C205" s="11">
        <v>-91.08293206923197</v>
      </c>
      <c r="D205" s="11">
        <v>370.9881560329606</v>
      </c>
    </row>
    <row r="206" spans="1:4" x14ac:dyDescent="0.25">
      <c r="A206">
        <v>202</v>
      </c>
      <c r="B206" s="11">
        <v>-571.2617901150186</v>
      </c>
      <c r="C206" s="11">
        <v>-18.380493793407975</v>
      </c>
      <c r="D206" s="11">
        <v>370.9881560329606</v>
      </c>
    </row>
    <row r="207" spans="1:4" x14ac:dyDescent="0.25">
      <c r="A207">
        <v>203</v>
      </c>
      <c r="B207" s="11">
        <v>-571.2617901150186</v>
      </c>
      <c r="C207" s="11">
        <v>-62.001956758902374</v>
      </c>
      <c r="D207" s="11">
        <v>370.9881560329606</v>
      </c>
    </row>
    <row r="208" spans="1:4" x14ac:dyDescent="0.25">
      <c r="A208">
        <v>204</v>
      </c>
      <c r="B208" s="11">
        <v>-558.5047160460074</v>
      </c>
      <c r="C208" s="11">
        <v>-62.001956758902374</v>
      </c>
      <c r="D208" s="11">
        <v>370.9881560329606</v>
      </c>
    </row>
    <row r="209" spans="1:4" x14ac:dyDescent="0.25">
      <c r="A209">
        <v>205</v>
      </c>
      <c r="B209" s="11">
        <v>-554.2523580230037</v>
      </c>
      <c r="C209" s="11">
        <v>-47.46146910373757</v>
      </c>
      <c r="D209" s="11">
        <v>370.9881560329606</v>
      </c>
    </row>
    <row r="210" spans="1:4" x14ac:dyDescent="0.25">
      <c r="A210">
        <v>206</v>
      </c>
      <c r="B210" s="11">
        <v>-554.2523580230037</v>
      </c>
      <c r="C210" s="11">
        <v>-3.840006138243174</v>
      </c>
      <c r="D210" s="11">
        <v>370.9881560329606</v>
      </c>
    </row>
    <row r="211" spans="1:4" x14ac:dyDescent="0.25">
      <c r="A211">
        <v>207</v>
      </c>
      <c r="B211" s="11">
        <v>-567.0094320920149</v>
      </c>
      <c r="C211" s="11">
        <v>-3.840006138243173</v>
      </c>
      <c r="D211" s="11">
        <v>370.9881560329606</v>
      </c>
    </row>
    <row r="212" spans="1:4" x14ac:dyDescent="0.25">
      <c r="A212">
        <v>208</v>
      </c>
      <c r="B212" s="11">
        <v>-571.2617901150186</v>
      </c>
      <c r="C212" s="11">
        <v>68.86243213758081</v>
      </c>
      <c r="D212" s="11">
        <v>370.9881560329606</v>
      </c>
    </row>
    <row r="213" spans="1:4" x14ac:dyDescent="0.25">
      <c r="A213">
        <v>209</v>
      </c>
      <c r="B213" s="11">
        <v>-571.2617901150186</v>
      </c>
      <c r="C213" s="11">
        <v>25.240969172086423</v>
      </c>
      <c r="D213" s="11">
        <v>370.9881560329606</v>
      </c>
    </row>
    <row r="214" spans="1:4" x14ac:dyDescent="0.25">
      <c r="A214">
        <v>210</v>
      </c>
      <c r="B214" s="11">
        <v>-558.5047160460074</v>
      </c>
      <c r="C214" s="11">
        <v>25.240969172086423</v>
      </c>
      <c r="D214" s="11">
        <v>370.9881560329606</v>
      </c>
    </row>
    <row r="215" spans="1:4" x14ac:dyDescent="0.25">
      <c r="A215">
        <v>211</v>
      </c>
      <c r="B215" s="11">
        <v>-554.2523580230037</v>
      </c>
      <c r="C215" s="11">
        <v>39.78145682725122</v>
      </c>
      <c r="D215" s="11">
        <v>370.9881560329606</v>
      </c>
    </row>
    <row r="216" spans="1:4" x14ac:dyDescent="0.25">
      <c r="A216">
        <v>212</v>
      </c>
      <c r="B216" s="11">
        <v>-554.2523580230037</v>
      </c>
      <c r="C216" s="11">
        <v>83.40291979274562</v>
      </c>
      <c r="D216" s="11">
        <v>370.9881560329606</v>
      </c>
    </row>
    <row r="217" spans="1:4" x14ac:dyDescent="0.25">
      <c r="A217">
        <v>213</v>
      </c>
      <c r="B217" s="11">
        <v>-567.0094320920149</v>
      </c>
      <c r="C217" s="11">
        <v>83.40291979274562</v>
      </c>
      <c r="D217" s="11">
        <v>370.9881560329606</v>
      </c>
    </row>
    <row r="218" spans="1:4" x14ac:dyDescent="0.25">
      <c r="A218">
        <v>214</v>
      </c>
      <c r="B218" s="11">
        <v>-571.2617901150186</v>
      </c>
      <c r="C218" s="11">
        <v>156.10535806856961</v>
      </c>
      <c r="D218" s="11">
        <v>370.9881560329606</v>
      </c>
    </row>
    <row r="219" spans="1:4" x14ac:dyDescent="0.25">
      <c r="A219">
        <v>215</v>
      </c>
      <c r="B219" s="11">
        <v>-571.2617901150186</v>
      </c>
      <c r="C219" s="11">
        <v>112.48389510307521</v>
      </c>
      <c r="D219" s="11">
        <v>370.9881560329606</v>
      </c>
    </row>
    <row r="220" spans="1:4" x14ac:dyDescent="0.25">
      <c r="A220">
        <v>216</v>
      </c>
      <c r="B220" s="11">
        <v>-558.5047160460074</v>
      </c>
      <c r="C220" s="11">
        <v>112.48389510307521</v>
      </c>
      <c r="D220" s="11">
        <v>370.9881560329606</v>
      </c>
    </row>
    <row r="221" spans="1:4" x14ac:dyDescent="0.25">
      <c r="A221">
        <v>217</v>
      </c>
      <c r="B221" s="11">
        <v>-554.2523580230037</v>
      </c>
      <c r="C221" s="11">
        <v>127.02438275824002</v>
      </c>
      <c r="D221" s="11">
        <v>370.9881560329606</v>
      </c>
    </row>
    <row r="222" spans="1:4" x14ac:dyDescent="0.25">
      <c r="A222">
        <v>218</v>
      </c>
      <c r="B222" s="11">
        <v>-554.2523580230037</v>
      </c>
      <c r="C222" s="11">
        <v>170.64584572373442</v>
      </c>
      <c r="D222" s="11">
        <v>370.9881560329606</v>
      </c>
    </row>
    <row r="223" spans="1:4" x14ac:dyDescent="0.25">
      <c r="A223">
        <v>219</v>
      </c>
      <c r="B223" s="11">
        <v>-567.0094320920149</v>
      </c>
      <c r="C223" s="11">
        <v>170.64584572373442</v>
      </c>
      <c r="D223" s="11">
        <v>370.9881560329606</v>
      </c>
    </row>
    <row r="224" spans="1:4" x14ac:dyDescent="0.25">
      <c r="A224">
        <v>220</v>
      </c>
      <c r="B224" s="11">
        <v>-571.2617901150186</v>
      </c>
      <c r="C224" s="11">
        <v>243.34828399955842</v>
      </c>
      <c r="D224" s="11">
        <v>370.9881560329606</v>
      </c>
    </row>
    <row r="225" spans="1:4" x14ac:dyDescent="0.25">
      <c r="A225">
        <v>221</v>
      </c>
      <c r="B225" s="11">
        <v>-571.2617901150186</v>
      </c>
      <c r="C225" s="11">
        <v>199.72682103406402</v>
      </c>
      <c r="D225" s="11">
        <v>370.9881560329606</v>
      </c>
    </row>
    <row r="226" spans="1:4" x14ac:dyDescent="0.25">
      <c r="A226">
        <v>222</v>
      </c>
      <c r="B226" s="11">
        <v>-558.5047160460074</v>
      </c>
      <c r="C226" s="11">
        <v>199.72682103406402</v>
      </c>
      <c r="D226" s="11">
        <v>370.9881560329606</v>
      </c>
    </row>
    <row r="227" spans="1:4" x14ac:dyDescent="0.25">
      <c r="A227">
        <v>223</v>
      </c>
      <c r="B227" s="11">
        <v>-554.2523580230037</v>
      </c>
      <c r="C227" s="11">
        <v>214.2673086892288</v>
      </c>
      <c r="D227" s="11">
        <v>370.9881560329606</v>
      </c>
    </row>
    <row r="228" spans="1:4" x14ac:dyDescent="0.25">
      <c r="A228">
        <v>224</v>
      </c>
      <c r="B228" s="11">
        <v>-554.2523580230037</v>
      </c>
      <c r="C228" s="11">
        <v>257.8887716547232</v>
      </c>
      <c r="D228" s="11">
        <v>370.9881560329606</v>
      </c>
    </row>
    <row r="229" spans="1:4" x14ac:dyDescent="0.25">
      <c r="A229">
        <v>225</v>
      </c>
      <c r="B229" s="11">
        <v>-567.0094320920149</v>
      </c>
      <c r="C229" s="11">
        <v>257.8887716547232</v>
      </c>
      <c r="D229" s="11">
        <v>370.9881560329606</v>
      </c>
    </row>
    <row r="230" spans="1:4" x14ac:dyDescent="0.25">
      <c r="A230">
        <v>226</v>
      </c>
      <c r="B230" s="11">
        <v>-571.2617901150186</v>
      </c>
      <c r="C230" s="11">
        <v>330.5912099305472</v>
      </c>
      <c r="D230" s="11">
        <v>370.9881560329606</v>
      </c>
    </row>
    <row r="231" spans="1:4" x14ac:dyDescent="0.25">
      <c r="A231">
        <v>227</v>
      </c>
      <c r="B231" s="11">
        <v>-571.2617901150186</v>
      </c>
      <c r="C231" s="11">
        <v>286.9697469650528</v>
      </c>
      <c r="D231" s="11">
        <v>370.9881560329606</v>
      </c>
    </row>
    <row r="232" spans="1:4" x14ac:dyDescent="0.25">
      <c r="A232">
        <v>228</v>
      </c>
      <c r="B232" s="11">
        <v>-558.5047160460074</v>
      </c>
      <c r="C232" s="11">
        <v>286.9697469650528</v>
      </c>
      <c r="D232" s="11">
        <v>370.9881560329606</v>
      </c>
    </row>
    <row r="233" spans="1:4" x14ac:dyDescent="0.25">
      <c r="A233">
        <v>229</v>
      </c>
      <c r="B233" s="11">
        <v>-567.0094320920149</v>
      </c>
      <c r="C233" s="11">
        <v>335.18633337889923</v>
      </c>
      <c r="D233" s="11">
        <v>117.24066037375307</v>
      </c>
    </row>
    <row r="234" spans="1:4" x14ac:dyDescent="0.25">
      <c r="A234">
        <v>230</v>
      </c>
      <c r="B234" s="11">
        <v>-554.2523580230037</v>
      </c>
      <c r="C234" s="11">
        <v>291.56487041340483</v>
      </c>
      <c r="D234" s="11">
        <v>117.24066037375307</v>
      </c>
    </row>
    <row r="235" spans="1:4" x14ac:dyDescent="0.25">
      <c r="A235">
        <v>231</v>
      </c>
      <c r="B235" s="11">
        <v>-554.2523580230037</v>
      </c>
      <c r="C235" s="11">
        <v>305.3502407584608</v>
      </c>
      <c r="D235" s="11">
        <v>117.24066037375307</v>
      </c>
    </row>
    <row r="236" spans="1:4" x14ac:dyDescent="0.25">
      <c r="A236">
        <v>232</v>
      </c>
      <c r="B236" s="11">
        <v>-544.3069938161909</v>
      </c>
      <c r="C236" s="11">
        <v>319.89072841362565</v>
      </c>
      <c r="D236" s="11">
        <v>847.2091108961276</v>
      </c>
    </row>
    <row r="237" spans="1:4" x14ac:dyDescent="0.25">
      <c r="A237">
        <v>233</v>
      </c>
      <c r="B237" s="11">
        <v>-514.4709011957525</v>
      </c>
      <c r="C237" s="11">
        <v>349.726821034064</v>
      </c>
      <c r="D237" s="11">
        <v>847.2091108961276</v>
      </c>
    </row>
    <row r="238" spans="1:4" x14ac:dyDescent="0.25">
      <c r="A238">
        <v>234</v>
      </c>
      <c r="B238" s="11">
        <v>-557.0640678852021</v>
      </c>
      <c r="C238" s="11">
        <v>349.726821034064</v>
      </c>
      <c r="D238" s="11">
        <v>847.2091108961276</v>
      </c>
    </row>
    <row r="239" spans="1:4" x14ac:dyDescent="0.25">
      <c r="A239">
        <v>235</v>
      </c>
      <c r="B239" s="11">
        <v>-561.3164259082058</v>
      </c>
      <c r="C239" s="11">
        <v>417.8341358615361</v>
      </c>
      <c r="D239" s="11">
        <v>1238.6508288846376</v>
      </c>
    </row>
    <row r="240" spans="1:4" x14ac:dyDescent="0.25">
      <c r="A240">
        <v>236</v>
      </c>
      <c r="B240" s="11">
        <v>-561.3164259082058</v>
      </c>
      <c r="C240" s="11">
        <v>374.2126728960416</v>
      </c>
      <c r="D240" s="11">
        <v>1238.6508288846376</v>
      </c>
    </row>
    <row r="241" spans="1:4" x14ac:dyDescent="0.25">
      <c r="A241">
        <v>237</v>
      </c>
      <c r="B241" s="11">
        <v>-518.7232592187562</v>
      </c>
      <c r="C241" s="11">
        <v>374.2126728960416</v>
      </c>
      <c r="D241" s="11">
        <v>1238.6508288846376</v>
      </c>
    </row>
    <row r="242" spans="1:4" x14ac:dyDescent="0.25">
      <c r="A242">
        <v>238</v>
      </c>
      <c r="B242" s="11">
        <v>-546.775938253041</v>
      </c>
      <c r="C242" s="11">
        <v>418.17690128688434</v>
      </c>
      <c r="D242" s="11">
        <v>59.102788409839526</v>
      </c>
    </row>
    <row r="243" spans="1:4" x14ac:dyDescent="0.25">
      <c r="A243">
        <v>239</v>
      </c>
      <c r="B243" s="11">
        <v>-504.1827715635914</v>
      </c>
      <c r="C243" s="11">
        <v>374.5554383213899</v>
      </c>
      <c r="D243" s="11">
        <v>59.102788409839526</v>
      </c>
    </row>
    <row r="244" spans="1:4" x14ac:dyDescent="0.25">
      <c r="A244">
        <v>240</v>
      </c>
      <c r="B244" s="11">
        <v>-503.15447528754663</v>
      </c>
      <c r="C244" s="11">
        <v>375.58373459743467</v>
      </c>
      <c r="D244" s="11">
        <v>59.102788409839526</v>
      </c>
    </row>
    <row r="245" spans="1:4" x14ac:dyDescent="0.25">
      <c r="A245">
        <v>241</v>
      </c>
      <c r="B245" s="11">
        <v>-502.81170986219837</v>
      </c>
      <c r="C245" s="11">
        <v>390.12422225259945</v>
      </c>
      <c r="D245" s="11">
        <v>1238.6508288846376</v>
      </c>
    </row>
    <row r="246" spans="1:4" x14ac:dyDescent="0.25">
      <c r="A246">
        <v>242</v>
      </c>
      <c r="B246" s="11">
        <v>-502.81170986219837</v>
      </c>
      <c r="C246" s="11">
        <v>432.7173889420491</v>
      </c>
      <c r="D246" s="11">
        <v>1238.6508288846376</v>
      </c>
    </row>
    <row r="247" spans="1:4" x14ac:dyDescent="0.25">
      <c r="A247">
        <v>243</v>
      </c>
      <c r="B247" s="11">
        <v>-546.4331728276927</v>
      </c>
      <c r="C247" s="11">
        <v>432.71738894204907</v>
      </c>
      <c r="D247" s="11">
        <v>1238.6508288846376</v>
      </c>
    </row>
    <row r="248" spans="1:4" x14ac:dyDescent="0.25">
      <c r="A248">
        <v>244</v>
      </c>
      <c r="B248" s="11">
        <v>-560.9736604828576</v>
      </c>
      <c r="C248" s="11">
        <v>505.07706179252483</v>
      </c>
      <c r="D248" s="11">
        <v>1268.5546874999998</v>
      </c>
    </row>
    <row r="249" spans="1:4" x14ac:dyDescent="0.25">
      <c r="A249">
        <v>245</v>
      </c>
      <c r="B249" s="11">
        <v>-560.9736604828576</v>
      </c>
      <c r="C249" s="11">
        <v>461.4555988270304</v>
      </c>
      <c r="D249" s="11">
        <v>1268.5546874999998</v>
      </c>
    </row>
    <row r="250" spans="1:4" x14ac:dyDescent="0.25">
      <c r="A250">
        <v>246</v>
      </c>
      <c r="B250" s="11">
        <v>-517.3521975173632</v>
      </c>
      <c r="C250" s="11">
        <v>461.4555988270304</v>
      </c>
      <c r="D250" s="11">
        <v>1268.5546874999998</v>
      </c>
    </row>
    <row r="251" spans="1:4" x14ac:dyDescent="0.25">
      <c r="A251">
        <v>247</v>
      </c>
      <c r="B251" s="11">
        <v>-502.81170986219837</v>
      </c>
      <c r="C251" s="11">
        <v>475.9960864821952</v>
      </c>
      <c r="D251" s="11">
        <v>1268.5546874999998</v>
      </c>
    </row>
    <row r="252" spans="1:4" x14ac:dyDescent="0.25">
      <c r="A252">
        <v>248</v>
      </c>
      <c r="B252" s="11">
        <v>-502.81170986219837</v>
      </c>
      <c r="C252" s="11">
        <v>519.6175494476896</v>
      </c>
      <c r="D252" s="11">
        <v>1268.5546874999998</v>
      </c>
    </row>
    <row r="253" spans="1:4" x14ac:dyDescent="0.25">
      <c r="A253">
        <v>249</v>
      </c>
      <c r="B253" s="11">
        <v>-546.4331728276927</v>
      </c>
      <c r="C253" s="11">
        <v>519.6175494476896</v>
      </c>
      <c r="D253" s="11">
        <v>1268.5546874999998</v>
      </c>
    </row>
    <row r="254" spans="1:4" x14ac:dyDescent="0.25">
      <c r="A254">
        <v>250</v>
      </c>
      <c r="B254" s="11">
        <v>-560.9736604828576</v>
      </c>
      <c r="C254" s="11">
        <v>561.0432469422699</v>
      </c>
      <c r="D254" s="11">
        <v>586.3860926648032</v>
      </c>
    </row>
    <row r="255" spans="1:4" x14ac:dyDescent="0.25">
      <c r="A255">
        <v>251</v>
      </c>
      <c r="B255" s="11">
        <v>-560.9736604828576</v>
      </c>
      <c r="C255" s="11">
        <v>540.8793395627083</v>
      </c>
      <c r="D255" s="11">
        <v>586.3860926648032</v>
      </c>
    </row>
    <row r="256" spans="1:4" x14ac:dyDescent="0.25">
      <c r="A256">
        <v>252</v>
      </c>
      <c r="B256" s="11">
        <v>-517.3521975173632</v>
      </c>
      <c r="C256" s="11">
        <v>540.8793395627083</v>
      </c>
      <c r="D256" s="11">
        <v>586.3860926648032</v>
      </c>
    </row>
    <row r="257" spans="1:4" x14ac:dyDescent="0.25">
      <c r="A257">
        <v>253</v>
      </c>
      <c r="B257" s="11">
        <v>-546.4331728276927</v>
      </c>
      <c r="C257" s="11">
        <v>572.0169074251274</v>
      </c>
      <c r="D257" s="11">
        <v>957.3742486977638</v>
      </c>
    </row>
    <row r="258" spans="1:4" x14ac:dyDescent="0.25">
      <c r="A258">
        <v>254</v>
      </c>
      <c r="B258" s="11">
        <v>-502.81170986219837</v>
      </c>
      <c r="C258" s="11">
        <v>551.8530000455659</v>
      </c>
      <c r="D258" s="11">
        <v>957.3742486977638</v>
      </c>
    </row>
    <row r="259" spans="1:4" x14ac:dyDescent="0.25">
      <c r="A259">
        <v>255</v>
      </c>
      <c r="B259" s="11">
        <v>-502.81170986219837</v>
      </c>
      <c r="C259" s="11">
        <v>584.7739814941386</v>
      </c>
      <c r="D259" s="11">
        <v>957.3742486977638</v>
      </c>
    </row>
    <row r="260" spans="1:4" x14ac:dyDescent="0.25">
      <c r="A260">
        <v>256</v>
      </c>
      <c r="B260" s="11">
        <v>-513.0998394943595</v>
      </c>
      <c r="C260" s="11">
        <v>595.7476419769963</v>
      </c>
      <c r="D260" s="11">
        <v>262.49286349813536</v>
      </c>
    </row>
    <row r="261" spans="1:4" x14ac:dyDescent="0.25">
      <c r="A261">
        <v>257</v>
      </c>
      <c r="B261" s="11">
        <v>-543.9642283908427</v>
      </c>
      <c r="C261" s="11">
        <v>595.7476419769963</v>
      </c>
      <c r="D261" s="11">
        <v>262.49286349813536</v>
      </c>
    </row>
    <row r="262" spans="1:4" x14ac:dyDescent="0.25">
      <c r="A262">
        <v>258</v>
      </c>
      <c r="B262" s="11">
        <v>-556.7213024598539</v>
      </c>
      <c r="C262" s="11">
        <v>582.990567907985</v>
      </c>
      <c r="D262" s="11">
        <v>262.49286349813536</v>
      </c>
    </row>
    <row r="263" spans="1:4" x14ac:dyDescent="0.25">
      <c r="A263">
        <v>259</v>
      </c>
      <c r="B263" s="11">
        <v>-473.73073455186875</v>
      </c>
      <c r="C263" s="11">
        <v>-541.8380493793408</v>
      </c>
      <c r="D263" s="11">
        <v>1268.5546874999998</v>
      </c>
    </row>
    <row r="264" spans="1:4" x14ac:dyDescent="0.25">
      <c r="A264">
        <v>260</v>
      </c>
      <c r="B264" s="11">
        <v>-473.73073455186875</v>
      </c>
      <c r="C264" s="11">
        <v>-585.4595123448352</v>
      </c>
      <c r="D264" s="11">
        <v>1268.5546874999998</v>
      </c>
    </row>
    <row r="265" spans="1:4" x14ac:dyDescent="0.25">
      <c r="A265">
        <v>261</v>
      </c>
      <c r="B265" s="11">
        <v>-430.10927158637435</v>
      </c>
      <c r="C265" s="11">
        <v>-585.4595123448352</v>
      </c>
      <c r="D265" s="11">
        <v>1268.5546874999998</v>
      </c>
    </row>
    <row r="266" spans="1:4" x14ac:dyDescent="0.25">
      <c r="A266">
        <v>262</v>
      </c>
      <c r="B266" s="11">
        <v>-415.5687839312095</v>
      </c>
      <c r="C266" s="11">
        <v>-570.9190246896703</v>
      </c>
      <c r="D266" s="11">
        <v>1268.5546874999998</v>
      </c>
    </row>
    <row r="267" spans="1:4" x14ac:dyDescent="0.25">
      <c r="A267">
        <v>263</v>
      </c>
      <c r="B267" s="11">
        <v>-415.5687839312095</v>
      </c>
      <c r="C267" s="11">
        <v>-527.2975617241759</v>
      </c>
      <c r="D267" s="11">
        <v>1268.5546874999998</v>
      </c>
    </row>
    <row r="268" spans="1:4" x14ac:dyDescent="0.25">
      <c r="A268">
        <v>264</v>
      </c>
      <c r="B268" s="11">
        <v>-459.19024689670397</v>
      </c>
      <c r="C268" s="11">
        <v>-527.2975617241759</v>
      </c>
      <c r="D268" s="11">
        <v>1268.5546874999998</v>
      </c>
    </row>
    <row r="269" spans="1:4" x14ac:dyDescent="0.25">
      <c r="A269">
        <v>265</v>
      </c>
      <c r="B269" s="11">
        <v>-473.73073455186875</v>
      </c>
      <c r="C269" s="11">
        <v>-454.59512344835196</v>
      </c>
      <c r="D269" s="11">
        <v>1268.5546874999998</v>
      </c>
    </row>
    <row r="270" spans="1:4" x14ac:dyDescent="0.25">
      <c r="A270">
        <v>266</v>
      </c>
      <c r="B270" s="11">
        <v>-473.73073455186875</v>
      </c>
      <c r="C270" s="11">
        <v>-498.21658641384636</v>
      </c>
      <c r="D270" s="11">
        <v>1268.5546874999998</v>
      </c>
    </row>
    <row r="271" spans="1:4" x14ac:dyDescent="0.25">
      <c r="A271">
        <v>267</v>
      </c>
      <c r="B271" s="11">
        <v>-430.10927158637435</v>
      </c>
      <c r="C271" s="11">
        <v>-498.21658641384636</v>
      </c>
      <c r="D271" s="11">
        <v>1268.5546874999998</v>
      </c>
    </row>
    <row r="272" spans="1:4" x14ac:dyDescent="0.25">
      <c r="A272">
        <v>268</v>
      </c>
      <c r="B272" s="11">
        <v>-415.5687839312095</v>
      </c>
      <c r="C272" s="11">
        <v>-483.6760987586815</v>
      </c>
      <c r="D272" s="11">
        <v>1268.5546874999998</v>
      </c>
    </row>
    <row r="273" spans="1:4" x14ac:dyDescent="0.25">
      <c r="A273">
        <v>269</v>
      </c>
      <c r="B273" s="11">
        <v>-415.5687839312095</v>
      </c>
      <c r="C273" s="11">
        <v>-440.0546357931872</v>
      </c>
      <c r="D273" s="11">
        <v>1268.5546874999998</v>
      </c>
    </row>
    <row r="274" spans="1:4" x14ac:dyDescent="0.25">
      <c r="A274">
        <v>270</v>
      </c>
      <c r="B274" s="11">
        <v>-459.19024689670397</v>
      </c>
      <c r="C274" s="11">
        <v>-440.0546357931872</v>
      </c>
      <c r="D274" s="11">
        <v>1268.5546874999998</v>
      </c>
    </row>
    <row r="275" spans="1:4" x14ac:dyDescent="0.25">
      <c r="A275">
        <v>271</v>
      </c>
      <c r="B275" s="11">
        <v>-459.1902468967039</v>
      </c>
      <c r="C275" s="11">
        <v>-421.2617901150186</v>
      </c>
      <c r="D275" s="11">
        <v>370.9881560329606</v>
      </c>
    </row>
    <row r="276" spans="1:4" x14ac:dyDescent="0.25">
      <c r="A276">
        <v>272</v>
      </c>
      <c r="B276" s="11">
        <v>-415.5687839312095</v>
      </c>
      <c r="C276" s="11">
        <v>-421.2617901150186</v>
      </c>
      <c r="D276" s="11">
        <v>370.9881560329606</v>
      </c>
    </row>
    <row r="277" spans="1:4" x14ac:dyDescent="0.25">
      <c r="A277">
        <v>273</v>
      </c>
      <c r="B277" s="11">
        <v>-415.5687839312095</v>
      </c>
      <c r="C277" s="11">
        <v>-408.5047160460074</v>
      </c>
      <c r="D277" s="11">
        <v>370.9881560329606</v>
      </c>
    </row>
    <row r="278" spans="1:4" x14ac:dyDescent="0.25">
      <c r="A278">
        <v>274</v>
      </c>
      <c r="B278" s="11">
        <v>-467.35219751736315</v>
      </c>
      <c r="C278" s="11">
        <v>-417.0094320920149</v>
      </c>
      <c r="D278" s="11">
        <v>208.24521723072272</v>
      </c>
    </row>
    <row r="279" spans="1:4" x14ac:dyDescent="0.25">
      <c r="A279">
        <v>275</v>
      </c>
      <c r="B279" s="11">
        <v>-423.73073455186875</v>
      </c>
      <c r="C279" s="11">
        <v>-404.2523580230037</v>
      </c>
      <c r="D279" s="11">
        <v>208.24521723072272</v>
      </c>
    </row>
    <row r="280" spans="1:4" x14ac:dyDescent="0.25">
      <c r="A280">
        <v>276</v>
      </c>
      <c r="B280" s="11">
        <v>-448.21658641384636</v>
      </c>
      <c r="C280" s="11">
        <v>-404.2523580230037</v>
      </c>
      <c r="D280" s="11">
        <v>208.24521723072272</v>
      </c>
    </row>
    <row r="281" spans="1:4" x14ac:dyDescent="0.25">
      <c r="A281">
        <v>277</v>
      </c>
      <c r="B281" s="11">
        <v>-481.892685172528</v>
      </c>
      <c r="C281" s="11">
        <v>-410.63089505750935</v>
      </c>
      <c r="D281" s="11">
        <v>406.8573470055947</v>
      </c>
    </row>
    <row r="282" spans="1:4" x14ac:dyDescent="0.25">
      <c r="A282">
        <v>278</v>
      </c>
      <c r="B282" s="11">
        <v>-462.7570740690112</v>
      </c>
      <c r="C282" s="11">
        <v>-397.8738209884981</v>
      </c>
      <c r="D282" s="11">
        <v>406.8573470055947</v>
      </c>
    </row>
    <row r="283" spans="1:4" x14ac:dyDescent="0.25">
      <c r="A283">
        <v>279</v>
      </c>
      <c r="B283" s="11">
        <v>-481.892685172528</v>
      </c>
      <c r="C283" s="11">
        <v>-378.7382098849813</v>
      </c>
      <c r="D283" s="11">
        <v>406.8573470055947</v>
      </c>
    </row>
    <row r="284" spans="1:4" x14ac:dyDescent="0.25">
      <c r="A284">
        <v>280</v>
      </c>
      <c r="B284" s="11">
        <v>-481.892685172528</v>
      </c>
      <c r="C284" s="11">
        <v>424.8982037467382</v>
      </c>
      <c r="D284" s="11">
        <v>543.3641822910491</v>
      </c>
    </row>
    <row r="285" spans="1:4" x14ac:dyDescent="0.25">
      <c r="A285">
        <v>281</v>
      </c>
      <c r="B285" s="11">
        <v>-481.892685172528</v>
      </c>
      <c r="C285" s="11">
        <v>382.3050370572885</v>
      </c>
      <c r="D285" s="11">
        <v>543.3641822910491</v>
      </c>
    </row>
    <row r="286" spans="1:4" x14ac:dyDescent="0.25">
      <c r="A286">
        <v>282</v>
      </c>
      <c r="B286" s="11">
        <v>-462.7570740690112</v>
      </c>
      <c r="C286" s="11">
        <v>401.44064816080527</v>
      </c>
      <c r="D286" s="11">
        <v>543.3641822910491</v>
      </c>
    </row>
    <row r="287" spans="1:4" x14ac:dyDescent="0.25">
      <c r="A287">
        <v>283</v>
      </c>
      <c r="B287" s="11">
        <v>-467.35219751736315</v>
      </c>
      <c r="C287" s="11">
        <v>431.2767407812437</v>
      </c>
      <c r="D287" s="11">
        <v>382.9188207475043</v>
      </c>
    </row>
    <row r="288" spans="1:4" x14ac:dyDescent="0.25">
      <c r="A288">
        <v>284</v>
      </c>
      <c r="B288" s="11">
        <v>-448.21658641384636</v>
      </c>
      <c r="C288" s="11">
        <v>407.81918519531087</v>
      </c>
      <c r="D288" s="11">
        <v>382.9188207475043</v>
      </c>
    </row>
    <row r="289" spans="1:4" x14ac:dyDescent="0.25">
      <c r="A289">
        <v>285</v>
      </c>
      <c r="B289" s="11">
        <v>-423.73073455186875</v>
      </c>
      <c r="C289" s="11">
        <v>407.81918519531087</v>
      </c>
      <c r="D289" s="11">
        <v>382.9188207475043</v>
      </c>
    </row>
    <row r="290" spans="1:4" x14ac:dyDescent="0.25">
      <c r="A290">
        <v>286</v>
      </c>
      <c r="B290" s="11">
        <v>-415.5687839312095</v>
      </c>
      <c r="C290" s="11">
        <v>415.63837039062184</v>
      </c>
      <c r="D290" s="11">
        <v>682.1685948351966</v>
      </c>
    </row>
    <row r="291" spans="1:4" x14ac:dyDescent="0.25">
      <c r="A291">
        <v>287</v>
      </c>
      <c r="B291" s="11">
        <v>-415.5687839312095</v>
      </c>
      <c r="C291" s="11">
        <v>439.09592597655467</v>
      </c>
      <c r="D291" s="11">
        <v>682.1685948351966</v>
      </c>
    </row>
    <row r="292" spans="1:4" x14ac:dyDescent="0.25">
      <c r="A292">
        <v>288</v>
      </c>
      <c r="B292" s="11">
        <v>-459.19024689670397</v>
      </c>
      <c r="C292" s="11">
        <v>439.09592597655467</v>
      </c>
      <c r="D292" s="11">
        <v>682.1685948351966</v>
      </c>
    </row>
    <row r="293" spans="1:4" x14ac:dyDescent="0.25">
      <c r="A293">
        <v>289</v>
      </c>
      <c r="B293" s="11">
        <v>-473.73073455186875</v>
      </c>
      <c r="C293" s="11">
        <v>505.07706179252483</v>
      </c>
      <c r="D293" s="11">
        <v>1268.5546874999998</v>
      </c>
    </row>
    <row r="294" spans="1:4" x14ac:dyDescent="0.25">
      <c r="A294">
        <v>290</v>
      </c>
      <c r="B294" s="11">
        <v>-473.73073455186875</v>
      </c>
      <c r="C294" s="11">
        <v>461.4555988270304</v>
      </c>
      <c r="D294" s="11">
        <v>1268.5546874999998</v>
      </c>
    </row>
    <row r="295" spans="1:4" x14ac:dyDescent="0.25">
      <c r="A295">
        <v>291</v>
      </c>
      <c r="B295" s="11">
        <v>-430.10927158637435</v>
      </c>
      <c r="C295" s="11">
        <v>461.4555988270304</v>
      </c>
      <c r="D295" s="11">
        <v>1268.5546874999998</v>
      </c>
    </row>
    <row r="296" spans="1:4" x14ac:dyDescent="0.25">
      <c r="A296">
        <v>292</v>
      </c>
      <c r="B296" s="11">
        <v>-415.5687839312095</v>
      </c>
      <c r="C296" s="11">
        <v>475.9960864821952</v>
      </c>
      <c r="D296" s="11">
        <v>1268.5546874999998</v>
      </c>
    </row>
    <row r="297" spans="1:4" x14ac:dyDescent="0.25">
      <c r="A297">
        <v>293</v>
      </c>
      <c r="B297" s="11">
        <v>-415.5687839312095</v>
      </c>
      <c r="C297" s="11">
        <v>519.6175494476896</v>
      </c>
      <c r="D297" s="11">
        <v>1268.5546874999998</v>
      </c>
    </row>
    <row r="298" spans="1:4" x14ac:dyDescent="0.25">
      <c r="A298">
        <v>294</v>
      </c>
      <c r="B298" s="11">
        <v>-459.19024689670397</v>
      </c>
      <c r="C298" s="11">
        <v>519.6175494476896</v>
      </c>
      <c r="D298" s="11">
        <v>1268.5546874999998</v>
      </c>
    </row>
    <row r="299" spans="1:4" x14ac:dyDescent="0.25">
      <c r="A299">
        <v>295</v>
      </c>
      <c r="B299" s="11">
        <v>-473.73073455186875</v>
      </c>
      <c r="C299" s="11">
        <v>578.0526790342848</v>
      </c>
      <c r="D299" s="11">
        <v>957.3742486977636</v>
      </c>
    </row>
    <row r="300" spans="1:4" x14ac:dyDescent="0.25">
      <c r="A300">
        <v>296</v>
      </c>
      <c r="B300" s="11">
        <v>-473.73073455186875</v>
      </c>
      <c r="C300" s="11">
        <v>545.131697585712</v>
      </c>
      <c r="D300" s="11">
        <v>957.3742486977636</v>
      </c>
    </row>
    <row r="301" spans="1:4" x14ac:dyDescent="0.25">
      <c r="A301">
        <v>297</v>
      </c>
      <c r="B301" s="11">
        <v>-430.10927158637435</v>
      </c>
      <c r="C301" s="11">
        <v>545.131697585712</v>
      </c>
      <c r="D301" s="11">
        <v>957.3742486977636</v>
      </c>
    </row>
    <row r="302" spans="1:4" x14ac:dyDescent="0.25">
      <c r="A302">
        <v>298</v>
      </c>
      <c r="B302" s="11">
        <v>-415.5687839312095</v>
      </c>
      <c r="C302" s="11">
        <v>556.1053580685696</v>
      </c>
      <c r="D302" s="11">
        <v>957.3742486977636</v>
      </c>
    </row>
    <row r="303" spans="1:4" x14ac:dyDescent="0.25">
      <c r="A303">
        <v>299</v>
      </c>
      <c r="B303" s="11">
        <v>-415.5687839312095</v>
      </c>
      <c r="C303" s="11">
        <v>589.0263395171423</v>
      </c>
      <c r="D303" s="11">
        <v>957.3742486977636</v>
      </c>
    </row>
    <row r="304" spans="1:4" x14ac:dyDescent="0.25">
      <c r="A304">
        <v>300</v>
      </c>
      <c r="B304" s="11">
        <v>-459.19024689670397</v>
      </c>
      <c r="C304" s="11">
        <v>589.0263395171423</v>
      </c>
      <c r="D304" s="11">
        <v>957.3742486977636</v>
      </c>
    </row>
    <row r="305" spans="1:4" x14ac:dyDescent="0.25">
      <c r="A305">
        <v>301</v>
      </c>
      <c r="B305" s="11">
        <v>-386.4878086208799</v>
      </c>
      <c r="C305" s="11">
        <v>-541.8380493793408</v>
      </c>
      <c r="D305" s="11">
        <v>1268.5546874999998</v>
      </c>
    </row>
    <row r="306" spans="1:4" x14ac:dyDescent="0.25">
      <c r="A306">
        <v>302</v>
      </c>
      <c r="B306" s="11">
        <v>-386.4878086208799</v>
      </c>
      <c r="C306" s="11">
        <v>-585.4595123448352</v>
      </c>
      <c r="D306" s="11">
        <v>1268.5546874999998</v>
      </c>
    </row>
    <row r="307" spans="1:4" x14ac:dyDescent="0.25">
      <c r="A307">
        <v>303</v>
      </c>
      <c r="B307" s="11">
        <v>-342.86634565538554</v>
      </c>
      <c r="C307" s="11">
        <v>-585.4595123448352</v>
      </c>
      <c r="D307" s="11">
        <v>1268.5546874999998</v>
      </c>
    </row>
    <row r="308" spans="1:4" x14ac:dyDescent="0.25">
      <c r="A308">
        <v>304</v>
      </c>
      <c r="B308" s="11">
        <v>-328.3258580002207</v>
      </c>
      <c r="C308" s="11">
        <v>-570.9190246896703</v>
      </c>
      <c r="D308" s="11">
        <v>1268.5546874999998</v>
      </c>
    </row>
    <row r="309" spans="1:4" x14ac:dyDescent="0.25">
      <c r="A309">
        <v>305</v>
      </c>
      <c r="B309" s="11">
        <v>-328.3258580002207</v>
      </c>
      <c r="C309" s="11">
        <v>-527.2975617241759</v>
      </c>
      <c r="D309" s="11">
        <v>1268.5546874999998</v>
      </c>
    </row>
    <row r="310" spans="1:4" x14ac:dyDescent="0.25">
      <c r="A310">
        <v>306</v>
      </c>
      <c r="B310" s="11">
        <v>-371.9473209657151</v>
      </c>
      <c r="C310" s="11">
        <v>-527.2975617241759</v>
      </c>
      <c r="D310" s="11">
        <v>1268.5546874999998</v>
      </c>
    </row>
    <row r="311" spans="1:4" x14ac:dyDescent="0.25">
      <c r="A311">
        <v>307</v>
      </c>
      <c r="B311" s="11">
        <v>-386.4878086208799</v>
      </c>
      <c r="C311" s="11">
        <v>-454.59512344835196</v>
      </c>
      <c r="D311" s="11">
        <v>1268.5546874999998</v>
      </c>
    </row>
    <row r="312" spans="1:4" x14ac:dyDescent="0.25">
      <c r="A312">
        <v>308</v>
      </c>
      <c r="B312" s="11">
        <v>-386.4878086208799</v>
      </c>
      <c r="C312" s="11">
        <v>-498.21658641384636</v>
      </c>
      <c r="D312" s="11">
        <v>1268.5546874999998</v>
      </c>
    </row>
    <row r="313" spans="1:4" x14ac:dyDescent="0.25">
      <c r="A313">
        <v>309</v>
      </c>
      <c r="B313" s="11">
        <v>-342.86634565538554</v>
      </c>
      <c r="C313" s="11">
        <v>-498.21658641384636</v>
      </c>
      <c r="D313" s="11">
        <v>1268.5546874999998</v>
      </c>
    </row>
    <row r="314" spans="1:4" x14ac:dyDescent="0.25">
      <c r="A314">
        <v>310</v>
      </c>
      <c r="B314" s="11">
        <v>-328.3258580002207</v>
      </c>
      <c r="C314" s="11">
        <v>-483.6760987586815</v>
      </c>
      <c r="D314" s="11">
        <v>1268.5546874999998</v>
      </c>
    </row>
    <row r="315" spans="1:4" x14ac:dyDescent="0.25">
      <c r="A315">
        <v>311</v>
      </c>
      <c r="B315" s="11">
        <v>-328.3258580002207</v>
      </c>
      <c r="C315" s="11">
        <v>-440.0546357931872</v>
      </c>
      <c r="D315" s="11">
        <v>1268.5546874999998</v>
      </c>
    </row>
    <row r="316" spans="1:4" x14ac:dyDescent="0.25">
      <c r="A316">
        <v>312</v>
      </c>
      <c r="B316" s="11">
        <v>-371.9473209657151</v>
      </c>
      <c r="C316" s="11">
        <v>-440.0546357931872</v>
      </c>
      <c r="D316" s="11">
        <v>1268.5546874999998</v>
      </c>
    </row>
    <row r="317" spans="1:4" x14ac:dyDescent="0.25">
      <c r="A317">
        <v>313</v>
      </c>
      <c r="B317" s="11">
        <v>-386.4878086208799</v>
      </c>
      <c r="C317" s="11">
        <v>-408.5047160460074</v>
      </c>
      <c r="D317" s="11">
        <v>370.9881560329606</v>
      </c>
    </row>
    <row r="318" spans="1:4" x14ac:dyDescent="0.25">
      <c r="A318">
        <v>314</v>
      </c>
      <c r="B318" s="11">
        <v>-386.4878086208799</v>
      </c>
      <c r="C318" s="11">
        <v>-421.26179011501864</v>
      </c>
      <c r="D318" s="11">
        <v>370.9881560329606</v>
      </c>
    </row>
    <row r="319" spans="1:4" x14ac:dyDescent="0.25">
      <c r="A319">
        <v>315</v>
      </c>
      <c r="B319" s="11">
        <v>-342.86634565538554</v>
      </c>
      <c r="C319" s="11">
        <v>-421.26179011501864</v>
      </c>
      <c r="D319" s="11">
        <v>370.9881560329606</v>
      </c>
    </row>
    <row r="320" spans="1:4" x14ac:dyDescent="0.25">
      <c r="A320">
        <v>316</v>
      </c>
      <c r="B320" s="11">
        <v>-328.3258580002207</v>
      </c>
      <c r="C320" s="11">
        <v>-417.0094320920149</v>
      </c>
      <c r="D320" s="11">
        <v>370.9881560329606</v>
      </c>
    </row>
    <row r="321" spans="1:4" x14ac:dyDescent="0.25">
      <c r="A321">
        <v>317</v>
      </c>
      <c r="B321" s="11">
        <v>-328.3258580002207</v>
      </c>
      <c r="C321" s="11">
        <v>-404.2523580230037</v>
      </c>
      <c r="D321" s="11">
        <v>370.9881560329606</v>
      </c>
    </row>
    <row r="322" spans="1:4" x14ac:dyDescent="0.25">
      <c r="A322">
        <v>318</v>
      </c>
      <c r="B322" s="11">
        <v>-371.9473209657151</v>
      </c>
      <c r="C322" s="11">
        <v>-404.2523580230037</v>
      </c>
      <c r="D322" s="11">
        <v>370.9881560329606</v>
      </c>
    </row>
    <row r="323" spans="1:4" x14ac:dyDescent="0.25">
      <c r="A323">
        <v>319</v>
      </c>
      <c r="B323" s="11">
        <v>-386.4878086208799</v>
      </c>
      <c r="C323" s="11">
        <v>431.2767407812437</v>
      </c>
      <c r="D323" s="11">
        <v>682.1685948351966</v>
      </c>
    </row>
    <row r="324" spans="1:4" x14ac:dyDescent="0.25">
      <c r="A324">
        <v>320</v>
      </c>
      <c r="B324" s="11">
        <v>-386.4878086208799</v>
      </c>
      <c r="C324" s="11">
        <v>407.81918519531087</v>
      </c>
      <c r="D324" s="11">
        <v>682.1685948351966</v>
      </c>
    </row>
    <row r="325" spans="1:4" x14ac:dyDescent="0.25">
      <c r="A325">
        <v>321</v>
      </c>
      <c r="B325" s="11">
        <v>-342.86634565538554</v>
      </c>
      <c r="C325" s="11">
        <v>407.81918519531087</v>
      </c>
      <c r="D325" s="11">
        <v>682.1685948351966</v>
      </c>
    </row>
    <row r="326" spans="1:4" x14ac:dyDescent="0.25">
      <c r="A326">
        <v>322</v>
      </c>
      <c r="B326" s="11">
        <v>-328.3258580002207</v>
      </c>
      <c r="C326" s="11">
        <v>415.63837039062184</v>
      </c>
      <c r="D326" s="11">
        <v>682.1685948351966</v>
      </c>
    </row>
    <row r="327" spans="1:4" x14ac:dyDescent="0.25">
      <c r="A327">
        <v>323</v>
      </c>
      <c r="B327" s="11">
        <v>-328.3258580002207</v>
      </c>
      <c r="C327" s="11">
        <v>439.09592597655467</v>
      </c>
      <c r="D327" s="11">
        <v>682.1685948351966</v>
      </c>
    </row>
    <row r="328" spans="1:4" x14ac:dyDescent="0.25">
      <c r="A328">
        <v>324</v>
      </c>
      <c r="B328" s="11">
        <v>-371.9473209657151</v>
      </c>
      <c r="C328" s="11">
        <v>439.09592597655467</v>
      </c>
      <c r="D328" s="11">
        <v>682.1685948351966</v>
      </c>
    </row>
    <row r="329" spans="1:4" x14ac:dyDescent="0.25">
      <c r="A329">
        <v>325</v>
      </c>
      <c r="B329" s="11">
        <v>-386.4878086208799</v>
      </c>
      <c r="C329" s="11">
        <v>505.07706179252483</v>
      </c>
      <c r="D329" s="11">
        <v>1268.5546874999998</v>
      </c>
    </row>
    <row r="330" spans="1:4" x14ac:dyDescent="0.25">
      <c r="A330">
        <v>326</v>
      </c>
      <c r="B330" s="11">
        <v>-386.4878086208799</v>
      </c>
      <c r="C330" s="11">
        <v>461.4555988270304</v>
      </c>
      <c r="D330" s="11">
        <v>1268.5546874999998</v>
      </c>
    </row>
    <row r="331" spans="1:4" x14ac:dyDescent="0.25">
      <c r="A331">
        <v>327</v>
      </c>
      <c r="B331" s="11">
        <v>-342.86634565538554</v>
      </c>
      <c r="C331" s="11">
        <v>461.4555988270304</v>
      </c>
      <c r="D331" s="11">
        <v>1268.5546874999998</v>
      </c>
    </row>
    <row r="332" spans="1:4" x14ac:dyDescent="0.25">
      <c r="A332">
        <v>328</v>
      </c>
      <c r="B332" s="11">
        <v>-328.3258580002207</v>
      </c>
      <c r="C332" s="11">
        <v>475.9960864821952</v>
      </c>
      <c r="D332" s="11">
        <v>1268.5546874999998</v>
      </c>
    </row>
    <row r="333" spans="1:4" x14ac:dyDescent="0.25">
      <c r="A333">
        <v>329</v>
      </c>
      <c r="B333" s="11">
        <v>-328.3258580002207</v>
      </c>
      <c r="C333" s="11">
        <v>519.6175494476896</v>
      </c>
      <c r="D333" s="11">
        <v>1268.5546874999998</v>
      </c>
    </row>
    <row r="334" spans="1:4" x14ac:dyDescent="0.25">
      <c r="A334">
        <v>330</v>
      </c>
      <c r="B334" s="11">
        <v>-371.9473209657151</v>
      </c>
      <c r="C334" s="11">
        <v>519.6175494476896</v>
      </c>
      <c r="D334" s="11">
        <v>1268.5546874999998</v>
      </c>
    </row>
    <row r="335" spans="1:4" x14ac:dyDescent="0.25">
      <c r="A335">
        <v>331</v>
      </c>
      <c r="B335" s="11">
        <v>-386.4878086208799</v>
      </c>
      <c r="C335" s="11">
        <v>578.0526790342848</v>
      </c>
      <c r="D335" s="11">
        <v>957.3742486977636</v>
      </c>
    </row>
    <row r="336" spans="1:4" x14ac:dyDescent="0.25">
      <c r="A336">
        <v>332</v>
      </c>
      <c r="B336" s="11">
        <v>-386.4878086208799</v>
      </c>
      <c r="C336" s="11">
        <v>545.131697585712</v>
      </c>
      <c r="D336" s="11">
        <v>957.3742486977636</v>
      </c>
    </row>
    <row r="337" spans="1:4" x14ac:dyDescent="0.25">
      <c r="A337">
        <v>333</v>
      </c>
      <c r="B337" s="11">
        <v>-342.86634565538554</v>
      </c>
      <c r="C337" s="11">
        <v>545.131697585712</v>
      </c>
      <c r="D337" s="11">
        <v>957.3742486977636</v>
      </c>
    </row>
    <row r="338" spans="1:4" x14ac:dyDescent="0.25">
      <c r="A338">
        <v>334</v>
      </c>
      <c r="B338" s="11">
        <v>-328.3258580002207</v>
      </c>
      <c r="C338" s="11">
        <v>556.1053580685696</v>
      </c>
      <c r="D338" s="11">
        <v>957.3742486977636</v>
      </c>
    </row>
    <row r="339" spans="1:4" x14ac:dyDescent="0.25">
      <c r="A339">
        <v>335</v>
      </c>
      <c r="B339" s="11">
        <v>-328.3258580002207</v>
      </c>
      <c r="C339" s="11">
        <v>589.0263395171423</v>
      </c>
      <c r="D339" s="11">
        <v>957.3742486977636</v>
      </c>
    </row>
    <row r="340" spans="1:4" x14ac:dyDescent="0.25">
      <c r="A340">
        <v>336</v>
      </c>
      <c r="B340" s="11">
        <v>-371.9473209657151</v>
      </c>
      <c r="C340" s="11">
        <v>589.0263395171423</v>
      </c>
      <c r="D340" s="11">
        <v>957.3742486977636</v>
      </c>
    </row>
    <row r="341" spans="1:4" x14ac:dyDescent="0.25">
      <c r="A341">
        <v>337</v>
      </c>
      <c r="B341" s="11">
        <v>-299.24488268989114</v>
      </c>
      <c r="C341" s="11">
        <v>-541.8380493793408</v>
      </c>
      <c r="D341" s="11">
        <v>1268.5546874999998</v>
      </c>
    </row>
    <row r="342" spans="1:4" x14ac:dyDescent="0.25">
      <c r="A342">
        <v>338</v>
      </c>
      <c r="B342" s="11">
        <v>-299.24488268989114</v>
      </c>
      <c r="C342" s="11">
        <v>-585.4595123448352</v>
      </c>
      <c r="D342" s="11">
        <v>1268.5546874999998</v>
      </c>
    </row>
    <row r="343" spans="1:4" x14ac:dyDescent="0.25">
      <c r="A343">
        <v>339</v>
      </c>
      <c r="B343" s="11">
        <v>-255.62341972439677</v>
      </c>
      <c r="C343" s="11">
        <v>-585.4595123448352</v>
      </c>
      <c r="D343" s="11">
        <v>1268.5546874999998</v>
      </c>
    </row>
    <row r="344" spans="1:4" x14ac:dyDescent="0.25">
      <c r="A344">
        <v>340</v>
      </c>
      <c r="B344" s="11">
        <v>-241.08293206923196</v>
      </c>
      <c r="C344" s="11">
        <v>-570.9190246896703</v>
      </c>
      <c r="D344" s="11">
        <v>1268.5546874999998</v>
      </c>
    </row>
    <row r="345" spans="1:4" x14ac:dyDescent="0.25">
      <c r="A345">
        <v>341</v>
      </c>
      <c r="B345" s="11">
        <v>-241.08293206923196</v>
      </c>
      <c r="C345" s="11">
        <v>-527.2975617241759</v>
      </c>
      <c r="D345" s="11">
        <v>1268.5546874999998</v>
      </c>
    </row>
    <row r="346" spans="1:4" x14ac:dyDescent="0.25">
      <c r="A346">
        <v>342</v>
      </c>
      <c r="B346" s="11">
        <v>-284.70439503472636</v>
      </c>
      <c r="C346" s="11">
        <v>-527.2975617241759</v>
      </c>
      <c r="D346" s="11">
        <v>1268.5546874999998</v>
      </c>
    </row>
    <row r="347" spans="1:4" x14ac:dyDescent="0.25">
      <c r="A347">
        <v>343</v>
      </c>
      <c r="B347" s="11">
        <v>-299.24488268989114</v>
      </c>
      <c r="C347" s="11">
        <v>-454.59512344835196</v>
      </c>
      <c r="D347" s="11">
        <v>1268.5546874999998</v>
      </c>
    </row>
    <row r="348" spans="1:4" x14ac:dyDescent="0.25">
      <c r="A348">
        <v>344</v>
      </c>
      <c r="B348" s="11">
        <v>-299.24488268989114</v>
      </c>
      <c r="C348" s="11">
        <v>-498.21658641384636</v>
      </c>
      <c r="D348" s="11">
        <v>1268.5546874999998</v>
      </c>
    </row>
    <row r="349" spans="1:4" x14ac:dyDescent="0.25">
      <c r="A349">
        <v>345</v>
      </c>
      <c r="B349" s="11">
        <v>-255.62341972439677</v>
      </c>
      <c r="C349" s="11">
        <v>-498.21658641384636</v>
      </c>
      <c r="D349" s="11">
        <v>1268.5546874999998</v>
      </c>
    </row>
    <row r="350" spans="1:4" x14ac:dyDescent="0.25">
      <c r="A350">
        <v>346</v>
      </c>
      <c r="B350" s="11">
        <v>-241.08293206923196</v>
      </c>
      <c r="C350" s="11">
        <v>-483.6760987586815</v>
      </c>
      <c r="D350" s="11">
        <v>1268.5546874999998</v>
      </c>
    </row>
    <row r="351" spans="1:4" x14ac:dyDescent="0.25">
      <c r="A351">
        <v>347</v>
      </c>
      <c r="B351" s="11">
        <v>-241.08293206923196</v>
      </c>
      <c r="C351" s="11">
        <v>-440.0546357931872</v>
      </c>
      <c r="D351" s="11">
        <v>1268.5546874999998</v>
      </c>
    </row>
    <row r="352" spans="1:4" x14ac:dyDescent="0.25">
      <c r="A352">
        <v>348</v>
      </c>
      <c r="B352" s="11">
        <v>-284.70439503472636</v>
      </c>
      <c r="C352" s="11">
        <v>-440.0546357931872</v>
      </c>
      <c r="D352" s="11">
        <v>1268.5546874999998</v>
      </c>
    </row>
    <row r="353" spans="1:4" x14ac:dyDescent="0.25">
      <c r="A353">
        <v>349</v>
      </c>
      <c r="B353" s="11">
        <v>-299.24488268989114</v>
      </c>
      <c r="C353" s="11">
        <v>-408.5047160460074</v>
      </c>
      <c r="D353" s="11">
        <v>370.9881560329606</v>
      </c>
    </row>
    <row r="354" spans="1:4" x14ac:dyDescent="0.25">
      <c r="A354">
        <v>350</v>
      </c>
      <c r="B354" s="11">
        <v>-299.24488268989114</v>
      </c>
      <c r="C354" s="11">
        <v>-421.26179011501864</v>
      </c>
      <c r="D354" s="11">
        <v>370.9881560329606</v>
      </c>
    </row>
    <row r="355" spans="1:4" x14ac:dyDescent="0.25">
      <c r="A355">
        <v>351</v>
      </c>
      <c r="B355" s="11">
        <v>-255.62341972439677</v>
      </c>
      <c r="C355" s="11">
        <v>-421.26179011501864</v>
      </c>
      <c r="D355" s="11">
        <v>370.9881560329606</v>
      </c>
    </row>
    <row r="356" spans="1:4" x14ac:dyDescent="0.25">
      <c r="A356">
        <v>352</v>
      </c>
      <c r="B356" s="11">
        <v>-230.45203701172264</v>
      </c>
      <c r="C356" s="11">
        <v>-413.09983949435946</v>
      </c>
      <c r="D356" s="11">
        <v>191.45941037375215</v>
      </c>
    </row>
    <row r="357" spans="1:4" x14ac:dyDescent="0.25">
      <c r="A357">
        <v>353</v>
      </c>
      <c r="B357" s="11">
        <v>-230.45203701172264</v>
      </c>
      <c r="C357" s="11">
        <v>-388.61398763238185</v>
      </c>
      <c r="D357" s="11">
        <v>191.45941037375215</v>
      </c>
    </row>
    <row r="358" spans="1:4" x14ac:dyDescent="0.25">
      <c r="A358">
        <v>354</v>
      </c>
      <c r="B358" s="11">
        <v>-242.18081480468905</v>
      </c>
      <c r="C358" s="11">
        <v>-400.3427654253482</v>
      </c>
      <c r="D358" s="11">
        <v>191.45941037375215</v>
      </c>
    </row>
    <row r="359" spans="1:4" x14ac:dyDescent="0.25">
      <c r="A359">
        <v>355</v>
      </c>
      <c r="B359" s="11">
        <v>-244.99252466688745</v>
      </c>
      <c r="C359" s="11">
        <v>-417.0094320920149</v>
      </c>
      <c r="D359" s="11">
        <v>271.23823133706316</v>
      </c>
    </row>
    <row r="360" spans="1:4" x14ac:dyDescent="0.25">
      <c r="A360">
        <v>356</v>
      </c>
      <c r="B360" s="11">
        <v>-256.72130245985386</v>
      </c>
      <c r="C360" s="11">
        <v>-404.2523580230037</v>
      </c>
      <c r="D360" s="11">
        <v>271.23823133706316</v>
      </c>
    </row>
    <row r="361" spans="1:4" x14ac:dyDescent="0.25">
      <c r="A361">
        <v>357</v>
      </c>
      <c r="B361" s="11">
        <v>-288.61398763238185</v>
      </c>
      <c r="C361" s="11">
        <v>-404.2523580230037</v>
      </c>
      <c r="D361" s="11">
        <v>271.23823133706316</v>
      </c>
    </row>
    <row r="362" spans="1:4" x14ac:dyDescent="0.25">
      <c r="A362">
        <v>358</v>
      </c>
      <c r="B362" s="11">
        <v>-303.15447528754663</v>
      </c>
      <c r="C362" s="11">
        <v>431.2767407812437</v>
      </c>
      <c r="D362" s="11">
        <v>498.7496234794873</v>
      </c>
    </row>
    <row r="363" spans="1:4" x14ac:dyDescent="0.25">
      <c r="A363">
        <v>359</v>
      </c>
      <c r="B363" s="11">
        <v>-303.15447528754663</v>
      </c>
      <c r="C363" s="11">
        <v>407.81918519531087</v>
      </c>
      <c r="D363" s="11">
        <v>498.7496234794873</v>
      </c>
    </row>
    <row r="364" spans="1:4" x14ac:dyDescent="0.25">
      <c r="A364">
        <v>360</v>
      </c>
      <c r="B364" s="11">
        <v>-271.26179011501864</v>
      </c>
      <c r="C364" s="11">
        <v>407.81918519531087</v>
      </c>
      <c r="D364" s="11">
        <v>498.7496234794873</v>
      </c>
    </row>
    <row r="365" spans="1:4" x14ac:dyDescent="0.25">
      <c r="A365">
        <v>361</v>
      </c>
      <c r="B365" s="11">
        <v>-242.18081480468905</v>
      </c>
      <c r="C365" s="11">
        <v>403.90959259765543</v>
      </c>
      <c r="D365" s="11">
        <v>275.1284570335641</v>
      </c>
    </row>
    <row r="366" spans="1:4" x14ac:dyDescent="0.25">
      <c r="A366">
        <v>362</v>
      </c>
      <c r="B366" s="11">
        <v>-230.45203701172264</v>
      </c>
      <c r="C366" s="11">
        <v>392.180814804689</v>
      </c>
      <c r="D366" s="11">
        <v>275.1284570335641</v>
      </c>
    </row>
    <row r="367" spans="1:4" x14ac:dyDescent="0.25">
      <c r="A367">
        <v>363</v>
      </c>
      <c r="B367" s="11">
        <v>-230.45203701172264</v>
      </c>
      <c r="C367" s="11">
        <v>427.36714818358826</v>
      </c>
      <c r="D367" s="11">
        <v>275.1284570335641</v>
      </c>
    </row>
    <row r="368" spans="1:4" x14ac:dyDescent="0.25">
      <c r="A368">
        <v>364</v>
      </c>
      <c r="B368" s="11">
        <v>-256.72130245985386</v>
      </c>
      <c r="C368" s="11">
        <v>415.63837039062184</v>
      </c>
      <c r="D368" s="11">
        <v>682.1685948351966</v>
      </c>
    </row>
    <row r="369" spans="1:4" x14ac:dyDescent="0.25">
      <c r="A369">
        <v>365</v>
      </c>
      <c r="B369" s="11">
        <v>-244.99252466688745</v>
      </c>
      <c r="C369" s="11">
        <v>439.09592597655467</v>
      </c>
      <c r="D369" s="11">
        <v>682.1685948351966</v>
      </c>
    </row>
    <row r="370" spans="1:4" x14ac:dyDescent="0.25">
      <c r="A370">
        <v>366</v>
      </c>
      <c r="B370" s="11">
        <v>-288.61398763238185</v>
      </c>
      <c r="C370" s="11">
        <v>439.09592597655467</v>
      </c>
      <c r="D370" s="11">
        <v>682.1685948351966</v>
      </c>
    </row>
    <row r="371" spans="1:4" x14ac:dyDescent="0.25">
      <c r="A371">
        <v>367</v>
      </c>
      <c r="B371" s="11">
        <v>-299.24488268989114</v>
      </c>
      <c r="C371" s="11">
        <v>505.07706179252483</v>
      </c>
      <c r="D371" s="11">
        <v>1268.5546874999998</v>
      </c>
    </row>
    <row r="372" spans="1:4" x14ac:dyDescent="0.25">
      <c r="A372">
        <v>368</v>
      </c>
      <c r="B372" s="11">
        <v>-299.24488268989114</v>
      </c>
      <c r="C372" s="11">
        <v>461.4555988270304</v>
      </c>
      <c r="D372" s="11">
        <v>1268.5546874999998</v>
      </c>
    </row>
    <row r="373" spans="1:4" x14ac:dyDescent="0.25">
      <c r="A373">
        <v>369</v>
      </c>
      <c r="B373" s="11">
        <v>-255.62341972439677</v>
      </c>
      <c r="C373" s="11">
        <v>461.4555988270304</v>
      </c>
      <c r="D373" s="11">
        <v>1268.5546874999998</v>
      </c>
    </row>
    <row r="374" spans="1:4" x14ac:dyDescent="0.25">
      <c r="A374">
        <v>370</v>
      </c>
      <c r="B374" s="11">
        <v>-241.08293206923196</v>
      </c>
      <c r="C374" s="11">
        <v>475.9960864821952</v>
      </c>
      <c r="D374" s="11">
        <v>1268.5546874999998</v>
      </c>
    </row>
    <row r="375" spans="1:4" x14ac:dyDescent="0.25">
      <c r="A375">
        <v>371</v>
      </c>
      <c r="B375" s="11">
        <v>-241.08293206923196</v>
      </c>
      <c r="C375" s="11">
        <v>519.6175494476896</v>
      </c>
      <c r="D375" s="11">
        <v>1268.5546874999998</v>
      </c>
    </row>
    <row r="376" spans="1:4" x14ac:dyDescent="0.25">
      <c r="A376">
        <v>372</v>
      </c>
      <c r="B376" s="11">
        <v>-284.70439503472636</v>
      </c>
      <c r="C376" s="11">
        <v>519.6175494476896</v>
      </c>
      <c r="D376" s="11">
        <v>1268.5546874999998</v>
      </c>
    </row>
    <row r="377" spans="1:4" x14ac:dyDescent="0.25">
      <c r="A377">
        <v>373</v>
      </c>
      <c r="B377" s="11">
        <v>-299.24488268989114</v>
      </c>
      <c r="C377" s="11">
        <v>578.0526790342848</v>
      </c>
      <c r="D377" s="11">
        <v>957.3742486977636</v>
      </c>
    </row>
    <row r="378" spans="1:4" x14ac:dyDescent="0.25">
      <c r="A378">
        <v>374</v>
      </c>
      <c r="B378" s="11">
        <v>-299.24488268989114</v>
      </c>
      <c r="C378" s="11">
        <v>545.131697585712</v>
      </c>
      <c r="D378" s="11">
        <v>957.3742486977636</v>
      </c>
    </row>
    <row r="379" spans="1:4" x14ac:dyDescent="0.25">
      <c r="A379">
        <v>375</v>
      </c>
      <c r="B379" s="11">
        <v>-255.62341972439677</v>
      </c>
      <c r="C379" s="11">
        <v>545.131697585712</v>
      </c>
      <c r="D379" s="11">
        <v>957.3742486977636</v>
      </c>
    </row>
    <row r="380" spans="1:4" x14ac:dyDescent="0.25">
      <c r="A380">
        <v>376</v>
      </c>
      <c r="B380" s="11">
        <v>-241.08293206923196</v>
      </c>
      <c r="C380" s="11">
        <v>556.1053580685696</v>
      </c>
      <c r="D380" s="11">
        <v>957.3742486977636</v>
      </c>
    </row>
    <row r="381" spans="1:4" x14ac:dyDescent="0.25">
      <c r="A381">
        <v>377</v>
      </c>
      <c r="B381" s="11">
        <v>-241.08293206923196</v>
      </c>
      <c r="C381" s="11">
        <v>589.0263395171423</v>
      </c>
      <c r="D381" s="11">
        <v>957.3742486977636</v>
      </c>
    </row>
    <row r="382" spans="1:4" x14ac:dyDescent="0.25">
      <c r="A382">
        <v>378</v>
      </c>
      <c r="B382" s="11">
        <v>-284.70439503472636</v>
      </c>
      <c r="C382" s="11">
        <v>589.0263395171423</v>
      </c>
      <c r="D382" s="11">
        <v>957.3742486977636</v>
      </c>
    </row>
    <row r="383" spans="1:4" x14ac:dyDescent="0.25">
      <c r="A383">
        <v>379</v>
      </c>
      <c r="B383" s="11">
        <v>-212.00195675890237</v>
      </c>
      <c r="C383" s="11">
        <v>-541.8380493793408</v>
      </c>
      <c r="D383" s="11">
        <v>1268.5546874999998</v>
      </c>
    </row>
    <row r="384" spans="1:4" x14ac:dyDescent="0.25">
      <c r="A384">
        <v>380</v>
      </c>
      <c r="B384" s="11">
        <v>-212.00195675890237</v>
      </c>
      <c r="C384" s="11">
        <v>-585.4595123448352</v>
      </c>
      <c r="D384" s="11">
        <v>1268.5546874999998</v>
      </c>
    </row>
    <row r="385" spans="1:4" x14ac:dyDescent="0.25">
      <c r="A385">
        <v>381</v>
      </c>
      <c r="B385" s="11">
        <v>-168.38049379340796</v>
      </c>
      <c r="C385" s="11">
        <v>-585.4595123448352</v>
      </c>
      <c r="D385" s="11">
        <v>1268.5546874999998</v>
      </c>
    </row>
    <row r="386" spans="1:4" x14ac:dyDescent="0.25">
      <c r="A386">
        <v>382</v>
      </c>
      <c r="B386" s="11">
        <v>-153.84000613824315</v>
      </c>
      <c r="C386" s="11">
        <v>-570.9190246896703</v>
      </c>
      <c r="D386" s="11">
        <v>1268.5546874999998</v>
      </c>
    </row>
    <row r="387" spans="1:4" x14ac:dyDescent="0.25">
      <c r="A387">
        <v>383</v>
      </c>
      <c r="B387" s="11">
        <v>-153.84000613824315</v>
      </c>
      <c r="C387" s="11">
        <v>-527.2975617241759</v>
      </c>
      <c r="D387" s="11">
        <v>1268.5546874999998</v>
      </c>
    </row>
    <row r="388" spans="1:4" x14ac:dyDescent="0.25">
      <c r="A388">
        <v>384</v>
      </c>
      <c r="B388" s="11">
        <v>-197.46146910373756</v>
      </c>
      <c r="C388" s="11">
        <v>-527.2975617241759</v>
      </c>
      <c r="D388" s="11">
        <v>1268.5546874999998</v>
      </c>
    </row>
    <row r="389" spans="1:4" x14ac:dyDescent="0.25">
      <c r="A389">
        <v>385</v>
      </c>
      <c r="B389" s="11">
        <v>-212.00195675890237</v>
      </c>
      <c r="C389" s="11">
        <v>-454.59512344835196</v>
      </c>
      <c r="D389" s="11">
        <v>1268.5546874999998</v>
      </c>
    </row>
    <row r="390" spans="1:4" x14ac:dyDescent="0.25">
      <c r="A390">
        <v>386</v>
      </c>
      <c r="B390" s="11">
        <v>-212.00195675890237</v>
      </c>
      <c r="C390" s="11">
        <v>-498.21658641384636</v>
      </c>
      <c r="D390" s="11">
        <v>1268.5546874999998</v>
      </c>
    </row>
    <row r="391" spans="1:4" x14ac:dyDescent="0.25">
      <c r="A391">
        <v>387</v>
      </c>
      <c r="B391" s="11">
        <v>-168.38049379340796</v>
      </c>
      <c r="C391" s="11">
        <v>-498.21658641384636</v>
      </c>
      <c r="D391" s="11">
        <v>1268.5546874999998</v>
      </c>
    </row>
    <row r="392" spans="1:4" x14ac:dyDescent="0.25">
      <c r="A392">
        <v>388</v>
      </c>
      <c r="B392" s="11">
        <v>-153.84000613824315</v>
      </c>
      <c r="C392" s="11">
        <v>-483.6760987586815</v>
      </c>
      <c r="D392" s="11">
        <v>1268.5546874999998</v>
      </c>
    </row>
    <row r="393" spans="1:4" x14ac:dyDescent="0.25">
      <c r="A393">
        <v>389</v>
      </c>
      <c r="B393" s="11">
        <v>-153.84000613824315</v>
      </c>
      <c r="C393" s="11">
        <v>-440.0546357931872</v>
      </c>
      <c r="D393" s="11">
        <v>1268.5546874999998</v>
      </c>
    </row>
    <row r="394" spans="1:4" x14ac:dyDescent="0.25">
      <c r="A394">
        <v>390</v>
      </c>
      <c r="B394" s="11">
        <v>-197.46146910373756</v>
      </c>
      <c r="C394" s="11">
        <v>-440.0546357931872</v>
      </c>
      <c r="D394" s="11">
        <v>1268.5546874999998</v>
      </c>
    </row>
    <row r="395" spans="1:4" x14ac:dyDescent="0.25">
      <c r="A395">
        <v>391</v>
      </c>
      <c r="B395" s="11">
        <v>-212.00195675890237</v>
      </c>
      <c r="C395" s="11">
        <v>-392.86634565538554</v>
      </c>
      <c r="D395" s="11">
        <v>712.0724534505589</v>
      </c>
    </row>
    <row r="396" spans="1:4" x14ac:dyDescent="0.25">
      <c r="A396">
        <v>392</v>
      </c>
      <c r="B396" s="11">
        <v>-212.00195675890237</v>
      </c>
      <c r="C396" s="11">
        <v>-417.35219751736315</v>
      </c>
      <c r="D396" s="11">
        <v>712.0724534505589</v>
      </c>
    </row>
    <row r="397" spans="1:4" x14ac:dyDescent="0.25">
      <c r="A397">
        <v>393</v>
      </c>
      <c r="B397" s="11">
        <v>-168.38049379340796</v>
      </c>
      <c r="C397" s="11">
        <v>-417.35219751736315</v>
      </c>
      <c r="D397" s="11">
        <v>712.0724534505589</v>
      </c>
    </row>
    <row r="398" spans="1:4" x14ac:dyDescent="0.25">
      <c r="A398">
        <v>394</v>
      </c>
      <c r="B398" s="11">
        <v>-197.46146910373756</v>
      </c>
      <c r="C398" s="11">
        <v>-378.32585800022076</v>
      </c>
      <c r="D398" s="11">
        <v>1268.5546874999998</v>
      </c>
    </row>
    <row r="399" spans="1:4" x14ac:dyDescent="0.25">
      <c r="A399">
        <v>395</v>
      </c>
      <c r="B399" s="11">
        <v>-153.84000613824315</v>
      </c>
      <c r="C399" s="11">
        <v>-402.81170986219837</v>
      </c>
      <c r="D399" s="11">
        <v>1268.5546874999998</v>
      </c>
    </row>
    <row r="400" spans="1:4" x14ac:dyDescent="0.25">
      <c r="A400">
        <v>396</v>
      </c>
      <c r="B400" s="11">
        <v>-153.84000613824315</v>
      </c>
      <c r="C400" s="11">
        <v>-359.19024689670397</v>
      </c>
      <c r="D400" s="11">
        <v>1268.5546874999998</v>
      </c>
    </row>
    <row r="401" spans="1:4" x14ac:dyDescent="0.25">
      <c r="A401">
        <v>397</v>
      </c>
      <c r="B401" s="11">
        <v>-162.00195675890237</v>
      </c>
      <c r="C401" s="11">
        <v>-344.6497592415392</v>
      </c>
      <c r="D401" s="11">
        <v>312.36782584608403</v>
      </c>
    </row>
    <row r="402" spans="1:4" x14ac:dyDescent="0.25">
      <c r="A402">
        <v>398</v>
      </c>
      <c r="B402" s="11">
        <v>-186.48780862087997</v>
      </c>
      <c r="C402" s="11">
        <v>-344.6497592415392</v>
      </c>
      <c r="D402" s="11">
        <v>312.36782584608403</v>
      </c>
    </row>
    <row r="403" spans="1:4" x14ac:dyDescent="0.25">
      <c r="A403">
        <v>399</v>
      </c>
      <c r="B403" s="11">
        <v>-205.62341972439677</v>
      </c>
      <c r="C403" s="11">
        <v>-363.785370345056</v>
      </c>
      <c r="D403" s="11">
        <v>312.36782584608403</v>
      </c>
    </row>
    <row r="404" spans="1:4" x14ac:dyDescent="0.25">
      <c r="A404">
        <v>400</v>
      </c>
      <c r="B404" s="11">
        <v>-154.59512344835198</v>
      </c>
      <c r="C404" s="11">
        <v>-312.7570740690112</v>
      </c>
      <c r="D404" s="11">
        <v>312.3678258460841</v>
      </c>
    </row>
    <row r="405" spans="1:4" x14ac:dyDescent="0.25">
      <c r="A405">
        <v>401</v>
      </c>
      <c r="B405" s="11">
        <v>-173.73073455186878</v>
      </c>
      <c r="C405" s="11">
        <v>-331.892685172528</v>
      </c>
      <c r="D405" s="11">
        <v>312.3678258460841</v>
      </c>
    </row>
    <row r="406" spans="1:4" x14ac:dyDescent="0.25">
      <c r="A406">
        <v>402</v>
      </c>
      <c r="B406" s="11">
        <v>-149.24488268989117</v>
      </c>
      <c r="C406" s="11">
        <v>-331.892685172528</v>
      </c>
      <c r="D406" s="11">
        <v>312.3678258460841</v>
      </c>
    </row>
    <row r="407" spans="1:4" x14ac:dyDescent="0.25">
      <c r="A407">
        <v>403</v>
      </c>
      <c r="B407" s="11">
        <v>-146.43317282769277</v>
      </c>
      <c r="C407" s="11">
        <v>-298.2165864138464</v>
      </c>
      <c r="D407" s="11">
        <v>155.59021940111805</v>
      </c>
    </row>
    <row r="408" spans="1:4" x14ac:dyDescent="0.25">
      <c r="A408">
        <v>404</v>
      </c>
      <c r="B408" s="11">
        <v>-141.08293206923196</v>
      </c>
      <c r="C408" s="11">
        <v>-317.3521975173632</v>
      </c>
      <c r="D408" s="11">
        <v>155.59021940111805</v>
      </c>
    </row>
    <row r="409" spans="1:4" x14ac:dyDescent="0.25">
      <c r="A409">
        <v>405</v>
      </c>
      <c r="B409" s="11">
        <v>-141.08293206923196</v>
      </c>
      <c r="C409" s="11">
        <v>-273.73073455186875</v>
      </c>
      <c r="D409" s="11">
        <v>155.59021940111805</v>
      </c>
    </row>
    <row r="410" spans="1:4" x14ac:dyDescent="0.25">
      <c r="A410">
        <v>406</v>
      </c>
      <c r="B410" s="11">
        <v>-142.86634565538557</v>
      </c>
      <c r="C410" s="11">
        <v>-259.19024689670397</v>
      </c>
      <c r="D410" s="11">
        <v>87.33680175839079</v>
      </c>
    </row>
    <row r="411" spans="1:4" x14ac:dyDescent="0.25">
      <c r="A411">
        <v>407</v>
      </c>
      <c r="B411" s="11">
        <v>-148.2165864138464</v>
      </c>
      <c r="C411" s="11">
        <v>-259.19024689670397</v>
      </c>
      <c r="D411" s="11">
        <v>87.33680175839079</v>
      </c>
    </row>
    <row r="412" spans="1:4" x14ac:dyDescent="0.25">
      <c r="A412">
        <v>408</v>
      </c>
      <c r="B412" s="11">
        <v>-148.2165864138464</v>
      </c>
      <c r="C412" s="11">
        <v>-283.6760987586816</v>
      </c>
      <c r="D412" s="11">
        <v>87.33680175839079</v>
      </c>
    </row>
    <row r="413" spans="1:4" x14ac:dyDescent="0.25">
      <c r="A413">
        <v>409</v>
      </c>
      <c r="B413" s="11">
        <v>-148.2165864138464</v>
      </c>
      <c r="C413" s="11">
        <v>-192.86634565538557</v>
      </c>
      <c r="D413" s="11">
        <v>155.59021940111805</v>
      </c>
    </row>
    <row r="414" spans="1:4" x14ac:dyDescent="0.25">
      <c r="A414">
        <v>410</v>
      </c>
      <c r="B414" s="11">
        <v>-148.2165864138464</v>
      </c>
      <c r="C414" s="11">
        <v>-236.48780862087997</v>
      </c>
      <c r="D414" s="11">
        <v>155.59021940111805</v>
      </c>
    </row>
    <row r="415" spans="1:4" x14ac:dyDescent="0.25">
      <c r="A415">
        <v>411</v>
      </c>
      <c r="B415" s="11">
        <v>-142.86634565538557</v>
      </c>
      <c r="C415" s="11">
        <v>-236.48780862087997</v>
      </c>
      <c r="D415" s="11">
        <v>155.59021940111805</v>
      </c>
    </row>
    <row r="416" spans="1:4" x14ac:dyDescent="0.25">
      <c r="A416">
        <v>412</v>
      </c>
      <c r="B416" s="11">
        <v>-141.08293206923196</v>
      </c>
      <c r="C416" s="11">
        <v>-221.9473209657152</v>
      </c>
      <c r="D416" s="11">
        <v>155.59021940111805</v>
      </c>
    </row>
    <row r="417" spans="1:4" x14ac:dyDescent="0.25">
      <c r="A417">
        <v>413</v>
      </c>
      <c r="B417" s="11">
        <v>-141.08293206923196</v>
      </c>
      <c r="C417" s="11">
        <v>-178.3258580002208</v>
      </c>
      <c r="D417" s="11">
        <v>155.59021940111805</v>
      </c>
    </row>
    <row r="418" spans="1:4" x14ac:dyDescent="0.25">
      <c r="A418">
        <v>414</v>
      </c>
      <c r="B418" s="11">
        <v>-146.43317282769277</v>
      </c>
      <c r="C418" s="11">
        <v>-178.32585800022076</v>
      </c>
      <c r="D418" s="11">
        <v>155.59021940111805</v>
      </c>
    </row>
    <row r="419" spans="1:4" x14ac:dyDescent="0.25">
      <c r="A419">
        <v>415</v>
      </c>
      <c r="B419" s="11">
        <v>-148.2165864138464</v>
      </c>
      <c r="C419" s="11">
        <v>-105.62341972439677</v>
      </c>
      <c r="D419" s="11">
        <v>155.59021940111805</v>
      </c>
    </row>
    <row r="420" spans="1:4" x14ac:dyDescent="0.25">
      <c r="A420">
        <v>416</v>
      </c>
      <c r="B420" s="11">
        <v>-148.2165864138464</v>
      </c>
      <c r="C420" s="11">
        <v>-149.24488268989117</v>
      </c>
      <c r="D420" s="11">
        <v>155.59021940111805</v>
      </c>
    </row>
    <row r="421" spans="1:4" x14ac:dyDescent="0.25">
      <c r="A421">
        <v>417</v>
      </c>
      <c r="B421" s="11">
        <v>-142.86634565538557</v>
      </c>
      <c r="C421" s="11">
        <v>-149.24488268989117</v>
      </c>
      <c r="D421" s="11">
        <v>155.59021940111805</v>
      </c>
    </row>
    <row r="422" spans="1:4" x14ac:dyDescent="0.25">
      <c r="A422">
        <v>418</v>
      </c>
      <c r="B422" s="11">
        <v>-141.08293206923196</v>
      </c>
      <c r="C422" s="11">
        <v>-134.70439503472636</v>
      </c>
      <c r="D422" s="11">
        <v>155.59021940111805</v>
      </c>
    </row>
    <row r="423" spans="1:4" x14ac:dyDescent="0.25">
      <c r="A423">
        <v>419</v>
      </c>
      <c r="B423" s="11">
        <v>-141.08293206923196</v>
      </c>
      <c r="C423" s="11">
        <v>-91.08293206923197</v>
      </c>
      <c r="D423" s="11">
        <v>155.59021940111805</v>
      </c>
    </row>
    <row r="424" spans="1:4" x14ac:dyDescent="0.25">
      <c r="A424">
        <v>420</v>
      </c>
      <c r="B424" s="11">
        <v>-146.43317282769277</v>
      </c>
      <c r="C424" s="11">
        <v>-91.08293206923197</v>
      </c>
      <c r="D424" s="11">
        <v>155.59021940111805</v>
      </c>
    </row>
    <row r="425" spans="1:4" x14ac:dyDescent="0.25">
      <c r="A425">
        <v>421</v>
      </c>
      <c r="B425" s="11">
        <v>-148.2165864138464</v>
      </c>
      <c r="C425" s="11">
        <v>-18.380493793407975</v>
      </c>
      <c r="D425" s="11">
        <v>155.59021940111805</v>
      </c>
    </row>
    <row r="426" spans="1:4" x14ac:dyDescent="0.25">
      <c r="A426">
        <v>422</v>
      </c>
      <c r="B426" s="11">
        <v>-148.2165864138464</v>
      </c>
      <c r="C426" s="11">
        <v>-62.001956758902374</v>
      </c>
      <c r="D426" s="11">
        <v>155.59021940111805</v>
      </c>
    </row>
    <row r="427" spans="1:4" x14ac:dyDescent="0.25">
      <c r="A427">
        <v>423</v>
      </c>
      <c r="B427" s="11">
        <v>-142.86634565538557</v>
      </c>
      <c r="C427" s="11">
        <v>-62.001956758902374</v>
      </c>
      <c r="D427" s="11">
        <v>155.59021940111805</v>
      </c>
    </row>
    <row r="428" spans="1:4" x14ac:dyDescent="0.25">
      <c r="A428">
        <v>424</v>
      </c>
      <c r="B428" s="11">
        <v>-141.08293206923196</v>
      </c>
      <c r="C428" s="11">
        <v>-47.46146910373757</v>
      </c>
      <c r="D428" s="11">
        <v>155.59021940111805</v>
      </c>
    </row>
    <row r="429" spans="1:4" x14ac:dyDescent="0.25">
      <c r="A429">
        <v>425</v>
      </c>
      <c r="B429" s="11">
        <v>-141.08293206923196</v>
      </c>
      <c r="C429" s="11">
        <v>-3.840006138243174</v>
      </c>
      <c r="D429" s="11">
        <v>155.59021940111805</v>
      </c>
    </row>
    <row r="430" spans="1:4" x14ac:dyDescent="0.25">
      <c r="A430">
        <v>426</v>
      </c>
      <c r="B430" s="11">
        <v>-146.43317282769277</v>
      </c>
      <c r="C430" s="11">
        <v>-3.840006138243173</v>
      </c>
      <c r="D430" s="11">
        <v>155.59021940111805</v>
      </c>
    </row>
    <row r="431" spans="1:4" x14ac:dyDescent="0.25">
      <c r="A431">
        <v>427</v>
      </c>
      <c r="B431" s="11">
        <v>-148.2165864138464</v>
      </c>
      <c r="C431" s="11">
        <v>68.86243213758081</v>
      </c>
      <c r="D431" s="11">
        <v>155.59021940111805</v>
      </c>
    </row>
    <row r="432" spans="1:4" x14ac:dyDescent="0.25">
      <c r="A432">
        <v>428</v>
      </c>
      <c r="B432" s="11">
        <v>-148.2165864138464</v>
      </c>
      <c r="C432" s="11">
        <v>25.240969172086423</v>
      </c>
      <c r="D432" s="11">
        <v>155.59021940111805</v>
      </c>
    </row>
    <row r="433" spans="1:4" x14ac:dyDescent="0.25">
      <c r="A433">
        <v>429</v>
      </c>
      <c r="B433" s="11">
        <v>-142.86634565538557</v>
      </c>
      <c r="C433" s="11">
        <v>25.240969172086423</v>
      </c>
      <c r="D433" s="11">
        <v>155.59021940111805</v>
      </c>
    </row>
    <row r="434" spans="1:4" x14ac:dyDescent="0.25">
      <c r="A434">
        <v>430</v>
      </c>
      <c r="B434" s="11">
        <v>-141.08293206923196</v>
      </c>
      <c r="C434" s="11">
        <v>39.78145682725122</v>
      </c>
      <c r="D434" s="11">
        <v>155.59021940111805</v>
      </c>
    </row>
    <row r="435" spans="1:4" x14ac:dyDescent="0.25">
      <c r="A435">
        <v>431</v>
      </c>
      <c r="B435" s="11">
        <v>-141.08293206923196</v>
      </c>
      <c r="C435" s="11">
        <v>83.40291979274562</v>
      </c>
      <c r="D435" s="11">
        <v>155.59021940111805</v>
      </c>
    </row>
    <row r="436" spans="1:4" x14ac:dyDescent="0.25">
      <c r="A436">
        <v>432</v>
      </c>
      <c r="B436" s="11">
        <v>-146.43317282769277</v>
      </c>
      <c r="C436" s="11">
        <v>83.40291979274562</v>
      </c>
      <c r="D436" s="11">
        <v>155.59021940111805</v>
      </c>
    </row>
    <row r="437" spans="1:4" x14ac:dyDescent="0.25">
      <c r="A437">
        <v>433</v>
      </c>
      <c r="B437" s="11">
        <v>-148.2165864138464</v>
      </c>
      <c r="C437" s="11">
        <v>156.10535806856961</v>
      </c>
      <c r="D437" s="11">
        <v>155.59021940111805</v>
      </c>
    </row>
    <row r="438" spans="1:4" x14ac:dyDescent="0.25">
      <c r="A438">
        <v>434</v>
      </c>
      <c r="B438" s="11">
        <v>-148.2165864138464</v>
      </c>
      <c r="C438" s="11">
        <v>112.48389510307521</v>
      </c>
      <c r="D438" s="11">
        <v>155.59021940111805</v>
      </c>
    </row>
    <row r="439" spans="1:4" x14ac:dyDescent="0.25">
      <c r="A439">
        <v>435</v>
      </c>
      <c r="B439" s="11">
        <v>-142.86634565538557</v>
      </c>
      <c r="C439" s="11">
        <v>112.48389510307521</v>
      </c>
      <c r="D439" s="11">
        <v>155.59021940111805</v>
      </c>
    </row>
    <row r="440" spans="1:4" x14ac:dyDescent="0.25">
      <c r="A440">
        <v>436</v>
      </c>
      <c r="B440" s="11">
        <v>-141.08293206923196</v>
      </c>
      <c r="C440" s="11">
        <v>127.02438275824002</v>
      </c>
      <c r="D440" s="11">
        <v>155.59021940111805</v>
      </c>
    </row>
    <row r="441" spans="1:4" x14ac:dyDescent="0.25">
      <c r="A441">
        <v>437</v>
      </c>
      <c r="B441" s="11">
        <v>-141.08293206923196</v>
      </c>
      <c r="C441" s="11">
        <v>170.64584572373442</v>
      </c>
      <c r="D441" s="11">
        <v>155.59021940111805</v>
      </c>
    </row>
    <row r="442" spans="1:4" x14ac:dyDescent="0.25">
      <c r="A442">
        <v>438</v>
      </c>
      <c r="B442" s="11">
        <v>-146.43317282769277</v>
      </c>
      <c r="C442" s="11">
        <v>170.64584572373442</v>
      </c>
      <c r="D442" s="11">
        <v>155.59021940111805</v>
      </c>
    </row>
    <row r="443" spans="1:4" x14ac:dyDescent="0.25">
      <c r="A443">
        <v>439</v>
      </c>
      <c r="B443" s="11">
        <v>-148.2165864138464</v>
      </c>
      <c r="C443" s="11">
        <v>243.34828399955842</v>
      </c>
      <c r="D443" s="11">
        <v>155.59021940111805</v>
      </c>
    </row>
    <row r="444" spans="1:4" x14ac:dyDescent="0.25">
      <c r="A444">
        <v>440</v>
      </c>
      <c r="B444" s="11">
        <v>-148.2165864138464</v>
      </c>
      <c r="C444" s="11">
        <v>199.72682103406402</v>
      </c>
      <c r="D444" s="11">
        <v>155.59021940111805</v>
      </c>
    </row>
    <row r="445" spans="1:4" x14ac:dyDescent="0.25">
      <c r="A445">
        <v>441</v>
      </c>
      <c r="B445" s="11">
        <v>-142.86634565538557</v>
      </c>
      <c r="C445" s="11">
        <v>199.72682103406402</v>
      </c>
      <c r="D445" s="11">
        <v>155.59021940111805</v>
      </c>
    </row>
    <row r="446" spans="1:4" x14ac:dyDescent="0.25">
      <c r="A446">
        <v>442</v>
      </c>
      <c r="B446" s="11">
        <v>-141.08293206923196</v>
      </c>
      <c r="C446" s="11">
        <v>214.2673086892288</v>
      </c>
      <c r="D446" s="11">
        <v>155.59021940111805</v>
      </c>
    </row>
    <row r="447" spans="1:4" x14ac:dyDescent="0.25">
      <c r="A447">
        <v>443</v>
      </c>
      <c r="B447" s="11">
        <v>-141.08293206923196</v>
      </c>
      <c r="C447" s="11">
        <v>257.8887716547232</v>
      </c>
      <c r="D447" s="11">
        <v>155.59021940111805</v>
      </c>
    </row>
    <row r="448" spans="1:4" x14ac:dyDescent="0.25">
      <c r="A448">
        <v>444</v>
      </c>
      <c r="B448" s="11">
        <v>-146.43317282769277</v>
      </c>
      <c r="C448" s="11">
        <v>257.8887716547232</v>
      </c>
      <c r="D448" s="11">
        <v>155.59021940111805</v>
      </c>
    </row>
    <row r="449" spans="1:4" x14ac:dyDescent="0.25">
      <c r="A449">
        <v>445</v>
      </c>
      <c r="B449" s="11">
        <v>-152.81170986219837</v>
      </c>
      <c r="C449" s="11">
        <v>349.726821034064</v>
      </c>
      <c r="D449" s="11">
        <v>699.8818011109744</v>
      </c>
    </row>
    <row r="450" spans="1:4" x14ac:dyDescent="0.25">
      <c r="A450">
        <v>446</v>
      </c>
      <c r="B450" s="11">
        <v>-187.9980432410976</v>
      </c>
      <c r="C450" s="11">
        <v>349.726821034064</v>
      </c>
      <c r="D450" s="11">
        <v>699.8818011109744</v>
      </c>
    </row>
    <row r="451" spans="1:4" x14ac:dyDescent="0.25">
      <c r="A451">
        <v>447</v>
      </c>
      <c r="B451" s="11">
        <v>-158.16195062065918</v>
      </c>
      <c r="C451" s="11">
        <v>319.8907284136256</v>
      </c>
      <c r="D451" s="11">
        <v>699.8818011109744</v>
      </c>
    </row>
    <row r="452" spans="1:4" x14ac:dyDescent="0.25">
      <c r="A452">
        <v>448</v>
      </c>
      <c r="B452" s="11">
        <v>-142.86634565538557</v>
      </c>
      <c r="C452" s="11">
        <v>335.1863333788992</v>
      </c>
      <c r="D452" s="11">
        <v>49.17003352706367</v>
      </c>
    </row>
    <row r="453" spans="1:4" x14ac:dyDescent="0.25">
      <c r="A453">
        <v>449</v>
      </c>
      <c r="B453" s="11">
        <v>-148.2165864138464</v>
      </c>
      <c r="C453" s="11">
        <v>305.3502407584608</v>
      </c>
      <c r="D453" s="11">
        <v>49.17003352706367</v>
      </c>
    </row>
    <row r="454" spans="1:4" x14ac:dyDescent="0.25">
      <c r="A454">
        <v>450</v>
      </c>
      <c r="B454" s="11">
        <v>-148.2165864138464</v>
      </c>
      <c r="C454" s="11">
        <v>291.56487041340483</v>
      </c>
      <c r="D454" s="11">
        <v>49.17003352706367</v>
      </c>
    </row>
    <row r="455" spans="1:4" x14ac:dyDescent="0.25">
      <c r="A455">
        <v>451</v>
      </c>
      <c r="B455" s="11">
        <v>-146.43317282769277</v>
      </c>
      <c r="C455" s="11">
        <v>286.9697469650528</v>
      </c>
      <c r="D455" s="11">
        <v>155.59021940111805</v>
      </c>
    </row>
    <row r="456" spans="1:4" x14ac:dyDescent="0.25">
      <c r="A456">
        <v>452</v>
      </c>
      <c r="B456" s="11">
        <v>-141.08293206923196</v>
      </c>
      <c r="C456" s="11">
        <v>286.9697469650528</v>
      </c>
      <c r="D456" s="11">
        <v>155.59021940111805</v>
      </c>
    </row>
    <row r="457" spans="1:4" x14ac:dyDescent="0.25">
      <c r="A457">
        <v>453</v>
      </c>
      <c r="B457" s="11">
        <v>-141.08293206923196</v>
      </c>
      <c r="C457" s="11">
        <v>330.5912099305472</v>
      </c>
      <c r="D457" s="11">
        <v>155.59021940111805</v>
      </c>
    </row>
    <row r="458" spans="1:4" x14ac:dyDescent="0.25">
      <c r="A458">
        <v>454</v>
      </c>
      <c r="B458" s="11">
        <v>-223.73073455186878</v>
      </c>
      <c r="C458" s="11">
        <v>420.64584572373445</v>
      </c>
      <c r="D458" s="11">
        <v>197.86752115210268</v>
      </c>
    </row>
    <row r="459" spans="1:4" x14ac:dyDescent="0.25">
      <c r="A459">
        <v>455</v>
      </c>
      <c r="B459" s="11">
        <v>-223.73073455186878</v>
      </c>
      <c r="C459" s="11">
        <v>385.4595123448352</v>
      </c>
      <c r="D459" s="11">
        <v>197.86752115210268</v>
      </c>
    </row>
    <row r="460" spans="1:4" x14ac:dyDescent="0.25">
      <c r="A460">
        <v>456</v>
      </c>
      <c r="B460" s="11">
        <v>-215.2956049652736</v>
      </c>
      <c r="C460" s="11">
        <v>377.02438275824</v>
      </c>
      <c r="D460" s="11">
        <v>197.86752115210268</v>
      </c>
    </row>
    <row r="461" spans="1:4" x14ac:dyDescent="0.25">
      <c r="A461">
        <v>457</v>
      </c>
      <c r="B461" s="11">
        <v>-209.19024689670397</v>
      </c>
      <c r="C461" s="11">
        <v>417.8341358615361</v>
      </c>
      <c r="D461" s="11">
        <v>1023.252892252795</v>
      </c>
    </row>
    <row r="462" spans="1:4" x14ac:dyDescent="0.25">
      <c r="A462">
        <v>458</v>
      </c>
      <c r="B462" s="11">
        <v>-200.7551173101088</v>
      </c>
      <c r="C462" s="11">
        <v>374.2126728960416</v>
      </c>
      <c r="D462" s="11">
        <v>1023.252892252795</v>
      </c>
    </row>
    <row r="463" spans="1:4" x14ac:dyDescent="0.25">
      <c r="A463">
        <v>459</v>
      </c>
      <c r="B463" s="11">
        <v>-165.56878393120957</v>
      </c>
      <c r="C463" s="11">
        <v>374.2126728960416</v>
      </c>
      <c r="D463" s="11">
        <v>1023.252892252795</v>
      </c>
    </row>
    <row r="464" spans="1:4" x14ac:dyDescent="0.25">
      <c r="A464">
        <v>460</v>
      </c>
      <c r="B464" s="11">
        <v>-153.84000613824315</v>
      </c>
      <c r="C464" s="11">
        <v>388.7531605512064</v>
      </c>
      <c r="D464" s="11">
        <v>1268.5546874999998</v>
      </c>
    </row>
    <row r="465" spans="1:4" x14ac:dyDescent="0.25">
      <c r="A465">
        <v>461</v>
      </c>
      <c r="B465" s="11">
        <v>-153.84000613824315</v>
      </c>
      <c r="C465" s="11">
        <v>432.37462351670086</v>
      </c>
      <c r="D465" s="11">
        <v>1268.5546874999998</v>
      </c>
    </row>
    <row r="466" spans="1:4" x14ac:dyDescent="0.25">
      <c r="A466">
        <v>462</v>
      </c>
      <c r="B466" s="11">
        <v>-197.46146910373756</v>
      </c>
      <c r="C466" s="11">
        <v>432.3746235167008</v>
      </c>
      <c r="D466" s="11">
        <v>1268.5546874999998</v>
      </c>
    </row>
    <row r="467" spans="1:4" x14ac:dyDescent="0.25">
      <c r="A467">
        <v>463</v>
      </c>
      <c r="B467" s="11">
        <v>-212.00195675890237</v>
      </c>
      <c r="C467" s="11">
        <v>505.07706179252483</v>
      </c>
      <c r="D467" s="11">
        <v>1268.5546874999998</v>
      </c>
    </row>
    <row r="468" spans="1:4" x14ac:dyDescent="0.25">
      <c r="A468">
        <v>464</v>
      </c>
      <c r="B468" s="11">
        <v>-212.00195675890237</v>
      </c>
      <c r="C468" s="11">
        <v>461.4555988270304</v>
      </c>
      <c r="D468" s="11">
        <v>1268.5546874999998</v>
      </c>
    </row>
    <row r="469" spans="1:4" x14ac:dyDescent="0.25">
      <c r="A469">
        <v>465</v>
      </c>
      <c r="B469" s="11">
        <v>-168.38049379340796</v>
      </c>
      <c r="C469" s="11">
        <v>461.4555988270304</v>
      </c>
      <c r="D469" s="11">
        <v>1268.5546874999998</v>
      </c>
    </row>
    <row r="470" spans="1:4" x14ac:dyDescent="0.25">
      <c r="A470">
        <v>466</v>
      </c>
      <c r="B470" s="11">
        <v>-153.84000613824315</v>
      </c>
      <c r="C470" s="11">
        <v>475.9960864821952</v>
      </c>
      <c r="D470" s="11">
        <v>1268.5546874999998</v>
      </c>
    </row>
    <row r="471" spans="1:4" x14ac:dyDescent="0.25">
      <c r="A471">
        <v>467</v>
      </c>
      <c r="B471" s="11">
        <v>-153.84000613824315</v>
      </c>
      <c r="C471" s="11">
        <v>519.6175494476896</v>
      </c>
      <c r="D471" s="11">
        <v>1268.5546874999998</v>
      </c>
    </row>
    <row r="472" spans="1:4" x14ac:dyDescent="0.25">
      <c r="A472">
        <v>468</v>
      </c>
      <c r="B472" s="11">
        <v>-197.46146910373756</v>
      </c>
      <c r="C472" s="11">
        <v>519.6175494476896</v>
      </c>
      <c r="D472" s="11">
        <v>1268.5546874999998</v>
      </c>
    </row>
    <row r="473" spans="1:4" x14ac:dyDescent="0.25">
      <c r="A473">
        <v>469</v>
      </c>
      <c r="B473" s="11">
        <v>-212.00195675890237</v>
      </c>
      <c r="C473" s="11">
        <v>578.0526790342848</v>
      </c>
      <c r="D473" s="11">
        <v>957.3742486977636</v>
      </c>
    </row>
    <row r="474" spans="1:4" x14ac:dyDescent="0.25">
      <c r="A474">
        <v>470</v>
      </c>
      <c r="B474" s="11">
        <v>-212.00195675890237</v>
      </c>
      <c r="C474" s="11">
        <v>545.131697585712</v>
      </c>
      <c r="D474" s="11">
        <v>957.3742486977636</v>
      </c>
    </row>
    <row r="475" spans="1:4" x14ac:dyDescent="0.25">
      <c r="A475">
        <v>471</v>
      </c>
      <c r="B475" s="11">
        <v>-168.38049379340796</v>
      </c>
      <c r="C475" s="11">
        <v>545.131697585712</v>
      </c>
      <c r="D475" s="11">
        <v>957.3742486977636</v>
      </c>
    </row>
    <row r="476" spans="1:4" x14ac:dyDescent="0.25">
      <c r="A476">
        <v>472</v>
      </c>
      <c r="B476" s="11">
        <v>-153.84000613824315</v>
      </c>
      <c r="C476" s="11">
        <v>556.1053580685696</v>
      </c>
      <c r="D476" s="11">
        <v>957.3742486977636</v>
      </c>
    </row>
    <row r="477" spans="1:4" x14ac:dyDescent="0.25">
      <c r="A477">
        <v>473</v>
      </c>
      <c r="B477" s="11">
        <v>-153.84000613824315</v>
      </c>
      <c r="C477" s="11">
        <v>589.0263395171423</v>
      </c>
      <c r="D477" s="11">
        <v>957.3742486977636</v>
      </c>
    </row>
    <row r="478" spans="1:4" x14ac:dyDescent="0.25">
      <c r="A478">
        <v>474</v>
      </c>
      <c r="B478" s="11">
        <v>-197.46146910373756</v>
      </c>
      <c r="C478" s="11">
        <v>589.0263395171423</v>
      </c>
      <c r="D478" s="11">
        <v>957.3742486977636</v>
      </c>
    </row>
    <row r="479" spans="1:4" x14ac:dyDescent="0.25">
      <c r="A479">
        <v>475</v>
      </c>
      <c r="B479" s="11">
        <v>-124.75903082791355</v>
      </c>
      <c r="C479" s="11">
        <v>-541.8380493793408</v>
      </c>
      <c r="D479" s="11">
        <v>1268.5546874999998</v>
      </c>
    </row>
    <row r="480" spans="1:4" x14ac:dyDescent="0.25">
      <c r="A480">
        <v>476</v>
      </c>
      <c r="B480" s="11">
        <v>-124.75903082791355</v>
      </c>
      <c r="C480" s="11">
        <v>-585.4595123448352</v>
      </c>
      <c r="D480" s="11">
        <v>1268.5546874999998</v>
      </c>
    </row>
    <row r="481" spans="1:4" x14ac:dyDescent="0.25">
      <c r="A481">
        <v>477</v>
      </c>
      <c r="B481" s="11">
        <v>-81.13756786241916</v>
      </c>
      <c r="C481" s="11">
        <v>-585.4595123448352</v>
      </c>
      <c r="D481" s="11">
        <v>1268.5546874999998</v>
      </c>
    </row>
    <row r="482" spans="1:4" x14ac:dyDescent="0.25">
      <c r="A482">
        <v>478</v>
      </c>
      <c r="B482" s="11">
        <v>-66.59708020725435</v>
      </c>
      <c r="C482" s="11">
        <v>-570.9190246896703</v>
      </c>
      <c r="D482" s="11">
        <v>1268.5546874999998</v>
      </c>
    </row>
    <row r="483" spans="1:4" x14ac:dyDescent="0.25">
      <c r="A483">
        <v>479</v>
      </c>
      <c r="B483" s="11">
        <v>-66.59708020725435</v>
      </c>
      <c r="C483" s="11">
        <v>-527.2975617241759</v>
      </c>
      <c r="D483" s="11">
        <v>1268.5546874999998</v>
      </c>
    </row>
    <row r="484" spans="1:4" x14ac:dyDescent="0.25">
      <c r="A484">
        <v>480</v>
      </c>
      <c r="B484" s="11">
        <v>-110.21854317274875</v>
      </c>
      <c r="C484" s="11">
        <v>-527.2975617241759</v>
      </c>
      <c r="D484" s="11">
        <v>1268.5546874999998</v>
      </c>
    </row>
    <row r="485" spans="1:4" x14ac:dyDescent="0.25">
      <c r="A485">
        <v>481</v>
      </c>
      <c r="B485" s="11">
        <v>-124.75903082791355</v>
      </c>
      <c r="C485" s="11">
        <v>-454.59512344835196</v>
      </c>
      <c r="D485" s="11">
        <v>1268.5546874999998</v>
      </c>
    </row>
    <row r="486" spans="1:4" x14ac:dyDescent="0.25">
      <c r="A486">
        <v>482</v>
      </c>
      <c r="B486" s="11">
        <v>-124.75903082791355</v>
      </c>
      <c r="C486" s="11">
        <v>-498.21658641384636</v>
      </c>
      <c r="D486" s="11">
        <v>1268.5546874999998</v>
      </c>
    </row>
    <row r="487" spans="1:4" x14ac:dyDescent="0.25">
      <c r="A487">
        <v>483</v>
      </c>
      <c r="B487" s="11">
        <v>-81.13756786241916</v>
      </c>
      <c r="C487" s="11">
        <v>-498.21658641384636</v>
      </c>
      <c r="D487" s="11">
        <v>1268.5546874999998</v>
      </c>
    </row>
    <row r="488" spans="1:4" x14ac:dyDescent="0.25">
      <c r="A488">
        <v>484</v>
      </c>
      <c r="B488" s="11">
        <v>-66.59708020725435</v>
      </c>
      <c r="C488" s="11">
        <v>-483.6760987586815</v>
      </c>
      <c r="D488" s="11">
        <v>1268.5546874999998</v>
      </c>
    </row>
    <row r="489" spans="1:4" x14ac:dyDescent="0.25">
      <c r="A489">
        <v>485</v>
      </c>
      <c r="B489" s="11">
        <v>-66.59708020725435</v>
      </c>
      <c r="C489" s="11">
        <v>-440.0546357931872</v>
      </c>
      <c r="D489" s="11">
        <v>1268.5546874999998</v>
      </c>
    </row>
    <row r="490" spans="1:4" x14ac:dyDescent="0.25">
      <c r="A490">
        <v>486</v>
      </c>
      <c r="B490" s="11">
        <v>-110.21854317274875</v>
      </c>
      <c r="C490" s="11">
        <v>-440.0546357931872</v>
      </c>
      <c r="D490" s="11">
        <v>1268.5546874999998</v>
      </c>
    </row>
    <row r="491" spans="1:4" x14ac:dyDescent="0.25">
      <c r="A491">
        <v>487</v>
      </c>
      <c r="B491" s="11">
        <v>-124.75903082791355</v>
      </c>
      <c r="C491" s="11">
        <v>-367.35219751736315</v>
      </c>
      <c r="D491" s="11">
        <v>1268.5546874999998</v>
      </c>
    </row>
    <row r="492" spans="1:4" x14ac:dyDescent="0.25">
      <c r="A492">
        <v>488</v>
      </c>
      <c r="B492" s="11">
        <v>-124.75903082791355</v>
      </c>
      <c r="C492" s="11">
        <v>-410.97366048285755</v>
      </c>
      <c r="D492" s="11">
        <v>1268.5546874999998</v>
      </c>
    </row>
    <row r="493" spans="1:4" x14ac:dyDescent="0.25">
      <c r="A493">
        <v>489</v>
      </c>
      <c r="B493" s="11">
        <v>-81.13756786241916</v>
      </c>
      <c r="C493" s="11">
        <v>-410.97366048285755</v>
      </c>
      <c r="D493" s="11">
        <v>1268.5546874999998</v>
      </c>
    </row>
    <row r="494" spans="1:4" x14ac:dyDescent="0.25">
      <c r="A494">
        <v>490</v>
      </c>
      <c r="B494" s="11">
        <v>-66.59708020725435</v>
      </c>
      <c r="C494" s="11">
        <v>-396.4331728276928</v>
      </c>
      <c r="D494" s="11">
        <v>1268.5546874999998</v>
      </c>
    </row>
    <row r="495" spans="1:4" x14ac:dyDescent="0.25">
      <c r="A495">
        <v>491</v>
      </c>
      <c r="B495" s="11">
        <v>-66.59708020725435</v>
      </c>
      <c r="C495" s="11">
        <v>-352.81170986219837</v>
      </c>
      <c r="D495" s="11">
        <v>1268.5546874999998</v>
      </c>
    </row>
    <row r="496" spans="1:4" x14ac:dyDescent="0.25">
      <c r="A496">
        <v>492</v>
      </c>
      <c r="B496" s="11">
        <v>-110.21854317274875</v>
      </c>
      <c r="C496" s="11">
        <v>-352.81170986219837</v>
      </c>
      <c r="D496" s="11">
        <v>1268.5546874999998</v>
      </c>
    </row>
    <row r="497" spans="1:4" x14ac:dyDescent="0.25">
      <c r="A497">
        <v>493</v>
      </c>
      <c r="B497" s="11">
        <v>-124.75903082791355</v>
      </c>
      <c r="C497" s="11">
        <v>-280.10927158637435</v>
      </c>
      <c r="D497" s="11">
        <v>1268.5546874999998</v>
      </c>
    </row>
    <row r="498" spans="1:4" x14ac:dyDescent="0.25">
      <c r="A498">
        <v>494</v>
      </c>
      <c r="B498" s="11">
        <v>-124.75903082791355</v>
      </c>
      <c r="C498" s="11">
        <v>-323.7307345518688</v>
      </c>
      <c r="D498" s="11">
        <v>1268.5546874999998</v>
      </c>
    </row>
    <row r="499" spans="1:4" x14ac:dyDescent="0.25">
      <c r="A499">
        <v>495</v>
      </c>
      <c r="B499" s="11">
        <v>-81.13756786241916</v>
      </c>
      <c r="C499" s="11">
        <v>-323.73073455186875</v>
      </c>
      <c r="D499" s="11">
        <v>1268.5546874999998</v>
      </c>
    </row>
    <row r="500" spans="1:4" x14ac:dyDescent="0.25">
      <c r="A500">
        <v>496</v>
      </c>
      <c r="B500" s="11">
        <v>-66.59708020725435</v>
      </c>
      <c r="C500" s="11">
        <v>-309.190246896704</v>
      </c>
      <c r="D500" s="11">
        <v>1268.5546874999998</v>
      </c>
    </row>
    <row r="501" spans="1:4" x14ac:dyDescent="0.25">
      <c r="A501">
        <v>497</v>
      </c>
      <c r="B501" s="11">
        <v>-66.59708020725435</v>
      </c>
      <c r="C501" s="11">
        <v>-265.56878393120957</v>
      </c>
      <c r="D501" s="11">
        <v>1268.5546874999998</v>
      </c>
    </row>
    <row r="502" spans="1:4" x14ac:dyDescent="0.25">
      <c r="A502">
        <v>498</v>
      </c>
      <c r="B502" s="11">
        <v>-110.21854317274875</v>
      </c>
      <c r="C502" s="11">
        <v>-265.56878393120957</v>
      </c>
      <c r="D502" s="11">
        <v>1268.5546874999998</v>
      </c>
    </row>
    <row r="503" spans="1:4" x14ac:dyDescent="0.25">
      <c r="A503">
        <v>499</v>
      </c>
      <c r="B503" s="11">
        <v>-124.75903082791355</v>
      </c>
      <c r="C503" s="11">
        <v>-192.86634565538557</v>
      </c>
      <c r="D503" s="11">
        <v>1268.5546874999998</v>
      </c>
    </row>
    <row r="504" spans="1:4" x14ac:dyDescent="0.25">
      <c r="A504">
        <v>500</v>
      </c>
      <c r="B504" s="11">
        <v>-124.75903082791355</v>
      </c>
      <c r="C504" s="11">
        <v>-236.48780862087997</v>
      </c>
      <c r="D504" s="11">
        <v>1268.5546874999998</v>
      </c>
    </row>
    <row r="505" spans="1:4" x14ac:dyDescent="0.25">
      <c r="A505">
        <v>501</v>
      </c>
      <c r="B505" s="11">
        <v>-81.13756786241916</v>
      </c>
      <c r="C505" s="11">
        <v>-236.48780862087997</v>
      </c>
      <c r="D505" s="11">
        <v>1268.5546874999998</v>
      </c>
    </row>
    <row r="506" spans="1:4" x14ac:dyDescent="0.25">
      <c r="A506">
        <v>502</v>
      </c>
      <c r="B506" s="11">
        <v>-66.59708020725435</v>
      </c>
      <c r="C506" s="11">
        <v>-221.9473209657152</v>
      </c>
      <c r="D506" s="11">
        <v>1268.5546874999998</v>
      </c>
    </row>
    <row r="507" spans="1:4" x14ac:dyDescent="0.25">
      <c r="A507">
        <v>503</v>
      </c>
      <c r="B507" s="11">
        <v>-66.59708020725435</v>
      </c>
      <c r="C507" s="11">
        <v>-178.3258580002208</v>
      </c>
      <c r="D507" s="11">
        <v>1268.5546874999998</v>
      </c>
    </row>
    <row r="508" spans="1:4" x14ac:dyDescent="0.25">
      <c r="A508">
        <v>504</v>
      </c>
      <c r="B508" s="11">
        <v>-110.21854317274875</v>
      </c>
      <c r="C508" s="11">
        <v>-178.32585800022076</v>
      </c>
      <c r="D508" s="11">
        <v>1268.5546874999998</v>
      </c>
    </row>
    <row r="509" spans="1:4" x14ac:dyDescent="0.25">
      <c r="A509">
        <v>505</v>
      </c>
      <c r="B509" s="11">
        <v>-124.75903082791355</v>
      </c>
      <c r="C509" s="11">
        <v>-105.62341972439677</v>
      </c>
      <c r="D509" s="11">
        <v>1268.5546874999998</v>
      </c>
    </row>
    <row r="510" spans="1:4" x14ac:dyDescent="0.25">
      <c r="A510">
        <v>506</v>
      </c>
      <c r="B510" s="11">
        <v>-124.75903082791355</v>
      </c>
      <c r="C510" s="11">
        <v>-149.24488268989117</v>
      </c>
      <c r="D510" s="11">
        <v>1268.5546874999998</v>
      </c>
    </row>
    <row r="511" spans="1:4" x14ac:dyDescent="0.25">
      <c r="A511">
        <v>507</v>
      </c>
      <c r="B511" s="11">
        <v>-81.13756786241916</v>
      </c>
      <c r="C511" s="11">
        <v>-149.24488268989117</v>
      </c>
      <c r="D511" s="11">
        <v>1268.5546874999998</v>
      </c>
    </row>
    <row r="512" spans="1:4" x14ac:dyDescent="0.25">
      <c r="A512">
        <v>508</v>
      </c>
      <c r="B512" s="11">
        <v>-66.59708020725435</v>
      </c>
      <c r="C512" s="11">
        <v>-134.70439503472636</v>
      </c>
      <c r="D512" s="11">
        <v>1268.5546874999998</v>
      </c>
    </row>
    <row r="513" spans="1:4" x14ac:dyDescent="0.25">
      <c r="A513">
        <v>509</v>
      </c>
      <c r="B513" s="11">
        <v>-66.59708020725435</v>
      </c>
      <c r="C513" s="11">
        <v>-91.08293206923197</v>
      </c>
      <c r="D513" s="11">
        <v>1268.5546874999998</v>
      </c>
    </row>
    <row r="514" spans="1:4" x14ac:dyDescent="0.25">
      <c r="A514">
        <v>510</v>
      </c>
      <c r="B514" s="11">
        <v>-110.21854317274875</v>
      </c>
      <c r="C514" s="11">
        <v>-91.08293206923197</v>
      </c>
      <c r="D514" s="11">
        <v>1268.5546874999998</v>
      </c>
    </row>
    <row r="515" spans="1:4" x14ac:dyDescent="0.25">
      <c r="A515">
        <v>511</v>
      </c>
      <c r="B515" s="11">
        <v>-124.75903082791355</v>
      </c>
      <c r="C515" s="11">
        <v>-18.380493793407975</v>
      </c>
      <c r="D515" s="11">
        <v>1268.5546874999998</v>
      </c>
    </row>
    <row r="516" spans="1:4" x14ac:dyDescent="0.25">
      <c r="A516">
        <v>512</v>
      </c>
      <c r="B516" s="11">
        <v>-124.75903082791355</v>
      </c>
      <c r="C516" s="11">
        <v>-62.001956758902374</v>
      </c>
      <c r="D516" s="11">
        <v>1268.5546874999998</v>
      </c>
    </row>
    <row r="517" spans="1:4" x14ac:dyDescent="0.25">
      <c r="A517">
        <v>513</v>
      </c>
      <c r="B517" s="11">
        <v>-81.13756786241916</v>
      </c>
      <c r="C517" s="11">
        <v>-62.001956758902374</v>
      </c>
      <c r="D517" s="11">
        <v>1268.5546874999998</v>
      </c>
    </row>
    <row r="518" spans="1:4" x14ac:dyDescent="0.25">
      <c r="A518">
        <v>514</v>
      </c>
      <c r="B518" s="11">
        <v>-66.59708020725435</v>
      </c>
      <c r="C518" s="11">
        <v>-47.46146910373757</v>
      </c>
      <c r="D518" s="11">
        <v>1268.5546874999998</v>
      </c>
    </row>
    <row r="519" spans="1:4" x14ac:dyDescent="0.25">
      <c r="A519">
        <v>515</v>
      </c>
      <c r="B519" s="11">
        <v>-66.59708020725435</v>
      </c>
      <c r="C519" s="11">
        <v>-3.840006138243174</v>
      </c>
      <c r="D519" s="11">
        <v>1268.5546874999998</v>
      </c>
    </row>
    <row r="520" spans="1:4" x14ac:dyDescent="0.25">
      <c r="A520">
        <v>516</v>
      </c>
      <c r="B520" s="11">
        <v>-110.21854317274875</v>
      </c>
      <c r="C520" s="11">
        <v>-3.840006138243173</v>
      </c>
      <c r="D520" s="11">
        <v>1268.5546874999998</v>
      </c>
    </row>
    <row r="521" spans="1:4" x14ac:dyDescent="0.25">
      <c r="A521">
        <v>517</v>
      </c>
      <c r="B521" s="11">
        <v>-124.75903082791355</v>
      </c>
      <c r="C521" s="11">
        <v>68.86243213758081</v>
      </c>
      <c r="D521" s="11">
        <v>1268.5546874999998</v>
      </c>
    </row>
    <row r="522" spans="1:4" x14ac:dyDescent="0.25">
      <c r="A522">
        <v>518</v>
      </c>
      <c r="B522" s="11">
        <v>-124.75903082791355</v>
      </c>
      <c r="C522" s="11">
        <v>25.240969172086423</v>
      </c>
      <c r="D522" s="11">
        <v>1268.5546874999998</v>
      </c>
    </row>
    <row r="523" spans="1:4" x14ac:dyDescent="0.25">
      <c r="A523">
        <v>519</v>
      </c>
      <c r="B523" s="11">
        <v>-81.13756786241916</v>
      </c>
      <c r="C523" s="11">
        <v>25.240969172086423</v>
      </c>
      <c r="D523" s="11">
        <v>1268.5546874999998</v>
      </c>
    </row>
    <row r="524" spans="1:4" x14ac:dyDescent="0.25">
      <c r="A524">
        <v>520</v>
      </c>
      <c r="B524" s="11">
        <v>-66.59708020725435</v>
      </c>
      <c r="C524" s="11">
        <v>39.78145682725122</v>
      </c>
      <c r="D524" s="11">
        <v>1268.5546874999998</v>
      </c>
    </row>
    <row r="525" spans="1:4" x14ac:dyDescent="0.25">
      <c r="A525">
        <v>521</v>
      </c>
      <c r="B525" s="11">
        <v>-66.59708020725435</v>
      </c>
      <c r="C525" s="11">
        <v>83.40291979274562</v>
      </c>
      <c r="D525" s="11">
        <v>1268.5546874999998</v>
      </c>
    </row>
    <row r="526" spans="1:4" x14ac:dyDescent="0.25">
      <c r="A526">
        <v>522</v>
      </c>
      <c r="B526" s="11">
        <v>-110.21854317274875</v>
      </c>
      <c r="C526" s="11">
        <v>83.40291979274562</v>
      </c>
      <c r="D526" s="11">
        <v>1268.5546874999998</v>
      </c>
    </row>
    <row r="527" spans="1:4" x14ac:dyDescent="0.25">
      <c r="A527">
        <v>523</v>
      </c>
      <c r="B527" s="11">
        <v>-124.75903082791355</v>
      </c>
      <c r="C527" s="11">
        <v>156.10535806856961</v>
      </c>
      <c r="D527" s="11">
        <v>1268.5546874999998</v>
      </c>
    </row>
    <row r="528" spans="1:4" x14ac:dyDescent="0.25">
      <c r="A528">
        <v>524</v>
      </c>
      <c r="B528" s="11">
        <v>-124.75903082791355</v>
      </c>
      <c r="C528" s="11">
        <v>112.48389510307521</v>
      </c>
      <c r="D528" s="11">
        <v>1268.5546874999998</v>
      </c>
    </row>
    <row r="529" spans="1:4" x14ac:dyDescent="0.25">
      <c r="A529">
        <v>525</v>
      </c>
      <c r="B529" s="11">
        <v>-81.13756786241916</v>
      </c>
      <c r="C529" s="11">
        <v>112.48389510307521</v>
      </c>
      <c r="D529" s="11">
        <v>1268.5546874999998</v>
      </c>
    </row>
    <row r="530" spans="1:4" x14ac:dyDescent="0.25">
      <c r="A530">
        <v>526</v>
      </c>
      <c r="B530" s="11">
        <v>-66.59708020725435</v>
      </c>
      <c r="C530" s="11">
        <v>127.02438275824002</v>
      </c>
      <c r="D530" s="11">
        <v>1268.5546874999998</v>
      </c>
    </row>
    <row r="531" spans="1:4" x14ac:dyDescent="0.25">
      <c r="A531">
        <v>527</v>
      </c>
      <c r="B531" s="11">
        <v>-66.59708020725435</v>
      </c>
      <c r="C531" s="11">
        <v>170.64584572373442</v>
      </c>
      <c r="D531" s="11">
        <v>1268.5546874999998</v>
      </c>
    </row>
    <row r="532" spans="1:4" x14ac:dyDescent="0.25">
      <c r="A532">
        <v>528</v>
      </c>
      <c r="B532" s="11">
        <v>-110.21854317274875</v>
      </c>
      <c r="C532" s="11">
        <v>170.64584572373442</v>
      </c>
      <c r="D532" s="11">
        <v>1268.5546874999998</v>
      </c>
    </row>
    <row r="533" spans="1:4" x14ac:dyDescent="0.25">
      <c r="A533">
        <v>529</v>
      </c>
      <c r="B533" s="11">
        <v>-124.75903082791355</v>
      </c>
      <c r="C533" s="11">
        <v>243.34828399955842</v>
      </c>
      <c r="D533" s="11">
        <v>1268.5546874999998</v>
      </c>
    </row>
    <row r="534" spans="1:4" x14ac:dyDescent="0.25">
      <c r="A534">
        <v>530</v>
      </c>
      <c r="B534" s="11">
        <v>-124.75903082791355</v>
      </c>
      <c r="C534" s="11">
        <v>199.72682103406402</v>
      </c>
      <c r="D534" s="11">
        <v>1268.5546874999998</v>
      </c>
    </row>
    <row r="535" spans="1:4" x14ac:dyDescent="0.25">
      <c r="A535">
        <v>531</v>
      </c>
      <c r="B535" s="11">
        <v>-81.13756786241916</v>
      </c>
      <c r="C535" s="11">
        <v>199.72682103406402</v>
      </c>
      <c r="D535" s="11">
        <v>1268.5546874999998</v>
      </c>
    </row>
    <row r="536" spans="1:4" x14ac:dyDescent="0.25">
      <c r="A536">
        <v>532</v>
      </c>
      <c r="B536" s="11">
        <v>-66.59708020725435</v>
      </c>
      <c r="C536" s="11">
        <v>214.2673086892288</v>
      </c>
      <c r="D536" s="11">
        <v>1268.5546874999998</v>
      </c>
    </row>
    <row r="537" spans="1:4" x14ac:dyDescent="0.25">
      <c r="A537">
        <v>533</v>
      </c>
      <c r="B537" s="11">
        <v>-66.59708020725435</v>
      </c>
      <c r="C537" s="11">
        <v>257.8887716547232</v>
      </c>
      <c r="D537" s="11">
        <v>1268.5546874999998</v>
      </c>
    </row>
    <row r="538" spans="1:4" x14ac:dyDescent="0.25">
      <c r="A538">
        <v>534</v>
      </c>
      <c r="B538" s="11">
        <v>-110.21854317274875</v>
      </c>
      <c r="C538" s="11">
        <v>257.8887716547232</v>
      </c>
      <c r="D538" s="11">
        <v>1268.5546874999998</v>
      </c>
    </row>
    <row r="539" spans="1:4" x14ac:dyDescent="0.25">
      <c r="A539">
        <v>535</v>
      </c>
      <c r="B539" s="11">
        <v>-124.75903082791355</v>
      </c>
      <c r="C539" s="11">
        <v>330.5912099305472</v>
      </c>
      <c r="D539" s="11">
        <v>1268.5546874999998</v>
      </c>
    </row>
    <row r="540" spans="1:4" x14ac:dyDescent="0.25">
      <c r="A540">
        <v>536</v>
      </c>
      <c r="B540" s="11">
        <v>-124.75903082791355</v>
      </c>
      <c r="C540" s="11">
        <v>286.9697469650528</v>
      </c>
      <c r="D540" s="11">
        <v>1268.5546874999998</v>
      </c>
    </row>
    <row r="541" spans="1:4" x14ac:dyDescent="0.25">
      <c r="A541">
        <v>537</v>
      </c>
      <c r="B541" s="11">
        <v>-81.13756786241916</v>
      </c>
      <c r="C541" s="11">
        <v>286.9697469650528</v>
      </c>
      <c r="D541" s="11">
        <v>1268.5546874999998</v>
      </c>
    </row>
    <row r="542" spans="1:4" x14ac:dyDescent="0.25">
      <c r="A542">
        <v>538</v>
      </c>
      <c r="B542" s="11">
        <v>-66.59708020725435</v>
      </c>
      <c r="C542" s="11">
        <v>301.5102346202176</v>
      </c>
      <c r="D542" s="11">
        <v>1268.5546874999998</v>
      </c>
    </row>
    <row r="543" spans="1:4" x14ac:dyDescent="0.25">
      <c r="A543">
        <v>539</v>
      </c>
      <c r="B543" s="11">
        <v>-66.59708020725435</v>
      </c>
      <c r="C543" s="11">
        <v>345.13169758571206</v>
      </c>
      <c r="D543" s="11">
        <v>1268.5546874999998</v>
      </c>
    </row>
    <row r="544" spans="1:4" x14ac:dyDescent="0.25">
      <c r="A544">
        <v>540</v>
      </c>
      <c r="B544" s="11">
        <v>-110.21854317274875</v>
      </c>
      <c r="C544" s="11">
        <v>345.131697585712</v>
      </c>
      <c r="D544" s="11">
        <v>1268.5546874999998</v>
      </c>
    </row>
    <row r="545" spans="1:4" x14ac:dyDescent="0.25">
      <c r="A545">
        <v>541</v>
      </c>
      <c r="B545" s="11">
        <v>-124.75903082791355</v>
      </c>
      <c r="C545" s="11">
        <v>417.8341358615361</v>
      </c>
      <c r="D545" s="11">
        <v>1268.5546874999998</v>
      </c>
    </row>
    <row r="546" spans="1:4" x14ac:dyDescent="0.25">
      <c r="A546">
        <v>542</v>
      </c>
      <c r="B546" s="11">
        <v>-124.75903082791355</v>
      </c>
      <c r="C546" s="11">
        <v>374.2126728960416</v>
      </c>
      <c r="D546" s="11">
        <v>1268.5546874999998</v>
      </c>
    </row>
    <row r="547" spans="1:4" x14ac:dyDescent="0.25">
      <c r="A547">
        <v>543</v>
      </c>
      <c r="B547" s="11">
        <v>-81.13756786241916</v>
      </c>
      <c r="C547" s="11">
        <v>374.2126728960416</v>
      </c>
      <c r="D547" s="11">
        <v>1268.5546874999998</v>
      </c>
    </row>
    <row r="548" spans="1:4" x14ac:dyDescent="0.25">
      <c r="A548">
        <v>544</v>
      </c>
      <c r="B548" s="11">
        <v>-66.59708020725435</v>
      </c>
      <c r="C548" s="11">
        <v>388.7531605512064</v>
      </c>
      <c r="D548" s="11">
        <v>1268.5546874999998</v>
      </c>
    </row>
    <row r="549" spans="1:4" x14ac:dyDescent="0.25">
      <c r="A549">
        <v>545</v>
      </c>
      <c r="B549" s="11">
        <v>-66.59708020725435</v>
      </c>
      <c r="C549" s="11">
        <v>432.37462351670086</v>
      </c>
      <c r="D549" s="11">
        <v>1268.5546874999998</v>
      </c>
    </row>
    <row r="550" spans="1:4" x14ac:dyDescent="0.25">
      <c r="A550">
        <v>546</v>
      </c>
      <c r="B550" s="11">
        <v>-110.21854317274875</v>
      </c>
      <c r="C550" s="11">
        <v>432.3746235167008</v>
      </c>
      <c r="D550" s="11">
        <v>1268.5546874999998</v>
      </c>
    </row>
    <row r="551" spans="1:4" x14ac:dyDescent="0.25">
      <c r="A551">
        <v>547</v>
      </c>
      <c r="B551" s="11">
        <v>-124.75903082791355</v>
      </c>
      <c r="C551" s="11">
        <v>505.07706179252483</v>
      </c>
      <c r="D551" s="11">
        <v>1268.5546874999998</v>
      </c>
    </row>
    <row r="552" spans="1:4" x14ac:dyDescent="0.25">
      <c r="A552">
        <v>548</v>
      </c>
      <c r="B552" s="11">
        <v>-124.75903082791355</v>
      </c>
      <c r="C552" s="11">
        <v>461.4555988270304</v>
      </c>
      <c r="D552" s="11">
        <v>1268.5546874999998</v>
      </c>
    </row>
    <row r="553" spans="1:4" x14ac:dyDescent="0.25">
      <c r="A553">
        <v>549</v>
      </c>
      <c r="B553" s="11">
        <v>-81.13756786241916</v>
      </c>
      <c r="C553" s="11">
        <v>461.4555988270304</v>
      </c>
      <c r="D553" s="11">
        <v>1268.5546874999998</v>
      </c>
    </row>
    <row r="554" spans="1:4" x14ac:dyDescent="0.25">
      <c r="A554">
        <v>550</v>
      </c>
      <c r="B554" s="11">
        <v>-66.59708020725435</v>
      </c>
      <c r="C554" s="11">
        <v>475.9960864821952</v>
      </c>
      <c r="D554" s="11">
        <v>1268.5546874999998</v>
      </c>
    </row>
    <row r="555" spans="1:4" x14ac:dyDescent="0.25">
      <c r="A555">
        <v>551</v>
      </c>
      <c r="B555" s="11">
        <v>-66.59708020725435</v>
      </c>
      <c r="C555" s="11">
        <v>519.6175494476896</v>
      </c>
      <c r="D555" s="11">
        <v>1268.5546874999998</v>
      </c>
    </row>
    <row r="556" spans="1:4" x14ac:dyDescent="0.25">
      <c r="A556">
        <v>552</v>
      </c>
      <c r="B556" s="11">
        <v>-110.21854317274875</v>
      </c>
      <c r="C556" s="11">
        <v>519.6175494476896</v>
      </c>
      <c r="D556" s="11">
        <v>1268.5546874999998</v>
      </c>
    </row>
    <row r="557" spans="1:4" x14ac:dyDescent="0.25">
      <c r="A557">
        <v>553</v>
      </c>
      <c r="B557" s="11">
        <v>-124.75903082791355</v>
      </c>
      <c r="C557" s="11">
        <v>578.0526790342848</v>
      </c>
      <c r="D557" s="11">
        <v>957.3742486977636</v>
      </c>
    </row>
    <row r="558" spans="1:4" x14ac:dyDescent="0.25">
      <c r="A558">
        <v>554</v>
      </c>
      <c r="B558" s="11">
        <v>-124.75903082791355</v>
      </c>
      <c r="C558" s="11">
        <v>545.131697585712</v>
      </c>
      <c r="D558" s="11">
        <v>957.3742486977636</v>
      </c>
    </row>
    <row r="559" spans="1:4" x14ac:dyDescent="0.25">
      <c r="A559">
        <v>555</v>
      </c>
      <c r="B559" s="11">
        <v>-81.13756786241916</v>
      </c>
      <c r="C559" s="11">
        <v>545.131697585712</v>
      </c>
      <c r="D559" s="11">
        <v>957.3742486977636</v>
      </c>
    </row>
    <row r="560" spans="1:4" x14ac:dyDescent="0.25">
      <c r="A560">
        <v>556</v>
      </c>
      <c r="B560" s="11">
        <v>-66.59708020725435</v>
      </c>
      <c r="C560" s="11">
        <v>556.1053580685696</v>
      </c>
      <c r="D560" s="11">
        <v>957.3742486977636</v>
      </c>
    </row>
    <row r="561" spans="1:4" x14ac:dyDescent="0.25">
      <c r="A561">
        <v>557</v>
      </c>
      <c r="B561" s="11">
        <v>-66.59708020725435</v>
      </c>
      <c r="C561" s="11">
        <v>589.0263395171423</v>
      </c>
      <c r="D561" s="11">
        <v>957.3742486977636</v>
      </c>
    </row>
    <row r="562" spans="1:4" x14ac:dyDescent="0.25">
      <c r="A562">
        <v>558</v>
      </c>
      <c r="B562" s="11">
        <v>-110.21854317274875</v>
      </c>
      <c r="C562" s="11">
        <v>589.0263395171423</v>
      </c>
      <c r="D562" s="11">
        <v>957.3742486977636</v>
      </c>
    </row>
    <row r="563" spans="1:4" x14ac:dyDescent="0.25">
      <c r="A563">
        <v>559</v>
      </c>
      <c r="B563" s="11">
        <v>-37.51610489692476</v>
      </c>
      <c r="C563" s="11">
        <v>-541.8380493793408</v>
      </c>
      <c r="D563" s="11">
        <v>1268.5546874999998</v>
      </c>
    </row>
    <row r="564" spans="1:4" x14ac:dyDescent="0.25">
      <c r="A564">
        <v>560</v>
      </c>
      <c r="B564" s="11">
        <v>-37.51610489692476</v>
      </c>
      <c r="C564" s="11">
        <v>-585.4595123448352</v>
      </c>
      <c r="D564" s="11">
        <v>1268.5546874999998</v>
      </c>
    </row>
    <row r="565" spans="1:4" x14ac:dyDescent="0.25">
      <c r="A565">
        <v>561</v>
      </c>
      <c r="B565" s="11">
        <v>6.105358068569636</v>
      </c>
      <c r="C565" s="11">
        <v>-585.4595123448352</v>
      </c>
      <c r="D565" s="11">
        <v>1268.5546874999998</v>
      </c>
    </row>
    <row r="566" spans="1:4" x14ac:dyDescent="0.25">
      <c r="A566">
        <v>562</v>
      </c>
      <c r="B566" s="11">
        <v>20.645845723734435</v>
      </c>
      <c r="C566" s="11">
        <v>-570.9190246896703</v>
      </c>
      <c r="D566" s="11">
        <v>1268.5546874999998</v>
      </c>
    </row>
    <row r="567" spans="1:4" x14ac:dyDescent="0.25">
      <c r="A567">
        <v>563</v>
      </c>
      <c r="B567" s="11">
        <v>20.645845723734435</v>
      </c>
      <c r="C567" s="11">
        <v>-527.2975617241759</v>
      </c>
      <c r="D567" s="11">
        <v>1268.5546874999998</v>
      </c>
    </row>
    <row r="568" spans="1:4" x14ac:dyDescent="0.25">
      <c r="A568">
        <v>564</v>
      </c>
      <c r="B568" s="11">
        <v>-22.975617241759963</v>
      </c>
      <c r="C568" s="11">
        <v>-527.2975617241759</v>
      </c>
      <c r="D568" s="11">
        <v>1268.5546874999998</v>
      </c>
    </row>
    <row r="569" spans="1:4" x14ac:dyDescent="0.25">
      <c r="A569">
        <v>565</v>
      </c>
      <c r="B569" s="11">
        <v>-37.51610489692476</v>
      </c>
      <c r="C569" s="11">
        <v>-454.59512344835196</v>
      </c>
      <c r="D569" s="11">
        <v>1268.5546874999998</v>
      </c>
    </row>
    <row r="570" spans="1:4" x14ac:dyDescent="0.25">
      <c r="A570">
        <v>566</v>
      </c>
      <c r="B570" s="11">
        <v>-37.51610489692476</v>
      </c>
      <c r="C570" s="11">
        <v>-498.21658641384636</v>
      </c>
      <c r="D570" s="11">
        <v>1268.5546874999998</v>
      </c>
    </row>
    <row r="571" spans="1:4" x14ac:dyDescent="0.25">
      <c r="A571">
        <v>567</v>
      </c>
      <c r="B571" s="11">
        <v>6.105358068569636</v>
      </c>
      <c r="C571" s="11">
        <v>-498.21658641384636</v>
      </c>
      <c r="D571" s="11">
        <v>1268.5546874999998</v>
      </c>
    </row>
    <row r="572" spans="1:4" x14ac:dyDescent="0.25">
      <c r="A572">
        <v>568</v>
      </c>
      <c r="B572" s="11">
        <v>20.645845723734435</v>
      </c>
      <c r="C572" s="11">
        <v>-483.6760987586815</v>
      </c>
      <c r="D572" s="11">
        <v>1268.5546874999998</v>
      </c>
    </row>
    <row r="573" spans="1:4" x14ac:dyDescent="0.25">
      <c r="A573">
        <v>569</v>
      </c>
      <c r="B573" s="11">
        <v>20.645845723734435</v>
      </c>
      <c r="C573" s="11">
        <v>-440.0546357931872</v>
      </c>
      <c r="D573" s="11">
        <v>1268.5546874999998</v>
      </c>
    </row>
    <row r="574" spans="1:4" x14ac:dyDescent="0.25">
      <c r="A574">
        <v>570</v>
      </c>
      <c r="B574" s="11">
        <v>-22.975617241759963</v>
      </c>
      <c r="C574" s="11">
        <v>-440.0546357931872</v>
      </c>
      <c r="D574" s="11">
        <v>1268.5546874999998</v>
      </c>
    </row>
    <row r="575" spans="1:4" x14ac:dyDescent="0.25">
      <c r="A575">
        <v>571</v>
      </c>
      <c r="B575" s="11">
        <v>-37.51610489692476</v>
      </c>
      <c r="C575" s="11">
        <v>-367.35219751736315</v>
      </c>
      <c r="D575" s="11">
        <v>1268.5546874999998</v>
      </c>
    </row>
    <row r="576" spans="1:4" x14ac:dyDescent="0.25">
      <c r="A576">
        <v>572</v>
      </c>
      <c r="B576" s="11">
        <v>-37.51610489692476</v>
      </c>
      <c r="C576" s="11">
        <v>-410.97366048285755</v>
      </c>
      <c r="D576" s="11">
        <v>1268.5546874999998</v>
      </c>
    </row>
    <row r="577" spans="1:4" x14ac:dyDescent="0.25">
      <c r="A577">
        <v>573</v>
      </c>
      <c r="B577" s="11">
        <v>6.105358068569636</v>
      </c>
      <c r="C577" s="11">
        <v>-410.97366048285755</v>
      </c>
      <c r="D577" s="11">
        <v>1268.5546874999998</v>
      </c>
    </row>
    <row r="578" spans="1:4" x14ac:dyDescent="0.25">
      <c r="A578">
        <v>574</v>
      </c>
      <c r="B578" s="11">
        <v>20.645845723734435</v>
      </c>
      <c r="C578" s="11">
        <v>-396.4331728276928</v>
      </c>
      <c r="D578" s="11">
        <v>1268.5546874999998</v>
      </c>
    </row>
    <row r="579" spans="1:4" x14ac:dyDescent="0.25">
      <c r="A579">
        <v>575</v>
      </c>
      <c r="B579" s="11">
        <v>20.645845723734435</v>
      </c>
      <c r="C579" s="11">
        <v>-352.81170986219837</v>
      </c>
      <c r="D579" s="11">
        <v>1268.5546874999998</v>
      </c>
    </row>
    <row r="580" spans="1:4" x14ac:dyDescent="0.25">
      <c r="A580">
        <v>576</v>
      </c>
      <c r="B580" s="11">
        <v>-22.975617241759963</v>
      </c>
      <c r="C580" s="11">
        <v>-352.81170986219837</v>
      </c>
      <c r="D580" s="11">
        <v>1268.5546874999998</v>
      </c>
    </row>
    <row r="581" spans="1:4" x14ac:dyDescent="0.25">
      <c r="A581">
        <v>577</v>
      </c>
      <c r="B581" s="11">
        <v>-37.51610489692476</v>
      </c>
      <c r="C581" s="11">
        <v>-280.10927158637435</v>
      </c>
      <c r="D581" s="11">
        <v>1268.5546874999998</v>
      </c>
    </row>
    <row r="582" spans="1:4" x14ac:dyDescent="0.25">
      <c r="A582">
        <v>578</v>
      </c>
      <c r="B582" s="11">
        <v>-37.51610489692476</v>
      </c>
      <c r="C582" s="11">
        <v>-323.7307345518688</v>
      </c>
      <c r="D582" s="11">
        <v>1268.5546874999998</v>
      </c>
    </row>
    <row r="583" spans="1:4" x14ac:dyDescent="0.25">
      <c r="A583">
        <v>579</v>
      </c>
      <c r="B583" s="11">
        <v>6.105358068569636</v>
      </c>
      <c r="C583" s="11">
        <v>-323.73073455186875</v>
      </c>
      <c r="D583" s="11">
        <v>1268.5546874999998</v>
      </c>
    </row>
    <row r="584" spans="1:4" x14ac:dyDescent="0.25">
      <c r="A584">
        <v>580</v>
      </c>
      <c r="B584" s="11">
        <v>20.645845723734435</v>
      </c>
      <c r="C584" s="11">
        <v>-309.190246896704</v>
      </c>
      <c r="D584" s="11">
        <v>1268.5546874999998</v>
      </c>
    </row>
    <row r="585" spans="1:4" x14ac:dyDescent="0.25">
      <c r="A585">
        <v>581</v>
      </c>
      <c r="B585" s="11">
        <v>20.645845723734435</v>
      </c>
      <c r="C585" s="11">
        <v>-265.56878393120957</v>
      </c>
      <c r="D585" s="11">
        <v>1268.5546874999998</v>
      </c>
    </row>
    <row r="586" spans="1:4" x14ac:dyDescent="0.25">
      <c r="A586">
        <v>582</v>
      </c>
      <c r="B586" s="11">
        <v>-22.975617241759963</v>
      </c>
      <c r="C586" s="11">
        <v>-265.56878393120957</v>
      </c>
      <c r="D586" s="11">
        <v>1268.5546874999998</v>
      </c>
    </row>
    <row r="587" spans="1:4" x14ac:dyDescent="0.25">
      <c r="A587">
        <v>583</v>
      </c>
      <c r="B587" s="11">
        <v>-37.51610489692476</v>
      </c>
      <c r="C587" s="11">
        <v>-192.86634565538557</v>
      </c>
      <c r="D587" s="11">
        <v>1268.5546874999998</v>
      </c>
    </row>
    <row r="588" spans="1:4" x14ac:dyDescent="0.25">
      <c r="A588">
        <v>584</v>
      </c>
      <c r="B588" s="11">
        <v>-37.51610489692476</v>
      </c>
      <c r="C588" s="11">
        <v>-236.48780862087997</v>
      </c>
      <c r="D588" s="11">
        <v>1268.5546874999998</v>
      </c>
    </row>
    <row r="589" spans="1:4" x14ac:dyDescent="0.25">
      <c r="A589">
        <v>585</v>
      </c>
      <c r="B589" s="11">
        <v>6.105358068569636</v>
      </c>
      <c r="C589" s="11">
        <v>-236.48780862087997</v>
      </c>
      <c r="D589" s="11">
        <v>1268.5546874999998</v>
      </c>
    </row>
    <row r="590" spans="1:4" x14ac:dyDescent="0.25">
      <c r="A590">
        <v>586</v>
      </c>
      <c r="B590" s="11">
        <v>20.645845723734435</v>
      </c>
      <c r="C590" s="11">
        <v>-221.9473209657152</v>
      </c>
      <c r="D590" s="11">
        <v>1268.5546874999998</v>
      </c>
    </row>
    <row r="591" spans="1:4" x14ac:dyDescent="0.25">
      <c r="A591">
        <v>587</v>
      </c>
      <c r="B591" s="11">
        <v>20.645845723734435</v>
      </c>
      <c r="C591" s="11">
        <v>-178.3258580002208</v>
      </c>
      <c r="D591" s="11">
        <v>1268.5546874999998</v>
      </c>
    </row>
    <row r="592" spans="1:4" x14ac:dyDescent="0.25">
      <c r="A592">
        <v>588</v>
      </c>
      <c r="B592" s="11">
        <v>-22.975617241759963</v>
      </c>
      <c r="C592" s="11">
        <v>-178.32585800022076</v>
      </c>
      <c r="D592" s="11">
        <v>1268.5546874999998</v>
      </c>
    </row>
    <row r="593" spans="1:4" x14ac:dyDescent="0.25">
      <c r="A593">
        <v>589</v>
      </c>
      <c r="B593" s="11">
        <v>-37.51610489692476</v>
      </c>
      <c r="C593" s="11">
        <v>-105.62341972439677</v>
      </c>
      <c r="D593" s="11">
        <v>1268.5546874999998</v>
      </c>
    </row>
    <row r="594" spans="1:4" x14ac:dyDescent="0.25">
      <c r="A594">
        <v>590</v>
      </c>
      <c r="B594" s="11">
        <v>-37.51610489692476</v>
      </c>
      <c r="C594" s="11">
        <v>-149.24488268989117</v>
      </c>
      <c r="D594" s="11">
        <v>1268.5546874999998</v>
      </c>
    </row>
    <row r="595" spans="1:4" x14ac:dyDescent="0.25">
      <c r="A595">
        <v>591</v>
      </c>
      <c r="B595" s="11">
        <v>6.105358068569636</v>
      </c>
      <c r="C595" s="11">
        <v>-149.24488268989117</v>
      </c>
      <c r="D595" s="11">
        <v>1268.5546874999998</v>
      </c>
    </row>
    <row r="596" spans="1:4" x14ac:dyDescent="0.25">
      <c r="A596">
        <v>592</v>
      </c>
      <c r="B596" s="11">
        <v>20.645845723734435</v>
      </c>
      <c r="C596" s="11">
        <v>-134.70439503472636</v>
      </c>
      <c r="D596" s="11">
        <v>1268.5546874999998</v>
      </c>
    </row>
    <row r="597" spans="1:4" x14ac:dyDescent="0.25">
      <c r="A597">
        <v>593</v>
      </c>
      <c r="B597" s="11">
        <v>20.645845723734435</v>
      </c>
      <c r="C597" s="11">
        <v>-91.08293206923197</v>
      </c>
      <c r="D597" s="11">
        <v>1268.5546874999998</v>
      </c>
    </row>
    <row r="598" spans="1:4" x14ac:dyDescent="0.25">
      <c r="A598">
        <v>594</v>
      </c>
      <c r="B598" s="11">
        <v>-22.975617241759963</v>
      </c>
      <c r="C598" s="11">
        <v>-91.08293206923197</v>
      </c>
      <c r="D598" s="11">
        <v>1268.5546874999998</v>
      </c>
    </row>
    <row r="599" spans="1:4" x14ac:dyDescent="0.25">
      <c r="A599">
        <v>595</v>
      </c>
      <c r="B599" s="11">
        <v>-37.51610489692476</v>
      </c>
      <c r="C599" s="11">
        <v>-18.380493793407975</v>
      </c>
      <c r="D599" s="11">
        <v>1268.5546874999998</v>
      </c>
    </row>
    <row r="600" spans="1:4" x14ac:dyDescent="0.25">
      <c r="A600">
        <v>596</v>
      </c>
      <c r="B600" s="11">
        <v>-37.51610489692476</v>
      </c>
      <c r="C600" s="11">
        <v>-62.001956758902374</v>
      </c>
      <c r="D600" s="11">
        <v>1268.5546874999998</v>
      </c>
    </row>
    <row r="601" spans="1:4" x14ac:dyDescent="0.25">
      <c r="A601">
        <v>597</v>
      </c>
      <c r="B601" s="11">
        <v>6.105358068569636</v>
      </c>
      <c r="C601" s="11">
        <v>-62.001956758902374</v>
      </c>
      <c r="D601" s="11">
        <v>1268.5546874999998</v>
      </c>
    </row>
    <row r="602" spans="1:4" x14ac:dyDescent="0.25">
      <c r="A602">
        <v>598</v>
      </c>
      <c r="B602" s="11">
        <v>20.645845723734435</v>
      </c>
      <c r="C602" s="11">
        <v>-47.46146910373757</v>
      </c>
      <c r="D602" s="11">
        <v>1268.5546874999998</v>
      </c>
    </row>
    <row r="603" spans="1:4" x14ac:dyDescent="0.25">
      <c r="A603">
        <v>599</v>
      </c>
      <c r="B603" s="11">
        <v>20.645845723734435</v>
      </c>
      <c r="C603" s="11">
        <v>-3.840006138243174</v>
      </c>
      <c r="D603" s="11">
        <v>1268.5546874999998</v>
      </c>
    </row>
    <row r="604" spans="1:4" x14ac:dyDescent="0.25">
      <c r="A604">
        <v>600</v>
      </c>
      <c r="B604" s="11">
        <v>-22.975617241759963</v>
      </c>
      <c r="C604" s="11">
        <v>-3.840006138243173</v>
      </c>
      <c r="D604" s="11">
        <v>1268.5546874999998</v>
      </c>
    </row>
    <row r="605" spans="1:4" x14ac:dyDescent="0.25">
      <c r="A605">
        <v>601</v>
      </c>
      <c r="B605" s="11">
        <v>-37.51610489692476</v>
      </c>
      <c r="C605" s="11">
        <v>68.86243213758081</v>
      </c>
      <c r="D605" s="11">
        <v>1268.5546874999998</v>
      </c>
    </row>
    <row r="606" spans="1:4" x14ac:dyDescent="0.25">
      <c r="A606">
        <v>602</v>
      </c>
      <c r="B606" s="11">
        <v>-37.51610489692476</v>
      </c>
      <c r="C606" s="11">
        <v>25.240969172086423</v>
      </c>
      <c r="D606" s="11">
        <v>1268.5546874999998</v>
      </c>
    </row>
    <row r="607" spans="1:4" x14ac:dyDescent="0.25">
      <c r="A607">
        <v>603</v>
      </c>
      <c r="B607" s="11">
        <v>6.105358068569636</v>
      </c>
      <c r="C607" s="11">
        <v>25.240969172086423</v>
      </c>
      <c r="D607" s="11">
        <v>1268.5546874999998</v>
      </c>
    </row>
    <row r="608" spans="1:4" x14ac:dyDescent="0.25">
      <c r="A608">
        <v>604</v>
      </c>
      <c r="B608" s="11">
        <v>20.645845723734435</v>
      </c>
      <c r="C608" s="11">
        <v>39.78145682725122</v>
      </c>
      <c r="D608" s="11">
        <v>1268.5546874999998</v>
      </c>
    </row>
    <row r="609" spans="1:4" x14ac:dyDescent="0.25">
      <c r="A609">
        <v>605</v>
      </c>
      <c r="B609" s="11">
        <v>20.645845723734435</v>
      </c>
      <c r="C609" s="11">
        <v>83.40291979274562</v>
      </c>
      <c r="D609" s="11">
        <v>1268.5546874999998</v>
      </c>
    </row>
    <row r="610" spans="1:4" x14ac:dyDescent="0.25">
      <c r="A610">
        <v>606</v>
      </c>
      <c r="B610" s="11">
        <v>-22.975617241759963</v>
      </c>
      <c r="C610" s="11">
        <v>83.40291979274562</v>
      </c>
      <c r="D610" s="11">
        <v>1268.5546874999998</v>
      </c>
    </row>
    <row r="611" spans="1:4" x14ac:dyDescent="0.25">
      <c r="A611">
        <v>607</v>
      </c>
      <c r="B611" s="11">
        <v>-37.51610489692476</v>
      </c>
      <c r="C611" s="11">
        <v>156.10535806856961</v>
      </c>
      <c r="D611" s="11">
        <v>1268.5546874999998</v>
      </c>
    </row>
    <row r="612" spans="1:4" x14ac:dyDescent="0.25">
      <c r="A612">
        <v>608</v>
      </c>
      <c r="B612" s="11">
        <v>-37.51610489692476</v>
      </c>
      <c r="C612" s="11">
        <v>112.48389510307521</v>
      </c>
      <c r="D612" s="11">
        <v>1268.5546874999998</v>
      </c>
    </row>
    <row r="613" spans="1:4" x14ac:dyDescent="0.25">
      <c r="A613">
        <v>609</v>
      </c>
      <c r="B613" s="11">
        <v>6.105358068569636</v>
      </c>
      <c r="C613" s="11">
        <v>112.48389510307521</v>
      </c>
      <c r="D613" s="11">
        <v>1268.5546874999998</v>
      </c>
    </row>
    <row r="614" spans="1:4" x14ac:dyDescent="0.25">
      <c r="A614">
        <v>610</v>
      </c>
      <c r="B614" s="11">
        <v>20.645845723734435</v>
      </c>
      <c r="C614" s="11">
        <v>127.02438275824002</v>
      </c>
      <c r="D614" s="11">
        <v>1268.5546874999998</v>
      </c>
    </row>
    <row r="615" spans="1:4" x14ac:dyDescent="0.25">
      <c r="A615">
        <v>611</v>
      </c>
      <c r="B615" s="11">
        <v>20.645845723734435</v>
      </c>
      <c r="C615" s="11">
        <v>170.64584572373442</v>
      </c>
      <c r="D615" s="11">
        <v>1268.5546874999998</v>
      </c>
    </row>
    <row r="616" spans="1:4" x14ac:dyDescent="0.25">
      <c r="A616">
        <v>612</v>
      </c>
      <c r="B616" s="11">
        <v>-22.975617241759963</v>
      </c>
      <c r="C616" s="11">
        <v>170.64584572373442</v>
      </c>
      <c r="D616" s="11">
        <v>1268.5546874999998</v>
      </c>
    </row>
    <row r="617" spans="1:4" x14ac:dyDescent="0.25">
      <c r="A617">
        <v>613</v>
      </c>
      <c r="B617" s="11">
        <v>-37.51610489692476</v>
      </c>
      <c r="C617" s="11">
        <v>243.34828399955842</v>
      </c>
      <c r="D617" s="11">
        <v>1268.5546874999998</v>
      </c>
    </row>
    <row r="618" spans="1:4" x14ac:dyDescent="0.25">
      <c r="A618">
        <v>614</v>
      </c>
      <c r="B618" s="11">
        <v>-37.51610489692476</v>
      </c>
      <c r="C618" s="11">
        <v>199.72682103406402</v>
      </c>
      <c r="D618" s="11">
        <v>1268.5546874999998</v>
      </c>
    </row>
    <row r="619" spans="1:4" x14ac:dyDescent="0.25">
      <c r="A619">
        <v>615</v>
      </c>
      <c r="B619" s="11">
        <v>6.105358068569636</v>
      </c>
      <c r="C619" s="11">
        <v>199.72682103406402</v>
      </c>
      <c r="D619" s="11">
        <v>1268.5546874999998</v>
      </c>
    </row>
    <row r="620" spans="1:4" x14ac:dyDescent="0.25">
      <c r="A620">
        <v>616</v>
      </c>
      <c r="B620" s="11">
        <v>20.645845723734435</v>
      </c>
      <c r="C620" s="11">
        <v>214.2673086892288</v>
      </c>
      <c r="D620" s="11">
        <v>1268.5546874999998</v>
      </c>
    </row>
    <row r="621" spans="1:4" x14ac:dyDescent="0.25">
      <c r="A621">
        <v>617</v>
      </c>
      <c r="B621" s="11">
        <v>20.645845723734435</v>
      </c>
      <c r="C621" s="11">
        <v>257.8887716547232</v>
      </c>
      <c r="D621" s="11">
        <v>1268.5546874999998</v>
      </c>
    </row>
    <row r="622" spans="1:4" x14ac:dyDescent="0.25">
      <c r="A622">
        <v>618</v>
      </c>
      <c r="B622" s="11">
        <v>-22.975617241759963</v>
      </c>
      <c r="C622" s="11">
        <v>257.8887716547232</v>
      </c>
      <c r="D622" s="11">
        <v>1268.5546874999998</v>
      </c>
    </row>
    <row r="623" spans="1:4" x14ac:dyDescent="0.25">
      <c r="A623">
        <v>619</v>
      </c>
      <c r="B623" s="11">
        <v>-37.51610489692476</v>
      </c>
      <c r="C623" s="11">
        <v>330.5912099305472</v>
      </c>
      <c r="D623" s="11">
        <v>1268.5546874999998</v>
      </c>
    </row>
    <row r="624" spans="1:4" x14ac:dyDescent="0.25">
      <c r="A624">
        <v>620</v>
      </c>
      <c r="B624" s="11">
        <v>-37.51610489692476</v>
      </c>
      <c r="C624" s="11">
        <v>286.9697469650528</v>
      </c>
      <c r="D624" s="11">
        <v>1268.5546874999998</v>
      </c>
    </row>
    <row r="625" spans="1:4" x14ac:dyDescent="0.25">
      <c r="A625">
        <v>621</v>
      </c>
      <c r="B625" s="11">
        <v>6.105358068569636</v>
      </c>
      <c r="C625" s="11">
        <v>286.9697469650528</v>
      </c>
      <c r="D625" s="11">
        <v>1268.5546874999998</v>
      </c>
    </row>
    <row r="626" spans="1:4" x14ac:dyDescent="0.25">
      <c r="A626">
        <v>622</v>
      </c>
      <c r="B626" s="11">
        <v>20.645845723734435</v>
      </c>
      <c r="C626" s="11">
        <v>301.5102346202176</v>
      </c>
      <c r="D626" s="11">
        <v>1268.5546874999998</v>
      </c>
    </row>
    <row r="627" spans="1:4" x14ac:dyDescent="0.25">
      <c r="A627">
        <v>623</v>
      </c>
      <c r="B627" s="11">
        <v>20.645845723734435</v>
      </c>
      <c r="C627" s="11">
        <v>345.13169758571206</v>
      </c>
      <c r="D627" s="11">
        <v>1268.5546874999998</v>
      </c>
    </row>
    <row r="628" spans="1:4" x14ac:dyDescent="0.25">
      <c r="A628">
        <v>624</v>
      </c>
      <c r="B628" s="11">
        <v>-22.975617241759963</v>
      </c>
      <c r="C628" s="11">
        <v>345.131697585712</v>
      </c>
      <c r="D628" s="11">
        <v>1268.5546874999998</v>
      </c>
    </row>
    <row r="629" spans="1:4" x14ac:dyDescent="0.25">
      <c r="A629">
        <v>625</v>
      </c>
      <c r="B629" s="11">
        <v>-37.51610489692476</v>
      </c>
      <c r="C629" s="11">
        <v>417.8341358615361</v>
      </c>
      <c r="D629" s="11">
        <v>1268.5546874999998</v>
      </c>
    </row>
    <row r="630" spans="1:4" x14ac:dyDescent="0.25">
      <c r="A630">
        <v>626</v>
      </c>
      <c r="B630" s="11">
        <v>-37.51610489692476</v>
      </c>
      <c r="C630" s="11">
        <v>374.2126728960416</v>
      </c>
      <c r="D630" s="11">
        <v>1268.5546874999998</v>
      </c>
    </row>
    <row r="631" spans="1:4" x14ac:dyDescent="0.25">
      <c r="A631">
        <v>627</v>
      </c>
      <c r="B631" s="11">
        <v>6.105358068569636</v>
      </c>
      <c r="C631" s="11">
        <v>374.2126728960416</v>
      </c>
      <c r="D631" s="11">
        <v>1268.5546874999998</v>
      </c>
    </row>
    <row r="632" spans="1:4" x14ac:dyDescent="0.25">
      <c r="A632">
        <v>628</v>
      </c>
      <c r="B632" s="11">
        <v>20.645845723734435</v>
      </c>
      <c r="C632" s="11">
        <v>388.7531605512064</v>
      </c>
      <c r="D632" s="11">
        <v>1268.5546874999998</v>
      </c>
    </row>
    <row r="633" spans="1:4" x14ac:dyDescent="0.25">
      <c r="A633">
        <v>629</v>
      </c>
      <c r="B633" s="11">
        <v>20.645845723734435</v>
      </c>
      <c r="C633" s="11">
        <v>432.37462351670086</v>
      </c>
      <c r="D633" s="11">
        <v>1268.5546874999998</v>
      </c>
    </row>
    <row r="634" spans="1:4" x14ac:dyDescent="0.25">
      <c r="A634">
        <v>630</v>
      </c>
      <c r="B634" s="11">
        <v>-22.975617241759963</v>
      </c>
      <c r="C634" s="11">
        <v>432.3746235167008</v>
      </c>
      <c r="D634" s="11">
        <v>1268.5546874999998</v>
      </c>
    </row>
    <row r="635" spans="1:4" x14ac:dyDescent="0.25">
      <c r="A635">
        <v>631</v>
      </c>
      <c r="B635" s="11">
        <v>-37.51610489692476</v>
      </c>
      <c r="C635" s="11">
        <v>505.07706179252483</v>
      </c>
      <c r="D635" s="11">
        <v>1268.5546874999998</v>
      </c>
    </row>
    <row r="636" spans="1:4" x14ac:dyDescent="0.25">
      <c r="A636">
        <v>632</v>
      </c>
      <c r="B636" s="11">
        <v>-37.51610489692476</v>
      </c>
      <c r="C636" s="11">
        <v>461.4555988270304</v>
      </c>
      <c r="D636" s="11">
        <v>1268.5546874999998</v>
      </c>
    </row>
    <row r="637" spans="1:4" x14ac:dyDescent="0.25">
      <c r="A637">
        <v>633</v>
      </c>
      <c r="B637" s="11">
        <v>6.105358068569636</v>
      </c>
      <c r="C637" s="11">
        <v>461.4555988270304</v>
      </c>
      <c r="D637" s="11">
        <v>1268.5546874999998</v>
      </c>
    </row>
    <row r="638" spans="1:4" x14ac:dyDescent="0.25">
      <c r="A638">
        <v>634</v>
      </c>
      <c r="B638" s="11">
        <v>20.645845723734435</v>
      </c>
      <c r="C638" s="11">
        <v>475.9960864821952</v>
      </c>
      <c r="D638" s="11">
        <v>1268.5546874999998</v>
      </c>
    </row>
    <row r="639" spans="1:4" x14ac:dyDescent="0.25">
      <c r="A639">
        <v>635</v>
      </c>
      <c r="B639" s="11">
        <v>20.645845723734435</v>
      </c>
      <c r="C639" s="11">
        <v>519.6175494476896</v>
      </c>
      <c r="D639" s="11">
        <v>1268.5546874999998</v>
      </c>
    </row>
    <row r="640" spans="1:4" x14ac:dyDescent="0.25">
      <c r="A640">
        <v>636</v>
      </c>
      <c r="B640" s="11">
        <v>-22.975617241759963</v>
      </c>
      <c r="C640" s="11">
        <v>519.6175494476896</v>
      </c>
      <c r="D640" s="11">
        <v>1268.5546874999998</v>
      </c>
    </row>
    <row r="641" spans="1:4" x14ac:dyDescent="0.25">
      <c r="A641">
        <v>637</v>
      </c>
      <c r="B641" s="11">
        <v>-37.51610489692476</v>
      </c>
      <c r="C641" s="11">
        <v>578.0526790342848</v>
      </c>
      <c r="D641" s="11">
        <v>957.3742486977636</v>
      </c>
    </row>
    <row r="642" spans="1:4" x14ac:dyDescent="0.25">
      <c r="A642">
        <v>638</v>
      </c>
      <c r="B642" s="11">
        <v>-37.51610489692476</v>
      </c>
      <c r="C642" s="11">
        <v>545.131697585712</v>
      </c>
      <c r="D642" s="11">
        <v>957.3742486977636</v>
      </c>
    </row>
    <row r="643" spans="1:4" x14ac:dyDescent="0.25">
      <c r="A643">
        <v>639</v>
      </c>
      <c r="B643" s="11">
        <v>6.105358068569636</v>
      </c>
      <c r="C643" s="11">
        <v>545.131697585712</v>
      </c>
      <c r="D643" s="11">
        <v>957.3742486977636</v>
      </c>
    </row>
    <row r="644" spans="1:4" x14ac:dyDescent="0.25">
      <c r="A644">
        <v>640</v>
      </c>
      <c r="B644" s="11">
        <v>20.645845723734435</v>
      </c>
      <c r="C644" s="11">
        <v>556.1053580685696</v>
      </c>
      <c r="D644" s="11">
        <v>957.3742486977636</v>
      </c>
    </row>
    <row r="645" spans="1:4" x14ac:dyDescent="0.25">
      <c r="A645">
        <v>641</v>
      </c>
      <c r="B645" s="11">
        <v>20.645845723734435</v>
      </c>
      <c r="C645" s="11">
        <v>589.0263395171423</v>
      </c>
      <c r="D645" s="11">
        <v>957.3742486977636</v>
      </c>
    </row>
    <row r="646" spans="1:4" x14ac:dyDescent="0.25">
      <c r="A646">
        <v>642</v>
      </c>
      <c r="B646" s="11">
        <v>-22.975617241759963</v>
      </c>
      <c r="C646" s="11">
        <v>589.0263395171423</v>
      </c>
      <c r="D646" s="11">
        <v>957.3742486977636</v>
      </c>
    </row>
    <row r="647" spans="1:4" x14ac:dyDescent="0.25">
      <c r="A647">
        <v>643</v>
      </c>
      <c r="B647" s="11">
        <v>49.72682103406403</v>
      </c>
      <c r="C647" s="11">
        <v>-541.8380493793408</v>
      </c>
      <c r="D647" s="11">
        <v>1268.5546874999998</v>
      </c>
    </row>
    <row r="648" spans="1:4" x14ac:dyDescent="0.25">
      <c r="A648">
        <v>644</v>
      </c>
      <c r="B648" s="11">
        <v>49.72682103406403</v>
      </c>
      <c r="C648" s="11">
        <v>-585.4595123448352</v>
      </c>
      <c r="D648" s="11">
        <v>1268.5546874999998</v>
      </c>
    </row>
    <row r="649" spans="1:4" x14ac:dyDescent="0.25">
      <c r="A649">
        <v>645</v>
      </c>
      <c r="B649" s="11">
        <v>93.34828399955843</v>
      </c>
      <c r="C649" s="11">
        <v>-585.4595123448352</v>
      </c>
      <c r="D649" s="11">
        <v>1268.5546874999998</v>
      </c>
    </row>
    <row r="650" spans="1:4" x14ac:dyDescent="0.25">
      <c r="A650">
        <v>646</v>
      </c>
      <c r="B650" s="11">
        <v>107.88877165472323</v>
      </c>
      <c r="C650" s="11">
        <v>-570.9190246896703</v>
      </c>
      <c r="D650" s="11">
        <v>1268.5546874999998</v>
      </c>
    </row>
    <row r="651" spans="1:4" x14ac:dyDescent="0.25">
      <c r="A651">
        <v>647</v>
      </c>
      <c r="B651" s="11">
        <v>107.88877165472323</v>
      </c>
      <c r="C651" s="11">
        <v>-527.2975617241759</v>
      </c>
      <c r="D651" s="11">
        <v>1268.5546874999998</v>
      </c>
    </row>
    <row r="652" spans="1:4" x14ac:dyDescent="0.25">
      <c r="A652">
        <v>648</v>
      </c>
      <c r="B652" s="11">
        <v>64.26730868922883</v>
      </c>
      <c r="C652" s="11">
        <v>-527.2975617241759</v>
      </c>
      <c r="D652" s="11">
        <v>1268.5546874999998</v>
      </c>
    </row>
    <row r="653" spans="1:4" x14ac:dyDescent="0.25">
      <c r="A653">
        <v>649</v>
      </c>
      <c r="B653" s="11">
        <v>49.72682103406403</v>
      </c>
      <c r="C653" s="11">
        <v>-454.59512344835196</v>
      </c>
      <c r="D653" s="11">
        <v>1268.5546874999998</v>
      </c>
    </row>
    <row r="654" spans="1:4" x14ac:dyDescent="0.25">
      <c r="A654">
        <v>650</v>
      </c>
      <c r="B654" s="11">
        <v>49.72682103406403</v>
      </c>
      <c r="C654" s="11">
        <v>-498.21658641384636</v>
      </c>
      <c r="D654" s="11">
        <v>1268.5546874999998</v>
      </c>
    </row>
    <row r="655" spans="1:4" x14ac:dyDescent="0.25">
      <c r="A655">
        <v>651</v>
      </c>
      <c r="B655" s="11">
        <v>93.34828399955843</v>
      </c>
      <c r="C655" s="11">
        <v>-498.21658641384636</v>
      </c>
      <c r="D655" s="11">
        <v>1268.5546874999998</v>
      </c>
    </row>
    <row r="656" spans="1:4" x14ac:dyDescent="0.25">
      <c r="A656">
        <v>652</v>
      </c>
      <c r="B656" s="11">
        <v>107.88877165472323</v>
      </c>
      <c r="C656" s="11">
        <v>-483.6760987586815</v>
      </c>
      <c r="D656" s="11">
        <v>1268.5546874999998</v>
      </c>
    </row>
    <row r="657" spans="1:4" x14ac:dyDescent="0.25">
      <c r="A657">
        <v>653</v>
      </c>
      <c r="B657" s="11">
        <v>107.88877165472323</v>
      </c>
      <c r="C657" s="11">
        <v>-440.0546357931872</v>
      </c>
      <c r="D657" s="11">
        <v>1268.5546874999998</v>
      </c>
    </row>
    <row r="658" spans="1:4" x14ac:dyDescent="0.25">
      <c r="A658">
        <v>654</v>
      </c>
      <c r="B658" s="11">
        <v>64.26730868922883</v>
      </c>
      <c r="C658" s="11">
        <v>-440.0546357931872</v>
      </c>
      <c r="D658" s="11">
        <v>1268.5546874999998</v>
      </c>
    </row>
    <row r="659" spans="1:4" x14ac:dyDescent="0.25">
      <c r="A659">
        <v>655</v>
      </c>
      <c r="B659" s="11">
        <v>49.72682103406403</v>
      </c>
      <c r="C659" s="11">
        <v>-367.35219751736315</v>
      </c>
      <c r="D659" s="11">
        <v>1268.5546874999998</v>
      </c>
    </row>
    <row r="660" spans="1:4" x14ac:dyDescent="0.25">
      <c r="A660">
        <v>656</v>
      </c>
      <c r="B660" s="11">
        <v>49.72682103406403</v>
      </c>
      <c r="C660" s="11">
        <v>-410.97366048285755</v>
      </c>
      <c r="D660" s="11">
        <v>1268.5546874999998</v>
      </c>
    </row>
    <row r="661" spans="1:4" x14ac:dyDescent="0.25">
      <c r="A661">
        <v>657</v>
      </c>
      <c r="B661" s="11">
        <v>93.34828399955843</v>
      </c>
      <c r="C661" s="11">
        <v>-410.97366048285755</v>
      </c>
      <c r="D661" s="11">
        <v>1268.5546874999998</v>
      </c>
    </row>
    <row r="662" spans="1:4" x14ac:dyDescent="0.25">
      <c r="A662">
        <v>658</v>
      </c>
      <c r="B662" s="11">
        <v>107.88877165472323</v>
      </c>
      <c r="C662" s="11">
        <v>-396.4331728276928</v>
      </c>
      <c r="D662" s="11">
        <v>1268.5546874999998</v>
      </c>
    </row>
    <row r="663" spans="1:4" x14ac:dyDescent="0.25">
      <c r="A663">
        <v>659</v>
      </c>
      <c r="B663" s="11">
        <v>107.88877165472323</v>
      </c>
      <c r="C663" s="11">
        <v>-352.81170986219837</v>
      </c>
      <c r="D663" s="11">
        <v>1268.5546874999998</v>
      </c>
    </row>
    <row r="664" spans="1:4" x14ac:dyDescent="0.25">
      <c r="A664">
        <v>660</v>
      </c>
      <c r="B664" s="11">
        <v>64.26730868922883</v>
      </c>
      <c r="C664" s="11">
        <v>-352.81170986219837</v>
      </c>
      <c r="D664" s="11">
        <v>1268.5546874999998</v>
      </c>
    </row>
    <row r="665" spans="1:4" x14ac:dyDescent="0.25">
      <c r="A665">
        <v>661</v>
      </c>
      <c r="B665" s="11">
        <v>49.72682103406403</v>
      </c>
      <c r="C665" s="11">
        <v>-280.10927158637435</v>
      </c>
      <c r="D665" s="11">
        <v>1268.5546874999998</v>
      </c>
    </row>
    <row r="666" spans="1:4" x14ac:dyDescent="0.25">
      <c r="A666">
        <v>662</v>
      </c>
      <c r="B666" s="11">
        <v>49.72682103406403</v>
      </c>
      <c r="C666" s="11">
        <v>-323.7307345518688</v>
      </c>
      <c r="D666" s="11">
        <v>1268.5546874999998</v>
      </c>
    </row>
    <row r="667" spans="1:4" x14ac:dyDescent="0.25">
      <c r="A667">
        <v>663</v>
      </c>
      <c r="B667" s="11">
        <v>93.34828399955843</v>
      </c>
      <c r="C667" s="11">
        <v>-323.73073455186875</v>
      </c>
      <c r="D667" s="11">
        <v>1268.5546874999998</v>
      </c>
    </row>
    <row r="668" spans="1:4" x14ac:dyDescent="0.25">
      <c r="A668">
        <v>664</v>
      </c>
      <c r="B668" s="11">
        <v>107.88877165472323</v>
      </c>
      <c r="C668" s="11">
        <v>-309.190246896704</v>
      </c>
      <c r="D668" s="11">
        <v>1268.5546874999998</v>
      </c>
    </row>
    <row r="669" spans="1:4" x14ac:dyDescent="0.25">
      <c r="A669">
        <v>665</v>
      </c>
      <c r="B669" s="11">
        <v>107.88877165472323</v>
      </c>
      <c r="C669" s="11">
        <v>-265.56878393120957</v>
      </c>
      <c r="D669" s="11">
        <v>1268.5546874999998</v>
      </c>
    </row>
    <row r="670" spans="1:4" x14ac:dyDescent="0.25">
      <c r="A670">
        <v>666</v>
      </c>
      <c r="B670" s="11">
        <v>64.26730868922883</v>
      </c>
      <c r="C670" s="11">
        <v>-265.56878393120957</v>
      </c>
      <c r="D670" s="11">
        <v>1268.5546874999998</v>
      </c>
    </row>
    <row r="671" spans="1:4" x14ac:dyDescent="0.25">
      <c r="A671">
        <v>667</v>
      </c>
      <c r="B671" s="11">
        <v>49.72682103406403</v>
      </c>
      <c r="C671" s="11">
        <v>-192.86634565538557</v>
      </c>
      <c r="D671" s="11">
        <v>1268.5546874999998</v>
      </c>
    </row>
    <row r="672" spans="1:4" x14ac:dyDescent="0.25">
      <c r="A672">
        <v>668</v>
      </c>
      <c r="B672" s="11">
        <v>49.72682103406403</v>
      </c>
      <c r="C672" s="11">
        <v>-236.48780862087997</v>
      </c>
      <c r="D672" s="11">
        <v>1268.5546874999998</v>
      </c>
    </row>
    <row r="673" spans="1:4" x14ac:dyDescent="0.25">
      <c r="A673">
        <v>669</v>
      </c>
      <c r="B673" s="11">
        <v>93.34828399955843</v>
      </c>
      <c r="C673" s="11">
        <v>-236.48780862087997</v>
      </c>
      <c r="D673" s="11">
        <v>1268.5546874999998</v>
      </c>
    </row>
    <row r="674" spans="1:4" x14ac:dyDescent="0.25">
      <c r="A674">
        <v>670</v>
      </c>
      <c r="B674" s="11">
        <v>107.88877165472323</v>
      </c>
      <c r="C674" s="11">
        <v>-221.9473209657152</v>
      </c>
      <c r="D674" s="11">
        <v>1268.5546874999998</v>
      </c>
    </row>
    <row r="675" spans="1:4" x14ac:dyDescent="0.25">
      <c r="A675">
        <v>671</v>
      </c>
      <c r="B675" s="11">
        <v>107.88877165472323</v>
      </c>
      <c r="C675" s="11">
        <v>-178.3258580002208</v>
      </c>
      <c r="D675" s="11">
        <v>1268.5546874999998</v>
      </c>
    </row>
    <row r="676" spans="1:4" x14ac:dyDescent="0.25">
      <c r="A676">
        <v>672</v>
      </c>
      <c r="B676" s="11">
        <v>64.26730868922883</v>
      </c>
      <c r="C676" s="11">
        <v>-178.32585800022076</v>
      </c>
      <c r="D676" s="11">
        <v>1268.5546874999998</v>
      </c>
    </row>
    <row r="677" spans="1:4" x14ac:dyDescent="0.25">
      <c r="A677">
        <v>673</v>
      </c>
      <c r="B677" s="11">
        <v>49.72682103406403</v>
      </c>
      <c r="C677" s="11">
        <v>-105.62341972439677</v>
      </c>
      <c r="D677" s="11">
        <v>1268.5546874999998</v>
      </c>
    </row>
    <row r="678" spans="1:4" x14ac:dyDescent="0.25">
      <c r="A678">
        <v>674</v>
      </c>
      <c r="B678" s="11">
        <v>49.72682103406403</v>
      </c>
      <c r="C678" s="11">
        <v>-149.24488268989117</v>
      </c>
      <c r="D678" s="11">
        <v>1268.5546874999998</v>
      </c>
    </row>
    <row r="679" spans="1:4" x14ac:dyDescent="0.25">
      <c r="A679">
        <v>675</v>
      </c>
      <c r="B679" s="11">
        <v>93.34828399955843</v>
      </c>
      <c r="C679" s="11">
        <v>-149.24488268989117</v>
      </c>
      <c r="D679" s="11">
        <v>1268.5546874999998</v>
      </c>
    </row>
    <row r="680" spans="1:4" x14ac:dyDescent="0.25">
      <c r="A680">
        <v>676</v>
      </c>
      <c r="B680" s="11">
        <v>107.88877165472323</v>
      </c>
      <c r="C680" s="11">
        <v>-134.70439503472636</v>
      </c>
      <c r="D680" s="11">
        <v>1268.5546874999998</v>
      </c>
    </row>
    <row r="681" spans="1:4" x14ac:dyDescent="0.25">
      <c r="A681">
        <v>677</v>
      </c>
      <c r="B681" s="11">
        <v>107.88877165472323</v>
      </c>
      <c r="C681" s="11">
        <v>-91.08293206923197</v>
      </c>
      <c r="D681" s="11">
        <v>1268.5546874999998</v>
      </c>
    </row>
    <row r="682" spans="1:4" x14ac:dyDescent="0.25">
      <c r="A682">
        <v>678</v>
      </c>
      <c r="B682" s="11">
        <v>64.26730868922883</v>
      </c>
      <c r="C682" s="11">
        <v>-91.08293206923197</v>
      </c>
      <c r="D682" s="11">
        <v>1268.5546874999998</v>
      </c>
    </row>
    <row r="683" spans="1:4" x14ac:dyDescent="0.25">
      <c r="A683">
        <v>679</v>
      </c>
      <c r="B683" s="11">
        <v>49.72682103406403</v>
      </c>
      <c r="C683" s="11">
        <v>-18.380493793407975</v>
      </c>
      <c r="D683" s="11">
        <v>1268.5546874999998</v>
      </c>
    </row>
    <row r="684" spans="1:4" x14ac:dyDescent="0.25">
      <c r="A684">
        <v>680</v>
      </c>
      <c r="B684" s="11">
        <v>49.72682103406403</v>
      </c>
      <c r="C684" s="11">
        <v>-62.001956758902374</v>
      </c>
      <c r="D684" s="11">
        <v>1268.5546874999998</v>
      </c>
    </row>
    <row r="685" spans="1:4" x14ac:dyDescent="0.25">
      <c r="A685">
        <v>681</v>
      </c>
      <c r="B685" s="11">
        <v>93.34828399955843</v>
      </c>
      <c r="C685" s="11">
        <v>-62.001956758902374</v>
      </c>
      <c r="D685" s="11">
        <v>1268.5546874999998</v>
      </c>
    </row>
    <row r="686" spans="1:4" x14ac:dyDescent="0.25">
      <c r="A686">
        <v>682</v>
      </c>
      <c r="B686" s="11">
        <v>107.88877165472323</v>
      </c>
      <c r="C686" s="11">
        <v>-47.46146910373757</v>
      </c>
      <c r="D686" s="11">
        <v>1268.5546874999998</v>
      </c>
    </row>
    <row r="687" spans="1:4" x14ac:dyDescent="0.25">
      <c r="A687">
        <v>683</v>
      </c>
      <c r="B687" s="11">
        <v>107.88877165472323</v>
      </c>
      <c r="C687" s="11">
        <v>-3.840006138243174</v>
      </c>
      <c r="D687" s="11">
        <v>1268.5546874999998</v>
      </c>
    </row>
    <row r="688" spans="1:4" x14ac:dyDescent="0.25">
      <c r="A688">
        <v>684</v>
      </c>
      <c r="B688" s="11">
        <v>64.26730868922883</v>
      </c>
      <c r="C688" s="11">
        <v>-3.840006138243173</v>
      </c>
      <c r="D688" s="11">
        <v>1268.5546874999998</v>
      </c>
    </row>
    <row r="689" spans="1:4" x14ac:dyDescent="0.25">
      <c r="A689">
        <v>685</v>
      </c>
      <c r="B689" s="11">
        <v>49.72682103406403</v>
      </c>
      <c r="C689" s="11">
        <v>68.86243213758081</v>
      </c>
      <c r="D689" s="11">
        <v>1268.5546874999998</v>
      </c>
    </row>
    <row r="690" spans="1:4" x14ac:dyDescent="0.25">
      <c r="A690">
        <v>686</v>
      </c>
      <c r="B690" s="11">
        <v>49.72682103406403</v>
      </c>
      <c r="C690" s="11">
        <v>25.240969172086423</v>
      </c>
      <c r="D690" s="11">
        <v>1268.5546874999998</v>
      </c>
    </row>
    <row r="691" spans="1:4" x14ac:dyDescent="0.25">
      <c r="A691">
        <v>687</v>
      </c>
      <c r="B691" s="11">
        <v>93.34828399955843</v>
      </c>
      <c r="C691" s="11">
        <v>25.240969172086423</v>
      </c>
      <c r="D691" s="11">
        <v>1268.5546874999998</v>
      </c>
    </row>
    <row r="692" spans="1:4" x14ac:dyDescent="0.25">
      <c r="A692">
        <v>688</v>
      </c>
      <c r="B692" s="11">
        <v>107.88877165472323</v>
      </c>
      <c r="C692" s="11">
        <v>39.78145682725122</v>
      </c>
      <c r="D692" s="11">
        <v>1268.5546874999998</v>
      </c>
    </row>
    <row r="693" spans="1:4" x14ac:dyDescent="0.25">
      <c r="A693">
        <v>689</v>
      </c>
      <c r="B693" s="11">
        <v>107.88877165472323</v>
      </c>
      <c r="C693" s="11">
        <v>83.40291979274562</v>
      </c>
      <c r="D693" s="11">
        <v>1268.5546874999998</v>
      </c>
    </row>
    <row r="694" spans="1:4" x14ac:dyDescent="0.25">
      <c r="A694">
        <v>690</v>
      </c>
      <c r="B694" s="11">
        <v>64.26730868922883</v>
      </c>
      <c r="C694" s="11">
        <v>83.40291979274562</v>
      </c>
      <c r="D694" s="11">
        <v>1268.5546874999998</v>
      </c>
    </row>
    <row r="695" spans="1:4" x14ac:dyDescent="0.25">
      <c r="A695">
        <v>691</v>
      </c>
      <c r="B695" s="11">
        <v>49.72682103406403</v>
      </c>
      <c r="C695" s="11">
        <v>156.10535806856961</v>
      </c>
      <c r="D695" s="11">
        <v>1268.5546874999998</v>
      </c>
    </row>
    <row r="696" spans="1:4" x14ac:dyDescent="0.25">
      <c r="A696">
        <v>692</v>
      </c>
      <c r="B696" s="11">
        <v>49.72682103406403</v>
      </c>
      <c r="C696" s="11">
        <v>112.48389510307521</v>
      </c>
      <c r="D696" s="11">
        <v>1268.5546874999998</v>
      </c>
    </row>
    <row r="697" spans="1:4" x14ac:dyDescent="0.25">
      <c r="A697">
        <v>693</v>
      </c>
      <c r="B697" s="11">
        <v>93.34828399955843</v>
      </c>
      <c r="C697" s="11">
        <v>112.48389510307521</v>
      </c>
      <c r="D697" s="11">
        <v>1268.5546874999998</v>
      </c>
    </row>
    <row r="698" spans="1:4" x14ac:dyDescent="0.25">
      <c r="A698">
        <v>694</v>
      </c>
      <c r="B698" s="11">
        <v>107.88877165472323</v>
      </c>
      <c r="C698" s="11">
        <v>127.02438275824002</v>
      </c>
      <c r="D698" s="11">
        <v>1268.5546874999998</v>
      </c>
    </row>
    <row r="699" spans="1:4" x14ac:dyDescent="0.25">
      <c r="A699">
        <v>695</v>
      </c>
      <c r="B699" s="11">
        <v>107.88877165472323</v>
      </c>
      <c r="C699" s="11">
        <v>170.64584572373442</v>
      </c>
      <c r="D699" s="11">
        <v>1268.5546874999998</v>
      </c>
    </row>
    <row r="700" spans="1:4" x14ac:dyDescent="0.25">
      <c r="A700">
        <v>696</v>
      </c>
      <c r="B700" s="11">
        <v>64.26730868922883</v>
      </c>
      <c r="C700" s="11">
        <v>170.64584572373442</v>
      </c>
      <c r="D700" s="11">
        <v>1268.5546874999998</v>
      </c>
    </row>
    <row r="701" spans="1:4" x14ac:dyDescent="0.25">
      <c r="A701">
        <v>697</v>
      </c>
      <c r="B701" s="11">
        <v>49.72682103406403</v>
      </c>
      <c r="C701" s="11">
        <v>243.34828399955842</v>
      </c>
      <c r="D701" s="11">
        <v>1268.5546874999998</v>
      </c>
    </row>
    <row r="702" spans="1:4" x14ac:dyDescent="0.25">
      <c r="A702">
        <v>698</v>
      </c>
      <c r="B702" s="11">
        <v>49.72682103406403</v>
      </c>
      <c r="C702" s="11">
        <v>199.72682103406402</v>
      </c>
      <c r="D702" s="11">
        <v>1268.5546874999998</v>
      </c>
    </row>
    <row r="703" spans="1:4" x14ac:dyDescent="0.25">
      <c r="A703">
        <v>699</v>
      </c>
      <c r="B703" s="11">
        <v>93.34828399955843</v>
      </c>
      <c r="C703" s="11">
        <v>199.72682103406402</v>
      </c>
      <c r="D703" s="11">
        <v>1268.5546874999998</v>
      </c>
    </row>
    <row r="704" spans="1:4" x14ac:dyDescent="0.25">
      <c r="A704">
        <v>700</v>
      </c>
      <c r="B704" s="11">
        <v>107.88877165472323</v>
      </c>
      <c r="C704" s="11">
        <v>214.2673086892288</v>
      </c>
      <c r="D704" s="11">
        <v>1268.5546874999998</v>
      </c>
    </row>
    <row r="705" spans="1:4" x14ac:dyDescent="0.25">
      <c r="A705">
        <v>701</v>
      </c>
      <c r="B705" s="11">
        <v>107.88877165472323</v>
      </c>
      <c r="C705" s="11">
        <v>257.8887716547232</v>
      </c>
      <c r="D705" s="11">
        <v>1268.5546874999998</v>
      </c>
    </row>
    <row r="706" spans="1:4" x14ac:dyDescent="0.25">
      <c r="A706">
        <v>702</v>
      </c>
      <c r="B706" s="11">
        <v>64.26730868922883</v>
      </c>
      <c r="C706" s="11">
        <v>257.8887716547232</v>
      </c>
      <c r="D706" s="11">
        <v>1268.5546874999998</v>
      </c>
    </row>
    <row r="707" spans="1:4" x14ac:dyDescent="0.25">
      <c r="A707">
        <v>703</v>
      </c>
      <c r="B707" s="11">
        <v>49.72682103406403</v>
      </c>
      <c r="C707" s="11">
        <v>330.5912099305472</v>
      </c>
      <c r="D707" s="11">
        <v>1268.5546874999998</v>
      </c>
    </row>
    <row r="708" spans="1:4" x14ac:dyDescent="0.25">
      <c r="A708">
        <v>704</v>
      </c>
      <c r="B708" s="11">
        <v>49.72682103406403</v>
      </c>
      <c r="C708" s="11">
        <v>286.9697469650528</v>
      </c>
      <c r="D708" s="11">
        <v>1268.5546874999998</v>
      </c>
    </row>
    <row r="709" spans="1:4" x14ac:dyDescent="0.25">
      <c r="A709">
        <v>705</v>
      </c>
      <c r="B709" s="11">
        <v>93.34828399955843</v>
      </c>
      <c r="C709" s="11">
        <v>286.9697469650528</v>
      </c>
      <c r="D709" s="11">
        <v>1268.5546874999998</v>
      </c>
    </row>
    <row r="710" spans="1:4" x14ac:dyDescent="0.25">
      <c r="A710">
        <v>706</v>
      </c>
      <c r="B710" s="11">
        <v>107.88877165472323</v>
      </c>
      <c r="C710" s="11">
        <v>301.5102346202176</v>
      </c>
      <c r="D710" s="11">
        <v>1268.5546874999998</v>
      </c>
    </row>
    <row r="711" spans="1:4" x14ac:dyDescent="0.25">
      <c r="A711">
        <v>707</v>
      </c>
      <c r="B711" s="11">
        <v>107.88877165472323</v>
      </c>
      <c r="C711" s="11">
        <v>345.13169758571206</v>
      </c>
      <c r="D711" s="11">
        <v>1268.5546874999998</v>
      </c>
    </row>
    <row r="712" spans="1:4" x14ac:dyDescent="0.25">
      <c r="A712">
        <v>708</v>
      </c>
      <c r="B712" s="11">
        <v>64.26730868922883</v>
      </c>
      <c r="C712" s="11">
        <v>345.131697585712</v>
      </c>
      <c r="D712" s="11">
        <v>1268.5546874999998</v>
      </c>
    </row>
    <row r="713" spans="1:4" x14ac:dyDescent="0.25">
      <c r="A713">
        <v>709</v>
      </c>
      <c r="B713" s="11">
        <v>49.72682103406403</v>
      </c>
      <c r="C713" s="11">
        <v>417.8341358615361</v>
      </c>
      <c r="D713" s="11">
        <v>1268.5546874999998</v>
      </c>
    </row>
    <row r="714" spans="1:4" x14ac:dyDescent="0.25">
      <c r="A714">
        <v>710</v>
      </c>
      <c r="B714" s="11">
        <v>49.72682103406403</v>
      </c>
      <c r="C714" s="11">
        <v>374.2126728960416</v>
      </c>
      <c r="D714" s="11">
        <v>1268.5546874999998</v>
      </c>
    </row>
    <row r="715" spans="1:4" x14ac:dyDescent="0.25">
      <c r="A715">
        <v>711</v>
      </c>
      <c r="B715" s="11">
        <v>93.34828399955843</v>
      </c>
      <c r="C715" s="11">
        <v>374.2126728960416</v>
      </c>
      <c r="D715" s="11">
        <v>1268.5546874999998</v>
      </c>
    </row>
    <row r="716" spans="1:4" x14ac:dyDescent="0.25">
      <c r="A716">
        <v>712</v>
      </c>
      <c r="B716" s="11">
        <v>107.88877165472323</v>
      </c>
      <c r="C716" s="11">
        <v>388.7531605512064</v>
      </c>
      <c r="D716" s="11">
        <v>1268.5546874999998</v>
      </c>
    </row>
    <row r="717" spans="1:4" x14ac:dyDescent="0.25">
      <c r="A717">
        <v>713</v>
      </c>
      <c r="B717" s="11">
        <v>107.88877165472323</v>
      </c>
      <c r="C717" s="11">
        <v>432.37462351670086</v>
      </c>
      <c r="D717" s="11">
        <v>1268.5546874999998</v>
      </c>
    </row>
    <row r="718" spans="1:4" x14ac:dyDescent="0.25">
      <c r="A718">
        <v>714</v>
      </c>
      <c r="B718" s="11">
        <v>64.26730868922883</v>
      </c>
      <c r="C718" s="11">
        <v>432.3746235167008</v>
      </c>
      <c r="D718" s="11">
        <v>1268.5546874999998</v>
      </c>
    </row>
    <row r="719" spans="1:4" x14ac:dyDescent="0.25">
      <c r="A719">
        <v>715</v>
      </c>
      <c r="B719" s="11">
        <v>49.72682103406403</v>
      </c>
      <c r="C719" s="11">
        <v>505.07706179252483</v>
      </c>
      <c r="D719" s="11">
        <v>1268.5546874999998</v>
      </c>
    </row>
    <row r="720" spans="1:4" x14ac:dyDescent="0.25">
      <c r="A720">
        <v>716</v>
      </c>
      <c r="B720" s="11">
        <v>49.72682103406403</v>
      </c>
      <c r="C720" s="11">
        <v>461.4555988270304</v>
      </c>
      <c r="D720" s="11">
        <v>1268.5546874999998</v>
      </c>
    </row>
    <row r="721" spans="1:4" x14ac:dyDescent="0.25">
      <c r="A721">
        <v>717</v>
      </c>
      <c r="B721" s="11">
        <v>93.34828399955843</v>
      </c>
      <c r="C721" s="11">
        <v>461.4555988270304</v>
      </c>
      <c r="D721" s="11">
        <v>1268.5546874999998</v>
      </c>
    </row>
    <row r="722" spans="1:4" x14ac:dyDescent="0.25">
      <c r="A722">
        <v>718</v>
      </c>
      <c r="B722" s="11">
        <v>107.88877165472323</v>
      </c>
      <c r="C722" s="11">
        <v>475.9960864821952</v>
      </c>
      <c r="D722" s="11">
        <v>1268.5546874999998</v>
      </c>
    </row>
    <row r="723" spans="1:4" x14ac:dyDescent="0.25">
      <c r="A723">
        <v>719</v>
      </c>
      <c r="B723" s="11">
        <v>107.88877165472323</v>
      </c>
      <c r="C723" s="11">
        <v>519.6175494476896</v>
      </c>
      <c r="D723" s="11">
        <v>1268.5546874999998</v>
      </c>
    </row>
    <row r="724" spans="1:4" x14ac:dyDescent="0.25">
      <c r="A724">
        <v>720</v>
      </c>
      <c r="B724" s="11">
        <v>64.26730868922883</v>
      </c>
      <c r="C724" s="11">
        <v>519.6175494476896</v>
      </c>
      <c r="D724" s="11">
        <v>1268.5546874999998</v>
      </c>
    </row>
    <row r="725" spans="1:4" x14ac:dyDescent="0.25">
      <c r="A725">
        <v>721</v>
      </c>
      <c r="B725" s="11">
        <v>49.72682103406403</v>
      </c>
      <c r="C725" s="11">
        <v>578.0526790342848</v>
      </c>
      <c r="D725" s="11">
        <v>957.3742486977636</v>
      </c>
    </row>
    <row r="726" spans="1:4" x14ac:dyDescent="0.25">
      <c r="A726">
        <v>722</v>
      </c>
      <c r="B726" s="11">
        <v>49.72682103406403</v>
      </c>
      <c r="C726" s="11">
        <v>545.131697585712</v>
      </c>
      <c r="D726" s="11">
        <v>957.3742486977636</v>
      </c>
    </row>
    <row r="727" spans="1:4" x14ac:dyDescent="0.25">
      <c r="A727">
        <v>723</v>
      </c>
      <c r="B727" s="11">
        <v>93.34828399955843</v>
      </c>
      <c r="C727" s="11">
        <v>545.131697585712</v>
      </c>
      <c r="D727" s="11">
        <v>957.3742486977636</v>
      </c>
    </row>
    <row r="728" spans="1:4" x14ac:dyDescent="0.25">
      <c r="A728">
        <v>724</v>
      </c>
      <c r="B728" s="11">
        <v>107.88877165472323</v>
      </c>
      <c r="C728" s="11">
        <v>556.1053580685696</v>
      </c>
      <c r="D728" s="11">
        <v>957.3742486977636</v>
      </c>
    </row>
    <row r="729" spans="1:4" x14ac:dyDescent="0.25">
      <c r="A729">
        <v>725</v>
      </c>
      <c r="B729" s="11">
        <v>107.88877165472323</v>
      </c>
      <c r="C729" s="11">
        <v>589.0263395171423</v>
      </c>
      <c r="D729" s="11">
        <v>957.3742486977636</v>
      </c>
    </row>
    <row r="730" spans="1:4" x14ac:dyDescent="0.25">
      <c r="A730">
        <v>726</v>
      </c>
      <c r="B730" s="11">
        <v>64.26730868922883</v>
      </c>
      <c r="C730" s="11">
        <v>589.0263395171423</v>
      </c>
      <c r="D730" s="11">
        <v>957.3742486977636</v>
      </c>
    </row>
    <row r="731" spans="1:4" x14ac:dyDescent="0.25">
      <c r="A731">
        <v>727</v>
      </c>
      <c r="B731" s="11">
        <v>136.96974696505282</v>
      </c>
      <c r="C731" s="11">
        <v>-541.8380493793408</v>
      </c>
      <c r="D731" s="11">
        <v>1268.5546874999998</v>
      </c>
    </row>
    <row r="732" spans="1:4" x14ac:dyDescent="0.25">
      <c r="A732">
        <v>728</v>
      </c>
      <c r="B732" s="11">
        <v>136.96974696505282</v>
      </c>
      <c r="C732" s="11">
        <v>-585.4595123448352</v>
      </c>
      <c r="D732" s="11">
        <v>1268.5546874999998</v>
      </c>
    </row>
    <row r="733" spans="1:4" x14ac:dyDescent="0.25">
      <c r="A733">
        <v>729</v>
      </c>
      <c r="B733" s="11">
        <v>180.59120993054722</v>
      </c>
      <c r="C733" s="11">
        <v>-585.4595123448352</v>
      </c>
      <c r="D733" s="11">
        <v>1268.5546874999998</v>
      </c>
    </row>
    <row r="734" spans="1:4" x14ac:dyDescent="0.25">
      <c r="A734">
        <v>730</v>
      </c>
      <c r="B734" s="11">
        <v>195.13169758571203</v>
      </c>
      <c r="C734" s="11">
        <v>-570.9190246896703</v>
      </c>
      <c r="D734" s="11">
        <v>1268.5546874999998</v>
      </c>
    </row>
    <row r="735" spans="1:4" x14ac:dyDescent="0.25">
      <c r="A735">
        <v>731</v>
      </c>
      <c r="B735" s="11">
        <v>195.13169758571203</v>
      </c>
      <c r="C735" s="11">
        <v>-527.2975617241759</v>
      </c>
      <c r="D735" s="11">
        <v>1268.5546874999998</v>
      </c>
    </row>
    <row r="736" spans="1:4" x14ac:dyDescent="0.25">
      <c r="A736">
        <v>732</v>
      </c>
      <c r="B736" s="11">
        <v>151.51023462021763</v>
      </c>
      <c r="C736" s="11">
        <v>-527.2975617241759</v>
      </c>
      <c r="D736" s="11">
        <v>1268.5546874999998</v>
      </c>
    </row>
    <row r="737" spans="1:4" x14ac:dyDescent="0.25">
      <c r="A737">
        <v>733</v>
      </c>
      <c r="B737" s="11">
        <v>136.96974696505282</v>
      </c>
      <c r="C737" s="11">
        <v>-454.59512344835196</v>
      </c>
      <c r="D737" s="11">
        <v>1268.5546874999998</v>
      </c>
    </row>
    <row r="738" spans="1:4" x14ac:dyDescent="0.25">
      <c r="A738">
        <v>734</v>
      </c>
      <c r="B738" s="11">
        <v>136.96974696505282</v>
      </c>
      <c r="C738" s="11">
        <v>-498.21658641384636</v>
      </c>
      <c r="D738" s="11">
        <v>1268.5546874999998</v>
      </c>
    </row>
    <row r="739" spans="1:4" x14ac:dyDescent="0.25">
      <c r="A739">
        <v>735</v>
      </c>
      <c r="B739" s="11">
        <v>180.59120993054722</v>
      </c>
      <c r="C739" s="11">
        <v>-498.21658641384636</v>
      </c>
      <c r="D739" s="11">
        <v>1268.5546874999998</v>
      </c>
    </row>
    <row r="740" spans="1:4" x14ac:dyDescent="0.25">
      <c r="A740">
        <v>736</v>
      </c>
      <c r="B740" s="11">
        <v>195.13169758571203</v>
      </c>
      <c r="C740" s="11">
        <v>-483.6760987586815</v>
      </c>
      <c r="D740" s="11">
        <v>1268.5546874999998</v>
      </c>
    </row>
    <row r="741" spans="1:4" x14ac:dyDescent="0.25">
      <c r="A741">
        <v>737</v>
      </c>
      <c r="B741" s="11">
        <v>195.13169758571203</v>
      </c>
      <c r="C741" s="11">
        <v>-440.0546357931872</v>
      </c>
      <c r="D741" s="11">
        <v>1268.5546874999998</v>
      </c>
    </row>
    <row r="742" spans="1:4" x14ac:dyDescent="0.25">
      <c r="A742">
        <v>738</v>
      </c>
      <c r="B742" s="11">
        <v>151.51023462021763</v>
      </c>
      <c r="C742" s="11">
        <v>-440.0546357931872</v>
      </c>
      <c r="D742" s="11">
        <v>1268.5546874999998</v>
      </c>
    </row>
    <row r="743" spans="1:4" x14ac:dyDescent="0.25">
      <c r="A743">
        <v>739</v>
      </c>
      <c r="B743" s="11">
        <v>136.96974696505282</v>
      </c>
      <c r="C743" s="11">
        <v>-367.35219751736315</v>
      </c>
      <c r="D743" s="11">
        <v>1268.5546874999998</v>
      </c>
    </row>
    <row r="744" spans="1:4" x14ac:dyDescent="0.25">
      <c r="A744">
        <v>740</v>
      </c>
      <c r="B744" s="11">
        <v>136.96974696505282</v>
      </c>
      <c r="C744" s="11">
        <v>-410.97366048285755</v>
      </c>
      <c r="D744" s="11">
        <v>1268.5546874999998</v>
      </c>
    </row>
    <row r="745" spans="1:4" x14ac:dyDescent="0.25">
      <c r="A745">
        <v>741</v>
      </c>
      <c r="B745" s="11">
        <v>180.59120993054722</v>
      </c>
      <c r="C745" s="11">
        <v>-410.97366048285755</v>
      </c>
      <c r="D745" s="11">
        <v>1268.5546874999998</v>
      </c>
    </row>
    <row r="746" spans="1:4" x14ac:dyDescent="0.25">
      <c r="A746">
        <v>742</v>
      </c>
      <c r="B746" s="11">
        <v>151.51023462021763</v>
      </c>
      <c r="C746" s="11">
        <v>-356.3785370345056</v>
      </c>
      <c r="D746" s="11">
        <v>957.3742486977638</v>
      </c>
    </row>
    <row r="747" spans="1:4" x14ac:dyDescent="0.25">
      <c r="A747">
        <v>743</v>
      </c>
      <c r="B747" s="11">
        <v>195.13169758571203</v>
      </c>
      <c r="C747" s="11">
        <v>-400</v>
      </c>
      <c r="D747" s="11">
        <v>957.3742486977638</v>
      </c>
    </row>
    <row r="748" spans="1:4" x14ac:dyDescent="0.25">
      <c r="A748">
        <v>744</v>
      </c>
      <c r="B748" s="11">
        <v>195.13169758571203</v>
      </c>
      <c r="C748" s="11">
        <v>-367.0790185514272</v>
      </c>
      <c r="D748" s="11">
        <v>957.3742486977638</v>
      </c>
    </row>
    <row r="749" spans="1:4" x14ac:dyDescent="0.25">
      <c r="A749">
        <v>745</v>
      </c>
      <c r="B749" s="11">
        <v>191.56487041340483</v>
      </c>
      <c r="C749" s="11">
        <v>-352.5385308962624</v>
      </c>
      <c r="D749" s="11">
        <v>234.84690233958182</v>
      </c>
    </row>
    <row r="750" spans="1:4" x14ac:dyDescent="0.25">
      <c r="A750">
        <v>746</v>
      </c>
      <c r="B750" s="11">
        <v>180.8643888964832</v>
      </c>
      <c r="C750" s="11">
        <v>-341.8380493793408</v>
      </c>
      <c r="D750" s="11">
        <v>234.84690233958182</v>
      </c>
    </row>
    <row r="751" spans="1:4" x14ac:dyDescent="0.25">
      <c r="A751">
        <v>747</v>
      </c>
      <c r="B751" s="11">
        <v>147.94340744791043</v>
      </c>
      <c r="C751" s="11">
        <v>-341.83804937934076</v>
      </c>
      <c r="D751" s="11">
        <v>234.84690233958182</v>
      </c>
    </row>
    <row r="752" spans="1:4" x14ac:dyDescent="0.25">
      <c r="A752">
        <v>748</v>
      </c>
      <c r="B752" s="11">
        <v>137.9980432410976</v>
      </c>
      <c r="C752" s="11">
        <v>-331.892685172528</v>
      </c>
      <c r="D752" s="11">
        <v>419.97539876398633</v>
      </c>
    </row>
    <row r="753" spans="1:4" x14ac:dyDescent="0.25">
      <c r="A753">
        <v>749</v>
      </c>
      <c r="B753" s="11">
        <v>170.9190246896704</v>
      </c>
      <c r="C753" s="11">
        <v>-331.892685172528</v>
      </c>
      <c r="D753" s="11">
        <v>419.97539876398633</v>
      </c>
    </row>
    <row r="754" spans="1:4" x14ac:dyDescent="0.25">
      <c r="A754">
        <v>750</v>
      </c>
      <c r="B754" s="11">
        <v>151.78341358615359</v>
      </c>
      <c r="C754" s="11">
        <v>-312.7570740690112</v>
      </c>
      <c r="D754" s="11">
        <v>419.97539876398633</v>
      </c>
    </row>
    <row r="755" spans="1:4" x14ac:dyDescent="0.25">
      <c r="A755">
        <v>751</v>
      </c>
      <c r="B755" s="11">
        <v>127.02438275824002</v>
      </c>
      <c r="C755" s="11">
        <v>-273.73073455186875</v>
      </c>
      <c r="D755" s="11">
        <v>400.89201464832286</v>
      </c>
    </row>
    <row r="756" spans="1:4" x14ac:dyDescent="0.25">
      <c r="A756">
        <v>752</v>
      </c>
      <c r="B756" s="11">
        <v>127.02438275824002</v>
      </c>
      <c r="C756" s="11">
        <v>-317.3521975173632</v>
      </c>
      <c r="D756" s="11">
        <v>400.89201464832286</v>
      </c>
    </row>
    <row r="757" spans="1:4" x14ac:dyDescent="0.25">
      <c r="A757">
        <v>753</v>
      </c>
      <c r="B757" s="11">
        <v>140.809753103296</v>
      </c>
      <c r="C757" s="11">
        <v>-298.21658641384636</v>
      </c>
      <c r="D757" s="11">
        <v>400.89201464832286</v>
      </c>
    </row>
    <row r="758" spans="1:4" x14ac:dyDescent="0.25">
      <c r="A758">
        <v>754</v>
      </c>
      <c r="B758" s="11">
        <v>145.40487655164802</v>
      </c>
      <c r="C758" s="11">
        <v>-283.6760987586816</v>
      </c>
      <c r="D758" s="11">
        <v>225.03102408769325</v>
      </c>
    </row>
    <row r="759" spans="1:4" x14ac:dyDescent="0.25">
      <c r="A759">
        <v>755</v>
      </c>
      <c r="B759" s="11">
        <v>145.40487655164802</v>
      </c>
      <c r="C759" s="11">
        <v>-259.19024689670397</v>
      </c>
      <c r="D759" s="11">
        <v>225.03102408769325</v>
      </c>
    </row>
    <row r="760" spans="1:4" x14ac:dyDescent="0.25">
      <c r="A760">
        <v>756</v>
      </c>
      <c r="B760" s="11">
        <v>131.619506206592</v>
      </c>
      <c r="C760" s="11">
        <v>-259.19024689670397</v>
      </c>
      <c r="D760" s="11">
        <v>225.03102408769325</v>
      </c>
    </row>
    <row r="761" spans="1:4" x14ac:dyDescent="0.25">
      <c r="A761">
        <v>757</v>
      </c>
      <c r="B761" s="11">
        <v>127.02438275824002</v>
      </c>
      <c r="C761" s="11">
        <v>-192.86634565538557</v>
      </c>
      <c r="D761" s="11">
        <v>400.89201464832286</v>
      </c>
    </row>
    <row r="762" spans="1:4" x14ac:dyDescent="0.25">
      <c r="A762">
        <v>758</v>
      </c>
      <c r="B762" s="11">
        <v>127.02438275824002</v>
      </c>
      <c r="C762" s="11">
        <v>-236.48780862087997</v>
      </c>
      <c r="D762" s="11">
        <v>400.89201464832286</v>
      </c>
    </row>
    <row r="763" spans="1:4" x14ac:dyDescent="0.25">
      <c r="A763">
        <v>759</v>
      </c>
      <c r="B763" s="11">
        <v>140.809753103296</v>
      </c>
      <c r="C763" s="11">
        <v>-236.48780862087997</v>
      </c>
      <c r="D763" s="11">
        <v>400.89201464832286</v>
      </c>
    </row>
    <row r="764" spans="1:4" x14ac:dyDescent="0.25">
      <c r="A764">
        <v>760</v>
      </c>
      <c r="B764" s="11">
        <v>145.40487655164802</v>
      </c>
      <c r="C764" s="11">
        <v>-221.9473209657152</v>
      </c>
      <c r="D764" s="11">
        <v>400.89201464832286</v>
      </c>
    </row>
    <row r="765" spans="1:4" x14ac:dyDescent="0.25">
      <c r="A765">
        <v>761</v>
      </c>
      <c r="B765" s="11">
        <v>145.40487655164802</v>
      </c>
      <c r="C765" s="11">
        <v>-178.3258580002208</v>
      </c>
      <c r="D765" s="11">
        <v>400.89201464832286</v>
      </c>
    </row>
    <row r="766" spans="1:4" x14ac:dyDescent="0.25">
      <c r="A766">
        <v>762</v>
      </c>
      <c r="B766" s="11">
        <v>131.619506206592</v>
      </c>
      <c r="C766" s="11">
        <v>-178.32585800022076</v>
      </c>
      <c r="D766" s="11">
        <v>400.89201464832286</v>
      </c>
    </row>
    <row r="767" spans="1:4" x14ac:dyDescent="0.25">
      <c r="A767">
        <v>763</v>
      </c>
      <c r="B767" s="11">
        <v>127.02438275824002</v>
      </c>
      <c r="C767" s="11">
        <v>-105.62341972439677</v>
      </c>
      <c r="D767" s="11">
        <v>400.89201464832286</v>
      </c>
    </row>
    <row r="768" spans="1:4" x14ac:dyDescent="0.25">
      <c r="A768">
        <v>764</v>
      </c>
      <c r="B768" s="11">
        <v>127.02438275824002</v>
      </c>
      <c r="C768" s="11">
        <v>-149.24488268989117</v>
      </c>
      <c r="D768" s="11">
        <v>400.89201464832286</v>
      </c>
    </row>
    <row r="769" spans="1:4" x14ac:dyDescent="0.25">
      <c r="A769">
        <v>765</v>
      </c>
      <c r="B769" s="11">
        <v>140.809753103296</v>
      </c>
      <c r="C769" s="11">
        <v>-149.24488268989117</v>
      </c>
      <c r="D769" s="11">
        <v>400.89201464832286</v>
      </c>
    </row>
    <row r="770" spans="1:4" x14ac:dyDescent="0.25">
      <c r="A770">
        <v>766</v>
      </c>
      <c r="B770" s="11">
        <v>145.40487655164802</v>
      </c>
      <c r="C770" s="11">
        <v>-134.70439503472636</v>
      </c>
      <c r="D770" s="11">
        <v>400.89201464832286</v>
      </c>
    </row>
    <row r="771" spans="1:4" x14ac:dyDescent="0.25">
      <c r="A771">
        <v>767</v>
      </c>
      <c r="B771" s="11">
        <v>145.40487655164802</v>
      </c>
      <c r="C771" s="11">
        <v>-91.08293206923197</v>
      </c>
      <c r="D771" s="11">
        <v>400.89201464832286</v>
      </c>
    </row>
    <row r="772" spans="1:4" x14ac:dyDescent="0.25">
      <c r="A772">
        <v>768</v>
      </c>
      <c r="B772" s="11">
        <v>131.619506206592</v>
      </c>
      <c r="C772" s="11">
        <v>-91.08293206923197</v>
      </c>
      <c r="D772" s="11">
        <v>400.89201464832286</v>
      </c>
    </row>
    <row r="773" spans="1:4" x14ac:dyDescent="0.25">
      <c r="A773">
        <v>769</v>
      </c>
      <c r="B773" s="11">
        <v>127.02438275824002</v>
      </c>
      <c r="C773" s="11">
        <v>-18.380493793407975</v>
      </c>
      <c r="D773" s="11">
        <v>400.89201464832286</v>
      </c>
    </row>
    <row r="774" spans="1:4" x14ac:dyDescent="0.25">
      <c r="A774">
        <v>770</v>
      </c>
      <c r="B774" s="11">
        <v>127.02438275824002</v>
      </c>
      <c r="C774" s="11">
        <v>-62.001956758902374</v>
      </c>
      <c r="D774" s="11">
        <v>400.89201464832286</v>
      </c>
    </row>
    <row r="775" spans="1:4" x14ac:dyDescent="0.25">
      <c r="A775">
        <v>771</v>
      </c>
      <c r="B775" s="11">
        <v>140.809753103296</v>
      </c>
      <c r="C775" s="11">
        <v>-62.001956758902374</v>
      </c>
      <c r="D775" s="11">
        <v>400.89201464832286</v>
      </c>
    </row>
    <row r="776" spans="1:4" x14ac:dyDescent="0.25">
      <c r="A776">
        <v>772</v>
      </c>
      <c r="B776" s="11">
        <v>145.40487655164802</v>
      </c>
      <c r="C776" s="11">
        <v>-47.46146910373757</v>
      </c>
      <c r="D776" s="11">
        <v>400.89201464832286</v>
      </c>
    </row>
    <row r="777" spans="1:4" x14ac:dyDescent="0.25">
      <c r="A777">
        <v>773</v>
      </c>
      <c r="B777" s="11">
        <v>145.40487655164802</v>
      </c>
      <c r="C777" s="11">
        <v>-3.840006138243174</v>
      </c>
      <c r="D777" s="11">
        <v>400.89201464832286</v>
      </c>
    </row>
    <row r="778" spans="1:4" x14ac:dyDescent="0.25">
      <c r="A778">
        <v>774</v>
      </c>
      <c r="B778" s="11">
        <v>131.619506206592</v>
      </c>
      <c r="C778" s="11">
        <v>-3.840006138243173</v>
      </c>
      <c r="D778" s="11">
        <v>400.89201464832286</v>
      </c>
    </row>
    <row r="779" spans="1:4" x14ac:dyDescent="0.25">
      <c r="A779">
        <v>775</v>
      </c>
      <c r="B779" s="11">
        <v>127.02438275824002</v>
      </c>
      <c r="C779" s="11">
        <v>68.86243213758081</v>
      </c>
      <c r="D779" s="11">
        <v>400.89201464832286</v>
      </c>
    </row>
    <row r="780" spans="1:4" x14ac:dyDescent="0.25">
      <c r="A780">
        <v>776</v>
      </c>
      <c r="B780" s="11">
        <v>127.02438275824002</v>
      </c>
      <c r="C780" s="11">
        <v>25.240969172086423</v>
      </c>
      <c r="D780" s="11">
        <v>400.89201464832286</v>
      </c>
    </row>
    <row r="781" spans="1:4" x14ac:dyDescent="0.25">
      <c r="A781">
        <v>777</v>
      </c>
      <c r="B781" s="11">
        <v>140.809753103296</v>
      </c>
      <c r="C781" s="11">
        <v>25.240969172086423</v>
      </c>
      <c r="D781" s="11">
        <v>400.89201464832286</v>
      </c>
    </row>
    <row r="782" spans="1:4" x14ac:dyDescent="0.25">
      <c r="A782">
        <v>778</v>
      </c>
      <c r="B782" s="11">
        <v>145.40487655164802</v>
      </c>
      <c r="C782" s="11">
        <v>39.78145682725122</v>
      </c>
      <c r="D782" s="11">
        <v>400.89201464832286</v>
      </c>
    </row>
    <row r="783" spans="1:4" x14ac:dyDescent="0.25">
      <c r="A783">
        <v>779</v>
      </c>
      <c r="B783" s="11">
        <v>145.40487655164802</v>
      </c>
      <c r="C783" s="11">
        <v>83.40291979274562</v>
      </c>
      <c r="D783" s="11">
        <v>400.89201464832286</v>
      </c>
    </row>
    <row r="784" spans="1:4" x14ac:dyDescent="0.25">
      <c r="A784">
        <v>780</v>
      </c>
      <c r="B784" s="11">
        <v>131.619506206592</v>
      </c>
      <c r="C784" s="11">
        <v>83.40291979274562</v>
      </c>
      <c r="D784" s="11">
        <v>400.89201464832286</v>
      </c>
    </row>
    <row r="785" spans="1:4" x14ac:dyDescent="0.25">
      <c r="A785">
        <v>781</v>
      </c>
      <c r="B785" s="11">
        <v>127.02438275824002</v>
      </c>
      <c r="C785" s="11">
        <v>156.10535806856961</v>
      </c>
      <c r="D785" s="11">
        <v>400.89201464832286</v>
      </c>
    </row>
    <row r="786" spans="1:4" x14ac:dyDescent="0.25">
      <c r="A786">
        <v>782</v>
      </c>
      <c r="B786" s="11">
        <v>127.02438275824002</v>
      </c>
      <c r="C786" s="11">
        <v>112.48389510307521</v>
      </c>
      <c r="D786" s="11">
        <v>400.89201464832286</v>
      </c>
    </row>
    <row r="787" spans="1:4" x14ac:dyDescent="0.25">
      <c r="A787">
        <v>783</v>
      </c>
      <c r="B787" s="11">
        <v>140.809753103296</v>
      </c>
      <c r="C787" s="11">
        <v>112.48389510307521</v>
      </c>
      <c r="D787" s="11">
        <v>400.89201464832286</v>
      </c>
    </row>
    <row r="788" spans="1:4" x14ac:dyDescent="0.25">
      <c r="A788">
        <v>784</v>
      </c>
      <c r="B788" s="11">
        <v>145.40487655164802</v>
      </c>
      <c r="C788" s="11">
        <v>127.02438275824002</v>
      </c>
      <c r="D788" s="11">
        <v>400.89201464832286</v>
      </c>
    </row>
    <row r="789" spans="1:4" x14ac:dyDescent="0.25">
      <c r="A789">
        <v>785</v>
      </c>
      <c r="B789" s="11">
        <v>145.40487655164802</v>
      </c>
      <c r="C789" s="11">
        <v>170.64584572373442</v>
      </c>
      <c r="D789" s="11">
        <v>400.89201464832286</v>
      </c>
    </row>
    <row r="790" spans="1:4" x14ac:dyDescent="0.25">
      <c r="A790">
        <v>786</v>
      </c>
      <c r="B790" s="11">
        <v>131.619506206592</v>
      </c>
      <c r="C790" s="11">
        <v>170.64584572373442</v>
      </c>
      <c r="D790" s="11">
        <v>400.89201464832286</v>
      </c>
    </row>
    <row r="791" spans="1:4" x14ac:dyDescent="0.25">
      <c r="A791">
        <v>787</v>
      </c>
      <c r="B791" s="11">
        <v>127.02438275824002</v>
      </c>
      <c r="C791" s="11">
        <v>243.34828399955842</v>
      </c>
      <c r="D791" s="11">
        <v>400.89201464832286</v>
      </c>
    </row>
    <row r="792" spans="1:4" x14ac:dyDescent="0.25">
      <c r="A792">
        <v>788</v>
      </c>
      <c r="B792" s="11">
        <v>127.02438275824002</v>
      </c>
      <c r="C792" s="11">
        <v>199.72682103406402</v>
      </c>
      <c r="D792" s="11">
        <v>400.89201464832286</v>
      </c>
    </row>
    <row r="793" spans="1:4" x14ac:dyDescent="0.25">
      <c r="A793">
        <v>789</v>
      </c>
      <c r="B793" s="11">
        <v>140.809753103296</v>
      </c>
      <c r="C793" s="11">
        <v>199.72682103406402</v>
      </c>
      <c r="D793" s="11">
        <v>400.89201464832286</v>
      </c>
    </row>
    <row r="794" spans="1:4" x14ac:dyDescent="0.25">
      <c r="A794">
        <v>790</v>
      </c>
      <c r="B794" s="11">
        <v>145.40487655164802</v>
      </c>
      <c r="C794" s="11">
        <v>214.2673086892288</v>
      </c>
      <c r="D794" s="11">
        <v>400.89201464832286</v>
      </c>
    </row>
    <row r="795" spans="1:4" x14ac:dyDescent="0.25">
      <c r="A795">
        <v>791</v>
      </c>
      <c r="B795" s="11">
        <v>145.40487655164802</v>
      </c>
      <c r="C795" s="11">
        <v>257.8887716547232</v>
      </c>
      <c r="D795" s="11">
        <v>400.89201464832286</v>
      </c>
    </row>
    <row r="796" spans="1:4" x14ac:dyDescent="0.25">
      <c r="A796">
        <v>792</v>
      </c>
      <c r="B796" s="11">
        <v>131.619506206592</v>
      </c>
      <c r="C796" s="11">
        <v>257.8887716547232</v>
      </c>
      <c r="D796" s="11">
        <v>400.89201464832286</v>
      </c>
    </row>
    <row r="797" spans="1:4" x14ac:dyDescent="0.25">
      <c r="A797">
        <v>793</v>
      </c>
      <c r="B797" s="11">
        <v>127.02438275824002</v>
      </c>
      <c r="C797" s="11">
        <v>330.5912099305472</v>
      </c>
      <c r="D797" s="11">
        <v>400.89201464832286</v>
      </c>
    </row>
    <row r="798" spans="1:4" x14ac:dyDescent="0.25">
      <c r="A798">
        <v>794</v>
      </c>
      <c r="B798" s="11">
        <v>127.02438275824002</v>
      </c>
      <c r="C798" s="11">
        <v>286.9697469650528</v>
      </c>
      <c r="D798" s="11">
        <v>400.89201464832286</v>
      </c>
    </row>
    <row r="799" spans="1:4" x14ac:dyDescent="0.25">
      <c r="A799">
        <v>795</v>
      </c>
      <c r="B799" s="11">
        <v>140.809753103296</v>
      </c>
      <c r="C799" s="11">
        <v>286.9697469650528</v>
      </c>
      <c r="D799" s="11">
        <v>400.89201464832286</v>
      </c>
    </row>
    <row r="800" spans="1:4" x14ac:dyDescent="0.25">
      <c r="A800">
        <v>796</v>
      </c>
      <c r="B800" s="11">
        <v>131.619506206592</v>
      </c>
      <c r="C800" s="11">
        <v>335.18633337889923</v>
      </c>
      <c r="D800" s="11">
        <v>126.69095703356591</v>
      </c>
    </row>
    <row r="801" spans="1:4" x14ac:dyDescent="0.25">
      <c r="A801">
        <v>797</v>
      </c>
      <c r="B801" s="11">
        <v>145.404876551648</v>
      </c>
      <c r="C801" s="11">
        <v>291.56487041340483</v>
      </c>
      <c r="D801" s="11">
        <v>126.69095703356591</v>
      </c>
    </row>
    <row r="802" spans="1:4" x14ac:dyDescent="0.25">
      <c r="A802">
        <v>798</v>
      </c>
      <c r="B802" s="11">
        <v>145.404876551648</v>
      </c>
      <c r="C802" s="11">
        <v>305.3502407584608</v>
      </c>
      <c r="D802" s="11">
        <v>126.69095703356591</v>
      </c>
    </row>
    <row r="803" spans="1:4" x14ac:dyDescent="0.25">
      <c r="A803">
        <v>799</v>
      </c>
      <c r="B803" s="11">
        <v>155.3502407584608</v>
      </c>
      <c r="C803" s="11">
        <v>319.89072841362565</v>
      </c>
      <c r="D803" s="11">
        <v>867.662672851677</v>
      </c>
    </row>
    <row r="804" spans="1:4" x14ac:dyDescent="0.25">
      <c r="A804">
        <v>800</v>
      </c>
      <c r="B804" s="11">
        <v>185.18633337889923</v>
      </c>
      <c r="C804" s="11">
        <v>349.726821034064</v>
      </c>
      <c r="D804" s="11">
        <v>867.662672851677</v>
      </c>
    </row>
    <row r="805" spans="1:4" x14ac:dyDescent="0.25">
      <c r="A805">
        <v>801</v>
      </c>
      <c r="B805" s="11">
        <v>141.56487041340483</v>
      </c>
      <c r="C805" s="11">
        <v>349.726821034064</v>
      </c>
      <c r="D805" s="11">
        <v>867.662672851677</v>
      </c>
    </row>
    <row r="806" spans="1:4" x14ac:dyDescent="0.25">
      <c r="A806">
        <v>802</v>
      </c>
      <c r="B806" s="11">
        <v>136.96974696505282</v>
      </c>
      <c r="C806" s="11">
        <v>417.8341358615361</v>
      </c>
      <c r="D806" s="11">
        <v>1268.5546874999998</v>
      </c>
    </row>
    <row r="807" spans="1:4" x14ac:dyDescent="0.25">
      <c r="A807">
        <v>803</v>
      </c>
      <c r="B807" s="11">
        <v>136.96974696505282</v>
      </c>
      <c r="C807" s="11">
        <v>374.2126728960416</v>
      </c>
      <c r="D807" s="11">
        <v>1268.5546874999998</v>
      </c>
    </row>
    <row r="808" spans="1:4" x14ac:dyDescent="0.25">
      <c r="A808">
        <v>804</v>
      </c>
      <c r="B808" s="11">
        <v>180.59120993054722</v>
      </c>
      <c r="C808" s="11">
        <v>374.2126728960416</v>
      </c>
      <c r="D808" s="11">
        <v>1268.5546874999998</v>
      </c>
    </row>
    <row r="809" spans="1:4" x14ac:dyDescent="0.25">
      <c r="A809">
        <v>805</v>
      </c>
      <c r="B809" s="11">
        <v>195.13169758571203</v>
      </c>
      <c r="C809" s="11">
        <v>388.7531605512064</v>
      </c>
      <c r="D809" s="11">
        <v>1268.5546874999998</v>
      </c>
    </row>
    <row r="810" spans="1:4" x14ac:dyDescent="0.25">
      <c r="A810">
        <v>806</v>
      </c>
      <c r="B810" s="11">
        <v>195.13169758571203</v>
      </c>
      <c r="C810" s="11">
        <v>432.37462351670086</v>
      </c>
      <c r="D810" s="11">
        <v>1268.5546874999998</v>
      </c>
    </row>
    <row r="811" spans="1:4" x14ac:dyDescent="0.25">
      <c r="A811">
        <v>807</v>
      </c>
      <c r="B811" s="11">
        <v>151.51023462021763</v>
      </c>
      <c r="C811" s="11">
        <v>432.3746235167008</v>
      </c>
      <c r="D811" s="11">
        <v>1268.5546874999998</v>
      </c>
    </row>
    <row r="812" spans="1:4" x14ac:dyDescent="0.25">
      <c r="A812">
        <v>808</v>
      </c>
      <c r="B812" s="11">
        <v>136.96974696505282</v>
      </c>
      <c r="C812" s="11">
        <v>505.07706179252483</v>
      </c>
      <c r="D812" s="11">
        <v>1268.5546874999998</v>
      </c>
    </row>
    <row r="813" spans="1:4" x14ac:dyDescent="0.25">
      <c r="A813">
        <v>809</v>
      </c>
      <c r="B813" s="11">
        <v>136.96974696505282</v>
      </c>
      <c r="C813" s="11">
        <v>461.4555988270304</v>
      </c>
      <c r="D813" s="11">
        <v>1268.5546874999998</v>
      </c>
    </row>
    <row r="814" spans="1:4" x14ac:dyDescent="0.25">
      <c r="A814">
        <v>810</v>
      </c>
      <c r="B814" s="11">
        <v>180.59120993054722</v>
      </c>
      <c r="C814" s="11">
        <v>461.4555988270304</v>
      </c>
      <c r="D814" s="11">
        <v>1268.5546874999998</v>
      </c>
    </row>
    <row r="815" spans="1:4" x14ac:dyDescent="0.25">
      <c r="A815">
        <v>811</v>
      </c>
      <c r="B815" s="11">
        <v>195.13169758571203</v>
      </c>
      <c r="C815" s="11">
        <v>475.9960864821952</v>
      </c>
      <c r="D815" s="11">
        <v>1268.5546874999998</v>
      </c>
    </row>
    <row r="816" spans="1:4" x14ac:dyDescent="0.25">
      <c r="A816">
        <v>812</v>
      </c>
      <c r="B816" s="11">
        <v>195.13169758571203</v>
      </c>
      <c r="C816" s="11">
        <v>519.6175494476896</v>
      </c>
      <c r="D816" s="11">
        <v>1268.5546874999998</v>
      </c>
    </row>
    <row r="817" spans="1:4" x14ac:dyDescent="0.25">
      <c r="A817">
        <v>813</v>
      </c>
      <c r="B817" s="11">
        <v>151.51023462021763</v>
      </c>
      <c r="C817" s="11">
        <v>519.6175494476896</v>
      </c>
      <c r="D817" s="11">
        <v>1268.5546874999998</v>
      </c>
    </row>
    <row r="818" spans="1:4" x14ac:dyDescent="0.25">
      <c r="A818">
        <v>814</v>
      </c>
      <c r="B818" s="11">
        <v>136.96974696505282</v>
      </c>
      <c r="C818" s="11">
        <v>578.0526790342848</v>
      </c>
      <c r="D818" s="11">
        <v>957.3742486977636</v>
      </c>
    </row>
    <row r="819" spans="1:4" x14ac:dyDescent="0.25">
      <c r="A819">
        <v>815</v>
      </c>
      <c r="B819" s="11">
        <v>136.96974696505282</v>
      </c>
      <c r="C819" s="11">
        <v>545.131697585712</v>
      </c>
      <c r="D819" s="11">
        <v>957.3742486977636</v>
      </c>
    </row>
    <row r="820" spans="1:4" x14ac:dyDescent="0.25">
      <c r="A820">
        <v>816</v>
      </c>
      <c r="B820" s="11">
        <v>180.59120993054722</v>
      </c>
      <c r="C820" s="11">
        <v>545.131697585712</v>
      </c>
      <c r="D820" s="11">
        <v>957.3742486977636</v>
      </c>
    </row>
    <row r="821" spans="1:4" x14ac:dyDescent="0.25">
      <c r="A821">
        <v>817</v>
      </c>
      <c r="B821" s="11">
        <v>195.13169758571203</v>
      </c>
      <c r="C821" s="11">
        <v>556.1053580685696</v>
      </c>
      <c r="D821" s="11">
        <v>957.3742486977636</v>
      </c>
    </row>
    <row r="822" spans="1:4" x14ac:dyDescent="0.25">
      <c r="A822">
        <v>818</v>
      </c>
      <c r="B822" s="11">
        <v>195.13169758571203</v>
      </c>
      <c r="C822" s="11">
        <v>589.0263395171423</v>
      </c>
      <c r="D822" s="11">
        <v>957.3742486977636</v>
      </c>
    </row>
    <row r="823" spans="1:4" x14ac:dyDescent="0.25">
      <c r="A823">
        <v>819</v>
      </c>
      <c r="B823" s="11">
        <v>151.51023462021763</v>
      </c>
      <c r="C823" s="11">
        <v>589.0263395171423</v>
      </c>
      <c r="D823" s="11">
        <v>957.3742486977636</v>
      </c>
    </row>
    <row r="824" spans="1:4" x14ac:dyDescent="0.25">
      <c r="A824">
        <v>820</v>
      </c>
      <c r="B824" s="11">
        <v>224.21267289604162</v>
      </c>
      <c r="C824" s="11">
        <v>-541.8380493793408</v>
      </c>
      <c r="D824" s="11">
        <v>1268.5546874999998</v>
      </c>
    </row>
    <row r="825" spans="1:4" x14ac:dyDescent="0.25">
      <c r="A825">
        <v>821</v>
      </c>
      <c r="B825" s="11">
        <v>224.21267289604162</v>
      </c>
      <c r="C825" s="11">
        <v>-585.4595123448352</v>
      </c>
      <c r="D825" s="11">
        <v>1268.5546874999998</v>
      </c>
    </row>
    <row r="826" spans="1:4" x14ac:dyDescent="0.25">
      <c r="A826">
        <v>822</v>
      </c>
      <c r="B826" s="11">
        <v>267.834135861536</v>
      </c>
      <c r="C826" s="11">
        <v>-585.4595123448352</v>
      </c>
      <c r="D826" s="11">
        <v>1268.5546874999998</v>
      </c>
    </row>
    <row r="827" spans="1:4" x14ac:dyDescent="0.25">
      <c r="A827">
        <v>823</v>
      </c>
      <c r="B827" s="11">
        <v>282.37462351670086</v>
      </c>
      <c r="C827" s="11">
        <v>-570.9190246896703</v>
      </c>
      <c r="D827" s="11">
        <v>1268.5546874999998</v>
      </c>
    </row>
    <row r="828" spans="1:4" x14ac:dyDescent="0.25">
      <c r="A828">
        <v>824</v>
      </c>
      <c r="B828" s="11">
        <v>282.37462351670086</v>
      </c>
      <c r="C828" s="11">
        <v>-527.2975617241759</v>
      </c>
      <c r="D828" s="11">
        <v>1268.5546874999998</v>
      </c>
    </row>
    <row r="829" spans="1:4" x14ac:dyDescent="0.25">
      <c r="A829">
        <v>825</v>
      </c>
      <c r="B829" s="11">
        <v>238.75316055120643</v>
      </c>
      <c r="C829" s="11">
        <v>-527.2975617241759</v>
      </c>
      <c r="D829" s="11">
        <v>1268.5546874999998</v>
      </c>
    </row>
    <row r="830" spans="1:4" x14ac:dyDescent="0.25">
      <c r="A830">
        <v>826</v>
      </c>
      <c r="B830" s="11">
        <v>224.21267289604162</v>
      </c>
      <c r="C830" s="11">
        <v>-454.59512344835196</v>
      </c>
      <c r="D830" s="11">
        <v>1268.5546874999998</v>
      </c>
    </row>
    <row r="831" spans="1:4" x14ac:dyDescent="0.25">
      <c r="A831">
        <v>827</v>
      </c>
      <c r="B831" s="11">
        <v>224.21267289604162</v>
      </c>
      <c r="C831" s="11">
        <v>-498.21658641384636</v>
      </c>
      <c r="D831" s="11">
        <v>1268.5546874999998</v>
      </c>
    </row>
    <row r="832" spans="1:4" x14ac:dyDescent="0.25">
      <c r="A832">
        <v>828</v>
      </c>
      <c r="B832" s="11">
        <v>267.834135861536</v>
      </c>
      <c r="C832" s="11">
        <v>-498.21658641384636</v>
      </c>
      <c r="D832" s="11">
        <v>1268.5546874999998</v>
      </c>
    </row>
    <row r="833" spans="1:4" x14ac:dyDescent="0.25">
      <c r="A833">
        <v>829</v>
      </c>
      <c r="B833" s="11">
        <v>282.37462351670086</v>
      </c>
      <c r="C833" s="11">
        <v>-483.6760987586815</v>
      </c>
      <c r="D833" s="11">
        <v>1268.5546874999998</v>
      </c>
    </row>
    <row r="834" spans="1:4" x14ac:dyDescent="0.25">
      <c r="A834">
        <v>830</v>
      </c>
      <c r="B834" s="11">
        <v>282.37462351670086</v>
      </c>
      <c r="C834" s="11">
        <v>-440.0546357931872</v>
      </c>
      <c r="D834" s="11">
        <v>1268.5546874999998</v>
      </c>
    </row>
    <row r="835" spans="1:4" x14ac:dyDescent="0.25">
      <c r="A835">
        <v>831</v>
      </c>
      <c r="B835" s="11">
        <v>238.75316055120643</v>
      </c>
      <c r="C835" s="11">
        <v>-440.0546357931872</v>
      </c>
      <c r="D835" s="11">
        <v>1268.5546874999998</v>
      </c>
    </row>
    <row r="836" spans="1:4" x14ac:dyDescent="0.25">
      <c r="A836">
        <v>832</v>
      </c>
      <c r="B836" s="11">
        <v>238.75316055120643</v>
      </c>
      <c r="C836" s="11">
        <v>-421.2617901150186</v>
      </c>
      <c r="D836" s="11">
        <v>370.9881560329606</v>
      </c>
    </row>
    <row r="837" spans="1:4" x14ac:dyDescent="0.25">
      <c r="A837">
        <v>833</v>
      </c>
      <c r="B837" s="11">
        <v>282.3746235167008</v>
      </c>
      <c r="C837" s="11">
        <v>-421.2617901150186</v>
      </c>
      <c r="D837" s="11">
        <v>370.9881560329606</v>
      </c>
    </row>
    <row r="838" spans="1:4" x14ac:dyDescent="0.25">
      <c r="A838">
        <v>834</v>
      </c>
      <c r="B838" s="11">
        <v>282.3746235167008</v>
      </c>
      <c r="C838" s="11">
        <v>-408.5047160460074</v>
      </c>
      <c r="D838" s="11">
        <v>370.9881560329606</v>
      </c>
    </row>
    <row r="839" spans="1:4" x14ac:dyDescent="0.25">
      <c r="A839">
        <v>835</v>
      </c>
      <c r="B839" s="11">
        <v>230.93397535589548</v>
      </c>
      <c r="C839" s="11">
        <v>-417.0094320920149</v>
      </c>
      <c r="D839" s="11">
        <v>199.4998493917949</v>
      </c>
    </row>
    <row r="840" spans="1:4" x14ac:dyDescent="0.25">
      <c r="A840">
        <v>836</v>
      </c>
      <c r="B840" s="11">
        <v>274.5554383213899</v>
      </c>
      <c r="C840" s="11">
        <v>-404.2523580230037</v>
      </c>
      <c r="D840" s="11">
        <v>199.4998493917949</v>
      </c>
    </row>
    <row r="841" spans="1:4" x14ac:dyDescent="0.25">
      <c r="A841">
        <v>837</v>
      </c>
      <c r="B841" s="11">
        <v>251.09788273545706</v>
      </c>
      <c r="C841" s="11">
        <v>-404.2523580230037</v>
      </c>
      <c r="D841" s="11">
        <v>199.4998493917949</v>
      </c>
    </row>
    <row r="842" spans="1:4" x14ac:dyDescent="0.25">
      <c r="A842">
        <v>838</v>
      </c>
      <c r="B842" s="11">
        <v>216.39348770073067</v>
      </c>
      <c r="C842" s="11">
        <v>-410.2881296321611</v>
      </c>
      <c r="D842" s="11">
        <v>442.5437471821909</v>
      </c>
    </row>
    <row r="843" spans="1:4" x14ac:dyDescent="0.25">
      <c r="A843">
        <v>839</v>
      </c>
      <c r="B843" s="11">
        <v>236.55739508029225</v>
      </c>
      <c r="C843" s="11">
        <v>-397.53105556314983</v>
      </c>
      <c r="D843" s="11">
        <v>442.5437471821909</v>
      </c>
    </row>
    <row r="844" spans="1:4" x14ac:dyDescent="0.25">
      <c r="A844">
        <v>840</v>
      </c>
      <c r="B844" s="11">
        <v>216.3934877007307</v>
      </c>
      <c r="C844" s="11">
        <v>-377.36714818358826</v>
      </c>
      <c r="D844" s="11">
        <v>442.5437471821909</v>
      </c>
    </row>
    <row r="845" spans="1:4" x14ac:dyDescent="0.25">
      <c r="A845">
        <v>841</v>
      </c>
      <c r="B845" s="11">
        <v>216.39348770073067</v>
      </c>
      <c r="C845" s="11">
        <v>424.55543832138994</v>
      </c>
      <c r="D845" s="11">
        <v>586.3860926648032</v>
      </c>
    </row>
    <row r="846" spans="1:4" x14ac:dyDescent="0.25">
      <c r="A846">
        <v>842</v>
      </c>
      <c r="B846" s="11">
        <v>216.39348770073067</v>
      </c>
      <c r="C846" s="11">
        <v>380.9339753558954</v>
      </c>
      <c r="D846" s="11">
        <v>586.3860926648032</v>
      </c>
    </row>
    <row r="847" spans="1:4" x14ac:dyDescent="0.25">
      <c r="A847">
        <v>843</v>
      </c>
      <c r="B847" s="11">
        <v>236.55739508029228</v>
      </c>
      <c r="C847" s="11">
        <v>401.097882735457</v>
      </c>
      <c r="D847" s="11">
        <v>586.3860926648032</v>
      </c>
    </row>
    <row r="848" spans="1:4" x14ac:dyDescent="0.25">
      <c r="A848">
        <v>844</v>
      </c>
      <c r="B848" s="11">
        <v>230.93397535589548</v>
      </c>
      <c r="C848" s="11">
        <v>431.2767407812437</v>
      </c>
      <c r="D848" s="11">
        <v>366.83794271141875</v>
      </c>
    </row>
    <row r="849" spans="1:4" x14ac:dyDescent="0.25">
      <c r="A849">
        <v>845</v>
      </c>
      <c r="B849" s="11">
        <v>251.09788273545706</v>
      </c>
      <c r="C849" s="11">
        <v>407.81918519531087</v>
      </c>
      <c r="D849" s="11">
        <v>366.83794271141875</v>
      </c>
    </row>
    <row r="850" spans="1:4" x14ac:dyDescent="0.25">
      <c r="A850">
        <v>846</v>
      </c>
      <c r="B850" s="11">
        <v>274.5554383213899</v>
      </c>
      <c r="C850" s="11">
        <v>407.81918519531087</v>
      </c>
      <c r="D850" s="11">
        <v>366.83794271141875</v>
      </c>
    </row>
    <row r="851" spans="1:4" x14ac:dyDescent="0.25">
      <c r="A851">
        <v>847</v>
      </c>
      <c r="B851" s="11">
        <v>282.37462351670086</v>
      </c>
      <c r="C851" s="11">
        <v>415.63837039062184</v>
      </c>
      <c r="D851" s="11">
        <v>682.1685948351966</v>
      </c>
    </row>
    <row r="852" spans="1:4" x14ac:dyDescent="0.25">
      <c r="A852">
        <v>848</v>
      </c>
      <c r="B852" s="11">
        <v>282.37462351670086</v>
      </c>
      <c r="C852" s="11">
        <v>439.09592597655467</v>
      </c>
      <c r="D852" s="11">
        <v>682.1685948351966</v>
      </c>
    </row>
    <row r="853" spans="1:4" x14ac:dyDescent="0.25">
      <c r="A853">
        <v>849</v>
      </c>
      <c r="B853" s="11">
        <v>238.75316055120643</v>
      </c>
      <c r="C853" s="11">
        <v>439.09592597655467</v>
      </c>
      <c r="D853" s="11">
        <v>682.1685948351966</v>
      </c>
    </row>
    <row r="854" spans="1:4" x14ac:dyDescent="0.25">
      <c r="A854">
        <v>850</v>
      </c>
      <c r="B854" s="11">
        <v>224.21267289604162</v>
      </c>
      <c r="C854" s="11">
        <v>505.07706179252483</v>
      </c>
      <c r="D854" s="11">
        <v>1268.5546874999998</v>
      </c>
    </row>
    <row r="855" spans="1:4" x14ac:dyDescent="0.25">
      <c r="A855">
        <v>851</v>
      </c>
      <c r="B855" s="11">
        <v>224.21267289604162</v>
      </c>
      <c r="C855" s="11">
        <v>461.4555988270304</v>
      </c>
      <c r="D855" s="11">
        <v>1268.5546874999998</v>
      </c>
    </row>
    <row r="856" spans="1:4" x14ac:dyDescent="0.25">
      <c r="A856">
        <v>852</v>
      </c>
      <c r="B856" s="11">
        <v>267.834135861536</v>
      </c>
      <c r="C856" s="11">
        <v>461.4555988270304</v>
      </c>
      <c r="D856" s="11">
        <v>1268.5546874999998</v>
      </c>
    </row>
    <row r="857" spans="1:4" x14ac:dyDescent="0.25">
      <c r="A857">
        <v>853</v>
      </c>
      <c r="B857" s="11">
        <v>282.37462351670086</v>
      </c>
      <c r="C857" s="11">
        <v>475.9960864821952</v>
      </c>
      <c r="D857" s="11">
        <v>1268.5546874999998</v>
      </c>
    </row>
    <row r="858" spans="1:4" x14ac:dyDescent="0.25">
      <c r="A858">
        <v>854</v>
      </c>
      <c r="B858" s="11">
        <v>282.37462351670086</v>
      </c>
      <c r="C858" s="11">
        <v>519.6175494476896</v>
      </c>
      <c r="D858" s="11">
        <v>1268.5546874999998</v>
      </c>
    </row>
    <row r="859" spans="1:4" x14ac:dyDescent="0.25">
      <c r="A859">
        <v>855</v>
      </c>
      <c r="B859" s="11">
        <v>238.75316055120643</v>
      </c>
      <c r="C859" s="11">
        <v>519.6175494476896</v>
      </c>
      <c r="D859" s="11">
        <v>1268.5546874999998</v>
      </c>
    </row>
    <row r="860" spans="1:4" x14ac:dyDescent="0.25">
      <c r="A860">
        <v>856</v>
      </c>
      <c r="B860" s="11">
        <v>224.21267289604162</v>
      </c>
      <c r="C860" s="11">
        <v>578.0526790342848</v>
      </c>
      <c r="D860" s="11">
        <v>957.3742486977636</v>
      </c>
    </row>
    <row r="861" spans="1:4" x14ac:dyDescent="0.25">
      <c r="A861">
        <v>857</v>
      </c>
      <c r="B861" s="11">
        <v>224.21267289604162</v>
      </c>
      <c r="C861" s="11">
        <v>545.131697585712</v>
      </c>
      <c r="D861" s="11">
        <v>957.3742486977636</v>
      </c>
    </row>
    <row r="862" spans="1:4" x14ac:dyDescent="0.25">
      <c r="A862">
        <v>858</v>
      </c>
      <c r="B862" s="11">
        <v>267.834135861536</v>
      </c>
      <c r="C862" s="11">
        <v>545.131697585712</v>
      </c>
      <c r="D862" s="11">
        <v>957.3742486977636</v>
      </c>
    </row>
    <row r="863" spans="1:4" x14ac:dyDescent="0.25">
      <c r="A863">
        <v>859</v>
      </c>
      <c r="B863" s="11">
        <v>282.37462351670086</v>
      </c>
      <c r="C863" s="11">
        <v>556.1053580685696</v>
      </c>
      <c r="D863" s="11">
        <v>957.3742486977636</v>
      </c>
    </row>
    <row r="864" spans="1:4" x14ac:dyDescent="0.25">
      <c r="A864">
        <v>860</v>
      </c>
      <c r="B864" s="11">
        <v>282.37462351670086</v>
      </c>
      <c r="C864" s="11">
        <v>589.0263395171423</v>
      </c>
      <c r="D864" s="11">
        <v>957.3742486977636</v>
      </c>
    </row>
    <row r="865" spans="1:4" x14ac:dyDescent="0.25">
      <c r="A865">
        <v>861</v>
      </c>
      <c r="B865" s="11">
        <v>238.75316055120643</v>
      </c>
      <c r="C865" s="11">
        <v>589.0263395171423</v>
      </c>
      <c r="D865" s="11">
        <v>957.3742486977636</v>
      </c>
    </row>
    <row r="866" spans="1:4" x14ac:dyDescent="0.25">
      <c r="A866">
        <v>862</v>
      </c>
      <c r="B866" s="11">
        <v>311.4555988270304</v>
      </c>
      <c r="C866" s="11">
        <v>-541.8380493793408</v>
      </c>
      <c r="D866" s="11">
        <v>1268.5546874999998</v>
      </c>
    </row>
    <row r="867" spans="1:4" x14ac:dyDescent="0.25">
      <c r="A867">
        <v>863</v>
      </c>
      <c r="B867" s="11">
        <v>311.4555988270304</v>
      </c>
      <c r="C867" s="11">
        <v>-585.4595123448352</v>
      </c>
      <c r="D867" s="11">
        <v>1268.5546874999998</v>
      </c>
    </row>
    <row r="868" spans="1:4" x14ac:dyDescent="0.25">
      <c r="A868">
        <v>864</v>
      </c>
      <c r="B868" s="11">
        <v>355.07706179252483</v>
      </c>
      <c r="C868" s="11">
        <v>-585.4595123448352</v>
      </c>
      <c r="D868" s="11">
        <v>1268.5546874999998</v>
      </c>
    </row>
    <row r="869" spans="1:4" x14ac:dyDescent="0.25">
      <c r="A869">
        <v>865</v>
      </c>
      <c r="B869" s="11">
        <v>369.6175494476896</v>
      </c>
      <c r="C869" s="11">
        <v>-570.9190246896703</v>
      </c>
      <c r="D869" s="11">
        <v>1268.5546874999998</v>
      </c>
    </row>
    <row r="870" spans="1:4" x14ac:dyDescent="0.25">
      <c r="A870">
        <v>866</v>
      </c>
      <c r="B870" s="11">
        <v>369.6175494476896</v>
      </c>
      <c r="C870" s="11">
        <v>-527.2975617241759</v>
      </c>
      <c r="D870" s="11">
        <v>1268.5546874999998</v>
      </c>
    </row>
    <row r="871" spans="1:4" x14ac:dyDescent="0.25">
      <c r="A871">
        <v>867</v>
      </c>
      <c r="B871" s="11">
        <v>325.9960864821952</v>
      </c>
      <c r="C871" s="11">
        <v>-527.2975617241759</v>
      </c>
      <c r="D871" s="11">
        <v>1268.5546874999998</v>
      </c>
    </row>
    <row r="872" spans="1:4" x14ac:dyDescent="0.25">
      <c r="A872">
        <v>868</v>
      </c>
      <c r="B872" s="11">
        <v>311.4555988270304</v>
      </c>
      <c r="C872" s="11">
        <v>-454.59512344835196</v>
      </c>
      <c r="D872" s="11">
        <v>1268.5546874999998</v>
      </c>
    </row>
    <row r="873" spans="1:4" x14ac:dyDescent="0.25">
      <c r="A873">
        <v>869</v>
      </c>
      <c r="B873" s="11">
        <v>311.4555988270304</v>
      </c>
      <c r="C873" s="11">
        <v>-498.21658641384636</v>
      </c>
      <c r="D873" s="11">
        <v>1268.5546874999998</v>
      </c>
    </row>
    <row r="874" spans="1:4" x14ac:dyDescent="0.25">
      <c r="A874">
        <v>870</v>
      </c>
      <c r="B874" s="11">
        <v>355.07706179252483</v>
      </c>
      <c r="C874" s="11">
        <v>-498.21658641384636</v>
      </c>
      <c r="D874" s="11">
        <v>1268.5546874999998</v>
      </c>
    </row>
    <row r="875" spans="1:4" x14ac:dyDescent="0.25">
      <c r="A875">
        <v>871</v>
      </c>
      <c r="B875" s="11">
        <v>369.6175494476896</v>
      </c>
      <c r="C875" s="11">
        <v>-483.6760987586815</v>
      </c>
      <c r="D875" s="11">
        <v>1268.5546874999998</v>
      </c>
    </row>
    <row r="876" spans="1:4" x14ac:dyDescent="0.25">
      <c r="A876">
        <v>872</v>
      </c>
      <c r="B876" s="11">
        <v>369.6175494476896</v>
      </c>
      <c r="C876" s="11">
        <v>-440.0546357931872</v>
      </c>
      <c r="D876" s="11">
        <v>1268.5546874999998</v>
      </c>
    </row>
    <row r="877" spans="1:4" x14ac:dyDescent="0.25">
      <c r="A877">
        <v>873</v>
      </c>
      <c r="B877" s="11">
        <v>325.9960864821952</v>
      </c>
      <c r="C877" s="11">
        <v>-440.0546357931872</v>
      </c>
      <c r="D877" s="11">
        <v>1268.5546874999998</v>
      </c>
    </row>
    <row r="878" spans="1:4" x14ac:dyDescent="0.25">
      <c r="A878">
        <v>874</v>
      </c>
      <c r="B878" s="11">
        <v>311.4555988270304</v>
      </c>
      <c r="C878" s="11">
        <v>-408.5047160460074</v>
      </c>
      <c r="D878" s="11">
        <v>370.9881560329606</v>
      </c>
    </row>
    <row r="879" spans="1:4" x14ac:dyDescent="0.25">
      <c r="A879">
        <v>875</v>
      </c>
      <c r="B879" s="11">
        <v>311.4555988270304</v>
      </c>
      <c r="C879" s="11">
        <v>-421.26179011501864</v>
      </c>
      <c r="D879" s="11">
        <v>370.9881560329606</v>
      </c>
    </row>
    <row r="880" spans="1:4" x14ac:dyDescent="0.25">
      <c r="A880">
        <v>876</v>
      </c>
      <c r="B880" s="11">
        <v>355.07706179252483</v>
      </c>
      <c r="C880" s="11">
        <v>-421.26179011501864</v>
      </c>
      <c r="D880" s="11">
        <v>370.9881560329606</v>
      </c>
    </row>
    <row r="881" spans="1:4" x14ac:dyDescent="0.25">
      <c r="A881">
        <v>877</v>
      </c>
      <c r="B881" s="11">
        <v>369.6175494476896</v>
      </c>
      <c r="C881" s="11">
        <v>-417.0094320920149</v>
      </c>
      <c r="D881" s="11">
        <v>370.9881560329606</v>
      </c>
    </row>
    <row r="882" spans="1:4" x14ac:dyDescent="0.25">
      <c r="A882">
        <v>878</v>
      </c>
      <c r="B882" s="11">
        <v>369.6175494476896</v>
      </c>
      <c r="C882" s="11">
        <v>-404.2523580230037</v>
      </c>
      <c r="D882" s="11">
        <v>370.9881560329606</v>
      </c>
    </row>
    <row r="883" spans="1:4" x14ac:dyDescent="0.25">
      <c r="A883">
        <v>879</v>
      </c>
      <c r="B883" s="11">
        <v>325.9960864821952</v>
      </c>
      <c r="C883" s="11">
        <v>-404.2523580230037</v>
      </c>
      <c r="D883" s="11">
        <v>370.9881560329606</v>
      </c>
    </row>
    <row r="884" spans="1:4" x14ac:dyDescent="0.25">
      <c r="A884">
        <v>880</v>
      </c>
      <c r="B884" s="11">
        <v>311.4555988270304</v>
      </c>
      <c r="C884" s="11">
        <v>431.2767407812437</v>
      </c>
      <c r="D884" s="11">
        <v>682.1685948351966</v>
      </c>
    </row>
    <row r="885" spans="1:4" x14ac:dyDescent="0.25">
      <c r="A885">
        <v>881</v>
      </c>
      <c r="B885" s="11">
        <v>311.4555988270304</v>
      </c>
      <c r="C885" s="11">
        <v>407.81918519531087</v>
      </c>
      <c r="D885" s="11">
        <v>682.1685948351966</v>
      </c>
    </row>
    <row r="886" spans="1:4" x14ac:dyDescent="0.25">
      <c r="A886">
        <v>882</v>
      </c>
      <c r="B886" s="11">
        <v>355.07706179252483</v>
      </c>
      <c r="C886" s="11">
        <v>407.81918519531087</v>
      </c>
      <c r="D886" s="11">
        <v>682.1685948351966</v>
      </c>
    </row>
    <row r="887" spans="1:4" x14ac:dyDescent="0.25">
      <c r="A887">
        <v>883</v>
      </c>
      <c r="B887" s="11">
        <v>369.6175494476896</v>
      </c>
      <c r="C887" s="11">
        <v>415.63837039062184</v>
      </c>
      <c r="D887" s="11">
        <v>682.1685948351966</v>
      </c>
    </row>
    <row r="888" spans="1:4" x14ac:dyDescent="0.25">
      <c r="A888">
        <v>884</v>
      </c>
      <c r="B888" s="11">
        <v>369.6175494476896</v>
      </c>
      <c r="C888" s="11">
        <v>439.09592597655467</v>
      </c>
      <c r="D888" s="11">
        <v>682.1685948351966</v>
      </c>
    </row>
    <row r="889" spans="1:4" x14ac:dyDescent="0.25">
      <c r="A889">
        <v>885</v>
      </c>
      <c r="B889" s="11">
        <v>325.9960864821952</v>
      </c>
      <c r="C889" s="11">
        <v>439.09592597655467</v>
      </c>
      <c r="D889" s="11">
        <v>682.1685948351966</v>
      </c>
    </row>
    <row r="890" spans="1:4" x14ac:dyDescent="0.25">
      <c r="A890">
        <v>886</v>
      </c>
      <c r="B890" s="11">
        <v>311.4555988270304</v>
      </c>
      <c r="C890" s="11">
        <v>505.07706179252483</v>
      </c>
      <c r="D890" s="11">
        <v>1268.5546874999998</v>
      </c>
    </row>
    <row r="891" spans="1:4" x14ac:dyDescent="0.25">
      <c r="A891">
        <v>887</v>
      </c>
      <c r="B891" s="11">
        <v>311.4555988270304</v>
      </c>
      <c r="C891" s="11">
        <v>461.4555988270304</v>
      </c>
      <c r="D891" s="11">
        <v>1268.5546874999998</v>
      </c>
    </row>
    <row r="892" spans="1:4" x14ac:dyDescent="0.25">
      <c r="A892">
        <v>888</v>
      </c>
      <c r="B892" s="11">
        <v>355.07706179252483</v>
      </c>
      <c r="C892" s="11">
        <v>461.4555988270304</v>
      </c>
      <c r="D892" s="11">
        <v>1268.5546874999998</v>
      </c>
    </row>
    <row r="893" spans="1:4" x14ac:dyDescent="0.25">
      <c r="A893">
        <v>889</v>
      </c>
      <c r="B893" s="11">
        <v>369.6175494476896</v>
      </c>
      <c r="C893" s="11">
        <v>475.9960864821952</v>
      </c>
      <c r="D893" s="11">
        <v>1268.5546874999998</v>
      </c>
    </row>
    <row r="894" spans="1:4" x14ac:dyDescent="0.25">
      <c r="A894">
        <v>890</v>
      </c>
      <c r="B894" s="11">
        <v>369.6175494476896</v>
      </c>
      <c r="C894" s="11">
        <v>519.6175494476896</v>
      </c>
      <c r="D894" s="11">
        <v>1268.5546874999998</v>
      </c>
    </row>
    <row r="895" spans="1:4" x14ac:dyDescent="0.25">
      <c r="A895">
        <v>891</v>
      </c>
      <c r="B895" s="11">
        <v>325.9960864821952</v>
      </c>
      <c r="C895" s="11">
        <v>519.6175494476896</v>
      </c>
      <c r="D895" s="11">
        <v>1268.5546874999998</v>
      </c>
    </row>
    <row r="896" spans="1:4" x14ac:dyDescent="0.25">
      <c r="A896">
        <v>892</v>
      </c>
      <c r="B896" s="11">
        <v>311.4555988270304</v>
      </c>
      <c r="C896" s="11">
        <v>578.0526790342848</v>
      </c>
      <c r="D896" s="11">
        <v>957.3742486977636</v>
      </c>
    </row>
    <row r="897" spans="1:4" x14ac:dyDescent="0.25">
      <c r="A897">
        <v>893</v>
      </c>
      <c r="B897" s="11">
        <v>311.4555988270304</v>
      </c>
      <c r="C897" s="11">
        <v>545.131697585712</v>
      </c>
      <c r="D897" s="11">
        <v>957.3742486977636</v>
      </c>
    </row>
    <row r="898" spans="1:4" x14ac:dyDescent="0.25">
      <c r="A898">
        <v>894</v>
      </c>
      <c r="B898" s="11">
        <v>355.07706179252483</v>
      </c>
      <c r="C898" s="11">
        <v>545.131697585712</v>
      </c>
      <c r="D898" s="11">
        <v>957.3742486977636</v>
      </c>
    </row>
    <row r="899" spans="1:4" x14ac:dyDescent="0.25">
      <c r="A899">
        <v>895</v>
      </c>
      <c r="B899" s="11">
        <v>369.6175494476896</v>
      </c>
      <c r="C899" s="11">
        <v>556.1053580685696</v>
      </c>
      <c r="D899" s="11">
        <v>957.3742486977636</v>
      </c>
    </row>
    <row r="900" spans="1:4" x14ac:dyDescent="0.25">
      <c r="A900">
        <v>896</v>
      </c>
      <c r="B900" s="11">
        <v>369.6175494476896</v>
      </c>
      <c r="C900" s="11">
        <v>589.0263395171423</v>
      </c>
      <c r="D900" s="11">
        <v>957.3742486977636</v>
      </c>
    </row>
    <row r="901" spans="1:4" x14ac:dyDescent="0.25">
      <c r="A901">
        <v>897</v>
      </c>
      <c r="B901" s="11">
        <v>325.9960864821952</v>
      </c>
      <c r="C901" s="11">
        <v>589.0263395171423</v>
      </c>
      <c r="D901" s="11">
        <v>957.3742486977636</v>
      </c>
    </row>
    <row r="902" spans="1:4" x14ac:dyDescent="0.25">
      <c r="A902">
        <v>898</v>
      </c>
      <c r="B902" s="11">
        <v>398.6985247580192</v>
      </c>
      <c r="C902" s="11">
        <v>-541.8380493793408</v>
      </c>
      <c r="D902" s="11">
        <v>1268.5546874999998</v>
      </c>
    </row>
    <row r="903" spans="1:4" x14ac:dyDescent="0.25">
      <c r="A903">
        <v>899</v>
      </c>
      <c r="B903" s="11">
        <v>398.6985247580192</v>
      </c>
      <c r="C903" s="11">
        <v>-585.4595123448352</v>
      </c>
      <c r="D903" s="11">
        <v>1268.5546874999998</v>
      </c>
    </row>
    <row r="904" spans="1:4" x14ac:dyDescent="0.25">
      <c r="A904">
        <v>900</v>
      </c>
      <c r="B904" s="11">
        <v>442.3199877235136</v>
      </c>
      <c r="C904" s="11">
        <v>-585.4595123448352</v>
      </c>
      <c r="D904" s="11">
        <v>1268.5546874999998</v>
      </c>
    </row>
    <row r="905" spans="1:4" x14ac:dyDescent="0.25">
      <c r="A905">
        <v>901</v>
      </c>
      <c r="B905" s="11">
        <v>456.86047537867836</v>
      </c>
      <c r="C905" s="11">
        <v>-570.9190246896703</v>
      </c>
      <c r="D905" s="11">
        <v>1268.5546874999998</v>
      </c>
    </row>
    <row r="906" spans="1:4" x14ac:dyDescent="0.25">
      <c r="A906">
        <v>902</v>
      </c>
      <c r="B906" s="11">
        <v>456.86047537867836</v>
      </c>
      <c r="C906" s="11">
        <v>-527.2975617241759</v>
      </c>
      <c r="D906" s="11">
        <v>1268.5546874999998</v>
      </c>
    </row>
    <row r="907" spans="1:4" x14ac:dyDescent="0.25">
      <c r="A907">
        <v>903</v>
      </c>
      <c r="B907" s="11">
        <v>413.239012413184</v>
      </c>
      <c r="C907" s="11">
        <v>-527.2975617241759</v>
      </c>
      <c r="D907" s="11">
        <v>1268.5546874999998</v>
      </c>
    </row>
    <row r="908" spans="1:4" x14ac:dyDescent="0.25">
      <c r="A908">
        <v>904</v>
      </c>
      <c r="B908" s="11">
        <v>398.6985247580192</v>
      </c>
      <c r="C908" s="11">
        <v>-454.59512344835196</v>
      </c>
      <c r="D908" s="11">
        <v>1268.5546874999998</v>
      </c>
    </row>
    <row r="909" spans="1:4" x14ac:dyDescent="0.25">
      <c r="A909">
        <v>905</v>
      </c>
      <c r="B909" s="11">
        <v>398.6985247580192</v>
      </c>
      <c r="C909" s="11">
        <v>-498.21658641384636</v>
      </c>
      <c r="D909" s="11">
        <v>1268.5546874999998</v>
      </c>
    </row>
    <row r="910" spans="1:4" x14ac:dyDescent="0.25">
      <c r="A910">
        <v>906</v>
      </c>
      <c r="B910" s="11">
        <v>442.3199877235136</v>
      </c>
      <c r="C910" s="11">
        <v>-498.21658641384636</v>
      </c>
      <c r="D910" s="11">
        <v>1268.5546874999998</v>
      </c>
    </row>
    <row r="911" spans="1:4" x14ac:dyDescent="0.25">
      <c r="A911">
        <v>907</v>
      </c>
      <c r="B911" s="11">
        <v>456.86047537867836</v>
      </c>
      <c r="C911" s="11">
        <v>-483.6760987586815</v>
      </c>
      <c r="D911" s="11">
        <v>1268.5546874999998</v>
      </c>
    </row>
    <row r="912" spans="1:4" x14ac:dyDescent="0.25">
      <c r="A912">
        <v>908</v>
      </c>
      <c r="B912" s="11">
        <v>456.86047537867836</v>
      </c>
      <c r="C912" s="11">
        <v>-440.0546357931872</v>
      </c>
      <c r="D912" s="11">
        <v>1268.5546874999998</v>
      </c>
    </row>
    <row r="913" spans="1:4" x14ac:dyDescent="0.25">
      <c r="A913">
        <v>909</v>
      </c>
      <c r="B913" s="11">
        <v>413.239012413184</v>
      </c>
      <c r="C913" s="11">
        <v>-440.0546357931872</v>
      </c>
      <c r="D913" s="11">
        <v>1268.5546874999998</v>
      </c>
    </row>
    <row r="914" spans="1:4" x14ac:dyDescent="0.25">
      <c r="A914">
        <v>910</v>
      </c>
      <c r="B914" s="11">
        <v>398.6985247580192</v>
      </c>
      <c r="C914" s="11">
        <v>-408.5047160460074</v>
      </c>
      <c r="D914" s="11">
        <v>370.9881560329606</v>
      </c>
    </row>
    <row r="915" spans="1:4" x14ac:dyDescent="0.25">
      <c r="A915">
        <v>911</v>
      </c>
      <c r="B915" s="11">
        <v>398.6985247580192</v>
      </c>
      <c r="C915" s="11">
        <v>-421.26179011501864</v>
      </c>
      <c r="D915" s="11">
        <v>370.9881560329606</v>
      </c>
    </row>
    <row r="916" spans="1:4" x14ac:dyDescent="0.25">
      <c r="A916">
        <v>912</v>
      </c>
      <c r="B916" s="11">
        <v>442.3199877235136</v>
      </c>
      <c r="C916" s="11">
        <v>-421.26179011501864</v>
      </c>
      <c r="D916" s="11">
        <v>370.9881560329606</v>
      </c>
    </row>
    <row r="917" spans="1:4" x14ac:dyDescent="0.25">
      <c r="A917">
        <v>913</v>
      </c>
      <c r="B917" s="11">
        <v>467.83413586153597</v>
      </c>
      <c r="C917" s="11">
        <v>-413.4426049197077</v>
      </c>
      <c r="D917" s="11">
        <v>167.33809331962388</v>
      </c>
    </row>
    <row r="918" spans="1:4" x14ac:dyDescent="0.25">
      <c r="A918">
        <v>914</v>
      </c>
      <c r="B918" s="11">
        <v>467.83413586153597</v>
      </c>
      <c r="C918" s="11">
        <v>-389.9850493337749</v>
      </c>
      <c r="D918" s="11">
        <v>167.33809331962388</v>
      </c>
    </row>
    <row r="919" spans="1:4" x14ac:dyDescent="0.25">
      <c r="A919">
        <v>915</v>
      </c>
      <c r="B919" s="11">
        <v>457.1336543446144</v>
      </c>
      <c r="C919" s="11">
        <v>-400.68553085069647</v>
      </c>
      <c r="D919" s="11">
        <v>167.33809331962388</v>
      </c>
    </row>
    <row r="920" spans="1:4" x14ac:dyDescent="0.25">
      <c r="A920">
        <v>916</v>
      </c>
      <c r="B920" s="11">
        <v>453.2936482063712</v>
      </c>
      <c r="C920" s="11">
        <v>-417.0094320920149</v>
      </c>
      <c r="D920" s="11">
        <v>279.98359917599095</v>
      </c>
    </row>
    <row r="921" spans="1:4" x14ac:dyDescent="0.25">
      <c r="A921">
        <v>917</v>
      </c>
      <c r="B921" s="11">
        <v>442.59316668944956</v>
      </c>
      <c r="C921" s="11">
        <v>-404.2523580230037</v>
      </c>
      <c r="D921" s="11">
        <v>279.98359917599095</v>
      </c>
    </row>
    <row r="922" spans="1:4" x14ac:dyDescent="0.25">
      <c r="A922">
        <v>918</v>
      </c>
      <c r="B922" s="11">
        <v>409.67218524087684</v>
      </c>
      <c r="C922" s="11">
        <v>-404.2523580230037</v>
      </c>
      <c r="D922" s="11">
        <v>279.98359917599095</v>
      </c>
    </row>
    <row r="923" spans="1:4" x14ac:dyDescent="0.25">
      <c r="A923">
        <v>919</v>
      </c>
      <c r="B923" s="11">
        <v>395.131697585712</v>
      </c>
      <c r="C923" s="11">
        <v>431.2767407812437</v>
      </c>
      <c r="D923" s="11">
        <v>514.8305015155728</v>
      </c>
    </row>
    <row r="924" spans="1:4" x14ac:dyDescent="0.25">
      <c r="A924">
        <v>920</v>
      </c>
      <c r="B924" s="11">
        <v>395.131697585712</v>
      </c>
      <c r="C924" s="11">
        <v>407.81918519531087</v>
      </c>
      <c r="D924" s="11">
        <v>514.8305015155728</v>
      </c>
    </row>
    <row r="925" spans="1:4" x14ac:dyDescent="0.25">
      <c r="A925">
        <v>921</v>
      </c>
      <c r="B925" s="11">
        <v>428.0526790342848</v>
      </c>
      <c r="C925" s="11">
        <v>407.81918519531087</v>
      </c>
      <c r="D925" s="11">
        <v>514.8305015155728</v>
      </c>
    </row>
    <row r="926" spans="1:4" x14ac:dyDescent="0.25">
      <c r="A926">
        <v>922</v>
      </c>
      <c r="B926" s="11">
        <v>457.13365434461434</v>
      </c>
      <c r="C926" s="11">
        <v>404.2523580230037</v>
      </c>
      <c r="D926" s="11">
        <v>243.67162978227813</v>
      </c>
    </row>
    <row r="927" spans="1:4" x14ac:dyDescent="0.25">
      <c r="A927">
        <v>923</v>
      </c>
      <c r="B927" s="11">
        <v>467.83413586153597</v>
      </c>
      <c r="C927" s="11">
        <v>393.55187650608207</v>
      </c>
      <c r="D927" s="11">
        <v>243.67162978227813</v>
      </c>
    </row>
    <row r="928" spans="1:4" x14ac:dyDescent="0.25">
      <c r="A928">
        <v>924</v>
      </c>
      <c r="B928" s="11">
        <v>467.83413586153597</v>
      </c>
      <c r="C928" s="11">
        <v>427.7099136089365</v>
      </c>
      <c r="D928" s="11">
        <v>243.67162978227813</v>
      </c>
    </row>
    <row r="929" spans="1:4" x14ac:dyDescent="0.25">
      <c r="A929">
        <v>925</v>
      </c>
      <c r="B929" s="11">
        <v>442.59316668944956</v>
      </c>
      <c r="C929" s="11">
        <v>415.63837039062184</v>
      </c>
      <c r="D929" s="11">
        <v>682.1685948351966</v>
      </c>
    </row>
    <row r="930" spans="1:4" x14ac:dyDescent="0.25">
      <c r="A930">
        <v>926</v>
      </c>
      <c r="B930" s="11">
        <v>453.2936482063712</v>
      </c>
      <c r="C930" s="11">
        <v>439.09592597655467</v>
      </c>
      <c r="D930" s="11">
        <v>682.1685948351966</v>
      </c>
    </row>
    <row r="931" spans="1:4" x14ac:dyDescent="0.25">
      <c r="A931">
        <v>927</v>
      </c>
      <c r="B931" s="11">
        <v>409.67218524087684</v>
      </c>
      <c r="C931" s="11">
        <v>439.09592597655467</v>
      </c>
      <c r="D931" s="11">
        <v>682.1685948351966</v>
      </c>
    </row>
    <row r="932" spans="1:4" x14ac:dyDescent="0.25">
      <c r="A932">
        <v>928</v>
      </c>
      <c r="B932" s="11">
        <v>398.6985247580192</v>
      </c>
      <c r="C932" s="11">
        <v>505.07706179252483</v>
      </c>
      <c r="D932" s="11">
        <v>1268.5546874999998</v>
      </c>
    </row>
    <row r="933" spans="1:4" x14ac:dyDescent="0.25">
      <c r="A933">
        <v>929</v>
      </c>
      <c r="B933" s="11">
        <v>398.6985247580192</v>
      </c>
      <c r="C933" s="11">
        <v>461.4555988270304</v>
      </c>
      <c r="D933" s="11">
        <v>1268.5546874999998</v>
      </c>
    </row>
    <row r="934" spans="1:4" x14ac:dyDescent="0.25">
      <c r="A934">
        <v>930</v>
      </c>
      <c r="B934" s="11">
        <v>442.3199877235136</v>
      </c>
      <c r="C934" s="11">
        <v>461.4555988270304</v>
      </c>
      <c r="D934" s="11">
        <v>1268.5546874999998</v>
      </c>
    </row>
    <row r="935" spans="1:4" x14ac:dyDescent="0.25">
      <c r="A935">
        <v>931</v>
      </c>
      <c r="B935" s="11">
        <v>456.86047537867836</v>
      </c>
      <c r="C935" s="11">
        <v>475.9960864821952</v>
      </c>
      <c r="D935" s="11">
        <v>1268.5546874999998</v>
      </c>
    </row>
    <row r="936" spans="1:4" x14ac:dyDescent="0.25">
      <c r="A936">
        <v>932</v>
      </c>
      <c r="B936" s="11">
        <v>456.86047537867836</v>
      </c>
      <c r="C936" s="11">
        <v>519.6175494476896</v>
      </c>
      <c r="D936" s="11">
        <v>1268.5546874999998</v>
      </c>
    </row>
    <row r="937" spans="1:4" x14ac:dyDescent="0.25">
      <c r="A937">
        <v>933</v>
      </c>
      <c r="B937" s="11">
        <v>413.239012413184</v>
      </c>
      <c r="C937" s="11">
        <v>519.6175494476896</v>
      </c>
      <c r="D937" s="11">
        <v>1268.5546874999998</v>
      </c>
    </row>
    <row r="938" spans="1:4" x14ac:dyDescent="0.25">
      <c r="A938">
        <v>934</v>
      </c>
      <c r="B938" s="11">
        <v>398.6985247580192</v>
      </c>
      <c r="C938" s="11">
        <v>578.0526790342848</v>
      </c>
      <c r="D938" s="11">
        <v>957.3742486977636</v>
      </c>
    </row>
    <row r="939" spans="1:4" x14ac:dyDescent="0.25">
      <c r="A939">
        <v>935</v>
      </c>
      <c r="B939" s="11">
        <v>398.6985247580192</v>
      </c>
      <c r="C939" s="11">
        <v>545.131697585712</v>
      </c>
      <c r="D939" s="11">
        <v>957.3742486977636</v>
      </c>
    </row>
    <row r="940" spans="1:4" x14ac:dyDescent="0.25">
      <c r="A940">
        <v>936</v>
      </c>
      <c r="B940" s="11">
        <v>442.3199877235136</v>
      </c>
      <c r="C940" s="11">
        <v>545.131697585712</v>
      </c>
      <c r="D940" s="11">
        <v>957.3742486977636</v>
      </c>
    </row>
    <row r="941" spans="1:4" x14ac:dyDescent="0.25">
      <c r="A941">
        <v>937</v>
      </c>
      <c r="B941" s="11">
        <v>456.86047537867836</v>
      </c>
      <c r="C941" s="11">
        <v>556.1053580685696</v>
      </c>
      <c r="D941" s="11">
        <v>957.3742486977636</v>
      </c>
    </row>
    <row r="942" spans="1:4" x14ac:dyDescent="0.25">
      <c r="A942">
        <v>938</v>
      </c>
      <c r="B942" s="11">
        <v>456.86047537867836</v>
      </c>
      <c r="C942" s="11">
        <v>589.0263395171423</v>
      </c>
      <c r="D942" s="11">
        <v>957.3742486977636</v>
      </c>
    </row>
    <row r="943" spans="1:4" x14ac:dyDescent="0.25">
      <c r="A943">
        <v>939</v>
      </c>
      <c r="B943" s="11">
        <v>413.239012413184</v>
      </c>
      <c r="C943" s="11">
        <v>589.0263395171423</v>
      </c>
      <c r="D943" s="11">
        <v>957.3742486977636</v>
      </c>
    </row>
    <row r="944" spans="1:4" x14ac:dyDescent="0.25">
      <c r="A944">
        <v>940</v>
      </c>
      <c r="B944" s="11">
        <v>484.5008025282026</v>
      </c>
      <c r="C944" s="11">
        <v>-541.8380493793408</v>
      </c>
      <c r="D944" s="11">
        <v>1142.868326714244</v>
      </c>
    </row>
    <row r="945" spans="1:4" x14ac:dyDescent="0.25">
      <c r="A945">
        <v>941</v>
      </c>
      <c r="B945" s="11">
        <v>484.5008025282026</v>
      </c>
      <c r="C945" s="11">
        <v>-585.4595123448352</v>
      </c>
      <c r="D945" s="11">
        <v>1142.868326714244</v>
      </c>
    </row>
    <row r="946" spans="1:4" x14ac:dyDescent="0.25">
      <c r="A946">
        <v>942</v>
      </c>
      <c r="B946" s="11">
        <v>523.8003210112811</v>
      </c>
      <c r="C946" s="11">
        <v>-585.4595123448352</v>
      </c>
      <c r="D946" s="11">
        <v>1142.868326714244</v>
      </c>
    </row>
    <row r="947" spans="1:4" x14ac:dyDescent="0.25">
      <c r="A947">
        <v>943</v>
      </c>
      <c r="B947" s="11">
        <v>499.04129018336744</v>
      </c>
      <c r="C947" s="11">
        <v>-540.3974012185354</v>
      </c>
      <c r="D947" s="11">
        <v>238.91991883212071</v>
      </c>
    </row>
    <row r="948" spans="1:4" x14ac:dyDescent="0.25">
      <c r="A948">
        <v>944</v>
      </c>
      <c r="B948" s="11">
        <v>538.3408086664458</v>
      </c>
      <c r="C948" s="11">
        <v>-584.0188641840298</v>
      </c>
      <c r="D948" s="11">
        <v>238.91991883212071</v>
      </c>
    </row>
    <row r="949" spans="1:4" x14ac:dyDescent="0.25">
      <c r="A949">
        <v>945</v>
      </c>
      <c r="B949" s="11">
        <v>542.6627531488618</v>
      </c>
      <c r="C949" s="11">
        <v>-579.6969197016138</v>
      </c>
      <c r="D949" s="11">
        <v>238.91991883212071</v>
      </c>
    </row>
    <row r="950" spans="1:4" x14ac:dyDescent="0.25">
      <c r="A950">
        <v>946</v>
      </c>
      <c r="B950" s="11">
        <v>544.1034013096672</v>
      </c>
      <c r="C950" s="11">
        <v>-565.1564320464489</v>
      </c>
      <c r="D950" s="11">
        <v>1142.868326714244</v>
      </c>
    </row>
    <row r="951" spans="1:4" x14ac:dyDescent="0.25">
      <c r="A951">
        <v>947</v>
      </c>
      <c r="B951" s="11">
        <v>544.1034013096672</v>
      </c>
      <c r="C951" s="11">
        <v>-525.8569135633705</v>
      </c>
      <c r="D951" s="11">
        <v>1142.868326714244</v>
      </c>
    </row>
    <row r="952" spans="1:4" x14ac:dyDescent="0.25">
      <c r="A952">
        <v>948</v>
      </c>
      <c r="B952" s="11">
        <v>500.4819383441728</v>
      </c>
      <c r="C952" s="11">
        <v>-525.8569135633707</v>
      </c>
      <c r="D952" s="11">
        <v>1142.868326714244</v>
      </c>
    </row>
    <row r="953" spans="1:4" x14ac:dyDescent="0.25">
      <c r="A953">
        <v>949</v>
      </c>
      <c r="B953" s="11">
        <v>485.941450689008</v>
      </c>
      <c r="C953" s="11">
        <v>-454.59512344835196</v>
      </c>
      <c r="D953" s="11">
        <v>1268.5546874999998</v>
      </c>
    </row>
    <row r="954" spans="1:4" x14ac:dyDescent="0.25">
      <c r="A954">
        <v>950</v>
      </c>
      <c r="B954" s="11">
        <v>485.941450689008</v>
      </c>
      <c r="C954" s="11">
        <v>-498.21658641384636</v>
      </c>
      <c r="D954" s="11">
        <v>1268.5546874999998</v>
      </c>
    </row>
    <row r="955" spans="1:4" x14ac:dyDescent="0.25">
      <c r="A955">
        <v>951</v>
      </c>
      <c r="B955" s="11">
        <v>529.5629136545024</v>
      </c>
      <c r="C955" s="11">
        <v>-498.21658641384636</v>
      </c>
      <c r="D955" s="11">
        <v>1268.5546874999998</v>
      </c>
    </row>
    <row r="956" spans="1:4" x14ac:dyDescent="0.25">
      <c r="A956">
        <v>952</v>
      </c>
      <c r="B956" s="11">
        <v>544.1034013096672</v>
      </c>
      <c r="C956" s="11">
        <v>-483.6760987586815</v>
      </c>
      <c r="D956" s="11">
        <v>1268.5546874999998</v>
      </c>
    </row>
    <row r="957" spans="1:4" x14ac:dyDescent="0.25">
      <c r="A957">
        <v>953</v>
      </c>
      <c r="B957" s="11">
        <v>544.1034013096672</v>
      </c>
      <c r="C957" s="11">
        <v>-440.0546357931872</v>
      </c>
      <c r="D957" s="11">
        <v>1268.5546874999998</v>
      </c>
    </row>
    <row r="958" spans="1:4" x14ac:dyDescent="0.25">
      <c r="A958">
        <v>954</v>
      </c>
      <c r="B958" s="11">
        <v>500.4819383441728</v>
      </c>
      <c r="C958" s="11">
        <v>-440.0546357931872</v>
      </c>
      <c r="D958" s="11">
        <v>1268.5546874999998</v>
      </c>
    </row>
    <row r="959" spans="1:4" x14ac:dyDescent="0.25">
      <c r="A959">
        <v>955</v>
      </c>
      <c r="B959" s="11">
        <v>485.941450689008</v>
      </c>
      <c r="C959" s="11">
        <v>-394.2374073567786</v>
      </c>
      <c r="D959" s="11">
        <v>682.1685948351966</v>
      </c>
    </row>
    <row r="960" spans="1:4" x14ac:dyDescent="0.25">
      <c r="A960">
        <v>956</v>
      </c>
      <c r="B960" s="11">
        <v>485.941450689008</v>
      </c>
      <c r="C960" s="11">
        <v>-417.6949629427114</v>
      </c>
      <c r="D960" s="11">
        <v>682.1685948351966</v>
      </c>
    </row>
    <row r="961" spans="1:4" x14ac:dyDescent="0.25">
      <c r="A961">
        <v>957</v>
      </c>
      <c r="B961" s="11">
        <v>529.5629136545024</v>
      </c>
      <c r="C961" s="11">
        <v>-417.6949629427114</v>
      </c>
      <c r="D961" s="11">
        <v>682.1685948351966</v>
      </c>
    </row>
    <row r="962" spans="1:4" x14ac:dyDescent="0.25">
      <c r="A962">
        <v>958</v>
      </c>
      <c r="B962" s="11">
        <v>500.4819383441728</v>
      </c>
      <c r="C962" s="11">
        <v>-379.6969197016138</v>
      </c>
      <c r="D962" s="11">
        <v>1268.5546874999998</v>
      </c>
    </row>
    <row r="963" spans="1:4" x14ac:dyDescent="0.25">
      <c r="A963">
        <v>959</v>
      </c>
      <c r="B963" s="11">
        <v>544.1034013096672</v>
      </c>
      <c r="C963" s="11">
        <v>-403.15447528754663</v>
      </c>
      <c r="D963" s="11">
        <v>1268.5546874999998</v>
      </c>
    </row>
    <row r="964" spans="1:4" x14ac:dyDescent="0.25">
      <c r="A964">
        <v>960</v>
      </c>
      <c r="B964" s="11">
        <v>544.1034013096672</v>
      </c>
      <c r="C964" s="11">
        <v>-359.53301232205223</v>
      </c>
      <c r="D964" s="11">
        <v>1268.5546874999998</v>
      </c>
    </row>
    <row r="965" spans="1:4" x14ac:dyDescent="0.25">
      <c r="A965">
        <v>961</v>
      </c>
      <c r="B965" s="11">
        <v>536.2842161143562</v>
      </c>
      <c r="C965" s="11">
        <v>-344.99252466688745</v>
      </c>
      <c r="D965" s="11">
        <v>315.33065212377784</v>
      </c>
    </row>
    <row r="966" spans="1:4" x14ac:dyDescent="0.25">
      <c r="A966">
        <v>962</v>
      </c>
      <c r="B966" s="11">
        <v>512.8266605284234</v>
      </c>
      <c r="C966" s="11">
        <v>-344.99252466688745</v>
      </c>
      <c r="D966" s="11">
        <v>315.33065212377784</v>
      </c>
    </row>
    <row r="967" spans="1:4" x14ac:dyDescent="0.25">
      <c r="A967">
        <v>963</v>
      </c>
      <c r="B967" s="11">
        <v>492.66275314886184</v>
      </c>
      <c r="C967" s="11">
        <v>-365.156432046449</v>
      </c>
      <c r="D967" s="11">
        <v>315.33065212377784</v>
      </c>
    </row>
    <row r="968" spans="1:4" x14ac:dyDescent="0.25">
      <c r="A968">
        <v>964</v>
      </c>
      <c r="B968" s="11">
        <v>545.0621111262997</v>
      </c>
      <c r="C968" s="11">
        <v>-312.7570740690112</v>
      </c>
      <c r="D968" s="11">
        <v>299.2497740876924</v>
      </c>
    </row>
    <row r="969" spans="1:4" x14ac:dyDescent="0.25">
      <c r="A969">
        <v>965</v>
      </c>
      <c r="B969" s="11">
        <v>525.9265000227829</v>
      </c>
      <c r="C969" s="11">
        <v>-331.892685172528</v>
      </c>
      <c r="D969" s="11">
        <v>299.2497740876924</v>
      </c>
    </row>
    <row r="970" spans="1:4" x14ac:dyDescent="0.25">
      <c r="A970">
        <v>966</v>
      </c>
      <c r="B970" s="11">
        <v>549.3840556087157</v>
      </c>
      <c r="C970" s="11">
        <v>-331.892685172528</v>
      </c>
      <c r="D970" s="11">
        <v>299.2497740876924</v>
      </c>
    </row>
    <row r="971" spans="1:4" x14ac:dyDescent="0.25">
      <c r="A971">
        <v>967</v>
      </c>
      <c r="B971" s="11">
        <v>552.8812963216106</v>
      </c>
      <c r="C971" s="11">
        <v>-298.2165864138464</v>
      </c>
      <c r="D971" s="11">
        <v>125.68636078575578</v>
      </c>
    </row>
    <row r="972" spans="1:4" x14ac:dyDescent="0.25">
      <c r="A972">
        <v>968</v>
      </c>
      <c r="B972" s="11">
        <v>557.2032408040267</v>
      </c>
      <c r="C972" s="11">
        <v>-317.3521975173632</v>
      </c>
      <c r="D972" s="11">
        <v>125.68636078575578</v>
      </c>
    </row>
    <row r="973" spans="1:4" x14ac:dyDescent="0.25">
      <c r="A973">
        <v>969</v>
      </c>
      <c r="B973" s="11">
        <v>557.2032408040267</v>
      </c>
      <c r="C973" s="11">
        <v>-273.73073455186875</v>
      </c>
      <c r="D973" s="11">
        <v>125.68636078575578</v>
      </c>
    </row>
    <row r="974" spans="1:4" x14ac:dyDescent="0.25">
      <c r="A974">
        <v>970</v>
      </c>
      <c r="B974" s="11">
        <v>555.7625926432213</v>
      </c>
      <c r="C974" s="11">
        <v>-259.19024689670397</v>
      </c>
      <c r="D974" s="11">
        <v>70.55099490142025</v>
      </c>
    </row>
    <row r="975" spans="1:4" x14ac:dyDescent="0.25">
      <c r="A975">
        <v>971</v>
      </c>
      <c r="B975" s="11">
        <v>551.4406481608053</v>
      </c>
      <c r="C975" s="11">
        <v>-259.19024689670397</v>
      </c>
      <c r="D975" s="11">
        <v>70.55099490142025</v>
      </c>
    </row>
    <row r="976" spans="1:4" x14ac:dyDescent="0.25">
      <c r="A976">
        <v>972</v>
      </c>
      <c r="B976" s="11">
        <v>551.4406481608053</v>
      </c>
      <c r="C976" s="11">
        <v>-283.6760987586816</v>
      </c>
      <c r="D976" s="11">
        <v>70.55099490142025</v>
      </c>
    </row>
    <row r="977" spans="1:4" x14ac:dyDescent="0.25">
      <c r="A977">
        <v>973</v>
      </c>
      <c r="B977" s="11">
        <v>551.4406481608053</v>
      </c>
      <c r="C977" s="11">
        <v>-192.86634565538557</v>
      </c>
      <c r="D977" s="11">
        <v>125.68636078575578</v>
      </c>
    </row>
    <row r="978" spans="1:4" x14ac:dyDescent="0.25">
      <c r="A978">
        <v>974</v>
      </c>
      <c r="B978" s="11">
        <v>551.4406481608053</v>
      </c>
      <c r="C978" s="11">
        <v>-236.48780862087997</v>
      </c>
      <c r="D978" s="11">
        <v>125.68636078575578</v>
      </c>
    </row>
    <row r="979" spans="1:4" x14ac:dyDescent="0.25">
      <c r="A979">
        <v>975</v>
      </c>
      <c r="B979" s="11">
        <v>555.7625926432213</v>
      </c>
      <c r="C979" s="11">
        <v>-236.48780862087997</v>
      </c>
      <c r="D979" s="11">
        <v>125.68636078575578</v>
      </c>
    </row>
    <row r="980" spans="1:4" x14ac:dyDescent="0.25">
      <c r="A980">
        <v>976</v>
      </c>
      <c r="B980" s="11">
        <v>557.2032408040267</v>
      </c>
      <c r="C980" s="11">
        <v>-221.9473209657152</v>
      </c>
      <c r="D980" s="11">
        <v>125.68636078575578</v>
      </c>
    </row>
    <row r="981" spans="1:4" x14ac:dyDescent="0.25">
      <c r="A981">
        <v>977</v>
      </c>
      <c r="B981" s="11">
        <v>557.2032408040267</v>
      </c>
      <c r="C981" s="11">
        <v>-178.3258580002208</v>
      </c>
      <c r="D981" s="11">
        <v>125.68636078575578</v>
      </c>
    </row>
    <row r="982" spans="1:4" x14ac:dyDescent="0.25">
      <c r="A982">
        <v>978</v>
      </c>
      <c r="B982" s="11">
        <v>552.8812963216106</v>
      </c>
      <c r="C982" s="11">
        <v>-178.32585800022076</v>
      </c>
      <c r="D982" s="11">
        <v>125.68636078575578</v>
      </c>
    </row>
    <row r="983" spans="1:4" x14ac:dyDescent="0.25">
      <c r="A983">
        <v>979</v>
      </c>
      <c r="B983" s="11">
        <v>551.4406481608053</v>
      </c>
      <c r="C983" s="11">
        <v>-105.62341972439677</v>
      </c>
      <c r="D983" s="11">
        <v>125.68636078575578</v>
      </c>
    </row>
    <row r="984" spans="1:4" x14ac:dyDescent="0.25">
      <c r="A984">
        <v>980</v>
      </c>
      <c r="B984" s="11">
        <v>551.4406481608053</v>
      </c>
      <c r="C984" s="11">
        <v>-149.24488268989117</v>
      </c>
      <c r="D984" s="11">
        <v>125.68636078575578</v>
      </c>
    </row>
    <row r="985" spans="1:4" x14ac:dyDescent="0.25">
      <c r="A985">
        <v>981</v>
      </c>
      <c r="B985" s="11">
        <v>555.7625926432213</v>
      </c>
      <c r="C985" s="11">
        <v>-149.24488268989117</v>
      </c>
      <c r="D985" s="11">
        <v>125.68636078575578</v>
      </c>
    </row>
    <row r="986" spans="1:4" x14ac:dyDescent="0.25">
      <c r="A986">
        <v>982</v>
      </c>
      <c r="B986" s="11">
        <v>557.2032408040267</v>
      </c>
      <c r="C986" s="11">
        <v>-134.70439503472636</v>
      </c>
      <c r="D986" s="11">
        <v>125.68636078575578</v>
      </c>
    </row>
    <row r="987" spans="1:4" x14ac:dyDescent="0.25">
      <c r="A987">
        <v>983</v>
      </c>
      <c r="B987" s="11">
        <v>557.2032408040267</v>
      </c>
      <c r="C987" s="11">
        <v>-91.08293206923197</v>
      </c>
      <c r="D987" s="11">
        <v>125.68636078575578</v>
      </c>
    </row>
    <row r="988" spans="1:4" x14ac:dyDescent="0.25">
      <c r="A988">
        <v>984</v>
      </c>
      <c r="B988" s="11">
        <v>552.8812963216106</v>
      </c>
      <c r="C988" s="11">
        <v>-91.08293206923197</v>
      </c>
      <c r="D988" s="11">
        <v>125.68636078575578</v>
      </c>
    </row>
    <row r="989" spans="1:4" x14ac:dyDescent="0.25">
      <c r="A989">
        <v>985</v>
      </c>
      <c r="B989" s="11">
        <v>551.4406481608053</v>
      </c>
      <c r="C989" s="11">
        <v>-18.380493793407975</v>
      </c>
      <c r="D989" s="11">
        <v>125.68636078575578</v>
      </c>
    </row>
    <row r="990" spans="1:4" x14ac:dyDescent="0.25">
      <c r="A990">
        <v>986</v>
      </c>
      <c r="B990" s="11">
        <v>551.4406481608053</v>
      </c>
      <c r="C990" s="11">
        <v>-62.001956758902374</v>
      </c>
      <c r="D990" s="11">
        <v>125.68636078575578</v>
      </c>
    </row>
    <row r="991" spans="1:4" x14ac:dyDescent="0.25">
      <c r="A991">
        <v>987</v>
      </c>
      <c r="B991" s="11">
        <v>555.7625926432213</v>
      </c>
      <c r="C991" s="11">
        <v>-62.001956758902374</v>
      </c>
      <c r="D991" s="11">
        <v>125.68636078575578</v>
      </c>
    </row>
    <row r="992" spans="1:4" x14ac:dyDescent="0.25">
      <c r="A992">
        <v>988</v>
      </c>
      <c r="B992" s="11">
        <v>557.2032408040267</v>
      </c>
      <c r="C992" s="11">
        <v>-47.46146910373757</v>
      </c>
      <c r="D992" s="11">
        <v>125.68636078575578</v>
      </c>
    </row>
    <row r="993" spans="1:4" x14ac:dyDescent="0.25">
      <c r="A993">
        <v>989</v>
      </c>
      <c r="B993" s="11">
        <v>557.2032408040267</v>
      </c>
      <c r="C993" s="11">
        <v>-3.840006138243174</v>
      </c>
      <c r="D993" s="11">
        <v>125.68636078575578</v>
      </c>
    </row>
    <row r="994" spans="1:4" x14ac:dyDescent="0.25">
      <c r="A994">
        <v>990</v>
      </c>
      <c r="B994" s="11">
        <v>552.8812963216106</v>
      </c>
      <c r="C994" s="11">
        <v>-3.840006138243173</v>
      </c>
      <c r="D994" s="11">
        <v>125.68636078575578</v>
      </c>
    </row>
    <row r="995" spans="1:4" x14ac:dyDescent="0.25">
      <c r="A995">
        <v>991</v>
      </c>
      <c r="B995" s="11">
        <v>551.4406481608053</v>
      </c>
      <c r="C995" s="11">
        <v>68.86243213758081</v>
      </c>
      <c r="D995" s="11">
        <v>125.68636078575578</v>
      </c>
    </row>
    <row r="996" spans="1:4" x14ac:dyDescent="0.25">
      <c r="A996">
        <v>992</v>
      </c>
      <c r="B996" s="11">
        <v>551.4406481608053</v>
      </c>
      <c r="C996" s="11">
        <v>25.240969172086423</v>
      </c>
      <c r="D996" s="11">
        <v>125.68636078575578</v>
      </c>
    </row>
    <row r="997" spans="1:4" x14ac:dyDescent="0.25">
      <c r="A997">
        <v>993</v>
      </c>
      <c r="B997" s="11">
        <v>555.7625926432213</v>
      </c>
      <c r="C997" s="11">
        <v>25.240969172086423</v>
      </c>
      <c r="D997" s="11">
        <v>125.68636078575578</v>
      </c>
    </row>
    <row r="998" spans="1:4" x14ac:dyDescent="0.25">
      <c r="A998">
        <v>994</v>
      </c>
      <c r="B998" s="11">
        <v>557.2032408040267</v>
      </c>
      <c r="C998" s="11">
        <v>39.78145682725122</v>
      </c>
      <c r="D998" s="11">
        <v>125.68636078575578</v>
      </c>
    </row>
    <row r="999" spans="1:4" x14ac:dyDescent="0.25">
      <c r="A999">
        <v>995</v>
      </c>
      <c r="B999" s="11">
        <v>557.2032408040267</v>
      </c>
      <c r="C999" s="11">
        <v>83.40291979274562</v>
      </c>
      <c r="D999" s="11">
        <v>125.68636078575578</v>
      </c>
    </row>
    <row r="1000" spans="1:4" x14ac:dyDescent="0.25">
      <c r="A1000">
        <v>996</v>
      </c>
      <c r="B1000" s="11">
        <v>552.8812963216106</v>
      </c>
      <c r="C1000" s="11">
        <v>83.40291979274562</v>
      </c>
      <c r="D1000" s="11">
        <v>125.68636078575578</v>
      </c>
    </row>
    <row r="1001" spans="1:4" x14ac:dyDescent="0.25">
      <c r="A1001">
        <v>997</v>
      </c>
      <c r="B1001" s="11">
        <v>551.4406481608053</v>
      </c>
      <c r="C1001" s="11">
        <v>156.10535806856961</v>
      </c>
      <c r="D1001" s="11">
        <v>125.68636078575578</v>
      </c>
    </row>
    <row r="1002" spans="1:4" x14ac:dyDescent="0.25">
      <c r="A1002">
        <v>998</v>
      </c>
      <c r="B1002" s="11">
        <v>551.4406481608053</v>
      </c>
      <c r="C1002" s="11">
        <v>112.48389510307521</v>
      </c>
      <c r="D1002" s="11">
        <v>125.68636078575578</v>
      </c>
    </row>
    <row r="1003" spans="1:4" x14ac:dyDescent="0.25">
      <c r="A1003">
        <v>999</v>
      </c>
      <c r="B1003" s="11">
        <v>555.7625926432213</v>
      </c>
      <c r="C1003" s="11">
        <v>112.48389510307521</v>
      </c>
      <c r="D1003" s="11">
        <v>125.68636078575578</v>
      </c>
    </row>
    <row r="1004" spans="1:4" x14ac:dyDescent="0.25">
      <c r="A1004">
        <v>1000</v>
      </c>
      <c r="B1004" s="11">
        <v>557.2032408040267</v>
      </c>
      <c r="C1004" s="11">
        <v>127.02438275824002</v>
      </c>
      <c r="D1004" s="11">
        <v>125.68636078575578</v>
      </c>
    </row>
    <row r="1005" spans="1:4" x14ac:dyDescent="0.25">
      <c r="A1005">
        <v>1001</v>
      </c>
      <c r="B1005" s="11">
        <v>557.2032408040267</v>
      </c>
      <c r="C1005" s="11">
        <v>170.64584572373442</v>
      </c>
      <c r="D1005" s="11">
        <v>125.68636078575578</v>
      </c>
    </row>
    <row r="1006" spans="1:4" x14ac:dyDescent="0.25">
      <c r="A1006">
        <v>1002</v>
      </c>
      <c r="B1006" s="11">
        <v>552.8812963216106</v>
      </c>
      <c r="C1006" s="11">
        <v>170.64584572373442</v>
      </c>
      <c r="D1006" s="11">
        <v>125.68636078575578</v>
      </c>
    </row>
    <row r="1007" spans="1:4" x14ac:dyDescent="0.25">
      <c r="A1007">
        <v>1003</v>
      </c>
      <c r="B1007" s="11">
        <v>551.4406481608053</v>
      </c>
      <c r="C1007" s="11">
        <v>243.34828399955842</v>
      </c>
      <c r="D1007" s="11">
        <v>125.68636078575578</v>
      </c>
    </row>
    <row r="1008" spans="1:4" x14ac:dyDescent="0.25">
      <c r="A1008">
        <v>1004</v>
      </c>
      <c r="B1008" s="11">
        <v>551.4406481608053</v>
      </c>
      <c r="C1008" s="11">
        <v>199.72682103406402</v>
      </c>
      <c r="D1008" s="11">
        <v>125.68636078575578</v>
      </c>
    </row>
    <row r="1009" spans="1:4" x14ac:dyDescent="0.25">
      <c r="A1009">
        <v>1005</v>
      </c>
      <c r="B1009" s="11">
        <v>555.7625926432213</v>
      </c>
      <c r="C1009" s="11">
        <v>199.72682103406402</v>
      </c>
      <c r="D1009" s="11">
        <v>125.68636078575578</v>
      </c>
    </row>
    <row r="1010" spans="1:4" x14ac:dyDescent="0.25">
      <c r="A1010">
        <v>1006</v>
      </c>
      <c r="B1010" s="11">
        <v>557.2032408040267</v>
      </c>
      <c r="C1010" s="11">
        <v>214.2673086892288</v>
      </c>
      <c r="D1010" s="11">
        <v>125.68636078575578</v>
      </c>
    </row>
    <row r="1011" spans="1:4" x14ac:dyDescent="0.25">
      <c r="A1011">
        <v>1007</v>
      </c>
      <c r="B1011" s="11">
        <v>557.2032408040267</v>
      </c>
      <c r="C1011" s="11">
        <v>257.8887716547232</v>
      </c>
      <c r="D1011" s="11">
        <v>125.68636078575578</v>
      </c>
    </row>
    <row r="1012" spans="1:4" x14ac:dyDescent="0.25">
      <c r="A1012">
        <v>1008</v>
      </c>
      <c r="B1012" s="11">
        <v>552.8812963216106</v>
      </c>
      <c r="C1012" s="11">
        <v>257.8887716547232</v>
      </c>
      <c r="D1012" s="11">
        <v>125.68636078575578</v>
      </c>
    </row>
    <row r="1013" spans="1:4" x14ac:dyDescent="0.25">
      <c r="A1013">
        <v>1009</v>
      </c>
      <c r="B1013" s="11">
        <v>545.8172284364085</v>
      </c>
      <c r="C1013" s="11">
        <v>349.726821034064</v>
      </c>
      <c r="D1013" s="11">
        <v>679.428239155425</v>
      </c>
    </row>
    <row r="1014" spans="1:4" x14ac:dyDescent="0.25">
      <c r="A1014">
        <v>1010</v>
      </c>
      <c r="B1014" s="11">
        <v>511.6591913335541</v>
      </c>
      <c r="C1014" s="11">
        <v>349.726821034064</v>
      </c>
      <c r="D1014" s="11">
        <v>679.428239155425</v>
      </c>
    </row>
    <row r="1015" spans="1:4" x14ac:dyDescent="0.25">
      <c r="A1015">
        <v>1011</v>
      </c>
      <c r="B1015" s="11">
        <v>541.4952839539925</v>
      </c>
      <c r="C1015" s="11">
        <v>319.8907284136256</v>
      </c>
      <c r="D1015" s="11">
        <v>679.428239155425</v>
      </c>
    </row>
    <row r="1016" spans="1:4" x14ac:dyDescent="0.25">
      <c r="A1016">
        <v>1012</v>
      </c>
      <c r="B1016" s="11">
        <v>555.7625926432213</v>
      </c>
      <c r="C1016" s="11">
        <v>335.1863333788992</v>
      </c>
      <c r="D1016" s="11">
        <v>39.71973686725082</v>
      </c>
    </row>
    <row r="1017" spans="1:4" x14ac:dyDescent="0.25">
      <c r="A1017">
        <v>1013</v>
      </c>
      <c r="B1017" s="11">
        <v>551.4406481608053</v>
      </c>
      <c r="C1017" s="11">
        <v>305.3502407584608</v>
      </c>
      <c r="D1017" s="11">
        <v>39.71973686725082</v>
      </c>
    </row>
    <row r="1018" spans="1:4" x14ac:dyDescent="0.25">
      <c r="A1018">
        <v>1014</v>
      </c>
      <c r="B1018" s="11">
        <v>551.4406481608053</v>
      </c>
      <c r="C1018" s="11">
        <v>291.56487041340483</v>
      </c>
      <c r="D1018" s="11">
        <v>39.71973686725082</v>
      </c>
    </row>
    <row r="1019" spans="1:4" x14ac:dyDescent="0.25">
      <c r="A1019">
        <v>1015</v>
      </c>
      <c r="B1019" s="11">
        <v>552.8812963216106</v>
      </c>
      <c r="C1019" s="11">
        <v>286.9697469650528</v>
      </c>
      <c r="D1019" s="11">
        <v>125.68636078575578</v>
      </c>
    </row>
    <row r="1020" spans="1:4" x14ac:dyDescent="0.25">
      <c r="A1020">
        <v>1016</v>
      </c>
      <c r="B1020" s="11">
        <v>557.2032408040267</v>
      </c>
      <c r="C1020" s="11">
        <v>286.9697469650528</v>
      </c>
      <c r="D1020" s="11">
        <v>125.68636078575578</v>
      </c>
    </row>
    <row r="1021" spans="1:4" x14ac:dyDescent="0.25">
      <c r="A1021">
        <v>1017</v>
      </c>
      <c r="B1021" s="11">
        <v>557.2032408040267</v>
      </c>
      <c r="C1021" s="11">
        <v>330.5912099305472</v>
      </c>
      <c r="D1021" s="11">
        <v>125.68636078575578</v>
      </c>
    </row>
    <row r="1022" spans="1:4" x14ac:dyDescent="0.25">
      <c r="A1022">
        <v>1018</v>
      </c>
      <c r="B1022" s="11">
        <v>474.55543832138983</v>
      </c>
      <c r="C1022" s="11">
        <v>420.9886111490827</v>
      </c>
      <c r="D1022" s="11">
        <v>215.5013678241119</v>
      </c>
    </row>
    <row r="1023" spans="1:4" x14ac:dyDescent="0.25">
      <c r="A1023">
        <v>1019</v>
      </c>
      <c r="B1023" s="11">
        <v>474.55543832138983</v>
      </c>
      <c r="C1023" s="11">
        <v>386.83057404622826</v>
      </c>
      <c r="D1023" s="11">
        <v>215.5013678241119</v>
      </c>
    </row>
    <row r="1024" spans="1:4" x14ac:dyDescent="0.25">
      <c r="A1024">
        <v>1020</v>
      </c>
      <c r="B1024" s="11">
        <v>484.01886418402984</v>
      </c>
      <c r="C1024" s="11">
        <v>377.36714818358826</v>
      </c>
      <c r="D1024" s="11">
        <v>215.5013678241119</v>
      </c>
    </row>
    <row r="1025" spans="1:4" x14ac:dyDescent="0.25">
      <c r="A1025">
        <v>1021</v>
      </c>
      <c r="B1025" s="11">
        <v>489.09592597655467</v>
      </c>
      <c r="C1025" s="11">
        <v>417.8341358615361</v>
      </c>
      <c r="D1025" s="11">
        <v>993.3490336374329</v>
      </c>
    </row>
    <row r="1026" spans="1:4" x14ac:dyDescent="0.25">
      <c r="A1026">
        <v>1022</v>
      </c>
      <c r="B1026" s="11">
        <v>498.5593518391946</v>
      </c>
      <c r="C1026" s="11">
        <v>374.2126728960416</v>
      </c>
      <c r="D1026" s="11">
        <v>993.3490336374329</v>
      </c>
    </row>
    <row r="1027" spans="1:4" x14ac:dyDescent="0.25">
      <c r="A1027">
        <v>1023</v>
      </c>
      <c r="B1027" s="11">
        <v>532.7173889420491</v>
      </c>
      <c r="C1027" s="11">
        <v>374.2126728960416</v>
      </c>
      <c r="D1027" s="11">
        <v>993.3490336374329</v>
      </c>
    </row>
    <row r="1028" spans="1:4" x14ac:dyDescent="0.25">
      <c r="A1028">
        <v>1024</v>
      </c>
      <c r="B1028" s="11">
        <v>544.1034013096672</v>
      </c>
      <c r="C1028" s="11">
        <v>388.7531605512064</v>
      </c>
      <c r="D1028" s="11">
        <v>1268.5546874999998</v>
      </c>
    </row>
    <row r="1029" spans="1:4" x14ac:dyDescent="0.25">
      <c r="A1029">
        <v>1025</v>
      </c>
      <c r="B1029" s="11">
        <v>544.1034013096672</v>
      </c>
      <c r="C1029" s="11">
        <v>432.37462351670086</v>
      </c>
      <c r="D1029" s="11">
        <v>1268.5546874999998</v>
      </c>
    </row>
    <row r="1030" spans="1:4" x14ac:dyDescent="0.25">
      <c r="A1030">
        <v>1026</v>
      </c>
      <c r="B1030" s="11">
        <v>500.4819383441728</v>
      </c>
      <c r="C1030" s="11">
        <v>432.3746235167008</v>
      </c>
      <c r="D1030" s="11">
        <v>1268.5546874999998</v>
      </c>
    </row>
    <row r="1031" spans="1:4" x14ac:dyDescent="0.25">
      <c r="A1031">
        <v>1027</v>
      </c>
      <c r="B1031" s="11">
        <v>485.941450689008</v>
      </c>
      <c r="C1031" s="11">
        <v>505.07706179252483</v>
      </c>
      <c r="D1031" s="11">
        <v>1268.5546874999998</v>
      </c>
    </row>
    <row r="1032" spans="1:4" x14ac:dyDescent="0.25">
      <c r="A1032">
        <v>1028</v>
      </c>
      <c r="B1032" s="11">
        <v>485.941450689008</v>
      </c>
      <c r="C1032" s="11">
        <v>461.4555988270304</v>
      </c>
      <c r="D1032" s="11">
        <v>1268.5546874999998</v>
      </c>
    </row>
    <row r="1033" spans="1:4" x14ac:dyDescent="0.25">
      <c r="A1033">
        <v>1029</v>
      </c>
      <c r="B1033" s="11">
        <v>529.5629136545024</v>
      </c>
      <c r="C1033" s="11">
        <v>461.4555988270304</v>
      </c>
      <c r="D1033" s="11">
        <v>1268.5546874999998</v>
      </c>
    </row>
    <row r="1034" spans="1:4" x14ac:dyDescent="0.25">
      <c r="A1034">
        <v>1030</v>
      </c>
      <c r="B1034" s="11">
        <v>544.1034013096672</v>
      </c>
      <c r="C1034" s="11">
        <v>475.9960864821952</v>
      </c>
      <c r="D1034" s="11">
        <v>1268.5546874999998</v>
      </c>
    </row>
    <row r="1035" spans="1:4" x14ac:dyDescent="0.25">
      <c r="A1035">
        <v>1031</v>
      </c>
      <c r="B1035" s="11">
        <v>544.1034013096672</v>
      </c>
      <c r="C1035" s="11">
        <v>519.6175494476896</v>
      </c>
      <c r="D1035" s="11">
        <v>1268.5546874999998</v>
      </c>
    </row>
    <row r="1036" spans="1:4" x14ac:dyDescent="0.25">
      <c r="A1036">
        <v>1032</v>
      </c>
      <c r="B1036" s="11">
        <v>500.4819383441728</v>
      </c>
      <c r="C1036" s="11">
        <v>519.6175494476896</v>
      </c>
      <c r="D1036" s="11">
        <v>1268.5546874999998</v>
      </c>
    </row>
    <row r="1037" spans="1:4" x14ac:dyDescent="0.25">
      <c r="A1037">
        <v>1033</v>
      </c>
      <c r="B1037" s="11">
        <v>485.941450689008</v>
      </c>
      <c r="C1037" s="11">
        <v>578.0526790342848</v>
      </c>
      <c r="D1037" s="11">
        <v>957.3742486977636</v>
      </c>
    </row>
    <row r="1038" spans="1:4" x14ac:dyDescent="0.25">
      <c r="A1038">
        <v>1034</v>
      </c>
      <c r="B1038" s="11">
        <v>485.941450689008</v>
      </c>
      <c r="C1038" s="11">
        <v>545.131697585712</v>
      </c>
      <c r="D1038" s="11">
        <v>957.3742486977636</v>
      </c>
    </row>
    <row r="1039" spans="1:4" x14ac:dyDescent="0.25">
      <c r="A1039">
        <v>1035</v>
      </c>
      <c r="B1039" s="11">
        <v>529.5629136545024</v>
      </c>
      <c r="C1039" s="11">
        <v>545.131697585712</v>
      </c>
      <c r="D1039" s="11">
        <v>957.3742486977636</v>
      </c>
    </row>
    <row r="1040" spans="1:4" x14ac:dyDescent="0.25">
      <c r="A1040">
        <v>1036</v>
      </c>
      <c r="B1040" s="11">
        <v>500.4819383441728</v>
      </c>
      <c r="C1040" s="11">
        <v>587.5856913563371</v>
      </c>
      <c r="D1040" s="11">
        <v>831.6878879120078</v>
      </c>
    </row>
    <row r="1041" spans="1:4" x14ac:dyDescent="0.25">
      <c r="A1041">
        <v>1037</v>
      </c>
      <c r="B1041" s="11">
        <v>544.1034013096672</v>
      </c>
      <c r="C1041" s="11">
        <v>554.6647099077643</v>
      </c>
      <c r="D1041" s="11">
        <v>831.6878879120078</v>
      </c>
    </row>
    <row r="1042" spans="1:4" x14ac:dyDescent="0.25">
      <c r="A1042">
        <v>1038</v>
      </c>
      <c r="B1042" s="11">
        <v>544.1034013096672</v>
      </c>
      <c r="C1042" s="11">
        <v>583.263746873921</v>
      </c>
      <c r="D1042" s="11">
        <v>831.6878879120078</v>
      </c>
    </row>
    <row r="1043" spans="1:4" x14ac:dyDescent="0.25">
      <c r="A1043">
        <v>1039</v>
      </c>
      <c r="B1043" s="11">
        <v>542.6627531488618</v>
      </c>
      <c r="C1043" s="11">
        <v>594.2374073567786</v>
      </c>
      <c r="D1043" s="11">
        <v>113.23355804636488</v>
      </c>
    </row>
    <row r="1044" spans="1:4" x14ac:dyDescent="0.25">
      <c r="A1044">
        <v>1040</v>
      </c>
      <c r="B1044" s="11">
        <v>538.3408086664458</v>
      </c>
      <c r="C1044" s="11">
        <v>598.5593518391946</v>
      </c>
      <c r="D1044" s="11">
        <v>113.23355804636488</v>
      </c>
    </row>
    <row r="1045" spans="1:4" x14ac:dyDescent="0.25">
      <c r="A1045">
        <v>1041</v>
      </c>
      <c r="B1045" s="11">
        <v>499.04129018336744</v>
      </c>
      <c r="C1045" s="11">
        <v>598.5593518391946</v>
      </c>
      <c r="D1045" s="11">
        <v>113.23355804636488</v>
      </c>
    </row>
    <row r="1046" spans="1:4" x14ac:dyDescent="0.25">
      <c r="A1046">
        <v>1042</v>
      </c>
      <c r="B1046" s="11">
        <v>571.7437284591915</v>
      </c>
      <c r="C1046" s="11">
        <v>-565.1564320464489</v>
      </c>
      <c r="D1046" s="11">
        <v>1029.6347686678791</v>
      </c>
    </row>
    <row r="1047" spans="1:4" x14ac:dyDescent="0.25">
      <c r="A1047">
        <v>1043</v>
      </c>
      <c r="B1047" s="11">
        <v>611.0432469422699</v>
      </c>
      <c r="C1047" s="11">
        <v>-525.8569135633705</v>
      </c>
      <c r="D1047" s="11">
        <v>1029.6347686678791</v>
      </c>
    </row>
    <row r="1048" spans="1:4" x14ac:dyDescent="0.25">
      <c r="A1048">
        <v>1044</v>
      </c>
      <c r="B1048" s="11">
        <v>571.7437284591915</v>
      </c>
      <c r="C1048" s="11">
        <v>-525.8569135633707</v>
      </c>
      <c r="D1048" s="11">
        <v>1029.6347686678791</v>
      </c>
    </row>
    <row r="1049" spans="1:4" x14ac:dyDescent="0.25">
      <c r="A1049">
        <v>1045</v>
      </c>
      <c r="B1049" s="11">
        <v>571.7437284591915</v>
      </c>
      <c r="C1049" s="11">
        <v>-454.59512344835196</v>
      </c>
      <c r="D1049" s="11">
        <v>1142.868326714244</v>
      </c>
    </row>
    <row r="1050" spans="1:4" x14ac:dyDescent="0.25">
      <c r="A1050">
        <v>1046</v>
      </c>
      <c r="B1050" s="11">
        <v>571.7437284591915</v>
      </c>
      <c r="C1050" s="11">
        <v>-498.21658641384636</v>
      </c>
      <c r="D1050" s="11">
        <v>1142.868326714244</v>
      </c>
    </row>
    <row r="1051" spans="1:4" x14ac:dyDescent="0.25">
      <c r="A1051">
        <v>1047</v>
      </c>
      <c r="B1051" s="11">
        <v>611.0432469422699</v>
      </c>
      <c r="C1051" s="11">
        <v>-498.21658641384636</v>
      </c>
      <c r="D1051" s="11">
        <v>1142.868326714244</v>
      </c>
    </row>
    <row r="1052" spans="1:4" x14ac:dyDescent="0.25">
      <c r="A1052">
        <v>1048</v>
      </c>
      <c r="B1052" s="11">
        <v>586.2842161143564</v>
      </c>
      <c r="C1052" s="11">
        <v>-453.15447528754663</v>
      </c>
      <c r="D1052" s="11">
        <v>238.91991883212071</v>
      </c>
    </row>
    <row r="1053" spans="1:4" x14ac:dyDescent="0.25">
      <c r="A1053">
        <v>1049</v>
      </c>
      <c r="B1053" s="11">
        <v>625.5837345974347</v>
      </c>
      <c r="C1053" s="11">
        <v>-496.775938253041</v>
      </c>
      <c r="D1053" s="11">
        <v>238.91991883212071</v>
      </c>
    </row>
    <row r="1054" spans="1:4" x14ac:dyDescent="0.25">
      <c r="A1054">
        <v>1050</v>
      </c>
      <c r="B1054" s="11">
        <v>629.9056790798506</v>
      </c>
      <c r="C1054" s="11">
        <v>-492.453993770625</v>
      </c>
      <c r="D1054" s="11">
        <v>238.91991883212071</v>
      </c>
    </row>
    <row r="1055" spans="1:4" x14ac:dyDescent="0.25">
      <c r="A1055">
        <v>1051</v>
      </c>
      <c r="B1055" s="11">
        <v>631.346327240656</v>
      </c>
      <c r="C1055" s="11">
        <v>-477.91350611546017</v>
      </c>
      <c r="D1055" s="11">
        <v>1142.868326714244</v>
      </c>
    </row>
    <row r="1056" spans="1:4" x14ac:dyDescent="0.25">
      <c r="A1056">
        <v>1052</v>
      </c>
      <c r="B1056" s="11">
        <v>631.346327240656</v>
      </c>
      <c r="C1056" s="11">
        <v>-438.6139876323818</v>
      </c>
      <c r="D1056" s="11">
        <v>1142.868326714244</v>
      </c>
    </row>
    <row r="1057" spans="1:4" x14ac:dyDescent="0.25">
      <c r="A1057">
        <v>1053</v>
      </c>
      <c r="B1057" s="11">
        <v>587.7248642751616</v>
      </c>
      <c r="C1057" s="11">
        <v>-438.61398763238185</v>
      </c>
      <c r="D1057" s="11">
        <v>1142.868326714244</v>
      </c>
    </row>
    <row r="1058" spans="1:4" x14ac:dyDescent="0.25">
      <c r="A1058">
        <v>1054</v>
      </c>
      <c r="B1058" s="11">
        <v>573.1843766199969</v>
      </c>
      <c r="C1058" s="11">
        <v>-367.35219751736315</v>
      </c>
      <c r="D1058" s="11">
        <v>1268.5546874999998</v>
      </c>
    </row>
    <row r="1059" spans="1:4" x14ac:dyDescent="0.25">
      <c r="A1059">
        <v>1055</v>
      </c>
      <c r="B1059" s="11">
        <v>573.1843766199969</v>
      </c>
      <c r="C1059" s="11">
        <v>-410.97366048285755</v>
      </c>
      <c r="D1059" s="11">
        <v>1268.5546874999998</v>
      </c>
    </row>
    <row r="1060" spans="1:4" x14ac:dyDescent="0.25">
      <c r="A1060">
        <v>1056</v>
      </c>
      <c r="B1060" s="11">
        <v>616.8058395854912</v>
      </c>
      <c r="C1060" s="11">
        <v>-410.97366048285755</v>
      </c>
      <c r="D1060" s="11">
        <v>1268.5546874999998</v>
      </c>
    </row>
    <row r="1061" spans="1:4" x14ac:dyDescent="0.25">
      <c r="A1061">
        <v>1057</v>
      </c>
      <c r="B1061" s="11">
        <v>631.346327240656</v>
      </c>
      <c r="C1061" s="11">
        <v>-396.4331728276928</v>
      </c>
      <c r="D1061" s="11">
        <v>1268.5546874999998</v>
      </c>
    </row>
    <row r="1062" spans="1:4" x14ac:dyDescent="0.25">
      <c r="A1062">
        <v>1058</v>
      </c>
      <c r="B1062" s="11">
        <v>631.346327240656</v>
      </c>
      <c r="C1062" s="11">
        <v>-352.81170986219837</v>
      </c>
      <c r="D1062" s="11">
        <v>1268.5546874999998</v>
      </c>
    </row>
    <row r="1063" spans="1:4" x14ac:dyDescent="0.25">
      <c r="A1063">
        <v>1059</v>
      </c>
      <c r="B1063" s="11">
        <v>587.7248642751616</v>
      </c>
      <c r="C1063" s="11">
        <v>-352.81170986219837</v>
      </c>
      <c r="D1063" s="11">
        <v>1268.5546874999998</v>
      </c>
    </row>
    <row r="1064" spans="1:4" x14ac:dyDescent="0.25">
      <c r="A1064">
        <v>1060</v>
      </c>
      <c r="B1064" s="11">
        <v>573.1843766199969</v>
      </c>
      <c r="C1064" s="11">
        <v>-280.10927158637435</v>
      </c>
      <c r="D1064" s="11">
        <v>1268.5546874999998</v>
      </c>
    </row>
    <row r="1065" spans="1:4" x14ac:dyDescent="0.25">
      <c r="A1065">
        <v>1061</v>
      </c>
      <c r="B1065" s="11">
        <v>573.1843766199969</v>
      </c>
      <c r="C1065" s="11">
        <v>-323.7307345518688</v>
      </c>
      <c r="D1065" s="11">
        <v>1268.5546874999998</v>
      </c>
    </row>
    <row r="1066" spans="1:4" x14ac:dyDescent="0.25">
      <c r="A1066">
        <v>1062</v>
      </c>
      <c r="B1066" s="11">
        <v>616.8058395854912</v>
      </c>
      <c r="C1066" s="11">
        <v>-323.73073455186875</v>
      </c>
      <c r="D1066" s="11">
        <v>1268.5546874999998</v>
      </c>
    </row>
    <row r="1067" spans="1:4" x14ac:dyDescent="0.25">
      <c r="A1067">
        <v>1063</v>
      </c>
      <c r="B1067" s="11">
        <v>631.346327240656</v>
      </c>
      <c r="C1067" s="11">
        <v>-309.190246896704</v>
      </c>
      <c r="D1067" s="11">
        <v>1268.5546874999998</v>
      </c>
    </row>
    <row r="1068" spans="1:4" x14ac:dyDescent="0.25">
      <c r="A1068">
        <v>1064</v>
      </c>
      <c r="B1068" s="11">
        <v>631.346327240656</v>
      </c>
      <c r="C1068" s="11">
        <v>-265.56878393120957</v>
      </c>
      <c r="D1068" s="11">
        <v>1268.5546874999998</v>
      </c>
    </row>
    <row r="1069" spans="1:4" x14ac:dyDescent="0.25">
      <c r="A1069">
        <v>1065</v>
      </c>
      <c r="B1069" s="11">
        <v>587.7248642751616</v>
      </c>
      <c r="C1069" s="11">
        <v>-265.56878393120957</v>
      </c>
      <c r="D1069" s="11">
        <v>1268.5546874999998</v>
      </c>
    </row>
    <row r="1070" spans="1:4" x14ac:dyDescent="0.25">
      <c r="A1070">
        <v>1066</v>
      </c>
      <c r="B1070" s="11">
        <v>573.1843766199969</v>
      </c>
      <c r="C1070" s="11">
        <v>-192.86634565538557</v>
      </c>
      <c r="D1070" s="11">
        <v>1268.5546874999998</v>
      </c>
    </row>
    <row r="1071" spans="1:4" x14ac:dyDescent="0.25">
      <c r="A1071">
        <v>1067</v>
      </c>
      <c r="B1071" s="11">
        <v>573.1843766199969</v>
      </c>
      <c r="C1071" s="11">
        <v>-236.48780862087997</v>
      </c>
      <c r="D1071" s="11">
        <v>1268.5546874999998</v>
      </c>
    </row>
    <row r="1072" spans="1:4" x14ac:dyDescent="0.25">
      <c r="A1072">
        <v>1068</v>
      </c>
      <c r="B1072" s="11">
        <v>616.8058395854912</v>
      </c>
      <c r="C1072" s="11">
        <v>-236.48780862087997</v>
      </c>
      <c r="D1072" s="11">
        <v>1268.5546874999998</v>
      </c>
    </row>
    <row r="1073" spans="1:4" x14ac:dyDescent="0.25">
      <c r="A1073">
        <v>1069</v>
      </c>
      <c r="B1073" s="11">
        <v>631.346327240656</v>
      </c>
      <c r="C1073" s="11">
        <v>-221.9473209657152</v>
      </c>
      <c r="D1073" s="11">
        <v>1268.5546874999998</v>
      </c>
    </row>
    <row r="1074" spans="1:4" x14ac:dyDescent="0.25">
      <c r="A1074">
        <v>1070</v>
      </c>
      <c r="B1074" s="11">
        <v>631.346327240656</v>
      </c>
      <c r="C1074" s="11">
        <v>-178.3258580002208</v>
      </c>
      <c r="D1074" s="11">
        <v>1268.5546874999998</v>
      </c>
    </row>
    <row r="1075" spans="1:4" x14ac:dyDescent="0.25">
      <c r="A1075">
        <v>1071</v>
      </c>
      <c r="B1075" s="11">
        <v>587.7248642751616</v>
      </c>
      <c r="C1075" s="11">
        <v>-178.32585800022076</v>
      </c>
      <c r="D1075" s="11">
        <v>1268.5546874999998</v>
      </c>
    </row>
    <row r="1076" spans="1:4" x14ac:dyDescent="0.25">
      <c r="A1076">
        <v>1072</v>
      </c>
      <c r="B1076" s="11">
        <v>573.1843766199969</v>
      </c>
      <c r="C1076" s="11">
        <v>-105.62341972439677</v>
      </c>
      <c r="D1076" s="11">
        <v>1268.5546874999998</v>
      </c>
    </row>
    <row r="1077" spans="1:4" x14ac:dyDescent="0.25">
      <c r="A1077">
        <v>1073</v>
      </c>
      <c r="B1077" s="11">
        <v>573.1843766199969</v>
      </c>
      <c r="C1077" s="11">
        <v>-149.24488268989117</v>
      </c>
      <c r="D1077" s="11">
        <v>1268.5546874999998</v>
      </c>
    </row>
    <row r="1078" spans="1:4" x14ac:dyDescent="0.25">
      <c r="A1078">
        <v>1074</v>
      </c>
      <c r="B1078" s="11">
        <v>616.8058395854912</v>
      </c>
      <c r="C1078" s="11">
        <v>-149.24488268989117</v>
      </c>
      <c r="D1078" s="11">
        <v>1268.5546874999998</v>
      </c>
    </row>
    <row r="1079" spans="1:4" x14ac:dyDescent="0.25">
      <c r="A1079">
        <v>1075</v>
      </c>
      <c r="B1079" s="11">
        <v>631.346327240656</v>
      </c>
      <c r="C1079" s="11">
        <v>-134.70439503472636</v>
      </c>
      <c r="D1079" s="11">
        <v>1268.5546874999998</v>
      </c>
    </row>
    <row r="1080" spans="1:4" x14ac:dyDescent="0.25">
      <c r="A1080">
        <v>1076</v>
      </c>
      <c r="B1080" s="11">
        <v>631.346327240656</v>
      </c>
      <c r="C1080" s="11">
        <v>-91.08293206923197</v>
      </c>
      <c r="D1080" s="11">
        <v>1268.5546874999998</v>
      </c>
    </row>
    <row r="1081" spans="1:4" x14ac:dyDescent="0.25">
      <c r="A1081">
        <v>1077</v>
      </c>
      <c r="B1081" s="11">
        <v>587.7248642751616</v>
      </c>
      <c r="C1081" s="11">
        <v>-91.08293206923197</v>
      </c>
      <c r="D1081" s="11">
        <v>1268.5546874999998</v>
      </c>
    </row>
    <row r="1082" spans="1:4" x14ac:dyDescent="0.25">
      <c r="A1082">
        <v>1078</v>
      </c>
      <c r="B1082" s="11">
        <v>573.1843766199969</v>
      </c>
      <c r="C1082" s="11">
        <v>-18.380493793407975</v>
      </c>
      <c r="D1082" s="11">
        <v>1268.5546874999998</v>
      </c>
    </row>
    <row r="1083" spans="1:4" x14ac:dyDescent="0.25">
      <c r="A1083">
        <v>1079</v>
      </c>
      <c r="B1083" s="11">
        <v>573.1843766199969</v>
      </c>
      <c r="C1083" s="11">
        <v>-62.001956758902374</v>
      </c>
      <c r="D1083" s="11">
        <v>1268.5546874999998</v>
      </c>
    </row>
    <row r="1084" spans="1:4" x14ac:dyDescent="0.25">
      <c r="A1084">
        <v>1080</v>
      </c>
      <c r="B1084" s="11">
        <v>616.8058395854912</v>
      </c>
      <c r="C1084" s="11">
        <v>-62.001956758902374</v>
      </c>
      <c r="D1084" s="11">
        <v>1268.5546874999998</v>
      </c>
    </row>
    <row r="1085" spans="1:4" x14ac:dyDescent="0.25">
      <c r="A1085">
        <v>1081</v>
      </c>
      <c r="B1085" s="11">
        <v>631.346327240656</v>
      </c>
      <c r="C1085" s="11">
        <v>-47.46146910373757</v>
      </c>
      <c r="D1085" s="11">
        <v>1268.5546874999998</v>
      </c>
    </row>
    <row r="1086" spans="1:4" x14ac:dyDescent="0.25">
      <c r="A1086">
        <v>1082</v>
      </c>
      <c r="B1086" s="11">
        <v>631.346327240656</v>
      </c>
      <c r="C1086" s="11">
        <v>-3.840006138243174</v>
      </c>
      <c r="D1086" s="11">
        <v>1268.5546874999998</v>
      </c>
    </row>
    <row r="1087" spans="1:4" x14ac:dyDescent="0.25">
      <c r="A1087">
        <v>1083</v>
      </c>
      <c r="B1087" s="11">
        <v>587.7248642751616</v>
      </c>
      <c r="C1087" s="11">
        <v>-3.840006138243173</v>
      </c>
      <c r="D1087" s="11">
        <v>1268.5546874999998</v>
      </c>
    </row>
    <row r="1088" spans="1:4" x14ac:dyDescent="0.25">
      <c r="A1088">
        <v>1084</v>
      </c>
      <c r="B1088" s="11">
        <v>573.1843766199969</v>
      </c>
      <c r="C1088" s="11">
        <v>68.86243213758081</v>
      </c>
      <c r="D1088" s="11">
        <v>1268.5546874999998</v>
      </c>
    </row>
    <row r="1089" spans="1:4" x14ac:dyDescent="0.25">
      <c r="A1089">
        <v>1085</v>
      </c>
      <c r="B1089" s="11">
        <v>573.1843766199969</v>
      </c>
      <c r="C1089" s="11">
        <v>25.240969172086423</v>
      </c>
      <c r="D1089" s="11">
        <v>1268.5546874999998</v>
      </c>
    </row>
    <row r="1090" spans="1:4" x14ac:dyDescent="0.25">
      <c r="A1090">
        <v>1086</v>
      </c>
      <c r="B1090" s="11">
        <v>616.8058395854912</v>
      </c>
      <c r="C1090" s="11">
        <v>25.240969172086423</v>
      </c>
      <c r="D1090" s="11">
        <v>1268.5546874999998</v>
      </c>
    </row>
    <row r="1091" spans="1:4" x14ac:dyDescent="0.25">
      <c r="A1091">
        <v>1087</v>
      </c>
      <c r="B1091" s="11">
        <v>631.346327240656</v>
      </c>
      <c r="C1091" s="11">
        <v>39.78145682725122</v>
      </c>
      <c r="D1091" s="11">
        <v>1268.5546874999998</v>
      </c>
    </row>
    <row r="1092" spans="1:4" x14ac:dyDescent="0.25">
      <c r="A1092">
        <v>1088</v>
      </c>
      <c r="B1092" s="11">
        <v>631.346327240656</v>
      </c>
      <c r="C1092" s="11">
        <v>83.40291979274562</v>
      </c>
      <c r="D1092" s="11">
        <v>1268.5546874999998</v>
      </c>
    </row>
    <row r="1093" spans="1:4" x14ac:dyDescent="0.25">
      <c r="A1093">
        <v>1089</v>
      </c>
      <c r="B1093" s="11">
        <v>587.7248642751616</v>
      </c>
      <c r="C1093" s="11">
        <v>83.40291979274562</v>
      </c>
      <c r="D1093" s="11">
        <v>1268.5546874999998</v>
      </c>
    </row>
    <row r="1094" spans="1:4" x14ac:dyDescent="0.25">
      <c r="A1094">
        <v>1090</v>
      </c>
      <c r="B1094" s="11">
        <v>573.1843766199969</v>
      </c>
      <c r="C1094" s="11">
        <v>156.10535806856961</v>
      </c>
      <c r="D1094" s="11">
        <v>1268.5546874999998</v>
      </c>
    </row>
    <row r="1095" spans="1:4" x14ac:dyDescent="0.25">
      <c r="A1095">
        <v>1091</v>
      </c>
      <c r="B1095" s="11">
        <v>573.1843766199969</v>
      </c>
      <c r="C1095" s="11">
        <v>112.48389510307521</v>
      </c>
      <c r="D1095" s="11">
        <v>1268.5546874999998</v>
      </c>
    </row>
    <row r="1096" spans="1:4" x14ac:dyDescent="0.25">
      <c r="A1096">
        <v>1092</v>
      </c>
      <c r="B1096" s="11">
        <v>616.8058395854912</v>
      </c>
      <c r="C1096" s="11">
        <v>112.48389510307521</v>
      </c>
      <c r="D1096" s="11">
        <v>1268.5546874999998</v>
      </c>
    </row>
    <row r="1097" spans="1:4" x14ac:dyDescent="0.25">
      <c r="A1097">
        <v>1093</v>
      </c>
      <c r="B1097" s="11">
        <v>631.346327240656</v>
      </c>
      <c r="C1097" s="11">
        <v>127.02438275824002</v>
      </c>
      <c r="D1097" s="11">
        <v>1268.5546874999998</v>
      </c>
    </row>
    <row r="1098" spans="1:4" x14ac:dyDescent="0.25">
      <c r="A1098">
        <v>1094</v>
      </c>
      <c r="B1098" s="11">
        <v>631.346327240656</v>
      </c>
      <c r="C1098" s="11">
        <v>170.64584572373442</v>
      </c>
      <c r="D1098" s="11">
        <v>1268.5546874999998</v>
      </c>
    </row>
    <row r="1099" spans="1:4" x14ac:dyDescent="0.25">
      <c r="A1099">
        <v>1095</v>
      </c>
      <c r="B1099" s="11">
        <v>587.7248642751616</v>
      </c>
      <c r="C1099" s="11">
        <v>170.64584572373442</v>
      </c>
      <c r="D1099" s="11">
        <v>1268.5546874999998</v>
      </c>
    </row>
    <row r="1100" spans="1:4" x14ac:dyDescent="0.25">
      <c r="A1100">
        <v>1096</v>
      </c>
      <c r="B1100" s="11">
        <v>573.1843766199969</v>
      </c>
      <c r="C1100" s="11">
        <v>243.34828399955842</v>
      </c>
      <c r="D1100" s="11">
        <v>1268.5546874999998</v>
      </c>
    </row>
    <row r="1101" spans="1:4" x14ac:dyDescent="0.25">
      <c r="A1101">
        <v>1097</v>
      </c>
      <c r="B1101" s="11">
        <v>573.1843766199969</v>
      </c>
      <c r="C1101" s="11">
        <v>199.72682103406402</v>
      </c>
      <c r="D1101" s="11">
        <v>1268.5546874999998</v>
      </c>
    </row>
    <row r="1102" spans="1:4" x14ac:dyDescent="0.25">
      <c r="A1102">
        <v>1098</v>
      </c>
      <c r="B1102" s="11">
        <v>616.8058395854912</v>
      </c>
      <c r="C1102" s="11">
        <v>199.72682103406402</v>
      </c>
      <c r="D1102" s="11">
        <v>1268.5546874999998</v>
      </c>
    </row>
    <row r="1103" spans="1:4" x14ac:dyDescent="0.25">
      <c r="A1103">
        <v>1099</v>
      </c>
      <c r="B1103" s="11">
        <v>631.346327240656</v>
      </c>
      <c r="C1103" s="11">
        <v>214.2673086892288</v>
      </c>
      <c r="D1103" s="11">
        <v>1268.5546874999998</v>
      </c>
    </row>
    <row r="1104" spans="1:4" x14ac:dyDescent="0.25">
      <c r="A1104">
        <v>1100</v>
      </c>
      <c r="B1104" s="11">
        <v>631.346327240656</v>
      </c>
      <c r="C1104" s="11">
        <v>257.8887716547232</v>
      </c>
      <c r="D1104" s="11">
        <v>1268.5546874999998</v>
      </c>
    </row>
    <row r="1105" spans="1:4" x14ac:dyDescent="0.25">
      <c r="A1105">
        <v>1101</v>
      </c>
      <c r="B1105" s="11">
        <v>587.7248642751616</v>
      </c>
      <c r="C1105" s="11">
        <v>257.8887716547232</v>
      </c>
      <c r="D1105" s="11">
        <v>1268.5546874999998</v>
      </c>
    </row>
    <row r="1106" spans="1:4" x14ac:dyDescent="0.25">
      <c r="A1106">
        <v>1102</v>
      </c>
      <c r="B1106" s="11">
        <v>573.1843766199969</v>
      </c>
      <c r="C1106" s="11">
        <v>330.5912099305472</v>
      </c>
      <c r="D1106" s="11">
        <v>1268.5546874999998</v>
      </c>
    </row>
    <row r="1107" spans="1:4" x14ac:dyDescent="0.25">
      <c r="A1107">
        <v>1103</v>
      </c>
      <c r="B1107" s="11">
        <v>573.1843766199969</v>
      </c>
      <c r="C1107" s="11">
        <v>286.9697469650528</v>
      </c>
      <c r="D1107" s="11">
        <v>1268.5546874999998</v>
      </c>
    </row>
    <row r="1108" spans="1:4" x14ac:dyDescent="0.25">
      <c r="A1108">
        <v>1104</v>
      </c>
      <c r="B1108" s="11">
        <v>616.8058395854912</v>
      </c>
      <c r="C1108" s="11">
        <v>286.9697469650528</v>
      </c>
      <c r="D1108" s="11">
        <v>1268.5546874999998</v>
      </c>
    </row>
    <row r="1109" spans="1:4" x14ac:dyDescent="0.25">
      <c r="A1109">
        <v>1105</v>
      </c>
      <c r="B1109" s="11">
        <v>631.346327240656</v>
      </c>
      <c r="C1109" s="11">
        <v>301.5102346202176</v>
      </c>
      <c r="D1109" s="11">
        <v>1268.5546874999998</v>
      </c>
    </row>
    <row r="1110" spans="1:4" x14ac:dyDescent="0.25">
      <c r="A1110">
        <v>1106</v>
      </c>
      <c r="B1110" s="11">
        <v>631.346327240656</v>
      </c>
      <c r="C1110" s="11">
        <v>345.13169758571206</v>
      </c>
      <c r="D1110" s="11">
        <v>1268.5546874999998</v>
      </c>
    </row>
    <row r="1111" spans="1:4" x14ac:dyDescent="0.25">
      <c r="A1111">
        <v>1107</v>
      </c>
      <c r="B1111" s="11">
        <v>587.7248642751616</v>
      </c>
      <c r="C1111" s="11">
        <v>345.131697585712</v>
      </c>
      <c r="D1111" s="11">
        <v>1268.5546874999998</v>
      </c>
    </row>
    <row r="1112" spans="1:4" x14ac:dyDescent="0.25">
      <c r="A1112">
        <v>1108</v>
      </c>
      <c r="B1112" s="11">
        <v>573.1843766199969</v>
      </c>
      <c r="C1112" s="11">
        <v>417.8341358615361</v>
      </c>
      <c r="D1112" s="11">
        <v>1268.5546874999998</v>
      </c>
    </row>
    <row r="1113" spans="1:4" x14ac:dyDescent="0.25">
      <c r="A1113">
        <v>1109</v>
      </c>
      <c r="B1113" s="11">
        <v>573.1843766199969</v>
      </c>
      <c r="C1113" s="11">
        <v>374.2126728960416</v>
      </c>
      <c r="D1113" s="11">
        <v>1268.5546874999998</v>
      </c>
    </row>
    <row r="1114" spans="1:4" x14ac:dyDescent="0.25">
      <c r="A1114">
        <v>1110</v>
      </c>
      <c r="B1114" s="11">
        <v>616.8058395854912</v>
      </c>
      <c r="C1114" s="11">
        <v>374.2126728960416</v>
      </c>
      <c r="D1114" s="11">
        <v>1268.5546874999998</v>
      </c>
    </row>
    <row r="1115" spans="1:4" x14ac:dyDescent="0.25">
      <c r="A1115">
        <v>1111</v>
      </c>
      <c r="B1115" s="11">
        <v>631.346327240656</v>
      </c>
      <c r="C1115" s="11">
        <v>388.7531605512064</v>
      </c>
      <c r="D1115" s="11">
        <v>1268.5546874999998</v>
      </c>
    </row>
    <row r="1116" spans="1:4" x14ac:dyDescent="0.25">
      <c r="A1116">
        <v>1112</v>
      </c>
      <c r="B1116" s="11">
        <v>631.346327240656</v>
      </c>
      <c r="C1116" s="11">
        <v>432.37462351670086</v>
      </c>
      <c r="D1116" s="11">
        <v>1268.5546874999998</v>
      </c>
    </row>
    <row r="1117" spans="1:4" x14ac:dyDescent="0.25">
      <c r="A1117">
        <v>1113</v>
      </c>
      <c r="B1117" s="11">
        <v>587.7248642751616</v>
      </c>
      <c r="C1117" s="11">
        <v>432.3746235167008</v>
      </c>
      <c r="D1117" s="11">
        <v>1268.5546874999998</v>
      </c>
    </row>
    <row r="1118" spans="1:4" x14ac:dyDescent="0.25">
      <c r="A1118">
        <v>1114</v>
      </c>
      <c r="B1118" s="11">
        <v>573.1843766199969</v>
      </c>
      <c r="C1118" s="11">
        <v>505.07706179252483</v>
      </c>
      <c r="D1118" s="11">
        <v>1268.5546874999998</v>
      </c>
    </row>
    <row r="1119" spans="1:4" x14ac:dyDescent="0.25">
      <c r="A1119">
        <v>1115</v>
      </c>
      <c r="B1119" s="11">
        <v>573.1843766199969</v>
      </c>
      <c r="C1119" s="11">
        <v>461.4555988270304</v>
      </c>
      <c r="D1119" s="11">
        <v>1268.5546874999998</v>
      </c>
    </row>
    <row r="1120" spans="1:4" x14ac:dyDescent="0.25">
      <c r="A1120">
        <v>1116</v>
      </c>
      <c r="B1120" s="11">
        <v>616.8058395854912</v>
      </c>
      <c r="C1120" s="11">
        <v>461.4555988270304</v>
      </c>
      <c r="D1120" s="11">
        <v>1268.5546874999998</v>
      </c>
    </row>
    <row r="1121" spans="1:4" x14ac:dyDescent="0.25">
      <c r="A1121">
        <v>1117</v>
      </c>
      <c r="B1121" s="11">
        <v>587.7248642751616</v>
      </c>
      <c r="C1121" s="11">
        <v>514.6100741145771</v>
      </c>
      <c r="D1121" s="11">
        <v>831.687887912008</v>
      </c>
    </row>
    <row r="1122" spans="1:4" x14ac:dyDescent="0.25">
      <c r="A1122">
        <v>1118</v>
      </c>
      <c r="B1122" s="11">
        <v>631.346327240656</v>
      </c>
      <c r="C1122" s="11">
        <v>470.98861114908266</v>
      </c>
      <c r="D1122" s="11">
        <v>831.687887912008</v>
      </c>
    </row>
    <row r="1123" spans="1:4" x14ac:dyDescent="0.25">
      <c r="A1123">
        <v>1119</v>
      </c>
      <c r="B1123" s="11">
        <v>631.346327240656</v>
      </c>
      <c r="C1123" s="11">
        <v>499.5876481152394</v>
      </c>
      <c r="D1123" s="11">
        <v>831.687887912008</v>
      </c>
    </row>
    <row r="1124" spans="1:4" x14ac:dyDescent="0.25">
      <c r="A1124">
        <v>1120</v>
      </c>
      <c r="B1124" s="11">
        <v>626.3388519075435</v>
      </c>
      <c r="C1124" s="11">
        <v>514.1281357704042</v>
      </c>
      <c r="D1124" s="11">
        <v>286.41794431760786</v>
      </c>
    </row>
    <row r="1125" spans="1:4" x14ac:dyDescent="0.25">
      <c r="A1125">
        <v>1121</v>
      </c>
      <c r="B1125" s="11">
        <v>611.3164259082058</v>
      </c>
      <c r="C1125" s="11">
        <v>529.1505617697419</v>
      </c>
      <c r="D1125" s="11">
        <v>286.41794431760786</v>
      </c>
    </row>
    <row r="1126" spans="1:4" x14ac:dyDescent="0.25">
      <c r="A1126">
        <v>1122</v>
      </c>
      <c r="B1126" s="11">
        <v>582.7173889420491</v>
      </c>
      <c r="C1126" s="11">
        <v>529.1505617697419</v>
      </c>
      <c r="D1126" s="11">
        <v>286.41794431760786</v>
      </c>
    </row>
    <row r="1127" spans="1:4" x14ac:dyDescent="0.25">
      <c r="A1127">
        <v>1123</v>
      </c>
      <c r="B1127" s="11">
        <v>568.1769012868842</v>
      </c>
      <c r="C1127" s="11">
        <v>543.6910494249066</v>
      </c>
      <c r="D1127" s="11">
        <v>545.2699435944</v>
      </c>
    </row>
    <row r="1128" spans="1:4" x14ac:dyDescent="0.25">
      <c r="A1128">
        <v>1124</v>
      </c>
      <c r="B1128" s="11">
        <v>596.775938253041</v>
      </c>
      <c r="C1128" s="11">
        <v>543.6910494249066</v>
      </c>
      <c r="D1128" s="11">
        <v>545.2699435944</v>
      </c>
    </row>
    <row r="1129" spans="1:4" x14ac:dyDescent="0.25">
      <c r="A1129">
        <v>1125</v>
      </c>
      <c r="B1129" s="11">
        <v>568.1769012868842</v>
      </c>
      <c r="C1129" s="11">
        <v>572.2900863910634</v>
      </c>
      <c r="D1129" s="11">
        <v>545.2699435944</v>
      </c>
    </row>
    <row r="1130" spans="1:4" x14ac:dyDescent="0.25">
      <c r="A1130">
        <v>1126</v>
      </c>
      <c r="B1130" s="11">
        <v>658.9866543901803</v>
      </c>
      <c r="C1130" s="11">
        <v>-477.91350611546017</v>
      </c>
      <c r="D1130" s="11">
        <v>1029.6347686678791</v>
      </c>
    </row>
    <row r="1131" spans="1:4" x14ac:dyDescent="0.25">
      <c r="A1131">
        <v>1127</v>
      </c>
      <c r="B1131" s="11">
        <v>698.2861728732587</v>
      </c>
      <c r="C1131" s="11">
        <v>-438.6139876323818</v>
      </c>
      <c r="D1131" s="11">
        <v>1029.6347686678791</v>
      </c>
    </row>
    <row r="1132" spans="1:4" x14ac:dyDescent="0.25">
      <c r="A1132">
        <v>1128</v>
      </c>
      <c r="B1132" s="11">
        <v>658.9866543901803</v>
      </c>
      <c r="C1132" s="11">
        <v>-438.61398763238185</v>
      </c>
      <c r="D1132" s="11">
        <v>1029.6347686678791</v>
      </c>
    </row>
    <row r="1133" spans="1:4" x14ac:dyDescent="0.25">
      <c r="A1133">
        <v>1129</v>
      </c>
      <c r="B1133" s="11">
        <v>658.9866543901803</v>
      </c>
      <c r="C1133" s="11">
        <v>-367.35219751736315</v>
      </c>
      <c r="D1133" s="11">
        <v>1142.868326714244</v>
      </c>
    </row>
    <row r="1134" spans="1:4" x14ac:dyDescent="0.25">
      <c r="A1134">
        <v>1130</v>
      </c>
      <c r="B1134" s="11">
        <v>658.9866543901803</v>
      </c>
      <c r="C1134" s="11">
        <v>-410.97366048285755</v>
      </c>
      <c r="D1134" s="11">
        <v>1142.868326714244</v>
      </c>
    </row>
    <row r="1135" spans="1:4" x14ac:dyDescent="0.25">
      <c r="A1135">
        <v>1131</v>
      </c>
      <c r="B1135" s="11">
        <v>698.2861728732587</v>
      </c>
      <c r="C1135" s="11">
        <v>-410.97366048285755</v>
      </c>
      <c r="D1135" s="11">
        <v>1142.868326714244</v>
      </c>
    </row>
    <row r="1136" spans="1:4" x14ac:dyDescent="0.25">
      <c r="A1136">
        <v>1132</v>
      </c>
      <c r="B1136" s="11">
        <v>673.527142045345</v>
      </c>
      <c r="C1136" s="11">
        <v>-365.9115493565578</v>
      </c>
      <c r="D1136" s="11">
        <v>238.91991883212071</v>
      </c>
    </row>
    <row r="1137" spans="1:4" x14ac:dyDescent="0.25">
      <c r="A1137">
        <v>1133</v>
      </c>
      <c r="B1137" s="11">
        <v>712.8266605284234</v>
      </c>
      <c r="C1137" s="11">
        <v>-409.53301232205223</v>
      </c>
      <c r="D1137" s="11">
        <v>238.91991883212071</v>
      </c>
    </row>
    <row r="1138" spans="1:4" x14ac:dyDescent="0.25">
      <c r="A1138">
        <v>1134</v>
      </c>
      <c r="B1138" s="11">
        <v>717.1486050108394</v>
      </c>
      <c r="C1138" s="11">
        <v>-405.2110678396362</v>
      </c>
      <c r="D1138" s="11">
        <v>238.91991883212071</v>
      </c>
    </row>
    <row r="1139" spans="1:4" x14ac:dyDescent="0.25">
      <c r="A1139">
        <v>1135</v>
      </c>
      <c r="B1139" s="11">
        <v>718.5892531716448</v>
      </c>
      <c r="C1139" s="11">
        <v>-390.6705801844714</v>
      </c>
      <c r="D1139" s="11">
        <v>1142.868326714244</v>
      </c>
    </row>
    <row r="1140" spans="1:4" x14ac:dyDescent="0.25">
      <c r="A1140">
        <v>1136</v>
      </c>
      <c r="B1140" s="11">
        <v>718.5892531716448</v>
      </c>
      <c r="C1140" s="11">
        <v>-351.37106170139305</v>
      </c>
      <c r="D1140" s="11">
        <v>1142.868326714244</v>
      </c>
    </row>
    <row r="1141" spans="1:4" x14ac:dyDescent="0.25">
      <c r="A1141">
        <v>1137</v>
      </c>
      <c r="B1141" s="11">
        <v>674.9677902061504</v>
      </c>
      <c r="C1141" s="11">
        <v>-351.37106170139305</v>
      </c>
      <c r="D1141" s="11">
        <v>1142.868326714244</v>
      </c>
    </row>
    <row r="1142" spans="1:4" x14ac:dyDescent="0.25">
      <c r="A1142">
        <v>1138</v>
      </c>
      <c r="B1142" s="11">
        <v>660.4273025509856</v>
      </c>
      <c r="C1142" s="11">
        <v>-280.10927158637435</v>
      </c>
      <c r="D1142" s="11">
        <v>1268.5546874999998</v>
      </c>
    </row>
    <row r="1143" spans="1:4" x14ac:dyDescent="0.25">
      <c r="A1143">
        <v>1139</v>
      </c>
      <c r="B1143" s="11">
        <v>660.4273025509856</v>
      </c>
      <c r="C1143" s="11">
        <v>-323.7307345518688</v>
      </c>
      <c r="D1143" s="11">
        <v>1268.5546874999998</v>
      </c>
    </row>
    <row r="1144" spans="1:4" x14ac:dyDescent="0.25">
      <c r="A1144">
        <v>1140</v>
      </c>
      <c r="B1144" s="11">
        <v>704.04876551648</v>
      </c>
      <c r="C1144" s="11">
        <v>-323.73073455186875</v>
      </c>
      <c r="D1144" s="11">
        <v>1268.5546874999998</v>
      </c>
    </row>
    <row r="1145" spans="1:4" x14ac:dyDescent="0.25">
      <c r="A1145">
        <v>1141</v>
      </c>
      <c r="B1145" s="11">
        <v>718.5892531716448</v>
      </c>
      <c r="C1145" s="11">
        <v>-309.190246896704</v>
      </c>
      <c r="D1145" s="11">
        <v>1268.5546874999998</v>
      </c>
    </row>
    <row r="1146" spans="1:4" x14ac:dyDescent="0.25">
      <c r="A1146">
        <v>1142</v>
      </c>
      <c r="B1146" s="11">
        <v>718.5892531716448</v>
      </c>
      <c r="C1146" s="11">
        <v>-265.56878393120957</v>
      </c>
      <c r="D1146" s="11">
        <v>1268.5546874999998</v>
      </c>
    </row>
    <row r="1147" spans="1:4" x14ac:dyDescent="0.25">
      <c r="A1147">
        <v>1143</v>
      </c>
      <c r="B1147" s="11">
        <v>674.9677902061504</v>
      </c>
      <c r="C1147" s="11">
        <v>-265.56878393120957</v>
      </c>
      <c r="D1147" s="11">
        <v>1268.5546874999998</v>
      </c>
    </row>
    <row r="1148" spans="1:4" x14ac:dyDescent="0.25">
      <c r="A1148">
        <v>1144</v>
      </c>
      <c r="B1148" s="11">
        <v>660.4273025509856</v>
      </c>
      <c r="C1148" s="11">
        <v>-192.86634565538557</v>
      </c>
      <c r="D1148" s="11">
        <v>1268.5546874999998</v>
      </c>
    </row>
    <row r="1149" spans="1:4" x14ac:dyDescent="0.25">
      <c r="A1149">
        <v>1145</v>
      </c>
      <c r="B1149" s="11">
        <v>660.4273025509856</v>
      </c>
      <c r="C1149" s="11">
        <v>-236.48780862087997</v>
      </c>
      <c r="D1149" s="11">
        <v>1268.5546874999998</v>
      </c>
    </row>
    <row r="1150" spans="1:4" x14ac:dyDescent="0.25">
      <c r="A1150">
        <v>1146</v>
      </c>
      <c r="B1150" s="11">
        <v>704.04876551648</v>
      </c>
      <c r="C1150" s="11">
        <v>-236.48780862087997</v>
      </c>
      <c r="D1150" s="11">
        <v>1268.5546874999998</v>
      </c>
    </row>
    <row r="1151" spans="1:4" x14ac:dyDescent="0.25">
      <c r="A1151">
        <v>1147</v>
      </c>
      <c r="B1151" s="11">
        <v>718.5892531716448</v>
      </c>
      <c r="C1151" s="11">
        <v>-221.9473209657152</v>
      </c>
      <c r="D1151" s="11">
        <v>1268.5546874999998</v>
      </c>
    </row>
    <row r="1152" spans="1:4" x14ac:dyDescent="0.25">
      <c r="A1152">
        <v>1148</v>
      </c>
      <c r="B1152" s="11">
        <v>718.5892531716448</v>
      </c>
      <c r="C1152" s="11">
        <v>-178.3258580002208</v>
      </c>
      <c r="D1152" s="11">
        <v>1268.5546874999998</v>
      </c>
    </row>
    <row r="1153" spans="1:4" x14ac:dyDescent="0.25">
      <c r="A1153">
        <v>1149</v>
      </c>
      <c r="B1153" s="11">
        <v>674.9677902061504</v>
      </c>
      <c r="C1153" s="11">
        <v>-178.32585800022076</v>
      </c>
      <c r="D1153" s="11">
        <v>1268.5546874999998</v>
      </c>
    </row>
    <row r="1154" spans="1:4" x14ac:dyDescent="0.25">
      <c r="A1154">
        <v>1150</v>
      </c>
      <c r="B1154" s="11">
        <v>660.4273025509856</v>
      </c>
      <c r="C1154" s="11">
        <v>-105.62341972439677</v>
      </c>
      <c r="D1154" s="11">
        <v>1268.5546874999998</v>
      </c>
    </row>
    <row r="1155" spans="1:4" x14ac:dyDescent="0.25">
      <c r="A1155">
        <v>1151</v>
      </c>
      <c r="B1155" s="11">
        <v>660.4273025509856</v>
      </c>
      <c r="C1155" s="11">
        <v>-149.24488268989117</v>
      </c>
      <c r="D1155" s="11">
        <v>1268.5546874999998</v>
      </c>
    </row>
    <row r="1156" spans="1:4" x14ac:dyDescent="0.25">
      <c r="A1156">
        <v>1152</v>
      </c>
      <c r="B1156" s="11">
        <v>704.04876551648</v>
      </c>
      <c r="C1156" s="11">
        <v>-149.24488268989117</v>
      </c>
      <c r="D1156" s="11">
        <v>1268.5546874999998</v>
      </c>
    </row>
    <row r="1157" spans="1:4" x14ac:dyDescent="0.25">
      <c r="A1157">
        <v>1153</v>
      </c>
      <c r="B1157" s="11">
        <v>718.5892531716448</v>
      </c>
      <c r="C1157" s="11">
        <v>-134.70439503472636</v>
      </c>
      <c r="D1157" s="11">
        <v>1268.5546874999998</v>
      </c>
    </row>
    <row r="1158" spans="1:4" x14ac:dyDescent="0.25">
      <c r="A1158">
        <v>1154</v>
      </c>
      <c r="B1158" s="11">
        <v>718.5892531716448</v>
      </c>
      <c r="C1158" s="11">
        <v>-91.08293206923197</v>
      </c>
      <c r="D1158" s="11">
        <v>1268.5546874999998</v>
      </c>
    </row>
    <row r="1159" spans="1:4" x14ac:dyDescent="0.25">
      <c r="A1159">
        <v>1155</v>
      </c>
      <c r="B1159" s="11">
        <v>674.9677902061504</v>
      </c>
      <c r="C1159" s="11">
        <v>-91.08293206923197</v>
      </c>
      <c r="D1159" s="11">
        <v>1268.5546874999998</v>
      </c>
    </row>
    <row r="1160" spans="1:4" x14ac:dyDescent="0.25">
      <c r="A1160">
        <v>1156</v>
      </c>
      <c r="B1160" s="11">
        <v>660.4273025509856</v>
      </c>
      <c r="C1160" s="11">
        <v>-18.380493793407975</v>
      </c>
      <c r="D1160" s="11">
        <v>1268.5546874999998</v>
      </c>
    </row>
    <row r="1161" spans="1:4" x14ac:dyDescent="0.25">
      <c r="A1161">
        <v>1157</v>
      </c>
      <c r="B1161" s="11">
        <v>660.4273025509856</v>
      </c>
      <c r="C1161" s="11">
        <v>-62.001956758902374</v>
      </c>
      <c r="D1161" s="11">
        <v>1268.5546874999998</v>
      </c>
    </row>
    <row r="1162" spans="1:4" x14ac:dyDescent="0.25">
      <c r="A1162">
        <v>1158</v>
      </c>
      <c r="B1162" s="11">
        <v>704.04876551648</v>
      </c>
      <c r="C1162" s="11">
        <v>-62.001956758902374</v>
      </c>
      <c r="D1162" s="11">
        <v>1268.5546874999998</v>
      </c>
    </row>
    <row r="1163" spans="1:4" x14ac:dyDescent="0.25">
      <c r="A1163">
        <v>1159</v>
      </c>
      <c r="B1163" s="11">
        <v>718.5892531716448</v>
      </c>
      <c r="C1163" s="11">
        <v>-47.46146910373757</v>
      </c>
      <c r="D1163" s="11">
        <v>1268.5546874999998</v>
      </c>
    </row>
    <row r="1164" spans="1:4" x14ac:dyDescent="0.25">
      <c r="A1164">
        <v>1160</v>
      </c>
      <c r="B1164" s="11">
        <v>718.5892531716448</v>
      </c>
      <c r="C1164" s="11">
        <v>-3.840006138243174</v>
      </c>
      <c r="D1164" s="11">
        <v>1268.5546874999998</v>
      </c>
    </row>
    <row r="1165" spans="1:4" x14ac:dyDescent="0.25">
      <c r="A1165">
        <v>1161</v>
      </c>
      <c r="B1165" s="11">
        <v>674.9677902061504</v>
      </c>
      <c r="C1165" s="11">
        <v>-3.840006138243173</v>
      </c>
      <c r="D1165" s="11">
        <v>1268.5546874999998</v>
      </c>
    </row>
    <row r="1166" spans="1:4" x14ac:dyDescent="0.25">
      <c r="A1166">
        <v>1162</v>
      </c>
      <c r="B1166" s="11">
        <v>660.4273025509856</v>
      </c>
      <c r="C1166" s="11">
        <v>68.86243213758081</v>
      </c>
      <c r="D1166" s="11">
        <v>1268.5546874999998</v>
      </c>
    </row>
    <row r="1167" spans="1:4" x14ac:dyDescent="0.25">
      <c r="A1167">
        <v>1163</v>
      </c>
      <c r="B1167" s="11">
        <v>660.4273025509856</v>
      </c>
      <c r="C1167" s="11">
        <v>25.240969172086423</v>
      </c>
      <c r="D1167" s="11">
        <v>1268.5546874999998</v>
      </c>
    </row>
    <row r="1168" spans="1:4" x14ac:dyDescent="0.25">
      <c r="A1168">
        <v>1164</v>
      </c>
      <c r="B1168" s="11">
        <v>704.04876551648</v>
      </c>
      <c r="C1168" s="11">
        <v>25.240969172086423</v>
      </c>
      <c r="D1168" s="11">
        <v>1268.5546874999998</v>
      </c>
    </row>
    <row r="1169" spans="1:4" x14ac:dyDescent="0.25">
      <c r="A1169">
        <v>1165</v>
      </c>
      <c r="B1169" s="11">
        <v>718.5892531716448</v>
      </c>
      <c r="C1169" s="11">
        <v>39.78145682725122</v>
      </c>
      <c r="D1169" s="11">
        <v>1268.5546874999998</v>
      </c>
    </row>
    <row r="1170" spans="1:4" x14ac:dyDescent="0.25">
      <c r="A1170">
        <v>1166</v>
      </c>
      <c r="B1170" s="11">
        <v>718.5892531716448</v>
      </c>
      <c r="C1170" s="11">
        <v>83.40291979274562</v>
      </c>
      <c r="D1170" s="11">
        <v>1268.5546874999998</v>
      </c>
    </row>
    <row r="1171" spans="1:4" x14ac:dyDescent="0.25">
      <c r="A1171">
        <v>1167</v>
      </c>
      <c r="B1171" s="11">
        <v>674.9677902061504</v>
      </c>
      <c r="C1171" s="11">
        <v>83.40291979274562</v>
      </c>
      <c r="D1171" s="11">
        <v>1268.5546874999998</v>
      </c>
    </row>
    <row r="1172" spans="1:4" x14ac:dyDescent="0.25">
      <c r="A1172">
        <v>1168</v>
      </c>
      <c r="B1172" s="11">
        <v>660.4273025509856</v>
      </c>
      <c r="C1172" s="11">
        <v>156.10535806856961</v>
      </c>
      <c r="D1172" s="11">
        <v>1268.5546874999998</v>
      </c>
    </row>
    <row r="1173" spans="1:4" x14ac:dyDescent="0.25">
      <c r="A1173">
        <v>1169</v>
      </c>
      <c r="B1173" s="11">
        <v>660.4273025509856</v>
      </c>
      <c r="C1173" s="11">
        <v>112.48389510307521</v>
      </c>
      <c r="D1173" s="11">
        <v>1268.5546874999998</v>
      </c>
    </row>
    <row r="1174" spans="1:4" x14ac:dyDescent="0.25">
      <c r="A1174">
        <v>1170</v>
      </c>
      <c r="B1174" s="11">
        <v>704.04876551648</v>
      </c>
      <c r="C1174" s="11">
        <v>112.48389510307521</v>
      </c>
      <c r="D1174" s="11">
        <v>1268.5546874999998</v>
      </c>
    </row>
    <row r="1175" spans="1:4" x14ac:dyDescent="0.25">
      <c r="A1175">
        <v>1171</v>
      </c>
      <c r="B1175" s="11">
        <v>718.5892531716448</v>
      </c>
      <c r="C1175" s="11">
        <v>127.02438275824002</v>
      </c>
      <c r="D1175" s="11">
        <v>1268.5546874999998</v>
      </c>
    </row>
    <row r="1176" spans="1:4" x14ac:dyDescent="0.25">
      <c r="A1176">
        <v>1172</v>
      </c>
      <c r="B1176" s="11">
        <v>718.5892531716448</v>
      </c>
      <c r="C1176" s="11">
        <v>170.64584572373442</v>
      </c>
      <c r="D1176" s="11">
        <v>1268.5546874999998</v>
      </c>
    </row>
    <row r="1177" spans="1:4" x14ac:dyDescent="0.25">
      <c r="A1177">
        <v>1173</v>
      </c>
      <c r="B1177" s="11">
        <v>674.9677902061504</v>
      </c>
      <c r="C1177" s="11">
        <v>170.64584572373442</v>
      </c>
      <c r="D1177" s="11">
        <v>1268.5546874999998</v>
      </c>
    </row>
    <row r="1178" spans="1:4" x14ac:dyDescent="0.25">
      <c r="A1178">
        <v>1174</v>
      </c>
      <c r="B1178" s="11">
        <v>660.4273025509856</v>
      </c>
      <c r="C1178" s="11">
        <v>243.34828399955842</v>
      </c>
      <c r="D1178" s="11">
        <v>1268.5546874999998</v>
      </c>
    </row>
    <row r="1179" spans="1:4" x14ac:dyDescent="0.25">
      <c r="A1179">
        <v>1175</v>
      </c>
      <c r="B1179" s="11">
        <v>660.4273025509856</v>
      </c>
      <c r="C1179" s="11">
        <v>199.72682103406402</v>
      </c>
      <c r="D1179" s="11">
        <v>1268.5546874999998</v>
      </c>
    </row>
    <row r="1180" spans="1:4" x14ac:dyDescent="0.25">
      <c r="A1180">
        <v>1176</v>
      </c>
      <c r="B1180" s="11">
        <v>704.04876551648</v>
      </c>
      <c r="C1180" s="11">
        <v>199.72682103406402</v>
      </c>
      <c r="D1180" s="11">
        <v>1268.5546874999998</v>
      </c>
    </row>
    <row r="1181" spans="1:4" x14ac:dyDescent="0.25">
      <c r="A1181">
        <v>1177</v>
      </c>
      <c r="B1181" s="11">
        <v>718.5892531716448</v>
      </c>
      <c r="C1181" s="11">
        <v>214.2673086892288</v>
      </c>
      <c r="D1181" s="11">
        <v>1268.5546874999998</v>
      </c>
    </row>
    <row r="1182" spans="1:4" x14ac:dyDescent="0.25">
      <c r="A1182">
        <v>1178</v>
      </c>
      <c r="B1182" s="11">
        <v>718.5892531716448</v>
      </c>
      <c r="C1182" s="11">
        <v>257.8887716547232</v>
      </c>
      <c r="D1182" s="11">
        <v>1268.5546874999998</v>
      </c>
    </row>
    <row r="1183" spans="1:4" x14ac:dyDescent="0.25">
      <c r="A1183">
        <v>1179</v>
      </c>
      <c r="B1183" s="11">
        <v>674.9677902061504</v>
      </c>
      <c r="C1183" s="11">
        <v>257.8887716547232</v>
      </c>
      <c r="D1183" s="11">
        <v>1268.5546874999998</v>
      </c>
    </row>
    <row r="1184" spans="1:4" x14ac:dyDescent="0.25">
      <c r="A1184">
        <v>1180</v>
      </c>
      <c r="B1184" s="11">
        <v>660.4273025509856</v>
      </c>
      <c r="C1184" s="11">
        <v>330.5912099305472</v>
      </c>
      <c r="D1184" s="11">
        <v>1268.5546874999998</v>
      </c>
    </row>
    <row r="1185" spans="1:4" x14ac:dyDescent="0.25">
      <c r="A1185">
        <v>1181</v>
      </c>
      <c r="B1185" s="11">
        <v>660.4273025509856</v>
      </c>
      <c r="C1185" s="11">
        <v>286.9697469650528</v>
      </c>
      <c r="D1185" s="11">
        <v>1268.5546874999998</v>
      </c>
    </row>
    <row r="1186" spans="1:4" x14ac:dyDescent="0.25">
      <c r="A1186">
        <v>1182</v>
      </c>
      <c r="B1186" s="11">
        <v>704.04876551648</v>
      </c>
      <c r="C1186" s="11">
        <v>286.9697469650528</v>
      </c>
      <c r="D1186" s="11">
        <v>1268.5546874999998</v>
      </c>
    </row>
    <row r="1187" spans="1:4" x14ac:dyDescent="0.25">
      <c r="A1187">
        <v>1183</v>
      </c>
      <c r="B1187" s="11">
        <v>718.5892531716448</v>
      </c>
      <c r="C1187" s="11">
        <v>301.5102346202176</v>
      </c>
      <c r="D1187" s="11">
        <v>1268.5546874999998</v>
      </c>
    </row>
    <row r="1188" spans="1:4" x14ac:dyDescent="0.25">
      <c r="A1188">
        <v>1184</v>
      </c>
      <c r="B1188" s="11">
        <v>718.5892531716448</v>
      </c>
      <c r="C1188" s="11">
        <v>345.13169758571206</v>
      </c>
      <c r="D1188" s="11">
        <v>1268.5546874999998</v>
      </c>
    </row>
    <row r="1189" spans="1:4" x14ac:dyDescent="0.25">
      <c r="A1189">
        <v>1185</v>
      </c>
      <c r="B1189" s="11">
        <v>674.9677902061504</v>
      </c>
      <c r="C1189" s="11">
        <v>345.131697585712</v>
      </c>
      <c r="D1189" s="11">
        <v>1268.5546874999998</v>
      </c>
    </row>
    <row r="1190" spans="1:4" x14ac:dyDescent="0.25">
      <c r="A1190">
        <v>1186</v>
      </c>
      <c r="B1190" s="11">
        <v>660.4273025509856</v>
      </c>
      <c r="C1190" s="11">
        <v>417.8341358615361</v>
      </c>
      <c r="D1190" s="11">
        <v>1268.5546874999998</v>
      </c>
    </row>
    <row r="1191" spans="1:4" x14ac:dyDescent="0.25">
      <c r="A1191">
        <v>1187</v>
      </c>
      <c r="B1191" s="11">
        <v>660.4273025509856</v>
      </c>
      <c r="C1191" s="11">
        <v>374.2126728960416</v>
      </c>
      <c r="D1191" s="11">
        <v>1268.5546874999998</v>
      </c>
    </row>
    <row r="1192" spans="1:4" x14ac:dyDescent="0.25">
      <c r="A1192">
        <v>1188</v>
      </c>
      <c r="B1192" s="11">
        <v>704.04876551648</v>
      </c>
      <c r="C1192" s="11">
        <v>374.2126728960416</v>
      </c>
      <c r="D1192" s="11">
        <v>1268.5546874999998</v>
      </c>
    </row>
    <row r="1193" spans="1:4" x14ac:dyDescent="0.25">
      <c r="A1193">
        <v>1189</v>
      </c>
      <c r="B1193" s="11">
        <v>674.9677902061504</v>
      </c>
      <c r="C1193" s="11">
        <v>427.3671481835883</v>
      </c>
      <c r="D1193" s="11">
        <v>831.687887912008</v>
      </c>
    </row>
    <row r="1194" spans="1:4" x14ac:dyDescent="0.25">
      <c r="A1194">
        <v>1190</v>
      </c>
      <c r="B1194" s="11">
        <v>718.5892531716448</v>
      </c>
      <c r="C1194" s="11">
        <v>383.74568521809385</v>
      </c>
      <c r="D1194" s="11">
        <v>831.687887912008</v>
      </c>
    </row>
    <row r="1195" spans="1:4" x14ac:dyDescent="0.25">
      <c r="A1195">
        <v>1191</v>
      </c>
      <c r="B1195" s="11">
        <v>718.5892531716448</v>
      </c>
      <c r="C1195" s="11">
        <v>412.3447221842506</v>
      </c>
      <c r="D1195" s="11">
        <v>831.687887912008</v>
      </c>
    </row>
    <row r="1196" spans="1:4" x14ac:dyDescent="0.25">
      <c r="A1196">
        <v>1192</v>
      </c>
      <c r="B1196" s="11">
        <v>713.5817778385323</v>
      </c>
      <c r="C1196" s="11">
        <v>426.88520983941544</v>
      </c>
      <c r="D1196" s="11">
        <v>286.41794431760786</v>
      </c>
    </row>
    <row r="1197" spans="1:4" x14ac:dyDescent="0.25">
      <c r="A1197">
        <v>1193</v>
      </c>
      <c r="B1197" s="11">
        <v>698.5593518391946</v>
      </c>
      <c r="C1197" s="11">
        <v>441.9076358387531</v>
      </c>
      <c r="D1197" s="11">
        <v>286.41794431760786</v>
      </c>
    </row>
    <row r="1198" spans="1:4" x14ac:dyDescent="0.25">
      <c r="A1198">
        <v>1194</v>
      </c>
      <c r="B1198" s="11">
        <v>669.9603148730379</v>
      </c>
      <c r="C1198" s="11">
        <v>441.9076358387531</v>
      </c>
      <c r="D1198" s="11">
        <v>286.41794431760786</v>
      </c>
    </row>
    <row r="1199" spans="1:4" x14ac:dyDescent="0.25">
      <c r="A1199">
        <v>1195</v>
      </c>
      <c r="B1199" s="11">
        <v>655.4198272178731</v>
      </c>
      <c r="C1199" s="11">
        <v>456.4481234939179</v>
      </c>
      <c r="D1199" s="11">
        <v>545.2699435944</v>
      </c>
    </row>
    <row r="1200" spans="1:4" x14ac:dyDescent="0.25">
      <c r="A1200">
        <v>1196</v>
      </c>
      <c r="B1200" s="11">
        <v>684.0188641840299</v>
      </c>
      <c r="C1200" s="11">
        <v>456.4481234939179</v>
      </c>
      <c r="D1200" s="11">
        <v>545.2699435944</v>
      </c>
    </row>
    <row r="1201" spans="1:4" x14ac:dyDescent="0.25">
      <c r="A1201">
        <v>1197</v>
      </c>
      <c r="B1201" s="11">
        <v>655.419827217873</v>
      </c>
      <c r="C1201" s="11">
        <v>485.0471604600746</v>
      </c>
      <c r="D1201" s="11">
        <v>545.2699435944</v>
      </c>
    </row>
    <row r="1202" spans="1:4" x14ac:dyDescent="0.25">
      <c r="A1202">
        <v>1198</v>
      </c>
      <c r="B1202" s="11">
        <v>735.941450689008</v>
      </c>
      <c r="C1202" s="11">
        <v>-361.6591913335541</v>
      </c>
      <c r="D1202" s="11">
        <v>220.99768739703867</v>
      </c>
    </row>
    <row r="1203" spans="1:4" x14ac:dyDescent="0.25">
      <c r="A1203">
        <v>1199</v>
      </c>
      <c r="B1203" s="11">
        <v>735.941450689008</v>
      </c>
      <c r="C1203" s="11">
        <v>-400.95870981663245</v>
      </c>
      <c r="D1203" s="11">
        <v>220.99768739703867</v>
      </c>
    </row>
    <row r="1204" spans="1:4" x14ac:dyDescent="0.25">
      <c r="A1204">
        <v>1200</v>
      </c>
      <c r="B1204" s="11">
        <v>744.3765802756031</v>
      </c>
      <c r="C1204" s="11">
        <v>-392.5235802300373</v>
      </c>
      <c r="D1204" s="11">
        <v>220.99768739703867</v>
      </c>
    </row>
    <row r="1205" spans="1:4" x14ac:dyDescent="0.25">
      <c r="A1205">
        <v>1201</v>
      </c>
      <c r="B1205" s="11">
        <v>747.1882901378016</v>
      </c>
      <c r="C1205" s="11">
        <v>-379.4237407356778</v>
      </c>
      <c r="D1205" s="11">
        <v>173.56341330193655</v>
      </c>
    </row>
    <row r="1206" spans="1:4" x14ac:dyDescent="0.25">
      <c r="A1206">
        <v>1202</v>
      </c>
      <c r="B1206" s="11">
        <v>747.1882901378016</v>
      </c>
      <c r="C1206" s="11">
        <v>-348.5593518391946</v>
      </c>
      <c r="D1206" s="11">
        <v>173.56341330193655</v>
      </c>
    </row>
    <row r="1207" spans="1:4" x14ac:dyDescent="0.25">
      <c r="A1207">
        <v>1203</v>
      </c>
      <c r="B1207" s="11">
        <v>738.7531605512064</v>
      </c>
      <c r="C1207" s="11">
        <v>-348.5593518391946</v>
      </c>
      <c r="D1207" s="11">
        <v>173.56341330193655</v>
      </c>
    </row>
    <row r="1208" spans="1:4" x14ac:dyDescent="0.25">
      <c r="A1208">
        <v>1204</v>
      </c>
      <c r="B1208" s="11">
        <v>735.941450689008</v>
      </c>
      <c r="C1208" s="11">
        <v>-280.10927158637435</v>
      </c>
      <c r="D1208" s="11">
        <v>245.3017952472048</v>
      </c>
    </row>
    <row r="1209" spans="1:4" x14ac:dyDescent="0.25">
      <c r="A1209">
        <v>1205</v>
      </c>
      <c r="B1209" s="11">
        <v>735.941450689008</v>
      </c>
      <c r="C1209" s="11">
        <v>-323.7307345518688</v>
      </c>
      <c r="D1209" s="11">
        <v>245.3017952472048</v>
      </c>
    </row>
    <row r="1210" spans="1:4" x14ac:dyDescent="0.25">
      <c r="A1210">
        <v>1206</v>
      </c>
      <c r="B1210" s="11">
        <v>744.3765802756031</v>
      </c>
      <c r="C1210" s="11">
        <v>-323.73073455186875</v>
      </c>
      <c r="D1210" s="11">
        <v>245.3017952472048</v>
      </c>
    </row>
    <row r="1211" spans="1:4" x14ac:dyDescent="0.25">
      <c r="A1211">
        <v>1207</v>
      </c>
      <c r="B1211" s="11">
        <v>747.1882901378016</v>
      </c>
      <c r="C1211" s="11">
        <v>-309.190246896704</v>
      </c>
      <c r="D1211" s="11">
        <v>245.3017952472048</v>
      </c>
    </row>
    <row r="1212" spans="1:4" x14ac:dyDescent="0.25">
      <c r="A1212">
        <v>1208</v>
      </c>
      <c r="B1212" s="11">
        <v>747.1882901378016</v>
      </c>
      <c r="C1212" s="11">
        <v>-265.56878393120957</v>
      </c>
      <c r="D1212" s="11">
        <v>245.3017952472048</v>
      </c>
    </row>
    <row r="1213" spans="1:4" x14ac:dyDescent="0.25">
      <c r="A1213">
        <v>1209</v>
      </c>
      <c r="B1213" s="11">
        <v>738.7531605512064</v>
      </c>
      <c r="C1213" s="11">
        <v>-265.56878393120957</v>
      </c>
      <c r="D1213" s="11">
        <v>245.3017952472048</v>
      </c>
    </row>
    <row r="1214" spans="1:4" x14ac:dyDescent="0.25">
      <c r="A1214">
        <v>1210</v>
      </c>
      <c r="B1214" s="11">
        <v>735.941450689008</v>
      </c>
      <c r="C1214" s="11">
        <v>-192.86634565538557</v>
      </c>
      <c r="D1214" s="11">
        <v>245.3017952472048</v>
      </c>
    </row>
    <row r="1215" spans="1:4" x14ac:dyDescent="0.25">
      <c r="A1215">
        <v>1211</v>
      </c>
      <c r="B1215" s="11">
        <v>735.941450689008</v>
      </c>
      <c r="C1215" s="11">
        <v>-236.48780862087997</v>
      </c>
      <c r="D1215" s="11">
        <v>245.3017952472048</v>
      </c>
    </row>
    <row r="1216" spans="1:4" x14ac:dyDescent="0.25">
      <c r="A1216">
        <v>1212</v>
      </c>
      <c r="B1216" s="11">
        <v>744.3765802756031</v>
      </c>
      <c r="C1216" s="11">
        <v>-236.48780862087997</v>
      </c>
      <c r="D1216" s="11">
        <v>245.3017952472048</v>
      </c>
    </row>
    <row r="1217" spans="1:4" x14ac:dyDescent="0.25">
      <c r="A1217">
        <v>1213</v>
      </c>
      <c r="B1217" s="11">
        <v>747.1882901378016</v>
      </c>
      <c r="C1217" s="11">
        <v>-221.9473209657152</v>
      </c>
      <c r="D1217" s="11">
        <v>245.3017952472048</v>
      </c>
    </row>
    <row r="1218" spans="1:4" x14ac:dyDescent="0.25">
      <c r="A1218">
        <v>1214</v>
      </c>
      <c r="B1218" s="11">
        <v>747.1882901378016</v>
      </c>
      <c r="C1218" s="11">
        <v>-178.3258580002208</v>
      </c>
      <c r="D1218" s="11">
        <v>245.3017952472048</v>
      </c>
    </row>
    <row r="1219" spans="1:4" x14ac:dyDescent="0.25">
      <c r="A1219">
        <v>1215</v>
      </c>
      <c r="B1219" s="11">
        <v>738.7531605512064</v>
      </c>
      <c r="C1219" s="11">
        <v>-178.32585800022076</v>
      </c>
      <c r="D1219" s="11">
        <v>245.3017952472048</v>
      </c>
    </row>
    <row r="1220" spans="1:4" x14ac:dyDescent="0.25">
      <c r="A1220">
        <v>1216</v>
      </c>
      <c r="B1220" s="11">
        <v>735.941450689008</v>
      </c>
      <c r="C1220" s="11">
        <v>-105.62341972439677</v>
      </c>
      <c r="D1220" s="11">
        <v>245.3017952472048</v>
      </c>
    </row>
    <row r="1221" spans="1:4" x14ac:dyDescent="0.25">
      <c r="A1221">
        <v>1217</v>
      </c>
      <c r="B1221" s="11">
        <v>735.941450689008</v>
      </c>
      <c r="C1221" s="11">
        <v>-149.24488268989117</v>
      </c>
      <c r="D1221" s="11">
        <v>245.3017952472048</v>
      </c>
    </row>
    <row r="1222" spans="1:4" x14ac:dyDescent="0.25">
      <c r="A1222">
        <v>1218</v>
      </c>
      <c r="B1222" s="11">
        <v>744.3765802756031</v>
      </c>
      <c r="C1222" s="11">
        <v>-149.24488268989117</v>
      </c>
      <c r="D1222" s="11">
        <v>245.3017952472048</v>
      </c>
    </row>
    <row r="1223" spans="1:4" x14ac:dyDescent="0.25">
      <c r="A1223">
        <v>1219</v>
      </c>
      <c r="B1223" s="11">
        <v>747.1882901378016</v>
      </c>
      <c r="C1223" s="11">
        <v>-134.70439503472636</v>
      </c>
      <c r="D1223" s="11">
        <v>245.3017952472048</v>
      </c>
    </row>
    <row r="1224" spans="1:4" x14ac:dyDescent="0.25">
      <c r="A1224">
        <v>1220</v>
      </c>
      <c r="B1224" s="11">
        <v>747.1882901378016</v>
      </c>
      <c r="C1224" s="11">
        <v>-91.08293206923197</v>
      </c>
      <c r="D1224" s="11">
        <v>245.3017952472048</v>
      </c>
    </row>
    <row r="1225" spans="1:4" x14ac:dyDescent="0.25">
      <c r="A1225">
        <v>1221</v>
      </c>
      <c r="B1225" s="11">
        <v>738.7531605512064</v>
      </c>
      <c r="C1225" s="11">
        <v>-91.08293206923197</v>
      </c>
      <c r="D1225" s="11">
        <v>245.3017952472048</v>
      </c>
    </row>
    <row r="1226" spans="1:4" x14ac:dyDescent="0.25">
      <c r="A1226">
        <v>1222</v>
      </c>
      <c r="B1226" s="11">
        <v>735.941450689008</v>
      </c>
      <c r="C1226" s="11">
        <v>-18.380493793407975</v>
      </c>
      <c r="D1226" s="11">
        <v>245.3017952472048</v>
      </c>
    </row>
    <row r="1227" spans="1:4" x14ac:dyDescent="0.25">
      <c r="A1227">
        <v>1223</v>
      </c>
      <c r="B1227" s="11">
        <v>735.941450689008</v>
      </c>
      <c r="C1227" s="11">
        <v>-62.001956758902374</v>
      </c>
      <c r="D1227" s="11">
        <v>245.3017952472048</v>
      </c>
    </row>
    <row r="1228" spans="1:4" x14ac:dyDescent="0.25">
      <c r="A1228">
        <v>1224</v>
      </c>
      <c r="B1228" s="11">
        <v>744.3765802756031</v>
      </c>
      <c r="C1228" s="11">
        <v>-62.001956758902374</v>
      </c>
      <c r="D1228" s="11">
        <v>245.3017952472048</v>
      </c>
    </row>
    <row r="1229" spans="1:4" x14ac:dyDescent="0.25">
      <c r="A1229">
        <v>1225</v>
      </c>
      <c r="B1229" s="11">
        <v>747.1882901378016</v>
      </c>
      <c r="C1229" s="11">
        <v>-47.46146910373757</v>
      </c>
      <c r="D1229" s="11">
        <v>245.3017952472048</v>
      </c>
    </row>
    <row r="1230" spans="1:4" x14ac:dyDescent="0.25">
      <c r="A1230">
        <v>1226</v>
      </c>
      <c r="B1230" s="11">
        <v>747.1882901378016</v>
      </c>
      <c r="C1230" s="11">
        <v>-3.840006138243174</v>
      </c>
      <c r="D1230" s="11">
        <v>245.3017952472048</v>
      </c>
    </row>
    <row r="1231" spans="1:4" x14ac:dyDescent="0.25">
      <c r="A1231">
        <v>1227</v>
      </c>
      <c r="B1231" s="11">
        <v>738.7531605512064</v>
      </c>
      <c r="C1231" s="11">
        <v>-3.840006138243173</v>
      </c>
      <c r="D1231" s="11">
        <v>245.3017952472048</v>
      </c>
    </row>
    <row r="1232" spans="1:4" x14ac:dyDescent="0.25">
      <c r="A1232">
        <v>1228</v>
      </c>
      <c r="B1232" s="11">
        <v>735.941450689008</v>
      </c>
      <c r="C1232" s="11">
        <v>68.86243213758081</v>
      </c>
      <c r="D1232" s="11">
        <v>245.3017952472048</v>
      </c>
    </row>
    <row r="1233" spans="1:4" x14ac:dyDescent="0.25">
      <c r="A1233">
        <v>1229</v>
      </c>
      <c r="B1233" s="11">
        <v>735.941450689008</v>
      </c>
      <c r="C1233" s="11">
        <v>25.240969172086423</v>
      </c>
      <c r="D1233" s="11">
        <v>245.3017952472048</v>
      </c>
    </row>
    <row r="1234" spans="1:4" x14ac:dyDescent="0.25">
      <c r="A1234">
        <v>1230</v>
      </c>
      <c r="B1234" s="11">
        <v>744.3765802756031</v>
      </c>
      <c r="C1234" s="11">
        <v>25.240969172086423</v>
      </c>
      <c r="D1234" s="11">
        <v>245.3017952472048</v>
      </c>
    </row>
    <row r="1235" spans="1:4" x14ac:dyDescent="0.25">
      <c r="A1235">
        <v>1231</v>
      </c>
      <c r="B1235" s="11">
        <v>747.1882901378016</v>
      </c>
      <c r="C1235" s="11">
        <v>39.78145682725122</v>
      </c>
      <c r="D1235" s="11">
        <v>245.3017952472048</v>
      </c>
    </row>
    <row r="1236" spans="1:4" x14ac:dyDescent="0.25">
      <c r="A1236">
        <v>1232</v>
      </c>
      <c r="B1236" s="11">
        <v>747.1882901378016</v>
      </c>
      <c r="C1236" s="11">
        <v>83.40291979274562</v>
      </c>
      <c r="D1236" s="11">
        <v>245.3017952472048</v>
      </c>
    </row>
    <row r="1237" spans="1:4" x14ac:dyDescent="0.25">
      <c r="A1237">
        <v>1233</v>
      </c>
      <c r="B1237" s="11">
        <v>738.7531605512064</v>
      </c>
      <c r="C1237" s="11">
        <v>83.40291979274562</v>
      </c>
      <c r="D1237" s="11">
        <v>245.3017952472048</v>
      </c>
    </row>
    <row r="1238" spans="1:4" x14ac:dyDescent="0.25">
      <c r="A1238">
        <v>1234</v>
      </c>
      <c r="B1238" s="11">
        <v>735.941450689008</v>
      </c>
      <c r="C1238" s="11">
        <v>156.10535806856961</v>
      </c>
      <c r="D1238" s="11">
        <v>245.3017952472048</v>
      </c>
    </row>
    <row r="1239" spans="1:4" x14ac:dyDescent="0.25">
      <c r="A1239">
        <v>1235</v>
      </c>
      <c r="B1239" s="11">
        <v>735.941450689008</v>
      </c>
      <c r="C1239" s="11">
        <v>112.48389510307521</v>
      </c>
      <c r="D1239" s="11">
        <v>245.3017952472048</v>
      </c>
    </row>
    <row r="1240" spans="1:4" x14ac:dyDescent="0.25">
      <c r="A1240">
        <v>1236</v>
      </c>
      <c r="B1240" s="11">
        <v>744.3765802756031</v>
      </c>
      <c r="C1240" s="11">
        <v>112.48389510307521</v>
      </c>
      <c r="D1240" s="11">
        <v>245.3017952472048</v>
      </c>
    </row>
    <row r="1241" spans="1:4" x14ac:dyDescent="0.25">
      <c r="A1241">
        <v>1237</v>
      </c>
      <c r="B1241" s="11">
        <v>747.1882901378016</v>
      </c>
      <c r="C1241" s="11">
        <v>127.02438275824002</v>
      </c>
      <c r="D1241" s="11">
        <v>245.3017952472048</v>
      </c>
    </row>
    <row r="1242" spans="1:4" x14ac:dyDescent="0.25">
      <c r="A1242">
        <v>1238</v>
      </c>
      <c r="B1242" s="11">
        <v>747.1882901378016</v>
      </c>
      <c r="C1242" s="11">
        <v>170.64584572373442</v>
      </c>
      <c r="D1242" s="11">
        <v>245.3017952472048</v>
      </c>
    </row>
    <row r="1243" spans="1:4" x14ac:dyDescent="0.25">
      <c r="A1243">
        <v>1239</v>
      </c>
      <c r="B1243" s="11">
        <v>738.7531605512064</v>
      </c>
      <c r="C1243" s="11">
        <v>170.64584572373442</v>
      </c>
      <c r="D1243" s="11">
        <v>245.3017952472048</v>
      </c>
    </row>
    <row r="1244" spans="1:4" x14ac:dyDescent="0.25">
      <c r="A1244">
        <v>1240</v>
      </c>
      <c r="B1244" s="11">
        <v>735.941450689008</v>
      </c>
      <c r="C1244" s="11">
        <v>243.34828399955842</v>
      </c>
      <c r="D1244" s="11">
        <v>245.3017952472048</v>
      </c>
    </row>
    <row r="1245" spans="1:4" x14ac:dyDescent="0.25">
      <c r="A1245">
        <v>1241</v>
      </c>
      <c r="B1245" s="11">
        <v>735.941450689008</v>
      </c>
      <c r="C1245" s="11">
        <v>199.72682103406402</v>
      </c>
      <c r="D1245" s="11">
        <v>245.3017952472048</v>
      </c>
    </row>
    <row r="1246" spans="1:4" x14ac:dyDescent="0.25">
      <c r="A1246">
        <v>1242</v>
      </c>
      <c r="B1246" s="11">
        <v>744.3765802756031</v>
      </c>
      <c r="C1246" s="11">
        <v>199.72682103406402</v>
      </c>
      <c r="D1246" s="11">
        <v>245.3017952472048</v>
      </c>
    </row>
    <row r="1247" spans="1:4" x14ac:dyDescent="0.25">
      <c r="A1247">
        <v>1243</v>
      </c>
      <c r="B1247" s="11">
        <v>747.1882901378016</v>
      </c>
      <c r="C1247" s="11">
        <v>214.2673086892288</v>
      </c>
      <c r="D1247" s="11">
        <v>245.3017952472048</v>
      </c>
    </row>
    <row r="1248" spans="1:4" x14ac:dyDescent="0.25">
      <c r="A1248">
        <v>1244</v>
      </c>
      <c r="B1248" s="11">
        <v>747.1882901378016</v>
      </c>
      <c r="C1248" s="11">
        <v>257.8887716547232</v>
      </c>
      <c r="D1248" s="11">
        <v>245.3017952472048</v>
      </c>
    </row>
    <row r="1249" spans="1:4" x14ac:dyDescent="0.25">
      <c r="A1249">
        <v>1245</v>
      </c>
      <c r="B1249" s="11">
        <v>738.7531605512064</v>
      </c>
      <c r="C1249" s="11">
        <v>257.8887716547232</v>
      </c>
      <c r="D1249" s="11">
        <v>245.3017952472048</v>
      </c>
    </row>
    <row r="1250" spans="1:4" x14ac:dyDescent="0.25">
      <c r="A1250">
        <v>1246</v>
      </c>
      <c r="B1250" s="11">
        <v>735.941450689008</v>
      </c>
      <c r="C1250" s="11">
        <v>330.5912099305472</v>
      </c>
      <c r="D1250" s="11">
        <v>245.3017952472048</v>
      </c>
    </row>
    <row r="1251" spans="1:4" x14ac:dyDescent="0.25">
      <c r="A1251">
        <v>1247</v>
      </c>
      <c r="B1251" s="11">
        <v>735.941450689008</v>
      </c>
      <c r="C1251" s="11">
        <v>286.9697469650528</v>
      </c>
      <c r="D1251" s="11">
        <v>245.3017952472048</v>
      </c>
    </row>
    <row r="1252" spans="1:4" x14ac:dyDescent="0.25">
      <c r="A1252">
        <v>1248</v>
      </c>
      <c r="B1252" s="11">
        <v>744.3765802756031</v>
      </c>
      <c r="C1252" s="11">
        <v>286.9697469650528</v>
      </c>
      <c r="D1252" s="11">
        <v>245.3017952472048</v>
      </c>
    </row>
    <row r="1253" spans="1:4" x14ac:dyDescent="0.25">
      <c r="A1253">
        <v>1249</v>
      </c>
      <c r="B1253" s="11">
        <v>747.1882901378016</v>
      </c>
      <c r="C1253" s="11">
        <v>301.5102346202176</v>
      </c>
      <c r="D1253" s="11">
        <v>245.3017952472048</v>
      </c>
    </row>
    <row r="1254" spans="1:4" x14ac:dyDescent="0.25">
      <c r="A1254">
        <v>1250</v>
      </c>
      <c r="B1254" s="11">
        <v>747.1882901378016</v>
      </c>
      <c r="C1254" s="11">
        <v>345.13169758571206</v>
      </c>
      <c r="D1254" s="11">
        <v>245.3017952472048</v>
      </c>
    </row>
    <row r="1255" spans="1:4" x14ac:dyDescent="0.25">
      <c r="A1255">
        <v>1251</v>
      </c>
      <c r="B1255" s="11">
        <v>738.7531605512064</v>
      </c>
      <c r="C1255" s="11">
        <v>345.131697585712</v>
      </c>
      <c r="D1255" s="11">
        <v>245.3017952472048</v>
      </c>
    </row>
    <row r="1256" spans="1:4" x14ac:dyDescent="0.25">
      <c r="A1256">
        <v>1252</v>
      </c>
      <c r="B1256" s="11">
        <v>735.941450689008</v>
      </c>
      <c r="C1256" s="11">
        <v>397.8042345290859</v>
      </c>
      <c r="D1256" s="11">
        <v>160.82438857423844</v>
      </c>
    </row>
    <row r="1257" spans="1:4" x14ac:dyDescent="0.25">
      <c r="A1257">
        <v>1253</v>
      </c>
      <c r="B1257" s="11">
        <v>735.941450689008</v>
      </c>
      <c r="C1257" s="11">
        <v>369.2051975629291</v>
      </c>
      <c r="D1257" s="11">
        <v>160.82438857423844</v>
      </c>
    </row>
    <row r="1258" spans="1:4" x14ac:dyDescent="0.25">
      <c r="A1258">
        <v>1254</v>
      </c>
      <c r="B1258" s="11">
        <v>744.3765802756031</v>
      </c>
      <c r="C1258" s="11">
        <v>369.2051975629291</v>
      </c>
      <c r="D1258" s="11">
        <v>160.82438857423844</v>
      </c>
    </row>
    <row r="1259" spans="1:4" x14ac:dyDescent="0.25">
      <c r="A1259">
        <v>1255</v>
      </c>
      <c r="B1259" s="11">
        <v>747.1882901378016</v>
      </c>
      <c r="C1259" s="11">
        <v>375.92650002278293</v>
      </c>
      <c r="D1259" s="11">
        <v>113.39011447913633</v>
      </c>
    </row>
    <row r="1260" spans="1:4" x14ac:dyDescent="0.25">
      <c r="A1260">
        <v>1256</v>
      </c>
      <c r="B1260" s="11">
        <v>747.1882901378016</v>
      </c>
      <c r="C1260" s="11">
        <v>396.0904074023445</v>
      </c>
      <c r="D1260" s="11">
        <v>113.39011447913633</v>
      </c>
    </row>
    <row r="1261" spans="1:4" x14ac:dyDescent="0.25">
      <c r="A1261">
        <v>1257</v>
      </c>
      <c r="B1261" s="11">
        <v>738.7531605512064</v>
      </c>
      <c r="C1261" s="11">
        <v>404.5255369889397</v>
      </c>
      <c r="D1261" s="11">
        <v>113.39011447913633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38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2" max="2" width="8" customWidth="1"/>
    <col min="3" max="24" width="13" customWidth="1"/>
  </cols>
  <sheetData>
    <row r="1" ht="22" customHeight="1" spans="2:21" x14ac:dyDescent="0.25">
      <c r="B1" s="1" t="s">
        <v>192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2:2" x14ac:dyDescent="0.25">
      <c r="B2" s="5" t="s">
        <v>193</v>
      </c>
    </row>
    <row r="4" spans="2:24" x14ac:dyDescent="0.25">
      <c r="B4" s="25" t="s">
        <v>194</v>
      </c>
      <c r="C4" s="25"/>
      <c r="D4" s="25"/>
      <c r="E4" s="25"/>
      <c r="F4" s="25" t="s">
        <v>195</v>
      </c>
      <c r="G4" s="25"/>
      <c r="H4" s="25"/>
      <c r="I4" s="25"/>
      <c r="J4" s="25"/>
      <c r="K4" s="25"/>
      <c r="L4" s="25"/>
      <c r="M4" s="25" t="s">
        <v>8</v>
      </c>
      <c r="N4" s="25"/>
      <c r="O4" s="25"/>
      <c r="P4" s="25" t="s">
        <v>196</v>
      </c>
      <c r="Q4" s="25"/>
      <c r="R4" s="25"/>
      <c r="S4" s="25" t="s">
        <v>197</v>
      </c>
      <c r="T4" s="25"/>
      <c r="U4" s="25"/>
      <c r="V4" s="25"/>
      <c r="W4" s="25" t="s">
        <v>198</v>
      </c>
      <c r="X4" s="25"/>
    </row>
    <row r="5" ht="30" customHeight="1" spans="2:24" x14ac:dyDescent="0.25">
      <c r="B5" s="17" t="s">
        <v>199</v>
      </c>
      <c r="C5" s="17" t="s">
        <v>200</v>
      </c>
      <c r="D5" s="17" t="s">
        <v>201</v>
      </c>
      <c r="E5" s="17" t="s">
        <v>202</v>
      </c>
      <c r="F5" s="17" t="s">
        <v>203</v>
      </c>
      <c r="G5" s="17" t="s">
        <v>204</v>
      </c>
      <c r="H5" s="17" t="s">
        <v>205</v>
      </c>
      <c r="I5" s="17" t="s">
        <v>206</v>
      </c>
      <c r="J5" s="17" t="s">
        <v>207</v>
      </c>
      <c r="K5" s="17" t="s">
        <v>208</v>
      </c>
      <c r="L5" s="17" t="s">
        <v>209</v>
      </c>
      <c r="M5" s="17" t="s">
        <v>210</v>
      </c>
      <c r="N5" s="17" t="s">
        <v>211</v>
      </c>
      <c r="O5" s="17" t="s">
        <v>212</v>
      </c>
      <c r="P5" s="17" t="s">
        <v>210</v>
      </c>
      <c r="Q5" s="17" t="s">
        <v>211</v>
      </c>
      <c r="R5" s="17" t="s">
        <v>212</v>
      </c>
      <c r="S5" s="17" t="s">
        <v>210</v>
      </c>
      <c r="T5" s="17" t="s">
        <v>211</v>
      </c>
      <c r="U5" s="17" t="s">
        <v>212</v>
      </c>
      <c r="V5" s="17" t="s">
        <v>213</v>
      </c>
      <c r="W5" s="17" t="s">
        <v>214</v>
      </c>
      <c r="X5" s="17" t="s">
        <v>215</v>
      </c>
    </row>
    <row r="7" spans="2:24" x14ac:dyDescent="0.25">
      <c r="B7" s="26" t="s">
        <v>216</v>
      </c>
      <c r="C7" s="27"/>
      <c r="D7" s="27"/>
      <c r="E7" s="27"/>
      <c r="F7" s="28" t="s">
        <v>217</v>
      </c>
      <c r="G7" s="29">
        <f>ecu</f>
      </c>
      <c r="H7" s="30" t="s">
        <v>148</v>
      </c>
      <c r="I7" s="31">
        <v>0</v>
      </c>
      <c r="J7" s="29">
        <f>ecu</f>
      </c>
      <c r="K7" s="31">
        <f>I7*COS(RADIANS(beta))</f>
      </c>
      <c r="L7" s="31">
        <f>I7*SIN(RADIANS(beta))</f>
      </c>
      <c r="M7" s="32">
        <f>SUMPRODUCT(alpha*fck*(1-(1-(((PM_Angle!$J$7+PM_Angle!$K$7*Mesh_Y+PM_Angle!$L$7*Mesh_X))*((PM_Angle!$J$7+PM_Angle!$K$7*Mesh_Y+PM_Angle!$L$7*Mesh_X)&gt;0)*((PM_Angle!$J$7+PM_Angle!$K$7*Mesh_Y+PM_Angle!$L$7*Mesh_X)&lt;eco)+eco*((PM_Angle!$J$7+PM_Angle!$K$7*Mesh_Y+PM_Angle!$L$7*Mesh_X)&gt;=eco))/eco)^n)*(((PM_Angle!$J$7+PM_Angle!$K$7*Mesh_Y+PM_Angle!$L$7*Mesh_X))&gt;0),Mesh_A)/1000</f>
      </c>
      <c r="N7" s="32">
        <f>SUMPRODUCT(alpha*fck*(1-(1-(((PM_Angle!$J$7+PM_Angle!$K$7*Mesh_Y+PM_Angle!$L$7*Mesh_X))*((PM_Angle!$J$7+PM_Angle!$K$7*Mesh_Y+PM_Angle!$L$7*Mesh_X)&gt;0)*((PM_Angle!$J$7+PM_Angle!$K$7*Mesh_Y+PM_Angle!$L$7*Mesh_X)&lt;eco)+eco*((PM_Angle!$J$7+PM_Angle!$K$7*Mesh_Y+PM_Angle!$L$7*Mesh_X)&gt;=eco))/eco)^n)*(((PM_Angle!$J$7+PM_Angle!$K$7*Mesh_Y+PM_Angle!$L$7*Mesh_X))&gt;0),Mesh_A,Mesh_Y)/1000000</f>
      </c>
      <c r="O7" s="32">
        <f>SUMPRODUCT(alpha*fck*(1-(1-(((PM_Angle!$J$7+PM_Angle!$K$7*Mesh_Y+PM_Angle!$L$7*Mesh_X))*((PM_Angle!$J$7+PM_Angle!$K$7*Mesh_Y+PM_Angle!$L$7*Mesh_X)&gt;0)*((PM_Angle!$J$7+PM_Angle!$K$7*Mesh_Y+PM_Angle!$L$7*Mesh_X)&lt;eco)+eco*((PM_Angle!$J$7+PM_Angle!$K$7*Mesh_Y+PM_Angle!$L$7*Mesh_X)&gt;=eco))/eco)^n)*(((PM_Angle!$J$7+PM_Angle!$K$7*Mesh_Y+PM_Angle!$L$7*Mesh_X))&gt;0),Mesh_A,Mesh_X)/1000000</f>
      </c>
      <c r="P7" s="32">
        <f>Steel!J6/1000</f>
      </c>
      <c r="Q7" s="32">
        <f>Steel!K6/1000000</f>
      </c>
      <c r="R7" s="32">
        <f>Steel!L6/1000000</f>
      </c>
      <c r="S7" s="33">
        <f>M7+P7</f>
      </c>
      <c r="T7" s="33">
        <f>N7+Q7</f>
      </c>
      <c r="U7" s="33">
        <f>O7+R7</f>
      </c>
      <c r="V7" s="32">
        <f>SQRT(T7^2+U7^2)</f>
      </c>
      <c r="W7" s="32">
        <v>33981.43387592912</v>
      </c>
      <c r="X7" s="34">
        <f>IF(ABS(W7)&lt;0.000000001,0,(S7-W7)/W7*100)</f>
      </c>
    </row>
    <row r="8" spans="2:24" x14ac:dyDescent="0.25">
      <c r="B8" s="35" t="s">
        <v>218</v>
      </c>
      <c r="C8" s="36">
        <v>3</v>
      </c>
      <c r="D8" s="36"/>
      <c r="E8" s="36"/>
      <c r="F8" s="20">
        <f>u_max-C8*(u_max-u_min)</f>
      </c>
      <c r="G8" s="37">
        <f>ROUND(0,0)</f>
      </c>
      <c r="H8" s="12">
        <f>ecu/I8</f>
      </c>
      <c r="I8" s="38">
        <f>(ecu-G8)/(u_max-F8)</f>
      </c>
      <c r="J8" s="37">
        <f>ecu-I8*u_max</f>
      </c>
      <c r="K8" s="38">
        <f>I8*COS(RADIANS(beta))</f>
      </c>
      <c r="L8" s="38">
        <f>I8*SIN(RADIANS(beta))</f>
      </c>
      <c r="M8" s="10">
        <f>SUMPRODUCT(alpha*fck*(1-(1-(((PM_Angle!$J$8+PM_Angle!$K$8*Mesh_Y+PM_Angle!$L$8*Mesh_X))*((PM_Angle!$J$8+PM_Angle!$K$8*Mesh_Y+PM_Angle!$L$8*Mesh_X)&gt;0)*((PM_Angle!$J$8+PM_Angle!$K$8*Mesh_Y+PM_Angle!$L$8*Mesh_X)&lt;eco)+eco*((PM_Angle!$J$8+PM_Angle!$K$8*Mesh_Y+PM_Angle!$L$8*Mesh_X)&gt;=eco))/eco)^n)*(((PM_Angle!$J$8+PM_Angle!$K$8*Mesh_Y+PM_Angle!$L$8*Mesh_X))&gt;0),Mesh_A)/1000</f>
      </c>
      <c r="N8" s="10">
        <f>SUMPRODUCT(alpha*fck*(1-(1-(((PM_Angle!$J$8+PM_Angle!$K$8*Mesh_Y+PM_Angle!$L$8*Mesh_X))*((PM_Angle!$J$8+PM_Angle!$K$8*Mesh_Y+PM_Angle!$L$8*Mesh_X)&gt;0)*((PM_Angle!$J$8+PM_Angle!$K$8*Mesh_Y+PM_Angle!$L$8*Mesh_X)&lt;eco)+eco*((PM_Angle!$J$8+PM_Angle!$K$8*Mesh_Y+PM_Angle!$L$8*Mesh_X)&gt;=eco))/eco)^n)*(((PM_Angle!$J$8+PM_Angle!$K$8*Mesh_Y+PM_Angle!$L$8*Mesh_X))&gt;0),Mesh_A,Mesh_Y)/1000000</f>
      </c>
      <c r="O8" s="10">
        <f>SUMPRODUCT(alpha*fck*(1-(1-(((PM_Angle!$J$8+PM_Angle!$K$8*Mesh_Y+PM_Angle!$L$8*Mesh_X))*((PM_Angle!$J$8+PM_Angle!$K$8*Mesh_Y+PM_Angle!$L$8*Mesh_X)&gt;0)*((PM_Angle!$J$8+PM_Angle!$K$8*Mesh_Y+PM_Angle!$L$8*Mesh_X)&lt;eco)+eco*((PM_Angle!$J$8+PM_Angle!$K$8*Mesh_Y+PM_Angle!$L$8*Mesh_X)&gt;=eco))/eco)^n)*(((PM_Angle!$J$8+PM_Angle!$K$8*Mesh_Y+PM_Angle!$L$8*Mesh_X))&gt;0),Mesh_A,Mesh_X)/1000000</f>
      </c>
      <c r="P8" s="10">
        <f>Steel!Q6/1000</f>
      </c>
      <c r="Q8" s="10">
        <f>Steel!R6/1000000</f>
      </c>
      <c r="R8" s="10">
        <f>Steel!S6/1000000</f>
      </c>
      <c r="S8" s="39">
        <f>M8+P8</f>
      </c>
      <c r="T8" s="39">
        <f>N8+Q8</f>
      </c>
      <c r="U8" s="39">
        <f>O8+R8</f>
      </c>
      <c r="V8" s="10">
        <f>SQRT(T8^2+U8^2)</f>
      </c>
      <c r="W8" s="10">
        <v>33981.43387592912</v>
      </c>
      <c r="X8" s="40">
        <f>IF(ABS(W8)&lt;0.000000001,0,(S8-W8)/W8*100)</f>
      </c>
    </row>
    <row r="9" spans="2:24" x14ac:dyDescent="0.25">
      <c r="B9" s="35" t="s">
        <v>219</v>
      </c>
      <c r="C9" s="36">
        <v>2</v>
      </c>
      <c r="D9" s="36"/>
      <c r="E9" s="36"/>
      <c r="F9" s="20">
        <f>u_max-C9*(u_max-u_min)</f>
      </c>
      <c r="G9" s="37">
        <f>ROUND(0,0)</f>
      </c>
      <c r="H9" s="12">
        <f>ecu/I9</f>
      </c>
      <c r="I9" s="38">
        <f>(ecu-G9)/(u_max-F9)</f>
      </c>
      <c r="J9" s="37">
        <f>ecu-I9*u_max</f>
      </c>
      <c r="K9" s="38">
        <f>I9*COS(RADIANS(beta))</f>
      </c>
      <c r="L9" s="38">
        <f>I9*SIN(RADIANS(beta))</f>
      </c>
      <c r="M9" s="10">
        <f>SUMPRODUCT(alpha*fck*(1-(1-(((PM_Angle!$J$9+PM_Angle!$K$9*Mesh_Y+PM_Angle!$L$9*Mesh_X))*((PM_Angle!$J$9+PM_Angle!$K$9*Mesh_Y+PM_Angle!$L$9*Mesh_X)&gt;0)*((PM_Angle!$J$9+PM_Angle!$K$9*Mesh_Y+PM_Angle!$L$9*Mesh_X)&lt;eco)+eco*((PM_Angle!$J$9+PM_Angle!$K$9*Mesh_Y+PM_Angle!$L$9*Mesh_X)&gt;=eco))/eco)^n)*(((PM_Angle!$J$9+PM_Angle!$K$9*Mesh_Y+PM_Angle!$L$9*Mesh_X))&gt;0),Mesh_A)/1000</f>
      </c>
      <c r="N9" s="10">
        <f>SUMPRODUCT(alpha*fck*(1-(1-(((PM_Angle!$J$9+PM_Angle!$K$9*Mesh_Y+PM_Angle!$L$9*Mesh_X))*((PM_Angle!$J$9+PM_Angle!$K$9*Mesh_Y+PM_Angle!$L$9*Mesh_X)&gt;0)*((PM_Angle!$J$9+PM_Angle!$K$9*Mesh_Y+PM_Angle!$L$9*Mesh_X)&lt;eco)+eco*((PM_Angle!$J$9+PM_Angle!$K$9*Mesh_Y+PM_Angle!$L$9*Mesh_X)&gt;=eco))/eco)^n)*(((PM_Angle!$J$9+PM_Angle!$K$9*Mesh_Y+PM_Angle!$L$9*Mesh_X))&gt;0),Mesh_A,Mesh_Y)/1000000</f>
      </c>
      <c r="O9" s="10">
        <f>SUMPRODUCT(alpha*fck*(1-(1-(((PM_Angle!$J$9+PM_Angle!$K$9*Mesh_Y+PM_Angle!$L$9*Mesh_X))*((PM_Angle!$J$9+PM_Angle!$K$9*Mesh_Y+PM_Angle!$L$9*Mesh_X)&gt;0)*((PM_Angle!$J$9+PM_Angle!$K$9*Mesh_Y+PM_Angle!$L$9*Mesh_X)&lt;eco)+eco*((PM_Angle!$J$9+PM_Angle!$K$9*Mesh_Y+PM_Angle!$L$9*Mesh_X)&gt;=eco))/eco)^n)*(((PM_Angle!$J$9+PM_Angle!$K$9*Mesh_Y+PM_Angle!$L$9*Mesh_X))&gt;0),Mesh_A,Mesh_X)/1000000</f>
      </c>
      <c r="P9" s="10">
        <f>Steel!X6/1000</f>
      </c>
      <c r="Q9" s="10">
        <f>Steel!Y6/1000000</f>
      </c>
      <c r="R9" s="10">
        <f>Steel!Z6/1000000</f>
      </c>
      <c r="S9" s="39">
        <f>M9+P9</f>
      </c>
      <c r="T9" s="39">
        <f>N9+Q9</f>
      </c>
      <c r="U9" s="39">
        <f>O9+R9</f>
      </c>
      <c r="V9" s="10">
        <f>SQRT(T9^2+U9^2)</f>
      </c>
      <c r="W9" s="10">
        <v>33850.50181793656</v>
      </c>
      <c r="X9" s="40">
        <f>IF(ABS(W9)&lt;0.000000001,0,(S9-W9)/W9*100)</f>
      </c>
    </row>
    <row r="10" spans="2:24" x14ac:dyDescent="0.25">
      <c r="B10" s="35" t="s">
        <v>220</v>
      </c>
      <c r="C10" s="36">
        <v>1.5</v>
      </c>
      <c r="D10" s="36"/>
      <c r="E10" s="36"/>
      <c r="F10" s="20">
        <f>u_max-C10*(u_max-u_min)</f>
      </c>
      <c r="G10" s="37">
        <f>ROUND(0,0)</f>
      </c>
      <c r="H10" s="12">
        <f>ecu/I10</f>
      </c>
      <c r="I10" s="38">
        <f>(ecu-G10)/(u_max-F10)</f>
      </c>
      <c r="J10" s="37">
        <f>ecu-I10*u_max</f>
      </c>
      <c r="K10" s="38">
        <f>I10*COS(RADIANS(beta))</f>
      </c>
      <c r="L10" s="38">
        <f>I10*SIN(RADIANS(beta))</f>
      </c>
      <c r="M10" s="10">
        <f>SUMPRODUCT(alpha*fck*(1-(1-(((PM_Angle!$J$10+PM_Angle!$K$10*Mesh_Y+PM_Angle!$L$10*Mesh_X))*((PM_Angle!$J$10+PM_Angle!$K$10*Mesh_Y+PM_Angle!$L$10*Mesh_X)&gt;0)*((PM_Angle!$J$10+PM_Angle!$K$10*Mesh_Y+PM_Angle!$L$10*Mesh_X)&lt;eco)+eco*((PM_Angle!$J$10+PM_Angle!$K$10*Mesh_Y+PM_Angle!$L$10*Mesh_X)&gt;=eco))/eco)^n)*(((PM_Angle!$J$10+PM_Angle!$K$10*Mesh_Y+PM_Angle!$L$10*Mesh_X))&gt;0),Mesh_A)/1000</f>
      </c>
      <c r="N10" s="10">
        <f>SUMPRODUCT(alpha*fck*(1-(1-(((PM_Angle!$J$10+PM_Angle!$K$10*Mesh_Y+PM_Angle!$L$10*Mesh_X))*((PM_Angle!$J$10+PM_Angle!$K$10*Mesh_Y+PM_Angle!$L$10*Mesh_X)&gt;0)*((PM_Angle!$J$10+PM_Angle!$K$10*Mesh_Y+PM_Angle!$L$10*Mesh_X)&lt;eco)+eco*((PM_Angle!$J$10+PM_Angle!$K$10*Mesh_Y+PM_Angle!$L$10*Mesh_X)&gt;=eco))/eco)^n)*(((PM_Angle!$J$10+PM_Angle!$K$10*Mesh_Y+PM_Angle!$L$10*Mesh_X))&gt;0),Mesh_A,Mesh_Y)/1000000</f>
      </c>
      <c r="O10" s="10">
        <f>SUMPRODUCT(alpha*fck*(1-(1-(((PM_Angle!$J$10+PM_Angle!$K$10*Mesh_Y+PM_Angle!$L$10*Mesh_X))*((PM_Angle!$J$10+PM_Angle!$K$10*Mesh_Y+PM_Angle!$L$10*Mesh_X)&gt;0)*((PM_Angle!$J$10+PM_Angle!$K$10*Mesh_Y+PM_Angle!$L$10*Mesh_X)&lt;eco)+eco*((PM_Angle!$J$10+PM_Angle!$K$10*Mesh_Y+PM_Angle!$L$10*Mesh_X)&gt;=eco))/eco)^n)*(((PM_Angle!$J$10+PM_Angle!$K$10*Mesh_Y+PM_Angle!$L$10*Mesh_X))&gt;0),Mesh_A,Mesh_X)/1000000</f>
      </c>
      <c r="P10" s="10">
        <f>Steel!AE6/1000</f>
      </c>
      <c r="Q10" s="10">
        <f>Steel!AF6/1000000</f>
      </c>
      <c r="R10" s="10">
        <f>Steel!AG6/1000000</f>
      </c>
      <c r="S10" s="39">
        <f>M10+P10</f>
      </c>
      <c r="T10" s="39">
        <f>N10+Q10</f>
      </c>
      <c r="U10" s="39">
        <f>O10+R10</f>
      </c>
      <c r="V10" s="10">
        <f>SQRT(T10^2+U10^2)</f>
      </c>
      <c r="W10" s="10">
        <v>32774.62802725625</v>
      </c>
      <c r="X10" s="40">
        <f>IF(ABS(W10)&lt;0.000000001,0,(S10-W10)/W10*100)</f>
      </c>
    </row>
    <row r="11" spans="2:24" x14ac:dyDescent="0.25">
      <c r="B11" s="35" t="s">
        <v>221</v>
      </c>
      <c r="C11" s="36">
        <v>1.2</v>
      </c>
      <c r="D11" s="36"/>
      <c r="E11" s="36"/>
      <c r="F11" s="20">
        <f>u_max-C11*(u_max-u_min)</f>
      </c>
      <c r="G11" s="37">
        <f>ROUND(0,0)</f>
      </c>
      <c r="H11" s="12">
        <f>ecu/I11</f>
      </c>
      <c r="I11" s="38">
        <f>(ecu-G11)/(u_max-F11)</f>
      </c>
      <c r="J11" s="37">
        <f>ecu-I11*u_max</f>
      </c>
      <c r="K11" s="38">
        <f>I11*COS(RADIANS(beta))</f>
      </c>
      <c r="L11" s="38">
        <f>I11*SIN(RADIANS(beta))</f>
      </c>
      <c r="M11" s="10">
        <f>SUMPRODUCT(alpha*fck*(1-(1-(((PM_Angle!$J$11+PM_Angle!$K$11*Mesh_Y+PM_Angle!$L$11*Mesh_X))*((PM_Angle!$J$11+PM_Angle!$K$11*Mesh_Y+PM_Angle!$L$11*Mesh_X)&gt;0)*((PM_Angle!$J$11+PM_Angle!$K$11*Mesh_Y+PM_Angle!$L$11*Mesh_X)&lt;eco)+eco*((PM_Angle!$J$11+PM_Angle!$K$11*Mesh_Y+PM_Angle!$L$11*Mesh_X)&gt;=eco))/eco)^n)*(((PM_Angle!$J$11+PM_Angle!$K$11*Mesh_Y+PM_Angle!$L$11*Mesh_X))&gt;0),Mesh_A)/1000</f>
      </c>
      <c r="N11" s="10">
        <f>SUMPRODUCT(alpha*fck*(1-(1-(((PM_Angle!$J$11+PM_Angle!$K$11*Mesh_Y+PM_Angle!$L$11*Mesh_X))*((PM_Angle!$J$11+PM_Angle!$K$11*Mesh_Y+PM_Angle!$L$11*Mesh_X)&gt;0)*((PM_Angle!$J$11+PM_Angle!$K$11*Mesh_Y+PM_Angle!$L$11*Mesh_X)&lt;eco)+eco*((PM_Angle!$J$11+PM_Angle!$K$11*Mesh_Y+PM_Angle!$L$11*Mesh_X)&gt;=eco))/eco)^n)*(((PM_Angle!$J$11+PM_Angle!$K$11*Mesh_Y+PM_Angle!$L$11*Mesh_X))&gt;0),Mesh_A,Mesh_Y)/1000000</f>
      </c>
      <c r="O11" s="10">
        <f>SUMPRODUCT(alpha*fck*(1-(1-(((PM_Angle!$J$11+PM_Angle!$K$11*Mesh_Y+PM_Angle!$L$11*Mesh_X))*((PM_Angle!$J$11+PM_Angle!$K$11*Mesh_Y+PM_Angle!$L$11*Mesh_X)&gt;0)*((PM_Angle!$J$11+PM_Angle!$K$11*Mesh_Y+PM_Angle!$L$11*Mesh_X)&lt;eco)+eco*((PM_Angle!$J$11+PM_Angle!$K$11*Mesh_Y+PM_Angle!$L$11*Mesh_X)&gt;=eco))/eco)^n)*(((PM_Angle!$J$11+PM_Angle!$K$11*Mesh_Y+PM_Angle!$L$11*Mesh_X))&gt;0),Mesh_A,Mesh_X)/1000000</f>
      </c>
      <c r="P11" s="10">
        <f>Steel!AL6/1000</f>
      </c>
      <c r="Q11" s="10">
        <f>Steel!AM6/1000000</f>
      </c>
      <c r="R11" s="10">
        <f>Steel!AN6/1000000</f>
      </c>
      <c r="S11" s="39">
        <f>M11+P11</f>
      </c>
      <c r="T11" s="39">
        <f>N11+Q11</f>
      </c>
      <c r="U11" s="39">
        <f>O11+R11</f>
      </c>
      <c r="V11" s="10">
        <f>SQRT(T11^2+U11^2)</f>
      </c>
      <c r="W11" s="10">
        <v>30527.487770543754</v>
      </c>
      <c r="X11" s="40">
        <f>IF(ABS(W11)&lt;0.000000001,0,(S11-W11)/W11*100)</f>
      </c>
    </row>
    <row r="12" spans="2:24" x14ac:dyDescent="0.25">
      <c r="B12" s="35" t="s">
        <v>222</v>
      </c>
      <c r="C12" s="36">
        <v>1.1</v>
      </c>
      <c r="D12" s="36"/>
      <c r="E12" s="36"/>
      <c r="F12" s="20">
        <f>u_max-C12*(u_max-u_min)</f>
      </c>
      <c r="G12" s="37">
        <f>ROUND(0,0)</f>
      </c>
      <c r="H12" s="12">
        <f>ecu/I12</f>
      </c>
      <c r="I12" s="38">
        <f>(ecu-G12)/(u_max-F12)</f>
      </c>
      <c r="J12" s="37">
        <f>ecu-I12*u_max</f>
      </c>
      <c r="K12" s="38">
        <f>I12*COS(RADIANS(beta))</f>
      </c>
      <c r="L12" s="38">
        <f>I12*SIN(RADIANS(beta))</f>
      </c>
      <c r="M12" s="10">
        <f>SUMPRODUCT(alpha*fck*(1-(1-(((PM_Angle!$J$12+PM_Angle!$K$12*Mesh_Y+PM_Angle!$L$12*Mesh_X))*((PM_Angle!$J$12+PM_Angle!$K$12*Mesh_Y+PM_Angle!$L$12*Mesh_X)&gt;0)*((PM_Angle!$J$12+PM_Angle!$K$12*Mesh_Y+PM_Angle!$L$12*Mesh_X)&lt;eco)+eco*((PM_Angle!$J$12+PM_Angle!$K$12*Mesh_Y+PM_Angle!$L$12*Mesh_X)&gt;=eco))/eco)^n)*(((PM_Angle!$J$12+PM_Angle!$K$12*Mesh_Y+PM_Angle!$L$12*Mesh_X))&gt;0),Mesh_A)/1000</f>
      </c>
      <c r="N12" s="10">
        <f>SUMPRODUCT(alpha*fck*(1-(1-(((PM_Angle!$J$12+PM_Angle!$K$12*Mesh_Y+PM_Angle!$L$12*Mesh_X))*((PM_Angle!$J$12+PM_Angle!$K$12*Mesh_Y+PM_Angle!$L$12*Mesh_X)&gt;0)*((PM_Angle!$J$12+PM_Angle!$K$12*Mesh_Y+PM_Angle!$L$12*Mesh_X)&lt;eco)+eco*((PM_Angle!$J$12+PM_Angle!$K$12*Mesh_Y+PM_Angle!$L$12*Mesh_X)&gt;=eco))/eco)^n)*(((PM_Angle!$J$12+PM_Angle!$K$12*Mesh_Y+PM_Angle!$L$12*Mesh_X))&gt;0),Mesh_A,Mesh_Y)/1000000</f>
      </c>
      <c r="O12" s="10">
        <f>SUMPRODUCT(alpha*fck*(1-(1-(((PM_Angle!$J$12+PM_Angle!$K$12*Mesh_Y+PM_Angle!$L$12*Mesh_X))*((PM_Angle!$J$12+PM_Angle!$K$12*Mesh_Y+PM_Angle!$L$12*Mesh_X)&gt;0)*((PM_Angle!$J$12+PM_Angle!$K$12*Mesh_Y+PM_Angle!$L$12*Mesh_X)&lt;eco)+eco*((PM_Angle!$J$12+PM_Angle!$K$12*Mesh_Y+PM_Angle!$L$12*Mesh_X)&gt;=eco))/eco)^n)*(((PM_Angle!$J$12+PM_Angle!$K$12*Mesh_Y+PM_Angle!$L$12*Mesh_X))&gt;0),Mesh_A,Mesh_X)/1000000</f>
      </c>
      <c r="P12" s="10">
        <f>Steel!AS6/1000</f>
      </c>
      <c r="Q12" s="10">
        <f>Steel!AT6/1000000</f>
      </c>
      <c r="R12" s="10">
        <f>Steel!AU6/1000000</f>
      </c>
      <c r="S12" s="39">
        <f>M12+P12</f>
      </c>
      <c r="T12" s="39">
        <f>N12+Q12</f>
      </c>
      <c r="U12" s="39">
        <f>O12+R12</f>
      </c>
      <c r="V12" s="10">
        <f>SQRT(T12^2+U12^2)</f>
      </c>
      <c r="W12" s="10">
        <v>29097.594418450528</v>
      </c>
      <c r="X12" s="40">
        <f>IF(ABS(W12)&lt;0.000000001,0,(S12-W12)/W12*100)</f>
      </c>
    </row>
    <row r="13" spans="2:24" x14ac:dyDescent="0.25">
      <c r="B13" s="35" t="s">
        <v>223</v>
      </c>
      <c r="C13" s="36">
        <v>1</v>
      </c>
      <c r="D13" s="36"/>
      <c r="E13" s="36"/>
      <c r="F13" s="20">
        <f>u_max-C13*(u_max-u_min)</f>
      </c>
      <c r="G13" s="37">
        <f>ROUND(0,0)</f>
      </c>
      <c r="H13" s="12">
        <f>ecu/I13</f>
      </c>
      <c r="I13" s="38">
        <f>(ecu-G13)/(u_max-F13)</f>
      </c>
      <c r="J13" s="37">
        <f>ecu-I13*u_max</f>
      </c>
      <c r="K13" s="38">
        <f>I13*COS(RADIANS(beta))</f>
      </c>
      <c r="L13" s="38">
        <f>I13*SIN(RADIANS(beta))</f>
      </c>
      <c r="M13" s="10">
        <f>SUMPRODUCT(alpha*fck*(1-(1-(((PM_Angle!$J$13+PM_Angle!$K$13*Mesh_Y+PM_Angle!$L$13*Mesh_X))*((PM_Angle!$J$13+PM_Angle!$K$13*Mesh_Y+PM_Angle!$L$13*Mesh_X)&gt;0)*((PM_Angle!$J$13+PM_Angle!$K$13*Mesh_Y+PM_Angle!$L$13*Mesh_X)&lt;eco)+eco*((PM_Angle!$J$13+PM_Angle!$K$13*Mesh_Y+PM_Angle!$L$13*Mesh_X)&gt;=eco))/eco)^n)*(((PM_Angle!$J$13+PM_Angle!$K$13*Mesh_Y+PM_Angle!$L$13*Mesh_X))&gt;0),Mesh_A)/1000</f>
      </c>
      <c r="N13" s="10">
        <f>SUMPRODUCT(alpha*fck*(1-(1-(((PM_Angle!$J$13+PM_Angle!$K$13*Mesh_Y+PM_Angle!$L$13*Mesh_X))*((PM_Angle!$J$13+PM_Angle!$K$13*Mesh_Y+PM_Angle!$L$13*Mesh_X)&gt;0)*((PM_Angle!$J$13+PM_Angle!$K$13*Mesh_Y+PM_Angle!$L$13*Mesh_X)&lt;eco)+eco*((PM_Angle!$J$13+PM_Angle!$K$13*Mesh_Y+PM_Angle!$L$13*Mesh_X)&gt;=eco))/eco)^n)*(((PM_Angle!$J$13+PM_Angle!$K$13*Mesh_Y+PM_Angle!$L$13*Mesh_X))&gt;0),Mesh_A,Mesh_Y)/1000000</f>
      </c>
      <c r="O13" s="10">
        <f>SUMPRODUCT(alpha*fck*(1-(1-(((PM_Angle!$J$13+PM_Angle!$K$13*Mesh_Y+PM_Angle!$L$13*Mesh_X))*((PM_Angle!$J$13+PM_Angle!$K$13*Mesh_Y+PM_Angle!$L$13*Mesh_X)&gt;0)*((PM_Angle!$J$13+PM_Angle!$K$13*Mesh_Y+PM_Angle!$L$13*Mesh_X)&lt;eco)+eco*((PM_Angle!$J$13+PM_Angle!$K$13*Mesh_Y+PM_Angle!$L$13*Mesh_X)&gt;=eco))/eco)^n)*(((PM_Angle!$J$13+PM_Angle!$K$13*Mesh_Y+PM_Angle!$L$13*Mesh_X))&gt;0),Mesh_A,Mesh_X)/1000000</f>
      </c>
      <c r="P13" s="10">
        <f>Steel!AZ6/1000</f>
      </c>
      <c r="Q13" s="10">
        <f>Steel!BA6/1000000</f>
      </c>
      <c r="R13" s="10">
        <f>Steel!BB6/1000000</f>
      </c>
      <c r="S13" s="39">
        <f>M13+P13</f>
      </c>
      <c r="T13" s="39">
        <f>N13+Q13</f>
      </c>
      <c r="U13" s="39">
        <f>O13+R13</f>
      </c>
      <c r="V13" s="10">
        <f>SQRT(T13^2+U13^2)</f>
      </c>
      <c r="W13" s="10">
        <v>27011.95729301388</v>
      </c>
      <c r="X13" s="40">
        <f>IF(ABS(W13)&lt;0.000000001,0,(S13-W13)/W13*100)</f>
      </c>
    </row>
    <row r="14" spans="2:24" x14ac:dyDescent="0.25">
      <c r="B14" s="35" t="s">
        <v>224</v>
      </c>
      <c r="C14" s="36"/>
      <c r="D14" s="36">
        <v>0</v>
      </c>
      <c r="E14" s="36"/>
      <c r="F14" s="20">
        <f>u_bar</f>
      </c>
      <c r="G14" s="15">
        <v>2.168404344971009e-19</v>
      </c>
      <c r="H14" s="12">
        <f>ecu/I14</f>
      </c>
      <c r="I14" s="38">
        <f>(ecu-G14)/(u_max-F14)</f>
      </c>
      <c r="J14" s="37">
        <f>ecu-I14*u_max</f>
      </c>
      <c r="K14" s="38">
        <f>I14*COS(RADIANS(beta))</f>
      </c>
      <c r="L14" s="38">
        <f>I14*SIN(RADIANS(beta))</f>
      </c>
      <c r="M14" s="10">
        <f>SUMPRODUCT(alpha*fck*(1-(1-(((PM_Angle!$J$14+PM_Angle!$K$14*Mesh_Y+PM_Angle!$L$14*Mesh_X))*((PM_Angle!$J$14+PM_Angle!$K$14*Mesh_Y+PM_Angle!$L$14*Mesh_X)&gt;0)*((PM_Angle!$J$14+PM_Angle!$K$14*Mesh_Y+PM_Angle!$L$14*Mesh_X)&lt;eco)+eco*((PM_Angle!$J$14+PM_Angle!$K$14*Mesh_Y+PM_Angle!$L$14*Mesh_X)&gt;=eco))/eco)^n)*(((PM_Angle!$J$14+PM_Angle!$K$14*Mesh_Y+PM_Angle!$L$14*Mesh_X))&gt;0),Mesh_A)/1000</f>
      </c>
      <c r="N14" s="10">
        <f>SUMPRODUCT(alpha*fck*(1-(1-(((PM_Angle!$J$14+PM_Angle!$K$14*Mesh_Y+PM_Angle!$L$14*Mesh_X))*((PM_Angle!$J$14+PM_Angle!$K$14*Mesh_Y+PM_Angle!$L$14*Mesh_X)&gt;0)*((PM_Angle!$J$14+PM_Angle!$K$14*Mesh_Y+PM_Angle!$L$14*Mesh_X)&lt;eco)+eco*((PM_Angle!$J$14+PM_Angle!$K$14*Mesh_Y+PM_Angle!$L$14*Mesh_X)&gt;=eco))/eco)^n)*(((PM_Angle!$J$14+PM_Angle!$K$14*Mesh_Y+PM_Angle!$L$14*Mesh_X))&gt;0),Mesh_A,Mesh_Y)/1000000</f>
      </c>
      <c r="O14" s="10">
        <f>SUMPRODUCT(alpha*fck*(1-(1-(((PM_Angle!$J$14+PM_Angle!$K$14*Mesh_Y+PM_Angle!$L$14*Mesh_X))*((PM_Angle!$J$14+PM_Angle!$K$14*Mesh_Y+PM_Angle!$L$14*Mesh_X)&gt;0)*((PM_Angle!$J$14+PM_Angle!$K$14*Mesh_Y+PM_Angle!$L$14*Mesh_X)&lt;eco)+eco*((PM_Angle!$J$14+PM_Angle!$K$14*Mesh_Y+PM_Angle!$L$14*Mesh_X)&gt;=eco))/eco)^n)*(((PM_Angle!$J$14+PM_Angle!$K$14*Mesh_Y+PM_Angle!$L$14*Mesh_X))&gt;0),Mesh_A,Mesh_X)/1000000</f>
      </c>
      <c r="P14" s="10">
        <f>Steel!BG6/1000</f>
      </c>
      <c r="Q14" s="10">
        <f>Steel!BH6/1000000</f>
      </c>
      <c r="R14" s="10">
        <f>Steel!BI6/1000000</f>
      </c>
      <c r="S14" s="39">
        <f>M14+P14</f>
      </c>
      <c r="T14" s="39">
        <f>N14+Q14</f>
      </c>
      <c r="U14" s="39">
        <f>O14+R14</f>
      </c>
      <c r="V14" s="10">
        <f>SQRT(T14^2+U14^2)</f>
      </c>
      <c r="W14" s="10">
        <v>24941.453505539637</v>
      </c>
      <c r="X14" s="40">
        <f>IF(ABS(W14)&lt;0.000000001,0,(S14-W14)/W14*100)</f>
      </c>
    </row>
    <row r="15" spans="2:24" x14ac:dyDescent="0.25">
      <c r="B15" s="35" t="s">
        <v>225</v>
      </c>
      <c r="C15" s="36"/>
      <c r="D15" s="36">
        <v>0.25</v>
      </c>
      <c r="E15" s="36"/>
      <c r="F15" s="20">
        <f>u_bar</f>
      </c>
      <c r="G15" s="15">
        <v>-0.0005</v>
      </c>
      <c r="H15" s="12">
        <f>ecu/I15</f>
      </c>
      <c r="I15" s="38">
        <f>(ecu-G15)/(u_max-F15)</f>
      </c>
      <c r="J15" s="37">
        <f>ecu-I15*u_max</f>
      </c>
      <c r="K15" s="38">
        <f>I15*COS(RADIANS(beta))</f>
      </c>
      <c r="L15" s="38">
        <f>I15*SIN(RADIANS(beta))</f>
      </c>
      <c r="M15" s="10">
        <f>SUMPRODUCT(alpha*fck*(1-(1-(((PM_Angle!$J$15+PM_Angle!$K$15*Mesh_Y+PM_Angle!$L$15*Mesh_X))*((PM_Angle!$J$15+PM_Angle!$K$15*Mesh_Y+PM_Angle!$L$15*Mesh_X)&gt;0)*((PM_Angle!$J$15+PM_Angle!$K$15*Mesh_Y+PM_Angle!$L$15*Mesh_X)&lt;eco)+eco*((PM_Angle!$J$15+PM_Angle!$K$15*Mesh_Y+PM_Angle!$L$15*Mesh_X)&gt;=eco))/eco)^n)*(((PM_Angle!$J$15+PM_Angle!$K$15*Mesh_Y+PM_Angle!$L$15*Mesh_X))&gt;0),Mesh_A)/1000</f>
      </c>
      <c r="N15" s="10">
        <f>SUMPRODUCT(alpha*fck*(1-(1-(((PM_Angle!$J$15+PM_Angle!$K$15*Mesh_Y+PM_Angle!$L$15*Mesh_X))*((PM_Angle!$J$15+PM_Angle!$K$15*Mesh_Y+PM_Angle!$L$15*Mesh_X)&gt;0)*((PM_Angle!$J$15+PM_Angle!$K$15*Mesh_Y+PM_Angle!$L$15*Mesh_X)&lt;eco)+eco*((PM_Angle!$J$15+PM_Angle!$K$15*Mesh_Y+PM_Angle!$L$15*Mesh_X)&gt;=eco))/eco)^n)*(((PM_Angle!$J$15+PM_Angle!$K$15*Mesh_Y+PM_Angle!$L$15*Mesh_X))&gt;0),Mesh_A,Mesh_Y)/1000000</f>
      </c>
      <c r="O15" s="10">
        <f>SUMPRODUCT(alpha*fck*(1-(1-(((PM_Angle!$J$15+PM_Angle!$K$15*Mesh_Y+PM_Angle!$L$15*Mesh_X))*((PM_Angle!$J$15+PM_Angle!$K$15*Mesh_Y+PM_Angle!$L$15*Mesh_X)&gt;0)*((PM_Angle!$J$15+PM_Angle!$K$15*Mesh_Y+PM_Angle!$L$15*Mesh_X)&lt;eco)+eco*((PM_Angle!$J$15+PM_Angle!$K$15*Mesh_Y+PM_Angle!$L$15*Mesh_X)&gt;=eco))/eco)^n)*(((PM_Angle!$J$15+PM_Angle!$K$15*Mesh_Y+PM_Angle!$L$15*Mesh_X))&gt;0),Mesh_A,Mesh_X)/1000000</f>
      </c>
      <c r="P15" s="10">
        <f>Steel!BN6/1000</f>
      </c>
      <c r="Q15" s="10">
        <f>Steel!BO6/1000000</f>
      </c>
      <c r="R15" s="10">
        <f>Steel!BP6/1000000</f>
      </c>
      <c r="S15" s="39">
        <f>M15+P15</f>
      </c>
      <c r="T15" s="39">
        <f>N15+Q15</f>
      </c>
      <c r="U15" s="39">
        <f>O15+R15</f>
      </c>
      <c r="V15" s="10">
        <f>SQRT(T15^2+U15^2)</f>
      </c>
      <c r="W15" s="10">
        <v>21079.019157045306</v>
      </c>
      <c r="X15" s="40">
        <f>IF(ABS(W15)&lt;0.000000001,0,(S15-W15)/W15*100)</f>
      </c>
    </row>
    <row r="16" spans="2:24" x14ac:dyDescent="0.25">
      <c r="B16" s="35" t="s">
        <v>226</v>
      </c>
      <c r="C16" s="36"/>
      <c r="D16" s="36">
        <v>0.375</v>
      </c>
      <c r="E16" s="36"/>
      <c r="F16" s="20">
        <f>u_bar</f>
      </c>
      <c r="G16" s="15">
        <v>-0.0007499999999999994</v>
      </c>
      <c r="H16" s="12">
        <f>ecu/I16</f>
      </c>
      <c r="I16" s="38">
        <f>(ecu-G16)/(u_max-F16)</f>
      </c>
      <c r="J16" s="37">
        <f>ecu-I16*u_max</f>
      </c>
      <c r="K16" s="38">
        <f>I16*COS(RADIANS(beta))</f>
      </c>
      <c r="L16" s="38">
        <f>I16*SIN(RADIANS(beta))</f>
      </c>
      <c r="M16" s="10">
        <f>SUMPRODUCT(alpha*fck*(1-(1-(((PM_Angle!$J$16+PM_Angle!$K$16*Mesh_Y+PM_Angle!$L$16*Mesh_X))*((PM_Angle!$J$16+PM_Angle!$K$16*Mesh_Y+PM_Angle!$L$16*Mesh_X)&gt;0)*((PM_Angle!$J$16+PM_Angle!$K$16*Mesh_Y+PM_Angle!$L$16*Mesh_X)&lt;eco)+eco*((PM_Angle!$J$16+PM_Angle!$K$16*Mesh_Y+PM_Angle!$L$16*Mesh_X)&gt;=eco))/eco)^n)*(((PM_Angle!$J$16+PM_Angle!$K$16*Mesh_Y+PM_Angle!$L$16*Mesh_X))&gt;0),Mesh_A)/1000</f>
      </c>
      <c r="N16" s="10">
        <f>SUMPRODUCT(alpha*fck*(1-(1-(((PM_Angle!$J$16+PM_Angle!$K$16*Mesh_Y+PM_Angle!$L$16*Mesh_X))*((PM_Angle!$J$16+PM_Angle!$K$16*Mesh_Y+PM_Angle!$L$16*Mesh_X)&gt;0)*((PM_Angle!$J$16+PM_Angle!$K$16*Mesh_Y+PM_Angle!$L$16*Mesh_X)&lt;eco)+eco*((PM_Angle!$J$16+PM_Angle!$K$16*Mesh_Y+PM_Angle!$L$16*Mesh_X)&gt;=eco))/eco)^n)*(((PM_Angle!$J$16+PM_Angle!$K$16*Mesh_Y+PM_Angle!$L$16*Mesh_X))&gt;0),Mesh_A,Mesh_Y)/1000000</f>
      </c>
      <c r="O16" s="10">
        <f>SUMPRODUCT(alpha*fck*(1-(1-(((PM_Angle!$J$16+PM_Angle!$K$16*Mesh_Y+PM_Angle!$L$16*Mesh_X))*((PM_Angle!$J$16+PM_Angle!$K$16*Mesh_Y+PM_Angle!$L$16*Mesh_X)&gt;0)*((PM_Angle!$J$16+PM_Angle!$K$16*Mesh_Y+PM_Angle!$L$16*Mesh_X)&lt;eco)+eco*((PM_Angle!$J$16+PM_Angle!$K$16*Mesh_Y+PM_Angle!$L$16*Mesh_X)&gt;=eco))/eco)^n)*(((PM_Angle!$J$16+PM_Angle!$K$16*Mesh_Y+PM_Angle!$L$16*Mesh_X))&gt;0),Mesh_A,Mesh_X)/1000000</f>
      </c>
      <c r="P16" s="10">
        <f>Steel!BU6/1000</f>
      </c>
      <c r="Q16" s="10">
        <f>Steel!BV6/1000000</f>
      </c>
      <c r="R16" s="10">
        <f>Steel!BW6/1000000</f>
      </c>
      <c r="S16" s="39">
        <f>M16+P16</f>
      </c>
      <c r="T16" s="39">
        <f>N16+Q16</f>
      </c>
      <c r="U16" s="39">
        <f>O16+R16</f>
      </c>
      <c r="V16" s="10">
        <f>SQRT(T16^2+U16^2)</f>
      </c>
      <c r="W16" s="10">
        <v>19511.951064896195</v>
      </c>
      <c r="X16" s="40">
        <f>IF(ABS(W16)&lt;0.000000001,0,(S16-W16)/W16*100)</f>
      </c>
    </row>
    <row r="17" spans="2:24" x14ac:dyDescent="0.25">
      <c r="B17" s="35" t="s">
        <v>227</v>
      </c>
      <c r="C17" s="36"/>
      <c r="D17" s="36">
        <v>0.5</v>
      </c>
      <c r="E17" s="36"/>
      <c r="F17" s="20">
        <f>u_bar</f>
      </c>
      <c r="G17" s="15">
        <v>-0.0009999999999999996</v>
      </c>
      <c r="H17" s="12">
        <f>ecu/I17</f>
      </c>
      <c r="I17" s="38">
        <f>(ecu-G17)/(u_max-F17)</f>
      </c>
      <c r="J17" s="37">
        <f>ecu-I17*u_max</f>
      </c>
      <c r="K17" s="38">
        <f>I17*COS(RADIANS(beta))</f>
      </c>
      <c r="L17" s="38">
        <f>I17*SIN(RADIANS(beta))</f>
      </c>
      <c r="M17" s="10">
        <f>SUMPRODUCT(alpha*fck*(1-(1-(((PM_Angle!$J$17+PM_Angle!$K$17*Mesh_Y+PM_Angle!$L$17*Mesh_X))*((PM_Angle!$J$17+PM_Angle!$K$17*Mesh_Y+PM_Angle!$L$17*Mesh_X)&gt;0)*((PM_Angle!$J$17+PM_Angle!$K$17*Mesh_Y+PM_Angle!$L$17*Mesh_X)&lt;eco)+eco*((PM_Angle!$J$17+PM_Angle!$K$17*Mesh_Y+PM_Angle!$L$17*Mesh_X)&gt;=eco))/eco)^n)*(((PM_Angle!$J$17+PM_Angle!$K$17*Mesh_Y+PM_Angle!$L$17*Mesh_X))&gt;0),Mesh_A)/1000</f>
      </c>
      <c r="N17" s="10">
        <f>SUMPRODUCT(alpha*fck*(1-(1-(((PM_Angle!$J$17+PM_Angle!$K$17*Mesh_Y+PM_Angle!$L$17*Mesh_X))*((PM_Angle!$J$17+PM_Angle!$K$17*Mesh_Y+PM_Angle!$L$17*Mesh_X)&gt;0)*((PM_Angle!$J$17+PM_Angle!$K$17*Mesh_Y+PM_Angle!$L$17*Mesh_X)&lt;eco)+eco*((PM_Angle!$J$17+PM_Angle!$K$17*Mesh_Y+PM_Angle!$L$17*Mesh_X)&gt;=eco))/eco)^n)*(((PM_Angle!$J$17+PM_Angle!$K$17*Mesh_Y+PM_Angle!$L$17*Mesh_X))&gt;0),Mesh_A,Mesh_Y)/1000000</f>
      </c>
      <c r="O17" s="10">
        <f>SUMPRODUCT(alpha*fck*(1-(1-(((PM_Angle!$J$17+PM_Angle!$K$17*Mesh_Y+PM_Angle!$L$17*Mesh_X))*((PM_Angle!$J$17+PM_Angle!$K$17*Mesh_Y+PM_Angle!$L$17*Mesh_X)&gt;0)*((PM_Angle!$J$17+PM_Angle!$K$17*Mesh_Y+PM_Angle!$L$17*Mesh_X)&lt;eco)+eco*((PM_Angle!$J$17+PM_Angle!$K$17*Mesh_Y+PM_Angle!$L$17*Mesh_X)&gt;=eco))/eco)^n)*(((PM_Angle!$J$17+PM_Angle!$K$17*Mesh_Y+PM_Angle!$L$17*Mesh_X))&gt;0),Mesh_A,Mesh_X)/1000000</f>
      </c>
      <c r="P17" s="10">
        <f>Steel!CB6/1000</f>
      </c>
      <c r="Q17" s="10">
        <f>Steel!CC6/1000000</f>
      </c>
      <c r="R17" s="10">
        <f>Steel!CD6/1000000</f>
      </c>
      <c r="S17" s="39">
        <f>M17+P17</f>
      </c>
      <c r="T17" s="39">
        <f>N17+Q17</f>
      </c>
      <c r="U17" s="39">
        <f>O17+R17</f>
      </c>
      <c r="V17" s="10">
        <f>SQRT(T17^2+U17^2)</f>
      </c>
      <c r="W17" s="10">
        <v>18153.31005527712</v>
      </c>
      <c r="X17" s="40">
        <f>IF(ABS(W17)&lt;0.000000001,0,(S17-W17)/W17*100)</f>
      </c>
    </row>
    <row r="18" spans="2:24" x14ac:dyDescent="0.25">
      <c r="B18" s="35" t="s">
        <v>228</v>
      </c>
      <c r="C18" s="36"/>
      <c r="D18" s="36">
        <v>0.625</v>
      </c>
      <c r="E18" s="36"/>
      <c r="F18" s="20">
        <f>u_bar</f>
      </c>
      <c r="G18" s="15">
        <v>-0.0012499999999999998</v>
      </c>
      <c r="H18" s="12">
        <f>ecu/I18</f>
      </c>
      <c r="I18" s="38">
        <f>(ecu-G18)/(u_max-F18)</f>
      </c>
      <c r="J18" s="37">
        <f>ecu-I18*u_max</f>
      </c>
      <c r="K18" s="38">
        <f>I18*COS(RADIANS(beta))</f>
      </c>
      <c r="L18" s="38">
        <f>I18*SIN(RADIANS(beta))</f>
      </c>
      <c r="M18" s="10">
        <f>SUMPRODUCT(alpha*fck*(1-(1-(((PM_Angle!$J$18+PM_Angle!$K$18*Mesh_Y+PM_Angle!$L$18*Mesh_X))*((PM_Angle!$J$18+PM_Angle!$K$18*Mesh_Y+PM_Angle!$L$18*Mesh_X)&gt;0)*((PM_Angle!$J$18+PM_Angle!$K$18*Mesh_Y+PM_Angle!$L$18*Mesh_X)&lt;eco)+eco*((PM_Angle!$J$18+PM_Angle!$K$18*Mesh_Y+PM_Angle!$L$18*Mesh_X)&gt;=eco))/eco)^n)*(((PM_Angle!$J$18+PM_Angle!$K$18*Mesh_Y+PM_Angle!$L$18*Mesh_X))&gt;0),Mesh_A)/1000</f>
      </c>
      <c r="N18" s="10">
        <f>SUMPRODUCT(alpha*fck*(1-(1-(((PM_Angle!$J$18+PM_Angle!$K$18*Mesh_Y+PM_Angle!$L$18*Mesh_X))*((PM_Angle!$J$18+PM_Angle!$K$18*Mesh_Y+PM_Angle!$L$18*Mesh_X)&gt;0)*((PM_Angle!$J$18+PM_Angle!$K$18*Mesh_Y+PM_Angle!$L$18*Mesh_X)&lt;eco)+eco*((PM_Angle!$J$18+PM_Angle!$K$18*Mesh_Y+PM_Angle!$L$18*Mesh_X)&gt;=eco))/eco)^n)*(((PM_Angle!$J$18+PM_Angle!$K$18*Mesh_Y+PM_Angle!$L$18*Mesh_X))&gt;0),Mesh_A,Mesh_Y)/1000000</f>
      </c>
      <c r="O18" s="10">
        <f>SUMPRODUCT(alpha*fck*(1-(1-(((PM_Angle!$J$18+PM_Angle!$K$18*Mesh_Y+PM_Angle!$L$18*Mesh_X))*((PM_Angle!$J$18+PM_Angle!$K$18*Mesh_Y+PM_Angle!$L$18*Mesh_X)&gt;0)*((PM_Angle!$J$18+PM_Angle!$K$18*Mesh_Y+PM_Angle!$L$18*Mesh_X)&lt;eco)+eco*((PM_Angle!$J$18+PM_Angle!$K$18*Mesh_Y+PM_Angle!$L$18*Mesh_X)&gt;=eco))/eco)^n)*(((PM_Angle!$J$18+PM_Angle!$K$18*Mesh_Y+PM_Angle!$L$18*Mesh_X))&gt;0),Mesh_A,Mesh_X)/1000000</f>
      </c>
      <c r="P18" s="10">
        <f>Steel!CI6/1000</f>
      </c>
      <c r="Q18" s="10">
        <f>Steel!CJ6/1000000</f>
      </c>
      <c r="R18" s="10">
        <f>Steel!CK6/1000000</f>
      </c>
      <c r="S18" s="39">
        <f>M18+P18</f>
      </c>
      <c r="T18" s="39">
        <f>N18+Q18</f>
      </c>
      <c r="U18" s="39">
        <f>O18+R18</f>
      </c>
      <c r="V18" s="10">
        <f>SQRT(T18^2+U18^2)</f>
      </c>
      <c r="W18" s="10">
        <v>16953.847448644996</v>
      </c>
      <c r="X18" s="40">
        <f>IF(ABS(W18)&lt;0.000000001,0,(S18-W18)/W18*100)</f>
      </c>
    </row>
    <row r="19" spans="2:24" x14ac:dyDescent="0.25">
      <c r="B19" s="35" t="s">
        <v>229</v>
      </c>
      <c r="C19" s="36"/>
      <c r="D19" s="36">
        <v>0.75</v>
      </c>
      <c r="E19" s="36"/>
      <c r="F19" s="20">
        <f>u_bar</f>
      </c>
      <c r="G19" s="15">
        <v>-0.0015000000000000005</v>
      </c>
      <c r="H19" s="12">
        <f>ecu/I19</f>
      </c>
      <c r="I19" s="38">
        <f>(ecu-G19)/(u_max-F19)</f>
      </c>
      <c r="J19" s="37">
        <f>ecu-I19*u_max</f>
      </c>
      <c r="K19" s="38">
        <f>I19*COS(RADIANS(beta))</f>
      </c>
      <c r="L19" s="38">
        <f>I19*SIN(RADIANS(beta))</f>
      </c>
      <c r="M19" s="10">
        <f>SUMPRODUCT(alpha*fck*(1-(1-(((PM_Angle!$J$19+PM_Angle!$K$19*Mesh_Y+PM_Angle!$L$19*Mesh_X))*((PM_Angle!$J$19+PM_Angle!$K$19*Mesh_Y+PM_Angle!$L$19*Mesh_X)&gt;0)*((PM_Angle!$J$19+PM_Angle!$K$19*Mesh_Y+PM_Angle!$L$19*Mesh_X)&lt;eco)+eco*((PM_Angle!$J$19+PM_Angle!$K$19*Mesh_Y+PM_Angle!$L$19*Mesh_X)&gt;=eco))/eco)^n)*(((PM_Angle!$J$19+PM_Angle!$K$19*Mesh_Y+PM_Angle!$L$19*Mesh_X))&gt;0),Mesh_A)/1000</f>
      </c>
      <c r="N19" s="10">
        <f>SUMPRODUCT(alpha*fck*(1-(1-(((PM_Angle!$J$19+PM_Angle!$K$19*Mesh_Y+PM_Angle!$L$19*Mesh_X))*((PM_Angle!$J$19+PM_Angle!$K$19*Mesh_Y+PM_Angle!$L$19*Mesh_X)&gt;0)*((PM_Angle!$J$19+PM_Angle!$K$19*Mesh_Y+PM_Angle!$L$19*Mesh_X)&lt;eco)+eco*((PM_Angle!$J$19+PM_Angle!$K$19*Mesh_Y+PM_Angle!$L$19*Mesh_X)&gt;=eco))/eco)^n)*(((PM_Angle!$J$19+PM_Angle!$K$19*Mesh_Y+PM_Angle!$L$19*Mesh_X))&gt;0),Mesh_A,Mesh_Y)/1000000</f>
      </c>
      <c r="O19" s="10">
        <f>SUMPRODUCT(alpha*fck*(1-(1-(((PM_Angle!$J$19+PM_Angle!$K$19*Mesh_Y+PM_Angle!$L$19*Mesh_X))*((PM_Angle!$J$19+PM_Angle!$K$19*Mesh_Y+PM_Angle!$L$19*Mesh_X)&gt;0)*((PM_Angle!$J$19+PM_Angle!$K$19*Mesh_Y+PM_Angle!$L$19*Mesh_X)&lt;eco)+eco*((PM_Angle!$J$19+PM_Angle!$K$19*Mesh_Y+PM_Angle!$L$19*Mesh_X)&gt;=eco))/eco)^n)*(((PM_Angle!$J$19+PM_Angle!$K$19*Mesh_Y+PM_Angle!$L$19*Mesh_X))&gt;0),Mesh_A,Mesh_X)/1000000</f>
      </c>
      <c r="P19" s="10">
        <f>Steel!CP6/1000</f>
      </c>
      <c r="Q19" s="10">
        <f>Steel!CQ6/1000000</f>
      </c>
      <c r="R19" s="10">
        <f>Steel!CR6/1000000</f>
      </c>
      <c r="S19" s="39">
        <f>M19+P19</f>
      </c>
      <c r="T19" s="39">
        <f>N19+Q19</f>
      </c>
      <c r="U19" s="39">
        <f>O19+R19</f>
      </c>
      <c r="V19" s="10">
        <f>SQRT(T19^2+U19^2)</f>
      </c>
      <c r="W19" s="10">
        <v>15853.978475694379</v>
      </c>
      <c r="X19" s="40">
        <f>IF(ABS(W19)&lt;0.000000001,0,(S19-W19)/W19*100)</f>
      </c>
    </row>
    <row r="20" spans="2:24" x14ac:dyDescent="0.25">
      <c r="B20" s="35" t="s">
        <v>230</v>
      </c>
      <c r="C20" s="36"/>
      <c r="D20" s="36">
        <v>0.875</v>
      </c>
      <c r="E20" s="36"/>
      <c r="F20" s="20">
        <f>u_bar</f>
      </c>
      <c r="G20" s="15">
        <v>-0.0017499999999999998</v>
      </c>
      <c r="H20" s="12">
        <f>ecu/I20</f>
      </c>
      <c r="I20" s="38">
        <f>(ecu-G20)/(u_max-F20)</f>
      </c>
      <c r="J20" s="37">
        <f>ecu-I20*u_max</f>
      </c>
      <c r="K20" s="38">
        <f>I20*COS(RADIANS(beta))</f>
      </c>
      <c r="L20" s="38">
        <f>I20*SIN(RADIANS(beta))</f>
      </c>
      <c r="M20" s="10">
        <f>SUMPRODUCT(alpha*fck*(1-(1-(((PM_Angle!$J$20+PM_Angle!$K$20*Mesh_Y+PM_Angle!$L$20*Mesh_X))*((PM_Angle!$J$20+PM_Angle!$K$20*Mesh_Y+PM_Angle!$L$20*Mesh_X)&gt;0)*((PM_Angle!$J$20+PM_Angle!$K$20*Mesh_Y+PM_Angle!$L$20*Mesh_X)&lt;eco)+eco*((PM_Angle!$J$20+PM_Angle!$K$20*Mesh_Y+PM_Angle!$L$20*Mesh_X)&gt;=eco))/eco)^n)*(((PM_Angle!$J$20+PM_Angle!$K$20*Mesh_Y+PM_Angle!$L$20*Mesh_X))&gt;0),Mesh_A)/1000</f>
      </c>
      <c r="N20" s="10">
        <f>SUMPRODUCT(alpha*fck*(1-(1-(((PM_Angle!$J$20+PM_Angle!$K$20*Mesh_Y+PM_Angle!$L$20*Mesh_X))*((PM_Angle!$J$20+PM_Angle!$K$20*Mesh_Y+PM_Angle!$L$20*Mesh_X)&gt;0)*((PM_Angle!$J$20+PM_Angle!$K$20*Mesh_Y+PM_Angle!$L$20*Mesh_X)&lt;eco)+eco*((PM_Angle!$J$20+PM_Angle!$K$20*Mesh_Y+PM_Angle!$L$20*Mesh_X)&gt;=eco))/eco)^n)*(((PM_Angle!$J$20+PM_Angle!$K$20*Mesh_Y+PM_Angle!$L$20*Mesh_X))&gt;0),Mesh_A,Mesh_Y)/1000000</f>
      </c>
      <c r="O20" s="10">
        <f>SUMPRODUCT(alpha*fck*(1-(1-(((PM_Angle!$J$20+PM_Angle!$K$20*Mesh_Y+PM_Angle!$L$20*Mesh_X))*((PM_Angle!$J$20+PM_Angle!$K$20*Mesh_Y+PM_Angle!$L$20*Mesh_X)&gt;0)*((PM_Angle!$J$20+PM_Angle!$K$20*Mesh_Y+PM_Angle!$L$20*Mesh_X)&lt;eco)+eco*((PM_Angle!$J$20+PM_Angle!$K$20*Mesh_Y+PM_Angle!$L$20*Mesh_X)&gt;=eco))/eco)^n)*(((PM_Angle!$J$20+PM_Angle!$K$20*Mesh_Y+PM_Angle!$L$20*Mesh_X))&gt;0),Mesh_A,Mesh_X)/1000000</f>
      </c>
      <c r="P20" s="10">
        <f>Steel!CW6/1000</f>
      </c>
      <c r="Q20" s="10">
        <f>Steel!CX6/1000000</f>
      </c>
      <c r="R20" s="10">
        <f>Steel!CY6/1000000</f>
      </c>
      <c r="S20" s="39">
        <f>M20+P20</f>
      </c>
      <c r="T20" s="39">
        <f>N20+Q20</f>
      </c>
      <c r="U20" s="39">
        <f>O20+R20</f>
      </c>
      <c r="V20" s="10">
        <f>SQRT(T20^2+U20^2)</f>
      </c>
      <c r="W20" s="10">
        <v>14830.262128727716</v>
      </c>
      <c r="X20" s="40">
        <f>IF(ABS(W20)&lt;0.000000001,0,(S20-W20)/W20*100)</f>
      </c>
    </row>
    <row r="21" spans="2:24" x14ac:dyDescent="0.25">
      <c r="B21" s="35" t="s">
        <v>231</v>
      </c>
      <c r="C21" s="36"/>
      <c r="D21" s="36">
        <v>1</v>
      </c>
      <c r="E21" s="36"/>
      <c r="F21" s="20">
        <f>u_bar</f>
      </c>
      <c r="G21" s="15">
        <v>-0.002</v>
      </c>
      <c r="H21" s="12">
        <f>ecu/I21</f>
      </c>
      <c r="I21" s="38">
        <f>(ecu-G21)/(u_max-F21)</f>
      </c>
      <c r="J21" s="37">
        <f>ecu-I21*u_max</f>
      </c>
      <c r="K21" s="38">
        <f>I21*COS(RADIANS(beta))</f>
      </c>
      <c r="L21" s="38">
        <f>I21*SIN(RADIANS(beta))</f>
      </c>
      <c r="M21" s="10">
        <f>SUMPRODUCT(alpha*fck*(1-(1-(((PM_Angle!$J$21+PM_Angle!$K$21*Mesh_Y+PM_Angle!$L$21*Mesh_X))*((PM_Angle!$J$21+PM_Angle!$K$21*Mesh_Y+PM_Angle!$L$21*Mesh_X)&gt;0)*((PM_Angle!$J$21+PM_Angle!$K$21*Mesh_Y+PM_Angle!$L$21*Mesh_X)&lt;eco)+eco*((PM_Angle!$J$21+PM_Angle!$K$21*Mesh_Y+PM_Angle!$L$21*Mesh_X)&gt;=eco))/eco)^n)*(((PM_Angle!$J$21+PM_Angle!$K$21*Mesh_Y+PM_Angle!$L$21*Mesh_X))&gt;0),Mesh_A)/1000</f>
      </c>
      <c r="N21" s="10">
        <f>SUMPRODUCT(alpha*fck*(1-(1-(((PM_Angle!$J$21+PM_Angle!$K$21*Mesh_Y+PM_Angle!$L$21*Mesh_X))*((PM_Angle!$J$21+PM_Angle!$K$21*Mesh_Y+PM_Angle!$L$21*Mesh_X)&gt;0)*((PM_Angle!$J$21+PM_Angle!$K$21*Mesh_Y+PM_Angle!$L$21*Mesh_X)&lt;eco)+eco*((PM_Angle!$J$21+PM_Angle!$K$21*Mesh_Y+PM_Angle!$L$21*Mesh_X)&gt;=eco))/eco)^n)*(((PM_Angle!$J$21+PM_Angle!$K$21*Mesh_Y+PM_Angle!$L$21*Mesh_X))&gt;0),Mesh_A,Mesh_Y)/1000000</f>
      </c>
      <c r="O21" s="10">
        <f>SUMPRODUCT(alpha*fck*(1-(1-(((PM_Angle!$J$21+PM_Angle!$K$21*Mesh_Y+PM_Angle!$L$21*Mesh_X))*((PM_Angle!$J$21+PM_Angle!$K$21*Mesh_Y+PM_Angle!$L$21*Mesh_X)&gt;0)*((PM_Angle!$J$21+PM_Angle!$K$21*Mesh_Y+PM_Angle!$L$21*Mesh_X)&lt;eco)+eco*((PM_Angle!$J$21+PM_Angle!$K$21*Mesh_Y+PM_Angle!$L$21*Mesh_X)&gt;=eco))/eco)^n)*(((PM_Angle!$J$21+PM_Angle!$K$21*Mesh_Y+PM_Angle!$L$21*Mesh_X))&gt;0),Mesh_A,Mesh_X)/1000000</f>
      </c>
      <c r="P21" s="10">
        <f>Steel!DD6/1000</f>
      </c>
      <c r="Q21" s="10">
        <f>Steel!DE6/1000000</f>
      </c>
      <c r="R21" s="10">
        <f>Steel!DF6/1000000</f>
      </c>
      <c r="S21" s="39">
        <f>M21+P21</f>
      </c>
      <c r="T21" s="39">
        <f>N21+Q21</f>
      </c>
      <c r="U21" s="39">
        <f>O21+R21</f>
      </c>
      <c r="V21" s="10">
        <f>SQRT(T21^2+U21^2)</f>
      </c>
      <c r="W21" s="10">
        <v>13872.542689247419</v>
      </c>
      <c r="X21" s="40">
        <f>IF(ABS(W21)&lt;0.000000001,0,(S21-W21)/W21*100)</f>
      </c>
    </row>
    <row r="22" spans="2:24" x14ac:dyDescent="0.25">
      <c r="B22" s="35" t="s">
        <v>232</v>
      </c>
      <c r="C22" s="36"/>
      <c r="D22" s="36">
        <v>1.25</v>
      </c>
      <c r="E22" s="36"/>
      <c r="F22" s="20">
        <f>u_bar</f>
      </c>
      <c r="G22" s="15">
        <v>-0.0025</v>
      </c>
      <c r="H22" s="12">
        <f>ecu/I22</f>
      </c>
      <c r="I22" s="38">
        <f>(ecu-G22)/(u_max-F22)</f>
      </c>
      <c r="J22" s="37">
        <f>ecu-I22*u_max</f>
      </c>
      <c r="K22" s="38">
        <f>I22*COS(RADIANS(beta))</f>
      </c>
      <c r="L22" s="38">
        <f>I22*SIN(RADIANS(beta))</f>
      </c>
      <c r="M22" s="10">
        <f>SUMPRODUCT(alpha*fck*(1-(1-(((PM_Angle!$J$22+PM_Angle!$K$22*Mesh_Y+PM_Angle!$L$22*Mesh_X))*((PM_Angle!$J$22+PM_Angle!$K$22*Mesh_Y+PM_Angle!$L$22*Mesh_X)&gt;0)*((PM_Angle!$J$22+PM_Angle!$K$22*Mesh_Y+PM_Angle!$L$22*Mesh_X)&lt;eco)+eco*((PM_Angle!$J$22+PM_Angle!$K$22*Mesh_Y+PM_Angle!$L$22*Mesh_X)&gt;=eco))/eco)^n)*(((PM_Angle!$J$22+PM_Angle!$K$22*Mesh_Y+PM_Angle!$L$22*Mesh_X))&gt;0),Mesh_A)/1000</f>
      </c>
      <c r="N22" s="10">
        <f>SUMPRODUCT(alpha*fck*(1-(1-(((PM_Angle!$J$22+PM_Angle!$K$22*Mesh_Y+PM_Angle!$L$22*Mesh_X))*((PM_Angle!$J$22+PM_Angle!$K$22*Mesh_Y+PM_Angle!$L$22*Mesh_X)&gt;0)*((PM_Angle!$J$22+PM_Angle!$K$22*Mesh_Y+PM_Angle!$L$22*Mesh_X)&lt;eco)+eco*((PM_Angle!$J$22+PM_Angle!$K$22*Mesh_Y+PM_Angle!$L$22*Mesh_X)&gt;=eco))/eco)^n)*(((PM_Angle!$J$22+PM_Angle!$K$22*Mesh_Y+PM_Angle!$L$22*Mesh_X))&gt;0),Mesh_A,Mesh_Y)/1000000</f>
      </c>
      <c r="O22" s="10">
        <f>SUMPRODUCT(alpha*fck*(1-(1-(((PM_Angle!$J$22+PM_Angle!$K$22*Mesh_Y+PM_Angle!$L$22*Mesh_X))*((PM_Angle!$J$22+PM_Angle!$K$22*Mesh_Y+PM_Angle!$L$22*Mesh_X)&gt;0)*((PM_Angle!$J$22+PM_Angle!$K$22*Mesh_Y+PM_Angle!$L$22*Mesh_X)&lt;eco)+eco*((PM_Angle!$J$22+PM_Angle!$K$22*Mesh_Y+PM_Angle!$L$22*Mesh_X)&gt;=eco))/eco)^n)*(((PM_Angle!$J$22+PM_Angle!$K$22*Mesh_Y+PM_Angle!$L$22*Mesh_X))&gt;0),Mesh_A,Mesh_X)/1000000</f>
      </c>
      <c r="P22" s="10">
        <f>Steel!DK6/1000</f>
      </c>
      <c r="Q22" s="10">
        <f>Steel!DL6/1000000</f>
      </c>
      <c r="R22" s="10">
        <f>Steel!DM6/1000000</f>
      </c>
      <c r="S22" s="39">
        <f>M22+P22</f>
      </c>
      <c r="T22" s="39">
        <f>N22+Q22</f>
      </c>
      <c r="U22" s="39">
        <f>O22+R22</f>
      </c>
      <c r="V22" s="10">
        <f>SQRT(T22^2+U22^2)</f>
      </c>
      <c r="W22" s="10">
        <v>12219.38299624925</v>
      </c>
      <c r="X22" s="40">
        <f>IF(ABS(W22)&lt;0.000000001,0,(S22-W22)/W22*100)</f>
      </c>
    </row>
    <row r="23" spans="2:24" x14ac:dyDescent="0.25">
      <c r="B23" s="35" t="s">
        <v>233</v>
      </c>
      <c r="C23" s="36"/>
      <c r="D23" s="36">
        <v>1.5</v>
      </c>
      <c r="E23" s="36"/>
      <c r="F23" s="20">
        <f>u_bar</f>
      </c>
      <c r="G23" s="15">
        <v>-0.003</v>
      </c>
      <c r="H23" s="12">
        <f>ecu/I23</f>
      </c>
      <c r="I23" s="38">
        <f>(ecu-G23)/(u_max-F23)</f>
      </c>
      <c r="J23" s="37">
        <f>ecu-I23*u_max</f>
      </c>
      <c r="K23" s="38">
        <f>I23*COS(RADIANS(beta))</f>
      </c>
      <c r="L23" s="38">
        <f>I23*SIN(RADIANS(beta))</f>
      </c>
      <c r="M23" s="10">
        <f>SUMPRODUCT(alpha*fck*(1-(1-(((PM_Angle!$J$23+PM_Angle!$K$23*Mesh_Y+PM_Angle!$L$23*Mesh_X))*((PM_Angle!$J$23+PM_Angle!$K$23*Mesh_Y+PM_Angle!$L$23*Mesh_X)&gt;0)*((PM_Angle!$J$23+PM_Angle!$K$23*Mesh_Y+PM_Angle!$L$23*Mesh_X)&lt;eco)+eco*((PM_Angle!$J$23+PM_Angle!$K$23*Mesh_Y+PM_Angle!$L$23*Mesh_X)&gt;=eco))/eco)^n)*(((PM_Angle!$J$23+PM_Angle!$K$23*Mesh_Y+PM_Angle!$L$23*Mesh_X))&gt;0),Mesh_A)/1000</f>
      </c>
      <c r="N23" s="10">
        <f>SUMPRODUCT(alpha*fck*(1-(1-(((PM_Angle!$J$23+PM_Angle!$K$23*Mesh_Y+PM_Angle!$L$23*Mesh_X))*((PM_Angle!$J$23+PM_Angle!$K$23*Mesh_Y+PM_Angle!$L$23*Mesh_X)&gt;0)*((PM_Angle!$J$23+PM_Angle!$K$23*Mesh_Y+PM_Angle!$L$23*Mesh_X)&lt;eco)+eco*((PM_Angle!$J$23+PM_Angle!$K$23*Mesh_Y+PM_Angle!$L$23*Mesh_X)&gt;=eco))/eco)^n)*(((PM_Angle!$J$23+PM_Angle!$K$23*Mesh_Y+PM_Angle!$L$23*Mesh_X))&gt;0),Mesh_A,Mesh_Y)/1000000</f>
      </c>
      <c r="O23" s="10">
        <f>SUMPRODUCT(alpha*fck*(1-(1-(((PM_Angle!$J$23+PM_Angle!$K$23*Mesh_Y+PM_Angle!$L$23*Mesh_X))*((PM_Angle!$J$23+PM_Angle!$K$23*Mesh_Y+PM_Angle!$L$23*Mesh_X)&gt;0)*((PM_Angle!$J$23+PM_Angle!$K$23*Mesh_Y+PM_Angle!$L$23*Mesh_X)&lt;eco)+eco*((PM_Angle!$J$23+PM_Angle!$K$23*Mesh_Y+PM_Angle!$L$23*Mesh_X)&gt;=eco))/eco)^n)*(((PM_Angle!$J$23+PM_Angle!$K$23*Mesh_Y+PM_Angle!$L$23*Mesh_X))&gt;0),Mesh_A,Mesh_X)/1000000</f>
      </c>
      <c r="P23" s="10">
        <f>Steel!DR6/1000</f>
      </c>
      <c r="Q23" s="10">
        <f>Steel!DS6/1000000</f>
      </c>
      <c r="R23" s="10">
        <f>Steel!DT6/1000000</f>
      </c>
      <c r="S23" s="39">
        <f>M23+P23</f>
      </c>
      <c r="T23" s="39">
        <f>N23+Q23</f>
      </c>
      <c r="U23" s="39">
        <f>O23+R23</f>
      </c>
      <c r="V23" s="10">
        <f>SQRT(T23^2+U23^2)</f>
      </c>
      <c r="W23" s="10">
        <v>10905.321204451915</v>
      </c>
      <c r="X23" s="40">
        <f>IF(ABS(W23)&lt;0.000000001,0,(S23-W23)/W23*100)</f>
      </c>
    </row>
    <row r="24" spans="2:24" x14ac:dyDescent="0.25">
      <c r="B24" s="35" t="s">
        <v>234</v>
      </c>
      <c r="C24" s="36"/>
      <c r="D24" s="36">
        <v>1.75</v>
      </c>
      <c r="E24" s="36"/>
      <c r="F24" s="20">
        <f>u_bar</f>
      </c>
      <c r="G24" s="15">
        <v>-0.0035000000000000005</v>
      </c>
      <c r="H24" s="12">
        <f>ecu/I24</f>
      </c>
      <c r="I24" s="38">
        <f>(ecu-G24)/(u_max-F24)</f>
      </c>
      <c r="J24" s="37">
        <f>ecu-I24*u_max</f>
      </c>
      <c r="K24" s="38">
        <f>I24*COS(RADIANS(beta))</f>
      </c>
      <c r="L24" s="38">
        <f>I24*SIN(RADIANS(beta))</f>
      </c>
      <c r="M24" s="10">
        <f>SUMPRODUCT(alpha*fck*(1-(1-(((PM_Angle!$J$24+PM_Angle!$K$24*Mesh_Y+PM_Angle!$L$24*Mesh_X))*((PM_Angle!$J$24+PM_Angle!$K$24*Mesh_Y+PM_Angle!$L$24*Mesh_X)&gt;0)*((PM_Angle!$J$24+PM_Angle!$K$24*Mesh_Y+PM_Angle!$L$24*Mesh_X)&lt;eco)+eco*((PM_Angle!$J$24+PM_Angle!$K$24*Mesh_Y+PM_Angle!$L$24*Mesh_X)&gt;=eco))/eco)^n)*(((PM_Angle!$J$24+PM_Angle!$K$24*Mesh_Y+PM_Angle!$L$24*Mesh_X))&gt;0),Mesh_A)/1000</f>
      </c>
      <c r="N24" s="10">
        <f>SUMPRODUCT(alpha*fck*(1-(1-(((PM_Angle!$J$24+PM_Angle!$K$24*Mesh_Y+PM_Angle!$L$24*Mesh_X))*((PM_Angle!$J$24+PM_Angle!$K$24*Mesh_Y+PM_Angle!$L$24*Mesh_X)&gt;0)*((PM_Angle!$J$24+PM_Angle!$K$24*Mesh_Y+PM_Angle!$L$24*Mesh_X)&lt;eco)+eco*((PM_Angle!$J$24+PM_Angle!$K$24*Mesh_Y+PM_Angle!$L$24*Mesh_X)&gt;=eco))/eco)^n)*(((PM_Angle!$J$24+PM_Angle!$K$24*Mesh_Y+PM_Angle!$L$24*Mesh_X))&gt;0),Mesh_A,Mesh_Y)/1000000</f>
      </c>
      <c r="O24" s="10">
        <f>SUMPRODUCT(alpha*fck*(1-(1-(((PM_Angle!$J$24+PM_Angle!$K$24*Mesh_Y+PM_Angle!$L$24*Mesh_X))*((PM_Angle!$J$24+PM_Angle!$K$24*Mesh_Y+PM_Angle!$L$24*Mesh_X)&gt;0)*((PM_Angle!$J$24+PM_Angle!$K$24*Mesh_Y+PM_Angle!$L$24*Mesh_X)&lt;eco)+eco*((PM_Angle!$J$24+PM_Angle!$K$24*Mesh_Y+PM_Angle!$L$24*Mesh_X)&gt;=eco))/eco)^n)*(((PM_Angle!$J$24+PM_Angle!$K$24*Mesh_Y+PM_Angle!$L$24*Mesh_X))&gt;0),Mesh_A,Mesh_X)/1000000</f>
      </c>
      <c r="P24" s="10">
        <f>Steel!DY6/1000</f>
      </c>
      <c r="Q24" s="10">
        <f>Steel!DZ6/1000000</f>
      </c>
      <c r="R24" s="10">
        <f>Steel!EA6/1000000</f>
      </c>
      <c r="S24" s="39">
        <f>M24+P24</f>
      </c>
      <c r="T24" s="39">
        <f>N24+Q24</f>
      </c>
      <c r="U24" s="39">
        <f>O24+R24</f>
      </c>
      <c r="V24" s="10">
        <f>SQRT(T24^2+U24^2)</f>
      </c>
      <c r="W24" s="10">
        <v>9823.79302508641</v>
      </c>
      <c r="X24" s="40">
        <f>IF(ABS(W24)&lt;0.000000001,0,(S24-W24)/W24*100)</f>
      </c>
    </row>
    <row r="25" spans="2:24" x14ac:dyDescent="0.25">
      <c r="B25" s="35" t="s">
        <v>235</v>
      </c>
      <c r="C25" s="36"/>
      <c r="D25" s="36">
        <v>2</v>
      </c>
      <c r="E25" s="36"/>
      <c r="F25" s="20">
        <f>u_bar</f>
      </c>
      <c r="G25" s="15">
        <v>-0.004</v>
      </c>
      <c r="H25" s="12">
        <f>ecu/I25</f>
      </c>
      <c r="I25" s="38">
        <f>(ecu-G25)/(u_max-F25)</f>
      </c>
      <c r="J25" s="37">
        <f>ecu-I25*u_max</f>
      </c>
      <c r="K25" s="38">
        <f>I25*COS(RADIANS(beta))</f>
      </c>
      <c r="L25" s="38">
        <f>I25*SIN(RADIANS(beta))</f>
      </c>
      <c r="M25" s="10">
        <f>SUMPRODUCT(alpha*fck*(1-(1-(((PM_Angle!$J$25+PM_Angle!$K$25*Mesh_Y+PM_Angle!$L$25*Mesh_X))*((PM_Angle!$J$25+PM_Angle!$K$25*Mesh_Y+PM_Angle!$L$25*Mesh_X)&gt;0)*((PM_Angle!$J$25+PM_Angle!$K$25*Mesh_Y+PM_Angle!$L$25*Mesh_X)&lt;eco)+eco*((PM_Angle!$J$25+PM_Angle!$K$25*Mesh_Y+PM_Angle!$L$25*Mesh_X)&gt;=eco))/eco)^n)*(((PM_Angle!$J$25+PM_Angle!$K$25*Mesh_Y+PM_Angle!$L$25*Mesh_X))&gt;0),Mesh_A)/1000</f>
      </c>
      <c r="N25" s="10">
        <f>SUMPRODUCT(alpha*fck*(1-(1-(((PM_Angle!$J$25+PM_Angle!$K$25*Mesh_Y+PM_Angle!$L$25*Mesh_X))*((PM_Angle!$J$25+PM_Angle!$K$25*Mesh_Y+PM_Angle!$L$25*Mesh_X)&gt;0)*((PM_Angle!$J$25+PM_Angle!$K$25*Mesh_Y+PM_Angle!$L$25*Mesh_X)&lt;eco)+eco*((PM_Angle!$J$25+PM_Angle!$K$25*Mesh_Y+PM_Angle!$L$25*Mesh_X)&gt;=eco))/eco)^n)*(((PM_Angle!$J$25+PM_Angle!$K$25*Mesh_Y+PM_Angle!$L$25*Mesh_X))&gt;0),Mesh_A,Mesh_Y)/1000000</f>
      </c>
      <c r="O25" s="10">
        <f>SUMPRODUCT(alpha*fck*(1-(1-(((PM_Angle!$J$25+PM_Angle!$K$25*Mesh_Y+PM_Angle!$L$25*Mesh_X))*((PM_Angle!$J$25+PM_Angle!$K$25*Mesh_Y+PM_Angle!$L$25*Mesh_X)&gt;0)*((PM_Angle!$J$25+PM_Angle!$K$25*Mesh_Y+PM_Angle!$L$25*Mesh_X)&lt;eco)+eco*((PM_Angle!$J$25+PM_Angle!$K$25*Mesh_Y+PM_Angle!$L$25*Mesh_X)&gt;=eco))/eco)^n)*(((PM_Angle!$J$25+PM_Angle!$K$25*Mesh_Y+PM_Angle!$L$25*Mesh_X))&gt;0),Mesh_A,Mesh_X)/1000000</f>
      </c>
      <c r="P25" s="10">
        <f>Steel!EF6/1000</f>
      </c>
      <c r="Q25" s="10">
        <f>Steel!EG6/1000000</f>
      </c>
      <c r="R25" s="10">
        <f>Steel!EH6/1000000</f>
      </c>
      <c r="S25" s="39">
        <f>M25+P25</f>
      </c>
      <c r="T25" s="39">
        <f>N25+Q25</f>
      </c>
      <c r="U25" s="39">
        <f>O25+R25</f>
      </c>
      <c r="V25" s="10">
        <f>SQRT(T25^2+U25^2)</f>
      </c>
      <c r="W25" s="10">
        <v>8823.417547821995</v>
      </c>
      <c r="X25" s="40">
        <f>IF(ABS(W25)&lt;0.000000001,0,(S25-W25)/W25*100)</f>
      </c>
    </row>
    <row r="26" spans="2:24" x14ac:dyDescent="0.25">
      <c r="B26" s="35" t="s">
        <v>236</v>
      </c>
      <c r="C26" s="36"/>
      <c r="D26" s="36">
        <v>2.5</v>
      </c>
      <c r="E26" s="36"/>
      <c r="F26" s="20">
        <f>u_bar</f>
      </c>
      <c r="G26" s="15">
        <v>-0.005</v>
      </c>
      <c r="H26" s="12">
        <f>ecu/I26</f>
      </c>
      <c r="I26" s="38">
        <f>(ecu-G26)/(u_max-F26)</f>
      </c>
      <c r="J26" s="37">
        <f>ecu-I26*u_max</f>
      </c>
      <c r="K26" s="38">
        <f>I26*COS(RADIANS(beta))</f>
      </c>
      <c r="L26" s="38">
        <f>I26*SIN(RADIANS(beta))</f>
      </c>
      <c r="M26" s="10">
        <f>SUMPRODUCT(alpha*fck*(1-(1-(((PM_Angle!$J$26+PM_Angle!$K$26*Mesh_Y+PM_Angle!$L$26*Mesh_X))*((PM_Angle!$J$26+PM_Angle!$K$26*Mesh_Y+PM_Angle!$L$26*Mesh_X)&gt;0)*((PM_Angle!$J$26+PM_Angle!$K$26*Mesh_Y+PM_Angle!$L$26*Mesh_X)&lt;eco)+eco*((PM_Angle!$J$26+PM_Angle!$K$26*Mesh_Y+PM_Angle!$L$26*Mesh_X)&gt;=eco))/eco)^n)*(((PM_Angle!$J$26+PM_Angle!$K$26*Mesh_Y+PM_Angle!$L$26*Mesh_X))&gt;0),Mesh_A)/1000</f>
      </c>
      <c r="N26" s="10">
        <f>SUMPRODUCT(alpha*fck*(1-(1-(((PM_Angle!$J$26+PM_Angle!$K$26*Mesh_Y+PM_Angle!$L$26*Mesh_X))*((PM_Angle!$J$26+PM_Angle!$K$26*Mesh_Y+PM_Angle!$L$26*Mesh_X)&gt;0)*((PM_Angle!$J$26+PM_Angle!$K$26*Mesh_Y+PM_Angle!$L$26*Mesh_X)&lt;eco)+eco*((PM_Angle!$J$26+PM_Angle!$K$26*Mesh_Y+PM_Angle!$L$26*Mesh_X)&gt;=eco))/eco)^n)*(((PM_Angle!$J$26+PM_Angle!$K$26*Mesh_Y+PM_Angle!$L$26*Mesh_X))&gt;0),Mesh_A,Mesh_Y)/1000000</f>
      </c>
      <c r="O26" s="10">
        <f>SUMPRODUCT(alpha*fck*(1-(1-(((PM_Angle!$J$26+PM_Angle!$K$26*Mesh_Y+PM_Angle!$L$26*Mesh_X))*((PM_Angle!$J$26+PM_Angle!$K$26*Mesh_Y+PM_Angle!$L$26*Mesh_X)&gt;0)*((PM_Angle!$J$26+PM_Angle!$K$26*Mesh_Y+PM_Angle!$L$26*Mesh_X)&lt;eco)+eco*((PM_Angle!$J$26+PM_Angle!$K$26*Mesh_Y+PM_Angle!$L$26*Mesh_X)&gt;=eco))/eco)^n)*(((PM_Angle!$J$26+PM_Angle!$K$26*Mesh_Y+PM_Angle!$L$26*Mesh_X))&gt;0),Mesh_A,Mesh_X)/1000000</f>
      </c>
      <c r="P26" s="10">
        <f>Steel!EM6/1000</f>
      </c>
      <c r="Q26" s="10">
        <f>Steel!EN6/1000000</f>
      </c>
      <c r="R26" s="10">
        <f>Steel!EO6/1000000</f>
      </c>
      <c r="S26" s="39">
        <f>M26+P26</f>
      </c>
      <c r="T26" s="39">
        <f>N26+Q26</f>
      </c>
      <c r="U26" s="39">
        <f>O26+R26</f>
      </c>
      <c r="V26" s="10">
        <f>SQRT(T26^2+U26^2)</f>
      </c>
      <c r="W26" s="10">
        <v>7089.749963110848</v>
      </c>
      <c r="X26" s="40">
        <f>IF(ABS(W26)&lt;0.000000001,0,(S26-W26)/W26*100)</f>
      </c>
    </row>
    <row r="27" spans="2:24" x14ac:dyDescent="0.25">
      <c r="B27" s="35" t="s">
        <v>237</v>
      </c>
      <c r="C27" s="36"/>
      <c r="D27" s="36">
        <v>3</v>
      </c>
      <c r="E27" s="36"/>
      <c r="F27" s="20">
        <f>u_bar</f>
      </c>
      <c r="G27" s="15">
        <v>-0.005999999999999998</v>
      </c>
      <c r="H27" s="12">
        <f>ecu/I27</f>
      </c>
      <c r="I27" s="38">
        <f>(ecu-G27)/(u_max-F27)</f>
      </c>
      <c r="J27" s="37">
        <f>ecu-I27*u_max</f>
      </c>
      <c r="K27" s="38">
        <f>I27*COS(RADIANS(beta))</f>
      </c>
      <c r="L27" s="38">
        <f>I27*SIN(RADIANS(beta))</f>
      </c>
      <c r="M27" s="10">
        <f>SUMPRODUCT(alpha*fck*(1-(1-(((PM_Angle!$J$27+PM_Angle!$K$27*Mesh_Y+PM_Angle!$L$27*Mesh_X))*((PM_Angle!$J$27+PM_Angle!$K$27*Mesh_Y+PM_Angle!$L$27*Mesh_X)&gt;0)*((PM_Angle!$J$27+PM_Angle!$K$27*Mesh_Y+PM_Angle!$L$27*Mesh_X)&lt;eco)+eco*((PM_Angle!$J$27+PM_Angle!$K$27*Mesh_Y+PM_Angle!$L$27*Mesh_X)&gt;=eco))/eco)^n)*(((PM_Angle!$J$27+PM_Angle!$K$27*Mesh_Y+PM_Angle!$L$27*Mesh_X))&gt;0),Mesh_A)/1000</f>
      </c>
      <c r="N27" s="10">
        <f>SUMPRODUCT(alpha*fck*(1-(1-(((PM_Angle!$J$27+PM_Angle!$K$27*Mesh_Y+PM_Angle!$L$27*Mesh_X))*((PM_Angle!$J$27+PM_Angle!$K$27*Mesh_Y+PM_Angle!$L$27*Mesh_X)&gt;0)*((PM_Angle!$J$27+PM_Angle!$K$27*Mesh_Y+PM_Angle!$L$27*Mesh_X)&lt;eco)+eco*((PM_Angle!$J$27+PM_Angle!$K$27*Mesh_Y+PM_Angle!$L$27*Mesh_X)&gt;=eco))/eco)^n)*(((PM_Angle!$J$27+PM_Angle!$K$27*Mesh_Y+PM_Angle!$L$27*Mesh_X))&gt;0),Mesh_A,Mesh_Y)/1000000</f>
      </c>
      <c r="O27" s="10">
        <f>SUMPRODUCT(alpha*fck*(1-(1-(((PM_Angle!$J$27+PM_Angle!$K$27*Mesh_Y+PM_Angle!$L$27*Mesh_X))*((PM_Angle!$J$27+PM_Angle!$K$27*Mesh_Y+PM_Angle!$L$27*Mesh_X)&gt;0)*((PM_Angle!$J$27+PM_Angle!$K$27*Mesh_Y+PM_Angle!$L$27*Mesh_X)&lt;eco)+eco*((PM_Angle!$J$27+PM_Angle!$K$27*Mesh_Y+PM_Angle!$L$27*Mesh_X)&gt;=eco))/eco)^n)*(((PM_Angle!$J$27+PM_Angle!$K$27*Mesh_Y+PM_Angle!$L$27*Mesh_X))&gt;0),Mesh_A,Mesh_X)/1000000</f>
      </c>
      <c r="P27" s="10">
        <f>Steel!ET6/1000</f>
      </c>
      <c r="Q27" s="10">
        <f>Steel!EU6/1000000</f>
      </c>
      <c r="R27" s="10">
        <f>Steel!EV6/1000000</f>
      </c>
      <c r="S27" s="39">
        <f>M27+P27</f>
      </c>
      <c r="T27" s="39">
        <f>N27+Q27</f>
      </c>
      <c r="U27" s="39">
        <f>O27+R27</f>
      </c>
      <c r="V27" s="10">
        <f>SQRT(T27^2+U27^2)</f>
      </c>
      <c r="W27" s="10">
        <v>5653.327167182719</v>
      </c>
      <c r="X27" s="40">
        <f>IF(ABS(W27)&lt;0.000000001,0,(S27-W27)/W27*100)</f>
      </c>
    </row>
    <row r="28" spans="2:24" x14ac:dyDescent="0.25">
      <c r="B28" s="35" t="s">
        <v>238</v>
      </c>
      <c r="C28" s="36"/>
      <c r="D28" s="36">
        <v>4</v>
      </c>
      <c r="E28" s="36"/>
      <c r="F28" s="20">
        <f>u_bar</f>
      </c>
      <c r="G28" s="15">
        <v>-0.008</v>
      </c>
      <c r="H28" s="12">
        <f>ecu/I28</f>
      </c>
      <c r="I28" s="38">
        <f>(ecu-G28)/(u_max-F28)</f>
      </c>
      <c r="J28" s="37">
        <f>ecu-I28*u_max</f>
      </c>
      <c r="K28" s="38">
        <f>I28*COS(RADIANS(beta))</f>
      </c>
      <c r="L28" s="38">
        <f>I28*SIN(RADIANS(beta))</f>
      </c>
      <c r="M28" s="10">
        <f>SUMPRODUCT(alpha*fck*(1-(1-(((PM_Angle!$J$28+PM_Angle!$K$28*Mesh_Y+PM_Angle!$L$28*Mesh_X))*((PM_Angle!$J$28+PM_Angle!$K$28*Mesh_Y+PM_Angle!$L$28*Mesh_X)&gt;0)*((PM_Angle!$J$28+PM_Angle!$K$28*Mesh_Y+PM_Angle!$L$28*Mesh_X)&lt;eco)+eco*((PM_Angle!$J$28+PM_Angle!$K$28*Mesh_Y+PM_Angle!$L$28*Mesh_X)&gt;=eco))/eco)^n)*(((PM_Angle!$J$28+PM_Angle!$K$28*Mesh_Y+PM_Angle!$L$28*Mesh_X))&gt;0),Mesh_A)/1000</f>
      </c>
      <c r="N28" s="10">
        <f>SUMPRODUCT(alpha*fck*(1-(1-(((PM_Angle!$J$28+PM_Angle!$K$28*Mesh_Y+PM_Angle!$L$28*Mesh_X))*((PM_Angle!$J$28+PM_Angle!$K$28*Mesh_Y+PM_Angle!$L$28*Mesh_X)&gt;0)*((PM_Angle!$J$28+PM_Angle!$K$28*Mesh_Y+PM_Angle!$L$28*Mesh_X)&lt;eco)+eco*((PM_Angle!$J$28+PM_Angle!$K$28*Mesh_Y+PM_Angle!$L$28*Mesh_X)&gt;=eco))/eco)^n)*(((PM_Angle!$J$28+PM_Angle!$K$28*Mesh_Y+PM_Angle!$L$28*Mesh_X))&gt;0),Mesh_A,Mesh_Y)/1000000</f>
      </c>
      <c r="O28" s="10">
        <f>SUMPRODUCT(alpha*fck*(1-(1-(((PM_Angle!$J$28+PM_Angle!$K$28*Mesh_Y+PM_Angle!$L$28*Mesh_X))*((PM_Angle!$J$28+PM_Angle!$K$28*Mesh_Y+PM_Angle!$L$28*Mesh_X)&gt;0)*((PM_Angle!$J$28+PM_Angle!$K$28*Mesh_Y+PM_Angle!$L$28*Mesh_X)&lt;eco)+eco*((PM_Angle!$J$28+PM_Angle!$K$28*Mesh_Y+PM_Angle!$L$28*Mesh_X)&gt;=eco))/eco)^n)*(((PM_Angle!$J$28+PM_Angle!$K$28*Mesh_Y+PM_Angle!$L$28*Mesh_X))&gt;0),Mesh_A,Mesh_X)/1000000</f>
      </c>
      <c r="P28" s="10">
        <f>Steel!FA6/1000</f>
      </c>
      <c r="Q28" s="10">
        <f>Steel!FB6/1000000</f>
      </c>
      <c r="R28" s="10">
        <f>Steel!FC6/1000000</f>
      </c>
      <c r="S28" s="39">
        <f>M28+P28</f>
      </c>
      <c r="T28" s="39">
        <f>N28+Q28</f>
      </c>
      <c r="U28" s="39">
        <f>O28+R28</f>
      </c>
      <c r="V28" s="10">
        <f>SQRT(T28^2+U28^2)</f>
      </c>
      <c r="W28" s="10">
        <v>3322.757244273447</v>
      </c>
      <c r="X28" s="40">
        <f>IF(ABS(W28)&lt;0.000000001,0,(S28-W28)/W28*100)</f>
      </c>
    </row>
    <row r="29" spans="2:24" x14ac:dyDescent="0.25">
      <c r="B29" s="35" t="s">
        <v>239</v>
      </c>
      <c r="C29" s="36"/>
      <c r="D29" s="36">
        <v>5</v>
      </c>
      <c r="E29" s="36"/>
      <c r="F29" s="20">
        <f>u_bar</f>
      </c>
      <c r="G29" s="15">
        <v>-0.009999999999999997</v>
      </c>
      <c r="H29" s="12">
        <f>ecu/I29</f>
      </c>
      <c r="I29" s="38">
        <f>(ecu-G29)/(u_max-F29)</f>
      </c>
      <c r="J29" s="37">
        <f>ecu-I29*u_max</f>
      </c>
      <c r="K29" s="38">
        <f>I29*COS(RADIANS(beta))</f>
      </c>
      <c r="L29" s="38">
        <f>I29*SIN(RADIANS(beta))</f>
      </c>
      <c r="M29" s="10">
        <f>SUMPRODUCT(alpha*fck*(1-(1-(((PM_Angle!$J$29+PM_Angle!$K$29*Mesh_Y+PM_Angle!$L$29*Mesh_X))*((PM_Angle!$J$29+PM_Angle!$K$29*Mesh_Y+PM_Angle!$L$29*Mesh_X)&gt;0)*((PM_Angle!$J$29+PM_Angle!$K$29*Mesh_Y+PM_Angle!$L$29*Mesh_X)&lt;eco)+eco*((PM_Angle!$J$29+PM_Angle!$K$29*Mesh_Y+PM_Angle!$L$29*Mesh_X)&gt;=eco))/eco)^n)*(((PM_Angle!$J$29+PM_Angle!$K$29*Mesh_Y+PM_Angle!$L$29*Mesh_X))&gt;0),Mesh_A)/1000</f>
      </c>
      <c r="N29" s="10">
        <f>SUMPRODUCT(alpha*fck*(1-(1-(((PM_Angle!$J$29+PM_Angle!$K$29*Mesh_Y+PM_Angle!$L$29*Mesh_X))*((PM_Angle!$J$29+PM_Angle!$K$29*Mesh_Y+PM_Angle!$L$29*Mesh_X)&gt;0)*((PM_Angle!$J$29+PM_Angle!$K$29*Mesh_Y+PM_Angle!$L$29*Mesh_X)&lt;eco)+eco*((PM_Angle!$J$29+PM_Angle!$K$29*Mesh_Y+PM_Angle!$L$29*Mesh_X)&gt;=eco))/eco)^n)*(((PM_Angle!$J$29+PM_Angle!$K$29*Mesh_Y+PM_Angle!$L$29*Mesh_X))&gt;0),Mesh_A,Mesh_Y)/1000000</f>
      </c>
      <c r="O29" s="10">
        <f>SUMPRODUCT(alpha*fck*(1-(1-(((PM_Angle!$J$29+PM_Angle!$K$29*Mesh_Y+PM_Angle!$L$29*Mesh_X))*((PM_Angle!$J$29+PM_Angle!$K$29*Mesh_Y+PM_Angle!$L$29*Mesh_X)&gt;0)*((PM_Angle!$J$29+PM_Angle!$K$29*Mesh_Y+PM_Angle!$L$29*Mesh_X)&lt;eco)+eco*((PM_Angle!$J$29+PM_Angle!$K$29*Mesh_Y+PM_Angle!$L$29*Mesh_X)&gt;=eco))/eco)^n)*(((PM_Angle!$J$29+PM_Angle!$K$29*Mesh_Y+PM_Angle!$L$29*Mesh_X))&gt;0),Mesh_A,Mesh_X)/1000000</f>
      </c>
      <c r="P29" s="10">
        <f>Steel!FH6/1000</f>
      </c>
      <c r="Q29" s="10">
        <f>Steel!FI6/1000000</f>
      </c>
      <c r="R29" s="10">
        <f>Steel!FJ6/1000000</f>
      </c>
      <c r="S29" s="39">
        <f>M29+P29</f>
      </c>
      <c r="T29" s="39">
        <f>N29+Q29</f>
      </c>
      <c r="U29" s="39">
        <f>O29+R29</f>
      </c>
      <c r="V29" s="10">
        <f>SQRT(T29^2+U29^2)</f>
      </c>
      <c r="W29" s="10">
        <v>1694.8502135948982</v>
      </c>
      <c r="X29" s="40">
        <f>IF(ABS(W29)&lt;0.000000001,0,(S29-W29)/W29*100)</f>
      </c>
    </row>
    <row r="30" spans="2:24" x14ac:dyDescent="0.25">
      <c r="B30" s="35" t="s">
        <v>240</v>
      </c>
      <c r="C30" s="36"/>
      <c r="D30" s="36">
        <v>7.5</v>
      </c>
      <c r="E30" s="36"/>
      <c r="F30" s="20">
        <f>u_bar</f>
      </c>
      <c r="G30" s="15">
        <v>-0.015</v>
      </c>
      <c r="H30" s="12">
        <f>ecu/I30</f>
      </c>
      <c r="I30" s="38">
        <f>(ecu-G30)/(u_max-F30)</f>
      </c>
      <c r="J30" s="37">
        <f>ecu-I30*u_max</f>
      </c>
      <c r="K30" s="38">
        <f>I30*COS(RADIANS(beta))</f>
      </c>
      <c r="L30" s="38">
        <f>I30*SIN(RADIANS(beta))</f>
      </c>
      <c r="M30" s="10">
        <f>SUMPRODUCT(alpha*fck*(1-(1-(((PM_Angle!$J$30+PM_Angle!$K$30*Mesh_Y+PM_Angle!$L$30*Mesh_X))*((PM_Angle!$J$30+PM_Angle!$K$30*Mesh_Y+PM_Angle!$L$30*Mesh_X)&gt;0)*((PM_Angle!$J$30+PM_Angle!$K$30*Mesh_Y+PM_Angle!$L$30*Mesh_X)&lt;eco)+eco*((PM_Angle!$J$30+PM_Angle!$K$30*Mesh_Y+PM_Angle!$L$30*Mesh_X)&gt;=eco))/eco)^n)*(((PM_Angle!$J$30+PM_Angle!$K$30*Mesh_Y+PM_Angle!$L$30*Mesh_X))&gt;0),Mesh_A)/1000</f>
      </c>
      <c r="N30" s="10">
        <f>SUMPRODUCT(alpha*fck*(1-(1-(((PM_Angle!$J$30+PM_Angle!$K$30*Mesh_Y+PM_Angle!$L$30*Mesh_X))*((PM_Angle!$J$30+PM_Angle!$K$30*Mesh_Y+PM_Angle!$L$30*Mesh_X)&gt;0)*((PM_Angle!$J$30+PM_Angle!$K$30*Mesh_Y+PM_Angle!$L$30*Mesh_X)&lt;eco)+eco*((PM_Angle!$J$30+PM_Angle!$K$30*Mesh_Y+PM_Angle!$L$30*Mesh_X)&gt;=eco))/eco)^n)*(((PM_Angle!$J$30+PM_Angle!$K$30*Mesh_Y+PM_Angle!$L$30*Mesh_X))&gt;0),Mesh_A,Mesh_Y)/1000000</f>
      </c>
      <c r="O30" s="10">
        <f>SUMPRODUCT(alpha*fck*(1-(1-(((PM_Angle!$J$30+PM_Angle!$K$30*Mesh_Y+PM_Angle!$L$30*Mesh_X))*((PM_Angle!$J$30+PM_Angle!$K$30*Mesh_Y+PM_Angle!$L$30*Mesh_X)&gt;0)*((PM_Angle!$J$30+PM_Angle!$K$30*Mesh_Y+PM_Angle!$L$30*Mesh_X)&lt;eco)+eco*((PM_Angle!$J$30+PM_Angle!$K$30*Mesh_Y+PM_Angle!$L$30*Mesh_X)&gt;=eco))/eco)^n)*(((PM_Angle!$J$30+PM_Angle!$K$30*Mesh_Y+PM_Angle!$L$30*Mesh_X))&gt;0),Mesh_A,Mesh_X)/1000000</f>
      </c>
      <c r="P30" s="10">
        <f>Steel!FO6/1000</f>
      </c>
      <c r="Q30" s="10">
        <f>Steel!FP6/1000000</f>
      </c>
      <c r="R30" s="10">
        <f>Steel!FQ6/1000000</f>
      </c>
      <c r="S30" s="39">
        <f>M30+P30</f>
      </c>
      <c r="T30" s="39">
        <f>N30+Q30</f>
      </c>
      <c r="U30" s="39">
        <f>O30+R30</f>
      </c>
      <c r="V30" s="10">
        <f>SQRT(T30^2+U30^2)</f>
      </c>
      <c r="W30" s="10">
        <v>-1005.0490032452154</v>
      </c>
      <c r="X30" s="40">
        <f>IF(ABS(W30)&lt;0.000000001,0,(S30-W30)/W30*100)</f>
      </c>
    </row>
    <row r="31" spans="2:24" x14ac:dyDescent="0.25">
      <c r="B31" s="35" t="s">
        <v>241</v>
      </c>
      <c r="C31" s="36"/>
      <c r="D31" s="36">
        <v>10</v>
      </c>
      <c r="E31" s="36"/>
      <c r="F31" s="20">
        <f>u_bar</f>
      </c>
      <c r="G31" s="15">
        <v>-0.020000000000000004</v>
      </c>
      <c r="H31" s="12">
        <f>ecu/I31</f>
      </c>
      <c r="I31" s="38">
        <f>(ecu-G31)/(u_max-F31)</f>
      </c>
      <c r="J31" s="37">
        <f>ecu-I31*u_max</f>
      </c>
      <c r="K31" s="38">
        <f>I31*COS(RADIANS(beta))</f>
      </c>
      <c r="L31" s="38">
        <f>I31*SIN(RADIANS(beta))</f>
      </c>
      <c r="M31" s="10">
        <f>SUMPRODUCT(alpha*fck*(1-(1-(((PM_Angle!$J$31+PM_Angle!$K$31*Mesh_Y+PM_Angle!$L$31*Mesh_X))*((PM_Angle!$J$31+PM_Angle!$K$31*Mesh_Y+PM_Angle!$L$31*Mesh_X)&gt;0)*((PM_Angle!$J$31+PM_Angle!$K$31*Mesh_Y+PM_Angle!$L$31*Mesh_X)&lt;eco)+eco*((PM_Angle!$J$31+PM_Angle!$K$31*Mesh_Y+PM_Angle!$L$31*Mesh_X)&gt;=eco))/eco)^n)*(((PM_Angle!$J$31+PM_Angle!$K$31*Mesh_Y+PM_Angle!$L$31*Mesh_X))&gt;0),Mesh_A)/1000</f>
      </c>
      <c r="N31" s="10">
        <f>SUMPRODUCT(alpha*fck*(1-(1-(((PM_Angle!$J$31+PM_Angle!$K$31*Mesh_Y+PM_Angle!$L$31*Mesh_X))*((PM_Angle!$J$31+PM_Angle!$K$31*Mesh_Y+PM_Angle!$L$31*Mesh_X)&gt;0)*((PM_Angle!$J$31+PM_Angle!$K$31*Mesh_Y+PM_Angle!$L$31*Mesh_X)&lt;eco)+eco*((PM_Angle!$J$31+PM_Angle!$K$31*Mesh_Y+PM_Angle!$L$31*Mesh_X)&gt;=eco))/eco)^n)*(((PM_Angle!$J$31+PM_Angle!$K$31*Mesh_Y+PM_Angle!$L$31*Mesh_X))&gt;0),Mesh_A,Mesh_Y)/1000000</f>
      </c>
      <c r="O31" s="10">
        <f>SUMPRODUCT(alpha*fck*(1-(1-(((PM_Angle!$J$31+PM_Angle!$K$31*Mesh_Y+PM_Angle!$L$31*Mesh_X))*((PM_Angle!$J$31+PM_Angle!$K$31*Mesh_Y+PM_Angle!$L$31*Mesh_X)&gt;0)*((PM_Angle!$J$31+PM_Angle!$K$31*Mesh_Y+PM_Angle!$L$31*Mesh_X)&lt;eco)+eco*((PM_Angle!$J$31+PM_Angle!$K$31*Mesh_Y+PM_Angle!$L$31*Mesh_X)&gt;=eco))/eco)^n)*(((PM_Angle!$J$31+PM_Angle!$K$31*Mesh_Y+PM_Angle!$L$31*Mesh_X))&gt;0),Mesh_A,Mesh_X)/1000000</f>
      </c>
      <c r="P31" s="10">
        <f>Steel!FV6/1000</f>
      </c>
      <c r="Q31" s="10">
        <f>Steel!FW6/1000000</f>
      </c>
      <c r="R31" s="10">
        <f>Steel!FX6/1000000</f>
      </c>
      <c r="S31" s="39">
        <f>M31+P31</f>
      </c>
      <c r="T31" s="39">
        <f>N31+Q31</f>
      </c>
      <c r="U31" s="39">
        <f>O31+R31</f>
      </c>
      <c r="V31" s="10">
        <f>SQRT(T31^2+U31^2)</f>
      </c>
      <c r="W31" s="10">
        <v>-2705.1851104091907</v>
      </c>
      <c r="X31" s="40">
        <f>IF(ABS(W31)&lt;0.000000001,0,(S31-W31)/W31*100)</f>
      </c>
    </row>
    <row r="32" spans="2:24" x14ac:dyDescent="0.25">
      <c r="B32" s="35" t="s">
        <v>242</v>
      </c>
      <c r="C32" s="36"/>
      <c r="D32" s="36">
        <v>20</v>
      </c>
      <c r="E32" s="36"/>
      <c r="F32" s="20">
        <f>u_bar</f>
      </c>
      <c r="G32" s="15">
        <v>-0.04</v>
      </c>
      <c r="H32" s="12">
        <f>ecu/I32</f>
      </c>
      <c r="I32" s="38">
        <f>(ecu-G32)/(u_max-F32)</f>
      </c>
      <c r="J32" s="37">
        <f>ecu-I32*u_max</f>
      </c>
      <c r="K32" s="38">
        <f>I32*COS(RADIANS(beta))</f>
      </c>
      <c r="L32" s="38">
        <f>I32*SIN(RADIANS(beta))</f>
      </c>
      <c r="M32" s="10">
        <f>SUMPRODUCT(alpha*fck*(1-(1-(((PM_Angle!$J$32+PM_Angle!$K$32*Mesh_Y+PM_Angle!$L$32*Mesh_X))*((PM_Angle!$J$32+PM_Angle!$K$32*Mesh_Y+PM_Angle!$L$32*Mesh_X)&gt;0)*((PM_Angle!$J$32+PM_Angle!$K$32*Mesh_Y+PM_Angle!$L$32*Mesh_X)&lt;eco)+eco*((PM_Angle!$J$32+PM_Angle!$K$32*Mesh_Y+PM_Angle!$L$32*Mesh_X)&gt;=eco))/eco)^n)*(((PM_Angle!$J$32+PM_Angle!$K$32*Mesh_Y+PM_Angle!$L$32*Mesh_X))&gt;0),Mesh_A)/1000</f>
      </c>
      <c r="N32" s="10">
        <f>SUMPRODUCT(alpha*fck*(1-(1-(((PM_Angle!$J$32+PM_Angle!$K$32*Mesh_Y+PM_Angle!$L$32*Mesh_X))*((PM_Angle!$J$32+PM_Angle!$K$32*Mesh_Y+PM_Angle!$L$32*Mesh_X)&gt;0)*((PM_Angle!$J$32+PM_Angle!$K$32*Mesh_Y+PM_Angle!$L$32*Mesh_X)&lt;eco)+eco*((PM_Angle!$J$32+PM_Angle!$K$32*Mesh_Y+PM_Angle!$L$32*Mesh_X)&gt;=eco))/eco)^n)*(((PM_Angle!$J$32+PM_Angle!$K$32*Mesh_Y+PM_Angle!$L$32*Mesh_X))&gt;0),Mesh_A,Mesh_Y)/1000000</f>
      </c>
      <c r="O32" s="10">
        <f>SUMPRODUCT(alpha*fck*(1-(1-(((PM_Angle!$J$32+PM_Angle!$K$32*Mesh_Y+PM_Angle!$L$32*Mesh_X))*((PM_Angle!$J$32+PM_Angle!$K$32*Mesh_Y+PM_Angle!$L$32*Mesh_X)&gt;0)*((PM_Angle!$J$32+PM_Angle!$K$32*Mesh_Y+PM_Angle!$L$32*Mesh_X)&lt;eco)+eco*((PM_Angle!$J$32+PM_Angle!$K$32*Mesh_Y+PM_Angle!$L$32*Mesh_X)&gt;=eco))/eco)^n)*(((PM_Angle!$J$32+PM_Angle!$K$32*Mesh_Y+PM_Angle!$L$32*Mesh_X))&gt;0),Mesh_A,Mesh_X)/1000000</f>
      </c>
      <c r="P32" s="10">
        <f>Steel!GC6/1000</f>
      </c>
      <c r="Q32" s="10">
        <f>Steel!GD6/1000000</f>
      </c>
      <c r="R32" s="10">
        <f>Steel!GE6/1000000</f>
      </c>
      <c r="S32" s="39">
        <f>M32+P32</f>
      </c>
      <c r="T32" s="39">
        <f>N32+Q32</f>
      </c>
      <c r="U32" s="39">
        <f>O32+R32</f>
      </c>
      <c r="V32" s="10">
        <f>SQRT(T32^2+U32^2)</f>
      </c>
      <c r="W32" s="10">
        <v>-4986.1897604569185</v>
      </c>
      <c r="X32" s="40">
        <f>IF(ABS(W32)&lt;0.000000001,0,(S32-W32)/W32*100)</f>
      </c>
    </row>
    <row r="33" spans="2:24" x14ac:dyDescent="0.25">
      <c r="B33" s="26" t="s">
        <v>243</v>
      </c>
      <c r="C33" s="27"/>
      <c r="D33" s="27"/>
      <c r="E33" s="27"/>
      <c r="F33" s="28" t="s">
        <v>217</v>
      </c>
      <c r="G33" s="29">
        <f>etu</f>
      </c>
      <c r="H33" s="30" t="s">
        <v>148</v>
      </c>
      <c r="I33" s="31">
        <v>0</v>
      </c>
      <c r="J33" s="29">
        <f>etu</f>
      </c>
      <c r="K33" s="31">
        <f>I33*COS(RADIANS(beta))</f>
      </c>
      <c r="L33" s="31">
        <f>I33*SIN(RADIANS(beta))</f>
      </c>
      <c r="M33" s="32">
        <f>SUMPRODUCT(alpha*fck*(1-(1-(((PM_Angle!$J$33+PM_Angle!$K$33*Mesh_Y+PM_Angle!$L$33*Mesh_X))*((PM_Angle!$J$33+PM_Angle!$K$33*Mesh_Y+PM_Angle!$L$33*Mesh_X)&gt;0)*((PM_Angle!$J$33+PM_Angle!$K$33*Mesh_Y+PM_Angle!$L$33*Mesh_X)&lt;eco)+eco*((PM_Angle!$J$33+PM_Angle!$K$33*Mesh_Y+PM_Angle!$L$33*Mesh_X)&gt;=eco))/eco)^n)*(((PM_Angle!$J$33+PM_Angle!$K$33*Mesh_Y+PM_Angle!$L$33*Mesh_X))&gt;0),Mesh_A)/1000</f>
      </c>
      <c r="N33" s="32">
        <f>SUMPRODUCT(alpha*fck*(1-(1-(((PM_Angle!$J$33+PM_Angle!$K$33*Mesh_Y+PM_Angle!$L$33*Mesh_X))*((PM_Angle!$J$33+PM_Angle!$K$33*Mesh_Y+PM_Angle!$L$33*Mesh_X)&gt;0)*((PM_Angle!$J$33+PM_Angle!$K$33*Mesh_Y+PM_Angle!$L$33*Mesh_X)&lt;eco)+eco*((PM_Angle!$J$33+PM_Angle!$K$33*Mesh_Y+PM_Angle!$L$33*Mesh_X)&gt;=eco))/eco)^n)*(((PM_Angle!$J$33+PM_Angle!$K$33*Mesh_Y+PM_Angle!$L$33*Mesh_X))&gt;0),Mesh_A,Mesh_Y)/1000000</f>
      </c>
      <c r="O33" s="32">
        <f>SUMPRODUCT(alpha*fck*(1-(1-(((PM_Angle!$J$33+PM_Angle!$K$33*Mesh_Y+PM_Angle!$L$33*Mesh_X))*((PM_Angle!$J$33+PM_Angle!$K$33*Mesh_Y+PM_Angle!$L$33*Mesh_X)&gt;0)*((PM_Angle!$J$33+PM_Angle!$K$33*Mesh_Y+PM_Angle!$L$33*Mesh_X)&lt;eco)+eco*((PM_Angle!$J$33+PM_Angle!$K$33*Mesh_Y+PM_Angle!$L$33*Mesh_X)&gt;=eco))/eco)^n)*(((PM_Angle!$J$33+PM_Angle!$K$33*Mesh_Y+PM_Angle!$L$33*Mesh_X))&gt;0),Mesh_A,Mesh_X)/1000000</f>
      </c>
      <c r="P33" s="32">
        <f>Steel!GJ6/1000</f>
      </c>
      <c r="Q33" s="32">
        <f>Steel!GK6/1000000</f>
      </c>
      <c r="R33" s="32">
        <f>Steel!GL6/1000000</f>
      </c>
      <c r="S33" s="33">
        <f>M33+P33</f>
      </c>
      <c r="T33" s="33">
        <f>N33+Q33</f>
      </c>
      <c r="U33" s="33">
        <f>O33+R33</f>
      </c>
      <c r="V33" s="32">
        <f>SQRT(T33^2+U33^2)</f>
      </c>
      <c r="W33" s="32">
        <v>-5790.583579096708</v>
      </c>
      <c r="X33" s="34">
        <f>IF(ABS(W33)&lt;0.000000001,0,(S33-W33)/W33*100)</f>
      </c>
    </row>
    <row r="35" spans="2:11" x14ac:dyDescent="0.25">
      <c r="B35" s="3" t="s">
        <v>244</v>
      </c>
      <c r="C35" s="3"/>
      <c r="D35" s="3"/>
      <c r="E35" s="3"/>
      <c r="F35" s="3"/>
      <c r="G35" s="3"/>
      <c r="H35" s="3"/>
      <c r="I35" s="3"/>
      <c r="J35" s="3"/>
      <c r="K35" s="3"/>
    </row>
    <row r="36" spans="3:3" x14ac:dyDescent="0.25">
      <c r="C36" s="5" t="s">
        <v>245</v>
      </c>
    </row>
    <row r="37" spans="3:3" x14ac:dyDescent="0.25">
      <c r="C37" s="5" t="s">
        <v>246</v>
      </c>
    </row>
    <row r="38" spans="2:4" x14ac:dyDescent="0.25">
      <c r="B38" s="11">
        <f>beta</f>
      </c>
      <c r="C38" t="s">
        <v>247</v>
      </c>
      <c r="D38" s="11">
        <f>theta_L</f>
      </c>
    </row>
  </sheetData>
  <mergeCells count="8">
    <mergeCell ref="B1:U1"/>
    <mergeCell ref="B4:E4"/>
    <mergeCell ref="F4:L4"/>
    <mergeCell ref="M4:O4"/>
    <mergeCell ref="P4:R4"/>
    <mergeCell ref="S4:V4"/>
    <mergeCell ref="W4:X4"/>
    <mergeCell ref="B35:K35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64"/>
  <sheetViews>
    <sheetView workbookViewId="0">
      <pane xSplit="4" ySplit="8" topLeftCell="E9" activePane="bottomRight" state="frozen"/>
      <selection pane="bottomRight"/>
    </sheetView>
  </sheetViews>
  <sheetFormatPr defaultRowHeight="15" outlineLevelRow="0" outlineLevelCol="0" x14ac:dyDescent="55"/>
  <cols>
    <col min="1" max="4" width="12" customWidth="1"/>
    <col min="5" max="9" width="15" customWidth="1"/>
    <col min="11" max="12" width="13" customWidth="1"/>
  </cols>
  <sheetData>
    <row r="1" spans="1:9" x14ac:dyDescent="0.25">
      <c r="A1" s="23" t="s">
        <v>248</v>
      </c>
      <c r="B1" s="23"/>
      <c r="C1" s="23"/>
      <c r="D1" s="23"/>
      <c r="E1" s="23"/>
      <c r="F1" s="23"/>
      <c r="G1" s="23"/>
      <c r="H1" s="23"/>
      <c r="I1" s="23"/>
    </row>
    <row r="2" spans="1:1" x14ac:dyDescent="0.25">
      <c r="A2" s="5" t="s">
        <v>249</v>
      </c>
    </row>
    <row r="3" ht="28" customHeight="1" spans="1:9" x14ac:dyDescent="0.25">
      <c r="A3" s="2" t="s">
        <v>250</v>
      </c>
      <c r="B3" s="2"/>
      <c r="C3" s="2"/>
      <c r="D3" s="2"/>
      <c r="E3" s="2"/>
      <c r="F3" s="2"/>
      <c r="G3" s="2"/>
      <c r="H3" s="2"/>
      <c r="I3" s="2"/>
    </row>
    <row r="4" spans="1:4" x14ac:dyDescent="0.25">
      <c r="A4" t="s">
        <v>251</v>
      </c>
      <c r="C4" s="41">
        <v>5</v>
      </c>
      <c r="D4" s="5">
        <f>"detail shown for station P"&amp;C4</f>
      </c>
    </row>
    <row r="5" spans="11:12" x14ac:dyDescent="0.25">
      <c r="K5" s="25" t="s">
        <v>252</v>
      </c>
      <c r="L5" s="25"/>
    </row>
    <row r="6" spans="1:12" x14ac:dyDescent="0.25">
      <c r="A6" s="17" t="s">
        <v>167</v>
      </c>
      <c r="B6" s="17" t="s">
        <v>169</v>
      </c>
      <c r="C6" s="17" t="s">
        <v>170</v>
      </c>
      <c r="D6" s="17" t="s">
        <v>191</v>
      </c>
      <c r="E6" s="17" t="s">
        <v>253</v>
      </c>
      <c r="F6" s="17" t="s">
        <v>254</v>
      </c>
      <c r="G6" s="17" t="s">
        <v>255</v>
      </c>
      <c r="H6" s="17" t="s">
        <v>256</v>
      </c>
      <c r="I6" s="17" t="s">
        <v>257</v>
      </c>
      <c r="K6" s="24" t="s">
        <v>253</v>
      </c>
      <c r="L6" s="24" t="s">
        <v>254</v>
      </c>
    </row>
    <row r="7" spans="1:9" x14ac:dyDescent="0.25">
      <c r="A7" s="35" t="s">
        <v>258</v>
      </c>
      <c r="D7" s="42">
        <f>SUM(D8:D1264)</f>
      </c>
      <c r="G7" s="42">
        <f>SUM(G8:G1264)</f>
      </c>
      <c r="H7" s="42">
        <f>SUM(H8:H1264)</f>
      </c>
      <c r="I7" s="42">
        <f>SUM(I8:I1264)</f>
      </c>
    </row>
    <row r="8" spans="1:12" x14ac:dyDescent="0.25">
      <c r="A8">
        <f>Mesh!A5</f>
      </c>
      <c r="B8" s="20">
        <f>Mesh!B5</f>
      </c>
      <c r="C8" s="20">
        <f>Mesh!C5</f>
      </c>
      <c r="D8" s="20">
        <f>Mesh!D5</f>
      </c>
      <c r="E8" s="37">
        <f>INDEX(St_e0,Det+1)+INDEX(St_kx,Det+1)*C8+INDEX(St_ky,Det+1)*B8</f>
      </c>
      <c r="F8" s="20">
        <f>IF(E8&gt;0,IF(E8&lt;=eco,alpha*fck*(1-(1-E8/eco)^n),alpha*fck),0)</f>
      </c>
      <c r="G8" s="19">
        <f>F8*D8</f>
      </c>
      <c r="H8" s="19">
        <f>G8*C8</f>
      </c>
      <c r="I8" s="19">
        <f>G8*B8</f>
      </c>
      <c r="K8" s="37">
        <f>Eq_e0+Eq_kx*$C8+Eq_ky*$B8</f>
      </c>
      <c r="L8" s="20">
        <f>IF(K8&gt;0,IF(K8&lt;=eco,alpha*fck*(1-(1-K8/eco)^n),alpha*fck),0)</f>
      </c>
    </row>
    <row r="9" spans="1:12" x14ac:dyDescent="0.25">
      <c r="A9">
        <f>Mesh!A6</f>
      </c>
      <c r="B9" s="20">
        <f>Mesh!B6</f>
      </c>
      <c r="C9" s="20">
        <f>Mesh!C6</f>
      </c>
      <c r="D9" s="20">
        <f>Mesh!D6</f>
      </c>
      <c r="E9" s="37">
        <f>INDEX(St_e0,Det+1)+INDEX(St_kx,Det+1)*C9+INDEX(St_ky,Det+1)*B9</f>
      </c>
      <c r="F9" s="20">
        <f>IF(E9&gt;0,IF(E9&lt;=eco,alpha*fck*(1-(1-E9/eco)^n),alpha*fck),0)</f>
      </c>
      <c r="G9" s="19">
        <f>F9*D9</f>
      </c>
      <c r="H9" s="19">
        <f>G9*C9</f>
      </c>
      <c r="I9" s="19">
        <f>G9*B9</f>
      </c>
      <c r="K9" s="37">
        <f>Eq_e0+Eq_kx*$C9+Eq_ky*$B9</f>
      </c>
      <c r="L9" s="20">
        <f>IF(K9&gt;0,IF(K9&lt;=eco,alpha*fck*(1-(1-K9/eco)^n),alpha*fck),0)</f>
      </c>
    </row>
    <row r="10" spans="1:12" x14ac:dyDescent="0.25">
      <c r="A10">
        <f>Mesh!A7</f>
      </c>
      <c r="B10" s="20">
        <f>Mesh!B7</f>
      </c>
      <c r="C10" s="20">
        <f>Mesh!C7</f>
      </c>
      <c r="D10" s="20">
        <f>Mesh!D7</f>
      </c>
      <c r="E10" s="37">
        <f>INDEX(St_e0,Det+1)+INDEX(St_kx,Det+1)*C10+INDEX(St_ky,Det+1)*B10</f>
      </c>
      <c r="F10" s="20">
        <f>IF(E10&gt;0,IF(E10&lt;=eco,alpha*fck*(1-(1-E10/eco)^n),alpha*fck),0)</f>
      </c>
      <c r="G10" s="19">
        <f>F10*D10</f>
      </c>
      <c r="H10" s="19">
        <f>G10*C10</f>
      </c>
      <c r="I10" s="19">
        <f>G10*B10</f>
      </c>
      <c r="K10" s="37">
        <f>Eq_e0+Eq_kx*$C10+Eq_ky*$B10</f>
      </c>
      <c r="L10" s="20">
        <f>IF(K10&gt;0,IF(K10&lt;=eco,alpha*fck*(1-(1-K10/eco)^n),alpha*fck),0)</f>
      </c>
    </row>
    <row r="11" spans="1:12" x14ac:dyDescent="0.25">
      <c r="A11">
        <f>Mesh!A8</f>
      </c>
      <c r="B11" s="20">
        <f>Mesh!B8</f>
      </c>
      <c r="C11" s="20">
        <f>Mesh!C8</f>
      </c>
      <c r="D11" s="20">
        <f>Mesh!D8</f>
      </c>
      <c r="E11" s="37">
        <f>INDEX(St_e0,Det+1)+INDEX(St_kx,Det+1)*C11+INDEX(St_ky,Det+1)*B11</f>
      </c>
      <c r="F11" s="20">
        <f>IF(E11&gt;0,IF(E11&lt;=eco,alpha*fck*(1-(1-E11/eco)^n),alpha*fck),0)</f>
      </c>
      <c r="G11" s="19">
        <f>F11*D11</f>
      </c>
      <c r="H11" s="19">
        <f>G11*C11</f>
      </c>
      <c r="I11" s="19">
        <f>G11*B11</f>
      </c>
      <c r="K11" s="37">
        <f>Eq_e0+Eq_kx*$C11+Eq_ky*$B11</f>
      </c>
      <c r="L11" s="20">
        <f>IF(K11&gt;0,IF(K11&lt;=eco,alpha*fck*(1-(1-K11/eco)^n),alpha*fck),0)</f>
      </c>
    </row>
    <row r="12" spans="1:12" x14ac:dyDescent="0.25">
      <c r="A12">
        <f>Mesh!A9</f>
      </c>
      <c r="B12" s="20">
        <f>Mesh!B9</f>
      </c>
      <c r="C12" s="20">
        <f>Mesh!C9</f>
      </c>
      <c r="D12" s="20">
        <f>Mesh!D9</f>
      </c>
      <c r="E12" s="37">
        <f>INDEX(St_e0,Det+1)+INDEX(St_kx,Det+1)*C12+INDEX(St_ky,Det+1)*B12</f>
      </c>
      <c r="F12" s="20">
        <f>IF(E12&gt;0,IF(E12&lt;=eco,alpha*fck*(1-(1-E12/eco)^n),alpha*fck),0)</f>
      </c>
      <c r="G12" s="19">
        <f>F12*D12</f>
      </c>
      <c r="H12" s="19">
        <f>G12*C12</f>
      </c>
      <c r="I12" s="19">
        <f>G12*B12</f>
      </c>
      <c r="K12" s="37">
        <f>Eq_e0+Eq_kx*$C12+Eq_ky*$B12</f>
      </c>
      <c r="L12" s="20">
        <f>IF(K12&gt;0,IF(K12&lt;=eco,alpha*fck*(1-(1-K12/eco)^n),alpha*fck),0)</f>
      </c>
    </row>
    <row r="13" spans="1:12" x14ac:dyDescent="0.25">
      <c r="A13">
        <f>Mesh!A10</f>
      </c>
      <c r="B13" s="20">
        <f>Mesh!B10</f>
      </c>
      <c r="C13" s="20">
        <f>Mesh!C10</f>
      </c>
      <c r="D13" s="20">
        <f>Mesh!D10</f>
      </c>
      <c r="E13" s="37">
        <f>INDEX(St_e0,Det+1)+INDEX(St_kx,Det+1)*C13+INDEX(St_ky,Det+1)*B13</f>
      </c>
      <c r="F13" s="20">
        <f>IF(E13&gt;0,IF(E13&lt;=eco,alpha*fck*(1-(1-E13/eco)^n),alpha*fck),0)</f>
      </c>
      <c r="G13" s="19">
        <f>F13*D13</f>
      </c>
      <c r="H13" s="19">
        <f>G13*C13</f>
      </c>
      <c r="I13" s="19">
        <f>G13*B13</f>
      </c>
      <c r="K13" s="37">
        <f>Eq_e0+Eq_kx*$C13+Eq_ky*$B13</f>
      </c>
      <c r="L13" s="20">
        <f>IF(K13&gt;0,IF(K13&lt;=eco,alpha*fck*(1-(1-K13/eco)^n),alpha*fck),0)</f>
      </c>
    </row>
    <row r="14" spans="1:12" x14ac:dyDescent="0.25">
      <c r="A14">
        <f>Mesh!A11</f>
      </c>
      <c r="B14" s="20">
        <f>Mesh!B11</f>
      </c>
      <c r="C14" s="20">
        <f>Mesh!C11</f>
      </c>
      <c r="D14" s="20">
        <f>Mesh!D11</f>
      </c>
      <c r="E14" s="37">
        <f>INDEX(St_e0,Det+1)+INDEX(St_kx,Det+1)*C14+INDEX(St_ky,Det+1)*B14</f>
      </c>
      <c r="F14" s="20">
        <f>IF(E14&gt;0,IF(E14&lt;=eco,alpha*fck*(1-(1-E14/eco)^n),alpha*fck),0)</f>
      </c>
      <c r="G14" s="19">
        <f>F14*D14</f>
      </c>
      <c r="H14" s="19">
        <f>G14*C14</f>
      </c>
      <c r="I14" s="19">
        <f>G14*B14</f>
      </c>
      <c r="K14" s="37">
        <f>Eq_e0+Eq_kx*$C14+Eq_ky*$B14</f>
      </c>
      <c r="L14" s="20">
        <f>IF(K14&gt;0,IF(K14&lt;=eco,alpha*fck*(1-(1-K14/eco)^n),alpha*fck),0)</f>
      </c>
    </row>
    <row r="15" spans="1:12" x14ac:dyDescent="0.25">
      <c r="A15">
        <f>Mesh!A12</f>
      </c>
      <c r="B15" s="20">
        <f>Mesh!B12</f>
      </c>
      <c r="C15" s="20">
        <f>Mesh!C12</f>
      </c>
      <c r="D15" s="20">
        <f>Mesh!D12</f>
      </c>
      <c r="E15" s="37">
        <f>INDEX(St_e0,Det+1)+INDEX(St_kx,Det+1)*C15+INDEX(St_ky,Det+1)*B15</f>
      </c>
      <c r="F15" s="20">
        <f>IF(E15&gt;0,IF(E15&lt;=eco,alpha*fck*(1-(1-E15/eco)^n),alpha*fck),0)</f>
      </c>
      <c r="G15" s="19">
        <f>F15*D15</f>
      </c>
      <c r="H15" s="19">
        <f>G15*C15</f>
      </c>
      <c r="I15" s="19">
        <f>G15*B15</f>
      </c>
      <c r="K15" s="37">
        <f>Eq_e0+Eq_kx*$C15+Eq_ky*$B15</f>
      </c>
      <c r="L15" s="20">
        <f>IF(K15&gt;0,IF(K15&lt;=eco,alpha*fck*(1-(1-K15/eco)^n),alpha*fck),0)</f>
      </c>
    </row>
    <row r="16" spans="1:12" x14ac:dyDescent="0.25">
      <c r="A16">
        <f>Mesh!A13</f>
      </c>
      <c r="B16" s="20">
        <f>Mesh!B13</f>
      </c>
      <c r="C16" s="20">
        <f>Mesh!C13</f>
      </c>
      <c r="D16" s="20">
        <f>Mesh!D13</f>
      </c>
      <c r="E16" s="37">
        <f>INDEX(St_e0,Det+1)+INDEX(St_kx,Det+1)*C16+INDEX(St_ky,Det+1)*B16</f>
      </c>
      <c r="F16" s="20">
        <f>IF(E16&gt;0,IF(E16&lt;=eco,alpha*fck*(1-(1-E16/eco)^n),alpha*fck),0)</f>
      </c>
      <c r="G16" s="19">
        <f>F16*D16</f>
      </c>
      <c r="H16" s="19">
        <f>G16*C16</f>
      </c>
      <c r="I16" s="19">
        <f>G16*B16</f>
      </c>
      <c r="K16" s="37">
        <f>Eq_e0+Eq_kx*$C16+Eq_ky*$B16</f>
      </c>
      <c r="L16" s="20">
        <f>IF(K16&gt;0,IF(K16&lt;=eco,alpha*fck*(1-(1-K16/eco)^n),alpha*fck),0)</f>
      </c>
    </row>
    <row r="17" spans="1:12" x14ac:dyDescent="0.25">
      <c r="A17">
        <f>Mesh!A14</f>
      </c>
      <c r="B17" s="20">
        <f>Mesh!B14</f>
      </c>
      <c r="C17" s="20">
        <f>Mesh!C14</f>
      </c>
      <c r="D17" s="20">
        <f>Mesh!D14</f>
      </c>
      <c r="E17" s="37">
        <f>INDEX(St_e0,Det+1)+INDEX(St_kx,Det+1)*C17+INDEX(St_ky,Det+1)*B17</f>
      </c>
      <c r="F17" s="20">
        <f>IF(E17&gt;0,IF(E17&lt;=eco,alpha*fck*(1-(1-E17/eco)^n),alpha*fck),0)</f>
      </c>
      <c r="G17" s="19">
        <f>F17*D17</f>
      </c>
      <c r="H17" s="19">
        <f>G17*C17</f>
      </c>
      <c r="I17" s="19">
        <f>G17*B17</f>
      </c>
      <c r="K17" s="37">
        <f>Eq_e0+Eq_kx*$C17+Eq_ky*$B17</f>
      </c>
      <c r="L17" s="20">
        <f>IF(K17&gt;0,IF(K17&lt;=eco,alpha*fck*(1-(1-K17/eco)^n),alpha*fck),0)</f>
      </c>
    </row>
    <row r="18" spans="1:12" x14ac:dyDescent="0.25">
      <c r="A18">
        <f>Mesh!A15</f>
      </c>
      <c r="B18" s="20">
        <f>Mesh!B15</f>
      </c>
      <c r="C18" s="20">
        <f>Mesh!C15</f>
      </c>
      <c r="D18" s="20">
        <f>Mesh!D15</f>
      </c>
      <c r="E18" s="37">
        <f>INDEX(St_e0,Det+1)+INDEX(St_kx,Det+1)*C18+INDEX(St_ky,Det+1)*B18</f>
      </c>
      <c r="F18" s="20">
        <f>IF(E18&gt;0,IF(E18&lt;=eco,alpha*fck*(1-(1-E18/eco)^n),alpha*fck),0)</f>
      </c>
      <c r="G18" s="19">
        <f>F18*D18</f>
      </c>
      <c r="H18" s="19">
        <f>G18*C18</f>
      </c>
      <c r="I18" s="19">
        <f>G18*B18</f>
      </c>
      <c r="K18" s="37">
        <f>Eq_e0+Eq_kx*$C18+Eq_ky*$B18</f>
      </c>
      <c r="L18" s="20">
        <f>IF(K18&gt;0,IF(K18&lt;=eco,alpha*fck*(1-(1-K18/eco)^n),alpha*fck),0)</f>
      </c>
    </row>
    <row r="19" spans="1:12" x14ac:dyDescent="0.25">
      <c r="A19">
        <f>Mesh!A16</f>
      </c>
      <c r="B19" s="20">
        <f>Mesh!B16</f>
      </c>
      <c r="C19" s="20">
        <f>Mesh!C16</f>
      </c>
      <c r="D19" s="20">
        <f>Mesh!D16</f>
      </c>
      <c r="E19" s="37">
        <f>INDEX(St_e0,Det+1)+INDEX(St_kx,Det+1)*C19+INDEX(St_ky,Det+1)*B19</f>
      </c>
      <c r="F19" s="20">
        <f>IF(E19&gt;0,IF(E19&lt;=eco,alpha*fck*(1-(1-E19/eco)^n),alpha*fck),0)</f>
      </c>
      <c r="G19" s="19">
        <f>F19*D19</f>
      </c>
      <c r="H19" s="19">
        <f>G19*C19</f>
      </c>
      <c r="I19" s="19">
        <f>G19*B19</f>
      </c>
      <c r="K19" s="37">
        <f>Eq_e0+Eq_kx*$C19+Eq_ky*$B19</f>
      </c>
      <c r="L19" s="20">
        <f>IF(K19&gt;0,IF(K19&lt;=eco,alpha*fck*(1-(1-K19/eco)^n),alpha*fck),0)</f>
      </c>
    </row>
    <row r="20" spans="1:12" x14ac:dyDescent="0.25">
      <c r="A20">
        <f>Mesh!A17</f>
      </c>
      <c r="B20" s="20">
        <f>Mesh!B17</f>
      </c>
      <c r="C20" s="20">
        <f>Mesh!C17</f>
      </c>
      <c r="D20" s="20">
        <f>Mesh!D17</f>
      </c>
      <c r="E20" s="37">
        <f>INDEX(St_e0,Det+1)+INDEX(St_kx,Det+1)*C20+INDEX(St_ky,Det+1)*B20</f>
      </c>
      <c r="F20" s="20">
        <f>IF(E20&gt;0,IF(E20&lt;=eco,alpha*fck*(1-(1-E20/eco)^n),alpha*fck),0)</f>
      </c>
      <c r="G20" s="19">
        <f>F20*D20</f>
      </c>
      <c r="H20" s="19">
        <f>G20*C20</f>
      </c>
      <c r="I20" s="19">
        <f>G20*B20</f>
      </c>
      <c r="K20" s="37">
        <f>Eq_e0+Eq_kx*$C20+Eq_ky*$B20</f>
      </c>
      <c r="L20" s="20">
        <f>IF(K20&gt;0,IF(K20&lt;=eco,alpha*fck*(1-(1-K20/eco)^n),alpha*fck),0)</f>
      </c>
    </row>
    <row r="21" spans="1:12" x14ac:dyDescent="0.25">
      <c r="A21">
        <f>Mesh!A18</f>
      </c>
      <c r="B21" s="20">
        <f>Mesh!B18</f>
      </c>
      <c r="C21" s="20">
        <f>Mesh!C18</f>
      </c>
      <c r="D21" s="20">
        <f>Mesh!D18</f>
      </c>
      <c r="E21" s="37">
        <f>INDEX(St_e0,Det+1)+INDEX(St_kx,Det+1)*C21+INDEX(St_ky,Det+1)*B21</f>
      </c>
      <c r="F21" s="20">
        <f>IF(E21&gt;0,IF(E21&lt;=eco,alpha*fck*(1-(1-E21/eco)^n),alpha*fck),0)</f>
      </c>
      <c r="G21" s="19">
        <f>F21*D21</f>
      </c>
      <c r="H21" s="19">
        <f>G21*C21</f>
      </c>
      <c r="I21" s="19">
        <f>G21*B21</f>
      </c>
      <c r="K21" s="37">
        <f>Eq_e0+Eq_kx*$C21+Eq_ky*$B21</f>
      </c>
      <c r="L21" s="20">
        <f>IF(K21&gt;0,IF(K21&lt;=eco,alpha*fck*(1-(1-K21/eco)^n),alpha*fck),0)</f>
      </c>
    </row>
    <row r="22" spans="1:12" x14ac:dyDescent="0.25">
      <c r="A22">
        <f>Mesh!A19</f>
      </c>
      <c r="B22" s="20">
        <f>Mesh!B19</f>
      </c>
      <c r="C22" s="20">
        <f>Mesh!C19</f>
      </c>
      <c r="D22" s="20">
        <f>Mesh!D19</f>
      </c>
      <c r="E22" s="37">
        <f>INDEX(St_e0,Det+1)+INDEX(St_kx,Det+1)*C22+INDEX(St_ky,Det+1)*B22</f>
      </c>
      <c r="F22" s="20">
        <f>IF(E22&gt;0,IF(E22&lt;=eco,alpha*fck*(1-(1-E22/eco)^n),alpha*fck),0)</f>
      </c>
      <c r="G22" s="19">
        <f>F22*D22</f>
      </c>
      <c r="H22" s="19">
        <f>G22*C22</f>
      </c>
      <c r="I22" s="19">
        <f>G22*B22</f>
      </c>
      <c r="K22" s="37">
        <f>Eq_e0+Eq_kx*$C22+Eq_ky*$B22</f>
      </c>
      <c r="L22" s="20">
        <f>IF(K22&gt;0,IF(K22&lt;=eco,alpha*fck*(1-(1-K22/eco)^n),alpha*fck),0)</f>
      </c>
    </row>
    <row r="23" spans="1:12" x14ac:dyDescent="0.25">
      <c r="A23">
        <f>Mesh!A20</f>
      </c>
      <c r="B23" s="20">
        <f>Mesh!B20</f>
      </c>
      <c r="C23" s="20">
        <f>Mesh!C20</f>
      </c>
      <c r="D23" s="20">
        <f>Mesh!D20</f>
      </c>
      <c r="E23" s="37">
        <f>INDEX(St_e0,Det+1)+INDEX(St_kx,Det+1)*C23+INDEX(St_ky,Det+1)*B23</f>
      </c>
      <c r="F23" s="20">
        <f>IF(E23&gt;0,IF(E23&lt;=eco,alpha*fck*(1-(1-E23/eco)^n),alpha*fck),0)</f>
      </c>
      <c r="G23" s="19">
        <f>F23*D23</f>
      </c>
      <c r="H23" s="19">
        <f>G23*C23</f>
      </c>
      <c r="I23" s="19">
        <f>G23*B23</f>
      </c>
      <c r="K23" s="37">
        <f>Eq_e0+Eq_kx*$C23+Eq_ky*$B23</f>
      </c>
      <c r="L23" s="20">
        <f>IF(K23&gt;0,IF(K23&lt;=eco,alpha*fck*(1-(1-K23/eco)^n),alpha*fck),0)</f>
      </c>
    </row>
    <row r="24" spans="1:12" x14ac:dyDescent="0.25">
      <c r="A24">
        <f>Mesh!A21</f>
      </c>
      <c r="B24" s="20">
        <f>Mesh!B21</f>
      </c>
      <c r="C24" s="20">
        <f>Mesh!C21</f>
      </c>
      <c r="D24" s="20">
        <f>Mesh!D21</f>
      </c>
      <c r="E24" s="37">
        <f>INDEX(St_e0,Det+1)+INDEX(St_kx,Det+1)*C24+INDEX(St_ky,Det+1)*B24</f>
      </c>
      <c r="F24" s="20">
        <f>IF(E24&gt;0,IF(E24&lt;=eco,alpha*fck*(1-(1-E24/eco)^n),alpha*fck),0)</f>
      </c>
      <c r="G24" s="19">
        <f>F24*D24</f>
      </c>
      <c r="H24" s="19">
        <f>G24*C24</f>
      </c>
      <c r="I24" s="19">
        <f>G24*B24</f>
      </c>
      <c r="K24" s="37">
        <f>Eq_e0+Eq_kx*$C24+Eq_ky*$B24</f>
      </c>
      <c r="L24" s="20">
        <f>IF(K24&gt;0,IF(K24&lt;=eco,alpha*fck*(1-(1-K24/eco)^n),alpha*fck),0)</f>
      </c>
    </row>
    <row r="25" spans="1:12" x14ac:dyDescent="0.25">
      <c r="A25">
        <f>Mesh!A22</f>
      </c>
      <c r="B25" s="20">
        <f>Mesh!B22</f>
      </c>
      <c r="C25" s="20">
        <f>Mesh!C22</f>
      </c>
      <c r="D25" s="20">
        <f>Mesh!D22</f>
      </c>
      <c r="E25" s="37">
        <f>INDEX(St_e0,Det+1)+INDEX(St_kx,Det+1)*C25+INDEX(St_ky,Det+1)*B25</f>
      </c>
      <c r="F25" s="20">
        <f>IF(E25&gt;0,IF(E25&lt;=eco,alpha*fck*(1-(1-E25/eco)^n),alpha*fck),0)</f>
      </c>
      <c r="G25" s="19">
        <f>F25*D25</f>
      </c>
      <c r="H25" s="19">
        <f>G25*C25</f>
      </c>
      <c r="I25" s="19">
        <f>G25*B25</f>
      </c>
      <c r="K25" s="37">
        <f>Eq_e0+Eq_kx*$C25+Eq_ky*$B25</f>
      </c>
      <c r="L25" s="20">
        <f>IF(K25&gt;0,IF(K25&lt;=eco,alpha*fck*(1-(1-K25/eco)^n),alpha*fck),0)</f>
      </c>
    </row>
    <row r="26" spans="1:12" x14ac:dyDescent="0.25">
      <c r="A26">
        <f>Mesh!A23</f>
      </c>
      <c r="B26" s="20">
        <f>Mesh!B23</f>
      </c>
      <c r="C26" s="20">
        <f>Mesh!C23</f>
      </c>
      <c r="D26" s="20">
        <f>Mesh!D23</f>
      </c>
      <c r="E26" s="37">
        <f>INDEX(St_e0,Det+1)+INDEX(St_kx,Det+1)*C26+INDEX(St_ky,Det+1)*B26</f>
      </c>
      <c r="F26" s="20">
        <f>IF(E26&gt;0,IF(E26&lt;=eco,alpha*fck*(1-(1-E26/eco)^n),alpha*fck),0)</f>
      </c>
      <c r="G26" s="19">
        <f>F26*D26</f>
      </c>
      <c r="H26" s="19">
        <f>G26*C26</f>
      </c>
      <c r="I26" s="19">
        <f>G26*B26</f>
      </c>
      <c r="K26" s="37">
        <f>Eq_e0+Eq_kx*$C26+Eq_ky*$B26</f>
      </c>
      <c r="L26" s="20">
        <f>IF(K26&gt;0,IF(K26&lt;=eco,alpha*fck*(1-(1-K26/eco)^n),alpha*fck),0)</f>
      </c>
    </row>
    <row r="27" spans="1:12" x14ac:dyDescent="0.25">
      <c r="A27">
        <f>Mesh!A24</f>
      </c>
      <c r="B27" s="20">
        <f>Mesh!B24</f>
      </c>
      <c r="C27" s="20">
        <f>Mesh!C24</f>
      </c>
      <c r="D27" s="20">
        <f>Mesh!D24</f>
      </c>
      <c r="E27" s="37">
        <f>INDEX(St_e0,Det+1)+INDEX(St_kx,Det+1)*C27+INDEX(St_ky,Det+1)*B27</f>
      </c>
      <c r="F27" s="20">
        <f>IF(E27&gt;0,IF(E27&lt;=eco,alpha*fck*(1-(1-E27/eco)^n),alpha*fck),0)</f>
      </c>
      <c r="G27" s="19">
        <f>F27*D27</f>
      </c>
      <c r="H27" s="19">
        <f>G27*C27</f>
      </c>
      <c r="I27" s="19">
        <f>G27*B27</f>
      </c>
      <c r="K27" s="37">
        <f>Eq_e0+Eq_kx*$C27+Eq_ky*$B27</f>
      </c>
      <c r="L27" s="20">
        <f>IF(K27&gt;0,IF(K27&lt;=eco,alpha*fck*(1-(1-K27/eco)^n),alpha*fck),0)</f>
      </c>
    </row>
    <row r="28" spans="1:12" x14ac:dyDescent="0.25">
      <c r="A28">
        <f>Mesh!A25</f>
      </c>
      <c r="B28" s="20">
        <f>Mesh!B25</f>
      </c>
      <c r="C28" s="20">
        <f>Mesh!C25</f>
      </c>
      <c r="D28" s="20">
        <f>Mesh!D25</f>
      </c>
      <c r="E28" s="37">
        <f>INDEX(St_e0,Det+1)+INDEX(St_kx,Det+1)*C28+INDEX(St_ky,Det+1)*B28</f>
      </c>
      <c r="F28" s="20">
        <f>IF(E28&gt;0,IF(E28&lt;=eco,alpha*fck*(1-(1-E28/eco)^n),alpha*fck),0)</f>
      </c>
      <c r="G28" s="19">
        <f>F28*D28</f>
      </c>
      <c r="H28" s="19">
        <f>G28*C28</f>
      </c>
      <c r="I28" s="19">
        <f>G28*B28</f>
      </c>
      <c r="K28" s="37">
        <f>Eq_e0+Eq_kx*$C28+Eq_ky*$B28</f>
      </c>
      <c r="L28" s="20">
        <f>IF(K28&gt;0,IF(K28&lt;=eco,alpha*fck*(1-(1-K28/eco)^n),alpha*fck),0)</f>
      </c>
    </row>
    <row r="29" spans="1:12" x14ac:dyDescent="0.25">
      <c r="A29">
        <f>Mesh!A26</f>
      </c>
      <c r="B29" s="20">
        <f>Mesh!B26</f>
      </c>
      <c r="C29" s="20">
        <f>Mesh!C26</f>
      </c>
      <c r="D29" s="20">
        <f>Mesh!D26</f>
      </c>
      <c r="E29" s="37">
        <f>INDEX(St_e0,Det+1)+INDEX(St_kx,Det+1)*C29+INDEX(St_ky,Det+1)*B29</f>
      </c>
      <c r="F29" s="20">
        <f>IF(E29&gt;0,IF(E29&lt;=eco,alpha*fck*(1-(1-E29/eco)^n),alpha*fck),0)</f>
      </c>
      <c r="G29" s="19">
        <f>F29*D29</f>
      </c>
      <c r="H29" s="19">
        <f>G29*C29</f>
      </c>
      <c r="I29" s="19">
        <f>G29*B29</f>
      </c>
      <c r="K29" s="37">
        <f>Eq_e0+Eq_kx*$C29+Eq_ky*$B29</f>
      </c>
      <c r="L29" s="20">
        <f>IF(K29&gt;0,IF(K29&lt;=eco,alpha*fck*(1-(1-K29/eco)^n),alpha*fck),0)</f>
      </c>
    </row>
    <row r="30" spans="1:12" x14ac:dyDescent="0.25">
      <c r="A30">
        <f>Mesh!A27</f>
      </c>
      <c r="B30" s="20">
        <f>Mesh!B27</f>
      </c>
      <c r="C30" s="20">
        <f>Mesh!C27</f>
      </c>
      <c r="D30" s="20">
        <f>Mesh!D27</f>
      </c>
      <c r="E30" s="37">
        <f>INDEX(St_e0,Det+1)+INDEX(St_kx,Det+1)*C30+INDEX(St_ky,Det+1)*B30</f>
      </c>
      <c r="F30" s="20">
        <f>IF(E30&gt;0,IF(E30&lt;=eco,alpha*fck*(1-(1-E30/eco)^n),alpha*fck),0)</f>
      </c>
      <c r="G30" s="19">
        <f>F30*D30</f>
      </c>
      <c r="H30" s="19">
        <f>G30*C30</f>
      </c>
      <c r="I30" s="19">
        <f>G30*B30</f>
      </c>
      <c r="K30" s="37">
        <f>Eq_e0+Eq_kx*$C30+Eq_ky*$B30</f>
      </c>
      <c r="L30" s="20">
        <f>IF(K30&gt;0,IF(K30&lt;=eco,alpha*fck*(1-(1-K30/eco)^n),alpha*fck),0)</f>
      </c>
    </row>
    <row r="31" spans="1:12" x14ac:dyDescent="0.25">
      <c r="A31">
        <f>Mesh!A28</f>
      </c>
      <c r="B31" s="20">
        <f>Mesh!B28</f>
      </c>
      <c r="C31" s="20">
        <f>Mesh!C28</f>
      </c>
      <c r="D31" s="20">
        <f>Mesh!D28</f>
      </c>
      <c r="E31" s="37">
        <f>INDEX(St_e0,Det+1)+INDEX(St_kx,Det+1)*C31+INDEX(St_ky,Det+1)*B31</f>
      </c>
      <c r="F31" s="20">
        <f>IF(E31&gt;0,IF(E31&lt;=eco,alpha*fck*(1-(1-E31/eco)^n),alpha*fck),0)</f>
      </c>
      <c r="G31" s="19">
        <f>F31*D31</f>
      </c>
      <c r="H31" s="19">
        <f>G31*C31</f>
      </c>
      <c r="I31" s="19">
        <f>G31*B31</f>
      </c>
      <c r="K31" s="37">
        <f>Eq_e0+Eq_kx*$C31+Eq_ky*$B31</f>
      </c>
      <c r="L31" s="20">
        <f>IF(K31&gt;0,IF(K31&lt;=eco,alpha*fck*(1-(1-K31/eco)^n),alpha*fck),0)</f>
      </c>
    </row>
    <row r="32" spans="1:12" x14ac:dyDescent="0.25">
      <c r="A32">
        <f>Mesh!A29</f>
      </c>
      <c r="B32" s="20">
        <f>Mesh!B29</f>
      </c>
      <c r="C32" s="20">
        <f>Mesh!C29</f>
      </c>
      <c r="D32" s="20">
        <f>Mesh!D29</f>
      </c>
      <c r="E32" s="37">
        <f>INDEX(St_e0,Det+1)+INDEX(St_kx,Det+1)*C32+INDEX(St_ky,Det+1)*B32</f>
      </c>
      <c r="F32" s="20">
        <f>IF(E32&gt;0,IF(E32&lt;=eco,alpha*fck*(1-(1-E32/eco)^n),alpha*fck),0)</f>
      </c>
      <c r="G32" s="19">
        <f>F32*D32</f>
      </c>
      <c r="H32" s="19">
        <f>G32*C32</f>
      </c>
      <c r="I32" s="19">
        <f>G32*B32</f>
      </c>
      <c r="K32" s="37">
        <f>Eq_e0+Eq_kx*$C32+Eq_ky*$B32</f>
      </c>
      <c r="L32" s="20">
        <f>IF(K32&gt;0,IF(K32&lt;=eco,alpha*fck*(1-(1-K32/eco)^n),alpha*fck),0)</f>
      </c>
    </row>
    <row r="33" spans="1:12" x14ac:dyDescent="0.25">
      <c r="A33">
        <f>Mesh!A30</f>
      </c>
      <c r="B33" s="20">
        <f>Mesh!B30</f>
      </c>
      <c r="C33" s="20">
        <f>Mesh!C30</f>
      </c>
      <c r="D33" s="20">
        <f>Mesh!D30</f>
      </c>
      <c r="E33" s="37">
        <f>INDEX(St_e0,Det+1)+INDEX(St_kx,Det+1)*C33+INDEX(St_ky,Det+1)*B33</f>
      </c>
      <c r="F33" s="20">
        <f>IF(E33&gt;0,IF(E33&lt;=eco,alpha*fck*(1-(1-E33/eco)^n),alpha*fck),0)</f>
      </c>
      <c r="G33" s="19">
        <f>F33*D33</f>
      </c>
      <c r="H33" s="19">
        <f>G33*C33</f>
      </c>
      <c r="I33" s="19">
        <f>G33*B33</f>
      </c>
      <c r="K33" s="37">
        <f>Eq_e0+Eq_kx*$C33+Eq_ky*$B33</f>
      </c>
      <c r="L33" s="20">
        <f>IF(K33&gt;0,IF(K33&lt;=eco,alpha*fck*(1-(1-K33/eco)^n),alpha*fck),0)</f>
      </c>
    </row>
    <row r="34" spans="1:12" x14ac:dyDescent="0.25">
      <c r="A34">
        <f>Mesh!A31</f>
      </c>
      <c r="B34" s="20">
        <f>Mesh!B31</f>
      </c>
      <c r="C34" s="20">
        <f>Mesh!C31</f>
      </c>
      <c r="D34" s="20">
        <f>Mesh!D31</f>
      </c>
      <c r="E34" s="37">
        <f>INDEX(St_e0,Det+1)+INDEX(St_kx,Det+1)*C34+INDEX(St_ky,Det+1)*B34</f>
      </c>
      <c r="F34" s="20">
        <f>IF(E34&gt;0,IF(E34&lt;=eco,alpha*fck*(1-(1-E34/eco)^n),alpha*fck),0)</f>
      </c>
      <c r="G34" s="19">
        <f>F34*D34</f>
      </c>
      <c r="H34" s="19">
        <f>G34*C34</f>
      </c>
      <c r="I34" s="19">
        <f>G34*B34</f>
      </c>
      <c r="K34" s="37">
        <f>Eq_e0+Eq_kx*$C34+Eq_ky*$B34</f>
      </c>
      <c r="L34" s="20">
        <f>IF(K34&gt;0,IF(K34&lt;=eco,alpha*fck*(1-(1-K34/eco)^n),alpha*fck),0)</f>
      </c>
    </row>
    <row r="35" spans="1:12" x14ac:dyDescent="0.25">
      <c r="A35">
        <f>Mesh!A32</f>
      </c>
      <c r="B35" s="20">
        <f>Mesh!B32</f>
      </c>
      <c r="C35" s="20">
        <f>Mesh!C32</f>
      </c>
      <c r="D35" s="20">
        <f>Mesh!D32</f>
      </c>
      <c r="E35" s="37">
        <f>INDEX(St_e0,Det+1)+INDEX(St_kx,Det+1)*C35+INDEX(St_ky,Det+1)*B35</f>
      </c>
      <c r="F35" s="20">
        <f>IF(E35&gt;0,IF(E35&lt;=eco,alpha*fck*(1-(1-E35/eco)^n),alpha*fck),0)</f>
      </c>
      <c r="G35" s="19">
        <f>F35*D35</f>
      </c>
      <c r="H35" s="19">
        <f>G35*C35</f>
      </c>
      <c r="I35" s="19">
        <f>G35*B35</f>
      </c>
      <c r="K35" s="37">
        <f>Eq_e0+Eq_kx*$C35+Eq_ky*$B35</f>
      </c>
      <c r="L35" s="20">
        <f>IF(K35&gt;0,IF(K35&lt;=eco,alpha*fck*(1-(1-K35/eco)^n),alpha*fck),0)</f>
      </c>
    </row>
    <row r="36" spans="1:12" x14ac:dyDescent="0.25">
      <c r="A36">
        <f>Mesh!A33</f>
      </c>
      <c r="B36" s="20">
        <f>Mesh!B33</f>
      </c>
      <c r="C36" s="20">
        <f>Mesh!C33</f>
      </c>
      <c r="D36" s="20">
        <f>Mesh!D33</f>
      </c>
      <c r="E36" s="37">
        <f>INDEX(St_e0,Det+1)+INDEX(St_kx,Det+1)*C36+INDEX(St_ky,Det+1)*B36</f>
      </c>
      <c r="F36" s="20">
        <f>IF(E36&gt;0,IF(E36&lt;=eco,alpha*fck*(1-(1-E36/eco)^n),alpha*fck),0)</f>
      </c>
      <c r="G36" s="19">
        <f>F36*D36</f>
      </c>
      <c r="H36" s="19">
        <f>G36*C36</f>
      </c>
      <c r="I36" s="19">
        <f>G36*B36</f>
      </c>
      <c r="K36" s="37">
        <f>Eq_e0+Eq_kx*$C36+Eq_ky*$B36</f>
      </c>
      <c r="L36" s="20">
        <f>IF(K36&gt;0,IF(K36&lt;=eco,alpha*fck*(1-(1-K36/eco)^n),alpha*fck),0)</f>
      </c>
    </row>
    <row r="37" spans="1:12" x14ac:dyDescent="0.25">
      <c r="A37">
        <f>Mesh!A34</f>
      </c>
      <c r="B37" s="20">
        <f>Mesh!B34</f>
      </c>
      <c r="C37" s="20">
        <f>Mesh!C34</f>
      </c>
      <c r="D37" s="20">
        <f>Mesh!D34</f>
      </c>
      <c r="E37" s="37">
        <f>INDEX(St_e0,Det+1)+INDEX(St_kx,Det+1)*C37+INDEX(St_ky,Det+1)*B37</f>
      </c>
      <c r="F37" s="20">
        <f>IF(E37&gt;0,IF(E37&lt;=eco,alpha*fck*(1-(1-E37/eco)^n),alpha*fck),0)</f>
      </c>
      <c r="G37" s="19">
        <f>F37*D37</f>
      </c>
      <c r="H37" s="19">
        <f>G37*C37</f>
      </c>
      <c r="I37" s="19">
        <f>G37*B37</f>
      </c>
      <c r="K37" s="37">
        <f>Eq_e0+Eq_kx*$C37+Eq_ky*$B37</f>
      </c>
      <c r="L37" s="20">
        <f>IF(K37&gt;0,IF(K37&lt;=eco,alpha*fck*(1-(1-K37/eco)^n),alpha*fck),0)</f>
      </c>
    </row>
    <row r="38" spans="1:12" x14ac:dyDescent="0.25">
      <c r="A38">
        <f>Mesh!A35</f>
      </c>
      <c r="B38" s="20">
        <f>Mesh!B35</f>
      </c>
      <c r="C38" s="20">
        <f>Mesh!C35</f>
      </c>
      <c r="D38" s="20">
        <f>Mesh!D35</f>
      </c>
      <c r="E38" s="37">
        <f>INDEX(St_e0,Det+1)+INDEX(St_kx,Det+1)*C38+INDEX(St_ky,Det+1)*B38</f>
      </c>
      <c r="F38" s="20">
        <f>IF(E38&gt;0,IF(E38&lt;=eco,alpha*fck*(1-(1-E38/eco)^n),alpha*fck),0)</f>
      </c>
      <c r="G38" s="19">
        <f>F38*D38</f>
      </c>
      <c r="H38" s="19">
        <f>G38*C38</f>
      </c>
      <c r="I38" s="19">
        <f>G38*B38</f>
      </c>
      <c r="K38" s="37">
        <f>Eq_e0+Eq_kx*$C38+Eq_ky*$B38</f>
      </c>
      <c r="L38" s="20">
        <f>IF(K38&gt;0,IF(K38&lt;=eco,alpha*fck*(1-(1-K38/eco)^n),alpha*fck),0)</f>
      </c>
    </row>
    <row r="39" spans="1:12" x14ac:dyDescent="0.25">
      <c r="A39">
        <f>Mesh!A36</f>
      </c>
      <c r="B39" s="20">
        <f>Mesh!B36</f>
      </c>
      <c r="C39" s="20">
        <f>Mesh!C36</f>
      </c>
      <c r="D39" s="20">
        <f>Mesh!D36</f>
      </c>
      <c r="E39" s="37">
        <f>INDEX(St_e0,Det+1)+INDEX(St_kx,Det+1)*C39+INDEX(St_ky,Det+1)*B39</f>
      </c>
      <c r="F39" s="20">
        <f>IF(E39&gt;0,IF(E39&lt;=eco,alpha*fck*(1-(1-E39/eco)^n),alpha*fck),0)</f>
      </c>
      <c r="G39" s="19">
        <f>F39*D39</f>
      </c>
      <c r="H39" s="19">
        <f>G39*C39</f>
      </c>
      <c r="I39" s="19">
        <f>G39*B39</f>
      </c>
      <c r="K39" s="37">
        <f>Eq_e0+Eq_kx*$C39+Eq_ky*$B39</f>
      </c>
      <c r="L39" s="20">
        <f>IF(K39&gt;0,IF(K39&lt;=eco,alpha*fck*(1-(1-K39/eco)^n),alpha*fck),0)</f>
      </c>
    </row>
    <row r="40" spans="1:12" x14ac:dyDescent="0.25">
      <c r="A40">
        <f>Mesh!A37</f>
      </c>
      <c r="B40" s="20">
        <f>Mesh!B37</f>
      </c>
      <c r="C40" s="20">
        <f>Mesh!C37</f>
      </c>
      <c r="D40" s="20">
        <f>Mesh!D37</f>
      </c>
      <c r="E40" s="37">
        <f>INDEX(St_e0,Det+1)+INDEX(St_kx,Det+1)*C40+INDEX(St_ky,Det+1)*B40</f>
      </c>
      <c r="F40" s="20">
        <f>IF(E40&gt;0,IF(E40&lt;=eco,alpha*fck*(1-(1-E40/eco)^n),alpha*fck),0)</f>
      </c>
      <c r="G40" s="19">
        <f>F40*D40</f>
      </c>
      <c r="H40" s="19">
        <f>G40*C40</f>
      </c>
      <c r="I40" s="19">
        <f>G40*B40</f>
      </c>
      <c r="K40" s="37">
        <f>Eq_e0+Eq_kx*$C40+Eq_ky*$B40</f>
      </c>
      <c r="L40" s="20">
        <f>IF(K40&gt;0,IF(K40&lt;=eco,alpha*fck*(1-(1-K40/eco)^n),alpha*fck),0)</f>
      </c>
    </row>
    <row r="41" spans="1:12" x14ac:dyDescent="0.25">
      <c r="A41">
        <f>Mesh!A38</f>
      </c>
      <c r="B41" s="20">
        <f>Mesh!B38</f>
      </c>
      <c r="C41" s="20">
        <f>Mesh!C38</f>
      </c>
      <c r="D41" s="20">
        <f>Mesh!D38</f>
      </c>
      <c r="E41" s="37">
        <f>INDEX(St_e0,Det+1)+INDEX(St_kx,Det+1)*C41+INDEX(St_ky,Det+1)*B41</f>
      </c>
      <c r="F41" s="20">
        <f>IF(E41&gt;0,IF(E41&lt;=eco,alpha*fck*(1-(1-E41/eco)^n),alpha*fck),0)</f>
      </c>
      <c r="G41" s="19">
        <f>F41*D41</f>
      </c>
      <c r="H41" s="19">
        <f>G41*C41</f>
      </c>
      <c r="I41" s="19">
        <f>G41*B41</f>
      </c>
      <c r="K41" s="37">
        <f>Eq_e0+Eq_kx*$C41+Eq_ky*$B41</f>
      </c>
      <c r="L41" s="20">
        <f>IF(K41&gt;0,IF(K41&lt;=eco,alpha*fck*(1-(1-K41/eco)^n),alpha*fck),0)</f>
      </c>
    </row>
    <row r="42" spans="1:12" x14ac:dyDescent="0.25">
      <c r="A42">
        <f>Mesh!A39</f>
      </c>
      <c r="B42" s="20">
        <f>Mesh!B39</f>
      </c>
      <c r="C42" s="20">
        <f>Mesh!C39</f>
      </c>
      <c r="D42" s="20">
        <f>Mesh!D39</f>
      </c>
      <c r="E42" s="37">
        <f>INDEX(St_e0,Det+1)+INDEX(St_kx,Det+1)*C42+INDEX(St_ky,Det+1)*B42</f>
      </c>
      <c r="F42" s="20">
        <f>IF(E42&gt;0,IF(E42&lt;=eco,alpha*fck*(1-(1-E42/eco)^n),alpha*fck),0)</f>
      </c>
      <c r="G42" s="19">
        <f>F42*D42</f>
      </c>
      <c r="H42" s="19">
        <f>G42*C42</f>
      </c>
      <c r="I42" s="19">
        <f>G42*B42</f>
      </c>
      <c r="K42" s="37">
        <f>Eq_e0+Eq_kx*$C42+Eq_ky*$B42</f>
      </c>
      <c r="L42" s="20">
        <f>IF(K42&gt;0,IF(K42&lt;=eco,alpha*fck*(1-(1-K42/eco)^n),alpha*fck),0)</f>
      </c>
    </row>
    <row r="43" spans="1:12" x14ac:dyDescent="0.25">
      <c r="A43">
        <f>Mesh!A40</f>
      </c>
      <c r="B43" s="20">
        <f>Mesh!B40</f>
      </c>
      <c r="C43" s="20">
        <f>Mesh!C40</f>
      </c>
      <c r="D43" s="20">
        <f>Mesh!D40</f>
      </c>
      <c r="E43" s="37">
        <f>INDEX(St_e0,Det+1)+INDEX(St_kx,Det+1)*C43+INDEX(St_ky,Det+1)*B43</f>
      </c>
      <c r="F43" s="20">
        <f>IF(E43&gt;0,IF(E43&lt;=eco,alpha*fck*(1-(1-E43/eco)^n),alpha*fck),0)</f>
      </c>
      <c r="G43" s="19">
        <f>F43*D43</f>
      </c>
      <c r="H43" s="19">
        <f>G43*C43</f>
      </c>
      <c r="I43" s="19">
        <f>G43*B43</f>
      </c>
      <c r="K43" s="37">
        <f>Eq_e0+Eq_kx*$C43+Eq_ky*$B43</f>
      </c>
      <c r="L43" s="20">
        <f>IF(K43&gt;0,IF(K43&lt;=eco,alpha*fck*(1-(1-K43/eco)^n),alpha*fck),0)</f>
      </c>
    </row>
    <row r="44" spans="1:12" x14ac:dyDescent="0.25">
      <c r="A44">
        <f>Mesh!A41</f>
      </c>
      <c r="B44" s="20">
        <f>Mesh!B41</f>
      </c>
      <c r="C44" s="20">
        <f>Mesh!C41</f>
      </c>
      <c r="D44" s="20">
        <f>Mesh!D41</f>
      </c>
      <c r="E44" s="37">
        <f>INDEX(St_e0,Det+1)+INDEX(St_kx,Det+1)*C44+INDEX(St_ky,Det+1)*B44</f>
      </c>
      <c r="F44" s="20">
        <f>IF(E44&gt;0,IF(E44&lt;=eco,alpha*fck*(1-(1-E44/eco)^n),alpha*fck),0)</f>
      </c>
      <c r="G44" s="19">
        <f>F44*D44</f>
      </c>
      <c r="H44" s="19">
        <f>G44*C44</f>
      </c>
      <c r="I44" s="19">
        <f>G44*B44</f>
      </c>
      <c r="K44" s="37">
        <f>Eq_e0+Eq_kx*$C44+Eq_ky*$B44</f>
      </c>
      <c r="L44" s="20">
        <f>IF(K44&gt;0,IF(K44&lt;=eco,alpha*fck*(1-(1-K44/eco)^n),alpha*fck),0)</f>
      </c>
    </row>
    <row r="45" spans="1:12" x14ac:dyDescent="0.25">
      <c r="A45">
        <f>Mesh!A42</f>
      </c>
      <c r="B45" s="20">
        <f>Mesh!B42</f>
      </c>
      <c r="C45" s="20">
        <f>Mesh!C42</f>
      </c>
      <c r="D45" s="20">
        <f>Mesh!D42</f>
      </c>
      <c r="E45" s="37">
        <f>INDEX(St_e0,Det+1)+INDEX(St_kx,Det+1)*C45+INDEX(St_ky,Det+1)*B45</f>
      </c>
      <c r="F45" s="20">
        <f>IF(E45&gt;0,IF(E45&lt;=eco,alpha*fck*(1-(1-E45/eco)^n),alpha*fck),0)</f>
      </c>
      <c r="G45" s="19">
        <f>F45*D45</f>
      </c>
      <c r="H45" s="19">
        <f>G45*C45</f>
      </c>
      <c r="I45" s="19">
        <f>G45*B45</f>
      </c>
      <c r="K45" s="37">
        <f>Eq_e0+Eq_kx*$C45+Eq_ky*$B45</f>
      </c>
      <c r="L45" s="20">
        <f>IF(K45&gt;0,IF(K45&lt;=eco,alpha*fck*(1-(1-K45/eco)^n),alpha*fck),0)</f>
      </c>
    </row>
    <row r="46" spans="1:12" x14ac:dyDescent="0.25">
      <c r="A46">
        <f>Mesh!A43</f>
      </c>
      <c r="B46" s="20">
        <f>Mesh!B43</f>
      </c>
      <c r="C46" s="20">
        <f>Mesh!C43</f>
      </c>
      <c r="D46" s="20">
        <f>Mesh!D43</f>
      </c>
      <c r="E46" s="37">
        <f>INDEX(St_e0,Det+1)+INDEX(St_kx,Det+1)*C46+INDEX(St_ky,Det+1)*B46</f>
      </c>
      <c r="F46" s="20">
        <f>IF(E46&gt;0,IF(E46&lt;=eco,alpha*fck*(1-(1-E46/eco)^n),alpha*fck),0)</f>
      </c>
      <c r="G46" s="19">
        <f>F46*D46</f>
      </c>
      <c r="H46" s="19">
        <f>G46*C46</f>
      </c>
      <c r="I46" s="19">
        <f>G46*B46</f>
      </c>
      <c r="K46" s="37">
        <f>Eq_e0+Eq_kx*$C46+Eq_ky*$B46</f>
      </c>
      <c r="L46" s="20">
        <f>IF(K46&gt;0,IF(K46&lt;=eco,alpha*fck*(1-(1-K46/eco)^n),alpha*fck),0)</f>
      </c>
    </row>
    <row r="47" spans="1:12" x14ac:dyDescent="0.25">
      <c r="A47">
        <f>Mesh!A44</f>
      </c>
      <c r="B47" s="20">
        <f>Mesh!B44</f>
      </c>
      <c r="C47" s="20">
        <f>Mesh!C44</f>
      </c>
      <c r="D47" s="20">
        <f>Mesh!D44</f>
      </c>
      <c r="E47" s="37">
        <f>INDEX(St_e0,Det+1)+INDEX(St_kx,Det+1)*C47+INDEX(St_ky,Det+1)*B47</f>
      </c>
      <c r="F47" s="20">
        <f>IF(E47&gt;0,IF(E47&lt;=eco,alpha*fck*(1-(1-E47/eco)^n),alpha*fck),0)</f>
      </c>
      <c r="G47" s="19">
        <f>F47*D47</f>
      </c>
      <c r="H47" s="19">
        <f>G47*C47</f>
      </c>
      <c r="I47" s="19">
        <f>G47*B47</f>
      </c>
      <c r="K47" s="37">
        <f>Eq_e0+Eq_kx*$C47+Eq_ky*$B47</f>
      </c>
      <c r="L47" s="20">
        <f>IF(K47&gt;0,IF(K47&lt;=eco,alpha*fck*(1-(1-K47/eco)^n),alpha*fck),0)</f>
      </c>
    </row>
    <row r="48" spans="1:12" x14ac:dyDescent="0.25">
      <c r="A48">
        <f>Mesh!A45</f>
      </c>
      <c r="B48" s="20">
        <f>Mesh!B45</f>
      </c>
      <c r="C48" s="20">
        <f>Mesh!C45</f>
      </c>
      <c r="D48" s="20">
        <f>Mesh!D45</f>
      </c>
      <c r="E48" s="37">
        <f>INDEX(St_e0,Det+1)+INDEX(St_kx,Det+1)*C48+INDEX(St_ky,Det+1)*B48</f>
      </c>
      <c r="F48" s="20">
        <f>IF(E48&gt;0,IF(E48&lt;=eco,alpha*fck*(1-(1-E48/eco)^n),alpha*fck),0)</f>
      </c>
      <c r="G48" s="19">
        <f>F48*D48</f>
      </c>
      <c r="H48" s="19">
        <f>G48*C48</f>
      </c>
      <c r="I48" s="19">
        <f>G48*B48</f>
      </c>
      <c r="K48" s="37">
        <f>Eq_e0+Eq_kx*$C48+Eq_ky*$B48</f>
      </c>
      <c r="L48" s="20">
        <f>IF(K48&gt;0,IF(K48&lt;=eco,alpha*fck*(1-(1-K48/eco)^n),alpha*fck),0)</f>
      </c>
    </row>
    <row r="49" spans="1:12" x14ac:dyDescent="0.25">
      <c r="A49">
        <f>Mesh!A46</f>
      </c>
      <c r="B49" s="20">
        <f>Mesh!B46</f>
      </c>
      <c r="C49" s="20">
        <f>Mesh!C46</f>
      </c>
      <c r="D49" s="20">
        <f>Mesh!D46</f>
      </c>
      <c r="E49" s="37">
        <f>INDEX(St_e0,Det+1)+INDEX(St_kx,Det+1)*C49+INDEX(St_ky,Det+1)*B49</f>
      </c>
      <c r="F49" s="20">
        <f>IF(E49&gt;0,IF(E49&lt;=eco,alpha*fck*(1-(1-E49/eco)^n),alpha*fck),0)</f>
      </c>
      <c r="G49" s="19">
        <f>F49*D49</f>
      </c>
      <c r="H49" s="19">
        <f>G49*C49</f>
      </c>
      <c r="I49" s="19">
        <f>G49*B49</f>
      </c>
      <c r="K49" s="37">
        <f>Eq_e0+Eq_kx*$C49+Eq_ky*$B49</f>
      </c>
      <c r="L49" s="20">
        <f>IF(K49&gt;0,IF(K49&lt;=eco,alpha*fck*(1-(1-K49/eco)^n),alpha*fck),0)</f>
      </c>
    </row>
    <row r="50" spans="1:12" x14ac:dyDescent="0.25">
      <c r="A50">
        <f>Mesh!A47</f>
      </c>
      <c r="B50" s="20">
        <f>Mesh!B47</f>
      </c>
      <c r="C50" s="20">
        <f>Mesh!C47</f>
      </c>
      <c r="D50" s="20">
        <f>Mesh!D47</f>
      </c>
      <c r="E50" s="37">
        <f>INDEX(St_e0,Det+1)+INDEX(St_kx,Det+1)*C50+INDEX(St_ky,Det+1)*B50</f>
      </c>
      <c r="F50" s="20">
        <f>IF(E50&gt;0,IF(E50&lt;=eco,alpha*fck*(1-(1-E50/eco)^n),alpha*fck),0)</f>
      </c>
      <c r="G50" s="19">
        <f>F50*D50</f>
      </c>
      <c r="H50" s="19">
        <f>G50*C50</f>
      </c>
      <c r="I50" s="19">
        <f>G50*B50</f>
      </c>
      <c r="K50" s="37">
        <f>Eq_e0+Eq_kx*$C50+Eq_ky*$B50</f>
      </c>
      <c r="L50" s="20">
        <f>IF(K50&gt;0,IF(K50&lt;=eco,alpha*fck*(1-(1-K50/eco)^n),alpha*fck),0)</f>
      </c>
    </row>
    <row r="51" spans="1:12" x14ac:dyDescent="0.25">
      <c r="A51">
        <f>Mesh!A48</f>
      </c>
      <c r="B51" s="20">
        <f>Mesh!B48</f>
      </c>
      <c r="C51" s="20">
        <f>Mesh!C48</f>
      </c>
      <c r="D51" s="20">
        <f>Mesh!D48</f>
      </c>
      <c r="E51" s="37">
        <f>INDEX(St_e0,Det+1)+INDEX(St_kx,Det+1)*C51+INDEX(St_ky,Det+1)*B51</f>
      </c>
      <c r="F51" s="20">
        <f>IF(E51&gt;0,IF(E51&lt;=eco,alpha*fck*(1-(1-E51/eco)^n),alpha*fck),0)</f>
      </c>
      <c r="G51" s="19">
        <f>F51*D51</f>
      </c>
      <c r="H51" s="19">
        <f>G51*C51</f>
      </c>
      <c r="I51" s="19">
        <f>G51*B51</f>
      </c>
      <c r="K51" s="37">
        <f>Eq_e0+Eq_kx*$C51+Eq_ky*$B51</f>
      </c>
      <c r="L51" s="20">
        <f>IF(K51&gt;0,IF(K51&lt;=eco,alpha*fck*(1-(1-K51/eco)^n),alpha*fck),0)</f>
      </c>
    </row>
    <row r="52" spans="1:12" x14ac:dyDescent="0.25">
      <c r="A52">
        <f>Mesh!A49</f>
      </c>
      <c r="B52" s="20">
        <f>Mesh!B49</f>
      </c>
      <c r="C52" s="20">
        <f>Mesh!C49</f>
      </c>
      <c r="D52" s="20">
        <f>Mesh!D49</f>
      </c>
      <c r="E52" s="37">
        <f>INDEX(St_e0,Det+1)+INDEX(St_kx,Det+1)*C52+INDEX(St_ky,Det+1)*B52</f>
      </c>
      <c r="F52" s="20">
        <f>IF(E52&gt;0,IF(E52&lt;=eco,alpha*fck*(1-(1-E52/eco)^n),alpha*fck),0)</f>
      </c>
      <c r="G52" s="19">
        <f>F52*D52</f>
      </c>
      <c r="H52" s="19">
        <f>G52*C52</f>
      </c>
      <c r="I52" s="19">
        <f>G52*B52</f>
      </c>
      <c r="K52" s="37">
        <f>Eq_e0+Eq_kx*$C52+Eq_ky*$B52</f>
      </c>
      <c r="L52" s="20">
        <f>IF(K52&gt;0,IF(K52&lt;=eco,alpha*fck*(1-(1-K52/eco)^n),alpha*fck),0)</f>
      </c>
    </row>
    <row r="53" spans="1:12" x14ac:dyDescent="0.25">
      <c r="A53">
        <f>Mesh!A50</f>
      </c>
      <c r="B53" s="20">
        <f>Mesh!B50</f>
      </c>
      <c r="C53" s="20">
        <f>Mesh!C50</f>
      </c>
      <c r="D53" s="20">
        <f>Mesh!D50</f>
      </c>
      <c r="E53" s="37">
        <f>INDEX(St_e0,Det+1)+INDEX(St_kx,Det+1)*C53+INDEX(St_ky,Det+1)*B53</f>
      </c>
      <c r="F53" s="20">
        <f>IF(E53&gt;0,IF(E53&lt;=eco,alpha*fck*(1-(1-E53/eco)^n),alpha*fck),0)</f>
      </c>
      <c r="G53" s="19">
        <f>F53*D53</f>
      </c>
      <c r="H53" s="19">
        <f>G53*C53</f>
      </c>
      <c r="I53" s="19">
        <f>G53*B53</f>
      </c>
      <c r="K53" s="37">
        <f>Eq_e0+Eq_kx*$C53+Eq_ky*$B53</f>
      </c>
      <c r="L53" s="20">
        <f>IF(K53&gt;0,IF(K53&lt;=eco,alpha*fck*(1-(1-K53/eco)^n),alpha*fck),0)</f>
      </c>
    </row>
    <row r="54" spans="1:12" x14ac:dyDescent="0.25">
      <c r="A54">
        <f>Mesh!A51</f>
      </c>
      <c r="B54" s="20">
        <f>Mesh!B51</f>
      </c>
      <c r="C54" s="20">
        <f>Mesh!C51</f>
      </c>
      <c r="D54" s="20">
        <f>Mesh!D51</f>
      </c>
      <c r="E54" s="37">
        <f>INDEX(St_e0,Det+1)+INDEX(St_kx,Det+1)*C54+INDEX(St_ky,Det+1)*B54</f>
      </c>
      <c r="F54" s="20">
        <f>IF(E54&gt;0,IF(E54&lt;=eco,alpha*fck*(1-(1-E54/eco)^n),alpha*fck),0)</f>
      </c>
      <c r="G54" s="19">
        <f>F54*D54</f>
      </c>
      <c r="H54" s="19">
        <f>G54*C54</f>
      </c>
      <c r="I54" s="19">
        <f>G54*B54</f>
      </c>
      <c r="K54" s="37">
        <f>Eq_e0+Eq_kx*$C54+Eq_ky*$B54</f>
      </c>
      <c r="L54" s="20">
        <f>IF(K54&gt;0,IF(K54&lt;=eco,alpha*fck*(1-(1-K54/eco)^n),alpha*fck),0)</f>
      </c>
    </row>
    <row r="55" spans="1:12" x14ac:dyDescent="0.25">
      <c r="A55">
        <f>Mesh!A52</f>
      </c>
      <c r="B55" s="20">
        <f>Mesh!B52</f>
      </c>
      <c r="C55" s="20">
        <f>Mesh!C52</f>
      </c>
      <c r="D55" s="20">
        <f>Mesh!D52</f>
      </c>
      <c r="E55" s="37">
        <f>INDEX(St_e0,Det+1)+INDEX(St_kx,Det+1)*C55+INDEX(St_ky,Det+1)*B55</f>
      </c>
      <c r="F55" s="20">
        <f>IF(E55&gt;0,IF(E55&lt;=eco,alpha*fck*(1-(1-E55/eco)^n),alpha*fck),0)</f>
      </c>
      <c r="G55" s="19">
        <f>F55*D55</f>
      </c>
      <c r="H55" s="19">
        <f>G55*C55</f>
      </c>
      <c r="I55" s="19">
        <f>G55*B55</f>
      </c>
      <c r="K55" s="37">
        <f>Eq_e0+Eq_kx*$C55+Eq_ky*$B55</f>
      </c>
      <c r="L55" s="20">
        <f>IF(K55&gt;0,IF(K55&lt;=eco,alpha*fck*(1-(1-K55/eco)^n),alpha*fck),0)</f>
      </c>
    </row>
    <row r="56" spans="1:12" x14ac:dyDescent="0.25">
      <c r="A56">
        <f>Mesh!A53</f>
      </c>
      <c r="B56" s="20">
        <f>Mesh!B53</f>
      </c>
      <c r="C56" s="20">
        <f>Mesh!C53</f>
      </c>
      <c r="D56" s="20">
        <f>Mesh!D53</f>
      </c>
      <c r="E56" s="37">
        <f>INDEX(St_e0,Det+1)+INDEX(St_kx,Det+1)*C56+INDEX(St_ky,Det+1)*B56</f>
      </c>
      <c r="F56" s="20">
        <f>IF(E56&gt;0,IF(E56&lt;=eco,alpha*fck*(1-(1-E56/eco)^n),alpha*fck),0)</f>
      </c>
      <c r="G56" s="19">
        <f>F56*D56</f>
      </c>
      <c r="H56" s="19">
        <f>G56*C56</f>
      </c>
      <c r="I56" s="19">
        <f>G56*B56</f>
      </c>
      <c r="K56" s="37">
        <f>Eq_e0+Eq_kx*$C56+Eq_ky*$B56</f>
      </c>
      <c r="L56" s="20">
        <f>IF(K56&gt;0,IF(K56&lt;=eco,alpha*fck*(1-(1-K56/eco)^n),alpha*fck),0)</f>
      </c>
    </row>
    <row r="57" spans="1:12" x14ac:dyDescent="0.25">
      <c r="A57">
        <f>Mesh!A54</f>
      </c>
      <c r="B57" s="20">
        <f>Mesh!B54</f>
      </c>
      <c r="C57" s="20">
        <f>Mesh!C54</f>
      </c>
      <c r="D57" s="20">
        <f>Mesh!D54</f>
      </c>
      <c r="E57" s="37">
        <f>INDEX(St_e0,Det+1)+INDEX(St_kx,Det+1)*C57+INDEX(St_ky,Det+1)*B57</f>
      </c>
      <c r="F57" s="20">
        <f>IF(E57&gt;0,IF(E57&lt;=eco,alpha*fck*(1-(1-E57/eco)^n),alpha*fck),0)</f>
      </c>
      <c r="G57" s="19">
        <f>F57*D57</f>
      </c>
      <c r="H57" s="19">
        <f>G57*C57</f>
      </c>
      <c r="I57" s="19">
        <f>G57*B57</f>
      </c>
      <c r="K57" s="37">
        <f>Eq_e0+Eq_kx*$C57+Eq_ky*$B57</f>
      </c>
      <c r="L57" s="20">
        <f>IF(K57&gt;0,IF(K57&lt;=eco,alpha*fck*(1-(1-K57/eco)^n),alpha*fck),0)</f>
      </c>
    </row>
    <row r="58" spans="1:12" x14ac:dyDescent="0.25">
      <c r="A58">
        <f>Mesh!A55</f>
      </c>
      <c r="B58" s="20">
        <f>Mesh!B55</f>
      </c>
      <c r="C58" s="20">
        <f>Mesh!C55</f>
      </c>
      <c r="D58" s="20">
        <f>Mesh!D55</f>
      </c>
      <c r="E58" s="37">
        <f>INDEX(St_e0,Det+1)+INDEX(St_kx,Det+1)*C58+INDEX(St_ky,Det+1)*B58</f>
      </c>
      <c r="F58" s="20">
        <f>IF(E58&gt;0,IF(E58&lt;=eco,alpha*fck*(1-(1-E58/eco)^n),alpha*fck),0)</f>
      </c>
      <c r="G58" s="19">
        <f>F58*D58</f>
      </c>
      <c r="H58" s="19">
        <f>G58*C58</f>
      </c>
      <c r="I58" s="19">
        <f>G58*B58</f>
      </c>
      <c r="K58" s="37">
        <f>Eq_e0+Eq_kx*$C58+Eq_ky*$B58</f>
      </c>
      <c r="L58" s="20">
        <f>IF(K58&gt;0,IF(K58&lt;=eco,alpha*fck*(1-(1-K58/eco)^n),alpha*fck),0)</f>
      </c>
    </row>
    <row r="59" spans="1:12" x14ac:dyDescent="0.25">
      <c r="A59">
        <f>Mesh!A56</f>
      </c>
      <c r="B59" s="20">
        <f>Mesh!B56</f>
      </c>
      <c r="C59" s="20">
        <f>Mesh!C56</f>
      </c>
      <c r="D59" s="20">
        <f>Mesh!D56</f>
      </c>
      <c r="E59" s="37">
        <f>INDEX(St_e0,Det+1)+INDEX(St_kx,Det+1)*C59+INDEX(St_ky,Det+1)*B59</f>
      </c>
      <c r="F59" s="20">
        <f>IF(E59&gt;0,IF(E59&lt;=eco,alpha*fck*(1-(1-E59/eco)^n),alpha*fck),0)</f>
      </c>
      <c r="G59" s="19">
        <f>F59*D59</f>
      </c>
      <c r="H59" s="19">
        <f>G59*C59</f>
      </c>
      <c r="I59" s="19">
        <f>G59*B59</f>
      </c>
      <c r="K59" s="37">
        <f>Eq_e0+Eq_kx*$C59+Eq_ky*$B59</f>
      </c>
      <c r="L59" s="20">
        <f>IF(K59&gt;0,IF(K59&lt;=eco,alpha*fck*(1-(1-K59/eco)^n),alpha*fck),0)</f>
      </c>
    </row>
    <row r="60" spans="1:12" x14ac:dyDescent="0.25">
      <c r="A60">
        <f>Mesh!A57</f>
      </c>
      <c r="B60" s="20">
        <f>Mesh!B57</f>
      </c>
      <c r="C60" s="20">
        <f>Mesh!C57</f>
      </c>
      <c r="D60" s="20">
        <f>Mesh!D57</f>
      </c>
      <c r="E60" s="37">
        <f>INDEX(St_e0,Det+1)+INDEX(St_kx,Det+1)*C60+INDEX(St_ky,Det+1)*B60</f>
      </c>
      <c r="F60" s="20">
        <f>IF(E60&gt;0,IF(E60&lt;=eco,alpha*fck*(1-(1-E60/eco)^n),alpha*fck),0)</f>
      </c>
      <c r="G60" s="19">
        <f>F60*D60</f>
      </c>
      <c r="H60" s="19">
        <f>G60*C60</f>
      </c>
      <c r="I60" s="19">
        <f>G60*B60</f>
      </c>
      <c r="K60" s="37">
        <f>Eq_e0+Eq_kx*$C60+Eq_ky*$B60</f>
      </c>
      <c r="L60" s="20">
        <f>IF(K60&gt;0,IF(K60&lt;=eco,alpha*fck*(1-(1-K60/eco)^n),alpha*fck),0)</f>
      </c>
    </row>
    <row r="61" spans="1:12" x14ac:dyDescent="0.25">
      <c r="A61">
        <f>Mesh!A58</f>
      </c>
      <c r="B61" s="20">
        <f>Mesh!B58</f>
      </c>
      <c r="C61" s="20">
        <f>Mesh!C58</f>
      </c>
      <c r="D61" s="20">
        <f>Mesh!D58</f>
      </c>
      <c r="E61" s="37">
        <f>INDEX(St_e0,Det+1)+INDEX(St_kx,Det+1)*C61+INDEX(St_ky,Det+1)*B61</f>
      </c>
      <c r="F61" s="20">
        <f>IF(E61&gt;0,IF(E61&lt;=eco,alpha*fck*(1-(1-E61/eco)^n),alpha*fck),0)</f>
      </c>
      <c r="G61" s="19">
        <f>F61*D61</f>
      </c>
      <c r="H61" s="19">
        <f>G61*C61</f>
      </c>
      <c r="I61" s="19">
        <f>G61*B61</f>
      </c>
      <c r="K61" s="37">
        <f>Eq_e0+Eq_kx*$C61+Eq_ky*$B61</f>
      </c>
      <c r="L61" s="20">
        <f>IF(K61&gt;0,IF(K61&lt;=eco,alpha*fck*(1-(1-K61/eco)^n),alpha*fck),0)</f>
      </c>
    </row>
    <row r="62" spans="1:12" x14ac:dyDescent="0.25">
      <c r="A62">
        <f>Mesh!A59</f>
      </c>
      <c r="B62" s="20">
        <f>Mesh!B59</f>
      </c>
      <c r="C62" s="20">
        <f>Mesh!C59</f>
      </c>
      <c r="D62" s="20">
        <f>Mesh!D59</f>
      </c>
      <c r="E62" s="37">
        <f>INDEX(St_e0,Det+1)+INDEX(St_kx,Det+1)*C62+INDEX(St_ky,Det+1)*B62</f>
      </c>
      <c r="F62" s="20">
        <f>IF(E62&gt;0,IF(E62&lt;=eco,alpha*fck*(1-(1-E62/eco)^n),alpha*fck),0)</f>
      </c>
      <c r="G62" s="19">
        <f>F62*D62</f>
      </c>
      <c r="H62" s="19">
        <f>G62*C62</f>
      </c>
      <c r="I62" s="19">
        <f>G62*B62</f>
      </c>
      <c r="K62" s="37">
        <f>Eq_e0+Eq_kx*$C62+Eq_ky*$B62</f>
      </c>
      <c r="L62" s="20">
        <f>IF(K62&gt;0,IF(K62&lt;=eco,alpha*fck*(1-(1-K62/eco)^n),alpha*fck),0)</f>
      </c>
    </row>
    <row r="63" spans="1:12" x14ac:dyDescent="0.25">
      <c r="A63">
        <f>Mesh!A60</f>
      </c>
      <c r="B63" s="20">
        <f>Mesh!B60</f>
      </c>
      <c r="C63" s="20">
        <f>Mesh!C60</f>
      </c>
      <c r="D63" s="20">
        <f>Mesh!D60</f>
      </c>
      <c r="E63" s="37">
        <f>INDEX(St_e0,Det+1)+INDEX(St_kx,Det+1)*C63+INDEX(St_ky,Det+1)*B63</f>
      </c>
      <c r="F63" s="20">
        <f>IF(E63&gt;0,IF(E63&lt;=eco,alpha*fck*(1-(1-E63/eco)^n),alpha*fck),0)</f>
      </c>
      <c r="G63" s="19">
        <f>F63*D63</f>
      </c>
      <c r="H63" s="19">
        <f>G63*C63</f>
      </c>
      <c r="I63" s="19">
        <f>G63*B63</f>
      </c>
      <c r="K63" s="37">
        <f>Eq_e0+Eq_kx*$C63+Eq_ky*$B63</f>
      </c>
      <c r="L63" s="20">
        <f>IF(K63&gt;0,IF(K63&lt;=eco,alpha*fck*(1-(1-K63/eco)^n),alpha*fck),0)</f>
      </c>
    </row>
    <row r="64" spans="1:12" x14ac:dyDescent="0.25">
      <c r="A64">
        <f>Mesh!A61</f>
      </c>
      <c r="B64" s="20">
        <f>Mesh!B61</f>
      </c>
      <c r="C64" s="20">
        <f>Mesh!C61</f>
      </c>
      <c r="D64" s="20">
        <f>Mesh!D61</f>
      </c>
      <c r="E64" s="37">
        <f>INDEX(St_e0,Det+1)+INDEX(St_kx,Det+1)*C64+INDEX(St_ky,Det+1)*B64</f>
      </c>
      <c r="F64" s="20">
        <f>IF(E64&gt;0,IF(E64&lt;=eco,alpha*fck*(1-(1-E64/eco)^n),alpha*fck),0)</f>
      </c>
      <c r="G64" s="19">
        <f>F64*D64</f>
      </c>
      <c r="H64" s="19">
        <f>G64*C64</f>
      </c>
      <c r="I64" s="19">
        <f>G64*B64</f>
      </c>
      <c r="K64" s="37">
        <f>Eq_e0+Eq_kx*$C64+Eq_ky*$B64</f>
      </c>
      <c r="L64" s="20">
        <f>IF(K64&gt;0,IF(K64&lt;=eco,alpha*fck*(1-(1-K64/eco)^n),alpha*fck),0)</f>
      </c>
    </row>
    <row r="65" spans="1:12" x14ac:dyDescent="0.25">
      <c r="A65">
        <f>Mesh!A62</f>
      </c>
      <c r="B65" s="20">
        <f>Mesh!B62</f>
      </c>
      <c r="C65" s="20">
        <f>Mesh!C62</f>
      </c>
      <c r="D65" s="20">
        <f>Mesh!D62</f>
      </c>
      <c r="E65" s="37">
        <f>INDEX(St_e0,Det+1)+INDEX(St_kx,Det+1)*C65+INDEX(St_ky,Det+1)*B65</f>
      </c>
      <c r="F65" s="20">
        <f>IF(E65&gt;0,IF(E65&lt;=eco,alpha*fck*(1-(1-E65/eco)^n),alpha*fck),0)</f>
      </c>
      <c r="G65" s="19">
        <f>F65*D65</f>
      </c>
      <c r="H65" s="19">
        <f>G65*C65</f>
      </c>
      <c r="I65" s="19">
        <f>G65*B65</f>
      </c>
      <c r="K65" s="37">
        <f>Eq_e0+Eq_kx*$C65+Eq_ky*$B65</f>
      </c>
      <c r="L65" s="20">
        <f>IF(K65&gt;0,IF(K65&lt;=eco,alpha*fck*(1-(1-K65/eco)^n),alpha*fck),0)</f>
      </c>
    </row>
    <row r="66" spans="1:12" x14ac:dyDescent="0.25">
      <c r="A66">
        <f>Mesh!A63</f>
      </c>
      <c r="B66" s="20">
        <f>Mesh!B63</f>
      </c>
      <c r="C66" s="20">
        <f>Mesh!C63</f>
      </c>
      <c r="D66" s="20">
        <f>Mesh!D63</f>
      </c>
      <c r="E66" s="37">
        <f>INDEX(St_e0,Det+1)+INDEX(St_kx,Det+1)*C66+INDEX(St_ky,Det+1)*B66</f>
      </c>
      <c r="F66" s="20">
        <f>IF(E66&gt;0,IF(E66&lt;=eco,alpha*fck*(1-(1-E66/eco)^n),alpha*fck),0)</f>
      </c>
      <c r="G66" s="19">
        <f>F66*D66</f>
      </c>
      <c r="H66" s="19">
        <f>G66*C66</f>
      </c>
      <c r="I66" s="19">
        <f>G66*B66</f>
      </c>
      <c r="K66" s="37">
        <f>Eq_e0+Eq_kx*$C66+Eq_ky*$B66</f>
      </c>
      <c r="L66" s="20">
        <f>IF(K66&gt;0,IF(K66&lt;=eco,alpha*fck*(1-(1-K66/eco)^n),alpha*fck),0)</f>
      </c>
    </row>
    <row r="67" spans="1:12" x14ac:dyDescent="0.25">
      <c r="A67">
        <f>Mesh!A64</f>
      </c>
      <c r="B67" s="20">
        <f>Mesh!B64</f>
      </c>
      <c r="C67" s="20">
        <f>Mesh!C64</f>
      </c>
      <c r="D67" s="20">
        <f>Mesh!D64</f>
      </c>
      <c r="E67" s="37">
        <f>INDEX(St_e0,Det+1)+INDEX(St_kx,Det+1)*C67+INDEX(St_ky,Det+1)*B67</f>
      </c>
      <c r="F67" s="20">
        <f>IF(E67&gt;0,IF(E67&lt;=eco,alpha*fck*(1-(1-E67/eco)^n),alpha*fck),0)</f>
      </c>
      <c r="G67" s="19">
        <f>F67*D67</f>
      </c>
      <c r="H67" s="19">
        <f>G67*C67</f>
      </c>
      <c r="I67" s="19">
        <f>G67*B67</f>
      </c>
      <c r="K67" s="37">
        <f>Eq_e0+Eq_kx*$C67+Eq_ky*$B67</f>
      </c>
      <c r="L67" s="20">
        <f>IF(K67&gt;0,IF(K67&lt;=eco,alpha*fck*(1-(1-K67/eco)^n),alpha*fck),0)</f>
      </c>
    </row>
    <row r="68" spans="1:12" x14ac:dyDescent="0.25">
      <c r="A68">
        <f>Mesh!A65</f>
      </c>
      <c r="B68" s="20">
        <f>Mesh!B65</f>
      </c>
      <c r="C68" s="20">
        <f>Mesh!C65</f>
      </c>
      <c r="D68" s="20">
        <f>Mesh!D65</f>
      </c>
      <c r="E68" s="37">
        <f>INDEX(St_e0,Det+1)+INDEX(St_kx,Det+1)*C68+INDEX(St_ky,Det+1)*B68</f>
      </c>
      <c r="F68" s="20">
        <f>IF(E68&gt;0,IF(E68&lt;=eco,alpha*fck*(1-(1-E68/eco)^n),alpha*fck),0)</f>
      </c>
      <c r="G68" s="19">
        <f>F68*D68</f>
      </c>
      <c r="H68" s="19">
        <f>G68*C68</f>
      </c>
      <c r="I68" s="19">
        <f>G68*B68</f>
      </c>
      <c r="K68" s="37">
        <f>Eq_e0+Eq_kx*$C68+Eq_ky*$B68</f>
      </c>
      <c r="L68" s="20">
        <f>IF(K68&gt;0,IF(K68&lt;=eco,alpha*fck*(1-(1-K68/eco)^n),alpha*fck),0)</f>
      </c>
    </row>
    <row r="69" spans="1:12" x14ac:dyDescent="0.25">
      <c r="A69">
        <f>Mesh!A66</f>
      </c>
      <c r="B69" s="20">
        <f>Mesh!B66</f>
      </c>
      <c r="C69" s="20">
        <f>Mesh!C66</f>
      </c>
      <c r="D69" s="20">
        <f>Mesh!D66</f>
      </c>
      <c r="E69" s="37">
        <f>INDEX(St_e0,Det+1)+INDEX(St_kx,Det+1)*C69+INDEX(St_ky,Det+1)*B69</f>
      </c>
      <c r="F69" s="20">
        <f>IF(E69&gt;0,IF(E69&lt;=eco,alpha*fck*(1-(1-E69/eco)^n),alpha*fck),0)</f>
      </c>
      <c r="G69" s="19">
        <f>F69*D69</f>
      </c>
      <c r="H69" s="19">
        <f>G69*C69</f>
      </c>
      <c r="I69" s="19">
        <f>G69*B69</f>
      </c>
      <c r="K69" s="37">
        <f>Eq_e0+Eq_kx*$C69+Eq_ky*$B69</f>
      </c>
      <c r="L69" s="20">
        <f>IF(K69&gt;0,IF(K69&lt;=eco,alpha*fck*(1-(1-K69/eco)^n),alpha*fck),0)</f>
      </c>
    </row>
    <row r="70" spans="1:12" x14ac:dyDescent="0.25">
      <c r="A70">
        <f>Mesh!A67</f>
      </c>
      <c r="B70" s="20">
        <f>Mesh!B67</f>
      </c>
      <c r="C70" s="20">
        <f>Mesh!C67</f>
      </c>
      <c r="D70" s="20">
        <f>Mesh!D67</f>
      </c>
      <c r="E70" s="37">
        <f>INDEX(St_e0,Det+1)+INDEX(St_kx,Det+1)*C70+INDEX(St_ky,Det+1)*B70</f>
      </c>
      <c r="F70" s="20">
        <f>IF(E70&gt;0,IF(E70&lt;=eco,alpha*fck*(1-(1-E70/eco)^n),alpha*fck),0)</f>
      </c>
      <c r="G70" s="19">
        <f>F70*D70</f>
      </c>
      <c r="H70" s="19">
        <f>G70*C70</f>
      </c>
      <c r="I70" s="19">
        <f>G70*B70</f>
      </c>
      <c r="K70" s="37">
        <f>Eq_e0+Eq_kx*$C70+Eq_ky*$B70</f>
      </c>
      <c r="L70" s="20">
        <f>IF(K70&gt;0,IF(K70&lt;=eco,alpha*fck*(1-(1-K70/eco)^n),alpha*fck),0)</f>
      </c>
    </row>
    <row r="71" spans="1:12" x14ac:dyDescent="0.25">
      <c r="A71">
        <f>Mesh!A68</f>
      </c>
      <c r="B71" s="20">
        <f>Mesh!B68</f>
      </c>
      <c r="C71" s="20">
        <f>Mesh!C68</f>
      </c>
      <c r="D71" s="20">
        <f>Mesh!D68</f>
      </c>
      <c r="E71" s="37">
        <f>INDEX(St_e0,Det+1)+INDEX(St_kx,Det+1)*C71+INDEX(St_ky,Det+1)*B71</f>
      </c>
      <c r="F71" s="20">
        <f>IF(E71&gt;0,IF(E71&lt;=eco,alpha*fck*(1-(1-E71/eco)^n),alpha*fck),0)</f>
      </c>
      <c r="G71" s="19">
        <f>F71*D71</f>
      </c>
      <c r="H71" s="19">
        <f>G71*C71</f>
      </c>
      <c r="I71" s="19">
        <f>G71*B71</f>
      </c>
      <c r="K71" s="37">
        <f>Eq_e0+Eq_kx*$C71+Eq_ky*$B71</f>
      </c>
      <c r="L71" s="20">
        <f>IF(K71&gt;0,IF(K71&lt;=eco,alpha*fck*(1-(1-K71/eco)^n),alpha*fck),0)</f>
      </c>
    </row>
    <row r="72" spans="1:12" x14ac:dyDescent="0.25">
      <c r="A72">
        <f>Mesh!A69</f>
      </c>
      <c r="B72" s="20">
        <f>Mesh!B69</f>
      </c>
      <c r="C72" s="20">
        <f>Mesh!C69</f>
      </c>
      <c r="D72" s="20">
        <f>Mesh!D69</f>
      </c>
      <c r="E72" s="37">
        <f>INDEX(St_e0,Det+1)+INDEX(St_kx,Det+1)*C72+INDEX(St_ky,Det+1)*B72</f>
      </c>
      <c r="F72" s="20">
        <f>IF(E72&gt;0,IF(E72&lt;=eco,alpha*fck*(1-(1-E72/eco)^n),alpha*fck),0)</f>
      </c>
      <c r="G72" s="19">
        <f>F72*D72</f>
      </c>
      <c r="H72" s="19">
        <f>G72*C72</f>
      </c>
      <c r="I72" s="19">
        <f>G72*B72</f>
      </c>
      <c r="K72" s="37">
        <f>Eq_e0+Eq_kx*$C72+Eq_ky*$B72</f>
      </c>
      <c r="L72" s="20">
        <f>IF(K72&gt;0,IF(K72&lt;=eco,alpha*fck*(1-(1-K72/eco)^n),alpha*fck),0)</f>
      </c>
    </row>
    <row r="73" spans="1:12" x14ac:dyDescent="0.25">
      <c r="A73">
        <f>Mesh!A70</f>
      </c>
      <c r="B73" s="20">
        <f>Mesh!B70</f>
      </c>
      <c r="C73" s="20">
        <f>Mesh!C70</f>
      </c>
      <c r="D73" s="20">
        <f>Mesh!D70</f>
      </c>
      <c r="E73" s="37">
        <f>INDEX(St_e0,Det+1)+INDEX(St_kx,Det+1)*C73+INDEX(St_ky,Det+1)*B73</f>
      </c>
      <c r="F73" s="20">
        <f>IF(E73&gt;0,IF(E73&lt;=eco,alpha*fck*(1-(1-E73/eco)^n),alpha*fck),0)</f>
      </c>
      <c r="G73" s="19">
        <f>F73*D73</f>
      </c>
      <c r="H73" s="19">
        <f>G73*C73</f>
      </c>
      <c r="I73" s="19">
        <f>G73*B73</f>
      </c>
      <c r="K73" s="37">
        <f>Eq_e0+Eq_kx*$C73+Eq_ky*$B73</f>
      </c>
      <c r="L73" s="20">
        <f>IF(K73&gt;0,IF(K73&lt;=eco,alpha*fck*(1-(1-K73/eco)^n),alpha*fck),0)</f>
      </c>
    </row>
    <row r="74" spans="1:12" x14ac:dyDescent="0.25">
      <c r="A74">
        <f>Mesh!A71</f>
      </c>
      <c r="B74" s="20">
        <f>Mesh!B71</f>
      </c>
      <c r="C74" s="20">
        <f>Mesh!C71</f>
      </c>
      <c r="D74" s="20">
        <f>Mesh!D71</f>
      </c>
      <c r="E74" s="37">
        <f>INDEX(St_e0,Det+1)+INDEX(St_kx,Det+1)*C74+INDEX(St_ky,Det+1)*B74</f>
      </c>
      <c r="F74" s="20">
        <f>IF(E74&gt;0,IF(E74&lt;=eco,alpha*fck*(1-(1-E74/eco)^n),alpha*fck),0)</f>
      </c>
      <c r="G74" s="19">
        <f>F74*D74</f>
      </c>
      <c r="H74" s="19">
        <f>G74*C74</f>
      </c>
      <c r="I74" s="19">
        <f>G74*B74</f>
      </c>
      <c r="K74" s="37">
        <f>Eq_e0+Eq_kx*$C74+Eq_ky*$B74</f>
      </c>
      <c r="L74" s="20">
        <f>IF(K74&gt;0,IF(K74&lt;=eco,alpha*fck*(1-(1-K74/eco)^n),alpha*fck),0)</f>
      </c>
    </row>
    <row r="75" spans="1:12" x14ac:dyDescent="0.25">
      <c r="A75">
        <f>Mesh!A72</f>
      </c>
      <c r="B75" s="20">
        <f>Mesh!B72</f>
      </c>
      <c r="C75" s="20">
        <f>Mesh!C72</f>
      </c>
      <c r="D75" s="20">
        <f>Mesh!D72</f>
      </c>
      <c r="E75" s="37">
        <f>INDEX(St_e0,Det+1)+INDEX(St_kx,Det+1)*C75+INDEX(St_ky,Det+1)*B75</f>
      </c>
      <c r="F75" s="20">
        <f>IF(E75&gt;0,IF(E75&lt;=eco,alpha*fck*(1-(1-E75/eco)^n),alpha*fck),0)</f>
      </c>
      <c r="G75" s="19">
        <f>F75*D75</f>
      </c>
      <c r="H75" s="19">
        <f>G75*C75</f>
      </c>
      <c r="I75" s="19">
        <f>G75*B75</f>
      </c>
      <c r="K75" s="37">
        <f>Eq_e0+Eq_kx*$C75+Eq_ky*$B75</f>
      </c>
      <c r="L75" s="20">
        <f>IF(K75&gt;0,IF(K75&lt;=eco,alpha*fck*(1-(1-K75/eco)^n),alpha*fck),0)</f>
      </c>
    </row>
    <row r="76" spans="1:12" x14ac:dyDescent="0.25">
      <c r="A76">
        <f>Mesh!A73</f>
      </c>
      <c r="B76" s="20">
        <f>Mesh!B73</f>
      </c>
      <c r="C76" s="20">
        <f>Mesh!C73</f>
      </c>
      <c r="D76" s="20">
        <f>Mesh!D73</f>
      </c>
      <c r="E76" s="37">
        <f>INDEX(St_e0,Det+1)+INDEX(St_kx,Det+1)*C76+INDEX(St_ky,Det+1)*B76</f>
      </c>
      <c r="F76" s="20">
        <f>IF(E76&gt;0,IF(E76&lt;=eco,alpha*fck*(1-(1-E76/eco)^n),alpha*fck),0)</f>
      </c>
      <c r="G76" s="19">
        <f>F76*D76</f>
      </c>
      <c r="H76" s="19">
        <f>G76*C76</f>
      </c>
      <c r="I76" s="19">
        <f>G76*B76</f>
      </c>
      <c r="K76" s="37">
        <f>Eq_e0+Eq_kx*$C76+Eq_ky*$B76</f>
      </c>
      <c r="L76" s="20">
        <f>IF(K76&gt;0,IF(K76&lt;=eco,alpha*fck*(1-(1-K76/eco)^n),alpha*fck),0)</f>
      </c>
    </row>
    <row r="77" spans="1:12" x14ac:dyDescent="0.25">
      <c r="A77">
        <f>Mesh!A74</f>
      </c>
      <c r="B77" s="20">
        <f>Mesh!B74</f>
      </c>
      <c r="C77" s="20">
        <f>Mesh!C74</f>
      </c>
      <c r="D77" s="20">
        <f>Mesh!D74</f>
      </c>
      <c r="E77" s="37">
        <f>INDEX(St_e0,Det+1)+INDEX(St_kx,Det+1)*C77+INDEX(St_ky,Det+1)*B77</f>
      </c>
      <c r="F77" s="20">
        <f>IF(E77&gt;0,IF(E77&lt;=eco,alpha*fck*(1-(1-E77/eco)^n),alpha*fck),0)</f>
      </c>
      <c r="G77" s="19">
        <f>F77*D77</f>
      </c>
      <c r="H77" s="19">
        <f>G77*C77</f>
      </c>
      <c r="I77" s="19">
        <f>G77*B77</f>
      </c>
      <c r="K77" s="37">
        <f>Eq_e0+Eq_kx*$C77+Eq_ky*$B77</f>
      </c>
      <c r="L77" s="20">
        <f>IF(K77&gt;0,IF(K77&lt;=eco,alpha*fck*(1-(1-K77/eco)^n),alpha*fck),0)</f>
      </c>
    </row>
    <row r="78" spans="1:12" x14ac:dyDescent="0.25">
      <c r="A78">
        <f>Mesh!A75</f>
      </c>
      <c r="B78" s="20">
        <f>Mesh!B75</f>
      </c>
      <c r="C78" s="20">
        <f>Mesh!C75</f>
      </c>
      <c r="D78" s="20">
        <f>Mesh!D75</f>
      </c>
      <c r="E78" s="37">
        <f>INDEX(St_e0,Det+1)+INDEX(St_kx,Det+1)*C78+INDEX(St_ky,Det+1)*B78</f>
      </c>
      <c r="F78" s="20">
        <f>IF(E78&gt;0,IF(E78&lt;=eco,alpha*fck*(1-(1-E78/eco)^n),alpha*fck),0)</f>
      </c>
      <c r="G78" s="19">
        <f>F78*D78</f>
      </c>
      <c r="H78" s="19">
        <f>G78*C78</f>
      </c>
      <c r="I78" s="19">
        <f>G78*B78</f>
      </c>
      <c r="K78" s="37">
        <f>Eq_e0+Eq_kx*$C78+Eq_ky*$B78</f>
      </c>
      <c r="L78" s="20">
        <f>IF(K78&gt;0,IF(K78&lt;=eco,alpha*fck*(1-(1-K78/eco)^n),alpha*fck),0)</f>
      </c>
    </row>
    <row r="79" spans="1:12" x14ac:dyDescent="0.25">
      <c r="A79">
        <f>Mesh!A76</f>
      </c>
      <c r="B79" s="20">
        <f>Mesh!B76</f>
      </c>
      <c r="C79" s="20">
        <f>Mesh!C76</f>
      </c>
      <c r="D79" s="20">
        <f>Mesh!D76</f>
      </c>
      <c r="E79" s="37">
        <f>INDEX(St_e0,Det+1)+INDEX(St_kx,Det+1)*C79+INDEX(St_ky,Det+1)*B79</f>
      </c>
      <c r="F79" s="20">
        <f>IF(E79&gt;0,IF(E79&lt;=eco,alpha*fck*(1-(1-E79/eco)^n),alpha*fck),0)</f>
      </c>
      <c r="G79" s="19">
        <f>F79*D79</f>
      </c>
      <c r="H79" s="19">
        <f>G79*C79</f>
      </c>
      <c r="I79" s="19">
        <f>G79*B79</f>
      </c>
      <c r="K79" s="37">
        <f>Eq_e0+Eq_kx*$C79+Eq_ky*$B79</f>
      </c>
      <c r="L79" s="20">
        <f>IF(K79&gt;0,IF(K79&lt;=eco,alpha*fck*(1-(1-K79/eco)^n),alpha*fck),0)</f>
      </c>
    </row>
    <row r="80" spans="1:12" x14ac:dyDescent="0.25">
      <c r="A80">
        <f>Mesh!A77</f>
      </c>
      <c r="B80" s="20">
        <f>Mesh!B77</f>
      </c>
      <c r="C80" s="20">
        <f>Mesh!C77</f>
      </c>
      <c r="D80" s="20">
        <f>Mesh!D77</f>
      </c>
      <c r="E80" s="37">
        <f>INDEX(St_e0,Det+1)+INDEX(St_kx,Det+1)*C80+INDEX(St_ky,Det+1)*B80</f>
      </c>
      <c r="F80" s="20">
        <f>IF(E80&gt;0,IF(E80&lt;=eco,alpha*fck*(1-(1-E80/eco)^n),alpha*fck),0)</f>
      </c>
      <c r="G80" s="19">
        <f>F80*D80</f>
      </c>
      <c r="H80" s="19">
        <f>G80*C80</f>
      </c>
      <c r="I80" s="19">
        <f>G80*B80</f>
      </c>
      <c r="K80" s="37">
        <f>Eq_e0+Eq_kx*$C80+Eq_ky*$B80</f>
      </c>
      <c r="L80" s="20">
        <f>IF(K80&gt;0,IF(K80&lt;=eco,alpha*fck*(1-(1-K80/eco)^n),alpha*fck),0)</f>
      </c>
    </row>
    <row r="81" spans="1:12" x14ac:dyDescent="0.25">
      <c r="A81">
        <f>Mesh!A78</f>
      </c>
      <c r="B81" s="20">
        <f>Mesh!B78</f>
      </c>
      <c r="C81" s="20">
        <f>Mesh!C78</f>
      </c>
      <c r="D81" s="20">
        <f>Mesh!D78</f>
      </c>
      <c r="E81" s="37">
        <f>INDEX(St_e0,Det+1)+INDEX(St_kx,Det+1)*C81+INDEX(St_ky,Det+1)*B81</f>
      </c>
      <c r="F81" s="20">
        <f>IF(E81&gt;0,IF(E81&lt;=eco,alpha*fck*(1-(1-E81/eco)^n),alpha*fck),0)</f>
      </c>
      <c r="G81" s="19">
        <f>F81*D81</f>
      </c>
      <c r="H81" s="19">
        <f>G81*C81</f>
      </c>
      <c r="I81" s="19">
        <f>G81*B81</f>
      </c>
      <c r="K81" s="37">
        <f>Eq_e0+Eq_kx*$C81+Eq_ky*$B81</f>
      </c>
      <c r="L81" s="20">
        <f>IF(K81&gt;0,IF(K81&lt;=eco,alpha*fck*(1-(1-K81/eco)^n),alpha*fck),0)</f>
      </c>
    </row>
    <row r="82" spans="1:12" x14ac:dyDescent="0.25">
      <c r="A82">
        <f>Mesh!A79</f>
      </c>
      <c r="B82" s="20">
        <f>Mesh!B79</f>
      </c>
      <c r="C82" s="20">
        <f>Mesh!C79</f>
      </c>
      <c r="D82" s="20">
        <f>Mesh!D79</f>
      </c>
      <c r="E82" s="37">
        <f>INDEX(St_e0,Det+1)+INDEX(St_kx,Det+1)*C82+INDEX(St_ky,Det+1)*B82</f>
      </c>
      <c r="F82" s="20">
        <f>IF(E82&gt;0,IF(E82&lt;=eco,alpha*fck*(1-(1-E82/eco)^n),alpha*fck),0)</f>
      </c>
      <c r="G82" s="19">
        <f>F82*D82</f>
      </c>
      <c r="H82" s="19">
        <f>G82*C82</f>
      </c>
      <c r="I82" s="19">
        <f>G82*B82</f>
      </c>
      <c r="K82" s="37">
        <f>Eq_e0+Eq_kx*$C82+Eq_ky*$B82</f>
      </c>
      <c r="L82" s="20">
        <f>IF(K82&gt;0,IF(K82&lt;=eco,alpha*fck*(1-(1-K82/eco)^n),alpha*fck),0)</f>
      </c>
    </row>
    <row r="83" spans="1:12" x14ac:dyDescent="0.25">
      <c r="A83">
        <f>Mesh!A80</f>
      </c>
      <c r="B83" s="20">
        <f>Mesh!B80</f>
      </c>
      <c r="C83" s="20">
        <f>Mesh!C80</f>
      </c>
      <c r="D83" s="20">
        <f>Mesh!D80</f>
      </c>
      <c r="E83" s="37">
        <f>INDEX(St_e0,Det+1)+INDEX(St_kx,Det+1)*C83+INDEX(St_ky,Det+1)*B83</f>
      </c>
      <c r="F83" s="20">
        <f>IF(E83&gt;0,IF(E83&lt;=eco,alpha*fck*(1-(1-E83/eco)^n),alpha*fck),0)</f>
      </c>
      <c r="G83" s="19">
        <f>F83*D83</f>
      </c>
      <c r="H83" s="19">
        <f>G83*C83</f>
      </c>
      <c r="I83" s="19">
        <f>G83*B83</f>
      </c>
      <c r="K83" s="37">
        <f>Eq_e0+Eq_kx*$C83+Eq_ky*$B83</f>
      </c>
      <c r="L83" s="20">
        <f>IF(K83&gt;0,IF(K83&lt;=eco,alpha*fck*(1-(1-K83/eco)^n),alpha*fck),0)</f>
      </c>
    </row>
    <row r="84" spans="1:12" x14ac:dyDescent="0.25">
      <c r="A84">
        <f>Mesh!A81</f>
      </c>
      <c r="B84" s="20">
        <f>Mesh!B81</f>
      </c>
      <c r="C84" s="20">
        <f>Mesh!C81</f>
      </c>
      <c r="D84" s="20">
        <f>Mesh!D81</f>
      </c>
      <c r="E84" s="37">
        <f>INDEX(St_e0,Det+1)+INDEX(St_kx,Det+1)*C84+INDEX(St_ky,Det+1)*B84</f>
      </c>
      <c r="F84" s="20">
        <f>IF(E84&gt;0,IF(E84&lt;=eco,alpha*fck*(1-(1-E84/eco)^n),alpha*fck),0)</f>
      </c>
      <c r="G84" s="19">
        <f>F84*D84</f>
      </c>
      <c r="H84" s="19">
        <f>G84*C84</f>
      </c>
      <c r="I84" s="19">
        <f>G84*B84</f>
      </c>
      <c r="K84" s="37">
        <f>Eq_e0+Eq_kx*$C84+Eq_ky*$B84</f>
      </c>
      <c r="L84" s="20">
        <f>IF(K84&gt;0,IF(K84&lt;=eco,alpha*fck*(1-(1-K84/eco)^n),alpha*fck),0)</f>
      </c>
    </row>
    <row r="85" spans="1:12" x14ac:dyDescent="0.25">
      <c r="A85">
        <f>Mesh!A82</f>
      </c>
      <c r="B85" s="20">
        <f>Mesh!B82</f>
      </c>
      <c r="C85" s="20">
        <f>Mesh!C82</f>
      </c>
      <c r="D85" s="20">
        <f>Mesh!D82</f>
      </c>
      <c r="E85" s="37">
        <f>INDEX(St_e0,Det+1)+INDEX(St_kx,Det+1)*C85+INDEX(St_ky,Det+1)*B85</f>
      </c>
      <c r="F85" s="20">
        <f>IF(E85&gt;0,IF(E85&lt;=eco,alpha*fck*(1-(1-E85/eco)^n),alpha*fck),0)</f>
      </c>
      <c r="G85" s="19">
        <f>F85*D85</f>
      </c>
      <c r="H85" s="19">
        <f>G85*C85</f>
      </c>
      <c r="I85" s="19">
        <f>G85*B85</f>
      </c>
      <c r="K85" s="37">
        <f>Eq_e0+Eq_kx*$C85+Eq_ky*$B85</f>
      </c>
      <c r="L85" s="20">
        <f>IF(K85&gt;0,IF(K85&lt;=eco,alpha*fck*(1-(1-K85/eco)^n),alpha*fck),0)</f>
      </c>
    </row>
    <row r="86" spans="1:12" x14ac:dyDescent="0.25">
      <c r="A86">
        <f>Mesh!A83</f>
      </c>
      <c r="B86" s="20">
        <f>Mesh!B83</f>
      </c>
      <c r="C86" s="20">
        <f>Mesh!C83</f>
      </c>
      <c r="D86" s="20">
        <f>Mesh!D83</f>
      </c>
      <c r="E86" s="37">
        <f>INDEX(St_e0,Det+1)+INDEX(St_kx,Det+1)*C86+INDEX(St_ky,Det+1)*B86</f>
      </c>
      <c r="F86" s="20">
        <f>IF(E86&gt;0,IF(E86&lt;=eco,alpha*fck*(1-(1-E86/eco)^n),alpha*fck),0)</f>
      </c>
      <c r="G86" s="19">
        <f>F86*D86</f>
      </c>
      <c r="H86" s="19">
        <f>G86*C86</f>
      </c>
      <c r="I86" s="19">
        <f>G86*B86</f>
      </c>
      <c r="K86" s="37">
        <f>Eq_e0+Eq_kx*$C86+Eq_ky*$B86</f>
      </c>
      <c r="L86" s="20">
        <f>IF(K86&gt;0,IF(K86&lt;=eco,alpha*fck*(1-(1-K86/eco)^n),alpha*fck),0)</f>
      </c>
    </row>
    <row r="87" spans="1:12" x14ac:dyDescent="0.25">
      <c r="A87">
        <f>Mesh!A84</f>
      </c>
      <c r="B87" s="20">
        <f>Mesh!B84</f>
      </c>
      <c r="C87" s="20">
        <f>Mesh!C84</f>
      </c>
      <c r="D87" s="20">
        <f>Mesh!D84</f>
      </c>
      <c r="E87" s="37">
        <f>INDEX(St_e0,Det+1)+INDEX(St_kx,Det+1)*C87+INDEX(St_ky,Det+1)*B87</f>
      </c>
      <c r="F87" s="20">
        <f>IF(E87&gt;0,IF(E87&lt;=eco,alpha*fck*(1-(1-E87/eco)^n),alpha*fck),0)</f>
      </c>
      <c r="G87" s="19">
        <f>F87*D87</f>
      </c>
      <c r="H87" s="19">
        <f>G87*C87</f>
      </c>
      <c r="I87" s="19">
        <f>G87*B87</f>
      </c>
      <c r="K87" s="37">
        <f>Eq_e0+Eq_kx*$C87+Eq_ky*$B87</f>
      </c>
      <c r="L87" s="20">
        <f>IF(K87&gt;0,IF(K87&lt;=eco,alpha*fck*(1-(1-K87/eco)^n),alpha*fck),0)</f>
      </c>
    </row>
    <row r="88" spans="1:12" x14ac:dyDescent="0.25">
      <c r="A88">
        <f>Mesh!A85</f>
      </c>
      <c r="B88" s="20">
        <f>Mesh!B85</f>
      </c>
      <c r="C88" s="20">
        <f>Mesh!C85</f>
      </c>
      <c r="D88" s="20">
        <f>Mesh!D85</f>
      </c>
      <c r="E88" s="37">
        <f>INDEX(St_e0,Det+1)+INDEX(St_kx,Det+1)*C88+INDEX(St_ky,Det+1)*B88</f>
      </c>
      <c r="F88" s="20">
        <f>IF(E88&gt;0,IF(E88&lt;=eco,alpha*fck*(1-(1-E88/eco)^n),alpha*fck),0)</f>
      </c>
      <c r="G88" s="19">
        <f>F88*D88</f>
      </c>
      <c r="H88" s="19">
        <f>G88*C88</f>
      </c>
      <c r="I88" s="19">
        <f>G88*B88</f>
      </c>
      <c r="K88" s="37">
        <f>Eq_e0+Eq_kx*$C88+Eq_ky*$B88</f>
      </c>
      <c r="L88" s="20">
        <f>IF(K88&gt;0,IF(K88&lt;=eco,alpha*fck*(1-(1-K88/eco)^n),alpha*fck),0)</f>
      </c>
    </row>
    <row r="89" spans="1:12" x14ac:dyDescent="0.25">
      <c r="A89">
        <f>Mesh!A86</f>
      </c>
      <c r="B89" s="20">
        <f>Mesh!B86</f>
      </c>
      <c r="C89" s="20">
        <f>Mesh!C86</f>
      </c>
      <c r="D89" s="20">
        <f>Mesh!D86</f>
      </c>
      <c r="E89" s="37">
        <f>INDEX(St_e0,Det+1)+INDEX(St_kx,Det+1)*C89+INDEX(St_ky,Det+1)*B89</f>
      </c>
      <c r="F89" s="20">
        <f>IF(E89&gt;0,IF(E89&lt;=eco,alpha*fck*(1-(1-E89/eco)^n),alpha*fck),0)</f>
      </c>
      <c r="G89" s="19">
        <f>F89*D89</f>
      </c>
      <c r="H89" s="19">
        <f>G89*C89</f>
      </c>
      <c r="I89" s="19">
        <f>G89*B89</f>
      </c>
      <c r="K89" s="37">
        <f>Eq_e0+Eq_kx*$C89+Eq_ky*$B89</f>
      </c>
      <c r="L89" s="20">
        <f>IF(K89&gt;0,IF(K89&lt;=eco,alpha*fck*(1-(1-K89/eco)^n),alpha*fck),0)</f>
      </c>
    </row>
    <row r="90" spans="1:12" x14ac:dyDescent="0.25">
      <c r="A90">
        <f>Mesh!A87</f>
      </c>
      <c r="B90" s="20">
        <f>Mesh!B87</f>
      </c>
      <c r="C90" s="20">
        <f>Mesh!C87</f>
      </c>
      <c r="D90" s="20">
        <f>Mesh!D87</f>
      </c>
      <c r="E90" s="37">
        <f>INDEX(St_e0,Det+1)+INDEX(St_kx,Det+1)*C90+INDEX(St_ky,Det+1)*B90</f>
      </c>
      <c r="F90" s="20">
        <f>IF(E90&gt;0,IF(E90&lt;=eco,alpha*fck*(1-(1-E90/eco)^n),alpha*fck),0)</f>
      </c>
      <c r="G90" s="19">
        <f>F90*D90</f>
      </c>
      <c r="H90" s="19">
        <f>G90*C90</f>
      </c>
      <c r="I90" s="19">
        <f>G90*B90</f>
      </c>
      <c r="K90" s="37">
        <f>Eq_e0+Eq_kx*$C90+Eq_ky*$B90</f>
      </c>
      <c r="L90" s="20">
        <f>IF(K90&gt;0,IF(K90&lt;=eco,alpha*fck*(1-(1-K90/eco)^n),alpha*fck),0)</f>
      </c>
    </row>
    <row r="91" spans="1:12" x14ac:dyDescent="0.25">
      <c r="A91">
        <f>Mesh!A88</f>
      </c>
      <c r="B91" s="20">
        <f>Mesh!B88</f>
      </c>
      <c r="C91" s="20">
        <f>Mesh!C88</f>
      </c>
      <c r="D91" s="20">
        <f>Mesh!D88</f>
      </c>
      <c r="E91" s="37">
        <f>INDEX(St_e0,Det+1)+INDEX(St_kx,Det+1)*C91+INDEX(St_ky,Det+1)*B91</f>
      </c>
      <c r="F91" s="20">
        <f>IF(E91&gt;0,IF(E91&lt;=eco,alpha*fck*(1-(1-E91/eco)^n),alpha*fck),0)</f>
      </c>
      <c r="G91" s="19">
        <f>F91*D91</f>
      </c>
      <c r="H91" s="19">
        <f>G91*C91</f>
      </c>
      <c r="I91" s="19">
        <f>G91*B91</f>
      </c>
      <c r="K91" s="37">
        <f>Eq_e0+Eq_kx*$C91+Eq_ky*$B91</f>
      </c>
      <c r="L91" s="20">
        <f>IF(K91&gt;0,IF(K91&lt;=eco,alpha*fck*(1-(1-K91/eco)^n),alpha*fck),0)</f>
      </c>
    </row>
    <row r="92" spans="1:12" x14ac:dyDescent="0.25">
      <c r="A92">
        <f>Mesh!A89</f>
      </c>
      <c r="B92" s="20">
        <f>Mesh!B89</f>
      </c>
      <c r="C92" s="20">
        <f>Mesh!C89</f>
      </c>
      <c r="D92" s="20">
        <f>Mesh!D89</f>
      </c>
      <c r="E92" s="37">
        <f>INDEX(St_e0,Det+1)+INDEX(St_kx,Det+1)*C92+INDEX(St_ky,Det+1)*B92</f>
      </c>
      <c r="F92" s="20">
        <f>IF(E92&gt;0,IF(E92&lt;=eco,alpha*fck*(1-(1-E92/eco)^n),alpha*fck),0)</f>
      </c>
      <c r="G92" s="19">
        <f>F92*D92</f>
      </c>
      <c r="H92" s="19">
        <f>G92*C92</f>
      </c>
      <c r="I92" s="19">
        <f>G92*B92</f>
      </c>
      <c r="K92" s="37">
        <f>Eq_e0+Eq_kx*$C92+Eq_ky*$B92</f>
      </c>
      <c r="L92" s="20">
        <f>IF(K92&gt;0,IF(K92&lt;=eco,alpha*fck*(1-(1-K92/eco)^n),alpha*fck),0)</f>
      </c>
    </row>
    <row r="93" spans="1:12" x14ac:dyDescent="0.25">
      <c r="A93">
        <f>Mesh!A90</f>
      </c>
      <c r="B93" s="20">
        <f>Mesh!B90</f>
      </c>
      <c r="C93" s="20">
        <f>Mesh!C90</f>
      </c>
      <c r="D93" s="20">
        <f>Mesh!D90</f>
      </c>
      <c r="E93" s="37">
        <f>INDEX(St_e0,Det+1)+INDEX(St_kx,Det+1)*C93+INDEX(St_ky,Det+1)*B93</f>
      </c>
      <c r="F93" s="20">
        <f>IF(E93&gt;0,IF(E93&lt;=eco,alpha*fck*(1-(1-E93/eco)^n),alpha*fck),0)</f>
      </c>
      <c r="G93" s="19">
        <f>F93*D93</f>
      </c>
      <c r="H93" s="19">
        <f>G93*C93</f>
      </c>
      <c r="I93" s="19">
        <f>G93*B93</f>
      </c>
      <c r="K93" s="37">
        <f>Eq_e0+Eq_kx*$C93+Eq_ky*$B93</f>
      </c>
      <c r="L93" s="20">
        <f>IF(K93&gt;0,IF(K93&lt;=eco,alpha*fck*(1-(1-K93/eco)^n),alpha*fck),0)</f>
      </c>
    </row>
    <row r="94" spans="1:12" x14ac:dyDescent="0.25">
      <c r="A94">
        <f>Mesh!A91</f>
      </c>
      <c r="B94" s="20">
        <f>Mesh!B91</f>
      </c>
      <c r="C94" s="20">
        <f>Mesh!C91</f>
      </c>
      <c r="D94" s="20">
        <f>Mesh!D91</f>
      </c>
      <c r="E94" s="37">
        <f>INDEX(St_e0,Det+1)+INDEX(St_kx,Det+1)*C94+INDEX(St_ky,Det+1)*B94</f>
      </c>
      <c r="F94" s="20">
        <f>IF(E94&gt;0,IF(E94&lt;=eco,alpha*fck*(1-(1-E94/eco)^n),alpha*fck),0)</f>
      </c>
      <c r="G94" s="19">
        <f>F94*D94</f>
      </c>
      <c r="H94" s="19">
        <f>G94*C94</f>
      </c>
      <c r="I94" s="19">
        <f>G94*B94</f>
      </c>
      <c r="K94" s="37">
        <f>Eq_e0+Eq_kx*$C94+Eq_ky*$B94</f>
      </c>
      <c r="L94" s="20">
        <f>IF(K94&gt;0,IF(K94&lt;=eco,alpha*fck*(1-(1-K94/eco)^n),alpha*fck),0)</f>
      </c>
    </row>
    <row r="95" spans="1:12" x14ac:dyDescent="0.25">
      <c r="A95">
        <f>Mesh!A92</f>
      </c>
      <c r="B95" s="20">
        <f>Mesh!B92</f>
      </c>
      <c r="C95" s="20">
        <f>Mesh!C92</f>
      </c>
      <c r="D95" s="20">
        <f>Mesh!D92</f>
      </c>
      <c r="E95" s="37">
        <f>INDEX(St_e0,Det+1)+INDEX(St_kx,Det+1)*C95+INDEX(St_ky,Det+1)*B95</f>
      </c>
      <c r="F95" s="20">
        <f>IF(E95&gt;0,IF(E95&lt;=eco,alpha*fck*(1-(1-E95/eco)^n),alpha*fck),0)</f>
      </c>
      <c r="G95" s="19">
        <f>F95*D95</f>
      </c>
      <c r="H95" s="19">
        <f>G95*C95</f>
      </c>
      <c r="I95" s="19">
        <f>G95*B95</f>
      </c>
      <c r="K95" s="37">
        <f>Eq_e0+Eq_kx*$C95+Eq_ky*$B95</f>
      </c>
      <c r="L95" s="20">
        <f>IF(K95&gt;0,IF(K95&lt;=eco,alpha*fck*(1-(1-K95/eco)^n),alpha*fck),0)</f>
      </c>
    </row>
    <row r="96" spans="1:12" x14ac:dyDescent="0.25">
      <c r="A96">
        <f>Mesh!A93</f>
      </c>
      <c r="B96" s="20">
        <f>Mesh!B93</f>
      </c>
      <c r="C96" s="20">
        <f>Mesh!C93</f>
      </c>
      <c r="D96" s="20">
        <f>Mesh!D93</f>
      </c>
      <c r="E96" s="37">
        <f>INDEX(St_e0,Det+1)+INDEX(St_kx,Det+1)*C96+INDEX(St_ky,Det+1)*B96</f>
      </c>
      <c r="F96" s="20">
        <f>IF(E96&gt;0,IF(E96&lt;=eco,alpha*fck*(1-(1-E96/eco)^n),alpha*fck),0)</f>
      </c>
      <c r="G96" s="19">
        <f>F96*D96</f>
      </c>
      <c r="H96" s="19">
        <f>G96*C96</f>
      </c>
      <c r="I96" s="19">
        <f>G96*B96</f>
      </c>
      <c r="K96" s="37">
        <f>Eq_e0+Eq_kx*$C96+Eq_ky*$B96</f>
      </c>
      <c r="L96" s="20">
        <f>IF(K96&gt;0,IF(K96&lt;=eco,alpha*fck*(1-(1-K96/eco)^n),alpha*fck),0)</f>
      </c>
    </row>
    <row r="97" spans="1:12" x14ac:dyDescent="0.25">
      <c r="A97">
        <f>Mesh!A94</f>
      </c>
      <c r="B97" s="20">
        <f>Mesh!B94</f>
      </c>
      <c r="C97" s="20">
        <f>Mesh!C94</f>
      </c>
      <c r="D97" s="20">
        <f>Mesh!D94</f>
      </c>
      <c r="E97" s="37">
        <f>INDEX(St_e0,Det+1)+INDEX(St_kx,Det+1)*C97+INDEX(St_ky,Det+1)*B97</f>
      </c>
      <c r="F97" s="20">
        <f>IF(E97&gt;0,IF(E97&lt;=eco,alpha*fck*(1-(1-E97/eco)^n),alpha*fck),0)</f>
      </c>
      <c r="G97" s="19">
        <f>F97*D97</f>
      </c>
      <c r="H97" s="19">
        <f>G97*C97</f>
      </c>
      <c r="I97" s="19">
        <f>G97*B97</f>
      </c>
      <c r="K97" s="37">
        <f>Eq_e0+Eq_kx*$C97+Eq_ky*$B97</f>
      </c>
      <c r="L97" s="20">
        <f>IF(K97&gt;0,IF(K97&lt;=eco,alpha*fck*(1-(1-K97/eco)^n),alpha*fck),0)</f>
      </c>
    </row>
    <row r="98" spans="1:12" x14ac:dyDescent="0.25">
      <c r="A98">
        <f>Mesh!A95</f>
      </c>
      <c r="B98" s="20">
        <f>Mesh!B95</f>
      </c>
      <c r="C98" s="20">
        <f>Mesh!C95</f>
      </c>
      <c r="D98" s="20">
        <f>Mesh!D95</f>
      </c>
      <c r="E98" s="37">
        <f>INDEX(St_e0,Det+1)+INDEX(St_kx,Det+1)*C98+INDEX(St_ky,Det+1)*B98</f>
      </c>
      <c r="F98" s="20">
        <f>IF(E98&gt;0,IF(E98&lt;=eco,alpha*fck*(1-(1-E98/eco)^n),alpha*fck),0)</f>
      </c>
      <c r="G98" s="19">
        <f>F98*D98</f>
      </c>
      <c r="H98" s="19">
        <f>G98*C98</f>
      </c>
      <c r="I98" s="19">
        <f>G98*B98</f>
      </c>
      <c r="K98" s="37">
        <f>Eq_e0+Eq_kx*$C98+Eq_ky*$B98</f>
      </c>
      <c r="L98" s="20">
        <f>IF(K98&gt;0,IF(K98&lt;=eco,alpha*fck*(1-(1-K98/eco)^n),alpha*fck),0)</f>
      </c>
    </row>
    <row r="99" spans="1:12" x14ac:dyDescent="0.25">
      <c r="A99">
        <f>Mesh!A96</f>
      </c>
      <c r="B99" s="20">
        <f>Mesh!B96</f>
      </c>
      <c r="C99" s="20">
        <f>Mesh!C96</f>
      </c>
      <c r="D99" s="20">
        <f>Mesh!D96</f>
      </c>
      <c r="E99" s="37">
        <f>INDEX(St_e0,Det+1)+INDEX(St_kx,Det+1)*C99+INDEX(St_ky,Det+1)*B99</f>
      </c>
      <c r="F99" s="20">
        <f>IF(E99&gt;0,IF(E99&lt;=eco,alpha*fck*(1-(1-E99/eco)^n),alpha*fck),0)</f>
      </c>
      <c r="G99" s="19">
        <f>F99*D99</f>
      </c>
      <c r="H99" s="19">
        <f>G99*C99</f>
      </c>
      <c r="I99" s="19">
        <f>G99*B99</f>
      </c>
      <c r="K99" s="37">
        <f>Eq_e0+Eq_kx*$C99+Eq_ky*$B99</f>
      </c>
      <c r="L99" s="20">
        <f>IF(K99&gt;0,IF(K99&lt;=eco,alpha*fck*(1-(1-K99/eco)^n),alpha*fck),0)</f>
      </c>
    </row>
    <row r="100" spans="1:12" x14ac:dyDescent="0.25">
      <c r="A100">
        <f>Mesh!A97</f>
      </c>
      <c r="B100" s="20">
        <f>Mesh!B97</f>
      </c>
      <c r="C100" s="20">
        <f>Mesh!C97</f>
      </c>
      <c r="D100" s="20">
        <f>Mesh!D97</f>
      </c>
      <c r="E100" s="37">
        <f>INDEX(St_e0,Det+1)+INDEX(St_kx,Det+1)*C100+INDEX(St_ky,Det+1)*B100</f>
      </c>
      <c r="F100" s="20">
        <f>IF(E100&gt;0,IF(E100&lt;=eco,alpha*fck*(1-(1-E100/eco)^n),alpha*fck),0)</f>
      </c>
      <c r="G100" s="19">
        <f>F100*D100</f>
      </c>
      <c r="H100" s="19">
        <f>G100*C100</f>
      </c>
      <c r="I100" s="19">
        <f>G100*B100</f>
      </c>
      <c r="K100" s="37">
        <f>Eq_e0+Eq_kx*$C100+Eq_ky*$B100</f>
      </c>
      <c r="L100" s="20">
        <f>IF(K100&gt;0,IF(K100&lt;=eco,alpha*fck*(1-(1-K100/eco)^n),alpha*fck),0)</f>
      </c>
    </row>
    <row r="101" spans="1:12" x14ac:dyDescent="0.25">
      <c r="A101">
        <f>Mesh!A98</f>
      </c>
      <c r="B101" s="20">
        <f>Mesh!B98</f>
      </c>
      <c r="C101" s="20">
        <f>Mesh!C98</f>
      </c>
      <c r="D101" s="20">
        <f>Mesh!D98</f>
      </c>
      <c r="E101" s="37">
        <f>INDEX(St_e0,Det+1)+INDEX(St_kx,Det+1)*C101+INDEX(St_ky,Det+1)*B101</f>
      </c>
      <c r="F101" s="20">
        <f>IF(E101&gt;0,IF(E101&lt;=eco,alpha*fck*(1-(1-E101/eco)^n),alpha*fck),0)</f>
      </c>
      <c r="G101" s="19">
        <f>F101*D101</f>
      </c>
      <c r="H101" s="19">
        <f>G101*C101</f>
      </c>
      <c r="I101" s="19">
        <f>G101*B101</f>
      </c>
      <c r="K101" s="37">
        <f>Eq_e0+Eq_kx*$C101+Eq_ky*$B101</f>
      </c>
      <c r="L101" s="20">
        <f>IF(K101&gt;0,IF(K101&lt;=eco,alpha*fck*(1-(1-K101/eco)^n),alpha*fck),0)</f>
      </c>
    </row>
    <row r="102" spans="1:12" x14ac:dyDescent="0.25">
      <c r="A102">
        <f>Mesh!A99</f>
      </c>
      <c r="B102" s="20">
        <f>Mesh!B99</f>
      </c>
      <c r="C102" s="20">
        <f>Mesh!C99</f>
      </c>
      <c r="D102" s="20">
        <f>Mesh!D99</f>
      </c>
      <c r="E102" s="37">
        <f>INDEX(St_e0,Det+1)+INDEX(St_kx,Det+1)*C102+INDEX(St_ky,Det+1)*B102</f>
      </c>
      <c r="F102" s="20">
        <f>IF(E102&gt;0,IF(E102&lt;=eco,alpha*fck*(1-(1-E102/eco)^n),alpha*fck),0)</f>
      </c>
      <c r="G102" s="19">
        <f>F102*D102</f>
      </c>
      <c r="H102" s="19">
        <f>G102*C102</f>
      </c>
      <c r="I102" s="19">
        <f>G102*B102</f>
      </c>
      <c r="K102" s="37">
        <f>Eq_e0+Eq_kx*$C102+Eq_ky*$B102</f>
      </c>
      <c r="L102" s="20">
        <f>IF(K102&gt;0,IF(K102&lt;=eco,alpha*fck*(1-(1-K102/eco)^n),alpha*fck),0)</f>
      </c>
    </row>
    <row r="103" spans="1:12" x14ac:dyDescent="0.25">
      <c r="A103">
        <f>Mesh!A100</f>
      </c>
      <c r="B103" s="20">
        <f>Mesh!B100</f>
      </c>
      <c r="C103" s="20">
        <f>Mesh!C100</f>
      </c>
      <c r="D103" s="20">
        <f>Mesh!D100</f>
      </c>
      <c r="E103" s="37">
        <f>INDEX(St_e0,Det+1)+INDEX(St_kx,Det+1)*C103+INDEX(St_ky,Det+1)*B103</f>
      </c>
      <c r="F103" s="20">
        <f>IF(E103&gt;0,IF(E103&lt;=eco,alpha*fck*(1-(1-E103/eco)^n),alpha*fck),0)</f>
      </c>
      <c r="G103" s="19">
        <f>F103*D103</f>
      </c>
      <c r="H103" s="19">
        <f>G103*C103</f>
      </c>
      <c r="I103" s="19">
        <f>G103*B103</f>
      </c>
      <c r="K103" s="37">
        <f>Eq_e0+Eq_kx*$C103+Eq_ky*$B103</f>
      </c>
      <c r="L103" s="20">
        <f>IF(K103&gt;0,IF(K103&lt;=eco,alpha*fck*(1-(1-K103/eco)^n),alpha*fck),0)</f>
      </c>
    </row>
    <row r="104" spans="1:12" x14ac:dyDescent="0.25">
      <c r="A104">
        <f>Mesh!A101</f>
      </c>
      <c r="B104" s="20">
        <f>Mesh!B101</f>
      </c>
      <c r="C104" s="20">
        <f>Mesh!C101</f>
      </c>
      <c r="D104" s="20">
        <f>Mesh!D101</f>
      </c>
      <c r="E104" s="37">
        <f>INDEX(St_e0,Det+1)+INDEX(St_kx,Det+1)*C104+INDEX(St_ky,Det+1)*B104</f>
      </c>
      <c r="F104" s="20">
        <f>IF(E104&gt;0,IF(E104&lt;=eco,alpha*fck*(1-(1-E104/eco)^n),alpha*fck),0)</f>
      </c>
      <c r="G104" s="19">
        <f>F104*D104</f>
      </c>
      <c r="H104" s="19">
        <f>G104*C104</f>
      </c>
      <c r="I104" s="19">
        <f>G104*B104</f>
      </c>
      <c r="K104" s="37">
        <f>Eq_e0+Eq_kx*$C104+Eq_ky*$B104</f>
      </c>
      <c r="L104" s="20">
        <f>IF(K104&gt;0,IF(K104&lt;=eco,alpha*fck*(1-(1-K104/eco)^n),alpha*fck),0)</f>
      </c>
    </row>
    <row r="105" spans="1:12" x14ac:dyDescent="0.25">
      <c r="A105">
        <f>Mesh!A102</f>
      </c>
      <c r="B105" s="20">
        <f>Mesh!B102</f>
      </c>
      <c r="C105" s="20">
        <f>Mesh!C102</f>
      </c>
      <c r="D105" s="20">
        <f>Mesh!D102</f>
      </c>
      <c r="E105" s="37">
        <f>INDEX(St_e0,Det+1)+INDEX(St_kx,Det+1)*C105+INDEX(St_ky,Det+1)*B105</f>
      </c>
      <c r="F105" s="20">
        <f>IF(E105&gt;0,IF(E105&lt;=eco,alpha*fck*(1-(1-E105/eco)^n),alpha*fck),0)</f>
      </c>
      <c r="G105" s="19">
        <f>F105*D105</f>
      </c>
      <c r="H105" s="19">
        <f>G105*C105</f>
      </c>
      <c r="I105" s="19">
        <f>G105*B105</f>
      </c>
      <c r="K105" s="37">
        <f>Eq_e0+Eq_kx*$C105+Eq_ky*$B105</f>
      </c>
      <c r="L105" s="20">
        <f>IF(K105&gt;0,IF(K105&lt;=eco,alpha*fck*(1-(1-K105/eco)^n),alpha*fck),0)</f>
      </c>
    </row>
    <row r="106" spans="1:12" x14ac:dyDescent="0.25">
      <c r="A106">
        <f>Mesh!A103</f>
      </c>
      <c r="B106" s="20">
        <f>Mesh!B103</f>
      </c>
      <c r="C106" s="20">
        <f>Mesh!C103</f>
      </c>
      <c r="D106" s="20">
        <f>Mesh!D103</f>
      </c>
      <c r="E106" s="37">
        <f>INDEX(St_e0,Det+1)+INDEX(St_kx,Det+1)*C106+INDEX(St_ky,Det+1)*B106</f>
      </c>
      <c r="F106" s="20">
        <f>IF(E106&gt;0,IF(E106&lt;=eco,alpha*fck*(1-(1-E106/eco)^n),alpha*fck),0)</f>
      </c>
      <c r="G106" s="19">
        <f>F106*D106</f>
      </c>
      <c r="H106" s="19">
        <f>G106*C106</f>
      </c>
      <c r="I106" s="19">
        <f>G106*B106</f>
      </c>
      <c r="K106" s="37">
        <f>Eq_e0+Eq_kx*$C106+Eq_ky*$B106</f>
      </c>
      <c r="L106" s="20">
        <f>IF(K106&gt;0,IF(K106&lt;=eco,alpha*fck*(1-(1-K106/eco)^n),alpha*fck),0)</f>
      </c>
    </row>
    <row r="107" spans="1:12" x14ac:dyDescent="0.25">
      <c r="A107">
        <f>Mesh!A104</f>
      </c>
      <c r="B107" s="20">
        <f>Mesh!B104</f>
      </c>
      <c r="C107" s="20">
        <f>Mesh!C104</f>
      </c>
      <c r="D107" s="20">
        <f>Mesh!D104</f>
      </c>
      <c r="E107" s="37">
        <f>INDEX(St_e0,Det+1)+INDEX(St_kx,Det+1)*C107+INDEX(St_ky,Det+1)*B107</f>
      </c>
      <c r="F107" s="20">
        <f>IF(E107&gt;0,IF(E107&lt;=eco,alpha*fck*(1-(1-E107/eco)^n),alpha*fck),0)</f>
      </c>
      <c r="G107" s="19">
        <f>F107*D107</f>
      </c>
      <c r="H107" s="19">
        <f>G107*C107</f>
      </c>
      <c r="I107" s="19">
        <f>G107*B107</f>
      </c>
      <c r="K107" s="37">
        <f>Eq_e0+Eq_kx*$C107+Eq_ky*$B107</f>
      </c>
      <c r="L107" s="20">
        <f>IF(K107&gt;0,IF(K107&lt;=eco,alpha*fck*(1-(1-K107/eco)^n),alpha*fck),0)</f>
      </c>
    </row>
    <row r="108" spans="1:12" x14ac:dyDescent="0.25">
      <c r="A108">
        <f>Mesh!A105</f>
      </c>
      <c r="B108" s="20">
        <f>Mesh!B105</f>
      </c>
      <c r="C108" s="20">
        <f>Mesh!C105</f>
      </c>
      <c r="D108" s="20">
        <f>Mesh!D105</f>
      </c>
      <c r="E108" s="37">
        <f>INDEX(St_e0,Det+1)+INDEX(St_kx,Det+1)*C108+INDEX(St_ky,Det+1)*B108</f>
      </c>
      <c r="F108" s="20">
        <f>IF(E108&gt;0,IF(E108&lt;=eco,alpha*fck*(1-(1-E108/eco)^n),alpha*fck),0)</f>
      </c>
      <c r="G108" s="19">
        <f>F108*D108</f>
      </c>
      <c r="H108" s="19">
        <f>G108*C108</f>
      </c>
      <c r="I108" s="19">
        <f>G108*B108</f>
      </c>
      <c r="K108" s="37">
        <f>Eq_e0+Eq_kx*$C108+Eq_ky*$B108</f>
      </c>
      <c r="L108" s="20">
        <f>IF(K108&gt;0,IF(K108&lt;=eco,alpha*fck*(1-(1-K108/eco)^n),alpha*fck),0)</f>
      </c>
    </row>
    <row r="109" spans="1:12" x14ac:dyDescent="0.25">
      <c r="A109">
        <f>Mesh!A106</f>
      </c>
      <c r="B109" s="20">
        <f>Mesh!B106</f>
      </c>
      <c r="C109" s="20">
        <f>Mesh!C106</f>
      </c>
      <c r="D109" s="20">
        <f>Mesh!D106</f>
      </c>
      <c r="E109" s="37">
        <f>INDEX(St_e0,Det+1)+INDEX(St_kx,Det+1)*C109+INDEX(St_ky,Det+1)*B109</f>
      </c>
      <c r="F109" s="20">
        <f>IF(E109&gt;0,IF(E109&lt;=eco,alpha*fck*(1-(1-E109/eco)^n),alpha*fck),0)</f>
      </c>
      <c r="G109" s="19">
        <f>F109*D109</f>
      </c>
      <c r="H109" s="19">
        <f>G109*C109</f>
      </c>
      <c r="I109" s="19">
        <f>G109*B109</f>
      </c>
      <c r="K109" s="37">
        <f>Eq_e0+Eq_kx*$C109+Eq_ky*$B109</f>
      </c>
      <c r="L109" s="20">
        <f>IF(K109&gt;0,IF(K109&lt;=eco,alpha*fck*(1-(1-K109/eco)^n),alpha*fck),0)</f>
      </c>
    </row>
    <row r="110" spans="1:12" x14ac:dyDescent="0.25">
      <c r="A110">
        <f>Mesh!A107</f>
      </c>
      <c r="B110" s="20">
        <f>Mesh!B107</f>
      </c>
      <c r="C110" s="20">
        <f>Mesh!C107</f>
      </c>
      <c r="D110" s="20">
        <f>Mesh!D107</f>
      </c>
      <c r="E110" s="37">
        <f>INDEX(St_e0,Det+1)+INDEX(St_kx,Det+1)*C110+INDEX(St_ky,Det+1)*B110</f>
      </c>
      <c r="F110" s="20">
        <f>IF(E110&gt;0,IF(E110&lt;=eco,alpha*fck*(1-(1-E110/eco)^n),alpha*fck),0)</f>
      </c>
      <c r="G110" s="19">
        <f>F110*D110</f>
      </c>
      <c r="H110" s="19">
        <f>G110*C110</f>
      </c>
      <c r="I110" s="19">
        <f>G110*B110</f>
      </c>
      <c r="K110" s="37">
        <f>Eq_e0+Eq_kx*$C110+Eq_ky*$B110</f>
      </c>
      <c r="L110" s="20">
        <f>IF(K110&gt;0,IF(K110&lt;=eco,alpha*fck*(1-(1-K110/eco)^n),alpha*fck),0)</f>
      </c>
    </row>
    <row r="111" spans="1:12" x14ac:dyDescent="0.25">
      <c r="A111">
        <f>Mesh!A108</f>
      </c>
      <c r="B111" s="20">
        <f>Mesh!B108</f>
      </c>
      <c r="C111" s="20">
        <f>Mesh!C108</f>
      </c>
      <c r="D111" s="20">
        <f>Mesh!D108</f>
      </c>
      <c r="E111" s="37">
        <f>INDEX(St_e0,Det+1)+INDEX(St_kx,Det+1)*C111+INDEX(St_ky,Det+1)*B111</f>
      </c>
      <c r="F111" s="20">
        <f>IF(E111&gt;0,IF(E111&lt;=eco,alpha*fck*(1-(1-E111/eco)^n),alpha*fck),0)</f>
      </c>
      <c r="G111" s="19">
        <f>F111*D111</f>
      </c>
      <c r="H111" s="19">
        <f>G111*C111</f>
      </c>
      <c r="I111" s="19">
        <f>G111*B111</f>
      </c>
      <c r="K111" s="37">
        <f>Eq_e0+Eq_kx*$C111+Eq_ky*$B111</f>
      </c>
      <c r="L111" s="20">
        <f>IF(K111&gt;0,IF(K111&lt;=eco,alpha*fck*(1-(1-K111/eco)^n),alpha*fck),0)</f>
      </c>
    </row>
    <row r="112" spans="1:12" x14ac:dyDescent="0.25">
      <c r="A112">
        <f>Mesh!A109</f>
      </c>
      <c r="B112" s="20">
        <f>Mesh!B109</f>
      </c>
      <c r="C112" s="20">
        <f>Mesh!C109</f>
      </c>
      <c r="D112" s="20">
        <f>Mesh!D109</f>
      </c>
      <c r="E112" s="37">
        <f>INDEX(St_e0,Det+1)+INDEX(St_kx,Det+1)*C112+INDEX(St_ky,Det+1)*B112</f>
      </c>
      <c r="F112" s="20">
        <f>IF(E112&gt;0,IF(E112&lt;=eco,alpha*fck*(1-(1-E112/eco)^n),alpha*fck),0)</f>
      </c>
      <c r="G112" s="19">
        <f>F112*D112</f>
      </c>
      <c r="H112" s="19">
        <f>G112*C112</f>
      </c>
      <c r="I112" s="19">
        <f>G112*B112</f>
      </c>
      <c r="K112" s="37">
        <f>Eq_e0+Eq_kx*$C112+Eq_ky*$B112</f>
      </c>
      <c r="L112" s="20">
        <f>IF(K112&gt;0,IF(K112&lt;=eco,alpha*fck*(1-(1-K112/eco)^n),alpha*fck),0)</f>
      </c>
    </row>
    <row r="113" spans="1:12" x14ac:dyDescent="0.25">
      <c r="A113">
        <f>Mesh!A110</f>
      </c>
      <c r="B113" s="20">
        <f>Mesh!B110</f>
      </c>
      <c r="C113" s="20">
        <f>Mesh!C110</f>
      </c>
      <c r="D113" s="20">
        <f>Mesh!D110</f>
      </c>
      <c r="E113" s="37">
        <f>INDEX(St_e0,Det+1)+INDEX(St_kx,Det+1)*C113+INDEX(St_ky,Det+1)*B113</f>
      </c>
      <c r="F113" s="20">
        <f>IF(E113&gt;0,IF(E113&lt;=eco,alpha*fck*(1-(1-E113/eco)^n),alpha*fck),0)</f>
      </c>
      <c r="G113" s="19">
        <f>F113*D113</f>
      </c>
      <c r="H113" s="19">
        <f>G113*C113</f>
      </c>
      <c r="I113" s="19">
        <f>G113*B113</f>
      </c>
      <c r="K113" s="37">
        <f>Eq_e0+Eq_kx*$C113+Eq_ky*$B113</f>
      </c>
      <c r="L113" s="20">
        <f>IF(K113&gt;0,IF(K113&lt;=eco,alpha*fck*(1-(1-K113/eco)^n),alpha*fck),0)</f>
      </c>
    </row>
    <row r="114" spans="1:12" x14ac:dyDescent="0.25">
      <c r="A114">
        <f>Mesh!A111</f>
      </c>
      <c r="B114" s="20">
        <f>Mesh!B111</f>
      </c>
      <c r="C114" s="20">
        <f>Mesh!C111</f>
      </c>
      <c r="D114" s="20">
        <f>Mesh!D111</f>
      </c>
      <c r="E114" s="37">
        <f>INDEX(St_e0,Det+1)+INDEX(St_kx,Det+1)*C114+INDEX(St_ky,Det+1)*B114</f>
      </c>
      <c r="F114" s="20">
        <f>IF(E114&gt;0,IF(E114&lt;=eco,alpha*fck*(1-(1-E114/eco)^n),alpha*fck),0)</f>
      </c>
      <c r="G114" s="19">
        <f>F114*D114</f>
      </c>
      <c r="H114" s="19">
        <f>G114*C114</f>
      </c>
      <c r="I114" s="19">
        <f>G114*B114</f>
      </c>
      <c r="K114" s="37">
        <f>Eq_e0+Eq_kx*$C114+Eq_ky*$B114</f>
      </c>
      <c r="L114" s="20">
        <f>IF(K114&gt;0,IF(K114&lt;=eco,alpha*fck*(1-(1-K114/eco)^n),alpha*fck),0)</f>
      </c>
    </row>
    <row r="115" spans="1:12" x14ac:dyDescent="0.25">
      <c r="A115">
        <f>Mesh!A112</f>
      </c>
      <c r="B115" s="20">
        <f>Mesh!B112</f>
      </c>
      <c r="C115" s="20">
        <f>Mesh!C112</f>
      </c>
      <c r="D115" s="20">
        <f>Mesh!D112</f>
      </c>
      <c r="E115" s="37">
        <f>INDEX(St_e0,Det+1)+INDEX(St_kx,Det+1)*C115+INDEX(St_ky,Det+1)*B115</f>
      </c>
      <c r="F115" s="20">
        <f>IF(E115&gt;0,IF(E115&lt;=eco,alpha*fck*(1-(1-E115/eco)^n),alpha*fck),0)</f>
      </c>
      <c r="G115" s="19">
        <f>F115*D115</f>
      </c>
      <c r="H115" s="19">
        <f>G115*C115</f>
      </c>
      <c r="I115" s="19">
        <f>G115*B115</f>
      </c>
      <c r="K115" s="37">
        <f>Eq_e0+Eq_kx*$C115+Eq_ky*$B115</f>
      </c>
      <c r="L115" s="20">
        <f>IF(K115&gt;0,IF(K115&lt;=eco,alpha*fck*(1-(1-K115/eco)^n),alpha*fck),0)</f>
      </c>
    </row>
    <row r="116" spans="1:12" x14ac:dyDescent="0.25">
      <c r="A116">
        <f>Mesh!A113</f>
      </c>
      <c r="B116" s="20">
        <f>Mesh!B113</f>
      </c>
      <c r="C116" s="20">
        <f>Mesh!C113</f>
      </c>
      <c r="D116" s="20">
        <f>Mesh!D113</f>
      </c>
      <c r="E116" s="37">
        <f>INDEX(St_e0,Det+1)+INDEX(St_kx,Det+1)*C116+INDEX(St_ky,Det+1)*B116</f>
      </c>
      <c r="F116" s="20">
        <f>IF(E116&gt;0,IF(E116&lt;=eco,alpha*fck*(1-(1-E116/eco)^n),alpha*fck),0)</f>
      </c>
      <c r="G116" s="19">
        <f>F116*D116</f>
      </c>
      <c r="H116" s="19">
        <f>G116*C116</f>
      </c>
      <c r="I116" s="19">
        <f>G116*B116</f>
      </c>
      <c r="K116" s="37">
        <f>Eq_e0+Eq_kx*$C116+Eq_ky*$B116</f>
      </c>
      <c r="L116" s="20">
        <f>IF(K116&gt;0,IF(K116&lt;=eco,alpha*fck*(1-(1-K116/eco)^n),alpha*fck),0)</f>
      </c>
    </row>
    <row r="117" spans="1:12" x14ac:dyDescent="0.25">
      <c r="A117">
        <f>Mesh!A114</f>
      </c>
      <c r="B117" s="20">
        <f>Mesh!B114</f>
      </c>
      <c r="C117" s="20">
        <f>Mesh!C114</f>
      </c>
      <c r="D117" s="20">
        <f>Mesh!D114</f>
      </c>
      <c r="E117" s="37">
        <f>INDEX(St_e0,Det+1)+INDEX(St_kx,Det+1)*C117+INDEX(St_ky,Det+1)*B117</f>
      </c>
      <c r="F117" s="20">
        <f>IF(E117&gt;0,IF(E117&lt;=eco,alpha*fck*(1-(1-E117/eco)^n),alpha*fck),0)</f>
      </c>
      <c r="G117" s="19">
        <f>F117*D117</f>
      </c>
      <c r="H117" s="19">
        <f>G117*C117</f>
      </c>
      <c r="I117" s="19">
        <f>G117*B117</f>
      </c>
      <c r="K117" s="37">
        <f>Eq_e0+Eq_kx*$C117+Eq_ky*$B117</f>
      </c>
      <c r="L117" s="20">
        <f>IF(K117&gt;0,IF(K117&lt;=eco,alpha*fck*(1-(1-K117/eco)^n),alpha*fck),0)</f>
      </c>
    </row>
    <row r="118" spans="1:12" x14ac:dyDescent="0.25">
      <c r="A118">
        <f>Mesh!A115</f>
      </c>
      <c r="B118" s="20">
        <f>Mesh!B115</f>
      </c>
      <c r="C118" s="20">
        <f>Mesh!C115</f>
      </c>
      <c r="D118" s="20">
        <f>Mesh!D115</f>
      </c>
      <c r="E118" s="37">
        <f>INDEX(St_e0,Det+1)+INDEX(St_kx,Det+1)*C118+INDEX(St_ky,Det+1)*B118</f>
      </c>
      <c r="F118" s="20">
        <f>IF(E118&gt;0,IF(E118&lt;=eco,alpha*fck*(1-(1-E118/eco)^n),alpha*fck),0)</f>
      </c>
      <c r="G118" s="19">
        <f>F118*D118</f>
      </c>
      <c r="H118" s="19">
        <f>G118*C118</f>
      </c>
      <c r="I118" s="19">
        <f>G118*B118</f>
      </c>
      <c r="K118" s="37">
        <f>Eq_e0+Eq_kx*$C118+Eq_ky*$B118</f>
      </c>
      <c r="L118" s="20">
        <f>IF(K118&gt;0,IF(K118&lt;=eco,alpha*fck*(1-(1-K118/eco)^n),alpha*fck),0)</f>
      </c>
    </row>
    <row r="119" spans="1:12" x14ac:dyDescent="0.25">
      <c r="A119">
        <f>Mesh!A116</f>
      </c>
      <c r="B119" s="20">
        <f>Mesh!B116</f>
      </c>
      <c r="C119" s="20">
        <f>Mesh!C116</f>
      </c>
      <c r="D119" s="20">
        <f>Mesh!D116</f>
      </c>
      <c r="E119" s="37">
        <f>INDEX(St_e0,Det+1)+INDEX(St_kx,Det+1)*C119+INDEX(St_ky,Det+1)*B119</f>
      </c>
      <c r="F119" s="20">
        <f>IF(E119&gt;0,IF(E119&lt;=eco,alpha*fck*(1-(1-E119/eco)^n),alpha*fck),0)</f>
      </c>
      <c r="G119" s="19">
        <f>F119*D119</f>
      </c>
      <c r="H119" s="19">
        <f>G119*C119</f>
      </c>
      <c r="I119" s="19">
        <f>G119*B119</f>
      </c>
      <c r="K119" s="37">
        <f>Eq_e0+Eq_kx*$C119+Eq_ky*$B119</f>
      </c>
      <c r="L119" s="20">
        <f>IF(K119&gt;0,IF(K119&lt;=eco,alpha*fck*(1-(1-K119/eco)^n),alpha*fck),0)</f>
      </c>
    </row>
    <row r="120" spans="1:12" x14ac:dyDescent="0.25">
      <c r="A120">
        <f>Mesh!A117</f>
      </c>
      <c r="B120" s="20">
        <f>Mesh!B117</f>
      </c>
      <c r="C120" s="20">
        <f>Mesh!C117</f>
      </c>
      <c r="D120" s="20">
        <f>Mesh!D117</f>
      </c>
      <c r="E120" s="37">
        <f>INDEX(St_e0,Det+1)+INDEX(St_kx,Det+1)*C120+INDEX(St_ky,Det+1)*B120</f>
      </c>
      <c r="F120" s="20">
        <f>IF(E120&gt;0,IF(E120&lt;=eco,alpha*fck*(1-(1-E120/eco)^n),alpha*fck),0)</f>
      </c>
      <c r="G120" s="19">
        <f>F120*D120</f>
      </c>
      <c r="H120" s="19">
        <f>G120*C120</f>
      </c>
      <c r="I120" s="19">
        <f>G120*B120</f>
      </c>
      <c r="K120" s="37">
        <f>Eq_e0+Eq_kx*$C120+Eq_ky*$B120</f>
      </c>
      <c r="L120" s="20">
        <f>IF(K120&gt;0,IF(K120&lt;=eco,alpha*fck*(1-(1-K120/eco)^n),alpha*fck),0)</f>
      </c>
    </row>
    <row r="121" spans="1:12" x14ac:dyDescent="0.25">
      <c r="A121">
        <f>Mesh!A118</f>
      </c>
      <c r="B121" s="20">
        <f>Mesh!B118</f>
      </c>
      <c r="C121" s="20">
        <f>Mesh!C118</f>
      </c>
      <c r="D121" s="20">
        <f>Mesh!D118</f>
      </c>
      <c r="E121" s="37">
        <f>INDEX(St_e0,Det+1)+INDEX(St_kx,Det+1)*C121+INDEX(St_ky,Det+1)*B121</f>
      </c>
      <c r="F121" s="20">
        <f>IF(E121&gt;0,IF(E121&lt;=eco,alpha*fck*(1-(1-E121/eco)^n),alpha*fck),0)</f>
      </c>
      <c r="G121" s="19">
        <f>F121*D121</f>
      </c>
      <c r="H121" s="19">
        <f>G121*C121</f>
      </c>
      <c r="I121" s="19">
        <f>G121*B121</f>
      </c>
      <c r="K121" s="37">
        <f>Eq_e0+Eq_kx*$C121+Eq_ky*$B121</f>
      </c>
      <c r="L121" s="20">
        <f>IF(K121&gt;0,IF(K121&lt;=eco,alpha*fck*(1-(1-K121/eco)^n),alpha*fck),0)</f>
      </c>
    </row>
    <row r="122" spans="1:12" x14ac:dyDescent="0.25">
      <c r="A122">
        <f>Mesh!A119</f>
      </c>
      <c r="B122" s="20">
        <f>Mesh!B119</f>
      </c>
      <c r="C122" s="20">
        <f>Mesh!C119</f>
      </c>
      <c r="D122" s="20">
        <f>Mesh!D119</f>
      </c>
      <c r="E122" s="37">
        <f>INDEX(St_e0,Det+1)+INDEX(St_kx,Det+1)*C122+INDEX(St_ky,Det+1)*B122</f>
      </c>
      <c r="F122" s="20">
        <f>IF(E122&gt;0,IF(E122&lt;=eco,alpha*fck*(1-(1-E122/eco)^n),alpha*fck),0)</f>
      </c>
      <c r="G122" s="19">
        <f>F122*D122</f>
      </c>
      <c r="H122" s="19">
        <f>G122*C122</f>
      </c>
      <c r="I122" s="19">
        <f>G122*B122</f>
      </c>
      <c r="K122" s="37">
        <f>Eq_e0+Eq_kx*$C122+Eq_ky*$B122</f>
      </c>
      <c r="L122" s="20">
        <f>IF(K122&gt;0,IF(K122&lt;=eco,alpha*fck*(1-(1-K122/eco)^n),alpha*fck),0)</f>
      </c>
    </row>
    <row r="123" spans="1:12" x14ac:dyDescent="0.25">
      <c r="A123">
        <f>Mesh!A120</f>
      </c>
      <c r="B123" s="20">
        <f>Mesh!B120</f>
      </c>
      <c r="C123" s="20">
        <f>Mesh!C120</f>
      </c>
      <c r="D123" s="20">
        <f>Mesh!D120</f>
      </c>
      <c r="E123" s="37">
        <f>INDEX(St_e0,Det+1)+INDEX(St_kx,Det+1)*C123+INDEX(St_ky,Det+1)*B123</f>
      </c>
      <c r="F123" s="20">
        <f>IF(E123&gt;0,IF(E123&lt;=eco,alpha*fck*(1-(1-E123/eco)^n),alpha*fck),0)</f>
      </c>
      <c r="G123" s="19">
        <f>F123*D123</f>
      </c>
      <c r="H123" s="19">
        <f>G123*C123</f>
      </c>
      <c r="I123" s="19">
        <f>G123*B123</f>
      </c>
      <c r="K123" s="37">
        <f>Eq_e0+Eq_kx*$C123+Eq_ky*$B123</f>
      </c>
      <c r="L123" s="20">
        <f>IF(K123&gt;0,IF(K123&lt;=eco,alpha*fck*(1-(1-K123/eco)^n),alpha*fck),0)</f>
      </c>
    </row>
    <row r="124" spans="1:12" x14ac:dyDescent="0.25">
      <c r="A124">
        <f>Mesh!A121</f>
      </c>
      <c r="B124" s="20">
        <f>Mesh!B121</f>
      </c>
      <c r="C124" s="20">
        <f>Mesh!C121</f>
      </c>
      <c r="D124" s="20">
        <f>Mesh!D121</f>
      </c>
      <c r="E124" s="37">
        <f>INDEX(St_e0,Det+1)+INDEX(St_kx,Det+1)*C124+INDEX(St_ky,Det+1)*B124</f>
      </c>
      <c r="F124" s="20">
        <f>IF(E124&gt;0,IF(E124&lt;=eco,alpha*fck*(1-(1-E124/eco)^n),alpha*fck),0)</f>
      </c>
      <c r="G124" s="19">
        <f>F124*D124</f>
      </c>
      <c r="H124" s="19">
        <f>G124*C124</f>
      </c>
      <c r="I124" s="19">
        <f>G124*B124</f>
      </c>
      <c r="K124" s="37">
        <f>Eq_e0+Eq_kx*$C124+Eq_ky*$B124</f>
      </c>
      <c r="L124" s="20">
        <f>IF(K124&gt;0,IF(K124&lt;=eco,alpha*fck*(1-(1-K124/eco)^n),alpha*fck),0)</f>
      </c>
    </row>
    <row r="125" spans="1:12" x14ac:dyDescent="0.25">
      <c r="A125">
        <f>Mesh!A122</f>
      </c>
      <c r="B125" s="20">
        <f>Mesh!B122</f>
      </c>
      <c r="C125" s="20">
        <f>Mesh!C122</f>
      </c>
      <c r="D125" s="20">
        <f>Mesh!D122</f>
      </c>
      <c r="E125" s="37">
        <f>INDEX(St_e0,Det+1)+INDEX(St_kx,Det+1)*C125+INDEX(St_ky,Det+1)*B125</f>
      </c>
      <c r="F125" s="20">
        <f>IF(E125&gt;0,IF(E125&lt;=eco,alpha*fck*(1-(1-E125/eco)^n),alpha*fck),0)</f>
      </c>
      <c r="G125" s="19">
        <f>F125*D125</f>
      </c>
      <c r="H125" s="19">
        <f>G125*C125</f>
      </c>
      <c r="I125" s="19">
        <f>G125*B125</f>
      </c>
      <c r="K125" s="37">
        <f>Eq_e0+Eq_kx*$C125+Eq_ky*$B125</f>
      </c>
      <c r="L125" s="20">
        <f>IF(K125&gt;0,IF(K125&lt;=eco,alpha*fck*(1-(1-K125/eco)^n),alpha*fck),0)</f>
      </c>
    </row>
    <row r="126" spans="1:12" x14ac:dyDescent="0.25">
      <c r="A126">
        <f>Mesh!A123</f>
      </c>
      <c r="B126" s="20">
        <f>Mesh!B123</f>
      </c>
      <c r="C126" s="20">
        <f>Mesh!C123</f>
      </c>
      <c r="D126" s="20">
        <f>Mesh!D123</f>
      </c>
      <c r="E126" s="37">
        <f>INDEX(St_e0,Det+1)+INDEX(St_kx,Det+1)*C126+INDEX(St_ky,Det+1)*B126</f>
      </c>
      <c r="F126" s="20">
        <f>IF(E126&gt;0,IF(E126&lt;=eco,alpha*fck*(1-(1-E126/eco)^n),alpha*fck),0)</f>
      </c>
      <c r="G126" s="19">
        <f>F126*D126</f>
      </c>
      <c r="H126" s="19">
        <f>G126*C126</f>
      </c>
      <c r="I126" s="19">
        <f>G126*B126</f>
      </c>
      <c r="K126" s="37">
        <f>Eq_e0+Eq_kx*$C126+Eq_ky*$B126</f>
      </c>
      <c r="L126" s="20">
        <f>IF(K126&gt;0,IF(K126&lt;=eco,alpha*fck*(1-(1-K126/eco)^n),alpha*fck),0)</f>
      </c>
    </row>
    <row r="127" spans="1:12" x14ac:dyDescent="0.25">
      <c r="A127">
        <f>Mesh!A124</f>
      </c>
      <c r="B127" s="20">
        <f>Mesh!B124</f>
      </c>
      <c r="C127" s="20">
        <f>Mesh!C124</f>
      </c>
      <c r="D127" s="20">
        <f>Mesh!D124</f>
      </c>
      <c r="E127" s="37">
        <f>INDEX(St_e0,Det+1)+INDEX(St_kx,Det+1)*C127+INDEX(St_ky,Det+1)*B127</f>
      </c>
      <c r="F127" s="20">
        <f>IF(E127&gt;0,IF(E127&lt;=eco,alpha*fck*(1-(1-E127/eco)^n),alpha*fck),0)</f>
      </c>
      <c r="G127" s="19">
        <f>F127*D127</f>
      </c>
      <c r="H127" s="19">
        <f>G127*C127</f>
      </c>
      <c r="I127" s="19">
        <f>G127*B127</f>
      </c>
      <c r="K127" s="37">
        <f>Eq_e0+Eq_kx*$C127+Eq_ky*$B127</f>
      </c>
      <c r="L127" s="20">
        <f>IF(K127&gt;0,IF(K127&lt;=eco,alpha*fck*(1-(1-K127/eco)^n),alpha*fck),0)</f>
      </c>
    </row>
    <row r="128" spans="1:12" x14ac:dyDescent="0.25">
      <c r="A128">
        <f>Mesh!A125</f>
      </c>
      <c r="B128" s="20">
        <f>Mesh!B125</f>
      </c>
      <c r="C128" s="20">
        <f>Mesh!C125</f>
      </c>
      <c r="D128" s="20">
        <f>Mesh!D125</f>
      </c>
      <c r="E128" s="37">
        <f>INDEX(St_e0,Det+1)+INDEX(St_kx,Det+1)*C128+INDEX(St_ky,Det+1)*B128</f>
      </c>
      <c r="F128" s="20">
        <f>IF(E128&gt;0,IF(E128&lt;=eco,alpha*fck*(1-(1-E128/eco)^n),alpha*fck),0)</f>
      </c>
      <c r="G128" s="19">
        <f>F128*D128</f>
      </c>
      <c r="H128" s="19">
        <f>G128*C128</f>
      </c>
      <c r="I128" s="19">
        <f>G128*B128</f>
      </c>
      <c r="K128" s="37">
        <f>Eq_e0+Eq_kx*$C128+Eq_ky*$B128</f>
      </c>
      <c r="L128" s="20">
        <f>IF(K128&gt;0,IF(K128&lt;=eco,alpha*fck*(1-(1-K128/eco)^n),alpha*fck),0)</f>
      </c>
    </row>
    <row r="129" spans="1:12" x14ac:dyDescent="0.25">
      <c r="A129">
        <f>Mesh!A126</f>
      </c>
      <c r="B129" s="20">
        <f>Mesh!B126</f>
      </c>
      <c r="C129" s="20">
        <f>Mesh!C126</f>
      </c>
      <c r="D129" s="20">
        <f>Mesh!D126</f>
      </c>
      <c r="E129" s="37">
        <f>INDEX(St_e0,Det+1)+INDEX(St_kx,Det+1)*C129+INDEX(St_ky,Det+1)*B129</f>
      </c>
      <c r="F129" s="20">
        <f>IF(E129&gt;0,IF(E129&lt;=eco,alpha*fck*(1-(1-E129/eco)^n),alpha*fck),0)</f>
      </c>
      <c r="G129" s="19">
        <f>F129*D129</f>
      </c>
      <c r="H129" s="19">
        <f>G129*C129</f>
      </c>
      <c r="I129" s="19">
        <f>G129*B129</f>
      </c>
      <c r="K129" s="37">
        <f>Eq_e0+Eq_kx*$C129+Eq_ky*$B129</f>
      </c>
      <c r="L129" s="20">
        <f>IF(K129&gt;0,IF(K129&lt;=eco,alpha*fck*(1-(1-K129/eco)^n),alpha*fck),0)</f>
      </c>
    </row>
    <row r="130" spans="1:12" x14ac:dyDescent="0.25">
      <c r="A130">
        <f>Mesh!A127</f>
      </c>
      <c r="B130" s="20">
        <f>Mesh!B127</f>
      </c>
      <c r="C130" s="20">
        <f>Mesh!C127</f>
      </c>
      <c r="D130" s="20">
        <f>Mesh!D127</f>
      </c>
      <c r="E130" s="37">
        <f>INDEX(St_e0,Det+1)+INDEX(St_kx,Det+1)*C130+INDEX(St_ky,Det+1)*B130</f>
      </c>
      <c r="F130" s="20">
        <f>IF(E130&gt;0,IF(E130&lt;=eco,alpha*fck*(1-(1-E130/eco)^n),alpha*fck),0)</f>
      </c>
      <c r="G130" s="19">
        <f>F130*D130</f>
      </c>
      <c r="H130" s="19">
        <f>G130*C130</f>
      </c>
      <c r="I130" s="19">
        <f>G130*B130</f>
      </c>
      <c r="K130" s="37">
        <f>Eq_e0+Eq_kx*$C130+Eq_ky*$B130</f>
      </c>
      <c r="L130" s="20">
        <f>IF(K130&gt;0,IF(K130&lt;=eco,alpha*fck*(1-(1-K130/eco)^n),alpha*fck),0)</f>
      </c>
    </row>
    <row r="131" spans="1:12" x14ac:dyDescent="0.25">
      <c r="A131">
        <f>Mesh!A128</f>
      </c>
      <c r="B131" s="20">
        <f>Mesh!B128</f>
      </c>
      <c r="C131" s="20">
        <f>Mesh!C128</f>
      </c>
      <c r="D131" s="20">
        <f>Mesh!D128</f>
      </c>
      <c r="E131" s="37">
        <f>INDEX(St_e0,Det+1)+INDEX(St_kx,Det+1)*C131+INDEX(St_ky,Det+1)*B131</f>
      </c>
      <c r="F131" s="20">
        <f>IF(E131&gt;0,IF(E131&lt;=eco,alpha*fck*(1-(1-E131/eco)^n),alpha*fck),0)</f>
      </c>
      <c r="G131" s="19">
        <f>F131*D131</f>
      </c>
      <c r="H131" s="19">
        <f>G131*C131</f>
      </c>
      <c r="I131" s="19">
        <f>G131*B131</f>
      </c>
      <c r="K131" s="37">
        <f>Eq_e0+Eq_kx*$C131+Eq_ky*$B131</f>
      </c>
      <c r="L131" s="20">
        <f>IF(K131&gt;0,IF(K131&lt;=eco,alpha*fck*(1-(1-K131/eco)^n),alpha*fck),0)</f>
      </c>
    </row>
    <row r="132" spans="1:12" x14ac:dyDescent="0.25">
      <c r="A132">
        <f>Mesh!A129</f>
      </c>
      <c r="B132" s="20">
        <f>Mesh!B129</f>
      </c>
      <c r="C132" s="20">
        <f>Mesh!C129</f>
      </c>
      <c r="D132" s="20">
        <f>Mesh!D129</f>
      </c>
      <c r="E132" s="37">
        <f>INDEX(St_e0,Det+1)+INDEX(St_kx,Det+1)*C132+INDEX(St_ky,Det+1)*B132</f>
      </c>
      <c r="F132" s="20">
        <f>IF(E132&gt;0,IF(E132&lt;=eco,alpha*fck*(1-(1-E132/eco)^n),alpha*fck),0)</f>
      </c>
      <c r="G132" s="19">
        <f>F132*D132</f>
      </c>
      <c r="H132" s="19">
        <f>G132*C132</f>
      </c>
      <c r="I132" s="19">
        <f>G132*B132</f>
      </c>
      <c r="K132" s="37">
        <f>Eq_e0+Eq_kx*$C132+Eq_ky*$B132</f>
      </c>
      <c r="L132" s="20">
        <f>IF(K132&gt;0,IF(K132&lt;=eco,alpha*fck*(1-(1-K132/eco)^n),alpha*fck),0)</f>
      </c>
    </row>
    <row r="133" spans="1:12" x14ac:dyDescent="0.25">
      <c r="A133">
        <f>Mesh!A130</f>
      </c>
      <c r="B133" s="20">
        <f>Mesh!B130</f>
      </c>
      <c r="C133" s="20">
        <f>Mesh!C130</f>
      </c>
      <c r="D133" s="20">
        <f>Mesh!D130</f>
      </c>
      <c r="E133" s="37">
        <f>INDEX(St_e0,Det+1)+INDEX(St_kx,Det+1)*C133+INDEX(St_ky,Det+1)*B133</f>
      </c>
      <c r="F133" s="20">
        <f>IF(E133&gt;0,IF(E133&lt;=eco,alpha*fck*(1-(1-E133/eco)^n),alpha*fck),0)</f>
      </c>
      <c r="G133" s="19">
        <f>F133*D133</f>
      </c>
      <c r="H133" s="19">
        <f>G133*C133</f>
      </c>
      <c r="I133" s="19">
        <f>G133*B133</f>
      </c>
      <c r="K133" s="37">
        <f>Eq_e0+Eq_kx*$C133+Eq_ky*$B133</f>
      </c>
      <c r="L133" s="20">
        <f>IF(K133&gt;0,IF(K133&lt;=eco,alpha*fck*(1-(1-K133/eco)^n),alpha*fck),0)</f>
      </c>
    </row>
    <row r="134" spans="1:12" x14ac:dyDescent="0.25">
      <c r="A134">
        <f>Mesh!A131</f>
      </c>
      <c r="B134" s="20">
        <f>Mesh!B131</f>
      </c>
      <c r="C134" s="20">
        <f>Mesh!C131</f>
      </c>
      <c r="D134" s="20">
        <f>Mesh!D131</f>
      </c>
      <c r="E134" s="37">
        <f>INDEX(St_e0,Det+1)+INDEX(St_kx,Det+1)*C134+INDEX(St_ky,Det+1)*B134</f>
      </c>
      <c r="F134" s="20">
        <f>IF(E134&gt;0,IF(E134&lt;=eco,alpha*fck*(1-(1-E134/eco)^n),alpha*fck),0)</f>
      </c>
      <c r="G134" s="19">
        <f>F134*D134</f>
      </c>
      <c r="H134" s="19">
        <f>G134*C134</f>
      </c>
      <c r="I134" s="19">
        <f>G134*B134</f>
      </c>
      <c r="K134" s="37">
        <f>Eq_e0+Eq_kx*$C134+Eq_ky*$B134</f>
      </c>
      <c r="L134" s="20">
        <f>IF(K134&gt;0,IF(K134&lt;=eco,alpha*fck*(1-(1-K134/eco)^n),alpha*fck),0)</f>
      </c>
    </row>
    <row r="135" spans="1:12" x14ac:dyDescent="0.25">
      <c r="A135">
        <f>Mesh!A132</f>
      </c>
      <c r="B135" s="20">
        <f>Mesh!B132</f>
      </c>
      <c r="C135" s="20">
        <f>Mesh!C132</f>
      </c>
      <c r="D135" s="20">
        <f>Mesh!D132</f>
      </c>
      <c r="E135" s="37">
        <f>INDEX(St_e0,Det+1)+INDEX(St_kx,Det+1)*C135+INDEX(St_ky,Det+1)*B135</f>
      </c>
      <c r="F135" s="20">
        <f>IF(E135&gt;0,IF(E135&lt;=eco,alpha*fck*(1-(1-E135/eco)^n),alpha*fck),0)</f>
      </c>
      <c r="G135" s="19">
        <f>F135*D135</f>
      </c>
      <c r="H135" s="19">
        <f>G135*C135</f>
      </c>
      <c r="I135" s="19">
        <f>G135*B135</f>
      </c>
      <c r="K135" s="37">
        <f>Eq_e0+Eq_kx*$C135+Eq_ky*$B135</f>
      </c>
      <c r="L135" s="20">
        <f>IF(K135&gt;0,IF(K135&lt;=eco,alpha*fck*(1-(1-K135/eco)^n),alpha*fck),0)</f>
      </c>
    </row>
    <row r="136" spans="1:12" x14ac:dyDescent="0.25">
      <c r="A136">
        <f>Mesh!A133</f>
      </c>
      <c r="B136" s="20">
        <f>Mesh!B133</f>
      </c>
      <c r="C136" s="20">
        <f>Mesh!C133</f>
      </c>
      <c r="D136" s="20">
        <f>Mesh!D133</f>
      </c>
      <c r="E136" s="37">
        <f>INDEX(St_e0,Det+1)+INDEX(St_kx,Det+1)*C136+INDEX(St_ky,Det+1)*B136</f>
      </c>
      <c r="F136" s="20">
        <f>IF(E136&gt;0,IF(E136&lt;=eco,alpha*fck*(1-(1-E136/eco)^n),alpha*fck),0)</f>
      </c>
      <c r="G136" s="19">
        <f>F136*D136</f>
      </c>
      <c r="H136" s="19">
        <f>G136*C136</f>
      </c>
      <c r="I136" s="19">
        <f>G136*B136</f>
      </c>
      <c r="K136" s="37">
        <f>Eq_e0+Eq_kx*$C136+Eq_ky*$B136</f>
      </c>
      <c r="L136" s="20">
        <f>IF(K136&gt;0,IF(K136&lt;=eco,alpha*fck*(1-(1-K136/eco)^n),alpha*fck),0)</f>
      </c>
    </row>
    <row r="137" spans="1:12" x14ac:dyDescent="0.25">
      <c r="A137">
        <f>Mesh!A134</f>
      </c>
      <c r="B137" s="20">
        <f>Mesh!B134</f>
      </c>
      <c r="C137" s="20">
        <f>Mesh!C134</f>
      </c>
      <c r="D137" s="20">
        <f>Mesh!D134</f>
      </c>
      <c r="E137" s="37">
        <f>INDEX(St_e0,Det+1)+INDEX(St_kx,Det+1)*C137+INDEX(St_ky,Det+1)*B137</f>
      </c>
      <c r="F137" s="20">
        <f>IF(E137&gt;0,IF(E137&lt;=eco,alpha*fck*(1-(1-E137/eco)^n),alpha*fck),0)</f>
      </c>
      <c r="G137" s="19">
        <f>F137*D137</f>
      </c>
      <c r="H137" s="19">
        <f>G137*C137</f>
      </c>
      <c r="I137" s="19">
        <f>G137*B137</f>
      </c>
      <c r="K137" s="37">
        <f>Eq_e0+Eq_kx*$C137+Eq_ky*$B137</f>
      </c>
      <c r="L137" s="20">
        <f>IF(K137&gt;0,IF(K137&lt;=eco,alpha*fck*(1-(1-K137/eco)^n),alpha*fck),0)</f>
      </c>
    </row>
    <row r="138" spans="1:12" x14ac:dyDescent="0.25">
      <c r="A138">
        <f>Mesh!A135</f>
      </c>
      <c r="B138" s="20">
        <f>Mesh!B135</f>
      </c>
      <c r="C138" s="20">
        <f>Mesh!C135</f>
      </c>
      <c r="D138" s="20">
        <f>Mesh!D135</f>
      </c>
      <c r="E138" s="37">
        <f>INDEX(St_e0,Det+1)+INDEX(St_kx,Det+1)*C138+INDEX(St_ky,Det+1)*B138</f>
      </c>
      <c r="F138" s="20">
        <f>IF(E138&gt;0,IF(E138&lt;=eco,alpha*fck*(1-(1-E138/eco)^n),alpha*fck),0)</f>
      </c>
      <c r="G138" s="19">
        <f>F138*D138</f>
      </c>
      <c r="H138" s="19">
        <f>G138*C138</f>
      </c>
      <c r="I138" s="19">
        <f>G138*B138</f>
      </c>
      <c r="K138" s="37">
        <f>Eq_e0+Eq_kx*$C138+Eq_ky*$B138</f>
      </c>
      <c r="L138" s="20">
        <f>IF(K138&gt;0,IF(K138&lt;=eco,alpha*fck*(1-(1-K138/eco)^n),alpha*fck),0)</f>
      </c>
    </row>
    <row r="139" spans="1:12" x14ac:dyDescent="0.25">
      <c r="A139">
        <f>Mesh!A136</f>
      </c>
      <c r="B139" s="20">
        <f>Mesh!B136</f>
      </c>
      <c r="C139" s="20">
        <f>Mesh!C136</f>
      </c>
      <c r="D139" s="20">
        <f>Mesh!D136</f>
      </c>
      <c r="E139" s="37">
        <f>INDEX(St_e0,Det+1)+INDEX(St_kx,Det+1)*C139+INDEX(St_ky,Det+1)*B139</f>
      </c>
      <c r="F139" s="20">
        <f>IF(E139&gt;0,IF(E139&lt;=eco,alpha*fck*(1-(1-E139/eco)^n),alpha*fck),0)</f>
      </c>
      <c r="G139" s="19">
        <f>F139*D139</f>
      </c>
      <c r="H139" s="19">
        <f>G139*C139</f>
      </c>
      <c r="I139" s="19">
        <f>G139*B139</f>
      </c>
      <c r="K139" s="37">
        <f>Eq_e0+Eq_kx*$C139+Eq_ky*$B139</f>
      </c>
      <c r="L139" s="20">
        <f>IF(K139&gt;0,IF(K139&lt;=eco,alpha*fck*(1-(1-K139/eco)^n),alpha*fck),0)</f>
      </c>
    </row>
    <row r="140" spans="1:12" x14ac:dyDescent="0.25">
      <c r="A140">
        <f>Mesh!A137</f>
      </c>
      <c r="B140" s="20">
        <f>Mesh!B137</f>
      </c>
      <c r="C140" s="20">
        <f>Mesh!C137</f>
      </c>
      <c r="D140" s="20">
        <f>Mesh!D137</f>
      </c>
      <c r="E140" s="37">
        <f>INDEX(St_e0,Det+1)+INDEX(St_kx,Det+1)*C140+INDEX(St_ky,Det+1)*B140</f>
      </c>
      <c r="F140" s="20">
        <f>IF(E140&gt;0,IF(E140&lt;=eco,alpha*fck*(1-(1-E140/eco)^n),alpha*fck),0)</f>
      </c>
      <c r="G140" s="19">
        <f>F140*D140</f>
      </c>
      <c r="H140" s="19">
        <f>G140*C140</f>
      </c>
      <c r="I140" s="19">
        <f>G140*B140</f>
      </c>
      <c r="K140" s="37">
        <f>Eq_e0+Eq_kx*$C140+Eq_ky*$B140</f>
      </c>
      <c r="L140" s="20">
        <f>IF(K140&gt;0,IF(K140&lt;=eco,alpha*fck*(1-(1-K140/eco)^n),alpha*fck),0)</f>
      </c>
    </row>
    <row r="141" spans="1:12" x14ac:dyDescent="0.25">
      <c r="A141">
        <f>Mesh!A138</f>
      </c>
      <c r="B141" s="20">
        <f>Mesh!B138</f>
      </c>
      <c r="C141" s="20">
        <f>Mesh!C138</f>
      </c>
      <c r="D141" s="20">
        <f>Mesh!D138</f>
      </c>
      <c r="E141" s="37">
        <f>INDEX(St_e0,Det+1)+INDEX(St_kx,Det+1)*C141+INDEX(St_ky,Det+1)*B141</f>
      </c>
      <c r="F141" s="20">
        <f>IF(E141&gt;0,IF(E141&lt;=eco,alpha*fck*(1-(1-E141/eco)^n),alpha*fck),0)</f>
      </c>
      <c r="G141" s="19">
        <f>F141*D141</f>
      </c>
      <c r="H141" s="19">
        <f>G141*C141</f>
      </c>
      <c r="I141" s="19">
        <f>G141*B141</f>
      </c>
      <c r="K141" s="37">
        <f>Eq_e0+Eq_kx*$C141+Eq_ky*$B141</f>
      </c>
      <c r="L141" s="20">
        <f>IF(K141&gt;0,IF(K141&lt;=eco,alpha*fck*(1-(1-K141/eco)^n),alpha*fck),0)</f>
      </c>
    </row>
    <row r="142" spans="1:12" x14ac:dyDescent="0.25">
      <c r="A142">
        <f>Mesh!A139</f>
      </c>
      <c r="B142" s="20">
        <f>Mesh!B139</f>
      </c>
      <c r="C142" s="20">
        <f>Mesh!C139</f>
      </c>
      <c r="D142" s="20">
        <f>Mesh!D139</f>
      </c>
      <c r="E142" s="37">
        <f>INDEX(St_e0,Det+1)+INDEX(St_kx,Det+1)*C142+INDEX(St_ky,Det+1)*B142</f>
      </c>
      <c r="F142" s="20">
        <f>IF(E142&gt;0,IF(E142&lt;=eco,alpha*fck*(1-(1-E142/eco)^n),alpha*fck),0)</f>
      </c>
      <c r="G142" s="19">
        <f>F142*D142</f>
      </c>
      <c r="H142" s="19">
        <f>G142*C142</f>
      </c>
      <c r="I142" s="19">
        <f>G142*B142</f>
      </c>
      <c r="K142" s="37">
        <f>Eq_e0+Eq_kx*$C142+Eq_ky*$B142</f>
      </c>
      <c r="L142" s="20">
        <f>IF(K142&gt;0,IF(K142&lt;=eco,alpha*fck*(1-(1-K142/eco)^n),alpha*fck),0)</f>
      </c>
    </row>
    <row r="143" spans="1:12" x14ac:dyDescent="0.25">
      <c r="A143">
        <f>Mesh!A140</f>
      </c>
      <c r="B143" s="20">
        <f>Mesh!B140</f>
      </c>
      <c r="C143" s="20">
        <f>Mesh!C140</f>
      </c>
      <c r="D143" s="20">
        <f>Mesh!D140</f>
      </c>
      <c r="E143" s="37">
        <f>INDEX(St_e0,Det+1)+INDEX(St_kx,Det+1)*C143+INDEX(St_ky,Det+1)*B143</f>
      </c>
      <c r="F143" s="20">
        <f>IF(E143&gt;0,IF(E143&lt;=eco,alpha*fck*(1-(1-E143/eco)^n),alpha*fck),0)</f>
      </c>
      <c r="G143" s="19">
        <f>F143*D143</f>
      </c>
      <c r="H143" s="19">
        <f>G143*C143</f>
      </c>
      <c r="I143" s="19">
        <f>G143*B143</f>
      </c>
      <c r="K143" s="37">
        <f>Eq_e0+Eq_kx*$C143+Eq_ky*$B143</f>
      </c>
      <c r="L143" s="20">
        <f>IF(K143&gt;0,IF(K143&lt;=eco,alpha*fck*(1-(1-K143/eco)^n),alpha*fck),0)</f>
      </c>
    </row>
    <row r="144" spans="1:12" x14ac:dyDescent="0.25">
      <c r="A144">
        <f>Mesh!A141</f>
      </c>
      <c r="B144" s="20">
        <f>Mesh!B141</f>
      </c>
      <c r="C144" s="20">
        <f>Mesh!C141</f>
      </c>
      <c r="D144" s="20">
        <f>Mesh!D141</f>
      </c>
      <c r="E144" s="37">
        <f>INDEX(St_e0,Det+1)+INDEX(St_kx,Det+1)*C144+INDEX(St_ky,Det+1)*B144</f>
      </c>
      <c r="F144" s="20">
        <f>IF(E144&gt;0,IF(E144&lt;=eco,alpha*fck*(1-(1-E144/eco)^n),alpha*fck),0)</f>
      </c>
      <c r="G144" s="19">
        <f>F144*D144</f>
      </c>
      <c r="H144" s="19">
        <f>G144*C144</f>
      </c>
      <c r="I144" s="19">
        <f>G144*B144</f>
      </c>
      <c r="K144" s="37">
        <f>Eq_e0+Eq_kx*$C144+Eq_ky*$B144</f>
      </c>
      <c r="L144" s="20">
        <f>IF(K144&gt;0,IF(K144&lt;=eco,alpha*fck*(1-(1-K144/eco)^n),alpha*fck),0)</f>
      </c>
    </row>
    <row r="145" spans="1:12" x14ac:dyDescent="0.25">
      <c r="A145">
        <f>Mesh!A142</f>
      </c>
      <c r="B145" s="20">
        <f>Mesh!B142</f>
      </c>
      <c r="C145" s="20">
        <f>Mesh!C142</f>
      </c>
      <c r="D145" s="20">
        <f>Mesh!D142</f>
      </c>
      <c r="E145" s="37">
        <f>INDEX(St_e0,Det+1)+INDEX(St_kx,Det+1)*C145+INDEX(St_ky,Det+1)*B145</f>
      </c>
      <c r="F145" s="20">
        <f>IF(E145&gt;0,IF(E145&lt;=eco,alpha*fck*(1-(1-E145/eco)^n),alpha*fck),0)</f>
      </c>
      <c r="G145" s="19">
        <f>F145*D145</f>
      </c>
      <c r="H145" s="19">
        <f>G145*C145</f>
      </c>
      <c r="I145" s="19">
        <f>G145*B145</f>
      </c>
      <c r="K145" s="37">
        <f>Eq_e0+Eq_kx*$C145+Eq_ky*$B145</f>
      </c>
      <c r="L145" s="20">
        <f>IF(K145&gt;0,IF(K145&lt;=eco,alpha*fck*(1-(1-K145/eco)^n),alpha*fck),0)</f>
      </c>
    </row>
    <row r="146" spans="1:12" x14ac:dyDescent="0.25">
      <c r="A146">
        <f>Mesh!A143</f>
      </c>
      <c r="B146" s="20">
        <f>Mesh!B143</f>
      </c>
      <c r="C146" s="20">
        <f>Mesh!C143</f>
      </c>
      <c r="D146" s="20">
        <f>Mesh!D143</f>
      </c>
      <c r="E146" s="37">
        <f>INDEX(St_e0,Det+1)+INDEX(St_kx,Det+1)*C146+INDEX(St_ky,Det+1)*B146</f>
      </c>
      <c r="F146" s="20">
        <f>IF(E146&gt;0,IF(E146&lt;=eco,alpha*fck*(1-(1-E146/eco)^n),alpha*fck),0)</f>
      </c>
      <c r="G146" s="19">
        <f>F146*D146</f>
      </c>
      <c r="H146" s="19">
        <f>G146*C146</f>
      </c>
      <c r="I146" s="19">
        <f>G146*B146</f>
      </c>
      <c r="K146" s="37">
        <f>Eq_e0+Eq_kx*$C146+Eq_ky*$B146</f>
      </c>
      <c r="L146" s="20">
        <f>IF(K146&gt;0,IF(K146&lt;=eco,alpha*fck*(1-(1-K146/eco)^n),alpha*fck),0)</f>
      </c>
    </row>
    <row r="147" spans="1:12" x14ac:dyDescent="0.25">
      <c r="A147">
        <f>Mesh!A144</f>
      </c>
      <c r="B147" s="20">
        <f>Mesh!B144</f>
      </c>
      <c r="C147" s="20">
        <f>Mesh!C144</f>
      </c>
      <c r="D147" s="20">
        <f>Mesh!D144</f>
      </c>
      <c r="E147" s="37">
        <f>INDEX(St_e0,Det+1)+INDEX(St_kx,Det+1)*C147+INDEX(St_ky,Det+1)*B147</f>
      </c>
      <c r="F147" s="20">
        <f>IF(E147&gt;0,IF(E147&lt;=eco,alpha*fck*(1-(1-E147/eco)^n),alpha*fck),0)</f>
      </c>
      <c r="G147" s="19">
        <f>F147*D147</f>
      </c>
      <c r="H147" s="19">
        <f>G147*C147</f>
      </c>
      <c r="I147" s="19">
        <f>G147*B147</f>
      </c>
      <c r="K147" s="37">
        <f>Eq_e0+Eq_kx*$C147+Eq_ky*$B147</f>
      </c>
      <c r="L147" s="20">
        <f>IF(K147&gt;0,IF(K147&lt;=eco,alpha*fck*(1-(1-K147/eco)^n),alpha*fck),0)</f>
      </c>
    </row>
    <row r="148" spans="1:12" x14ac:dyDescent="0.25">
      <c r="A148">
        <f>Mesh!A145</f>
      </c>
      <c r="B148" s="20">
        <f>Mesh!B145</f>
      </c>
      <c r="C148" s="20">
        <f>Mesh!C145</f>
      </c>
      <c r="D148" s="20">
        <f>Mesh!D145</f>
      </c>
      <c r="E148" s="37">
        <f>INDEX(St_e0,Det+1)+INDEX(St_kx,Det+1)*C148+INDEX(St_ky,Det+1)*B148</f>
      </c>
      <c r="F148" s="20">
        <f>IF(E148&gt;0,IF(E148&lt;=eco,alpha*fck*(1-(1-E148/eco)^n),alpha*fck),0)</f>
      </c>
      <c r="G148" s="19">
        <f>F148*D148</f>
      </c>
      <c r="H148" s="19">
        <f>G148*C148</f>
      </c>
      <c r="I148" s="19">
        <f>G148*B148</f>
      </c>
      <c r="K148" s="37">
        <f>Eq_e0+Eq_kx*$C148+Eq_ky*$B148</f>
      </c>
      <c r="L148" s="20">
        <f>IF(K148&gt;0,IF(K148&lt;=eco,alpha*fck*(1-(1-K148/eco)^n),alpha*fck),0)</f>
      </c>
    </row>
    <row r="149" spans="1:12" x14ac:dyDescent="0.25">
      <c r="A149">
        <f>Mesh!A146</f>
      </c>
      <c r="B149" s="20">
        <f>Mesh!B146</f>
      </c>
      <c r="C149" s="20">
        <f>Mesh!C146</f>
      </c>
      <c r="D149" s="20">
        <f>Mesh!D146</f>
      </c>
      <c r="E149" s="37">
        <f>INDEX(St_e0,Det+1)+INDEX(St_kx,Det+1)*C149+INDEX(St_ky,Det+1)*B149</f>
      </c>
      <c r="F149" s="20">
        <f>IF(E149&gt;0,IF(E149&lt;=eco,alpha*fck*(1-(1-E149/eco)^n),alpha*fck),0)</f>
      </c>
      <c r="G149" s="19">
        <f>F149*D149</f>
      </c>
      <c r="H149" s="19">
        <f>G149*C149</f>
      </c>
      <c r="I149" s="19">
        <f>G149*B149</f>
      </c>
      <c r="K149" s="37">
        <f>Eq_e0+Eq_kx*$C149+Eq_ky*$B149</f>
      </c>
      <c r="L149" s="20">
        <f>IF(K149&gt;0,IF(K149&lt;=eco,alpha*fck*(1-(1-K149/eco)^n),alpha*fck),0)</f>
      </c>
    </row>
    <row r="150" spans="1:12" x14ac:dyDescent="0.25">
      <c r="A150">
        <f>Mesh!A147</f>
      </c>
      <c r="B150" s="20">
        <f>Mesh!B147</f>
      </c>
      <c r="C150" s="20">
        <f>Mesh!C147</f>
      </c>
      <c r="D150" s="20">
        <f>Mesh!D147</f>
      </c>
      <c r="E150" s="37">
        <f>INDEX(St_e0,Det+1)+INDEX(St_kx,Det+1)*C150+INDEX(St_ky,Det+1)*B150</f>
      </c>
      <c r="F150" s="20">
        <f>IF(E150&gt;0,IF(E150&lt;=eco,alpha*fck*(1-(1-E150/eco)^n),alpha*fck),0)</f>
      </c>
      <c r="G150" s="19">
        <f>F150*D150</f>
      </c>
      <c r="H150" s="19">
        <f>G150*C150</f>
      </c>
      <c r="I150" s="19">
        <f>G150*B150</f>
      </c>
      <c r="K150" s="37">
        <f>Eq_e0+Eq_kx*$C150+Eq_ky*$B150</f>
      </c>
      <c r="L150" s="20">
        <f>IF(K150&gt;0,IF(K150&lt;=eco,alpha*fck*(1-(1-K150/eco)^n),alpha*fck),0)</f>
      </c>
    </row>
    <row r="151" spans="1:12" x14ac:dyDescent="0.25">
      <c r="A151">
        <f>Mesh!A148</f>
      </c>
      <c r="B151" s="20">
        <f>Mesh!B148</f>
      </c>
      <c r="C151" s="20">
        <f>Mesh!C148</f>
      </c>
      <c r="D151" s="20">
        <f>Mesh!D148</f>
      </c>
      <c r="E151" s="37">
        <f>INDEX(St_e0,Det+1)+INDEX(St_kx,Det+1)*C151+INDEX(St_ky,Det+1)*B151</f>
      </c>
      <c r="F151" s="20">
        <f>IF(E151&gt;0,IF(E151&lt;=eco,alpha*fck*(1-(1-E151/eco)^n),alpha*fck),0)</f>
      </c>
      <c r="G151" s="19">
        <f>F151*D151</f>
      </c>
      <c r="H151" s="19">
        <f>G151*C151</f>
      </c>
      <c r="I151" s="19">
        <f>G151*B151</f>
      </c>
      <c r="K151" s="37">
        <f>Eq_e0+Eq_kx*$C151+Eq_ky*$B151</f>
      </c>
      <c r="L151" s="20">
        <f>IF(K151&gt;0,IF(K151&lt;=eco,alpha*fck*(1-(1-K151/eco)^n),alpha*fck),0)</f>
      </c>
    </row>
    <row r="152" spans="1:12" x14ac:dyDescent="0.25">
      <c r="A152">
        <f>Mesh!A149</f>
      </c>
      <c r="B152" s="20">
        <f>Mesh!B149</f>
      </c>
      <c r="C152" s="20">
        <f>Mesh!C149</f>
      </c>
      <c r="D152" s="20">
        <f>Mesh!D149</f>
      </c>
      <c r="E152" s="37">
        <f>INDEX(St_e0,Det+1)+INDEX(St_kx,Det+1)*C152+INDEX(St_ky,Det+1)*B152</f>
      </c>
      <c r="F152" s="20">
        <f>IF(E152&gt;0,IF(E152&lt;=eco,alpha*fck*(1-(1-E152/eco)^n),alpha*fck),0)</f>
      </c>
      <c r="G152" s="19">
        <f>F152*D152</f>
      </c>
      <c r="H152" s="19">
        <f>G152*C152</f>
      </c>
      <c r="I152" s="19">
        <f>G152*B152</f>
      </c>
      <c r="K152" s="37">
        <f>Eq_e0+Eq_kx*$C152+Eq_ky*$B152</f>
      </c>
      <c r="L152" s="20">
        <f>IF(K152&gt;0,IF(K152&lt;=eco,alpha*fck*(1-(1-K152/eco)^n),alpha*fck),0)</f>
      </c>
    </row>
    <row r="153" spans="1:12" x14ac:dyDescent="0.25">
      <c r="A153">
        <f>Mesh!A150</f>
      </c>
      <c r="B153" s="20">
        <f>Mesh!B150</f>
      </c>
      <c r="C153" s="20">
        <f>Mesh!C150</f>
      </c>
      <c r="D153" s="20">
        <f>Mesh!D150</f>
      </c>
      <c r="E153" s="37">
        <f>INDEX(St_e0,Det+1)+INDEX(St_kx,Det+1)*C153+INDEX(St_ky,Det+1)*B153</f>
      </c>
      <c r="F153" s="20">
        <f>IF(E153&gt;0,IF(E153&lt;=eco,alpha*fck*(1-(1-E153/eco)^n),alpha*fck),0)</f>
      </c>
      <c r="G153" s="19">
        <f>F153*D153</f>
      </c>
      <c r="H153" s="19">
        <f>G153*C153</f>
      </c>
      <c r="I153" s="19">
        <f>G153*B153</f>
      </c>
      <c r="K153" s="37">
        <f>Eq_e0+Eq_kx*$C153+Eq_ky*$B153</f>
      </c>
      <c r="L153" s="20">
        <f>IF(K153&gt;0,IF(K153&lt;=eco,alpha*fck*(1-(1-K153/eco)^n),alpha*fck),0)</f>
      </c>
    </row>
    <row r="154" spans="1:12" x14ac:dyDescent="0.25">
      <c r="A154">
        <f>Mesh!A151</f>
      </c>
      <c r="B154" s="20">
        <f>Mesh!B151</f>
      </c>
      <c r="C154" s="20">
        <f>Mesh!C151</f>
      </c>
      <c r="D154" s="20">
        <f>Mesh!D151</f>
      </c>
      <c r="E154" s="37">
        <f>INDEX(St_e0,Det+1)+INDEX(St_kx,Det+1)*C154+INDEX(St_ky,Det+1)*B154</f>
      </c>
      <c r="F154" s="20">
        <f>IF(E154&gt;0,IF(E154&lt;=eco,alpha*fck*(1-(1-E154/eco)^n),alpha*fck),0)</f>
      </c>
      <c r="G154" s="19">
        <f>F154*D154</f>
      </c>
      <c r="H154" s="19">
        <f>G154*C154</f>
      </c>
      <c r="I154" s="19">
        <f>G154*B154</f>
      </c>
      <c r="K154" s="37">
        <f>Eq_e0+Eq_kx*$C154+Eq_ky*$B154</f>
      </c>
      <c r="L154" s="20">
        <f>IF(K154&gt;0,IF(K154&lt;=eco,alpha*fck*(1-(1-K154/eco)^n),alpha*fck),0)</f>
      </c>
    </row>
    <row r="155" spans="1:12" x14ac:dyDescent="0.25">
      <c r="A155">
        <f>Mesh!A152</f>
      </c>
      <c r="B155" s="20">
        <f>Mesh!B152</f>
      </c>
      <c r="C155" s="20">
        <f>Mesh!C152</f>
      </c>
      <c r="D155" s="20">
        <f>Mesh!D152</f>
      </c>
      <c r="E155" s="37">
        <f>INDEX(St_e0,Det+1)+INDEX(St_kx,Det+1)*C155+INDEX(St_ky,Det+1)*B155</f>
      </c>
      <c r="F155" s="20">
        <f>IF(E155&gt;0,IF(E155&lt;=eco,alpha*fck*(1-(1-E155/eco)^n),alpha*fck),0)</f>
      </c>
      <c r="G155" s="19">
        <f>F155*D155</f>
      </c>
      <c r="H155" s="19">
        <f>G155*C155</f>
      </c>
      <c r="I155" s="19">
        <f>G155*B155</f>
      </c>
      <c r="K155" s="37">
        <f>Eq_e0+Eq_kx*$C155+Eq_ky*$B155</f>
      </c>
      <c r="L155" s="20">
        <f>IF(K155&gt;0,IF(K155&lt;=eco,alpha*fck*(1-(1-K155/eco)^n),alpha*fck),0)</f>
      </c>
    </row>
    <row r="156" spans="1:12" x14ac:dyDescent="0.25">
      <c r="A156">
        <f>Mesh!A153</f>
      </c>
      <c r="B156" s="20">
        <f>Mesh!B153</f>
      </c>
      <c r="C156" s="20">
        <f>Mesh!C153</f>
      </c>
      <c r="D156" s="20">
        <f>Mesh!D153</f>
      </c>
      <c r="E156" s="37">
        <f>INDEX(St_e0,Det+1)+INDEX(St_kx,Det+1)*C156+INDEX(St_ky,Det+1)*B156</f>
      </c>
      <c r="F156" s="20">
        <f>IF(E156&gt;0,IF(E156&lt;=eco,alpha*fck*(1-(1-E156/eco)^n),alpha*fck),0)</f>
      </c>
      <c r="G156" s="19">
        <f>F156*D156</f>
      </c>
      <c r="H156" s="19">
        <f>G156*C156</f>
      </c>
      <c r="I156" s="19">
        <f>G156*B156</f>
      </c>
      <c r="K156" s="37">
        <f>Eq_e0+Eq_kx*$C156+Eq_ky*$B156</f>
      </c>
      <c r="L156" s="20">
        <f>IF(K156&gt;0,IF(K156&lt;=eco,alpha*fck*(1-(1-K156/eco)^n),alpha*fck),0)</f>
      </c>
    </row>
    <row r="157" spans="1:12" x14ac:dyDescent="0.25">
      <c r="A157">
        <f>Mesh!A154</f>
      </c>
      <c r="B157" s="20">
        <f>Mesh!B154</f>
      </c>
      <c r="C157" s="20">
        <f>Mesh!C154</f>
      </c>
      <c r="D157" s="20">
        <f>Mesh!D154</f>
      </c>
      <c r="E157" s="37">
        <f>INDEX(St_e0,Det+1)+INDEX(St_kx,Det+1)*C157+INDEX(St_ky,Det+1)*B157</f>
      </c>
      <c r="F157" s="20">
        <f>IF(E157&gt;0,IF(E157&lt;=eco,alpha*fck*(1-(1-E157/eco)^n),alpha*fck),0)</f>
      </c>
      <c r="G157" s="19">
        <f>F157*D157</f>
      </c>
      <c r="H157" s="19">
        <f>G157*C157</f>
      </c>
      <c r="I157" s="19">
        <f>G157*B157</f>
      </c>
      <c r="K157" s="37">
        <f>Eq_e0+Eq_kx*$C157+Eq_ky*$B157</f>
      </c>
      <c r="L157" s="20">
        <f>IF(K157&gt;0,IF(K157&lt;=eco,alpha*fck*(1-(1-K157/eco)^n),alpha*fck),0)</f>
      </c>
    </row>
    <row r="158" spans="1:12" x14ac:dyDescent="0.25">
      <c r="A158">
        <f>Mesh!A155</f>
      </c>
      <c r="B158" s="20">
        <f>Mesh!B155</f>
      </c>
      <c r="C158" s="20">
        <f>Mesh!C155</f>
      </c>
      <c r="D158" s="20">
        <f>Mesh!D155</f>
      </c>
      <c r="E158" s="37">
        <f>INDEX(St_e0,Det+1)+INDEX(St_kx,Det+1)*C158+INDEX(St_ky,Det+1)*B158</f>
      </c>
      <c r="F158" s="20">
        <f>IF(E158&gt;0,IF(E158&lt;=eco,alpha*fck*(1-(1-E158/eco)^n),alpha*fck),0)</f>
      </c>
      <c r="G158" s="19">
        <f>F158*D158</f>
      </c>
      <c r="H158" s="19">
        <f>G158*C158</f>
      </c>
      <c r="I158" s="19">
        <f>G158*B158</f>
      </c>
      <c r="K158" s="37">
        <f>Eq_e0+Eq_kx*$C158+Eq_ky*$B158</f>
      </c>
      <c r="L158" s="20">
        <f>IF(K158&gt;0,IF(K158&lt;=eco,alpha*fck*(1-(1-K158/eco)^n),alpha*fck),0)</f>
      </c>
    </row>
    <row r="159" spans="1:12" x14ac:dyDescent="0.25">
      <c r="A159">
        <f>Mesh!A156</f>
      </c>
      <c r="B159" s="20">
        <f>Mesh!B156</f>
      </c>
      <c r="C159" s="20">
        <f>Mesh!C156</f>
      </c>
      <c r="D159" s="20">
        <f>Mesh!D156</f>
      </c>
      <c r="E159" s="37">
        <f>INDEX(St_e0,Det+1)+INDEX(St_kx,Det+1)*C159+INDEX(St_ky,Det+1)*B159</f>
      </c>
      <c r="F159" s="20">
        <f>IF(E159&gt;0,IF(E159&lt;=eco,alpha*fck*(1-(1-E159/eco)^n),alpha*fck),0)</f>
      </c>
      <c r="G159" s="19">
        <f>F159*D159</f>
      </c>
      <c r="H159" s="19">
        <f>G159*C159</f>
      </c>
      <c r="I159" s="19">
        <f>G159*B159</f>
      </c>
      <c r="K159" s="37">
        <f>Eq_e0+Eq_kx*$C159+Eq_ky*$B159</f>
      </c>
      <c r="L159" s="20">
        <f>IF(K159&gt;0,IF(K159&lt;=eco,alpha*fck*(1-(1-K159/eco)^n),alpha*fck),0)</f>
      </c>
    </row>
    <row r="160" spans="1:12" x14ac:dyDescent="0.25">
      <c r="A160">
        <f>Mesh!A157</f>
      </c>
      <c r="B160" s="20">
        <f>Mesh!B157</f>
      </c>
      <c r="C160" s="20">
        <f>Mesh!C157</f>
      </c>
      <c r="D160" s="20">
        <f>Mesh!D157</f>
      </c>
      <c r="E160" s="37">
        <f>INDEX(St_e0,Det+1)+INDEX(St_kx,Det+1)*C160+INDEX(St_ky,Det+1)*B160</f>
      </c>
      <c r="F160" s="20">
        <f>IF(E160&gt;0,IF(E160&lt;=eco,alpha*fck*(1-(1-E160/eco)^n),alpha*fck),0)</f>
      </c>
      <c r="G160" s="19">
        <f>F160*D160</f>
      </c>
      <c r="H160" s="19">
        <f>G160*C160</f>
      </c>
      <c r="I160" s="19">
        <f>G160*B160</f>
      </c>
      <c r="K160" s="37">
        <f>Eq_e0+Eq_kx*$C160+Eq_ky*$B160</f>
      </c>
      <c r="L160" s="20">
        <f>IF(K160&gt;0,IF(K160&lt;=eco,alpha*fck*(1-(1-K160/eco)^n),alpha*fck),0)</f>
      </c>
    </row>
    <row r="161" spans="1:12" x14ac:dyDescent="0.25">
      <c r="A161">
        <f>Mesh!A158</f>
      </c>
      <c r="B161" s="20">
        <f>Mesh!B158</f>
      </c>
      <c r="C161" s="20">
        <f>Mesh!C158</f>
      </c>
      <c r="D161" s="20">
        <f>Mesh!D158</f>
      </c>
      <c r="E161" s="37">
        <f>INDEX(St_e0,Det+1)+INDEX(St_kx,Det+1)*C161+INDEX(St_ky,Det+1)*B161</f>
      </c>
      <c r="F161" s="20">
        <f>IF(E161&gt;0,IF(E161&lt;=eco,alpha*fck*(1-(1-E161/eco)^n),alpha*fck),0)</f>
      </c>
      <c r="G161" s="19">
        <f>F161*D161</f>
      </c>
      <c r="H161" s="19">
        <f>G161*C161</f>
      </c>
      <c r="I161" s="19">
        <f>G161*B161</f>
      </c>
      <c r="K161" s="37">
        <f>Eq_e0+Eq_kx*$C161+Eq_ky*$B161</f>
      </c>
      <c r="L161" s="20">
        <f>IF(K161&gt;0,IF(K161&lt;=eco,alpha*fck*(1-(1-K161/eco)^n),alpha*fck),0)</f>
      </c>
    </row>
    <row r="162" spans="1:12" x14ac:dyDescent="0.25">
      <c r="A162">
        <f>Mesh!A159</f>
      </c>
      <c r="B162" s="20">
        <f>Mesh!B159</f>
      </c>
      <c r="C162" s="20">
        <f>Mesh!C159</f>
      </c>
      <c r="D162" s="20">
        <f>Mesh!D159</f>
      </c>
      <c r="E162" s="37">
        <f>INDEX(St_e0,Det+1)+INDEX(St_kx,Det+1)*C162+INDEX(St_ky,Det+1)*B162</f>
      </c>
      <c r="F162" s="20">
        <f>IF(E162&gt;0,IF(E162&lt;=eco,alpha*fck*(1-(1-E162/eco)^n),alpha*fck),0)</f>
      </c>
      <c r="G162" s="19">
        <f>F162*D162</f>
      </c>
      <c r="H162" s="19">
        <f>G162*C162</f>
      </c>
      <c r="I162" s="19">
        <f>G162*B162</f>
      </c>
      <c r="K162" s="37">
        <f>Eq_e0+Eq_kx*$C162+Eq_ky*$B162</f>
      </c>
      <c r="L162" s="20">
        <f>IF(K162&gt;0,IF(K162&lt;=eco,alpha*fck*(1-(1-K162/eco)^n),alpha*fck),0)</f>
      </c>
    </row>
    <row r="163" spans="1:12" x14ac:dyDescent="0.25">
      <c r="A163">
        <f>Mesh!A160</f>
      </c>
      <c r="B163" s="20">
        <f>Mesh!B160</f>
      </c>
      <c r="C163" s="20">
        <f>Mesh!C160</f>
      </c>
      <c r="D163" s="20">
        <f>Mesh!D160</f>
      </c>
      <c r="E163" s="37">
        <f>INDEX(St_e0,Det+1)+INDEX(St_kx,Det+1)*C163+INDEX(St_ky,Det+1)*B163</f>
      </c>
      <c r="F163" s="20">
        <f>IF(E163&gt;0,IF(E163&lt;=eco,alpha*fck*(1-(1-E163/eco)^n),alpha*fck),0)</f>
      </c>
      <c r="G163" s="19">
        <f>F163*D163</f>
      </c>
      <c r="H163" s="19">
        <f>G163*C163</f>
      </c>
      <c r="I163" s="19">
        <f>G163*B163</f>
      </c>
      <c r="K163" s="37">
        <f>Eq_e0+Eq_kx*$C163+Eq_ky*$B163</f>
      </c>
      <c r="L163" s="20">
        <f>IF(K163&gt;0,IF(K163&lt;=eco,alpha*fck*(1-(1-K163/eco)^n),alpha*fck),0)</f>
      </c>
    </row>
    <row r="164" spans="1:12" x14ac:dyDescent="0.25">
      <c r="A164">
        <f>Mesh!A161</f>
      </c>
      <c r="B164" s="20">
        <f>Mesh!B161</f>
      </c>
      <c r="C164" s="20">
        <f>Mesh!C161</f>
      </c>
      <c r="D164" s="20">
        <f>Mesh!D161</f>
      </c>
      <c r="E164" s="37">
        <f>INDEX(St_e0,Det+1)+INDEX(St_kx,Det+1)*C164+INDEX(St_ky,Det+1)*B164</f>
      </c>
      <c r="F164" s="20">
        <f>IF(E164&gt;0,IF(E164&lt;=eco,alpha*fck*(1-(1-E164/eco)^n),alpha*fck),0)</f>
      </c>
      <c r="G164" s="19">
        <f>F164*D164</f>
      </c>
      <c r="H164" s="19">
        <f>G164*C164</f>
      </c>
      <c r="I164" s="19">
        <f>G164*B164</f>
      </c>
      <c r="K164" s="37">
        <f>Eq_e0+Eq_kx*$C164+Eq_ky*$B164</f>
      </c>
      <c r="L164" s="20">
        <f>IF(K164&gt;0,IF(K164&lt;=eco,alpha*fck*(1-(1-K164/eco)^n),alpha*fck),0)</f>
      </c>
    </row>
    <row r="165" spans="1:12" x14ac:dyDescent="0.25">
      <c r="A165">
        <f>Mesh!A162</f>
      </c>
      <c r="B165" s="20">
        <f>Mesh!B162</f>
      </c>
      <c r="C165" s="20">
        <f>Mesh!C162</f>
      </c>
      <c r="D165" s="20">
        <f>Mesh!D162</f>
      </c>
      <c r="E165" s="37">
        <f>INDEX(St_e0,Det+1)+INDEX(St_kx,Det+1)*C165+INDEX(St_ky,Det+1)*B165</f>
      </c>
      <c r="F165" s="20">
        <f>IF(E165&gt;0,IF(E165&lt;=eco,alpha*fck*(1-(1-E165/eco)^n),alpha*fck),0)</f>
      </c>
      <c r="G165" s="19">
        <f>F165*D165</f>
      </c>
      <c r="H165" s="19">
        <f>G165*C165</f>
      </c>
      <c r="I165" s="19">
        <f>G165*B165</f>
      </c>
      <c r="K165" s="37">
        <f>Eq_e0+Eq_kx*$C165+Eq_ky*$B165</f>
      </c>
      <c r="L165" s="20">
        <f>IF(K165&gt;0,IF(K165&lt;=eco,alpha*fck*(1-(1-K165/eco)^n),alpha*fck),0)</f>
      </c>
    </row>
    <row r="166" spans="1:12" x14ac:dyDescent="0.25">
      <c r="A166">
        <f>Mesh!A163</f>
      </c>
      <c r="B166" s="20">
        <f>Mesh!B163</f>
      </c>
      <c r="C166" s="20">
        <f>Mesh!C163</f>
      </c>
      <c r="D166" s="20">
        <f>Mesh!D163</f>
      </c>
      <c r="E166" s="37">
        <f>INDEX(St_e0,Det+1)+INDEX(St_kx,Det+1)*C166+INDEX(St_ky,Det+1)*B166</f>
      </c>
      <c r="F166" s="20">
        <f>IF(E166&gt;0,IF(E166&lt;=eco,alpha*fck*(1-(1-E166/eco)^n),alpha*fck),0)</f>
      </c>
      <c r="G166" s="19">
        <f>F166*D166</f>
      </c>
      <c r="H166" s="19">
        <f>G166*C166</f>
      </c>
      <c r="I166" s="19">
        <f>G166*B166</f>
      </c>
      <c r="K166" s="37">
        <f>Eq_e0+Eq_kx*$C166+Eq_ky*$B166</f>
      </c>
      <c r="L166" s="20">
        <f>IF(K166&gt;0,IF(K166&lt;=eco,alpha*fck*(1-(1-K166/eco)^n),alpha*fck),0)</f>
      </c>
    </row>
    <row r="167" spans="1:12" x14ac:dyDescent="0.25">
      <c r="A167">
        <f>Mesh!A164</f>
      </c>
      <c r="B167" s="20">
        <f>Mesh!B164</f>
      </c>
      <c r="C167" s="20">
        <f>Mesh!C164</f>
      </c>
      <c r="D167" s="20">
        <f>Mesh!D164</f>
      </c>
      <c r="E167" s="37">
        <f>INDEX(St_e0,Det+1)+INDEX(St_kx,Det+1)*C167+INDEX(St_ky,Det+1)*B167</f>
      </c>
      <c r="F167" s="20">
        <f>IF(E167&gt;0,IF(E167&lt;=eco,alpha*fck*(1-(1-E167/eco)^n),alpha*fck),0)</f>
      </c>
      <c r="G167" s="19">
        <f>F167*D167</f>
      </c>
      <c r="H167" s="19">
        <f>G167*C167</f>
      </c>
      <c r="I167" s="19">
        <f>G167*B167</f>
      </c>
      <c r="K167" s="37">
        <f>Eq_e0+Eq_kx*$C167+Eq_ky*$B167</f>
      </c>
      <c r="L167" s="20">
        <f>IF(K167&gt;0,IF(K167&lt;=eco,alpha*fck*(1-(1-K167/eco)^n),alpha*fck),0)</f>
      </c>
    </row>
    <row r="168" spans="1:12" x14ac:dyDescent="0.25">
      <c r="A168">
        <f>Mesh!A165</f>
      </c>
      <c r="B168" s="20">
        <f>Mesh!B165</f>
      </c>
      <c r="C168" s="20">
        <f>Mesh!C165</f>
      </c>
      <c r="D168" s="20">
        <f>Mesh!D165</f>
      </c>
      <c r="E168" s="37">
        <f>INDEX(St_e0,Det+1)+INDEX(St_kx,Det+1)*C168+INDEX(St_ky,Det+1)*B168</f>
      </c>
      <c r="F168" s="20">
        <f>IF(E168&gt;0,IF(E168&lt;=eco,alpha*fck*(1-(1-E168/eco)^n),alpha*fck),0)</f>
      </c>
      <c r="G168" s="19">
        <f>F168*D168</f>
      </c>
      <c r="H168" s="19">
        <f>G168*C168</f>
      </c>
      <c r="I168" s="19">
        <f>G168*B168</f>
      </c>
      <c r="K168" s="37">
        <f>Eq_e0+Eq_kx*$C168+Eq_ky*$B168</f>
      </c>
      <c r="L168" s="20">
        <f>IF(K168&gt;0,IF(K168&lt;=eco,alpha*fck*(1-(1-K168/eco)^n),alpha*fck),0)</f>
      </c>
    </row>
    <row r="169" spans="1:12" x14ac:dyDescent="0.25">
      <c r="A169">
        <f>Mesh!A166</f>
      </c>
      <c r="B169" s="20">
        <f>Mesh!B166</f>
      </c>
      <c r="C169" s="20">
        <f>Mesh!C166</f>
      </c>
      <c r="D169" s="20">
        <f>Mesh!D166</f>
      </c>
      <c r="E169" s="37">
        <f>INDEX(St_e0,Det+1)+INDEX(St_kx,Det+1)*C169+INDEX(St_ky,Det+1)*B169</f>
      </c>
      <c r="F169" s="20">
        <f>IF(E169&gt;0,IF(E169&lt;=eco,alpha*fck*(1-(1-E169/eco)^n),alpha*fck),0)</f>
      </c>
      <c r="G169" s="19">
        <f>F169*D169</f>
      </c>
      <c r="H169" s="19">
        <f>G169*C169</f>
      </c>
      <c r="I169" s="19">
        <f>G169*B169</f>
      </c>
      <c r="K169" s="37">
        <f>Eq_e0+Eq_kx*$C169+Eq_ky*$B169</f>
      </c>
      <c r="L169" s="20">
        <f>IF(K169&gt;0,IF(K169&lt;=eco,alpha*fck*(1-(1-K169/eco)^n),alpha*fck),0)</f>
      </c>
    </row>
    <row r="170" spans="1:12" x14ac:dyDescent="0.25">
      <c r="A170">
        <f>Mesh!A167</f>
      </c>
      <c r="B170" s="20">
        <f>Mesh!B167</f>
      </c>
      <c r="C170" s="20">
        <f>Mesh!C167</f>
      </c>
      <c r="D170" s="20">
        <f>Mesh!D167</f>
      </c>
      <c r="E170" s="37">
        <f>INDEX(St_e0,Det+1)+INDEX(St_kx,Det+1)*C170+INDEX(St_ky,Det+1)*B170</f>
      </c>
      <c r="F170" s="20">
        <f>IF(E170&gt;0,IF(E170&lt;=eco,alpha*fck*(1-(1-E170/eco)^n),alpha*fck),0)</f>
      </c>
      <c r="G170" s="19">
        <f>F170*D170</f>
      </c>
      <c r="H170" s="19">
        <f>G170*C170</f>
      </c>
      <c r="I170" s="19">
        <f>G170*B170</f>
      </c>
      <c r="K170" s="37">
        <f>Eq_e0+Eq_kx*$C170+Eq_ky*$B170</f>
      </c>
      <c r="L170" s="20">
        <f>IF(K170&gt;0,IF(K170&lt;=eco,alpha*fck*(1-(1-K170/eco)^n),alpha*fck),0)</f>
      </c>
    </row>
    <row r="171" spans="1:12" x14ac:dyDescent="0.25">
      <c r="A171">
        <f>Mesh!A168</f>
      </c>
      <c r="B171" s="20">
        <f>Mesh!B168</f>
      </c>
      <c r="C171" s="20">
        <f>Mesh!C168</f>
      </c>
      <c r="D171" s="20">
        <f>Mesh!D168</f>
      </c>
      <c r="E171" s="37">
        <f>INDEX(St_e0,Det+1)+INDEX(St_kx,Det+1)*C171+INDEX(St_ky,Det+1)*B171</f>
      </c>
      <c r="F171" s="20">
        <f>IF(E171&gt;0,IF(E171&lt;=eco,alpha*fck*(1-(1-E171/eco)^n),alpha*fck),0)</f>
      </c>
      <c r="G171" s="19">
        <f>F171*D171</f>
      </c>
      <c r="H171" s="19">
        <f>G171*C171</f>
      </c>
      <c r="I171" s="19">
        <f>G171*B171</f>
      </c>
      <c r="K171" s="37">
        <f>Eq_e0+Eq_kx*$C171+Eq_ky*$B171</f>
      </c>
      <c r="L171" s="20">
        <f>IF(K171&gt;0,IF(K171&lt;=eco,alpha*fck*(1-(1-K171/eco)^n),alpha*fck),0)</f>
      </c>
    </row>
    <row r="172" spans="1:12" x14ac:dyDescent="0.25">
      <c r="A172">
        <f>Mesh!A169</f>
      </c>
      <c r="B172" s="20">
        <f>Mesh!B169</f>
      </c>
      <c r="C172" s="20">
        <f>Mesh!C169</f>
      </c>
      <c r="D172" s="20">
        <f>Mesh!D169</f>
      </c>
      <c r="E172" s="37">
        <f>INDEX(St_e0,Det+1)+INDEX(St_kx,Det+1)*C172+INDEX(St_ky,Det+1)*B172</f>
      </c>
      <c r="F172" s="20">
        <f>IF(E172&gt;0,IF(E172&lt;=eco,alpha*fck*(1-(1-E172/eco)^n),alpha*fck),0)</f>
      </c>
      <c r="G172" s="19">
        <f>F172*D172</f>
      </c>
      <c r="H172" s="19">
        <f>G172*C172</f>
      </c>
      <c r="I172" s="19">
        <f>G172*B172</f>
      </c>
      <c r="K172" s="37">
        <f>Eq_e0+Eq_kx*$C172+Eq_ky*$B172</f>
      </c>
      <c r="L172" s="20">
        <f>IF(K172&gt;0,IF(K172&lt;=eco,alpha*fck*(1-(1-K172/eco)^n),alpha*fck),0)</f>
      </c>
    </row>
    <row r="173" spans="1:12" x14ac:dyDescent="0.25">
      <c r="A173">
        <f>Mesh!A170</f>
      </c>
      <c r="B173" s="20">
        <f>Mesh!B170</f>
      </c>
      <c r="C173" s="20">
        <f>Mesh!C170</f>
      </c>
      <c r="D173" s="20">
        <f>Mesh!D170</f>
      </c>
      <c r="E173" s="37">
        <f>INDEX(St_e0,Det+1)+INDEX(St_kx,Det+1)*C173+INDEX(St_ky,Det+1)*B173</f>
      </c>
      <c r="F173" s="20">
        <f>IF(E173&gt;0,IF(E173&lt;=eco,alpha*fck*(1-(1-E173/eco)^n),alpha*fck),0)</f>
      </c>
      <c r="G173" s="19">
        <f>F173*D173</f>
      </c>
      <c r="H173" s="19">
        <f>G173*C173</f>
      </c>
      <c r="I173" s="19">
        <f>G173*B173</f>
      </c>
      <c r="K173" s="37">
        <f>Eq_e0+Eq_kx*$C173+Eq_ky*$B173</f>
      </c>
      <c r="L173" s="20">
        <f>IF(K173&gt;0,IF(K173&lt;=eco,alpha*fck*(1-(1-K173/eco)^n),alpha*fck),0)</f>
      </c>
    </row>
    <row r="174" spans="1:12" x14ac:dyDescent="0.25">
      <c r="A174">
        <f>Mesh!A171</f>
      </c>
      <c r="B174" s="20">
        <f>Mesh!B171</f>
      </c>
      <c r="C174" s="20">
        <f>Mesh!C171</f>
      </c>
      <c r="D174" s="20">
        <f>Mesh!D171</f>
      </c>
      <c r="E174" s="37">
        <f>INDEX(St_e0,Det+1)+INDEX(St_kx,Det+1)*C174+INDEX(St_ky,Det+1)*B174</f>
      </c>
      <c r="F174" s="20">
        <f>IF(E174&gt;0,IF(E174&lt;=eco,alpha*fck*(1-(1-E174/eco)^n),alpha*fck),0)</f>
      </c>
      <c r="G174" s="19">
        <f>F174*D174</f>
      </c>
      <c r="H174" s="19">
        <f>G174*C174</f>
      </c>
      <c r="I174" s="19">
        <f>G174*B174</f>
      </c>
      <c r="K174" s="37">
        <f>Eq_e0+Eq_kx*$C174+Eq_ky*$B174</f>
      </c>
      <c r="L174" s="20">
        <f>IF(K174&gt;0,IF(K174&lt;=eco,alpha*fck*(1-(1-K174/eco)^n),alpha*fck),0)</f>
      </c>
    </row>
    <row r="175" spans="1:12" x14ac:dyDescent="0.25">
      <c r="A175">
        <f>Mesh!A172</f>
      </c>
      <c r="B175" s="20">
        <f>Mesh!B172</f>
      </c>
      <c r="C175" s="20">
        <f>Mesh!C172</f>
      </c>
      <c r="D175" s="20">
        <f>Mesh!D172</f>
      </c>
      <c r="E175" s="37">
        <f>INDEX(St_e0,Det+1)+INDEX(St_kx,Det+1)*C175+INDEX(St_ky,Det+1)*B175</f>
      </c>
      <c r="F175" s="20">
        <f>IF(E175&gt;0,IF(E175&lt;=eco,alpha*fck*(1-(1-E175/eco)^n),alpha*fck),0)</f>
      </c>
      <c r="G175" s="19">
        <f>F175*D175</f>
      </c>
      <c r="H175" s="19">
        <f>G175*C175</f>
      </c>
      <c r="I175" s="19">
        <f>G175*B175</f>
      </c>
      <c r="K175" s="37">
        <f>Eq_e0+Eq_kx*$C175+Eq_ky*$B175</f>
      </c>
      <c r="L175" s="20">
        <f>IF(K175&gt;0,IF(K175&lt;=eco,alpha*fck*(1-(1-K175/eco)^n),alpha*fck),0)</f>
      </c>
    </row>
    <row r="176" spans="1:12" x14ac:dyDescent="0.25">
      <c r="A176">
        <f>Mesh!A173</f>
      </c>
      <c r="B176" s="20">
        <f>Mesh!B173</f>
      </c>
      <c r="C176" s="20">
        <f>Mesh!C173</f>
      </c>
      <c r="D176" s="20">
        <f>Mesh!D173</f>
      </c>
      <c r="E176" s="37">
        <f>INDEX(St_e0,Det+1)+INDEX(St_kx,Det+1)*C176+INDEX(St_ky,Det+1)*B176</f>
      </c>
      <c r="F176" s="20">
        <f>IF(E176&gt;0,IF(E176&lt;=eco,alpha*fck*(1-(1-E176/eco)^n),alpha*fck),0)</f>
      </c>
      <c r="G176" s="19">
        <f>F176*D176</f>
      </c>
      <c r="H176" s="19">
        <f>G176*C176</f>
      </c>
      <c r="I176" s="19">
        <f>G176*B176</f>
      </c>
      <c r="K176" s="37">
        <f>Eq_e0+Eq_kx*$C176+Eq_ky*$B176</f>
      </c>
      <c r="L176" s="20">
        <f>IF(K176&gt;0,IF(K176&lt;=eco,alpha*fck*(1-(1-K176/eco)^n),alpha*fck),0)</f>
      </c>
    </row>
    <row r="177" spans="1:12" x14ac:dyDescent="0.25">
      <c r="A177">
        <f>Mesh!A174</f>
      </c>
      <c r="B177" s="20">
        <f>Mesh!B174</f>
      </c>
      <c r="C177" s="20">
        <f>Mesh!C174</f>
      </c>
      <c r="D177" s="20">
        <f>Mesh!D174</f>
      </c>
      <c r="E177" s="37">
        <f>INDEX(St_e0,Det+1)+INDEX(St_kx,Det+1)*C177+INDEX(St_ky,Det+1)*B177</f>
      </c>
      <c r="F177" s="20">
        <f>IF(E177&gt;0,IF(E177&lt;=eco,alpha*fck*(1-(1-E177/eco)^n),alpha*fck),0)</f>
      </c>
      <c r="G177" s="19">
        <f>F177*D177</f>
      </c>
      <c r="H177" s="19">
        <f>G177*C177</f>
      </c>
      <c r="I177" s="19">
        <f>G177*B177</f>
      </c>
      <c r="K177" s="37">
        <f>Eq_e0+Eq_kx*$C177+Eq_ky*$B177</f>
      </c>
      <c r="L177" s="20">
        <f>IF(K177&gt;0,IF(K177&lt;=eco,alpha*fck*(1-(1-K177/eco)^n),alpha*fck),0)</f>
      </c>
    </row>
    <row r="178" spans="1:12" x14ac:dyDescent="0.25">
      <c r="A178">
        <f>Mesh!A175</f>
      </c>
      <c r="B178" s="20">
        <f>Mesh!B175</f>
      </c>
      <c r="C178" s="20">
        <f>Mesh!C175</f>
      </c>
      <c r="D178" s="20">
        <f>Mesh!D175</f>
      </c>
      <c r="E178" s="37">
        <f>INDEX(St_e0,Det+1)+INDEX(St_kx,Det+1)*C178+INDEX(St_ky,Det+1)*B178</f>
      </c>
      <c r="F178" s="20">
        <f>IF(E178&gt;0,IF(E178&lt;=eco,alpha*fck*(1-(1-E178/eco)^n),alpha*fck),0)</f>
      </c>
      <c r="G178" s="19">
        <f>F178*D178</f>
      </c>
      <c r="H178" s="19">
        <f>G178*C178</f>
      </c>
      <c r="I178" s="19">
        <f>G178*B178</f>
      </c>
      <c r="K178" s="37">
        <f>Eq_e0+Eq_kx*$C178+Eq_ky*$B178</f>
      </c>
      <c r="L178" s="20">
        <f>IF(K178&gt;0,IF(K178&lt;=eco,alpha*fck*(1-(1-K178/eco)^n),alpha*fck),0)</f>
      </c>
    </row>
    <row r="179" spans="1:12" x14ac:dyDescent="0.25">
      <c r="A179">
        <f>Mesh!A176</f>
      </c>
      <c r="B179" s="20">
        <f>Mesh!B176</f>
      </c>
      <c r="C179" s="20">
        <f>Mesh!C176</f>
      </c>
      <c r="D179" s="20">
        <f>Mesh!D176</f>
      </c>
      <c r="E179" s="37">
        <f>INDEX(St_e0,Det+1)+INDEX(St_kx,Det+1)*C179+INDEX(St_ky,Det+1)*B179</f>
      </c>
      <c r="F179" s="20">
        <f>IF(E179&gt;0,IF(E179&lt;=eco,alpha*fck*(1-(1-E179/eco)^n),alpha*fck),0)</f>
      </c>
      <c r="G179" s="19">
        <f>F179*D179</f>
      </c>
      <c r="H179" s="19">
        <f>G179*C179</f>
      </c>
      <c r="I179" s="19">
        <f>G179*B179</f>
      </c>
      <c r="K179" s="37">
        <f>Eq_e0+Eq_kx*$C179+Eq_ky*$B179</f>
      </c>
      <c r="L179" s="20">
        <f>IF(K179&gt;0,IF(K179&lt;=eco,alpha*fck*(1-(1-K179/eco)^n),alpha*fck),0)</f>
      </c>
    </row>
    <row r="180" spans="1:12" x14ac:dyDescent="0.25">
      <c r="A180">
        <f>Mesh!A177</f>
      </c>
      <c r="B180" s="20">
        <f>Mesh!B177</f>
      </c>
      <c r="C180" s="20">
        <f>Mesh!C177</f>
      </c>
      <c r="D180" s="20">
        <f>Mesh!D177</f>
      </c>
      <c r="E180" s="37">
        <f>INDEX(St_e0,Det+1)+INDEX(St_kx,Det+1)*C180+INDEX(St_ky,Det+1)*B180</f>
      </c>
      <c r="F180" s="20">
        <f>IF(E180&gt;0,IF(E180&lt;=eco,alpha*fck*(1-(1-E180/eco)^n),alpha*fck),0)</f>
      </c>
      <c r="G180" s="19">
        <f>F180*D180</f>
      </c>
      <c r="H180" s="19">
        <f>G180*C180</f>
      </c>
      <c r="I180" s="19">
        <f>G180*B180</f>
      </c>
      <c r="K180" s="37">
        <f>Eq_e0+Eq_kx*$C180+Eq_ky*$B180</f>
      </c>
      <c r="L180" s="20">
        <f>IF(K180&gt;0,IF(K180&lt;=eco,alpha*fck*(1-(1-K180/eco)^n),alpha*fck),0)</f>
      </c>
    </row>
    <row r="181" spans="1:12" x14ac:dyDescent="0.25">
      <c r="A181">
        <f>Mesh!A178</f>
      </c>
      <c r="B181" s="20">
        <f>Mesh!B178</f>
      </c>
      <c r="C181" s="20">
        <f>Mesh!C178</f>
      </c>
      <c r="D181" s="20">
        <f>Mesh!D178</f>
      </c>
      <c r="E181" s="37">
        <f>INDEX(St_e0,Det+1)+INDEX(St_kx,Det+1)*C181+INDEX(St_ky,Det+1)*B181</f>
      </c>
      <c r="F181" s="20">
        <f>IF(E181&gt;0,IF(E181&lt;=eco,alpha*fck*(1-(1-E181/eco)^n),alpha*fck),0)</f>
      </c>
      <c r="G181" s="19">
        <f>F181*D181</f>
      </c>
      <c r="H181" s="19">
        <f>G181*C181</f>
      </c>
      <c r="I181" s="19">
        <f>G181*B181</f>
      </c>
      <c r="K181" s="37">
        <f>Eq_e0+Eq_kx*$C181+Eq_ky*$B181</f>
      </c>
      <c r="L181" s="20">
        <f>IF(K181&gt;0,IF(K181&lt;=eco,alpha*fck*(1-(1-K181/eco)^n),alpha*fck),0)</f>
      </c>
    </row>
    <row r="182" spans="1:12" x14ac:dyDescent="0.25">
      <c r="A182">
        <f>Mesh!A179</f>
      </c>
      <c r="B182" s="20">
        <f>Mesh!B179</f>
      </c>
      <c r="C182" s="20">
        <f>Mesh!C179</f>
      </c>
      <c r="D182" s="20">
        <f>Mesh!D179</f>
      </c>
      <c r="E182" s="37">
        <f>INDEX(St_e0,Det+1)+INDEX(St_kx,Det+1)*C182+INDEX(St_ky,Det+1)*B182</f>
      </c>
      <c r="F182" s="20">
        <f>IF(E182&gt;0,IF(E182&lt;=eco,alpha*fck*(1-(1-E182/eco)^n),alpha*fck),0)</f>
      </c>
      <c r="G182" s="19">
        <f>F182*D182</f>
      </c>
      <c r="H182" s="19">
        <f>G182*C182</f>
      </c>
      <c r="I182" s="19">
        <f>G182*B182</f>
      </c>
      <c r="K182" s="37">
        <f>Eq_e0+Eq_kx*$C182+Eq_ky*$B182</f>
      </c>
      <c r="L182" s="20">
        <f>IF(K182&gt;0,IF(K182&lt;=eco,alpha*fck*(1-(1-K182/eco)^n),alpha*fck),0)</f>
      </c>
    </row>
    <row r="183" spans="1:12" x14ac:dyDescent="0.25">
      <c r="A183">
        <f>Mesh!A180</f>
      </c>
      <c r="B183" s="20">
        <f>Mesh!B180</f>
      </c>
      <c r="C183" s="20">
        <f>Mesh!C180</f>
      </c>
      <c r="D183" s="20">
        <f>Mesh!D180</f>
      </c>
      <c r="E183" s="37">
        <f>INDEX(St_e0,Det+1)+INDEX(St_kx,Det+1)*C183+INDEX(St_ky,Det+1)*B183</f>
      </c>
      <c r="F183" s="20">
        <f>IF(E183&gt;0,IF(E183&lt;=eco,alpha*fck*(1-(1-E183/eco)^n),alpha*fck),0)</f>
      </c>
      <c r="G183" s="19">
        <f>F183*D183</f>
      </c>
      <c r="H183" s="19">
        <f>G183*C183</f>
      </c>
      <c r="I183" s="19">
        <f>G183*B183</f>
      </c>
      <c r="K183" s="37">
        <f>Eq_e0+Eq_kx*$C183+Eq_ky*$B183</f>
      </c>
      <c r="L183" s="20">
        <f>IF(K183&gt;0,IF(K183&lt;=eco,alpha*fck*(1-(1-K183/eco)^n),alpha*fck),0)</f>
      </c>
    </row>
    <row r="184" spans="1:12" x14ac:dyDescent="0.25">
      <c r="A184">
        <f>Mesh!A181</f>
      </c>
      <c r="B184" s="20">
        <f>Mesh!B181</f>
      </c>
      <c r="C184" s="20">
        <f>Mesh!C181</f>
      </c>
      <c r="D184" s="20">
        <f>Mesh!D181</f>
      </c>
      <c r="E184" s="37">
        <f>INDEX(St_e0,Det+1)+INDEX(St_kx,Det+1)*C184+INDEX(St_ky,Det+1)*B184</f>
      </c>
      <c r="F184" s="20">
        <f>IF(E184&gt;0,IF(E184&lt;=eco,alpha*fck*(1-(1-E184/eco)^n),alpha*fck),0)</f>
      </c>
      <c r="G184" s="19">
        <f>F184*D184</f>
      </c>
      <c r="H184" s="19">
        <f>G184*C184</f>
      </c>
      <c r="I184" s="19">
        <f>G184*B184</f>
      </c>
      <c r="K184" s="37">
        <f>Eq_e0+Eq_kx*$C184+Eq_ky*$B184</f>
      </c>
      <c r="L184" s="20">
        <f>IF(K184&gt;0,IF(K184&lt;=eco,alpha*fck*(1-(1-K184/eco)^n),alpha*fck),0)</f>
      </c>
    </row>
    <row r="185" spans="1:12" x14ac:dyDescent="0.25">
      <c r="A185">
        <f>Mesh!A182</f>
      </c>
      <c r="B185" s="20">
        <f>Mesh!B182</f>
      </c>
      <c r="C185" s="20">
        <f>Mesh!C182</f>
      </c>
      <c r="D185" s="20">
        <f>Mesh!D182</f>
      </c>
      <c r="E185" s="37">
        <f>INDEX(St_e0,Det+1)+INDEX(St_kx,Det+1)*C185+INDEX(St_ky,Det+1)*B185</f>
      </c>
      <c r="F185" s="20">
        <f>IF(E185&gt;0,IF(E185&lt;=eco,alpha*fck*(1-(1-E185/eco)^n),alpha*fck),0)</f>
      </c>
      <c r="G185" s="19">
        <f>F185*D185</f>
      </c>
      <c r="H185" s="19">
        <f>G185*C185</f>
      </c>
      <c r="I185" s="19">
        <f>G185*B185</f>
      </c>
      <c r="K185" s="37">
        <f>Eq_e0+Eq_kx*$C185+Eq_ky*$B185</f>
      </c>
      <c r="L185" s="20">
        <f>IF(K185&gt;0,IF(K185&lt;=eco,alpha*fck*(1-(1-K185/eco)^n),alpha*fck),0)</f>
      </c>
    </row>
    <row r="186" spans="1:12" x14ac:dyDescent="0.25">
      <c r="A186">
        <f>Mesh!A183</f>
      </c>
      <c r="B186" s="20">
        <f>Mesh!B183</f>
      </c>
      <c r="C186" s="20">
        <f>Mesh!C183</f>
      </c>
      <c r="D186" s="20">
        <f>Mesh!D183</f>
      </c>
      <c r="E186" s="37">
        <f>INDEX(St_e0,Det+1)+INDEX(St_kx,Det+1)*C186+INDEX(St_ky,Det+1)*B186</f>
      </c>
      <c r="F186" s="20">
        <f>IF(E186&gt;0,IF(E186&lt;=eco,alpha*fck*(1-(1-E186/eco)^n),alpha*fck),0)</f>
      </c>
      <c r="G186" s="19">
        <f>F186*D186</f>
      </c>
      <c r="H186" s="19">
        <f>G186*C186</f>
      </c>
      <c r="I186" s="19">
        <f>G186*B186</f>
      </c>
      <c r="K186" s="37">
        <f>Eq_e0+Eq_kx*$C186+Eq_ky*$B186</f>
      </c>
      <c r="L186" s="20">
        <f>IF(K186&gt;0,IF(K186&lt;=eco,alpha*fck*(1-(1-K186/eco)^n),alpha*fck),0)</f>
      </c>
    </row>
    <row r="187" spans="1:12" x14ac:dyDescent="0.25">
      <c r="A187">
        <f>Mesh!A184</f>
      </c>
      <c r="B187" s="20">
        <f>Mesh!B184</f>
      </c>
      <c r="C187" s="20">
        <f>Mesh!C184</f>
      </c>
      <c r="D187" s="20">
        <f>Mesh!D184</f>
      </c>
      <c r="E187" s="37">
        <f>INDEX(St_e0,Det+1)+INDEX(St_kx,Det+1)*C187+INDEX(St_ky,Det+1)*B187</f>
      </c>
      <c r="F187" s="20">
        <f>IF(E187&gt;0,IF(E187&lt;=eco,alpha*fck*(1-(1-E187/eco)^n),alpha*fck),0)</f>
      </c>
      <c r="G187" s="19">
        <f>F187*D187</f>
      </c>
      <c r="H187" s="19">
        <f>G187*C187</f>
      </c>
      <c r="I187" s="19">
        <f>G187*B187</f>
      </c>
      <c r="K187" s="37">
        <f>Eq_e0+Eq_kx*$C187+Eq_ky*$B187</f>
      </c>
      <c r="L187" s="20">
        <f>IF(K187&gt;0,IF(K187&lt;=eco,alpha*fck*(1-(1-K187/eco)^n),alpha*fck),0)</f>
      </c>
    </row>
    <row r="188" spans="1:12" x14ac:dyDescent="0.25">
      <c r="A188">
        <f>Mesh!A185</f>
      </c>
      <c r="B188" s="20">
        <f>Mesh!B185</f>
      </c>
      <c r="C188" s="20">
        <f>Mesh!C185</f>
      </c>
      <c r="D188" s="20">
        <f>Mesh!D185</f>
      </c>
      <c r="E188" s="37">
        <f>INDEX(St_e0,Det+1)+INDEX(St_kx,Det+1)*C188+INDEX(St_ky,Det+1)*B188</f>
      </c>
      <c r="F188" s="20">
        <f>IF(E188&gt;0,IF(E188&lt;=eco,alpha*fck*(1-(1-E188/eco)^n),alpha*fck),0)</f>
      </c>
      <c r="G188" s="19">
        <f>F188*D188</f>
      </c>
      <c r="H188" s="19">
        <f>G188*C188</f>
      </c>
      <c r="I188" s="19">
        <f>G188*B188</f>
      </c>
      <c r="K188" s="37">
        <f>Eq_e0+Eq_kx*$C188+Eq_ky*$B188</f>
      </c>
      <c r="L188" s="20">
        <f>IF(K188&gt;0,IF(K188&lt;=eco,alpha*fck*(1-(1-K188/eco)^n),alpha*fck),0)</f>
      </c>
    </row>
    <row r="189" spans="1:12" x14ac:dyDescent="0.25">
      <c r="A189">
        <f>Mesh!A186</f>
      </c>
      <c r="B189" s="20">
        <f>Mesh!B186</f>
      </c>
      <c r="C189" s="20">
        <f>Mesh!C186</f>
      </c>
      <c r="D189" s="20">
        <f>Mesh!D186</f>
      </c>
      <c r="E189" s="37">
        <f>INDEX(St_e0,Det+1)+INDEX(St_kx,Det+1)*C189+INDEX(St_ky,Det+1)*B189</f>
      </c>
      <c r="F189" s="20">
        <f>IF(E189&gt;0,IF(E189&lt;=eco,alpha*fck*(1-(1-E189/eco)^n),alpha*fck),0)</f>
      </c>
      <c r="G189" s="19">
        <f>F189*D189</f>
      </c>
      <c r="H189" s="19">
        <f>G189*C189</f>
      </c>
      <c r="I189" s="19">
        <f>G189*B189</f>
      </c>
      <c r="K189" s="37">
        <f>Eq_e0+Eq_kx*$C189+Eq_ky*$B189</f>
      </c>
      <c r="L189" s="20">
        <f>IF(K189&gt;0,IF(K189&lt;=eco,alpha*fck*(1-(1-K189/eco)^n),alpha*fck),0)</f>
      </c>
    </row>
    <row r="190" spans="1:12" x14ac:dyDescent="0.25">
      <c r="A190">
        <f>Mesh!A187</f>
      </c>
      <c r="B190" s="20">
        <f>Mesh!B187</f>
      </c>
      <c r="C190" s="20">
        <f>Mesh!C187</f>
      </c>
      <c r="D190" s="20">
        <f>Mesh!D187</f>
      </c>
      <c r="E190" s="37">
        <f>INDEX(St_e0,Det+1)+INDEX(St_kx,Det+1)*C190+INDEX(St_ky,Det+1)*B190</f>
      </c>
      <c r="F190" s="20">
        <f>IF(E190&gt;0,IF(E190&lt;=eco,alpha*fck*(1-(1-E190/eco)^n),alpha*fck),0)</f>
      </c>
      <c r="G190" s="19">
        <f>F190*D190</f>
      </c>
      <c r="H190" s="19">
        <f>G190*C190</f>
      </c>
      <c r="I190" s="19">
        <f>G190*B190</f>
      </c>
      <c r="K190" s="37">
        <f>Eq_e0+Eq_kx*$C190+Eq_ky*$B190</f>
      </c>
      <c r="L190" s="20">
        <f>IF(K190&gt;0,IF(K190&lt;=eco,alpha*fck*(1-(1-K190/eco)^n),alpha*fck),0)</f>
      </c>
    </row>
    <row r="191" spans="1:12" x14ac:dyDescent="0.25">
      <c r="A191">
        <f>Mesh!A188</f>
      </c>
      <c r="B191" s="20">
        <f>Mesh!B188</f>
      </c>
      <c r="C191" s="20">
        <f>Mesh!C188</f>
      </c>
      <c r="D191" s="20">
        <f>Mesh!D188</f>
      </c>
      <c r="E191" s="37">
        <f>INDEX(St_e0,Det+1)+INDEX(St_kx,Det+1)*C191+INDEX(St_ky,Det+1)*B191</f>
      </c>
      <c r="F191" s="20">
        <f>IF(E191&gt;0,IF(E191&lt;=eco,alpha*fck*(1-(1-E191/eco)^n),alpha*fck),0)</f>
      </c>
      <c r="G191" s="19">
        <f>F191*D191</f>
      </c>
      <c r="H191" s="19">
        <f>G191*C191</f>
      </c>
      <c r="I191" s="19">
        <f>G191*B191</f>
      </c>
      <c r="K191" s="37">
        <f>Eq_e0+Eq_kx*$C191+Eq_ky*$B191</f>
      </c>
      <c r="L191" s="20">
        <f>IF(K191&gt;0,IF(K191&lt;=eco,alpha*fck*(1-(1-K191/eco)^n),alpha*fck),0)</f>
      </c>
    </row>
    <row r="192" spans="1:12" x14ac:dyDescent="0.25">
      <c r="A192">
        <f>Mesh!A189</f>
      </c>
      <c r="B192" s="20">
        <f>Mesh!B189</f>
      </c>
      <c r="C192" s="20">
        <f>Mesh!C189</f>
      </c>
      <c r="D192" s="20">
        <f>Mesh!D189</f>
      </c>
      <c r="E192" s="37">
        <f>INDEX(St_e0,Det+1)+INDEX(St_kx,Det+1)*C192+INDEX(St_ky,Det+1)*B192</f>
      </c>
      <c r="F192" s="20">
        <f>IF(E192&gt;0,IF(E192&lt;=eco,alpha*fck*(1-(1-E192/eco)^n),alpha*fck),0)</f>
      </c>
      <c r="G192" s="19">
        <f>F192*D192</f>
      </c>
      <c r="H192" s="19">
        <f>G192*C192</f>
      </c>
      <c r="I192" s="19">
        <f>G192*B192</f>
      </c>
      <c r="K192" s="37">
        <f>Eq_e0+Eq_kx*$C192+Eq_ky*$B192</f>
      </c>
      <c r="L192" s="20">
        <f>IF(K192&gt;0,IF(K192&lt;=eco,alpha*fck*(1-(1-K192/eco)^n),alpha*fck),0)</f>
      </c>
    </row>
    <row r="193" spans="1:12" x14ac:dyDescent="0.25">
      <c r="A193">
        <f>Mesh!A190</f>
      </c>
      <c r="B193" s="20">
        <f>Mesh!B190</f>
      </c>
      <c r="C193" s="20">
        <f>Mesh!C190</f>
      </c>
      <c r="D193" s="20">
        <f>Mesh!D190</f>
      </c>
      <c r="E193" s="37">
        <f>INDEX(St_e0,Det+1)+INDEX(St_kx,Det+1)*C193+INDEX(St_ky,Det+1)*B193</f>
      </c>
      <c r="F193" s="20">
        <f>IF(E193&gt;0,IF(E193&lt;=eco,alpha*fck*(1-(1-E193/eco)^n),alpha*fck),0)</f>
      </c>
      <c r="G193" s="19">
        <f>F193*D193</f>
      </c>
      <c r="H193" s="19">
        <f>G193*C193</f>
      </c>
      <c r="I193" s="19">
        <f>G193*B193</f>
      </c>
      <c r="K193" s="37">
        <f>Eq_e0+Eq_kx*$C193+Eq_ky*$B193</f>
      </c>
      <c r="L193" s="20">
        <f>IF(K193&gt;0,IF(K193&lt;=eco,alpha*fck*(1-(1-K193/eco)^n),alpha*fck),0)</f>
      </c>
    </row>
    <row r="194" spans="1:12" x14ac:dyDescent="0.25">
      <c r="A194">
        <f>Mesh!A191</f>
      </c>
      <c r="B194" s="20">
        <f>Mesh!B191</f>
      </c>
      <c r="C194" s="20">
        <f>Mesh!C191</f>
      </c>
      <c r="D194" s="20">
        <f>Mesh!D191</f>
      </c>
      <c r="E194" s="37">
        <f>INDEX(St_e0,Det+1)+INDEX(St_kx,Det+1)*C194+INDEX(St_ky,Det+1)*B194</f>
      </c>
      <c r="F194" s="20">
        <f>IF(E194&gt;0,IF(E194&lt;=eco,alpha*fck*(1-(1-E194/eco)^n),alpha*fck),0)</f>
      </c>
      <c r="G194" s="19">
        <f>F194*D194</f>
      </c>
      <c r="H194" s="19">
        <f>G194*C194</f>
      </c>
      <c r="I194" s="19">
        <f>G194*B194</f>
      </c>
      <c r="K194" s="37">
        <f>Eq_e0+Eq_kx*$C194+Eq_ky*$B194</f>
      </c>
      <c r="L194" s="20">
        <f>IF(K194&gt;0,IF(K194&lt;=eco,alpha*fck*(1-(1-K194/eco)^n),alpha*fck),0)</f>
      </c>
    </row>
    <row r="195" spans="1:12" x14ac:dyDescent="0.25">
      <c r="A195">
        <f>Mesh!A192</f>
      </c>
      <c r="B195" s="20">
        <f>Mesh!B192</f>
      </c>
      <c r="C195" s="20">
        <f>Mesh!C192</f>
      </c>
      <c r="D195" s="20">
        <f>Mesh!D192</f>
      </c>
      <c r="E195" s="37">
        <f>INDEX(St_e0,Det+1)+INDEX(St_kx,Det+1)*C195+INDEX(St_ky,Det+1)*B195</f>
      </c>
      <c r="F195" s="20">
        <f>IF(E195&gt;0,IF(E195&lt;=eco,alpha*fck*(1-(1-E195/eco)^n),alpha*fck),0)</f>
      </c>
      <c r="G195" s="19">
        <f>F195*D195</f>
      </c>
      <c r="H195" s="19">
        <f>G195*C195</f>
      </c>
      <c r="I195" s="19">
        <f>G195*B195</f>
      </c>
      <c r="K195" s="37">
        <f>Eq_e0+Eq_kx*$C195+Eq_ky*$B195</f>
      </c>
      <c r="L195" s="20">
        <f>IF(K195&gt;0,IF(K195&lt;=eco,alpha*fck*(1-(1-K195/eco)^n),alpha*fck),0)</f>
      </c>
    </row>
    <row r="196" spans="1:12" x14ac:dyDescent="0.25">
      <c r="A196">
        <f>Mesh!A193</f>
      </c>
      <c r="B196" s="20">
        <f>Mesh!B193</f>
      </c>
      <c r="C196" s="20">
        <f>Mesh!C193</f>
      </c>
      <c r="D196" s="20">
        <f>Mesh!D193</f>
      </c>
      <c r="E196" s="37">
        <f>INDEX(St_e0,Det+1)+INDEX(St_kx,Det+1)*C196+INDEX(St_ky,Det+1)*B196</f>
      </c>
      <c r="F196" s="20">
        <f>IF(E196&gt;0,IF(E196&lt;=eco,alpha*fck*(1-(1-E196/eco)^n),alpha*fck),0)</f>
      </c>
      <c r="G196" s="19">
        <f>F196*D196</f>
      </c>
      <c r="H196" s="19">
        <f>G196*C196</f>
      </c>
      <c r="I196" s="19">
        <f>G196*B196</f>
      </c>
      <c r="K196" s="37">
        <f>Eq_e0+Eq_kx*$C196+Eq_ky*$B196</f>
      </c>
      <c r="L196" s="20">
        <f>IF(K196&gt;0,IF(K196&lt;=eco,alpha*fck*(1-(1-K196/eco)^n),alpha*fck),0)</f>
      </c>
    </row>
    <row r="197" spans="1:12" x14ac:dyDescent="0.25">
      <c r="A197">
        <f>Mesh!A194</f>
      </c>
      <c r="B197" s="20">
        <f>Mesh!B194</f>
      </c>
      <c r="C197" s="20">
        <f>Mesh!C194</f>
      </c>
      <c r="D197" s="20">
        <f>Mesh!D194</f>
      </c>
      <c r="E197" s="37">
        <f>INDEX(St_e0,Det+1)+INDEX(St_kx,Det+1)*C197+INDEX(St_ky,Det+1)*B197</f>
      </c>
      <c r="F197" s="20">
        <f>IF(E197&gt;0,IF(E197&lt;=eco,alpha*fck*(1-(1-E197/eco)^n),alpha*fck),0)</f>
      </c>
      <c r="G197" s="19">
        <f>F197*D197</f>
      </c>
      <c r="H197" s="19">
        <f>G197*C197</f>
      </c>
      <c r="I197" s="19">
        <f>G197*B197</f>
      </c>
      <c r="K197" s="37">
        <f>Eq_e0+Eq_kx*$C197+Eq_ky*$B197</f>
      </c>
      <c r="L197" s="20">
        <f>IF(K197&gt;0,IF(K197&lt;=eco,alpha*fck*(1-(1-K197/eco)^n),alpha*fck),0)</f>
      </c>
    </row>
    <row r="198" spans="1:12" x14ac:dyDescent="0.25">
      <c r="A198">
        <f>Mesh!A195</f>
      </c>
      <c r="B198" s="20">
        <f>Mesh!B195</f>
      </c>
      <c r="C198" s="20">
        <f>Mesh!C195</f>
      </c>
      <c r="D198" s="20">
        <f>Mesh!D195</f>
      </c>
      <c r="E198" s="37">
        <f>INDEX(St_e0,Det+1)+INDEX(St_kx,Det+1)*C198+INDEX(St_ky,Det+1)*B198</f>
      </c>
      <c r="F198" s="20">
        <f>IF(E198&gt;0,IF(E198&lt;=eco,alpha*fck*(1-(1-E198/eco)^n),alpha*fck),0)</f>
      </c>
      <c r="G198" s="19">
        <f>F198*D198</f>
      </c>
      <c r="H198" s="19">
        <f>G198*C198</f>
      </c>
      <c r="I198" s="19">
        <f>G198*B198</f>
      </c>
      <c r="K198" s="37">
        <f>Eq_e0+Eq_kx*$C198+Eq_ky*$B198</f>
      </c>
      <c r="L198" s="20">
        <f>IF(K198&gt;0,IF(K198&lt;=eco,alpha*fck*(1-(1-K198/eco)^n),alpha*fck),0)</f>
      </c>
    </row>
    <row r="199" spans="1:12" x14ac:dyDescent="0.25">
      <c r="A199">
        <f>Mesh!A196</f>
      </c>
      <c r="B199" s="20">
        <f>Mesh!B196</f>
      </c>
      <c r="C199" s="20">
        <f>Mesh!C196</f>
      </c>
      <c r="D199" s="20">
        <f>Mesh!D196</f>
      </c>
      <c r="E199" s="37">
        <f>INDEX(St_e0,Det+1)+INDEX(St_kx,Det+1)*C199+INDEX(St_ky,Det+1)*B199</f>
      </c>
      <c r="F199" s="20">
        <f>IF(E199&gt;0,IF(E199&lt;=eco,alpha*fck*(1-(1-E199/eco)^n),alpha*fck),0)</f>
      </c>
      <c r="G199" s="19">
        <f>F199*D199</f>
      </c>
      <c r="H199" s="19">
        <f>G199*C199</f>
      </c>
      <c r="I199" s="19">
        <f>G199*B199</f>
      </c>
      <c r="K199" s="37">
        <f>Eq_e0+Eq_kx*$C199+Eq_ky*$B199</f>
      </c>
      <c r="L199" s="20">
        <f>IF(K199&gt;0,IF(K199&lt;=eco,alpha*fck*(1-(1-K199/eco)^n),alpha*fck),0)</f>
      </c>
    </row>
    <row r="200" spans="1:12" x14ac:dyDescent="0.25">
      <c r="A200">
        <f>Mesh!A197</f>
      </c>
      <c r="B200" s="20">
        <f>Mesh!B197</f>
      </c>
      <c r="C200" s="20">
        <f>Mesh!C197</f>
      </c>
      <c r="D200" s="20">
        <f>Mesh!D197</f>
      </c>
      <c r="E200" s="37">
        <f>INDEX(St_e0,Det+1)+INDEX(St_kx,Det+1)*C200+INDEX(St_ky,Det+1)*B200</f>
      </c>
      <c r="F200" s="20">
        <f>IF(E200&gt;0,IF(E200&lt;=eco,alpha*fck*(1-(1-E200/eco)^n),alpha*fck),0)</f>
      </c>
      <c r="G200" s="19">
        <f>F200*D200</f>
      </c>
      <c r="H200" s="19">
        <f>G200*C200</f>
      </c>
      <c r="I200" s="19">
        <f>G200*B200</f>
      </c>
      <c r="K200" s="37">
        <f>Eq_e0+Eq_kx*$C200+Eq_ky*$B200</f>
      </c>
      <c r="L200" s="20">
        <f>IF(K200&gt;0,IF(K200&lt;=eco,alpha*fck*(1-(1-K200/eco)^n),alpha*fck),0)</f>
      </c>
    </row>
    <row r="201" spans="1:12" x14ac:dyDescent="0.25">
      <c r="A201">
        <f>Mesh!A198</f>
      </c>
      <c r="B201" s="20">
        <f>Mesh!B198</f>
      </c>
      <c r="C201" s="20">
        <f>Mesh!C198</f>
      </c>
      <c r="D201" s="20">
        <f>Mesh!D198</f>
      </c>
      <c r="E201" s="37">
        <f>INDEX(St_e0,Det+1)+INDEX(St_kx,Det+1)*C201+INDEX(St_ky,Det+1)*B201</f>
      </c>
      <c r="F201" s="20">
        <f>IF(E201&gt;0,IF(E201&lt;=eco,alpha*fck*(1-(1-E201/eco)^n),alpha*fck),0)</f>
      </c>
      <c r="G201" s="19">
        <f>F201*D201</f>
      </c>
      <c r="H201" s="19">
        <f>G201*C201</f>
      </c>
      <c r="I201" s="19">
        <f>G201*B201</f>
      </c>
      <c r="K201" s="37">
        <f>Eq_e0+Eq_kx*$C201+Eq_ky*$B201</f>
      </c>
      <c r="L201" s="20">
        <f>IF(K201&gt;0,IF(K201&lt;=eco,alpha*fck*(1-(1-K201/eco)^n),alpha*fck),0)</f>
      </c>
    </row>
    <row r="202" spans="1:12" x14ac:dyDescent="0.25">
      <c r="A202">
        <f>Mesh!A199</f>
      </c>
      <c r="B202" s="20">
        <f>Mesh!B199</f>
      </c>
      <c r="C202" s="20">
        <f>Mesh!C199</f>
      </c>
      <c r="D202" s="20">
        <f>Mesh!D199</f>
      </c>
      <c r="E202" s="37">
        <f>INDEX(St_e0,Det+1)+INDEX(St_kx,Det+1)*C202+INDEX(St_ky,Det+1)*B202</f>
      </c>
      <c r="F202" s="20">
        <f>IF(E202&gt;0,IF(E202&lt;=eco,alpha*fck*(1-(1-E202/eco)^n),alpha*fck),0)</f>
      </c>
      <c r="G202" s="19">
        <f>F202*D202</f>
      </c>
      <c r="H202" s="19">
        <f>G202*C202</f>
      </c>
      <c r="I202" s="19">
        <f>G202*B202</f>
      </c>
      <c r="K202" s="37">
        <f>Eq_e0+Eq_kx*$C202+Eq_ky*$B202</f>
      </c>
      <c r="L202" s="20">
        <f>IF(K202&gt;0,IF(K202&lt;=eco,alpha*fck*(1-(1-K202/eco)^n),alpha*fck),0)</f>
      </c>
    </row>
    <row r="203" spans="1:12" x14ac:dyDescent="0.25">
      <c r="A203">
        <f>Mesh!A200</f>
      </c>
      <c r="B203" s="20">
        <f>Mesh!B200</f>
      </c>
      <c r="C203" s="20">
        <f>Mesh!C200</f>
      </c>
      <c r="D203" s="20">
        <f>Mesh!D200</f>
      </c>
      <c r="E203" s="37">
        <f>INDEX(St_e0,Det+1)+INDEX(St_kx,Det+1)*C203+INDEX(St_ky,Det+1)*B203</f>
      </c>
      <c r="F203" s="20">
        <f>IF(E203&gt;0,IF(E203&lt;=eco,alpha*fck*(1-(1-E203/eco)^n),alpha*fck),0)</f>
      </c>
      <c r="G203" s="19">
        <f>F203*D203</f>
      </c>
      <c r="H203" s="19">
        <f>G203*C203</f>
      </c>
      <c r="I203" s="19">
        <f>G203*B203</f>
      </c>
      <c r="K203" s="37">
        <f>Eq_e0+Eq_kx*$C203+Eq_ky*$B203</f>
      </c>
      <c r="L203" s="20">
        <f>IF(K203&gt;0,IF(K203&lt;=eco,alpha*fck*(1-(1-K203/eco)^n),alpha*fck),0)</f>
      </c>
    </row>
    <row r="204" spans="1:12" x14ac:dyDescent="0.25">
      <c r="A204">
        <f>Mesh!A201</f>
      </c>
      <c r="B204" s="20">
        <f>Mesh!B201</f>
      </c>
      <c r="C204" s="20">
        <f>Mesh!C201</f>
      </c>
      <c r="D204" s="20">
        <f>Mesh!D201</f>
      </c>
      <c r="E204" s="37">
        <f>INDEX(St_e0,Det+1)+INDEX(St_kx,Det+1)*C204+INDEX(St_ky,Det+1)*B204</f>
      </c>
      <c r="F204" s="20">
        <f>IF(E204&gt;0,IF(E204&lt;=eco,alpha*fck*(1-(1-E204/eco)^n),alpha*fck),0)</f>
      </c>
      <c r="G204" s="19">
        <f>F204*D204</f>
      </c>
      <c r="H204" s="19">
        <f>G204*C204</f>
      </c>
      <c r="I204" s="19">
        <f>G204*B204</f>
      </c>
      <c r="K204" s="37">
        <f>Eq_e0+Eq_kx*$C204+Eq_ky*$B204</f>
      </c>
      <c r="L204" s="20">
        <f>IF(K204&gt;0,IF(K204&lt;=eco,alpha*fck*(1-(1-K204/eco)^n),alpha*fck),0)</f>
      </c>
    </row>
    <row r="205" spans="1:12" x14ac:dyDescent="0.25">
      <c r="A205">
        <f>Mesh!A202</f>
      </c>
      <c r="B205" s="20">
        <f>Mesh!B202</f>
      </c>
      <c r="C205" s="20">
        <f>Mesh!C202</f>
      </c>
      <c r="D205" s="20">
        <f>Mesh!D202</f>
      </c>
      <c r="E205" s="37">
        <f>INDEX(St_e0,Det+1)+INDEX(St_kx,Det+1)*C205+INDEX(St_ky,Det+1)*B205</f>
      </c>
      <c r="F205" s="20">
        <f>IF(E205&gt;0,IF(E205&lt;=eco,alpha*fck*(1-(1-E205/eco)^n),alpha*fck),0)</f>
      </c>
      <c r="G205" s="19">
        <f>F205*D205</f>
      </c>
      <c r="H205" s="19">
        <f>G205*C205</f>
      </c>
      <c r="I205" s="19">
        <f>G205*B205</f>
      </c>
      <c r="K205" s="37">
        <f>Eq_e0+Eq_kx*$C205+Eq_ky*$B205</f>
      </c>
      <c r="L205" s="20">
        <f>IF(K205&gt;0,IF(K205&lt;=eco,alpha*fck*(1-(1-K205/eco)^n),alpha*fck),0)</f>
      </c>
    </row>
    <row r="206" spans="1:12" x14ac:dyDescent="0.25">
      <c r="A206">
        <f>Mesh!A203</f>
      </c>
      <c r="B206" s="20">
        <f>Mesh!B203</f>
      </c>
      <c r="C206" s="20">
        <f>Mesh!C203</f>
      </c>
      <c r="D206" s="20">
        <f>Mesh!D203</f>
      </c>
      <c r="E206" s="37">
        <f>INDEX(St_e0,Det+1)+INDEX(St_kx,Det+1)*C206+INDEX(St_ky,Det+1)*B206</f>
      </c>
      <c r="F206" s="20">
        <f>IF(E206&gt;0,IF(E206&lt;=eco,alpha*fck*(1-(1-E206/eco)^n),alpha*fck),0)</f>
      </c>
      <c r="G206" s="19">
        <f>F206*D206</f>
      </c>
      <c r="H206" s="19">
        <f>G206*C206</f>
      </c>
      <c r="I206" s="19">
        <f>G206*B206</f>
      </c>
      <c r="K206" s="37">
        <f>Eq_e0+Eq_kx*$C206+Eq_ky*$B206</f>
      </c>
      <c r="L206" s="20">
        <f>IF(K206&gt;0,IF(K206&lt;=eco,alpha*fck*(1-(1-K206/eco)^n),alpha*fck),0)</f>
      </c>
    </row>
    <row r="207" spans="1:12" x14ac:dyDescent="0.25">
      <c r="A207">
        <f>Mesh!A204</f>
      </c>
      <c r="B207" s="20">
        <f>Mesh!B204</f>
      </c>
      <c r="C207" s="20">
        <f>Mesh!C204</f>
      </c>
      <c r="D207" s="20">
        <f>Mesh!D204</f>
      </c>
      <c r="E207" s="37">
        <f>INDEX(St_e0,Det+1)+INDEX(St_kx,Det+1)*C207+INDEX(St_ky,Det+1)*B207</f>
      </c>
      <c r="F207" s="20">
        <f>IF(E207&gt;0,IF(E207&lt;=eco,alpha*fck*(1-(1-E207/eco)^n),alpha*fck),0)</f>
      </c>
      <c r="G207" s="19">
        <f>F207*D207</f>
      </c>
      <c r="H207" s="19">
        <f>G207*C207</f>
      </c>
      <c r="I207" s="19">
        <f>G207*B207</f>
      </c>
      <c r="K207" s="37">
        <f>Eq_e0+Eq_kx*$C207+Eq_ky*$B207</f>
      </c>
      <c r="L207" s="20">
        <f>IF(K207&gt;0,IF(K207&lt;=eco,alpha*fck*(1-(1-K207/eco)^n),alpha*fck),0)</f>
      </c>
    </row>
    <row r="208" spans="1:12" x14ac:dyDescent="0.25">
      <c r="A208">
        <f>Mesh!A205</f>
      </c>
      <c r="B208" s="20">
        <f>Mesh!B205</f>
      </c>
      <c r="C208" s="20">
        <f>Mesh!C205</f>
      </c>
      <c r="D208" s="20">
        <f>Mesh!D205</f>
      </c>
      <c r="E208" s="37">
        <f>INDEX(St_e0,Det+1)+INDEX(St_kx,Det+1)*C208+INDEX(St_ky,Det+1)*B208</f>
      </c>
      <c r="F208" s="20">
        <f>IF(E208&gt;0,IF(E208&lt;=eco,alpha*fck*(1-(1-E208/eco)^n),alpha*fck),0)</f>
      </c>
      <c r="G208" s="19">
        <f>F208*D208</f>
      </c>
      <c r="H208" s="19">
        <f>G208*C208</f>
      </c>
      <c r="I208" s="19">
        <f>G208*B208</f>
      </c>
      <c r="K208" s="37">
        <f>Eq_e0+Eq_kx*$C208+Eq_ky*$B208</f>
      </c>
      <c r="L208" s="20">
        <f>IF(K208&gt;0,IF(K208&lt;=eco,alpha*fck*(1-(1-K208/eco)^n),alpha*fck),0)</f>
      </c>
    </row>
    <row r="209" spans="1:12" x14ac:dyDescent="0.25">
      <c r="A209">
        <f>Mesh!A206</f>
      </c>
      <c r="B209" s="20">
        <f>Mesh!B206</f>
      </c>
      <c r="C209" s="20">
        <f>Mesh!C206</f>
      </c>
      <c r="D209" s="20">
        <f>Mesh!D206</f>
      </c>
      <c r="E209" s="37">
        <f>INDEX(St_e0,Det+1)+INDEX(St_kx,Det+1)*C209+INDEX(St_ky,Det+1)*B209</f>
      </c>
      <c r="F209" s="20">
        <f>IF(E209&gt;0,IF(E209&lt;=eco,alpha*fck*(1-(1-E209/eco)^n),alpha*fck),0)</f>
      </c>
      <c r="G209" s="19">
        <f>F209*D209</f>
      </c>
      <c r="H209" s="19">
        <f>G209*C209</f>
      </c>
      <c r="I209" s="19">
        <f>G209*B209</f>
      </c>
      <c r="K209" s="37">
        <f>Eq_e0+Eq_kx*$C209+Eq_ky*$B209</f>
      </c>
      <c r="L209" s="20">
        <f>IF(K209&gt;0,IF(K209&lt;=eco,alpha*fck*(1-(1-K209/eco)^n),alpha*fck),0)</f>
      </c>
    </row>
    <row r="210" spans="1:12" x14ac:dyDescent="0.25">
      <c r="A210">
        <f>Mesh!A207</f>
      </c>
      <c r="B210" s="20">
        <f>Mesh!B207</f>
      </c>
      <c r="C210" s="20">
        <f>Mesh!C207</f>
      </c>
      <c r="D210" s="20">
        <f>Mesh!D207</f>
      </c>
      <c r="E210" s="37">
        <f>INDEX(St_e0,Det+1)+INDEX(St_kx,Det+1)*C210+INDEX(St_ky,Det+1)*B210</f>
      </c>
      <c r="F210" s="20">
        <f>IF(E210&gt;0,IF(E210&lt;=eco,alpha*fck*(1-(1-E210/eco)^n),alpha*fck),0)</f>
      </c>
      <c r="G210" s="19">
        <f>F210*D210</f>
      </c>
      <c r="H210" s="19">
        <f>G210*C210</f>
      </c>
      <c r="I210" s="19">
        <f>G210*B210</f>
      </c>
      <c r="K210" s="37">
        <f>Eq_e0+Eq_kx*$C210+Eq_ky*$B210</f>
      </c>
      <c r="L210" s="20">
        <f>IF(K210&gt;0,IF(K210&lt;=eco,alpha*fck*(1-(1-K210/eco)^n),alpha*fck),0)</f>
      </c>
    </row>
    <row r="211" spans="1:12" x14ac:dyDescent="0.25">
      <c r="A211">
        <f>Mesh!A208</f>
      </c>
      <c r="B211" s="20">
        <f>Mesh!B208</f>
      </c>
      <c r="C211" s="20">
        <f>Mesh!C208</f>
      </c>
      <c r="D211" s="20">
        <f>Mesh!D208</f>
      </c>
      <c r="E211" s="37">
        <f>INDEX(St_e0,Det+1)+INDEX(St_kx,Det+1)*C211+INDEX(St_ky,Det+1)*B211</f>
      </c>
      <c r="F211" s="20">
        <f>IF(E211&gt;0,IF(E211&lt;=eco,alpha*fck*(1-(1-E211/eco)^n),alpha*fck),0)</f>
      </c>
      <c r="G211" s="19">
        <f>F211*D211</f>
      </c>
      <c r="H211" s="19">
        <f>G211*C211</f>
      </c>
      <c r="I211" s="19">
        <f>G211*B211</f>
      </c>
      <c r="K211" s="37">
        <f>Eq_e0+Eq_kx*$C211+Eq_ky*$B211</f>
      </c>
      <c r="L211" s="20">
        <f>IF(K211&gt;0,IF(K211&lt;=eco,alpha*fck*(1-(1-K211/eco)^n),alpha*fck),0)</f>
      </c>
    </row>
    <row r="212" spans="1:12" x14ac:dyDescent="0.25">
      <c r="A212">
        <f>Mesh!A209</f>
      </c>
      <c r="B212" s="20">
        <f>Mesh!B209</f>
      </c>
      <c r="C212" s="20">
        <f>Mesh!C209</f>
      </c>
      <c r="D212" s="20">
        <f>Mesh!D209</f>
      </c>
      <c r="E212" s="37">
        <f>INDEX(St_e0,Det+1)+INDEX(St_kx,Det+1)*C212+INDEX(St_ky,Det+1)*B212</f>
      </c>
      <c r="F212" s="20">
        <f>IF(E212&gt;0,IF(E212&lt;=eco,alpha*fck*(1-(1-E212/eco)^n),alpha*fck),0)</f>
      </c>
      <c r="G212" s="19">
        <f>F212*D212</f>
      </c>
      <c r="H212" s="19">
        <f>G212*C212</f>
      </c>
      <c r="I212" s="19">
        <f>G212*B212</f>
      </c>
      <c r="K212" s="37">
        <f>Eq_e0+Eq_kx*$C212+Eq_ky*$B212</f>
      </c>
      <c r="L212" s="20">
        <f>IF(K212&gt;0,IF(K212&lt;=eco,alpha*fck*(1-(1-K212/eco)^n),alpha*fck),0)</f>
      </c>
    </row>
    <row r="213" spans="1:12" x14ac:dyDescent="0.25">
      <c r="A213">
        <f>Mesh!A210</f>
      </c>
      <c r="B213" s="20">
        <f>Mesh!B210</f>
      </c>
      <c r="C213" s="20">
        <f>Mesh!C210</f>
      </c>
      <c r="D213" s="20">
        <f>Mesh!D210</f>
      </c>
      <c r="E213" s="37">
        <f>INDEX(St_e0,Det+1)+INDEX(St_kx,Det+1)*C213+INDEX(St_ky,Det+1)*B213</f>
      </c>
      <c r="F213" s="20">
        <f>IF(E213&gt;0,IF(E213&lt;=eco,alpha*fck*(1-(1-E213/eco)^n),alpha*fck),0)</f>
      </c>
      <c r="G213" s="19">
        <f>F213*D213</f>
      </c>
      <c r="H213" s="19">
        <f>G213*C213</f>
      </c>
      <c r="I213" s="19">
        <f>G213*B213</f>
      </c>
      <c r="K213" s="37">
        <f>Eq_e0+Eq_kx*$C213+Eq_ky*$B213</f>
      </c>
      <c r="L213" s="20">
        <f>IF(K213&gt;0,IF(K213&lt;=eco,alpha*fck*(1-(1-K213/eco)^n),alpha*fck),0)</f>
      </c>
    </row>
    <row r="214" spans="1:12" x14ac:dyDescent="0.25">
      <c r="A214">
        <f>Mesh!A211</f>
      </c>
      <c r="B214" s="20">
        <f>Mesh!B211</f>
      </c>
      <c r="C214" s="20">
        <f>Mesh!C211</f>
      </c>
      <c r="D214" s="20">
        <f>Mesh!D211</f>
      </c>
      <c r="E214" s="37">
        <f>INDEX(St_e0,Det+1)+INDEX(St_kx,Det+1)*C214+INDEX(St_ky,Det+1)*B214</f>
      </c>
      <c r="F214" s="20">
        <f>IF(E214&gt;0,IF(E214&lt;=eco,alpha*fck*(1-(1-E214/eco)^n),alpha*fck),0)</f>
      </c>
      <c r="G214" s="19">
        <f>F214*D214</f>
      </c>
      <c r="H214" s="19">
        <f>G214*C214</f>
      </c>
      <c r="I214" s="19">
        <f>G214*B214</f>
      </c>
      <c r="K214" s="37">
        <f>Eq_e0+Eq_kx*$C214+Eq_ky*$B214</f>
      </c>
      <c r="L214" s="20">
        <f>IF(K214&gt;0,IF(K214&lt;=eco,alpha*fck*(1-(1-K214/eco)^n),alpha*fck),0)</f>
      </c>
    </row>
    <row r="215" spans="1:12" x14ac:dyDescent="0.25">
      <c r="A215">
        <f>Mesh!A212</f>
      </c>
      <c r="B215" s="20">
        <f>Mesh!B212</f>
      </c>
      <c r="C215" s="20">
        <f>Mesh!C212</f>
      </c>
      <c r="D215" s="20">
        <f>Mesh!D212</f>
      </c>
      <c r="E215" s="37">
        <f>INDEX(St_e0,Det+1)+INDEX(St_kx,Det+1)*C215+INDEX(St_ky,Det+1)*B215</f>
      </c>
      <c r="F215" s="20">
        <f>IF(E215&gt;0,IF(E215&lt;=eco,alpha*fck*(1-(1-E215/eco)^n),alpha*fck),0)</f>
      </c>
      <c r="G215" s="19">
        <f>F215*D215</f>
      </c>
      <c r="H215" s="19">
        <f>G215*C215</f>
      </c>
      <c r="I215" s="19">
        <f>G215*B215</f>
      </c>
      <c r="K215" s="37">
        <f>Eq_e0+Eq_kx*$C215+Eq_ky*$B215</f>
      </c>
      <c r="L215" s="20">
        <f>IF(K215&gt;0,IF(K215&lt;=eco,alpha*fck*(1-(1-K215/eco)^n),alpha*fck),0)</f>
      </c>
    </row>
    <row r="216" spans="1:12" x14ac:dyDescent="0.25">
      <c r="A216">
        <f>Mesh!A213</f>
      </c>
      <c r="B216" s="20">
        <f>Mesh!B213</f>
      </c>
      <c r="C216" s="20">
        <f>Mesh!C213</f>
      </c>
      <c r="D216" s="20">
        <f>Mesh!D213</f>
      </c>
      <c r="E216" s="37">
        <f>INDEX(St_e0,Det+1)+INDEX(St_kx,Det+1)*C216+INDEX(St_ky,Det+1)*B216</f>
      </c>
      <c r="F216" s="20">
        <f>IF(E216&gt;0,IF(E216&lt;=eco,alpha*fck*(1-(1-E216/eco)^n),alpha*fck),0)</f>
      </c>
      <c r="G216" s="19">
        <f>F216*D216</f>
      </c>
      <c r="H216" s="19">
        <f>G216*C216</f>
      </c>
      <c r="I216" s="19">
        <f>G216*B216</f>
      </c>
      <c r="K216" s="37">
        <f>Eq_e0+Eq_kx*$C216+Eq_ky*$B216</f>
      </c>
      <c r="L216" s="20">
        <f>IF(K216&gt;0,IF(K216&lt;=eco,alpha*fck*(1-(1-K216/eco)^n),alpha*fck),0)</f>
      </c>
    </row>
    <row r="217" spans="1:12" x14ac:dyDescent="0.25">
      <c r="A217">
        <f>Mesh!A214</f>
      </c>
      <c r="B217" s="20">
        <f>Mesh!B214</f>
      </c>
      <c r="C217" s="20">
        <f>Mesh!C214</f>
      </c>
      <c r="D217" s="20">
        <f>Mesh!D214</f>
      </c>
      <c r="E217" s="37">
        <f>INDEX(St_e0,Det+1)+INDEX(St_kx,Det+1)*C217+INDEX(St_ky,Det+1)*B217</f>
      </c>
      <c r="F217" s="20">
        <f>IF(E217&gt;0,IF(E217&lt;=eco,alpha*fck*(1-(1-E217/eco)^n),alpha*fck),0)</f>
      </c>
      <c r="G217" s="19">
        <f>F217*D217</f>
      </c>
      <c r="H217" s="19">
        <f>G217*C217</f>
      </c>
      <c r="I217" s="19">
        <f>G217*B217</f>
      </c>
      <c r="K217" s="37">
        <f>Eq_e0+Eq_kx*$C217+Eq_ky*$B217</f>
      </c>
      <c r="L217" s="20">
        <f>IF(K217&gt;0,IF(K217&lt;=eco,alpha*fck*(1-(1-K217/eco)^n),alpha*fck),0)</f>
      </c>
    </row>
    <row r="218" spans="1:12" x14ac:dyDescent="0.25">
      <c r="A218">
        <f>Mesh!A215</f>
      </c>
      <c r="B218" s="20">
        <f>Mesh!B215</f>
      </c>
      <c r="C218" s="20">
        <f>Mesh!C215</f>
      </c>
      <c r="D218" s="20">
        <f>Mesh!D215</f>
      </c>
      <c r="E218" s="37">
        <f>INDEX(St_e0,Det+1)+INDEX(St_kx,Det+1)*C218+INDEX(St_ky,Det+1)*B218</f>
      </c>
      <c r="F218" s="20">
        <f>IF(E218&gt;0,IF(E218&lt;=eco,alpha*fck*(1-(1-E218/eco)^n),alpha*fck),0)</f>
      </c>
      <c r="G218" s="19">
        <f>F218*D218</f>
      </c>
      <c r="H218" s="19">
        <f>G218*C218</f>
      </c>
      <c r="I218" s="19">
        <f>G218*B218</f>
      </c>
      <c r="K218" s="37">
        <f>Eq_e0+Eq_kx*$C218+Eq_ky*$B218</f>
      </c>
      <c r="L218" s="20">
        <f>IF(K218&gt;0,IF(K218&lt;=eco,alpha*fck*(1-(1-K218/eco)^n),alpha*fck),0)</f>
      </c>
    </row>
    <row r="219" spans="1:12" x14ac:dyDescent="0.25">
      <c r="A219">
        <f>Mesh!A216</f>
      </c>
      <c r="B219" s="20">
        <f>Mesh!B216</f>
      </c>
      <c r="C219" s="20">
        <f>Mesh!C216</f>
      </c>
      <c r="D219" s="20">
        <f>Mesh!D216</f>
      </c>
      <c r="E219" s="37">
        <f>INDEX(St_e0,Det+1)+INDEX(St_kx,Det+1)*C219+INDEX(St_ky,Det+1)*B219</f>
      </c>
      <c r="F219" s="20">
        <f>IF(E219&gt;0,IF(E219&lt;=eco,alpha*fck*(1-(1-E219/eco)^n),alpha*fck),0)</f>
      </c>
      <c r="G219" s="19">
        <f>F219*D219</f>
      </c>
      <c r="H219" s="19">
        <f>G219*C219</f>
      </c>
      <c r="I219" s="19">
        <f>G219*B219</f>
      </c>
      <c r="K219" s="37">
        <f>Eq_e0+Eq_kx*$C219+Eq_ky*$B219</f>
      </c>
      <c r="L219" s="20">
        <f>IF(K219&gt;0,IF(K219&lt;=eco,alpha*fck*(1-(1-K219/eco)^n),alpha*fck),0)</f>
      </c>
    </row>
    <row r="220" spans="1:12" x14ac:dyDescent="0.25">
      <c r="A220">
        <f>Mesh!A217</f>
      </c>
      <c r="B220" s="20">
        <f>Mesh!B217</f>
      </c>
      <c r="C220" s="20">
        <f>Mesh!C217</f>
      </c>
      <c r="D220" s="20">
        <f>Mesh!D217</f>
      </c>
      <c r="E220" s="37">
        <f>INDEX(St_e0,Det+1)+INDEX(St_kx,Det+1)*C220+INDEX(St_ky,Det+1)*B220</f>
      </c>
      <c r="F220" s="20">
        <f>IF(E220&gt;0,IF(E220&lt;=eco,alpha*fck*(1-(1-E220/eco)^n),alpha*fck),0)</f>
      </c>
      <c r="G220" s="19">
        <f>F220*D220</f>
      </c>
      <c r="H220" s="19">
        <f>G220*C220</f>
      </c>
      <c r="I220" s="19">
        <f>G220*B220</f>
      </c>
      <c r="K220" s="37">
        <f>Eq_e0+Eq_kx*$C220+Eq_ky*$B220</f>
      </c>
      <c r="L220" s="20">
        <f>IF(K220&gt;0,IF(K220&lt;=eco,alpha*fck*(1-(1-K220/eco)^n),alpha*fck),0)</f>
      </c>
    </row>
    <row r="221" spans="1:12" x14ac:dyDescent="0.25">
      <c r="A221">
        <f>Mesh!A218</f>
      </c>
      <c r="B221" s="20">
        <f>Mesh!B218</f>
      </c>
      <c r="C221" s="20">
        <f>Mesh!C218</f>
      </c>
      <c r="D221" s="20">
        <f>Mesh!D218</f>
      </c>
      <c r="E221" s="37">
        <f>INDEX(St_e0,Det+1)+INDEX(St_kx,Det+1)*C221+INDEX(St_ky,Det+1)*B221</f>
      </c>
      <c r="F221" s="20">
        <f>IF(E221&gt;0,IF(E221&lt;=eco,alpha*fck*(1-(1-E221/eco)^n),alpha*fck),0)</f>
      </c>
      <c r="G221" s="19">
        <f>F221*D221</f>
      </c>
      <c r="H221" s="19">
        <f>G221*C221</f>
      </c>
      <c r="I221" s="19">
        <f>G221*B221</f>
      </c>
      <c r="K221" s="37">
        <f>Eq_e0+Eq_kx*$C221+Eq_ky*$B221</f>
      </c>
      <c r="L221" s="20">
        <f>IF(K221&gt;0,IF(K221&lt;=eco,alpha*fck*(1-(1-K221/eco)^n),alpha*fck),0)</f>
      </c>
    </row>
    <row r="222" spans="1:12" x14ac:dyDescent="0.25">
      <c r="A222">
        <f>Mesh!A219</f>
      </c>
      <c r="B222" s="20">
        <f>Mesh!B219</f>
      </c>
      <c r="C222" s="20">
        <f>Mesh!C219</f>
      </c>
      <c r="D222" s="20">
        <f>Mesh!D219</f>
      </c>
      <c r="E222" s="37">
        <f>INDEX(St_e0,Det+1)+INDEX(St_kx,Det+1)*C222+INDEX(St_ky,Det+1)*B222</f>
      </c>
      <c r="F222" s="20">
        <f>IF(E222&gt;0,IF(E222&lt;=eco,alpha*fck*(1-(1-E222/eco)^n),alpha*fck),0)</f>
      </c>
      <c r="G222" s="19">
        <f>F222*D222</f>
      </c>
      <c r="H222" s="19">
        <f>G222*C222</f>
      </c>
      <c r="I222" s="19">
        <f>G222*B222</f>
      </c>
      <c r="K222" s="37">
        <f>Eq_e0+Eq_kx*$C222+Eq_ky*$B222</f>
      </c>
      <c r="L222" s="20">
        <f>IF(K222&gt;0,IF(K222&lt;=eco,alpha*fck*(1-(1-K222/eco)^n),alpha*fck),0)</f>
      </c>
    </row>
    <row r="223" spans="1:12" x14ac:dyDescent="0.25">
      <c r="A223">
        <f>Mesh!A220</f>
      </c>
      <c r="B223" s="20">
        <f>Mesh!B220</f>
      </c>
      <c r="C223" s="20">
        <f>Mesh!C220</f>
      </c>
      <c r="D223" s="20">
        <f>Mesh!D220</f>
      </c>
      <c r="E223" s="37">
        <f>INDEX(St_e0,Det+1)+INDEX(St_kx,Det+1)*C223+INDEX(St_ky,Det+1)*B223</f>
      </c>
      <c r="F223" s="20">
        <f>IF(E223&gt;0,IF(E223&lt;=eco,alpha*fck*(1-(1-E223/eco)^n),alpha*fck),0)</f>
      </c>
      <c r="G223" s="19">
        <f>F223*D223</f>
      </c>
      <c r="H223" s="19">
        <f>G223*C223</f>
      </c>
      <c r="I223" s="19">
        <f>G223*B223</f>
      </c>
      <c r="K223" s="37">
        <f>Eq_e0+Eq_kx*$C223+Eq_ky*$B223</f>
      </c>
      <c r="L223" s="20">
        <f>IF(K223&gt;0,IF(K223&lt;=eco,alpha*fck*(1-(1-K223/eco)^n),alpha*fck),0)</f>
      </c>
    </row>
    <row r="224" spans="1:12" x14ac:dyDescent="0.25">
      <c r="A224">
        <f>Mesh!A221</f>
      </c>
      <c r="B224" s="20">
        <f>Mesh!B221</f>
      </c>
      <c r="C224" s="20">
        <f>Mesh!C221</f>
      </c>
      <c r="D224" s="20">
        <f>Mesh!D221</f>
      </c>
      <c r="E224" s="37">
        <f>INDEX(St_e0,Det+1)+INDEX(St_kx,Det+1)*C224+INDEX(St_ky,Det+1)*B224</f>
      </c>
      <c r="F224" s="20">
        <f>IF(E224&gt;0,IF(E224&lt;=eco,alpha*fck*(1-(1-E224/eco)^n),alpha*fck),0)</f>
      </c>
      <c r="G224" s="19">
        <f>F224*D224</f>
      </c>
      <c r="H224" s="19">
        <f>G224*C224</f>
      </c>
      <c r="I224" s="19">
        <f>G224*B224</f>
      </c>
      <c r="K224" s="37">
        <f>Eq_e0+Eq_kx*$C224+Eq_ky*$B224</f>
      </c>
      <c r="L224" s="20">
        <f>IF(K224&gt;0,IF(K224&lt;=eco,alpha*fck*(1-(1-K224/eco)^n),alpha*fck),0)</f>
      </c>
    </row>
    <row r="225" spans="1:12" x14ac:dyDescent="0.25">
      <c r="A225">
        <f>Mesh!A222</f>
      </c>
      <c r="B225" s="20">
        <f>Mesh!B222</f>
      </c>
      <c r="C225" s="20">
        <f>Mesh!C222</f>
      </c>
      <c r="D225" s="20">
        <f>Mesh!D222</f>
      </c>
      <c r="E225" s="37">
        <f>INDEX(St_e0,Det+1)+INDEX(St_kx,Det+1)*C225+INDEX(St_ky,Det+1)*B225</f>
      </c>
      <c r="F225" s="20">
        <f>IF(E225&gt;0,IF(E225&lt;=eco,alpha*fck*(1-(1-E225/eco)^n),alpha*fck),0)</f>
      </c>
      <c r="G225" s="19">
        <f>F225*D225</f>
      </c>
      <c r="H225" s="19">
        <f>G225*C225</f>
      </c>
      <c r="I225" s="19">
        <f>G225*B225</f>
      </c>
      <c r="K225" s="37">
        <f>Eq_e0+Eq_kx*$C225+Eq_ky*$B225</f>
      </c>
      <c r="L225" s="20">
        <f>IF(K225&gt;0,IF(K225&lt;=eco,alpha*fck*(1-(1-K225/eco)^n),alpha*fck),0)</f>
      </c>
    </row>
    <row r="226" spans="1:12" x14ac:dyDescent="0.25">
      <c r="A226">
        <f>Mesh!A223</f>
      </c>
      <c r="B226" s="20">
        <f>Mesh!B223</f>
      </c>
      <c r="C226" s="20">
        <f>Mesh!C223</f>
      </c>
      <c r="D226" s="20">
        <f>Mesh!D223</f>
      </c>
      <c r="E226" s="37">
        <f>INDEX(St_e0,Det+1)+INDEX(St_kx,Det+1)*C226+INDEX(St_ky,Det+1)*B226</f>
      </c>
      <c r="F226" s="20">
        <f>IF(E226&gt;0,IF(E226&lt;=eco,alpha*fck*(1-(1-E226/eco)^n),alpha*fck),0)</f>
      </c>
      <c r="G226" s="19">
        <f>F226*D226</f>
      </c>
      <c r="H226" s="19">
        <f>G226*C226</f>
      </c>
      <c r="I226" s="19">
        <f>G226*B226</f>
      </c>
      <c r="K226" s="37">
        <f>Eq_e0+Eq_kx*$C226+Eq_ky*$B226</f>
      </c>
      <c r="L226" s="20">
        <f>IF(K226&gt;0,IF(K226&lt;=eco,alpha*fck*(1-(1-K226/eco)^n),alpha*fck),0)</f>
      </c>
    </row>
    <row r="227" spans="1:12" x14ac:dyDescent="0.25">
      <c r="A227">
        <f>Mesh!A224</f>
      </c>
      <c r="B227" s="20">
        <f>Mesh!B224</f>
      </c>
      <c r="C227" s="20">
        <f>Mesh!C224</f>
      </c>
      <c r="D227" s="20">
        <f>Mesh!D224</f>
      </c>
      <c r="E227" s="37">
        <f>INDEX(St_e0,Det+1)+INDEX(St_kx,Det+1)*C227+INDEX(St_ky,Det+1)*B227</f>
      </c>
      <c r="F227" s="20">
        <f>IF(E227&gt;0,IF(E227&lt;=eco,alpha*fck*(1-(1-E227/eco)^n),alpha*fck),0)</f>
      </c>
      <c r="G227" s="19">
        <f>F227*D227</f>
      </c>
      <c r="H227" s="19">
        <f>G227*C227</f>
      </c>
      <c r="I227" s="19">
        <f>G227*B227</f>
      </c>
      <c r="K227" s="37">
        <f>Eq_e0+Eq_kx*$C227+Eq_ky*$B227</f>
      </c>
      <c r="L227" s="20">
        <f>IF(K227&gt;0,IF(K227&lt;=eco,alpha*fck*(1-(1-K227/eco)^n),alpha*fck),0)</f>
      </c>
    </row>
    <row r="228" spans="1:12" x14ac:dyDescent="0.25">
      <c r="A228">
        <f>Mesh!A225</f>
      </c>
      <c r="B228" s="20">
        <f>Mesh!B225</f>
      </c>
      <c r="C228" s="20">
        <f>Mesh!C225</f>
      </c>
      <c r="D228" s="20">
        <f>Mesh!D225</f>
      </c>
      <c r="E228" s="37">
        <f>INDEX(St_e0,Det+1)+INDEX(St_kx,Det+1)*C228+INDEX(St_ky,Det+1)*B228</f>
      </c>
      <c r="F228" s="20">
        <f>IF(E228&gt;0,IF(E228&lt;=eco,alpha*fck*(1-(1-E228/eco)^n),alpha*fck),0)</f>
      </c>
      <c r="G228" s="19">
        <f>F228*D228</f>
      </c>
      <c r="H228" s="19">
        <f>G228*C228</f>
      </c>
      <c r="I228" s="19">
        <f>G228*B228</f>
      </c>
      <c r="K228" s="37">
        <f>Eq_e0+Eq_kx*$C228+Eq_ky*$B228</f>
      </c>
      <c r="L228" s="20">
        <f>IF(K228&gt;0,IF(K228&lt;=eco,alpha*fck*(1-(1-K228/eco)^n),alpha*fck),0)</f>
      </c>
    </row>
    <row r="229" spans="1:12" x14ac:dyDescent="0.25">
      <c r="A229">
        <f>Mesh!A226</f>
      </c>
      <c r="B229" s="20">
        <f>Mesh!B226</f>
      </c>
      <c r="C229" s="20">
        <f>Mesh!C226</f>
      </c>
      <c r="D229" s="20">
        <f>Mesh!D226</f>
      </c>
      <c r="E229" s="37">
        <f>INDEX(St_e0,Det+1)+INDEX(St_kx,Det+1)*C229+INDEX(St_ky,Det+1)*B229</f>
      </c>
      <c r="F229" s="20">
        <f>IF(E229&gt;0,IF(E229&lt;=eco,alpha*fck*(1-(1-E229/eco)^n),alpha*fck),0)</f>
      </c>
      <c r="G229" s="19">
        <f>F229*D229</f>
      </c>
      <c r="H229" s="19">
        <f>G229*C229</f>
      </c>
      <c r="I229" s="19">
        <f>G229*B229</f>
      </c>
      <c r="K229" s="37">
        <f>Eq_e0+Eq_kx*$C229+Eq_ky*$B229</f>
      </c>
      <c r="L229" s="20">
        <f>IF(K229&gt;0,IF(K229&lt;=eco,alpha*fck*(1-(1-K229/eco)^n),alpha*fck),0)</f>
      </c>
    </row>
    <row r="230" spans="1:12" x14ac:dyDescent="0.25">
      <c r="A230">
        <f>Mesh!A227</f>
      </c>
      <c r="B230" s="20">
        <f>Mesh!B227</f>
      </c>
      <c r="C230" s="20">
        <f>Mesh!C227</f>
      </c>
      <c r="D230" s="20">
        <f>Mesh!D227</f>
      </c>
      <c r="E230" s="37">
        <f>INDEX(St_e0,Det+1)+INDEX(St_kx,Det+1)*C230+INDEX(St_ky,Det+1)*B230</f>
      </c>
      <c r="F230" s="20">
        <f>IF(E230&gt;0,IF(E230&lt;=eco,alpha*fck*(1-(1-E230/eco)^n),alpha*fck),0)</f>
      </c>
      <c r="G230" s="19">
        <f>F230*D230</f>
      </c>
      <c r="H230" s="19">
        <f>G230*C230</f>
      </c>
      <c r="I230" s="19">
        <f>G230*B230</f>
      </c>
      <c r="K230" s="37">
        <f>Eq_e0+Eq_kx*$C230+Eq_ky*$B230</f>
      </c>
      <c r="L230" s="20">
        <f>IF(K230&gt;0,IF(K230&lt;=eco,alpha*fck*(1-(1-K230/eco)^n),alpha*fck),0)</f>
      </c>
    </row>
    <row r="231" spans="1:12" x14ac:dyDescent="0.25">
      <c r="A231">
        <f>Mesh!A228</f>
      </c>
      <c r="B231" s="20">
        <f>Mesh!B228</f>
      </c>
      <c r="C231" s="20">
        <f>Mesh!C228</f>
      </c>
      <c r="D231" s="20">
        <f>Mesh!D228</f>
      </c>
      <c r="E231" s="37">
        <f>INDEX(St_e0,Det+1)+INDEX(St_kx,Det+1)*C231+INDEX(St_ky,Det+1)*B231</f>
      </c>
      <c r="F231" s="20">
        <f>IF(E231&gt;0,IF(E231&lt;=eco,alpha*fck*(1-(1-E231/eco)^n),alpha*fck),0)</f>
      </c>
      <c r="G231" s="19">
        <f>F231*D231</f>
      </c>
      <c r="H231" s="19">
        <f>G231*C231</f>
      </c>
      <c r="I231" s="19">
        <f>G231*B231</f>
      </c>
      <c r="K231" s="37">
        <f>Eq_e0+Eq_kx*$C231+Eq_ky*$B231</f>
      </c>
      <c r="L231" s="20">
        <f>IF(K231&gt;0,IF(K231&lt;=eco,alpha*fck*(1-(1-K231/eco)^n),alpha*fck),0)</f>
      </c>
    </row>
    <row r="232" spans="1:12" x14ac:dyDescent="0.25">
      <c r="A232">
        <f>Mesh!A229</f>
      </c>
      <c r="B232" s="20">
        <f>Mesh!B229</f>
      </c>
      <c r="C232" s="20">
        <f>Mesh!C229</f>
      </c>
      <c r="D232" s="20">
        <f>Mesh!D229</f>
      </c>
      <c r="E232" s="37">
        <f>INDEX(St_e0,Det+1)+INDEX(St_kx,Det+1)*C232+INDEX(St_ky,Det+1)*B232</f>
      </c>
      <c r="F232" s="20">
        <f>IF(E232&gt;0,IF(E232&lt;=eco,alpha*fck*(1-(1-E232/eco)^n),alpha*fck),0)</f>
      </c>
      <c r="G232" s="19">
        <f>F232*D232</f>
      </c>
      <c r="H232" s="19">
        <f>G232*C232</f>
      </c>
      <c r="I232" s="19">
        <f>G232*B232</f>
      </c>
      <c r="K232" s="37">
        <f>Eq_e0+Eq_kx*$C232+Eq_ky*$B232</f>
      </c>
      <c r="L232" s="20">
        <f>IF(K232&gt;0,IF(K232&lt;=eco,alpha*fck*(1-(1-K232/eco)^n),alpha*fck),0)</f>
      </c>
    </row>
    <row r="233" spans="1:12" x14ac:dyDescent="0.25">
      <c r="A233">
        <f>Mesh!A230</f>
      </c>
      <c r="B233" s="20">
        <f>Mesh!B230</f>
      </c>
      <c r="C233" s="20">
        <f>Mesh!C230</f>
      </c>
      <c r="D233" s="20">
        <f>Mesh!D230</f>
      </c>
      <c r="E233" s="37">
        <f>INDEX(St_e0,Det+1)+INDEX(St_kx,Det+1)*C233+INDEX(St_ky,Det+1)*B233</f>
      </c>
      <c r="F233" s="20">
        <f>IF(E233&gt;0,IF(E233&lt;=eco,alpha*fck*(1-(1-E233/eco)^n),alpha*fck),0)</f>
      </c>
      <c r="G233" s="19">
        <f>F233*D233</f>
      </c>
      <c r="H233" s="19">
        <f>G233*C233</f>
      </c>
      <c r="I233" s="19">
        <f>G233*B233</f>
      </c>
      <c r="K233" s="37">
        <f>Eq_e0+Eq_kx*$C233+Eq_ky*$B233</f>
      </c>
      <c r="L233" s="20">
        <f>IF(K233&gt;0,IF(K233&lt;=eco,alpha*fck*(1-(1-K233/eco)^n),alpha*fck),0)</f>
      </c>
    </row>
    <row r="234" spans="1:12" x14ac:dyDescent="0.25">
      <c r="A234">
        <f>Mesh!A231</f>
      </c>
      <c r="B234" s="20">
        <f>Mesh!B231</f>
      </c>
      <c r="C234" s="20">
        <f>Mesh!C231</f>
      </c>
      <c r="D234" s="20">
        <f>Mesh!D231</f>
      </c>
      <c r="E234" s="37">
        <f>INDEX(St_e0,Det+1)+INDEX(St_kx,Det+1)*C234+INDEX(St_ky,Det+1)*B234</f>
      </c>
      <c r="F234" s="20">
        <f>IF(E234&gt;0,IF(E234&lt;=eco,alpha*fck*(1-(1-E234/eco)^n),alpha*fck),0)</f>
      </c>
      <c r="G234" s="19">
        <f>F234*D234</f>
      </c>
      <c r="H234" s="19">
        <f>G234*C234</f>
      </c>
      <c r="I234" s="19">
        <f>G234*B234</f>
      </c>
      <c r="K234" s="37">
        <f>Eq_e0+Eq_kx*$C234+Eq_ky*$B234</f>
      </c>
      <c r="L234" s="20">
        <f>IF(K234&gt;0,IF(K234&lt;=eco,alpha*fck*(1-(1-K234/eco)^n),alpha*fck),0)</f>
      </c>
    </row>
    <row r="235" spans="1:12" x14ac:dyDescent="0.25">
      <c r="A235">
        <f>Mesh!A232</f>
      </c>
      <c r="B235" s="20">
        <f>Mesh!B232</f>
      </c>
      <c r="C235" s="20">
        <f>Mesh!C232</f>
      </c>
      <c r="D235" s="20">
        <f>Mesh!D232</f>
      </c>
      <c r="E235" s="37">
        <f>INDEX(St_e0,Det+1)+INDEX(St_kx,Det+1)*C235+INDEX(St_ky,Det+1)*B235</f>
      </c>
      <c r="F235" s="20">
        <f>IF(E235&gt;0,IF(E235&lt;=eco,alpha*fck*(1-(1-E235/eco)^n),alpha*fck),0)</f>
      </c>
      <c r="G235" s="19">
        <f>F235*D235</f>
      </c>
      <c r="H235" s="19">
        <f>G235*C235</f>
      </c>
      <c r="I235" s="19">
        <f>G235*B235</f>
      </c>
      <c r="K235" s="37">
        <f>Eq_e0+Eq_kx*$C235+Eq_ky*$B235</f>
      </c>
      <c r="L235" s="20">
        <f>IF(K235&gt;0,IF(K235&lt;=eco,alpha*fck*(1-(1-K235/eco)^n),alpha*fck),0)</f>
      </c>
    </row>
    <row r="236" spans="1:12" x14ac:dyDescent="0.25">
      <c r="A236">
        <f>Mesh!A233</f>
      </c>
      <c r="B236" s="20">
        <f>Mesh!B233</f>
      </c>
      <c r="C236" s="20">
        <f>Mesh!C233</f>
      </c>
      <c r="D236" s="20">
        <f>Mesh!D233</f>
      </c>
      <c r="E236" s="37">
        <f>INDEX(St_e0,Det+1)+INDEX(St_kx,Det+1)*C236+INDEX(St_ky,Det+1)*B236</f>
      </c>
      <c r="F236" s="20">
        <f>IF(E236&gt;0,IF(E236&lt;=eco,alpha*fck*(1-(1-E236/eco)^n),alpha*fck),0)</f>
      </c>
      <c r="G236" s="19">
        <f>F236*D236</f>
      </c>
      <c r="H236" s="19">
        <f>G236*C236</f>
      </c>
      <c r="I236" s="19">
        <f>G236*B236</f>
      </c>
      <c r="K236" s="37">
        <f>Eq_e0+Eq_kx*$C236+Eq_ky*$B236</f>
      </c>
      <c r="L236" s="20">
        <f>IF(K236&gt;0,IF(K236&lt;=eco,alpha*fck*(1-(1-K236/eco)^n),alpha*fck),0)</f>
      </c>
    </row>
    <row r="237" spans="1:12" x14ac:dyDescent="0.25">
      <c r="A237">
        <f>Mesh!A234</f>
      </c>
      <c r="B237" s="20">
        <f>Mesh!B234</f>
      </c>
      <c r="C237" s="20">
        <f>Mesh!C234</f>
      </c>
      <c r="D237" s="20">
        <f>Mesh!D234</f>
      </c>
      <c r="E237" s="37">
        <f>INDEX(St_e0,Det+1)+INDEX(St_kx,Det+1)*C237+INDEX(St_ky,Det+1)*B237</f>
      </c>
      <c r="F237" s="20">
        <f>IF(E237&gt;0,IF(E237&lt;=eco,alpha*fck*(1-(1-E237/eco)^n),alpha*fck),0)</f>
      </c>
      <c r="G237" s="19">
        <f>F237*D237</f>
      </c>
      <c r="H237" s="19">
        <f>G237*C237</f>
      </c>
      <c r="I237" s="19">
        <f>G237*B237</f>
      </c>
      <c r="K237" s="37">
        <f>Eq_e0+Eq_kx*$C237+Eq_ky*$B237</f>
      </c>
      <c r="L237" s="20">
        <f>IF(K237&gt;0,IF(K237&lt;=eco,alpha*fck*(1-(1-K237/eco)^n),alpha*fck),0)</f>
      </c>
    </row>
    <row r="238" spans="1:12" x14ac:dyDescent="0.25">
      <c r="A238">
        <f>Mesh!A235</f>
      </c>
      <c r="B238" s="20">
        <f>Mesh!B235</f>
      </c>
      <c r="C238" s="20">
        <f>Mesh!C235</f>
      </c>
      <c r="D238" s="20">
        <f>Mesh!D235</f>
      </c>
      <c r="E238" s="37">
        <f>INDEX(St_e0,Det+1)+INDEX(St_kx,Det+1)*C238+INDEX(St_ky,Det+1)*B238</f>
      </c>
      <c r="F238" s="20">
        <f>IF(E238&gt;0,IF(E238&lt;=eco,alpha*fck*(1-(1-E238/eco)^n),alpha*fck),0)</f>
      </c>
      <c r="G238" s="19">
        <f>F238*D238</f>
      </c>
      <c r="H238" s="19">
        <f>G238*C238</f>
      </c>
      <c r="I238" s="19">
        <f>G238*B238</f>
      </c>
      <c r="K238" s="37">
        <f>Eq_e0+Eq_kx*$C238+Eq_ky*$B238</f>
      </c>
      <c r="L238" s="20">
        <f>IF(K238&gt;0,IF(K238&lt;=eco,alpha*fck*(1-(1-K238/eco)^n),alpha*fck),0)</f>
      </c>
    </row>
    <row r="239" spans="1:12" x14ac:dyDescent="0.25">
      <c r="A239">
        <f>Mesh!A236</f>
      </c>
      <c r="B239" s="20">
        <f>Mesh!B236</f>
      </c>
      <c r="C239" s="20">
        <f>Mesh!C236</f>
      </c>
      <c r="D239" s="20">
        <f>Mesh!D236</f>
      </c>
      <c r="E239" s="37">
        <f>INDEX(St_e0,Det+1)+INDEX(St_kx,Det+1)*C239+INDEX(St_ky,Det+1)*B239</f>
      </c>
      <c r="F239" s="20">
        <f>IF(E239&gt;0,IF(E239&lt;=eco,alpha*fck*(1-(1-E239/eco)^n),alpha*fck),0)</f>
      </c>
      <c r="G239" s="19">
        <f>F239*D239</f>
      </c>
      <c r="H239" s="19">
        <f>G239*C239</f>
      </c>
      <c r="I239" s="19">
        <f>G239*B239</f>
      </c>
      <c r="K239" s="37">
        <f>Eq_e0+Eq_kx*$C239+Eq_ky*$B239</f>
      </c>
      <c r="L239" s="20">
        <f>IF(K239&gt;0,IF(K239&lt;=eco,alpha*fck*(1-(1-K239/eco)^n),alpha*fck),0)</f>
      </c>
    </row>
    <row r="240" spans="1:12" x14ac:dyDescent="0.25">
      <c r="A240">
        <f>Mesh!A237</f>
      </c>
      <c r="B240" s="20">
        <f>Mesh!B237</f>
      </c>
      <c r="C240" s="20">
        <f>Mesh!C237</f>
      </c>
      <c r="D240" s="20">
        <f>Mesh!D237</f>
      </c>
      <c r="E240" s="37">
        <f>INDEX(St_e0,Det+1)+INDEX(St_kx,Det+1)*C240+INDEX(St_ky,Det+1)*B240</f>
      </c>
      <c r="F240" s="20">
        <f>IF(E240&gt;0,IF(E240&lt;=eco,alpha*fck*(1-(1-E240/eco)^n),alpha*fck),0)</f>
      </c>
      <c r="G240" s="19">
        <f>F240*D240</f>
      </c>
      <c r="H240" s="19">
        <f>G240*C240</f>
      </c>
      <c r="I240" s="19">
        <f>G240*B240</f>
      </c>
      <c r="K240" s="37">
        <f>Eq_e0+Eq_kx*$C240+Eq_ky*$B240</f>
      </c>
      <c r="L240" s="20">
        <f>IF(K240&gt;0,IF(K240&lt;=eco,alpha*fck*(1-(1-K240/eco)^n),alpha*fck),0)</f>
      </c>
    </row>
    <row r="241" spans="1:12" x14ac:dyDescent="0.25">
      <c r="A241">
        <f>Mesh!A238</f>
      </c>
      <c r="B241" s="20">
        <f>Mesh!B238</f>
      </c>
      <c r="C241" s="20">
        <f>Mesh!C238</f>
      </c>
      <c r="D241" s="20">
        <f>Mesh!D238</f>
      </c>
      <c r="E241" s="37">
        <f>INDEX(St_e0,Det+1)+INDEX(St_kx,Det+1)*C241+INDEX(St_ky,Det+1)*B241</f>
      </c>
      <c r="F241" s="20">
        <f>IF(E241&gt;0,IF(E241&lt;=eco,alpha*fck*(1-(1-E241/eco)^n),alpha*fck),0)</f>
      </c>
      <c r="G241" s="19">
        <f>F241*D241</f>
      </c>
      <c r="H241" s="19">
        <f>G241*C241</f>
      </c>
      <c r="I241" s="19">
        <f>G241*B241</f>
      </c>
      <c r="K241" s="37">
        <f>Eq_e0+Eq_kx*$C241+Eq_ky*$B241</f>
      </c>
      <c r="L241" s="20">
        <f>IF(K241&gt;0,IF(K241&lt;=eco,alpha*fck*(1-(1-K241/eco)^n),alpha*fck),0)</f>
      </c>
    </row>
    <row r="242" spans="1:12" x14ac:dyDescent="0.25">
      <c r="A242">
        <f>Mesh!A239</f>
      </c>
      <c r="B242" s="20">
        <f>Mesh!B239</f>
      </c>
      <c r="C242" s="20">
        <f>Mesh!C239</f>
      </c>
      <c r="D242" s="20">
        <f>Mesh!D239</f>
      </c>
      <c r="E242" s="37">
        <f>INDEX(St_e0,Det+1)+INDEX(St_kx,Det+1)*C242+INDEX(St_ky,Det+1)*B242</f>
      </c>
      <c r="F242" s="20">
        <f>IF(E242&gt;0,IF(E242&lt;=eco,alpha*fck*(1-(1-E242/eco)^n),alpha*fck),0)</f>
      </c>
      <c r="G242" s="19">
        <f>F242*D242</f>
      </c>
      <c r="H242" s="19">
        <f>G242*C242</f>
      </c>
      <c r="I242" s="19">
        <f>G242*B242</f>
      </c>
      <c r="K242" s="37">
        <f>Eq_e0+Eq_kx*$C242+Eq_ky*$B242</f>
      </c>
      <c r="L242" s="20">
        <f>IF(K242&gt;0,IF(K242&lt;=eco,alpha*fck*(1-(1-K242/eco)^n),alpha*fck),0)</f>
      </c>
    </row>
    <row r="243" spans="1:12" x14ac:dyDescent="0.25">
      <c r="A243">
        <f>Mesh!A240</f>
      </c>
      <c r="B243" s="20">
        <f>Mesh!B240</f>
      </c>
      <c r="C243" s="20">
        <f>Mesh!C240</f>
      </c>
      <c r="D243" s="20">
        <f>Mesh!D240</f>
      </c>
      <c r="E243" s="37">
        <f>INDEX(St_e0,Det+1)+INDEX(St_kx,Det+1)*C243+INDEX(St_ky,Det+1)*B243</f>
      </c>
      <c r="F243" s="20">
        <f>IF(E243&gt;0,IF(E243&lt;=eco,alpha*fck*(1-(1-E243/eco)^n),alpha*fck),0)</f>
      </c>
      <c r="G243" s="19">
        <f>F243*D243</f>
      </c>
      <c r="H243" s="19">
        <f>G243*C243</f>
      </c>
      <c r="I243" s="19">
        <f>G243*B243</f>
      </c>
      <c r="K243" s="37">
        <f>Eq_e0+Eq_kx*$C243+Eq_ky*$B243</f>
      </c>
      <c r="L243" s="20">
        <f>IF(K243&gt;0,IF(K243&lt;=eco,alpha*fck*(1-(1-K243/eco)^n),alpha*fck),0)</f>
      </c>
    </row>
    <row r="244" spans="1:12" x14ac:dyDescent="0.25">
      <c r="A244">
        <f>Mesh!A241</f>
      </c>
      <c r="B244" s="20">
        <f>Mesh!B241</f>
      </c>
      <c r="C244" s="20">
        <f>Mesh!C241</f>
      </c>
      <c r="D244" s="20">
        <f>Mesh!D241</f>
      </c>
      <c r="E244" s="37">
        <f>INDEX(St_e0,Det+1)+INDEX(St_kx,Det+1)*C244+INDEX(St_ky,Det+1)*B244</f>
      </c>
      <c r="F244" s="20">
        <f>IF(E244&gt;0,IF(E244&lt;=eco,alpha*fck*(1-(1-E244/eco)^n),alpha*fck),0)</f>
      </c>
      <c r="G244" s="19">
        <f>F244*D244</f>
      </c>
      <c r="H244" s="19">
        <f>G244*C244</f>
      </c>
      <c r="I244" s="19">
        <f>G244*B244</f>
      </c>
      <c r="K244" s="37">
        <f>Eq_e0+Eq_kx*$C244+Eq_ky*$B244</f>
      </c>
      <c r="L244" s="20">
        <f>IF(K244&gt;0,IF(K244&lt;=eco,alpha*fck*(1-(1-K244/eco)^n),alpha*fck),0)</f>
      </c>
    </row>
    <row r="245" spans="1:12" x14ac:dyDescent="0.25">
      <c r="A245">
        <f>Mesh!A242</f>
      </c>
      <c r="B245" s="20">
        <f>Mesh!B242</f>
      </c>
      <c r="C245" s="20">
        <f>Mesh!C242</f>
      </c>
      <c r="D245" s="20">
        <f>Mesh!D242</f>
      </c>
      <c r="E245" s="37">
        <f>INDEX(St_e0,Det+1)+INDEX(St_kx,Det+1)*C245+INDEX(St_ky,Det+1)*B245</f>
      </c>
      <c r="F245" s="20">
        <f>IF(E245&gt;0,IF(E245&lt;=eco,alpha*fck*(1-(1-E245/eco)^n),alpha*fck),0)</f>
      </c>
      <c r="G245" s="19">
        <f>F245*D245</f>
      </c>
      <c r="H245" s="19">
        <f>G245*C245</f>
      </c>
      <c r="I245" s="19">
        <f>G245*B245</f>
      </c>
      <c r="K245" s="37">
        <f>Eq_e0+Eq_kx*$C245+Eq_ky*$B245</f>
      </c>
      <c r="L245" s="20">
        <f>IF(K245&gt;0,IF(K245&lt;=eco,alpha*fck*(1-(1-K245/eco)^n),alpha*fck),0)</f>
      </c>
    </row>
    <row r="246" spans="1:12" x14ac:dyDescent="0.25">
      <c r="A246">
        <f>Mesh!A243</f>
      </c>
      <c r="B246" s="20">
        <f>Mesh!B243</f>
      </c>
      <c r="C246" s="20">
        <f>Mesh!C243</f>
      </c>
      <c r="D246" s="20">
        <f>Mesh!D243</f>
      </c>
      <c r="E246" s="37">
        <f>INDEX(St_e0,Det+1)+INDEX(St_kx,Det+1)*C246+INDEX(St_ky,Det+1)*B246</f>
      </c>
      <c r="F246" s="20">
        <f>IF(E246&gt;0,IF(E246&lt;=eco,alpha*fck*(1-(1-E246/eco)^n),alpha*fck),0)</f>
      </c>
      <c r="G246" s="19">
        <f>F246*D246</f>
      </c>
      <c r="H246" s="19">
        <f>G246*C246</f>
      </c>
      <c r="I246" s="19">
        <f>G246*B246</f>
      </c>
      <c r="K246" s="37">
        <f>Eq_e0+Eq_kx*$C246+Eq_ky*$B246</f>
      </c>
      <c r="L246" s="20">
        <f>IF(K246&gt;0,IF(K246&lt;=eco,alpha*fck*(1-(1-K246/eco)^n),alpha*fck),0)</f>
      </c>
    </row>
    <row r="247" spans="1:12" x14ac:dyDescent="0.25">
      <c r="A247">
        <f>Mesh!A244</f>
      </c>
      <c r="B247" s="20">
        <f>Mesh!B244</f>
      </c>
      <c r="C247" s="20">
        <f>Mesh!C244</f>
      </c>
      <c r="D247" s="20">
        <f>Mesh!D244</f>
      </c>
      <c r="E247" s="37">
        <f>INDEX(St_e0,Det+1)+INDEX(St_kx,Det+1)*C247+INDEX(St_ky,Det+1)*B247</f>
      </c>
      <c r="F247" s="20">
        <f>IF(E247&gt;0,IF(E247&lt;=eco,alpha*fck*(1-(1-E247/eco)^n),alpha*fck),0)</f>
      </c>
      <c r="G247" s="19">
        <f>F247*D247</f>
      </c>
      <c r="H247" s="19">
        <f>G247*C247</f>
      </c>
      <c r="I247" s="19">
        <f>G247*B247</f>
      </c>
      <c r="K247" s="37">
        <f>Eq_e0+Eq_kx*$C247+Eq_ky*$B247</f>
      </c>
      <c r="L247" s="20">
        <f>IF(K247&gt;0,IF(K247&lt;=eco,alpha*fck*(1-(1-K247/eco)^n),alpha*fck),0)</f>
      </c>
    </row>
    <row r="248" spans="1:12" x14ac:dyDescent="0.25">
      <c r="A248">
        <f>Mesh!A245</f>
      </c>
      <c r="B248" s="20">
        <f>Mesh!B245</f>
      </c>
      <c r="C248" s="20">
        <f>Mesh!C245</f>
      </c>
      <c r="D248" s="20">
        <f>Mesh!D245</f>
      </c>
      <c r="E248" s="37">
        <f>INDEX(St_e0,Det+1)+INDEX(St_kx,Det+1)*C248+INDEX(St_ky,Det+1)*B248</f>
      </c>
      <c r="F248" s="20">
        <f>IF(E248&gt;0,IF(E248&lt;=eco,alpha*fck*(1-(1-E248/eco)^n),alpha*fck),0)</f>
      </c>
      <c r="G248" s="19">
        <f>F248*D248</f>
      </c>
      <c r="H248" s="19">
        <f>G248*C248</f>
      </c>
      <c r="I248" s="19">
        <f>G248*B248</f>
      </c>
      <c r="K248" s="37">
        <f>Eq_e0+Eq_kx*$C248+Eq_ky*$B248</f>
      </c>
      <c r="L248" s="20">
        <f>IF(K248&gt;0,IF(K248&lt;=eco,alpha*fck*(1-(1-K248/eco)^n),alpha*fck),0)</f>
      </c>
    </row>
    <row r="249" spans="1:12" x14ac:dyDescent="0.25">
      <c r="A249">
        <f>Mesh!A246</f>
      </c>
      <c r="B249" s="20">
        <f>Mesh!B246</f>
      </c>
      <c r="C249" s="20">
        <f>Mesh!C246</f>
      </c>
      <c r="D249" s="20">
        <f>Mesh!D246</f>
      </c>
      <c r="E249" s="37">
        <f>INDEX(St_e0,Det+1)+INDEX(St_kx,Det+1)*C249+INDEX(St_ky,Det+1)*B249</f>
      </c>
      <c r="F249" s="20">
        <f>IF(E249&gt;0,IF(E249&lt;=eco,alpha*fck*(1-(1-E249/eco)^n),alpha*fck),0)</f>
      </c>
      <c r="G249" s="19">
        <f>F249*D249</f>
      </c>
      <c r="H249" s="19">
        <f>G249*C249</f>
      </c>
      <c r="I249" s="19">
        <f>G249*B249</f>
      </c>
      <c r="K249" s="37">
        <f>Eq_e0+Eq_kx*$C249+Eq_ky*$B249</f>
      </c>
      <c r="L249" s="20">
        <f>IF(K249&gt;0,IF(K249&lt;=eco,alpha*fck*(1-(1-K249/eco)^n),alpha*fck),0)</f>
      </c>
    </row>
    <row r="250" spans="1:12" x14ac:dyDescent="0.25">
      <c r="A250">
        <f>Mesh!A247</f>
      </c>
      <c r="B250" s="20">
        <f>Mesh!B247</f>
      </c>
      <c r="C250" s="20">
        <f>Mesh!C247</f>
      </c>
      <c r="D250" s="20">
        <f>Mesh!D247</f>
      </c>
      <c r="E250" s="37">
        <f>INDEX(St_e0,Det+1)+INDEX(St_kx,Det+1)*C250+INDEX(St_ky,Det+1)*B250</f>
      </c>
      <c r="F250" s="20">
        <f>IF(E250&gt;0,IF(E250&lt;=eco,alpha*fck*(1-(1-E250/eco)^n),alpha*fck),0)</f>
      </c>
      <c r="G250" s="19">
        <f>F250*D250</f>
      </c>
      <c r="H250" s="19">
        <f>G250*C250</f>
      </c>
      <c r="I250" s="19">
        <f>G250*B250</f>
      </c>
      <c r="K250" s="37">
        <f>Eq_e0+Eq_kx*$C250+Eq_ky*$B250</f>
      </c>
      <c r="L250" s="20">
        <f>IF(K250&gt;0,IF(K250&lt;=eco,alpha*fck*(1-(1-K250/eco)^n),alpha*fck),0)</f>
      </c>
    </row>
    <row r="251" spans="1:12" x14ac:dyDescent="0.25">
      <c r="A251">
        <f>Mesh!A248</f>
      </c>
      <c r="B251" s="20">
        <f>Mesh!B248</f>
      </c>
      <c r="C251" s="20">
        <f>Mesh!C248</f>
      </c>
      <c r="D251" s="20">
        <f>Mesh!D248</f>
      </c>
      <c r="E251" s="37">
        <f>INDEX(St_e0,Det+1)+INDEX(St_kx,Det+1)*C251+INDEX(St_ky,Det+1)*B251</f>
      </c>
      <c r="F251" s="20">
        <f>IF(E251&gt;0,IF(E251&lt;=eco,alpha*fck*(1-(1-E251/eco)^n),alpha*fck),0)</f>
      </c>
      <c r="G251" s="19">
        <f>F251*D251</f>
      </c>
      <c r="H251" s="19">
        <f>G251*C251</f>
      </c>
      <c r="I251" s="19">
        <f>G251*B251</f>
      </c>
      <c r="K251" s="37">
        <f>Eq_e0+Eq_kx*$C251+Eq_ky*$B251</f>
      </c>
      <c r="L251" s="20">
        <f>IF(K251&gt;0,IF(K251&lt;=eco,alpha*fck*(1-(1-K251/eco)^n),alpha*fck),0)</f>
      </c>
    </row>
    <row r="252" spans="1:12" x14ac:dyDescent="0.25">
      <c r="A252">
        <f>Mesh!A249</f>
      </c>
      <c r="B252" s="20">
        <f>Mesh!B249</f>
      </c>
      <c r="C252" s="20">
        <f>Mesh!C249</f>
      </c>
      <c r="D252" s="20">
        <f>Mesh!D249</f>
      </c>
      <c r="E252" s="37">
        <f>INDEX(St_e0,Det+1)+INDEX(St_kx,Det+1)*C252+INDEX(St_ky,Det+1)*B252</f>
      </c>
      <c r="F252" s="20">
        <f>IF(E252&gt;0,IF(E252&lt;=eco,alpha*fck*(1-(1-E252/eco)^n),alpha*fck),0)</f>
      </c>
      <c r="G252" s="19">
        <f>F252*D252</f>
      </c>
      <c r="H252" s="19">
        <f>G252*C252</f>
      </c>
      <c r="I252" s="19">
        <f>G252*B252</f>
      </c>
      <c r="K252" s="37">
        <f>Eq_e0+Eq_kx*$C252+Eq_ky*$B252</f>
      </c>
      <c r="L252" s="20">
        <f>IF(K252&gt;0,IF(K252&lt;=eco,alpha*fck*(1-(1-K252/eco)^n),alpha*fck),0)</f>
      </c>
    </row>
    <row r="253" spans="1:12" x14ac:dyDescent="0.25">
      <c r="A253">
        <f>Mesh!A250</f>
      </c>
      <c r="B253" s="20">
        <f>Mesh!B250</f>
      </c>
      <c r="C253" s="20">
        <f>Mesh!C250</f>
      </c>
      <c r="D253" s="20">
        <f>Mesh!D250</f>
      </c>
      <c r="E253" s="37">
        <f>INDEX(St_e0,Det+1)+INDEX(St_kx,Det+1)*C253+INDEX(St_ky,Det+1)*B253</f>
      </c>
      <c r="F253" s="20">
        <f>IF(E253&gt;0,IF(E253&lt;=eco,alpha*fck*(1-(1-E253/eco)^n),alpha*fck),0)</f>
      </c>
      <c r="G253" s="19">
        <f>F253*D253</f>
      </c>
      <c r="H253" s="19">
        <f>G253*C253</f>
      </c>
      <c r="I253" s="19">
        <f>G253*B253</f>
      </c>
      <c r="K253" s="37">
        <f>Eq_e0+Eq_kx*$C253+Eq_ky*$B253</f>
      </c>
      <c r="L253" s="20">
        <f>IF(K253&gt;0,IF(K253&lt;=eco,alpha*fck*(1-(1-K253/eco)^n),alpha*fck),0)</f>
      </c>
    </row>
    <row r="254" spans="1:12" x14ac:dyDescent="0.25">
      <c r="A254">
        <f>Mesh!A251</f>
      </c>
      <c r="B254" s="20">
        <f>Mesh!B251</f>
      </c>
      <c r="C254" s="20">
        <f>Mesh!C251</f>
      </c>
      <c r="D254" s="20">
        <f>Mesh!D251</f>
      </c>
      <c r="E254" s="37">
        <f>INDEX(St_e0,Det+1)+INDEX(St_kx,Det+1)*C254+INDEX(St_ky,Det+1)*B254</f>
      </c>
      <c r="F254" s="20">
        <f>IF(E254&gt;0,IF(E254&lt;=eco,alpha*fck*(1-(1-E254/eco)^n),alpha*fck),0)</f>
      </c>
      <c r="G254" s="19">
        <f>F254*D254</f>
      </c>
      <c r="H254" s="19">
        <f>G254*C254</f>
      </c>
      <c r="I254" s="19">
        <f>G254*B254</f>
      </c>
      <c r="K254" s="37">
        <f>Eq_e0+Eq_kx*$C254+Eq_ky*$B254</f>
      </c>
      <c r="L254" s="20">
        <f>IF(K254&gt;0,IF(K254&lt;=eco,alpha*fck*(1-(1-K254/eco)^n),alpha*fck),0)</f>
      </c>
    </row>
    <row r="255" spans="1:12" x14ac:dyDescent="0.25">
      <c r="A255">
        <f>Mesh!A252</f>
      </c>
      <c r="B255" s="20">
        <f>Mesh!B252</f>
      </c>
      <c r="C255" s="20">
        <f>Mesh!C252</f>
      </c>
      <c r="D255" s="20">
        <f>Mesh!D252</f>
      </c>
      <c r="E255" s="37">
        <f>INDEX(St_e0,Det+1)+INDEX(St_kx,Det+1)*C255+INDEX(St_ky,Det+1)*B255</f>
      </c>
      <c r="F255" s="20">
        <f>IF(E255&gt;0,IF(E255&lt;=eco,alpha*fck*(1-(1-E255/eco)^n),alpha*fck),0)</f>
      </c>
      <c r="G255" s="19">
        <f>F255*D255</f>
      </c>
      <c r="H255" s="19">
        <f>G255*C255</f>
      </c>
      <c r="I255" s="19">
        <f>G255*B255</f>
      </c>
      <c r="K255" s="37">
        <f>Eq_e0+Eq_kx*$C255+Eq_ky*$B255</f>
      </c>
      <c r="L255" s="20">
        <f>IF(K255&gt;0,IF(K255&lt;=eco,alpha*fck*(1-(1-K255/eco)^n),alpha*fck),0)</f>
      </c>
    </row>
    <row r="256" spans="1:12" x14ac:dyDescent="0.25">
      <c r="A256">
        <f>Mesh!A253</f>
      </c>
      <c r="B256" s="20">
        <f>Mesh!B253</f>
      </c>
      <c r="C256" s="20">
        <f>Mesh!C253</f>
      </c>
      <c r="D256" s="20">
        <f>Mesh!D253</f>
      </c>
      <c r="E256" s="37">
        <f>INDEX(St_e0,Det+1)+INDEX(St_kx,Det+1)*C256+INDEX(St_ky,Det+1)*B256</f>
      </c>
      <c r="F256" s="20">
        <f>IF(E256&gt;0,IF(E256&lt;=eco,alpha*fck*(1-(1-E256/eco)^n),alpha*fck),0)</f>
      </c>
      <c r="G256" s="19">
        <f>F256*D256</f>
      </c>
      <c r="H256" s="19">
        <f>G256*C256</f>
      </c>
      <c r="I256" s="19">
        <f>G256*B256</f>
      </c>
      <c r="K256" s="37">
        <f>Eq_e0+Eq_kx*$C256+Eq_ky*$B256</f>
      </c>
      <c r="L256" s="20">
        <f>IF(K256&gt;0,IF(K256&lt;=eco,alpha*fck*(1-(1-K256/eco)^n),alpha*fck),0)</f>
      </c>
    </row>
    <row r="257" spans="1:12" x14ac:dyDescent="0.25">
      <c r="A257">
        <f>Mesh!A254</f>
      </c>
      <c r="B257" s="20">
        <f>Mesh!B254</f>
      </c>
      <c r="C257" s="20">
        <f>Mesh!C254</f>
      </c>
      <c r="D257" s="20">
        <f>Mesh!D254</f>
      </c>
      <c r="E257" s="37">
        <f>INDEX(St_e0,Det+1)+INDEX(St_kx,Det+1)*C257+INDEX(St_ky,Det+1)*B257</f>
      </c>
      <c r="F257" s="20">
        <f>IF(E257&gt;0,IF(E257&lt;=eco,alpha*fck*(1-(1-E257/eco)^n),alpha*fck),0)</f>
      </c>
      <c r="G257" s="19">
        <f>F257*D257</f>
      </c>
      <c r="H257" s="19">
        <f>G257*C257</f>
      </c>
      <c r="I257" s="19">
        <f>G257*B257</f>
      </c>
      <c r="K257" s="37">
        <f>Eq_e0+Eq_kx*$C257+Eq_ky*$B257</f>
      </c>
      <c r="L257" s="20">
        <f>IF(K257&gt;0,IF(K257&lt;=eco,alpha*fck*(1-(1-K257/eco)^n),alpha*fck),0)</f>
      </c>
    </row>
    <row r="258" spans="1:12" x14ac:dyDescent="0.25">
      <c r="A258">
        <f>Mesh!A255</f>
      </c>
      <c r="B258" s="20">
        <f>Mesh!B255</f>
      </c>
      <c r="C258" s="20">
        <f>Mesh!C255</f>
      </c>
      <c r="D258" s="20">
        <f>Mesh!D255</f>
      </c>
      <c r="E258" s="37">
        <f>INDEX(St_e0,Det+1)+INDEX(St_kx,Det+1)*C258+INDEX(St_ky,Det+1)*B258</f>
      </c>
      <c r="F258" s="20">
        <f>IF(E258&gt;0,IF(E258&lt;=eco,alpha*fck*(1-(1-E258/eco)^n),alpha*fck),0)</f>
      </c>
      <c r="G258" s="19">
        <f>F258*D258</f>
      </c>
      <c r="H258" s="19">
        <f>G258*C258</f>
      </c>
      <c r="I258" s="19">
        <f>G258*B258</f>
      </c>
      <c r="K258" s="37">
        <f>Eq_e0+Eq_kx*$C258+Eq_ky*$B258</f>
      </c>
      <c r="L258" s="20">
        <f>IF(K258&gt;0,IF(K258&lt;=eco,alpha*fck*(1-(1-K258/eco)^n),alpha*fck),0)</f>
      </c>
    </row>
    <row r="259" spans="1:12" x14ac:dyDescent="0.25">
      <c r="A259">
        <f>Mesh!A256</f>
      </c>
      <c r="B259" s="20">
        <f>Mesh!B256</f>
      </c>
      <c r="C259" s="20">
        <f>Mesh!C256</f>
      </c>
      <c r="D259" s="20">
        <f>Mesh!D256</f>
      </c>
      <c r="E259" s="37">
        <f>INDEX(St_e0,Det+1)+INDEX(St_kx,Det+1)*C259+INDEX(St_ky,Det+1)*B259</f>
      </c>
      <c r="F259" s="20">
        <f>IF(E259&gt;0,IF(E259&lt;=eco,alpha*fck*(1-(1-E259/eco)^n),alpha*fck),0)</f>
      </c>
      <c r="G259" s="19">
        <f>F259*D259</f>
      </c>
      <c r="H259" s="19">
        <f>G259*C259</f>
      </c>
      <c r="I259" s="19">
        <f>G259*B259</f>
      </c>
      <c r="K259" s="37">
        <f>Eq_e0+Eq_kx*$C259+Eq_ky*$B259</f>
      </c>
      <c r="L259" s="20">
        <f>IF(K259&gt;0,IF(K259&lt;=eco,alpha*fck*(1-(1-K259/eco)^n),alpha*fck),0)</f>
      </c>
    </row>
    <row r="260" spans="1:12" x14ac:dyDescent="0.25">
      <c r="A260">
        <f>Mesh!A257</f>
      </c>
      <c r="B260" s="20">
        <f>Mesh!B257</f>
      </c>
      <c r="C260" s="20">
        <f>Mesh!C257</f>
      </c>
      <c r="D260" s="20">
        <f>Mesh!D257</f>
      </c>
      <c r="E260" s="37">
        <f>INDEX(St_e0,Det+1)+INDEX(St_kx,Det+1)*C260+INDEX(St_ky,Det+1)*B260</f>
      </c>
      <c r="F260" s="20">
        <f>IF(E260&gt;0,IF(E260&lt;=eco,alpha*fck*(1-(1-E260/eco)^n),alpha*fck),0)</f>
      </c>
      <c r="G260" s="19">
        <f>F260*D260</f>
      </c>
      <c r="H260" s="19">
        <f>G260*C260</f>
      </c>
      <c r="I260" s="19">
        <f>G260*B260</f>
      </c>
      <c r="K260" s="37">
        <f>Eq_e0+Eq_kx*$C260+Eq_ky*$B260</f>
      </c>
      <c r="L260" s="20">
        <f>IF(K260&gt;0,IF(K260&lt;=eco,alpha*fck*(1-(1-K260/eco)^n),alpha*fck),0)</f>
      </c>
    </row>
    <row r="261" spans="1:12" x14ac:dyDescent="0.25">
      <c r="A261">
        <f>Mesh!A258</f>
      </c>
      <c r="B261" s="20">
        <f>Mesh!B258</f>
      </c>
      <c r="C261" s="20">
        <f>Mesh!C258</f>
      </c>
      <c r="D261" s="20">
        <f>Mesh!D258</f>
      </c>
      <c r="E261" s="37">
        <f>INDEX(St_e0,Det+1)+INDEX(St_kx,Det+1)*C261+INDEX(St_ky,Det+1)*B261</f>
      </c>
      <c r="F261" s="20">
        <f>IF(E261&gt;0,IF(E261&lt;=eco,alpha*fck*(1-(1-E261/eco)^n),alpha*fck),0)</f>
      </c>
      <c r="G261" s="19">
        <f>F261*D261</f>
      </c>
      <c r="H261" s="19">
        <f>G261*C261</f>
      </c>
      <c r="I261" s="19">
        <f>G261*B261</f>
      </c>
      <c r="K261" s="37">
        <f>Eq_e0+Eq_kx*$C261+Eq_ky*$B261</f>
      </c>
      <c r="L261" s="20">
        <f>IF(K261&gt;0,IF(K261&lt;=eco,alpha*fck*(1-(1-K261/eco)^n),alpha*fck),0)</f>
      </c>
    </row>
    <row r="262" spans="1:12" x14ac:dyDescent="0.25">
      <c r="A262">
        <f>Mesh!A259</f>
      </c>
      <c r="B262" s="20">
        <f>Mesh!B259</f>
      </c>
      <c r="C262" s="20">
        <f>Mesh!C259</f>
      </c>
      <c r="D262" s="20">
        <f>Mesh!D259</f>
      </c>
      <c r="E262" s="37">
        <f>INDEX(St_e0,Det+1)+INDEX(St_kx,Det+1)*C262+INDEX(St_ky,Det+1)*B262</f>
      </c>
      <c r="F262" s="20">
        <f>IF(E262&gt;0,IF(E262&lt;=eco,alpha*fck*(1-(1-E262/eco)^n),alpha*fck),0)</f>
      </c>
      <c r="G262" s="19">
        <f>F262*D262</f>
      </c>
      <c r="H262" s="19">
        <f>G262*C262</f>
      </c>
      <c r="I262" s="19">
        <f>G262*B262</f>
      </c>
      <c r="K262" s="37">
        <f>Eq_e0+Eq_kx*$C262+Eq_ky*$B262</f>
      </c>
      <c r="L262" s="20">
        <f>IF(K262&gt;0,IF(K262&lt;=eco,alpha*fck*(1-(1-K262/eco)^n),alpha*fck),0)</f>
      </c>
    </row>
    <row r="263" spans="1:12" x14ac:dyDescent="0.25">
      <c r="A263">
        <f>Mesh!A260</f>
      </c>
      <c r="B263" s="20">
        <f>Mesh!B260</f>
      </c>
      <c r="C263" s="20">
        <f>Mesh!C260</f>
      </c>
      <c r="D263" s="20">
        <f>Mesh!D260</f>
      </c>
      <c r="E263" s="37">
        <f>INDEX(St_e0,Det+1)+INDEX(St_kx,Det+1)*C263+INDEX(St_ky,Det+1)*B263</f>
      </c>
      <c r="F263" s="20">
        <f>IF(E263&gt;0,IF(E263&lt;=eco,alpha*fck*(1-(1-E263/eco)^n),alpha*fck),0)</f>
      </c>
      <c r="G263" s="19">
        <f>F263*D263</f>
      </c>
      <c r="H263" s="19">
        <f>G263*C263</f>
      </c>
      <c r="I263" s="19">
        <f>G263*B263</f>
      </c>
      <c r="K263" s="37">
        <f>Eq_e0+Eq_kx*$C263+Eq_ky*$B263</f>
      </c>
      <c r="L263" s="20">
        <f>IF(K263&gt;0,IF(K263&lt;=eco,alpha*fck*(1-(1-K263/eco)^n),alpha*fck),0)</f>
      </c>
    </row>
    <row r="264" spans="1:12" x14ac:dyDescent="0.25">
      <c r="A264">
        <f>Mesh!A261</f>
      </c>
      <c r="B264" s="20">
        <f>Mesh!B261</f>
      </c>
      <c r="C264" s="20">
        <f>Mesh!C261</f>
      </c>
      <c r="D264" s="20">
        <f>Mesh!D261</f>
      </c>
      <c r="E264" s="37">
        <f>INDEX(St_e0,Det+1)+INDEX(St_kx,Det+1)*C264+INDEX(St_ky,Det+1)*B264</f>
      </c>
      <c r="F264" s="20">
        <f>IF(E264&gt;0,IF(E264&lt;=eco,alpha*fck*(1-(1-E264/eco)^n),alpha*fck),0)</f>
      </c>
      <c r="G264" s="19">
        <f>F264*D264</f>
      </c>
      <c r="H264" s="19">
        <f>G264*C264</f>
      </c>
      <c r="I264" s="19">
        <f>G264*B264</f>
      </c>
      <c r="K264" s="37">
        <f>Eq_e0+Eq_kx*$C264+Eq_ky*$B264</f>
      </c>
      <c r="L264" s="20">
        <f>IF(K264&gt;0,IF(K264&lt;=eco,alpha*fck*(1-(1-K264/eco)^n),alpha*fck),0)</f>
      </c>
    </row>
    <row r="265" spans="1:12" x14ac:dyDescent="0.25">
      <c r="A265">
        <f>Mesh!A262</f>
      </c>
      <c r="B265" s="20">
        <f>Mesh!B262</f>
      </c>
      <c r="C265" s="20">
        <f>Mesh!C262</f>
      </c>
      <c r="D265" s="20">
        <f>Mesh!D262</f>
      </c>
      <c r="E265" s="37">
        <f>INDEX(St_e0,Det+1)+INDEX(St_kx,Det+1)*C265+INDEX(St_ky,Det+1)*B265</f>
      </c>
      <c r="F265" s="20">
        <f>IF(E265&gt;0,IF(E265&lt;=eco,alpha*fck*(1-(1-E265/eco)^n),alpha*fck),0)</f>
      </c>
      <c r="G265" s="19">
        <f>F265*D265</f>
      </c>
      <c r="H265" s="19">
        <f>G265*C265</f>
      </c>
      <c r="I265" s="19">
        <f>G265*B265</f>
      </c>
      <c r="K265" s="37">
        <f>Eq_e0+Eq_kx*$C265+Eq_ky*$B265</f>
      </c>
      <c r="L265" s="20">
        <f>IF(K265&gt;0,IF(K265&lt;=eco,alpha*fck*(1-(1-K265/eco)^n),alpha*fck),0)</f>
      </c>
    </row>
    <row r="266" spans="1:12" x14ac:dyDescent="0.25">
      <c r="A266">
        <f>Mesh!A263</f>
      </c>
      <c r="B266" s="20">
        <f>Mesh!B263</f>
      </c>
      <c r="C266" s="20">
        <f>Mesh!C263</f>
      </c>
      <c r="D266" s="20">
        <f>Mesh!D263</f>
      </c>
      <c r="E266" s="37">
        <f>INDEX(St_e0,Det+1)+INDEX(St_kx,Det+1)*C266+INDEX(St_ky,Det+1)*B266</f>
      </c>
      <c r="F266" s="20">
        <f>IF(E266&gt;0,IF(E266&lt;=eco,alpha*fck*(1-(1-E266/eco)^n),alpha*fck),0)</f>
      </c>
      <c r="G266" s="19">
        <f>F266*D266</f>
      </c>
      <c r="H266" s="19">
        <f>G266*C266</f>
      </c>
      <c r="I266" s="19">
        <f>G266*B266</f>
      </c>
      <c r="K266" s="37">
        <f>Eq_e0+Eq_kx*$C266+Eq_ky*$B266</f>
      </c>
      <c r="L266" s="20">
        <f>IF(K266&gt;0,IF(K266&lt;=eco,alpha*fck*(1-(1-K266/eco)^n),alpha*fck),0)</f>
      </c>
    </row>
    <row r="267" spans="1:12" x14ac:dyDescent="0.25">
      <c r="A267">
        <f>Mesh!A264</f>
      </c>
      <c r="B267" s="20">
        <f>Mesh!B264</f>
      </c>
      <c r="C267" s="20">
        <f>Mesh!C264</f>
      </c>
      <c r="D267" s="20">
        <f>Mesh!D264</f>
      </c>
      <c r="E267" s="37">
        <f>INDEX(St_e0,Det+1)+INDEX(St_kx,Det+1)*C267+INDEX(St_ky,Det+1)*B267</f>
      </c>
      <c r="F267" s="20">
        <f>IF(E267&gt;0,IF(E267&lt;=eco,alpha*fck*(1-(1-E267/eco)^n),alpha*fck),0)</f>
      </c>
      <c r="G267" s="19">
        <f>F267*D267</f>
      </c>
      <c r="H267" s="19">
        <f>G267*C267</f>
      </c>
      <c r="I267" s="19">
        <f>G267*B267</f>
      </c>
      <c r="K267" s="37">
        <f>Eq_e0+Eq_kx*$C267+Eq_ky*$B267</f>
      </c>
      <c r="L267" s="20">
        <f>IF(K267&gt;0,IF(K267&lt;=eco,alpha*fck*(1-(1-K267/eco)^n),alpha*fck),0)</f>
      </c>
    </row>
    <row r="268" spans="1:12" x14ac:dyDescent="0.25">
      <c r="A268">
        <f>Mesh!A265</f>
      </c>
      <c r="B268" s="20">
        <f>Mesh!B265</f>
      </c>
      <c r="C268" s="20">
        <f>Mesh!C265</f>
      </c>
      <c r="D268" s="20">
        <f>Mesh!D265</f>
      </c>
      <c r="E268" s="37">
        <f>INDEX(St_e0,Det+1)+INDEX(St_kx,Det+1)*C268+INDEX(St_ky,Det+1)*B268</f>
      </c>
      <c r="F268" s="20">
        <f>IF(E268&gt;0,IF(E268&lt;=eco,alpha*fck*(1-(1-E268/eco)^n),alpha*fck),0)</f>
      </c>
      <c r="G268" s="19">
        <f>F268*D268</f>
      </c>
      <c r="H268" s="19">
        <f>G268*C268</f>
      </c>
      <c r="I268" s="19">
        <f>G268*B268</f>
      </c>
      <c r="K268" s="37">
        <f>Eq_e0+Eq_kx*$C268+Eq_ky*$B268</f>
      </c>
      <c r="L268" s="20">
        <f>IF(K268&gt;0,IF(K268&lt;=eco,alpha*fck*(1-(1-K268/eco)^n),alpha*fck),0)</f>
      </c>
    </row>
    <row r="269" spans="1:12" x14ac:dyDescent="0.25">
      <c r="A269">
        <f>Mesh!A266</f>
      </c>
      <c r="B269" s="20">
        <f>Mesh!B266</f>
      </c>
      <c r="C269" s="20">
        <f>Mesh!C266</f>
      </c>
      <c r="D269" s="20">
        <f>Mesh!D266</f>
      </c>
      <c r="E269" s="37">
        <f>INDEX(St_e0,Det+1)+INDEX(St_kx,Det+1)*C269+INDEX(St_ky,Det+1)*B269</f>
      </c>
      <c r="F269" s="20">
        <f>IF(E269&gt;0,IF(E269&lt;=eco,alpha*fck*(1-(1-E269/eco)^n),alpha*fck),0)</f>
      </c>
      <c r="G269" s="19">
        <f>F269*D269</f>
      </c>
      <c r="H269" s="19">
        <f>G269*C269</f>
      </c>
      <c r="I269" s="19">
        <f>G269*B269</f>
      </c>
      <c r="K269" s="37">
        <f>Eq_e0+Eq_kx*$C269+Eq_ky*$B269</f>
      </c>
      <c r="L269" s="20">
        <f>IF(K269&gt;0,IF(K269&lt;=eco,alpha*fck*(1-(1-K269/eco)^n),alpha*fck),0)</f>
      </c>
    </row>
    <row r="270" spans="1:12" x14ac:dyDescent="0.25">
      <c r="A270">
        <f>Mesh!A267</f>
      </c>
      <c r="B270" s="20">
        <f>Mesh!B267</f>
      </c>
      <c r="C270" s="20">
        <f>Mesh!C267</f>
      </c>
      <c r="D270" s="20">
        <f>Mesh!D267</f>
      </c>
      <c r="E270" s="37">
        <f>INDEX(St_e0,Det+1)+INDEX(St_kx,Det+1)*C270+INDEX(St_ky,Det+1)*B270</f>
      </c>
      <c r="F270" s="20">
        <f>IF(E270&gt;0,IF(E270&lt;=eco,alpha*fck*(1-(1-E270/eco)^n),alpha*fck),0)</f>
      </c>
      <c r="G270" s="19">
        <f>F270*D270</f>
      </c>
      <c r="H270" s="19">
        <f>G270*C270</f>
      </c>
      <c r="I270" s="19">
        <f>G270*B270</f>
      </c>
      <c r="K270" s="37">
        <f>Eq_e0+Eq_kx*$C270+Eq_ky*$B270</f>
      </c>
      <c r="L270" s="20">
        <f>IF(K270&gt;0,IF(K270&lt;=eco,alpha*fck*(1-(1-K270/eco)^n),alpha*fck),0)</f>
      </c>
    </row>
    <row r="271" spans="1:12" x14ac:dyDescent="0.25">
      <c r="A271">
        <f>Mesh!A268</f>
      </c>
      <c r="B271" s="20">
        <f>Mesh!B268</f>
      </c>
      <c r="C271" s="20">
        <f>Mesh!C268</f>
      </c>
      <c r="D271" s="20">
        <f>Mesh!D268</f>
      </c>
      <c r="E271" s="37">
        <f>INDEX(St_e0,Det+1)+INDEX(St_kx,Det+1)*C271+INDEX(St_ky,Det+1)*B271</f>
      </c>
      <c r="F271" s="20">
        <f>IF(E271&gt;0,IF(E271&lt;=eco,alpha*fck*(1-(1-E271/eco)^n),alpha*fck),0)</f>
      </c>
      <c r="G271" s="19">
        <f>F271*D271</f>
      </c>
      <c r="H271" s="19">
        <f>G271*C271</f>
      </c>
      <c r="I271" s="19">
        <f>G271*B271</f>
      </c>
      <c r="K271" s="37">
        <f>Eq_e0+Eq_kx*$C271+Eq_ky*$B271</f>
      </c>
      <c r="L271" s="20">
        <f>IF(K271&gt;0,IF(K271&lt;=eco,alpha*fck*(1-(1-K271/eco)^n),alpha*fck),0)</f>
      </c>
    </row>
    <row r="272" spans="1:12" x14ac:dyDescent="0.25">
      <c r="A272">
        <f>Mesh!A269</f>
      </c>
      <c r="B272" s="20">
        <f>Mesh!B269</f>
      </c>
      <c r="C272" s="20">
        <f>Mesh!C269</f>
      </c>
      <c r="D272" s="20">
        <f>Mesh!D269</f>
      </c>
      <c r="E272" s="37">
        <f>INDEX(St_e0,Det+1)+INDEX(St_kx,Det+1)*C272+INDEX(St_ky,Det+1)*B272</f>
      </c>
      <c r="F272" s="20">
        <f>IF(E272&gt;0,IF(E272&lt;=eco,alpha*fck*(1-(1-E272/eco)^n),alpha*fck),0)</f>
      </c>
      <c r="G272" s="19">
        <f>F272*D272</f>
      </c>
      <c r="H272" s="19">
        <f>G272*C272</f>
      </c>
      <c r="I272" s="19">
        <f>G272*B272</f>
      </c>
      <c r="K272" s="37">
        <f>Eq_e0+Eq_kx*$C272+Eq_ky*$B272</f>
      </c>
      <c r="L272" s="20">
        <f>IF(K272&gt;0,IF(K272&lt;=eco,alpha*fck*(1-(1-K272/eco)^n),alpha*fck),0)</f>
      </c>
    </row>
    <row r="273" spans="1:12" x14ac:dyDescent="0.25">
      <c r="A273">
        <f>Mesh!A270</f>
      </c>
      <c r="B273" s="20">
        <f>Mesh!B270</f>
      </c>
      <c r="C273" s="20">
        <f>Mesh!C270</f>
      </c>
      <c r="D273" s="20">
        <f>Mesh!D270</f>
      </c>
      <c r="E273" s="37">
        <f>INDEX(St_e0,Det+1)+INDEX(St_kx,Det+1)*C273+INDEX(St_ky,Det+1)*B273</f>
      </c>
      <c r="F273" s="20">
        <f>IF(E273&gt;0,IF(E273&lt;=eco,alpha*fck*(1-(1-E273/eco)^n),alpha*fck),0)</f>
      </c>
      <c r="G273" s="19">
        <f>F273*D273</f>
      </c>
      <c r="H273" s="19">
        <f>G273*C273</f>
      </c>
      <c r="I273" s="19">
        <f>G273*B273</f>
      </c>
      <c r="K273" s="37">
        <f>Eq_e0+Eq_kx*$C273+Eq_ky*$B273</f>
      </c>
      <c r="L273" s="20">
        <f>IF(K273&gt;0,IF(K273&lt;=eco,alpha*fck*(1-(1-K273/eco)^n),alpha*fck),0)</f>
      </c>
    </row>
    <row r="274" spans="1:12" x14ac:dyDescent="0.25">
      <c r="A274">
        <f>Mesh!A271</f>
      </c>
      <c r="B274" s="20">
        <f>Mesh!B271</f>
      </c>
      <c r="C274" s="20">
        <f>Mesh!C271</f>
      </c>
      <c r="D274" s="20">
        <f>Mesh!D271</f>
      </c>
      <c r="E274" s="37">
        <f>INDEX(St_e0,Det+1)+INDEX(St_kx,Det+1)*C274+INDEX(St_ky,Det+1)*B274</f>
      </c>
      <c r="F274" s="20">
        <f>IF(E274&gt;0,IF(E274&lt;=eco,alpha*fck*(1-(1-E274/eco)^n),alpha*fck),0)</f>
      </c>
      <c r="G274" s="19">
        <f>F274*D274</f>
      </c>
      <c r="H274" s="19">
        <f>G274*C274</f>
      </c>
      <c r="I274" s="19">
        <f>G274*B274</f>
      </c>
      <c r="K274" s="37">
        <f>Eq_e0+Eq_kx*$C274+Eq_ky*$B274</f>
      </c>
      <c r="L274" s="20">
        <f>IF(K274&gt;0,IF(K274&lt;=eco,alpha*fck*(1-(1-K274/eco)^n),alpha*fck),0)</f>
      </c>
    </row>
    <row r="275" spans="1:12" x14ac:dyDescent="0.25">
      <c r="A275">
        <f>Mesh!A272</f>
      </c>
      <c r="B275" s="20">
        <f>Mesh!B272</f>
      </c>
      <c r="C275" s="20">
        <f>Mesh!C272</f>
      </c>
      <c r="D275" s="20">
        <f>Mesh!D272</f>
      </c>
      <c r="E275" s="37">
        <f>INDEX(St_e0,Det+1)+INDEX(St_kx,Det+1)*C275+INDEX(St_ky,Det+1)*B275</f>
      </c>
      <c r="F275" s="20">
        <f>IF(E275&gt;0,IF(E275&lt;=eco,alpha*fck*(1-(1-E275/eco)^n),alpha*fck),0)</f>
      </c>
      <c r="G275" s="19">
        <f>F275*D275</f>
      </c>
      <c r="H275" s="19">
        <f>G275*C275</f>
      </c>
      <c r="I275" s="19">
        <f>G275*B275</f>
      </c>
      <c r="K275" s="37">
        <f>Eq_e0+Eq_kx*$C275+Eq_ky*$B275</f>
      </c>
      <c r="L275" s="20">
        <f>IF(K275&gt;0,IF(K275&lt;=eco,alpha*fck*(1-(1-K275/eco)^n),alpha*fck),0)</f>
      </c>
    </row>
    <row r="276" spans="1:12" x14ac:dyDescent="0.25">
      <c r="A276">
        <f>Mesh!A273</f>
      </c>
      <c r="B276" s="20">
        <f>Mesh!B273</f>
      </c>
      <c r="C276" s="20">
        <f>Mesh!C273</f>
      </c>
      <c r="D276" s="20">
        <f>Mesh!D273</f>
      </c>
      <c r="E276" s="37">
        <f>INDEX(St_e0,Det+1)+INDEX(St_kx,Det+1)*C276+INDEX(St_ky,Det+1)*B276</f>
      </c>
      <c r="F276" s="20">
        <f>IF(E276&gt;0,IF(E276&lt;=eco,alpha*fck*(1-(1-E276/eco)^n),alpha*fck),0)</f>
      </c>
      <c r="G276" s="19">
        <f>F276*D276</f>
      </c>
      <c r="H276" s="19">
        <f>G276*C276</f>
      </c>
      <c r="I276" s="19">
        <f>G276*B276</f>
      </c>
      <c r="K276" s="37">
        <f>Eq_e0+Eq_kx*$C276+Eq_ky*$B276</f>
      </c>
      <c r="L276" s="20">
        <f>IF(K276&gt;0,IF(K276&lt;=eco,alpha*fck*(1-(1-K276/eco)^n),alpha*fck),0)</f>
      </c>
    </row>
    <row r="277" spans="1:12" x14ac:dyDescent="0.25">
      <c r="A277">
        <f>Mesh!A274</f>
      </c>
      <c r="B277" s="20">
        <f>Mesh!B274</f>
      </c>
      <c r="C277" s="20">
        <f>Mesh!C274</f>
      </c>
      <c r="D277" s="20">
        <f>Mesh!D274</f>
      </c>
      <c r="E277" s="37">
        <f>INDEX(St_e0,Det+1)+INDEX(St_kx,Det+1)*C277+INDEX(St_ky,Det+1)*B277</f>
      </c>
      <c r="F277" s="20">
        <f>IF(E277&gt;0,IF(E277&lt;=eco,alpha*fck*(1-(1-E277/eco)^n),alpha*fck),0)</f>
      </c>
      <c r="G277" s="19">
        <f>F277*D277</f>
      </c>
      <c r="H277" s="19">
        <f>G277*C277</f>
      </c>
      <c r="I277" s="19">
        <f>G277*B277</f>
      </c>
      <c r="K277" s="37">
        <f>Eq_e0+Eq_kx*$C277+Eq_ky*$B277</f>
      </c>
      <c r="L277" s="20">
        <f>IF(K277&gt;0,IF(K277&lt;=eco,alpha*fck*(1-(1-K277/eco)^n),alpha*fck),0)</f>
      </c>
    </row>
    <row r="278" spans="1:12" x14ac:dyDescent="0.25">
      <c r="A278">
        <f>Mesh!A275</f>
      </c>
      <c r="B278" s="20">
        <f>Mesh!B275</f>
      </c>
      <c r="C278" s="20">
        <f>Mesh!C275</f>
      </c>
      <c r="D278" s="20">
        <f>Mesh!D275</f>
      </c>
      <c r="E278" s="37">
        <f>INDEX(St_e0,Det+1)+INDEX(St_kx,Det+1)*C278+INDEX(St_ky,Det+1)*B278</f>
      </c>
      <c r="F278" s="20">
        <f>IF(E278&gt;0,IF(E278&lt;=eco,alpha*fck*(1-(1-E278/eco)^n),alpha*fck),0)</f>
      </c>
      <c r="G278" s="19">
        <f>F278*D278</f>
      </c>
      <c r="H278" s="19">
        <f>G278*C278</f>
      </c>
      <c r="I278" s="19">
        <f>G278*B278</f>
      </c>
      <c r="K278" s="37">
        <f>Eq_e0+Eq_kx*$C278+Eq_ky*$B278</f>
      </c>
      <c r="L278" s="20">
        <f>IF(K278&gt;0,IF(K278&lt;=eco,alpha*fck*(1-(1-K278/eco)^n),alpha*fck),0)</f>
      </c>
    </row>
    <row r="279" spans="1:12" x14ac:dyDescent="0.25">
      <c r="A279">
        <f>Mesh!A276</f>
      </c>
      <c r="B279" s="20">
        <f>Mesh!B276</f>
      </c>
      <c r="C279" s="20">
        <f>Mesh!C276</f>
      </c>
      <c r="D279" s="20">
        <f>Mesh!D276</f>
      </c>
      <c r="E279" s="37">
        <f>INDEX(St_e0,Det+1)+INDEX(St_kx,Det+1)*C279+INDEX(St_ky,Det+1)*B279</f>
      </c>
      <c r="F279" s="20">
        <f>IF(E279&gt;0,IF(E279&lt;=eco,alpha*fck*(1-(1-E279/eco)^n),alpha*fck),0)</f>
      </c>
      <c r="G279" s="19">
        <f>F279*D279</f>
      </c>
      <c r="H279" s="19">
        <f>G279*C279</f>
      </c>
      <c r="I279" s="19">
        <f>G279*B279</f>
      </c>
      <c r="K279" s="37">
        <f>Eq_e0+Eq_kx*$C279+Eq_ky*$B279</f>
      </c>
      <c r="L279" s="20">
        <f>IF(K279&gt;0,IF(K279&lt;=eco,alpha*fck*(1-(1-K279/eco)^n),alpha*fck),0)</f>
      </c>
    </row>
    <row r="280" spans="1:12" x14ac:dyDescent="0.25">
      <c r="A280">
        <f>Mesh!A277</f>
      </c>
      <c r="B280" s="20">
        <f>Mesh!B277</f>
      </c>
      <c r="C280" s="20">
        <f>Mesh!C277</f>
      </c>
      <c r="D280" s="20">
        <f>Mesh!D277</f>
      </c>
      <c r="E280" s="37">
        <f>INDEX(St_e0,Det+1)+INDEX(St_kx,Det+1)*C280+INDEX(St_ky,Det+1)*B280</f>
      </c>
      <c r="F280" s="20">
        <f>IF(E280&gt;0,IF(E280&lt;=eco,alpha*fck*(1-(1-E280/eco)^n),alpha*fck),0)</f>
      </c>
      <c r="G280" s="19">
        <f>F280*D280</f>
      </c>
      <c r="H280" s="19">
        <f>G280*C280</f>
      </c>
      <c r="I280" s="19">
        <f>G280*B280</f>
      </c>
      <c r="K280" s="37">
        <f>Eq_e0+Eq_kx*$C280+Eq_ky*$B280</f>
      </c>
      <c r="L280" s="20">
        <f>IF(K280&gt;0,IF(K280&lt;=eco,alpha*fck*(1-(1-K280/eco)^n),alpha*fck),0)</f>
      </c>
    </row>
    <row r="281" spans="1:12" x14ac:dyDescent="0.25">
      <c r="A281">
        <f>Mesh!A278</f>
      </c>
      <c r="B281" s="20">
        <f>Mesh!B278</f>
      </c>
      <c r="C281" s="20">
        <f>Mesh!C278</f>
      </c>
      <c r="D281" s="20">
        <f>Mesh!D278</f>
      </c>
      <c r="E281" s="37">
        <f>INDEX(St_e0,Det+1)+INDEX(St_kx,Det+1)*C281+INDEX(St_ky,Det+1)*B281</f>
      </c>
      <c r="F281" s="20">
        <f>IF(E281&gt;0,IF(E281&lt;=eco,alpha*fck*(1-(1-E281/eco)^n),alpha*fck),0)</f>
      </c>
      <c r="G281" s="19">
        <f>F281*D281</f>
      </c>
      <c r="H281" s="19">
        <f>G281*C281</f>
      </c>
      <c r="I281" s="19">
        <f>G281*B281</f>
      </c>
      <c r="K281" s="37">
        <f>Eq_e0+Eq_kx*$C281+Eq_ky*$B281</f>
      </c>
      <c r="L281" s="20">
        <f>IF(K281&gt;0,IF(K281&lt;=eco,alpha*fck*(1-(1-K281/eco)^n),alpha*fck),0)</f>
      </c>
    </row>
    <row r="282" spans="1:12" x14ac:dyDescent="0.25">
      <c r="A282">
        <f>Mesh!A279</f>
      </c>
      <c r="B282" s="20">
        <f>Mesh!B279</f>
      </c>
      <c r="C282" s="20">
        <f>Mesh!C279</f>
      </c>
      <c r="D282" s="20">
        <f>Mesh!D279</f>
      </c>
      <c r="E282" s="37">
        <f>INDEX(St_e0,Det+1)+INDEX(St_kx,Det+1)*C282+INDEX(St_ky,Det+1)*B282</f>
      </c>
      <c r="F282" s="20">
        <f>IF(E282&gt;0,IF(E282&lt;=eco,alpha*fck*(1-(1-E282/eco)^n),alpha*fck),0)</f>
      </c>
      <c r="G282" s="19">
        <f>F282*D282</f>
      </c>
      <c r="H282" s="19">
        <f>G282*C282</f>
      </c>
      <c r="I282" s="19">
        <f>G282*B282</f>
      </c>
      <c r="K282" s="37">
        <f>Eq_e0+Eq_kx*$C282+Eq_ky*$B282</f>
      </c>
      <c r="L282" s="20">
        <f>IF(K282&gt;0,IF(K282&lt;=eco,alpha*fck*(1-(1-K282/eco)^n),alpha*fck),0)</f>
      </c>
    </row>
    <row r="283" spans="1:12" x14ac:dyDescent="0.25">
      <c r="A283">
        <f>Mesh!A280</f>
      </c>
      <c r="B283" s="20">
        <f>Mesh!B280</f>
      </c>
      <c r="C283" s="20">
        <f>Mesh!C280</f>
      </c>
      <c r="D283" s="20">
        <f>Mesh!D280</f>
      </c>
      <c r="E283" s="37">
        <f>INDEX(St_e0,Det+1)+INDEX(St_kx,Det+1)*C283+INDEX(St_ky,Det+1)*B283</f>
      </c>
      <c r="F283" s="20">
        <f>IF(E283&gt;0,IF(E283&lt;=eco,alpha*fck*(1-(1-E283/eco)^n),alpha*fck),0)</f>
      </c>
      <c r="G283" s="19">
        <f>F283*D283</f>
      </c>
      <c r="H283" s="19">
        <f>G283*C283</f>
      </c>
      <c r="I283" s="19">
        <f>G283*B283</f>
      </c>
      <c r="K283" s="37">
        <f>Eq_e0+Eq_kx*$C283+Eq_ky*$B283</f>
      </c>
      <c r="L283" s="20">
        <f>IF(K283&gt;0,IF(K283&lt;=eco,alpha*fck*(1-(1-K283/eco)^n),alpha*fck),0)</f>
      </c>
    </row>
    <row r="284" spans="1:12" x14ac:dyDescent="0.25">
      <c r="A284">
        <f>Mesh!A281</f>
      </c>
      <c r="B284" s="20">
        <f>Mesh!B281</f>
      </c>
      <c r="C284" s="20">
        <f>Mesh!C281</f>
      </c>
      <c r="D284" s="20">
        <f>Mesh!D281</f>
      </c>
      <c r="E284" s="37">
        <f>INDEX(St_e0,Det+1)+INDEX(St_kx,Det+1)*C284+INDEX(St_ky,Det+1)*B284</f>
      </c>
      <c r="F284" s="20">
        <f>IF(E284&gt;0,IF(E284&lt;=eco,alpha*fck*(1-(1-E284/eco)^n),alpha*fck),0)</f>
      </c>
      <c r="G284" s="19">
        <f>F284*D284</f>
      </c>
      <c r="H284" s="19">
        <f>G284*C284</f>
      </c>
      <c r="I284" s="19">
        <f>G284*B284</f>
      </c>
      <c r="K284" s="37">
        <f>Eq_e0+Eq_kx*$C284+Eq_ky*$B284</f>
      </c>
      <c r="L284" s="20">
        <f>IF(K284&gt;0,IF(K284&lt;=eco,alpha*fck*(1-(1-K284/eco)^n),alpha*fck),0)</f>
      </c>
    </row>
    <row r="285" spans="1:12" x14ac:dyDescent="0.25">
      <c r="A285">
        <f>Mesh!A282</f>
      </c>
      <c r="B285" s="20">
        <f>Mesh!B282</f>
      </c>
      <c r="C285" s="20">
        <f>Mesh!C282</f>
      </c>
      <c r="D285" s="20">
        <f>Mesh!D282</f>
      </c>
      <c r="E285" s="37">
        <f>INDEX(St_e0,Det+1)+INDEX(St_kx,Det+1)*C285+INDEX(St_ky,Det+1)*B285</f>
      </c>
      <c r="F285" s="20">
        <f>IF(E285&gt;0,IF(E285&lt;=eco,alpha*fck*(1-(1-E285/eco)^n),alpha*fck),0)</f>
      </c>
      <c r="G285" s="19">
        <f>F285*D285</f>
      </c>
      <c r="H285" s="19">
        <f>G285*C285</f>
      </c>
      <c r="I285" s="19">
        <f>G285*B285</f>
      </c>
      <c r="K285" s="37">
        <f>Eq_e0+Eq_kx*$C285+Eq_ky*$B285</f>
      </c>
      <c r="L285" s="20">
        <f>IF(K285&gt;0,IF(K285&lt;=eco,alpha*fck*(1-(1-K285/eco)^n),alpha*fck),0)</f>
      </c>
    </row>
    <row r="286" spans="1:12" x14ac:dyDescent="0.25">
      <c r="A286">
        <f>Mesh!A283</f>
      </c>
      <c r="B286" s="20">
        <f>Mesh!B283</f>
      </c>
      <c r="C286" s="20">
        <f>Mesh!C283</f>
      </c>
      <c r="D286" s="20">
        <f>Mesh!D283</f>
      </c>
      <c r="E286" s="37">
        <f>INDEX(St_e0,Det+1)+INDEX(St_kx,Det+1)*C286+INDEX(St_ky,Det+1)*B286</f>
      </c>
      <c r="F286" s="20">
        <f>IF(E286&gt;0,IF(E286&lt;=eco,alpha*fck*(1-(1-E286/eco)^n),alpha*fck),0)</f>
      </c>
      <c r="G286" s="19">
        <f>F286*D286</f>
      </c>
      <c r="H286" s="19">
        <f>G286*C286</f>
      </c>
      <c r="I286" s="19">
        <f>G286*B286</f>
      </c>
      <c r="K286" s="37">
        <f>Eq_e0+Eq_kx*$C286+Eq_ky*$B286</f>
      </c>
      <c r="L286" s="20">
        <f>IF(K286&gt;0,IF(K286&lt;=eco,alpha*fck*(1-(1-K286/eco)^n),alpha*fck),0)</f>
      </c>
    </row>
    <row r="287" spans="1:12" x14ac:dyDescent="0.25">
      <c r="A287">
        <f>Mesh!A284</f>
      </c>
      <c r="B287" s="20">
        <f>Mesh!B284</f>
      </c>
      <c r="C287" s="20">
        <f>Mesh!C284</f>
      </c>
      <c r="D287" s="20">
        <f>Mesh!D284</f>
      </c>
      <c r="E287" s="37">
        <f>INDEX(St_e0,Det+1)+INDEX(St_kx,Det+1)*C287+INDEX(St_ky,Det+1)*B287</f>
      </c>
      <c r="F287" s="20">
        <f>IF(E287&gt;0,IF(E287&lt;=eco,alpha*fck*(1-(1-E287/eco)^n),alpha*fck),0)</f>
      </c>
      <c r="G287" s="19">
        <f>F287*D287</f>
      </c>
      <c r="H287" s="19">
        <f>G287*C287</f>
      </c>
      <c r="I287" s="19">
        <f>G287*B287</f>
      </c>
      <c r="K287" s="37">
        <f>Eq_e0+Eq_kx*$C287+Eq_ky*$B287</f>
      </c>
      <c r="L287" s="20">
        <f>IF(K287&gt;0,IF(K287&lt;=eco,alpha*fck*(1-(1-K287/eco)^n),alpha*fck),0)</f>
      </c>
    </row>
    <row r="288" spans="1:12" x14ac:dyDescent="0.25">
      <c r="A288">
        <f>Mesh!A285</f>
      </c>
      <c r="B288" s="20">
        <f>Mesh!B285</f>
      </c>
      <c r="C288" s="20">
        <f>Mesh!C285</f>
      </c>
      <c r="D288" s="20">
        <f>Mesh!D285</f>
      </c>
      <c r="E288" s="37">
        <f>INDEX(St_e0,Det+1)+INDEX(St_kx,Det+1)*C288+INDEX(St_ky,Det+1)*B288</f>
      </c>
      <c r="F288" s="20">
        <f>IF(E288&gt;0,IF(E288&lt;=eco,alpha*fck*(1-(1-E288/eco)^n),alpha*fck),0)</f>
      </c>
      <c r="G288" s="19">
        <f>F288*D288</f>
      </c>
      <c r="H288" s="19">
        <f>G288*C288</f>
      </c>
      <c r="I288" s="19">
        <f>G288*B288</f>
      </c>
      <c r="K288" s="37">
        <f>Eq_e0+Eq_kx*$C288+Eq_ky*$B288</f>
      </c>
      <c r="L288" s="20">
        <f>IF(K288&gt;0,IF(K288&lt;=eco,alpha*fck*(1-(1-K288/eco)^n),alpha*fck),0)</f>
      </c>
    </row>
    <row r="289" spans="1:12" x14ac:dyDescent="0.25">
      <c r="A289">
        <f>Mesh!A286</f>
      </c>
      <c r="B289" s="20">
        <f>Mesh!B286</f>
      </c>
      <c r="C289" s="20">
        <f>Mesh!C286</f>
      </c>
      <c r="D289" s="20">
        <f>Mesh!D286</f>
      </c>
      <c r="E289" s="37">
        <f>INDEX(St_e0,Det+1)+INDEX(St_kx,Det+1)*C289+INDEX(St_ky,Det+1)*B289</f>
      </c>
      <c r="F289" s="20">
        <f>IF(E289&gt;0,IF(E289&lt;=eco,alpha*fck*(1-(1-E289/eco)^n),alpha*fck),0)</f>
      </c>
      <c r="G289" s="19">
        <f>F289*D289</f>
      </c>
      <c r="H289" s="19">
        <f>G289*C289</f>
      </c>
      <c r="I289" s="19">
        <f>G289*B289</f>
      </c>
      <c r="K289" s="37">
        <f>Eq_e0+Eq_kx*$C289+Eq_ky*$B289</f>
      </c>
      <c r="L289" s="20">
        <f>IF(K289&gt;0,IF(K289&lt;=eco,alpha*fck*(1-(1-K289/eco)^n),alpha*fck),0)</f>
      </c>
    </row>
    <row r="290" spans="1:12" x14ac:dyDescent="0.25">
      <c r="A290">
        <f>Mesh!A287</f>
      </c>
      <c r="B290" s="20">
        <f>Mesh!B287</f>
      </c>
      <c r="C290" s="20">
        <f>Mesh!C287</f>
      </c>
      <c r="D290" s="20">
        <f>Mesh!D287</f>
      </c>
      <c r="E290" s="37">
        <f>INDEX(St_e0,Det+1)+INDEX(St_kx,Det+1)*C290+INDEX(St_ky,Det+1)*B290</f>
      </c>
      <c r="F290" s="20">
        <f>IF(E290&gt;0,IF(E290&lt;=eco,alpha*fck*(1-(1-E290/eco)^n),alpha*fck),0)</f>
      </c>
      <c r="G290" s="19">
        <f>F290*D290</f>
      </c>
      <c r="H290" s="19">
        <f>G290*C290</f>
      </c>
      <c r="I290" s="19">
        <f>G290*B290</f>
      </c>
      <c r="K290" s="37">
        <f>Eq_e0+Eq_kx*$C290+Eq_ky*$B290</f>
      </c>
      <c r="L290" s="20">
        <f>IF(K290&gt;0,IF(K290&lt;=eco,alpha*fck*(1-(1-K290/eco)^n),alpha*fck),0)</f>
      </c>
    </row>
    <row r="291" spans="1:12" x14ac:dyDescent="0.25">
      <c r="A291">
        <f>Mesh!A288</f>
      </c>
      <c r="B291" s="20">
        <f>Mesh!B288</f>
      </c>
      <c r="C291" s="20">
        <f>Mesh!C288</f>
      </c>
      <c r="D291" s="20">
        <f>Mesh!D288</f>
      </c>
      <c r="E291" s="37">
        <f>INDEX(St_e0,Det+1)+INDEX(St_kx,Det+1)*C291+INDEX(St_ky,Det+1)*B291</f>
      </c>
      <c r="F291" s="20">
        <f>IF(E291&gt;0,IF(E291&lt;=eco,alpha*fck*(1-(1-E291/eco)^n),alpha*fck),0)</f>
      </c>
      <c r="G291" s="19">
        <f>F291*D291</f>
      </c>
      <c r="H291" s="19">
        <f>G291*C291</f>
      </c>
      <c r="I291" s="19">
        <f>G291*B291</f>
      </c>
      <c r="K291" s="37">
        <f>Eq_e0+Eq_kx*$C291+Eq_ky*$B291</f>
      </c>
      <c r="L291" s="20">
        <f>IF(K291&gt;0,IF(K291&lt;=eco,alpha*fck*(1-(1-K291/eco)^n),alpha*fck),0)</f>
      </c>
    </row>
    <row r="292" spans="1:12" x14ac:dyDescent="0.25">
      <c r="A292">
        <f>Mesh!A289</f>
      </c>
      <c r="B292" s="20">
        <f>Mesh!B289</f>
      </c>
      <c r="C292" s="20">
        <f>Mesh!C289</f>
      </c>
      <c r="D292" s="20">
        <f>Mesh!D289</f>
      </c>
      <c r="E292" s="37">
        <f>INDEX(St_e0,Det+1)+INDEX(St_kx,Det+1)*C292+INDEX(St_ky,Det+1)*B292</f>
      </c>
      <c r="F292" s="20">
        <f>IF(E292&gt;0,IF(E292&lt;=eco,alpha*fck*(1-(1-E292/eco)^n),alpha*fck),0)</f>
      </c>
      <c r="G292" s="19">
        <f>F292*D292</f>
      </c>
      <c r="H292" s="19">
        <f>G292*C292</f>
      </c>
      <c r="I292" s="19">
        <f>G292*B292</f>
      </c>
      <c r="K292" s="37">
        <f>Eq_e0+Eq_kx*$C292+Eq_ky*$B292</f>
      </c>
      <c r="L292" s="20">
        <f>IF(K292&gt;0,IF(K292&lt;=eco,alpha*fck*(1-(1-K292/eco)^n),alpha*fck),0)</f>
      </c>
    </row>
    <row r="293" spans="1:12" x14ac:dyDescent="0.25">
      <c r="A293">
        <f>Mesh!A290</f>
      </c>
      <c r="B293" s="20">
        <f>Mesh!B290</f>
      </c>
      <c r="C293" s="20">
        <f>Mesh!C290</f>
      </c>
      <c r="D293" s="20">
        <f>Mesh!D290</f>
      </c>
      <c r="E293" s="37">
        <f>INDEX(St_e0,Det+1)+INDEX(St_kx,Det+1)*C293+INDEX(St_ky,Det+1)*B293</f>
      </c>
      <c r="F293" s="20">
        <f>IF(E293&gt;0,IF(E293&lt;=eco,alpha*fck*(1-(1-E293/eco)^n),alpha*fck),0)</f>
      </c>
      <c r="G293" s="19">
        <f>F293*D293</f>
      </c>
      <c r="H293" s="19">
        <f>G293*C293</f>
      </c>
      <c r="I293" s="19">
        <f>G293*B293</f>
      </c>
      <c r="K293" s="37">
        <f>Eq_e0+Eq_kx*$C293+Eq_ky*$B293</f>
      </c>
      <c r="L293" s="20">
        <f>IF(K293&gt;0,IF(K293&lt;=eco,alpha*fck*(1-(1-K293/eco)^n),alpha*fck),0)</f>
      </c>
    </row>
    <row r="294" spans="1:12" x14ac:dyDescent="0.25">
      <c r="A294">
        <f>Mesh!A291</f>
      </c>
      <c r="B294" s="20">
        <f>Mesh!B291</f>
      </c>
      <c r="C294" s="20">
        <f>Mesh!C291</f>
      </c>
      <c r="D294" s="20">
        <f>Mesh!D291</f>
      </c>
      <c r="E294" s="37">
        <f>INDEX(St_e0,Det+1)+INDEX(St_kx,Det+1)*C294+INDEX(St_ky,Det+1)*B294</f>
      </c>
      <c r="F294" s="20">
        <f>IF(E294&gt;0,IF(E294&lt;=eco,alpha*fck*(1-(1-E294/eco)^n),alpha*fck),0)</f>
      </c>
      <c r="G294" s="19">
        <f>F294*D294</f>
      </c>
      <c r="H294" s="19">
        <f>G294*C294</f>
      </c>
      <c r="I294" s="19">
        <f>G294*B294</f>
      </c>
      <c r="K294" s="37">
        <f>Eq_e0+Eq_kx*$C294+Eq_ky*$B294</f>
      </c>
      <c r="L294" s="20">
        <f>IF(K294&gt;0,IF(K294&lt;=eco,alpha*fck*(1-(1-K294/eco)^n),alpha*fck),0)</f>
      </c>
    </row>
    <row r="295" spans="1:12" x14ac:dyDescent="0.25">
      <c r="A295">
        <f>Mesh!A292</f>
      </c>
      <c r="B295" s="20">
        <f>Mesh!B292</f>
      </c>
      <c r="C295" s="20">
        <f>Mesh!C292</f>
      </c>
      <c r="D295" s="20">
        <f>Mesh!D292</f>
      </c>
      <c r="E295" s="37">
        <f>INDEX(St_e0,Det+1)+INDEX(St_kx,Det+1)*C295+INDEX(St_ky,Det+1)*B295</f>
      </c>
      <c r="F295" s="20">
        <f>IF(E295&gt;0,IF(E295&lt;=eco,alpha*fck*(1-(1-E295/eco)^n),alpha*fck),0)</f>
      </c>
      <c r="G295" s="19">
        <f>F295*D295</f>
      </c>
      <c r="H295" s="19">
        <f>G295*C295</f>
      </c>
      <c r="I295" s="19">
        <f>G295*B295</f>
      </c>
      <c r="K295" s="37">
        <f>Eq_e0+Eq_kx*$C295+Eq_ky*$B295</f>
      </c>
      <c r="L295" s="20">
        <f>IF(K295&gt;0,IF(K295&lt;=eco,alpha*fck*(1-(1-K295/eco)^n),alpha*fck),0)</f>
      </c>
    </row>
    <row r="296" spans="1:12" x14ac:dyDescent="0.25">
      <c r="A296">
        <f>Mesh!A293</f>
      </c>
      <c r="B296" s="20">
        <f>Mesh!B293</f>
      </c>
      <c r="C296" s="20">
        <f>Mesh!C293</f>
      </c>
      <c r="D296" s="20">
        <f>Mesh!D293</f>
      </c>
      <c r="E296" s="37">
        <f>INDEX(St_e0,Det+1)+INDEX(St_kx,Det+1)*C296+INDEX(St_ky,Det+1)*B296</f>
      </c>
      <c r="F296" s="20">
        <f>IF(E296&gt;0,IF(E296&lt;=eco,alpha*fck*(1-(1-E296/eco)^n),alpha*fck),0)</f>
      </c>
      <c r="G296" s="19">
        <f>F296*D296</f>
      </c>
      <c r="H296" s="19">
        <f>G296*C296</f>
      </c>
      <c r="I296" s="19">
        <f>G296*B296</f>
      </c>
      <c r="K296" s="37">
        <f>Eq_e0+Eq_kx*$C296+Eq_ky*$B296</f>
      </c>
      <c r="L296" s="20">
        <f>IF(K296&gt;0,IF(K296&lt;=eco,alpha*fck*(1-(1-K296/eco)^n),alpha*fck),0)</f>
      </c>
    </row>
    <row r="297" spans="1:12" x14ac:dyDescent="0.25">
      <c r="A297">
        <f>Mesh!A294</f>
      </c>
      <c r="B297" s="20">
        <f>Mesh!B294</f>
      </c>
      <c r="C297" s="20">
        <f>Mesh!C294</f>
      </c>
      <c r="D297" s="20">
        <f>Mesh!D294</f>
      </c>
      <c r="E297" s="37">
        <f>INDEX(St_e0,Det+1)+INDEX(St_kx,Det+1)*C297+INDEX(St_ky,Det+1)*B297</f>
      </c>
      <c r="F297" s="20">
        <f>IF(E297&gt;0,IF(E297&lt;=eco,alpha*fck*(1-(1-E297/eco)^n),alpha*fck),0)</f>
      </c>
      <c r="G297" s="19">
        <f>F297*D297</f>
      </c>
      <c r="H297" s="19">
        <f>G297*C297</f>
      </c>
      <c r="I297" s="19">
        <f>G297*B297</f>
      </c>
      <c r="K297" s="37">
        <f>Eq_e0+Eq_kx*$C297+Eq_ky*$B297</f>
      </c>
      <c r="L297" s="20">
        <f>IF(K297&gt;0,IF(K297&lt;=eco,alpha*fck*(1-(1-K297/eco)^n),alpha*fck),0)</f>
      </c>
    </row>
    <row r="298" spans="1:12" x14ac:dyDescent="0.25">
      <c r="A298">
        <f>Mesh!A295</f>
      </c>
      <c r="B298" s="20">
        <f>Mesh!B295</f>
      </c>
      <c r="C298" s="20">
        <f>Mesh!C295</f>
      </c>
      <c r="D298" s="20">
        <f>Mesh!D295</f>
      </c>
      <c r="E298" s="37">
        <f>INDEX(St_e0,Det+1)+INDEX(St_kx,Det+1)*C298+INDEX(St_ky,Det+1)*B298</f>
      </c>
      <c r="F298" s="20">
        <f>IF(E298&gt;0,IF(E298&lt;=eco,alpha*fck*(1-(1-E298/eco)^n),alpha*fck),0)</f>
      </c>
      <c r="G298" s="19">
        <f>F298*D298</f>
      </c>
      <c r="H298" s="19">
        <f>G298*C298</f>
      </c>
      <c r="I298" s="19">
        <f>G298*B298</f>
      </c>
      <c r="K298" s="37">
        <f>Eq_e0+Eq_kx*$C298+Eq_ky*$B298</f>
      </c>
      <c r="L298" s="20">
        <f>IF(K298&gt;0,IF(K298&lt;=eco,alpha*fck*(1-(1-K298/eco)^n),alpha*fck),0)</f>
      </c>
    </row>
    <row r="299" spans="1:12" x14ac:dyDescent="0.25">
      <c r="A299">
        <f>Mesh!A296</f>
      </c>
      <c r="B299" s="20">
        <f>Mesh!B296</f>
      </c>
      <c r="C299" s="20">
        <f>Mesh!C296</f>
      </c>
      <c r="D299" s="20">
        <f>Mesh!D296</f>
      </c>
      <c r="E299" s="37">
        <f>INDEX(St_e0,Det+1)+INDEX(St_kx,Det+1)*C299+INDEX(St_ky,Det+1)*B299</f>
      </c>
      <c r="F299" s="20">
        <f>IF(E299&gt;0,IF(E299&lt;=eco,alpha*fck*(1-(1-E299/eco)^n),alpha*fck),0)</f>
      </c>
      <c r="G299" s="19">
        <f>F299*D299</f>
      </c>
      <c r="H299" s="19">
        <f>G299*C299</f>
      </c>
      <c r="I299" s="19">
        <f>G299*B299</f>
      </c>
      <c r="K299" s="37">
        <f>Eq_e0+Eq_kx*$C299+Eq_ky*$B299</f>
      </c>
      <c r="L299" s="20">
        <f>IF(K299&gt;0,IF(K299&lt;=eco,alpha*fck*(1-(1-K299/eco)^n),alpha*fck),0)</f>
      </c>
    </row>
    <row r="300" spans="1:12" x14ac:dyDescent="0.25">
      <c r="A300">
        <f>Mesh!A297</f>
      </c>
      <c r="B300" s="20">
        <f>Mesh!B297</f>
      </c>
      <c r="C300" s="20">
        <f>Mesh!C297</f>
      </c>
      <c r="D300" s="20">
        <f>Mesh!D297</f>
      </c>
      <c r="E300" s="37">
        <f>INDEX(St_e0,Det+1)+INDEX(St_kx,Det+1)*C300+INDEX(St_ky,Det+1)*B300</f>
      </c>
      <c r="F300" s="20">
        <f>IF(E300&gt;0,IF(E300&lt;=eco,alpha*fck*(1-(1-E300/eco)^n),alpha*fck),0)</f>
      </c>
      <c r="G300" s="19">
        <f>F300*D300</f>
      </c>
      <c r="H300" s="19">
        <f>G300*C300</f>
      </c>
      <c r="I300" s="19">
        <f>G300*B300</f>
      </c>
      <c r="K300" s="37">
        <f>Eq_e0+Eq_kx*$C300+Eq_ky*$B300</f>
      </c>
      <c r="L300" s="20">
        <f>IF(K300&gt;0,IF(K300&lt;=eco,alpha*fck*(1-(1-K300/eco)^n),alpha*fck),0)</f>
      </c>
    </row>
    <row r="301" spans="1:12" x14ac:dyDescent="0.25">
      <c r="A301">
        <f>Mesh!A298</f>
      </c>
      <c r="B301" s="20">
        <f>Mesh!B298</f>
      </c>
      <c r="C301" s="20">
        <f>Mesh!C298</f>
      </c>
      <c r="D301" s="20">
        <f>Mesh!D298</f>
      </c>
      <c r="E301" s="37">
        <f>INDEX(St_e0,Det+1)+INDEX(St_kx,Det+1)*C301+INDEX(St_ky,Det+1)*B301</f>
      </c>
      <c r="F301" s="20">
        <f>IF(E301&gt;0,IF(E301&lt;=eco,alpha*fck*(1-(1-E301/eco)^n),alpha*fck),0)</f>
      </c>
      <c r="G301" s="19">
        <f>F301*D301</f>
      </c>
      <c r="H301" s="19">
        <f>G301*C301</f>
      </c>
      <c r="I301" s="19">
        <f>G301*B301</f>
      </c>
      <c r="K301" s="37">
        <f>Eq_e0+Eq_kx*$C301+Eq_ky*$B301</f>
      </c>
      <c r="L301" s="20">
        <f>IF(K301&gt;0,IF(K301&lt;=eco,alpha*fck*(1-(1-K301/eco)^n),alpha*fck),0)</f>
      </c>
    </row>
    <row r="302" spans="1:12" x14ac:dyDescent="0.25">
      <c r="A302">
        <f>Mesh!A299</f>
      </c>
      <c r="B302" s="20">
        <f>Mesh!B299</f>
      </c>
      <c r="C302" s="20">
        <f>Mesh!C299</f>
      </c>
      <c r="D302" s="20">
        <f>Mesh!D299</f>
      </c>
      <c r="E302" s="37">
        <f>INDEX(St_e0,Det+1)+INDEX(St_kx,Det+1)*C302+INDEX(St_ky,Det+1)*B302</f>
      </c>
      <c r="F302" s="20">
        <f>IF(E302&gt;0,IF(E302&lt;=eco,alpha*fck*(1-(1-E302/eco)^n),alpha*fck),0)</f>
      </c>
      <c r="G302" s="19">
        <f>F302*D302</f>
      </c>
      <c r="H302" s="19">
        <f>G302*C302</f>
      </c>
      <c r="I302" s="19">
        <f>G302*B302</f>
      </c>
      <c r="K302" s="37">
        <f>Eq_e0+Eq_kx*$C302+Eq_ky*$B302</f>
      </c>
      <c r="L302" s="20">
        <f>IF(K302&gt;0,IF(K302&lt;=eco,alpha*fck*(1-(1-K302/eco)^n),alpha*fck),0)</f>
      </c>
    </row>
    <row r="303" spans="1:12" x14ac:dyDescent="0.25">
      <c r="A303">
        <f>Mesh!A300</f>
      </c>
      <c r="B303" s="20">
        <f>Mesh!B300</f>
      </c>
      <c r="C303" s="20">
        <f>Mesh!C300</f>
      </c>
      <c r="D303" s="20">
        <f>Mesh!D300</f>
      </c>
      <c r="E303" s="37">
        <f>INDEX(St_e0,Det+1)+INDEX(St_kx,Det+1)*C303+INDEX(St_ky,Det+1)*B303</f>
      </c>
      <c r="F303" s="20">
        <f>IF(E303&gt;0,IF(E303&lt;=eco,alpha*fck*(1-(1-E303/eco)^n),alpha*fck),0)</f>
      </c>
      <c r="G303" s="19">
        <f>F303*D303</f>
      </c>
      <c r="H303" s="19">
        <f>G303*C303</f>
      </c>
      <c r="I303" s="19">
        <f>G303*B303</f>
      </c>
      <c r="K303" s="37">
        <f>Eq_e0+Eq_kx*$C303+Eq_ky*$B303</f>
      </c>
      <c r="L303" s="20">
        <f>IF(K303&gt;0,IF(K303&lt;=eco,alpha*fck*(1-(1-K303/eco)^n),alpha*fck),0)</f>
      </c>
    </row>
    <row r="304" spans="1:12" x14ac:dyDescent="0.25">
      <c r="A304">
        <f>Mesh!A301</f>
      </c>
      <c r="B304" s="20">
        <f>Mesh!B301</f>
      </c>
      <c r="C304" s="20">
        <f>Mesh!C301</f>
      </c>
      <c r="D304" s="20">
        <f>Mesh!D301</f>
      </c>
      <c r="E304" s="37">
        <f>INDEX(St_e0,Det+1)+INDEX(St_kx,Det+1)*C304+INDEX(St_ky,Det+1)*B304</f>
      </c>
      <c r="F304" s="20">
        <f>IF(E304&gt;0,IF(E304&lt;=eco,alpha*fck*(1-(1-E304/eco)^n),alpha*fck),0)</f>
      </c>
      <c r="G304" s="19">
        <f>F304*D304</f>
      </c>
      <c r="H304" s="19">
        <f>G304*C304</f>
      </c>
      <c r="I304" s="19">
        <f>G304*B304</f>
      </c>
      <c r="K304" s="37">
        <f>Eq_e0+Eq_kx*$C304+Eq_ky*$B304</f>
      </c>
      <c r="L304" s="20">
        <f>IF(K304&gt;0,IF(K304&lt;=eco,alpha*fck*(1-(1-K304/eco)^n),alpha*fck),0)</f>
      </c>
    </row>
    <row r="305" spans="1:12" x14ac:dyDescent="0.25">
      <c r="A305">
        <f>Mesh!A302</f>
      </c>
      <c r="B305" s="20">
        <f>Mesh!B302</f>
      </c>
      <c r="C305" s="20">
        <f>Mesh!C302</f>
      </c>
      <c r="D305" s="20">
        <f>Mesh!D302</f>
      </c>
      <c r="E305" s="37">
        <f>INDEX(St_e0,Det+1)+INDEX(St_kx,Det+1)*C305+INDEX(St_ky,Det+1)*B305</f>
      </c>
      <c r="F305" s="20">
        <f>IF(E305&gt;0,IF(E305&lt;=eco,alpha*fck*(1-(1-E305/eco)^n),alpha*fck),0)</f>
      </c>
      <c r="G305" s="19">
        <f>F305*D305</f>
      </c>
      <c r="H305" s="19">
        <f>G305*C305</f>
      </c>
      <c r="I305" s="19">
        <f>G305*B305</f>
      </c>
      <c r="K305" s="37">
        <f>Eq_e0+Eq_kx*$C305+Eq_ky*$B305</f>
      </c>
      <c r="L305" s="20">
        <f>IF(K305&gt;0,IF(K305&lt;=eco,alpha*fck*(1-(1-K305/eco)^n),alpha*fck),0)</f>
      </c>
    </row>
    <row r="306" spans="1:12" x14ac:dyDescent="0.25">
      <c r="A306">
        <f>Mesh!A303</f>
      </c>
      <c r="B306" s="20">
        <f>Mesh!B303</f>
      </c>
      <c r="C306" s="20">
        <f>Mesh!C303</f>
      </c>
      <c r="D306" s="20">
        <f>Mesh!D303</f>
      </c>
      <c r="E306" s="37">
        <f>INDEX(St_e0,Det+1)+INDEX(St_kx,Det+1)*C306+INDEX(St_ky,Det+1)*B306</f>
      </c>
      <c r="F306" s="20">
        <f>IF(E306&gt;0,IF(E306&lt;=eco,alpha*fck*(1-(1-E306/eco)^n),alpha*fck),0)</f>
      </c>
      <c r="G306" s="19">
        <f>F306*D306</f>
      </c>
      <c r="H306" s="19">
        <f>G306*C306</f>
      </c>
      <c r="I306" s="19">
        <f>G306*B306</f>
      </c>
      <c r="K306" s="37">
        <f>Eq_e0+Eq_kx*$C306+Eq_ky*$B306</f>
      </c>
      <c r="L306" s="20">
        <f>IF(K306&gt;0,IF(K306&lt;=eco,alpha*fck*(1-(1-K306/eco)^n),alpha*fck),0)</f>
      </c>
    </row>
    <row r="307" spans="1:12" x14ac:dyDescent="0.25">
      <c r="A307">
        <f>Mesh!A304</f>
      </c>
      <c r="B307" s="20">
        <f>Mesh!B304</f>
      </c>
      <c r="C307" s="20">
        <f>Mesh!C304</f>
      </c>
      <c r="D307" s="20">
        <f>Mesh!D304</f>
      </c>
      <c r="E307" s="37">
        <f>INDEX(St_e0,Det+1)+INDEX(St_kx,Det+1)*C307+INDEX(St_ky,Det+1)*B307</f>
      </c>
      <c r="F307" s="20">
        <f>IF(E307&gt;0,IF(E307&lt;=eco,alpha*fck*(1-(1-E307/eco)^n),alpha*fck),0)</f>
      </c>
      <c r="G307" s="19">
        <f>F307*D307</f>
      </c>
      <c r="H307" s="19">
        <f>G307*C307</f>
      </c>
      <c r="I307" s="19">
        <f>G307*B307</f>
      </c>
      <c r="K307" s="37">
        <f>Eq_e0+Eq_kx*$C307+Eq_ky*$B307</f>
      </c>
      <c r="L307" s="20">
        <f>IF(K307&gt;0,IF(K307&lt;=eco,alpha*fck*(1-(1-K307/eco)^n),alpha*fck),0)</f>
      </c>
    </row>
    <row r="308" spans="1:12" x14ac:dyDescent="0.25">
      <c r="A308">
        <f>Mesh!A305</f>
      </c>
      <c r="B308" s="20">
        <f>Mesh!B305</f>
      </c>
      <c r="C308" s="20">
        <f>Mesh!C305</f>
      </c>
      <c r="D308" s="20">
        <f>Mesh!D305</f>
      </c>
      <c r="E308" s="37">
        <f>INDEX(St_e0,Det+1)+INDEX(St_kx,Det+1)*C308+INDEX(St_ky,Det+1)*B308</f>
      </c>
      <c r="F308" s="20">
        <f>IF(E308&gt;0,IF(E308&lt;=eco,alpha*fck*(1-(1-E308/eco)^n),alpha*fck),0)</f>
      </c>
      <c r="G308" s="19">
        <f>F308*D308</f>
      </c>
      <c r="H308" s="19">
        <f>G308*C308</f>
      </c>
      <c r="I308" s="19">
        <f>G308*B308</f>
      </c>
      <c r="K308" s="37">
        <f>Eq_e0+Eq_kx*$C308+Eq_ky*$B308</f>
      </c>
      <c r="L308" s="20">
        <f>IF(K308&gt;0,IF(K308&lt;=eco,alpha*fck*(1-(1-K308/eco)^n),alpha*fck),0)</f>
      </c>
    </row>
    <row r="309" spans="1:12" x14ac:dyDescent="0.25">
      <c r="A309">
        <f>Mesh!A306</f>
      </c>
      <c r="B309" s="20">
        <f>Mesh!B306</f>
      </c>
      <c r="C309" s="20">
        <f>Mesh!C306</f>
      </c>
      <c r="D309" s="20">
        <f>Mesh!D306</f>
      </c>
      <c r="E309" s="37">
        <f>INDEX(St_e0,Det+1)+INDEX(St_kx,Det+1)*C309+INDEX(St_ky,Det+1)*B309</f>
      </c>
      <c r="F309" s="20">
        <f>IF(E309&gt;0,IF(E309&lt;=eco,alpha*fck*(1-(1-E309/eco)^n),alpha*fck),0)</f>
      </c>
      <c r="G309" s="19">
        <f>F309*D309</f>
      </c>
      <c r="H309" s="19">
        <f>G309*C309</f>
      </c>
      <c r="I309" s="19">
        <f>G309*B309</f>
      </c>
      <c r="K309" s="37">
        <f>Eq_e0+Eq_kx*$C309+Eq_ky*$B309</f>
      </c>
      <c r="L309" s="20">
        <f>IF(K309&gt;0,IF(K309&lt;=eco,alpha*fck*(1-(1-K309/eco)^n),alpha*fck),0)</f>
      </c>
    </row>
    <row r="310" spans="1:12" x14ac:dyDescent="0.25">
      <c r="A310">
        <f>Mesh!A307</f>
      </c>
      <c r="B310" s="20">
        <f>Mesh!B307</f>
      </c>
      <c r="C310" s="20">
        <f>Mesh!C307</f>
      </c>
      <c r="D310" s="20">
        <f>Mesh!D307</f>
      </c>
      <c r="E310" s="37">
        <f>INDEX(St_e0,Det+1)+INDEX(St_kx,Det+1)*C310+INDEX(St_ky,Det+1)*B310</f>
      </c>
      <c r="F310" s="20">
        <f>IF(E310&gt;0,IF(E310&lt;=eco,alpha*fck*(1-(1-E310/eco)^n),alpha*fck),0)</f>
      </c>
      <c r="G310" s="19">
        <f>F310*D310</f>
      </c>
      <c r="H310" s="19">
        <f>G310*C310</f>
      </c>
      <c r="I310" s="19">
        <f>G310*B310</f>
      </c>
      <c r="K310" s="37">
        <f>Eq_e0+Eq_kx*$C310+Eq_ky*$B310</f>
      </c>
      <c r="L310" s="20">
        <f>IF(K310&gt;0,IF(K310&lt;=eco,alpha*fck*(1-(1-K310/eco)^n),alpha*fck),0)</f>
      </c>
    </row>
    <row r="311" spans="1:12" x14ac:dyDescent="0.25">
      <c r="A311">
        <f>Mesh!A308</f>
      </c>
      <c r="B311" s="20">
        <f>Mesh!B308</f>
      </c>
      <c r="C311" s="20">
        <f>Mesh!C308</f>
      </c>
      <c r="D311" s="20">
        <f>Mesh!D308</f>
      </c>
      <c r="E311" s="37">
        <f>INDEX(St_e0,Det+1)+INDEX(St_kx,Det+1)*C311+INDEX(St_ky,Det+1)*B311</f>
      </c>
      <c r="F311" s="20">
        <f>IF(E311&gt;0,IF(E311&lt;=eco,alpha*fck*(1-(1-E311/eco)^n),alpha*fck),0)</f>
      </c>
      <c r="G311" s="19">
        <f>F311*D311</f>
      </c>
      <c r="H311" s="19">
        <f>G311*C311</f>
      </c>
      <c r="I311" s="19">
        <f>G311*B311</f>
      </c>
      <c r="K311" s="37">
        <f>Eq_e0+Eq_kx*$C311+Eq_ky*$B311</f>
      </c>
      <c r="L311" s="20">
        <f>IF(K311&gt;0,IF(K311&lt;=eco,alpha*fck*(1-(1-K311/eco)^n),alpha*fck),0)</f>
      </c>
    </row>
    <row r="312" spans="1:12" x14ac:dyDescent="0.25">
      <c r="A312">
        <f>Mesh!A309</f>
      </c>
      <c r="B312" s="20">
        <f>Mesh!B309</f>
      </c>
      <c r="C312" s="20">
        <f>Mesh!C309</f>
      </c>
      <c r="D312" s="20">
        <f>Mesh!D309</f>
      </c>
      <c r="E312" s="37">
        <f>INDEX(St_e0,Det+1)+INDEX(St_kx,Det+1)*C312+INDEX(St_ky,Det+1)*B312</f>
      </c>
      <c r="F312" s="20">
        <f>IF(E312&gt;0,IF(E312&lt;=eco,alpha*fck*(1-(1-E312/eco)^n),alpha*fck),0)</f>
      </c>
      <c r="G312" s="19">
        <f>F312*D312</f>
      </c>
      <c r="H312" s="19">
        <f>G312*C312</f>
      </c>
      <c r="I312" s="19">
        <f>G312*B312</f>
      </c>
      <c r="K312" s="37">
        <f>Eq_e0+Eq_kx*$C312+Eq_ky*$B312</f>
      </c>
      <c r="L312" s="20">
        <f>IF(K312&gt;0,IF(K312&lt;=eco,alpha*fck*(1-(1-K312/eco)^n),alpha*fck),0)</f>
      </c>
    </row>
    <row r="313" spans="1:12" x14ac:dyDescent="0.25">
      <c r="A313">
        <f>Mesh!A310</f>
      </c>
      <c r="B313" s="20">
        <f>Mesh!B310</f>
      </c>
      <c r="C313" s="20">
        <f>Mesh!C310</f>
      </c>
      <c r="D313" s="20">
        <f>Mesh!D310</f>
      </c>
      <c r="E313" s="37">
        <f>INDEX(St_e0,Det+1)+INDEX(St_kx,Det+1)*C313+INDEX(St_ky,Det+1)*B313</f>
      </c>
      <c r="F313" s="20">
        <f>IF(E313&gt;0,IF(E313&lt;=eco,alpha*fck*(1-(1-E313/eco)^n),alpha*fck),0)</f>
      </c>
      <c r="G313" s="19">
        <f>F313*D313</f>
      </c>
      <c r="H313" s="19">
        <f>G313*C313</f>
      </c>
      <c r="I313" s="19">
        <f>G313*B313</f>
      </c>
      <c r="K313" s="37">
        <f>Eq_e0+Eq_kx*$C313+Eq_ky*$B313</f>
      </c>
      <c r="L313" s="20">
        <f>IF(K313&gt;0,IF(K313&lt;=eco,alpha*fck*(1-(1-K313/eco)^n),alpha*fck),0)</f>
      </c>
    </row>
    <row r="314" spans="1:12" x14ac:dyDescent="0.25">
      <c r="A314">
        <f>Mesh!A311</f>
      </c>
      <c r="B314" s="20">
        <f>Mesh!B311</f>
      </c>
      <c r="C314" s="20">
        <f>Mesh!C311</f>
      </c>
      <c r="D314" s="20">
        <f>Mesh!D311</f>
      </c>
      <c r="E314" s="37">
        <f>INDEX(St_e0,Det+1)+INDEX(St_kx,Det+1)*C314+INDEX(St_ky,Det+1)*B314</f>
      </c>
      <c r="F314" s="20">
        <f>IF(E314&gt;0,IF(E314&lt;=eco,alpha*fck*(1-(1-E314/eco)^n),alpha*fck),0)</f>
      </c>
      <c r="G314" s="19">
        <f>F314*D314</f>
      </c>
      <c r="H314" s="19">
        <f>G314*C314</f>
      </c>
      <c r="I314" s="19">
        <f>G314*B314</f>
      </c>
      <c r="K314" s="37">
        <f>Eq_e0+Eq_kx*$C314+Eq_ky*$B314</f>
      </c>
      <c r="L314" s="20">
        <f>IF(K314&gt;0,IF(K314&lt;=eco,alpha*fck*(1-(1-K314/eco)^n),alpha*fck),0)</f>
      </c>
    </row>
    <row r="315" spans="1:12" x14ac:dyDescent="0.25">
      <c r="A315">
        <f>Mesh!A312</f>
      </c>
      <c r="B315" s="20">
        <f>Mesh!B312</f>
      </c>
      <c r="C315" s="20">
        <f>Mesh!C312</f>
      </c>
      <c r="D315" s="20">
        <f>Mesh!D312</f>
      </c>
      <c r="E315" s="37">
        <f>INDEX(St_e0,Det+1)+INDEX(St_kx,Det+1)*C315+INDEX(St_ky,Det+1)*B315</f>
      </c>
      <c r="F315" s="20">
        <f>IF(E315&gt;0,IF(E315&lt;=eco,alpha*fck*(1-(1-E315/eco)^n),alpha*fck),0)</f>
      </c>
      <c r="G315" s="19">
        <f>F315*D315</f>
      </c>
      <c r="H315" s="19">
        <f>G315*C315</f>
      </c>
      <c r="I315" s="19">
        <f>G315*B315</f>
      </c>
      <c r="K315" s="37">
        <f>Eq_e0+Eq_kx*$C315+Eq_ky*$B315</f>
      </c>
      <c r="L315" s="20">
        <f>IF(K315&gt;0,IF(K315&lt;=eco,alpha*fck*(1-(1-K315/eco)^n),alpha*fck),0)</f>
      </c>
    </row>
    <row r="316" spans="1:12" x14ac:dyDescent="0.25">
      <c r="A316">
        <f>Mesh!A313</f>
      </c>
      <c r="B316" s="20">
        <f>Mesh!B313</f>
      </c>
      <c r="C316" s="20">
        <f>Mesh!C313</f>
      </c>
      <c r="D316" s="20">
        <f>Mesh!D313</f>
      </c>
      <c r="E316" s="37">
        <f>INDEX(St_e0,Det+1)+INDEX(St_kx,Det+1)*C316+INDEX(St_ky,Det+1)*B316</f>
      </c>
      <c r="F316" s="20">
        <f>IF(E316&gt;0,IF(E316&lt;=eco,alpha*fck*(1-(1-E316/eco)^n),alpha*fck),0)</f>
      </c>
      <c r="G316" s="19">
        <f>F316*D316</f>
      </c>
      <c r="H316" s="19">
        <f>G316*C316</f>
      </c>
      <c r="I316" s="19">
        <f>G316*B316</f>
      </c>
      <c r="K316" s="37">
        <f>Eq_e0+Eq_kx*$C316+Eq_ky*$B316</f>
      </c>
      <c r="L316" s="20">
        <f>IF(K316&gt;0,IF(K316&lt;=eco,alpha*fck*(1-(1-K316/eco)^n),alpha*fck),0)</f>
      </c>
    </row>
    <row r="317" spans="1:12" x14ac:dyDescent="0.25">
      <c r="A317">
        <f>Mesh!A314</f>
      </c>
      <c r="B317" s="20">
        <f>Mesh!B314</f>
      </c>
      <c r="C317" s="20">
        <f>Mesh!C314</f>
      </c>
      <c r="D317" s="20">
        <f>Mesh!D314</f>
      </c>
      <c r="E317" s="37">
        <f>INDEX(St_e0,Det+1)+INDEX(St_kx,Det+1)*C317+INDEX(St_ky,Det+1)*B317</f>
      </c>
      <c r="F317" s="20">
        <f>IF(E317&gt;0,IF(E317&lt;=eco,alpha*fck*(1-(1-E317/eco)^n),alpha*fck),0)</f>
      </c>
      <c r="G317" s="19">
        <f>F317*D317</f>
      </c>
      <c r="H317" s="19">
        <f>G317*C317</f>
      </c>
      <c r="I317" s="19">
        <f>G317*B317</f>
      </c>
      <c r="K317" s="37">
        <f>Eq_e0+Eq_kx*$C317+Eq_ky*$B317</f>
      </c>
      <c r="L317" s="20">
        <f>IF(K317&gt;0,IF(K317&lt;=eco,alpha*fck*(1-(1-K317/eco)^n),alpha*fck),0)</f>
      </c>
    </row>
    <row r="318" spans="1:12" x14ac:dyDescent="0.25">
      <c r="A318">
        <f>Mesh!A315</f>
      </c>
      <c r="B318" s="20">
        <f>Mesh!B315</f>
      </c>
      <c r="C318" s="20">
        <f>Mesh!C315</f>
      </c>
      <c r="D318" s="20">
        <f>Mesh!D315</f>
      </c>
      <c r="E318" s="37">
        <f>INDEX(St_e0,Det+1)+INDEX(St_kx,Det+1)*C318+INDEX(St_ky,Det+1)*B318</f>
      </c>
      <c r="F318" s="20">
        <f>IF(E318&gt;0,IF(E318&lt;=eco,alpha*fck*(1-(1-E318/eco)^n),alpha*fck),0)</f>
      </c>
      <c r="G318" s="19">
        <f>F318*D318</f>
      </c>
      <c r="H318" s="19">
        <f>G318*C318</f>
      </c>
      <c r="I318" s="19">
        <f>G318*B318</f>
      </c>
      <c r="K318" s="37">
        <f>Eq_e0+Eq_kx*$C318+Eq_ky*$B318</f>
      </c>
      <c r="L318" s="20">
        <f>IF(K318&gt;0,IF(K318&lt;=eco,alpha*fck*(1-(1-K318/eco)^n),alpha*fck),0)</f>
      </c>
    </row>
    <row r="319" spans="1:12" x14ac:dyDescent="0.25">
      <c r="A319">
        <f>Mesh!A316</f>
      </c>
      <c r="B319" s="20">
        <f>Mesh!B316</f>
      </c>
      <c r="C319" s="20">
        <f>Mesh!C316</f>
      </c>
      <c r="D319" s="20">
        <f>Mesh!D316</f>
      </c>
      <c r="E319" s="37">
        <f>INDEX(St_e0,Det+1)+INDEX(St_kx,Det+1)*C319+INDEX(St_ky,Det+1)*B319</f>
      </c>
      <c r="F319" s="20">
        <f>IF(E319&gt;0,IF(E319&lt;=eco,alpha*fck*(1-(1-E319/eco)^n),alpha*fck),0)</f>
      </c>
      <c r="G319" s="19">
        <f>F319*D319</f>
      </c>
      <c r="H319" s="19">
        <f>G319*C319</f>
      </c>
      <c r="I319" s="19">
        <f>G319*B319</f>
      </c>
      <c r="K319" s="37">
        <f>Eq_e0+Eq_kx*$C319+Eq_ky*$B319</f>
      </c>
      <c r="L319" s="20">
        <f>IF(K319&gt;0,IF(K319&lt;=eco,alpha*fck*(1-(1-K319/eco)^n),alpha*fck),0)</f>
      </c>
    </row>
    <row r="320" spans="1:12" x14ac:dyDescent="0.25">
      <c r="A320">
        <f>Mesh!A317</f>
      </c>
      <c r="B320" s="20">
        <f>Mesh!B317</f>
      </c>
      <c r="C320" s="20">
        <f>Mesh!C317</f>
      </c>
      <c r="D320" s="20">
        <f>Mesh!D317</f>
      </c>
      <c r="E320" s="37">
        <f>INDEX(St_e0,Det+1)+INDEX(St_kx,Det+1)*C320+INDEX(St_ky,Det+1)*B320</f>
      </c>
      <c r="F320" s="20">
        <f>IF(E320&gt;0,IF(E320&lt;=eco,alpha*fck*(1-(1-E320/eco)^n),alpha*fck),0)</f>
      </c>
      <c r="G320" s="19">
        <f>F320*D320</f>
      </c>
      <c r="H320" s="19">
        <f>G320*C320</f>
      </c>
      <c r="I320" s="19">
        <f>G320*B320</f>
      </c>
      <c r="K320" s="37">
        <f>Eq_e0+Eq_kx*$C320+Eq_ky*$B320</f>
      </c>
      <c r="L320" s="20">
        <f>IF(K320&gt;0,IF(K320&lt;=eco,alpha*fck*(1-(1-K320/eco)^n),alpha*fck),0)</f>
      </c>
    </row>
    <row r="321" spans="1:12" x14ac:dyDescent="0.25">
      <c r="A321">
        <f>Mesh!A318</f>
      </c>
      <c r="B321" s="20">
        <f>Mesh!B318</f>
      </c>
      <c r="C321" s="20">
        <f>Mesh!C318</f>
      </c>
      <c r="D321" s="20">
        <f>Mesh!D318</f>
      </c>
      <c r="E321" s="37">
        <f>INDEX(St_e0,Det+1)+INDEX(St_kx,Det+1)*C321+INDEX(St_ky,Det+1)*B321</f>
      </c>
      <c r="F321" s="20">
        <f>IF(E321&gt;0,IF(E321&lt;=eco,alpha*fck*(1-(1-E321/eco)^n),alpha*fck),0)</f>
      </c>
      <c r="G321" s="19">
        <f>F321*D321</f>
      </c>
      <c r="H321" s="19">
        <f>G321*C321</f>
      </c>
      <c r="I321" s="19">
        <f>G321*B321</f>
      </c>
      <c r="K321" s="37">
        <f>Eq_e0+Eq_kx*$C321+Eq_ky*$B321</f>
      </c>
      <c r="L321" s="20">
        <f>IF(K321&gt;0,IF(K321&lt;=eco,alpha*fck*(1-(1-K321/eco)^n),alpha*fck),0)</f>
      </c>
    </row>
    <row r="322" spans="1:12" x14ac:dyDescent="0.25">
      <c r="A322">
        <f>Mesh!A319</f>
      </c>
      <c r="B322" s="20">
        <f>Mesh!B319</f>
      </c>
      <c r="C322" s="20">
        <f>Mesh!C319</f>
      </c>
      <c r="D322" s="20">
        <f>Mesh!D319</f>
      </c>
      <c r="E322" s="37">
        <f>INDEX(St_e0,Det+1)+INDEX(St_kx,Det+1)*C322+INDEX(St_ky,Det+1)*B322</f>
      </c>
      <c r="F322" s="20">
        <f>IF(E322&gt;0,IF(E322&lt;=eco,alpha*fck*(1-(1-E322/eco)^n),alpha*fck),0)</f>
      </c>
      <c r="G322" s="19">
        <f>F322*D322</f>
      </c>
      <c r="H322" s="19">
        <f>G322*C322</f>
      </c>
      <c r="I322" s="19">
        <f>G322*B322</f>
      </c>
      <c r="K322" s="37">
        <f>Eq_e0+Eq_kx*$C322+Eq_ky*$B322</f>
      </c>
      <c r="L322" s="20">
        <f>IF(K322&gt;0,IF(K322&lt;=eco,alpha*fck*(1-(1-K322/eco)^n),alpha*fck),0)</f>
      </c>
    </row>
    <row r="323" spans="1:12" x14ac:dyDescent="0.25">
      <c r="A323">
        <f>Mesh!A320</f>
      </c>
      <c r="B323" s="20">
        <f>Mesh!B320</f>
      </c>
      <c r="C323" s="20">
        <f>Mesh!C320</f>
      </c>
      <c r="D323" s="20">
        <f>Mesh!D320</f>
      </c>
      <c r="E323" s="37">
        <f>INDEX(St_e0,Det+1)+INDEX(St_kx,Det+1)*C323+INDEX(St_ky,Det+1)*B323</f>
      </c>
      <c r="F323" s="20">
        <f>IF(E323&gt;0,IF(E323&lt;=eco,alpha*fck*(1-(1-E323/eco)^n),alpha*fck),0)</f>
      </c>
      <c r="G323" s="19">
        <f>F323*D323</f>
      </c>
      <c r="H323" s="19">
        <f>G323*C323</f>
      </c>
      <c r="I323" s="19">
        <f>G323*B323</f>
      </c>
      <c r="K323" s="37">
        <f>Eq_e0+Eq_kx*$C323+Eq_ky*$B323</f>
      </c>
      <c r="L323" s="20">
        <f>IF(K323&gt;0,IF(K323&lt;=eco,alpha*fck*(1-(1-K323/eco)^n),alpha*fck),0)</f>
      </c>
    </row>
    <row r="324" spans="1:12" x14ac:dyDescent="0.25">
      <c r="A324">
        <f>Mesh!A321</f>
      </c>
      <c r="B324" s="20">
        <f>Mesh!B321</f>
      </c>
      <c r="C324" s="20">
        <f>Mesh!C321</f>
      </c>
      <c r="D324" s="20">
        <f>Mesh!D321</f>
      </c>
      <c r="E324" s="37">
        <f>INDEX(St_e0,Det+1)+INDEX(St_kx,Det+1)*C324+INDEX(St_ky,Det+1)*B324</f>
      </c>
      <c r="F324" s="20">
        <f>IF(E324&gt;0,IF(E324&lt;=eco,alpha*fck*(1-(1-E324/eco)^n),alpha*fck),0)</f>
      </c>
      <c r="G324" s="19">
        <f>F324*D324</f>
      </c>
      <c r="H324" s="19">
        <f>G324*C324</f>
      </c>
      <c r="I324" s="19">
        <f>G324*B324</f>
      </c>
      <c r="K324" s="37">
        <f>Eq_e0+Eq_kx*$C324+Eq_ky*$B324</f>
      </c>
      <c r="L324" s="20">
        <f>IF(K324&gt;0,IF(K324&lt;=eco,alpha*fck*(1-(1-K324/eco)^n),alpha*fck),0)</f>
      </c>
    </row>
    <row r="325" spans="1:12" x14ac:dyDescent="0.25">
      <c r="A325">
        <f>Mesh!A322</f>
      </c>
      <c r="B325" s="20">
        <f>Mesh!B322</f>
      </c>
      <c r="C325" s="20">
        <f>Mesh!C322</f>
      </c>
      <c r="D325" s="20">
        <f>Mesh!D322</f>
      </c>
      <c r="E325" s="37">
        <f>INDEX(St_e0,Det+1)+INDEX(St_kx,Det+1)*C325+INDEX(St_ky,Det+1)*B325</f>
      </c>
      <c r="F325" s="20">
        <f>IF(E325&gt;0,IF(E325&lt;=eco,alpha*fck*(1-(1-E325/eco)^n),alpha*fck),0)</f>
      </c>
      <c r="G325" s="19">
        <f>F325*D325</f>
      </c>
      <c r="H325" s="19">
        <f>G325*C325</f>
      </c>
      <c r="I325" s="19">
        <f>G325*B325</f>
      </c>
      <c r="K325" s="37">
        <f>Eq_e0+Eq_kx*$C325+Eq_ky*$B325</f>
      </c>
      <c r="L325" s="20">
        <f>IF(K325&gt;0,IF(K325&lt;=eco,alpha*fck*(1-(1-K325/eco)^n),alpha*fck),0)</f>
      </c>
    </row>
    <row r="326" spans="1:12" x14ac:dyDescent="0.25">
      <c r="A326">
        <f>Mesh!A323</f>
      </c>
      <c r="B326" s="20">
        <f>Mesh!B323</f>
      </c>
      <c r="C326" s="20">
        <f>Mesh!C323</f>
      </c>
      <c r="D326" s="20">
        <f>Mesh!D323</f>
      </c>
      <c r="E326" s="37">
        <f>INDEX(St_e0,Det+1)+INDEX(St_kx,Det+1)*C326+INDEX(St_ky,Det+1)*B326</f>
      </c>
      <c r="F326" s="20">
        <f>IF(E326&gt;0,IF(E326&lt;=eco,alpha*fck*(1-(1-E326/eco)^n),alpha*fck),0)</f>
      </c>
      <c r="G326" s="19">
        <f>F326*D326</f>
      </c>
      <c r="H326" s="19">
        <f>G326*C326</f>
      </c>
      <c r="I326" s="19">
        <f>G326*B326</f>
      </c>
      <c r="K326" s="37">
        <f>Eq_e0+Eq_kx*$C326+Eq_ky*$B326</f>
      </c>
      <c r="L326" s="20">
        <f>IF(K326&gt;0,IF(K326&lt;=eco,alpha*fck*(1-(1-K326/eco)^n),alpha*fck),0)</f>
      </c>
    </row>
    <row r="327" spans="1:12" x14ac:dyDescent="0.25">
      <c r="A327">
        <f>Mesh!A324</f>
      </c>
      <c r="B327" s="20">
        <f>Mesh!B324</f>
      </c>
      <c r="C327" s="20">
        <f>Mesh!C324</f>
      </c>
      <c r="D327" s="20">
        <f>Mesh!D324</f>
      </c>
      <c r="E327" s="37">
        <f>INDEX(St_e0,Det+1)+INDEX(St_kx,Det+1)*C327+INDEX(St_ky,Det+1)*B327</f>
      </c>
      <c r="F327" s="20">
        <f>IF(E327&gt;0,IF(E327&lt;=eco,alpha*fck*(1-(1-E327/eco)^n),alpha*fck),0)</f>
      </c>
      <c r="G327" s="19">
        <f>F327*D327</f>
      </c>
      <c r="H327" s="19">
        <f>G327*C327</f>
      </c>
      <c r="I327" s="19">
        <f>G327*B327</f>
      </c>
      <c r="K327" s="37">
        <f>Eq_e0+Eq_kx*$C327+Eq_ky*$B327</f>
      </c>
      <c r="L327" s="20">
        <f>IF(K327&gt;0,IF(K327&lt;=eco,alpha*fck*(1-(1-K327/eco)^n),alpha*fck),0)</f>
      </c>
    </row>
    <row r="328" spans="1:12" x14ac:dyDescent="0.25">
      <c r="A328">
        <f>Mesh!A325</f>
      </c>
      <c r="B328" s="20">
        <f>Mesh!B325</f>
      </c>
      <c r="C328" s="20">
        <f>Mesh!C325</f>
      </c>
      <c r="D328" s="20">
        <f>Mesh!D325</f>
      </c>
      <c r="E328" s="37">
        <f>INDEX(St_e0,Det+1)+INDEX(St_kx,Det+1)*C328+INDEX(St_ky,Det+1)*B328</f>
      </c>
      <c r="F328" s="20">
        <f>IF(E328&gt;0,IF(E328&lt;=eco,alpha*fck*(1-(1-E328/eco)^n),alpha*fck),0)</f>
      </c>
      <c r="G328" s="19">
        <f>F328*D328</f>
      </c>
      <c r="H328" s="19">
        <f>G328*C328</f>
      </c>
      <c r="I328" s="19">
        <f>G328*B328</f>
      </c>
      <c r="K328" s="37">
        <f>Eq_e0+Eq_kx*$C328+Eq_ky*$B328</f>
      </c>
      <c r="L328" s="20">
        <f>IF(K328&gt;0,IF(K328&lt;=eco,alpha*fck*(1-(1-K328/eco)^n),alpha*fck),0)</f>
      </c>
    </row>
    <row r="329" spans="1:12" x14ac:dyDescent="0.25">
      <c r="A329">
        <f>Mesh!A326</f>
      </c>
      <c r="B329" s="20">
        <f>Mesh!B326</f>
      </c>
      <c r="C329" s="20">
        <f>Mesh!C326</f>
      </c>
      <c r="D329" s="20">
        <f>Mesh!D326</f>
      </c>
      <c r="E329" s="37">
        <f>INDEX(St_e0,Det+1)+INDEX(St_kx,Det+1)*C329+INDEX(St_ky,Det+1)*B329</f>
      </c>
      <c r="F329" s="20">
        <f>IF(E329&gt;0,IF(E329&lt;=eco,alpha*fck*(1-(1-E329/eco)^n),alpha*fck),0)</f>
      </c>
      <c r="G329" s="19">
        <f>F329*D329</f>
      </c>
      <c r="H329" s="19">
        <f>G329*C329</f>
      </c>
      <c r="I329" s="19">
        <f>G329*B329</f>
      </c>
      <c r="K329" s="37">
        <f>Eq_e0+Eq_kx*$C329+Eq_ky*$B329</f>
      </c>
      <c r="L329" s="20">
        <f>IF(K329&gt;0,IF(K329&lt;=eco,alpha*fck*(1-(1-K329/eco)^n),alpha*fck),0)</f>
      </c>
    </row>
    <row r="330" spans="1:12" x14ac:dyDescent="0.25">
      <c r="A330">
        <f>Mesh!A327</f>
      </c>
      <c r="B330" s="20">
        <f>Mesh!B327</f>
      </c>
      <c r="C330" s="20">
        <f>Mesh!C327</f>
      </c>
      <c r="D330" s="20">
        <f>Mesh!D327</f>
      </c>
      <c r="E330" s="37">
        <f>INDEX(St_e0,Det+1)+INDEX(St_kx,Det+1)*C330+INDEX(St_ky,Det+1)*B330</f>
      </c>
      <c r="F330" s="20">
        <f>IF(E330&gt;0,IF(E330&lt;=eco,alpha*fck*(1-(1-E330/eco)^n),alpha*fck),0)</f>
      </c>
      <c r="G330" s="19">
        <f>F330*D330</f>
      </c>
      <c r="H330" s="19">
        <f>G330*C330</f>
      </c>
      <c r="I330" s="19">
        <f>G330*B330</f>
      </c>
      <c r="K330" s="37">
        <f>Eq_e0+Eq_kx*$C330+Eq_ky*$B330</f>
      </c>
      <c r="L330" s="20">
        <f>IF(K330&gt;0,IF(K330&lt;=eco,alpha*fck*(1-(1-K330/eco)^n),alpha*fck),0)</f>
      </c>
    </row>
    <row r="331" spans="1:12" x14ac:dyDescent="0.25">
      <c r="A331">
        <f>Mesh!A328</f>
      </c>
      <c r="B331" s="20">
        <f>Mesh!B328</f>
      </c>
      <c r="C331" s="20">
        <f>Mesh!C328</f>
      </c>
      <c r="D331" s="20">
        <f>Mesh!D328</f>
      </c>
      <c r="E331" s="37">
        <f>INDEX(St_e0,Det+1)+INDEX(St_kx,Det+1)*C331+INDEX(St_ky,Det+1)*B331</f>
      </c>
      <c r="F331" s="20">
        <f>IF(E331&gt;0,IF(E331&lt;=eco,alpha*fck*(1-(1-E331/eco)^n),alpha*fck),0)</f>
      </c>
      <c r="G331" s="19">
        <f>F331*D331</f>
      </c>
      <c r="H331" s="19">
        <f>G331*C331</f>
      </c>
      <c r="I331" s="19">
        <f>G331*B331</f>
      </c>
      <c r="K331" s="37">
        <f>Eq_e0+Eq_kx*$C331+Eq_ky*$B331</f>
      </c>
      <c r="L331" s="20">
        <f>IF(K331&gt;0,IF(K331&lt;=eco,alpha*fck*(1-(1-K331/eco)^n),alpha*fck),0)</f>
      </c>
    </row>
    <row r="332" spans="1:12" x14ac:dyDescent="0.25">
      <c r="A332">
        <f>Mesh!A329</f>
      </c>
      <c r="B332" s="20">
        <f>Mesh!B329</f>
      </c>
      <c r="C332" s="20">
        <f>Mesh!C329</f>
      </c>
      <c r="D332" s="20">
        <f>Mesh!D329</f>
      </c>
      <c r="E332" s="37">
        <f>INDEX(St_e0,Det+1)+INDEX(St_kx,Det+1)*C332+INDEX(St_ky,Det+1)*B332</f>
      </c>
      <c r="F332" s="20">
        <f>IF(E332&gt;0,IF(E332&lt;=eco,alpha*fck*(1-(1-E332/eco)^n),alpha*fck),0)</f>
      </c>
      <c r="G332" s="19">
        <f>F332*D332</f>
      </c>
      <c r="H332" s="19">
        <f>G332*C332</f>
      </c>
      <c r="I332" s="19">
        <f>G332*B332</f>
      </c>
      <c r="K332" s="37">
        <f>Eq_e0+Eq_kx*$C332+Eq_ky*$B332</f>
      </c>
      <c r="L332" s="20">
        <f>IF(K332&gt;0,IF(K332&lt;=eco,alpha*fck*(1-(1-K332/eco)^n),alpha*fck),0)</f>
      </c>
    </row>
    <row r="333" spans="1:12" x14ac:dyDescent="0.25">
      <c r="A333">
        <f>Mesh!A330</f>
      </c>
      <c r="B333" s="20">
        <f>Mesh!B330</f>
      </c>
      <c r="C333" s="20">
        <f>Mesh!C330</f>
      </c>
      <c r="D333" s="20">
        <f>Mesh!D330</f>
      </c>
      <c r="E333" s="37">
        <f>INDEX(St_e0,Det+1)+INDEX(St_kx,Det+1)*C333+INDEX(St_ky,Det+1)*B333</f>
      </c>
      <c r="F333" s="20">
        <f>IF(E333&gt;0,IF(E333&lt;=eco,alpha*fck*(1-(1-E333/eco)^n),alpha*fck),0)</f>
      </c>
      <c r="G333" s="19">
        <f>F333*D333</f>
      </c>
      <c r="H333" s="19">
        <f>G333*C333</f>
      </c>
      <c r="I333" s="19">
        <f>G333*B333</f>
      </c>
      <c r="K333" s="37">
        <f>Eq_e0+Eq_kx*$C333+Eq_ky*$B333</f>
      </c>
      <c r="L333" s="20">
        <f>IF(K333&gt;0,IF(K333&lt;=eco,alpha*fck*(1-(1-K333/eco)^n),alpha*fck),0)</f>
      </c>
    </row>
    <row r="334" spans="1:12" x14ac:dyDescent="0.25">
      <c r="A334">
        <f>Mesh!A331</f>
      </c>
      <c r="B334" s="20">
        <f>Mesh!B331</f>
      </c>
      <c r="C334" s="20">
        <f>Mesh!C331</f>
      </c>
      <c r="D334" s="20">
        <f>Mesh!D331</f>
      </c>
      <c r="E334" s="37">
        <f>INDEX(St_e0,Det+1)+INDEX(St_kx,Det+1)*C334+INDEX(St_ky,Det+1)*B334</f>
      </c>
      <c r="F334" s="20">
        <f>IF(E334&gt;0,IF(E334&lt;=eco,alpha*fck*(1-(1-E334/eco)^n),alpha*fck),0)</f>
      </c>
      <c r="G334" s="19">
        <f>F334*D334</f>
      </c>
      <c r="H334" s="19">
        <f>G334*C334</f>
      </c>
      <c r="I334" s="19">
        <f>G334*B334</f>
      </c>
      <c r="K334" s="37">
        <f>Eq_e0+Eq_kx*$C334+Eq_ky*$B334</f>
      </c>
      <c r="L334" s="20">
        <f>IF(K334&gt;0,IF(K334&lt;=eco,alpha*fck*(1-(1-K334/eco)^n),alpha*fck),0)</f>
      </c>
    </row>
    <row r="335" spans="1:12" x14ac:dyDescent="0.25">
      <c r="A335">
        <f>Mesh!A332</f>
      </c>
      <c r="B335" s="20">
        <f>Mesh!B332</f>
      </c>
      <c r="C335" s="20">
        <f>Mesh!C332</f>
      </c>
      <c r="D335" s="20">
        <f>Mesh!D332</f>
      </c>
      <c r="E335" s="37">
        <f>INDEX(St_e0,Det+1)+INDEX(St_kx,Det+1)*C335+INDEX(St_ky,Det+1)*B335</f>
      </c>
      <c r="F335" s="20">
        <f>IF(E335&gt;0,IF(E335&lt;=eco,alpha*fck*(1-(1-E335/eco)^n),alpha*fck),0)</f>
      </c>
      <c r="G335" s="19">
        <f>F335*D335</f>
      </c>
      <c r="H335" s="19">
        <f>G335*C335</f>
      </c>
      <c r="I335" s="19">
        <f>G335*B335</f>
      </c>
      <c r="K335" s="37">
        <f>Eq_e0+Eq_kx*$C335+Eq_ky*$B335</f>
      </c>
      <c r="L335" s="20">
        <f>IF(K335&gt;0,IF(K335&lt;=eco,alpha*fck*(1-(1-K335/eco)^n),alpha*fck),0)</f>
      </c>
    </row>
    <row r="336" spans="1:12" x14ac:dyDescent="0.25">
      <c r="A336">
        <f>Mesh!A333</f>
      </c>
      <c r="B336" s="20">
        <f>Mesh!B333</f>
      </c>
      <c r="C336" s="20">
        <f>Mesh!C333</f>
      </c>
      <c r="D336" s="20">
        <f>Mesh!D333</f>
      </c>
      <c r="E336" s="37">
        <f>INDEX(St_e0,Det+1)+INDEX(St_kx,Det+1)*C336+INDEX(St_ky,Det+1)*B336</f>
      </c>
      <c r="F336" s="20">
        <f>IF(E336&gt;0,IF(E336&lt;=eco,alpha*fck*(1-(1-E336/eco)^n),alpha*fck),0)</f>
      </c>
      <c r="G336" s="19">
        <f>F336*D336</f>
      </c>
      <c r="H336" s="19">
        <f>G336*C336</f>
      </c>
      <c r="I336" s="19">
        <f>G336*B336</f>
      </c>
      <c r="K336" s="37">
        <f>Eq_e0+Eq_kx*$C336+Eq_ky*$B336</f>
      </c>
      <c r="L336" s="20">
        <f>IF(K336&gt;0,IF(K336&lt;=eco,alpha*fck*(1-(1-K336/eco)^n),alpha*fck),0)</f>
      </c>
    </row>
    <row r="337" spans="1:12" x14ac:dyDescent="0.25">
      <c r="A337">
        <f>Mesh!A334</f>
      </c>
      <c r="B337" s="20">
        <f>Mesh!B334</f>
      </c>
      <c r="C337" s="20">
        <f>Mesh!C334</f>
      </c>
      <c r="D337" s="20">
        <f>Mesh!D334</f>
      </c>
      <c r="E337" s="37">
        <f>INDEX(St_e0,Det+1)+INDEX(St_kx,Det+1)*C337+INDEX(St_ky,Det+1)*B337</f>
      </c>
      <c r="F337" s="20">
        <f>IF(E337&gt;0,IF(E337&lt;=eco,alpha*fck*(1-(1-E337/eco)^n),alpha*fck),0)</f>
      </c>
      <c r="G337" s="19">
        <f>F337*D337</f>
      </c>
      <c r="H337" s="19">
        <f>G337*C337</f>
      </c>
      <c r="I337" s="19">
        <f>G337*B337</f>
      </c>
      <c r="K337" s="37">
        <f>Eq_e0+Eq_kx*$C337+Eq_ky*$B337</f>
      </c>
      <c r="L337" s="20">
        <f>IF(K337&gt;0,IF(K337&lt;=eco,alpha*fck*(1-(1-K337/eco)^n),alpha*fck),0)</f>
      </c>
    </row>
    <row r="338" spans="1:12" x14ac:dyDescent="0.25">
      <c r="A338">
        <f>Mesh!A335</f>
      </c>
      <c r="B338" s="20">
        <f>Mesh!B335</f>
      </c>
      <c r="C338" s="20">
        <f>Mesh!C335</f>
      </c>
      <c r="D338" s="20">
        <f>Mesh!D335</f>
      </c>
      <c r="E338" s="37">
        <f>INDEX(St_e0,Det+1)+INDEX(St_kx,Det+1)*C338+INDEX(St_ky,Det+1)*B338</f>
      </c>
      <c r="F338" s="20">
        <f>IF(E338&gt;0,IF(E338&lt;=eco,alpha*fck*(1-(1-E338/eco)^n),alpha*fck),0)</f>
      </c>
      <c r="G338" s="19">
        <f>F338*D338</f>
      </c>
      <c r="H338" s="19">
        <f>G338*C338</f>
      </c>
      <c r="I338" s="19">
        <f>G338*B338</f>
      </c>
      <c r="K338" s="37">
        <f>Eq_e0+Eq_kx*$C338+Eq_ky*$B338</f>
      </c>
      <c r="L338" s="20">
        <f>IF(K338&gt;0,IF(K338&lt;=eco,alpha*fck*(1-(1-K338/eco)^n),alpha*fck),0)</f>
      </c>
    </row>
    <row r="339" spans="1:12" x14ac:dyDescent="0.25">
      <c r="A339">
        <f>Mesh!A336</f>
      </c>
      <c r="B339" s="20">
        <f>Mesh!B336</f>
      </c>
      <c r="C339" s="20">
        <f>Mesh!C336</f>
      </c>
      <c r="D339" s="20">
        <f>Mesh!D336</f>
      </c>
      <c r="E339" s="37">
        <f>INDEX(St_e0,Det+1)+INDEX(St_kx,Det+1)*C339+INDEX(St_ky,Det+1)*B339</f>
      </c>
      <c r="F339" s="20">
        <f>IF(E339&gt;0,IF(E339&lt;=eco,alpha*fck*(1-(1-E339/eco)^n),alpha*fck),0)</f>
      </c>
      <c r="G339" s="19">
        <f>F339*D339</f>
      </c>
      <c r="H339" s="19">
        <f>G339*C339</f>
      </c>
      <c r="I339" s="19">
        <f>G339*B339</f>
      </c>
      <c r="K339" s="37">
        <f>Eq_e0+Eq_kx*$C339+Eq_ky*$B339</f>
      </c>
      <c r="L339" s="20">
        <f>IF(K339&gt;0,IF(K339&lt;=eco,alpha*fck*(1-(1-K339/eco)^n),alpha*fck),0)</f>
      </c>
    </row>
    <row r="340" spans="1:12" x14ac:dyDescent="0.25">
      <c r="A340">
        <f>Mesh!A337</f>
      </c>
      <c r="B340" s="20">
        <f>Mesh!B337</f>
      </c>
      <c r="C340" s="20">
        <f>Mesh!C337</f>
      </c>
      <c r="D340" s="20">
        <f>Mesh!D337</f>
      </c>
      <c r="E340" s="37">
        <f>INDEX(St_e0,Det+1)+INDEX(St_kx,Det+1)*C340+INDEX(St_ky,Det+1)*B340</f>
      </c>
      <c r="F340" s="20">
        <f>IF(E340&gt;0,IF(E340&lt;=eco,alpha*fck*(1-(1-E340/eco)^n),alpha*fck),0)</f>
      </c>
      <c r="G340" s="19">
        <f>F340*D340</f>
      </c>
      <c r="H340" s="19">
        <f>G340*C340</f>
      </c>
      <c r="I340" s="19">
        <f>G340*B340</f>
      </c>
      <c r="K340" s="37">
        <f>Eq_e0+Eq_kx*$C340+Eq_ky*$B340</f>
      </c>
      <c r="L340" s="20">
        <f>IF(K340&gt;0,IF(K340&lt;=eco,alpha*fck*(1-(1-K340/eco)^n),alpha*fck),0)</f>
      </c>
    </row>
    <row r="341" spans="1:12" x14ac:dyDescent="0.25">
      <c r="A341">
        <f>Mesh!A338</f>
      </c>
      <c r="B341" s="20">
        <f>Mesh!B338</f>
      </c>
      <c r="C341" s="20">
        <f>Mesh!C338</f>
      </c>
      <c r="D341" s="20">
        <f>Mesh!D338</f>
      </c>
      <c r="E341" s="37">
        <f>INDEX(St_e0,Det+1)+INDEX(St_kx,Det+1)*C341+INDEX(St_ky,Det+1)*B341</f>
      </c>
      <c r="F341" s="20">
        <f>IF(E341&gt;0,IF(E341&lt;=eco,alpha*fck*(1-(1-E341/eco)^n),alpha*fck),0)</f>
      </c>
      <c r="G341" s="19">
        <f>F341*D341</f>
      </c>
      <c r="H341" s="19">
        <f>G341*C341</f>
      </c>
      <c r="I341" s="19">
        <f>G341*B341</f>
      </c>
      <c r="K341" s="37">
        <f>Eq_e0+Eq_kx*$C341+Eq_ky*$B341</f>
      </c>
      <c r="L341" s="20">
        <f>IF(K341&gt;0,IF(K341&lt;=eco,alpha*fck*(1-(1-K341/eco)^n),alpha*fck),0)</f>
      </c>
    </row>
    <row r="342" spans="1:12" x14ac:dyDescent="0.25">
      <c r="A342">
        <f>Mesh!A339</f>
      </c>
      <c r="B342" s="20">
        <f>Mesh!B339</f>
      </c>
      <c r="C342" s="20">
        <f>Mesh!C339</f>
      </c>
      <c r="D342" s="20">
        <f>Mesh!D339</f>
      </c>
      <c r="E342" s="37">
        <f>INDEX(St_e0,Det+1)+INDEX(St_kx,Det+1)*C342+INDEX(St_ky,Det+1)*B342</f>
      </c>
      <c r="F342" s="20">
        <f>IF(E342&gt;0,IF(E342&lt;=eco,alpha*fck*(1-(1-E342/eco)^n),alpha*fck),0)</f>
      </c>
      <c r="G342" s="19">
        <f>F342*D342</f>
      </c>
      <c r="H342" s="19">
        <f>G342*C342</f>
      </c>
      <c r="I342" s="19">
        <f>G342*B342</f>
      </c>
      <c r="K342" s="37">
        <f>Eq_e0+Eq_kx*$C342+Eq_ky*$B342</f>
      </c>
      <c r="L342" s="20">
        <f>IF(K342&gt;0,IF(K342&lt;=eco,alpha*fck*(1-(1-K342/eco)^n),alpha*fck),0)</f>
      </c>
    </row>
    <row r="343" spans="1:12" x14ac:dyDescent="0.25">
      <c r="A343">
        <f>Mesh!A340</f>
      </c>
      <c r="B343" s="20">
        <f>Mesh!B340</f>
      </c>
      <c r="C343" s="20">
        <f>Mesh!C340</f>
      </c>
      <c r="D343" s="20">
        <f>Mesh!D340</f>
      </c>
      <c r="E343" s="37">
        <f>INDEX(St_e0,Det+1)+INDEX(St_kx,Det+1)*C343+INDEX(St_ky,Det+1)*B343</f>
      </c>
      <c r="F343" s="20">
        <f>IF(E343&gt;0,IF(E343&lt;=eco,alpha*fck*(1-(1-E343/eco)^n),alpha*fck),0)</f>
      </c>
      <c r="G343" s="19">
        <f>F343*D343</f>
      </c>
      <c r="H343" s="19">
        <f>G343*C343</f>
      </c>
      <c r="I343" s="19">
        <f>G343*B343</f>
      </c>
      <c r="K343" s="37">
        <f>Eq_e0+Eq_kx*$C343+Eq_ky*$B343</f>
      </c>
      <c r="L343" s="20">
        <f>IF(K343&gt;0,IF(K343&lt;=eco,alpha*fck*(1-(1-K343/eco)^n),alpha*fck),0)</f>
      </c>
    </row>
    <row r="344" spans="1:12" x14ac:dyDescent="0.25">
      <c r="A344">
        <f>Mesh!A341</f>
      </c>
      <c r="B344" s="20">
        <f>Mesh!B341</f>
      </c>
      <c r="C344" s="20">
        <f>Mesh!C341</f>
      </c>
      <c r="D344" s="20">
        <f>Mesh!D341</f>
      </c>
      <c r="E344" s="37">
        <f>INDEX(St_e0,Det+1)+INDEX(St_kx,Det+1)*C344+INDEX(St_ky,Det+1)*B344</f>
      </c>
      <c r="F344" s="20">
        <f>IF(E344&gt;0,IF(E344&lt;=eco,alpha*fck*(1-(1-E344/eco)^n),alpha*fck),0)</f>
      </c>
      <c r="G344" s="19">
        <f>F344*D344</f>
      </c>
      <c r="H344" s="19">
        <f>G344*C344</f>
      </c>
      <c r="I344" s="19">
        <f>G344*B344</f>
      </c>
      <c r="K344" s="37">
        <f>Eq_e0+Eq_kx*$C344+Eq_ky*$B344</f>
      </c>
      <c r="L344" s="20">
        <f>IF(K344&gt;0,IF(K344&lt;=eco,alpha*fck*(1-(1-K344/eco)^n),alpha*fck),0)</f>
      </c>
    </row>
    <row r="345" spans="1:12" x14ac:dyDescent="0.25">
      <c r="A345">
        <f>Mesh!A342</f>
      </c>
      <c r="B345" s="20">
        <f>Mesh!B342</f>
      </c>
      <c r="C345" s="20">
        <f>Mesh!C342</f>
      </c>
      <c r="D345" s="20">
        <f>Mesh!D342</f>
      </c>
      <c r="E345" s="37">
        <f>INDEX(St_e0,Det+1)+INDEX(St_kx,Det+1)*C345+INDEX(St_ky,Det+1)*B345</f>
      </c>
      <c r="F345" s="20">
        <f>IF(E345&gt;0,IF(E345&lt;=eco,alpha*fck*(1-(1-E345/eco)^n),alpha*fck),0)</f>
      </c>
      <c r="G345" s="19">
        <f>F345*D345</f>
      </c>
      <c r="H345" s="19">
        <f>G345*C345</f>
      </c>
      <c r="I345" s="19">
        <f>G345*B345</f>
      </c>
      <c r="K345" s="37">
        <f>Eq_e0+Eq_kx*$C345+Eq_ky*$B345</f>
      </c>
      <c r="L345" s="20">
        <f>IF(K345&gt;0,IF(K345&lt;=eco,alpha*fck*(1-(1-K345/eco)^n),alpha*fck),0)</f>
      </c>
    </row>
    <row r="346" spans="1:12" x14ac:dyDescent="0.25">
      <c r="A346">
        <f>Mesh!A343</f>
      </c>
      <c r="B346" s="20">
        <f>Mesh!B343</f>
      </c>
      <c r="C346" s="20">
        <f>Mesh!C343</f>
      </c>
      <c r="D346" s="20">
        <f>Mesh!D343</f>
      </c>
      <c r="E346" s="37">
        <f>INDEX(St_e0,Det+1)+INDEX(St_kx,Det+1)*C346+INDEX(St_ky,Det+1)*B346</f>
      </c>
      <c r="F346" s="20">
        <f>IF(E346&gt;0,IF(E346&lt;=eco,alpha*fck*(1-(1-E346/eco)^n),alpha*fck),0)</f>
      </c>
      <c r="G346" s="19">
        <f>F346*D346</f>
      </c>
      <c r="H346" s="19">
        <f>G346*C346</f>
      </c>
      <c r="I346" s="19">
        <f>G346*B346</f>
      </c>
      <c r="K346" s="37">
        <f>Eq_e0+Eq_kx*$C346+Eq_ky*$B346</f>
      </c>
      <c r="L346" s="20">
        <f>IF(K346&gt;0,IF(K346&lt;=eco,alpha*fck*(1-(1-K346/eco)^n),alpha*fck),0)</f>
      </c>
    </row>
    <row r="347" spans="1:12" x14ac:dyDescent="0.25">
      <c r="A347">
        <f>Mesh!A344</f>
      </c>
      <c r="B347" s="20">
        <f>Mesh!B344</f>
      </c>
      <c r="C347" s="20">
        <f>Mesh!C344</f>
      </c>
      <c r="D347" s="20">
        <f>Mesh!D344</f>
      </c>
      <c r="E347" s="37">
        <f>INDEX(St_e0,Det+1)+INDEX(St_kx,Det+1)*C347+INDEX(St_ky,Det+1)*B347</f>
      </c>
      <c r="F347" s="20">
        <f>IF(E347&gt;0,IF(E347&lt;=eco,alpha*fck*(1-(1-E347/eco)^n),alpha*fck),0)</f>
      </c>
      <c r="G347" s="19">
        <f>F347*D347</f>
      </c>
      <c r="H347" s="19">
        <f>G347*C347</f>
      </c>
      <c r="I347" s="19">
        <f>G347*B347</f>
      </c>
      <c r="K347" s="37">
        <f>Eq_e0+Eq_kx*$C347+Eq_ky*$B347</f>
      </c>
      <c r="L347" s="20">
        <f>IF(K347&gt;0,IF(K347&lt;=eco,alpha*fck*(1-(1-K347/eco)^n),alpha*fck),0)</f>
      </c>
    </row>
    <row r="348" spans="1:12" x14ac:dyDescent="0.25">
      <c r="A348">
        <f>Mesh!A345</f>
      </c>
      <c r="B348" s="20">
        <f>Mesh!B345</f>
      </c>
      <c r="C348" s="20">
        <f>Mesh!C345</f>
      </c>
      <c r="D348" s="20">
        <f>Mesh!D345</f>
      </c>
      <c r="E348" s="37">
        <f>INDEX(St_e0,Det+1)+INDEX(St_kx,Det+1)*C348+INDEX(St_ky,Det+1)*B348</f>
      </c>
      <c r="F348" s="20">
        <f>IF(E348&gt;0,IF(E348&lt;=eco,alpha*fck*(1-(1-E348/eco)^n),alpha*fck),0)</f>
      </c>
      <c r="G348" s="19">
        <f>F348*D348</f>
      </c>
      <c r="H348" s="19">
        <f>G348*C348</f>
      </c>
      <c r="I348" s="19">
        <f>G348*B348</f>
      </c>
      <c r="K348" s="37">
        <f>Eq_e0+Eq_kx*$C348+Eq_ky*$B348</f>
      </c>
      <c r="L348" s="20">
        <f>IF(K348&gt;0,IF(K348&lt;=eco,alpha*fck*(1-(1-K348/eco)^n),alpha*fck),0)</f>
      </c>
    </row>
    <row r="349" spans="1:12" x14ac:dyDescent="0.25">
      <c r="A349">
        <f>Mesh!A346</f>
      </c>
      <c r="B349" s="20">
        <f>Mesh!B346</f>
      </c>
      <c r="C349" s="20">
        <f>Mesh!C346</f>
      </c>
      <c r="D349" s="20">
        <f>Mesh!D346</f>
      </c>
      <c r="E349" s="37">
        <f>INDEX(St_e0,Det+1)+INDEX(St_kx,Det+1)*C349+INDEX(St_ky,Det+1)*B349</f>
      </c>
      <c r="F349" s="20">
        <f>IF(E349&gt;0,IF(E349&lt;=eco,alpha*fck*(1-(1-E349/eco)^n),alpha*fck),0)</f>
      </c>
      <c r="G349" s="19">
        <f>F349*D349</f>
      </c>
      <c r="H349" s="19">
        <f>G349*C349</f>
      </c>
      <c r="I349" s="19">
        <f>G349*B349</f>
      </c>
      <c r="K349" s="37">
        <f>Eq_e0+Eq_kx*$C349+Eq_ky*$B349</f>
      </c>
      <c r="L349" s="20">
        <f>IF(K349&gt;0,IF(K349&lt;=eco,alpha*fck*(1-(1-K349/eco)^n),alpha*fck),0)</f>
      </c>
    </row>
    <row r="350" spans="1:12" x14ac:dyDescent="0.25">
      <c r="A350">
        <f>Mesh!A347</f>
      </c>
      <c r="B350" s="20">
        <f>Mesh!B347</f>
      </c>
      <c r="C350" s="20">
        <f>Mesh!C347</f>
      </c>
      <c r="D350" s="20">
        <f>Mesh!D347</f>
      </c>
      <c r="E350" s="37">
        <f>INDEX(St_e0,Det+1)+INDEX(St_kx,Det+1)*C350+INDEX(St_ky,Det+1)*B350</f>
      </c>
      <c r="F350" s="20">
        <f>IF(E350&gt;0,IF(E350&lt;=eco,alpha*fck*(1-(1-E350/eco)^n),alpha*fck),0)</f>
      </c>
      <c r="G350" s="19">
        <f>F350*D350</f>
      </c>
      <c r="H350" s="19">
        <f>G350*C350</f>
      </c>
      <c r="I350" s="19">
        <f>G350*B350</f>
      </c>
      <c r="K350" s="37">
        <f>Eq_e0+Eq_kx*$C350+Eq_ky*$B350</f>
      </c>
      <c r="L350" s="20">
        <f>IF(K350&gt;0,IF(K350&lt;=eco,alpha*fck*(1-(1-K350/eco)^n),alpha*fck),0)</f>
      </c>
    </row>
    <row r="351" spans="1:12" x14ac:dyDescent="0.25">
      <c r="A351">
        <f>Mesh!A348</f>
      </c>
      <c r="B351" s="20">
        <f>Mesh!B348</f>
      </c>
      <c r="C351" s="20">
        <f>Mesh!C348</f>
      </c>
      <c r="D351" s="20">
        <f>Mesh!D348</f>
      </c>
      <c r="E351" s="37">
        <f>INDEX(St_e0,Det+1)+INDEX(St_kx,Det+1)*C351+INDEX(St_ky,Det+1)*B351</f>
      </c>
      <c r="F351" s="20">
        <f>IF(E351&gt;0,IF(E351&lt;=eco,alpha*fck*(1-(1-E351/eco)^n),alpha*fck),0)</f>
      </c>
      <c r="G351" s="19">
        <f>F351*D351</f>
      </c>
      <c r="H351" s="19">
        <f>G351*C351</f>
      </c>
      <c r="I351" s="19">
        <f>G351*B351</f>
      </c>
      <c r="K351" s="37">
        <f>Eq_e0+Eq_kx*$C351+Eq_ky*$B351</f>
      </c>
      <c r="L351" s="20">
        <f>IF(K351&gt;0,IF(K351&lt;=eco,alpha*fck*(1-(1-K351/eco)^n),alpha*fck),0)</f>
      </c>
    </row>
    <row r="352" spans="1:12" x14ac:dyDescent="0.25">
      <c r="A352">
        <f>Mesh!A349</f>
      </c>
      <c r="B352" s="20">
        <f>Mesh!B349</f>
      </c>
      <c r="C352" s="20">
        <f>Mesh!C349</f>
      </c>
      <c r="D352" s="20">
        <f>Mesh!D349</f>
      </c>
      <c r="E352" s="37">
        <f>INDEX(St_e0,Det+1)+INDEX(St_kx,Det+1)*C352+INDEX(St_ky,Det+1)*B352</f>
      </c>
      <c r="F352" s="20">
        <f>IF(E352&gt;0,IF(E352&lt;=eco,alpha*fck*(1-(1-E352/eco)^n),alpha*fck),0)</f>
      </c>
      <c r="G352" s="19">
        <f>F352*D352</f>
      </c>
      <c r="H352" s="19">
        <f>G352*C352</f>
      </c>
      <c r="I352" s="19">
        <f>G352*B352</f>
      </c>
      <c r="K352" s="37">
        <f>Eq_e0+Eq_kx*$C352+Eq_ky*$B352</f>
      </c>
      <c r="L352" s="20">
        <f>IF(K352&gt;0,IF(K352&lt;=eco,alpha*fck*(1-(1-K352/eco)^n),alpha*fck),0)</f>
      </c>
    </row>
    <row r="353" spans="1:12" x14ac:dyDescent="0.25">
      <c r="A353">
        <f>Mesh!A350</f>
      </c>
      <c r="B353" s="20">
        <f>Mesh!B350</f>
      </c>
      <c r="C353" s="20">
        <f>Mesh!C350</f>
      </c>
      <c r="D353" s="20">
        <f>Mesh!D350</f>
      </c>
      <c r="E353" s="37">
        <f>INDEX(St_e0,Det+1)+INDEX(St_kx,Det+1)*C353+INDEX(St_ky,Det+1)*B353</f>
      </c>
      <c r="F353" s="20">
        <f>IF(E353&gt;0,IF(E353&lt;=eco,alpha*fck*(1-(1-E353/eco)^n),alpha*fck),0)</f>
      </c>
      <c r="G353" s="19">
        <f>F353*D353</f>
      </c>
      <c r="H353" s="19">
        <f>G353*C353</f>
      </c>
      <c r="I353" s="19">
        <f>G353*B353</f>
      </c>
      <c r="K353" s="37">
        <f>Eq_e0+Eq_kx*$C353+Eq_ky*$B353</f>
      </c>
      <c r="L353" s="20">
        <f>IF(K353&gt;0,IF(K353&lt;=eco,alpha*fck*(1-(1-K353/eco)^n),alpha*fck),0)</f>
      </c>
    </row>
    <row r="354" spans="1:12" x14ac:dyDescent="0.25">
      <c r="A354">
        <f>Mesh!A351</f>
      </c>
      <c r="B354" s="20">
        <f>Mesh!B351</f>
      </c>
      <c r="C354" s="20">
        <f>Mesh!C351</f>
      </c>
      <c r="D354" s="20">
        <f>Mesh!D351</f>
      </c>
      <c r="E354" s="37">
        <f>INDEX(St_e0,Det+1)+INDEX(St_kx,Det+1)*C354+INDEX(St_ky,Det+1)*B354</f>
      </c>
      <c r="F354" s="20">
        <f>IF(E354&gt;0,IF(E354&lt;=eco,alpha*fck*(1-(1-E354/eco)^n),alpha*fck),0)</f>
      </c>
      <c r="G354" s="19">
        <f>F354*D354</f>
      </c>
      <c r="H354" s="19">
        <f>G354*C354</f>
      </c>
      <c r="I354" s="19">
        <f>G354*B354</f>
      </c>
      <c r="K354" s="37">
        <f>Eq_e0+Eq_kx*$C354+Eq_ky*$B354</f>
      </c>
      <c r="L354" s="20">
        <f>IF(K354&gt;0,IF(K354&lt;=eco,alpha*fck*(1-(1-K354/eco)^n),alpha*fck),0)</f>
      </c>
    </row>
    <row r="355" spans="1:12" x14ac:dyDescent="0.25">
      <c r="A355">
        <f>Mesh!A352</f>
      </c>
      <c r="B355" s="20">
        <f>Mesh!B352</f>
      </c>
      <c r="C355" s="20">
        <f>Mesh!C352</f>
      </c>
      <c r="D355" s="20">
        <f>Mesh!D352</f>
      </c>
      <c r="E355" s="37">
        <f>INDEX(St_e0,Det+1)+INDEX(St_kx,Det+1)*C355+INDEX(St_ky,Det+1)*B355</f>
      </c>
      <c r="F355" s="20">
        <f>IF(E355&gt;0,IF(E355&lt;=eco,alpha*fck*(1-(1-E355/eco)^n),alpha*fck),0)</f>
      </c>
      <c r="G355" s="19">
        <f>F355*D355</f>
      </c>
      <c r="H355" s="19">
        <f>G355*C355</f>
      </c>
      <c r="I355" s="19">
        <f>G355*B355</f>
      </c>
      <c r="K355" s="37">
        <f>Eq_e0+Eq_kx*$C355+Eq_ky*$B355</f>
      </c>
      <c r="L355" s="20">
        <f>IF(K355&gt;0,IF(K355&lt;=eco,alpha*fck*(1-(1-K355/eco)^n),alpha*fck),0)</f>
      </c>
    </row>
    <row r="356" spans="1:12" x14ac:dyDescent="0.25">
      <c r="A356">
        <f>Mesh!A353</f>
      </c>
      <c r="B356" s="20">
        <f>Mesh!B353</f>
      </c>
      <c r="C356" s="20">
        <f>Mesh!C353</f>
      </c>
      <c r="D356" s="20">
        <f>Mesh!D353</f>
      </c>
      <c r="E356" s="37">
        <f>INDEX(St_e0,Det+1)+INDEX(St_kx,Det+1)*C356+INDEX(St_ky,Det+1)*B356</f>
      </c>
      <c r="F356" s="20">
        <f>IF(E356&gt;0,IF(E356&lt;=eco,alpha*fck*(1-(1-E356/eco)^n),alpha*fck),0)</f>
      </c>
      <c r="G356" s="19">
        <f>F356*D356</f>
      </c>
      <c r="H356" s="19">
        <f>G356*C356</f>
      </c>
      <c r="I356" s="19">
        <f>G356*B356</f>
      </c>
      <c r="K356" s="37">
        <f>Eq_e0+Eq_kx*$C356+Eq_ky*$B356</f>
      </c>
      <c r="L356" s="20">
        <f>IF(K356&gt;0,IF(K356&lt;=eco,alpha*fck*(1-(1-K356/eco)^n),alpha*fck),0)</f>
      </c>
    </row>
    <row r="357" spans="1:12" x14ac:dyDescent="0.25">
      <c r="A357">
        <f>Mesh!A354</f>
      </c>
      <c r="B357" s="20">
        <f>Mesh!B354</f>
      </c>
      <c r="C357" s="20">
        <f>Mesh!C354</f>
      </c>
      <c r="D357" s="20">
        <f>Mesh!D354</f>
      </c>
      <c r="E357" s="37">
        <f>INDEX(St_e0,Det+1)+INDEX(St_kx,Det+1)*C357+INDEX(St_ky,Det+1)*B357</f>
      </c>
      <c r="F357" s="20">
        <f>IF(E357&gt;0,IF(E357&lt;=eco,alpha*fck*(1-(1-E357/eco)^n),alpha*fck),0)</f>
      </c>
      <c r="G357" s="19">
        <f>F357*D357</f>
      </c>
      <c r="H357" s="19">
        <f>G357*C357</f>
      </c>
      <c r="I357" s="19">
        <f>G357*B357</f>
      </c>
      <c r="K357" s="37">
        <f>Eq_e0+Eq_kx*$C357+Eq_ky*$B357</f>
      </c>
      <c r="L357" s="20">
        <f>IF(K357&gt;0,IF(K357&lt;=eco,alpha*fck*(1-(1-K357/eco)^n),alpha*fck),0)</f>
      </c>
    </row>
    <row r="358" spans="1:12" x14ac:dyDescent="0.25">
      <c r="A358">
        <f>Mesh!A355</f>
      </c>
      <c r="B358" s="20">
        <f>Mesh!B355</f>
      </c>
      <c r="C358" s="20">
        <f>Mesh!C355</f>
      </c>
      <c r="D358" s="20">
        <f>Mesh!D355</f>
      </c>
      <c r="E358" s="37">
        <f>INDEX(St_e0,Det+1)+INDEX(St_kx,Det+1)*C358+INDEX(St_ky,Det+1)*B358</f>
      </c>
      <c r="F358" s="20">
        <f>IF(E358&gt;0,IF(E358&lt;=eco,alpha*fck*(1-(1-E358/eco)^n),alpha*fck),0)</f>
      </c>
      <c r="G358" s="19">
        <f>F358*D358</f>
      </c>
      <c r="H358" s="19">
        <f>G358*C358</f>
      </c>
      <c r="I358" s="19">
        <f>G358*B358</f>
      </c>
      <c r="K358" s="37">
        <f>Eq_e0+Eq_kx*$C358+Eq_ky*$B358</f>
      </c>
      <c r="L358" s="20">
        <f>IF(K358&gt;0,IF(K358&lt;=eco,alpha*fck*(1-(1-K358/eco)^n),alpha*fck),0)</f>
      </c>
    </row>
    <row r="359" spans="1:12" x14ac:dyDescent="0.25">
      <c r="A359">
        <f>Mesh!A356</f>
      </c>
      <c r="B359" s="20">
        <f>Mesh!B356</f>
      </c>
      <c r="C359" s="20">
        <f>Mesh!C356</f>
      </c>
      <c r="D359" s="20">
        <f>Mesh!D356</f>
      </c>
      <c r="E359" s="37">
        <f>INDEX(St_e0,Det+1)+INDEX(St_kx,Det+1)*C359+INDEX(St_ky,Det+1)*B359</f>
      </c>
      <c r="F359" s="20">
        <f>IF(E359&gt;0,IF(E359&lt;=eco,alpha*fck*(1-(1-E359/eco)^n),alpha*fck),0)</f>
      </c>
      <c r="G359" s="19">
        <f>F359*D359</f>
      </c>
      <c r="H359" s="19">
        <f>G359*C359</f>
      </c>
      <c r="I359" s="19">
        <f>G359*B359</f>
      </c>
      <c r="K359" s="37">
        <f>Eq_e0+Eq_kx*$C359+Eq_ky*$B359</f>
      </c>
      <c r="L359" s="20">
        <f>IF(K359&gt;0,IF(K359&lt;=eco,alpha*fck*(1-(1-K359/eco)^n),alpha*fck),0)</f>
      </c>
    </row>
    <row r="360" spans="1:12" x14ac:dyDescent="0.25">
      <c r="A360">
        <f>Mesh!A357</f>
      </c>
      <c r="B360" s="20">
        <f>Mesh!B357</f>
      </c>
      <c r="C360" s="20">
        <f>Mesh!C357</f>
      </c>
      <c r="D360" s="20">
        <f>Mesh!D357</f>
      </c>
      <c r="E360" s="37">
        <f>INDEX(St_e0,Det+1)+INDEX(St_kx,Det+1)*C360+INDEX(St_ky,Det+1)*B360</f>
      </c>
      <c r="F360" s="20">
        <f>IF(E360&gt;0,IF(E360&lt;=eco,alpha*fck*(1-(1-E360/eco)^n),alpha*fck),0)</f>
      </c>
      <c r="G360" s="19">
        <f>F360*D360</f>
      </c>
      <c r="H360" s="19">
        <f>G360*C360</f>
      </c>
      <c r="I360" s="19">
        <f>G360*B360</f>
      </c>
      <c r="K360" s="37">
        <f>Eq_e0+Eq_kx*$C360+Eq_ky*$B360</f>
      </c>
      <c r="L360" s="20">
        <f>IF(K360&gt;0,IF(K360&lt;=eco,alpha*fck*(1-(1-K360/eco)^n),alpha*fck),0)</f>
      </c>
    </row>
    <row r="361" spans="1:12" x14ac:dyDescent="0.25">
      <c r="A361">
        <f>Mesh!A358</f>
      </c>
      <c r="B361" s="20">
        <f>Mesh!B358</f>
      </c>
      <c r="C361" s="20">
        <f>Mesh!C358</f>
      </c>
      <c r="D361" s="20">
        <f>Mesh!D358</f>
      </c>
      <c r="E361" s="37">
        <f>INDEX(St_e0,Det+1)+INDEX(St_kx,Det+1)*C361+INDEX(St_ky,Det+1)*B361</f>
      </c>
      <c r="F361" s="20">
        <f>IF(E361&gt;0,IF(E361&lt;=eco,alpha*fck*(1-(1-E361/eco)^n),alpha*fck),0)</f>
      </c>
      <c r="G361" s="19">
        <f>F361*D361</f>
      </c>
      <c r="H361" s="19">
        <f>G361*C361</f>
      </c>
      <c r="I361" s="19">
        <f>G361*B361</f>
      </c>
      <c r="K361" s="37">
        <f>Eq_e0+Eq_kx*$C361+Eq_ky*$B361</f>
      </c>
      <c r="L361" s="20">
        <f>IF(K361&gt;0,IF(K361&lt;=eco,alpha*fck*(1-(1-K361/eco)^n),alpha*fck),0)</f>
      </c>
    </row>
    <row r="362" spans="1:12" x14ac:dyDescent="0.25">
      <c r="A362">
        <f>Mesh!A359</f>
      </c>
      <c r="B362" s="20">
        <f>Mesh!B359</f>
      </c>
      <c r="C362" s="20">
        <f>Mesh!C359</f>
      </c>
      <c r="D362" s="20">
        <f>Mesh!D359</f>
      </c>
      <c r="E362" s="37">
        <f>INDEX(St_e0,Det+1)+INDEX(St_kx,Det+1)*C362+INDEX(St_ky,Det+1)*B362</f>
      </c>
      <c r="F362" s="20">
        <f>IF(E362&gt;0,IF(E362&lt;=eco,alpha*fck*(1-(1-E362/eco)^n),alpha*fck),0)</f>
      </c>
      <c r="G362" s="19">
        <f>F362*D362</f>
      </c>
      <c r="H362" s="19">
        <f>G362*C362</f>
      </c>
      <c r="I362" s="19">
        <f>G362*B362</f>
      </c>
      <c r="K362" s="37">
        <f>Eq_e0+Eq_kx*$C362+Eq_ky*$B362</f>
      </c>
      <c r="L362" s="20">
        <f>IF(K362&gt;0,IF(K362&lt;=eco,alpha*fck*(1-(1-K362/eco)^n),alpha*fck),0)</f>
      </c>
    </row>
    <row r="363" spans="1:12" x14ac:dyDescent="0.25">
      <c r="A363">
        <f>Mesh!A360</f>
      </c>
      <c r="B363" s="20">
        <f>Mesh!B360</f>
      </c>
      <c r="C363" s="20">
        <f>Mesh!C360</f>
      </c>
      <c r="D363" s="20">
        <f>Mesh!D360</f>
      </c>
      <c r="E363" s="37">
        <f>INDEX(St_e0,Det+1)+INDEX(St_kx,Det+1)*C363+INDEX(St_ky,Det+1)*B363</f>
      </c>
      <c r="F363" s="20">
        <f>IF(E363&gt;0,IF(E363&lt;=eco,alpha*fck*(1-(1-E363/eco)^n),alpha*fck),0)</f>
      </c>
      <c r="G363" s="19">
        <f>F363*D363</f>
      </c>
      <c r="H363" s="19">
        <f>G363*C363</f>
      </c>
      <c r="I363" s="19">
        <f>G363*B363</f>
      </c>
      <c r="K363" s="37">
        <f>Eq_e0+Eq_kx*$C363+Eq_ky*$B363</f>
      </c>
      <c r="L363" s="20">
        <f>IF(K363&gt;0,IF(K363&lt;=eco,alpha*fck*(1-(1-K363/eco)^n),alpha*fck),0)</f>
      </c>
    </row>
    <row r="364" spans="1:12" x14ac:dyDescent="0.25">
      <c r="A364">
        <f>Mesh!A361</f>
      </c>
      <c r="B364" s="20">
        <f>Mesh!B361</f>
      </c>
      <c r="C364" s="20">
        <f>Mesh!C361</f>
      </c>
      <c r="D364" s="20">
        <f>Mesh!D361</f>
      </c>
      <c r="E364" s="37">
        <f>INDEX(St_e0,Det+1)+INDEX(St_kx,Det+1)*C364+INDEX(St_ky,Det+1)*B364</f>
      </c>
      <c r="F364" s="20">
        <f>IF(E364&gt;0,IF(E364&lt;=eco,alpha*fck*(1-(1-E364/eco)^n),alpha*fck),0)</f>
      </c>
      <c r="G364" s="19">
        <f>F364*D364</f>
      </c>
      <c r="H364" s="19">
        <f>G364*C364</f>
      </c>
      <c r="I364" s="19">
        <f>G364*B364</f>
      </c>
      <c r="K364" s="37">
        <f>Eq_e0+Eq_kx*$C364+Eq_ky*$B364</f>
      </c>
      <c r="L364" s="20">
        <f>IF(K364&gt;0,IF(K364&lt;=eco,alpha*fck*(1-(1-K364/eco)^n),alpha*fck),0)</f>
      </c>
    </row>
    <row r="365" spans="1:12" x14ac:dyDescent="0.25">
      <c r="A365">
        <f>Mesh!A362</f>
      </c>
      <c r="B365" s="20">
        <f>Mesh!B362</f>
      </c>
      <c r="C365" s="20">
        <f>Mesh!C362</f>
      </c>
      <c r="D365" s="20">
        <f>Mesh!D362</f>
      </c>
      <c r="E365" s="37">
        <f>INDEX(St_e0,Det+1)+INDEX(St_kx,Det+1)*C365+INDEX(St_ky,Det+1)*B365</f>
      </c>
      <c r="F365" s="20">
        <f>IF(E365&gt;0,IF(E365&lt;=eco,alpha*fck*(1-(1-E365/eco)^n),alpha*fck),0)</f>
      </c>
      <c r="G365" s="19">
        <f>F365*D365</f>
      </c>
      <c r="H365" s="19">
        <f>G365*C365</f>
      </c>
      <c r="I365" s="19">
        <f>G365*B365</f>
      </c>
      <c r="K365" s="37">
        <f>Eq_e0+Eq_kx*$C365+Eq_ky*$B365</f>
      </c>
      <c r="L365" s="20">
        <f>IF(K365&gt;0,IF(K365&lt;=eco,alpha*fck*(1-(1-K365/eco)^n),alpha*fck),0)</f>
      </c>
    </row>
    <row r="366" spans="1:12" x14ac:dyDescent="0.25">
      <c r="A366">
        <f>Mesh!A363</f>
      </c>
      <c r="B366" s="20">
        <f>Mesh!B363</f>
      </c>
      <c r="C366" s="20">
        <f>Mesh!C363</f>
      </c>
      <c r="D366" s="20">
        <f>Mesh!D363</f>
      </c>
      <c r="E366" s="37">
        <f>INDEX(St_e0,Det+1)+INDEX(St_kx,Det+1)*C366+INDEX(St_ky,Det+1)*B366</f>
      </c>
      <c r="F366" s="20">
        <f>IF(E366&gt;0,IF(E366&lt;=eco,alpha*fck*(1-(1-E366/eco)^n),alpha*fck),0)</f>
      </c>
      <c r="G366" s="19">
        <f>F366*D366</f>
      </c>
      <c r="H366" s="19">
        <f>G366*C366</f>
      </c>
      <c r="I366" s="19">
        <f>G366*B366</f>
      </c>
      <c r="K366" s="37">
        <f>Eq_e0+Eq_kx*$C366+Eq_ky*$B366</f>
      </c>
      <c r="L366" s="20">
        <f>IF(K366&gt;0,IF(K366&lt;=eco,alpha*fck*(1-(1-K366/eco)^n),alpha*fck),0)</f>
      </c>
    </row>
    <row r="367" spans="1:12" x14ac:dyDescent="0.25">
      <c r="A367">
        <f>Mesh!A364</f>
      </c>
      <c r="B367" s="20">
        <f>Mesh!B364</f>
      </c>
      <c r="C367" s="20">
        <f>Mesh!C364</f>
      </c>
      <c r="D367" s="20">
        <f>Mesh!D364</f>
      </c>
      <c r="E367" s="37">
        <f>INDEX(St_e0,Det+1)+INDEX(St_kx,Det+1)*C367+INDEX(St_ky,Det+1)*B367</f>
      </c>
      <c r="F367" s="20">
        <f>IF(E367&gt;0,IF(E367&lt;=eco,alpha*fck*(1-(1-E367/eco)^n),alpha*fck),0)</f>
      </c>
      <c r="G367" s="19">
        <f>F367*D367</f>
      </c>
      <c r="H367" s="19">
        <f>G367*C367</f>
      </c>
      <c r="I367" s="19">
        <f>G367*B367</f>
      </c>
      <c r="K367" s="37">
        <f>Eq_e0+Eq_kx*$C367+Eq_ky*$B367</f>
      </c>
      <c r="L367" s="20">
        <f>IF(K367&gt;0,IF(K367&lt;=eco,alpha*fck*(1-(1-K367/eco)^n),alpha*fck),0)</f>
      </c>
    </row>
    <row r="368" spans="1:12" x14ac:dyDescent="0.25">
      <c r="A368">
        <f>Mesh!A365</f>
      </c>
      <c r="B368" s="20">
        <f>Mesh!B365</f>
      </c>
      <c r="C368" s="20">
        <f>Mesh!C365</f>
      </c>
      <c r="D368" s="20">
        <f>Mesh!D365</f>
      </c>
      <c r="E368" s="37">
        <f>INDEX(St_e0,Det+1)+INDEX(St_kx,Det+1)*C368+INDEX(St_ky,Det+1)*B368</f>
      </c>
      <c r="F368" s="20">
        <f>IF(E368&gt;0,IF(E368&lt;=eco,alpha*fck*(1-(1-E368/eco)^n),alpha*fck),0)</f>
      </c>
      <c r="G368" s="19">
        <f>F368*D368</f>
      </c>
      <c r="H368" s="19">
        <f>G368*C368</f>
      </c>
      <c r="I368" s="19">
        <f>G368*B368</f>
      </c>
      <c r="K368" s="37">
        <f>Eq_e0+Eq_kx*$C368+Eq_ky*$B368</f>
      </c>
      <c r="L368" s="20">
        <f>IF(K368&gt;0,IF(K368&lt;=eco,alpha*fck*(1-(1-K368/eco)^n),alpha*fck),0)</f>
      </c>
    </row>
    <row r="369" spans="1:12" x14ac:dyDescent="0.25">
      <c r="A369">
        <f>Mesh!A366</f>
      </c>
      <c r="B369" s="20">
        <f>Mesh!B366</f>
      </c>
      <c r="C369" s="20">
        <f>Mesh!C366</f>
      </c>
      <c r="D369" s="20">
        <f>Mesh!D366</f>
      </c>
      <c r="E369" s="37">
        <f>INDEX(St_e0,Det+1)+INDEX(St_kx,Det+1)*C369+INDEX(St_ky,Det+1)*B369</f>
      </c>
      <c r="F369" s="20">
        <f>IF(E369&gt;0,IF(E369&lt;=eco,alpha*fck*(1-(1-E369/eco)^n),alpha*fck),0)</f>
      </c>
      <c r="G369" s="19">
        <f>F369*D369</f>
      </c>
      <c r="H369" s="19">
        <f>G369*C369</f>
      </c>
      <c r="I369" s="19">
        <f>G369*B369</f>
      </c>
      <c r="K369" s="37">
        <f>Eq_e0+Eq_kx*$C369+Eq_ky*$B369</f>
      </c>
      <c r="L369" s="20">
        <f>IF(K369&gt;0,IF(K369&lt;=eco,alpha*fck*(1-(1-K369/eco)^n),alpha*fck),0)</f>
      </c>
    </row>
    <row r="370" spans="1:12" x14ac:dyDescent="0.25">
      <c r="A370">
        <f>Mesh!A367</f>
      </c>
      <c r="B370" s="20">
        <f>Mesh!B367</f>
      </c>
      <c r="C370" s="20">
        <f>Mesh!C367</f>
      </c>
      <c r="D370" s="20">
        <f>Mesh!D367</f>
      </c>
      <c r="E370" s="37">
        <f>INDEX(St_e0,Det+1)+INDEX(St_kx,Det+1)*C370+INDEX(St_ky,Det+1)*B370</f>
      </c>
      <c r="F370" s="20">
        <f>IF(E370&gt;0,IF(E370&lt;=eco,alpha*fck*(1-(1-E370/eco)^n),alpha*fck),0)</f>
      </c>
      <c r="G370" s="19">
        <f>F370*D370</f>
      </c>
      <c r="H370" s="19">
        <f>G370*C370</f>
      </c>
      <c r="I370" s="19">
        <f>G370*B370</f>
      </c>
      <c r="K370" s="37">
        <f>Eq_e0+Eq_kx*$C370+Eq_ky*$B370</f>
      </c>
      <c r="L370" s="20">
        <f>IF(K370&gt;0,IF(K370&lt;=eco,alpha*fck*(1-(1-K370/eco)^n),alpha*fck),0)</f>
      </c>
    </row>
    <row r="371" spans="1:12" x14ac:dyDescent="0.25">
      <c r="A371">
        <f>Mesh!A368</f>
      </c>
      <c r="B371" s="20">
        <f>Mesh!B368</f>
      </c>
      <c r="C371" s="20">
        <f>Mesh!C368</f>
      </c>
      <c r="D371" s="20">
        <f>Mesh!D368</f>
      </c>
      <c r="E371" s="37">
        <f>INDEX(St_e0,Det+1)+INDEX(St_kx,Det+1)*C371+INDEX(St_ky,Det+1)*B371</f>
      </c>
      <c r="F371" s="20">
        <f>IF(E371&gt;0,IF(E371&lt;=eco,alpha*fck*(1-(1-E371/eco)^n),alpha*fck),0)</f>
      </c>
      <c r="G371" s="19">
        <f>F371*D371</f>
      </c>
      <c r="H371" s="19">
        <f>G371*C371</f>
      </c>
      <c r="I371" s="19">
        <f>G371*B371</f>
      </c>
      <c r="K371" s="37">
        <f>Eq_e0+Eq_kx*$C371+Eq_ky*$B371</f>
      </c>
      <c r="L371" s="20">
        <f>IF(K371&gt;0,IF(K371&lt;=eco,alpha*fck*(1-(1-K371/eco)^n),alpha*fck),0)</f>
      </c>
    </row>
    <row r="372" spans="1:12" x14ac:dyDescent="0.25">
      <c r="A372">
        <f>Mesh!A369</f>
      </c>
      <c r="B372" s="20">
        <f>Mesh!B369</f>
      </c>
      <c r="C372" s="20">
        <f>Mesh!C369</f>
      </c>
      <c r="D372" s="20">
        <f>Mesh!D369</f>
      </c>
      <c r="E372" s="37">
        <f>INDEX(St_e0,Det+1)+INDEX(St_kx,Det+1)*C372+INDEX(St_ky,Det+1)*B372</f>
      </c>
      <c r="F372" s="20">
        <f>IF(E372&gt;0,IF(E372&lt;=eco,alpha*fck*(1-(1-E372/eco)^n),alpha*fck),0)</f>
      </c>
      <c r="G372" s="19">
        <f>F372*D372</f>
      </c>
      <c r="H372" s="19">
        <f>G372*C372</f>
      </c>
      <c r="I372" s="19">
        <f>G372*B372</f>
      </c>
      <c r="K372" s="37">
        <f>Eq_e0+Eq_kx*$C372+Eq_ky*$B372</f>
      </c>
      <c r="L372" s="20">
        <f>IF(K372&gt;0,IF(K372&lt;=eco,alpha*fck*(1-(1-K372/eco)^n),alpha*fck),0)</f>
      </c>
    </row>
    <row r="373" spans="1:12" x14ac:dyDescent="0.25">
      <c r="A373">
        <f>Mesh!A370</f>
      </c>
      <c r="B373" s="20">
        <f>Mesh!B370</f>
      </c>
      <c r="C373" s="20">
        <f>Mesh!C370</f>
      </c>
      <c r="D373" s="20">
        <f>Mesh!D370</f>
      </c>
      <c r="E373" s="37">
        <f>INDEX(St_e0,Det+1)+INDEX(St_kx,Det+1)*C373+INDEX(St_ky,Det+1)*B373</f>
      </c>
      <c r="F373" s="20">
        <f>IF(E373&gt;0,IF(E373&lt;=eco,alpha*fck*(1-(1-E373/eco)^n),alpha*fck),0)</f>
      </c>
      <c r="G373" s="19">
        <f>F373*D373</f>
      </c>
      <c r="H373" s="19">
        <f>G373*C373</f>
      </c>
      <c r="I373" s="19">
        <f>G373*B373</f>
      </c>
      <c r="K373" s="37">
        <f>Eq_e0+Eq_kx*$C373+Eq_ky*$B373</f>
      </c>
      <c r="L373" s="20">
        <f>IF(K373&gt;0,IF(K373&lt;=eco,alpha*fck*(1-(1-K373/eco)^n),alpha*fck),0)</f>
      </c>
    </row>
    <row r="374" spans="1:12" x14ac:dyDescent="0.25">
      <c r="A374">
        <f>Mesh!A371</f>
      </c>
      <c r="B374" s="20">
        <f>Mesh!B371</f>
      </c>
      <c r="C374" s="20">
        <f>Mesh!C371</f>
      </c>
      <c r="D374" s="20">
        <f>Mesh!D371</f>
      </c>
      <c r="E374" s="37">
        <f>INDEX(St_e0,Det+1)+INDEX(St_kx,Det+1)*C374+INDEX(St_ky,Det+1)*B374</f>
      </c>
      <c r="F374" s="20">
        <f>IF(E374&gt;0,IF(E374&lt;=eco,alpha*fck*(1-(1-E374/eco)^n),alpha*fck),0)</f>
      </c>
      <c r="G374" s="19">
        <f>F374*D374</f>
      </c>
      <c r="H374" s="19">
        <f>G374*C374</f>
      </c>
      <c r="I374" s="19">
        <f>G374*B374</f>
      </c>
      <c r="K374" s="37">
        <f>Eq_e0+Eq_kx*$C374+Eq_ky*$B374</f>
      </c>
      <c r="L374" s="20">
        <f>IF(K374&gt;0,IF(K374&lt;=eco,alpha*fck*(1-(1-K374/eco)^n),alpha*fck),0)</f>
      </c>
    </row>
    <row r="375" spans="1:12" x14ac:dyDescent="0.25">
      <c r="A375">
        <f>Mesh!A372</f>
      </c>
      <c r="B375" s="20">
        <f>Mesh!B372</f>
      </c>
      <c r="C375" s="20">
        <f>Mesh!C372</f>
      </c>
      <c r="D375" s="20">
        <f>Mesh!D372</f>
      </c>
      <c r="E375" s="37">
        <f>INDEX(St_e0,Det+1)+INDEX(St_kx,Det+1)*C375+INDEX(St_ky,Det+1)*B375</f>
      </c>
      <c r="F375" s="20">
        <f>IF(E375&gt;0,IF(E375&lt;=eco,alpha*fck*(1-(1-E375/eco)^n),alpha*fck),0)</f>
      </c>
      <c r="G375" s="19">
        <f>F375*D375</f>
      </c>
      <c r="H375" s="19">
        <f>G375*C375</f>
      </c>
      <c r="I375" s="19">
        <f>G375*B375</f>
      </c>
      <c r="K375" s="37">
        <f>Eq_e0+Eq_kx*$C375+Eq_ky*$B375</f>
      </c>
      <c r="L375" s="20">
        <f>IF(K375&gt;0,IF(K375&lt;=eco,alpha*fck*(1-(1-K375/eco)^n),alpha*fck),0)</f>
      </c>
    </row>
    <row r="376" spans="1:12" x14ac:dyDescent="0.25">
      <c r="A376">
        <f>Mesh!A373</f>
      </c>
      <c r="B376" s="20">
        <f>Mesh!B373</f>
      </c>
      <c r="C376" s="20">
        <f>Mesh!C373</f>
      </c>
      <c r="D376" s="20">
        <f>Mesh!D373</f>
      </c>
      <c r="E376" s="37">
        <f>INDEX(St_e0,Det+1)+INDEX(St_kx,Det+1)*C376+INDEX(St_ky,Det+1)*B376</f>
      </c>
      <c r="F376" s="20">
        <f>IF(E376&gt;0,IF(E376&lt;=eco,alpha*fck*(1-(1-E376/eco)^n),alpha*fck),0)</f>
      </c>
      <c r="G376" s="19">
        <f>F376*D376</f>
      </c>
      <c r="H376" s="19">
        <f>G376*C376</f>
      </c>
      <c r="I376" s="19">
        <f>G376*B376</f>
      </c>
      <c r="K376" s="37">
        <f>Eq_e0+Eq_kx*$C376+Eq_ky*$B376</f>
      </c>
      <c r="L376" s="20">
        <f>IF(K376&gt;0,IF(K376&lt;=eco,alpha*fck*(1-(1-K376/eco)^n),alpha*fck),0)</f>
      </c>
    </row>
    <row r="377" spans="1:12" x14ac:dyDescent="0.25">
      <c r="A377">
        <f>Mesh!A374</f>
      </c>
      <c r="B377" s="20">
        <f>Mesh!B374</f>
      </c>
      <c r="C377" s="20">
        <f>Mesh!C374</f>
      </c>
      <c r="D377" s="20">
        <f>Mesh!D374</f>
      </c>
      <c r="E377" s="37">
        <f>INDEX(St_e0,Det+1)+INDEX(St_kx,Det+1)*C377+INDEX(St_ky,Det+1)*B377</f>
      </c>
      <c r="F377" s="20">
        <f>IF(E377&gt;0,IF(E377&lt;=eco,alpha*fck*(1-(1-E377/eco)^n),alpha*fck),0)</f>
      </c>
      <c r="G377" s="19">
        <f>F377*D377</f>
      </c>
      <c r="H377" s="19">
        <f>G377*C377</f>
      </c>
      <c r="I377" s="19">
        <f>G377*B377</f>
      </c>
      <c r="K377" s="37">
        <f>Eq_e0+Eq_kx*$C377+Eq_ky*$B377</f>
      </c>
      <c r="L377" s="20">
        <f>IF(K377&gt;0,IF(K377&lt;=eco,alpha*fck*(1-(1-K377/eco)^n),alpha*fck),0)</f>
      </c>
    </row>
    <row r="378" spans="1:12" x14ac:dyDescent="0.25">
      <c r="A378">
        <f>Mesh!A375</f>
      </c>
      <c r="B378" s="20">
        <f>Mesh!B375</f>
      </c>
      <c r="C378" s="20">
        <f>Mesh!C375</f>
      </c>
      <c r="D378" s="20">
        <f>Mesh!D375</f>
      </c>
      <c r="E378" s="37">
        <f>INDEX(St_e0,Det+1)+INDEX(St_kx,Det+1)*C378+INDEX(St_ky,Det+1)*B378</f>
      </c>
      <c r="F378" s="20">
        <f>IF(E378&gt;0,IF(E378&lt;=eco,alpha*fck*(1-(1-E378/eco)^n),alpha*fck),0)</f>
      </c>
      <c r="G378" s="19">
        <f>F378*D378</f>
      </c>
      <c r="H378" s="19">
        <f>G378*C378</f>
      </c>
      <c r="I378" s="19">
        <f>G378*B378</f>
      </c>
      <c r="K378" s="37">
        <f>Eq_e0+Eq_kx*$C378+Eq_ky*$B378</f>
      </c>
      <c r="L378" s="20">
        <f>IF(K378&gt;0,IF(K378&lt;=eco,alpha*fck*(1-(1-K378/eco)^n),alpha*fck),0)</f>
      </c>
    </row>
    <row r="379" spans="1:12" x14ac:dyDescent="0.25">
      <c r="A379">
        <f>Mesh!A376</f>
      </c>
      <c r="B379" s="20">
        <f>Mesh!B376</f>
      </c>
      <c r="C379" s="20">
        <f>Mesh!C376</f>
      </c>
      <c r="D379" s="20">
        <f>Mesh!D376</f>
      </c>
      <c r="E379" s="37">
        <f>INDEX(St_e0,Det+1)+INDEX(St_kx,Det+1)*C379+INDEX(St_ky,Det+1)*B379</f>
      </c>
      <c r="F379" s="20">
        <f>IF(E379&gt;0,IF(E379&lt;=eco,alpha*fck*(1-(1-E379/eco)^n),alpha*fck),0)</f>
      </c>
      <c r="G379" s="19">
        <f>F379*D379</f>
      </c>
      <c r="H379" s="19">
        <f>G379*C379</f>
      </c>
      <c r="I379" s="19">
        <f>G379*B379</f>
      </c>
      <c r="K379" s="37">
        <f>Eq_e0+Eq_kx*$C379+Eq_ky*$B379</f>
      </c>
      <c r="L379" s="20">
        <f>IF(K379&gt;0,IF(K379&lt;=eco,alpha*fck*(1-(1-K379/eco)^n),alpha*fck),0)</f>
      </c>
    </row>
    <row r="380" spans="1:12" x14ac:dyDescent="0.25">
      <c r="A380">
        <f>Mesh!A377</f>
      </c>
      <c r="B380" s="20">
        <f>Mesh!B377</f>
      </c>
      <c r="C380" s="20">
        <f>Mesh!C377</f>
      </c>
      <c r="D380" s="20">
        <f>Mesh!D377</f>
      </c>
      <c r="E380" s="37">
        <f>INDEX(St_e0,Det+1)+INDEX(St_kx,Det+1)*C380+INDEX(St_ky,Det+1)*B380</f>
      </c>
      <c r="F380" s="20">
        <f>IF(E380&gt;0,IF(E380&lt;=eco,alpha*fck*(1-(1-E380/eco)^n),alpha*fck),0)</f>
      </c>
      <c r="G380" s="19">
        <f>F380*D380</f>
      </c>
      <c r="H380" s="19">
        <f>G380*C380</f>
      </c>
      <c r="I380" s="19">
        <f>G380*B380</f>
      </c>
      <c r="K380" s="37">
        <f>Eq_e0+Eq_kx*$C380+Eq_ky*$B380</f>
      </c>
      <c r="L380" s="20">
        <f>IF(K380&gt;0,IF(K380&lt;=eco,alpha*fck*(1-(1-K380/eco)^n),alpha*fck),0)</f>
      </c>
    </row>
    <row r="381" spans="1:12" x14ac:dyDescent="0.25">
      <c r="A381">
        <f>Mesh!A378</f>
      </c>
      <c r="B381" s="20">
        <f>Mesh!B378</f>
      </c>
      <c r="C381" s="20">
        <f>Mesh!C378</f>
      </c>
      <c r="D381" s="20">
        <f>Mesh!D378</f>
      </c>
      <c r="E381" s="37">
        <f>INDEX(St_e0,Det+1)+INDEX(St_kx,Det+1)*C381+INDEX(St_ky,Det+1)*B381</f>
      </c>
      <c r="F381" s="20">
        <f>IF(E381&gt;0,IF(E381&lt;=eco,alpha*fck*(1-(1-E381/eco)^n),alpha*fck),0)</f>
      </c>
      <c r="G381" s="19">
        <f>F381*D381</f>
      </c>
      <c r="H381" s="19">
        <f>G381*C381</f>
      </c>
      <c r="I381" s="19">
        <f>G381*B381</f>
      </c>
      <c r="K381" s="37">
        <f>Eq_e0+Eq_kx*$C381+Eq_ky*$B381</f>
      </c>
      <c r="L381" s="20">
        <f>IF(K381&gt;0,IF(K381&lt;=eco,alpha*fck*(1-(1-K381/eco)^n),alpha*fck),0)</f>
      </c>
    </row>
    <row r="382" spans="1:12" x14ac:dyDescent="0.25">
      <c r="A382">
        <f>Mesh!A379</f>
      </c>
      <c r="B382" s="20">
        <f>Mesh!B379</f>
      </c>
      <c r="C382" s="20">
        <f>Mesh!C379</f>
      </c>
      <c r="D382" s="20">
        <f>Mesh!D379</f>
      </c>
      <c r="E382" s="37">
        <f>INDEX(St_e0,Det+1)+INDEX(St_kx,Det+1)*C382+INDEX(St_ky,Det+1)*B382</f>
      </c>
      <c r="F382" s="20">
        <f>IF(E382&gt;0,IF(E382&lt;=eco,alpha*fck*(1-(1-E382/eco)^n),alpha*fck),0)</f>
      </c>
      <c r="G382" s="19">
        <f>F382*D382</f>
      </c>
      <c r="H382" s="19">
        <f>G382*C382</f>
      </c>
      <c r="I382" s="19">
        <f>G382*B382</f>
      </c>
      <c r="K382" s="37">
        <f>Eq_e0+Eq_kx*$C382+Eq_ky*$B382</f>
      </c>
      <c r="L382" s="20">
        <f>IF(K382&gt;0,IF(K382&lt;=eco,alpha*fck*(1-(1-K382/eco)^n),alpha*fck),0)</f>
      </c>
    </row>
    <row r="383" spans="1:12" x14ac:dyDescent="0.25">
      <c r="A383">
        <f>Mesh!A380</f>
      </c>
      <c r="B383" s="20">
        <f>Mesh!B380</f>
      </c>
      <c r="C383" s="20">
        <f>Mesh!C380</f>
      </c>
      <c r="D383" s="20">
        <f>Mesh!D380</f>
      </c>
      <c r="E383" s="37">
        <f>INDEX(St_e0,Det+1)+INDEX(St_kx,Det+1)*C383+INDEX(St_ky,Det+1)*B383</f>
      </c>
      <c r="F383" s="20">
        <f>IF(E383&gt;0,IF(E383&lt;=eco,alpha*fck*(1-(1-E383/eco)^n),alpha*fck),0)</f>
      </c>
      <c r="G383" s="19">
        <f>F383*D383</f>
      </c>
      <c r="H383" s="19">
        <f>G383*C383</f>
      </c>
      <c r="I383" s="19">
        <f>G383*B383</f>
      </c>
      <c r="K383" s="37">
        <f>Eq_e0+Eq_kx*$C383+Eq_ky*$B383</f>
      </c>
      <c r="L383" s="20">
        <f>IF(K383&gt;0,IF(K383&lt;=eco,alpha*fck*(1-(1-K383/eco)^n),alpha*fck),0)</f>
      </c>
    </row>
    <row r="384" spans="1:12" x14ac:dyDescent="0.25">
      <c r="A384">
        <f>Mesh!A381</f>
      </c>
      <c r="B384" s="20">
        <f>Mesh!B381</f>
      </c>
      <c r="C384" s="20">
        <f>Mesh!C381</f>
      </c>
      <c r="D384" s="20">
        <f>Mesh!D381</f>
      </c>
      <c r="E384" s="37">
        <f>INDEX(St_e0,Det+1)+INDEX(St_kx,Det+1)*C384+INDEX(St_ky,Det+1)*B384</f>
      </c>
      <c r="F384" s="20">
        <f>IF(E384&gt;0,IF(E384&lt;=eco,alpha*fck*(1-(1-E384/eco)^n),alpha*fck),0)</f>
      </c>
      <c r="G384" s="19">
        <f>F384*D384</f>
      </c>
      <c r="H384" s="19">
        <f>G384*C384</f>
      </c>
      <c r="I384" s="19">
        <f>G384*B384</f>
      </c>
      <c r="K384" s="37">
        <f>Eq_e0+Eq_kx*$C384+Eq_ky*$B384</f>
      </c>
      <c r="L384" s="20">
        <f>IF(K384&gt;0,IF(K384&lt;=eco,alpha*fck*(1-(1-K384/eco)^n),alpha*fck),0)</f>
      </c>
    </row>
    <row r="385" spans="1:12" x14ac:dyDescent="0.25">
      <c r="A385">
        <f>Mesh!A382</f>
      </c>
      <c r="B385" s="20">
        <f>Mesh!B382</f>
      </c>
      <c r="C385" s="20">
        <f>Mesh!C382</f>
      </c>
      <c r="D385" s="20">
        <f>Mesh!D382</f>
      </c>
      <c r="E385" s="37">
        <f>INDEX(St_e0,Det+1)+INDEX(St_kx,Det+1)*C385+INDEX(St_ky,Det+1)*B385</f>
      </c>
      <c r="F385" s="20">
        <f>IF(E385&gt;0,IF(E385&lt;=eco,alpha*fck*(1-(1-E385/eco)^n),alpha*fck),0)</f>
      </c>
      <c r="G385" s="19">
        <f>F385*D385</f>
      </c>
      <c r="H385" s="19">
        <f>G385*C385</f>
      </c>
      <c r="I385" s="19">
        <f>G385*B385</f>
      </c>
      <c r="K385" s="37">
        <f>Eq_e0+Eq_kx*$C385+Eq_ky*$B385</f>
      </c>
      <c r="L385" s="20">
        <f>IF(K385&gt;0,IF(K385&lt;=eco,alpha*fck*(1-(1-K385/eco)^n),alpha*fck),0)</f>
      </c>
    </row>
    <row r="386" spans="1:12" x14ac:dyDescent="0.25">
      <c r="A386">
        <f>Mesh!A383</f>
      </c>
      <c r="B386" s="20">
        <f>Mesh!B383</f>
      </c>
      <c r="C386" s="20">
        <f>Mesh!C383</f>
      </c>
      <c r="D386" s="20">
        <f>Mesh!D383</f>
      </c>
      <c r="E386" s="37">
        <f>INDEX(St_e0,Det+1)+INDEX(St_kx,Det+1)*C386+INDEX(St_ky,Det+1)*B386</f>
      </c>
      <c r="F386" s="20">
        <f>IF(E386&gt;0,IF(E386&lt;=eco,alpha*fck*(1-(1-E386/eco)^n),alpha*fck),0)</f>
      </c>
      <c r="G386" s="19">
        <f>F386*D386</f>
      </c>
      <c r="H386" s="19">
        <f>G386*C386</f>
      </c>
      <c r="I386" s="19">
        <f>G386*B386</f>
      </c>
      <c r="K386" s="37">
        <f>Eq_e0+Eq_kx*$C386+Eq_ky*$B386</f>
      </c>
      <c r="L386" s="20">
        <f>IF(K386&gt;0,IF(K386&lt;=eco,alpha*fck*(1-(1-K386/eco)^n),alpha*fck),0)</f>
      </c>
    </row>
    <row r="387" spans="1:12" x14ac:dyDescent="0.25">
      <c r="A387">
        <f>Mesh!A384</f>
      </c>
      <c r="B387" s="20">
        <f>Mesh!B384</f>
      </c>
      <c r="C387" s="20">
        <f>Mesh!C384</f>
      </c>
      <c r="D387" s="20">
        <f>Mesh!D384</f>
      </c>
      <c r="E387" s="37">
        <f>INDEX(St_e0,Det+1)+INDEX(St_kx,Det+1)*C387+INDEX(St_ky,Det+1)*B387</f>
      </c>
      <c r="F387" s="20">
        <f>IF(E387&gt;0,IF(E387&lt;=eco,alpha*fck*(1-(1-E387/eco)^n),alpha*fck),0)</f>
      </c>
      <c r="G387" s="19">
        <f>F387*D387</f>
      </c>
      <c r="H387" s="19">
        <f>G387*C387</f>
      </c>
      <c r="I387" s="19">
        <f>G387*B387</f>
      </c>
      <c r="K387" s="37">
        <f>Eq_e0+Eq_kx*$C387+Eq_ky*$B387</f>
      </c>
      <c r="L387" s="20">
        <f>IF(K387&gt;0,IF(K387&lt;=eco,alpha*fck*(1-(1-K387/eco)^n),alpha*fck),0)</f>
      </c>
    </row>
    <row r="388" spans="1:12" x14ac:dyDescent="0.25">
      <c r="A388">
        <f>Mesh!A385</f>
      </c>
      <c r="B388" s="20">
        <f>Mesh!B385</f>
      </c>
      <c r="C388" s="20">
        <f>Mesh!C385</f>
      </c>
      <c r="D388" s="20">
        <f>Mesh!D385</f>
      </c>
      <c r="E388" s="37">
        <f>INDEX(St_e0,Det+1)+INDEX(St_kx,Det+1)*C388+INDEX(St_ky,Det+1)*B388</f>
      </c>
      <c r="F388" s="20">
        <f>IF(E388&gt;0,IF(E388&lt;=eco,alpha*fck*(1-(1-E388/eco)^n),alpha*fck),0)</f>
      </c>
      <c r="G388" s="19">
        <f>F388*D388</f>
      </c>
      <c r="H388" s="19">
        <f>G388*C388</f>
      </c>
      <c r="I388" s="19">
        <f>G388*B388</f>
      </c>
      <c r="K388" s="37">
        <f>Eq_e0+Eq_kx*$C388+Eq_ky*$B388</f>
      </c>
      <c r="L388" s="20">
        <f>IF(K388&gt;0,IF(K388&lt;=eco,alpha*fck*(1-(1-K388/eco)^n),alpha*fck),0)</f>
      </c>
    </row>
    <row r="389" spans="1:12" x14ac:dyDescent="0.25">
      <c r="A389">
        <f>Mesh!A386</f>
      </c>
      <c r="B389" s="20">
        <f>Mesh!B386</f>
      </c>
      <c r="C389" s="20">
        <f>Mesh!C386</f>
      </c>
      <c r="D389" s="20">
        <f>Mesh!D386</f>
      </c>
      <c r="E389" s="37">
        <f>INDEX(St_e0,Det+1)+INDEX(St_kx,Det+1)*C389+INDEX(St_ky,Det+1)*B389</f>
      </c>
      <c r="F389" s="20">
        <f>IF(E389&gt;0,IF(E389&lt;=eco,alpha*fck*(1-(1-E389/eco)^n),alpha*fck),0)</f>
      </c>
      <c r="G389" s="19">
        <f>F389*D389</f>
      </c>
      <c r="H389" s="19">
        <f>G389*C389</f>
      </c>
      <c r="I389" s="19">
        <f>G389*B389</f>
      </c>
      <c r="K389" s="37">
        <f>Eq_e0+Eq_kx*$C389+Eq_ky*$B389</f>
      </c>
      <c r="L389" s="20">
        <f>IF(K389&gt;0,IF(K389&lt;=eco,alpha*fck*(1-(1-K389/eco)^n),alpha*fck),0)</f>
      </c>
    </row>
    <row r="390" spans="1:12" x14ac:dyDescent="0.25">
      <c r="A390">
        <f>Mesh!A387</f>
      </c>
      <c r="B390" s="20">
        <f>Mesh!B387</f>
      </c>
      <c r="C390" s="20">
        <f>Mesh!C387</f>
      </c>
      <c r="D390" s="20">
        <f>Mesh!D387</f>
      </c>
      <c r="E390" s="37">
        <f>INDEX(St_e0,Det+1)+INDEX(St_kx,Det+1)*C390+INDEX(St_ky,Det+1)*B390</f>
      </c>
      <c r="F390" s="20">
        <f>IF(E390&gt;0,IF(E390&lt;=eco,alpha*fck*(1-(1-E390/eco)^n),alpha*fck),0)</f>
      </c>
      <c r="G390" s="19">
        <f>F390*D390</f>
      </c>
      <c r="H390" s="19">
        <f>G390*C390</f>
      </c>
      <c r="I390" s="19">
        <f>G390*B390</f>
      </c>
      <c r="K390" s="37">
        <f>Eq_e0+Eq_kx*$C390+Eq_ky*$B390</f>
      </c>
      <c r="L390" s="20">
        <f>IF(K390&gt;0,IF(K390&lt;=eco,alpha*fck*(1-(1-K390/eco)^n),alpha*fck),0)</f>
      </c>
    </row>
    <row r="391" spans="1:12" x14ac:dyDescent="0.25">
      <c r="A391">
        <f>Mesh!A388</f>
      </c>
      <c r="B391" s="20">
        <f>Mesh!B388</f>
      </c>
      <c r="C391" s="20">
        <f>Mesh!C388</f>
      </c>
      <c r="D391" s="20">
        <f>Mesh!D388</f>
      </c>
      <c r="E391" s="37">
        <f>INDEX(St_e0,Det+1)+INDEX(St_kx,Det+1)*C391+INDEX(St_ky,Det+1)*B391</f>
      </c>
      <c r="F391" s="20">
        <f>IF(E391&gt;0,IF(E391&lt;=eco,alpha*fck*(1-(1-E391/eco)^n),alpha*fck),0)</f>
      </c>
      <c r="G391" s="19">
        <f>F391*D391</f>
      </c>
      <c r="H391" s="19">
        <f>G391*C391</f>
      </c>
      <c r="I391" s="19">
        <f>G391*B391</f>
      </c>
      <c r="K391" s="37">
        <f>Eq_e0+Eq_kx*$C391+Eq_ky*$B391</f>
      </c>
      <c r="L391" s="20">
        <f>IF(K391&gt;0,IF(K391&lt;=eco,alpha*fck*(1-(1-K391/eco)^n),alpha*fck),0)</f>
      </c>
    </row>
    <row r="392" spans="1:12" x14ac:dyDescent="0.25">
      <c r="A392">
        <f>Mesh!A389</f>
      </c>
      <c r="B392" s="20">
        <f>Mesh!B389</f>
      </c>
      <c r="C392" s="20">
        <f>Mesh!C389</f>
      </c>
      <c r="D392" s="20">
        <f>Mesh!D389</f>
      </c>
      <c r="E392" s="37">
        <f>INDEX(St_e0,Det+1)+INDEX(St_kx,Det+1)*C392+INDEX(St_ky,Det+1)*B392</f>
      </c>
      <c r="F392" s="20">
        <f>IF(E392&gt;0,IF(E392&lt;=eco,alpha*fck*(1-(1-E392/eco)^n),alpha*fck),0)</f>
      </c>
      <c r="G392" s="19">
        <f>F392*D392</f>
      </c>
      <c r="H392" s="19">
        <f>G392*C392</f>
      </c>
      <c r="I392" s="19">
        <f>G392*B392</f>
      </c>
      <c r="K392" s="37">
        <f>Eq_e0+Eq_kx*$C392+Eq_ky*$B392</f>
      </c>
      <c r="L392" s="20">
        <f>IF(K392&gt;0,IF(K392&lt;=eco,alpha*fck*(1-(1-K392/eco)^n),alpha*fck),0)</f>
      </c>
    </row>
    <row r="393" spans="1:12" x14ac:dyDescent="0.25">
      <c r="A393">
        <f>Mesh!A390</f>
      </c>
      <c r="B393" s="20">
        <f>Mesh!B390</f>
      </c>
      <c r="C393" s="20">
        <f>Mesh!C390</f>
      </c>
      <c r="D393" s="20">
        <f>Mesh!D390</f>
      </c>
      <c r="E393" s="37">
        <f>INDEX(St_e0,Det+1)+INDEX(St_kx,Det+1)*C393+INDEX(St_ky,Det+1)*B393</f>
      </c>
      <c r="F393" s="20">
        <f>IF(E393&gt;0,IF(E393&lt;=eco,alpha*fck*(1-(1-E393/eco)^n),alpha*fck),0)</f>
      </c>
      <c r="G393" s="19">
        <f>F393*D393</f>
      </c>
      <c r="H393" s="19">
        <f>G393*C393</f>
      </c>
      <c r="I393" s="19">
        <f>G393*B393</f>
      </c>
      <c r="K393" s="37">
        <f>Eq_e0+Eq_kx*$C393+Eq_ky*$B393</f>
      </c>
      <c r="L393" s="20">
        <f>IF(K393&gt;0,IF(K393&lt;=eco,alpha*fck*(1-(1-K393/eco)^n),alpha*fck),0)</f>
      </c>
    </row>
    <row r="394" spans="1:12" x14ac:dyDescent="0.25">
      <c r="A394">
        <f>Mesh!A391</f>
      </c>
      <c r="B394" s="20">
        <f>Mesh!B391</f>
      </c>
      <c r="C394" s="20">
        <f>Mesh!C391</f>
      </c>
      <c r="D394" s="20">
        <f>Mesh!D391</f>
      </c>
      <c r="E394" s="37">
        <f>INDEX(St_e0,Det+1)+INDEX(St_kx,Det+1)*C394+INDEX(St_ky,Det+1)*B394</f>
      </c>
      <c r="F394" s="20">
        <f>IF(E394&gt;0,IF(E394&lt;=eco,alpha*fck*(1-(1-E394/eco)^n),alpha*fck),0)</f>
      </c>
      <c r="G394" s="19">
        <f>F394*D394</f>
      </c>
      <c r="H394" s="19">
        <f>G394*C394</f>
      </c>
      <c r="I394" s="19">
        <f>G394*B394</f>
      </c>
      <c r="K394" s="37">
        <f>Eq_e0+Eq_kx*$C394+Eq_ky*$B394</f>
      </c>
      <c r="L394" s="20">
        <f>IF(K394&gt;0,IF(K394&lt;=eco,alpha*fck*(1-(1-K394/eco)^n),alpha*fck),0)</f>
      </c>
    </row>
    <row r="395" spans="1:12" x14ac:dyDescent="0.25">
      <c r="A395">
        <f>Mesh!A392</f>
      </c>
      <c r="B395" s="20">
        <f>Mesh!B392</f>
      </c>
      <c r="C395" s="20">
        <f>Mesh!C392</f>
      </c>
      <c r="D395" s="20">
        <f>Mesh!D392</f>
      </c>
      <c r="E395" s="37">
        <f>INDEX(St_e0,Det+1)+INDEX(St_kx,Det+1)*C395+INDEX(St_ky,Det+1)*B395</f>
      </c>
      <c r="F395" s="20">
        <f>IF(E395&gt;0,IF(E395&lt;=eco,alpha*fck*(1-(1-E395/eco)^n),alpha*fck),0)</f>
      </c>
      <c r="G395" s="19">
        <f>F395*D395</f>
      </c>
      <c r="H395" s="19">
        <f>G395*C395</f>
      </c>
      <c r="I395" s="19">
        <f>G395*B395</f>
      </c>
      <c r="K395" s="37">
        <f>Eq_e0+Eq_kx*$C395+Eq_ky*$B395</f>
      </c>
      <c r="L395" s="20">
        <f>IF(K395&gt;0,IF(K395&lt;=eco,alpha*fck*(1-(1-K395/eco)^n),alpha*fck),0)</f>
      </c>
    </row>
    <row r="396" spans="1:12" x14ac:dyDescent="0.25">
      <c r="A396">
        <f>Mesh!A393</f>
      </c>
      <c r="B396" s="20">
        <f>Mesh!B393</f>
      </c>
      <c r="C396" s="20">
        <f>Mesh!C393</f>
      </c>
      <c r="D396" s="20">
        <f>Mesh!D393</f>
      </c>
      <c r="E396" s="37">
        <f>INDEX(St_e0,Det+1)+INDEX(St_kx,Det+1)*C396+INDEX(St_ky,Det+1)*B396</f>
      </c>
      <c r="F396" s="20">
        <f>IF(E396&gt;0,IF(E396&lt;=eco,alpha*fck*(1-(1-E396/eco)^n),alpha*fck),0)</f>
      </c>
      <c r="G396" s="19">
        <f>F396*D396</f>
      </c>
      <c r="H396" s="19">
        <f>G396*C396</f>
      </c>
      <c r="I396" s="19">
        <f>G396*B396</f>
      </c>
      <c r="K396" s="37">
        <f>Eq_e0+Eq_kx*$C396+Eq_ky*$B396</f>
      </c>
      <c r="L396" s="20">
        <f>IF(K396&gt;0,IF(K396&lt;=eco,alpha*fck*(1-(1-K396/eco)^n),alpha*fck),0)</f>
      </c>
    </row>
    <row r="397" spans="1:12" x14ac:dyDescent="0.25">
      <c r="A397">
        <f>Mesh!A394</f>
      </c>
      <c r="B397" s="20">
        <f>Mesh!B394</f>
      </c>
      <c r="C397" s="20">
        <f>Mesh!C394</f>
      </c>
      <c r="D397" s="20">
        <f>Mesh!D394</f>
      </c>
      <c r="E397" s="37">
        <f>INDEX(St_e0,Det+1)+INDEX(St_kx,Det+1)*C397+INDEX(St_ky,Det+1)*B397</f>
      </c>
      <c r="F397" s="20">
        <f>IF(E397&gt;0,IF(E397&lt;=eco,alpha*fck*(1-(1-E397/eco)^n),alpha*fck),0)</f>
      </c>
      <c r="G397" s="19">
        <f>F397*D397</f>
      </c>
      <c r="H397" s="19">
        <f>G397*C397</f>
      </c>
      <c r="I397" s="19">
        <f>G397*B397</f>
      </c>
      <c r="K397" s="37">
        <f>Eq_e0+Eq_kx*$C397+Eq_ky*$B397</f>
      </c>
      <c r="L397" s="20">
        <f>IF(K397&gt;0,IF(K397&lt;=eco,alpha*fck*(1-(1-K397/eco)^n),alpha*fck),0)</f>
      </c>
    </row>
    <row r="398" spans="1:12" x14ac:dyDescent="0.25">
      <c r="A398">
        <f>Mesh!A395</f>
      </c>
      <c r="B398" s="20">
        <f>Mesh!B395</f>
      </c>
      <c r="C398" s="20">
        <f>Mesh!C395</f>
      </c>
      <c r="D398" s="20">
        <f>Mesh!D395</f>
      </c>
      <c r="E398" s="37">
        <f>INDEX(St_e0,Det+1)+INDEX(St_kx,Det+1)*C398+INDEX(St_ky,Det+1)*B398</f>
      </c>
      <c r="F398" s="20">
        <f>IF(E398&gt;0,IF(E398&lt;=eco,alpha*fck*(1-(1-E398/eco)^n),alpha*fck),0)</f>
      </c>
      <c r="G398" s="19">
        <f>F398*D398</f>
      </c>
      <c r="H398" s="19">
        <f>G398*C398</f>
      </c>
      <c r="I398" s="19">
        <f>G398*B398</f>
      </c>
      <c r="K398" s="37">
        <f>Eq_e0+Eq_kx*$C398+Eq_ky*$B398</f>
      </c>
      <c r="L398" s="20">
        <f>IF(K398&gt;0,IF(K398&lt;=eco,alpha*fck*(1-(1-K398/eco)^n),alpha*fck),0)</f>
      </c>
    </row>
    <row r="399" spans="1:12" x14ac:dyDescent="0.25">
      <c r="A399">
        <f>Mesh!A396</f>
      </c>
      <c r="B399" s="20">
        <f>Mesh!B396</f>
      </c>
      <c r="C399" s="20">
        <f>Mesh!C396</f>
      </c>
      <c r="D399" s="20">
        <f>Mesh!D396</f>
      </c>
      <c r="E399" s="37">
        <f>INDEX(St_e0,Det+1)+INDEX(St_kx,Det+1)*C399+INDEX(St_ky,Det+1)*B399</f>
      </c>
      <c r="F399" s="20">
        <f>IF(E399&gt;0,IF(E399&lt;=eco,alpha*fck*(1-(1-E399/eco)^n),alpha*fck),0)</f>
      </c>
      <c r="G399" s="19">
        <f>F399*D399</f>
      </c>
      <c r="H399" s="19">
        <f>G399*C399</f>
      </c>
      <c r="I399" s="19">
        <f>G399*B399</f>
      </c>
      <c r="K399" s="37">
        <f>Eq_e0+Eq_kx*$C399+Eq_ky*$B399</f>
      </c>
      <c r="L399" s="20">
        <f>IF(K399&gt;0,IF(K399&lt;=eco,alpha*fck*(1-(1-K399/eco)^n),alpha*fck),0)</f>
      </c>
    </row>
    <row r="400" spans="1:12" x14ac:dyDescent="0.25">
      <c r="A400">
        <f>Mesh!A397</f>
      </c>
      <c r="B400" s="20">
        <f>Mesh!B397</f>
      </c>
      <c r="C400" s="20">
        <f>Mesh!C397</f>
      </c>
      <c r="D400" s="20">
        <f>Mesh!D397</f>
      </c>
      <c r="E400" s="37">
        <f>INDEX(St_e0,Det+1)+INDEX(St_kx,Det+1)*C400+INDEX(St_ky,Det+1)*B400</f>
      </c>
      <c r="F400" s="20">
        <f>IF(E400&gt;0,IF(E400&lt;=eco,alpha*fck*(1-(1-E400/eco)^n),alpha*fck),0)</f>
      </c>
      <c r="G400" s="19">
        <f>F400*D400</f>
      </c>
      <c r="H400" s="19">
        <f>G400*C400</f>
      </c>
      <c r="I400" s="19">
        <f>G400*B400</f>
      </c>
      <c r="K400" s="37">
        <f>Eq_e0+Eq_kx*$C400+Eq_ky*$B400</f>
      </c>
      <c r="L400" s="20">
        <f>IF(K400&gt;0,IF(K400&lt;=eco,alpha*fck*(1-(1-K400/eco)^n),alpha*fck),0)</f>
      </c>
    </row>
    <row r="401" spans="1:12" x14ac:dyDescent="0.25">
      <c r="A401">
        <f>Mesh!A398</f>
      </c>
      <c r="B401" s="20">
        <f>Mesh!B398</f>
      </c>
      <c r="C401" s="20">
        <f>Mesh!C398</f>
      </c>
      <c r="D401" s="20">
        <f>Mesh!D398</f>
      </c>
      <c r="E401" s="37">
        <f>INDEX(St_e0,Det+1)+INDEX(St_kx,Det+1)*C401+INDEX(St_ky,Det+1)*B401</f>
      </c>
      <c r="F401" s="20">
        <f>IF(E401&gt;0,IF(E401&lt;=eco,alpha*fck*(1-(1-E401/eco)^n),alpha*fck),0)</f>
      </c>
      <c r="G401" s="19">
        <f>F401*D401</f>
      </c>
      <c r="H401" s="19">
        <f>G401*C401</f>
      </c>
      <c r="I401" s="19">
        <f>G401*B401</f>
      </c>
      <c r="K401" s="37">
        <f>Eq_e0+Eq_kx*$C401+Eq_ky*$B401</f>
      </c>
      <c r="L401" s="20">
        <f>IF(K401&gt;0,IF(K401&lt;=eco,alpha*fck*(1-(1-K401/eco)^n),alpha*fck),0)</f>
      </c>
    </row>
    <row r="402" spans="1:12" x14ac:dyDescent="0.25">
      <c r="A402">
        <f>Mesh!A399</f>
      </c>
      <c r="B402" s="20">
        <f>Mesh!B399</f>
      </c>
      <c r="C402" s="20">
        <f>Mesh!C399</f>
      </c>
      <c r="D402" s="20">
        <f>Mesh!D399</f>
      </c>
      <c r="E402" s="37">
        <f>INDEX(St_e0,Det+1)+INDEX(St_kx,Det+1)*C402+INDEX(St_ky,Det+1)*B402</f>
      </c>
      <c r="F402" s="20">
        <f>IF(E402&gt;0,IF(E402&lt;=eco,alpha*fck*(1-(1-E402/eco)^n),alpha*fck),0)</f>
      </c>
      <c r="G402" s="19">
        <f>F402*D402</f>
      </c>
      <c r="H402" s="19">
        <f>G402*C402</f>
      </c>
      <c r="I402" s="19">
        <f>G402*B402</f>
      </c>
      <c r="K402" s="37">
        <f>Eq_e0+Eq_kx*$C402+Eq_ky*$B402</f>
      </c>
      <c r="L402" s="20">
        <f>IF(K402&gt;0,IF(K402&lt;=eco,alpha*fck*(1-(1-K402/eco)^n),alpha*fck),0)</f>
      </c>
    </row>
    <row r="403" spans="1:12" x14ac:dyDescent="0.25">
      <c r="A403">
        <f>Mesh!A400</f>
      </c>
      <c r="B403" s="20">
        <f>Mesh!B400</f>
      </c>
      <c r="C403" s="20">
        <f>Mesh!C400</f>
      </c>
      <c r="D403" s="20">
        <f>Mesh!D400</f>
      </c>
      <c r="E403" s="37">
        <f>INDEX(St_e0,Det+1)+INDEX(St_kx,Det+1)*C403+INDEX(St_ky,Det+1)*B403</f>
      </c>
      <c r="F403" s="20">
        <f>IF(E403&gt;0,IF(E403&lt;=eco,alpha*fck*(1-(1-E403/eco)^n),alpha*fck),0)</f>
      </c>
      <c r="G403" s="19">
        <f>F403*D403</f>
      </c>
      <c r="H403" s="19">
        <f>G403*C403</f>
      </c>
      <c r="I403" s="19">
        <f>G403*B403</f>
      </c>
      <c r="K403" s="37">
        <f>Eq_e0+Eq_kx*$C403+Eq_ky*$B403</f>
      </c>
      <c r="L403" s="20">
        <f>IF(K403&gt;0,IF(K403&lt;=eco,alpha*fck*(1-(1-K403/eco)^n),alpha*fck),0)</f>
      </c>
    </row>
    <row r="404" spans="1:12" x14ac:dyDescent="0.25">
      <c r="A404">
        <f>Mesh!A401</f>
      </c>
      <c r="B404" s="20">
        <f>Mesh!B401</f>
      </c>
      <c r="C404" s="20">
        <f>Mesh!C401</f>
      </c>
      <c r="D404" s="20">
        <f>Mesh!D401</f>
      </c>
      <c r="E404" s="37">
        <f>INDEX(St_e0,Det+1)+INDEX(St_kx,Det+1)*C404+INDEX(St_ky,Det+1)*B404</f>
      </c>
      <c r="F404" s="20">
        <f>IF(E404&gt;0,IF(E404&lt;=eco,alpha*fck*(1-(1-E404/eco)^n),alpha*fck),0)</f>
      </c>
      <c r="G404" s="19">
        <f>F404*D404</f>
      </c>
      <c r="H404" s="19">
        <f>G404*C404</f>
      </c>
      <c r="I404" s="19">
        <f>G404*B404</f>
      </c>
      <c r="K404" s="37">
        <f>Eq_e0+Eq_kx*$C404+Eq_ky*$B404</f>
      </c>
      <c r="L404" s="20">
        <f>IF(K404&gt;0,IF(K404&lt;=eco,alpha*fck*(1-(1-K404/eco)^n),alpha*fck),0)</f>
      </c>
    </row>
    <row r="405" spans="1:12" x14ac:dyDescent="0.25">
      <c r="A405">
        <f>Mesh!A402</f>
      </c>
      <c r="B405" s="20">
        <f>Mesh!B402</f>
      </c>
      <c r="C405" s="20">
        <f>Mesh!C402</f>
      </c>
      <c r="D405" s="20">
        <f>Mesh!D402</f>
      </c>
      <c r="E405" s="37">
        <f>INDEX(St_e0,Det+1)+INDEX(St_kx,Det+1)*C405+INDEX(St_ky,Det+1)*B405</f>
      </c>
      <c r="F405" s="20">
        <f>IF(E405&gt;0,IF(E405&lt;=eco,alpha*fck*(1-(1-E405/eco)^n),alpha*fck),0)</f>
      </c>
      <c r="G405" s="19">
        <f>F405*D405</f>
      </c>
      <c r="H405" s="19">
        <f>G405*C405</f>
      </c>
      <c r="I405" s="19">
        <f>G405*B405</f>
      </c>
      <c r="K405" s="37">
        <f>Eq_e0+Eq_kx*$C405+Eq_ky*$B405</f>
      </c>
      <c r="L405" s="20">
        <f>IF(K405&gt;0,IF(K405&lt;=eco,alpha*fck*(1-(1-K405/eco)^n),alpha*fck),0)</f>
      </c>
    </row>
    <row r="406" spans="1:12" x14ac:dyDescent="0.25">
      <c r="A406">
        <f>Mesh!A403</f>
      </c>
      <c r="B406" s="20">
        <f>Mesh!B403</f>
      </c>
      <c r="C406" s="20">
        <f>Mesh!C403</f>
      </c>
      <c r="D406" s="20">
        <f>Mesh!D403</f>
      </c>
      <c r="E406" s="37">
        <f>INDEX(St_e0,Det+1)+INDEX(St_kx,Det+1)*C406+INDEX(St_ky,Det+1)*B406</f>
      </c>
      <c r="F406" s="20">
        <f>IF(E406&gt;0,IF(E406&lt;=eco,alpha*fck*(1-(1-E406/eco)^n),alpha*fck),0)</f>
      </c>
      <c r="G406" s="19">
        <f>F406*D406</f>
      </c>
      <c r="H406" s="19">
        <f>G406*C406</f>
      </c>
      <c r="I406" s="19">
        <f>G406*B406</f>
      </c>
      <c r="K406" s="37">
        <f>Eq_e0+Eq_kx*$C406+Eq_ky*$B406</f>
      </c>
      <c r="L406" s="20">
        <f>IF(K406&gt;0,IF(K406&lt;=eco,alpha*fck*(1-(1-K406/eco)^n),alpha*fck),0)</f>
      </c>
    </row>
    <row r="407" spans="1:12" x14ac:dyDescent="0.25">
      <c r="A407">
        <f>Mesh!A404</f>
      </c>
      <c r="B407" s="20">
        <f>Mesh!B404</f>
      </c>
      <c r="C407" s="20">
        <f>Mesh!C404</f>
      </c>
      <c r="D407" s="20">
        <f>Mesh!D404</f>
      </c>
      <c r="E407" s="37">
        <f>INDEX(St_e0,Det+1)+INDEX(St_kx,Det+1)*C407+INDEX(St_ky,Det+1)*B407</f>
      </c>
      <c r="F407" s="20">
        <f>IF(E407&gt;0,IF(E407&lt;=eco,alpha*fck*(1-(1-E407/eco)^n),alpha*fck),0)</f>
      </c>
      <c r="G407" s="19">
        <f>F407*D407</f>
      </c>
      <c r="H407" s="19">
        <f>G407*C407</f>
      </c>
      <c r="I407" s="19">
        <f>G407*B407</f>
      </c>
      <c r="K407" s="37">
        <f>Eq_e0+Eq_kx*$C407+Eq_ky*$B407</f>
      </c>
      <c r="L407" s="20">
        <f>IF(K407&gt;0,IF(K407&lt;=eco,alpha*fck*(1-(1-K407/eco)^n),alpha*fck),0)</f>
      </c>
    </row>
    <row r="408" spans="1:12" x14ac:dyDescent="0.25">
      <c r="A408">
        <f>Mesh!A405</f>
      </c>
      <c r="B408" s="20">
        <f>Mesh!B405</f>
      </c>
      <c r="C408" s="20">
        <f>Mesh!C405</f>
      </c>
      <c r="D408" s="20">
        <f>Mesh!D405</f>
      </c>
      <c r="E408" s="37">
        <f>INDEX(St_e0,Det+1)+INDEX(St_kx,Det+1)*C408+INDEX(St_ky,Det+1)*B408</f>
      </c>
      <c r="F408" s="20">
        <f>IF(E408&gt;0,IF(E408&lt;=eco,alpha*fck*(1-(1-E408/eco)^n),alpha*fck),0)</f>
      </c>
      <c r="G408" s="19">
        <f>F408*D408</f>
      </c>
      <c r="H408" s="19">
        <f>G408*C408</f>
      </c>
      <c r="I408" s="19">
        <f>G408*B408</f>
      </c>
      <c r="K408" s="37">
        <f>Eq_e0+Eq_kx*$C408+Eq_ky*$B408</f>
      </c>
      <c r="L408" s="20">
        <f>IF(K408&gt;0,IF(K408&lt;=eco,alpha*fck*(1-(1-K408/eco)^n),alpha*fck),0)</f>
      </c>
    </row>
    <row r="409" spans="1:12" x14ac:dyDescent="0.25">
      <c r="A409">
        <f>Mesh!A406</f>
      </c>
      <c r="B409" s="20">
        <f>Mesh!B406</f>
      </c>
      <c r="C409" s="20">
        <f>Mesh!C406</f>
      </c>
      <c r="D409" s="20">
        <f>Mesh!D406</f>
      </c>
      <c r="E409" s="37">
        <f>INDEX(St_e0,Det+1)+INDEX(St_kx,Det+1)*C409+INDEX(St_ky,Det+1)*B409</f>
      </c>
      <c r="F409" s="20">
        <f>IF(E409&gt;0,IF(E409&lt;=eco,alpha*fck*(1-(1-E409/eco)^n),alpha*fck),0)</f>
      </c>
      <c r="G409" s="19">
        <f>F409*D409</f>
      </c>
      <c r="H409" s="19">
        <f>G409*C409</f>
      </c>
      <c r="I409" s="19">
        <f>G409*B409</f>
      </c>
      <c r="K409" s="37">
        <f>Eq_e0+Eq_kx*$C409+Eq_ky*$B409</f>
      </c>
      <c r="L409" s="20">
        <f>IF(K409&gt;0,IF(K409&lt;=eco,alpha*fck*(1-(1-K409/eco)^n),alpha*fck),0)</f>
      </c>
    </row>
    <row r="410" spans="1:12" x14ac:dyDescent="0.25">
      <c r="A410">
        <f>Mesh!A407</f>
      </c>
      <c r="B410" s="20">
        <f>Mesh!B407</f>
      </c>
      <c r="C410" s="20">
        <f>Mesh!C407</f>
      </c>
      <c r="D410" s="20">
        <f>Mesh!D407</f>
      </c>
      <c r="E410" s="37">
        <f>INDEX(St_e0,Det+1)+INDEX(St_kx,Det+1)*C410+INDEX(St_ky,Det+1)*B410</f>
      </c>
      <c r="F410" s="20">
        <f>IF(E410&gt;0,IF(E410&lt;=eco,alpha*fck*(1-(1-E410/eco)^n),alpha*fck),0)</f>
      </c>
      <c r="G410" s="19">
        <f>F410*D410</f>
      </c>
      <c r="H410" s="19">
        <f>G410*C410</f>
      </c>
      <c r="I410" s="19">
        <f>G410*B410</f>
      </c>
      <c r="K410" s="37">
        <f>Eq_e0+Eq_kx*$C410+Eq_ky*$B410</f>
      </c>
      <c r="L410" s="20">
        <f>IF(K410&gt;0,IF(K410&lt;=eco,alpha*fck*(1-(1-K410/eco)^n),alpha*fck),0)</f>
      </c>
    </row>
    <row r="411" spans="1:12" x14ac:dyDescent="0.25">
      <c r="A411">
        <f>Mesh!A408</f>
      </c>
      <c r="B411" s="20">
        <f>Mesh!B408</f>
      </c>
      <c r="C411" s="20">
        <f>Mesh!C408</f>
      </c>
      <c r="D411" s="20">
        <f>Mesh!D408</f>
      </c>
      <c r="E411" s="37">
        <f>INDEX(St_e0,Det+1)+INDEX(St_kx,Det+1)*C411+INDEX(St_ky,Det+1)*B411</f>
      </c>
      <c r="F411" s="20">
        <f>IF(E411&gt;0,IF(E411&lt;=eco,alpha*fck*(1-(1-E411/eco)^n),alpha*fck),0)</f>
      </c>
      <c r="G411" s="19">
        <f>F411*D411</f>
      </c>
      <c r="H411" s="19">
        <f>G411*C411</f>
      </c>
      <c r="I411" s="19">
        <f>G411*B411</f>
      </c>
      <c r="K411" s="37">
        <f>Eq_e0+Eq_kx*$C411+Eq_ky*$B411</f>
      </c>
      <c r="L411" s="20">
        <f>IF(K411&gt;0,IF(K411&lt;=eco,alpha*fck*(1-(1-K411/eco)^n),alpha*fck),0)</f>
      </c>
    </row>
    <row r="412" spans="1:12" x14ac:dyDescent="0.25">
      <c r="A412">
        <f>Mesh!A409</f>
      </c>
      <c r="B412" s="20">
        <f>Mesh!B409</f>
      </c>
      <c r="C412" s="20">
        <f>Mesh!C409</f>
      </c>
      <c r="D412" s="20">
        <f>Mesh!D409</f>
      </c>
      <c r="E412" s="37">
        <f>INDEX(St_e0,Det+1)+INDEX(St_kx,Det+1)*C412+INDEX(St_ky,Det+1)*B412</f>
      </c>
      <c r="F412" s="20">
        <f>IF(E412&gt;0,IF(E412&lt;=eco,alpha*fck*(1-(1-E412/eco)^n),alpha*fck),0)</f>
      </c>
      <c r="G412" s="19">
        <f>F412*D412</f>
      </c>
      <c r="H412" s="19">
        <f>G412*C412</f>
      </c>
      <c r="I412" s="19">
        <f>G412*B412</f>
      </c>
      <c r="K412" s="37">
        <f>Eq_e0+Eq_kx*$C412+Eq_ky*$B412</f>
      </c>
      <c r="L412" s="20">
        <f>IF(K412&gt;0,IF(K412&lt;=eco,alpha*fck*(1-(1-K412/eco)^n),alpha*fck),0)</f>
      </c>
    </row>
    <row r="413" spans="1:12" x14ac:dyDescent="0.25">
      <c r="A413">
        <f>Mesh!A410</f>
      </c>
      <c r="B413" s="20">
        <f>Mesh!B410</f>
      </c>
      <c r="C413" s="20">
        <f>Mesh!C410</f>
      </c>
      <c r="D413" s="20">
        <f>Mesh!D410</f>
      </c>
      <c r="E413" s="37">
        <f>INDEX(St_e0,Det+1)+INDEX(St_kx,Det+1)*C413+INDEX(St_ky,Det+1)*B413</f>
      </c>
      <c r="F413" s="20">
        <f>IF(E413&gt;0,IF(E413&lt;=eco,alpha*fck*(1-(1-E413/eco)^n),alpha*fck),0)</f>
      </c>
      <c r="G413" s="19">
        <f>F413*D413</f>
      </c>
      <c r="H413" s="19">
        <f>G413*C413</f>
      </c>
      <c r="I413" s="19">
        <f>G413*B413</f>
      </c>
      <c r="K413" s="37">
        <f>Eq_e0+Eq_kx*$C413+Eq_ky*$B413</f>
      </c>
      <c r="L413" s="20">
        <f>IF(K413&gt;0,IF(K413&lt;=eco,alpha*fck*(1-(1-K413/eco)^n),alpha*fck),0)</f>
      </c>
    </row>
    <row r="414" spans="1:12" x14ac:dyDescent="0.25">
      <c r="A414">
        <f>Mesh!A411</f>
      </c>
      <c r="B414" s="20">
        <f>Mesh!B411</f>
      </c>
      <c r="C414" s="20">
        <f>Mesh!C411</f>
      </c>
      <c r="D414" s="20">
        <f>Mesh!D411</f>
      </c>
      <c r="E414" s="37">
        <f>INDEX(St_e0,Det+1)+INDEX(St_kx,Det+1)*C414+INDEX(St_ky,Det+1)*B414</f>
      </c>
      <c r="F414" s="20">
        <f>IF(E414&gt;0,IF(E414&lt;=eco,alpha*fck*(1-(1-E414/eco)^n),alpha*fck),0)</f>
      </c>
      <c r="G414" s="19">
        <f>F414*D414</f>
      </c>
      <c r="H414" s="19">
        <f>G414*C414</f>
      </c>
      <c r="I414" s="19">
        <f>G414*B414</f>
      </c>
      <c r="K414" s="37">
        <f>Eq_e0+Eq_kx*$C414+Eq_ky*$B414</f>
      </c>
      <c r="L414" s="20">
        <f>IF(K414&gt;0,IF(K414&lt;=eco,alpha*fck*(1-(1-K414/eco)^n),alpha*fck),0)</f>
      </c>
    </row>
    <row r="415" spans="1:12" x14ac:dyDescent="0.25">
      <c r="A415">
        <f>Mesh!A412</f>
      </c>
      <c r="B415" s="20">
        <f>Mesh!B412</f>
      </c>
      <c r="C415" s="20">
        <f>Mesh!C412</f>
      </c>
      <c r="D415" s="20">
        <f>Mesh!D412</f>
      </c>
      <c r="E415" s="37">
        <f>INDEX(St_e0,Det+1)+INDEX(St_kx,Det+1)*C415+INDEX(St_ky,Det+1)*B415</f>
      </c>
      <c r="F415" s="20">
        <f>IF(E415&gt;0,IF(E415&lt;=eco,alpha*fck*(1-(1-E415/eco)^n),alpha*fck),0)</f>
      </c>
      <c r="G415" s="19">
        <f>F415*D415</f>
      </c>
      <c r="H415" s="19">
        <f>G415*C415</f>
      </c>
      <c r="I415" s="19">
        <f>G415*B415</f>
      </c>
      <c r="K415" s="37">
        <f>Eq_e0+Eq_kx*$C415+Eq_ky*$B415</f>
      </c>
      <c r="L415" s="20">
        <f>IF(K415&gt;0,IF(K415&lt;=eco,alpha*fck*(1-(1-K415/eco)^n),alpha*fck),0)</f>
      </c>
    </row>
    <row r="416" spans="1:12" x14ac:dyDescent="0.25">
      <c r="A416">
        <f>Mesh!A413</f>
      </c>
      <c r="B416" s="20">
        <f>Mesh!B413</f>
      </c>
      <c r="C416" s="20">
        <f>Mesh!C413</f>
      </c>
      <c r="D416" s="20">
        <f>Mesh!D413</f>
      </c>
      <c r="E416" s="37">
        <f>INDEX(St_e0,Det+1)+INDEX(St_kx,Det+1)*C416+INDEX(St_ky,Det+1)*B416</f>
      </c>
      <c r="F416" s="20">
        <f>IF(E416&gt;0,IF(E416&lt;=eco,alpha*fck*(1-(1-E416/eco)^n),alpha*fck),0)</f>
      </c>
      <c r="G416" s="19">
        <f>F416*D416</f>
      </c>
      <c r="H416" s="19">
        <f>G416*C416</f>
      </c>
      <c r="I416" s="19">
        <f>G416*B416</f>
      </c>
      <c r="K416" s="37">
        <f>Eq_e0+Eq_kx*$C416+Eq_ky*$B416</f>
      </c>
      <c r="L416" s="20">
        <f>IF(K416&gt;0,IF(K416&lt;=eco,alpha*fck*(1-(1-K416/eco)^n),alpha*fck),0)</f>
      </c>
    </row>
    <row r="417" spans="1:12" x14ac:dyDescent="0.25">
      <c r="A417">
        <f>Mesh!A414</f>
      </c>
      <c r="B417" s="20">
        <f>Mesh!B414</f>
      </c>
      <c r="C417" s="20">
        <f>Mesh!C414</f>
      </c>
      <c r="D417" s="20">
        <f>Mesh!D414</f>
      </c>
      <c r="E417" s="37">
        <f>INDEX(St_e0,Det+1)+INDEX(St_kx,Det+1)*C417+INDEX(St_ky,Det+1)*B417</f>
      </c>
      <c r="F417" s="20">
        <f>IF(E417&gt;0,IF(E417&lt;=eco,alpha*fck*(1-(1-E417/eco)^n),alpha*fck),0)</f>
      </c>
      <c r="G417" s="19">
        <f>F417*D417</f>
      </c>
      <c r="H417" s="19">
        <f>G417*C417</f>
      </c>
      <c r="I417" s="19">
        <f>G417*B417</f>
      </c>
      <c r="K417" s="37">
        <f>Eq_e0+Eq_kx*$C417+Eq_ky*$B417</f>
      </c>
      <c r="L417" s="20">
        <f>IF(K417&gt;0,IF(K417&lt;=eco,alpha*fck*(1-(1-K417/eco)^n),alpha*fck),0)</f>
      </c>
    </row>
    <row r="418" spans="1:12" x14ac:dyDescent="0.25">
      <c r="A418">
        <f>Mesh!A415</f>
      </c>
      <c r="B418" s="20">
        <f>Mesh!B415</f>
      </c>
      <c r="C418" s="20">
        <f>Mesh!C415</f>
      </c>
      <c r="D418" s="20">
        <f>Mesh!D415</f>
      </c>
      <c r="E418" s="37">
        <f>INDEX(St_e0,Det+1)+INDEX(St_kx,Det+1)*C418+INDEX(St_ky,Det+1)*B418</f>
      </c>
      <c r="F418" s="20">
        <f>IF(E418&gt;0,IF(E418&lt;=eco,alpha*fck*(1-(1-E418/eco)^n),alpha*fck),0)</f>
      </c>
      <c r="G418" s="19">
        <f>F418*D418</f>
      </c>
      <c r="H418" s="19">
        <f>G418*C418</f>
      </c>
      <c r="I418" s="19">
        <f>G418*B418</f>
      </c>
      <c r="K418" s="37">
        <f>Eq_e0+Eq_kx*$C418+Eq_ky*$B418</f>
      </c>
      <c r="L418" s="20">
        <f>IF(K418&gt;0,IF(K418&lt;=eco,alpha*fck*(1-(1-K418/eco)^n),alpha*fck),0)</f>
      </c>
    </row>
    <row r="419" spans="1:12" x14ac:dyDescent="0.25">
      <c r="A419">
        <f>Mesh!A416</f>
      </c>
      <c r="B419" s="20">
        <f>Mesh!B416</f>
      </c>
      <c r="C419" s="20">
        <f>Mesh!C416</f>
      </c>
      <c r="D419" s="20">
        <f>Mesh!D416</f>
      </c>
      <c r="E419" s="37">
        <f>INDEX(St_e0,Det+1)+INDEX(St_kx,Det+1)*C419+INDEX(St_ky,Det+1)*B419</f>
      </c>
      <c r="F419" s="20">
        <f>IF(E419&gt;0,IF(E419&lt;=eco,alpha*fck*(1-(1-E419/eco)^n),alpha*fck),0)</f>
      </c>
      <c r="G419" s="19">
        <f>F419*D419</f>
      </c>
      <c r="H419" s="19">
        <f>G419*C419</f>
      </c>
      <c r="I419" s="19">
        <f>G419*B419</f>
      </c>
      <c r="K419" s="37">
        <f>Eq_e0+Eq_kx*$C419+Eq_ky*$B419</f>
      </c>
      <c r="L419" s="20">
        <f>IF(K419&gt;0,IF(K419&lt;=eco,alpha*fck*(1-(1-K419/eco)^n),alpha*fck),0)</f>
      </c>
    </row>
    <row r="420" spans="1:12" x14ac:dyDescent="0.25">
      <c r="A420">
        <f>Mesh!A417</f>
      </c>
      <c r="B420" s="20">
        <f>Mesh!B417</f>
      </c>
      <c r="C420" s="20">
        <f>Mesh!C417</f>
      </c>
      <c r="D420" s="20">
        <f>Mesh!D417</f>
      </c>
      <c r="E420" s="37">
        <f>INDEX(St_e0,Det+1)+INDEX(St_kx,Det+1)*C420+INDEX(St_ky,Det+1)*B420</f>
      </c>
      <c r="F420" s="20">
        <f>IF(E420&gt;0,IF(E420&lt;=eco,alpha*fck*(1-(1-E420/eco)^n),alpha*fck),0)</f>
      </c>
      <c r="G420" s="19">
        <f>F420*D420</f>
      </c>
      <c r="H420" s="19">
        <f>G420*C420</f>
      </c>
      <c r="I420" s="19">
        <f>G420*B420</f>
      </c>
      <c r="K420" s="37">
        <f>Eq_e0+Eq_kx*$C420+Eq_ky*$B420</f>
      </c>
      <c r="L420" s="20">
        <f>IF(K420&gt;0,IF(K420&lt;=eco,alpha*fck*(1-(1-K420/eco)^n),alpha*fck),0)</f>
      </c>
    </row>
    <row r="421" spans="1:12" x14ac:dyDescent="0.25">
      <c r="A421">
        <f>Mesh!A418</f>
      </c>
      <c r="B421" s="20">
        <f>Mesh!B418</f>
      </c>
      <c r="C421" s="20">
        <f>Mesh!C418</f>
      </c>
      <c r="D421" s="20">
        <f>Mesh!D418</f>
      </c>
      <c r="E421" s="37">
        <f>INDEX(St_e0,Det+1)+INDEX(St_kx,Det+1)*C421+INDEX(St_ky,Det+1)*B421</f>
      </c>
      <c r="F421" s="20">
        <f>IF(E421&gt;0,IF(E421&lt;=eco,alpha*fck*(1-(1-E421/eco)^n),alpha*fck),0)</f>
      </c>
      <c r="G421" s="19">
        <f>F421*D421</f>
      </c>
      <c r="H421" s="19">
        <f>G421*C421</f>
      </c>
      <c r="I421" s="19">
        <f>G421*B421</f>
      </c>
      <c r="K421" s="37">
        <f>Eq_e0+Eq_kx*$C421+Eq_ky*$B421</f>
      </c>
      <c r="L421" s="20">
        <f>IF(K421&gt;0,IF(K421&lt;=eco,alpha*fck*(1-(1-K421/eco)^n),alpha*fck),0)</f>
      </c>
    </row>
    <row r="422" spans="1:12" x14ac:dyDescent="0.25">
      <c r="A422">
        <f>Mesh!A419</f>
      </c>
      <c r="B422" s="20">
        <f>Mesh!B419</f>
      </c>
      <c r="C422" s="20">
        <f>Mesh!C419</f>
      </c>
      <c r="D422" s="20">
        <f>Mesh!D419</f>
      </c>
      <c r="E422" s="37">
        <f>INDEX(St_e0,Det+1)+INDEX(St_kx,Det+1)*C422+INDEX(St_ky,Det+1)*B422</f>
      </c>
      <c r="F422" s="20">
        <f>IF(E422&gt;0,IF(E422&lt;=eco,alpha*fck*(1-(1-E422/eco)^n),alpha*fck),0)</f>
      </c>
      <c r="G422" s="19">
        <f>F422*D422</f>
      </c>
      <c r="H422" s="19">
        <f>G422*C422</f>
      </c>
      <c r="I422" s="19">
        <f>G422*B422</f>
      </c>
      <c r="K422" s="37">
        <f>Eq_e0+Eq_kx*$C422+Eq_ky*$B422</f>
      </c>
      <c r="L422" s="20">
        <f>IF(K422&gt;0,IF(K422&lt;=eco,alpha*fck*(1-(1-K422/eco)^n),alpha*fck),0)</f>
      </c>
    </row>
    <row r="423" spans="1:12" x14ac:dyDescent="0.25">
      <c r="A423">
        <f>Mesh!A420</f>
      </c>
      <c r="B423" s="20">
        <f>Mesh!B420</f>
      </c>
      <c r="C423" s="20">
        <f>Mesh!C420</f>
      </c>
      <c r="D423" s="20">
        <f>Mesh!D420</f>
      </c>
      <c r="E423" s="37">
        <f>INDEX(St_e0,Det+1)+INDEX(St_kx,Det+1)*C423+INDEX(St_ky,Det+1)*B423</f>
      </c>
      <c r="F423" s="20">
        <f>IF(E423&gt;0,IF(E423&lt;=eco,alpha*fck*(1-(1-E423/eco)^n),alpha*fck),0)</f>
      </c>
      <c r="G423" s="19">
        <f>F423*D423</f>
      </c>
      <c r="H423" s="19">
        <f>G423*C423</f>
      </c>
      <c r="I423" s="19">
        <f>G423*B423</f>
      </c>
      <c r="K423" s="37">
        <f>Eq_e0+Eq_kx*$C423+Eq_ky*$B423</f>
      </c>
      <c r="L423" s="20">
        <f>IF(K423&gt;0,IF(K423&lt;=eco,alpha*fck*(1-(1-K423/eco)^n),alpha*fck),0)</f>
      </c>
    </row>
    <row r="424" spans="1:12" x14ac:dyDescent="0.25">
      <c r="A424">
        <f>Mesh!A421</f>
      </c>
      <c r="B424" s="20">
        <f>Mesh!B421</f>
      </c>
      <c r="C424" s="20">
        <f>Mesh!C421</f>
      </c>
      <c r="D424" s="20">
        <f>Mesh!D421</f>
      </c>
      <c r="E424" s="37">
        <f>INDEX(St_e0,Det+1)+INDEX(St_kx,Det+1)*C424+INDEX(St_ky,Det+1)*B424</f>
      </c>
      <c r="F424" s="20">
        <f>IF(E424&gt;0,IF(E424&lt;=eco,alpha*fck*(1-(1-E424/eco)^n),alpha*fck),0)</f>
      </c>
      <c r="G424" s="19">
        <f>F424*D424</f>
      </c>
      <c r="H424" s="19">
        <f>G424*C424</f>
      </c>
      <c r="I424" s="19">
        <f>G424*B424</f>
      </c>
      <c r="K424" s="37">
        <f>Eq_e0+Eq_kx*$C424+Eq_ky*$B424</f>
      </c>
      <c r="L424" s="20">
        <f>IF(K424&gt;0,IF(K424&lt;=eco,alpha*fck*(1-(1-K424/eco)^n),alpha*fck),0)</f>
      </c>
    </row>
    <row r="425" spans="1:12" x14ac:dyDescent="0.25">
      <c r="A425">
        <f>Mesh!A422</f>
      </c>
      <c r="B425" s="20">
        <f>Mesh!B422</f>
      </c>
      <c r="C425" s="20">
        <f>Mesh!C422</f>
      </c>
      <c r="D425" s="20">
        <f>Mesh!D422</f>
      </c>
      <c r="E425" s="37">
        <f>INDEX(St_e0,Det+1)+INDEX(St_kx,Det+1)*C425+INDEX(St_ky,Det+1)*B425</f>
      </c>
      <c r="F425" s="20">
        <f>IF(E425&gt;0,IF(E425&lt;=eco,alpha*fck*(1-(1-E425/eco)^n),alpha*fck),0)</f>
      </c>
      <c r="G425" s="19">
        <f>F425*D425</f>
      </c>
      <c r="H425" s="19">
        <f>G425*C425</f>
      </c>
      <c r="I425" s="19">
        <f>G425*B425</f>
      </c>
      <c r="K425" s="37">
        <f>Eq_e0+Eq_kx*$C425+Eq_ky*$B425</f>
      </c>
      <c r="L425" s="20">
        <f>IF(K425&gt;0,IF(K425&lt;=eco,alpha*fck*(1-(1-K425/eco)^n),alpha*fck),0)</f>
      </c>
    </row>
    <row r="426" spans="1:12" x14ac:dyDescent="0.25">
      <c r="A426">
        <f>Mesh!A423</f>
      </c>
      <c r="B426" s="20">
        <f>Mesh!B423</f>
      </c>
      <c r="C426" s="20">
        <f>Mesh!C423</f>
      </c>
      <c r="D426" s="20">
        <f>Mesh!D423</f>
      </c>
      <c r="E426" s="37">
        <f>INDEX(St_e0,Det+1)+INDEX(St_kx,Det+1)*C426+INDEX(St_ky,Det+1)*B426</f>
      </c>
      <c r="F426" s="20">
        <f>IF(E426&gt;0,IF(E426&lt;=eco,alpha*fck*(1-(1-E426/eco)^n),alpha*fck),0)</f>
      </c>
      <c r="G426" s="19">
        <f>F426*D426</f>
      </c>
      <c r="H426" s="19">
        <f>G426*C426</f>
      </c>
      <c r="I426" s="19">
        <f>G426*B426</f>
      </c>
      <c r="K426" s="37">
        <f>Eq_e0+Eq_kx*$C426+Eq_ky*$B426</f>
      </c>
      <c r="L426" s="20">
        <f>IF(K426&gt;0,IF(K426&lt;=eco,alpha*fck*(1-(1-K426/eco)^n),alpha*fck),0)</f>
      </c>
    </row>
    <row r="427" spans="1:12" x14ac:dyDescent="0.25">
      <c r="A427">
        <f>Mesh!A424</f>
      </c>
      <c r="B427" s="20">
        <f>Mesh!B424</f>
      </c>
      <c r="C427" s="20">
        <f>Mesh!C424</f>
      </c>
      <c r="D427" s="20">
        <f>Mesh!D424</f>
      </c>
      <c r="E427" s="37">
        <f>INDEX(St_e0,Det+1)+INDEX(St_kx,Det+1)*C427+INDEX(St_ky,Det+1)*B427</f>
      </c>
      <c r="F427" s="20">
        <f>IF(E427&gt;0,IF(E427&lt;=eco,alpha*fck*(1-(1-E427/eco)^n),alpha*fck),0)</f>
      </c>
      <c r="G427" s="19">
        <f>F427*D427</f>
      </c>
      <c r="H427" s="19">
        <f>G427*C427</f>
      </c>
      <c r="I427" s="19">
        <f>G427*B427</f>
      </c>
      <c r="K427" s="37">
        <f>Eq_e0+Eq_kx*$C427+Eq_ky*$B427</f>
      </c>
      <c r="L427" s="20">
        <f>IF(K427&gt;0,IF(K427&lt;=eco,alpha*fck*(1-(1-K427/eco)^n),alpha*fck),0)</f>
      </c>
    </row>
    <row r="428" spans="1:12" x14ac:dyDescent="0.25">
      <c r="A428">
        <f>Mesh!A425</f>
      </c>
      <c r="B428" s="20">
        <f>Mesh!B425</f>
      </c>
      <c r="C428" s="20">
        <f>Mesh!C425</f>
      </c>
      <c r="D428" s="20">
        <f>Mesh!D425</f>
      </c>
      <c r="E428" s="37">
        <f>INDEX(St_e0,Det+1)+INDEX(St_kx,Det+1)*C428+INDEX(St_ky,Det+1)*B428</f>
      </c>
      <c r="F428" s="20">
        <f>IF(E428&gt;0,IF(E428&lt;=eco,alpha*fck*(1-(1-E428/eco)^n),alpha*fck),0)</f>
      </c>
      <c r="G428" s="19">
        <f>F428*D428</f>
      </c>
      <c r="H428" s="19">
        <f>G428*C428</f>
      </c>
      <c r="I428" s="19">
        <f>G428*B428</f>
      </c>
      <c r="K428" s="37">
        <f>Eq_e0+Eq_kx*$C428+Eq_ky*$B428</f>
      </c>
      <c r="L428" s="20">
        <f>IF(K428&gt;0,IF(K428&lt;=eco,alpha*fck*(1-(1-K428/eco)^n),alpha*fck),0)</f>
      </c>
    </row>
    <row r="429" spans="1:12" x14ac:dyDescent="0.25">
      <c r="A429">
        <f>Mesh!A426</f>
      </c>
      <c r="B429" s="20">
        <f>Mesh!B426</f>
      </c>
      <c r="C429" s="20">
        <f>Mesh!C426</f>
      </c>
      <c r="D429" s="20">
        <f>Mesh!D426</f>
      </c>
      <c r="E429" s="37">
        <f>INDEX(St_e0,Det+1)+INDEX(St_kx,Det+1)*C429+INDEX(St_ky,Det+1)*B429</f>
      </c>
      <c r="F429" s="20">
        <f>IF(E429&gt;0,IF(E429&lt;=eco,alpha*fck*(1-(1-E429/eco)^n),alpha*fck),0)</f>
      </c>
      <c r="G429" s="19">
        <f>F429*D429</f>
      </c>
      <c r="H429" s="19">
        <f>G429*C429</f>
      </c>
      <c r="I429" s="19">
        <f>G429*B429</f>
      </c>
      <c r="K429" s="37">
        <f>Eq_e0+Eq_kx*$C429+Eq_ky*$B429</f>
      </c>
      <c r="L429" s="20">
        <f>IF(K429&gt;0,IF(K429&lt;=eco,alpha*fck*(1-(1-K429/eco)^n),alpha*fck),0)</f>
      </c>
    </row>
    <row r="430" spans="1:12" x14ac:dyDescent="0.25">
      <c r="A430">
        <f>Mesh!A427</f>
      </c>
      <c r="B430" s="20">
        <f>Mesh!B427</f>
      </c>
      <c r="C430" s="20">
        <f>Mesh!C427</f>
      </c>
      <c r="D430" s="20">
        <f>Mesh!D427</f>
      </c>
      <c r="E430" s="37">
        <f>INDEX(St_e0,Det+1)+INDEX(St_kx,Det+1)*C430+INDEX(St_ky,Det+1)*B430</f>
      </c>
      <c r="F430" s="20">
        <f>IF(E430&gt;0,IF(E430&lt;=eco,alpha*fck*(1-(1-E430/eco)^n),alpha*fck),0)</f>
      </c>
      <c r="G430" s="19">
        <f>F430*D430</f>
      </c>
      <c r="H430" s="19">
        <f>G430*C430</f>
      </c>
      <c r="I430" s="19">
        <f>G430*B430</f>
      </c>
      <c r="K430" s="37">
        <f>Eq_e0+Eq_kx*$C430+Eq_ky*$B430</f>
      </c>
      <c r="L430" s="20">
        <f>IF(K430&gt;0,IF(K430&lt;=eco,alpha*fck*(1-(1-K430/eco)^n),alpha*fck),0)</f>
      </c>
    </row>
    <row r="431" spans="1:12" x14ac:dyDescent="0.25">
      <c r="A431">
        <f>Mesh!A428</f>
      </c>
      <c r="B431" s="20">
        <f>Mesh!B428</f>
      </c>
      <c r="C431" s="20">
        <f>Mesh!C428</f>
      </c>
      <c r="D431" s="20">
        <f>Mesh!D428</f>
      </c>
      <c r="E431" s="37">
        <f>INDEX(St_e0,Det+1)+INDEX(St_kx,Det+1)*C431+INDEX(St_ky,Det+1)*B431</f>
      </c>
      <c r="F431" s="20">
        <f>IF(E431&gt;0,IF(E431&lt;=eco,alpha*fck*(1-(1-E431/eco)^n),alpha*fck),0)</f>
      </c>
      <c r="G431" s="19">
        <f>F431*D431</f>
      </c>
      <c r="H431" s="19">
        <f>G431*C431</f>
      </c>
      <c r="I431" s="19">
        <f>G431*B431</f>
      </c>
      <c r="K431" s="37">
        <f>Eq_e0+Eq_kx*$C431+Eq_ky*$B431</f>
      </c>
      <c r="L431" s="20">
        <f>IF(K431&gt;0,IF(K431&lt;=eco,alpha*fck*(1-(1-K431/eco)^n),alpha*fck),0)</f>
      </c>
    </row>
    <row r="432" spans="1:12" x14ac:dyDescent="0.25">
      <c r="A432">
        <f>Mesh!A429</f>
      </c>
      <c r="B432" s="20">
        <f>Mesh!B429</f>
      </c>
      <c r="C432" s="20">
        <f>Mesh!C429</f>
      </c>
      <c r="D432" s="20">
        <f>Mesh!D429</f>
      </c>
      <c r="E432" s="37">
        <f>INDEX(St_e0,Det+1)+INDEX(St_kx,Det+1)*C432+INDEX(St_ky,Det+1)*B432</f>
      </c>
      <c r="F432" s="20">
        <f>IF(E432&gt;0,IF(E432&lt;=eco,alpha*fck*(1-(1-E432/eco)^n),alpha*fck),0)</f>
      </c>
      <c r="G432" s="19">
        <f>F432*D432</f>
      </c>
      <c r="H432" s="19">
        <f>G432*C432</f>
      </c>
      <c r="I432" s="19">
        <f>G432*B432</f>
      </c>
      <c r="K432" s="37">
        <f>Eq_e0+Eq_kx*$C432+Eq_ky*$B432</f>
      </c>
      <c r="L432" s="20">
        <f>IF(K432&gt;0,IF(K432&lt;=eco,alpha*fck*(1-(1-K432/eco)^n),alpha*fck),0)</f>
      </c>
    </row>
    <row r="433" spans="1:12" x14ac:dyDescent="0.25">
      <c r="A433">
        <f>Mesh!A430</f>
      </c>
      <c r="B433" s="20">
        <f>Mesh!B430</f>
      </c>
      <c r="C433" s="20">
        <f>Mesh!C430</f>
      </c>
      <c r="D433" s="20">
        <f>Mesh!D430</f>
      </c>
      <c r="E433" s="37">
        <f>INDEX(St_e0,Det+1)+INDEX(St_kx,Det+1)*C433+INDEX(St_ky,Det+1)*B433</f>
      </c>
      <c r="F433" s="20">
        <f>IF(E433&gt;0,IF(E433&lt;=eco,alpha*fck*(1-(1-E433/eco)^n),alpha*fck),0)</f>
      </c>
      <c r="G433" s="19">
        <f>F433*D433</f>
      </c>
      <c r="H433" s="19">
        <f>G433*C433</f>
      </c>
      <c r="I433" s="19">
        <f>G433*B433</f>
      </c>
      <c r="K433" s="37">
        <f>Eq_e0+Eq_kx*$C433+Eq_ky*$B433</f>
      </c>
      <c r="L433" s="20">
        <f>IF(K433&gt;0,IF(K433&lt;=eco,alpha*fck*(1-(1-K433/eco)^n),alpha*fck),0)</f>
      </c>
    </row>
    <row r="434" spans="1:12" x14ac:dyDescent="0.25">
      <c r="A434">
        <f>Mesh!A431</f>
      </c>
      <c r="B434" s="20">
        <f>Mesh!B431</f>
      </c>
      <c r="C434" s="20">
        <f>Mesh!C431</f>
      </c>
      <c r="D434" s="20">
        <f>Mesh!D431</f>
      </c>
      <c r="E434" s="37">
        <f>INDEX(St_e0,Det+1)+INDEX(St_kx,Det+1)*C434+INDEX(St_ky,Det+1)*B434</f>
      </c>
      <c r="F434" s="20">
        <f>IF(E434&gt;0,IF(E434&lt;=eco,alpha*fck*(1-(1-E434/eco)^n),alpha*fck),0)</f>
      </c>
      <c r="G434" s="19">
        <f>F434*D434</f>
      </c>
      <c r="H434" s="19">
        <f>G434*C434</f>
      </c>
      <c r="I434" s="19">
        <f>G434*B434</f>
      </c>
      <c r="K434" s="37">
        <f>Eq_e0+Eq_kx*$C434+Eq_ky*$B434</f>
      </c>
      <c r="L434" s="20">
        <f>IF(K434&gt;0,IF(K434&lt;=eco,alpha*fck*(1-(1-K434/eco)^n),alpha*fck),0)</f>
      </c>
    </row>
    <row r="435" spans="1:12" x14ac:dyDescent="0.25">
      <c r="A435">
        <f>Mesh!A432</f>
      </c>
      <c r="B435" s="20">
        <f>Mesh!B432</f>
      </c>
      <c r="C435" s="20">
        <f>Mesh!C432</f>
      </c>
      <c r="D435" s="20">
        <f>Mesh!D432</f>
      </c>
      <c r="E435" s="37">
        <f>INDEX(St_e0,Det+1)+INDEX(St_kx,Det+1)*C435+INDEX(St_ky,Det+1)*B435</f>
      </c>
      <c r="F435" s="20">
        <f>IF(E435&gt;0,IF(E435&lt;=eco,alpha*fck*(1-(1-E435/eco)^n),alpha*fck),0)</f>
      </c>
      <c r="G435" s="19">
        <f>F435*D435</f>
      </c>
      <c r="H435" s="19">
        <f>G435*C435</f>
      </c>
      <c r="I435" s="19">
        <f>G435*B435</f>
      </c>
      <c r="K435" s="37">
        <f>Eq_e0+Eq_kx*$C435+Eq_ky*$B435</f>
      </c>
      <c r="L435" s="20">
        <f>IF(K435&gt;0,IF(K435&lt;=eco,alpha*fck*(1-(1-K435/eco)^n),alpha*fck),0)</f>
      </c>
    </row>
    <row r="436" spans="1:12" x14ac:dyDescent="0.25">
      <c r="A436">
        <f>Mesh!A433</f>
      </c>
      <c r="B436" s="20">
        <f>Mesh!B433</f>
      </c>
      <c r="C436" s="20">
        <f>Mesh!C433</f>
      </c>
      <c r="D436" s="20">
        <f>Mesh!D433</f>
      </c>
      <c r="E436" s="37">
        <f>INDEX(St_e0,Det+1)+INDEX(St_kx,Det+1)*C436+INDEX(St_ky,Det+1)*B436</f>
      </c>
      <c r="F436" s="20">
        <f>IF(E436&gt;0,IF(E436&lt;=eco,alpha*fck*(1-(1-E436/eco)^n),alpha*fck),0)</f>
      </c>
      <c r="G436" s="19">
        <f>F436*D436</f>
      </c>
      <c r="H436" s="19">
        <f>G436*C436</f>
      </c>
      <c r="I436" s="19">
        <f>G436*B436</f>
      </c>
      <c r="K436" s="37">
        <f>Eq_e0+Eq_kx*$C436+Eq_ky*$B436</f>
      </c>
      <c r="L436" s="20">
        <f>IF(K436&gt;0,IF(K436&lt;=eco,alpha*fck*(1-(1-K436/eco)^n),alpha*fck),0)</f>
      </c>
    </row>
    <row r="437" spans="1:12" x14ac:dyDescent="0.25">
      <c r="A437">
        <f>Mesh!A434</f>
      </c>
      <c r="B437" s="20">
        <f>Mesh!B434</f>
      </c>
      <c r="C437" s="20">
        <f>Mesh!C434</f>
      </c>
      <c r="D437" s="20">
        <f>Mesh!D434</f>
      </c>
      <c r="E437" s="37">
        <f>INDEX(St_e0,Det+1)+INDEX(St_kx,Det+1)*C437+INDEX(St_ky,Det+1)*B437</f>
      </c>
      <c r="F437" s="20">
        <f>IF(E437&gt;0,IF(E437&lt;=eco,alpha*fck*(1-(1-E437/eco)^n),alpha*fck),0)</f>
      </c>
      <c r="G437" s="19">
        <f>F437*D437</f>
      </c>
      <c r="H437" s="19">
        <f>G437*C437</f>
      </c>
      <c r="I437" s="19">
        <f>G437*B437</f>
      </c>
      <c r="K437" s="37">
        <f>Eq_e0+Eq_kx*$C437+Eq_ky*$B437</f>
      </c>
      <c r="L437" s="20">
        <f>IF(K437&gt;0,IF(K437&lt;=eco,alpha*fck*(1-(1-K437/eco)^n),alpha*fck),0)</f>
      </c>
    </row>
    <row r="438" spans="1:12" x14ac:dyDescent="0.25">
      <c r="A438">
        <f>Mesh!A435</f>
      </c>
      <c r="B438" s="20">
        <f>Mesh!B435</f>
      </c>
      <c r="C438" s="20">
        <f>Mesh!C435</f>
      </c>
      <c r="D438" s="20">
        <f>Mesh!D435</f>
      </c>
      <c r="E438" s="37">
        <f>INDEX(St_e0,Det+1)+INDEX(St_kx,Det+1)*C438+INDEX(St_ky,Det+1)*B438</f>
      </c>
      <c r="F438" s="20">
        <f>IF(E438&gt;0,IF(E438&lt;=eco,alpha*fck*(1-(1-E438/eco)^n),alpha*fck),0)</f>
      </c>
      <c r="G438" s="19">
        <f>F438*D438</f>
      </c>
      <c r="H438" s="19">
        <f>G438*C438</f>
      </c>
      <c r="I438" s="19">
        <f>G438*B438</f>
      </c>
      <c r="K438" s="37">
        <f>Eq_e0+Eq_kx*$C438+Eq_ky*$B438</f>
      </c>
      <c r="L438" s="20">
        <f>IF(K438&gt;0,IF(K438&lt;=eco,alpha*fck*(1-(1-K438/eco)^n),alpha*fck),0)</f>
      </c>
    </row>
    <row r="439" spans="1:12" x14ac:dyDescent="0.25">
      <c r="A439">
        <f>Mesh!A436</f>
      </c>
      <c r="B439" s="20">
        <f>Mesh!B436</f>
      </c>
      <c r="C439" s="20">
        <f>Mesh!C436</f>
      </c>
      <c r="D439" s="20">
        <f>Mesh!D436</f>
      </c>
      <c r="E439" s="37">
        <f>INDEX(St_e0,Det+1)+INDEX(St_kx,Det+1)*C439+INDEX(St_ky,Det+1)*B439</f>
      </c>
      <c r="F439" s="20">
        <f>IF(E439&gt;0,IF(E439&lt;=eco,alpha*fck*(1-(1-E439/eco)^n),alpha*fck),0)</f>
      </c>
      <c r="G439" s="19">
        <f>F439*D439</f>
      </c>
      <c r="H439" s="19">
        <f>G439*C439</f>
      </c>
      <c r="I439" s="19">
        <f>G439*B439</f>
      </c>
      <c r="K439" s="37">
        <f>Eq_e0+Eq_kx*$C439+Eq_ky*$B439</f>
      </c>
      <c r="L439" s="20">
        <f>IF(K439&gt;0,IF(K439&lt;=eco,alpha*fck*(1-(1-K439/eco)^n),alpha*fck),0)</f>
      </c>
    </row>
    <row r="440" spans="1:12" x14ac:dyDescent="0.25">
      <c r="A440">
        <f>Mesh!A437</f>
      </c>
      <c r="B440" s="20">
        <f>Mesh!B437</f>
      </c>
      <c r="C440" s="20">
        <f>Mesh!C437</f>
      </c>
      <c r="D440" s="20">
        <f>Mesh!D437</f>
      </c>
      <c r="E440" s="37">
        <f>INDEX(St_e0,Det+1)+INDEX(St_kx,Det+1)*C440+INDEX(St_ky,Det+1)*B440</f>
      </c>
      <c r="F440" s="20">
        <f>IF(E440&gt;0,IF(E440&lt;=eco,alpha*fck*(1-(1-E440/eco)^n),alpha*fck),0)</f>
      </c>
      <c r="G440" s="19">
        <f>F440*D440</f>
      </c>
      <c r="H440" s="19">
        <f>G440*C440</f>
      </c>
      <c r="I440" s="19">
        <f>G440*B440</f>
      </c>
      <c r="K440" s="37">
        <f>Eq_e0+Eq_kx*$C440+Eq_ky*$B440</f>
      </c>
      <c r="L440" s="20">
        <f>IF(K440&gt;0,IF(K440&lt;=eco,alpha*fck*(1-(1-K440/eco)^n),alpha*fck),0)</f>
      </c>
    </row>
    <row r="441" spans="1:12" x14ac:dyDescent="0.25">
      <c r="A441">
        <f>Mesh!A438</f>
      </c>
      <c r="B441" s="20">
        <f>Mesh!B438</f>
      </c>
      <c r="C441" s="20">
        <f>Mesh!C438</f>
      </c>
      <c r="D441" s="20">
        <f>Mesh!D438</f>
      </c>
      <c r="E441" s="37">
        <f>INDEX(St_e0,Det+1)+INDEX(St_kx,Det+1)*C441+INDEX(St_ky,Det+1)*B441</f>
      </c>
      <c r="F441" s="20">
        <f>IF(E441&gt;0,IF(E441&lt;=eco,alpha*fck*(1-(1-E441/eco)^n),alpha*fck),0)</f>
      </c>
      <c r="G441" s="19">
        <f>F441*D441</f>
      </c>
      <c r="H441" s="19">
        <f>G441*C441</f>
      </c>
      <c r="I441" s="19">
        <f>G441*B441</f>
      </c>
      <c r="K441" s="37">
        <f>Eq_e0+Eq_kx*$C441+Eq_ky*$B441</f>
      </c>
      <c r="L441" s="20">
        <f>IF(K441&gt;0,IF(K441&lt;=eco,alpha*fck*(1-(1-K441/eco)^n),alpha*fck),0)</f>
      </c>
    </row>
    <row r="442" spans="1:12" x14ac:dyDescent="0.25">
      <c r="A442">
        <f>Mesh!A439</f>
      </c>
      <c r="B442" s="20">
        <f>Mesh!B439</f>
      </c>
      <c r="C442" s="20">
        <f>Mesh!C439</f>
      </c>
      <c r="D442" s="20">
        <f>Mesh!D439</f>
      </c>
      <c r="E442" s="37">
        <f>INDEX(St_e0,Det+1)+INDEX(St_kx,Det+1)*C442+INDEX(St_ky,Det+1)*B442</f>
      </c>
      <c r="F442" s="20">
        <f>IF(E442&gt;0,IF(E442&lt;=eco,alpha*fck*(1-(1-E442/eco)^n),alpha*fck),0)</f>
      </c>
      <c r="G442" s="19">
        <f>F442*D442</f>
      </c>
      <c r="H442" s="19">
        <f>G442*C442</f>
      </c>
      <c r="I442" s="19">
        <f>G442*B442</f>
      </c>
      <c r="K442" s="37">
        <f>Eq_e0+Eq_kx*$C442+Eq_ky*$B442</f>
      </c>
      <c r="L442" s="20">
        <f>IF(K442&gt;0,IF(K442&lt;=eco,alpha*fck*(1-(1-K442/eco)^n),alpha*fck),0)</f>
      </c>
    </row>
    <row r="443" spans="1:12" x14ac:dyDescent="0.25">
      <c r="A443">
        <f>Mesh!A440</f>
      </c>
      <c r="B443" s="20">
        <f>Mesh!B440</f>
      </c>
      <c r="C443" s="20">
        <f>Mesh!C440</f>
      </c>
      <c r="D443" s="20">
        <f>Mesh!D440</f>
      </c>
      <c r="E443" s="37">
        <f>INDEX(St_e0,Det+1)+INDEX(St_kx,Det+1)*C443+INDEX(St_ky,Det+1)*B443</f>
      </c>
      <c r="F443" s="20">
        <f>IF(E443&gt;0,IF(E443&lt;=eco,alpha*fck*(1-(1-E443/eco)^n),alpha*fck),0)</f>
      </c>
      <c r="G443" s="19">
        <f>F443*D443</f>
      </c>
      <c r="H443" s="19">
        <f>G443*C443</f>
      </c>
      <c r="I443" s="19">
        <f>G443*B443</f>
      </c>
      <c r="K443" s="37">
        <f>Eq_e0+Eq_kx*$C443+Eq_ky*$B443</f>
      </c>
      <c r="L443" s="20">
        <f>IF(K443&gt;0,IF(K443&lt;=eco,alpha*fck*(1-(1-K443/eco)^n),alpha*fck),0)</f>
      </c>
    </row>
    <row r="444" spans="1:12" x14ac:dyDescent="0.25">
      <c r="A444">
        <f>Mesh!A441</f>
      </c>
      <c r="B444" s="20">
        <f>Mesh!B441</f>
      </c>
      <c r="C444" s="20">
        <f>Mesh!C441</f>
      </c>
      <c r="D444" s="20">
        <f>Mesh!D441</f>
      </c>
      <c r="E444" s="37">
        <f>INDEX(St_e0,Det+1)+INDEX(St_kx,Det+1)*C444+INDEX(St_ky,Det+1)*B444</f>
      </c>
      <c r="F444" s="20">
        <f>IF(E444&gt;0,IF(E444&lt;=eco,alpha*fck*(1-(1-E444/eco)^n),alpha*fck),0)</f>
      </c>
      <c r="G444" s="19">
        <f>F444*D444</f>
      </c>
      <c r="H444" s="19">
        <f>G444*C444</f>
      </c>
      <c r="I444" s="19">
        <f>G444*B444</f>
      </c>
      <c r="K444" s="37">
        <f>Eq_e0+Eq_kx*$C444+Eq_ky*$B444</f>
      </c>
      <c r="L444" s="20">
        <f>IF(K444&gt;0,IF(K444&lt;=eco,alpha*fck*(1-(1-K444/eco)^n),alpha*fck),0)</f>
      </c>
    </row>
    <row r="445" spans="1:12" x14ac:dyDescent="0.25">
      <c r="A445">
        <f>Mesh!A442</f>
      </c>
      <c r="B445" s="20">
        <f>Mesh!B442</f>
      </c>
      <c r="C445" s="20">
        <f>Mesh!C442</f>
      </c>
      <c r="D445" s="20">
        <f>Mesh!D442</f>
      </c>
      <c r="E445" s="37">
        <f>INDEX(St_e0,Det+1)+INDEX(St_kx,Det+1)*C445+INDEX(St_ky,Det+1)*B445</f>
      </c>
      <c r="F445" s="20">
        <f>IF(E445&gt;0,IF(E445&lt;=eco,alpha*fck*(1-(1-E445/eco)^n),alpha*fck),0)</f>
      </c>
      <c r="G445" s="19">
        <f>F445*D445</f>
      </c>
      <c r="H445" s="19">
        <f>G445*C445</f>
      </c>
      <c r="I445" s="19">
        <f>G445*B445</f>
      </c>
      <c r="K445" s="37">
        <f>Eq_e0+Eq_kx*$C445+Eq_ky*$B445</f>
      </c>
      <c r="L445" s="20">
        <f>IF(K445&gt;0,IF(K445&lt;=eco,alpha*fck*(1-(1-K445/eco)^n),alpha*fck),0)</f>
      </c>
    </row>
    <row r="446" spans="1:12" x14ac:dyDescent="0.25">
      <c r="A446">
        <f>Mesh!A443</f>
      </c>
      <c r="B446" s="20">
        <f>Mesh!B443</f>
      </c>
      <c r="C446" s="20">
        <f>Mesh!C443</f>
      </c>
      <c r="D446" s="20">
        <f>Mesh!D443</f>
      </c>
      <c r="E446" s="37">
        <f>INDEX(St_e0,Det+1)+INDEX(St_kx,Det+1)*C446+INDEX(St_ky,Det+1)*B446</f>
      </c>
      <c r="F446" s="20">
        <f>IF(E446&gt;0,IF(E446&lt;=eco,alpha*fck*(1-(1-E446/eco)^n),alpha*fck),0)</f>
      </c>
      <c r="G446" s="19">
        <f>F446*D446</f>
      </c>
      <c r="H446" s="19">
        <f>G446*C446</f>
      </c>
      <c r="I446" s="19">
        <f>G446*B446</f>
      </c>
      <c r="K446" s="37">
        <f>Eq_e0+Eq_kx*$C446+Eq_ky*$B446</f>
      </c>
      <c r="L446" s="20">
        <f>IF(K446&gt;0,IF(K446&lt;=eco,alpha*fck*(1-(1-K446/eco)^n),alpha*fck),0)</f>
      </c>
    </row>
    <row r="447" spans="1:12" x14ac:dyDescent="0.25">
      <c r="A447">
        <f>Mesh!A444</f>
      </c>
      <c r="B447" s="20">
        <f>Mesh!B444</f>
      </c>
      <c r="C447" s="20">
        <f>Mesh!C444</f>
      </c>
      <c r="D447" s="20">
        <f>Mesh!D444</f>
      </c>
      <c r="E447" s="37">
        <f>INDEX(St_e0,Det+1)+INDEX(St_kx,Det+1)*C447+INDEX(St_ky,Det+1)*B447</f>
      </c>
      <c r="F447" s="20">
        <f>IF(E447&gt;0,IF(E447&lt;=eco,alpha*fck*(1-(1-E447/eco)^n),alpha*fck),0)</f>
      </c>
      <c r="G447" s="19">
        <f>F447*D447</f>
      </c>
      <c r="H447" s="19">
        <f>G447*C447</f>
      </c>
      <c r="I447" s="19">
        <f>G447*B447</f>
      </c>
      <c r="K447" s="37">
        <f>Eq_e0+Eq_kx*$C447+Eq_ky*$B447</f>
      </c>
      <c r="L447" s="20">
        <f>IF(K447&gt;0,IF(K447&lt;=eco,alpha*fck*(1-(1-K447/eco)^n),alpha*fck),0)</f>
      </c>
    </row>
    <row r="448" spans="1:12" x14ac:dyDescent="0.25">
      <c r="A448">
        <f>Mesh!A445</f>
      </c>
      <c r="B448" s="20">
        <f>Mesh!B445</f>
      </c>
      <c r="C448" s="20">
        <f>Mesh!C445</f>
      </c>
      <c r="D448" s="20">
        <f>Mesh!D445</f>
      </c>
      <c r="E448" s="37">
        <f>INDEX(St_e0,Det+1)+INDEX(St_kx,Det+1)*C448+INDEX(St_ky,Det+1)*B448</f>
      </c>
      <c r="F448" s="20">
        <f>IF(E448&gt;0,IF(E448&lt;=eco,alpha*fck*(1-(1-E448/eco)^n),alpha*fck),0)</f>
      </c>
      <c r="G448" s="19">
        <f>F448*D448</f>
      </c>
      <c r="H448" s="19">
        <f>G448*C448</f>
      </c>
      <c r="I448" s="19">
        <f>G448*B448</f>
      </c>
      <c r="K448" s="37">
        <f>Eq_e0+Eq_kx*$C448+Eq_ky*$B448</f>
      </c>
      <c r="L448" s="20">
        <f>IF(K448&gt;0,IF(K448&lt;=eco,alpha*fck*(1-(1-K448/eco)^n),alpha*fck),0)</f>
      </c>
    </row>
    <row r="449" spans="1:12" x14ac:dyDescent="0.25">
      <c r="A449">
        <f>Mesh!A446</f>
      </c>
      <c r="B449" s="20">
        <f>Mesh!B446</f>
      </c>
      <c r="C449" s="20">
        <f>Mesh!C446</f>
      </c>
      <c r="D449" s="20">
        <f>Mesh!D446</f>
      </c>
      <c r="E449" s="37">
        <f>INDEX(St_e0,Det+1)+INDEX(St_kx,Det+1)*C449+INDEX(St_ky,Det+1)*B449</f>
      </c>
      <c r="F449" s="20">
        <f>IF(E449&gt;0,IF(E449&lt;=eco,alpha*fck*(1-(1-E449/eco)^n),alpha*fck),0)</f>
      </c>
      <c r="G449" s="19">
        <f>F449*D449</f>
      </c>
      <c r="H449" s="19">
        <f>G449*C449</f>
      </c>
      <c r="I449" s="19">
        <f>G449*B449</f>
      </c>
      <c r="K449" s="37">
        <f>Eq_e0+Eq_kx*$C449+Eq_ky*$B449</f>
      </c>
      <c r="L449" s="20">
        <f>IF(K449&gt;0,IF(K449&lt;=eco,alpha*fck*(1-(1-K449/eco)^n),alpha*fck),0)</f>
      </c>
    </row>
    <row r="450" spans="1:12" x14ac:dyDescent="0.25">
      <c r="A450">
        <f>Mesh!A447</f>
      </c>
      <c r="B450" s="20">
        <f>Mesh!B447</f>
      </c>
      <c r="C450" s="20">
        <f>Mesh!C447</f>
      </c>
      <c r="D450" s="20">
        <f>Mesh!D447</f>
      </c>
      <c r="E450" s="37">
        <f>INDEX(St_e0,Det+1)+INDEX(St_kx,Det+1)*C450+INDEX(St_ky,Det+1)*B450</f>
      </c>
      <c r="F450" s="20">
        <f>IF(E450&gt;0,IF(E450&lt;=eco,alpha*fck*(1-(1-E450/eco)^n),alpha*fck),0)</f>
      </c>
      <c r="G450" s="19">
        <f>F450*D450</f>
      </c>
      <c r="H450" s="19">
        <f>G450*C450</f>
      </c>
      <c r="I450" s="19">
        <f>G450*B450</f>
      </c>
      <c r="K450" s="37">
        <f>Eq_e0+Eq_kx*$C450+Eq_ky*$B450</f>
      </c>
      <c r="L450" s="20">
        <f>IF(K450&gt;0,IF(K450&lt;=eco,alpha*fck*(1-(1-K450/eco)^n),alpha*fck),0)</f>
      </c>
    </row>
    <row r="451" spans="1:12" x14ac:dyDescent="0.25">
      <c r="A451">
        <f>Mesh!A448</f>
      </c>
      <c r="B451" s="20">
        <f>Mesh!B448</f>
      </c>
      <c r="C451" s="20">
        <f>Mesh!C448</f>
      </c>
      <c r="D451" s="20">
        <f>Mesh!D448</f>
      </c>
      <c r="E451" s="37">
        <f>INDEX(St_e0,Det+1)+INDEX(St_kx,Det+1)*C451+INDEX(St_ky,Det+1)*B451</f>
      </c>
      <c r="F451" s="20">
        <f>IF(E451&gt;0,IF(E451&lt;=eco,alpha*fck*(1-(1-E451/eco)^n),alpha*fck),0)</f>
      </c>
      <c r="G451" s="19">
        <f>F451*D451</f>
      </c>
      <c r="H451" s="19">
        <f>G451*C451</f>
      </c>
      <c r="I451" s="19">
        <f>G451*B451</f>
      </c>
      <c r="K451" s="37">
        <f>Eq_e0+Eq_kx*$C451+Eq_ky*$B451</f>
      </c>
      <c r="L451" s="20">
        <f>IF(K451&gt;0,IF(K451&lt;=eco,alpha*fck*(1-(1-K451/eco)^n),alpha*fck),0)</f>
      </c>
    </row>
    <row r="452" spans="1:12" x14ac:dyDescent="0.25">
      <c r="A452">
        <f>Mesh!A449</f>
      </c>
      <c r="B452" s="20">
        <f>Mesh!B449</f>
      </c>
      <c r="C452" s="20">
        <f>Mesh!C449</f>
      </c>
      <c r="D452" s="20">
        <f>Mesh!D449</f>
      </c>
      <c r="E452" s="37">
        <f>INDEX(St_e0,Det+1)+INDEX(St_kx,Det+1)*C452+INDEX(St_ky,Det+1)*B452</f>
      </c>
      <c r="F452" s="20">
        <f>IF(E452&gt;0,IF(E452&lt;=eco,alpha*fck*(1-(1-E452/eco)^n),alpha*fck),0)</f>
      </c>
      <c r="G452" s="19">
        <f>F452*D452</f>
      </c>
      <c r="H452" s="19">
        <f>G452*C452</f>
      </c>
      <c r="I452" s="19">
        <f>G452*B452</f>
      </c>
      <c r="K452" s="37">
        <f>Eq_e0+Eq_kx*$C452+Eq_ky*$B452</f>
      </c>
      <c r="L452" s="20">
        <f>IF(K452&gt;0,IF(K452&lt;=eco,alpha*fck*(1-(1-K452/eco)^n),alpha*fck),0)</f>
      </c>
    </row>
    <row r="453" spans="1:12" x14ac:dyDescent="0.25">
      <c r="A453">
        <f>Mesh!A450</f>
      </c>
      <c r="B453" s="20">
        <f>Mesh!B450</f>
      </c>
      <c r="C453" s="20">
        <f>Mesh!C450</f>
      </c>
      <c r="D453" s="20">
        <f>Mesh!D450</f>
      </c>
      <c r="E453" s="37">
        <f>INDEX(St_e0,Det+1)+INDEX(St_kx,Det+1)*C453+INDEX(St_ky,Det+1)*B453</f>
      </c>
      <c r="F453" s="20">
        <f>IF(E453&gt;0,IF(E453&lt;=eco,alpha*fck*(1-(1-E453/eco)^n),alpha*fck),0)</f>
      </c>
      <c r="G453" s="19">
        <f>F453*D453</f>
      </c>
      <c r="H453" s="19">
        <f>G453*C453</f>
      </c>
      <c r="I453" s="19">
        <f>G453*B453</f>
      </c>
      <c r="K453" s="37">
        <f>Eq_e0+Eq_kx*$C453+Eq_ky*$B453</f>
      </c>
      <c r="L453" s="20">
        <f>IF(K453&gt;0,IF(K453&lt;=eco,alpha*fck*(1-(1-K453/eco)^n),alpha*fck),0)</f>
      </c>
    </row>
    <row r="454" spans="1:12" x14ac:dyDescent="0.25">
      <c r="A454">
        <f>Mesh!A451</f>
      </c>
      <c r="B454" s="20">
        <f>Mesh!B451</f>
      </c>
      <c r="C454" s="20">
        <f>Mesh!C451</f>
      </c>
      <c r="D454" s="20">
        <f>Mesh!D451</f>
      </c>
      <c r="E454" s="37">
        <f>INDEX(St_e0,Det+1)+INDEX(St_kx,Det+1)*C454+INDEX(St_ky,Det+1)*B454</f>
      </c>
      <c r="F454" s="20">
        <f>IF(E454&gt;0,IF(E454&lt;=eco,alpha*fck*(1-(1-E454/eco)^n),alpha*fck),0)</f>
      </c>
      <c r="G454" s="19">
        <f>F454*D454</f>
      </c>
      <c r="H454" s="19">
        <f>G454*C454</f>
      </c>
      <c r="I454" s="19">
        <f>G454*B454</f>
      </c>
      <c r="K454" s="37">
        <f>Eq_e0+Eq_kx*$C454+Eq_ky*$B454</f>
      </c>
      <c r="L454" s="20">
        <f>IF(K454&gt;0,IF(K454&lt;=eco,alpha*fck*(1-(1-K454/eco)^n),alpha*fck),0)</f>
      </c>
    </row>
    <row r="455" spans="1:12" x14ac:dyDescent="0.25">
      <c r="A455">
        <f>Mesh!A452</f>
      </c>
      <c r="B455" s="20">
        <f>Mesh!B452</f>
      </c>
      <c r="C455" s="20">
        <f>Mesh!C452</f>
      </c>
      <c r="D455" s="20">
        <f>Mesh!D452</f>
      </c>
      <c r="E455" s="37">
        <f>INDEX(St_e0,Det+1)+INDEX(St_kx,Det+1)*C455+INDEX(St_ky,Det+1)*B455</f>
      </c>
      <c r="F455" s="20">
        <f>IF(E455&gt;0,IF(E455&lt;=eco,alpha*fck*(1-(1-E455/eco)^n),alpha*fck),0)</f>
      </c>
      <c r="G455" s="19">
        <f>F455*D455</f>
      </c>
      <c r="H455" s="19">
        <f>G455*C455</f>
      </c>
      <c r="I455" s="19">
        <f>G455*B455</f>
      </c>
      <c r="K455" s="37">
        <f>Eq_e0+Eq_kx*$C455+Eq_ky*$B455</f>
      </c>
      <c r="L455" s="20">
        <f>IF(K455&gt;0,IF(K455&lt;=eco,alpha*fck*(1-(1-K455/eco)^n),alpha*fck),0)</f>
      </c>
    </row>
    <row r="456" spans="1:12" x14ac:dyDescent="0.25">
      <c r="A456">
        <f>Mesh!A453</f>
      </c>
      <c r="B456" s="20">
        <f>Mesh!B453</f>
      </c>
      <c r="C456" s="20">
        <f>Mesh!C453</f>
      </c>
      <c r="D456" s="20">
        <f>Mesh!D453</f>
      </c>
      <c r="E456" s="37">
        <f>INDEX(St_e0,Det+1)+INDEX(St_kx,Det+1)*C456+INDEX(St_ky,Det+1)*B456</f>
      </c>
      <c r="F456" s="20">
        <f>IF(E456&gt;0,IF(E456&lt;=eco,alpha*fck*(1-(1-E456/eco)^n),alpha*fck),0)</f>
      </c>
      <c r="G456" s="19">
        <f>F456*D456</f>
      </c>
      <c r="H456" s="19">
        <f>G456*C456</f>
      </c>
      <c r="I456" s="19">
        <f>G456*B456</f>
      </c>
      <c r="K456" s="37">
        <f>Eq_e0+Eq_kx*$C456+Eq_ky*$B456</f>
      </c>
      <c r="L456" s="20">
        <f>IF(K456&gt;0,IF(K456&lt;=eco,alpha*fck*(1-(1-K456/eco)^n),alpha*fck),0)</f>
      </c>
    </row>
    <row r="457" spans="1:12" x14ac:dyDescent="0.25">
      <c r="A457">
        <f>Mesh!A454</f>
      </c>
      <c r="B457" s="20">
        <f>Mesh!B454</f>
      </c>
      <c r="C457" s="20">
        <f>Mesh!C454</f>
      </c>
      <c r="D457" s="20">
        <f>Mesh!D454</f>
      </c>
      <c r="E457" s="37">
        <f>INDEX(St_e0,Det+1)+INDEX(St_kx,Det+1)*C457+INDEX(St_ky,Det+1)*B457</f>
      </c>
      <c r="F457" s="20">
        <f>IF(E457&gt;0,IF(E457&lt;=eco,alpha*fck*(1-(1-E457/eco)^n),alpha*fck),0)</f>
      </c>
      <c r="G457" s="19">
        <f>F457*D457</f>
      </c>
      <c r="H457" s="19">
        <f>G457*C457</f>
      </c>
      <c r="I457" s="19">
        <f>G457*B457</f>
      </c>
      <c r="K457" s="37">
        <f>Eq_e0+Eq_kx*$C457+Eq_ky*$B457</f>
      </c>
      <c r="L457" s="20">
        <f>IF(K457&gt;0,IF(K457&lt;=eco,alpha*fck*(1-(1-K457/eco)^n),alpha*fck),0)</f>
      </c>
    </row>
    <row r="458" spans="1:12" x14ac:dyDescent="0.25">
      <c r="A458">
        <f>Mesh!A455</f>
      </c>
      <c r="B458" s="20">
        <f>Mesh!B455</f>
      </c>
      <c r="C458" s="20">
        <f>Mesh!C455</f>
      </c>
      <c r="D458" s="20">
        <f>Mesh!D455</f>
      </c>
      <c r="E458" s="37">
        <f>INDEX(St_e0,Det+1)+INDEX(St_kx,Det+1)*C458+INDEX(St_ky,Det+1)*B458</f>
      </c>
      <c r="F458" s="20">
        <f>IF(E458&gt;0,IF(E458&lt;=eco,alpha*fck*(1-(1-E458/eco)^n),alpha*fck),0)</f>
      </c>
      <c r="G458" s="19">
        <f>F458*D458</f>
      </c>
      <c r="H458" s="19">
        <f>G458*C458</f>
      </c>
      <c r="I458" s="19">
        <f>G458*B458</f>
      </c>
      <c r="K458" s="37">
        <f>Eq_e0+Eq_kx*$C458+Eq_ky*$B458</f>
      </c>
      <c r="L458" s="20">
        <f>IF(K458&gt;0,IF(K458&lt;=eco,alpha*fck*(1-(1-K458/eco)^n),alpha*fck),0)</f>
      </c>
    </row>
    <row r="459" spans="1:12" x14ac:dyDescent="0.25">
      <c r="A459">
        <f>Mesh!A456</f>
      </c>
      <c r="B459" s="20">
        <f>Mesh!B456</f>
      </c>
      <c r="C459" s="20">
        <f>Mesh!C456</f>
      </c>
      <c r="D459" s="20">
        <f>Mesh!D456</f>
      </c>
      <c r="E459" s="37">
        <f>INDEX(St_e0,Det+1)+INDEX(St_kx,Det+1)*C459+INDEX(St_ky,Det+1)*B459</f>
      </c>
      <c r="F459" s="20">
        <f>IF(E459&gt;0,IF(E459&lt;=eco,alpha*fck*(1-(1-E459/eco)^n),alpha*fck),0)</f>
      </c>
      <c r="G459" s="19">
        <f>F459*D459</f>
      </c>
      <c r="H459" s="19">
        <f>G459*C459</f>
      </c>
      <c r="I459" s="19">
        <f>G459*B459</f>
      </c>
      <c r="K459" s="37">
        <f>Eq_e0+Eq_kx*$C459+Eq_ky*$B459</f>
      </c>
      <c r="L459" s="20">
        <f>IF(K459&gt;0,IF(K459&lt;=eco,alpha*fck*(1-(1-K459/eco)^n),alpha*fck),0)</f>
      </c>
    </row>
    <row r="460" spans="1:12" x14ac:dyDescent="0.25">
      <c r="A460">
        <f>Mesh!A457</f>
      </c>
      <c r="B460" s="20">
        <f>Mesh!B457</f>
      </c>
      <c r="C460" s="20">
        <f>Mesh!C457</f>
      </c>
      <c r="D460" s="20">
        <f>Mesh!D457</f>
      </c>
      <c r="E460" s="37">
        <f>INDEX(St_e0,Det+1)+INDEX(St_kx,Det+1)*C460+INDEX(St_ky,Det+1)*B460</f>
      </c>
      <c r="F460" s="20">
        <f>IF(E460&gt;0,IF(E460&lt;=eco,alpha*fck*(1-(1-E460/eco)^n),alpha*fck),0)</f>
      </c>
      <c r="G460" s="19">
        <f>F460*D460</f>
      </c>
      <c r="H460" s="19">
        <f>G460*C460</f>
      </c>
      <c r="I460" s="19">
        <f>G460*B460</f>
      </c>
      <c r="K460" s="37">
        <f>Eq_e0+Eq_kx*$C460+Eq_ky*$B460</f>
      </c>
      <c r="L460" s="20">
        <f>IF(K460&gt;0,IF(K460&lt;=eco,alpha*fck*(1-(1-K460/eco)^n),alpha*fck),0)</f>
      </c>
    </row>
    <row r="461" spans="1:12" x14ac:dyDescent="0.25">
      <c r="A461">
        <f>Mesh!A458</f>
      </c>
      <c r="B461" s="20">
        <f>Mesh!B458</f>
      </c>
      <c r="C461" s="20">
        <f>Mesh!C458</f>
      </c>
      <c r="D461" s="20">
        <f>Mesh!D458</f>
      </c>
      <c r="E461" s="37">
        <f>INDEX(St_e0,Det+1)+INDEX(St_kx,Det+1)*C461+INDEX(St_ky,Det+1)*B461</f>
      </c>
      <c r="F461" s="20">
        <f>IF(E461&gt;0,IF(E461&lt;=eco,alpha*fck*(1-(1-E461/eco)^n),alpha*fck),0)</f>
      </c>
      <c r="G461" s="19">
        <f>F461*D461</f>
      </c>
      <c r="H461" s="19">
        <f>G461*C461</f>
      </c>
      <c r="I461" s="19">
        <f>G461*B461</f>
      </c>
      <c r="K461" s="37">
        <f>Eq_e0+Eq_kx*$C461+Eq_ky*$B461</f>
      </c>
      <c r="L461" s="20">
        <f>IF(K461&gt;0,IF(K461&lt;=eco,alpha*fck*(1-(1-K461/eco)^n),alpha*fck),0)</f>
      </c>
    </row>
    <row r="462" spans="1:12" x14ac:dyDescent="0.25">
      <c r="A462">
        <f>Mesh!A459</f>
      </c>
      <c r="B462" s="20">
        <f>Mesh!B459</f>
      </c>
      <c r="C462" s="20">
        <f>Mesh!C459</f>
      </c>
      <c r="D462" s="20">
        <f>Mesh!D459</f>
      </c>
      <c r="E462" s="37">
        <f>INDEX(St_e0,Det+1)+INDEX(St_kx,Det+1)*C462+INDEX(St_ky,Det+1)*B462</f>
      </c>
      <c r="F462" s="20">
        <f>IF(E462&gt;0,IF(E462&lt;=eco,alpha*fck*(1-(1-E462/eco)^n),alpha*fck),0)</f>
      </c>
      <c r="G462" s="19">
        <f>F462*D462</f>
      </c>
      <c r="H462" s="19">
        <f>G462*C462</f>
      </c>
      <c r="I462" s="19">
        <f>G462*B462</f>
      </c>
      <c r="K462" s="37">
        <f>Eq_e0+Eq_kx*$C462+Eq_ky*$B462</f>
      </c>
      <c r="L462" s="20">
        <f>IF(K462&gt;0,IF(K462&lt;=eco,alpha*fck*(1-(1-K462/eco)^n),alpha*fck),0)</f>
      </c>
    </row>
    <row r="463" spans="1:12" x14ac:dyDescent="0.25">
      <c r="A463">
        <f>Mesh!A460</f>
      </c>
      <c r="B463" s="20">
        <f>Mesh!B460</f>
      </c>
      <c r="C463" s="20">
        <f>Mesh!C460</f>
      </c>
      <c r="D463" s="20">
        <f>Mesh!D460</f>
      </c>
      <c r="E463" s="37">
        <f>INDEX(St_e0,Det+1)+INDEX(St_kx,Det+1)*C463+INDEX(St_ky,Det+1)*B463</f>
      </c>
      <c r="F463" s="20">
        <f>IF(E463&gt;0,IF(E463&lt;=eco,alpha*fck*(1-(1-E463/eco)^n),alpha*fck),0)</f>
      </c>
      <c r="G463" s="19">
        <f>F463*D463</f>
      </c>
      <c r="H463" s="19">
        <f>G463*C463</f>
      </c>
      <c r="I463" s="19">
        <f>G463*B463</f>
      </c>
      <c r="K463" s="37">
        <f>Eq_e0+Eq_kx*$C463+Eq_ky*$B463</f>
      </c>
      <c r="L463" s="20">
        <f>IF(K463&gt;0,IF(K463&lt;=eco,alpha*fck*(1-(1-K463/eco)^n),alpha*fck),0)</f>
      </c>
    </row>
    <row r="464" spans="1:12" x14ac:dyDescent="0.25">
      <c r="A464">
        <f>Mesh!A461</f>
      </c>
      <c r="B464" s="20">
        <f>Mesh!B461</f>
      </c>
      <c r="C464" s="20">
        <f>Mesh!C461</f>
      </c>
      <c r="D464" s="20">
        <f>Mesh!D461</f>
      </c>
      <c r="E464" s="37">
        <f>INDEX(St_e0,Det+1)+INDEX(St_kx,Det+1)*C464+INDEX(St_ky,Det+1)*B464</f>
      </c>
      <c r="F464" s="20">
        <f>IF(E464&gt;0,IF(E464&lt;=eco,alpha*fck*(1-(1-E464/eco)^n),alpha*fck),0)</f>
      </c>
      <c r="G464" s="19">
        <f>F464*D464</f>
      </c>
      <c r="H464" s="19">
        <f>G464*C464</f>
      </c>
      <c r="I464" s="19">
        <f>G464*B464</f>
      </c>
      <c r="K464" s="37">
        <f>Eq_e0+Eq_kx*$C464+Eq_ky*$B464</f>
      </c>
      <c r="L464" s="20">
        <f>IF(K464&gt;0,IF(K464&lt;=eco,alpha*fck*(1-(1-K464/eco)^n),alpha*fck),0)</f>
      </c>
    </row>
    <row r="465" spans="1:12" x14ac:dyDescent="0.25">
      <c r="A465">
        <f>Mesh!A462</f>
      </c>
      <c r="B465" s="20">
        <f>Mesh!B462</f>
      </c>
      <c r="C465" s="20">
        <f>Mesh!C462</f>
      </c>
      <c r="D465" s="20">
        <f>Mesh!D462</f>
      </c>
      <c r="E465" s="37">
        <f>INDEX(St_e0,Det+1)+INDEX(St_kx,Det+1)*C465+INDEX(St_ky,Det+1)*B465</f>
      </c>
      <c r="F465" s="20">
        <f>IF(E465&gt;0,IF(E465&lt;=eco,alpha*fck*(1-(1-E465/eco)^n),alpha*fck),0)</f>
      </c>
      <c r="G465" s="19">
        <f>F465*D465</f>
      </c>
      <c r="H465" s="19">
        <f>G465*C465</f>
      </c>
      <c r="I465" s="19">
        <f>G465*B465</f>
      </c>
      <c r="K465" s="37">
        <f>Eq_e0+Eq_kx*$C465+Eq_ky*$B465</f>
      </c>
      <c r="L465" s="20">
        <f>IF(K465&gt;0,IF(K465&lt;=eco,alpha*fck*(1-(1-K465/eco)^n),alpha*fck),0)</f>
      </c>
    </row>
    <row r="466" spans="1:12" x14ac:dyDescent="0.25">
      <c r="A466">
        <f>Mesh!A463</f>
      </c>
      <c r="B466" s="20">
        <f>Mesh!B463</f>
      </c>
      <c r="C466" s="20">
        <f>Mesh!C463</f>
      </c>
      <c r="D466" s="20">
        <f>Mesh!D463</f>
      </c>
      <c r="E466" s="37">
        <f>INDEX(St_e0,Det+1)+INDEX(St_kx,Det+1)*C466+INDEX(St_ky,Det+1)*B466</f>
      </c>
      <c r="F466" s="20">
        <f>IF(E466&gt;0,IF(E466&lt;=eco,alpha*fck*(1-(1-E466/eco)^n),alpha*fck),0)</f>
      </c>
      <c r="G466" s="19">
        <f>F466*D466</f>
      </c>
      <c r="H466" s="19">
        <f>G466*C466</f>
      </c>
      <c r="I466" s="19">
        <f>G466*B466</f>
      </c>
      <c r="K466" s="37">
        <f>Eq_e0+Eq_kx*$C466+Eq_ky*$B466</f>
      </c>
      <c r="L466" s="20">
        <f>IF(K466&gt;0,IF(K466&lt;=eco,alpha*fck*(1-(1-K466/eco)^n),alpha*fck),0)</f>
      </c>
    </row>
    <row r="467" spans="1:12" x14ac:dyDescent="0.25">
      <c r="A467">
        <f>Mesh!A464</f>
      </c>
      <c r="B467" s="20">
        <f>Mesh!B464</f>
      </c>
      <c r="C467" s="20">
        <f>Mesh!C464</f>
      </c>
      <c r="D467" s="20">
        <f>Mesh!D464</f>
      </c>
      <c r="E467" s="37">
        <f>INDEX(St_e0,Det+1)+INDEX(St_kx,Det+1)*C467+INDEX(St_ky,Det+1)*B467</f>
      </c>
      <c r="F467" s="20">
        <f>IF(E467&gt;0,IF(E467&lt;=eco,alpha*fck*(1-(1-E467/eco)^n),alpha*fck),0)</f>
      </c>
      <c r="G467" s="19">
        <f>F467*D467</f>
      </c>
      <c r="H467" s="19">
        <f>G467*C467</f>
      </c>
      <c r="I467" s="19">
        <f>G467*B467</f>
      </c>
      <c r="K467" s="37">
        <f>Eq_e0+Eq_kx*$C467+Eq_ky*$B467</f>
      </c>
      <c r="L467" s="20">
        <f>IF(K467&gt;0,IF(K467&lt;=eco,alpha*fck*(1-(1-K467/eco)^n),alpha*fck),0)</f>
      </c>
    </row>
    <row r="468" spans="1:12" x14ac:dyDescent="0.25">
      <c r="A468">
        <f>Mesh!A465</f>
      </c>
      <c r="B468" s="20">
        <f>Mesh!B465</f>
      </c>
      <c r="C468" s="20">
        <f>Mesh!C465</f>
      </c>
      <c r="D468" s="20">
        <f>Mesh!D465</f>
      </c>
      <c r="E468" s="37">
        <f>INDEX(St_e0,Det+1)+INDEX(St_kx,Det+1)*C468+INDEX(St_ky,Det+1)*B468</f>
      </c>
      <c r="F468" s="20">
        <f>IF(E468&gt;0,IF(E468&lt;=eco,alpha*fck*(1-(1-E468/eco)^n),alpha*fck),0)</f>
      </c>
      <c r="G468" s="19">
        <f>F468*D468</f>
      </c>
      <c r="H468" s="19">
        <f>G468*C468</f>
      </c>
      <c r="I468" s="19">
        <f>G468*B468</f>
      </c>
      <c r="K468" s="37">
        <f>Eq_e0+Eq_kx*$C468+Eq_ky*$B468</f>
      </c>
      <c r="L468" s="20">
        <f>IF(K468&gt;0,IF(K468&lt;=eco,alpha*fck*(1-(1-K468/eco)^n),alpha*fck),0)</f>
      </c>
    </row>
    <row r="469" spans="1:12" x14ac:dyDescent="0.25">
      <c r="A469">
        <f>Mesh!A466</f>
      </c>
      <c r="B469" s="20">
        <f>Mesh!B466</f>
      </c>
      <c r="C469" s="20">
        <f>Mesh!C466</f>
      </c>
      <c r="D469" s="20">
        <f>Mesh!D466</f>
      </c>
      <c r="E469" s="37">
        <f>INDEX(St_e0,Det+1)+INDEX(St_kx,Det+1)*C469+INDEX(St_ky,Det+1)*B469</f>
      </c>
      <c r="F469" s="20">
        <f>IF(E469&gt;0,IF(E469&lt;=eco,alpha*fck*(1-(1-E469/eco)^n),alpha*fck),0)</f>
      </c>
      <c r="G469" s="19">
        <f>F469*D469</f>
      </c>
      <c r="H469" s="19">
        <f>G469*C469</f>
      </c>
      <c r="I469" s="19">
        <f>G469*B469</f>
      </c>
      <c r="K469" s="37">
        <f>Eq_e0+Eq_kx*$C469+Eq_ky*$B469</f>
      </c>
      <c r="L469" s="20">
        <f>IF(K469&gt;0,IF(K469&lt;=eco,alpha*fck*(1-(1-K469/eco)^n),alpha*fck),0)</f>
      </c>
    </row>
    <row r="470" spans="1:12" x14ac:dyDescent="0.25">
      <c r="A470">
        <f>Mesh!A467</f>
      </c>
      <c r="B470" s="20">
        <f>Mesh!B467</f>
      </c>
      <c r="C470" s="20">
        <f>Mesh!C467</f>
      </c>
      <c r="D470" s="20">
        <f>Mesh!D467</f>
      </c>
      <c r="E470" s="37">
        <f>INDEX(St_e0,Det+1)+INDEX(St_kx,Det+1)*C470+INDEX(St_ky,Det+1)*B470</f>
      </c>
      <c r="F470" s="20">
        <f>IF(E470&gt;0,IF(E470&lt;=eco,alpha*fck*(1-(1-E470/eco)^n),alpha*fck),0)</f>
      </c>
      <c r="G470" s="19">
        <f>F470*D470</f>
      </c>
      <c r="H470" s="19">
        <f>G470*C470</f>
      </c>
      <c r="I470" s="19">
        <f>G470*B470</f>
      </c>
      <c r="K470" s="37">
        <f>Eq_e0+Eq_kx*$C470+Eq_ky*$B470</f>
      </c>
      <c r="L470" s="20">
        <f>IF(K470&gt;0,IF(K470&lt;=eco,alpha*fck*(1-(1-K470/eco)^n),alpha*fck),0)</f>
      </c>
    </row>
    <row r="471" spans="1:12" x14ac:dyDescent="0.25">
      <c r="A471">
        <f>Mesh!A468</f>
      </c>
      <c r="B471" s="20">
        <f>Mesh!B468</f>
      </c>
      <c r="C471" s="20">
        <f>Mesh!C468</f>
      </c>
      <c r="D471" s="20">
        <f>Mesh!D468</f>
      </c>
      <c r="E471" s="37">
        <f>INDEX(St_e0,Det+1)+INDEX(St_kx,Det+1)*C471+INDEX(St_ky,Det+1)*B471</f>
      </c>
      <c r="F471" s="20">
        <f>IF(E471&gt;0,IF(E471&lt;=eco,alpha*fck*(1-(1-E471/eco)^n),alpha*fck),0)</f>
      </c>
      <c r="G471" s="19">
        <f>F471*D471</f>
      </c>
      <c r="H471" s="19">
        <f>G471*C471</f>
      </c>
      <c r="I471" s="19">
        <f>G471*B471</f>
      </c>
      <c r="K471" s="37">
        <f>Eq_e0+Eq_kx*$C471+Eq_ky*$B471</f>
      </c>
      <c r="L471" s="20">
        <f>IF(K471&gt;0,IF(K471&lt;=eco,alpha*fck*(1-(1-K471/eco)^n),alpha*fck),0)</f>
      </c>
    </row>
    <row r="472" spans="1:12" x14ac:dyDescent="0.25">
      <c r="A472">
        <f>Mesh!A469</f>
      </c>
      <c r="B472" s="20">
        <f>Mesh!B469</f>
      </c>
      <c r="C472" s="20">
        <f>Mesh!C469</f>
      </c>
      <c r="D472" s="20">
        <f>Mesh!D469</f>
      </c>
      <c r="E472" s="37">
        <f>INDEX(St_e0,Det+1)+INDEX(St_kx,Det+1)*C472+INDEX(St_ky,Det+1)*B472</f>
      </c>
      <c r="F472" s="20">
        <f>IF(E472&gt;0,IF(E472&lt;=eco,alpha*fck*(1-(1-E472/eco)^n),alpha*fck),0)</f>
      </c>
      <c r="G472" s="19">
        <f>F472*D472</f>
      </c>
      <c r="H472" s="19">
        <f>G472*C472</f>
      </c>
      <c r="I472" s="19">
        <f>G472*B472</f>
      </c>
      <c r="K472" s="37">
        <f>Eq_e0+Eq_kx*$C472+Eq_ky*$B472</f>
      </c>
      <c r="L472" s="20">
        <f>IF(K472&gt;0,IF(K472&lt;=eco,alpha*fck*(1-(1-K472/eco)^n),alpha*fck),0)</f>
      </c>
    </row>
    <row r="473" spans="1:12" x14ac:dyDescent="0.25">
      <c r="A473">
        <f>Mesh!A470</f>
      </c>
      <c r="B473" s="20">
        <f>Mesh!B470</f>
      </c>
      <c r="C473" s="20">
        <f>Mesh!C470</f>
      </c>
      <c r="D473" s="20">
        <f>Mesh!D470</f>
      </c>
      <c r="E473" s="37">
        <f>INDEX(St_e0,Det+1)+INDEX(St_kx,Det+1)*C473+INDEX(St_ky,Det+1)*B473</f>
      </c>
      <c r="F473" s="20">
        <f>IF(E473&gt;0,IF(E473&lt;=eco,alpha*fck*(1-(1-E473/eco)^n),alpha*fck),0)</f>
      </c>
      <c r="G473" s="19">
        <f>F473*D473</f>
      </c>
      <c r="H473" s="19">
        <f>G473*C473</f>
      </c>
      <c r="I473" s="19">
        <f>G473*B473</f>
      </c>
      <c r="K473" s="37">
        <f>Eq_e0+Eq_kx*$C473+Eq_ky*$B473</f>
      </c>
      <c r="L473" s="20">
        <f>IF(K473&gt;0,IF(K473&lt;=eco,alpha*fck*(1-(1-K473/eco)^n),alpha*fck),0)</f>
      </c>
    </row>
    <row r="474" spans="1:12" x14ac:dyDescent="0.25">
      <c r="A474">
        <f>Mesh!A471</f>
      </c>
      <c r="B474" s="20">
        <f>Mesh!B471</f>
      </c>
      <c r="C474" s="20">
        <f>Mesh!C471</f>
      </c>
      <c r="D474" s="20">
        <f>Mesh!D471</f>
      </c>
      <c r="E474" s="37">
        <f>INDEX(St_e0,Det+1)+INDEX(St_kx,Det+1)*C474+INDEX(St_ky,Det+1)*B474</f>
      </c>
      <c r="F474" s="20">
        <f>IF(E474&gt;0,IF(E474&lt;=eco,alpha*fck*(1-(1-E474/eco)^n),alpha*fck),0)</f>
      </c>
      <c r="G474" s="19">
        <f>F474*D474</f>
      </c>
      <c r="H474" s="19">
        <f>G474*C474</f>
      </c>
      <c r="I474" s="19">
        <f>G474*B474</f>
      </c>
      <c r="K474" s="37">
        <f>Eq_e0+Eq_kx*$C474+Eq_ky*$B474</f>
      </c>
      <c r="L474" s="20">
        <f>IF(K474&gt;0,IF(K474&lt;=eco,alpha*fck*(1-(1-K474/eco)^n),alpha*fck),0)</f>
      </c>
    </row>
    <row r="475" spans="1:12" x14ac:dyDescent="0.25">
      <c r="A475">
        <f>Mesh!A472</f>
      </c>
      <c r="B475" s="20">
        <f>Mesh!B472</f>
      </c>
      <c r="C475" s="20">
        <f>Mesh!C472</f>
      </c>
      <c r="D475" s="20">
        <f>Mesh!D472</f>
      </c>
      <c r="E475" s="37">
        <f>INDEX(St_e0,Det+1)+INDEX(St_kx,Det+1)*C475+INDEX(St_ky,Det+1)*B475</f>
      </c>
      <c r="F475" s="20">
        <f>IF(E475&gt;0,IF(E475&lt;=eco,alpha*fck*(1-(1-E475/eco)^n),alpha*fck),0)</f>
      </c>
      <c r="G475" s="19">
        <f>F475*D475</f>
      </c>
      <c r="H475" s="19">
        <f>G475*C475</f>
      </c>
      <c r="I475" s="19">
        <f>G475*B475</f>
      </c>
      <c r="K475" s="37">
        <f>Eq_e0+Eq_kx*$C475+Eq_ky*$B475</f>
      </c>
      <c r="L475" s="20">
        <f>IF(K475&gt;0,IF(K475&lt;=eco,alpha*fck*(1-(1-K475/eco)^n),alpha*fck),0)</f>
      </c>
    </row>
    <row r="476" spans="1:12" x14ac:dyDescent="0.25">
      <c r="A476">
        <f>Mesh!A473</f>
      </c>
      <c r="B476" s="20">
        <f>Mesh!B473</f>
      </c>
      <c r="C476" s="20">
        <f>Mesh!C473</f>
      </c>
      <c r="D476" s="20">
        <f>Mesh!D473</f>
      </c>
      <c r="E476" s="37">
        <f>INDEX(St_e0,Det+1)+INDEX(St_kx,Det+1)*C476+INDEX(St_ky,Det+1)*B476</f>
      </c>
      <c r="F476" s="20">
        <f>IF(E476&gt;0,IF(E476&lt;=eco,alpha*fck*(1-(1-E476/eco)^n),alpha*fck),0)</f>
      </c>
      <c r="G476" s="19">
        <f>F476*D476</f>
      </c>
      <c r="H476" s="19">
        <f>G476*C476</f>
      </c>
      <c r="I476" s="19">
        <f>G476*B476</f>
      </c>
      <c r="K476" s="37">
        <f>Eq_e0+Eq_kx*$C476+Eq_ky*$B476</f>
      </c>
      <c r="L476" s="20">
        <f>IF(K476&gt;0,IF(K476&lt;=eco,alpha*fck*(1-(1-K476/eco)^n),alpha*fck),0)</f>
      </c>
    </row>
    <row r="477" spans="1:12" x14ac:dyDescent="0.25">
      <c r="A477">
        <f>Mesh!A474</f>
      </c>
      <c r="B477" s="20">
        <f>Mesh!B474</f>
      </c>
      <c r="C477" s="20">
        <f>Mesh!C474</f>
      </c>
      <c r="D477" s="20">
        <f>Mesh!D474</f>
      </c>
      <c r="E477" s="37">
        <f>INDEX(St_e0,Det+1)+INDEX(St_kx,Det+1)*C477+INDEX(St_ky,Det+1)*B477</f>
      </c>
      <c r="F477" s="20">
        <f>IF(E477&gt;0,IF(E477&lt;=eco,alpha*fck*(1-(1-E477/eco)^n),alpha*fck),0)</f>
      </c>
      <c r="G477" s="19">
        <f>F477*D477</f>
      </c>
      <c r="H477" s="19">
        <f>G477*C477</f>
      </c>
      <c r="I477" s="19">
        <f>G477*B477</f>
      </c>
      <c r="K477" s="37">
        <f>Eq_e0+Eq_kx*$C477+Eq_ky*$B477</f>
      </c>
      <c r="L477" s="20">
        <f>IF(K477&gt;0,IF(K477&lt;=eco,alpha*fck*(1-(1-K477/eco)^n),alpha*fck),0)</f>
      </c>
    </row>
    <row r="478" spans="1:12" x14ac:dyDescent="0.25">
      <c r="A478">
        <f>Mesh!A475</f>
      </c>
      <c r="B478" s="20">
        <f>Mesh!B475</f>
      </c>
      <c r="C478" s="20">
        <f>Mesh!C475</f>
      </c>
      <c r="D478" s="20">
        <f>Mesh!D475</f>
      </c>
      <c r="E478" s="37">
        <f>INDEX(St_e0,Det+1)+INDEX(St_kx,Det+1)*C478+INDEX(St_ky,Det+1)*B478</f>
      </c>
      <c r="F478" s="20">
        <f>IF(E478&gt;0,IF(E478&lt;=eco,alpha*fck*(1-(1-E478/eco)^n),alpha*fck),0)</f>
      </c>
      <c r="G478" s="19">
        <f>F478*D478</f>
      </c>
      <c r="H478" s="19">
        <f>G478*C478</f>
      </c>
      <c r="I478" s="19">
        <f>G478*B478</f>
      </c>
      <c r="K478" s="37">
        <f>Eq_e0+Eq_kx*$C478+Eq_ky*$B478</f>
      </c>
      <c r="L478" s="20">
        <f>IF(K478&gt;0,IF(K478&lt;=eco,alpha*fck*(1-(1-K478/eco)^n),alpha*fck),0)</f>
      </c>
    </row>
    <row r="479" spans="1:12" x14ac:dyDescent="0.25">
      <c r="A479">
        <f>Mesh!A476</f>
      </c>
      <c r="B479" s="20">
        <f>Mesh!B476</f>
      </c>
      <c r="C479" s="20">
        <f>Mesh!C476</f>
      </c>
      <c r="D479" s="20">
        <f>Mesh!D476</f>
      </c>
      <c r="E479" s="37">
        <f>INDEX(St_e0,Det+1)+INDEX(St_kx,Det+1)*C479+INDEX(St_ky,Det+1)*B479</f>
      </c>
      <c r="F479" s="20">
        <f>IF(E479&gt;0,IF(E479&lt;=eco,alpha*fck*(1-(1-E479/eco)^n),alpha*fck),0)</f>
      </c>
      <c r="G479" s="19">
        <f>F479*D479</f>
      </c>
      <c r="H479" s="19">
        <f>G479*C479</f>
      </c>
      <c r="I479" s="19">
        <f>G479*B479</f>
      </c>
      <c r="K479" s="37">
        <f>Eq_e0+Eq_kx*$C479+Eq_ky*$B479</f>
      </c>
      <c r="L479" s="20">
        <f>IF(K479&gt;0,IF(K479&lt;=eco,alpha*fck*(1-(1-K479/eco)^n),alpha*fck),0)</f>
      </c>
    </row>
    <row r="480" spans="1:12" x14ac:dyDescent="0.25">
      <c r="A480">
        <f>Mesh!A477</f>
      </c>
      <c r="B480" s="20">
        <f>Mesh!B477</f>
      </c>
      <c r="C480" s="20">
        <f>Mesh!C477</f>
      </c>
      <c r="D480" s="20">
        <f>Mesh!D477</f>
      </c>
      <c r="E480" s="37">
        <f>INDEX(St_e0,Det+1)+INDEX(St_kx,Det+1)*C480+INDEX(St_ky,Det+1)*B480</f>
      </c>
      <c r="F480" s="20">
        <f>IF(E480&gt;0,IF(E480&lt;=eco,alpha*fck*(1-(1-E480/eco)^n),alpha*fck),0)</f>
      </c>
      <c r="G480" s="19">
        <f>F480*D480</f>
      </c>
      <c r="H480" s="19">
        <f>G480*C480</f>
      </c>
      <c r="I480" s="19">
        <f>G480*B480</f>
      </c>
      <c r="K480" s="37">
        <f>Eq_e0+Eq_kx*$C480+Eq_ky*$B480</f>
      </c>
      <c r="L480" s="20">
        <f>IF(K480&gt;0,IF(K480&lt;=eco,alpha*fck*(1-(1-K480/eco)^n),alpha*fck),0)</f>
      </c>
    </row>
    <row r="481" spans="1:12" x14ac:dyDescent="0.25">
      <c r="A481">
        <f>Mesh!A478</f>
      </c>
      <c r="B481" s="20">
        <f>Mesh!B478</f>
      </c>
      <c r="C481" s="20">
        <f>Mesh!C478</f>
      </c>
      <c r="D481" s="20">
        <f>Mesh!D478</f>
      </c>
      <c r="E481" s="37">
        <f>INDEX(St_e0,Det+1)+INDEX(St_kx,Det+1)*C481+INDEX(St_ky,Det+1)*B481</f>
      </c>
      <c r="F481" s="20">
        <f>IF(E481&gt;0,IF(E481&lt;=eco,alpha*fck*(1-(1-E481/eco)^n),alpha*fck),0)</f>
      </c>
      <c r="G481" s="19">
        <f>F481*D481</f>
      </c>
      <c r="H481" s="19">
        <f>G481*C481</f>
      </c>
      <c r="I481" s="19">
        <f>G481*B481</f>
      </c>
      <c r="K481" s="37">
        <f>Eq_e0+Eq_kx*$C481+Eq_ky*$B481</f>
      </c>
      <c r="L481" s="20">
        <f>IF(K481&gt;0,IF(K481&lt;=eco,alpha*fck*(1-(1-K481/eco)^n),alpha*fck),0)</f>
      </c>
    </row>
    <row r="482" spans="1:12" x14ac:dyDescent="0.25">
      <c r="A482">
        <f>Mesh!A479</f>
      </c>
      <c r="B482" s="20">
        <f>Mesh!B479</f>
      </c>
      <c r="C482" s="20">
        <f>Mesh!C479</f>
      </c>
      <c r="D482" s="20">
        <f>Mesh!D479</f>
      </c>
      <c r="E482" s="37">
        <f>INDEX(St_e0,Det+1)+INDEX(St_kx,Det+1)*C482+INDEX(St_ky,Det+1)*B482</f>
      </c>
      <c r="F482" s="20">
        <f>IF(E482&gt;0,IF(E482&lt;=eco,alpha*fck*(1-(1-E482/eco)^n),alpha*fck),0)</f>
      </c>
      <c r="G482" s="19">
        <f>F482*D482</f>
      </c>
      <c r="H482" s="19">
        <f>G482*C482</f>
      </c>
      <c r="I482" s="19">
        <f>G482*B482</f>
      </c>
      <c r="K482" s="37">
        <f>Eq_e0+Eq_kx*$C482+Eq_ky*$B482</f>
      </c>
      <c r="L482" s="20">
        <f>IF(K482&gt;0,IF(K482&lt;=eco,alpha*fck*(1-(1-K482/eco)^n),alpha*fck),0)</f>
      </c>
    </row>
    <row r="483" spans="1:12" x14ac:dyDescent="0.25">
      <c r="A483">
        <f>Mesh!A480</f>
      </c>
      <c r="B483" s="20">
        <f>Mesh!B480</f>
      </c>
      <c r="C483" s="20">
        <f>Mesh!C480</f>
      </c>
      <c r="D483" s="20">
        <f>Mesh!D480</f>
      </c>
      <c r="E483" s="37">
        <f>INDEX(St_e0,Det+1)+INDEX(St_kx,Det+1)*C483+INDEX(St_ky,Det+1)*B483</f>
      </c>
      <c r="F483" s="20">
        <f>IF(E483&gt;0,IF(E483&lt;=eco,alpha*fck*(1-(1-E483/eco)^n),alpha*fck),0)</f>
      </c>
      <c r="G483" s="19">
        <f>F483*D483</f>
      </c>
      <c r="H483" s="19">
        <f>G483*C483</f>
      </c>
      <c r="I483" s="19">
        <f>G483*B483</f>
      </c>
      <c r="K483" s="37">
        <f>Eq_e0+Eq_kx*$C483+Eq_ky*$B483</f>
      </c>
      <c r="L483" s="20">
        <f>IF(K483&gt;0,IF(K483&lt;=eco,alpha*fck*(1-(1-K483/eco)^n),alpha*fck),0)</f>
      </c>
    </row>
    <row r="484" spans="1:12" x14ac:dyDescent="0.25">
      <c r="A484">
        <f>Mesh!A481</f>
      </c>
      <c r="B484" s="20">
        <f>Mesh!B481</f>
      </c>
      <c r="C484" s="20">
        <f>Mesh!C481</f>
      </c>
      <c r="D484" s="20">
        <f>Mesh!D481</f>
      </c>
      <c r="E484" s="37">
        <f>INDEX(St_e0,Det+1)+INDEX(St_kx,Det+1)*C484+INDEX(St_ky,Det+1)*B484</f>
      </c>
      <c r="F484" s="20">
        <f>IF(E484&gt;0,IF(E484&lt;=eco,alpha*fck*(1-(1-E484/eco)^n),alpha*fck),0)</f>
      </c>
      <c r="G484" s="19">
        <f>F484*D484</f>
      </c>
      <c r="H484" s="19">
        <f>G484*C484</f>
      </c>
      <c r="I484" s="19">
        <f>G484*B484</f>
      </c>
      <c r="K484" s="37">
        <f>Eq_e0+Eq_kx*$C484+Eq_ky*$B484</f>
      </c>
      <c r="L484" s="20">
        <f>IF(K484&gt;0,IF(K484&lt;=eco,alpha*fck*(1-(1-K484/eco)^n),alpha*fck),0)</f>
      </c>
    </row>
    <row r="485" spans="1:12" x14ac:dyDescent="0.25">
      <c r="A485">
        <f>Mesh!A482</f>
      </c>
      <c r="B485" s="20">
        <f>Mesh!B482</f>
      </c>
      <c r="C485" s="20">
        <f>Mesh!C482</f>
      </c>
      <c r="D485" s="20">
        <f>Mesh!D482</f>
      </c>
      <c r="E485" s="37">
        <f>INDEX(St_e0,Det+1)+INDEX(St_kx,Det+1)*C485+INDEX(St_ky,Det+1)*B485</f>
      </c>
      <c r="F485" s="20">
        <f>IF(E485&gt;0,IF(E485&lt;=eco,alpha*fck*(1-(1-E485/eco)^n),alpha*fck),0)</f>
      </c>
      <c r="G485" s="19">
        <f>F485*D485</f>
      </c>
      <c r="H485" s="19">
        <f>G485*C485</f>
      </c>
      <c r="I485" s="19">
        <f>G485*B485</f>
      </c>
      <c r="K485" s="37">
        <f>Eq_e0+Eq_kx*$C485+Eq_ky*$B485</f>
      </c>
      <c r="L485" s="20">
        <f>IF(K485&gt;0,IF(K485&lt;=eco,alpha*fck*(1-(1-K485/eco)^n),alpha*fck),0)</f>
      </c>
    </row>
    <row r="486" spans="1:12" x14ac:dyDescent="0.25">
      <c r="A486">
        <f>Mesh!A483</f>
      </c>
      <c r="B486" s="20">
        <f>Mesh!B483</f>
      </c>
      <c r="C486" s="20">
        <f>Mesh!C483</f>
      </c>
      <c r="D486" s="20">
        <f>Mesh!D483</f>
      </c>
      <c r="E486" s="37">
        <f>INDEX(St_e0,Det+1)+INDEX(St_kx,Det+1)*C486+INDEX(St_ky,Det+1)*B486</f>
      </c>
      <c r="F486" s="20">
        <f>IF(E486&gt;0,IF(E486&lt;=eco,alpha*fck*(1-(1-E486/eco)^n),alpha*fck),0)</f>
      </c>
      <c r="G486" s="19">
        <f>F486*D486</f>
      </c>
      <c r="H486" s="19">
        <f>G486*C486</f>
      </c>
      <c r="I486" s="19">
        <f>G486*B486</f>
      </c>
      <c r="K486" s="37">
        <f>Eq_e0+Eq_kx*$C486+Eq_ky*$B486</f>
      </c>
      <c r="L486" s="20">
        <f>IF(K486&gt;0,IF(K486&lt;=eco,alpha*fck*(1-(1-K486/eco)^n),alpha*fck),0)</f>
      </c>
    </row>
    <row r="487" spans="1:12" x14ac:dyDescent="0.25">
      <c r="A487">
        <f>Mesh!A484</f>
      </c>
      <c r="B487" s="20">
        <f>Mesh!B484</f>
      </c>
      <c r="C487" s="20">
        <f>Mesh!C484</f>
      </c>
      <c r="D487" s="20">
        <f>Mesh!D484</f>
      </c>
      <c r="E487" s="37">
        <f>INDEX(St_e0,Det+1)+INDEX(St_kx,Det+1)*C487+INDEX(St_ky,Det+1)*B487</f>
      </c>
      <c r="F487" s="20">
        <f>IF(E487&gt;0,IF(E487&lt;=eco,alpha*fck*(1-(1-E487/eco)^n),alpha*fck),0)</f>
      </c>
      <c r="G487" s="19">
        <f>F487*D487</f>
      </c>
      <c r="H487" s="19">
        <f>G487*C487</f>
      </c>
      <c r="I487" s="19">
        <f>G487*B487</f>
      </c>
      <c r="K487" s="37">
        <f>Eq_e0+Eq_kx*$C487+Eq_ky*$B487</f>
      </c>
      <c r="L487" s="20">
        <f>IF(K487&gt;0,IF(K487&lt;=eco,alpha*fck*(1-(1-K487/eco)^n),alpha*fck),0)</f>
      </c>
    </row>
    <row r="488" spans="1:12" x14ac:dyDescent="0.25">
      <c r="A488">
        <f>Mesh!A485</f>
      </c>
      <c r="B488" s="20">
        <f>Mesh!B485</f>
      </c>
      <c r="C488" s="20">
        <f>Mesh!C485</f>
      </c>
      <c r="D488" s="20">
        <f>Mesh!D485</f>
      </c>
      <c r="E488" s="37">
        <f>INDEX(St_e0,Det+1)+INDEX(St_kx,Det+1)*C488+INDEX(St_ky,Det+1)*B488</f>
      </c>
      <c r="F488" s="20">
        <f>IF(E488&gt;0,IF(E488&lt;=eco,alpha*fck*(1-(1-E488/eco)^n),alpha*fck),0)</f>
      </c>
      <c r="G488" s="19">
        <f>F488*D488</f>
      </c>
      <c r="H488" s="19">
        <f>G488*C488</f>
      </c>
      <c r="I488" s="19">
        <f>G488*B488</f>
      </c>
      <c r="K488" s="37">
        <f>Eq_e0+Eq_kx*$C488+Eq_ky*$B488</f>
      </c>
      <c r="L488" s="20">
        <f>IF(K488&gt;0,IF(K488&lt;=eco,alpha*fck*(1-(1-K488/eco)^n),alpha*fck),0)</f>
      </c>
    </row>
    <row r="489" spans="1:12" x14ac:dyDescent="0.25">
      <c r="A489">
        <f>Mesh!A486</f>
      </c>
      <c r="B489" s="20">
        <f>Mesh!B486</f>
      </c>
      <c r="C489" s="20">
        <f>Mesh!C486</f>
      </c>
      <c r="D489" s="20">
        <f>Mesh!D486</f>
      </c>
      <c r="E489" s="37">
        <f>INDEX(St_e0,Det+1)+INDEX(St_kx,Det+1)*C489+INDEX(St_ky,Det+1)*B489</f>
      </c>
      <c r="F489" s="20">
        <f>IF(E489&gt;0,IF(E489&lt;=eco,alpha*fck*(1-(1-E489/eco)^n),alpha*fck),0)</f>
      </c>
      <c r="G489" s="19">
        <f>F489*D489</f>
      </c>
      <c r="H489" s="19">
        <f>G489*C489</f>
      </c>
      <c r="I489" s="19">
        <f>G489*B489</f>
      </c>
      <c r="K489" s="37">
        <f>Eq_e0+Eq_kx*$C489+Eq_ky*$B489</f>
      </c>
      <c r="L489" s="20">
        <f>IF(K489&gt;0,IF(K489&lt;=eco,alpha*fck*(1-(1-K489/eco)^n),alpha*fck),0)</f>
      </c>
    </row>
    <row r="490" spans="1:12" x14ac:dyDescent="0.25">
      <c r="A490">
        <f>Mesh!A487</f>
      </c>
      <c r="B490" s="20">
        <f>Mesh!B487</f>
      </c>
      <c r="C490" s="20">
        <f>Mesh!C487</f>
      </c>
      <c r="D490" s="20">
        <f>Mesh!D487</f>
      </c>
      <c r="E490" s="37">
        <f>INDEX(St_e0,Det+1)+INDEX(St_kx,Det+1)*C490+INDEX(St_ky,Det+1)*B490</f>
      </c>
      <c r="F490" s="20">
        <f>IF(E490&gt;0,IF(E490&lt;=eco,alpha*fck*(1-(1-E490/eco)^n),alpha*fck),0)</f>
      </c>
      <c r="G490" s="19">
        <f>F490*D490</f>
      </c>
      <c r="H490" s="19">
        <f>G490*C490</f>
      </c>
      <c r="I490" s="19">
        <f>G490*B490</f>
      </c>
      <c r="K490" s="37">
        <f>Eq_e0+Eq_kx*$C490+Eq_ky*$B490</f>
      </c>
      <c r="L490" s="20">
        <f>IF(K490&gt;0,IF(K490&lt;=eco,alpha*fck*(1-(1-K490/eco)^n),alpha*fck),0)</f>
      </c>
    </row>
    <row r="491" spans="1:12" x14ac:dyDescent="0.25">
      <c r="A491">
        <f>Mesh!A488</f>
      </c>
      <c r="B491" s="20">
        <f>Mesh!B488</f>
      </c>
      <c r="C491" s="20">
        <f>Mesh!C488</f>
      </c>
      <c r="D491" s="20">
        <f>Mesh!D488</f>
      </c>
      <c r="E491" s="37">
        <f>INDEX(St_e0,Det+1)+INDEX(St_kx,Det+1)*C491+INDEX(St_ky,Det+1)*B491</f>
      </c>
      <c r="F491" s="20">
        <f>IF(E491&gt;0,IF(E491&lt;=eco,alpha*fck*(1-(1-E491/eco)^n),alpha*fck),0)</f>
      </c>
      <c r="G491" s="19">
        <f>F491*D491</f>
      </c>
      <c r="H491" s="19">
        <f>G491*C491</f>
      </c>
      <c r="I491" s="19">
        <f>G491*B491</f>
      </c>
      <c r="K491" s="37">
        <f>Eq_e0+Eq_kx*$C491+Eq_ky*$B491</f>
      </c>
      <c r="L491" s="20">
        <f>IF(K491&gt;0,IF(K491&lt;=eco,alpha*fck*(1-(1-K491/eco)^n),alpha*fck),0)</f>
      </c>
    </row>
    <row r="492" spans="1:12" x14ac:dyDescent="0.25">
      <c r="A492">
        <f>Mesh!A489</f>
      </c>
      <c r="B492" s="20">
        <f>Mesh!B489</f>
      </c>
      <c r="C492" s="20">
        <f>Mesh!C489</f>
      </c>
      <c r="D492" s="20">
        <f>Mesh!D489</f>
      </c>
      <c r="E492" s="37">
        <f>INDEX(St_e0,Det+1)+INDEX(St_kx,Det+1)*C492+INDEX(St_ky,Det+1)*B492</f>
      </c>
      <c r="F492" s="20">
        <f>IF(E492&gt;0,IF(E492&lt;=eco,alpha*fck*(1-(1-E492/eco)^n),alpha*fck),0)</f>
      </c>
      <c r="G492" s="19">
        <f>F492*D492</f>
      </c>
      <c r="H492" s="19">
        <f>G492*C492</f>
      </c>
      <c r="I492" s="19">
        <f>G492*B492</f>
      </c>
      <c r="K492" s="37">
        <f>Eq_e0+Eq_kx*$C492+Eq_ky*$B492</f>
      </c>
      <c r="L492" s="20">
        <f>IF(K492&gt;0,IF(K492&lt;=eco,alpha*fck*(1-(1-K492/eco)^n),alpha*fck),0)</f>
      </c>
    </row>
    <row r="493" spans="1:12" x14ac:dyDescent="0.25">
      <c r="A493">
        <f>Mesh!A490</f>
      </c>
      <c r="B493" s="20">
        <f>Mesh!B490</f>
      </c>
      <c r="C493" s="20">
        <f>Mesh!C490</f>
      </c>
      <c r="D493" s="20">
        <f>Mesh!D490</f>
      </c>
      <c r="E493" s="37">
        <f>INDEX(St_e0,Det+1)+INDEX(St_kx,Det+1)*C493+INDEX(St_ky,Det+1)*B493</f>
      </c>
      <c r="F493" s="20">
        <f>IF(E493&gt;0,IF(E493&lt;=eco,alpha*fck*(1-(1-E493/eco)^n),alpha*fck),0)</f>
      </c>
      <c r="G493" s="19">
        <f>F493*D493</f>
      </c>
      <c r="H493" s="19">
        <f>G493*C493</f>
      </c>
      <c r="I493" s="19">
        <f>G493*B493</f>
      </c>
      <c r="K493" s="37">
        <f>Eq_e0+Eq_kx*$C493+Eq_ky*$B493</f>
      </c>
      <c r="L493" s="20">
        <f>IF(K493&gt;0,IF(K493&lt;=eco,alpha*fck*(1-(1-K493/eco)^n),alpha*fck),0)</f>
      </c>
    </row>
    <row r="494" spans="1:12" x14ac:dyDescent="0.25">
      <c r="A494">
        <f>Mesh!A491</f>
      </c>
      <c r="B494" s="20">
        <f>Mesh!B491</f>
      </c>
      <c r="C494" s="20">
        <f>Mesh!C491</f>
      </c>
      <c r="D494" s="20">
        <f>Mesh!D491</f>
      </c>
      <c r="E494" s="37">
        <f>INDEX(St_e0,Det+1)+INDEX(St_kx,Det+1)*C494+INDEX(St_ky,Det+1)*B494</f>
      </c>
      <c r="F494" s="20">
        <f>IF(E494&gt;0,IF(E494&lt;=eco,alpha*fck*(1-(1-E494/eco)^n),alpha*fck),0)</f>
      </c>
      <c r="G494" s="19">
        <f>F494*D494</f>
      </c>
      <c r="H494" s="19">
        <f>G494*C494</f>
      </c>
      <c r="I494" s="19">
        <f>G494*B494</f>
      </c>
      <c r="K494" s="37">
        <f>Eq_e0+Eq_kx*$C494+Eq_ky*$B494</f>
      </c>
      <c r="L494" s="20">
        <f>IF(K494&gt;0,IF(K494&lt;=eco,alpha*fck*(1-(1-K494/eco)^n),alpha*fck),0)</f>
      </c>
    </row>
    <row r="495" spans="1:12" x14ac:dyDescent="0.25">
      <c r="A495">
        <f>Mesh!A492</f>
      </c>
      <c r="B495" s="20">
        <f>Mesh!B492</f>
      </c>
      <c r="C495" s="20">
        <f>Mesh!C492</f>
      </c>
      <c r="D495" s="20">
        <f>Mesh!D492</f>
      </c>
      <c r="E495" s="37">
        <f>INDEX(St_e0,Det+1)+INDEX(St_kx,Det+1)*C495+INDEX(St_ky,Det+1)*B495</f>
      </c>
      <c r="F495" s="20">
        <f>IF(E495&gt;0,IF(E495&lt;=eco,alpha*fck*(1-(1-E495/eco)^n),alpha*fck),0)</f>
      </c>
      <c r="G495" s="19">
        <f>F495*D495</f>
      </c>
      <c r="H495" s="19">
        <f>G495*C495</f>
      </c>
      <c r="I495" s="19">
        <f>G495*B495</f>
      </c>
      <c r="K495" s="37">
        <f>Eq_e0+Eq_kx*$C495+Eq_ky*$B495</f>
      </c>
      <c r="L495" s="20">
        <f>IF(K495&gt;0,IF(K495&lt;=eco,alpha*fck*(1-(1-K495/eco)^n),alpha*fck),0)</f>
      </c>
    </row>
    <row r="496" spans="1:12" x14ac:dyDescent="0.25">
      <c r="A496">
        <f>Mesh!A493</f>
      </c>
      <c r="B496" s="20">
        <f>Mesh!B493</f>
      </c>
      <c r="C496" s="20">
        <f>Mesh!C493</f>
      </c>
      <c r="D496" s="20">
        <f>Mesh!D493</f>
      </c>
      <c r="E496" s="37">
        <f>INDEX(St_e0,Det+1)+INDEX(St_kx,Det+1)*C496+INDEX(St_ky,Det+1)*B496</f>
      </c>
      <c r="F496" s="20">
        <f>IF(E496&gt;0,IF(E496&lt;=eco,alpha*fck*(1-(1-E496/eco)^n),alpha*fck),0)</f>
      </c>
      <c r="G496" s="19">
        <f>F496*D496</f>
      </c>
      <c r="H496" s="19">
        <f>G496*C496</f>
      </c>
      <c r="I496" s="19">
        <f>G496*B496</f>
      </c>
      <c r="K496" s="37">
        <f>Eq_e0+Eq_kx*$C496+Eq_ky*$B496</f>
      </c>
      <c r="L496" s="20">
        <f>IF(K496&gt;0,IF(K496&lt;=eco,alpha*fck*(1-(1-K496/eco)^n),alpha*fck),0)</f>
      </c>
    </row>
    <row r="497" spans="1:12" x14ac:dyDescent="0.25">
      <c r="A497">
        <f>Mesh!A494</f>
      </c>
      <c r="B497" s="20">
        <f>Mesh!B494</f>
      </c>
      <c r="C497" s="20">
        <f>Mesh!C494</f>
      </c>
      <c r="D497" s="20">
        <f>Mesh!D494</f>
      </c>
      <c r="E497" s="37">
        <f>INDEX(St_e0,Det+1)+INDEX(St_kx,Det+1)*C497+INDEX(St_ky,Det+1)*B497</f>
      </c>
      <c r="F497" s="20">
        <f>IF(E497&gt;0,IF(E497&lt;=eco,alpha*fck*(1-(1-E497/eco)^n),alpha*fck),0)</f>
      </c>
      <c r="G497" s="19">
        <f>F497*D497</f>
      </c>
      <c r="H497" s="19">
        <f>G497*C497</f>
      </c>
      <c r="I497" s="19">
        <f>G497*B497</f>
      </c>
      <c r="K497" s="37">
        <f>Eq_e0+Eq_kx*$C497+Eq_ky*$B497</f>
      </c>
      <c r="L497" s="20">
        <f>IF(K497&gt;0,IF(K497&lt;=eco,alpha*fck*(1-(1-K497/eco)^n),alpha*fck),0)</f>
      </c>
    </row>
    <row r="498" spans="1:12" x14ac:dyDescent="0.25">
      <c r="A498">
        <f>Mesh!A495</f>
      </c>
      <c r="B498" s="20">
        <f>Mesh!B495</f>
      </c>
      <c r="C498" s="20">
        <f>Mesh!C495</f>
      </c>
      <c r="D498" s="20">
        <f>Mesh!D495</f>
      </c>
      <c r="E498" s="37">
        <f>INDEX(St_e0,Det+1)+INDEX(St_kx,Det+1)*C498+INDEX(St_ky,Det+1)*B498</f>
      </c>
      <c r="F498" s="20">
        <f>IF(E498&gt;0,IF(E498&lt;=eco,alpha*fck*(1-(1-E498/eco)^n),alpha*fck),0)</f>
      </c>
      <c r="G498" s="19">
        <f>F498*D498</f>
      </c>
      <c r="H498" s="19">
        <f>G498*C498</f>
      </c>
      <c r="I498" s="19">
        <f>G498*B498</f>
      </c>
      <c r="K498" s="37">
        <f>Eq_e0+Eq_kx*$C498+Eq_ky*$B498</f>
      </c>
      <c r="L498" s="20">
        <f>IF(K498&gt;0,IF(K498&lt;=eco,alpha*fck*(1-(1-K498/eco)^n),alpha*fck),0)</f>
      </c>
    </row>
    <row r="499" spans="1:12" x14ac:dyDescent="0.25">
      <c r="A499">
        <f>Mesh!A496</f>
      </c>
      <c r="B499" s="20">
        <f>Mesh!B496</f>
      </c>
      <c r="C499" s="20">
        <f>Mesh!C496</f>
      </c>
      <c r="D499" s="20">
        <f>Mesh!D496</f>
      </c>
      <c r="E499" s="37">
        <f>INDEX(St_e0,Det+1)+INDEX(St_kx,Det+1)*C499+INDEX(St_ky,Det+1)*B499</f>
      </c>
      <c r="F499" s="20">
        <f>IF(E499&gt;0,IF(E499&lt;=eco,alpha*fck*(1-(1-E499/eco)^n),alpha*fck),0)</f>
      </c>
      <c r="G499" s="19">
        <f>F499*D499</f>
      </c>
      <c r="H499" s="19">
        <f>G499*C499</f>
      </c>
      <c r="I499" s="19">
        <f>G499*B499</f>
      </c>
      <c r="K499" s="37">
        <f>Eq_e0+Eq_kx*$C499+Eq_ky*$B499</f>
      </c>
      <c r="L499" s="20">
        <f>IF(K499&gt;0,IF(K499&lt;=eco,alpha*fck*(1-(1-K499/eco)^n),alpha*fck),0)</f>
      </c>
    </row>
    <row r="500" spans="1:12" x14ac:dyDescent="0.25">
      <c r="A500">
        <f>Mesh!A497</f>
      </c>
      <c r="B500" s="20">
        <f>Mesh!B497</f>
      </c>
      <c r="C500" s="20">
        <f>Mesh!C497</f>
      </c>
      <c r="D500" s="20">
        <f>Mesh!D497</f>
      </c>
      <c r="E500" s="37">
        <f>INDEX(St_e0,Det+1)+INDEX(St_kx,Det+1)*C500+INDEX(St_ky,Det+1)*B500</f>
      </c>
      <c r="F500" s="20">
        <f>IF(E500&gt;0,IF(E500&lt;=eco,alpha*fck*(1-(1-E500/eco)^n),alpha*fck),0)</f>
      </c>
      <c r="G500" s="19">
        <f>F500*D500</f>
      </c>
      <c r="H500" s="19">
        <f>G500*C500</f>
      </c>
      <c r="I500" s="19">
        <f>G500*B500</f>
      </c>
      <c r="K500" s="37">
        <f>Eq_e0+Eq_kx*$C500+Eq_ky*$B500</f>
      </c>
      <c r="L500" s="20">
        <f>IF(K500&gt;0,IF(K500&lt;=eco,alpha*fck*(1-(1-K500/eco)^n),alpha*fck),0)</f>
      </c>
    </row>
    <row r="501" spans="1:12" x14ac:dyDescent="0.25">
      <c r="A501">
        <f>Mesh!A498</f>
      </c>
      <c r="B501" s="20">
        <f>Mesh!B498</f>
      </c>
      <c r="C501" s="20">
        <f>Mesh!C498</f>
      </c>
      <c r="D501" s="20">
        <f>Mesh!D498</f>
      </c>
      <c r="E501" s="37">
        <f>INDEX(St_e0,Det+1)+INDEX(St_kx,Det+1)*C501+INDEX(St_ky,Det+1)*B501</f>
      </c>
      <c r="F501" s="20">
        <f>IF(E501&gt;0,IF(E501&lt;=eco,alpha*fck*(1-(1-E501/eco)^n),alpha*fck),0)</f>
      </c>
      <c r="G501" s="19">
        <f>F501*D501</f>
      </c>
      <c r="H501" s="19">
        <f>G501*C501</f>
      </c>
      <c r="I501" s="19">
        <f>G501*B501</f>
      </c>
      <c r="K501" s="37">
        <f>Eq_e0+Eq_kx*$C501+Eq_ky*$B501</f>
      </c>
      <c r="L501" s="20">
        <f>IF(K501&gt;0,IF(K501&lt;=eco,alpha*fck*(1-(1-K501/eco)^n),alpha*fck),0)</f>
      </c>
    </row>
    <row r="502" spans="1:12" x14ac:dyDescent="0.25">
      <c r="A502">
        <f>Mesh!A499</f>
      </c>
      <c r="B502" s="20">
        <f>Mesh!B499</f>
      </c>
      <c r="C502" s="20">
        <f>Mesh!C499</f>
      </c>
      <c r="D502" s="20">
        <f>Mesh!D499</f>
      </c>
      <c r="E502" s="37">
        <f>INDEX(St_e0,Det+1)+INDEX(St_kx,Det+1)*C502+INDEX(St_ky,Det+1)*B502</f>
      </c>
      <c r="F502" s="20">
        <f>IF(E502&gt;0,IF(E502&lt;=eco,alpha*fck*(1-(1-E502/eco)^n),alpha*fck),0)</f>
      </c>
      <c r="G502" s="19">
        <f>F502*D502</f>
      </c>
      <c r="H502" s="19">
        <f>G502*C502</f>
      </c>
      <c r="I502" s="19">
        <f>G502*B502</f>
      </c>
      <c r="K502" s="37">
        <f>Eq_e0+Eq_kx*$C502+Eq_ky*$B502</f>
      </c>
      <c r="L502" s="20">
        <f>IF(K502&gt;0,IF(K502&lt;=eco,alpha*fck*(1-(1-K502/eco)^n),alpha*fck),0)</f>
      </c>
    </row>
    <row r="503" spans="1:12" x14ac:dyDescent="0.25">
      <c r="A503">
        <f>Mesh!A500</f>
      </c>
      <c r="B503" s="20">
        <f>Mesh!B500</f>
      </c>
      <c r="C503" s="20">
        <f>Mesh!C500</f>
      </c>
      <c r="D503" s="20">
        <f>Mesh!D500</f>
      </c>
      <c r="E503" s="37">
        <f>INDEX(St_e0,Det+1)+INDEX(St_kx,Det+1)*C503+INDEX(St_ky,Det+1)*B503</f>
      </c>
      <c r="F503" s="20">
        <f>IF(E503&gt;0,IF(E503&lt;=eco,alpha*fck*(1-(1-E503/eco)^n),alpha*fck),0)</f>
      </c>
      <c r="G503" s="19">
        <f>F503*D503</f>
      </c>
      <c r="H503" s="19">
        <f>G503*C503</f>
      </c>
      <c r="I503" s="19">
        <f>G503*B503</f>
      </c>
      <c r="K503" s="37">
        <f>Eq_e0+Eq_kx*$C503+Eq_ky*$B503</f>
      </c>
      <c r="L503" s="20">
        <f>IF(K503&gt;0,IF(K503&lt;=eco,alpha*fck*(1-(1-K503/eco)^n),alpha*fck),0)</f>
      </c>
    </row>
    <row r="504" spans="1:12" x14ac:dyDescent="0.25">
      <c r="A504">
        <f>Mesh!A501</f>
      </c>
      <c r="B504" s="20">
        <f>Mesh!B501</f>
      </c>
      <c r="C504" s="20">
        <f>Mesh!C501</f>
      </c>
      <c r="D504" s="20">
        <f>Mesh!D501</f>
      </c>
      <c r="E504" s="37">
        <f>INDEX(St_e0,Det+1)+INDEX(St_kx,Det+1)*C504+INDEX(St_ky,Det+1)*B504</f>
      </c>
      <c r="F504" s="20">
        <f>IF(E504&gt;0,IF(E504&lt;=eco,alpha*fck*(1-(1-E504/eco)^n),alpha*fck),0)</f>
      </c>
      <c r="G504" s="19">
        <f>F504*D504</f>
      </c>
      <c r="H504" s="19">
        <f>G504*C504</f>
      </c>
      <c r="I504" s="19">
        <f>G504*B504</f>
      </c>
      <c r="K504" s="37">
        <f>Eq_e0+Eq_kx*$C504+Eq_ky*$B504</f>
      </c>
      <c r="L504" s="20">
        <f>IF(K504&gt;0,IF(K504&lt;=eco,alpha*fck*(1-(1-K504/eco)^n),alpha*fck),0)</f>
      </c>
    </row>
    <row r="505" spans="1:12" x14ac:dyDescent="0.25">
      <c r="A505">
        <f>Mesh!A502</f>
      </c>
      <c r="B505" s="20">
        <f>Mesh!B502</f>
      </c>
      <c r="C505" s="20">
        <f>Mesh!C502</f>
      </c>
      <c r="D505" s="20">
        <f>Mesh!D502</f>
      </c>
      <c r="E505" s="37">
        <f>INDEX(St_e0,Det+1)+INDEX(St_kx,Det+1)*C505+INDEX(St_ky,Det+1)*B505</f>
      </c>
      <c r="F505" s="20">
        <f>IF(E505&gt;0,IF(E505&lt;=eco,alpha*fck*(1-(1-E505/eco)^n),alpha*fck),0)</f>
      </c>
      <c r="G505" s="19">
        <f>F505*D505</f>
      </c>
      <c r="H505" s="19">
        <f>G505*C505</f>
      </c>
      <c r="I505" s="19">
        <f>G505*B505</f>
      </c>
      <c r="K505" s="37">
        <f>Eq_e0+Eq_kx*$C505+Eq_ky*$B505</f>
      </c>
      <c r="L505" s="20">
        <f>IF(K505&gt;0,IF(K505&lt;=eco,alpha*fck*(1-(1-K505/eco)^n),alpha*fck),0)</f>
      </c>
    </row>
    <row r="506" spans="1:12" x14ac:dyDescent="0.25">
      <c r="A506">
        <f>Mesh!A503</f>
      </c>
      <c r="B506" s="20">
        <f>Mesh!B503</f>
      </c>
      <c r="C506" s="20">
        <f>Mesh!C503</f>
      </c>
      <c r="D506" s="20">
        <f>Mesh!D503</f>
      </c>
      <c r="E506" s="37">
        <f>INDEX(St_e0,Det+1)+INDEX(St_kx,Det+1)*C506+INDEX(St_ky,Det+1)*B506</f>
      </c>
      <c r="F506" s="20">
        <f>IF(E506&gt;0,IF(E506&lt;=eco,alpha*fck*(1-(1-E506/eco)^n),alpha*fck),0)</f>
      </c>
      <c r="G506" s="19">
        <f>F506*D506</f>
      </c>
      <c r="H506" s="19">
        <f>G506*C506</f>
      </c>
      <c r="I506" s="19">
        <f>G506*B506</f>
      </c>
      <c r="K506" s="37">
        <f>Eq_e0+Eq_kx*$C506+Eq_ky*$B506</f>
      </c>
      <c r="L506" s="20">
        <f>IF(K506&gt;0,IF(K506&lt;=eco,alpha*fck*(1-(1-K506/eco)^n),alpha*fck),0)</f>
      </c>
    </row>
    <row r="507" spans="1:12" x14ac:dyDescent="0.25">
      <c r="A507">
        <f>Mesh!A504</f>
      </c>
      <c r="B507" s="20">
        <f>Mesh!B504</f>
      </c>
      <c r="C507" s="20">
        <f>Mesh!C504</f>
      </c>
      <c r="D507" s="20">
        <f>Mesh!D504</f>
      </c>
      <c r="E507" s="37">
        <f>INDEX(St_e0,Det+1)+INDEX(St_kx,Det+1)*C507+INDEX(St_ky,Det+1)*B507</f>
      </c>
      <c r="F507" s="20">
        <f>IF(E507&gt;0,IF(E507&lt;=eco,alpha*fck*(1-(1-E507/eco)^n),alpha*fck),0)</f>
      </c>
      <c r="G507" s="19">
        <f>F507*D507</f>
      </c>
      <c r="H507" s="19">
        <f>G507*C507</f>
      </c>
      <c r="I507" s="19">
        <f>G507*B507</f>
      </c>
      <c r="K507" s="37">
        <f>Eq_e0+Eq_kx*$C507+Eq_ky*$B507</f>
      </c>
      <c r="L507" s="20">
        <f>IF(K507&gt;0,IF(K507&lt;=eco,alpha*fck*(1-(1-K507/eco)^n),alpha*fck),0)</f>
      </c>
    </row>
    <row r="508" spans="1:12" x14ac:dyDescent="0.25">
      <c r="A508">
        <f>Mesh!A505</f>
      </c>
      <c r="B508" s="20">
        <f>Mesh!B505</f>
      </c>
      <c r="C508" s="20">
        <f>Mesh!C505</f>
      </c>
      <c r="D508" s="20">
        <f>Mesh!D505</f>
      </c>
      <c r="E508" s="37">
        <f>INDEX(St_e0,Det+1)+INDEX(St_kx,Det+1)*C508+INDEX(St_ky,Det+1)*B508</f>
      </c>
      <c r="F508" s="20">
        <f>IF(E508&gt;0,IF(E508&lt;=eco,alpha*fck*(1-(1-E508/eco)^n),alpha*fck),0)</f>
      </c>
      <c r="G508" s="19">
        <f>F508*D508</f>
      </c>
      <c r="H508" s="19">
        <f>G508*C508</f>
      </c>
      <c r="I508" s="19">
        <f>G508*B508</f>
      </c>
      <c r="K508" s="37">
        <f>Eq_e0+Eq_kx*$C508+Eq_ky*$B508</f>
      </c>
      <c r="L508" s="20">
        <f>IF(K508&gt;0,IF(K508&lt;=eco,alpha*fck*(1-(1-K508/eco)^n),alpha*fck),0)</f>
      </c>
    </row>
    <row r="509" spans="1:12" x14ac:dyDescent="0.25">
      <c r="A509">
        <f>Mesh!A506</f>
      </c>
      <c r="B509" s="20">
        <f>Mesh!B506</f>
      </c>
      <c r="C509" s="20">
        <f>Mesh!C506</f>
      </c>
      <c r="D509" s="20">
        <f>Mesh!D506</f>
      </c>
      <c r="E509" s="37">
        <f>INDEX(St_e0,Det+1)+INDEX(St_kx,Det+1)*C509+INDEX(St_ky,Det+1)*B509</f>
      </c>
      <c r="F509" s="20">
        <f>IF(E509&gt;0,IF(E509&lt;=eco,alpha*fck*(1-(1-E509/eco)^n),alpha*fck),0)</f>
      </c>
      <c r="G509" s="19">
        <f>F509*D509</f>
      </c>
      <c r="H509" s="19">
        <f>G509*C509</f>
      </c>
      <c r="I509" s="19">
        <f>G509*B509</f>
      </c>
      <c r="K509" s="37">
        <f>Eq_e0+Eq_kx*$C509+Eq_ky*$B509</f>
      </c>
      <c r="L509" s="20">
        <f>IF(K509&gt;0,IF(K509&lt;=eco,alpha*fck*(1-(1-K509/eco)^n),alpha*fck),0)</f>
      </c>
    </row>
    <row r="510" spans="1:12" x14ac:dyDescent="0.25">
      <c r="A510">
        <f>Mesh!A507</f>
      </c>
      <c r="B510" s="20">
        <f>Mesh!B507</f>
      </c>
      <c r="C510" s="20">
        <f>Mesh!C507</f>
      </c>
      <c r="D510" s="20">
        <f>Mesh!D507</f>
      </c>
      <c r="E510" s="37">
        <f>INDEX(St_e0,Det+1)+INDEX(St_kx,Det+1)*C510+INDEX(St_ky,Det+1)*B510</f>
      </c>
      <c r="F510" s="20">
        <f>IF(E510&gt;0,IF(E510&lt;=eco,alpha*fck*(1-(1-E510/eco)^n),alpha*fck),0)</f>
      </c>
      <c r="G510" s="19">
        <f>F510*D510</f>
      </c>
      <c r="H510" s="19">
        <f>G510*C510</f>
      </c>
      <c r="I510" s="19">
        <f>G510*B510</f>
      </c>
      <c r="K510" s="37">
        <f>Eq_e0+Eq_kx*$C510+Eq_ky*$B510</f>
      </c>
      <c r="L510" s="20">
        <f>IF(K510&gt;0,IF(K510&lt;=eco,alpha*fck*(1-(1-K510/eco)^n),alpha*fck),0)</f>
      </c>
    </row>
    <row r="511" spans="1:12" x14ac:dyDescent="0.25">
      <c r="A511">
        <f>Mesh!A508</f>
      </c>
      <c r="B511" s="20">
        <f>Mesh!B508</f>
      </c>
      <c r="C511" s="20">
        <f>Mesh!C508</f>
      </c>
      <c r="D511" s="20">
        <f>Mesh!D508</f>
      </c>
      <c r="E511" s="37">
        <f>INDEX(St_e0,Det+1)+INDEX(St_kx,Det+1)*C511+INDEX(St_ky,Det+1)*B511</f>
      </c>
      <c r="F511" s="20">
        <f>IF(E511&gt;0,IF(E511&lt;=eco,alpha*fck*(1-(1-E511/eco)^n),alpha*fck),0)</f>
      </c>
      <c r="G511" s="19">
        <f>F511*D511</f>
      </c>
      <c r="H511" s="19">
        <f>G511*C511</f>
      </c>
      <c r="I511" s="19">
        <f>G511*B511</f>
      </c>
      <c r="K511" s="37">
        <f>Eq_e0+Eq_kx*$C511+Eq_ky*$B511</f>
      </c>
      <c r="L511" s="20">
        <f>IF(K511&gt;0,IF(K511&lt;=eco,alpha*fck*(1-(1-K511/eco)^n),alpha*fck),0)</f>
      </c>
    </row>
    <row r="512" spans="1:12" x14ac:dyDescent="0.25">
      <c r="A512">
        <f>Mesh!A509</f>
      </c>
      <c r="B512" s="20">
        <f>Mesh!B509</f>
      </c>
      <c r="C512" s="20">
        <f>Mesh!C509</f>
      </c>
      <c r="D512" s="20">
        <f>Mesh!D509</f>
      </c>
      <c r="E512" s="37">
        <f>INDEX(St_e0,Det+1)+INDEX(St_kx,Det+1)*C512+INDEX(St_ky,Det+1)*B512</f>
      </c>
      <c r="F512" s="20">
        <f>IF(E512&gt;0,IF(E512&lt;=eco,alpha*fck*(1-(1-E512/eco)^n),alpha*fck),0)</f>
      </c>
      <c r="G512" s="19">
        <f>F512*D512</f>
      </c>
      <c r="H512" s="19">
        <f>G512*C512</f>
      </c>
      <c r="I512" s="19">
        <f>G512*B512</f>
      </c>
      <c r="K512" s="37">
        <f>Eq_e0+Eq_kx*$C512+Eq_ky*$B512</f>
      </c>
      <c r="L512" s="20">
        <f>IF(K512&gt;0,IF(K512&lt;=eco,alpha*fck*(1-(1-K512/eco)^n),alpha*fck),0)</f>
      </c>
    </row>
    <row r="513" spans="1:12" x14ac:dyDescent="0.25">
      <c r="A513">
        <f>Mesh!A510</f>
      </c>
      <c r="B513" s="20">
        <f>Mesh!B510</f>
      </c>
      <c r="C513" s="20">
        <f>Mesh!C510</f>
      </c>
      <c r="D513" s="20">
        <f>Mesh!D510</f>
      </c>
      <c r="E513" s="37">
        <f>INDEX(St_e0,Det+1)+INDEX(St_kx,Det+1)*C513+INDEX(St_ky,Det+1)*B513</f>
      </c>
      <c r="F513" s="20">
        <f>IF(E513&gt;0,IF(E513&lt;=eco,alpha*fck*(1-(1-E513/eco)^n),alpha*fck),0)</f>
      </c>
      <c r="G513" s="19">
        <f>F513*D513</f>
      </c>
      <c r="H513" s="19">
        <f>G513*C513</f>
      </c>
      <c r="I513" s="19">
        <f>G513*B513</f>
      </c>
      <c r="K513" s="37">
        <f>Eq_e0+Eq_kx*$C513+Eq_ky*$B513</f>
      </c>
      <c r="L513" s="20">
        <f>IF(K513&gt;0,IF(K513&lt;=eco,alpha*fck*(1-(1-K513/eco)^n),alpha*fck),0)</f>
      </c>
    </row>
    <row r="514" spans="1:12" x14ac:dyDescent="0.25">
      <c r="A514">
        <f>Mesh!A511</f>
      </c>
      <c r="B514" s="20">
        <f>Mesh!B511</f>
      </c>
      <c r="C514" s="20">
        <f>Mesh!C511</f>
      </c>
      <c r="D514" s="20">
        <f>Mesh!D511</f>
      </c>
      <c r="E514" s="37">
        <f>INDEX(St_e0,Det+1)+INDEX(St_kx,Det+1)*C514+INDEX(St_ky,Det+1)*B514</f>
      </c>
      <c r="F514" s="20">
        <f>IF(E514&gt;0,IF(E514&lt;=eco,alpha*fck*(1-(1-E514/eco)^n),alpha*fck),0)</f>
      </c>
      <c r="G514" s="19">
        <f>F514*D514</f>
      </c>
      <c r="H514" s="19">
        <f>G514*C514</f>
      </c>
      <c r="I514" s="19">
        <f>G514*B514</f>
      </c>
      <c r="K514" s="37">
        <f>Eq_e0+Eq_kx*$C514+Eq_ky*$B514</f>
      </c>
      <c r="L514" s="20">
        <f>IF(K514&gt;0,IF(K514&lt;=eco,alpha*fck*(1-(1-K514/eco)^n),alpha*fck),0)</f>
      </c>
    </row>
    <row r="515" spans="1:12" x14ac:dyDescent="0.25">
      <c r="A515">
        <f>Mesh!A512</f>
      </c>
      <c r="B515" s="20">
        <f>Mesh!B512</f>
      </c>
      <c r="C515" s="20">
        <f>Mesh!C512</f>
      </c>
      <c r="D515" s="20">
        <f>Mesh!D512</f>
      </c>
      <c r="E515" s="37">
        <f>INDEX(St_e0,Det+1)+INDEX(St_kx,Det+1)*C515+INDEX(St_ky,Det+1)*B515</f>
      </c>
      <c r="F515" s="20">
        <f>IF(E515&gt;0,IF(E515&lt;=eco,alpha*fck*(1-(1-E515/eco)^n),alpha*fck),0)</f>
      </c>
      <c r="G515" s="19">
        <f>F515*D515</f>
      </c>
      <c r="H515" s="19">
        <f>G515*C515</f>
      </c>
      <c r="I515" s="19">
        <f>G515*B515</f>
      </c>
      <c r="K515" s="37">
        <f>Eq_e0+Eq_kx*$C515+Eq_ky*$B515</f>
      </c>
      <c r="L515" s="20">
        <f>IF(K515&gt;0,IF(K515&lt;=eco,alpha*fck*(1-(1-K515/eco)^n),alpha*fck),0)</f>
      </c>
    </row>
    <row r="516" spans="1:12" x14ac:dyDescent="0.25">
      <c r="A516">
        <f>Mesh!A513</f>
      </c>
      <c r="B516" s="20">
        <f>Mesh!B513</f>
      </c>
      <c r="C516" s="20">
        <f>Mesh!C513</f>
      </c>
      <c r="D516" s="20">
        <f>Mesh!D513</f>
      </c>
      <c r="E516" s="37">
        <f>INDEX(St_e0,Det+1)+INDEX(St_kx,Det+1)*C516+INDEX(St_ky,Det+1)*B516</f>
      </c>
      <c r="F516" s="20">
        <f>IF(E516&gt;0,IF(E516&lt;=eco,alpha*fck*(1-(1-E516/eco)^n),alpha*fck),0)</f>
      </c>
      <c r="G516" s="19">
        <f>F516*D516</f>
      </c>
      <c r="H516" s="19">
        <f>G516*C516</f>
      </c>
      <c r="I516" s="19">
        <f>G516*B516</f>
      </c>
      <c r="K516" s="37">
        <f>Eq_e0+Eq_kx*$C516+Eq_ky*$B516</f>
      </c>
      <c r="L516" s="20">
        <f>IF(K516&gt;0,IF(K516&lt;=eco,alpha*fck*(1-(1-K516/eco)^n),alpha*fck),0)</f>
      </c>
    </row>
    <row r="517" spans="1:12" x14ac:dyDescent="0.25">
      <c r="A517">
        <f>Mesh!A514</f>
      </c>
      <c r="B517" s="20">
        <f>Mesh!B514</f>
      </c>
      <c r="C517" s="20">
        <f>Mesh!C514</f>
      </c>
      <c r="D517" s="20">
        <f>Mesh!D514</f>
      </c>
      <c r="E517" s="37">
        <f>INDEX(St_e0,Det+1)+INDEX(St_kx,Det+1)*C517+INDEX(St_ky,Det+1)*B517</f>
      </c>
      <c r="F517" s="20">
        <f>IF(E517&gt;0,IF(E517&lt;=eco,alpha*fck*(1-(1-E517/eco)^n),alpha*fck),0)</f>
      </c>
      <c r="G517" s="19">
        <f>F517*D517</f>
      </c>
      <c r="H517" s="19">
        <f>G517*C517</f>
      </c>
      <c r="I517" s="19">
        <f>G517*B517</f>
      </c>
      <c r="K517" s="37">
        <f>Eq_e0+Eq_kx*$C517+Eq_ky*$B517</f>
      </c>
      <c r="L517" s="20">
        <f>IF(K517&gt;0,IF(K517&lt;=eco,alpha*fck*(1-(1-K517/eco)^n),alpha*fck),0)</f>
      </c>
    </row>
    <row r="518" spans="1:12" x14ac:dyDescent="0.25">
      <c r="A518">
        <f>Mesh!A515</f>
      </c>
      <c r="B518" s="20">
        <f>Mesh!B515</f>
      </c>
      <c r="C518" s="20">
        <f>Mesh!C515</f>
      </c>
      <c r="D518" s="20">
        <f>Mesh!D515</f>
      </c>
      <c r="E518" s="37">
        <f>INDEX(St_e0,Det+1)+INDEX(St_kx,Det+1)*C518+INDEX(St_ky,Det+1)*B518</f>
      </c>
      <c r="F518" s="20">
        <f>IF(E518&gt;0,IF(E518&lt;=eco,alpha*fck*(1-(1-E518/eco)^n),alpha*fck),0)</f>
      </c>
      <c r="G518" s="19">
        <f>F518*D518</f>
      </c>
      <c r="H518" s="19">
        <f>G518*C518</f>
      </c>
      <c r="I518" s="19">
        <f>G518*B518</f>
      </c>
      <c r="K518" s="37">
        <f>Eq_e0+Eq_kx*$C518+Eq_ky*$B518</f>
      </c>
      <c r="L518" s="20">
        <f>IF(K518&gt;0,IF(K518&lt;=eco,alpha*fck*(1-(1-K518/eco)^n),alpha*fck),0)</f>
      </c>
    </row>
    <row r="519" spans="1:12" x14ac:dyDescent="0.25">
      <c r="A519">
        <f>Mesh!A516</f>
      </c>
      <c r="B519" s="20">
        <f>Mesh!B516</f>
      </c>
      <c r="C519" s="20">
        <f>Mesh!C516</f>
      </c>
      <c r="D519" s="20">
        <f>Mesh!D516</f>
      </c>
      <c r="E519" s="37">
        <f>INDEX(St_e0,Det+1)+INDEX(St_kx,Det+1)*C519+INDEX(St_ky,Det+1)*B519</f>
      </c>
      <c r="F519" s="20">
        <f>IF(E519&gt;0,IF(E519&lt;=eco,alpha*fck*(1-(1-E519/eco)^n),alpha*fck),0)</f>
      </c>
      <c r="G519" s="19">
        <f>F519*D519</f>
      </c>
      <c r="H519" s="19">
        <f>G519*C519</f>
      </c>
      <c r="I519" s="19">
        <f>G519*B519</f>
      </c>
      <c r="K519" s="37">
        <f>Eq_e0+Eq_kx*$C519+Eq_ky*$B519</f>
      </c>
      <c r="L519" s="20">
        <f>IF(K519&gt;0,IF(K519&lt;=eco,alpha*fck*(1-(1-K519/eco)^n),alpha*fck),0)</f>
      </c>
    </row>
    <row r="520" spans="1:12" x14ac:dyDescent="0.25">
      <c r="A520">
        <f>Mesh!A517</f>
      </c>
      <c r="B520" s="20">
        <f>Mesh!B517</f>
      </c>
      <c r="C520" s="20">
        <f>Mesh!C517</f>
      </c>
      <c r="D520" s="20">
        <f>Mesh!D517</f>
      </c>
      <c r="E520" s="37">
        <f>INDEX(St_e0,Det+1)+INDEX(St_kx,Det+1)*C520+INDEX(St_ky,Det+1)*B520</f>
      </c>
      <c r="F520" s="20">
        <f>IF(E520&gt;0,IF(E520&lt;=eco,alpha*fck*(1-(1-E520/eco)^n),alpha*fck),0)</f>
      </c>
      <c r="G520" s="19">
        <f>F520*D520</f>
      </c>
      <c r="H520" s="19">
        <f>G520*C520</f>
      </c>
      <c r="I520" s="19">
        <f>G520*B520</f>
      </c>
      <c r="K520" s="37">
        <f>Eq_e0+Eq_kx*$C520+Eq_ky*$B520</f>
      </c>
      <c r="L520" s="20">
        <f>IF(K520&gt;0,IF(K520&lt;=eco,alpha*fck*(1-(1-K520/eco)^n),alpha*fck),0)</f>
      </c>
    </row>
    <row r="521" spans="1:12" x14ac:dyDescent="0.25">
      <c r="A521">
        <f>Mesh!A518</f>
      </c>
      <c r="B521" s="20">
        <f>Mesh!B518</f>
      </c>
      <c r="C521" s="20">
        <f>Mesh!C518</f>
      </c>
      <c r="D521" s="20">
        <f>Mesh!D518</f>
      </c>
      <c r="E521" s="37">
        <f>INDEX(St_e0,Det+1)+INDEX(St_kx,Det+1)*C521+INDEX(St_ky,Det+1)*B521</f>
      </c>
      <c r="F521" s="20">
        <f>IF(E521&gt;0,IF(E521&lt;=eco,alpha*fck*(1-(1-E521/eco)^n),alpha*fck),0)</f>
      </c>
      <c r="G521" s="19">
        <f>F521*D521</f>
      </c>
      <c r="H521" s="19">
        <f>G521*C521</f>
      </c>
      <c r="I521" s="19">
        <f>G521*B521</f>
      </c>
      <c r="K521" s="37">
        <f>Eq_e0+Eq_kx*$C521+Eq_ky*$B521</f>
      </c>
      <c r="L521" s="20">
        <f>IF(K521&gt;0,IF(K521&lt;=eco,alpha*fck*(1-(1-K521/eco)^n),alpha*fck),0)</f>
      </c>
    </row>
    <row r="522" spans="1:12" x14ac:dyDescent="0.25">
      <c r="A522">
        <f>Mesh!A519</f>
      </c>
      <c r="B522" s="20">
        <f>Mesh!B519</f>
      </c>
      <c r="C522" s="20">
        <f>Mesh!C519</f>
      </c>
      <c r="D522" s="20">
        <f>Mesh!D519</f>
      </c>
      <c r="E522" s="37">
        <f>INDEX(St_e0,Det+1)+INDEX(St_kx,Det+1)*C522+INDEX(St_ky,Det+1)*B522</f>
      </c>
      <c r="F522" s="20">
        <f>IF(E522&gt;0,IF(E522&lt;=eco,alpha*fck*(1-(1-E522/eco)^n),alpha*fck),0)</f>
      </c>
      <c r="G522" s="19">
        <f>F522*D522</f>
      </c>
      <c r="H522" s="19">
        <f>G522*C522</f>
      </c>
      <c r="I522" s="19">
        <f>G522*B522</f>
      </c>
      <c r="K522" s="37">
        <f>Eq_e0+Eq_kx*$C522+Eq_ky*$B522</f>
      </c>
      <c r="L522" s="20">
        <f>IF(K522&gt;0,IF(K522&lt;=eco,alpha*fck*(1-(1-K522/eco)^n),alpha*fck),0)</f>
      </c>
    </row>
    <row r="523" spans="1:12" x14ac:dyDescent="0.25">
      <c r="A523">
        <f>Mesh!A520</f>
      </c>
      <c r="B523" s="20">
        <f>Mesh!B520</f>
      </c>
      <c r="C523" s="20">
        <f>Mesh!C520</f>
      </c>
      <c r="D523" s="20">
        <f>Mesh!D520</f>
      </c>
      <c r="E523" s="37">
        <f>INDEX(St_e0,Det+1)+INDEX(St_kx,Det+1)*C523+INDEX(St_ky,Det+1)*B523</f>
      </c>
      <c r="F523" s="20">
        <f>IF(E523&gt;0,IF(E523&lt;=eco,alpha*fck*(1-(1-E523/eco)^n),alpha*fck),0)</f>
      </c>
      <c r="G523" s="19">
        <f>F523*D523</f>
      </c>
      <c r="H523" s="19">
        <f>G523*C523</f>
      </c>
      <c r="I523" s="19">
        <f>G523*B523</f>
      </c>
      <c r="K523" s="37">
        <f>Eq_e0+Eq_kx*$C523+Eq_ky*$B523</f>
      </c>
      <c r="L523" s="20">
        <f>IF(K523&gt;0,IF(K523&lt;=eco,alpha*fck*(1-(1-K523/eco)^n),alpha*fck),0)</f>
      </c>
    </row>
    <row r="524" spans="1:12" x14ac:dyDescent="0.25">
      <c r="A524">
        <f>Mesh!A521</f>
      </c>
      <c r="B524" s="20">
        <f>Mesh!B521</f>
      </c>
      <c r="C524" s="20">
        <f>Mesh!C521</f>
      </c>
      <c r="D524" s="20">
        <f>Mesh!D521</f>
      </c>
      <c r="E524" s="37">
        <f>INDEX(St_e0,Det+1)+INDEX(St_kx,Det+1)*C524+INDEX(St_ky,Det+1)*B524</f>
      </c>
      <c r="F524" s="20">
        <f>IF(E524&gt;0,IF(E524&lt;=eco,alpha*fck*(1-(1-E524/eco)^n),alpha*fck),0)</f>
      </c>
      <c r="G524" s="19">
        <f>F524*D524</f>
      </c>
      <c r="H524" s="19">
        <f>G524*C524</f>
      </c>
      <c r="I524" s="19">
        <f>G524*B524</f>
      </c>
      <c r="K524" s="37">
        <f>Eq_e0+Eq_kx*$C524+Eq_ky*$B524</f>
      </c>
      <c r="L524" s="20">
        <f>IF(K524&gt;0,IF(K524&lt;=eco,alpha*fck*(1-(1-K524/eco)^n),alpha*fck),0)</f>
      </c>
    </row>
    <row r="525" spans="1:12" x14ac:dyDescent="0.25">
      <c r="A525">
        <f>Mesh!A522</f>
      </c>
      <c r="B525" s="20">
        <f>Mesh!B522</f>
      </c>
      <c r="C525" s="20">
        <f>Mesh!C522</f>
      </c>
      <c r="D525" s="20">
        <f>Mesh!D522</f>
      </c>
      <c r="E525" s="37">
        <f>INDEX(St_e0,Det+1)+INDEX(St_kx,Det+1)*C525+INDEX(St_ky,Det+1)*B525</f>
      </c>
      <c r="F525" s="20">
        <f>IF(E525&gt;0,IF(E525&lt;=eco,alpha*fck*(1-(1-E525/eco)^n),alpha*fck),0)</f>
      </c>
      <c r="G525" s="19">
        <f>F525*D525</f>
      </c>
      <c r="H525" s="19">
        <f>G525*C525</f>
      </c>
      <c r="I525" s="19">
        <f>G525*B525</f>
      </c>
      <c r="K525" s="37">
        <f>Eq_e0+Eq_kx*$C525+Eq_ky*$B525</f>
      </c>
      <c r="L525" s="20">
        <f>IF(K525&gt;0,IF(K525&lt;=eco,alpha*fck*(1-(1-K525/eco)^n),alpha*fck),0)</f>
      </c>
    </row>
    <row r="526" spans="1:12" x14ac:dyDescent="0.25">
      <c r="A526">
        <f>Mesh!A523</f>
      </c>
      <c r="B526" s="20">
        <f>Mesh!B523</f>
      </c>
      <c r="C526" s="20">
        <f>Mesh!C523</f>
      </c>
      <c r="D526" s="20">
        <f>Mesh!D523</f>
      </c>
      <c r="E526" s="37">
        <f>INDEX(St_e0,Det+1)+INDEX(St_kx,Det+1)*C526+INDEX(St_ky,Det+1)*B526</f>
      </c>
      <c r="F526" s="20">
        <f>IF(E526&gt;0,IF(E526&lt;=eco,alpha*fck*(1-(1-E526/eco)^n),alpha*fck),0)</f>
      </c>
      <c r="G526" s="19">
        <f>F526*D526</f>
      </c>
      <c r="H526" s="19">
        <f>G526*C526</f>
      </c>
      <c r="I526" s="19">
        <f>G526*B526</f>
      </c>
      <c r="K526" s="37">
        <f>Eq_e0+Eq_kx*$C526+Eq_ky*$B526</f>
      </c>
      <c r="L526" s="20">
        <f>IF(K526&gt;0,IF(K526&lt;=eco,alpha*fck*(1-(1-K526/eco)^n),alpha*fck),0)</f>
      </c>
    </row>
    <row r="527" spans="1:12" x14ac:dyDescent="0.25">
      <c r="A527">
        <f>Mesh!A524</f>
      </c>
      <c r="B527" s="20">
        <f>Mesh!B524</f>
      </c>
      <c r="C527" s="20">
        <f>Mesh!C524</f>
      </c>
      <c r="D527" s="20">
        <f>Mesh!D524</f>
      </c>
      <c r="E527" s="37">
        <f>INDEX(St_e0,Det+1)+INDEX(St_kx,Det+1)*C527+INDEX(St_ky,Det+1)*B527</f>
      </c>
      <c r="F527" s="20">
        <f>IF(E527&gt;0,IF(E527&lt;=eco,alpha*fck*(1-(1-E527/eco)^n),alpha*fck),0)</f>
      </c>
      <c r="G527" s="19">
        <f>F527*D527</f>
      </c>
      <c r="H527" s="19">
        <f>G527*C527</f>
      </c>
      <c r="I527" s="19">
        <f>G527*B527</f>
      </c>
      <c r="K527" s="37">
        <f>Eq_e0+Eq_kx*$C527+Eq_ky*$B527</f>
      </c>
      <c r="L527" s="20">
        <f>IF(K527&gt;0,IF(K527&lt;=eco,alpha*fck*(1-(1-K527/eco)^n),alpha*fck),0)</f>
      </c>
    </row>
    <row r="528" spans="1:12" x14ac:dyDescent="0.25">
      <c r="A528">
        <f>Mesh!A525</f>
      </c>
      <c r="B528" s="20">
        <f>Mesh!B525</f>
      </c>
      <c r="C528" s="20">
        <f>Mesh!C525</f>
      </c>
      <c r="D528" s="20">
        <f>Mesh!D525</f>
      </c>
      <c r="E528" s="37">
        <f>INDEX(St_e0,Det+1)+INDEX(St_kx,Det+1)*C528+INDEX(St_ky,Det+1)*B528</f>
      </c>
      <c r="F528" s="20">
        <f>IF(E528&gt;0,IF(E528&lt;=eco,alpha*fck*(1-(1-E528/eco)^n),alpha*fck),0)</f>
      </c>
      <c r="G528" s="19">
        <f>F528*D528</f>
      </c>
      <c r="H528" s="19">
        <f>G528*C528</f>
      </c>
      <c r="I528" s="19">
        <f>G528*B528</f>
      </c>
      <c r="K528" s="37">
        <f>Eq_e0+Eq_kx*$C528+Eq_ky*$B528</f>
      </c>
      <c r="L528" s="20">
        <f>IF(K528&gt;0,IF(K528&lt;=eco,alpha*fck*(1-(1-K528/eco)^n),alpha*fck),0)</f>
      </c>
    </row>
    <row r="529" spans="1:12" x14ac:dyDescent="0.25">
      <c r="A529">
        <f>Mesh!A526</f>
      </c>
      <c r="B529" s="20">
        <f>Mesh!B526</f>
      </c>
      <c r="C529" s="20">
        <f>Mesh!C526</f>
      </c>
      <c r="D529" s="20">
        <f>Mesh!D526</f>
      </c>
      <c r="E529" s="37">
        <f>INDEX(St_e0,Det+1)+INDEX(St_kx,Det+1)*C529+INDEX(St_ky,Det+1)*B529</f>
      </c>
      <c r="F529" s="20">
        <f>IF(E529&gt;0,IF(E529&lt;=eco,alpha*fck*(1-(1-E529/eco)^n),alpha*fck),0)</f>
      </c>
      <c r="G529" s="19">
        <f>F529*D529</f>
      </c>
      <c r="H529" s="19">
        <f>G529*C529</f>
      </c>
      <c r="I529" s="19">
        <f>G529*B529</f>
      </c>
      <c r="K529" s="37">
        <f>Eq_e0+Eq_kx*$C529+Eq_ky*$B529</f>
      </c>
      <c r="L529" s="20">
        <f>IF(K529&gt;0,IF(K529&lt;=eco,alpha*fck*(1-(1-K529/eco)^n),alpha*fck),0)</f>
      </c>
    </row>
    <row r="530" spans="1:12" x14ac:dyDescent="0.25">
      <c r="A530">
        <f>Mesh!A527</f>
      </c>
      <c r="B530" s="20">
        <f>Mesh!B527</f>
      </c>
      <c r="C530" s="20">
        <f>Mesh!C527</f>
      </c>
      <c r="D530" s="20">
        <f>Mesh!D527</f>
      </c>
      <c r="E530" s="37">
        <f>INDEX(St_e0,Det+1)+INDEX(St_kx,Det+1)*C530+INDEX(St_ky,Det+1)*B530</f>
      </c>
      <c r="F530" s="20">
        <f>IF(E530&gt;0,IF(E530&lt;=eco,alpha*fck*(1-(1-E530/eco)^n),alpha*fck),0)</f>
      </c>
      <c r="G530" s="19">
        <f>F530*D530</f>
      </c>
      <c r="H530" s="19">
        <f>G530*C530</f>
      </c>
      <c r="I530" s="19">
        <f>G530*B530</f>
      </c>
      <c r="K530" s="37">
        <f>Eq_e0+Eq_kx*$C530+Eq_ky*$B530</f>
      </c>
      <c r="L530" s="20">
        <f>IF(K530&gt;0,IF(K530&lt;=eco,alpha*fck*(1-(1-K530/eco)^n),alpha*fck),0)</f>
      </c>
    </row>
    <row r="531" spans="1:12" x14ac:dyDescent="0.25">
      <c r="A531">
        <f>Mesh!A528</f>
      </c>
      <c r="B531" s="20">
        <f>Mesh!B528</f>
      </c>
      <c r="C531" s="20">
        <f>Mesh!C528</f>
      </c>
      <c r="D531" s="20">
        <f>Mesh!D528</f>
      </c>
      <c r="E531" s="37">
        <f>INDEX(St_e0,Det+1)+INDEX(St_kx,Det+1)*C531+INDEX(St_ky,Det+1)*B531</f>
      </c>
      <c r="F531" s="20">
        <f>IF(E531&gt;0,IF(E531&lt;=eco,alpha*fck*(1-(1-E531/eco)^n),alpha*fck),0)</f>
      </c>
      <c r="G531" s="19">
        <f>F531*D531</f>
      </c>
      <c r="H531" s="19">
        <f>G531*C531</f>
      </c>
      <c r="I531" s="19">
        <f>G531*B531</f>
      </c>
      <c r="K531" s="37">
        <f>Eq_e0+Eq_kx*$C531+Eq_ky*$B531</f>
      </c>
      <c r="L531" s="20">
        <f>IF(K531&gt;0,IF(K531&lt;=eco,alpha*fck*(1-(1-K531/eco)^n),alpha*fck),0)</f>
      </c>
    </row>
    <row r="532" spans="1:12" x14ac:dyDescent="0.25">
      <c r="A532">
        <f>Mesh!A529</f>
      </c>
      <c r="B532" s="20">
        <f>Mesh!B529</f>
      </c>
      <c r="C532" s="20">
        <f>Mesh!C529</f>
      </c>
      <c r="D532" s="20">
        <f>Mesh!D529</f>
      </c>
      <c r="E532" s="37">
        <f>INDEX(St_e0,Det+1)+INDEX(St_kx,Det+1)*C532+INDEX(St_ky,Det+1)*B532</f>
      </c>
      <c r="F532" s="20">
        <f>IF(E532&gt;0,IF(E532&lt;=eco,alpha*fck*(1-(1-E532/eco)^n),alpha*fck),0)</f>
      </c>
      <c r="G532" s="19">
        <f>F532*D532</f>
      </c>
      <c r="H532" s="19">
        <f>G532*C532</f>
      </c>
      <c r="I532" s="19">
        <f>G532*B532</f>
      </c>
      <c r="K532" s="37">
        <f>Eq_e0+Eq_kx*$C532+Eq_ky*$B532</f>
      </c>
      <c r="L532" s="20">
        <f>IF(K532&gt;0,IF(K532&lt;=eco,alpha*fck*(1-(1-K532/eco)^n),alpha*fck),0)</f>
      </c>
    </row>
    <row r="533" spans="1:12" x14ac:dyDescent="0.25">
      <c r="A533">
        <f>Mesh!A530</f>
      </c>
      <c r="B533" s="20">
        <f>Mesh!B530</f>
      </c>
      <c r="C533" s="20">
        <f>Mesh!C530</f>
      </c>
      <c r="D533" s="20">
        <f>Mesh!D530</f>
      </c>
      <c r="E533" s="37">
        <f>INDEX(St_e0,Det+1)+INDEX(St_kx,Det+1)*C533+INDEX(St_ky,Det+1)*B533</f>
      </c>
      <c r="F533" s="20">
        <f>IF(E533&gt;0,IF(E533&lt;=eco,alpha*fck*(1-(1-E533/eco)^n),alpha*fck),0)</f>
      </c>
      <c r="G533" s="19">
        <f>F533*D533</f>
      </c>
      <c r="H533" s="19">
        <f>G533*C533</f>
      </c>
      <c r="I533" s="19">
        <f>G533*B533</f>
      </c>
      <c r="K533" s="37">
        <f>Eq_e0+Eq_kx*$C533+Eq_ky*$B533</f>
      </c>
      <c r="L533" s="20">
        <f>IF(K533&gt;0,IF(K533&lt;=eco,alpha*fck*(1-(1-K533/eco)^n),alpha*fck),0)</f>
      </c>
    </row>
    <row r="534" spans="1:12" x14ac:dyDescent="0.25">
      <c r="A534">
        <f>Mesh!A531</f>
      </c>
      <c r="B534" s="20">
        <f>Mesh!B531</f>
      </c>
      <c r="C534" s="20">
        <f>Mesh!C531</f>
      </c>
      <c r="D534" s="20">
        <f>Mesh!D531</f>
      </c>
      <c r="E534" s="37">
        <f>INDEX(St_e0,Det+1)+INDEX(St_kx,Det+1)*C534+INDEX(St_ky,Det+1)*B534</f>
      </c>
      <c r="F534" s="20">
        <f>IF(E534&gt;0,IF(E534&lt;=eco,alpha*fck*(1-(1-E534/eco)^n),alpha*fck),0)</f>
      </c>
      <c r="G534" s="19">
        <f>F534*D534</f>
      </c>
      <c r="H534" s="19">
        <f>G534*C534</f>
      </c>
      <c r="I534" s="19">
        <f>G534*B534</f>
      </c>
      <c r="K534" s="37">
        <f>Eq_e0+Eq_kx*$C534+Eq_ky*$B534</f>
      </c>
      <c r="L534" s="20">
        <f>IF(K534&gt;0,IF(K534&lt;=eco,alpha*fck*(1-(1-K534/eco)^n),alpha*fck),0)</f>
      </c>
    </row>
    <row r="535" spans="1:12" x14ac:dyDescent="0.25">
      <c r="A535">
        <f>Mesh!A532</f>
      </c>
      <c r="B535" s="20">
        <f>Mesh!B532</f>
      </c>
      <c r="C535" s="20">
        <f>Mesh!C532</f>
      </c>
      <c r="D535" s="20">
        <f>Mesh!D532</f>
      </c>
      <c r="E535" s="37">
        <f>INDEX(St_e0,Det+1)+INDEX(St_kx,Det+1)*C535+INDEX(St_ky,Det+1)*B535</f>
      </c>
      <c r="F535" s="20">
        <f>IF(E535&gt;0,IF(E535&lt;=eco,alpha*fck*(1-(1-E535/eco)^n),alpha*fck),0)</f>
      </c>
      <c r="G535" s="19">
        <f>F535*D535</f>
      </c>
      <c r="H535" s="19">
        <f>G535*C535</f>
      </c>
      <c r="I535" s="19">
        <f>G535*B535</f>
      </c>
      <c r="K535" s="37">
        <f>Eq_e0+Eq_kx*$C535+Eq_ky*$B535</f>
      </c>
      <c r="L535" s="20">
        <f>IF(K535&gt;0,IF(K535&lt;=eco,alpha*fck*(1-(1-K535/eco)^n),alpha*fck),0)</f>
      </c>
    </row>
    <row r="536" spans="1:12" x14ac:dyDescent="0.25">
      <c r="A536">
        <f>Mesh!A533</f>
      </c>
      <c r="B536" s="20">
        <f>Mesh!B533</f>
      </c>
      <c r="C536" s="20">
        <f>Mesh!C533</f>
      </c>
      <c r="D536" s="20">
        <f>Mesh!D533</f>
      </c>
      <c r="E536" s="37">
        <f>INDEX(St_e0,Det+1)+INDEX(St_kx,Det+1)*C536+INDEX(St_ky,Det+1)*B536</f>
      </c>
      <c r="F536" s="20">
        <f>IF(E536&gt;0,IF(E536&lt;=eco,alpha*fck*(1-(1-E536/eco)^n),alpha*fck),0)</f>
      </c>
      <c r="G536" s="19">
        <f>F536*D536</f>
      </c>
      <c r="H536" s="19">
        <f>G536*C536</f>
      </c>
      <c r="I536" s="19">
        <f>G536*B536</f>
      </c>
      <c r="K536" s="37">
        <f>Eq_e0+Eq_kx*$C536+Eq_ky*$B536</f>
      </c>
      <c r="L536" s="20">
        <f>IF(K536&gt;0,IF(K536&lt;=eco,alpha*fck*(1-(1-K536/eco)^n),alpha*fck),0)</f>
      </c>
    </row>
    <row r="537" spans="1:12" x14ac:dyDescent="0.25">
      <c r="A537">
        <f>Mesh!A534</f>
      </c>
      <c r="B537" s="20">
        <f>Mesh!B534</f>
      </c>
      <c r="C537" s="20">
        <f>Mesh!C534</f>
      </c>
      <c r="D537" s="20">
        <f>Mesh!D534</f>
      </c>
      <c r="E537" s="37">
        <f>INDEX(St_e0,Det+1)+INDEX(St_kx,Det+1)*C537+INDEX(St_ky,Det+1)*B537</f>
      </c>
      <c r="F537" s="20">
        <f>IF(E537&gt;0,IF(E537&lt;=eco,alpha*fck*(1-(1-E537/eco)^n),alpha*fck),0)</f>
      </c>
      <c r="G537" s="19">
        <f>F537*D537</f>
      </c>
      <c r="H537" s="19">
        <f>G537*C537</f>
      </c>
      <c r="I537" s="19">
        <f>G537*B537</f>
      </c>
      <c r="K537" s="37">
        <f>Eq_e0+Eq_kx*$C537+Eq_ky*$B537</f>
      </c>
      <c r="L537" s="20">
        <f>IF(K537&gt;0,IF(K537&lt;=eco,alpha*fck*(1-(1-K537/eco)^n),alpha*fck),0)</f>
      </c>
    </row>
    <row r="538" spans="1:12" x14ac:dyDescent="0.25">
      <c r="A538">
        <f>Mesh!A535</f>
      </c>
      <c r="B538" s="20">
        <f>Mesh!B535</f>
      </c>
      <c r="C538" s="20">
        <f>Mesh!C535</f>
      </c>
      <c r="D538" s="20">
        <f>Mesh!D535</f>
      </c>
      <c r="E538" s="37">
        <f>INDEX(St_e0,Det+1)+INDEX(St_kx,Det+1)*C538+INDEX(St_ky,Det+1)*B538</f>
      </c>
      <c r="F538" s="20">
        <f>IF(E538&gt;0,IF(E538&lt;=eco,alpha*fck*(1-(1-E538/eco)^n),alpha*fck),0)</f>
      </c>
      <c r="G538" s="19">
        <f>F538*D538</f>
      </c>
      <c r="H538" s="19">
        <f>G538*C538</f>
      </c>
      <c r="I538" s="19">
        <f>G538*B538</f>
      </c>
      <c r="K538" s="37">
        <f>Eq_e0+Eq_kx*$C538+Eq_ky*$B538</f>
      </c>
      <c r="L538" s="20">
        <f>IF(K538&gt;0,IF(K538&lt;=eco,alpha*fck*(1-(1-K538/eco)^n),alpha*fck),0)</f>
      </c>
    </row>
    <row r="539" spans="1:12" x14ac:dyDescent="0.25">
      <c r="A539">
        <f>Mesh!A536</f>
      </c>
      <c r="B539" s="20">
        <f>Mesh!B536</f>
      </c>
      <c r="C539" s="20">
        <f>Mesh!C536</f>
      </c>
      <c r="D539" s="20">
        <f>Mesh!D536</f>
      </c>
      <c r="E539" s="37">
        <f>INDEX(St_e0,Det+1)+INDEX(St_kx,Det+1)*C539+INDEX(St_ky,Det+1)*B539</f>
      </c>
      <c r="F539" s="20">
        <f>IF(E539&gt;0,IF(E539&lt;=eco,alpha*fck*(1-(1-E539/eco)^n),alpha*fck),0)</f>
      </c>
      <c r="G539" s="19">
        <f>F539*D539</f>
      </c>
      <c r="H539" s="19">
        <f>G539*C539</f>
      </c>
      <c r="I539" s="19">
        <f>G539*B539</f>
      </c>
      <c r="K539" s="37">
        <f>Eq_e0+Eq_kx*$C539+Eq_ky*$B539</f>
      </c>
      <c r="L539" s="20">
        <f>IF(K539&gt;0,IF(K539&lt;=eco,alpha*fck*(1-(1-K539/eco)^n),alpha*fck),0)</f>
      </c>
    </row>
    <row r="540" spans="1:12" x14ac:dyDescent="0.25">
      <c r="A540">
        <f>Mesh!A537</f>
      </c>
      <c r="B540" s="20">
        <f>Mesh!B537</f>
      </c>
      <c r="C540" s="20">
        <f>Mesh!C537</f>
      </c>
      <c r="D540" s="20">
        <f>Mesh!D537</f>
      </c>
      <c r="E540" s="37">
        <f>INDEX(St_e0,Det+1)+INDEX(St_kx,Det+1)*C540+INDEX(St_ky,Det+1)*B540</f>
      </c>
      <c r="F540" s="20">
        <f>IF(E540&gt;0,IF(E540&lt;=eco,alpha*fck*(1-(1-E540/eco)^n),alpha*fck),0)</f>
      </c>
      <c r="G540" s="19">
        <f>F540*D540</f>
      </c>
      <c r="H540" s="19">
        <f>G540*C540</f>
      </c>
      <c r="I540" s="19">
        <f>G540*B540</f>
      </c>
      <c r="K540" s="37">
        <f>Eq_e0+Eq_kx*$C540+Eq_ky*$B540</f>
      </c>
      <c r="L540" s="20">
        <f>IF(K540&gt;0,IF(K540&lt;=eco,alpha*fck*(1-(1-K540/eco)^n),alpha*fck),0)</f>
      </c>
    </row>
    <row r="541" spans="1:12" x14ac:dyDescent="0.25">
      <c r="A541">
        <f>Mesh!A538</f>
      </c>
      <c r="B541" s="20">
        <f>Mesh!B538</f>
      </c>
      <c r="C541" s="20">
        <f>Mesh!C538</f>
      </c>
      <c r="D541" s="20">
        <f>Mesh!D538</f>
      </c>
      <c r="E541" s="37">
        <f>INDEX(St_e0,Det+1)+INDEX(St_kx,Det+1)*C541+INDEX(St_ky,Det+1)*B541</f>
      </c>
      <c r="F541" s="20">
        <f>IF(E541&gt;0,IF(E541&lt;=eco,alpha*fck*(1-(1-E541/eco)^n),alpha*fck),0)</f>
      </c>
      <c r="G541" s="19">
        <f>F541*D541</f>
      </c>
      <c r="H541" s="19">
        <f>G541*C541</f>
      </c>
      <c r="I541" s="19">
        <f>G541*B541</f>
      </c>
      <c r="K541" s="37">
        <f>Eq_e0+Eq_kx*$C541+Eq_ky*$B541</f>
      </c>
      <c r="L541" s="20">
        <f>IF(K541&gt;0,IF(K541&lt;=eco,alpha*fck*(1-(1-K541/eco)^n),alpha*fck),0)</f>
      </c>
    </row>
    <row r="542" spans="1:12" x14ac:dyDescent="0.25">
      <c r="A542">
        <f>Mesh!A539</f>
      </c>
      <c r="B542" s="20">
        <f>Mesh!B539</f>
      </c>
      <c r="C542" s="20">
        <f>Mesh!C539</f>
      </c>
      <c r="D542" s="20">
        <f>Mesh!D539</f>
      </c>
      <c r="E542" s="37">
        <f>INDEX(St_e0,Det+1)+INDEX(St_kx,Det+1)*C542+INDEX(St_ky,Det+1)*B542</f>
      </c>
      <c r="F542" s="20">
        <f>IF(E542&gt;0,IF(E542&lt;=eco,alpha*fck*(1-(1-E542/eco)^n),alpha*fck),0)</f>
      </c>
      <c r="G542" s="19">
        <f>F542*D542</f>
      </c>
      <c r="H542" s="19">
        <f>G542*C542</f>
      </c>
      <c r="I542" s="19">
        <f>G542*B542</f>
      </c>
      <c r="K542" s="37">
        <f>Eq_e0+Eq_kx*$C542+Eq_ky*$B542</f>
      </c>
      <c r="L542" s="20">
        <f>IF(K542&gt;0,IF(K542&lt;=eco,alpha*fck*(1-(1-K542/eco)^n),alpha*fck),0)</f>
      </c>
    </row>
    <row r="543" spans="1:12" x14ac:dyDescent="0.25">
      <c r="A543">
        <f>Mesh!A540</f>
      </c>
      <c r="B543" s="20">
        <f>Mesh!B540</f>
      </c>
      <c r="C543" s="20">
        <f>Mesh!C540</f>
      </c>
      <c r="D543" s="20">
        <f>Mesh!D540</f>
      </c>
      <c r="E543" s="37">
        <f>INDEX(St_e0,Det+1)+INDEX(St_kx,Det+1)*C543+INDEX(St_ky,Det+1)*B543</f>
      </c>
      <c r="F543" s="20">
        <f>IF(E543&gt;0,IF(E543&lt;=eco,alpha*fck*(1-(1-E543/eco)^n),alpha*fck),0)</f>
      </c>
      <c r="G543" s="19">
        <f>F543*D543</f>
      </c>
      <c r="H543" s="19">
        <f>G543*C543</f>
      </c>
      <c r="I543" s="19">
        <f>G543*B543</f>
      </c>
      <c r="K543" s="37">
        <f>Eq_e0+Eq_kx*$C543+Eq_ky*$B543</f>
      </c>
      <c r="L543" s="20">
        <f>IF(K543&gt;0,IF(K543&lt;=eco,alpha*fck*(1-(1-K543/eco)^n),alpha*fck),0)</f>
      </c>
    </row>
    <row r="544" spans="1:12" x14ac:dyDescent="0.25">
      <c r="A544">
        <f>Mesh!A541</f>
      </c>
      <c r="B544" s="20">
        <f>Mesh!B541</f>
      </c>
      <c r="C544" s="20">
        <f>Mesh!C541</f>
      </c>
      <c r="D544" s="20">
        <f>Mesh!D541</f>
      </c>
      <c r="E544" s="37">
        <f>INDEX(St_e0,Det+1)+INDEX(St_kx,Det+1)*C544+INDEX(St_ky,Det+1)*B544</f>
      </c>
      <c r="F544" s="20">
        <f>IF(E544&gt;0,IF(E544&lt;=eco,alpha*fck*(1-(1-E544/eco)^n),alpha*fck),0)</f>
      </c>
      <c r="G544" s="19">
        <f>F544*D544</f>
      </c>
      <c r="H544" s="19">
        <f>G544*C544</f>
      </c>
      <c r="I544" s="19">
        <f>G544*B544</f>
      </c>
      <c r="K544" s="37">
        <f>Eq_e0+Eq_kx*$C544+Eq_ky*$B544</f>
      </c>
      <c r="L544" s="20">
        <f>IF(K544&gt;0,IF(K544&lt;=eco,alpha*fck*(1-(1-K544/eco)^n),alpha*fck),0)</f>
      </c>
    </row>
    <row r="545" spans="1:12" x14ac:dyDescent="0.25">
      <c r="A545">
        <f>Mesh!A542</f>
      </c>
      <c r="B545" s="20">
        <f>Mesh!B542</f>
      </c>
      <c r="C545" s="20">
        <f>Mesh!C542</f>
      </c>
      <c r="D545" s="20">
        <f>Mesh!D542</f>
      </c>
      <c r="E545" s="37">
        <f>INDEX(St_e0,Det+1)+INDEX(St_kx,Det+1)*C545+INDEX(St_ky,Det+1)*B545</f>
      </c>
      <c r="F545" s="20">
        <f>IF(E545&gt;0,IF(E545&lt;=eco,alpha*fck*(1-(1-E545/eco)^n),alpha*fck),0)</f>
      </c>
      <c r="G545" s="19">
        <f>F545*D545</f>
      </c>
      <c r="H545" s="19">
        <f>G545*C545</f>
      </c>
      <c r="I545" s="19">
        <f>G545*B545</f>
      </c>
      <c r="K545" s="37">
        <f>Eq_e0+Eq_kx*$C545+Eq_ky*$B545</f>
      </c>
      <c r="L545" s="20">
        <f>IF(K545&gt;0,IF(K545&lt;=eco,alpha*fck*(1-(1-K545/eco)^n),alpha*fck),0)</f>
      </c>
    </row>
    <row r="546" spans="1:12" x14ac:dyDescent="0.25">
      <c r="A546">
        <f>Mesh!A543</f>
      </c>
      <c r="B546" s="20">
        <f>Mesh!B543</f>
      </c>
      <c r="C546" s="20">
        <f>Mesh!C543</f>
      </c>
      <c r="D546" s="20">
        <f>Mesh!D543</f>
      </c>
      <c r="E546" s="37">
        <f>INDEX(St_e0,Det+1)+INDEX(St_kx,Det+1)*C546+INDEX(St_ky,Det+1)*B546</f>
      </c>
      <c r="F546" s="20">
        <f>IF(E546&gt;0,IF(E546&lt;=eco,alpha*fck*(1-(1-E546/eco)^n),alpha*fck),0)</f>
      </c>
      <c r="G546" s="19">
        <f>F546*D546</f>
      </c>
      <c r="H546" s="19">
        <f>G546*C546</f>
      </c>
      <c r="I546" s="19">
        <f>G546*B546</f>
      </c>
      <c r="K546" s="37">
        <f>Eq_e0+Eq_kx*$C546+Eq_ky*$B546</f>
      </c>
      <c r="L546" s="20">
        <f>IF(K546&gt;0,IF(K546&lt;=eco,alpha*fck*(1-(1-K546/eco)^n),alpha*fck),0)</f>
      </c>
    </row>
    <row r="547" spans="1:12" x14ac:dyDescent="0.25">
      <c r="A547">
        <f>Mesh!A544</f>
      </c>
      <c r="B547" s="20">
        <f>Mesh!B544</f>
      </c>
      <c r="C547" s="20">
        <f>Mesh!C544</f>
      </c>
      <c r="D547" s="20">
        <f>Mesh!D544</f>
      </c>
      <c r="E547" s="37">
        <f>INDEX(St_e0,Det+1)+INDEX(St_kx,Det+1)*C547+INDEX(St_ky,Det+1)*B547</f>
      </c>
      <c r="F547" s="20">
        <f>IF(E547&gt;0,IF(E547&lt;=eco,alpha*fck*(1-(1-E547/eco)^n),alpha*fck),0)</f>
      </c>
      <c r="G547" s="19">
        <f>F547*D547</f>
      </c>
      <c r="H547" s="19">
        <f>G547*C547</f>
      </c>
      <c r="I547" s="19">
        <f>G547*B547</f>
      </c>
      <c r="K547" s="37">
        <f>Eq_e0+Eq_kx*$C547+Eq_ky*$B547</f>
      </c>
      <c r="L547" s="20">
        <f>IF(K547&gt;0,IF(K547&lt;=eco,alpha*fck*(1-(1-K547/eco)^n),alpha*fck),0)</f>
      </c>
    </row>
    <row r="548" spans="1:12" x14ac:dyDescent="0.25">
      <c r="A548">
        <f>Mesh!A545</f>
      </c>
      <c r="B548" s="20">
        <f>Mesh!B545</f>
      </c>
      <c r="C548" s="20">
        <f>Mesh!C545</f>
      </c>
      <c r="D548" s="20">
        <f>Mesh!D545</f>
      </c>
      <c r="E548" s="37">
        <f>INDEX(St_e0,Det+1)+INDEX(St_kx,Det+1)*C548+INDEX(St_ky,Det+1)*B548</f>
      </c>
      <c r="F548" s="20">
        <f>IF(E548&gt;0,IF(E548&lt;=eco,alpha*fck*(1-(1-E548/eco)^n),alpha*fck),0)</f>
      </c>
      <c r="G548" s="19">
        <f>F548*D548</f>
      </c>
      <c r="H548" s="19">
        <f>G548*C548</f>
      </c>
      <c r="I548" s="19">
        <f>G548*B548</f>
      </c>
      <c r="K548" s="37">
        <f>Eq_e0+Eq_kx*$C548+Eq_ky*$B548</f>
      </c>
      <c r="L548" s="20">
        <f>IF(K548&gt;0,IF(K548&lt;=eco,alpha*fck*(1-(1-K548/eco)^n),alpha*fck),0)</f>
      </c>
    </row>
    <row r="549" spans="1:12" x14ac:dyDescent="0.25">
      <c r="A549">
        <f>Mesh!A546</f>
      </c>
      <c r="B549" s="20">
        <f>Mesh!B546</f>
      </c>
      <c r="C549" s="20">
        <f>Mesh!C546</f>
      </c>
      <c r="D549" s="20">
        <f>Mesh!D546</f>
      </c>
      <c r="E549" s="37">
        <f>INDEX(St_e0,Det+1)+INDEX(St_kx,Det+1)*C549+INDEX(St_ky,Det+1)*B549</f>
      </c>
      <c r="F549" s="20">
        <f>IF(E549&gt;0,IF(E549&lt;=eco,alpha*fck*(1-(1-E549/eco)^n),alpha*fck),0)</f>
      </c>
      <c r="G549" s="19">
        <f>F549*D549</f>
      </c>
      <c r="H549" s="19">
        <f>G549*C549</f>
      </c>
      <c r="I549" s="19">
        <f>G549*B549</f>
      </c>
      <c r="K549" s="37">
        <f>Eq_e0+Eq_kx*$C549+Eq_ky*$B549</f>
      </c>
      <c r="L549" s="20">
        <f>IF(K549&gt;0,IF(K549&lt;=eco,alpha*fck*(1-(1-K549/eco)^n),alpha*fck),0)</f>
      </c>
    </row>
    <row r="550" spans="1:12" x14ac:dyDescent="0.25">
      <c r="A550">
        <f>Mesh!A547</f>
      </c>
      <c r="B550" s="20">
        <f>Mesh!B547</f>
      </c>
      <c r="C550" s="20">
        <f>Mesh!C547</f>
      </c>
      <c r="D550" s="20">
        <f>Mesh!D547</f>
      </c>
      <c r="E550" s="37">
        <f>INDEX(St_e0,Det+1)+INDEX(St_kx,Det+1)*C550+INDEX(St_ky,Det+1)*B550</f>
      </c>
      <c r="F550" s="20">
        <f>IF(E550&gt;0,IF(E550&lt;=eco,alpha*fck*(1-(1-E550/eco)^n),alpha*fck),0)</f>
      </c>
      <c r="G550" s="19">
        <f>F550*D550</f>
      </c>
      <c r="H550" s="19">
        <f>G550*C550</f>
      </c>
      <c r="I550" s="19">
        <f>G550*B550</f>
      </c>
      <c r="K550" s="37">
        <f>Eq_e0+Eq_kx*$C550+Eq_ky*$B550</f>
      </c>
      <c r="L550" s="20">
        <f>IF(K550&gt;0,IF(K550&lt;=eco,alpha*fck*(1-(1-K550/eco)^n),alpha*fck),0)</f>
      </c>
    </row>
    <row r="551" spans="1:12" x14ac:dyDescent="0.25">
      <c r="A551">
        <f>Mesh!A548</f>
      </c>
      <c r="B551" s="20">
        <f>Mesh!B548</f>
      </c>
      <c r="C551" s="20">
        <f>Mesh!C548</f>
      </c>
      <c r="D551" s="20">
        <f>Mesh!D548</f>
      </c>
      <c r="E551" s="37">
        <f>INDEX(St_e0,Det+1)+INDEX(St_kx,Det+1)*C551+INDEX(St_ky,Det+1)*B551</f>
      </c>
      <c r="F551" s="20">
        <f>IF(E551&gt;0,IF(E551&lt;=eco,alpha*fck*(1-(1-E551/eco)^n),alpha*fck),0)</f>
      </c>
      <c r="G551" s="19">
        <f>F551*D551</f>
      </c>
      <c r="H551" s="19">
        <f>G551*C551</f>
      </c>
      <c r="I551" s="19">
        <f>G551*B551</f>
      </c>
      <c r="K551" s="37">
        <f>Eq_e0+Eq_kx*$C551+Eq_ky*$B551</f>
      </c>
      <c r="L551" s="20">
        <f>IF(K551&gt;0,IF(K551&lt;=eco,alpha*fck*(1-(1-K551/eco)^n),alpha*fck),0)</f>
      </c>
    </row>
    <row r="552" spans="1:12" x14ac:dyDescent="0.25">
      <c r="A552">
        <f>Mesh!A549</f>
      </c>
      <c r="B552" s="20">
        <f>Mesh!B549</f>
      </c>
      <c r="C552" s="20">
        <f>Mesh!C549</f>
      </c>
      <c r="D552" s="20">
        <f>Mesh!D549</f>
      </c>
      <c r="E552" s="37">
        <f>INDEX(St_e0,Det+1)+INDEX(St_kx,Det+1)*C552+INDEX(St_ky,Det+1)*B552</f>
      </c>
      <c r="F552" s="20">
        <f>IF(E552&gt;0,IF(E552&lt;=eco,alpha*fck*(1-(1-E552/eco)^n),alpha*fck),0)</f>
      </c>
      <c r="G552" s="19">
        <f>F552*D552</f>
      </c>
      <c r="H552" s="19">
        <f>G552*C552</f>
      </c>
      <c r="I552" s="19">
        <f>G552*B552</f>
      </c>
      <c r="K552" s="37">
        <f>Eq_e0+Eq_kx*$C552+Eq_ky*$B552</f>
      </c>
      <c r="L552" s="20">
        <f>IF(K552&gt;0,IF(K552&lt;=eco,alpha*fck*(1-(1-K552/eco)^n),alpha*fck),0)</f>
      </c>
    </row>
    <row r="553" spans="1:12" x14ac:dyDescent="0.25">
      <c r="A553">
        <f>Mesh!A550</f>
      </c>
      <c r="B553" s="20">
        <f>Mesh!B550</f>
      </c>
      <c r="C553" s="20">
        <f>Mesh!C550</f>
      </c>
      <c r="D553" s="20">
        <f>Mesh!D550</f>
      </c>
      <c r="E553" s="37">
        <f>INDEX(St_e0,Det+1)+INDEX(St_kx,Det+1)*C553+INDEX(St_ky,Det+1)*B553</f>
      </c>
      <c r="F553" s="20">
        <f>IF(E553&gt;0,IF(E553&lt;=eco,alpha*fck*(1-(1-E553/eco)^n),alpha*fck),0)</f>
      </c>
      <c r="G553" s="19">
        <f>F553*D553</f>
      </c>
      <c r="H553" s="19">
        <f>G553*C553</f>
      </c>
      <c r="I553" s="19">
        <f>G553*B553</f>
      </c>
      <c r="K553" s="37">
        <f>Eq_e0+Eq_kx*$C553+Eq_ky*$B553</f>
      </c>
      <c r="L553" s="20">
        <f>IF(K553&gt;0,IF(K553&lt;=eco,alpha*fck*(1-(1-K553/eco)^n),alpha*fck),0)</f>
      </c>
    </row>
    <row r="554" spans="1:12" x14ac:dyDescent="0.25">
      <c r="A554">
        <f>Mesh!A551</f>
      </c>
      <c r="B554" s="20">
        <f>Mesh!B551</f>
      </c>
      <c r="C554" s="20">
        <f>Mesh!C551</f>
      </c>
      <c r="D554" s="20">
        <f>Mesh!D551</f>
      </c>
      <c r="E554" s="37">
        <f>INDEX(St_e0,Det+1)+INDEX(St_kx,Det+1)*C554+INDEX(St_ky,Det+1)*B554</f>
      </c>
      <c r="F554" s="20">
        <f>IF(E554&gt;0,IF(E554&lt;=eco,alpha*fck*(1-(1-E554/eco)^n),alpha*fck),0)</f>
      </c>
      <c r="G554" s="19">
        <f>F554*D554</f>
      </c>
      <c r="H554" s="19">
        <f>G554*C554</f>
      </c>
      <c r="I554" s="19">
        <f>G554*B554</f>
      </c>
      <c r="K554" s="37">
        <f>Eq_e0+Eq_kx*$C554+Eq_ky*$B554</f>
      </c>
      <c r="L554" s="20">
        <f>IF(K554&gt;0,IF(K554&lt;=eco,alpha*fck*(1-(1-K554/eco)^n),alpha*fck),0)</f>
      </c>
    </row>
    <row r="555" spans="1:12" x14ac:dyDescent="0.25">
      <c r="A555">
        <f>Mesh!A552</f>
      </c>
      <c r="B555" s="20">
        <f>Mesh!B552</f>
      </c>
      <c r="C555" s="20">
        <f>Mesh!C552</f>
      </c>
      <c r="D555" s="20">
        <f>Mesh!D552</f>
      </c>
      <c r="E555" s="37">
        <f>INDEX(St_e0,Det+1)+INDEX(St_kx,Det+1)*C555+INDEX(St_ky,Det+1)*B555</f>
      </c>
      <c r="F555" s="20">
        <f>IF(E555&gt;0,IF(E555&lt;=eco,alpha*fck*(1-(1-E555/eco)^n),alpha*fck),0)</f>
      </c>
      <c r="G555" s="19">
        <f>F555*D555</f>
      </c>
      <c r="H555" s="19">
        <f>G555*C555</f>
      </c>
      <c r="I555" s="19">
        <f>G555*B555</f>
      </c>
      <c r="K555" s="37">
        <f>Eq_e0+Eq_kx*$C555+Eq_ky*$B555</f>
      </c>
      <c r="L555" s="20">
        <f>IF(K555&gt;0,IF(K555&lt;=eco,alpha*fck*(1-(1-K555/eco)^n),alpha*fck),0)</f>
      </c>
    </row>
    <row r="556" spans="1:12" x14ac:dyDescent="0.25">
      <c r="A556">
        <f>Mesh!A553</f>
      </c>
      <c r="B556" s="20">
        <f>Mesh!B553</f>
      </c>
      <c r="C556" s="20">
        <f>Mesh!C553</f>
      </c>
      <c r="D556" s="20">
        <f>Mesh!D553</f>
      </c>
      <c r="E556" s="37">
        <f>INDEX(St_e0,Det+1)+INDEX(St_kx,Det+1)*C556+INDEX(St_ky,Det+1)*B556</f>
      </c>
      <c r="F556" s="20">
        <f>IF(E556&gt;0,IF(E556&lt;=eco,alpha*fck*(1-(1-E556/eco)^n),alpha*fck),0)</f>
      </c>
      <c r="G556" s="19">
        <f>F556*D556</f>
      </c>
      <c r="H556" s="19">
        <f>G556*C556</f>
      </c>
      <c r="I556" s="19">
        <f>G556*B556</f>
      </c>
      <c r="K556" s="37">
        <f>Eq_e0+Eq_kx*$C556+Eq_ky*$B556</f>
      </c>
      <c r="L556" s="20">
        <f>IF(K556&gt;0,IF(K556&lt;=eco,alpha*fck*(1-(1-K556/eco)^n),alpha*fck),0)</f>
      </c>
    </row>
    <row r="557" spans="1:12" x14ac:dyDescent="0.25">
      <c r="A557">
        <f>Mesh!A554</f>
      </c>
      <c r="B557" s="20">
        <f>Mesh!B554</f>
      </c>
      <c r="C557" s="20">
        <f>Mesh!C554</f>
      </c>
      <c r="D557" s="20">
        <f>Mesh!D554</f>
      </c>
      <c r="E557" s="37">
        <f>INDEX(St_e0,Det+1)+INDEX(St_kx,Det+1)*C557+INDEX(St_ky,Det+1)*B557</f>
      </c>
      <c r="F557" s="20">
        <f>IF(E557&gt;0,IF(E557&lt;=eco,alpha*fck*(1-(1-E557/eco)^n),alpha*fck),0)</f>
      </c>
      <c r="G557" s="19">
        <f>F557*D557</f>
      </c>
      <c r="H557" s="19">
        <f>G557*C557</f>
      </c>
      <c r="I557" s="19">
        <f>G557*B557</f>
      </c>
      <c r="K557" s="37">
        <f>Eq_e0+Eq_kx*$C557+Eq_ky*$B557</f>
      </c>
      <c r="L557" s="20">
        <f>IF(K557&gt;0,IF(K557&lt;=eco,alpha*fck*(1-(1-K557/eco)^n),alpha*fck),0)</f>
      </c>
    </row>
    <row r="558" spans="1:12" x14ac:dyDescent="0.25">
      <c r="A558">
        <f>Mesh!A555</f>
      </c>
      <c r="B558" s="20">
        <f>Mesh!B555</f>
      </c>
      <c r="C558" s="20">
        <f>Mesh!C555</f>
      </c>
      <c r="D558" s="20">
        <f>Mesh!D555</f>
      </c>
      <c r="E558" s="37">
        <f>INDEX(St_e0,Det+1)+INDEX(St_kx,Det+1)*C558+INDEX(St_ky,Det+1)*B558</f>
      </c>
      <c r="F558" s="20">
        <f>IF(E558&gt;0,IF(E558&lt;=eco,alpha*fck*(1-(1-E558/eco)^n),alpha*fck),0)</f>
      </c>
      <c r="G558" s="19">
        <f>F558*D558</f>
      </c>
      <c r="H558" s="19">
        <f>G558*C558</f>
      </c>
      <c r="I558" s="19">
        <f>G558*B558</f>
      </c>
      <c r="K558" s="37">
        <f>Eq_e0+Eq_kx*$C558+Eq_ky*$B558</f>
      </c>
      <c r="L558" s="20">
        <f>IF(K558&gt;0,IF(K558&lt;=eco,alpha*fck*(1-(1-K558/eco)^n),alpha*fck),0)</f>
      </c>
    </row>
    <row r="559" spans="1:12" x14ac:dyDescent="0.25">
      <c r="A559">
        <f>Mesh!A556</f>
      </c>
      <c r="B559" s="20">
        <f>Mesh!B556</f>
      </c>
      <c r="C559" s="20">
        <f>Mesh!C556</f>
      </c>
      <c r="D559" s="20">
        <f>Mesh!D556</f>
      </c>
      <c r="E559" s="37">
        <f>INDEX(St_e0,Det+1)+INDEX(St_kx,Det+1)*C559+INDEX(St_ky,Det+1)*B559</f>
      </c>
      <c r="F559" s="20">
        <f>IF(E559&gt;0,IF(E559&lt;=eco,alpha*fck*(1-(1-E559/eco)^n),alpha*fck),0)</f>
      </c>
      <c r="G559" s="19">
        <f>F559*D559</f>
      </c>
      <c r="H559" s="19">
        <f>G559*C559</f>
      </c>
      <c r="I559" s="19">
        <f>G559*B559</f>
      </c>
      <c r="K559" s="37">
        <f>Eq_e0+Eq_kx*$C559+Eq_ky*$B559</f>
      </c>
      <c r="L559" s="20">
        <f>IF(K559&gt;0,IF(K559&lt;=eco,alpha*fck*(1-(1-K559/eco)^n),alpha*fck),0)</f>
      </c>
    </row>
    <row r="560" spans="1:12" x14ac:dyDescent="0.25">
      <c r="A560">
        <f>Mesh!A557</f>
      </c>
      <c r="B560" s="20">
        <f>Mesh!B557</f>
      </c>
      <c r="C560" s="20">
        <f>Mesh!C557</f>
      </c>
      <c r="D560" s="20">
        <f>Mesh!D557</f>
      </c>
      <c r="E560" s="37">
        <f>INDEX(St_e0,Det+1)+INDEX(St_kx,Det+1)*C560+INDEX(St_ky,Det+1)*B560</f>
      </c>
      <c r="F560" s="20">
        <f>IF(E560&gt;0,IF(E560&lt;=eco,alpha*fck*(1-(1-E560/eco)^n),alpha*fck),0)</f>
      </c>
      <c r="G560" s="19">
        <f>F560*D560</f>
      </c>
      <c r="H560" s="19">
        <f>G560*C560</f>
      </c>
      <c r="I560" s="19">
        <f>G560*B560</f>
      </c>
      <c r="K560" s="37">
        <f>Eq_e0+Eq_kx*$C560+Eq_ky*$B560</f>
      </c>
      <c r="L560" s="20">
        <f>IF(K560&gt;0,IF(K560&lt;=eco,alpha*fck*(1-(1-K560/eco)^n),alpha*fck),0)</f>
      </c>
    </row>
    <row r="561" spans="1:12" x14ac:dyDescent="0.25">
      <c r="A561">
        <f>Mesh!A558</f>
      </c>
      <c r="B561" s="20">
        <f>Mesh!B558</f>
      </c>
      <c r="C561" s="20">
        <f>Mesh!C558</f>
      </c>
      <c r="D561" s="20">
        <f>Mesh!D558</f>
      </c>
      <c r="E561" s="37">
        <f>INDEX(St_e0,Det+1)+INDEX(St_kx,Det+1)*C561+INDEX(St_ky,Det+1)*B561</f>
      </c>
      <c r="F561" s="20">
        <f>IF(E561&gt;0,IF(E561&lt;=eco,alpha*fck*(1-(1-E561/eco)^n),alpha*fck),0)</f>
      </c>
      <c r="G561" s="19">
        <f>F561*D561</f>
      </c>
      <c r="H561" s="19">
        <f>G561*C561</f>
      </c>
      <c r="I561" s="19">
        <f>G561*B561</f>
      </c>
      <c r="K561" s="37">
        <f>Eq_e0+Eq_kx*$C561+Eq_ky*$B561</f>
      </c>
      <c r="L561" s="20">
        <f>IF(K561&gt;0,IF(K561&lt;=eco,alpha*fck*(1-(1-K561/eco)^n),alpha*fck),0)</f>
      </c>
    </row>
    <row r="562" spans="1:12" x14ac:dyDescent="0.25">
      <c r="A562">
        <f>Mesh!A559</f>
      </c>
      <c r="B562" s="20">
        <f>Mesh!B559</f>
      </c>
      <c r="C562" s="20">
        <f>Mesh!C559</f>
      </c>
      <c r="D562" s="20">
        <f>Mesh!D559</f>
      </c>
      <c r="E562" s="37">
        <f>INDEX(St_e0,Det+1)+INDEX(St_kx,Det+1)*C562+INDEX(St_ky,Det+1)*B562</f>
      </c>
      <c r="F562" s="20">
        <f>IF(E562&gt;0,IF(E562&lt;=eco,alpha*fck*(1-(1-E562/eco)^n),alpha*fck),0)</f>
      </c>
      <c r="G562" s="19">
        <f>F562*D562</f>
      </c>
      <c r="H562" s="19">
        <f>G562*C562</f>
      </c>
      <c r="I562" s="19">
        <f>G562*B562</f>
      </c>
      <c r="K562" s="37">
        <f>Eq_e0+Eq_kx*$C562+Eq_ky*$B562</f>
      </c>
      <c r="L562" s="20">
        <f>IF(K562&gt;0,IF(K562&lt;=eco,alpha*fck*(1-(1-K562/eco)^n),alpha*fck),0)</f>
      </c>
    </row>
    <row r="563" spans="1:12" x14ac:dyDescent="0.25">
      <c r="A563">
        <f>Mesh!A560</f>
      </c>
      <c r="B563" s="20">
        <f>Mesh!B560</f>
      </c>
      <c r="C563" s="20">
        <f>Mesh!C560</f>
      </c>
      <c r="D563" s="20">
        <f>Mesh!D560</f>
      </c>
      <c r="E563" s="37">
        <f>INDEX(St_e0,Det+1)+INDEX(St_kx,Det+1)*C563+INDEX(St_ky,Det+1)*B563</f>
      </c>
      <c r="F563" s="20">
        <f>IF(E563&gt;0,IF(E563&lt;=eco,alpha*fck*(1-(1-E563/eco)^n),alpha*fck),0)</f>
      </c>
      <c r="G563" s="19">
        <f>F563*D563</f>
      </c>
      <c r="H563" s="19">
        <f>G563*C563</f>
      </c>
      <c r="I563" s="19">
        <f>G563*B563</f>
      </c>
      <c r="K563" s="37">
        <f>Eq_e0+Eq_kx*$C563+Eq_ky*$B563</f>
      </c>
      <c r="L563" s="20">
        <f>IF(K563&gt;0,IF(K563&lt;=eco,alpha*fck*(1-(1-K563/eco)^n),alpha*fck),0)</f>
      </c>
    </row>
    <row r="564" spans="1:12" x14ac:dyDescent="0.25">
      <c r="A564">
        <f>Mesh!A561</f>
      </c>
      <c r="B564" s="20">
        <f>Mesh!B561</f>
      </c>
      <c r="C564" s="20">
        <f>Mesh!C561</f>
      </c>
      <c r="D564" s="20">
        <f>Mesh!D561</f>
      </c>
      <c r="E564" s="37">
        <f>INDEX(St_e0,Det+1)+INDEX(St_kx,Det+1)*C564+INDEX(St_ky,Det+1)*B564</f>
      </c>
      <c r="F564" s="20">
        <f>IF(E564&gt;0,IF(E564&lt;=eco,alpha*fck*(1-(1-E564/eco)^n),alpha*fck),0)</f>
      </c>
      <c r="G564" s="19">
        <f>F564*D564</f>
      </c>
      <c r="H564" s="19">
        <f>G564*C564</f>
      </c>
      <c r="I564" s="19">
        <f>G564*B564</f>
      </c>
      <c r="K564" s="37">
        <f>Eq_e0+Eq_kx*$C564+Eq_ky*$B564</f>
      </c>
      <c r="L564" s="20">
        <f>IF(K564&gt;0,IF(K564&lt;=eco,alpha*fck*(1-(1-K564/eco)^n),alpha*fck),0)</f>
      </c>
    </row>
    <row r="565" spans="1:12" x14ac:dyDescent="0.25">
      <c r="A565">
        <f>Mesh!A562</f>
      </c>
      <c r="B565" s="20">
        <f>Mesh!B562</f>
      </c>
      <c r="C565" s="20">
        <f>Mesh!C562</f>
      </c>
      <c r="D565" s="20">
        <f>Mesh!D562</f>
      </c>
      <c r="E565" s="37">
        <f>INDEX(St_e0,Det+1)+INDEX(St_kx,Det+1)*C565+INDEX(St_ky,Det+1)*B565</f>
      </c>
      <c r="F565" s="20">
        <f>IF(E565&gt;0,IF(E565&lt;=eco,alpha*fck*(1-(1-E565/eco)^n),alpha*fck),0)</f>
      </c>
      <c r="G565" s="19">
        <f>F565*D565</f>
      </c>
      <c r="H565" s="19">
        <f>G565*C565</f>
      </c>
      <c r="I565" s="19">
        <f>G565*B565</f>
      </c>
      <c r="K565" s="37">
        <f>Eq_e0+Eq_kx*$C565+Eq_ky*$B565</f>
      </c>
      <c r="L565" s="20">
        <f>IF(K565&gt;0,IF(K565&lt;=eco,alpha*fck*(1-(1-K565/eco)^n),alpha*fck),0)</f>
      </c>
    </row>
    <row r="566" spans="1:12" x14ac:dyDescent="0.25">
      <c r="A566">
        <f>Mesh!A563</f>
      </c>
      <c r="B566" s="20">
        <f>Mesh!B563</f>
      </c>
      <c r="C566" s="20">
        <f>Mesh!C563</f>
      </c>
      <c r="D566" s="20">
        <f>Mesh!D563</f>
      </c>
      <c r="E566" s="37">
        <f>INDEX(St_e0,Det+1)+INDEX(St_kx,Det+1)*C566+INDEX(St_ky,Det+1)*B566</f>
      </c>
      <c r="F566" s="20">
        <f>IF(E566&gt;0,IF(E566&lt;=eco,alpha*fck*(1-(1-E566/eco)^n),alpha*fck),0)</f>
      </c>
      <c r="G566" s="19">
        <f>F566*D566</f>
      </c>
      <c r="H566" s="19">
        <f>G566*C566</f>
      </c>
      <c r="I566" s="19">
        <f>G566*B566</f>
      </c>
      <c r="K566" s="37">
        <f>Eq_e0+Eq_kx*$C566+Eq_ky*$B566</f>
      </c>
      <c r="L566" s="20">
        <f>IF(K566&gt;0,IF(K566&lt;=eco,alpha*fck*(1-(1-K566/eco)^n),alpha*fck),0)</f>
      </c>
    </row>
    <row r="567" spans="1:12" x14ac:dyDescent="0.25">
      <c r="A567">
        <f>Mesh!A564</f>
      </c>
      <c r="B567" s="20">
        <f>Mesh!B564</f>
      </c>
      <c r="C567" s="20">
        <f>Mesh!C564</f>
      </c>
      <c r="D567" s="20">
        <f>Mesh!D564</f>
      </c>
      <c r="E567" s="37">
        <f>INDEX(St_e0,Det+1)+INDEX(St_kx,Det+1)*C567+INDEX(St_ky,Det+1)*B567</f>
      </c>
      <c r="F567" s="20">
        <f>IF(E567&gt;0,IF(E567&lt;=eco,alpha*fck*(1-(1-E567/eco)^n),alpha*fck),0)</f>
      </c>
      <c r="G567" s="19">
        <f>F567*D567</f>
      </c>
      <c r="H567" s="19">
        <f>G567*C567</f>
      </c>
      <c r="I567" s="19">
        <f>G567*B567</f>
      </c>
      <c r="K567" s="37">
        <f>Eq_e0+Eq_kx*$C567+Eq_ky*$B567</f>
      </c>
      <c r="L567" s="20">
        <f>IF(K567&gt;0,IF(K567&lt;=eco,alpha*fck*(1-(1-K567/eco)^n),alpha*fck),0)</f>
      </c>
    </row>
    <row r="568" spans="1:12" x14ac:dyDescent="0.25">
      <c r="A568">
        <f>Mesh!A565</f>
      </c>
      <c r="B568" s="20">
        <f>Mesh!B565</f>
      </c>
      <c r="C568" s="20">
        <f>Mesh!C565</f>
      </c>
      <c r="D568" s="20">
        <f>Mesh!D565</f>
      </c>
      <c r="E568" s="37">
        <f>INDEX(St_e0,Det+1)+INDEX(St_kx,Det+1)*C568+INDEX(St_ky,Det+1)*B568</f>
      </c>
      <c r="F568" s="20">
        <f>IF(E568&gt;0,IF(E568&lt;=eco,alpha*fck*(1-(1-E568/eco)^n),alpha*fck),0)</f>
      </c>
      <c r="G568" s="19">
        <f>F568*D568</f>
      </c>
      <c r="H568" s="19">
        <f>G568*C568</f>
      </c>
      <c r="I568" s="19">
        <f>G568*B568</f>
      </c>
      <c r="K568" s="37">
        <f>Eq_e0+Eq_kx*$C568+Eq_ky*$B568</f>
      </c>
      <c r="L568" s="20">
        <f>IF(K568&gt;0,IF(K568&lt;=eco,alpha*fck*(1-(1-K568/eco)^n),alpha*fck),0)</f>
      </c>
    </row>
    <row r="569" spans="1:12" x14ac:dyDescent="0.25">
      <c r="A569">
        <f>Mesh!A566</f>
      </c>
      <c r="B569" s="20">
        <f>Mesh!B566</f>
      </c>
      <c r="C569" s="20">
        <f>Mesh!C566</f>
      </c>
      <c r="D569" s="20">
        <f>Mesh!D566</f>
      </c>
      <c r="E569" s="37">
        <f>INDEX(St_e0,Det+1)+INDEX(St_kx,Det+1)*C569+INDEX(St_ky,Det+1)*B569</f>
      </c>
      <c r="F569" s="20">
        <f>IF(E569&gt;0,IF(E569&lt;=eco,alpha*fck*(1-(1-E569/eco)^n),alpha*fck),0)</f>
      </c>
      <c r="G569" s="19">
        <f>F569*D569</f>
      </c>
      <c r="H569" s="19">
        <f>G569*C569</f>
      </c>
      <c r="I569" s="19">
        <f>G569*B569</f>
      </c>
      <c r="K569" s="37">
        <f>Eq_e0+Eq_kx*$C569+Eq_ky*$B569</f>
      </c>
      <c r="L569" s="20">
        <f>IF(K569&gt;0,IF(K569&lt;=eco,alpha*fck*(1-(1-K569/eco)^n),alpha*fck),0)</f>
      </c>
    </row>
    <row r="570" spans="1:12" x14ac:dyDescent="0.25">
      <c r="A570">
        <f>Mesh!A567</f>
      </c>
      <c r="B570" s="20">
        <f>Mesh!B567</f>
      </c>
      <c r="C570" s="20">
        <f>Mesh!C567</f>
      </c>
      <c r="D570" s="20">
        <f>Mesh!D567</f>
      </c>
      <c r="E570" s="37">
        <f>INDEX(St_e0,Det+1)+INDEX(St_kx,Det+1)*C570+INDEX(St_ky,Det+1)*B570</f>
      </c>
      <c r="F570" s="20">
        <f>IF(E570&gt;0,IF(E570&lt;=eco,alpha*fck*(1-(1-E570/eco)^n),alpha*fck),0)</f>
      </c>
      <c r="G570" s="19">
        <f>F570*D570</f>
      </c>
      <c r="H570" s="19">
        <f>G570*C570</f>
      </c>
      <c r="I570" s="19">
        <f>G570*B570</f>
      </c>
      <c r="K570" s="37">
        <f>Eq_e0+Eq_kx*$C570+Eq_ky*$B570</f>
      </c>
      <c r="L570" s="20">
        <f>IF(K570&gt;0,IF(K570&lt;=eco,alpha*fck*(1-(1-K570/eco)^n),alpha*fck),0)</f>
      </c>
    </row>
    <row r="571" spans="1:12" x14ac:dyDescent="0.25">
      <c r="A571">
        <f>Mesh!A568</f>
      </c>
      <c r="B571" s="20">
        <f>Mesh!B568</f>
      </c>
      <c r="C571" s="20">
        <f>Mesh!C568</f>
      </c>
      <c r="D571" s="20">
        <f>Mesh!D568</f>
      </c>
      <c r="E571" s="37">
        <f>INDEX(St_e0,Det+1)+INDEX(St_kx,Det+1)*C571+INDEX(St_ky,Det+1)*B571</f>
      </c>
      <c r="F571" s="20">
        <f>IF(E571&gt;0,IF(E571&lt;=eco,alpha*fck*(1-(1-E571/eco)^n),alpha*fck),0)</f>
      </c>
      <c r="G571" s="19">
        <f>F571*D571</f>
      </c>
      <c r="H571" s="19">
        <f>G571*C571</f>
      </c>
      <c r="I571" s="19">
        <f>G571*B571</f>
      </c>
      <c r="K571" s="37">
        <f>Eq_e0+Eq_kx*$C571+Eq_ky*$B571</f>
      </c>
      <c r="L571" s="20">
        <f>IF(K571&gt;0,IF(K571&lt;=eco,alpha*fck*(1-(1-K571/eco)^n),alpha*fck),0)</f>
      </c>
    </row>
    <row r="572" spans="1:12" x14ac:dyDescent="0.25">
      <c r="A572">
        <f>Mesh!A569</f>
      </c>
      <c r="B572" s="20">
        <f>Mesh!B569</f>
      </c>
      <c r="C572" s="20">
        <f>Mesh!C569</f>
      </c>
      <c r="D572" s="20">
        <f>Mesh!D569</f>
      </c>
      <c r="E572" s="37">
        <f>INDEX(St_e0,Det+1)+INDEX(St_kx,Det+1)*C572+INDEX(St_ky,Det+1)*B572</f>
      </c>
      <c r="F572" s="20">
        <f>IF(E572&gt;0,IF(E572&lt;=eco,alpha*fck*(1-(1-E572/eco)^n),alpha*fck),0)</f>
      </c>
      <c r="G572" s="19">
        <f>F572*D572</f>
      </c>
      <c r="H572" s="19">
        <f>G572*C572</f>
      </c>
      <c r="I572" s="19">
        <f>G572*B572</f>
      </c>
      <c r="K572" s="37">
        <f>Eq_e0+Eq_kx*$C572+Eq_ky*$B572</f>
      </c>
      <c r="L572" s="20">
        <f>IF(K572&gt;0,IF(K572&lt;=eco,alpha*fck*(1-(1-K572/eco)^n),alpha*fck),0)</f>
      </c>
    </row>
    <row r="573" spans="1:12" x14ac:dyDescent="0.25">
      <c r="A573">
        <f>Mesh!A570</f>
      </c>
      <c r="B573" s="20">
        <f>Mesh!B570</f>
      </c>
      <c r="C573" s="20">
        <f>Mesh!C570</f>
      </c>
      <c r="D573" s="20">
        <f>Mesh!D570</f>
      </c>
      <c r="E573" s="37">
        <f>INDEX(St_e0,Det+1)+INDEX(St_kx,Det+1)*C573+INDEX(St_ky,Det+1)*B573</f>
      </c>
      <c r="F573" s="20">
        <f>IF(E573&gt;0,IF(E573&lt;=eco,alpha*fck*(1-(1-E573/eco)^n),alpha*fck),0)</f>
      </c>
      <c r="G573" s="19">
        <f>F573*D573</f>
      </c>
      <c r="H573" s="19">
        <f>G573*C573</f>
      </c>
      <c r="I573" s="19">
        <f>G573*B573</f>
      </c>
      <c r="K573" s="37">
        <f>Eq_e0+Eq_kx*$C573+Eq_ky*$B573</f>
      </c>
      <c r="L573" s="20">
        <f>IF(K573&gt;0,IF(K573&lt;=eco,alpha*fck*(1-(1-K573/eco)^n),alpha*fck),0)</f>
      </c>
    </row>
    <row r="574" spans="1:12" x14ac:dyDescent="0.25">
      <c r="A574">
        <f>Mesh!A571</f>
      </c>
      <c r="B574" s="20">
        <f>Mesh!B571</f>
      </c>
      <c r="C574" s="20">
        <f>Mesh!C571</f>
      </c>
      <c r="D574" s="20">
        <f>Mesh!D571</f>
      </c>
      <c r="E574" s="37">
        <f>INDEX(St_e0,Det+1)+INDEX(St_kx,Det+1)*C574+INDEX(St_ky,Det+1)*B574</f>
      </c>
      <c r="F574" s="20">
        <f>IF(E574&gt;0,IF(E574&lt;=eco,alpha*fck*(1-(1-E574/eco)^n),alpha*fck),0)</f>
      </c>
      <c r="G574" s="19">
        <f>F574*D574</f>
      </c>
      <c r="H574" s="19">
        <f>G574*C574</f>
      </c>
      <c r="I574" s="19">
        <f>G574*B574</f>
      </c>
      <c r="K574" s="37">
        <f>Eq_e0+Eq_kx*$C574+Eq_ky*$B574</f>
      </c>
      <c r="L574" s="20">
        <f>IF(K574&gt;0,IF(K574&lt;=eco,alpha*fck*(1-(1-K574/eco)^n),alpha*fck),0)</f>
      </c>
    </row>
    <row r="575" spans="1:12" x14ac:dyDescent="0.25">
      <c r="A575">
        <f>Mesh!A572</f>
      </c>
      <c r="B575" s="20">
        <f>Mesh!B572</f>
      </c>
      <c r="C575" s="20">
        <f>Mesh!C572</f>
      </c>
      <c r="D575" s="20">
        <f>Mesh!D572</f>
      </c>
      <c r="E575" s="37">
        <f>INDEX(St_e0,Det+1)+INDEX(St_kx,Det+1)*C575+INDEX(St_ky,Det+1)*B575</f>
      </c>
      <c r="F575" s="20">
        <f>IF(E575&gt;0,IF(E575&lt;=eco,alpha*fck*(1-(1-E575/eco)^n),alpha*fck),0)</f>
      </c>
      <c r="G575" s="19">
        <f>F575*D575</f>
      </c>
      <c r="H575" s="19">
        <f>G575*C575</f>
      </c>
      <c r="I575" s="19">
        <f>G575*B575</f>
      </c>
      <c r="K575" s="37">
        <f>Eq_e0+Eq_kx*$C575+Eq_ky*$B575</f>
      </c>
      <c r="L575" s="20">
        <f>IF(K575&gt;0,IF(K575&lt;=eco,alpha*fck*(1-(1-K575/eco)^n),alpha*fck),0)</f>
      </c>
    </row>
    <row r="576" spans="1:12" x14ac:dyDescent="0.25">
      <c r="A576">
        <f>Mesh!A573</f>
      </c>
      <c r="B576" s="20">
        <f>Mesh!B573</f>
      </c>
      <c r="C576" s="20">
        <f>Mesh!C573</f>
      </c>
      <c r="D576" s="20">
        <f>Mesh!D573</f>
      </c>
      <c r="E576" s="37">
        <f>INDEX(St_e0,Det+1)+INDEX(St_kx,Det+1)*C576+INDEX(St_ky,Det+1)*B576</f>
      </c>
      <c r="F576" s="20">
        <f>IF(E576&gt;0,IF(E576&lt;=eco,alpha*fck*(1-(1-E576/eco)^n),alpha*fck),0)</f>
      </c>
      <c r="G576" s="19">
        <f>F576*D576</f>
      </c>
      <c r="H576" s="19">
        <f>G576*C576</f>
      </c>
      <c r="I576" s="19">
        <f>G576*B576</f>
      </c>
      <c r="K576" s="37">
        <f>Eq_e0+Eq_kx*$C576+Eq_ky*$B576</f>
      </c>
      <c r="L576" s="20">
        <f>IF(K576&gt;0,IF(K576&lt;=eco,alpha*fck*(1-(1-K576/eco)^n),alpha*fck),0)</f>
      </c>
    </row>
    <row r="577" spans="1:12" x14ac:dyDescent="0.25">
      <c r="A577">
        <f>Mesh!A574</f>
      </c>
      <c r="B577" s="20">
        <f>Mesh!B574</f>
      </c>
      <c r="C577" s="20">
        <f>Mesh!C574</f>
      </c>
      <c r="D577" s="20">
        <f>Mesh!D574</f>
      </c>
      <c r="E577" s="37">
        <f>INDEX(St_e0,Det+1)+INDEX(St_kx,Det+1)*C577+INDEX(St_ky,Det+1)*B577</f>
      </c>
      <c r="F577" s="20">
        <f>IF(E577&gt;0,IF(E577&lt;=eco,alpha*fck*(1-(1-E577/eco)^n),alpha*fck),0)</f>
      </c>
      <c r="G577" s="19">
        <f>F577*D577</f>
      </c>
      <c r="H577" s="19">
        <f>G577*C577</f>
      </c>
      <c r="I577" s="19">
        <f>G577*B577</f>
      </c>
      <c r="K577" s="37">
        <f>Eq_e0+Eq_kx*$C577+Eq_ky*$B577</f>
      </c>
      <c r="L577" s="20">
        <f>IF(K577&gt;0,IF(K577&lt;=eco,alpha*fck*(1-(1-K577/eco)^n),alpha*fck),0)</f>
      </c>
    </row>
    <row r="578" spans="1:12" x14ac:dyDescent="0.25">
      <c r="A578">
        <f>Mesh!A575</f>
      </c>
      <c r="B578" s="20">
        <f>Mesh!B575</f>
      </c>
      <c r="C578" s="20">
        <f>Mesh!C575</f>
      </c>
      <c r="D578" s="20">
        <f>Mesh!D575</f>
      </c>
      <c r="E578" s="37">
        <f>INDEX(St_e0,Det+1)+INDEX(St_kx,Det+1)*C578+INDEX(St_ky,Det+1)*B578</f>
      </c>
      <c r="F578" s="20">
        <f>IF(E578&gt;0,IF(E578&lt;=eco,alpha*fck*(1-(1-E578/eco)^n),alpha*fck),0)</f>
      </c>
      <c r="G578" s="19">
        <f>F578*D578</f>
      </c>
      <c r="H578" s="19">
        <f>G578*C578</f>
      </c>
      <c r="I578" s="19">
        <f>G578*B578</f>
      </c>
      <c r="K578" s="37">
        <f>Eq_e0+Eq_kx*$C578+Eq_ky*$B578</f>
      </c>
      <c r="L578" s="20">
        <f>IF(K578&gt;0,IF(K578&lt;=eco,alpha*fck*(1-(1-K578/eco)^n),alpha*fck),0)</f>
      </c>
    </row>
    <row r="579" spans="1:12" x14ac:dyDescent="0.25">
      <c r="A579">
        <f>Mesh!A576</f>
      </c>
      <c r="B579" s="20">
        <f>Mesh!B576</f>
      </c>
      <c r="C579" s="20">
        <f>Mesh!C576</f>
      </c>
      <c r="D579" s="20">
        <f>Mesh!D576</f>
      </c>
      <c r="E579" s="37">
        <f>INDEX(St_e0,Det+1)+INDEX(St_kx,Det+1)*C579+INDEX(St_ky,Det+1)*B579</f>
      </c>
      <c r="F579" s="20">
        <f>IF(E579&gt;0,IF(E579&lt;=eco,alpha*fck*(1-(1-E579/eco)^n),alpha*fck),0)</f>
      </c>
      <c r="G579" s="19">
        <f>F579*D579</f>
      </c>
      <c r="H579" s="19">
        <f>G579*C579</f>
      </c>
      <c r="I579" s="19">
        <f>G579*B579</f>
      </c>
      <c r="K579" s="37">
        <f>Eq_e0+Eq_kx*$C579+Eq_ky*$B579</f>
      </c>
      <c r="L579" s="20">
        <f>IF(K579&gt;0,IF(K579&lt;=eco,alpha*fck*(1-(1-K579/eco)^n),alpha*fck),0)</f>
      </c>
    </row>
    <row r="580" spans="1:12" x14ac:dyDescent="0.25">
      <c r="A580">
        <f>Mesh!A577</f>
      </c>
      <c r="B580" s="20">
        <f>Mesh!B577</f>
      </c>
      <c r="C580" s="20">
        <f>Mesh!C577</f>
      </c>
      <c r="D580" s="20">
        <f>Mesh!D577</f>
      </c>
      <c r="E580" s="37">
        <f>INDEX(St_e0,Det+1)+INDEX(St_kx,Det+1)*C580+INDEX(St_ky,Det+1)*B580</f>
      </c>
      <c r="F580" s="20">
        <f>IF(E580&gt;0,IF(E580&lt;=eco,alpha*fck*(1-(1-E580/eco)^n),alpha*fck),0)</f>
      </c>
      <c r="G580" s="19">
        <f>F580*D580</f>
      </c>
      <c r="H580" s="19">
        <f>G580*C580</f>
      </c>
      <c r="I580" s="19">
        <f>G580*B580</f>
      </c>
      <c r="K580" s="37">
        <f>Eq_e0+Eq_kx*$C580+Eq_ky*$B580</f>
      </c>
      <c r="L580" s="20">
        <f>IF(K580&gt;0,IF(K580&lt;=eco,alpha*fck*(1-(1-K580/eco)^n),alpha*fck),0)</f>
      </c>
    </row>
    <row r="581" spans="1:12" x14ac:dyDescent="0.25">
      <c r="A581">
        <f>Mesh!A578</f>
      </c>
      <c r="B581" s="20">
        <f>Mesh!B578</f>
      </c>
      <c r="C581" s="20">
        <f>Mesh!C578</f>
      </c>
      <c r="D581" s="20">
        <f>Mesh!D578</f>
      </c>
      <c r="E581" s="37">
        <f>INDEX(St_e0,Det+1)+INDEX(St_kx,Det+1)*C581+INDEX(St_ky,Det+1)*B581</f>
      </c>
      <c r="F581" s="20">
        <f>IF(E581&gt;0,IF(E581&lt;=eco,alpha*fck*(1-(1-E581/eco)^n),alpha*fck),0)</f>
      </c>
      <c r="G581" s="19">
        <f>F581*D581</f>
      </c>
      <c r="H581" s="19">
        <f>G581*C581</f>
      </c>
      <c r="I581" s="19">
        <f>G581*B581</f>
      </c>
      <c r="K581" s="37">
        <f>Eq_e0+Eq_kx*$C581+Eq_ky*$B581</f>
      </c>
      <c r="L581" s="20">
        <f>IF(K581&gt;0,IF(K581&lt;=eco,alpha*fck*(1-(1-K581/eco)^n),alpha*fck),0)</f>
      </c>
    </row>
    <row r="582" spans="1:12" x14ac:dyDescent="0.25">
      <c r="A582">
        <f>Mesh!A579</f>
      </c>
      <c r="B582" s="20">
        <f>Mesh!B579</f>
      </c>
      <c r="C582" s="20">
        <f>Mesh!C579</f>
      </c>
      <c r="D582" s="20">
        <f>Mesh!D579</f>
      </c>
      <c r="E582" s="37">
        <f>INDEX(St_e0,Det+1)+INDEX(St_kx,Det+1)*C582+INDEX(St_ky,Det+1)*B582</f>
      </c>
      <c r="F582" s="20">
        <f>IF(E582&gt;0,IF(E582&lt;=eco,alpha*fck*(1-(1-E582/eco)^n),alpha*fck),0)</f>
      </c>
      <c r="G582" s="19">
        <f>F582*D582</f>
      </c>
      <c r="H582" s="19">
        <f>G582*C582</f>
      </c>
      <c r="I582" s="19">
        <f>G582*B582</f>
      </c>
      <c r="K582" s="37">
        <f>Eq_e0+Eq_kx*$C582+Eq_ky*$B582</f>
      </c>
      <c r="L582" s="20">
        <f>IF(K582&gt;0,IF(K582&lt;=eco,alpha*fck*(1-(1-K582/eco)^n),alpha*fck),0)</f>
      </c>
    </row>
    <row r="583" spans="1:12" x14ac:dyDescent="0.25">
      <c r="A583">
        <f>Mesh!A580</f>
      </c>
      <c r="B583" s="20">
        <f>Mesh!B580</f>
      </c>
      <c r="C583" s="20">
        <f>Mesh!C580</f>
      </c>
      <c r="D583" s="20">
        <f>Mesh!D580</f>
      </c>
      <c r="E583" s="37">
        <f>INDEX(St_e0,Det+1)+INDEX(St_kx,Det+1)*C583+INDEX(St_ky,Det+1)*B583</f>
      </c>
      <c r="F583" s="20">
        <f>IF(E583&gt;0,IF(E583&lt;=eco,alpha*fck*(1-(1-E583/eco)^n),alpha*fck),0)</f>
      </c>
      <c r="G583" s="19">
        <f>F583*D583</f>
      </c>
      <c r="H583" s="19">
        <f>G583*C583</f>
      </c>
      <c r="I583" s="19">
        <f>G583*B583</f>
      </c>
      <c r="K583" s="37">
        <f>Eq_e0+Eq_kx*$C583+Eq_ky*$B583</f>
      </c>
      <c r="L583" s="20">
        <f>IF(K583&gt;0,IF(K583&lt;=eco,alpha*fck*(1-(1-K583/eco)^n),alpha*fck),0)</f>
      </c>
    </row>
    <row r="584" spans="1:12" x14ac:dyDescent="0.25">
      <c r="A584">
        <f>Mesh!A581</f>
      </c>
      <c r="B584" s="20">
        <f>Mesh!B581</f>
      </c>
      <c r="C584" s="20">
        <f>Mesh!C581</f>
      </c>
      <c r="D584" s="20">
        <f>Mesh!D581</f>
      </c>
      <c r="E584" s="37">
        <f>INDEX(St_e0,Det+1)+INDEX(St_kx,Det+1)*C584+INDEX(St_ky,Det+1)*B584</f>
      </c>
      <c r="F584" s="20">
        <f>IF(E584&gt;0,IF(E584&lt;=eco,alpha*fck*(1-(1-E584/eco)^n),alpha*fck),0)</f>
      </c>
      <c r="G584" s="19">
        <f>F584*D584</f>
      </c>
      <c r="H584" s="19">
        <f>G584*C584</f>
      </c>
      <c r="I584" s="19">
        <f>G584*B584</f>
      </c>
      <c r="K584" s="37">
        <f>Eq_e0+Eq_kx*$C584+Eq_ky*$B584</f>
      </c>
      <c r="L584" s="20">
        <f>IF(K584&gt;0,IF(K584&lt;=eco,alpha*fck*(1-(1-K584/eco)^n),alpha*fck),0)</f>
      </c>
    </row>
    <row r="585" spans="1:12" x14ac:dyDescent="0.25">
      <c r="A585">
        <f>Mesh!A582</f>
      </c>
      <c r="B585" s="20">
        <f>Mesh!B582</f>
      </c>
      <c r="C585" s="20">
        <f>Mesh!C582</f>
      </c>
      <c r="D585" s="20">
        <f>Mesh!D582</f>
      </c>
      <c r="E585" s="37">
        <f>INDEX(St_e0,Det+1)+INDEX(St_kx,Det+1)*C585+INDEX(St_ky,Det+1)*B585</f>
      </c>
      <c r="F585" s="20">
        <f>IF(E585&gt;0,IF(E585&lt;=eco,alpha*fck*(1-(1-E585/eco)^n),alpha*fck),0)</f>
      </c>
      <c r="G585" s="19">
        <f>F585*D585</f>
      </c>
      <c r="H585" s="19">
        <f>G585*C585</f>
      </c>
      <c r="I585" s="19">
        <f>G585*B585</f>
      </c>
      <c r="K585" s="37">
        <f>Eq_e0+Eq_kx*$C585+Eq_ky*$B585</f>
      </c>
      <c r="L585" s="20">
        <f>IF(K585&gt;0,IF(K585&lt;=eco,alpha*fck*(1-(1-K585/eco)^n),alpha*fck),0)</f>
      </c>
    </row>
    <row r="586" spans="1:12" x14ac:dyDescent="0.25">
      <c r="A586">
        <f>Mesh!A583</f>
      </c>
      <c r="B586" s="20">
        <f>Mesh!B583</f>
      </c>
      <c r="C586" s="20">
        <f>Mesh!C583</f>
      </c>
      <c r="D586" s="20">
        <f>Mesh!D583</f>
      </c>
      <c r="E586" s="37">
        <f>INDEX(St_e0,Det+1)+INDEX(St_kx,Det+1)*C586+INDEX(St_ky,Det+1)*B586</f>
      </c>
      <c r="F586" s="20">
        <f>IF(E586&gt;0,IF(E586&lt;=eco,alpha*fck*(1-(1-E586/eco)^n),alpha*fck),0)</f>
      </c>
      <c r="G586" s="19">
        <f>F586*D586</f>
      </c>
      <c r="H586" s="19">
        <f>G586*C586</f>
      </c>
      <c r="I586" s="19">
        <f>G586*B586</f>
      </c>
      <c r="K586" s="37">
        <f>Eq_e0+Eq_kx*$C586+Eq_ky*$B586</f>
      </c>
      <c r="L586" s="20">
        <f>IF(K586&gt;0,IF(K586&lt;=eco,alpha*fck*(1-(1-K586/eco)^n),alpha*fck),0)</f>
      </c>
    </row>
    <row r="587" spans="1:12" x14ac:dyDescent="0.25">
      <c r="A587">
        <f>Mesh!A584</f>
      </c>
      <c r="B587" s="20">
        <f>Mesh!B584</f>
      </c>
      <c r="C587" s="20">
        <f>Mesh!C584</f>
      </c>
      <c r="D587" s="20">
        <f>Mesh!D584</f>
      </c>
      <c r="E587" s="37">
        <f>INDEX(St_e0,Det+1)+INDEX(St_kx,Det+1)*C587+INDEX(St_ky,Det+1)*B587</f>
      </c>
      <c r="F587" s="20">
        <f>IF(E587&gt;0,IF(E587&lt;=eco,alpha*fck*(1-(1-E587/eco)^n),alpha*fck),0)</f>
      </c>
      <c r="G587" s="19">
        <f>F587*D587</f>
      </c>
      <c r="H587" s="19">
        <f>G587*C587</f>
      </c>
      <c r="I587" s="19">
        <f>G587*B587</f>
      </c>
      <c r="K587" s="37">
        <f>Eq_e0+Eq_kx*$C587+Eq_ky*$B587</f>
      </c>
      <c r="L587" s="20">
        <f>IF(K587&gt;0,IF(K587&lt;=eco,alpha*fck*(1-(1-K587/eco)^n),alpha*fck),0)</f>
      </c>
    </row>
    <row r="588" spans="1:12" x14ac:dyDescent="0.25">
      <c r="A588">
        <f>Mesh!A585</f>
      </c>
      <c r="B588" s="20">
        <f>Mesh!B585</f>
      </c>
      <c r="C588" s="20">
        <f>Mesh!C585</f>
      </c>
      <c r="D588" s="20">
        <f>Mesh!D585</f>
      </c>
      <c r="E588" s="37">
        <f>INDEX(St_e0,Det+1)+INDEX(St_kx,Det+1)*C588+INDEX(St_ky,Det+1)*B588</f>
      </c>
      <c r="F588" s="20">
        <f>IF(E588&gt;0,IF(E588&lt;=eco,alpha*fck*(1-(1-E588/eco)^n),alpha*fck),0)</f>
      </c>
      <c r="G588" s="19">
        <f>F588*D588</f>
      </c>
      <c r="H588" s="19">
        <f>G588*C588</f>
      </c>
      <c r="I588" s="19">
        <f>G588*B588</f>
      </c>
      <c r="K588" s="37">
        <f>Eq_e0+Eq_kx*$C588+Eq_ky*$B588</f>
      </c>
      <c r="L588" s="20">
        <f>IF(K588&gt;0,IF(K588&lt;=eco,alpha*fck*(1-(1-K588/eco)^n),alpha*fck),0)</f>
      </c>
    </row>
    <row r="589" spans="1:12" x14ac:dyDescent="0.25">
      <c r="A589">
        <f>Mesh!A586</f>
      </c>
      <c r="B589" s="20">
        <f>Mesh!B586</f>
      </c>
      <c r="C589" s="20">
        <f>Mesh!C586</f>
      </c>
      <c r="D589" s="20">
        <f>Mesh!D586</f>
      </c>
      <c r="E589" s="37">
        <f>INDEX(St_e0,Det+1)+INDEX(St_kx,Det+1)*C589+INDEX(St_ky,Det+1)*B589</f>
      </c>
      <c r="F589" s="20">
        <f>IF(E589&gt;0,IF(E589&lt;=eco,alpha*fck*(1-(1-E589/eco)^n),alpha*fck),0)</f>
      </c>
      <c r="G589" s="19">
        <f>F589*D589</f>
      </c>
      <c r="H589" s="19">
        <f>G589*C589</f>
      </c>
      <c r="I589" s="19">
        <f>G589*B589</f>
      </c>
      <c r="K589" s="37">
        <f>Eq_e0+Eq_kx*$C589+Eq_ky*$B589</f>
      </c>
      <c r="L589" s="20">
        <f>IF(K589&gt;0,IF(K589&lt;=eco,alpha*fck*(1-(1-K589/eco)^n),alpha*fck),0)</f>
      </c>
    </row>
    <row r="590" spans="1:12" x14ac:dyDescent="0.25">
      <c r="A590">
        <f>Mesh!A587</f>
      </c>
      <c r="B590" s="20">
        <f>Mesh!B587</f>
      </c>
      <c r="C590" s="20">
        <f>Mesh!C587</f>
      </c>
      <c r="D590" s="20">
        <f>Mesh!D587</f>
      </c>
      <c r="E590" s="37">
        <f>INDEX(St_e0,Det+1)+INDEX(St_kx,Det+1)*C590+INDEX(St_ky,Det+1)*B590</f>
      </c>
      <c r="F590" s="20">
        <f>IF(E590&gt;0,IF(E590&lt;=eco,alpha*fck*(1-(1-E590/eco)^n),alpha*fck),0)</f>
      </c>
      <c r="G590" s="19">
        <f>F590*D590</f>
      </c>
      <c r="H590" s="19">
        <f>G590*C590</f>
      </c>
      <c r="I590" s="19">
        <f>G590*B590</f>
      </c>
      <c r="K590" s="37">
        <f>Eq_e0+Eq_kx*$C590+Eq_ky*$B590</f>
      </c>
      <c r="L590" s="20">
        <f>IF(K590&gt;0,IF(K590&lt;=eco,alpha*fck*(1-(1-K590/eco)^n),alpha*fck),0)</f>
      </c>
    </row>
    <row r="591" spans="1:12" x14ac:dyDescent="0.25">
      <c r="A591">
        <f>Mesh!A588</f>
      </c>
      <c r="B591" s="20">
        <f>Mesh!B588</f>
      </c>
      <c r="C591" s="20">
        <f>Mesh!C588</f>
      </c>
      <c r="D591" s="20">
        <f>Mesh!D588</f>
      </c>
      <c r="E591" s="37">
        <f>INDEX(St_e0,Det+1)+INDEX(St_kx,Det+1)*C591+INDEX(St_ky,Det+1)*B591</f>
      </c>
      <c r="F591" s="20">
        <f>IF(E591&gt;0,IF(E591&lt;=eco,alpha*fck*(1-(1-E591/eco)^n),alpha*fck),0)</f>
      </c>
      <c r="G591" s="19">
        <f>F591*D591</f>
      </c>
      <c r="H591" s="19">
        <f>G591*C591</f>
      </c>
      <c r="I591" s="19">
        <f>G591*B591</f>
      </c>
      <c r="K591" s="37">
        <f>Eq_e0+Eq_kx*$C591+Eq_ky*$B591</f>
      </c>
      <c r="L591" s="20">
        <f>IF(K591&gt;0,IF(K591&lt;=eco,alpha*fck*(1-(1-K591/eco)^n),alpha*fck),0)</f>
      </c>
    </row>
    <row r="592" spans="1:12" x14ac:dyDescent="0.25">
      <c r="A592">
        <f>Mesh!A589</f>
      </c>
      <c r="B592" s="20">
        <f>Mesh!B589</f>
      </c>
      <c r="C592" s="20">
        <f>Mesh!C589</f>
      </c>
      <c r="D592" s="20">
        <f>Mesh!D589</f>
      </c>
      <c r="E592" s="37">
        <f>INDEX(St_e0,Det+1)+INDEX(St_kx,Det+1)*C592+INDEX(St_ky,Det+1)*B592</f>
      </c>
      <c r="F592" s="20">
        <f>IF(E592&gt;0,IF(E592&lt;=eco,alpha*fck*(1-(1-E592/eco)^n),alpha*fck),0)</f>
      </c>
      <c r="G592" s="19">
        <f>F592*D592</f>
      </c>
      <c r="H592" s="19">
        <f>G592*C592</f>
      </c>
      <c r="I592" s="19">
        <f>G592*B592</f>
      </c>
      <c r="K592" s="37">
        <f>Eq_e0+Eq_kx*$C592+Eq_ky*$B592</f>
      </c>
      <c r="L592" s="20">
        <f>IF(K592&gt;0,IF(K592&lt;=eco,alpha*fck*(1-(1-K592/eco)^n),alpha*fck),0)</f>
      </c>
    </row>
    <row r="593" spans="1:12" x14ac:dyDescent="0.25">
      <c r="A593">
        <f>Mesh!A590</f>
      </c>
      <c r="B593" s="20">
        <f>Mesh!B590</f>
      </c>
      <c r="C593" s="20">
        <f>Mesh!C590</f>
      </c>
      <c r="D593" s="20">
        <f>Mesh!D590</f>
      </c>
      <c r="E593" s="37">
        <f>INDEX(St_e0,Det+1)+INDEX(St_kx,Det+1)*C593+INDEX(St_ky,Det+1)*B593</f>
      </c>
      <c r="F593" s="20">
        <f>IF(E593&gt;0,IF(E593&lt;=eco,alpha*fck*(1-(1-E593/eco)^n),alpha*fck),0)</f>
      </c>
      <c r="G593" s="19">
        <f>F593*D593</f>
      </c>
      <c r="H593" s="19">
        <f>G593*C593</f>
      </c>
      <c r="I593" s="19">
        <f>G593*B593</f>
      </c>
      <c r="K593" s="37">
        <f>Eq_e0+Eq_kx*$C593+Eq_ky*$B593</f>
      </c>
      <c r="L593" s="20">
        <f>IF(K593&gt;0,IF(K593&lt;=eco,alpha*fck*(1-(1-K593/eco)^n),alpha*fck),0)</f>
      </c>
    </row>
    <row r="594" spans="1:12" x14ac:dyDescent="0.25">
      <c r="A594">
        <f>Mesh!A591</f>
      </c>
      <c r="B594" s="20">
        <f>Mesh!B591</f>
      </c>
      <c r="C594" s="20">
        <f>Mesh!C591</f>
      </c>
      <c r="D594" s="20">
        <f>Mesh!D591</f>
      </c>
      <c r="E594" s="37">
        <f>INDEX(St_e0,Det+1)+INDEX(St_kx,Det+1)*C594+INDEX(St_ky,Det+1)*B594</f>
      </c>
      <c r="F594" s="20">
        <f>IF(E594&gt;0,IF(E594&lt;=eco,alpha*fck*(1-(1-E594/eco)^n),alpha*fck),0)</f>
      </c>
      <c r="G594" s="19">
        <f>F594*D594</f>
      </c>
      <c r="H594" s="19">
        <f>G594*C594</f>
      </c>
      <c r="I594" s="19">
        <f>G594*B594</f>
      </c>
      <c r="K594" s="37">
        <f>Eq_e0+Eq_kx*$C594+Eq_ky*$B594</f>
      </c>
      <c r="L594" s="20">
        <f>IF(K594&gt;0,IF(K594&lt;=eco,alpha*fck*(1-(1-K594/eco)^n),alpha*fck),0)</f>
      </c>
    </row>
    <row r="595" spans="1:12" x14ac:dyDescent="0.25">
      <c r="A595">
        <f>Mesh!A592</f>
      </c>
      <c r="B595" s="20">
        <f>Mesh!B592</f>
      </c>
      <c r="C595" s="20">
        <f>Mesh!C592</f>
      </c>
      <c r="D595" s="20">
        <f>Mesh!D592</f>
      </c>
      <c r="E595" s="37">
        <f>INDEX(St_e0,Det+1)+INDEX(St_kx,Det+1)*C595+INDEX(St_ky,Det+1)*B595</f>
      </c>
      <c r="F595" s="20">
        <f>IF(E595&gt;0,IF(E595&lt;=eco,alpha*fck*(1-(1-E595/eco)^n),alpha*fck),0)</f>
      </c>
      <c r="G595" s="19">
        <f>F595*D595</f>
      </c>
      <c r="H595" s="19">
        <f>G595*C595</f>
      </c>
      <c r="I595" s="19">
        <f>G595*B595</f>
      </c>
      <c r="K595" s="37">
        <f>Eq_e0+Eq_kx*$C595+Eq_ky*$B595</f>
      </c>
      <c r="L595" s="20">
        <f>IF(K595&gt;0,IF(K595&lt;=eco,alpha*fck*(1-(1-K595/eco)^n),alpha*fck),0)</f>
      </c>
    </row>
    <row r="596" spans="1:12" x14ac:dyDescent="0.25">
      <c r="A596">
        <f>Mesh!A593</f>
      </c>
      <c r="B596" s="20">
        <f>Mesh!B593</f>
      </c>
      <c r="C596" s="20">
        <f>Mesh!C593</f>
      </c>
      <c r="D596" s="20">
        <f>Mesh!D593</f>
      </c>
      <c r="E596" s="37">
        <f>INDEX(St_e0,Det+1)+INDEX(St_kx,Det+1)*C596+INDEX(St_ky,Det+1)*B596</f>
      </c>
      <c r="F596" s="20">
        <f>IF(E596&gt;0,IF(E596&lt;=eco,alpha*fck*(1-(1-E596/eco)^n),alpha*fck),0)</f>
      </c>
      <c r="G596" s="19">
        <f>F596*D596</f>
      </c>
      <c r="H596" s="19">
        <f>G596*C596</f>
      </c>
      <c r="I596" s="19">
        <f>G596*B596</f>
      </c>
      <c r="K596" s="37">
        <f>Eq_e0+Eq_kx*$C596+Eq_ky*$B596</f>
      </c>
      <c r="L596" s="20">
        <f>IF(K596&gt;0,IF(K596&lt;=eco,alpha*fck*(1-(1-K596/eco)^n),alpha*fck),0)</f>
      </c>
    </row>
    <row r="597" spans="1:12" x14ac:dyDescent="0.25">
      <c r="A597">
        <f>Mesh!A594</f>
      </c>
      <c r="B597" s="20">
        <f>Mesh!B594</f>
      </c>
      <c r="C597" s="20">
        <f>Mesh!C594</f>
      </c>
      <c r="D597" s="20">
        <f>Mesh!D594</f>
      </c>
      <c r="E597" s="37">
        <f>INDEX(St_e0,Det+1)+INDEX(St_kx,Det+1)*C597+INDEX(St_ky,Det+1)*B597</f>
      </c>
      <c r="F597" s="20">
        <f>IF(E597&gt;0,IF(E597&lt;=eco,alpha*fck*(1-(1-E597/eco)^n),alpha*fck),0)</f>
      </c>
      <c r="G597" s="19">
        <f>F597*D597</f>
      </c>
      <c r="H597" s="19">
        <f>G597*C597</f>
      </c>
      <c r="I597" s="19">
        <f>G597*B597</f>
      </c>
      <c r="K597" s="37">
        <f>Eq_e0+Eq_kx*$C597+Eq_ky*$B597</f>
      </c>
      <c r="L597" s="20">
        <f>IF(K597&gt;0,IF(K597&lt;=eco,alpha*fck*(1-(1-K597/eco)^n),alpha*fck),0)</f>
      </c>
    </row>
    <row r="598" spans="1:12" x14ac:dyDescent="0.25">
      <c r="A598">
        <f>Mesh!A595</f>
      </c>
      <c r="B598" s="20">
        <f>Mesh!B595</f>
      </c>
      <c r="C598" s="20">
        <f>Mesh!C595</f>
      </c>
      <c r="D598" s="20">
        <f>Mesh!D595</f>
      </c>
      <c r="E598" s="37">
        <f>INDEX(St_e0,Det+1)+INDEX(St_kx,Det+1)*C598+INDEX(St_ky,Det+1)*B598</f>
      </c>
      <c r="F598" s="20">
        <f>IF(E598&gt;0,IF(E598&lt;=eco,alpha*fck*(1-(1-E598/eco)^n),alpha*fck),0)</f>
      </c>
      <c r="G598" s="19">
        <f>F598*D598</f>
      </c>
      <c r="H598" s="19">
        <f>G598*C598</f>
      </c>
      <c r="I598" s="19">
        <f>G598*B598</f>
      </c>
      <c r="K598" s="37">
        <f>Eq_e0+Eq_kx*$C598+Eq_ky*$B598</f>
      </c>
      <c r="L598" s="20">
        <f>IF(K598&gt;0,IF(K598&lt;=eco,alpha*fck*(1-(1-K598/eco)^n),alpha*fck),0)</f>
      </c>
    </row>
    <row r="599" spans="1:12" x14ac:dyDescent="0.25">
      <c r="A599">
        <f>Mesh!A596</f>
      </c>
      <c r="B599" s="20">
        <f>Mesh!B596</f>
      </c>
      <c r="C599" s="20">
        <f>Mesh!C596</f>
      </c>
      <c r="D599" s="20">
        <f>Mesh!D596</f>
      </c>
      <c r="E599" s="37">
        <f>INDEX(St_e0,Det+1)+INDEX(St_kx,Det+1)*C599+INDEX(St_ky,Det+1)*B599</f>
      </c>
      <c r="F599" s="20">
        <f>IF(E599&gt;0,IF(E599&lt;=eco,alpha*fck*(1-(1-E599/eco)^n),alpha*fck),0)</f>
      </c>
      <c r="G599" s="19">
        <f>F599*D599</f>
      </c>
      <c r="H599" s="19">
        <f>G599*C599</f>
      </c>
      <c r="I599" s="19">
        <f>G599*B599</f>
      </c>
      <c r="K599" s="37">
        <f>Eq_e0+Eq_kx*$C599+Eq_ky*$B599</f>
      </c>
      <c r="L599" s="20">
        <f>IF(K599&gt;0,IF(K599&lt;=eco,alpha*fck*(1-(1-K599/eco)^n),alpha*fck),0)</f>
      </c>
    </row>
    <row r="600" spans="1:12" x14ac:dyDescent="0.25">
      <c r="A600">
        <f>Mesh!A597</f>
      </c>
      <c r="B600" s="20">
        <f>Mesh!B597</f>
      </c>
      <c r="C600" s="20">
        <f>Mesh!C597</f>
      </c>
      <c r="D600" s="20">
        <f>Mesh!D597</f>
      </c>
      <c r="E600" s="37">
        <f>INDEX(St_e0,Det+1)+INDEX(St_kx,Det+1)*C600+INDEX(St_ky,Det+1)*B600</f>
      </c>
      <c r="F600" s="20">
        <f>IF(E600&gt;0,IF(E600&lt;=eco,alpha*fck*(1-(1-E600/eco)^n),alpha*fck),0)</f>
      </c>
      <c r="G600" s="19">
        <f>F600*D600</f>
      </c>
      <c r="H600" s="19">
        <f>G600*C600</f>
      </c>
      <c r="I600" s="19">
        <f>G600*B600</f>
      </c>
      <c r="K600" s="37">
        <f>Eq_e0+Eq_kx*$C600+Eq_ky*$B600</f>
      </c>
      <c r="L600" s="20">
        <f>IF(K600&gt;0,IF(K600&lt;=eco,alpha*fck*(1-(1-K600/eco)^n),alpha*fck),0)</f>
      </c>
    </row>
    <row r="601" spans="1:12" x14ac:dyDescent="0.25">
      <c r="A601">
        <f>Mesh!A598</f>
      </c>
      <c r="B601" s="20">
        <f>Mesh!B598</f>
      </c>
      <c r="C601" s="20">
        <f>Mesh!C598</f>
      </c>
      <c r="D601" s="20">
        <f>Mesh!D598</f>
      </c>
      <c r="E601" s="37">
        <f>INDEX(St_e0,Det+1)+INDEX(St_kx,Det+1)*C601+INDEX(St_ky,Det+1)*B601</f>
      </c>
      <c r="F601" s="20">
        <f>IF(E601&gt;0,IF(E601&lt;=eco,alpha*fck*(1-(1-E601/eco)^n),alpha*fck),0)</f>
      </c>
      <c r="G601" s="19">
        <f>F601*D601</f>
      </c>
      <c r="H601" s="19">
        <f>G601*C601</f>
      </c>
      <c r="I601" s="19">
        <f>G601*B601</f>
      </c>
      <c r="K601" s="37">
        <f>Eq_e0+Eq_kx*$C601+Eq_ky*$B601</f>
      </c>
      <c r="L601" s="20">
        <f>IF(K601&gt;0,IF(K601&lt;=eco,alpha*fck*(1-(1-K601/eco)^n),alpha*fck),0)</f>
      </c>
    </row>
    <row r="602" spans="1:12" x14ac:dyDescent="0.25">
      <c r="A602">
        <f>Mesh!A599</f>
      </c>
      <c r="B602" s="20">
        <f>Mesh!B599</f>
      </c>
      <c r="C602" s="20">
        <f>Mesh!C599</f>
      </c>
      <c r="D602" s="20">
        <f>Mesh!D599</f>
      </c>
      <c r="E602" s="37">
        <f>INDEX(St_e0,Det+1)+INDEX(St_kx,Det+1)*C602+INDEX(St_ky,Det+1)*B602</f>
      </c>
      <c r="F602" s="20">
        <f>IF(E602&gt;0,IF(E602&lt;=eco,alpha*fck*(1-(1-E602/eco)^n),alpha*fck),0)</f>
      </c>
      <c r="G602" s="19">
        <f>F602*D602</f>
      </c>
      <c r="H602" s="19">
        <f>G602*C602</f>
      </c>
      <c r="I602" s="19">
        <f>G602*B602</f>
      </c>
      <c r="K602" s="37">
        <f>Eq_e0+Eq_kx*$C602+Eq_ky*$B602</f>
      </c>
      <c r="L602" s="20">
        <f>IF(K602&gt;0,IF(K602&lt;=eco,alpha*fck*(1-(1-K602/eco)^n),alpha*fck),0)</f>
      </c>
    </row>
    <row r="603" spans="1:12" x14ac:dyDescent="0.25">
      <c r="A603">
        <f>Mesh!A600</f>
      </c>
      <c r="B603" s="20">
        <f>Mesh!B600</f>
      </c>
      <c r="C603" s="20">
        <f>Mesh!C600</f>
      </c>
      <c r="D603" s="20">
        <f>Mesh!D600</f>
      </c>
      <c r="E603" s="37">
        <f>INDEX(St_e0,Det+1)+INDEX(St_kx,Det+1)*C603+INDEX(St_ky,Det+1)*B603</f>
      </c>
      <c r="F603" s="20">
        <f>IF(E603&gt;0,IF(E603&lt;=eco,alpha*fck*(1-(1-E603/eco)^n),alpha*fck),0)</f>
      </c>
      <c r="G603" s="19">
        <f>F603*D603</f>
      </c>
      <c r="H603" s="19">
        <f>G603*C603</f>
      </c>
      <c r="I603" s="19">
        <f>G603*B603</f>
      </c>
      <c r="K603" s="37">
        <f>Eq_e0+Eq_kx*$C603+Eq_ky*$B603</f>
      </c>
      <c r="L603" s="20">
        <f>IF(K603&gt;0,IF(K603&lt;=eco,alpha*fck*(1-(1-K603/eco)^n),alpha*fck),0)</f>
      </c>
    </row>
    <row r="604" spans="1:12" x14ac:dyDescent="0.25">
      <c r="A604">
        <f>Mesh!A601</f>
      </c>
      <c r="B604" s="20">
        <f>Mesh!B601</f>
      </c>
      <c r="C604" s="20">
        <f>Mesh!C601</f>
      </c>
      <c r="D604" s="20">
        <f>Mesh!D601</f>
      </c>
      <c r="E604" s="37">
        <f>INDEX(St_e0,Det+1)+INDEX(St_kx,Det+1)*C604+INDEX(St_ky,Det+1)*B604</f>
      </c>
      <c r="F604" s="20">
        <f>IF(E604&gt;0,IF(E604&lt;=eco,alpha*fck*(1-(1-E604/eco)^n),alpha*fck),0)</f>
      </c>
      <c r="G604" s="19">
        <f>F604*D604</f>
      </c>
      <c r="H604" s="19">
        <f>G604*C604</f>
      </c>
      <c r="I604" s="19">
        <f>G604*B604</f>
      </c>
      <c r="K604" s="37">
        <f>Eq_e0+Eq_kx*$C604+Eq_ky*$B604</f>
      </c>
      <c r="L604" s="20">
        <f>IF(K604&gt;0,IF(K604&lt;=eco,alpha*fck*(1-(1-K604/eco)^n),alpha*fck),0)</f>
      </c>
    </row>
    <row r="605" spans="1:12" x14ac:dyDescent="0.25">
      <c r="A605">
        <f>Mesh!A602</f>
      </c>
      <c r="B605" s="20">
        <f>Mesh!B602</f>
      </c>
      <c r="C605" s="20">
        <f>Mesh!C602</f>
      </c>
      <c r="D605" s="20">
        <f>Mesh!D602</f>
      </c>
      <c r="E605" s="37">
        <f>INDEX(St_e0,Det+1)+INDEX(St_kx,Det+1)*C605+INDEX(St_ky,Det+1)*B605</f>
      </c>
      <c r="F605" s="20">
        <f>IF(E605&gt;0,IF(E605&lt;=eco,alpha*fck*(1-(1-E605/eco)^n),alpha*fck),0)</f>
      </c>
      <c r="G605" s="19">
        <f>F605*D605</f>
      </c>
      <c r="H605" s="19">
        <f>G605*C605</f>
      </c>
      <c r="I605" s="19">
        <f>G605*B605</f>
      </c>
      <c r="K605" s="37">
        <f>Eq_e0+Eq_kx*$C605+Eq_ky*$B605</f>
      </c>
      <c r="L605" s="20">
        <f>IF(K605&gt;0,IF(K605&lt;=eco,alpha*fck*(1-(1-K605/eco)^n),alpha*fck),0)</f>
      </c>
    </row>
    <row r="606" spans="1:12" x14ac:dyDescent="0.25">
      <c r="A606">
        <f>Mesh!A603</f>
      </c>
      <c r="B606" s="20">
        <f>Mesh!B603</f>
      </c>
      <c r="C606" s="20">
        <f>Mesh!C603</f>
      </c>
      <c r="D606" s="20">
        <f>Mesh!D603</f>
      </c>
      <c r="E606" s="37">
        <f>INDEX(St_e0,Det+1)+INDEX(St_kx,Det+1)*C606+INDEX(St_ky,Det+1)*B606</f>
      </c>
      <c r="F606" s="20">
        <f>IF(E606&gt;0,IF(E606&lt;=eco,alpha*fck*(1-(1-E606/eco)^n),alpha*fck),0)</f>
      </c>
      <c r="G606" s="19">
        <f>F606*D606</f>
      </c>
      <c r="H606" s="19">
        <f>G606*C606</f>
      </c>
      <c r="I606" s="19">
        <f>G606*B606</f>
      </c>
      <c r="K606" s="37">
        <f>Eq_e0+Eq_kx*$C606+Eq_ky*$B606</f>
      </c>
      <c r="L606" s="20">
        <f>IF(K606&gt;0,IF(K606&lt;=eco,alpha*fck*(1-(1-K606/eco)^n),alpha*fck),0)</f>
      </c>
    </row>
    <row r="607" spans="1:12" x14ac:dyDescent="0.25">
      <c r="A607">
        <f>Mesh!A604</f>
      </c>
      <c r="B607" s="20">
        <f>Mesh!B604</f>
      </c>
      <c r="C607" s="20">
        <f>Mesh!C604</f>
      </c>
      <c r="D607" s="20">
        <f>Mesh!D604</f>
      </c>
      <c r="E607" s="37">
        <f>INDEX(St_e0,Det+1)+INDEX(St_kx,Det+1)*C607+INDEX(St_ky,Det+1)*B607</f>
      </c>
      <c r="F607" s="20">
        <f>IF(E607&gt;0,IF(E607&lt;=eco,alpha*fck*(1-(1-E607/eco)^n),alpha*fck),0)</f>
      </c>
      <c r="G607" s="19">
        <f>F607*D607</f>
      </c>
      <c r="H607" s="19">
        <f>G607*C607</f>
      </c>
      <c r="I607" s="19">
        <f>G607*B607</f>
      </c>
      <c r="K607" s="37">
        <f>Eq_e0+Eq_kx*$C607+Eq_ky*$B607</f>
      </c>
      <c r="L607" s="20">
        <f>IF(K607&gt;0,IF(K607&lt;=eco,alpha*fck*(1-(1-K607/eco)^n),alpha*fck),0)</f>
      </c>
    </row>
    <row r="608" spans="1:12" x14ac:dyDescent="0.25">
      <c r="A608">
        <f>Mesh!A605</f>
      </c>
      <c r="B608" s="20">
        <f>Mesh!B605</f>
      </c>
      <c r="C608" s="20">
        <f>Mesh!C605</f>
      </c>
      <c r="D608" s="20">
        <f>Mesh!D605</f>
      </c>
      <c r="E608" s="37">
        <f>INDEX(St_e0,Det+1)+INDEX(St_kx,Det+1)*C608+INDEX(St_ky,Det+1)*B608</f>
      </c>
      <c r="F608" s="20">
        <f>IF(E608&gt;0,IF(E608&lt;=eco,alpha*fck*(1-(1-E608/eco)^n),alpha*fck),0)</f>
      </c>
      <c r="G608" s="19">
        <f>F608*D608</f>
      </c>
      <c r="H608" s="19">
        <f>G608*C608</f>
      </c>
      <c r="I608" s="19">
        <f>G608*B608</f>
      </c>
      <c r="K608" s="37">
        <f>Eq_e0+Eq_kx*$C608+Eq_ky*$B608</f>
      </c>
      <c r="L608" s="20">
        <f>IF(K608&gt;0,IF(K608&lt;=eco,alpha*fck*(1-(1-K608/eco)^n),alpha*fck),0)</f>
      </c>
    </row>
    <row r="609" spans="1:12" x14ac:dyDescent="0.25">
      <c r="A609">
        <f>Mesh!A606</f>
      </c>
      <c r="B609" s="20">
        <f>Mesh!B606</f>
      </c>
      <c r="C609" s="20">
        <f>Mesh!C606</f>
      </c>
      <c r="D609" s="20">
        <f>Mesh!D606</f>
      </c>
      <c r="E609" s="37">
        <f>INDEX(St_e0,Det+1)+INDEX(St_kx,Det+1)*C609+INDEX(St_ky,Det+1)*B609</f>
      </c>
      <c r="F609" s="20">
        <f>IF(E609&gt;0,IF(E609&lt;=eco,alpha*fck*(1-(1-E609/eco)^n),alpha*fck),0)</f>
      </c>
      <c r="G609" s="19">
        <f>F609*D609</f>
      </c>
      <c r="H609" s="19">
        <f>G609*C609</f>
      </c>
      <c r="I609" s="19">
        <f>G609*B609</f>
      </c>
      <c r="K609" s="37">
        <f>Eq_e0+Eq_kx*$C609+Eq_ky*$B609</f>
      </c>
      <c r="L609" s="20">
        <f>IF(K609&gt;0,IF(K609&lt;=eco,alpha*fck*(1-(1-K609/eco)^n),alpha*fck),0)</f>
      </c>
    </row>
    <row r="610" spans="1:12" x14ac:dyDescent="0.25">
      <c r="A610">
        <f>Mesh!A607</f>
      </c>
      <c r="B610" s="20">
        <f>Mesh!B607</f>
      </c>
      <c r="C610" s="20">
        <f>Mesh!C607</f>
      </c>
      <c r="D610" s="20">
        <f>Mesh!D607</f>
      </c>
      <c r="E610" s="37">
        <f>INDEX(St_e0,Det+1)+INDEX(St_kx,Det+1)*C610+INDEX(St_ky,Det+1)*B610</f>
      </c>
      <c r="F610" s="20">
        <f>IF(E610&gt;0,IF(E610&lt;=eco,alpha*fck*(1-(1-E610/eco)^n),alpha*fck),0)</f>
      </c>
      <c r="G610" s="19">
        <f>F610*D610</f>
      </c>
      <c r="H610" s="19">
        <f>G610*C610</f>
      </c>
      <c r="I610" s="19">
        <f>G610*B610</f>
      </c>
      <c r="K610" s="37">
        <f>Eq_e0+Eq_kx*$C610+Eq_ky*$B610</f>
      </c>
      <c r="L610" s="20">
        <f>IF(K610&gt;0,IF(K610&lt;=eco,alpha*fck*(1-(1-K610/eco)^n),alpha*fck),0)</f>
      </c>
    </row>
    <row r="611" spans="1:12" x14ac:dyDescent="0.25">
      <c r="A611">
        <f>Mesh!A608</f>
      </c>
      <c r="B611" s="20">
        <f>Mesh!B608</f>
      </c>
      <c r="C611" s="20">
        <f>Mesh!C608</f>
      </c>
      <c r="D611" s="20">
        <f>Mesh!D608</f>
      </c>
      <c r="E611" s="37">
        <f>INDEX(St_e0,Det+1)+INDEX(St_kx,Det+1)*C611+INDEX(St_ky,Det+1)*B611</f>
      </c>
      <c r="F611" s="20">
        <f>IF(E611&gt;0,IF(E611&lt;=eco,alpha*fck*(1-(1-E611/eco)^n),alpha*fck),0)</f>
      </c>
      <c r="G611" s="19">
        <f>F611*D611</f>
      </c>
      <c r="H611" s="19">
        <f>G611*C611</f>
      </c>
      <c r="I611" s="19">
        <f>G611*B611</f>
      </c>
      <c r="K611" s="37">
        <f>Eq_e0+Eq_kx*$C611+Eq_ky*$B611</f>
      </c>
      <c r="L611" s="20">
        <f>IF(K611&gt;0,IF(K611&lt;=eco,alpha*fck*(1-(1-K611/eco)^n),alpha*fck),0)</f>
      </c>
    </row>
    <row r="612" spans="1:12" x14ac:dyDescent="0.25">
      <c r="A612">
        <f>Mesh!A609</f>
      </c>
      <c r="B612" s="20">
        <f>Mesh!B609</f>
      </c>
      <c r="C612" s="20">
        <f>Mesh!C609</f>
      </c>
      <c r="D612" s="20">
        <f>Mesh!D609</f>
      </c>
      <c r="E612" s="37">
        <f>INDEX(St_e0,Det+1)+INDEX(St_kx,Det+1)*C612+INDEX(St_ky,Det+1)*B612</f>
      </c>
      <c r="F612" s="20">
        <f>IF(E612&gt;0,IF(E612&lt;=eco,alpha*fck*(1-(1-E612/eco)^n),alpha*fck),0)</f>
      </c>
      <c r="G612" s="19">
        <f>F612*D612</f>
      </c>
      <c r="H612" s="19">
        <f>G612*C612</f>
      </c>
      <c r="I612" s="19">
        <f>G612*B612</f>
      </c>
      <c r="K612" s="37">
        <f>Eq_e0+Eq_kx*$C612+Eq_ky*$B612</f>
      </c>
      <c r="L612" s="20">
        <f>IF(K612&gt;0,IF(K612&lt;=eco,alpha*fck*(1-(1-K612/eco)^n),alpha*fck),0)</f>
      </c>
    </row>
    <row r="613" spans="1:12" x14ac:dyDescent="0.25">
      <c r="A613">
        <f>Mesh!A610</f>
      </c>
      <c r="B613" s="20">
        <f>Mesh!B610</f>
      </c>
      <c r="C613" s="20">
        <f>Mesh!C610</f>
      </c>
      <c r="D613" s="20">
        <f>Mesh!D610</f>
      </c>
      <c r="E613" s="37">
        <f>INDEX(St_e0,Det+1)+INDEX(St_kx,Det+1)*C613+INDEX(St_ky,Det+1)*B613</f>
      </c>
      <c r="F613" s="20">
        <f>IF(E613&gt;0,IF(E613&lt;=eco,alpha*fck*(1-(1-E613/eco)^n),alpha*fck),0)</f>
      </c>
      <c r="G613" s="19">
        <f>F613*D613</f>
      </c>
      <c r="H613" s="19">
        <f>G613*C613</f>
      </c>
      <c r="I613" s="19">
        <f>G613*B613</f>
      </c>
      <c r="K613" s="37">
        <f>Eq_e0+Eq_kx*$C613+Eq_ky*$B613</f>
      </c>
      <c r="L613" s="20">
        <f>IF(K613&gt;0,IF(K613&lt;=eco,alpha*fck*(1-(1-K613/eco)^n),alpha*fck),0)</f>
      </c>
    </row>
    <row r="614" spans="1:12" x14ac:dyDescent="0.25">
      <c r="A614">
        <f>Mesh!A611</f>
      </c>
      <c r="B614" s="20">
        <f>Mesh!B611</f>
      </c>
      <c r="C614" s="20">
        <f>Mesh!C611</f>
      </c>
      <c r="D614" s="20">
        <f>Mesh!D611</f>
      </c>
      <c r="E614" s="37">
        <f>INDEX(St_e0,Det+1)+INDEX(St_kx,Det+1)*C614+INDEX(St_ky,Det+1)*B614</f>
      </c>
      <c r="F614" s="20">
        <f>IF(E614&gt;0,IF(E614&lt;=eco,alpha*fck*(1-(1-E614/eco)^n),alpha*fck),0)</f>
      </c>
      <c r="G614" s="19">
        <f>F614*D614</f>
      </c>
      <c r="H614" s="19">
        <f>G614*C614</f>
      </c>
      <c r="I614" s="19">
        <f>G614*B614</f>
      </c>
      <c r="K614" s="37">
        <f>Eq_e0+Eq_kx*$C614+Eq_ky*$B614</f>
      </c>
      <c r="L614" s="20">
        <f>IF(K614&gt;0,IF(K614&lt;=eco,alpha*fck*(1-(1-K614/eco)^n),alpha*fck),0)</f>
      </c>
    </row>
    <row r="615" spans="1:12" x14ac:dyDescent="0.25">
      <c r="A615">
        <f>Mesh!A612</f>
      </c>
      <c r="B615" s="20">
        <f>Mesh!B612</f>
      </c>
      <c r="C615" s="20">
        <f>Mesh!C612</f>
      </c>
      <c r="D615" s="20">
        <f>Mesh!D612</f>
      </c>
      <c r="E615" s="37">
        <f>INDEX(St_e0,Det+1)+INDEX(St_kx,Det+1)*C615+INDEX(St_ky,Det+1)*B615</f>
      </c>
      <c r="F615" s="20">
        <f>IF(E615&gt;0,IF(E615&lt;=eco,alpha*fck*(1-(1-E615/eco)^n),alpha*fck),0)</f>
      </c>
      <c r="G615" s="19">
        <f>F615*D615</f>
      </c>
      <c r="H615" s="19">
        <f>G615*C615</f>
      </c>
      <c r="I615" s="19">
        <f>G615*B615</f>
      </c>
      <c r="K615" s="37">
        <f>Eq_e0+Eq_kx*$C615+Eq_ky*$B615</f>
      </c>
      <c r="L615" s="20">
        <f>IF(K615&gt;0,IF(K615&lt;=eco,alpha*fck*(1-(1-K615/eco)^n),alpha*fck),0)</f>
      </c>
    </row>
    <row r="616" spans="1:12" x14ac:dyDescent="0.25">
      <c r="A616">
        <f>Mesh!A613</f>
      </c>
      <c r="B616" s="20">
        <f>Mesh!B613</f>
      </c>
      <c r="C616" s="20">
        <f>Mesh!C613</f>
      </c>
      <c r="D616" s="20">
        <f>Mesh!D613</f>
      </c>
      <c r="E616" s="37">
        <f>INDEX(St_e0,Det+1)+INDEX(St_kx,Det+1)*C616+INDEX(St_ky,Det+1)*B616</f>
      </c>
      <c r="F616" s="20">
        <f>IF(E616&gt;0,IF(E616&lt;=eco,alpha*fck*(1-(1-E616/eco)^n),alpha*fck),0)</f>
      </c>
      <c r="G616" s="19">
        <f>F616*D616</f>
      </c>
      <c r="H616" s="19">
        <f>G616*C616</f>
      </c>
      <c r="I616" s="19">
        <f>G616*B616</f>
      </c>
      <c r="K616" s="37">
        <f>Eq_e0+Eq_kx*$C616+Eq_ky*$B616</f>
      </c>
      <c r="L616" s="20">
        <f>IF(K616&gt;0,IF(K616&lt;=eco,alpha*fck*(1-(1-K616/eco)^n),alpha*fck),0)</f>
      </c>
    </row>
    <row r="617" spans="1:12" x14ac:dyDescent="0.25">
      <c r="A617">
        <f>Mesh!A614</f>
      </c>
      <c r="B617" s="20">
        <f>Mesh!B614</f>
      </c>
      <c r="C617" s="20">
        <f>Mesh!C614</f>
      </c>
      <c r="D617" s="20">
        <f>Mesh!D614</f>
      </c>
      <c r="E617" s="37">
        <f>INDEX(St_e0,Det+1)+INDEX(St_kx,Det+1)*C617+INDEX(St_ky,Det+1)*B617</f>
      </c>
      <c r="F617" s="20">
        <f>IF(E617&gt;0,IF(E617&lt;=eco,alpha*fck*(1-(1-E617/eco)^n),alpha*fck),0)</f>
      </c>
      <c r="G617" s="19">
        <f>F617*D617</f>
      </c>
      <c r="H617" s="19">
        <f>G617*C617</f>
      </c>
      <c r="I617" s="19">
        <f>G617*B617</f>
      </c>
      <c r="K617" s="37">
        <f>Eq_e0+Eq_kx*$C617+Eq_ky*$B617</f>
      </c>
      <c r="L617" s="20">
        <f>IF(K617&gt;0,IF(K617&lt;=eco,alpha*fck*(1-(1-K617/eco)^n),alpha*fck),0)</f>
      </c>
    </row>
    <row r="618" spans="1:12" x14ac:dyDescent="0.25">
      <c r="A618">
        <f>Mesh!A615</f>
      </c>
      <c r="B618" s="20">
        <f>Mesh!B615</f>
      </c>
      <c r="C618" s="20">
        <f>Mesh!C615</f>
      </c>
      <c r="D618" s="20">
        <f>Mesh!D615</f>
      </c>
      <c r="E618" s="37">
        <f>INDEX(St_e0,Det+1)+INDEX(St_kx,Det+1)*C618+INDEX(St_ky,Det+1)*B618</f>
      </c>
      <c r="F618" s="20">
        <f>IF(E618&gt;0,IF(E618&lt;=eco,alpha*fck*(1-(1-E618/eco)^n),alpha*fck),0)</f>
      </c>
      <c r="G618" s="19">
        <f>F618*D618</f>
      </c>
      <c r="H618" s="19">
        <f>G618*C618</f>
      </c>
      <c r="I618" s="19">
        <f>G618*B618</f>
      </c>
      <c r="K618" s="37">
        <f>Eq_e0+Eq_kx*$C618+Eq_ky*$B618</f>
      </c>
      <c r="L618" s="20">
        <f>IF(K618&gt;0,IF(K618&lt;=eco,alpha*fck*(1-(1-K618/eco)^n),alpha*fck),0)</f>
      </c>
    </row>
    <row r="619" spans="1:12" x14ac:dyDescent="0.25">
      <c r="A619">
        <f>Mesh!A616</f>
      </c>
      <c r="B619" s="20">
        <f>Mesh!B616</f>
      </c>
      <c r="C619" s="20">
        <f>Mesh!C616</f>
      </c>
      <c r="D619" s="20">
        <f>Mesh!D616</f>
      </c>
      <c r="E619" s="37">
        <f>INDEX(St_e0,Det+1)+INDEX(St_kx,Det+1)*C619+INDEX(St_ky,Det+1)*B619</f>
      </c>
      <c r="F619" s="20">
        <f>IF(E619&gt;0,IF(E619&lt;=eco,alpha*fck*(1-(1-E619/eco)^n),alpha*fck),0)</f>
      </c>
      <c r="G619" s="19">
        <f>F619*D619</f>
      </c>
      <c r="H619" s="19">
        <f>G619*C619</f>
      </c>
      <c r="I619" s="19">
        <f>G619*B619</f>
      </c>
      <c r="K619" s="37">
        <f>Eq_e0+Eq_kx*$C619+Eq_ky*$B619</f>
      </c>
      <c r="L619" s="20">
        <f>IF(K619&gt;0,IF(K619&lt;=eco,alpha*fck*(1-(1-K619/eco)^n),alpha*fck),0)</f>
      </c>
    </row>
    <row r="620" spans="1:12" x14ac:dyDescent="0.25">
      <c r="A620">
        <f>Mesh!A617</f>
      </c>
      <c r="B620" s="20">
        <f>Mesh!B617</f>
      </c>
      <c r="C620" s="20">
        <f>Mesh!C617</f>
      </c>
      <c r="D620" s="20">
        <f>Mesh!D617</f>
      </c>
      <c r="E620" s="37">
        <f>INDEX(St_e0,Det+1)+INDEX(St_kx,Det+1)*C620+INDEX(St_ky,Det+1)*B620</f>
      </c>
      <c r="F620" s="20">
        <f>IF(E620&gt;0,IF(E620&lt;=eco,alpha*fck*(1-(1-E620/eco)^n),alpha*fck),0)</f>
      </c>
      <c r="G620" s="19">
        <f>F620*D620</f>
      </c>
      <c r="H620" s="19">
        <f>G620*C620</f>
      </c>
      <c r="I620" s="19">
        <f>G620*B620</f>
      </c>
      <c r="K620" s="37">
        <f>Eq_e0+Eq_kx*$C620+Eq_ky*$B620</f>
      </c>
      <c r="L620" s="20">
        <f>IF(K620&gt;0,IF(K620&lt;=eco,alpha*fck*(1-(1-K620/eco)^n),alpha*fck),0)</f>
      </c>
    </row>
    <row r="621" spans="1:12" x14ac:dyDescent="0.25">
      <c r="A621">
        <f>Mesh!A618</f>
      </c>
      <c r="B621" s="20">
        <f>Mesh!B618</f>
      </c>
      <c r="C621" s="20">
        <f>Mesh!C618</f>
      </c>
      <c r="D621" s="20">
        <f>Mesh!D618</f>
      </c>
      <c r="E621" s="37">
        <f>INDEX(St_e0,Det+1)+INDEX(St_kx,Det+1)*C621+INDEX(St_ky,Det+1)*B621</f>
      </c>
      <c r="F621" s="20">
        <f>IF(E621&gt;0,IF(E621&lt;=eco,alpha*fck*(1-(1-E621/eco)^n),alpha*fck),0)</f>
      </c>
      <c r="G621" s="19">
        <f>F621*D621</f>
      </c>
      <c r="H621" s="19">
        <f>G621*C621</f>
      </c>
      <c r="I621" s="19">
        <f>G621*B621</f>
      </c>
      <c r="K621" s="37">
        <f>Eq_e0+Eq_kx*$C621+Eq_ky*$B621</f>
      </c>
      <c r="L621" s="20">
        <f>IF(K621&gt;0,IF(K621&lt;=eco,alpha*fck*(1-(1-K621/eco)^n),alpha*fck),0)</f>
      </c>
    </row>
    <row r="622" spans="1:12" x14ac:dyDescent="0.25">
      <c r="A622">
        <f>Mesh!A619</f>
      </c>
      <c r="B622" s="20">
        <f>Mesh!B619</f>
      </c>
      <c r="C622" s="20">
        <f>Mesh!C619</f>
      </c>
      <c r="D622" s="20">
        <f>Mesh!D619</f>
      </c>
      <c r="E622" s="37">
        <f>INDEX(St_e0,Det+1)+INDEX(St_kx,Det+1)*C622+INDEX(St_ky,Det+1)*B622</f>
      </c>
      <c r="F622" s="20">
        <f>IF(E622&gt;0,IF(E622&lt;=eco,alpha*fck*(1-(1-E622/eco)^n),alpha*fck),0)</f>
      </c>
      <c r="G622" s="19">
        <f>F622*D622</f>
      </c>
      <c r="H622" s="19">
        <f>G622*C622</f>
      </c>
      <c r="I622" s="19">
        <f>G622*B622</f>
      </c>
      <c r="K622" s="37">
        <f>Eq_e0+Eq_kx*$C622+Eq_ky*$B622</f>
      </c>
      <c r="L622" s="20">
        <f>IF(K622&gt;0,IF(K622&lt;=eco,alpha*fck*(1-(1-K622/eco)^n),alpha*fck),0)</f>
      </c>
    </row>
    <row r="623" spans="1:12" x14ac:dyDescent="0.25">
      <c r="A623">
        <f>Mesh!A620</f>
      </c>
      <c r="B623" s="20">
        <f>Mesh!B620</f>
      </c>
      <c r="C623" s="20">
        <f>Mesh!C620</f>
      </c>
      <c r="D623" s="20">
        <f>Mesh!D620</f>
      </c>
      <c r="E623" s="37">
        <f>INDEX(St_e0,Det+1)+INDEX(St_kx,Det+1)*C623+INDEX(St_ky,Det+1)*B623</f>
      </c>
      <c r="F623" s="20">
        <f>IF(E623&gt;0,IF(E623&lt;=eco,alpha*fck*(1-(1-E623/eco)^n),alpha*fck),0)</f>
      </c>
      <c r="G623" s="19">
        <f>F623*D623</f>
      </c>
      <c r="H623" s="19">
        <f>G623*C623</f>
      </c>
      <c r="I623" s="19">
        <f>G623*B623</f>
      </c>
      <c r="K623" s="37">
        <f>Eq_e0+Eq_kx*$C623+Eq_ky*$B623</f>
      </c>
      <c r="L623" s="20">
        <f>IF(K623&gt;0,IF(K623&lt;=eco,alpha*fck*(1-(1-K623/eco)^n),alpha*fck),0)</f>
      </c>
    </row>
    <row r="624" spans="1:12" x14ac:dyDescent="0.25">
      <c r="A624">
        <f>Mesh!A621</f>
      </c>
      <c r="B624" s="20">
        <f>Mesh!B621</f>
      </c>
      <c r="C624" s="20">
        <f>Mesh!C621</f>
      </c>
      <c r="D624" s="20">
        <f>Mesh!D621</f>
      </c>
      <c r="E624" s="37">
        <f>INDEX(St_e0,Det+1)+INDEX(St_kx,Det+1)*C624+INDEX(St_ky,Det+1)*B624</f>
      </c>
      <c r="F624" s="20">
        <f>IF(E624&gt;0,IF(E624&lt;=eco,alpha*fck*(1-(1-E624/eco)^n),alpha*fck),0)</f>
      </c>
      <c r="G624" s="19">
        <f>F624*D624</f>
      </c>
      <c r="H624" s="19">
        <f>G624*C624</f>
      </c>
      <c r="I624" s="19">
        <f>G624*B624</f>
      </c>
      <c r="K624" s="37">
        <f>Eq_e0+Eq_kx*$C624+Eq_ky*$B624</f>
      </c>
      <c r="L624" s="20">
        <f>IF(K624&gt;0,IF(K624&lt;=eco,alpha*fck*(1-(1-K624/eco)^n),alpha*fck),0)</f>
      </c>
    </row>
    <row r="625" spans="1:12" x14ac:dyDescent="0.25">
      <c r="A625">
        <f>Mesh!A622</f>
      </c>
      <c r="B625" s="20">
        <f>Mesh!B622</f>
      </c>
      <c r="C625" s="20">
        <f>Mesh!C622</f>
      </c>
      <c r="D625" s="20">
        <f>Mesh!D622</f>
      </c>
      <c r="E625" s="37">
        <f>INDEX(St_e0,Det+1)+INDEX(St_kx,Det+1)*C625+INDEX(St_ky,Det+1)*B625</f>
      </c>
      <c r="F625" s="20">
        <f>IF(E625&gt;0,IF(E625&lt;=eco,alpha*fck*(1-(1-E625/eco)^n),alpha*fck),0)</f>
      </c>
      <c r="G625" s="19">
        <f>F625*D625</f>
      </c>
      <c r="H625" s="19">
        <f>G625*C625</f>
      </c>
      <c r="I625" s="19">
        <f>G625*B625</f>
      </c>
      <c r="K625" s="37">
        <f>Eq_e0+Eq_kx*$C625+Eq_ky*$B625</f>
      </c>
      <c r="L625" s="20">
        <f>IF(K625&gt;0,IF(K625&lt;=eco,alpha*fck*(1-(1-K625/eco)^n),alpha*fck),0)</f>
      </c>
    </row>
    <row r="626" spans="1:12" x14ac:dyDescent="0.25">
      <c r="A626">
        <f>Mesh!A623</f>
      </c>
      <c r="B626" s="20">
        <f>Mesh!B623</f>
      </c>
      <c r="C626" s="20">
        <f>Mesh!C623</f>
      </c>
      <c r="D626" s="20">
        <f>Mesh!D623</f>
      </c>
      <c r="E626" s="37">
        <f>INDEX(St_e0,Det+1)+INDEX(St_kx,Det+1)*C626+INDEX(St_ky,Det+1)*B626</f>
      </c>
      <c r="F626" s="20">
        <f>IF(E626&gt;0,IF(E626&lt;=eco,alpha*fck*(1-(1-E626/eco)^n),alpha*fck),0)</f>
      </c>
      <c r="G626" s="19">
        <f>F626*D626</f>
      </c>
      <c r="H626" s="19">
        <f>G626*C626</f>
      </c>
      <c r="I626" s="19">
        <f>G626*B626</f>
      </c>
      <c r="K626" s="37">
        <f>Eq_e0+Eq_kx*$C626+Eq_ky*$B626</f>
      </c>
      <c r="L626" s="20">
        <f>IF(K626&gt;0,IF(K626&lt;=eco,alpha*fck*(1-(1-K626/eco)^n),alpha*fck),0)</f>
      </c>
    </row>
    <row r="627" spans="1:12" x14ac:dyDescent="0.25">
      <c r="A627">
        <f>Mesh!A624</f>
      </c>
      <c r="B627" s="20">
        <f>Mesh!B624</f>
      </c>
      <c r="C627" s="20">
        <f>Mesh!C624</f>
      </c>
      <c r="D627" s="20">
        <f>Mesh!D624</f>
      </c>
      <c r="E627" s="37">
        <f>INDEX(St_e0,Det+1)+INDEX(St_kx,Det+1)*C627+INDEX(St_ky,Det+1)*B627</f>
      </c>
      <c r="F627" s="20">
        <f>IF(E627&gt;0,IF(E627&lt;=eco,alpha*fck*(1-(1-E627/eco)^n),alpha*fck),0)</f>
      </c>
      <c r="G627" s="19">
        <f>F627*D627</f>
      </c>
      <c r="H627" s="19">
        <f>G627*C627</f>
      </c>
      <c r="I627" s="19">
        <f>G627*B627</f>
      </c>
      <c r="K627" s="37">
        <f>Eq_e0+Eq_kx*$C627+Eq_ky*$B627</f>
      </c>
      <c r="L627" s="20">
        <f>IF(K627&gt;0,IF(K627&lt;=eco,alpha*fck*(1-(1-K627/eco)^n),alpha*fck),0)</f>
      </c>
    </row>
    <row r="628" spans="1:12" x14ac:dyDescent="0.25">
      <c r="A628">
        <f>Mesh!A625</f>
      </c>
      <c r="B628" s="20">
        <f>Mesh!B625</f>
      </c>
      <c r="C628" s="20">
        <f>Mesh!C625</f>
      </c>
      <c r="D628" s="20">
        <f>Mesh!D625</f>
      </c>
      <c r="E628" s="37">
        <f>INDEX(St_e0,Det+1)+INDEX(St_kx,Det+1)*C628+INDEX(St_ky,Det+1)*B628</f>
      </c>
      <c r="F628" s="20">
        <f>IF(E628&gt;0,IF(E628&lt;=eco,alpha*fck*(1-(1-E628/eco)^n),alpha*fck),0)</f>
      </c>
      <c r="G628" s="19">
        <f>F628*D628</f>
      </c>
      <c r="H628" s="19">
        <f>G628*C628</f>
      </c>
      <c r="I628" s="19">
        <f>G628*B628</f>
      </c>
      <c r="K628" s="37">
        <f>Eq_e0+Eq_kx*$C628+Eq_ky*$B628</f>
      </c>
      <c r="L628" s="20">
        <f>IF(K628&gt;0,IF(K628&lt;=eco,alpha*fck*(1-(1-K628/eco)^n),alpha*fck),0)</f>
      </c>
    </row>
    <row r="629" spans="1:12" x14ac:dyDescent="0.25">
      <c r="A629">
        <f>Mesh!A626</f>
      </c>
      <c r="B629" s="20">
        <f>Mesh!B626</f>
      </c>
      <c r="C629" s="20">
        <f>Mesh!C626</f>
      </c>
      <c r="D629" s="20">
        <f>Mesh!D626</f>
      </c>
      <c r="E629" s="37">
        <f>INDEX(St_e0,Det+1)+INDEX(St_kx,Det+1)*C629+INDEX(St_ky,Det+1)*B629</f>
      </c>
      <c r="F629" s="20">
        <f>IF(E629&gt;0,IF(E629&lt;=eco,alpha*fck*(1-(1-E629/eco)^n),alpha*fck),0)</f>
      </c>
      <c r="G629" s="19">
        <f>F629*D629</f>
      </c>
      <c r="H629" s="19">
        <f>G629*C629</f>
      </c>
      <c r="I629" s="19">
        <f>G629*B629</f>
      </c>
      <c r="K629" s="37">
        <f>Eq_e0+Eq_kx*$C629+Eq_ky*$B629</f>
      </c>
      <c r="L629" s="20">
        <f>IF(K629&gt;0,IF(K629&lt;=eco,alpha*fck*(1-(1-K629/eco)^n),alpha*fck),0)</f>
      </c>
    </row>
    <row r="630" spans="1:12" x14ac:dyDescent="0.25">
      <c r="A630">
        <f>Mesh!A627</f>
      </c>
      <c r="B630" s="20">
        <f>Mesh!B627</f>
      </c>
      <c r="C630" s="20">
        <f>Mesh!C627</f>
      </c>
      <c r="D630" s="20">
        <f>Mesh!D627</f>
      </c>
      <c r="E630" s="37">
        <f>INDEX(St_e0,Det+1)+INDEX(St_kx,Det+1)*C630+INDEX(St_ky,Det+1)*B630</f>
      </c>
      <c r="F630" s="20">
        <f>IF(E630&gt;0,IF(E630&lt;=eco,alpha*fck*(1-(1-E630/eco)^n),alpha*fck),0)</f>
      </c>
      <c r="G630" s="19">
        <f>F630*D630</f>
      </c>
      <c r="H630" s="19">
        <f>G630*C630</f>
      </c>
      <c r="I630" s="19">
        <f>G630*B630</f>
      </c>
      <c r="K630" s="37">
        <f>Eq_e0+Eq_kx*$C630+Eq_ky*$B630</f>
      </c>
      <c r="L630" s="20">
        <f>IF(K630&gt;0,IF(K630&lt;=eco,alpha*fck*(1-(1-K630/eco)^n),alpha*fck),0)</f>
      </c>
    </row>
    <row r="631" spans="1:12" x14ac:dyDescent="0.25">
      <c r="A631">
        <f>Mesh!A628</f>
      </c>
      <c r="B631" s="20">
        <f>Mesh!B628</f>
      </c>
      <c r="C631" s="20">
        <f>Mesh!C628</f>
      </c>
      <c r="D631" s="20">
        <f>Mesh!D628</f>
      </c>
      <c r="E631" s="37">
        <f>INDEX(St_e0,Det+1)+INDEX(St_kx,Det+1)*C631+INDEX(St_ky,Det+1)*B631</f>
      </c>
      <c r="F631" s="20">
        <f>IF(E631&gt;0,IF(E631&lt;=eco,alpha*fck*(1-(1-E631/eco)^n),alpha*fck),0)</f>
      </c>
      <c r="G631" s="19">
        <f>F631*D631</f>
      </c>
      <c r="H631" s="19">
        <f>G631*C631</f>
      </c>
      <c r="I631" s="19">
        <f>G631*B631</f>
      </c>
      <c r="K631" s="37">
        <f>Eq_e0+Eq_kx*$C631+Eq_ky*$B631</f>
      </c>
      <c r="L631" s="20">
        <f>IF(K631&gt;0,IF(K631&lt;=eco,alpha*fck*(1-(1-K631/eco)^n),alpha*fck),0)</f>
      </c>
    </row>
    <row r="632" spans="1:12" x14ac:dyDescent="0.25">
      <c r="A632">
        <f>Mesh!A629</f>
      </c>
      <c r="B632" s="20">
        <f>Mesh!B629</f>
      </c>
      <c r="C632" s="20">
        <f>Mesh!C629</f>
      </c>
      <c r="D632" s="20">
        <f>Mesh!D629</f>
      </c>
      <c r="E632" s="37">
        <f>INDEX(St_e0,Det+1)+INDEX(St_kx,Det+1)*C632+INDEX(St_ky,Det+1)*B632</f>
      </c>
      <c r="F632" s="20">
        <f>IF(E632&gt;0,IF(E632&lt;=eco,alpha*fck*(1-(1-E632/eco)^n),alpha*fck),0)</f>
      </c>
      <c r="G632" s="19">
        <f>F632*D632</f>
      </c>
      <c r="H632" s="19">
        <f>G632*C632</f>
      </c>
      <c r="I632" s="19">
        <f>G632*B632</f>
      </c>
      <c r="K632" s="37">
        <f>Eq_e0+Eq_kx*$C632+Eq_ky*$B632</f>
      </c>
      <c r="L632" s="20">
        <f>IF(K632&gt;0,IF(K632&lt;=eco,alpha*fck*(1-(1-K632/eco)^n),alpha*fck),0)</f>
      </c>
    </row>
    <row r="633" spans="1:12" x14ac:dyDescent="0.25">
      <c r="A633">
        <f>Mesh!A630</f>
      </c>
      <c r="B633" s="20">
        <f>Mesh!B630</f>
      </c>
      <c r="C633" s="20">
        <f>Mesh!C630</f>
      </c>
      <c r="D633" s="20">
        <f>Mesh!D630</f>
      </c>
      <c r="E633" s="37">
        <f>INDEX(St_e0,Det+1)+INDEX(St_kx,Det+1)*C633+INDEX(St_ky,Det+1)*B633</f>
      </c>
      <c r="F633" s="20">
        <f>IF(E633&gt;0,IF(E633&lt;=eco,alpha*fck*(1-(1-E633/eco)^n),alpha*fck),0)</f>
      </c>
      <c r="G633" s="19">
        <f>F633*D633</f>
      </c>
      <c r="H633" s="19">
        <f>G633*C633</f>
      </c>
      <c r="I633" s="19">
        <f>G633*B633</f>
      </c>
      <c r="K633" s="37">
        <f>Eq_e0+Eq_kx*$C633+Eq_ky*$B633</f>
      </c>
      <c r="L633" s="20">
        <f>IF(K633&gt;0,IF(K633&lt;=eco,alpha*fck*(1-(1-K633/eco)^n),alpha*fck),0)</f>
      </c>
    </row>
    <row r="634" spans="1:12" x14ac:dyDescent="0.25">
      <c r="A634">
        <f>Mesh!A631</f>
      </c>
      <c r="B634" s="20">
        <f>Mesh!B631</f>
      </c>
      <c r="C634" s="20">
        <f>Mesh!C631</f>
      </c>
      <c r="D634" s="20">
        <f>Mesh!D631</f>
      </c>
      <c r="E634" s="37">
        <f>INDEX(St_e0,Det+1)+INDEX(St_kx,Det+1)*C634+INDEX(St_ky,Det+1)*B634</f>
      </c>
      <c r="F634" s="20">
        <f>IF(E634&gt;0,IF(E634&lt;=eco,alpha*fck*(1-(1-E634/eco)^n),alpha*fck),0)</f>
      </c>
      <c r="G634" s="19">
        <f>F634*D634</f>
      </c>
      <c r="H634" s="19">
        <f>G634*C634</f>
      </c>
      <c r="I634" s="19">
        <f>G634*B634</f>
      </c>
      <c r="K634" s="37">
        <f>Eq_e0+Eq_kx*$C634+Eq_ky*$B634</f>
      </c>
      <c r="L634" s="20">
        <f>IF(K634&gt;0,IF(K634&lt;=eco,alpha*fck*(1-(1-K634/eco)^n),alpha*fck),0)</f>
      </c>
    </row>
    <row r="635" spans="1:12" x14ac:dyDescent="0.25">
      <c r="A635">
        <f>Mesh!A632</f>
      </c>
      <c r="B635" s="20">
        <f>Mesh!B632</f>
      </c>
      <c r="C635" s="20">
        <f>Mesh!C632</f>
      </c>
      <c r="D635" s="20">
        <f>Mesh!D632</f>
      </c>
      <c r="E635" s="37">
        <f>INDEX(St_e0,Det+1)+INDEX(St_kx,Det+1)*C635+INDEX(St_ky,Det+1)*B635</f>
      </c>
      <c r="F635" s="20">
        <f>IF(E635&gt;0,IF(E635&lt;=eco,alpha*fck*(1-(1-E635/eco)^n),alpha*fck),0)</f>
      </c>
      <c r="G635" s="19">
        <f>F635*D635</f>
      </c>
      <c r="H635" s="19">
        <f>G635*C635</f>
      </c>
      <c r="I635" s="19">
        <f>G635*B635</f>
      </c>
      <c r="K635" s="37">
        <f>Eq_e0+Eq_kx*$C635+Eq_ky*$B635</f>
      </c>
      <c r="L635" s="20">
        <f>IF(K635&gt;0,IF(K635&lt;=eco,alpha*fck*(1-(1-K635/eco)^n),alpha*fck),0)</f>
      </c>
    </row>
    <row r="636" spans="1:12" x14ac:dyDescent="0.25">
      <c r="A636">
        <f>Mesh!A633</f>
      </c>
      <c r="B636" s="20">
        <f>Mesh!B633</f>
      </c>
      <c r="C636" s="20">
        <f>Mesh!C633</f>
      </c>
      <c r="D636" s="20">
        <f>Mesh!D633</f>
      </c>
      <c r="E636" s="37">
        <f>INDEX(St_e0,Det+1)+INDEX(St_kx,Det+1)*C636+INDEX(St_ky,Det+1)*B636</f>
      </c>
      <c r="F636" s="20">
        <f>IF(E636&gt;0,IF(E636&lt;=eco,alpha*fck*(1-(1-E636/eco)^n),alpha*fck),0)</f>
      </c>
      <c r="G636" s="19">
        <f>F636*D636</f>
      </c>
      <c r="H636" s="19">
        <f>G636*C636</f>
      </c>
      <c r="I636" s="19">
        <f>G636*B636</f>
      </c>
      <c r="K636" s="37">
        <f>Eq_e0+Eq_kx*$C636+Eq_ky*$B636</f>
      </c>
      <c r="L636" s="20">
        <f>IF(K636&gt;0,IF(K636&lt;=eco,alpha*fck*(1-(1-K636/eco)^n),alpha*fck),0)</f>
      </c>
    </row>
    <row r="637" spans="1:12" x14ac:dyDescent="0.25">
      <c r="A637">
        <f>Mesh!A634</f>
      </c>
      <c r="B637" s="20">
        <f>Mesh!B634</f>
      </c>
      <c r="C637" s="20">
        <f>Mesh!C634</f>
      </c>
      <c r="D637" s="20">
        <f>Mesh!D634</f>
      </c>
      <c r="E637" s="37">
        <f>INDEX(St_e0,Det+1)+INDEX(St_kx,Det+1)*C637+INDEX(St_ky,Det+1)*B637</f>
      </c>
      <c r="F637" s="20">
        <f>IF(E637&gt;0,IF(E637&lt;=eco,alpha*fck*(1-(1-E637/eco)^n),alpha*fck),0)</f>
      </c>
      <c r="G637" s="19">
        <f>F637*D637</f>
      </c>
      <c r="H637" s="19">
        <f>G637*C637</f>
      </c>
      <c r="I637" s="19">
        <f>G637*B637</f>
      </c>
      <c r="K637" s="37">
        <f>Eq_e0+Eq_kx*$C637+Eq_ky*$B637</f>
      </c>
      <c r="L637" s="20">
        <f>IF(K637&gt;0,IF(K637&lt;=eco,alpha*fck*(1-(1-K637/eco)^n),alpha*fck),0)</f>
      </c>
    </row>
    <row r="638" spans="1:12" x14ac:dyDescent="0.25">
      <c r="A638">
        <f>Mesh!A635</f>
      </c>
      <c r="B638" s="20">
        <f>Mesh!B635</f>
      </c>
      <c r="C638" s="20">
        <f>Mesh!C635</f>
      </c>
      <c r="D638" s="20">
        <f>Mesh!D635</f>
      </c>
      <c r="E638" s="37">
        <f>INDEX(St_e0,Det+1)+INDEX(St_kx,Det+1)*C638+INDEX(St_ky,Det+1)*B638</f>
      </c>
      <c r="F638" s="20">
        <f>IF(E638&gt;0,IF(E638&lt;=eco,alpha*fck*(1-(1-E638/eco)^n),alpha*fck),0)</f>
      </c>
      <c r="G638" s="19">
        <f>F638*D638</f>
      </c>
      <c r="H638" s="19">
        <f>G638*C638</f>
      </c>
      <c r="I638" s="19">
        <f>G638*B638</f>
      </c>
      <c r="K638" s="37">
        <f>Eq_e0+Eq_kx*$C638+Eq_ky*$B638</f>
      </c>
      <c r="L638" s="20">
        <f>IF(K638&gt;0,IF(K638&lt;=eco,alpha*fck*(1-(1-K638/eco)^n),alpha*fck),0)</f>
      </c>
    </row>
    <row r="639" spans="1:12" x14ac:dyDescent="0.25">
      <c r="A639">
        <f>Mesh!A636</f>
      </c>
      <c r="B639" s="20">
        <f>Mesh!B636</f>
      </c>
      <c r="C639" s="20">
        <f>Mesh!C636</f>
      </c>
      <c r="D639" s="20">
        <f>Mesh!D636</f>
      </c>
      <c r="E639" s="37">
        <f>INDEX(St_e0,Det+1)+INDEX(St_kx,Det+1)*C639+INDEX(St_ky,Det+1)*B639</f>
      </c>
      <c r="F639" s="20">
        <f>IF(E639&gt;0,IF(E639&lt;=eco,alpha*fck*(1-(1-E639/eco)^n),alpha*fck),0)</f>
      </c>
      <c r="G639" s="19">
        <f>F639*D639</f>
      </c>
      <c r="H639" s="19">
        <f>G639*C639</f>
      </c>
      <c r="I639" s="19">
        <f>G639*B639</f>
      </c>
      <c r="K639" s="37">
        <f>Eq_e0+Eq_kx*$C639+Eq_ky*$B639</f>
      </c>
      <c r="L639" s="20">
        <f>IF(K639&gt;0,IF(K639&lt;=eco,alpha*fck*(1-(1-K639/eco)^n),alpha*fck),0)</f>
      </c>
    </row>
    <row r="640" spans="1:12" x14ac:dyDescent="0.25">
      <c r="A640">
        <f>Mesh!A637</f>
      </c>
      <c r="B640" s="20">
        <f>Mesh!B637</f>
      </c>
      <c r="C640" s="20">
        <f>Mesh!C637</f>
      </c>
      <c r="D640" s="20">
        <f>Mesh!D637</f>
      </c>
      <c r="E640" s="37">
        <f>INDEX(St_e0,Det+1)+INDEX(St_kx,Det+1)*C640+INDEX(St_ky,Det+1)*B640</f>
      </c>
      <c r="F640" s="20">
        <f>IF(E640&gt;0,IF(E640&lt;=eco,alpha*fck*(1-(1-E640/eco)^n),alpha*fck),0)</f>
      </c>
      <c r="G640" s="19">
        <f>F640*D640</f>
      </c>
      <c r="H640" s="19">
        <f>G640*C640</f>
      </c>
      <c r="I640" s="19">
        <f>G640*B640</f>
      </c>
      <c r="K640" s="37">
        <f>Eq_e0+Eq_kx*$C640+Eq_ky*$B640</f>
      </c>
      <c r="L640" s="20">
        <f>IF(K640&gt;0,IF(K640&lt;=eco,alpha*fck*(1-(1-K640/eco)^n),alpha*fck),0)</f>
      </c>
    </row>
    <row r="641" spans="1:12" x14ac:dyDescent="0.25">
      <c r="A641">
        <f>Mesh!A638</f>
      </c>
      <c r="B641" s="20">
        <f>Mesh!B638</f>
      </c>
      <c r="C641" s="20">
        <f>Mesh!C638</f>
      </c>
      <c r="D641" s="20">
        <f>Mesh!D638</f>
      </c>
      <c r="E641" s="37">
        <f>INDEX(St_e0,Det+1)+INDEX(St_kx,Det+1)*C641+INDEX(St_ky,Det+1)*B641</f>
      </c>
      <c r="F641" s="20">
        <f>IF(E641&gt;0,IF(E641&lt;=eco,alpha*fck*(1-(1-E641/eco)^n),alpha*fck),0)</f>
      </c>
      <c r="G641" s="19">
        <f>F641*D641</f>
      </c>
      <c r="H641" s="19">
        <f>G641*C641</f>
      </c>
      <c r="I641" s="19">
        <f>G641*B641</f>
      </c>
      <c r="K641" s="37">
        <f>Eq_e0+Eq_kx*$C641+Eq_ky*$B641</f>
      </c>
      <c r="L641" s="20">
        <f>IF(K641&gt;0,IF(K641&lt;=eco,alpha*fck*(1-(1-K641/eco)^n),alpha*fck),0)</f>
      </c>
    </row>
    <row r="642" spans="1:12" x14ac:dyDescent="0.25">
      <c r="A642">
        <f>Mesh!A639</f>
      </c>
      <c r="B642" s="20">
        <f>Mesh!B639</f>
      </c>
      <c r="C642" s="20">
        <f>Mesh!C639</f>
      </c>
      <c r="D642" s="20">
        <f>Mesh!D639</f>
      </c>
      <c r="E642" s="37">
        <f>INDEX(St_e0,Det+1)+INDEX(St_kx,Det+1)*C642+INDEX(St_ky,Det+1)*B642</f>
      </c>
      <c r="F642" s="20">
        <f>IF(E642&gt;0,IF(E642&lt;=eco,alpha*fck*(1-(1-E642/eco)^n),alpha*fck),0)</f>
      </c>
      <c r="G642" s="19">
        <f>F642*D642</f>
      </c>
      <c r="H642" s="19">
        <f>G642*C642</f>
      </c>
      <c r="I642" s="19">
        <f>G642*B642</f>
      </c>
      <c r="K642" s="37">
        <f>Eq_e0+Eq_kx*$C642+Eq_ky*$B642</f>
      </c>
      <c r="L642" s="20">
        <f>IF(K642&gt;0,IF(K642&lt;=eco,alpha*fck*(1-(1-K642/eco)^n),alpha*fck),0)</f>
      </c>
    </row>
    <row r="643" spans="1:12" x14ac:dyDescent="0.25">
      <c r="A643">
        <f>Mesh!A640</f>
      </c>
      <c r="B643" s="20">
        <f>Mesh!B640</f>
      </c>
      <c r="C643" s="20">
        <f>Mesh!C640</f>
      </c>
      <c r="D643" s="20">
        <f>Mesh!D640</f>
      </c>
      <c r="E643" s="37">
        <f>INDEX(St_e0,Det+1)+INDEX(St_kx,Det+1)*C643+INDEX(St_ky,Det+1)*B643</f>
      </c>
      <c r="F643" s="20">
        <f>IF(E643&gt;0,IF(E643&lt;=eco,alpha*fck*(1-(1-E643/eco)^n),alpha*fck),0)</f>
      </c>
      <c r="G643" s="19">
        <f>F643*D643</f>
      </c>
      <c r="H643" s="19">
        <f>G643*C643</f>
      </c>
      <c r="I643" s="19">
        <f>G643*B643</f>
      </c>
      <c r="K643" s="37">
        <f>Eq_e0+Eq_kx*$C643+Eq_ky*$B643</f>
      </c>
      <c r="L643" s="20">
        <f>IF(K643&gt;0,IF(K643&lt;=eco,alpha*fck*(1-(1-K643/eco)^n),alpha*fck),0)</f>
      </c>
    </row>
    <row r="644" spans="1:12" x14ac:dyDescent="0.25">
      <c r="A644">
        <f>Mesh!A641</f>
      </c>
      <c r="B644" s="20">
        <f>Mesh!B641</f>
      </c>
      <c r="C644" s="20">
        <f>Mesh!C641</f>
      </c>
      <c r="D644" s="20">
        <f>Mesh!D641</f>
      </c>
      <c r="E644" s="37">
        <f>INDEX(St_e0,Det+1)+INDEX(St_kx,Det+1)*C644+INDEX(St_ky,Det+1)*B644</f>
      </c>
      <c r="F644" s="20">
        <f>IF(E644&gt;0,IF(E644&lt;=eco,alpha*fck*(1-(1-E644/eco)^n),alpha*fck),0)</f>
      </c>
      <c r="G644" s="19">
        <f>F644*D644</f>
      </c>
      <c r="H644" s="19">
        <f>G644*C644</f>
      </c>
      <c r="I644" s="19">
        <f>G644*B644</f>
      </c>
      <c r="K644" s="37">
        <f>Eq_e0+Eq_kx*$C644+Eq_ky*$B644</f>
      </c>
      <c r="L644" s="20">
        <f>IF(K644&gt;0,IF(K644&lt;=eco,alpha*fck*(1-(1-K644/eco)^n),alpha*fck),0)</f>
      </c>
    </row>
    <row r="645" spans="1:12" x14ac:dyDescent="0.25">
      <c r="A645">
        <f>Mesh!A642</f>
      </c>
      <c r="B645" s="20">
        <f>Mesh!B642</f>
      </c>
      <c r="C645" s="20">
        <f>Mesh!C642</f>
      </c>
      <c r="D645" s="20">
        <f>Mesh!D642</f>
      </c>
      <c r="E645" s="37">
        <f>INDEX(St_e0,Det+1)+INDEX(St_kx,Det+1)*C645+INDEX(St_ky,Det+1)*B645</f>
      </c>
      <c r="F645" s="20">
        <f>IF(E645&gt;0,IF(E645&lt;=eco,alpha*fck*(1-(1-E645/eco)^n),alpha*fck),0)</f>
      </c>
      <c r="G645" s="19">
        <f>F645*D645</f>
      </c>
      <c r="H645" s="19">
        <f>G645*C645</f>
      </c>
      <c r="I645" s="19">
        <f>G645*B645</f>
      </c>
      <c r="K645" s="37">
        <f>Eq_e0+Eq_kx*$C645+Eq_ky*$B645</f>
      </c>
      <c r="L645" s="20">
        <f>IF(K645&gt;0,IF(K645&lt;=eco,alpha*fck*(1-(1-K645/eco)^n),alpha*fck),0)</f>
      </c>
    </row>
    <row r="646" spans="1:12" x14ac:dyDescent="0.25">
      <c r="A646">
        <f>Mesh!A643</f>
      </c>
      <c r="B646" s="20">
        <f>Mesh!B643</f>
      </c>
      <c r="C646" s="20">
        <f>Mesh!C643</f>
      </c>
      <c r="D646" s="20">
        <f>Mesh!D643</f>
      </c>
      <c r="E646" s="37">
        <f>INDEX(St_e0,Det+1)+INDEX(St_kx,Det+1)*C646+INDEX(St_ky,Det+1)*B646</f>
      </c>
      <c r="F646" s="20">
        <f>IF(E646&gt;0,IF(E646&lt;=eco,alpha*fck*(1-(1-E646/eco)^n),alpha*fck),0)</f>
      </c>
      <c r="G646" s="19">
        <f>F646*D646</f>
      </c>
      <c r="H646" s="19">
        <f>G646*C646</f>
      </c>
      <c r="I646" s="19">
        <f>G646*B646</f>
      </c>
      <c r="K646" s="37">
        <f>Eq_e0+Eq_kx*$C646+Eq_ky*$B646</f>
      </c>
      <c r="L646" s="20">
        <f>IF(K646&gt;0,IF(K646&lt;=eco,alpha*fck*(1-(1-K646/eco)^n),alpha*fck),0)</f>
      </c>
    </row>
    <row r="647" spans="1:12" x14ac:dyDescent="0.25">
      <c r="A647">
        <f>Mesh!A644</f>
      </c>
      <c r="B647" s="20">
        <f>Mesh!B644</f>
      </c>
      <c r="C647" s="20">
        <f>Mesh!C644</f>
      </c>
      <c r="D647" s="20">
        <f>Mesh!D644</f>
      </c>
      <c r="E647" s="37">
        <f>INDEX(St_e0,Det+1)+INDEX(St_kx,Det+1)*C647+INDEX(St_ky,Det+1)*B647</f>
      </c>
      <c r="F647" s="20">
        <f>IF(E647&gt;0,IF(E647&lt;=eco,alpha*fck*(1-(1-E647/eco)^n),alpha*fck),0)</f>
      </c>
      <c r="G647" s="19">
        <f>F647*D647</f>
      </c>
      <c r="H647" s="19">
        <f>G647*C647</f>
      </c>
      <c r="I647" s="19">
        <f>G647*B647</f>
      </c>
      <c r="K647" s="37">
        <f>Eq_e0+Eq_kx*$C647+Eq_ky*$B647</f>
      </c>
      <c r="L647" s="20">
        <f>IF(K647&gt;0,IF(K647&lt;=eco,alpha*fck*(1-(1-K647/eco)^n),alpha*fck),0)</f>
      </c>
    </row>
    <row r="648" spans="1:12" x14ac:dyDescent="0.25">
      <c r="A648">
        <f>Mesh!A645</f>
      </c>
      <c r="B648" s="20">
        <f>Mesh!B645</f>
      </c>
      <c r="C648" s="20">
        <f>Mesh!C645</f>
      </c>
      <c r="D648" s="20">
        <f>Mesh!D645</f>
      </c>
      <c r="E648" s="37">
        <f>INDEX(St_e0,Det+1)+INDEX(St_kx,Det+1)*C648+INDEX(St_ky,Det+1)*B648</f>
      </c>
      <c r="F648" s="20">
        <f>IF(E648&gt;0,IF(E648&lt;=eco,alpha*fck*(1-(1-E648/eco)^n),alpha*fck),0)</f>
      </c>
      <c r="G648" s="19">
        <f>F648*D648</f>
      </c>
      <c r="H648" s="19">
        <f>G648*C648</f>
      </c>
      <c r="I648" s="19">
        <f>G648*B648</f>
      </c>
      <c r="K648" s="37">
        <f>Eq_e0+Eq_kx*$C648+Eq_ky*$B648</f>
      </c>
      <c r="L648" s="20">
        <f>IF(K648&gt;0,IF(K648&lt;=eco,alpha*fck*(1-(1-K648/eco)^n),alpha*fck),0)</f>
      </c>
    </row>
    <row r="649" spans="1:12" x14ac:dyDescent="0.25">
      <c r="A649">
        <f>Mesh!A646</f>
      </c>
      <c r="B649" s="20">
        <f>Mesh!B646</f>
      </c>
      <c r="C649" s="20">
        <f>Mesh!C646</f>
      </c>
      <c r="D649" s="20">
        <f>Mesh!D646</f>
      </c>
      <c r="E649" s="37">
        <f>INDEX(St_e0,Det+1)+INDEX(St_kx,Det+1)*C649+INDEX(St_ky,Det+1)*B649</f>
      </c>
      <c r="F649" s="20">
        <f>IF(E649&gt;0,IF(E649&lt;=eco,alpha*fck*(1-(1-E649/eco)^n),alpha*fck),0)</f>
      </c>
      <c r="G649" s="19">
        <f>F649*D649</f>
      </c>
      <c r="H649" s="19">
        <f>G649*C649</f>
      </c>
      <c r="I649" s="19">
        <f>G649*B649</f>
      </c>
      <c r="K649" s="37">
        <f>Eq_e0+Eq_kx*$C649+Eq_ky*$B649</f>
      </c>
      <c r="L649" s="20">
        <f>IF(K649&gt;0,IF(K649&lt;=eco,alpha*fck*(1-(1-K649/eco)^n),alpha*fck),0)</f>
      </c>
    </row>
    <row r="650" spans="1:12" x14ac:dyDescent="0.25">
      <c r="A650">
        <f>Mesh!A647</f>
      </c>
      <c r="B650" s="20">
        <f>Mesh!B647</f>
      </c>
      <c r="C650" s="20">
        <f>Mesh!C647</f>
      </c>
      <c r="D650" s="20">
        <f>Mesh!D647</f>
      </c>
      <c r="E650" s="37">
        <f>INDEX(St_e0,Det+1)+INDEX(St_kx,Det+1)*C650+INDEX(St_ky,Det+1)*B650</f>
      </c>
      <c r="F650" s="20">
        <f>IF(E650&gt;0,IF(E650&lt;=eco,alpha*fck*(1-(1-E650/eco)^n),alpha*fck),0)</f>
      </c>
      <c r="G650" s="19">
        <f>F650*D650</f>
      </c>
      <c r="H650" s="19">
        <f>G650*C650</f>
      </c>
      <c r="I650" s="19">
        <f>G650*B650</f>
      </c>
      <c r="K650" s="37">
        <f>Eq_e0+Eq_kx*$C650+Eq_ky*$B650</f>
      </c>
      <c r="L650" s="20">
        <f>IF(K650&gt;0,IF(K650&lt;=eco,alpha*fck*(1-(1-K650/eco)^n),alpha*fck),0)</f>
      </c>
    </row>
    <row r="651" spans="1:12" x14ac:dyDescent="0.25">
      <c r="A651">
        <f>Mesh!A648</f>
      </c>
      <c r="B651" s="20">
        <f>Mesh!B648</f>
      </c>
      <c r="C651" s="20">
        <f>Mesh!C648</f>
      </c>
      <c r="D651" s="20">
        <f>Mesh!D648</f>
      </c>
      <c r="E651" s="37">
        <f>INDEX(St_e0,Det+1)+INDEX(St_kx,Det+1)*C651+INDEX(St_ky,Det+1)*B651</f>
      </c>
      <c r="F651" s="20">
        <f>IF(E651&gt;0,IF(E651&lt;=eco,alpha*fck*(1-(1-E651/eco)^n),alpha*fck),0)</f>
      </c>
      <c r="G651" s="19">
        <f>F651*D651</f>
      </c>
      <c r="H651" s="19">
        <f>G651*C651</f>
      </c>
      <c r="I651" s="19">
        <f>G651*B651</f>
      </c>
      <c r="K651" s="37">
        <f>Eq_e0+Eq_kx*$C651+Eq_ky*$B651</f>
      </c>
      <c r="L651" s="20">
        <f>IF(K651&gt;0,IF(K651&lt;=eco,alpha*fck*(1-(1-K651/eco)^n),alpha*fck),0)</f>
      </c>
    </row>
    <row r="652" spans="1:12" x14ac:dyDescent="0.25">
      <c r="A652">
        <f>Mesh!A649</f>
      </c>
      <c r="B652" s="20">
        <f>Mesh!B649</f>
      </c>
      <c r="C652" s="20">
        <f>Mesh!C649</f>
      </c>
      <c r="D652" s="20">
        <f>Mesh!D649</f>
      </c>
      <c r="E652" s="37">
        <f>INDEX(St_e0,Det+1)+INDEX(St_kx,Det+1)*C652+INDEX(St_ky,Det+1)*B652</f>
      </c>
      <c r="F652" s="20">
        <f>IF(E652&gt;0,IF(E652&lt;=eco,alpha*fck*(1-(1-E652/eco)^n),alpha*fck),0)</f>
      </c>
      <c r="G652" s="19">
        <f>F652*D652</f>
      </c>
      <c r="H652" s="19">
        <f>G652*C652</f>
      </c>
      <c r="I652" s="19">
        <f>G652*B652</f>
      </c>
      <c r="K652" s="37">
        <f>Eq_e0+Eq_kx*$C652+Eq_ky*$B652</f>
      </c>
      <c r="L652" s="20">
        <f>IF(K652&gt;0,IF(K652&lt;=eco,alpha*fck*(1-(1-K652/eco)^n),alpha*fck),0)</f>
      </c>
    </row>
    <row r="653" spans="1:12" x14ac:dyDescent="0.25">
      <c r="A653">
        <f>Mesh!A650</f>
      </c>
      <c r="B653" s="20">
        <f>Mesh!B650</f>
      </c>
      <c r="C653" s="20">
        <f>Mesh!C650</f>
      </c>
      <c r="D653" s="20">
        <f>Mesh!D650</f>
      </c>
      <c r="E653" s="37">
        <f>INDEX(St_e0,Det+1)+INDEX(St_kx,Det+1)*C653+INDEX(St_ky,Det+1)*B653</f>
      </c>
      <c r="F653" s="20">
        <f>IF(E653&gt;0,IF(E653&lt;=eco,alpha*fck*(1-(1-E653/eco)^n),alpha*fck),0)</f>
      </c>
      <c r="G653" s="19">
        <f>F653*D653</f>
      </c>
      <c r="H653" s="19">
        <f>G653*C653</f>
      </c>
      <c r="I653" s="19">
        <f>G653*B653</f>
      </c>
      <c r="K653" s="37">
        <f>Eq_e0+Eq_kx*$C653+Eq_ky*$B653</f>
      </c>
      <c r="L653" s="20">
        <f>IF(K653&gt;0,IF(K653&lt;=eco,alpha*fck*(1-(1-K653/eco)^n),alpha*fck),0)</f>
      </c>
    </row>
    <row r="654" spans="1:12" x14ac:dyDescent="0.25">
      <c r="A654">
        <f>Mesh!A651</f>
      </c>
      <c r="B654" s="20">
        <f>Mesh!B651</f>
      </c>
      <c r="C654" s="20">
        <f>Mesh!C651</f>
      </c>
      <c r="D654" s="20">
        <f>Mesh!D651</f>
      </c>
      <c r="E654" s="37">
        <f>INDEX(St_e0,Det+1)+INDEX(St_kx,Det+1)*C654+INDEX(St_ky,Det+1)*B654</f>
      </c>
      <c r="F654" s="20">
        <f>IF(E654&gt;0,IF(E654&lt;=eco,alpha*fck*(1-(1-E654/eco)^n),alpha*fck),0)</f>
      </c>
      <c r="G654" s="19">
        <f>F654*D654</f>
      </c>
      <c r="H654" s="19">
        <f>G654*C654</f>
      </c>
      <c r="I654" s="19">
        <f>G654*B654</f>
      </c>
      <c r="K654" s="37">
        <f>Eq_e0+Eq_kx*$C654+Eq_ky*$B654</f>
      </c>
      <c r="L654" s="20">
        <f>IF(K654&gt;0,IF(K654&lt;=eco,alpha*fck*(1-(1-K654/eco)^n),alpha*fck),0)</f>
      </c>
    </row>
    <row r="655" spans="1:12" x14ac:dyDescent="0.25">
      <c r="A655">
        <f>Mesh!A652</f>
      </c>
      <c r="B655" s="20">
        <f>Mesh!B652</f>
      </c>
      <c r="C655" s="20">
        <f>Mesh!C652</f>
      </c>
      <c r="D655" s="20">
        <f>Mesh!D652</f>
      </c>
      <c r="E655" s="37">
        <f>INDEX(St_e0,Det+1)+INDEX(St_kx,Det+1)*C655+INDEX(St_ky,Det+1)*B655</f>
      </c>
      <c r="F655" s="20">
        <f>IF(E655&gt;0,IF(E655&lt;=eco,alpha*fck*(1-(1-E655/eco)^n),alpha*fck),0)</f>
      </c>
      <c r="G655" s="19">
        <f>F655*D655</f>
      </c>
      <c r="H655" s="19">
        <f>G655*C655</f>
      </c>
      <c r="I655" s="19">
        <f>G655*B655</f>
      </c>
      <c r="K655" s="37">
        <f>Eq_e0+Eq_kx*$C655+Eq_ky*$B655</f>
      </c>
      <c r="L655" s="20">
        <f>IF(K655&gt;0,IF(K655&lt;=eco,alpha*fck*(1-(1-K655/eco)^n),alpha*fck),0)</f>
      </c>
    </row>
    <row r="656" spans="1:12" x14ac:dyDescent="0.25">
      <c r="A656">
        <f>Mesh!A653</f>
      </c>
      <c r="B656" s="20">
        <f>Mesh!B653</f>
      </c>
      <c r="C656" s="20">
        <f>Mesh!C653</f>
      </c>
      <c r="D656" s="20">
        <f>Mesh!D653</f>
      </c>
      <c r="E656" s="37">
        <f>INDEX(St_e0,Det+1)+INDEX(St_kx,Det+1)*C656+INDEX(St_ky,Det+1)*B656</f>
      </c>
      <c r="F656" s="20">
        <f>IF(E656&gt;0,IF(E656&lt;=eco,alpha*fck*(1-(1-E656/eco)^n),alpha*fck),0)</f>
      </c>
      <c r="G656" s="19">
        <f>F656*D656</f>
      </c>
      <c r="H656" s="19">
        <f>G656*C656</f>
      </c>
      <c r="I656" s="19">
        <f>G656*B656</f>
      </c>
      <c r="K656" s="37">
        <f>Eq_e0+Eq_kx*$C656+Eq_ky*$B656</f>
      </c>
      <c r="L656" s="20">
        <f>IF(K656&gt;0,IF(K656&lt;=eco,alpha*fck*(1-(1-K656/eco)^n),alpha*fck),0)</f>
      </c>
    </row>
    <row r="657" spans="1:12" x14ac:dyDescent="0.25">
      <c r="A657">
        <f>Mesh!A654</f>
      </c>
      <c r="B657" s="20">
        <f>Mesh!B654</f>
      </c>
      <c r="C657" s="20">
        <f>Mesh!C654</f>
      </c>
      <c r="D657" s="20">
        <f>Mesh!D654</f>
      </c>
      <c r="E657" s="37">
        <f>INDEX(St_e0,Det+1)+INDEX(St_kx,Det+1)*C657+INDEX(St_ky,Det+1)*B657</f>
      </c>
      <c r="F657" s="20">
        <f>IF(E657&gt;0,IF(E657&lt;=eco,alpha*fck*(1-(1-E657/eco)^n),alpha*fck),0)</f>
      </c>
      <c r="G657" s="19">
        <f>F657*D657</f>
      </c>
      <c r="H657" s="19">
        <f>G657*C657</f>
      </c>
      <c r="I657" s="19">
        <f>G657*B657</f>
      </c>
      <c r="K657" s="37">
        <f>Eq_e0+Eq_kx*$C657+Eq_ky*$B657</f>
      </c>
      <c r="L657" s="20">
        <f>IF(K657&gt;0,IF(K657&lt;=eco,alpha*fck*(1-(1-K657/eco)^n),alpha*fck),0)</f>
      </c>
    </row>
    <row r="658" spans="1:12" x14ac:dyDescent="0.25">
      <c r="A658">
        <f>Mesh!A655</f>
      </c>
      <c r="B658" s="20">
        <f>Mesh!B655</f>
      </c>
      <c r="C658" s="20">
        <f>Mesh!C655</f>
      </c>
      <c r="D658" s="20">
        <f>Mesh!D655</f>
      </c>
      <c r="E658" s="37">
        <f>INDEX(St_e0,Det+1)+INDEX(St_kx,Det+1)*C658+INDEX(St_ky,Det+1)*B658</f>
      </c>
      <c r="F658" s="20">
        <f>IF(E658&gt;0,IF(E658&lt;=eco,alpha*fck*(1-(1-E658/eco)^n),alpha*fck),0)</f>
      </c>
      <c r="G658" s="19">
        <f>F658*D658</f>
      </c>
      <c r="H658" s="19">
        <f>G658*C658</f>
      </c>
      <c r="I658" s="19">
        <f>G658*B658</f>
      </c>
      <c r="K658" s="37">
        <f>Eq_e0+Eq_kx*$C658+Eq_ky*$B658</f>
      </c>
      <c r="L658" s="20">
        <f>IF(K658&gt;0,IF(K658&lt;=eco,alpha*fck*(1-(1-K658/eco)^n),alpha*fck),0)</f>
      </c>
    </row>
    <row r="659" spans="1:12" x14ac:dyDescent="0.25">
      <c r="A659">
        <f>Mesh!A656</f>
      </c>
      <c r="B659" s="20">
        <f>Mesh!B656</f>
      </c>
      <c r="C659" s="20">
        <f>Mesh!C656</f>
      </c>
      <c r="D659" s="20">
        <f>Mesh!D656</f>
      </c>
      <c r="E659" s="37">
        <f>INDEX(St_e0,Det+1)+INDEX(St_kx,Det+1)*C659+INDEX(St_ky,Det+1)*B659</f>
      </c>
      <c r="F659" s="20">
        <f>IF(E659&gt;0,IF(E659&lt;=eco,alpha*fck*(1-(1-E659/eco)^n),alpha*fck),0)</f>
      </c>
      <c r="G659" s="19">
        <f>F659*D659</f>
      </c>
      <c r="H659" s="19">
        <f>G659*C659</f>
      </c>
      <c r="I659" s="19">
        <f>G659*B659</f>
      </c>
      <c r="K659" s="37">
        <f>Eq_e0+Eq_kx*$C659+Eq_ky*$B659</f>
      </c>
      <c r="L659" s="20">
        <f>IF(K659&gt;0,IF(K659&lt;=eco,alpha*fck*(1-(1-K659/eco)^n),alpha*fck),0)</f>
      </c>
    </row>
    <row r="660" spans="1:12" x14ac:dyDescent="0.25">
      <c r="A660">
        <f>Mesh!A657</f>
      </c>
      <c r="B660" s="20">
        <f>Mesh!B657</f>
      </c>
      <c r="C660" s="20">
        <f>Mesh!C657</f>
      </c>
      <c r="D660" s="20">
        <f>Mesh!D657</f>
      </c>
      <c r="E660" s="37">
        <f>INDEX(St_e0,Det+1)+INDEX(St_kx,Det+1)*C660+INDEX(St_ky,Det+1)*B660</f>
      </c>
      <c r="F660" s="20">
        <f>IF(E660&gt;0,IF(E660&lt;=eco,alpha*fck*(1-(1-E660/eco)^n),alpha*fck),0)</f>
      </c>
      <c r="G660" s="19">
        <f>F660*D660</f>
      </c>
      <c r="H660" s="19">
        <f>G660*C660</f>
      </c>
      <c r="I660" s="19">
        <f>G660*B660</f>
      </c>
      <c r="K660" s="37">
        <f>Eq_e0+Eq_kx*$C660+Eq_ky*$B660</f>
      </c>
      <c r="L660" s="20">
        <f>IF(K660&gt;0,IF(K660&lt;=eco,alpha*fck*(1-(1-K660/eco)^n),alpha*fck),0)</f>
      </c>
    </row>
    <row r="661" spans="1:12" x14ac:dyDescent="0.25">
      <c r="A661">
        <f>Mesh!A658</f>
      </c>
      <c r="B661" s="20">
        <f>Mesh!B658</f>
      </c>
      <c r="C661" s="20">
        <f>Mesh!C658</f>
      </c>
      <c r="D661" s="20">
        <f>Mesh!D658</f>
      </c>
      <c r="E661" s="37">
        <f>INDEX(St_e0,Det+1)+INDEX(St_kx,Det+1)*C661+INDEX(St_ky,Det+1)*B661</f>
      </c>
      <c r="F661" s="20">
        <f>IF(E661&gt;0,IF(E661&lt;=eco,alpha*fck*(1-(1-E661/eco)^n),alpha*fck),0)</f>
      </c>
      <c r="G661" s="19">
        <f>F661*D661</f>
      </c>
      <c r="H661" s="19">
        <f>G661*C661</f>
      </c>
      <c r="I661" s="19">
        <f>G661*B661</f>
      </c>
      <c r="K661" s="37">
        <f>Eq_e0+Eq_kx*$C661+Eq_ky*$B661</f>
      </c>
      <c r="L661" s="20">
        <f>IF(K661&gt;0,IF(K661&lt;=eco,alpha*fck*(1-(1-K661/eco)^n),alpha*fck),0)</f>
      </c>
    </row>
    <row r="662" spans="1:12" x14ac:dyDescent="0.25">
      <c r="A662">
        <f>Mesh!A659</f>
      </c>
      <c r="B662" s="20">
        <f>Mesh!B659</f>
      </c>
      <c r="C662" s="20">
        <f>Mesh!C659</f>
      </c>
      <c r="D662" s="20">
        <f>Mesh!D659</f>
      </c>
      <c r="E662" s="37">
        <f>INDEX(St_e0,Det+1)+INDEX(St_kx,Det+1)*C662+INDEX(St_ky,Det+1)*B662</f>
      </c>
      <c r="F662" s="20">
        <f>IF(E662&gt;0,IF(E662&lt;=eco,alpha*fck*(1-(1-E662/eco)^n),alpha*fck),0)</f>
      </c>
      <c r="G662" s="19">
        <f>F662*D662</f>
      </c>
      <c r="H662" s="19">
        <f>G662*C662</f>
      </c>
      <c r="I662" s="19">
        <f>G662*B662</f>
      </c>
      <c r="K662" s="37">
        <f>Eq_e0+Eq_kx*$C662+Eq_ky*$B662</f>
      </c>
      <c r="L662" s="20">
        <f>IF(K662&gt;0,IF(K662&lt;=eco,alpha*fck*(1-(1-K662/eco)^n),alpha*fck),0)</f>
      </c>
    </row>
    <row r="663" spans="1:12" x14ac:dyDescent="0.25">
      <c r="A663">
        <f>Mesh!A660</f>
      </c>
      <c r="B663" s="20">
        <f>Mesh!B660</f>
      </c>
      <c r="C663" s="20">
        <f>Mesh!C660</f>
      </c>
      <c r="D663" s="20">
        <f>Mesh!D660</f>
      </c>
      <c r="E663" s="37">
        <f>INDEX(St_e0,Det+1)+INDEX(St_kx,Det+1)*C663+INDEX(St_ky,Det+1)*B663</f>
      </c>
      <c r="F663" s="20">
        <f>IF(E663&gt;0,IF(E663&lt;=eco,alpha*fck*(1-(1-E663/eco)^n),alpha*fck),0)</f>
      </c>
      <c r="G663" s="19">
        <f>F663*D663</f>
      </c>
      <c r="H663" s="19">
        <f>G663*C663</f>
      </c>
      <c r="I663" s="19">
        <f>G663*B663</f>
      </c>
      <c r="K663" s="37">
        <f>Eq_e0+Eq_kx*$C663+Eq_ky*$B663</f>
      </c>
      <c r="L663" s="20">
        <f>IF(K663&gt;0,IF(K663&lt;=eco,alpha*fck*(1-(1-K663/eco)^n),alpha*fck),0)</f>
      </c>
    </row>
    <row r="664" spans="1:12" x14ac:dyDescent="0.25">
      <c r="A664">
        <f>Mesh!A661</f>
      </c>
      <c r="B664" s="20">
        <f>Mesh!B661</f>
      </c>
      <c r="C664" s="20">
        <f>Mesh!C661</f>
      </c>
      <c r="D664" s="20">
        <f>Mesh!D661</f>
      </c>
      <c r="E664" s="37">
        <f>INDEX(St_e0,Det+1)+INDEX(St_kx,Det+1)*C664+INDEX(St_ky,Det+1)*B664</f>
      </c>
      <c r="F664" s="20">
        <f>IF(E664&gt;0,IF(E664&lt;=eco,alpha*fck*(1-(1-E664/eco)^n),alpha*fck),0)</f>
      </c>
      <c r="G664" s="19">
        <f>F664*D664</f>
      </c>
      <c r="H664" s="19">
        <f>G664*C664</f>
      </c>
      <c r="I664" s="19">
        <f>G664*B664</f>
      </c>
      <c r="K664" s="37">
        <f>Eq_e0+Eq_kx*$C664+Eq_ky*$B664</f>
      </c>
      <c r="L664" s="20">
        <f>IF(K664&gt;0,IF(K664&lt;=eco,alpha*fck*(1-(1-K664/eco)^n),alpha*fck),0)</f>
      </c>
    </row>
    <row r="665" spans="1:12" x14ac:dyDescent="0.25">
      <c r="A665">
        <f>Mesh!A662</f>
      </c>
      <c r="B665" s="20">
        <f>Mesh!B662</f>
      </c>
      <c r="C665" s="20">
        <f>Mesh!C662</f>
      </c>
      <c r="D665" s="20">
        <f>Mesh!D662</f>
      </c>
      <c r="E665" s="37">
        <f>INDEX(St_e0,Det+1)+INDEX(St_kx,Det+1)*C665+INDEX(St_ky,Det+1)*B665</f>
      </c>
      <c r="F665" s="20">
        <f>IF(E665&gt;0,IF(E665&lt;=eco,alpha*fck*(1-(1-E665/eco)^n),alpha*fck),0)</f>
      </c>
      <c r="G665" s="19">
        <f>F665*D665</f>
      </c>
      <c r="H665" s="19">
        <f>G665*C665</f>
      </c>
      <c r="I665" s="19">
        <f>G665*B665</f>
      </c>
      <c r="K665" s="37">
        <f>Eq_e0+Eq_kx*$C665+Eq_ky*$B665</f>
      </c>
      <c r="L665" s="20">
        <f>IF(K665&gt;0,IF(K665&lt;=eco,alpha*fck*(1-(1-K665/eco)^n),alpha*fck),0)</f>
      </c>
    </row>
    <row r="666" spans="1:12" x14ac:dyDescent="0.25">
      <c r="A666">
        <f>Mesh!A663</f>
      </c>
      <c r="B666" s="20">
        <f>Mesh!B663</f>
      </c>
      <c r="C666" s="20">
        <f>Mesh!C663</f>
      </c>
      <c r="D666" s="20">
        <f>Mesh!D663</f>
      </c>
      <c r="E666" s="37">
        <f>INDEX(St_e0,Det+1)+INDEX(St_kx,Det+1)*C666+INDEX(St_ky,Det+1)*B666</f>
      </c>
      <c r="F666" s="20">
        <f>IF(E666&gt;0,IF(E666&lt;=eco,alpha*fck*(1-(1-E666/eco)^n),alpha*fck),0)</f>
      </c>
      <c r="G666" s="19">
        <f>F666*D666</f>
      </c>
      <c r="H666" s="19">
        <f>G666*C666</f>
      </c>
      <c r="I666" s="19">
        <f>G666*B666</f>
      </c>
      <c r="K666" s="37">
        <f>Eq_e0+Eq_kx*$C666+Eq_ky*$B666</f>
      </c>
      <c r="L666" s="20">
        <f>IF(K666&gt;0,IF(K666&lt;=eco,alpha*fck*(1-(1-K666/eco)^n),alpha*fck),0)</f>
      </c>
    </row>
    <row r="667" spans="1:12" x14ac:dyDescent="0.25">
      <c r="A667">
        <f>Mesh!A664</f>
      </c>
      <c r="B667" s="20">
        <f>Mesh!B664</f>
      </c>
      <c r="C667" s="20">
        <f>Mesh!C664</f>
      </c>
      <c r="D667" s="20">
        <f>Mesh!D664</f>
      </c>
      <c r="E667" s="37">
        <f>INDEX(St_e0,Det+1)+INDEX(St_kx,Det+1)*C667+INDEX(St_ky,Det+1)*B667</f>
      </c>
      <c r="F667" s="20">
        <f>IF(E667&gt;0,IF(E667&lt;=eco,alpha*fck*(1-(1-E667/eco)^n),alpha*fck),0)</f>
      </c>
      <c r="G667" s="19">
        <f>F667*D667</f>
      </c>
      <c r="H667" s="19">
        <f>G667*C667</f>
      </c>
      <c r="I667" s="19">
        <f>G667*B667</f>
      </c>
      <c r="K667" s="37">
        <f>Eq_e0+Eq_kx*$C667+Eq_ky*$B667</f>
      </c>
      <c r="L667" s="20">
        <f>IF(K667&gt;0,IF(K667&lt;=eco,alpha*fck*(1-(1-K667/eco)^n),alpha*fck),0)</f>
      </c>
    </row>
    <row r="668" spans="1:12" x14ac:dyDescent="0.25">
      <c r="A668">
        <f>Mesh!A665</f>
      </c>
      <c r="B668" s="20">
        <f>Mesh!B665</f>
      </c>
      <c r="C668" s="20">
        <f>Mesh!C665</f>
      </c>
      <c r="D668" s="20">
        <f>Mesh!D665</f>
      </c>
      <c r="E668" s="37">
        <f>INDEX(St_e0,Det+1)+INDEX(St_kx,Det+1)*C668+INDEX(St_ky,Det+1)*B668</f>
      </c>
      <c r="F668" s="20">
        <f>IF(E668&gt;0,IF(E668&lt;=eco,alpha*fck*(1-(1-E668/eco)^n),alpha*fck),0)</f>
      </c>
      <c r="G668" s="19">
        <f>F668*D668</f>
      </c>
      <c r="H668" s="19">
        <f>G668*C668</f>
      </c>
      <c r="I668" s="19">
        <f>G668*B668</f>
      </c>
      <c r="K668" s="37">
        <f>Eq_e0+Eq_kx*$C668+Eq_ky*$B668</f>
      </c>
      <c r="L668" s="20">
        <f>IF(K668&gt;0,IF(K668&lt;=eco,alpha*fck*(1-(1-K668/eco)^n),alpha*fck),0)</f>
      </c>
    </row>
    <row r="669" spans="1:12" x14ac:dyDescent="0.25">
      <c r="A669">
        <f>Mesh!A666</f>
      </c>
      <c r="B669" s="20">
        <f>Mesh!B666</f>
      </c>
      <c r="C669" s="20">
        <f>Mesh!C666</f>
      </c>
      <c r="D669" s="20">
        <f>Mesh!D666</f>
      </c>
      <c r="E669" s="37">
        <f>INDEX(St_e0,Det+1)+INDEX(St_kx,Det+1)*C669+INDEX(St_ky,Det+1)*B669</f>
      </c>
      <c r="F669" s="20">
        <f>IF(E669&gt;0,IF(E669&lt;=eco,alpha*fck*(1-(1-E669/eco)^n),alpha*fck),0)</f>
      </c>
      <c r="G669" s="19">
        <f>F669*D669</f>
      </c>
      <c r="H669" s="19">
        <f>G669*C669</f>
      </c>
      <c r="I669" s="19">
        <f>G669*B669</f>
      </c>
      <c r="K669" s="37">
        <f>Eq_e0+Eq_kx*$C669+Eq_ky*$B669</f>
      </c>
      <c r="L669" s="20">
        <f>IF(K669&gt;0,IF(K669&lt;=eco,alpha*fck*(1-(1-K669/eco)^n),alpha*fck),0)</f>
      </c>
    </row>
    <row r="670" spans="1:12" x14ac:dyDescent="0.25">
      <c r="A670">
        <f>Mesh!A667</f>
      </c>
      <c r="B670" s="20">
        <f>Mesh!B667</f>
      </c>
      <c r="C670" s="20">
        <f>Mesh!C667</f>
      </c>
      <c r="D670" s="20">
        <f>Mesh!D667</f>
      </c>
      <c r="E670" s="37">
        <f>INDEX(St_e0,Det+1)+INDEX(St_kx,Det+1)*C670+INDEX(St_ky,Det+1)*B670</f>
      </c>
      <c r="F670" s="20">
        <f>IF(E670&gt;0,IF(E670&lt;=eco,alpha*fck*(1-(1-E670/eco)^n),alpha*fck),0)</f>
      </c>
      <c r="G670" s="19">
        <f>F670*D670</f>
      </c>
      <c r="H670" s="19">
        <f>G670*C670</f>
      </c>
      <c r="I670" s="19">
        <f>G670*B670</f>
      </c>
      <c r="K670" s="37">
        <f>Eq_e0+Eq_kx*$C670+Eq_ky*$B670</f>
      </c>
      <c r="L670" s="20">
        <f>IF(K670&gt;0,IF(K670&lt;=eco,alpha*fck*(1-(1-K670/eco)^n),alpha*fck),0)</f>
      </c>
    </row>
    <row r="671" spans="1:12" x14ac:dyDescent="0.25">
      <c r="A671">
        <f>Mesh!A668</f>
      </c>
      <c r="B671" s="20">
        <f>Mesh!B668</f>
      </c>
      <c r="C671" s="20">
        <f>Mesh!C668</f>
      </c>
      <c r="D671" s="20">
        <f>Mesh!D668</f>
      </c>
      <c r="E671" s="37">
        <f>INDEX(St_e0,Det+1)+INDEX(St_kx,Det+1)*C671+INDEX(St_ky,Det+1)*B671</f>
      </c>
      <c r="F671" s="20">
        <f>IF(E671&gt;0,IF(E671&lt;=eco,alpha*fck*(1-(1-E671/eco)^n),alpha*fck),0)</f>
      </c>
      <c r="G671" s="19">
        <f>F671*D671</f>
      </c>
      <c r="H671" s="19">
        <f>G671*C671</f>
      </c>
      <c r="I671" s="19">
        <f>G671*B671</f>
      </c>
      <c r="K671" s="37">
        <f>Eq_e0+Eq_kx*$C671+Eq_ky*$B671</f>
      </c>
      <c r="L671" s="20">
        <f>IF(K671&gt;0,IF(K671&lt;=eco,alpha*fck*(1-(1-K671/eco)^n),alpha*fck),0)</f>
      </c>
    </row>
    <row r="672" spans="1:12" x14ac:dyDescent="0.25">
      <c r="A672">
        <f>Mesh!A669</f>
      </c>
      <c r="B672" s="20">
        <f>Mesh!B669</f>
      </c>
      <c r="C672" s="20">
        <f>Mesh!C669</f>
      </c>
      <c r="D672" s="20">
        <f>Mesh!D669</f>
      </c>
      <c r="E672" s="37">
        <f>INDEX(St_e0,Det+1)+INDEX(St_kx,Det+1)*C672+INDEX(St_ky,Det+1)*B672</f>
      </c>
      <c r="F672" s="20">
        <f>IF(E672&gt;0,IF(E672&lt;=eco,alpha*fck*(1-(1-E672/eco)^n),alpha*fck),0)</f>
      </c>
      <c r="G672" s="19">
        <f>F672*D672</f>
      </c>
      <c r="H672" s="19">
        <f>G672*C672</f>
      </c>
      <c r="I672" s="19">
        <f>G672*B672</f>
      </c>
      <c r="K672" s="37">
        <f>Eq_e0+Eq_kx*$C672+Eq_ky*$B672</f>
      </c>
      <c r="L672" s="20">
        <f>IF(K672&gt;0,IF(K672&lt;=eco,alpha*fck*(1-(1-K672/eco)^n),alpha*fck),0)</f>
      </c>
    </row>
    <row r="673" spans="1:12" x14ac:dyDescent="0.25">
      <c r="A673">
        <f>Mesh!A670</f>
      </c>
      <c r="B673" s="20">
        <f>Mesh!B670</f>
      </c>
      <c r="C673" s="20">
        <f>Mesh!C670</f>
      </c>
      <c r="D673" s="20">
        <f>Mesh!D670</f>
      </c>
      <c r="E673" s="37">
        <f>INDEX(St_e0,Det+1)+INDEX(St_kx,Det+1)*C673+INDEX(St_ky,Det+1)*B673</f>
      </c>
      <c r="F673" s="20">
        <f>IF(E673&gt;0,IF(E673&lt;=eco,alpha*fck*(1-(1-E673/eco)^n),alpha*fck),0)</f>
      </c>
      <c r="G673" s="19">
        <f>F673*D673</f>
      </c>
      <c r="H673" s="19">
        <f>G673*C673</f>
      </c>
      <c r="I673" s="19">
        <f>G673*B673</f>
      </c>
      <c r="K673" s="37">
        <f>Eq_e0+Eq_kx*$C673+Eq_ky*$B673</f>
      </c>
      <c r="L673" s="20">
        <f>IF(K673&gt;0,IF(K673&lt;=eco,alpha*fck*(1-(1-K673/eco)^n),alpha*fck),0)</f>
      </c>
    </row>
    <row r="674" spans="1:12" x14ac:dyDescent="0.25">
      <c r="A674">
        <f>Mesh!A671</f>
      </c>
      <c r="B674" s="20">
        <f>Mesh!B671</f>
      </c>
      <c r="C674" s="20">
        <f>Mesh!C671</f>
      </c>
      <c r="D674" s="20">
        <f>Mesh!D671</f>
      </c>
      <c r="E674" s="37">
        <f>INDEX(St_e0,Det+1)+INDEX(St_kx,Det+1)*C674+INDEX(St_ky,Det+1)*B674</f>
      </c>
      <c r="F674" s="20">
        <f>IF(E674&gt;0,IF(E674&lt;=eco,alpha*fck*(1-(1-E674/eco)^n),alpha*fck),0)</f>
      </c>
      <c r="G674" s="19">
        <f>F674*D674</f>
      </c>
      <c r="H674" s="19">
        <f>G674*C674</f>
      </c>
      <c r="I674" s="19">
        <f>G674*B674</f>
      </c>
      <c r="K674" s="37">
        <f>Eq_e0+Eq_kx*$C674+Eq_ky*$B674</f>
      </c>
      <c r="L674" s="20">
        <f>IF(K674&gt;0,IF(K674&lt;=eco,alpha*fck*(1-(1-K674/eco)^n),alpha*fck),0)</f>
      </c>
    </row>
    <row r="675" spans="1:12" x14ac:dyDescent="0.25">
      <c r="A675">
        <f>Mesh!A672</f>
      </c>
      <c r="B675" s="20">
        <f>Mesh!B672</f>
      </c>
      <c r="C675" s="20">
        <f>Mesh!C672</f>
      </c>
      <c r="D675" s="20">
        <f>Mesh!D672</f>
      </c>
      <c r="E675" s="37">
        <f>INDEX(St_e0,Det+1)+INDEX(St_kx,Det+1)*C675+INDEX(St_ky,Det+1)*B675</f>
      </c>
      <c r="F675" s="20">
        <f>IF(E675&gt;0,IF(E675&lt;=eco,alpha*fck*(1-(1-E675/eco)^n),alpha*fck),0)</f>
      </c>
      <c r="G675" s="19">
        <f>F675*D675</f>
      </c>
      <c r="H675" s="19">
        <f>G675*C675</f>
      </c>
      <c r="I675" s="19">
        <f>G675*B675</f>
      </c>
      <c r="K675" s="37">
        <f>Eq_e0+Eq_kx*$C675+Eq_ky*$B675</f>
      </c>
      <c r="L675" s="20">
        <f>IF(K675&gt;0,IF(K675&lt;=eco,alpha*fck*(1-(1-K675/eco)^n),alpha*fck),0)</f>
      </c>
    </row>
    <row r="676" spans="1:12" x14ac:dyDescent="0.25">
      <c r="A676">
        <f>Mesh!A673</f>
      </c>
      <c r="B676" s="20">
        <f>Mesh!B673</f>
      </c>
      <c r="C676" s="20">
        <f>Mesh!C673</f>
      </c>
      <c r="D676" s="20">
        <f>Mesh!D673</f>
      </c>
      <c r="E676" s="37">
        <f>INDEX(St_e0,Det+1)+INDEX(St_kx,Det+1)*C676+INDEX(St_ky,Det+1)*B676</f>
      </c>
      <c r="F676" s="20">
        <f>IF(E676&gt;0,IF(E676&lt;=eco,alpha*fck*(1-(1-E676/eco)^n),alpha*fck),0)</f>
      </c>
      <c r="G676" s="19">
        <f>F676*D676</f>
      </c>
      <c r="H676" s="19">
        <f>G676*C676</f>
      </c>
      <c r="I676" s="19">
        <f>G676*B676</f>
      </c>
      <c r="K676" s="37">
        <f>Eq_e0+Eq_kx*$C676+Eq_ky*$B676</f>
      </c>
      <c r="L676" s="20">
        <f>IF(K676&gt;0,IF(K676&lt;=eco,alpha*fck*(1-(1-K676/eco)^n),alpha*fck),0)</f>
      </c>
    </row>
    <row r="677" spans="1:12" x14ac:dyDescent="0.25">
      <c r="A677">
        <f>Mesh!A674</f>
      </c>
      <c r="B677" s="20">
        <f>Mesh!B674</f>
      </c>
      <c r="C677" s="20">
        <f>Mesh!C674</f>
      </c>
      <c r="D677" s="20">
        <f>Mesh!D674</f>
      </c>
      <c r="E677" s="37">
        <f>INDEX(St_e0,Det+1)+INDEX(St_kx,Det+1)*C677+INDEX(St_ky,Det+1)*B677</f>
      </c>
      <c r="F677" s="20">
        <f>IF(E677&gt;0,IF(E677&lt;=eco,alpha*fck*(1-(1-E677/eco)^n),alpha*fck),0)</f>
      </c>
      <c r="G677" s="19">
        <f>F677*D677</f>
      </c>
      <c r="H677" s="19">
        <f>G677*C677</f>
      </c>
      <c r="I677" s="19">
        <f>G677*B677</f>
      </c>
      <c r="K677" s="37">
        <f>Eq_e0+Eq_kx*$C677+Eq_ky*$B677</f>
      </c>
      <c r="L677" s="20">
        <f>IF(K677&gt;0,IF(K677&lt;=eco,alpha*fck*(1-(1-K677/eco)^n),alpha*fck),0)</f>
      </c>
    </row>
    <row r="678" spans="1:12" x14ac:dyDescent="0.25">
      <c r="A678">
        <f>Mesh!A675</f>
      </c>
      <c r="B678" s="20">
        <f>Mesh!B675</f>
      </c>
      <c r="C678" s="20">
        <f>Mesh!C675</f>
      </c>
      <c r="D678" s="20">
        <f>Mesh!D675</f>
      </c>
      <c r="E678" s="37">
        <f>INDEX(St_e0,Det+1)+INDEX(St_kx,Det+1)*C678+INDEX(St_ky,Det+1)*B678</f>
      </c>
      <c r="F678" s="20">
        <f>IF(E678&gt;0,IF(E678&lt;=eco,alpha*fck*(1-(1-E678/eco)^n),alpha*fck),0)</f>
      </c>
      <c r="G678" s="19">
        <f>F678*D678</f>
      </c>
      <c r="H678" s="19">
        <f>G678*C678</f>
      </c>
      <c r="I678" s="19">
        <f>G678*B678</f>
      </c>
      <c r="K678" s="37">
        <f>Eq_e0+Eq_kx*$C678+Eq_ky*$B678</f>
      </c>
      <c r="L678" s="20">
        <f>IF(K678&gt;0,IF(K678&lt;=eco,alpha*fck*(1-(1-K678/eco)^n),alpha*fck),0)</f>
      </c>
    </row>
    <row r="679" spans="1:12" x14ac:dyDescent="0.25">
      <c r="A679">
        <f>Mesh!A676</f>
      </c>
      <c r="B679" s="20">
        <f>Mesh!B676</f>
      </c>
      <c r="C679" s="20">
        <f>Mesh!C676</f>
      </c>
      <c r="D679" s="20">
        <f>Mesh!D676</f>
      </c>
      <c r="E679" s="37">
        <f>INDEX(St_e0,Det+1)+INDEX(St_kx,Det+1)*C679+INDEX(St_ky,Det+1)*B679</f>
      </c>
      <c r="F679" s="20">
        <f>IF(E679&gt;0,IF(E679&lt;=eco,alpha*fck*(1-(1-E679/eco)^n),alpha*fck),0)</f>
      </c>
      <c r="G679" s="19">
        <f>F679*D679</f>
      </c>
      <c r="H679" s="19">
        <f>G679*C679</f>
      </c>
      <c r="I679" s="19">
        <f>G679*B679</f>
      </c>
      <c r="K679" s="37">
        <f>Eq_e0+Eq_kx*$C679+Eq_ky*$B679</f>
      </c>
      <c r="L679" s="20">
        <f>IF(K679&gt;0,IF(K679&lt;=eco,alpha*fck*(1-(1-K679/eco)^n),alpha*fck),0)</f>
      </c>
    </row>
    <row r="680" spans="1:12" x14ac:dyDescent="0.25">
      <c r="A680">
        <f>Mesh!A677</f>
      </c>
      <c r="B680" s="20">
        <f>Mesh!B677</f>
      </c>
      <c r="C680" s="20">
        <f>Mesh!C677</f>
      </c>
      <c r="D680" s="20">
        <f>Mesh!D677</f>
      </c>
      <c r="E680" s="37">
        <f>INDEX(St_e0,Det+1)+INDEX(St_kx,Det+1)*C680+INDEX(St_ky,Det+1)*B680</f>
      </c>
      <c r="F680" s="20">
        <f>IF(E680&gt;0,IF(E680&lt;=eco,alpha*fck*(1-(1-E680/eco)^n),alpha*fck),0)</f>
      </c>
      <c r="G680" s="19">
        <f>F680*D680</f>
      </c>
      <c r="H680" s="19">
        <f>G680*C680</f>
      </c>
      <c r="I680" s="19">
        <f>G680*B680</f>
      </c>
      <c r="K680" s="37">
        <f>Eq_e0+Eq_kx*$C680+Eq_ky*$B680</f>
      </c>
      <c r="L680" s="20">
        <f>IF(K680&gt;0,IF(K680&lt;=eco,alpha*fck*(1-(1-K680/eco)^n),alpha*fck),0)</f>
      </c>
    </row>
    <row r="681" spans="1:12" x14ac:dyDescent="0.25">
      <c r="A681">
        <f>Mesh!A678</f>
      </c>
      <c r="B681" s="20">
        <f>Mesh!B678</f>
      </c>
      <c r="C681" s="20">
        <f>Mesh!C678</f>
      </c>
      <c r="D681" s="20">
        <f>Mesh!D678</f>
      </c>
      <c r="E681" s="37">
        <f>INDEX(St_e0,Det+1)+INDEX(St_kx,Det+1)*C681+INDEX(St_ky,Det+1)*B681</f>
      </c>
      <c r="F681" s="20">
        <f>IF(E681&gt;0,IF(E681&lt;=eco,alpha*fck*(1-(1-E681/eco)^n),alpha*fck),0)</f>
      </c>
      <c r="G681" s="19">
        <f>F681*D681</f>
      </c>
      <c r="H681" s="19">
        <f>G681*C681</f>
      </c>
      <c r="I681" s="19">
        <f>G681*B681</f>
      </c>
      <c r="K681" s="37">
        <f>Eq_e0+Eq_kx*$C681+Eq_ky*$B681</f>
      </c>
      <c r="L681" s="20">
        <f>IF(K681&gt;0,IF(K681&lt;=eco,alpha*fck*(1-(1-K681/eco)^n),alpha*fck),0)</f>
      </c>
    </row>
    <row r="682" spans="1:12" x14ac:dyDescent="0.25">
      <c r="A682">
        <f>Mesh!A679</f>
      </c>
      <c r="B682" s="20">
        <f>Mesh!B679</f>
      </c>
      <c r="C682" s="20">
        <f>Mesh!C679</f>
      </c>
      <c r="D682" s="20">
        <f>Mesh!D679</f>
      </c>
      <c r="E682" s="37">
        <f>INDEX(St_e0,Det+1)+INDEX(St_kx,Det+1)*C682+INDEX(St_ky,Det+1)*B682</f>
      </c>
      <c r="F682" s="20">
        <f>IF(E682&gt;0,IF(E682&lt;=eco,alpha*fck*(1-(1-E682/eco)^n),alpha*fck),0)</f>
      </c>
      <c r="G682" s="19">
        <f>F682*D682</f>
      </c>
      <c r="H682" s="19">
        <f>G682*C682</f>
      </c>
      <c r="I682" s="19">
        <f>G682*B682</f>
      </c>
      <c r="K682" s="37">
        <f>Eq_e0+Eq_kx*$C682+Eq_ky*$B682</f>
      </c>
      <c r="L682" s="20">
        <f>IF(K682&gt;0,IF(K682&lt;=eco,alpha*fck*(1-(1-K682/eco)^n),alpha*fck),0)</f>
      </c>
    </row>
    <row r="683" spans="1:12" x14ac:dyDescent="0.25">
      <c r="A683">
        <f>Mesh!A680</f>
      </c>
      <c r="B683" s="20">
        <f>Mesh!B680</f>
      </c>
      <c r="C683" s="20">
        <f>Mesh!C680</f>
      </c>
      <c r="D683" s="20">
        <f>Mesh!D680</f>
      </c>
      <c r="E683" s="37">
        <f>INDEX(St_e0,Det+1)+INDEX(St_kx,Det+1)*C683+INDEX(St_ky,Det+1)*B683</f>
      </c>
      <c r="F683" s="20">
        <f>IF(E683&gt;0,IF(E683&lt;=eco,alpha*fck*(1-(1-E683/eco)^n),alpha*fck),0)</f>
      </c>
      <c r="G683" s="19">
        <f>F683*D683</f>
      </c>
      <c r="H683" s="19">
        <f>G683*C683</f>
      </c>
      <c r="I683" s="19">
        <f>G683*B683</f>
      </c>
      <c r="K683" s="37">
        <f>Eq_e0+Eq_kx*$C683+Eq_ky*$B683</f>
      </c>
      <c r="L683" s="20">
        <f>IF(K683&gt;0,IF(K683&lt;=eco,alpha*fck*(1-(1-K683/eco)^n),alpha*fck),0)</f>
      </c>
    </row>
    <row r="684" spans="1:12" x14ac:dyDescent="0.25">
      <c r="A684">
        <f>Mesh!A681</f>
      </c>
      <c r="B684" s="20">
        <f>Mesh!B681</f>
      </c>
      <c r="C684" s="20">
        <f>Mesh!C681</f>
      </c>
      <c r="D684" s="20">
        <f>Mesh!D681</f>
      </c>
      <c r="E684" s="37">
        <f>INDEX(St_e0,Det+1)+INDEX(St_kx,Det+1)*C684+INDEX(St_ky,Det+1)*B684</f>
      </c>
      <c r="F684" s="20">
        <f>IF(E684&gt;0,IF(E684&lt;=eco,alpha*fck*(1-(1-E684/eco)^n),alpha*fck),0)</f>
      </c>
      <c r="G684" s="19">
        <f>F684*D684</f>
      </c>
      <c r="H684" s="19">
        <f>G684*C684</f>
      </c>
      <c r="I684" s="19">
        <f>G684*B684</f>
      </c>
      <c r="K684" s="37">
        <f>Eq_e0+Eq_kx*$C684+Eq_ky*$B684</f>
      </c>
      <c r="L684" s="20">
        <f>IF(K684&gt;0,IF(K684&lt;=eco,alpha*fck*(1-(1-K684/eco)^n),alpha*fck),0)</f>
      </c>
    </row>
    <row r="685" spans="1:12" x14ac:dyDescent="0.25">
      <c r="A685">
        <f>Mesh!A682</f>
      </c>
      <c r="B685" s="20">
        <f>Mesh!B682</f>
      </c>
      <c r="C685" s="20">
        <f>Mesh!C682</f>
      </c>
      <c r="D685" s="20">
        <f>Mesh!D682</f>
      </c>
      <c r="E685" s="37">
        <f>INDEX(St_e0,Det+1)+INDEX(St_kx,Det+1)*C685+INDEX(St_ky,Det+1)*B685</f>
      </c>
      <c r="F685" s="20">
        <f>IF(E685&gt;0,IF(E685&lt;=eco,alpha*fck*(1-(1-E685/eco)^n),alpha*fck),0)</f>
      </c>
      <c r="G685" s="19">
        <f>F685*D685</f>
      </c>
      <c r="H685" s="19">
        <f>G685*C685</f>
      </c>
      <c r="I685" s="19">
        <f>G685*B685</f>
      </c>
      <c r="K685" s="37">
        <f>Eq_e0+Eq_kx*$C685+Eq_ky*$B685</f>
      </c>
      <c r="L685" s="20">
        <f>IF(K685&gt;0,IF(K685&lt;=eco,alpha*fck*(1-(1-K685/eco)^n),alpha*fck),0)</f>
      </c>
    </row>
    <row r="686" spans="1:12" x14ac:dyDescent="0.25">
      <c r="A686">
        <f>Mesh!A683</f>
      </c>
      <c r="B686" s="20">
        <f>Mesh!B683</f>
      </c>
      <c r="C686" s="20">
        <f>Mesh!C683</f>
      </c>
      <c r="D686" s="20">
        <f>Mesh!D683</f>
      </c>
      <c r="E686" s="37">
        <f>INDEX(St_e0,Det+1)+INDEX(St_kx,Det+1)*C686+INDEX(St_ky,Det+1)*B686</f>
      </c>
      <c r="F686" s="20">
        <f>IF(E686&gt;0,IF(E686&lt;=eco,alpha*fck*(1-(1-E686/eco)^n),alpha*fck),0)</f>
      </c>
      <c r="G686" s="19">
        <f>F686*D686</f>
      </c>
      <c r="H686" s="19">
        <f>G686*C686</f>
      </c>
      <c r="I686" s="19">
        <f>G686*B686</f>
      </c>
      <c r="K686" s="37">
        <f>Eq_e0+Eq_kx*$C686+Eq_ky*$B686</f>
      </c>
      <c r="L686" s="20">
        <f>IF(K686&gt;0,IF(K686&lt;=eco,alpha*fck*(1-(1-K686/eco)^n),alpha*fck),0)</f>
      </c>
    </row>
    <row r="687" spans="1:12" x14ac:dyDescent="0.25">
      <c r="A687">
        <f>Mesh!A684</f>
      </c>
      <c r="B687" s="20">
        <f>Mesh!B684</f>
      </c>
      <c r="C687" s="20">
        <f>Mesh!C684</f>
      </c>
      <c r="D687" s="20">
        <f>Mesh!D684</f>
      </c>
      <c r="E687" s="37">
        <f>INDEX(St_e0,Det+1)+INDEX(St_kx,Det+1)*C687+INDEX(St_ky,Det+1)*B687</f>
      </c>
      <c r="F687" s="20">
        <f>IF(E687&gt;0,IF(E687&lt;=eco,alpha*fck*(1-(1-E687/eco)^n),alpha*fck),0)</f>
      </c>
      <c r="G687" s="19">
        <f>F687*D687</f>
      </c>
      <c r="H687" s="19">
        <f>G687*C687</f>
      </c>
      <c r="I687" s="19">
        <f>G687*B687</f>
      </c>
      <c r="K687" s="37">
        <f>Eq_e0+Eq_kx*$C687+Eq_ky*$B687</f>
      </c>
      <c r="L687" s="20">
        <f>IF(K687&gt;0,IF(K687&lt;=eco,alpha*fck*(1-(1-K687/eco)^n),alpha*fck),0)</f>
      </c>
    </row>
    <row r="688" spans="1:12" x14ac:dyDescent="0.25">
      <c r="A688">
        <f>Mesh!A685</f>
      </c>
      <c r="B688" s="20">
        <f>Mesh!B685</f>
      </c>
      <c r="C688" s="20">
        <f>Mesh!C685</f>
      </c>
      <c r="D688" s="20">
        <f>Mesh!D685</f>
      </c>
      <c r="E688" s="37">
        <f>INDEX(St_e0,Det+1)+INDEX(St_kx,Det+1)*C688+INDEX(St_ky,Det+1)*B688</f>
      </c>
      <c r="F688" s="20">
        <f>IF(E688&gt;0,IF(E688&lt;=eco,alpha*fck*(1-(1-E688/eco)^n),alpha*fck),0)</f>
      </c>
      <c r="G688" s="19">
        <f>F688*D688</f>
      </c>
      <c r="H688" s="19">
        <f>G688*C688</f>
      </c>
      <c r="I688" s="19">
        <f>G688*B688</f>
      </c>
      <c r="K688" s="37">
        <f>Eq_e0+Eq_kx*$C688+Eq_ky*$B688</f>
      </c>
      <c r="L688" s="20">
        <f>IF(K688&gt;0,IF(K688&lt;=eco,alpha*fck*(1-(1-K688/eco)^n),alpha*fck),0)</f>
      </c>
    </row>
    <row r="689" spans="1:12" x14ac:dyDescent="0.25">
      <c r="A689">
        <f>Mesh!A686</f>
      </c>
      <c r="B689" s="20">
        <f>Mesh!B686</f>
      </c>
      <c r="C689" s="20">
        <f>Mesh!C686</f>
      </c>
      <c r="D689" s="20">
        <f>Mesh!D686</f>
      </c>
      <c r="E689" s="37">
        <f>INDEX(St_e0,Det+1)+INDEX(St_kx,Det+1)*C689+INDEX(St_ky,Det+1)*B689</f>
      </c>
      <c r="F689" s="20">
        <f>IF(E689&gt;0,IF(E689&lt;=eco,alpha*fck*(1-(1-E689/eco)^n),alpha*fck),0)</f>
      </c>
      <c r="G689" s="19">
        <f>F689*D689</f>
      </c>
      <c r="H689" s="19">
        <f>G689*C689</f>
      </c>
      <c r="I689" s="19">
        <f>G689*B689</f>
      </c>
      <c r="K689" s="37">
        <f>Eq_e0+Eq_kx*$C689+Eq_ky*$B689</f>
      </c>
      <c r="L689" s="20">
        <f>IF(K689&gt;0,IF(K689&lt;=eco,alpha*fck*(1-(1-K689/eco)^n),alpha*fck),0)</f>
      </c>
    </row>
    <row r="690" spans="1:12" x14ac:dyDescent="0.25">
      <c r="A690">
        <f>Mesh!A687</f>
      </c>
      <c r="B690" s="20">
        <f>Mesh!B687</f>
      </c>
      <c r="C690" s="20">
        <f>Mesh!C687</f>
      </c>
      <c r="D690" s="20">
        <f>Mesh!D687</f>
      </c>
      <c r="E690" s="37">
        <f>INDEX(St_e0,Det+1)+INDEX(St_kx,Det+1)*C690+INDEX(St_ky,Det+1)*B690</f>
      </c>
      <c r="F690" s="20">
        <f>IF(E690&gt;0,IF(E690&lt;=eco,alpha*fck*(1-(1-E690/eco)^n),alpha*fck),0)</f>
      </c>
      <c r="G690" s="19">
        <f>F690*D690</f>
      </c>
      <c r="H690" s="19">
        <f>G690*C690</f>
      </c>
      <c r="I690" s="19">
        <f>G690*B690</f>
      </c>
      <c r="K690" s="37">
        <f>Eq_e0+Eq_kx*$C690+Eq_ky*$B690</f>
      </c>
      <c r="L690" s="20">
        <f>IF(K690&gt;0,IF(K690&lt;=eco,alpha*fck*(1-(1-K690/eco)^n),alpha*fck),0)</f>
      </c>
    </row>
    <row r="691" spans="1:12" x14ac:dyDescent="0.25">
      <c r="A691">
        <f>Mesh!A688</f>
      </c>
      <c r="B691" s="20">
        <f>Mesh!B688</f>
      </c>
      <c r="C691" s="20">
        <f>Mesh!C688</f>
      </c>
      <c r="D691" s="20">
        <f>Mesh!D688</f>
      </c>
      <c r="E691" s="37">
        <f>INDEX(St_e0,Det+1)+INDEX(St_kx,Det+1)*C691+INDEX(St_ky,Det+1)*B691</f>
      </c>
      <c r="F691" s="20">
        <f>IF(E691&gt;0,IF(E691&lt;=eco,alpha*fck*(1-(1-E691/eco)^n),alpha*fck),0)</f>
      </c>
      <c r="G691" s="19">
        <f>F691*D691</f>
      </c>
      <c r="H691" s="19">
        <f>G691*C691</f>
      </c>
      <c r="I691" s="19">
        <f>G691*B691</f>
      </c>
      <c r="K691" s="37">
        <f>Eq_e0+Eq_kx*$C691+Eq_ky*$B691</f>
      </c>
      <c r="L691" s="20">
        <f>IF(K691&gt;0,IF(K691&lt;=eco,alpha*fck*(1-(1-K691/eco)^n),alpha*fck),0)</f>
      </c>
    </row>
    <row r="692" spans="1:12" x14ac:dyDescent="0.25">
      <c r="A692">
        <f>Mesh!A689</f>
      </c>
      <c r="B692" s="20">
        <f>Mesh!B689</f>
      </c>
      <c r="C692" s="20">
        <f>Mesh!C689</f>
      </c>
      <c r="D692" s="20">
        <f>Mesh!D689</f>
      </c>
      <c r="E692" s="37">
        <f>INDEX(St_e0,Det+1)+INDEX(St_kx,Det+1)*C692+INDEX(St_ky,Det+1)*B692</f>
      </c>
      <c r="F692" s="20">
        <f>IF(E692&gt;0,IF(E692&lt;=eco,alpha*fck*(1-(1-E692/eco)^n),alpha*fck),0)</f>
      </c>
      <c r="G692" s="19">
        <f>F692*D692</f>
      </c>
      <c r="H692" s="19">
        <f>G692*C692</f>
      </c>
      <c r="I692" s="19">
        <f>G692*B692</f>
      </c>
      <c r="K692" s="37">
        <f>Eq_e0+Eq_kx*$C692+Eq_ky*$B692</f>
      </c>
      <c r="L692" s="20">
        <f>IF(K692&gt;0,IF(K692&lt;=eco,alpha*fck*(1-(1-K692/eco)^n),alpha*fck),0)</f>
      </c>
    </row>
    <row r="693" spans="1:12" x14ac:dyDescent="0.25">
      <c r="A693">
        <f>Mesh!A690</f>
      </c>
      <c r="B693" s="20">
        <f>Mesh!B690</f>
      </c>
      <c r="C693" s="20">
        <f>Mesh!C690</f>
      </c>
      <c r="D693" s="20">
        <f>Mesh!D690</f>
      </c>
      <c r="E693" s="37">
        <f>INDEX(St_e0,Det+1)+INDEX(St_kx,Det+1)*C693+INDEX(St_ky,Det+1)*B693</f>
      </c>
      <c r="F693" s="20">
        <f>IF(E693&gt;0,IF(E693&lt;=eco,alpha*fck*(1-(1-E693/eco)^n),alpha*fck),0)</f>
      </c>
      <c r="G693" s="19">
        <f>F693*D693</f>
      </c>
      <c r="H693" s="19">
        <f>G693*C693</f>
      </c>
      <c r="I693" s="19">
        <f>G693*B693</f>
      </c>
      <c r="K693" s="37">
        <f>Eq_e0+Eq_kx*$C693+Eq_ky*$B693</f>
      </c>
      <c r="L693" s="20">
        <f>IF(K693&gt;0,IF(K693&lt;=eco,alpha*fck*(1-(1-K693/eco)^n),alpha*fck),0)</f>
      </c>
    </row>
    <row r="694" spans="1:12" x14ac:dyDescent="0.25">
      <c r="A694">
        <f>Mesh!A691</f>
      </c>
      <c r="B694" s="20">
        <f>Mesh!B691</f>
      </c>
      <c r="C694" s="20">
        <f>Mesh!C691</f>
      </c>
      <c r="D694" s="20">
        <f>Mesh!D691</f>
      </c>
      <c r="E694" s="37">
        <f>INDEX(St_e0,Det+1)+INDEX(St_kx,Det+1)*C694+INDEX(St_ky,Det+1)*B694</f>
      </c>
      <c r="F694" s="20">
        <f>IF(E694&gt;0,IF(E694&lt;=eco,alpha*fck*(1-(1-E694/eco)^n),alpha*fck),0)</f>
      </c>
      <c r="G694" s="19">
        <f>F694*D694</f>
      </c>
      <c r="H694" s="19">
        <f>G694*C694</f>
      </c>
      <c r="I694" s="19">
        <f>G694*B694</f>
      </c>
      <c r="K694" s="37">
        <f>Eq_e0+Eq_kx*$C694+Eq_ky*$B694</f>
      </c>
      <c r="L694" s="20">
        <f>IF(K694&gt;0,IF(K694&lt;=eco,alpha*fck*(1-(1-K694/eco)^n),alpha*fck),0)</f>
      </c>
    </row>
    <row r="695" spans="1:12" x14ac:dyDescent="0.25">
      <c r="A695">
        <f>Mesh!A692</f>
      </c>
      <c r="B695" s="20">
        <f>Mesh!B692</f>
      </c>
      <c r="C695" s="20">
        <f>Mesh!C692</f>
      </c>
      <c r="D695" s="20">
        <f>Mesh!D692</f>
      </c>
      <c r="E695" s="37">
        <f>INDEX(St_e0,Det+1)+INDEX(St_kx,Det+1)*C695+INDEX(St_ky,Det+1)*B695</f>
      </c>
      <c r="F695" s="20">
        <f>IF(E695&gt;0,IF(E695&lt;=eco,alpha*fck*(1-(1-E695/eco)^n),alpha*fck),0)</f>
      </c>
      <c r="G695" s="19">
        <f>F695*D695</f>
      </c>
      <c r="H695" s="19">
        <f>G695*C695</f>
      </c>
      <c r="I695" s="19">
        <f>G695*B695</f>
      </c>
      <c r="K695" s="37">
        <f>Eq_e0+Eq_kx*$C695+Eq_ky*$B695</f>
      </c>
      <c r="L695" s="20">
        <f>IF(K695&gt;0,IF(K695&lt;=eco,alpha*fck*(1-(1-K695/eco)^n),alpha*fck),0)</f>
      </c>
    </row>
    <row r="696" spans="1:12" x14ac:dyDescent="0.25">
      <c r="A696">
        <f>Mesh!A693</f>
      </c>
      <c r="B696" s="20">
        <f>Mesh!B693</f>
      </c>
      <c r="C696" s="20">
        <f>Mesh!C693</f>
      </c>
      <c r="D696" s="20">
        <f>Mesh!D693</f>
      </c>
      <c r="E696" s="37">
        <f>INDEX(St_e0,Det+1)+INDEX(St_kx,Det+1)*C696+INDEX(St_ky,Det+1)*B696</f>
      </c>
      <c r="F696" s="20">
        <f>IF(E696&gt;0,IF(E696&lt;=eco,alpha*fck*(1-(1-E696/eco)^n),alpha*fck),0)</f>
      </c>
      <c r="G696" s="19">
        <f>F696*D696</f>
      </c>
      <c r="H696" s="19">
        <f>G696*C696</f>
      </c>
      <c r="I696" s="19">
        <f>G696*B696</f>
      </c>
      <c r="K696" s="37">
        <f>Eq_e0+Eq_kx*$C696+Eq_ky*$B696</f>
      </c>
      <c r="L696" s="20">
        <f>IF(K696&gt;0,IF(K696&lt;=eco,alpha*fck*(1-(1-K696/eco)^n),alpha*fck),0)</f>
      </c>
    </row>
    <row r="697" spans="1:12" x14ac:dyDescent="0.25">
      <c r="A697">
        <f>Mesh!A694</f>
      </c>
      <c r="B697" s="20">
        <f>Mesh!B694</f>
      </c>
      <c r="C697" s="20">
        <f>Mesh!C694</f>
      </c>
      <c r="D697" s="20">
        <f>Mesh!D694</f>
      </c>
      <c r="E697" s="37">
        <f>INDEX(St_e0,Det+1)+INDEX(St_kx,Det+1)*C697+INDEX(St_ky,Det+1)*B697</f>
      </c>
      <c r="F697" s="20">
        <f>IF(E697&gt;0,IF(E697&lt;=eco,alpha*fck*(1-(1-E697/eco)^n),alpha*fck),0)</f>
      </c>
      <c r="G697" s="19">
        <f>F697*D697</f>
      </c>
      <c r="H697" s="19">
        <f>G697*C697</f>
      </c>
      <c r="I697" s="19">
        <f>G697*B697</f>
      </c>
      <c r="K697" s="37">
        <f>Eq_e0+Eq_kx*$C697+Eq_ky*$B697</f>
      </c>
      <c r="L697" s="20">
        <f>IF(K697&gt;0,IF(K697&lt;=eco,alpha*fck*(1-(1-K697/eco)^n),alpha*fck),0)</f>
      </c>
    </row>
    <row r="698" spans="1:12" x14ac:dyDescent="0.25">
      <c r="A698">
        <f>Mesh!A695</f>
      </c>
      <c r="B698" s="20">
        <f>Mesh!B695</f>
      </c>
      <c r="C698" s="20">
        <f>Mesh!C695</f>
      </c>
      <c r="D698" s="20">
        <f>Mesh!D695</f>
      </c>
      <c r="E698" s="37">
        <f>INDEX(St_e0,Det+1)+INDEX(St_kx,Det+1)*C698+INDEX(St_ky,Det+1)*B698</f>
      </c>
      <c r="F698" s="20">
        <f>IF(E698&gt;0,IF(E698&lt;=eco,alpha*fck*(1-(1-E698/eco)^n),alpha*fck),0)</f>
      </c>
      <c r="G698" s="19">
        <f>F698*D698</f>
      </c>
      <c r="H698" s="19">
        <f>G698*C698</f>
      </c>
      <c r="I698" s="19">
        <f>G698*B698</f>
      </c>
      <c r="K698" s="37">
        <f>Eq_e0+Eq_kx*$C698+Eq_ky*$B698</f>
      </c>
      <c r="L698" s="20">
        <f>IF(K698&gt;0,IF(K698&lt;=eco,alpha*fck*(1-(1-K698/eco)^n),alpha*fck),0)</f>
      </c>
    </row>
    <row r="699" spans="1:12" x14ac:dyDescent="0.25">
      <c r="A699">
        <f>Mesh!A696</f>
      </c>
      <c r="B699" s="20">
        <f>Mesh!B696</f>
      </c>
      <c r="C699" s="20">
        <f>Mesh!C696</f>
      </c>
      <c r="D699" s="20">
        <f>Mesh!D696</f>
      </c>
      <c r="E699" s="37">
        <f>INDEX(St_e0,Det+1)+INDEX(St_kx,Det+1)*C699+INDEX(St_ky,Det+1)*B699</f>
      </c>
      <c r="F699" s="20">
        <f>IF(E699&gt;0,IF(E699&lt;=eco,alpha*fck*(1-(1-E699/eco)^n),alpha*fck),0)</f>
      </c>
      <c r="G699" s="19">
        <f>F699*D699</f>
      </c>
      <c r="H699" s="19">
        <f>G699*C699</f>
      </c>
      <c r="I699" s="19">
        <f>G699*B699</f>
      </c>
      <c r="K699" s="37">
        <f>Eq_e0+Eq_kx*$C699+Eq_ky*$B699</f>
      </c>
      <c r="L699" s="20">
        <f>IF(K699&gt;0,IF(K699&lt;=eco,alpha*fck*(1-(1-K699/eco)^n),alpha*fck),0)</f>
      </c>
    </row>
    <row r="700" spans="1:12" x14ac:dyDescent="0.25">
      <c r="A700">
        <f>Mesh!A697</f>
      </c>
      <c r="B700" s="20">
        <f>Mesh!B697</f>
      </c>
      <c r="C700" s="20">
        <f>Mesh!C697</f>
      </c>
      <c r="D700" s="20">
        <f>Mesh!D697</f>
      </c>
      <c r="E700" s="37">
        <f>INDEX(St_e0,Det+1)+INDEX(St_kx,Det+1)*C700+INDEX(St_ky,Det+1)*B700</f>
      </c>
      <c r="F700" s="20">
        <f>IF(E700&gt;0,IF(E700&lt;=eco,alpha*fck*(1-(1-E700/eco)^n),alpha*fck),0)</f>
      </c>
      <c r="G700" s="19">
        <f>F700*D700</f>
      </c>
      <c r="H700" s="19">
        <f>G700*C700</f>
      </c>
      <c r="I700" s="19">
        <f>G700*B700</f>
      </c>
      <c r="K700" s="37">
        <f>Eq_e0+Eq_kx*$C700+Eq_ky*$B700</f>
      </c>
      <c r="L700" s="20">
        <f>IF(K700&gt;0,IF(K700&lt;=eco,alpha*fck*(1-(1-K700/eco)^n),alpha*fck),0)</f>
      </c>
    </row>
    <row r="701" spans="1:12" x14ac:dyDescent="0.25">
      <c r="A701">
        <f>Mesh!A698</f>
      </c>
      <c r="B701" s="20">
        <f>Mesh!B698</f>
      </c>
      <c r="C701" s="20">
        <f>Mesh!C698</f>
      </c>
      <c r="D701" s="20">
        <f>Mesh!D698</f>
      </c>
      <c r="E701" s="37">
        <f>INDEX(St_e0,Det+1)+INDEX(St_kx,Det+1)*C701+INDEX(St_ky,Det+1)*B701</f>
      </c>
      <c r="F701" s="20">
        <f>IF(E701&gt;0,IF(E701&lt;=eco,alpha*fck*(1-(1-E701/eco)^n),alpha*fck),0)</f>
      </c>
      <c r="G701" s="19">
        <f>F701*D701</f>
      </c>
      <c r="H701" s="19">
        <f>G701*C701</f>
      </c>
      <c r="I701" s="19">
        <f>G701*B701</f>
      </c>
      <c r="K701" s="37">
        <f>Eq_e0+Eq_kx*$C701+Eq_ky*$B701</f>
      </c>
      <c r="L701" s="20">
        <f>IF(K701&gt;0,IF(K701&lt;=eco,alpha*fck*(1-(1-K701/eco)^n),alpha*fck),0)</f>
      </c>
    </row>
    <row r="702" spans="1:12" x14ac:dyDescent="0.25">
      <c r="A702">
        <f>Mesh!A699</f>
      </c>
      <c r="B702" s="20">
        <f>Mesh!B699</f>
      </c>
      <c r="C702" s="20">
        <f>Mesh!C699</f>
      </c>
      <c r="D702" s="20">
        <f>Mesh!D699</f>
      </c>
      <c r="E702" s="37">
        <f>INDEX(St_e0,Det+1)+INDEX(St_kx,Det+1)*C702+INDEX(St_ky,Det+1)*B702</f>
      </c>
      <c r="F702" s="20">
        <f>IF(E702&gt;0,IF(E702&lt;=eco,alpha*fck*(1-(1-E702/eco)^n),alpha*fck),0)</f>
      </c>
      <c r="G702" s="19">
        <f>F702*D702</f>
      </c>
      <c r="H702" s="19">
        <f>G702*C702</f>
      </c>
      <c r="I702" s="19">
        <f>G702*B702</f>
      </c>
      <c r="K702" s="37">
        <f>Eq_e0+Eq_kx*$C702+Eq_ky*$B702</f>
      </c>
      <c r="L702" s="20">
        <f>IF(K702&gt;0,IF(K702&lt;=eco,alpha*fck*(1-(1-K702/eco)^n),alpha*fck),0)</f>
      </c>
    </row>
    <row r="703" spans="1:12" x14ac:dyDescent="0.25">
      <c r="A703">
        <f>Mesh!A700</f>
      </c>
      <c r="B703" s="20">
        <f>Mesh!B700</f>
      </c>
      <c r="C703" s="20">
        <f>Mesh!C700</f>
      </c>
      <c r="D703" s="20">
        <f>Mesh!D700</f>
      </c>
      <c r="E703" s="37">
        <f>INDEX(St_e0,Det+1)+INDEX(St_kx,Det+1)*C703+INDEX(St_ky,Det+1)*B703</f>
      </c>
      <c r="F703" s="20">
        <f>IF(E703&gt;0,IF(E703&lt;=eco,alpha*fck*(1-(1-E703/eco)^n),alpha*fck),0)</f>
      </c>
      <c r="G703" s="19">
        <f>F703*D703</f>
      </c>
      <c r="H703" s="19">
        <f>G703*C703</f>
      </c>
      <c r="I703" s="19">
        <f>G703*B703</f>
      </c>
      <c r="K703" s="37">
        <f>Eq_e0+Eq_kx*$C703+Eq_ky*$B703</f>
      </c>
      <c r="L703" s="20">
        <f>IF(K703&gt;0,IF(K703&lt;=eco,alpha*fck*(1-(1-K703/eco)^n),alpha*fck),0)</f>
      </c>
    </row>
    <row r="704" spans="1:12" x14ac:dyDescent="0.25">
      <c r="A704">
        <f>Mesh!A701</f>
      </c>
      <c r="B704" s="20">
        <f>Mesh!B701</f>
      </c>
      <c r="C704" s="20">
        <f>Mesh!C701</f>
      </c>
      <c r="D704" s="20">
        <f>Mesh!D701</f>
      </c>
      <c r="E704" s="37">
        <f>INDEX(St_e0,Det+1)+INDEX(St_kx,Det+1)*C704+INDEX(St_ky,Det+1)*B704</f>
      </c>
      <c r="F704" s="20">
        <f>IF(E704&gt;0,IF(E704&lt;=eco,alpha*fck*(1-(1-E704/eco)^n),alpha*fck),0)</f>
      </c>
      <c r="G704" s="19">
        <f>F704*D704</f>
      </c>
      <c r="H704" s="19">
        <f>G704*C704</f>
      </c>
      <c r="I704" s="19">
        <f>G704*B704</f>
      </c>
      <c r="K704" s="37">
        <f>Eq_e0+Eq_kx*$C704+Eq_ky*$B704</f>
      </c>
      <c r="L704" s="20">
        <f>IF(K704&gt;0,IF(K704&lt;=eco,alpha*fck*(1-(1-K704/eco)^n),alpha*fck),0)</f>
      </c>
    </row>
    <row r="705" spans="1:12" x14ac:dyDescent="0.25">
      <c r="A705">
        <f>Mesh!A702</f>
      </c>
      <c r="B705" s="20">
        <f>Mesh!B702</f>
      </c>
      <c r="C705" s="20">
        <f>Mesh!C702</f>
      </c>
      <c r="D705" s="20">
        <f>Mesh!D702</f>
      </c>
      <c r="E705" s="37">
        <f>INDEX(St_e0,Det+1)+INDEX(St_kx,Det+1)*C705+INDEX(St_ky,Det+1)*B705</f>
      </c>
      <c r="F705" s="20">
        <f>IF(E705&gt;0,IF(E705&lt;=eco,alpha*fck*(1-(1-E705/eco)^n),alpha*fck),0)</f>
      </c>
      <c r="G705" s="19">
        <f>F705*D705</f>
      </c>
      <c r="H705" s="19">
        <f>G705*C705</f>
      </c>
      <c r="I705" s="19">
        <f>G705*B705</f>
      </c>
      <c r="K705" s="37">
        <f>Eq_e0+Eq_kx*$C705+Eq_ky*$B705</f>
      </c>
      <c r="L705" s="20">
        <f>IF(K705&gt;0,IF(K705&lt;=eco,alpha*fck*(1-(1-K705/eco)^n),alpha*fck),0)</f>
      </c>
    </row>
    <row r="706" spans="1:12" x14ac:dyDescent="0.25">
      <c r="A706">
        <f>Mesh!A703</f>
      </c>
      <c r="B706" s="20">
        <f>Mesh!B703</f>
      </c>
      <c r="C706" s="20">
        <f>Mesh!C703</f>
      </c>
      <c r="D706" s="20">
        <f>Mesh!D703</f>
      </c>
      <c r="E706" s="37">
        <f>INDEX(St_e0,Det+1)+INDEX(St_kx,Det+1)*C706+INDEX(St_ky,Det+1)*B706</f>
      </c>
      <c r="F706" s="20">
        <f>IF(E706&gt;0,IF(E706&lt;=eco,alpha*fck*(1-(1-E706/eco)^n),alpha*fck),0)</f>
      </c>
      <c r="G706" s="19">
        <f>F706*D706</f>
      </c>
      <c r="H706" s="19">
        <f>G706*C706</f>
      </c>
      <c r="I706" s="19">
        <f>G706*B706</f>
      </c>
      <c r="K706" s="37">
        <f>Eq_e0+Eq_kx*$C706+Eq_ky*$B706</f>
      </c>
      <c r="L706" s="20">
        <f>IF(K706&gt;0,IF(K706&lt;=eco,alpha*fck*(1-(1-K706/eco)^n),alpha*fck),0)</f>
      </c>
    </row>
    <row r="707" spans="1:12" x14ac:dyDescent="0.25">
      <c r="A707">
        <f>Mesh!A704</f>
      </c>
      <c r="B707" s="20">
        <f>Mesh!B704</f>
      </c>
      <c r="C707" s="20">
        <f>Mesh!C704</f>
      </c>
      <c r="D707" s="20">
        <f>Mesh!D704</f>
      </c>
      <c r="E707" s="37">
        <f>INDEX(St_e0,Det+1)+INDEX(St_kx,Det+1)*C707+INDEX(St_ky,Det+1)*B707</f>
      </c>
      <c r="F707" s="20">
        <f>IF(E707&gt;0,IF(E707&lt;=eco,alpha*fck*(1-(1-E707/eco)^n),alpha*fck),0)</f>
      </c>
      <c r="G707" s="19">
        <f>F707*D707</f>
      </c>
      <c r="H707" s="19">
        <f>G707*C707</f>
      </c>
      <c r="I707" s="19">
        <f>G707*B707</f>
      </c>
      <c r="K707" s="37">
        <f>Eq_e0+Eq_kx*$C707+Eq_ky*$B707</f>
      </c>
      <c r="L707" s="20">
        <f>IF(K707&gt;0,IF(K707&lt;=eco,alpha*fck*(1-(1-K707/eco)^n),alpha*fck),0)</f>
      </c>
    </row>
    <row r="708" spans="1:12" x14ac:dyDescent="0.25">
      <c r="A708">
        <f>Mesh!A705</f>
      </c>
      <c r="B708" s="20">
        <f>Mesh!B705</f>
      </c>
      <c r="C708" s="20">
        <f>Mesh!C705</f>
      </c>
      <c r="D708" s="20">
        <f>Mesh!D705</f>
      </c>
      <c r="E708" s="37">
        <f>INDEX(St_e0,Det+1)+INDEX(St_kx,Det+1)*C708+INDEX(St_ky,Det+1)*B708</f>
      </c>
      <c r="F708" s="20">
        <f>IF(E708&gt;0,IF(E708&lt;=eco,alpha*fck*(1-(1-E708/eco)^n),alpha*fck),0)</f>
      </c>
      <c r="G708" s="19">
        <f>F708*D708</f>
      </c>
      <c r="H708" s="19">
        <f>G708*C708</f>
      </c>
      <c r="I708" s="19">
        <f>G708*B708</f>
      </c>
      <c r="K708" s="37">
        <f>Eq_e0+Eq_kx*$C708+Eq_ky*$B708</f>
      </c>
      <c r="L708" s="20">
        <f>IF(K708&gt;0,IF(K708&lt;=eco,alpha*fck*(1-(1-K708/eco)^n),alpha*fck),0)</f>
      </c>
    </row>
    <row r="709" spans="1:12" x14ac:dyDescent="0.25">
      <c r="A709">
        <f>Mesh!A706</f>
      </c>
      <c r="B709" s="20">
        <f>Mesh!B706</f>
      </c>
      <c r="C709" s="20">
        <f>Mesh!C706</f>
      </c>
      <c r="D709" s="20">
        <f>Mesh!D706</f>
      </c>
      <c r="E709" s="37">
        <f>INDEX(St_e0,Det+1)+INDEX(St_kx,Det+1)*C709+INDEX(St_ky,Det+1)*B709</f>
      </c>
      <c r="F709" s="20">
        <f>IF(E709&gt;0,IF(E709&lt;=eco,alpha*fck*(1-(1-E709/eco)^n),alpha*fck),0)</f>
      </c>
      <c r="G709" s="19">
        <f>F709*D709</f>
      </c>
      <c r="H709" s="19">
        <f>G709*C709</f>
      </c>
      <c r="I709" s="19">
        <f>G709*B709</f>
      </c>
      <c r="K709" s="37">
        <f>Eq_e0+Eq_kx*$C709+Eq_ky*$B709</f>
      </c>
      <c r="L709" s="20">
        <f>IF(K709&gt;0,IF(K709&lt;=eco,alpha*fck*(1-(1-K709/eco)^n),alpha*fck),0)</f>
      </c>
    </row>
    <row r="710" spans="1:12" x14ac:dyDescent="0.25">
      <c r="A710">
        <f>Mesh!A707</f>
      </c>
      <c r="B710" s="20">
        <f>Mesh!B707</f>
      </c>
      <c r="C710" s="20">
        <f>Mesh!C707</f>
      </c>
      <c r="D710" s="20">
        <f>Mesh!D707</f>
      </c>
      <c r="E710" s="37">
        <f>INDEX(St_e0,Det+1)+INDEX(St_kx,Det+1)*C710+INDEX(St_ky,Det+1)*B710</f>
      </c>
      <c r="F710" s="20">
        <f>IF(E710&gt;0,IF(E710&lt;=eco,alpha*fck*(1-(1-E710/eco)^n),alpha*fck),0)</f>
      </c>
      <c r="G710" s="19">
        <f>F710*D710</f>
      </c>
      <c r="H710" s="19">
        <f>G710*C710</f>
      </c>
      <c r="I710" s="19">
        <f>G710*B710</f>
      </c>
      <c r="K710" s="37">
        <f>Eq_e0+Eq_kx*$C710+Eq_ky*$B710</f>
      </c>
      <c r="L710" s="20">
        <f>IF(K710&gt;0,IF(K710&lt;=eco,alpha*fck*(1-(1-K710/eco)^n),alpha*fck),0)</f>
      </c>
    </row>
    <row r="711" spans="1:12" x14ac:dyDescent="0.25">
      <c r="A711">
        <f>Mesh!A708</f>
      </c>
      <c r="B711" s="20">
        <f>Mesh!B708</f>
      </c>
      <c r="C711" s="20">
        <f>Mesh!C708</f>
      </c>
      <c r="D711" s="20">
        <f>Mesh!D708</f>
      </c>
      <c r="E711" s="37">
        <f>INDEX(St_e0,Det+1)+INDEX(St_kx,Det+1)*C711+INDEX(St_ky,Det+1)*B711</f>
      </c>
      <c r="F711" s="20">
        <f>IF(E711&gt;0,IF(E711&lt;=eco,alpha*fck*(1-(1-E711/eco)^n),alpha*fck),0)</f>
      </c>
      <c r="G711" s="19">
        <f>F711*D711</f>
      </c>
      <c r="H711" s="19">
        <f>G711*C711</f>
      </c>
      <c r="I711" s="19">
        <f>G711*B711</f>
      </c>
      <c r="K711" s="37">
        <f>Eq_e0+Eq_kx*$C711+Eq_ky*$B711</f>
      </c>
      <c r="L711" s="20">
        <f>IF(K711&gt;0,IF(K711&lt;=eco,alpha*fck*(1-(1-K711/eco)^n),alpha*fck),0)</f>
      </c>
    </row>
    <row r="712" spans="1:12" x14ac:dyDescent="0.25">
      <c r="A712">
        <f>Mesh!A709</f>
      </c>
      <c r="B712" s="20">
        <f>Mesh!B709</f>
      </c>
      <c r="C712" s="20">
        <f>Mesh!C709</f>
      </c>
      <c r="D712" s="20">
        <f>Mesh!D709</f>
      </c>
      <c r="E712" s="37">
        <f>INDEX(St_e0,Det+1)+INDEX(St_kx,Det+1)*C712+INDEX(St_ky,Det+1)*B712</f>
      </c>
      <c r="F712" s="20">
        <f>IF(E712&gt;0,IF(E712&lt;=eco,alpha*fck*(1-(1-E712/eco)^n),alpha*fck),0)</f>
      </c>
      <c r="G712" s="19">
        <f>F712*D712</f>
      </c>
      <c r="H712" s="19">
        <f>G712*C712</f>
      </c>
      <c r="I712" s="19">
        <f>G712*B712</f>
      </c>
      <c r="K712" s="37">
        <f>Eq_e0+Eq_kx*$C712+Eq_ky*$B712</f>
      </c>
      <c r="L712" s="20">
        <f>IF(K712&gt;0,IF(K712&lt;=eco,alpha*fck*(1-(1-K712/eco)^n),alpha*fck),0)</f>
      </c>
    </row>
    <row r="713" spans="1:12" x14ac:dyDescent="0.25">
      <c r="A713">
        <f>Mesh!A710</f>
      </c>
      <c r="B713" s="20">
        <f>Mesh!B710</f>
      </c>
      <c r="C713" s="20">
        <f>Mesh!C710</f>
      </c>
      <c r="D713" s="20">
        <f>Mesh!D710</f>
      </c>
      <c r="E713" s="37">
        <f>INDEX(St_e0,Det+1)+INDEX(St_kx,Det+1)*C713+INDEX(St_ky,Det+1)*B713</f>
      </c>
      <c r="F713" s="20">
        <f>IF(E713&gt;0,IF(E713&lt;=eco,alpha*fck*(1-(1-E713/eco)^n),alpha*fck),0)</f>
      </c>
      <c r="G713" s="19">
        <f>F713*D713</f>
      </c>
      <c r="H713" s="19">
        <f>G713*C713</f>
      </c>
      <c r="I713" s="19">
        <f>G713*B713</f>
      </c>
      <c r="K713" s="37">
        <f>Eq_e0+Eq_kx*$C713+Eq_ky*$B713</f>
      </c>
      <c r="L713" s="20">
        <f>IF(K713&gt;0,IF(K713&lt;=eco,alpha*fck*(1-(1-K713/eco)^n),alpha*fck),0)</f>
      </c>
    </row>
    <row r="714" spans="1:12" x14ac:dyDescent="0.25">
      <c r="A714">
        <f>Mesh!A711</f>
      </c>
      <c r="B714" s="20">
        <f>Mesh!B711</f>
      </c>
      <c r="C714" s="20">
        <f>Mesh!C711</f>
      </c>
      <c r="D714" s="20">
        <f>Mesh!D711</f>
      </c>
      <c r="E714" s="37">
        <f>INDEX(St_e0,Det+1)+INDEX(St_kx,Det+1)*C714+INDEX(St_ky,Det+1)*B714</f>
      </c>
      <c r="F714" s="20">
        <f>IF(E714&gt;0,IF(E714&lt;=eco,alpha*fck*(1-(1-E714/eco)^n),alpha*fck),0)</f>
      </c>
      <c r="G714" s="19">
        <f>F714*D714</f>
      </c>
      <c r="H714" s="19">
        <f>G714*C714</f>
      </c>
      <c r="I714" s="19">
        <f>G714*B714</f>
      </c>
      <c r="K714" s="37">
        <f>Eq_e0+Eq_kx*$C714+Eq_ky*$B714</f>
      </c>
      <c r="L714" s="20">
        <f>IF(K714&gt;0,IF(K714&lt;=eco,alpha*fck*(1-(1-K714/eco)^n),alpha*fck),0)</f>
      </c>
    </row>
    <row r="715" spans="1:12" x14ac:dyDescent="0.25">
      <c r="A715">
        <f>Mesh!A712</f>
      </c>
      <c r="B715" s="20">
        <f>Mesh!B712</f>
      </c>
      <c r="C715" s="20">
        <f>Mesh!C712</f>
      </c>
      <c r="D715" s="20">
        <f>Mesh!D712</f>
      </c>
      <c r="E715" s="37">
        <f>INDEX(St_e0,Det+1)+INDEX(St_kx,Det+1)*C715+INDEX(St_ky,Det+1)*B715</f>
      </c>
      <c r="F715" s="20">
        <f>IF(E715&gt;0,IF(E715&lt;=eco,alpha*fck*(1-(1-E715/eco)^n),alpha*fck),0)</f>
      </c>
      <c r="G715" s="19">
        <f>F715*D715</f>
      </c>
      <c r="H715" s="19">
        <f>G715*C715</f>
      </c>
      <c r="I715" s="19">
        <f>G715*B715</f>
      </c>
      <c r="K715" s="37">
        <f>Eq_e0+Eq_kx*$C715+Eq_ky*$B715</f>
      </c>
      <c r="L715" s="20">
        <f>IF(K715&gt;0,IF(K715&lt;=eco,alpha*fck*(1-(1-K715/eco)^n),alpha*fck),0)</f>
      </c>
    </row>
    <row r="716" spans="1:12" x14ac:dyDescent="0.25">
      <c r="A716">
        <f>Mesh!A713</f>
      </c>
      <c r="B716" s="20">
        <f>Mesh!B713</f>
      </c>
      <c r="C716" s="20">
        <f>Mesh!C713</f>
      </c>
      <c r="D716" s="20">
        <f>Mesh!D713</f>
      </c>
      <c r="E716" s="37">
        <f>INDEX(St_e0,Det+1)+INDEX(St_kx,Det+1)*C716+INDEX(St_ky,Det+1)*B716</f>
      </c>
      <c r="F716" s="20">
        <f>IF(E716&gt;0,IF(E716&lt;=eco,alpha*fck*(1-(1-E716/eco)^n),alpha*fck),0)</f>
      </c>
      <c r="G716" s="19">
        <f>F716*D716</f>
      </c>
      <c r="H716" s="19">
        <f>G716*C716</f>
      </c>
      <c r="I716" s="19">
        <f>G716*B716</f>
      </c>
      <c r="K716" s="37">
        <f>Eq_e0+Eq_kx*$C716+Eq_ky*$B716</f>
      </c>
      <c r="L716" s="20">
        <f>IF(K716&gt;0,IF(K716&lt;=eco,alpha*fck*(1-(1-K716/eco)^n),alpha*fck),0)</f>
      </c>
    </row>
    <row r="717" spans="1:12" x14ac:dyDescent="0.25">
      <c r="A717">
        <f>Mesh!A714</f>
      </c>
      <c r="B717" s="20">
        <f>Mesh!B714</f>
      </c>
      <c r="C717" s="20">
        <f>Mesh!C714</f>
      </c>
      <c r="D717" s="20">
        <f>Mesh!D714</f>
      </c>
      <c r="E717" s="37">
        <f>INDEX(St_e0,Det+1)+INDEX(St_kx,Det+1)*C717+INDEX(St_ky,Det+1)*B717</f>
      </c>
      <c r="F717" s="20">
        <f>IF(E717&gt;0,IF(E717&lt;=eco,alpha*fck*(1-(1-E717/eco)^n),alpha*fck),0)</f>
      </c>
      <c r="G717" s="19">
        <f>F717*D717</f>
      </c>
      <c r="H717" s="19">
        <f>G717*C717</f>
      </c>
      <c r="I717" s="19">
        <f>G717*B717</f>
      </c>
      <c r="K717" s="37">
        <f>Eq_e0+Eq_kx*$C717+Eq_ky*$B717</f>
      </c>
      <c r="L717" s="20">
        <f>IF(K717&gt;0,IF(K717&lt;=eco,alpha*fck*(1-(1-K717/eco)^n),alpha*fck),0)</f>
      </c>
    </row>
    <row r="718" spans="1:12" x14ac:dyDescent="0.25">
      <c r="A718">
        <f>Mesh!A715</f>
      </c>
      <c r="B718" s="20">
        <f>Mesh!B715</f>
      </c>
      <c r="C718" s="20">
        <f>Mesh!C715</f>
      </c>
      <c r="D718" s="20">
        <f>Mesh!D715</f>
      </c>
      <c r="E718" s="37">
        <f>INDEX(St_e0,Det+1)+INDEX(St_kx,Det+1)*C718+INDEX(St_ky,Det+1)*B718</f>
      </c>
      <c r="F718" s="20">
        <f>IF(E718&gt;0,IF(E718&lt;=eco,alpha*fck*(1-(1-E718/eco)^n),alpha*fck),0)</f>
      </c>
      <c r="G718" s="19">
        <f>F718*D718</f>
      </c>
      <c r="H718" s="19">
        <f>G718*C718</f>
      </c>
      <c r="I718" s="19">
        <f>G718*B718</f>
      </c>
      <c r="K718" s="37">
        <f>Eq_e0+Eq_kx*$C718+Eq_ky*$B718</f>
      </c>
      <c r="L718" s="20">
        <f>IF(K718&gt;0,IF(K718&lt;=eco,alpha*fck*(1-(1-K718/eco)^n),alpha*fck),0)</f>
      </c>
    </row>
    <row r="719" spans="1:12" x14ac:dyDescent="0.25">
      <c r="A719">
        <f>Mesh!A716</f>
      </c>
      <c r="B719" s="20">
        <f>Mesh!B716</f>
      </c>
      <c r="C719" s="20">
        <f>Mesh!C716</f>
      </c>
      <c r="D719" s="20">
        <f>Mesh!D716</f>
      </c>
      <c r="E719" s="37">
        <f>INDEX(St_e0,Det+1)+INDEX(St_kx,Det+1)*C719+INDEX(St_ky,Det+1)*B719</f>
      </c>
      <c r="F719" s="20">
        <f>IF(E719&gt;0,IF(E719&lt;=eco,alpha*fck*(1-(1-E719/eco)^n),alpha*fck),0)</f>
      </c>
      <c r="G719" s="19">
        <f>F719*D719</f>
      </c>
      <c r="H719" s="19">
        <f>G719*C719</f>
      </c>
      <c r="I719" s="19">
        <f>G719*B719</f>
      </c>
      <c r="K719" s="37">
        <f>Eq_e0+Eq_kx*$C719+Eq_ky*$B719</f>
      </c>
      <c r="L719" s="20">
        <f>IF(K719&gt;0,IF(K719&lt;=eco,alpha*fck*(1-(1-K719/eco)^n),alpha*fck),0)</f>
      </c>
    </row>
    <row r="720" spans="1:12" x14ac:dyDescent="0.25">
      <c r="A720">
        <f>Mesh!A717</f>
      </c>
      <c r="B720" s="20">
        <f>Mesh!B717</f>
      </c>
      <c r="C720" s="20">
        <f>Mesh!C717</f>
      </c>
      <c r="D720" s="20">
        <f>Mesh!D717</f>
      </c>
      <c r="E720" s="37">
        <f>INDEX(St_e0,Det+1)+INDEX(St_kx,Det+1)*C720+INDEX(St_ky,Det+1)*B720</f>
      </c>
      <c r="F720" s="20">
        <f>IF(E720&gt;0,IF(E720&lt;=eco,alpha*fck*(1-(1-E720/eco)^n),alpha*fck),0)</f>
      </c>
      <c r="G720" s="19">
        <f>F720*D720</f>
      </c>
      <c r="H720" s="19">
        <f>G720*C720</f>
      </c>
      <c r="I720" s="19">
        <f>G720*B720</f>
      </c>
      <c r="K720" s="37">
        <f>Eq_e0+Eq_kx*$C720+Eq_ky*$B720</f>
      </c>
      <c r="L720" s="20">
        <f>IF(K720&gt;0,IF(K720&lt;=eco,alpha*fck*(1-(1-K720/eco)^n),alpha*fck),0)</f>
      </c>
    </row>
    <row r="721" spans="1:12" x14ac:dyDescent="0.25">
      <c r="A721">
        <f>Mesh!A718</f>
      </c>
      <c r="B721" s="20">
        <f>Mesh!B718</f>
      </c>
      <c r="C721" s="20">
        <f>Mesh!C718</f>
      </c>
      <c r="D721" s="20">
        <f>Mesh!D718</f>
      </c>
      <c r="E721" s="37">
        <f>INDEX(St_e0,Det+1)+INDEX(St_kx,Det+1)*C721+INDEX(St_ky,Det+1)*B721</f>
      </c>
      <c r="F721" s="20">
        <f>IF(E721&gt;0,IF(E721&lt;=eco,alpha*fck*(1-(1-E721/eco)^n),alpha*fck),0)</f>
      </c>
      <c r="G721" s="19">
        <f>F721*D721</f>
      </c>
      <c r="H721" s="19">
        <f>G721*C721</f>
      </c>
      <c r="I721" s="19">
        <f>G721*B721</f>
      </c>
      <c r="K721" s="37">
        <f>Eq_e0+Eq_kx*$C721+Eq_ky*$B721</f>
      </c>
      <c r="L721" s="20">
        <f>IF(K721&gt;0,IF(K721&lt;=eco,alpha*fck*(1-(1-K721/eco)^n),alpha*fck),0)</f>
      </c>
    </row>
    <row r="722" spans="1:12" x14ac:dyDescent="0.25">
      <c r="A722">
        <f>Mesh!A719</f>
      </c>
      <c r="B722" s="20">
        <f>Mesh!B719</f>
      </c>
      <c r="C722" s="20">
        <f>Mesh!C719</f>
      </c>
      <c r="D722" s="20">
        <f>Mesh!D719</f>
      </c>
      <c r="E722" s="37">
        <f>INDEX(St_e0,Det+1)+INDEX(St_kx,Det+1)*C722+INDEX(St_ky,Det+1)*B722</f>
      </c>
      <c r="F722" s="20">
        <f>IF(E722&gt;0,IF(E722&lt;=eco,alpha*fck*(1-(1-E722/eco)^n),alpha*fck),0)</f>
      </c>
      <c r="G722" s="19">
        <f>F722*D722</f>
      </c>
      <c r="H722" s="19">
        <f>G722*C722</f>
      </c>
      <c r="I722" s="19">
        <f>G722*B722</f>
      </c>
      <c r="K722" s="37">
        <f>Eq_e0+Eq_kx*$C722+Eq_ky*$B722</f>
      </c>
      <c r="L722" s="20">
        <f>IF(K722&gt;0,IF(K722&lt;=eco,alpha*fck*(1-(1-K722/eco)^n),alpha*fck),0)</f>
      </c>
    </row>
    <row r="723" spans="1:12" x14ac:dyDescent="0.25">
      <c r="A723">
        <f>Mesh!A720</f>
      </c>
      <c r="B723" s="20">
        <f>Mesh!B720</f>
      </c>
      <c r="C723" s="20">
        <f>Mesh!C720</f>
      </c>
      <c r="D723" s="20">
        <f>Mesh!D720</f>
      </c>
      <c r="E723" s="37">
        <f>INDEX(St_e0,Det+1)+INDEX(St_kx,Det+1)*C723+INDEX(St_ky,Det+1)*B723</f>
      </c>
      <c r="F723" s="20">
        <f>IF(E723&gt;0,IF(E723&lt;=eco,alpha*fck*(1-(1-E723/eco)^n),alpha*fck),0)</f>
      </c>
      <c r="G723" s="19">
        <f>F723*D723</f>
      </c>
      <c r="H723" s="19">
        <f>G723*C723</f>
      </c>
      <c r="I723" s="19">
        <f>G723*B723</f>
      </c>
      <c r="K723" s="37">
        <f>Eq_e0+Eq_kx*$C723+Eq_ky*$B723</f>
      </c>
      <c r="L723" s="20">
        <f>IF(K723&gt;0,IF(K723&lt;=eco,alpha*fck*(1-(1-K723/eco)^n),alpha*fck),0)</f>
      </c>
    </row>
    <row r="724" spans="1:12" x14ac:dyDescent="0.25">
      <c r="A724">
        <f>Mesh!A721</f>
      </c>
      <c r="B724" s="20">
        <f>Mesh!B721</f>
      </c>
      <c r="C724" s="20">
        <f>Mesh!C721</f>
      </c>
      <c r="D724" s="20">
        <f>Mesh!D721</f>
      </c>
      <c r="E724" s="37">
        <f>INDEX(St_e0,Det+1)+INDEX(St_kx,Det+1)*C724+INDEX(St_ky,Det+1)*B724</f>
      </c>
      <c r="F724" s="20">
        <f>IF(E724&gt;0,IF(E724&lt;=eco,alpha*fck*(1-(1-E724/eco)^n),alpha*fck),0)</f>
      </c>
      <c r="G724" s="19">
        <f>F724*D724</f>
      </c>
      <c r="H724" s="19">
        <f>G724*C724</f>
      </c>
      <c r="I724" s="19">
        <f>G724*B724</f>
      </c>
      <c r="K724" s="37">
        <f>Eq_e0+Eq_kx*$C724+Eq_ky*$B724</f>
      </c>
      <c r="L724" s="20">
        <f>IF(K724&gt;0,IF(K724&lt;=eco,alpha*fck*(1-(1-K724/eco)^n),alpha*fck),0)</f>
      </c>
    </row>
    <row r="725" spans="1:12" x14ac:dyDescent="0.25">
      <c r="A725">
        <f>Mesh!A722</f>
      </c>
      <c r="B725" s="20">
        <f>Mesh!B722</f>
      </c>
      <c r="C725" s="20">
        <f>Mesh!C722</f>
      </c>
      <c r="D725" s="20">
        <f>Mesh!D722</f>
      </c>
      <c r="E725" s="37">
        <f>INDEX(St_e0,Det+1)+INDEX(St_kx,Det+1)*C725+INDEX(St_ky,Det+1)*B725</f>
      </c>
      <c r="F725" s="20">
        <f>IF(E725&gt;0,IF(E725&lt;=eco,alpha*fck*(1-(1-E725/eco)^n),alpha*fck),0)</f>
      </c>
      <c r="G725" s="19">
        <f>F725*D725</f>
      </c>
      <c r="H725" s="19">
        <f>G725*C725</f>
      </c>
      <c r="I725" s="19">
        <f>G725*B725</f>
      </c>
      <c r="K725" s="37">
        <f>Eq_e0+Eq_kx*$C725+Eq_ky*$B725</f>
      </c>
      <c r="L725" s="20">
        <f>IF(K725&gt;0,IF(K725&lt;=eco,alpha*fck*(1-(1-K725/eco)^n),alpha*fck),0)</f>
      </c>
    </row>
    <row r="726" spans="1:12" x14ac:dyDescent="0.25">
      <c r="A726">
        <f>Mesh!A723</f>
      </c>
      <c r="B726" s="20">
        <f>Mesh!B723</f>
      </c>
      <c r="C726" s="20">
        <f>Mesh!C723</f>
      </c>
      <c r="D726" s="20">
        <f>Mesh!D723</f>
      </c>
      <c r="E726" s="37">
        <f>INDEX(St_e0,Det+1)+INDEX(St_kx,Det+1)*C726+INDEX(St_ky,Det+1)*B726</f>
      </c>
      <c r="F726" s="20">
        <f>IF(E726&gt;0,IF(E726&lt;=eco,alpha*fck*(1-(1-E726/eco)^n),alpha*fck),0)</f>
      </c>
      <c r="G726" s="19">
        <f>F726*D726</f>
      </c>
      <c r="H726" s="19">
        <f>G726*C726</f>
      </c>
      <c r="I726" s="19">
        <f>G726*B726</f>
      </c>
      <c r="K726" s="37">
        <f>Eq_e0+Eq_kx*$C726+Eq_ky*$B726</f>
      </c>
      <c r="L726" s="20">
        <f>IF(K726&gt;0,IF(K726&lt;=eco,alpha*fck*(1-(1-K726/eco)^n),alpha*fck),0)</f>
      </c>
    </row>
    <row r="727" spans="1:12" x14ac:dyDescent="0.25">
      <c r="A727">
        <f>Mesh!A724</f>
      </c>
      <c r="B727" s="20">
        <f>Mesh!B724</f>
      </c>
      <c r="C727" s="20">
        <f>Mesh!C724</f>
      </c>
      <c r="D727" s="20">
        <f>Mesh!D724</f>
      </c>
      <c r="E727" s="37">
        <f>INDEX(St_e0,Det+1)+INDEX(St_kx,Det+1)*C727+INDEX(St_ky,Det+1)*B727</f>
      </c>
      <c r="F727" s="20">
        <f>IF(E727&gt;0,IF(E727&lt;=eco,alpha*fck*(1-(1-E727/eco)^n),alpha*fck),0)</f>
      </c>
      <c r="G727" s="19">
        <f>F727*D727</f>
      </c>
      <c r="H727" s="19">
        <f>G727*C727</f>
      </c>
      <c r="I727" s="19">
        <f>G727*B727</f>
      </c>
      <c r="K727" s="37">
        <f>Eq_e0+Eq_kx*$C727+Eq_ky*$B727</f>
      </c>
      <c r="L727" s="20">
        <f>IF(K727&gt;0,IF(K727&lt;=eco,alpha*fck*(1-(1-K727/eco)^n),alpha*fck),0)</f>
      </c>
    </row>
    <row r="728" spans="1:12" x14ac:dyDescent="0.25">
      <c r="A728">
        <f>Mesh!A725</f>
      </c>
      <c r="B728" s="20">
        <f>Mesh!B725</f>
      </c>
      <c r="C728" s="20">
        <f>Mesh!C725</f>
      </c>
      <c r="D728" s="20">
        <f>Mesh!D725</f>
      </c>
      <c r="E728" s="37">
        <f>INDEX(St_e0,Det+1)+INDEX(St_kx,Det+1)*C728+INDEX(St_ky,Det+1)*B728</f>
      </c>
      <c r="F728" s="20">
        <f>IF(E728&gt;0,IF(E728&lt;=eco,alpha*fck*(1-(1-E728/eco)^n),alpha*fck),0)</f>
      </c>
      <c r="G728" s="19">
        <f>F728*D728</f>
      </c>
      <c r="H728" s="19">
        <f>G728*C728</f>
      </c>
      <c r="I728" s="19">
        <f>G728*B728</f>
      </c>
      <c r="K728" s="37">
        <f>Eq_e0+Eq_kx*$C728+Eq_ky*$B728</f>
      </c>
      <c r="L728" s="20">
        <f>IF(K728&gt;0,IF(K728&lt;=eco,alpha*fck*(1-(1-K728/eco)^n),alpha*fck),0)</f>
      </c>
    </row>
    <row r="729" spans="1:12" x14ac:dyDescent="0.25">
      <c r="A729">
        <f>Mesh!A726</f>
      </c>
      <c r="B729" s="20">
        <f>Mesh!B726</f>
      </c>
      <c r="C729" s="20">
        <f>Mesh!C726</f>
      </c>
      <c r="D729" s="20">
        <f>Mesh!D726</f>
      </c>
      <c r="E729" s="37">
        <f>INDEX(St_e0,Det+1)+INDEX(St_kx,Det+1)*C729+INDEX(St_ky,Det+1)*B729</f>
      </c>
      <c r="F729" s="20">
        <f>IF(E729&gt;0,IF(E729&lt;=eco,alpha*fck*(1-(1-E729/eco)^n),alpha*fck),0)</f>
      </c>
      <c r="G729" s="19">
        <f>F729*D729</f>
      </c>
      <c r="H729" s="19">
        <f>G729*C729</f>
      </c>
      <c r="I729" s="19">
        <f>G729*B729</f>
      </c>
      <c r="K729" s="37">
        <f>Eq_e0+Eq_kx*$C729+Eq_ky*$B729</f>
      </c>
      <c r="L729" s="20">
        <f>IF(K729&gt;0,IF(K729&lt;=eco,alpha*fck*(1-(1-K729/eco)^n),alpha*fck),0)</f>
      </c>
    </row>
    <row r="730" spans="1:12" x14ac:dyDescent="0.25">
      <c r="A730">
        <f>Mesh!A727</f>
      </c>
      <c r="B730" s="20">
        <f>Mesh!B727</f>
      </c>
      <c r="C730" s="20">
        <f>Mesh!C727</f>
      </c>
      <c r="D730" s="20">
        <f>Mesh!D727</f>
      </c>
      <c r="E730" s="37">
        <f>INDEX(St_e0,Det+1)+INDEX(St_kx,Det+1)*C730+INDEX(St_ky,Det+1)*B730</f>
      </c>
      <c r="F730" s="20">
        <f>IF(E730&gt;0,IF(E730&lt;=eco,alpha*fck*(1-(1-E730/eco)^n),alpha*fck),0)</f>
      </c>
      <c r="G730" s="19">
        <f>F730*D730</f>
      </c>
      <c r="H730" s="19">
        <f>G730*C730</f>
      </c>
      <c r="I730" s="19">
        <f>G730*B730</f>
      </c>
      <c r="K730" s="37">
        <f>Eq_e0+Eq_kx*$C730+Eq_ky*$B730</f>
      </c>
      <c r="L730" s="20">
        <f>IF(K730&gt;0,IF(K730&lt;=eco,alpha*fck*(1-(1-K730/eco)^n),alpha*fck),0)</f>
      </c>
    </row>
    <row r="731" spans="1:12" x14ac:dyDescent="0.25">
      <c r="A731">
        <f>Mesh!A728</f>
      </c>
      <c r="B731" s="20">
        <f>Mesh!B728</f>
      </c>
      <c r="C731" s="20">
        <f>Mesh!C728</f>
      </c>
      <c r="D731" s="20">
        <f>Mesh!D728</f>
      </c>
      <c r="E731" s="37">
        <f>INDEX(St_e0,Det+1)+INDEX(St_kx,Det+1)*C731+INDEX(St_ky,Det+1)*B731</f>
      </c>
      <c r="F731" s="20">
        <f>IF(E731&gt;0,IF(E731&lt;=eco,alpha*fck*(1-(1-E731/eco)^n),alpha*fck),0)</f>
      </c>
      <c r="G731" s="19">
        <f>F731*D731</f>
      </c>
      <c r="H731" s="19">
        <f>G731*C731</f>
      </c>
      <c r="I731" s="19">
        <f>G731*B731</f>
      </c>
      <c r="K731" s="37">
        <f>Eq_e0+Eq_kx*$C731+Eq_ky*$B731</f>
      </c>
      <c r="L731" s="20">
        <f>IF(K731&gt;0,IF(K731&lt;=eco,alpha*fck*(1-(1-K731/eco)^n),alpha*fck),0)</f>
      </c>
    </row>
    <row r="732" spans="1:12" x14ac:dyDescent="0.25">
      <c r="A732">
        <f>Mesh!A729</f>
      </c>
      <c r="B732" s="20">
        <f>Mesh!B729</f>
      </c>
      <c r="C732" s="20">
        <f>Mesh!C729</f>
      </c>
      <c r="D732" s="20">
        <f>Mesh!D729</f>
      </c>
      <c r="E732" s="37">
        <f>INDEX(St_e0,Det+1)+INDEX(St_kx,Det+1)*C732+INDEX(St_ky,Det+1)*B732</f>
      </c>
      <c r="F732" s="20">
        <f>IF(E732&gt;0,IF(E732&lt;=eco,alpha*fck*(1-(1-E732/eco)^n),alpha*fck),0)</f>
      </c>
      <c r="G732" s="19">
        <f>F732*D732</f>
      </c>
      <c r="H732" s="19">
        <f>G732*C732</f>
      </c>
      <c r="I732" s="19">
        <f>G732*B732</f>
      </c>
      <c r="K732" s="37">
        <f>Eq_e0+Eq_kx*$C732+Eq_ky*$B732</f>
      </c>
      <c r="L732" s="20">
        <f>IF(K732&gt;0,IF(K732&lt;=eco,alpha*fck*(1-(1-K732/eco)^n),alpha*fck),0)</f>
      </c>
    </row>
    <row r="733" spans="1:12" x14ac:dyDescent="0.25">
      <c r="A733">
        <f>Mesh!A730</f>
      </c>
      <c r="B733" s="20">
        <f>Mesh!B730</f>
      </c>
      <c r="C733" s="20">
        <f>Mesh!C730</f>
      </c>
      <c r="D733" s="20">
        <f>Mesh!D730</f>
      </c>
      <c r="E733" s="37">
        <f>INDEX(St_e0,Det+1)+INDEX(St_kx,Det+1)*C733+INDEX(St_ky,Det+1)*B733</f>
      </c>
      <c r="F733" s="20">
        <f>IF(E733&gt;0,IF(E733&lt;=eco,alpha*fck*(1-(1-E733/eco)^n),alpha*fck),0)</f>
      </c>
      <c r="G733" s="19">
        <f>F733*D733</f>
      </c>
      <c r="H733" s="19">
        <f>G733*C733</f>
      </c>
      <c r="I733" s="19">
        <f>G733*B733</f>
      </c>
      <c r="K733" s="37">
        <f>Eq_e0+Eq_kx*$C733+Eq_ky*$B733</f>
      </c>
      <c r="L733" s="20">
        <f>IF(K733&gt;0,IF(K733&lt;=eco,alpha*fck*(1-(1-K733/eco)^n),alpha*fck),0)</f>
      </c>
    </row>
    <row r="734" spans="1:12" x14ac:dyDescent="0.25">
      <c r="A734">
        <f>Mesh!A731</f>
      </c>
      <c r="B734" s="20">
        <f>Mesh!B731</f>
      </c>
      <c r="C734" s="20">
        <f>Mesh!C731</f>
      </c>
      <c r="D734" s="20">
        <f>Mesh!D731</f>
      </c>
      <c r="E734" s="37">
        <f>INDEX(St_e0,Det+1)+INDEX(St_kx,Det+1)*C734+INDEX(St_ky,Det+1)*B734</f>
      </c>
      <c r="F734" s="20">
        <f>IF(E734&gt;0,IF(E734&lt;=eco,alpha*fck*(1-(1-E734/eco)^n),alpha*fck),0)</f>
      </c>
      <c r="G734" s="19">
        <f>F734*D734</f>
      </c>
      <c r="H734" s="19">
        <f>G734*C734</f>
      </c>
      <c r="I734" s="19">
        <f>G734*B734</f>
      </c>
      <c r="K734" s="37">
        <f>Eq_e0+Eq_kx*$C734+Eq_ky*$B734</f>
      </c>
      <c r="L734" s="20">
        <f>IF(K734&gt;0,IF(K734&lt;=eco,alpha*fck*(1-(1-K734/eco)^n),alpha*fck),0)</f>
      </c>
    </row>
    <row r="735" spans="1:12" x14ac:dyDescent="0.25">
      <c r="A735">
        <f>Mesh!A732</f>
      </c>
      <c r="B735" s="20">
        <f>Mesh!B732</f>
      </c>
      <c r="C735" s="20">
        <f>Mesh!C732</f>
      </c>
      <c r="D735" s="20">
        <f>Mesh!D732</f>
      </c>
      <c r="E735" s="37">
        <f>INDEX(St_e0,Det+1)+INDEX(St_kx,Det+1)*C735+INDEX(St_ky,Det+1)*B735</f>
      </c>
      <c r="F735" s="20">
        <f>IF(E735&gt;0,IF(E735&lt;=eco,alpha*fck*(1-(1-E735/eco)^n),alpha*fck),0)</f>
      </c>
      <c r="G735" s="19">
        <f>F735*D735</f>
      </c>
      <c r="H735" s="19">
        <f>G735*C735</f>
      </c>
      <c r="I735" s="19">
        <f>G735*B735</f>
      </c>
      <c r="K735" s="37">
        <f>Eq_e0+Eq_kx*$C735+Eq_ky*$B735</f>
      </c>
      <c r="L735" s="20">
        <f>IF(K735&gt;0,IF(K735&lt;=eco,alpha*fck*(1-(1-K735/eco)^n),alpha*fck),0)</f>
      </c>
    </row>
    <row r="736" spans="1:12" x14ac:dyDescent="0.25">
      <c r="A736">
        <f>Mesh!A733</f>
      </c>
      <c r="B736" s="20">
        <f>Mesh!B733</f>
      </c>
      <c r="C736" s="20">
        <f>Mesh!C733</f>
      </c>
      <c r="D736" s="20">
        <f>Mesh!D733</f>
      </c>
      <c r="E736" s="37">
        <f>INDEX(St_e0,Det+1)+INDEX(St_kx,Det+1)*C736+INDEX(St_ky,Det+1)*B736</f>
      </c>
      <c r="F736" s="20">
        <f>IF(E736&gt;0,IF(E736&lt;=eco,alpha*fck*(1-(1-E736/eco)^n),alpha*fck),0)</f>
      </c>
      <c r="G736" s="19">
        <f>F736*D736</f>
      </c>
      <c r="H736" s="19">
        <f>G736*C736</f>
      </c>
      <c r="I736" s="19">
        <f>G736*B736</f>
      </c>
      <c r="K736" s="37">
        <f>Eq_e0+Eq_kx*$C736+Eq_ky*$B736</f>
      </c>
      <c r="L736" s="20">
        <f>IF(K736&gt;0,IF(K736&lt;=eco,alpha*fck*(1-(1-K736/eco)^n),alpha*fck),0)</f>
      </c>
    </row>
    <row r="737" spans="1:12" x14ac:dyDescent="0.25">
      <c r="A737">
        <f>Mesh!A734</f>
      </c>
      <c r="B737" s="20">
        <f>Mesh!B734</f>
      </c>
      <c r="C737" s="20">
        <f>Mesh!C734</f>
      </c>
      <c r="D737" s="20">
        <f>Mesh!D734</f>
      </c>
      <c r="E737" s="37">
        <f>INDEX(St_e0,Det+1)+INDEX(St_kx,Det+1)*C737+INDEX(St_ky,Det+1)*B737</f>
      </c>
      <c r="F737" s="20">
        <f>IF(E737&gt;0,IF(E737&lt;=eco,alpha*fck*(1-(1-E737/eco)^n),alpha*fck),0)</f>
      </c>
      <c r="G737" s="19">
        <f>F737*D737</f>
      </c>
      <c r="H737" s="19">
        <f>G737*C737</f>
      </c>
      <c r="I737" s="19">
        <f>G737*B737</f>
      </c>
      <c r="K737" s="37">
        <f>Eq_e0+Eq_kx*$C737+Eq_ky*$B737</f>
      </c>
      <c r="L737" s="20">
        <f>IF(K737&gt;0,IF(K737&lt;=eco,alpha*fck*(1-(1-K737/eco)^n),alpha*fck),0)</f>
      </c>
    </row>
    <row r="738" spans="1:12" x14ac:dyDescent="0.25">
      <c r="A738">
        <f>Mesh!A735</f>
      </c>
      <c r="B738" s="20">
        <f>Mesh!B735</f>
      </c>
      <c r="C738" s="20">
        <f>Mesh!C735</f>
      </c>
      <c r="D738" s="20">
        <f>Mesh!D735</f>
      </c>
      <c r="E738" s="37">
        <f>INDEX(St_e0,Det+1)+INDEX(St_kx,Det+1)*C738+INDEX(St_ky,Det+1)*B738</f>
      </c>
      <c r="F738" s="20">
        <f>IF(E738&gt;0,IF(E738&lt;=eco,alpha*fck*(1-(1-E738/eco)^n),alpha*fck),0)</f>
      </c>
      <c r="G738" s="19">
        <f>F738*D738</f>
      </c>
      <c r="H738" s="19">
        <f>G738*C738</f>
      </c>
      <c r="I738" s="19">
        <f>G738*B738</f>
      </c>
      <c r="K738" s="37">
        <f>Eq_e0+Eq_kx*$C738+Eq_ky*$B738</f>
      </c>
      <c r="L738" s="20">
        <f>IF(K738&gt;0,IF(K738&lt;=eco,alpha*fck*(1-(1-K738/eco)^n),alpha*fck),0)</f>
      </c>
    </row>
    <row r="739" spans="1:12" x14ac:dyDescent="0.25">
      <c r="A739">
        <f>Mesh!A736</f>
      </c>
      <c r="B739" s="20">
        <f>Mesh!B736</f>
      </c>
      <c r="C739" s="20">
        <f>Mesh!C736</f>
      </c>
      <c r="D739" s="20">
        <f>Mesh!D736</f>
      </c>
      <c r="E739" s="37">
        <f>INDEX(St_e0,Det+1)+INDEX(St_kx,Det+1)*C739+INDEX(St_ky,Det+1)*B739</f>
      </c>
      <c r="F739" s="20">
        <f>IF(E739&gt;0,IF(E739&lt;=eco,alpha*fck*(1-(1-E739/eco)^n),alpha*fck),0)</f>
      </c>
      <c r="G739" s="19">
        <f>F739*D739</f>
      </c>
      <c r="H739" s="19">
        <f>G739*C739</f>
      </c>
      <c r="I739" s="19">
        <f>G739*B739</f>
      </c>
      <c r="K739" s="37">
        <f>Eq_e0+Eq_kx*$C739+Eq_ky*$B739</f>
      </c>
      <c r="L739" s="20">
        <f>IF(K739&gt;0,IF(K739&lt;=eco,alpha*fck*(1-(1-K739/eco)^n),alpha*fck),0)</f>
      </c>
    </row>
    <row r="740" spans="1:12" x14ac:dyDescent="0.25">
      <c r="A740">
        <f>Mesh!A737</f>
      </c>
      <c r="B740" s="20">
        <f>Mesh!B737</f>
      </c>
      <c r="C740" s="20">
        <f>Mesh!C737</f>
      </c>
      <c r="D740" s="20">
        <f>Mesh!D737</f>
      </c>
      <c r="E740" s="37">
        <f>INDEX(St_e0,Det+1)+INDEX(St_kx,Det+1)*C740+INDEX(St_ky,Det+1)*B740</f>
      </c>
      <c r="F740" s="20">
        <f>IF(E740&gt;0,IF(E740&lt;=eco,alpha*fck*(1-(1-E740/eco)^n),alpha*fck),0)</f>
      </c>
      <c r="G740" s="19">
        <f>F740*D740</f>
      </c>
      <c r="H740" s="19">
        <f>G740*C740</f>
      </c>
      <c r="I740" s="19">
        <f>G740*B740</f>
      </c>
      <c r="K740" s="37">
        <f>Eq_e0+Eq_kx*$C740+Eq_ky*$B740</f>
      </c>
      <c r="L740" s="20">
        <f>IF(K740&gt;0,IF(K740&lt;=eco,alpha*fck*(1-(1-K740/eco)^n),alpha*fck),0)</f>
      </c>
    </row>
    <row r="741" spans="1:12" x14ac:dyDescent="0.25">
      <c r="A741">
        <f>Mesh!A738</f>
      </c>
      <c r="B741" s="20">
        <f>Mesh!B738</f>
      </c>
      <c r="C741" s="20">
        <f>Mesh!C738</f>
      </c>
      <c r="D741" s="20">
        <f>Mesh!D738</f>
      </c>
      <c r="E741" s="37">
        <f>INDEX(St_e0,Det+1)+INDEX(St_kx,Det+1)*C741+INDEX(St_ky,Det+1)*B741</f>
      </c>
      <c r="F741" s="20">
        <f>IF(E741&gt;0,IF(E741&lt;=eco,alpha*fck*(1-(1-E741/eco)^n),alpha*fck),0)</f>
      </c>
      <c r="G741" s="19">
        <f>F741*D741</f>
      </c>
      <c r="H741" s="19">
        <f>G741*C741</f>
      </c>
      <c r="I741" s="19">
        <f>G741*B741</f>
      </c>
      <c r="K741" s="37">
        <f>Eq_e0+Eq_kx*$C741+Eq_ky*$B741</f>
      </c>
      <c r="L741" s="20">
        <f>IF(K741&gt;0,IF(K741&lt;=eco,alpha*fck*(1-(1-K741/eco)^n),alpha*fck),0)</f>
      </c>
    </row>
    <row r="742" spans="1:12" x14ac:dyDescent="0.25">
      <c r="A742">
        <f>Mesh!A739</f>
      </c>
      <c r="B742" s="20">
        <f>Mesh!B739</f>
      </c>
      <c r="C742" s="20">
        <f>Mesh!C739</f>
      </c>
      <c r="D742" s="20">
        <f>Mesh!D739</f>
      </c>
      <c r="E742" s="37">
        <f>INDEX(St_e0,Det+1)+INDEX(St_kx,Det+1)*C742+INDEX(St_ky,Det+1)*B742</f>
      </c>
      <c r="F742" s="20">
        <f>IF(E742&gt;0,IF(E742&lt;=eco,alpha*fck*(1-(1-E742/eco)^n),alpha*fck),0)</f>
      </c>
      <c r="G742" s="19">
        <f>F742*D742</f>
      </c>
      <c r="H742" s="19">
        <f>G742*C742</f>
      </c>
      <c r="I742" s="19">
        <f>G742*B742</f>
      </c>
      <c r="K742" s="37">
        <f>Eq_e0+Eq_kx*$C742+Eq_ky*$B742</f>
      </c>
      <c r="L742" s="20">
        <f>IF(K742&gt;0,IF(K742&lt;=eco,alpha*fck*(1-(1-K742/eco)^n),alpha*fck),0)</f>
      </c>
    </row>
    <row r="743" spans="1:12" x14ac:dyDescent="0.25">
      <c r="A743">
        <f>Mesh!A740</f>
      </c>
      <c r="B743" s="20">
        <f>Mesh!B740</f>
      </c>
      <c r="C743" s="20">
        <f>Mesh!C740</f>
      </c>
      <c r="D743" s="20">
        <f>Mesh!D740</f>
      </c>
      <c r="E743" s="37">
        <f>INDEX(St_e0,Det+1)+INDEX(St_kx,Det+1)*C743+INDEX(St_ky,Det+1)*B743</f>
      </c>
      <c r="F743" s="20">
        <f>IF(E743&gt;0,IF(E743&lt;=eco,alpha*fck*(1-(1-E743/eco)^n),alpha*fck),0)</f>
      </c>
      <c r="G743" s="19">
        <f>F743*D743</f>
      </c>
      <c r="H743" s="19">
        <f>G743*C743</f>
      </c>
      <c r="I743" s="19">
        <f>G743*B743</f>
      </c>
      <c r="K743" s="37">
        <f>Eq_e0+Eq_kx*$C743+Eq_ky*$B743</f>
      </c>
      <c r="L743" s="20">
        <f>IF(K743&gt;0,IF(K743&lt;=eco,alpha*fck*(1-(1-K743/eco)^n),alpha*fck),0)</f>
      </c>
    </row>
    <row r="744" spans="1:12" x14ac:dyDescent="0.25">
      <c r="A744">
        <f>Mesh!A741</f>
      </c>
      <c r="B744" s="20">
        <f>Mesh!B741</f>
      </c>
      <c r="C744" s="20">
        <f>Mesh!C741</f>
      </c>
      <c r="D744" s="20">
        <f>Mesh!D741</f>
      </c>
      <c r="E744" s="37">
        <f>INDEX(St_e0,Det+1)+INDEX(St_kx,Det+1)*C744+INDEX(St_ky,Det+1)*B744</f>
      </c>
      <c r="F744" s="20">
        <f>IF(E744&gt;0,IF(E744&lt;=eco,alpha*fck*(1-(1-E744/eco)^n),alpha*fck),0)</f>
      </c>
      <c r="G744" s="19">
        <f>F744*D744</f>
      </c>
      <c r="H744" s="19">
        <f>G744*C744</f>
      </c>
      <c r="I744" s="19">
        <f>G744*B744</f>
      </c>
      <c r="K744" s="37">
        <f>Eq_e0+Eq_kx*$C744+Eq_ky*$B744</f>
      </c>
      <c r="L744" s="20">
        <f>IF(K744&gt;0,IF(K744&lt;=eco,alpha*fck*(1-(1-K744/eco)^n),alpha*fck),0)</f>
      </c>
    </row>
    <row r="745" spans="1:12" x14ac:dyDescent="0.25">
      <c r="A745">
        <f>Mesh!A742</f>
      </c>
      <c r="B745" s="20">
        <f>Mesh!B742</f>
      </c>
      <c r="C745" s="20">
        <f>Mesh!C742</f>
      </c>
      <c r="D745" s="20">
        <f>Mesh!D742</f>
      </c>
      <c r="E745" s="37">
        <f>INDEX(St_e0,Det+1)+INDEX(St_kx,Det+1)*C745+INDEX(St_ky,Det+1)*B745</f>
      </c>
      <c r="F745" s="20">
        <f>IF(E745&gt;0,IF(E745&lt;=eco,alpha*fck*(1-(1-E745/eco)^n),alpha*fck),0)</f>
      </c>
      <c r="G745" s="19">
        <f>F745*D745</f>
      </c>
      <c r="H745" s="19">
        <f>G745*C745</f>
      </c>
      <c r="I745" s="19">
        <f>G745*B745</f>
      </c>
      <c r="K745" s="37">
        <f>Eq_e0+Eq_kx*$C745+Eq_ky*$B745</f>
      </c>
      <c r="L745" s="20">
        <f>IF(K745&gt;0,IF(K745&lt;=eco,alpha*fck*(1-(1-K745/eco)^n),alpha*fck),0)</f>
      </c>
    </row>
    <row r="746" spans="1:12" x14ac:dyDescent="0.25">
      <c r="A746">
        <f>Mesh!A743</f>
      </c>
      <c r="B746" s="20">
        <f>Mesh!B743</f>
      </c>
      <c r="C746" s="20">
        <f>Mesh!C743</f>
      </c>
      <c r="D746" s="20">
        <f>Mesh!D743</f>
      </c>
      <c r="E746" s="37">
        <f>INDEX(St_e0,Det+1)+INDEX(St_kx,Det+1)*C746+INDEX(St_ky,Det+1)*B746</f>
      </c>
      <c r="F746" s="20">
        <f>IF(E746&gt;0,IF(E746&lt;=eco,alpha*fck*(1-(1-E746/eco)^n),alpha*fck),0)</f>
      </c>
      <c r="G746" s="19">
        <f>F746*D746</f>
      </c>
      <c r="H746" s="19">
        <f>G746*C746</f>
      </c>
      <c r="I746" s="19">
        <f>G746*B746</f>
      </c>
      <c r="K746" s="37">
        <f>Eq_e0+Eq_kx*$C746+Eq_ky*$B746</f>
      </c>
      <c r="L746" s="20">
        <f>IF(K746&gt;0,IF(K746&lt;=eco,alpha*fck*(1-(1-K746/eco)^n),alpha*fck),0)</f>
      </c>
    </row>
    <row r="747" spans="1:12" x14ac:dyDescent="0.25">
      <c r="A747">
        <f>Mesh!A744</f>
      </c>
      <c r="B747" s="20">
        <f>Mesh!B744</f>
      </c>
      <c r="C747" s="20">
        <f>Mesh!C744</f>
      </c>
      <c r="D747" s="20">
        <f>Mesh!D744</f>
      </c>
      <c r="E747" s="37">
        <f>INDEX(St_e0,Det+1)+INDEX(St_kx,Det+1)*C747+INDEX(St_ky,Det+1)*B747</f>
      </c>
      <c r="F747" s="20">
        <f>IF(E747&gt;0,IF(E747&lt;=eco,alpha*fck*(1-(1-E747/eco)^n),alpha*fck),0)</f>
      </c>
      <c r="G747" s="19">
        <f>F747*D747</f>
      </c>
      <c r="H747" s="19">
        <f>G747*C747</f>
      </c>
      <c r="I747" s="19">
        <f>G747*B747</f>
      </c>
      <c r="K747" s="37">
        <f>Eq_e0+Eq_kx*$C747+Eq_ky*$B747</f>
      </c>
      <c r="L747" s="20">
        <f>IF(K747&gt;0,IF(K747&lt;=eco,alpha*fck*(1-(1-K747/eco)^n),alpha*fck),0)</f>
      </c>
    </row>
    <row r="748" spans="1:12" x14ac:dyDescent="0.25">
      <c r="A748">
        <f>Mesh!A745</f>
      </c>
      <c r="B748" s="20">
        <f>Mesh!B745</f>
      </c>
      <c r="C748" s="20">
        <f>Mesh!C745</f>
      </c>
      <c r="D748" s="20">
        <f>Mesh!D745</f>
      </c>
      <c r="E748" s="37">
        <f>INDEX(St_e0,Det+1)+INDEX(St_kx,Det+1)*C748+INDEX(St_ky,Det+1)*B748</f>
      </c>
      <c r="F748" s="20">
        <f>IF(E748&gt;0,IF(E748&lt;=eco,alpha*fck*(1-(1-E748/eco)^n),alpha*fck),0)</f>
      </c>
      <c r="G748" s="19">
        <f>F748*D748</f>
      </c>
      <c r="H748" s="19">
        <f>G748*C748</f>
      </c>
      <c r="I748" s="19">
        <f>G748*B748</f>
      </c>
      <c r="K748" s="37">
        <f>Eq_e0+Eq_kx*$C748+Eq_ky*$B748</f>
      </c>
      <c r="L748" s="20">
        <f>IF(K748&gt;0,IF(K748&lt;=eco,alpha*fck*(1-(1-K748/eco)^n),alpha*fck),0)</f>
      </c>
    </row>
    <row r="749" spans="1:12" x14ac:dyDescent="0.25">
      <c r="A749">
        <f>Mesh!A746</f>
      </c>
      <c r="B749" s="20">
        <f>Mesh!B746</f>
      </c>
      <c r="C749" s="20">
        <f>Mesh!C746</f>
      </c>
      <c r="D749" s="20">
        <f>Mesh!D746</f>
      </c>
      <c r="E749" s="37">
        <f>INDEX(St_e0,Det+1)+INDEX(St_kx,Det+1)*C749+INDEX(St_ky,Det+1)*B749</f>
      </c>
      <c r="F749" s="20">
        <f>IF(E749&gt;0,IF(E749&lt;=eco,alpha*fck*(1-(1-E749/eco)^n),alpha*fck),0)</f>
      </c>
      <c r="G749" s="19">
        <f>F749*D749</f>
      </c>
      <c r="H749" s="19">
        <f>G749*C749</f>
      </c>
      <c r="I749" s="19">
        <f>G749*B749</f>
      </c>
      <c r="K749" s="37">
        <f>Eq_e0+Eq_kx*$C749+Eq_ky*$B749</f>
      </c>
      <c r="L749" s="20">
        <f>IF(K749&gt;0,IF(K749&lt;=eco,alpha*fck*(1-(1-K749/eco)^n),alpha*fck),0)</f>
      </c>
    </row>
    <row r="750" spans="1:12" x14ac:dyDescent="0.25">
      <c r="A750">
        <f>Mesh!A747</f>
      </c>
      <c r="B750" s="20">
        <f>Mesh!B747</f>
      </c>
      <c r="C750" s="20">
        <f>Mesh!C747</f>
      </c>
      <c r="D750" s="20">
        <f>Mesh!D747</f>
      </c>
      <c r="E750" s="37">
        <f>INDEX(St_e0,Det+1)+INDEX(St_kx,Det+1)*C750+INDEX(St_ky,Det+1)*B750</f>
      </c>
      <c r="F750" s="20">
        <f>IF(E750&gt;0,IF(E750&lt;=eco,alpha*fck*(1-(1-E750/eco)^n),alpha*fck),0)</f>
      </c>
      <c r="G750" s="19">
        <f>F750*D750</f>
      </c>
      <c r="H750" s="19">
        <f>G750*C750</f>
      </c>
      <c r="I750" s="19">
        <f>G750*B750</f>
      </c>
      <c r="K750" s="37">
        <f>Eq_e0+Eq_kx*$C750+Eq_ky*$B750</f>
      </c>
      <c r="L750" s="20">
        <f>IF(K750&gt;0,IF(K750&lt;=eco,alpha*fck*(1-(1-K750/eco)^n),alpha*fck),0)</f>
      </c>
    </row>
    <row r="751" spans="1:12" x14ac:dyDescent="0.25">
      <c r="A751">
        <f>Mesh!A748</f>
      </c>
      <c r="B751" s="20">
        <f>Mesh!B748</f>
      </c>
      <c r="C751" s="20">
        <f>Mesh!C748</f>
      </c>
      <c r="D751" s="20">
        <f>Mesh!D748</f>
      </c>
      <c r="E751" s="37">
        <f>INDEX(St_e0,Det+1)+INDEX(St_kx,Det+1)*C751+INDEX(St_ky,Det+1)*B751</f>
      </c>
      <c r="F751" s="20">
        <f>IF(E751&gt;0,IF(E751&lt;=eco,alpha*fck*(1-(1-E751/eco)^n),alpha*fck),0)</f>
      </c>
      <c r="G751" s="19">
        <f>F751*D751</f>
      </c>
      <c r="H751" s="19">
        <f>G751*C751</f>
      </c>
      <c r="I751" s="19">
        <f>G751*B751</f>
      </c>
      <c r="K751" s="37">
        <f>Eq_e0+Eq_kx*$C751+Eq_ky*$B751</f>
      </c>
      <c r="L751" s="20">
        <f>IF(K751&gt;0,IF(K751&lt;=eco,alpha*fck*(1-(1-K751/eco)^n),alpha*fck),0)</f>
      </c>
    </row>
    <row r="752" spans="1:12" x14ac:dyDescent="0.25">
      <c r="A752">
        <f>Mesh!A749</f>
      </c>
      <c r="B752" s="20">
        <f>Mesh!B749</f>
      </c>
      <c r="C752" s="20">
        <f>Mesh!C749</f>
      </c>
      <c r="D752" s="20">
        <f>Mesh!D749</f>
      </c>
      <c r="E752" s="37">
        <f>INDEX(St_e0,Det+1)+INDEX(St_kx,Det+1)*C752+INDEX(St_ky,Det+1)*B752</f>
      </c>
      <c r="F752" s="20">
        <f>IF(E752&gt;0,IF(E752&lt;=eco,alpha*fck*(1-(1-E752/eco)^n),alpha*fck),0)</f>
      </c>
      <c r="G752" s="19">
        <f>F752*D752</f>
      </c>
      <c r="H752" s="19">
        <f>G752*C752</f>
      </c>
      <c r="I752" s="19">
        <f>G752*B752</f>
      </c>
      <c r="K752" s="37">
        <f>Eq_e0+Eq_kx*$C752+Eq_ky*$B752</f>
      </c>
      <c r="L752" s="20">
        <f>IF(K752&gt;0,IF(K752&lt;=eco,alpha*fck*(1-(1-K752/eco)^n),alpha*fck),0)</f>
      </c>
    </row>
    <row r="753" spans="1:12" x14ac:dyDescent="0.25">
      <c r="A753">
        <f>Mesh!A750</f>
      </c>
      <c r="B753" s="20">
        <f>Mesh!B750</f>
      </c>
      <c r="C753" s="20">
        <f>Mesh!C750</f>
      </c>
      <c r="D753" s="20">
        <f>Mesh!D750</f>
      </c>
      <c r="E753" s="37">
        <f>INDEX(St_e0,Det+1)+INDEX(St_kx,Det+1)*C753+INDEX(St_ky,Det+1)*B753</f>
      </c>
      <c r="F753" s="20">
        <f>IF(E753&gt;0,IF(E753&lt;=eco,alpha*fck*(1-(1-E753/eco)^n),alpha*fck),0)</f>
      </c>
      <c r="G753" s="19">
        <f>F753*D753</f>
      </c>
      <c r="H753" s="19">
        <f>G753*C753</f>
      </c>
      <c r="I753" s="19">
        <f>G753*B753</f>
      </c>
      <c r="K753" s="37">
        <f>Eq_e0+Eq_kx*$C753+Eq_ky*$B753</f>
      </c>
      <c r="L753" s="20">
        <f>IF(K753&gt;0,IF(K753&lt;=eco,alpha*fck*(1-(1-K753/eco)^n),alpha*fck),0)</f>
      </c>
    </row>
    <row r="754" spans="1:12" x14ac:dyDescent="0.25">
      <c r="A754">
        <f>Mesh!A751</f>
      </c>
      <c r="B754" s="20">
        <f>Mesh!B751</f>
      </c>
      <c r="C754" s="20">
        <f>Mesh!C751</f>
      </c>
      <c r="D754" s="20">
        <f>Mesh!D751</f>
      </c>
      <c r="E754" s="37">
        <f>INDEX(St_e0,Det+1)+INDEX(St_kx,Det+1)*C754+INDEX(St_ky,Det+1)*B754</f>
      </c>
      <c r="F754" s="20">
        <f>IF(E754&gt;0,IF(E754&lt;=eco,alpha*fck*(1-(1-E754/eco)^n),alpha*fck),0)</f>
      </c>
      <c r="G754" s="19">
        <f>F754*D754</f>
      </c>
      <c r="H754" s="19">
        <f>G754*C754</f>
      </c>
      <c r="I754" s="19">
        <f>G754*B754</f>
      </c>
      <c r="K754" s="37">
        <f>Eq_e0+Eq_kx*$C754+Eq_ky*$B754</f>
      </c>
      <c r="L754" s="20">
        <f>IF(K754&gt;0,IF(K754&lt;=eco,alpha*fck*(1-(1-K754/eco)^n),alpha*fck),0)</f>
      </c>
    </row>
    <row r="755" spans="1:12" x14ac:dyDescent="0.25">
      <c r="A755">
        <f>Mesh!A752</f>
      </c>
      <c r="B755" s="20">
        <f>Mesh!B752</f>
      </c>
      <c r="C755" s="20">
        <f>Mesh!C752</f>
      </c>
      <c r="D755" s="20">
        <f>Mesh!D752</f>
      </c>
      <c r="E755" s="37">
        <f>INDEX(St_e0,Det+1)+INDEX(St_kx,Det+1)*C755+INDEX(St_ky,Det+1)*B755</f>
      </c>
      <c r="F755" s="20">
        <f>IF(E755&gt;0,IF(E755&lt;=eco,alpha*fck*(1-(1-E755/eco)^n),alpha*fck),0)</f>
      </c>
      <c r="G755" s="19">
        <f>F755*D755</f>
      </c>
      <c r="H755" s="19">
        <f>G755*C755</f>
      </c>
      <c r="I755" s="19">
        <f>G755*B755</f>
      </c>
      <c r="K755" s="37">
        <f>Eq_e0+Eq_kx*$C755+Eq_ky*$B755</f>
      </c>
      <c r="L755" s="20">
        <f>IF(K755&gt;0,IF(K755&lt;=eco,alpha*fck*(1-(1-K755/eco)^n),alpha*fck),0)</f>
      </c>
    </row>
    <row r="756" spans="1:12" x14ac:dyDescent="0.25">
      <c r="A756">
        <f>Mesh!A753</f>
      </c>
      <c r="B756" s="20">
        <f>Mesh!B753</f>
      </c>
      <c r="C756" s="20">
        <f>Mesh!C753</f>
      </c>
      <c r="D756" s="20">
        <f>Mesh!D753</f>
      </c>
      <c r="E756" s="37">
        <f>INDEX(St_e0,Det+1)+INDEX(St_kx,Det+1)*C756+INDEX(St_ky,Det+1)*B756</f>
      </c>
      <c r="F756" s="20">
        <f>IF(E756&gt;0,IF(E756&lt;=eco,alpha*fck*(1-(1-E756/eco)^n),alpha*fck),0)</f>
      </c>
      <c r="G756" s="19">
        <f>F756*D756</f>
      </c>
      <c r="H756" s="19">
        <f>G756*C756</f>
      </c>
      <c r="I756" s="19">
        <f>G756*B756</f>
      </c>
      <c r="K756" s="37">
        <f>Eq_e0+Eq_kx*$C756+Eq_ky*$B756</f>
      </c>
      <c r="L756" s="20">
        <f>IF(K756&gt;0,IF(K756&lt;=eco,alpha*fck*(1-(1-K756/eco)^n),alpha*fck),0)</f>
      </c>
    </row>
    <row r="757" spans="1:12" x14ac:dyDescent="0.25">
      <c r="A757">
        <f>Mesh!A754</f>
      </c>
      <c r="B757" s="20">
        <f>Mesh!B754</f>
      </c>
      <c r="C757" s="20">
        <f>Mesh!C754</f>
      </c>
      <c r="D757" s="20">
        <f>Mesh!D754</f>
      </c>
      <c r="E757" s="37">
        <f>INDEX(St_e0,Det+1)+INDEX(St_kx,Det+1)*C757+INDEX(St_ky,Det+1)*B757</f>
      </c>
      <c r="F757" s="20">
        <f>IF(E757&gt;0,IF(E757&lt;=eco,alpha*fck*(1-(1-E757/eco)^n),alpha*fck),0)</f>
      </c>
      <c r="G757" s="19">
        <f>F757*D757</f>
      </c>
      <c r="H757" s="19">
        <f>G757*C757</f>
      </c>
      <c r="I757" s="19">
        <f>G757*B757</f>
      </c>
      <c r="K757" s="37">
        <f>Eq_e0+Eq_kx*$C757+Eq_ky*$B757</f>
      </c>
      <c r="L757" s="20">
        <f>IF(K757&gt;0,IF(K757&lt;=eco,alpha*fck*(1-(1-K757/eco)^n),alpha*fck),0)</f>
      </c>
    </row>
    <row r="758" spans="1:12" x14ac:dyDescent="0.25">
      <c r="A758">
        <f>Mesh!A755</f>
      </c>
      <c r="B758" s="20">
        <f>Mesh!B755</f>
      </c>
      <c r="C758" s="20">
        <f>Mesh!C755</f>
      </c>
      <c r="D758" s="20">
        <f>Mesh!D755</f>
      </c>
      <c r="E758" s="37">
        <f>INDEX(St_e0,Det+1)+INDEX(St_kx,Det+1)*C758+INDEX(St_ky,Det+1)*B758</f>
      </c>
      <c r="F758" s="20">
        <f>IF(E758&gt;0,IF(E758&lt;=eco,alpha*fck*(1-(1-E758/eco)^n),alpha*fck),0)</f>
      </c>
      <c r="G758" s="19">
        <f>F758*D758</f>
      </c>
      <c r="H758" s="19">
        <f>G758*C758</f>
      </c>
      <c r="I758" s="19">
        <f>G758*B758</f>
      </c>
      <c r="K758" s="37">
        <f>Eq_e0+Eq_kx*$C758+Eq_ky*$B758</f>
      </c>
      <c r="L758" s="20">
        <f>IF(K758&gt;0,IF(K758&lt;=eco,alpha*fck*(1-(1-K758/eco)^n),alpha*fck),0)</f>
      </c>
    </row>
    <row r="759" spans="1:12" x14ac:dyDescent="0.25">
      <c r="A759">
        <f>Mesh!A756</f>
      </c>
      <c r="B759" s="20">
        <f>Mesh!B756</f>
      </c>
      <c r="C759" s="20">
        <f>Mesh!C756</f>
      </c>
      <c r="D759" s="20">
        <f>Mesh!D756</f>
      </c>
      <c r="E759" s="37">
        <f>INDEX(St_e0,Det+1)+INDEX(St_kx,Det+1)*C759+INDEX(St_ky,Det+1)*B759</f>
      </c>
      <c r="F759" s="20">
        <f>IF(E759&gt;0,IF(E759&lt;=eco,alpha*fck*(1-(1-E759/eco)^n),alpha*fck),0)</f>
      </c>
      <c r="G759" s="19">
        <f>F759*D759</f>
      </c>
      <c r="H759" s="19">
        <f>G759*C759</f>
      </c>
      <c r="I759" s="19">
        <f>G759*B759</f>
      </c>
      <c r="K759" s="37">
        <f>Eq_e0+Eq_kx*$C759+Eq_ky*$B759</f>
      </c>
      <c r="L759" s="20">
        <f>IF(K759&gt;0,IF(K759&lt;=eco,alpha*fck*(1-(1-K759/eco)^n),alpha*fck),0)</f>
      </c>
    </row>
    <row r="760" spans="1:12" x14ac:dyDescent="0.25">
      <c r="A760">
        <f>Mesh!A757</f>
      </c>
      <c r="B760" s="20">
        <f>Mesh!B757</f>
      </c>
      <c r="C760" s="20">
        <f>Mesh!C757</f>
      </c>
      <c r="D760" s="20">
        <f>Mesh!D757</f>
      </c>
      <c r="E760" s="37">
        <f>INDEX(St_e0,Det+1)+INDEX(St_kx,Det+1)*C760+INDEX(St_ky,Det+1)*B760</f>
      </c>
      <c r="F760" s="20">
        <f>IF(E760&gt;0,IF(E760&lt;=eco,alpha*fck*(1-(1-E760/eco)^n),alpha*fck),0)</f>
      </c>
      <c r="G760" s="19">
        <f>F760*D760</f>
      </c>
      <c r="H760" s="19">
        <f>G760*C760</f>
      </c>
      <c r="I760" s="19">
        <f>G760*B760</f>
      </c>
      <c r="K760" s="37">
        <f>Eq_e0+Eq_kx*$C760+Eq_ky*$B760</f>
      </c>
      <c r="L760" s="20">
        <f>IF(K760&gt;0,IF(K760&lt;=eco,alpha*fck*(1-(1-K760/eco)^n),alpha*fck),0)</f>
      </c>
    </row>
    <row r="761" spans="1:12" x14ac:dyDescent="0.25">
      <c r="A761">
        <f>Mesh!A758</f>
      </c>
      <c r="B761" s="20">
        <f>Mesh!B758</f>
      </c>
      <c r="C761" s="20">
        <f>Mesh!C758</f>
      </c>
      <c r="D761" s="20">
        <f>Mesh!D758</f>
      </c>
      <c r="E761" s="37">
        <f>INDEX(St_e0,Det+1)+INDEX(St_kx,Det+1)*C761+INDEX(St_ky,Det+1)*B761</f>
      </c>
      <c r="F761" s="20">
        <f>IF(E761&gt;0,IF(E761&lt;=eco,alpha*fck*(1-(1-E761/eco)^n),alpha*fck),0)</f>
      </c>
      <c r="G761" s="19">
        <f>F761*D761</f>
      </c>
      <c r="H761" s="19">
        <f>G761*C761</f>
      </c>
      <c r="I761" s="19">
        <f>G761*B761</f>
      </c>
      <c r="K761" s="37">
        <f>Eq_e0+Eq_kx*$C761+Eq_ky*$B761</f>
      </c>
      <c r="L761" s="20">
        <f>IF(K761&gt;0,IF(K761&lt;=eco,alpha*fck*(1-(1-K761/eco)^n),alpha*fck),0)</f>
      </c>
    </row>
    <row r="762" spans="1:12" x14ac:dyDescent="0.25">
      <c r="A762">
        <f>Mesh!A759</f>
      </c>
      <c r="B762" s="20">
        <f>Mesh!B759</f>
      </c>
      <c r="C762" s="20">
        <f>Mesh!C759</f>
      </c>
      <c r="D762" s="20">
        <f>Mesh!D759</f>
      </c>
      <c r="E762" s="37">
        <f>INDEX(St_e0,Det+1)+INDEX(St_kx,Det+1)*C762+INDEX(St_ky,Det+1)*B762</f>
      </c>
      <c r="F762" s="20">
        <f>IF(E762&gt;0,IF(E762&lt;=eco,alpha*fck*(1-(1-E762/eco)^n),alpha*fck),0)</f>
      </c>
      <c r="G762" s="19">
        <f>F762*D762</f>
      </c>
      <c r="H762" s="19">
        <f>G762*C762</f>
      </c>
      <c r="I762" s="19">
        <f>G762*B762</f>
      </c>
      <c r="K762" s="37">
        <f>Eq_e0+Eq_kx*$C762+Eq_ky*$B762</f>
      </c>
      <c r="L762" s="20">
        <f>IF(K762&gt;0,IF(K762&lt;=eco,alpha*fck*(1-(1-K762/eco)^n),alpha*fck),0)</f>
      </c>
    </row>
    <row r="763" spans="1:12" x14ac:dyDescent="0.25">
      <c r="A763">
        <f>Mesh!A760</f>
      </c>
      <c r="B763" s="20">
        <f>Mesh!B760</f>
      </c>
      <c r="C763" s="20">
        <f>Mesh!C760</f>
      </c>
      <c r="D763" s="20">
        <f>Mesh!D760</f>
      </c>
      <c r="E763" s="37">
        <f>INDEX(St_e0,Det+1)+INDEX(St_kx,Det+1)*C763+INDEX(St_ky,Det+1)*B763</f>
      </c>
      <c r="F763" s="20">
        <f>IF(E763&gt;0,IF(E763&lt;=eco,alpha*fck*(1-(1-E763/eco)^n),alpha*fck),0)</f>
      </c>
      <c r="G763" s="19">
        <f>F763*D763</f>
      </c>
      <c r="H763" s="19">
        <f>G763*C763</f>
      </c>
      <c r="I763" s="19">
        <f>G763*B763</f>
      </c>
      <c r="K763" s="37">
        <f>Eq_e0+Eq_kx*$C763+Eq_ky*$B763</f>
      </c>
      <c r="L763" s="20">
        <f>IF(K763&gt;0,IF(K763&lt;=eco,alpha*fck*(1-(1-K763/eco)^n),alpha*fck),0)</f>
      </c>
    </row>
    <row r="764" spans="1:12" x14ac:dyDescent="0.25">
      <c r="A764">
        <f>Mesh!A761</f>
      </c>
      <c r="B764" s="20">
        <f>Mesh!B761</f>
      </c>
      <c r="C764" s="20">
        <f>Mesh!C761</f>
      </c>
      <c r="D764" s="20">
        <f>Mesh!D761</f>
      </c>
      <c r="E764" s="37">
        <f>INDEX(St_e0,Det+1)+INDEX(St_kx,Det+1)*C764+INDEX(St_ky,Det+1)*B764</f>
      </c>
      <c r="F764" s="20">
        <f>IF(E764&gt;0,IF(E764&lt;=eco,alpha*fck*(1-(1-E764/eco)^n),alpha*fck),0)</f>
      </c>
      <c r="G764" s="19">
        <f>F764*D764</f>
      </c>
      <c r="H764" s="19">
        <f>G764*C764</f>
      </c>
      <c r="I764" s="19">
        <f>G764*B764</f>
      </c>
      <c r="K764" s="37">
        <f>Eq_e0+Eq_kx*$C764+Eq_ky*$B764</f>
      </c>
      <c r="L764" s="20">
        <f>IF(K764&gt;0,IF(K764&lt;=eco,alpha*fck*(1-(1-K764/eco)^n),alpha*fck),0)</f>
      </c>
    </row>
    <row r="765" spans="1:12" x14ac:dyDescent="0.25">
      <c r="A765">
        <f>Mesh!A762</f>
      </c>
      <c r="B765" s="20">
        <f>Mesh!B762</f>
      </c>
      <c r="C765" s="20">
        <f>Mesh!C762</f>
      </c>
      <c r="D765" s="20">
        <f>Mesh!D762</f>
      </c>
      <c r="E765" s="37">
        <f>INDEX(St_e0,Det+1)+INDEX(St_kx,Det+1)*C765+INDEX(St_ky,Det+1)*B765</f>
      </c>
      <c r="F765" s="20">
        <f>IF(E765&gt;0,IF(E765&lt;=eco,alpha*fck*(1-(1-E765/eco)^n),alpha*fck),0)</f>
      </c>
      <c r="G765" s="19">
        <f>F765*D765</f>
      </c>
      <c r="H765" s="19">
        <f>G765*C765</f>
      </c>
      <c r="I765" s="19">
        <f>G765*B765</f>
      </c>
      <c r="K765" s="37">
        <f>Eq_e0+Eq_kx*$C765+Eq_ky*$B765</f>
      </c>
      <c r="L765" s="20">
        <f>IF(K765&gt;0,IF(K765&lt;=eco,alpha*fck*(1-(1-K765/eco)^n),alpha*fck),0)</f>
      </c>
    </row>
    <row r="766" spans="1:12" x14ac:dyDescent="0.25">
      <c r="A766">
        <f>Mesh!A763</f>
      </c>
      <c r="B766" s="20">
        <f>Mesh!B763</f>
      </c>
      <c r="C766" s="20">
        <f>Mesh!C763</f>
      </c>
      <c r="D766" s="20">
        <f>Mesh!D763</f>
      </c>
      <c r="E766" s="37">
        <f>INDEX(St_e0,Det+1)+INDEX(St_kx,Det+1)*C766+INDEX(St_ky,Det+1)*B766</f>
      </c>
      <c r="F766" s="20">
        <f>IF(E766&gt;0,IF(E766&lt;=eco,alpha*fck*(1-(1-E766/eco)^n),alpha*fck),0)</f>
      </c>
      <c r="G766" s="19">
        <f>F766*D766</f>
      </c>
      <c r="H766" s="19">
        <f>G766*C766</f>
      </c>
      <c r="I766" s="19">
        <f>G766*B766</f>
      </c>
      <c r="K766" s="37">
        <f>Eq_e0+Eq_kx*$C766+Eq_ky*$B766</f>
      </c>
      <c r="L766" s="20">
        <f>IF(K766&gt;0,IF(K766&lt;=eco,alpha*fck*(1-(1-K766/eco)^n),alpha*fck),0)</f>
      </c>
    </row>
    <row r="767" spans="1:12" x14ac:dyDescent="0.25">
      <c r="A767">
        <f>Mesh!A764</f>
      </c>
      <c r="B767" s="20">
        <f>Mesh!B764</f>
      </c>
      <c r="C767" s="20">
        <f>Mesh!C764</f>
      </c>
      <c r="D767" s="20">
        <f>Mesh!D764</f>
      </c>
      <c r="E767" s="37">
        <f>INDEX(St_e0,Det+1)+INDEX(St_kx,Det+1)*C767+INDEX(St_ky,Det+1)*B767</f>
      </c>
      <c r="F767" s="20">
        <f>IF(E767&gt;0,IF(E767&lt;=eco,alpha*fck*(1-(1-E767/eco)^n),alpha*fck),0)</f>
      </c>
      <c r="G767" s="19">
        <f>F767*D767</f>
      </c>
      <c r="H767" s="19">
        <f>G767*C767</f>
      </c>
      <c r="I767" s="19">
        <f>G767*B767</f>
      </c>
      <c r="K767" s="37">
        <f>Eq_e0+Eq_kx*$C767+Eq_ky*$B767</f>
      </c>
      <c r="L767" s="20">
        <f>IF(K767&gt;0,IF(K767&lt;=eco,alpha*fck*(1-(1-K767/eco)^n),alpha*fck),0)</f>
      </c>
    </row>
    <row r="768" spans="1:12" x14ac:dyDescent="0.25">
      <c r="A768">
        <f>Mesh!A765</f>
      </c>
      <c r="B768" s="20">
        <f>Mesh!B765</f>
      </c>
      <c r="C768" s="20">
        <f>Mesh!C765</f>
      </c>
      <c r="D768" s="20">
        <f>Mesh!D765</f>
      </c>
      <c r="E768" s="37">
        <f>INDEX(St_e0,Det+1)+INDEX(St_kx,Det+1)*C768+INDEX(St_ky,Det+1)*B768</f>
      </c>
      <c r="F768" s="20">
        <f>IF(E768&gt;0,IF(E768&lt;=eco,alpha*fck*(1-(1-E768/eco)^n),alpha*fck),0)</f>
      </c>
      <c r="G768" s="19">
        <f>F768*D768</f>
      </c>
      <c r="H768" s="19">
        <f>G768*C768</f>
      </c>
      <c r="I768" s="19">
        <f>G768*B768</f>
      </c>
      <c r="K768" s="37">
        <f>Eq_e0+Eq_kx*$C768+Eq_ky*$B768</f>
      </c>
      <c r="L768" s="20">
        <f>IF(K768&gt;0,IF(K768&lt;=eco,alpha*fck*(1-(1-K768/eco)^n),alpha*fck),0)</f>
      </c>
    </row>
    <row r="769" spans="1:12" x14ac:dyDescent="0.25">
      <c r="A769">
        <f>Mesh!A766</f>
      </c>
      <c r="B769" s="20">
        <f>Mesh!B766</f>
      </c>
      <c r="C769" s="20">
        <f>Mesh!C766</f>
      </c>
      <c r="D769" s="20">
        <f>Mesh!D766</f>
      </c>
      <c r="E769" s="37">
        <f>INDEX(St_e0,Det+1)+INDEX(St_kx,Det+1)*C769+INDEX(St_ky,Det+1)*B769</f>
      </c>
      <c r="F769" s="20">
        <f>IF(E769&gt;0,IF(E769&lt;=eco,alpha*fck*(1-(1-E769/eco)^n),alpha*fck),0)</f>
      </c>
      <c r="G769" s="19">
        <f>F769*D769</f>
      </c>
      <c r="H769" s="19">
        <f>G769*C769</f>
      </c>
      <c r="I769" s="19">
        <f>G769*B769</f>
      </c>
      <c r="K769" s="37">
        <f>Eq_e0+Eq_kx*$C769+Eq_ky*$B769</f>
      </c>
      <c r="L769" s="20">
        <f>IF(K769&gt;0,IF(K769&lt;=eco,alpha*fck*(1-(1-K769/eco)^n),alpha*fck),0)</f>
      </c>
    </row>
    <row r="770" spans="1:12" x14ac:dyDescent="0.25">
      <c r="A770">
        <f>Mesh!A767</f>
      </c>
      <c r="B770" s="20">
        <f>Mesh!B767</f>
      </c>
      <c r="C770" s="20">
        <f>Mesh!C767</f>
      </c>
      <c r="D770" s="20">
        <f>Mesh!D767</f>
      </c>
      <c r="E770" s="37">
        <f>INDEX(St_e0,Det+1)+INDEX(St_kx,Det+1)*C770+INDEX(St_ky,Det+1)*B770</f>
      </c>
      <c r="F770" s="20">
        <f>IF(E770&gt;0,IF(E770&lt;=eco,alpha*fck*(1-(1-E770/eco)^n),alpha*fck),0)</f>
      </c>
      <c r="G770" s="19">
        <f>F770*D770</f>
      </c>
      <c r="H770" s="19">
        <f>G770*C770</f>
      </c>
      <c r="I770" s="19">
        <f>G770*B770</f>
      </c>
      <c r="K770" s="37">
        <f>Eq_e0+Eq_kx*$C770+Eq_ky*$B770</f>
      </c>
      <c r="L770" s="20">
        <f>IF(K770&gt;0,IF(K770&lt;=eco,alpha*fck*(1-(1-K770/eco)^n),alpha*fck),0)</f>
      </c>
    </row>
    <row r="771" spans="1:12" x14ac:dyDescent="0.25">
      <c r="A771">
        <f>Mesh!A768</f>
      </c>
      <c r="B771" s="20">
        <f>Mesh!B768</f>
      </c>
      <c r="C771" s="20">
        <f>Mesh!C768</f>
      </c>
      <c r="D771" s="20">
        <f>Mesh!D768</f>
      </c>
      <c r="E771" s="37">
        <f>INDEX(St_e0,Det+1)+INDEX(St_kx,Det+1)*C771+INDEX(St_ky,Det+1)*B771</f>
      </c>
      <c r="F771" s="20">
        <f>IF(E771&gt;0,IF(E771&lt;=eco,alpha*fck*(1-(1-E771/eco)^n),alpha*fck),0)</f>
      </c>
      <c r="G771" s="19">
        <f>F771*D771</f>
      </c>
      <c r="H771" s="19">
        <f>G771*C771</f>
      </c>
      <c r="I771" s="19">
        <f>G771*B771</f>
      </c>
      <c r="K771" s="37">
        <f>Eq_e0+Eq_kx*$C771+Eq_ky*$B771</f>
      </c>
      <c r="L771" s="20">
        <f>IF(K771&gt;0,IF(K771&lt;=eco,alpha*fck*(1-(1-K771/eco)^n),alpha*fck),0)</f>
      </c>
    </row>
    <row r="772" spans="1:12" x14ac:dyDescent="0.25">
      <c r="A772">
        <f>Mesh!A769</f>
      </c>
      <c r="B772" s="20">
        <f>Mesh!B769</f>
      </c>
      <c r="C772" s="20">
        <f>Mesh!C769</f>
      </c>
      <c r="D772" s="20">
        <f>Mesh!D769</f>
      </c>
      <c r="E772" s="37">
        <f>INDEX(St_e0,Det+1)+INDEX(St_kx,Det+1)*C772+INDEX(St_ky,Det+1)*B772</f>
      </c>
      <c r="F772" s="20">
        <f>IF(E772&gt;0,IF(E772&lt;=eco,alpha*fck*(1-(1-E772/eco)^n),alpha*fck),0)</f>
      </c>
      <c r="G772" s="19">
        <f>F772*D772</f>
      </c>
      <c r="H772" s="19">
        <f>G772*C772</f>
      </c>
      <c r="I772" s="19">
        <f>G772*B772</f>
      </c>
      <c r="K772" s="37">
        <f>Eq_e0+Eq_kx*$C772+Eq_ky*$B772</f>
      </c>
      <c r="L772" s="20">
        <f>IF(K772&gt;0,IF(K772&lt;=eco,alpha*fck*(1-(1-K772/eco)^n),alpha*fck),0)</f>
      </c>
    </row>
    <row r="773" spans="1:12" x14ac:dyDescent="0.25">
      <c r="A773">
        <f>Mesh!A770</f>
      </c>
      <c r="B773" s="20">
        <f>Mesh!B770</f>
      </c>
      <c r="C773" s="20">
        <f>Mesh!C770</f>
      </c>
      <c r="D773" s="20">
        <f>Mesh!D770</f>
      </c>
      <c r="E773" s="37">
        <f>INDEX(St_e0,Det+1)+INDEX(St_kx,Det+1)*C773+INDEX(St_ky,Det+1)*B773</f>
      </c>
      <c r="F773" s="20">
        <f>IF(E773&gt;0,IF(E773&lt;=eco,alpha*fck*(1-(1-E773/eco)^n),alpha*fck),0)</f>
      </c>
      <c r="G773" s="19">
        <f>F773*D773</f>
      </c>
      <c r="H773" s="19">
        <f>G773*C773</f>
      </c>
      <c r="I773" s="19">
        <f>G773*B773</f>
      </c>
      <c r="K773" s="37">
        <f>Eq_e0+Eq_kx*$C773+Eq_ky*$B773</f>
      </c>
      <c r="L773" s="20">
        <f>IF(K773&gt;0,IF(K773&lt;=eco,alpha*fck*(1-(1-K773/eco)^n),alpha*fck),0)</f>
      </c>
    </row>
    <row r="774" spans="1:12" x14ac:dyDescent="0.25">
      <c r="A774">
        <f>Mesh!A771</f>
      </c>
      <c r="B774" s="20">
        <f>Mesh!B771</f>
      </c>
      <c r="C774" s="20">
        <f>Mesh!C771</f>
      </c>
      <c r="D774" s="20">
        <f>Mesh!D771</f>
      </c>
      <c r="E774" s="37">
        <f>INDEX(St_e0,Det+1)+INDEX(St_kx,Det+1)*C774+INDEX(St_ky,Det+1)*B774</f>
      </c>
      <c r="F774" s="20">
        <f>IF(E774&gt;0,IF(E774&lt;=eco,alpha*fck*(1-(1-E774/eco)^n),alpha*fck),0)</f>
      </c>
      <c r="G774" s="19">
        <f>F774*D774</f>
      </c>
      <c r="H774" s="19">
        <f>G774*C774</f>
      </c>
      <c r="I774" s="19">
        <f>G774*B774</f>
      </c>
      <c r="K774" s="37">
        <f>Eq_e0+Eq_kx*$C774+Eq_ky*$B774</f>
      </c>
      <c r="L774" s="20">
        <f>IF(K774&gt;0,IF(K774&lt;=eco,alpha*fck*(1-(1-K774/eco)^n),alpha*fck),0)</f>
      </c>
    </row>
    <row r="775" spans="1:12" x14ac:dyDescent="0.25">
      <c r="A775">
        <f>Mesh!A772</f>
      </c>
      <c r="B775" s="20">
        <f>Mesh!B772</f>
      </c>
      <c r="C775" s="20">
        <f>Mesh!C772</f>
      </c>
      <c r="D775" s="20">
        <f>Mesh!D772</f>
      </c>
      <c r="E775" s="37">
        <f>INDEX(St_e0,Det+1)+INDEX(St_kx,Det+1)*C775+INDEX(St_ky,Det+1)*B775</f>
      </c>
      <c r="F775" s="20">
        <f>IF(E775&gt;0,IF(E775&lt;=eco,alpha*fck*(1-(1-E775/eco)^n),alpha*fck),0)</f>
      </c>
      <c r="G775" s="19">
        <f>F775*D775</f>
      </c>
      <c r="H775" s="19">
        <f>G775*C775</f>
      </c>
      <c r="I775" s="19">
        <f>G775*B775</f>
      </c>
      <c r="K775" s="37">
        <f>Eq_e0+Eq_kx*$C775+Eq_ky*$B775</f>
      </c>
      <c r="L775" s="20">
        <f>IF(K775&gt;0,IF(K775&lt;=eco,alpha*fck*(1-(1-K775/eco)^n),alpha*fck),0)</f>
      </c>
    </row>
    <row r="776" spans="1:12" x14ac:dyDescent="0.25">
      <c r="A776">
        <f>Mesh!A773</f>
      </c>
      <c r="B776" s="20">
        <f>Mesh!B773</f>
      </c>
      <c r="C776" s="20">
        <f>Mesh!C773</f>
      </c>
      <c r="D776" s="20">
        <f>Mesh!D773</f>
      </c>
      <c r="E776" s="37">
        <f>INDEX(St_e0,Det+1)+INDEX(St_kx,Det+1)*C776+INDEX(St_ky,Det+1)*B776</f>
      </c>
      <c r="F776" s="20">
        <f>IF(E776&gt;0,IF(E776&lt;=eco,alpha*fck*(1-(1-E776/eco)^n),alpha*fck),0)</f>
      </c>
      <c r="G776" s="19">
        <f>F776*D776</f>
      </c>
      <c r="H776" s="19">
        <f>G776*C776</f>
      </c>
      <c r="I776" s="19">
        <f>G776*B776</f>
      </c>
      <c r="K776" s="37">
        <f>Eq_e0+Eq_kx*$C776+Eq_ky*$B776</f>
      </c>
      <c r="L776" s="20">
        <f>IF(K776&gt;0,IF(K776&lt;=eco,alpha*fck*(1-(1-K776/eco)^n),alpha*fck),0)</f>
      </c>
    </row>
    <row r="777" spans="1:12" x14ac:dyDescent="0.25">
      <c r="A777">
        <f>Mesh!A774</f>
      </c>
      <c r="B777" s="20">
        <f>Mesh!B774</f>
      </c>
      <c r="C777" s="20">
        <f>Mesh!C774</f>
      </c>
      <c r="D777" s="20">
        <f>Mesh!D774</f>
      </c>
      <c r="E777" s="37">
        <f>INDEX(St_e0,Det+1)+INDEX(St_kx,Det+1)*C777+INDEX(St_ky,Det+1)*B777</f>
      </c>
      <c r="F777" s="20">
        <f>IF(E777&gt;0,IF(E777&lt;=eco,alpha*fck*(1-(1-E777/eco)^n),alpha*fck),0)</f>
      </c>
      <c r="G777" s="19">
        <f>F777*D777</f>
      </c>
      <c r="H777" s="19">
        <f>G777*C777</f>
      </c>
      <c r="I777" s="19">
        <f>G777*B777</f>
      </c>
      <c r="K777" s="37">
        <f>Eq_e0+Eq_kx*$C777+Eq_ky*$B777</f>
      </c>
      <c r="L777" s="20">
        <f>IF(K777&gt;0,IF(K777&lt;=eco,alpha*fck*(1-(1-K777/eco)^n),alpha*fck),0)</f>
      </c>
    </row>
    <row r="778" spans="1:12" x14ac:dyDescent="0.25">
      <c r="A778">
        <f>Mesh!A775</f>
      </c>
      <c r="B778" s="20">
        <f>Mesh!B775</f>
      </c>
      <c r="C778" s="20">
        <f>Mesh!C775</f>
      </c>
      <c r="D778" s="20">
        <f>Mesh!D775</f>
      </c>
      <c r="E778" s="37">
        <f>INDEX(St_e0,Det+1)+INDEX(St_kx,Det+1)*C778+INDEX(St_ky,Det+1)*B778</f>
      </c>
      <c r="F778" s="20">
        <f>IF(E778&gt;0,IF(E778&lt;=eco,alpha*fck*(1-(1-E778/eco)^n),alpha*fck),0)</f>
      </c>
      <c r="G778" s="19">
        <f>F778*D778</f>
      </c>
      <c r="H778" s="19">
        <f>G778*C778</f>
      </c>
      <c r="I778" s="19">
        <f>G778*B778</f>
      </c>
      <c r="K778" s="37">
        <f>Eq_e0+Eq_kx*$C778+Eq_ky*$B778</f>
      </c>
      <c r="L778" s="20">
        <f>IF(K778&gt;0,IF(K778&lt;=eco,alpha*fck*(1-(1-K778/eco)^n),alpha*fck),0)</f>
      </c>
    </row>
    <row r="779" spans="1:12" x14ac:dyDescent="0.25">
      <c r="A779">
        <f>Mesh!A776</f>
      </c>
      <c r="B779" s="20">
        <f>Mesh!B776</f>
      </c>
      <c r="C779" s="20">
        <f>Mesh!C776</f>
      </c>
      <c r="D779" s="20">
        <f>Mesh!D776</f>
      </c>
      <c r="E779" s="37">
        <f>INDEX(St_e0,Det+1)+INDEX(St_kx,Det+1)*C779+INDEX(St_ky,Det+1)*B779</f>
      </c>
      <c r="F779" s="20">
        <f>IF(E779&gt;0,IF(E779&lt;=eco,alpha*fck*(1-(1-E779/eco)^n),alpha*fck),0)</f>
      </c>
      <c r="G779" s="19">
        <f>F779*D779</f>
      </c>
      <c r="H779" s="19">
        <f>G779*C779</f>
      </c>
      <c r="I779" s="19">
        <f>G779*B779</f>
      </c>
      <c r="K779" s="37">
        <f>Eq_e0+Eq_kx*$C779+Eq_ky*$B779</f>
      </c>
      <c r="L779" s="20">
        <f>IF(K779&gt;0,IF(K779&lt;=eco,alpha*fck*(1-(1-K779/eco)^n),alpha*fck),0)</f>
      </c>
    </row>
    <row r="780" spans="1:12" x14ac:dyDescent="0.25">
      <c r="A780">
        <f>Mesh!A777</f>
      </c>
      <c r="B780" s="20">
        <f>Mesh!B777</f>
      </c>
      <c r="C780" s="20">
        <f>Mesh!C777</f>
      </c>
      <c r="D780" s="20">
        <f>Mesh!D777</f>
      </c>
      <c r="E780" s="37">
        <f>INDEX(St_e0,Det+1)+INDEX(St_kx,Det+1)*C780+INDEX(St_ky,Det+1)*B780</f>
      </c>
      <c r="F780" s="20">
        <f>IF(E780&gt;0,IF(E780&lt;=eco,alpha*fck*(1-(1-E780/eco)^n),alpha*fck),0)</f>
      </c>
      <c r="G780" s="19">
        <f>F780*D780</f>
      </c>
      <c r="H780" s="19">
        <f>G780*C780</f>
      </c>
      <c r="I780" s="19">
        <f>G780*B780</f>
      </c>
      <c r="K780" s="37">
        <f>Eq_e0+Eq_kx*$C780+Eq_ky*$B780</f>
      </c>
      <c r="L780" s="20">
        <f>IF(K780&gt;0,IF(K780&lt;=eco,alpha*fck*(1-(1-K780/eco)^n),alpha*fck),0)</f>
      </c>
    </row>
    <row r="781" spans="1:12" x14ac:dyDescent="0.25">
      <c r="A781">
        <f>Mesh!A778</f>
      </c>
      <c r="B781" s="20">
        <f>Mesh!B778</f>
      </c>
      <c r="C781" s="20">
        <f>Mesh!C778</f>
      </c>
      <c r="D781" s="20">
        <f>Mesh!D778</f>
      </c>
      <c r="E781" s="37">
        <f>INDEX(St_e0,Det+1)+INDEX(St_kx,Det+1)*C781+INDEX(St_ky,Det+1)*B781</f>
      </c>
      <c r="F781" s="20">
        <f>IF(E781&gt;0,IF(E781&lt;=eco,alpha*fck*(1-(1-E781/eco)^n),alpha*fck),0)</f>
      </c>
      <c r="G781" s="19">
        <f>F781*D781</f>
      </c>
      <c r="H781" s="19">
        <f>G781*C781</f>
      </c>
      <c r="I781" s="19">
        <f>G781*B781</f>
      </c>
      <c r="K781" s="37">
        <f>Eq_e0+Eq_kx*$C781+Eq_ky*$B781</f>
      </c>
      <c r="L781" s="20">
        <f>IF(K781&gt;0,IF(K781&lt;=eco,alpha*fck*(1-(1-K781/eco)^n),alpha*fck),0)</f>
      </c>
    </row>
    <row r="782" spans="1:12" x14ac:dyDescent="0.25">
      <c r="A782">
        <f>Mesh!A779</f>
      </c>
      <c r="B782" s="20">
        <f>Mesh!B779</f>
      </c>
      <c r="C782" s="20">
        <f>Mesh!C779</f>
      </c>
      <c r="D782" s="20">
        <f>Mesh!D779</f>
      </c>
      <c r="E782" s="37">
        <f>INDEX(St_e0,Det+1)+INDEX(St_kx,Det+1)*C782+INDEX(St_ky,Det+1)*B782</f>
      </c>
      <c r="F782" s="20">
        <f>IF(E782&gt;0,IF(E782&lt;=eco,alpha*fck*(1-(1-E782/eco)^n),alpha*fck),0)</f>
      </c>
      <c r="G782" s="19">
        <f>F782*D782</f>
      </c>
      <c r="H782" s="19">
        <f>G782*C782</f>
      </c>
      <c r="I782" s="19">
        <f>G782*B782</f>
      </c>
      <c r="K782" s="37">
        <f>Eq_e0+Eq_kx*$C782+Eq_ky*$B782</f>
      </c>
      <c r="L782" s="20">
        <f>IF(K782&gt;0,IF(K782&lt;=eco,alpha*fck*(1-(1-K782/eco)^n),alpha*fck),0)</f>
      </c>
    </row>
    <row r="783" spans="1:12" x14ac:dyDescent="0.25">
      <c r="A783">
        <f>Mesh!A780</f>
      </c>
      <c r="B783" s="20">
        <f>Mesh!B780</f>
      </c>
      <c r="C783" s="20">
        <f>Mesh!C780</f>
      </c>
      <c r="D783" s="20">
        <f>Mesh!D780</f>
      </c>
      <c r="E783" s="37">
        <f>INDEX(St_e0,Det+1)+INDEX(St_kx,Det+1)*C783+INDEX(St_ky,Det+1)*B783</f>
      </c>
      <c r="F783" s="20">
        <f>IF(E783&gt;0,IF(E783&lt;=eco,alpha*fck*(1-(1-E783/eco)^n),alpha*fck),0)</f>
      </c>
      <c r="G783" s="19">
        <f>F783*D783</f>
      </c>
      <c r="H783" s="19">
        <f>G783*C783</f>
      </c>
      <c r="I783" s="19">
        <f>G783*B783</f>
      </c>
      <c r="K783" s="37">
        <f>Eq_e0+Eq_kx*$C783+Eq_ky*$B783</f>
      </c>
      <c r="L783" s="20">
        <f>IF(K783&gt;0,IF(K783&lt;=eco,alpha*fck*(1-(1-K783/eco)^n),alpha*fck),0)</f>
      </c>
    </row>
    <row r="784" spans="1:12" x14ac:dyDescent="0.25">
      <c r="A784">
        <f>Mesh!A781</f>
      </c>
      <c r="B784" s="20">
        <f>Mesh!B781</f>
      </c>
      <c r="C784" s="20">
        <f>Mesh!C781</f>
      </c>
      <c r="D784" s="20">
        <f>Mesh!D781</f>
      </c>
      <c r="E784" s="37">
        <f>INDEX(St_e0,Det+1)+INDEX(St_kx,Det+1)*C784+INDEX(St_ky,Det+1)*B784</f>
      </c>
      <c r="F784" s="20">
        <f>IF(E784&gt;0,IF(E784&lt;=eco,alpha*fck*(1-(1-E784/eco)^n),alpha*fck),0)</f>
      </c>
      <c r="G784" s="19">
        <f>F784*D784</f>
      </c>
      <c r="H784" s="19">
        <f>G784*C784</f>
      </c>
      <c r="I784" s="19">
        <f>G784*B784</f>
      </c>
      <c r="K784" s="37">
        <f>Eq_e0+Eq_kx*$C784+Eq_ky*$B784</f>
      </c>
      <c r="L784" s="20">
        <f>IF(K784&gt;0,IF(K784&lt;=eco,alpha*fck*(1-(1-K784/eco)^n),alpha*fck),0)</f>
      </c>
    </row>
    <row r="785" spans="1:12" x14ac:dyDescent="0.25">
      <c r="A785">
        <f>Mesh!A782</f>
      </c>
      <c r="B785" s="20">
        <f>Mesh!B782</f>
      </c>
      <c r="C785" s="20">
        <f>Mesh!C782</f>
      </c>
      <c r="D785" s="20">
        <f>Mesh!D782</f>
      </c>
      <c r="E785" s="37">
        <f>INDEX(St_e0,Det+1)+INDEX(St_kx,Det+1)*C785+INDEX(St_ky,Det+1)*B785</f>
      </c>
      <c r="F785" s="20">
        <f>IF(E785&gt;0,IF(E785&lt;=eco,alpha*fck*(1-(1-E785/eco)^n),alpha*fck),0)</f>
      </c>
      <c r="G785" s="19">
        <f>F785*D785</f>
      </c>
      <c r="H785" s="19">
        <f>G785*C785</f>
      </c>
      <c r="I785" s="19">
        <f>G785*B785</f>
      </c>
      <c r="K785" s="37">
        <f>Eq_e0+Eq_kx*$C785+Eq_ky*$B785</f>
      </c>
      <c r="L785" s="20">
        <f>IF(K785&gt;0,IF(K785&lt;=eco,alpha*fck*(1-(1-K785/eco)^n),alpha*fck),0)</f>
      </c>
    </row>
    <row r="786" spans="1:12" x14ac:dyDescent="0.25">
      <c r="A786">
        <f>Mesh!A783</f>
      </c>
      <c r="B786" s="20">
        <f>Mesh!B783</f>
      </c>
      <c r="C786" s="20">
        <f>Mesh!C783</f>
      </c>
      <c r="D786" s="20">
        <f>Mesh!D783</f>
      </c>
      <c r="E786" s="37">
        <f>INDEX(St_e0,Det+1)+INDEX(St_kx,Det+1)*C786+INDEX(St_ky,Det+1)*B786</f>
      </c>
      <c r="F786" s="20">
        <f>IF(E786&gt;0,IF(E786&lt;=eco,alpha*fck*(1-(1-E786/eco)^n),alpha*fck),0)</f>
      </c>
      <c r="G786" s="19">
        <f>F786*D786</f>
      </c>
      <c r="H786" s="19">
        <f>G786*C786</f>
      </c>
      <c r="I786" s="19">
        <f>G786*B786</f>
      </c>
      <c r="K786" s="37">
        <f>Eq_e0+Eq_kx*$C786+Eq_ky*$B786</f>
      </c>
      <c r="L786" s="20">
        <f>IF(K786&gt;0,IF(K786&lt;=eco,alpha*fck*(1-(1-K786/eco)^n),alpha*fck),0)</f>
      </c>
    </row>
    <row r="787" spans="1:12" x14ac:dyDescent="0.25">
      <c r="A787">
        <f>Mesh!A784</f>
      </c>
      <c r="B787" s="20">
        <f>Mesh!B784</f>
      </c>
      <c r="C787" s="20">
        <f>Mesh!C784</f>
      </c>
      <c r="D787" s="20">
        <f>Mesh!D784</f>
      </c>
      <c r="E787" s="37">
        <f>INDEX(St_e0,Det+1)+INDEX(St_kx,Det+1)*C787+INDEX(St_ky,Det+1)*B787</f>
      </c>
      <c r="F787" s="20">
        <f>IF(E787&gt;0,IF(E787&lt;=eco,alpha*fck*(1-(1-E787/eco)^n),alpha*fck),0)</f>
      </c>
      <c r="G787" s="19">
        <f>F787*D787</f>
      </c>
      <c r="H787" s="19">
        <f>G787*C787</f>
      </c>
      <c r="I787" s="19">
        <f>G787*B787</f>
      </c>
      <c r="K787" s="37">
        <f>Eq_e0+Eq_kx*$C787+Eq_ky*$B787</f>
      </c>
      <c r="L787" s="20">
        <f>IF(K787&gt;0,IF(K787&lt;=eco,alpha*fck*(1-(1-K787/eco)^n),alpha*fck),0)</f>
      </c>
    </row>
    <row r="788" spans="1:12" x14ac:dyDescent="0.25">
      <c r="A788">
        <f>Mesh!A785</f>
      </c>
      <c r="B788" s="20">
        <f>Mesh!B785</f>
      </c>
      <c r="C788" s="20">
        <f>Mesh!C785</f>
      </c>
      <c r="D788" s="20">
        <f>Mesh!D785</f>
      </c>
      <c r="E788" s="37">
        <f>INDEX(St_e0,Det+1)+INDEX(St_kx,Det+1)*C788+INDEX(St_ky,Det+1)*B788</f>
      </c>
      <c r="F788" s="20">
        <f>IF(E788&gt;0,IF(E788&lt;=eco,alpha*fck*(1-(1-E788/eco)^n),alpha*fck),0)</f>
      </c>
      <c r="G788" s="19">
        <f>F788*D788</f>
      </c>
      <c r="H788" s="19">
        <f>G788*C788</f>
      </c>
      <c r="I788" s="19">
        <f>G788*B788</f>
      </c>
      <c r="K788" s="37">
        <f>Eq_e0+Eq_kx*$C788+Eq_ky*$B788</f>
      </c>
      <c r="L788" s="20">
        <f>IF(K788&gt;0,IF(K788&lt;=eco,alpha*fck*(1-(1-K788/eco)^n),alpha*fck),0)</f>
      </c>
    </row>
    <row r="789" spans="1:12" x14ac:dyDescent="0.25">
      <c r="A789">
        <f>Mesh!A786</f>
      </c>
      <c r="B789" s="20">
        <f>Mesh!B786</f>
      </c>
      <c r="C789" s="20">
        <f>Mesh!C786</f>
      </c>
      <c r="D789" s="20">
        <f>Mesh!D786</f>
      </c>
      <c r="E789" s="37">
        <f>INDEX(St_e0,Det+1)+INDEX(St_kx,Det+1)*C789+INDEX(St_ky,Det+1)*B789</f>
      </c>
      <c r="F789" s="20">
        <f>IF(E789&gt;0,IF(E789&lt;=eco,alpha*fck*(1-(1-E789/eco)^n),alpha*fck),0)</f>
      </c>
      <c r="G789" s="19">
        <f>F789*D789</f>
      </c>
      <c r="H789" s="19">
        <f>G789*C789</f>
      </c>
      <c r="I789" s="19">
        <f>G789*B789</f>
      </c>
      <c r="K789" s="37">
        <f>Eq_e0+Eq_kx*$C789+Eq_ky*$B789</f>
      </c>
      <c r="L789" s="20">
        <f>IF(K789&gt;0,IF(K789&lt;=eco,alpha*fck*(1-(1-K789/eco)^n),alpha*fck),0)</f>
      </c>
    </row>
    <row r="790" spans="1:12" x14ac:dyDescent="0.25">
      <c r="A790">
        <f>Mesh!A787</f>
      </c>
      <c r="B790" s="20">
        <f>Mesh!B787</f>
      </c>
      <c r="C790" s="20">
        <f>Mesh!C787</f>
      </c>
      <c r="D790" s="20">
        <f>Mesh!D787</f>
      </c>
      <c r="E790" s="37">
        <f>INDEX(St_e0,Det+1)+INDEX(St_kx,Det+1)*C790+INDEX(St_ky,Det+1)*B790</f>
      </c>
      <c r="F790" s="20">
        <f>IF(E790&gt;0,IF(E790&lt;=eco,alpha*fck*(1-(1-E790/eco)^n),alpha*fck),0)</f>
      </c>
      <c r="G790" s="19">
        <f>F790*D790</f>
      </c>
      <c r="H790" s="19">
        <f>G790*C790</f>
      </c>
      <c r="I790" s="19">
        <f>G790*B790</f>
      </c>
      <c r="K790" s="37">
        <f>Eq_e0+Eq_kx*$C790+Eq_ky*$B790</f>
      </c>
      <c r="L790" s="20">
        <f>IF(K790&gt;0,IF(K790&lt;=eco,alpha*fck*(1-(1-K790/eco)^n),alpha*fck),0)</f>
      </c>
    </row>
    <row r="791" spans="1:12" x14ac:dyDescent="0.25">
      <c r="A791">
        <f>Mesh!A788</f>
      </c>
      <c r="B791" s="20">
        <f>Mesh!B788</f>
      </c>
      <c r="C791" s="20">
        <f>Mesh!C788</f>
      </c>
      <c r="D791" s="20">
        <f>Mesh!D788</f>
      </c>
      <c r="E791" s="37">
        <f>INDEX(St_e0,Det+1)+INDEX(St_kx,Det+1)*C791+INDEX(St_ky,Det+1)*B791</f>
      </c>
      <c r="F791" s="20">
        <f>IF(E791&gt;0,IF(E791&lt;=eco,alpha*fck*(1-(1-E791/eco)^n),alpha*fck),0)</f>
      </c>
      <c r="G791" s="19">
        <f>F791*D791</f>
      </c>
      <c r="H791" s="19">
        <f>G791*C791</f>
      </c>
      <c r="I791" s="19">
        <f>G791*B791</f>
      </c>
      <c r="K791" s="37">
        <f>Eq_e0+Eq_kx*$C791+Eq_ky*$B791</f>
      </c>
      <c r="L791" s="20">
        <f>IF(K791&gt;0,IF(K791&lt;=eco,alpha*fck*(1-(1-K791/eco)^n),alpha*fck),0)</f>
      </c>
    </row>
    <row r="792" spans="1:12" x14ac:dyDescent="0.25">
      <c r="A792">
        <f>Mesh!A789</f>
      </c>
      <c r="B792" s="20">
        <f>Mesh!B789</f>
      </c>
      <c r="C792" s="20">
        <f>Mesh!C789</f>
      </c>
      <c r="D792" s="20">
        <f>Mesh!D789</f>
      </c>
      <c r="E792" s="37">
        <f>INDEX(St_e0,Det+1)+INDEX(St_kx,Det+1)*C792+INDEX(St_ky,Det+1)*B792</f>
      </c>
      <c r="F792" s="20">
        <f>IF(E792&gt;0,IF(E792&lt;=eco,alpha*fck*(1-(1-E792/eco)^n),alpha*fck),0)</f>
      </c>
      <c r="G792" s="19">
        <f>F792*D792</f>
      </c>
      <c r="H792" s="19">
        <f>G792*C792</f>
      </c>
      <c r="I792" s="19">
        <f>G792*B792</f>
      </c>
      <c r="K792" s="37">
        <f>Eq_e0+Eq_kx*$C792+Eq_ky*$B792</f>
      </c>
      <c r="L792" s="20">
        <f>IF(K792&gt;0,IF(K792&lt;=eco,alpha*fck*(1-(1-K792/eco)^n),alpha*fck),0)</f>
      </c>
    </row>
    <row r="793" spans="1:12" x14ac:dyDescent="0.25">
      <c r="A793">
        <f>Mesh!A790</f>
      </c>
      <c r="B793" s="20">
        <f>Mesh!B790</f>
      </c>
      <c r="C793" s="20">
        <f>Mesh!C790</f>
      </c>
      <c r="D793" s="20">
        <f>Mesh!D790</f>
      </c>
      <c r="E793" s="37">
        <f>INDEX(St_e0,Det+1)+INDEX(St_kx,Det+1)*C793+INDEX(St_ky,Det+1)*B793</f>
      </c>
      <c r="F793" s="20">
        <f>IF(E793&gt;0,IF(E793&lt;=eco,alpha*fck*(1-(1-E793/eco)^n),alpha*fck),0)</f>
      </c>
      <c r="G793" s="19">
        <f>F793*D793</f>
      </c>
      <c r="H793" s="19">
        <f>G793*C793</f>
      </c>
      <c r="I793" s="19">
        <f>G793*B793</f>
      </c>
      <c r="K793" s="37">
        <f>Eq_e0+Eq_kx*$C793+Eq_ky*$B793</f>
      </c>
      <c r="L793" s="20">
        <f>IF(K793&gt;0,IF(K793&lt;=eco,alpha*fck*(1-(1-K793/eco)^n),alpha*fck),0)</f>
      </c>
    </row>
    <row r="794" spans="1:12" x14ac:dyDescent="0.25">
      <c r="A794">
        <f>Mesh!A791</f>
      </c>
      <c r="B794" s="20">
        <f>Mesh!B791</f>
      </c>
      <c r="C794" s="20">
        <f>Mesh!C791</f>
      </c>
      <c r="D794" s="20">
        <f>Mesh!D791</f>
      </c>
      <c r="E794" s="37">
        <f>INDEX(St_e0,Det+1)+INDEX(St_kx,Det+1)*C794+INDEX(St_ky,Det+1)*B794</f>
      </c>
      <c r="F794" s="20">
        <f>IF(E794&gt;0,IF(E794&lt;=eco,alpha*fck*(1-(1-E794/eco)^n),alpha*fck),0)</f>
      </c>
      <c r="G794" s="19">
        <f>F794*D794</f>
      </c>
      <c r="H794" s="19">
        <f>G794*C794</f>
      </c>
      <c r="I794" s="19">
        <f>G794*B794</f>
      </c>
      <c r="K794" s="37">
        <f>Eq_e0+Eq_kx*$C794+Eq_ky*$B794</f>
      </c>
      <c r="L794" s="20">
        <f>IF(K794&gt;0,IF(K794&lt;=eco,alpha*fck*(1-(1-K794/eco)^n),alpha*fck),0)</f>
      </c>
    </row>
    <row r="795" spans="1:12" x14ac:dyDescent="0.25">
      <c r="A795">
        <f>Mesh!A792</f>
      </c>
      <c r="B795" s="20">
        <f>Mesh!B792</f>
      </c>
      <c r="C795" s="20">
        <f>Mesh!C792</f>
      </c>
      <c r="D795" s="20">
        <f>Mesh!D792</f>
      </c>
      <c r="E795" s="37">
        <f>INDEX(St_e0,Det+1)+INDEX(St_kx,Det+1)*C795+INDEX(St_ky,Det+1)*B795</f>
      </c>
      <c r="F795" s="20">
        <f>IF(E795&gt;0,IF(E795&lt;=eco,alpha*fck*(1-(1-E795/eco)^n),alpha*fck),0)</f>
      </c>
      <c r="G795" s="19">
        <f>F795*D795</f>
      </c>
      <c r="H795" s="19">
        <f>G795*C795</f>
      </c>
      <c r="I795" s="19">
        <f>G795*B795</f>
      </c>
      <c r="K795" s="37">
        <f>Eq_e0+Eq_kx*$C795+Eq_ky*$B795</f>
      </c>
      <c r="L795" s="20">
        <f>IF(K795&gt;0,IF(K795&lt;=eco,alpha*fck*(1-(1-K795/eco)^n),alpha*fck),0)</f>
      </c>
    </row>
    <row r="796" spans="1:12" x14ac:dyDescent="0.25">
      <c r="A796">
        <f>Mesh!A793</f>
      </c>
      <c r="B796" s="20">
        <f>Mesh!B793</f>
      </c>
      <c r="C796" s="20">
        <f>Mesh!C793</f>
      </c>
      <c r="D796" s="20">
        <f>Mesh!D793</f>
      </c>
      <c r="E796" s="37">
        <f>INDEX(St_e0,Det+1)+INDEX(St_kx,Det+1)*C796+INDEX(St_ky,Det+1)*B796</f>
      </c>
      <c r="F796" s="20">
        <f>IF(E796&gt;0,IF(E796&lt;=eco,alpha*fck*(1-(1-E796/eco)^n),alpha*fck),0)</f>
      </c>
      <c r="G796" s="19">
        <f>F796*D796</f>
      </c>
      <c r="H796" s="19">
        <f>G796*C796</f>
      </c>
      <c r="I796" s="19">
        <f>G796*B796</f>
      </c>
      <c r="K796" s="37">
        <f>Eq_e0+Eq_kx*$C796+Eq_ky*$B796</f>
      </c>
      <c r="L796" s="20">
        <f>IF(K796&gt;0,IF(K796&lt;=eco,alpha*fck*(1-(1-K796/eco)^n),alpha*fck),0)</f>
      </c>
    </row>
    <row r="797" spans="1:12" x14ac:dyDescent="0.25">
      <c r="A797">
        <f>Mesh!A794</f>
      </c>
      <c r="B797" s="20">
        <f>Mesh!B794</f>
      </c>
      <c r="C797" s="20">
        <f>Mesh!C794</f>
      </c>
      <c r="D797" s="20">
        <f>Mesh!D794</f>
      </c>
      <c r="E797" s="37">
        <f>INDEX(St_e0,Det+1)+INDEX(St_kx,Det+1)*C797+INDEX(St_ky,Det+1)*B797</f>
      </c>
      <c r="F797" s="20">
        <f>IF(E797&gt;0,IF(E797&lt;=eco,alpha*fck*(1-(1-E797/eco)^n),alpha*fck),0)</f>
      </c>
      <c r="G797" s="19">
        <f>F797*D797</f>
      </c>
      <c r="H797" s="19">
        <f>G797*C797</f>
      </c>
      <c r="I797" s="19">
        <f>G797*B797</f>
      </c>
      <c r="K797" s="37">
        <f>Eq_e0+Eq_kx*$C797+Eq_ky*$B797</f>
      </c>
      <c r="L797" s="20">
        <f>IF(K797&gt;0,IF(K797&lt;=eco,alpha*fck*(1-(1-K797/eco)^n),alpha*fck),0)</f>
      </c>
    </row>
    <row r="798" spans="1:12" x14ac:dyDescent="0.25">
      <c r="A798">
        <f>Mesh!A795</f>
      </c>
      <c r="B798" s="20">
        <f>Mesh!B795</f>
      </c>
      <c r="C798" s="20">
        <f>Mesh!C795</f>
      </c>
      <c r="D798" s="20">
        <f>Mesh!D795</f>
      </c>
      <c r="E798" s="37">
        <f>INDEX(St_e0,Det+1)+INDEX(St_kx,Det+1)*C798+INDEX(St_ky,Det+1)*B798</f>
      </c>
      <c r="F798" s="20">
        <f>IF(E798&gt;0,IF(E798&lt;=eco,alpha*fck*(1-(1-E798/eco)^n),alpha*fck),0)</f>
      </c>
      <c r="G798" s="19">
        <f>F798*D798</f>
      </c>
      <c r="H798" s="19">
        <f>G798*C798</f>
      </c>
      <c r="I798" s="19">
        <f>G798*B798</f>
      </c>
      <c r="K798" s="37">
        <f>Eq_e0+Eq_kx*$C798+Eq_ky*$B798</f>
      </c>
      <c r="L798" s="20">
        <f>IF(K798&gt;0,IF(K798&lt;=eco,alpha*fck*(1-(1-K798/eco)^n),alpha*fck),0)</f>
      </c>
    </row>
    <row r="799" spans="1:12" x14ac:dyDescent="0.25">
      <c r="A799">
        <f>Mesh!A796</f>
      </c>
      <c r="B799" s="20">
        <f>Mesh!B796</f>
      </c>
      <c r="C799" s="20">
        <f>Mesh!C796</f>
      </c>
      <c r="D799" s="20">
        <f>Mesh!D796</f>
      </c>
      <c r="E799" s="37">
        <f>INDEX(St_e0,Det+1)+INDEX(St_kx,Det+1)*C799+INDEX(St_ky,Det+1)*B799</f>
      </c>
      <c r="F799" s="20">
        <f>IF(E799&gt;0,IF(E799&lt;=eco,alpha*fck*(1-(1-E799/eco)^n),alpha*fck),0)</f>
      </c>
      <c r="G799" s="19">
        <f>F799*D799</f>
      </c>
      <c r="H799" s="19">
        <f>G799*C799</f>
      </c>
      <c r="I799" s="19">
        <f>G799*B799</f>
      </c>
      <c r="K799" s="37">
        <f>Eq_e0+Eq_kx*$C799+Eq_ky*$B799</f>
      </c>
      <c r="L799" s="20">
        <f>IF(K799&gt;0,IF(K799&lt;=eco,alpha*fck*(1-(1-K799/eco)^n),alpha*fck),0)</f>
      </c>
    </row>
    <row r="800" spans="1:12" x14ac:dyDescent="0.25">
      <c r="A800">
        <f>Mesh!A797</f>
      </c>
      <c r="B800" s="20">
        <f>Mesh!B797</f>
      </c>
      <c r="C800" s="20">
        <f>Mesh!C797</f>
      </c>
      <c r="D800" s="20">
        <f>Mesh!D797</f>
      </c>
      <c r="E800" s="37">
        <f>INDEX(St_e0,Det+1)+INDEX(St_kx,Det+1)*C800+INDEX(St_ky,Det+1)*B800</f>
      </c>
      <c r="F800" s="20">
        <f>IF(E800&gt;0,IF(E800&lt;=eco,alpha*fck*(1-(1-E800/eco)^n),alpha*fck),0)</f>
      </c>
      <c r="G800" s="19">
        <f>F800*D800</f>
      </c>
      <c r="H800" s="19">
        <f>G800*C800</f>
      </c>
      <c r="I800" s="19">
        <f>G800*B800</f>
      </c>
      <c r="K800" s="37">
        <f>Eq_e0+Eq_kx*$C800+Eq_ky*$B800</f>
      </c>
      <c r="L800" s="20">
        <f>IF(K800&gt;0,IF(K800&lt;=eco,alpha*fck*(1-(1-K800/eco)^n),alpha*fck),0)</f>
      </c>
    </row>
    <row r="801" spans="1:12" x14ac:dyDescent="0.25">
      <c r="A801">
        <f>Mesh!A798</f>
      </c>
      <c r="B801" s="20">
        <f>Mesh!B798</f>
      </c>
      <c r="C801" s="20">
        <f>Mesh!C798</f>
      </c>
      <c r="D801" s="20">
        <f>Mesh!D798</f>
      </c>
      <c r="E801" s="37">
        <f>INDEX(St_e0,Det+1)+INDEX(St_kx,Det+1)*C801+INDEX(St_ky,Det+1)*B801</f>
      </c>
      <c r="F801" s="20">
        <f>IF(E801&gt;0,IF(E801&lt;=eco,alpha*fck*(1-(1-E801/eco)^n),alpha*fck),0)</f>
      </c>
      <c r="G801" s="19">
        <f>F801*D801</f>
      </c>
      <c r="H801" s="19">
        <f>G801*C801</f>
      </c>
      <c r="I801" s="19">
        <f>G801*B801</f>
      </c>
      <c r="K801" s="37">
        <f>Eq_e0+Eq_kx*$C801+Eq_ky*$B801</f>
      </c>
      <c r="L801" s="20">
        <f>IF(K801&gt;0,IF(K801&lt;=eco,alpha*fck*(1-(1-K801/eco)^n),alpha*fck),0)</f>
      </c>
    </row>
    <row r="802" spans="1:12" x14ac:dyDescent="0.25">
      <c r="A802">
        <f>Mesh!A799</f>
      </c>
      <c r="B802" s="20">
        <f>Mesh!B799</f>
      </c>
      <c r="C802" s="20">
        <f>Mesh!C799</f>
      </c>
      <c r="D802" s="20">
        <f>Mesh!D799</f>
      </c>
      <c r="E802" s="37">
        <f>INDEX(St_e0,Det+1)+INDEX(St_kx,Det+1)*C802+INDEX(St_ky,Det+1)*B802</f>
      </c>
      <c r="F802" s="20">
        <f>IF(E802&gt;0,IF(E802&lt;=eco,alpha*fck*(1-(1-E802/eco)^n),alpha*fck),0)</f>
      </c>
      <c r="G802" s="19">
        <f>F802*D802</f>
      </c>
      <c r="H802" s="19">
        <f>G802*C802</f>
      </c>
      <c r="I802" s="19">
        <f>G802*B802</f>
      </c>
      <c r="K802" s="37">
        <f>Eq_e0+Eq_kx*$C802+Eq_ky*$B802</f>
      </c>
      <c r="L802" s="20">
        <f>IF(K802&gt;0,IF(K802&lt;=eco,alpha*fck*(1-(1-K802/eco)^n),alpha*fck),0)</f>
      </c>
    </row>
    <row r="803" spans="1:12" x14ac:dyDescent="0.25">
      <c r="A803">
        <f>Mesh!A800</f>
      </c>
      <c r="B803" s="20">
        <f>Mesh!B800</f>
      </c>
      <c r="C803" s="20">
        <f>Mesh!C800</f>
      </c>
      <c r="D803" s="20">
        <f>Mesh!D800</f>
      </c>
      <c r="E803" s="37">
        <f>INDEX(St_e0,Det+1)+INDEX(St_kx,Det+1)*C803+INDEX(St_ky,Det+1)*B803</f>
      </c>
      <c r="F803" s="20">
        <f>IF(E803&gt;0,IF(E803&lt;=eco,alpha*fck*(1-(1-E803/eco)^n),alpha*fck),0)</f>
      </c>
      <c r="G803" s="19">
        <f>F803*D803</f>
      </c>
      <c r="H803" s="19">
        <f>G803*C803</f>
      </c>
      <c r="I803" s="19">
        <f>G803*B803</f>
      </c>
      <c r="K803" s="37">
        <f>Eq_e0+Eq_kx*$C803+Eq_ky*$B803</f>
      </c>
      <c r="L803" s="20">
        <f>IF(K803&gt;0,IF(K803&lt;=eco,alpha*fck*(1-(1-K803/eco)^n),alpha*fck),0)</f>
      </c>
    </row>
    <row r="804" spans="1:12" x14ac:dyDescent="0.25">
      <c r="A804">
        <f>Mesh!A801</f>
      </c>
      <c r="B804" s="20">
        <f>Mesh!B801</f>
      </c>
      <c r="C804" s="20">
        <f>Mesh!C801</f>
      </c>
      <c r="D804" s="20">
        <f>Mesh!D801</f>
      </c>
      <c r="E804" s="37">
        <f>INDEX(St_e0,Det+1)+INDEX(St_kx,Det+1)*C804+INDEX(St_ky,Det+1)*B804</f>
      </c>
      <c r="F804" s="20">
        <f>IF(E804&gt;0,IF(E804&lt;=eco,alpha*fck*(1-(1-E804/eco)^n),alpha*fck),0)</f>
      </c>
      <c r="G804" s="19">
        <f>F804*D804</f>
      </c>
      <c r="H804" s="19">
        <f>G804*C804</f>
      </c>
      <c r="I804" s="19">
        <f>G804*B804</f>
      </c>
      <c r="K804" s="37">
        <f>Eq_e0+Eq_kx*$C804+Eq_ky*$B804</f>
      </c>
      <c r="L804" s="20">
        <f>IF(K804&gt;0,IF(K804&lt;=eco,alpha*fck*(1-(1-K804/eco)^n),alpha*fck),0)</f>
      </c>
    </row>
    <row r="805" spans="1:12" x14ac:dyDescent="0.25">
      <c r="A805">
        <f>Mesh!A802</f>
      </c>
      <c r="B805" s="20">
        <f>Mesh!B802</f>
      </c>
      <c r="C805" s="20">
        <f>Mesh!C802</f>
      </c>
      <c r="D805" s="20">
        <f>Mesh!D802</f>
      </c>
      <c r="E805" s="37">
        <f>INDEX(St_e0,Det+1)+INDEX(St_kx,Det+1)*C805+INDEX(St_ky,Det+1)*B805</f>
      </c>
      <c r="F805" s="20">
        <f>IF(E805&gt;0,IF(E805&lt;=eco,alpha*fck*(1-(1-E805/eco)^n),alpha*fck),0)</f>
      </c>
      <c r="G805" s="19">
        <f>F805*D805</f>
      </c>
      <c r="H805" s="19">
        <f>G805*C805</f>
      </c>
      <c r="I805" s="19">
        <f>G805*B805</f>
      </c>
      <c r="K805" s="37">
        <f>Eq_e0+Eq_kx*$C805+Eq_ky*$B805</f>
      </c>
      <c r="L805" s="20">
        <f>IF(K805&gt;0,IF(K805&lt;=eco,alpha*fck*(1-(1-K805/eco)^n),alpha*fck),0)</f>
      </c>
    </row>
    <row r="806" spans="1:12" x14ac:dyDescent="0.25">
      <c r="A806">
        <f>Mesh!A803</f>
      </c>
      <c r="B806" s="20">
        <f>Mesh!B803</f>
      </c>
      <c r="C806" s="20">
        <f>Mesh!C803</f>
      </c>
      <c r="D806" s="20">
        <f>Mesh!D803</f>
      </c>
      <c r="E806" s="37">
        <f>INDEX(St_e0,Det+1)+INDEX(St_kx,Det+1)*C806+INDEX(St_ky,Det+1)*B806</f>
      </c>
      <c r="F806" s="20">
        <f>IF(E806&gt;0,IF(E806&lt;=eco,alpha*fck*(1-(1-E806/eco)^n),alpha*fck),0)</f>
      </c>
      <c r="G806" s="19">
        <f>F806*D806</f>
      </c>
      <c r="H806" s="19">
        <f>G806*C806</f>
      </c>
      <c r="I806" s="19">
        <f>G806*B806</f>
      </c>
      <c r="K806" s="37">
        <f>Eq_e0+Eq_kx*$C806+Eq_ky*$B806</f>
      </c>
      <c r="L806" s="20">
        <f>IF(K806&gt;0,IF(K806&lt;=eco,alpha*fck*(1-(1-K806/eco)^n),alpha*fck),0)</f>
      </c>
    </row>
    <row r="807" spans="1:12" x14ac:dyDescent="0.25">
      <c r="A807">
        <f>Mesh!A804</f>
      </c>
      <c r="B807" s="20">
        <f>Mesh!B804</f>
      </c>
      <c r="C807" s="20">
        <f>Mesh!C804</f>
      </c>
      <c r="D807" s="20">
        <f>Mesh!D804</f>
      </c>
      <c r="E807" s="37">
        <f>INDEX(St_e0,Det+1)+INDEX(St_kx,Det+1)*C807+INDEX(St_ky,Det+1)*B807</f>
      </c>
      <c r="F807" s="20">
        <f>IF(E807&gt;0,IF(E807&lt;=eco,alpha*fck*(1-(1-E807/eco)^n),alpha*fck),0)</f>
      </c>
      <c r="G807" s="19">
        <f>F807*D807</f>
      </c>
      <c r="H807" s="19">
        <f>G807*C807</f>
      </c>
      <c r="I807" s="19">
        <f>G807*B807</f>
      </c>
      <c r="K807" s="37">
        <f>Eq_e0+Eq_kx*$C807+Eq_ky*$B807</f>
      </c>
      <c r="L807" s="20">
        <f>IF(K807&gt;0,IF(K807&lt;=eco,alpha*fck*(1-(1-K807/eco)^n),alpha*fck),0)</f>
      </c>
    </row>
    <row r="808" spans="1:12" x14ac:dyDescent="0.25">
      <c r="A808">
        <f>Mesh!A805</f>
      </c>
      <c r="B808" s="20">
        <f>Mesh!B805</f>
      </c>
      <c r="C808" s="20">
        <f>Mesh!C805</f>
      </c>
      <c r="D808" s="20">
        <f>Mesh!D805</f>
      </c>
      <c r="E808" s="37">
        <f>INDEX(St_e0,Det+1)+INDEX(St_kx,Det+1)*C808+INDEX(St_ky,Det+1)*B808</f>
      </c>
      <c r="F808" s="20">
        <f>IF(E808&gt;0,IF(E808&lt;=eco,alpha*fck*(1-(1-E808/eco)^n),alpha*fck),0)</f>
      </c>
      <c r="G808" s="19">
        <f>F808*D808</f>
      </c>
      <c r="H808" s="19">
        <f>G808*C808</f>
      </c>
      <c r="I808" s="19">
        <f>G808*B808</f>
      </c>
      <c r="K808" s="37">
        <f>Eq_e0+Eq_kx*$C808+Eq_ky*$B808</f>
      </c>
      <c r="L808" s="20">
        <f>IF(K808&gt;0,IF(K808&lt;=eco,alpha*fck*(1-(1-K808/eco)^n),alpha*fck),0)</f>
      </c>
    </row>
    <row r="809" spans="1:12" x14ac:dyDescent="0.25">
      <c r="A809">
        <f>Mesh!A806</f>
      </c>
      <c r="B809" s="20">
        <f>Mesh!B806</f>
      </c>
      <c r="C809" s="20">
        <f>Mesh!C806</f>
      </c>
      <c r="D809" s="20">
        <f>Mesh!D806</f>
      </c>
      <c r="E809" s="37">
        <f>INDEX(St_e0,Det+1)+INDEX(St_kx,Det+1)*C809+INDEX(St_ky,Det+1)*B809</f>
      </c>
      <c r="F809" s="20">
        <f>IF(E809&gt;0,IF(E809&lt;=eco,alpha*fck*(1-(1-E809/eco)^n),alpha*fck),0)</f>
      </c>
      <c r="G809" s="19">
        <f>F809*D809</f>
      </c>
      <c r="H809" s="19">
        <f>G809*C809</f>
      </c>
      <c r="I809" s="19">
        <f>G809*B809</f>
      </c>
      <c r="K809" s="37">
        <f>Eq_e0+Eq_kx*$C809+Eq_ky*$B809</f>
      </c>
      <c r="L809" s="20">
        <f>IF(K809&gt;0,IF(K809&lt;=eco,alpha*fck*(1-(1-K809/eco)^n),alpha*fck),0)</f>
      </c>
    </row>
    <row r="810" spans="1:12" x14ac:dyDescent="0.25">
      <c r="A810">
        <f>Mesh!A807</f>
      </c>
      <c r="B810" s="20">
        <f>Mesh!B807</f>
      </c>
      <c r="C810" s="20">
        <f>Mesh!C807</f>
      </c>
      <c r="D810" s="20">
        <f>Mesh!D807</f>
      </c>
      <c r="E810" s="37">
        <f>INDEX(St_e0,Det+1)+INDEX(St_kx,Det+1)*C810+INDEX(St_ky,Det+1)*B810</f>
      </c>
      <c r="F810" s="20">
        <f>IF(E810&gt;0,IF(E810&lt;=eco,alpha*fck*(1-(1-E810/eco)^n),alpha*fck),0)</f>
      </c>
      <c r="G810" s="19">
        <f>F810*D810</f>
      </c>
      <c r="H810" s="19">
        <f>G810*C810</f>
      </c>
      <c r="I810" s="19">
        <f>G810*B810</f>
      </c>
      <c r="K810" s="37">
        <f>Eq_e0+Eq_kx*$C810+Eq_ky*$B810</f>
      </c>
      <c r="L810" s="20">
        <f>IF(K810&gt;0,IF(K810&lt;=eco,alpha*fck*(1-(1-K810/eco)^n),alpha*fck),0)</f>
      </c>
    </row>
    <row r="811" spans="1:12" x14ac:dyDescent="0.25">
      <c r="A811">
        <f>Mesh!A808</f>
      </c>
      <c r="B811" s="20">
        <f>Mesh!B808</f>
      </c>
      <c r="C811" s="20">
        <f>Mesh!C808</f>
      </c>
      <c r="D811" s="20">
        <f>Mesh!D808</f>
      </c>
      <c r="E811" s="37">
        <f>INDEX(St_e0,Det+1)+INDEX(St_kx,Det+1)*C811+INDEX(St_ky,Det+1)*B811</f>
      </c>
      <c r="F811" s="20">
        <f>IF(E811&gt;0,IF(E811&lt;=eco,alpha*fck*(1-(1-E811/eco)^n),alpha*fck),0)</f>
      </c>
      <c r="G811" s="19">
        <f>F811*D811</f>
      </c>
      <c r="H811" s="19">
        <f>G811*C811</f>
      </c>
      <c r="I811" s="19">
        <f>G811*B811</f>
      </c>
      <c r="K811" s="37">
        <f>Eq_e0+Eq_kx*$C811+Eq_ky*$B811</f>
      </c>
      <c r="L811" s="20">
        <f>IF(K811&gt;0,IF(K811&lt;=eco,alpha*fck*(1-(1-K811/eco)^n),alpha*fck),0)</f>
      </c>
    </row>
    <row r="812" spans="1:12" x14ac:dyDescent="0.25">
      <c r="A812">
        <f>Mesh!A809</f>
      </c>
      <c r="B812" s="20">
        <f>Mesh!B809</f>
      </c>
      <c r="C812" s="20">
        <f>Mesh!C809</f>
      </c>
      <c r="D812" s="20">
        <f>Mesh!D809</f>
      </c>
      <c r="E812" s="37">
        <f>INDEX(St_e0,Det+1)+INDEX(St_kx,Det+1)*C812+INDEX(St_ky,Det+1)*B812</f>
      </c>
      <c r="F812" s="20">
        <f>IF(E812&gt;0,IF(E812&lt;=eco,alpha*fck*(1-(1-E812/eco)^n),alpha*fck),0)</f>
      </c>
      <c r="G812" s="19">
        <f>F812*D812</f>
      </c>
      <c r="H812" s="19">
        <f>G812*C812</f>
      </c>
      <c r="I812" s="19">
        <f>G812*B812</f>
      </c>
      <c r="K812" s="37">
        <f>Eq_e0+Eq_kx*$C812+Eq_ky*$B812</f>
      </c>
      <c r="L812" s="20">
        <f>IF(K812&gt;0,IF(K812&lt;=eco,alpha*fck*(1-(1-K812/eco)^n),alpha*fck),0)</f>
      </c>
    </row>
    <row r="813" spans="1:12" x14ac:dyDescent="0.25">
      <c r="A813">
        <f>Mesh!A810</f>
      </c>
      <c r="B813" s="20">
        <f>Mesh!B810</f>
      </c>
      <c r="C813" s="20">
        <f>Mesh!C810</f>
      </c>
      <c r="D813" s="20">
        <f>Mesh!D810</f>
      </c>
      <c r="E813" s="37">
        <f>INDEX(St_e0,Det+1)+INDEX(St_kx,Det+1)*C813+INDEX(St_ky,Det+1)*B813</f>
      </c>
      <c r="F813" s="20">
        <f>IF(E813&gt;0,IF(E813&lt;=eco,alpha*fck*(1-(1-E813/eco)^n),alpha*fck),0)</f>
      </c>
      <c r="G813" s="19">
        <f>F813*D813</f>
      </c>
      <c r="H813" s="19">
        <f>G813*C813</f>
      </c>
      <c r="I813" s="19">
        <f>G813*B813</f>
      </c>
      <c r="K813" s="37">
        <f>Eq_e0+Eq_kx*$C813+Eq_ky*$B813</f>
      </c>
      <c r="L813" s="20">
        <f>IF(K813&gt;0,IF(K813&lt;=eco,alpha*fck*(1-(1-K813/eco)^n),alpha*fck),0)</f>
      </c>
    </row>
    <row r="814" spans="1:12" x14ac:dyDescent="0.25">
      <c r="A814">
        <f>Mesh!A811</f>
      </c>
      <c r="B814" s="20">
        <f>Mesh!B811</f>
      </c>
      <c r="C814" s="20">
        <f>Mesh!C811</f>
      </c>
      <c r="D814" s="20">
        <f>Mesh!D811</f>
      </c>
      <c r="E814" s="37">
        <f>INDEX(St_e0,Det+1)+INDEX(St_kx,Det+1)*C814+INDEX(St_ky,Det+1)*B814</f>
      </c>
      <c r="F814" s="20">
        <f>IF(E814&gt;0,IF(E814&lt;=eco,alpha*fck*(1-(1-E814/eco)^n),alpha*fck),0)</f>
      </c>
      <c r="G814" s="19">
        <f>F814*D814</f>
      </c>
      <c r="H814" s="19">
        <f>G814*C814</f>
      </c>
      <c r="I814" s="19">
        <f>G814*B814</f>
      </c>
      <c r="K814" s="37">
        <f>Eq_e0+Eq_kx*$C814+Eq_ky*$B814</f>
      </c>
      <c r="L814" s="20">
        <f>IF(K814&gt;0,IF(K814&lt;=eco,alpha*fck*(1-(1-K814/eco)^n),alpha*fck),0)</f>
      </c>
    </row>
    <row r="815" spans="1:12" x14ac:dyDescent="0.25">
      <c r="A815">
        <f>Mesh!A812</f>
      </c>
      <c r="B815" s="20">
        <f>Mesh!B812</f>
      </c>
      <c r="C815" s="20">
        <f>Mesh!C812</f>
      </c>
      <c r="D815" s="20">
        <f>Mesh!D812</f>
      </c>
      <c r="E815" s="37">
        <f>INDEX(St_e0,Det+1)+INDEX(St_kx,Det+1)*C815+INDEX(St_ky,Det+1)*B815</f>
      </c>
      <c r="F815" s="20">
        <f>IF(E815&gt;0,IF(E815&lt;=eco,alpha*fck*(1-(1-E815/eco)^n),alpha*fck),0)</f>
      </c>
      <c r="G815" s="19">
        <f>F815*D815</f>
      </c>
      <c r="H815" s="19">
        <f>G815*C815</f>
      </c>
      <c r="I815" s="19">
        <f>G815*B815</f>
      </c>
      <c r="K815" s="37">
        <f>Eq_e0+Eq_kx*$C815+Eq_ky*$B815</f>
      </c>
      <c r="L815" s="20">
        <f>IF(K815&gt;0,IF(K815&lt;=eco,alpha*fck*(1-(1-K815/eco)^n),alpha*fck),0)</f>
      </c>
    </row>
    <row r="816" spans="1:12" x14ac:dyDescent="0.25">
      <c r="A816">
        <f>Mesh!A813</f>
      </c>
      <c r="B816" s="20">
        <f>Mesh!B813</f>
      </c>
      <c r="C816" s="20">
        <f>Mesh!C813</f>
      </c>
      <c r="D816" s="20">
        <f>Mesh!D813</f>
      </c>
      <c r="E816" s="37">
        <f>INDEX(St_e0,Det+1)+INDEX(St_kx,Det+1)*C816+INDEX(St_ky,Det+1)*B816</f>
      </c>
      <c r="F816" s="20">
        <f>IF(E816&gt;0,IF(E816&lt;=eco,alpha*fck*(1-(1-E816/eco)^n),alpha*fck),0)</f>
      </c>
      <c r="G816" s="19">
        <f>F816*D816</f>
      </c>
      <c r="H816" s="19">
        <f>G816*C816</f>
      </c>
      <c r="I816" s="19">
        <f>G816*B816</f>
      </c>
      <c r="K816" s="37">
        <f>Eq_e0+Eq_kx*$C816+Eq_ky*$B816</f>
      </c>
      <c r="L816" s="20">
        <f>IF(K816&gt;0,IF(K816&lt;=eco,alpha*fck*(1-(1-K816/eco)^n),alpha*fck),0)</f>
      </c>
    </row>
    <row r="817" spans="1:12" x14ac:dyDescent="0.25">
      <c r="A817">
        <f>Mesh!A814</f>
      </c>
      <c r="B817" s="20">
        <f>Mesh!B814</f>
      </c>
      <c r="C817" s="20">
        <f>Mesh!C814</f>
      </c>
      <c r="D817" s="20">
        <f>Mesh!D814</f>
      </c>
      <c r="E817" s="37">
        <f>INDEX(St_e0,Det+1)+INDEX(St_kx,Det+1)*C817+INDEX(St_ky,Det+1)*B817</f>
      </c>
      <c r="F817" s="20">
        <f>IF(E817&gt;0,IF(E817&lt;=eco,alpha*fck*(1-(1-E817/eco)^n),alpha*fck),0)</f>
      </c>
      <c r="G817" s="19">
        <f>F817*D817</f>
      </c>
      <c r="H817" s="19">
        <f>G817*C817</f>
      </c>
      <c r="I817" s="19">
        <f>G817*B817</f>
      </c>
      <c r="K817" s="37">
        <f>Eq_e0+Eq_kx*$C817+Eq_ky*$B817</f>
      </c>
      <c r="L817" s="20">
        <f>IF(K817&gt;0,IF(K817&lt;=eco,alpha*fck*(1-(1-K817/eco)^n),alpha*fck),0)</f>
      </c>
    </row>
    <row r="818" spans="1:12" x14ac:dyDescent="0.25">
      <c r="A818">
        <f>Mesh!A815</f>
      </c>
      <c r="B818" s="20">
        <f>Mesh!B815</f>
      </c>
      <c r="C818" s="20">
        <f>Mesh!C815</f>
      </c>
      <c r="D818" s="20">
        <f>Mesh!D815</f>
      </c>
      <c r="E818" s="37">
        <f>INDEX(St_e0,Det+1)+INDEX(St_kx,Det+1)*C818+INDEX(St_ky,Det+1)*B818</f>
      </c>
      <c r="F818" s="20">
        <f>IF(E818&gt;0,IF(E818&lt;=eco,alpha*fck*(1-(1-E818/eco)^n),alpha*fck),0)</f>
      </c>
      <c r="G818" s="19">
        <f>F818*D818</f>
      </c>
      <c r="H818" s="19">
        <f>G818*C818</f>
      </c>
      <c r="I818" s="19">
        <f>G818*B818</f>
      </c>
      <c r="K818" s="37">
        <f>Eq_e0+Eq_kx*$C818+Eq_ky*$B818</f>
      </c>
      <c r="L818" s="20">
        <f>IF(K818&gt;0,IF(K818&lt;=eco,alpha*fck*(1-(1-K818/eco)^n),alpha*fck),0)</f>
      </c>
    </row>
    <row r="819" spans="1:12" x14ac:dyDescent="0.25">
      <c r="A819">
        <f>Mesh!A816</f>
      </c>
      <c r="B819" s="20">
        <f>Mesh!B816</f>
      </c>
      <c r="C819" s="20">
        <f>Mesh!C816</f>
      </c>
      <c r="D819" s="20">
        <f>Mesh!D816</f>
      </c>
      <c r="E819" s="37">
        <f>INDEX(St_e0,Det+1)+INDEX(St_kx,Det+1)*C819+INDEX(St_ky,Det+1)*B819</f>
      </c>
      <c r="F819" s="20">
        <f>IF(E819&gt;0,IF(E819&lt;=eco,alpha*fck*(1-(1-E819/eco)^n),alpha*fck),0)</f>
      </c>
      <c r="G819" s="19">
        <f>F819*D819</f>
      </c>
      <c r="H819" s="19">
        <f>G819*C819</f>
      </c>
      <c r="I819" s="19">
        <f>G819*B819</f>
      </c>
      <c r="K819" s="37">
        <f>Eq_e0+Eq_kx*$C819+Eq_ky*$B819</f>
      </c>
      <c r="L819" s="20">
        <f>IF(K819&gt;0,IF(K819&lt;=eco,alpha*fck*(1-(1-K819/eco)^n),alpha*fck),0)</f>
      </c>
    </row>
    <row r="820" spans="1:12" x14ac:dyDescent="0.25">
      <c r="A820">
        <f>Mesh!A817</f>
      </c>
      <c r="B820" s="20">
        <f>Mesh!B817</f>
      </c>
      <c r="C820" s="20">
        <f>Mesh!C817</f>
      </c>
      <c r="D820" s="20">
        <f>Mesh!D817</f>
      </c>
      <c r="E820" s="37">
        <f>INDEX(St_e0,Det+1)+INDEX(St_kx,Det+1)*C820+INDEX(St_ky,Det+1)*B820</f>
      </c>
      <c r="F820" s="20">
        <f>IF(E820&gt;0,IF(E820&lt;=eco,alpha*fck*(1-(1-E820/eco)^n),alpha*fck),0)</f>
      </c>
      <c r="G820" s="19">
        <f>F820*D820</f>
      </c>
      <c r="H820" s="19">
        <f>G820*C820</f>
      </c>
      <c r="I820" s="19">
        <f>G820*B820</f>
      </c>
      <c r="K820" s="37">
        <f>Eq_e0+Eq_kx*$C820+Eq_ky*$B820</f>
      </c>
      <c r="L820" s="20">
        <f>IF(K820&gt;0,IF(K820&lt;=eco,alpha*fck*(1-(1-K820/eco)^n),alpha*fck),0)</f>
      </c>
    </row>
    <row r="821" spans="1:12" x14ac:dyDescent="0.25">
      <c r="A821">
        <f>Mesh!A818</f>
      </c>
      <c r="B821" s="20">
        <f>Mesh!B818</f>
      </c>
      <c r="C821" s="20">
        <f>Mesh!C818</f>
      </c>
      <c r="D821" s="20">
        <f>Mesh!D818</f>
      </c>
      <c r="E821" s="37">
        <f>INDEX(St_e0,Det+1)+INDEX(St_kx,Det+1)*C821+INDEX(St_ky,Det+1)*B821</f>
      </c>
      <c r="F821" s="20">
        <f>IF(E821&gt;0,IF(E821&lt;=eco,alpha*fck*(1-(1-E821/eco)^n),alpha*fck),0)</f>
      </c>
      <c r="G821" s="19">
        <f>F821*D821</f>
      </c>
      <c r="H821" s="19">
        <f>G821*C821</f>
      </c>
      <c r="I821" s="19">
        <f>G821*B821</f>
      </c>
      <c r="K821" s="37">
        <f>Eq_e0+Eq_kx*$C821+Eq_ky*$B821</f>
      </c>
      <c r="L821" s="20">
        <f>IF(K821&gt;0,IF(K821&lt;=eco,alpha*fck*(1-(1-K821/eco)^n),alpha*fck),0)</f>
      </c>
    </row>
    <row r="822" spans="1:12" x14ac:dyDescent="0.25">
      <c r="A822">
        <f>Mesh!A819</f>
      </c>
      <c r="B822" s="20">
        <f>Mesh!B819</f>
      </c>
      <c r="C822" s="20">
        <f>Mesh!C819</f>
      </c>
      <c r="D822" s="20">
        <f>Mesh!D819</f>
      </c>
      <c r="E822" s="37">
        <f>INDEX(St_e0,Det+1)+INDEX(St_kx,Det+1)*C822+INDEX(St_ky,Det+1)*B822</f>
      </c>
      <c r="F822" s="20">
        <f>IF(E822&gt;0,IF(E822&lt;=eco,alpha*fck*(1-(1-E822/eco)^n),alpha*fck),0)</f>
      </c>
      <c r="G822" s="19">
        <f>F822*D822</f>
      </c>
      <c r="H822" s="19">
        <f>G822*C822</f>
      </c>
      <c r="I822" s="19">
        <f>G822*B822</f>
      </c>
      <c r="K822" s="37">
        <f>Eq_e0+Eq_kx*$C822+Eq_ky*$B822</f>
      </c>
      <c r="L822" s="20">
        <f>IF(K822&gt;0,IF(K822&lt;=eco,alpha*fck*(1-(1-K822/eco)^n),alpha*fck),0)</f>
      </c>
    </row>
    <row r="823" spans="1:12" x14ac:dyDescent="0.25">
      <c r="A823">
        <f>Mesh!A820</f>
      </c>
      <c r="B823" s="20">
        <f>Mesh!B820</f>
      </c>
      <c r="C823" s="20">
        <f>Mesh!C820</f>
      </c>
      <c r="D823" s="20">
        <f>Mesh!D820</f>
      </c>
      <c r="E823" s="37">
        <f>INDEX(St_e0,Det+1)+INDEX(St_kx,Det+1)*C823+INDEX(St_ky,Det+1)*B823</f>
      </c>
      <c r="F823" s="20">
        <f>IF(E823&gt;0,IF(E823&lt;=eco,alpha*fck*(1-(1-E823/eco)^n),alpha*fck),0)</f>
      </c>
      <c r="G823" s="19">
        <f>F823*D823</f>
      </c>
      <c r="H823" s="19">
        <f>G823*C823</f>
      </c>
      <c r="I823" s="19">
        <f>G823*B823</f>
      </c>
      <c r="K823" s="37">
        <f>Eq_e0+Eq_kx*$C823+Eq_ky*$B823</f>
      </c>
      <c r="L823" s="20">
        <f>IF(K823&gt;0,IF(K823&lt;=eco,alpha*fck*(1-(1-K823/eco)^n),alpha*fck),0)</f>
      </c>
    </row>
    <row r="824" spans="1:12" x14ac:dyDescent="0.25">
      <c r="A824">
        <f>Mesh!A821</f>
      </c>
      <c r="B824" s="20">
        <f>Mesh!B821</f>
      </c>
      <c r="C824" s="20">
        <f>Mesh!C821</f>
      </c>
      <c r="D824" s="20">
        <f>Mesh!D821</f>
      </c>
      <c r="E824" s="37">
        <f>INDEX(St_e0,Det+1)+INDEX(St_kx,Det+1)*C824+INDEX(St_ky,Det+1)*B824</f>
      </c>
      <c r="F824" s="20">
        <f>IF(E824&gt;0,IF(E824&lt;=eco,alpha*fck*(1-(1-E824/eco)^n),alpha*fck),0)</f>
      </c>
      <c r="G824" s="19">
        <f>F824*D824</f>
      </c>
      <c r="H824" s="19">
        <f>G824*C824</f>
      </c>
      <c r="I824" s="19">
        <f>G824*B824</f>
      </c>
      <c r="K824" s="37">
        <f>Eq_e0+Eq_kx*$C824+Eq_ky*$B824</f>
      </c>
      <c r="L824" s="20">
        <f>IF(K824&gt;0,IF(K824&lt;=eco,alpha*fck*(1-(1-K824/eco)^n),alpha*fck),0)</f>
      </c>
    </row>
    <row r="825" spans="1:12" x14ac:dyDescent="0.25">
      <c r="A825">
        <f>Mesh!A822</f>
      </c>
      <c r="B825" s="20">
        <f>Mesh!B822</f>
      </c>
      <c r="C825" s="20">
        <f>Mesh!C822</f>
      </c>
      <c r="D825" s="20">
        <f>Mesh!D822</f>
      </c>
      <c r="E825" s="37">
        <f>INDEX(St_e0,Det+1)+INDEX(St_kx,Det+1)*C825+INDEX(St_ky,Det+1)*B825</f>
      </c>
      <c r="F825" s="20">
        <f>IF(E825&gt;0,IF(E825&lt;=eco,alpha*fck*(1-(1-E825/eco)^n),alpha*fck),0)</f>
      </c>
      <c r="G825" s="19">
        <f>F825*D825</f>
      </c>
      <c r="H825" s="19">
        <f>G825*C825</f>
      </c>
      <c r="I825" s="19">
        <f>G825*B825</f>
      </c>
      <c r="K825" s="37">
        <f>Eq_e0+Eq_kx*$C825+Eq_ky*$B825</f>
      </c>
      <c r="L825" s="20">
        <f>IF(K825&gt;0,IF(K825&lt;=eco,alpha*fck*(1-(1-K825/eco)^n),alpha*fck),0)</f>
      </c>
    </row>
    <row r="826" spans="1:12" x14ac:dyDescent="0.25">
      <c r="A826">
        <f>Mesh!A823</f>
      </c>
      <c r="B826" s="20">
        <f>Mesh!B823</f>
      </c>
      <c r="C826" s="20">
        <f>Mesh!C823</f>
      </c>
      <c r="D826" s="20">
        <f>Mesh!D823</f>
      </c>
      <c r="E826" s="37">
        <f>INDEX(St_e0,Det+1)+INDEX(St_kx,Det+1)*C826+INDEX(St_ky,Det+1)*B826</f>
      </c>
      <c r="F826" s="20">
        <f>IF(E826&gt;0,IF(E826&lt;=eco,alpha*fck*(1-(1-E826/eco)^n),alpha*fck),0)</f>
      </c>
      <c r="G826" s="19">
        <f>F826*D826</f>
      </c>
      <c r="H826" s="19">
        <f>G826*C826</f>
      </c>
      <c r="I826" s="19">
        <f>G826*B826</f>
      </c>
      <c r="K826" s="37">
        <f>Eq_e0+Eq_kx*$C826+Eq_ky*$B826</f>
      </c>
      <c r="L826" s="20">
        <f>IF(K826&gt;0,IF(K826&lt;=eco,alpha*fck*(1-(1-K826/eco)^n),alpha*fck),0)</f>
      </c>
    </row>
    <row r="827" spans="1:12" x14ac:dyDescent="0.25">
      <c r="A827">
        <f>Mesh!A824</f>
      </c>
      <c r="B827" s="20">
        <f>Mesh!B824</f>
      </c>
      <c r="C827" s="20">
        <f>Mesh!C824</f>
      </c>
      <c r="D827" s="20">
        <f>Mesh!D824</f>
      </c>
      <c r="E827" s="37">
        <f>INDEX(St_e0,Det+1)+INDEX(St_kx,Det+1)*C827+INDEX(St_ky,Det+1)*B827</f>
      </c>
      <c r="F827" s="20">
        <f>IF(E827&gt;0,IF(E827&lt;=eco,alpha*fck*(1-(1-E827/eco)^n),alpha*fck),0)</f>
      </c>
      <c r="G827" s="19">
        <f>F827*D827</f>
      </c>
      <c r="H827" s="19">
        <f>G827*C827</f>
      </c>
      <c r="I827" s="19">
        <f>G827*B827</f>
      </c>
      <c r="K827" s="37">
        <f>Eq_e0+Eq_kx*$C827+Eq_ky*$B827</f>
      </c>
      <c r="L827" s="20">
        <f>IF(K827&gt;0,IF(K827&lt;=eco,alpha*fck*(1-(1-K827/eco)^n),alpha*fck),0)</f>
      </c>
    </row>
    <row r="828" spans="1:12" x14ac:dyDescent="0.25">
      <c r="A828">
        <f>Mesh!A825</f>
      </c>
      <c r="B828" s="20">
        <f>Mesh!B825</f>
      </c>
      <c r="C828" s="20">
        <f>Mesh!C825</f>
      </c>
      <c r="D828" s="20">
        <f>Mesh!D825</f>
      </c>
      <c r="E828" s="37">
        <f>INDEX(St_e0,Det+1)+INDEX(St_kx,Det+1)*C828+INDEX(St_ky,Det+1)*B828</f>
      </c>
      <c r="F828" s="20">
        <f>IF(E828&gt;0,IF(E828&lt;=eco,alpha*fck*(1-(1-E828/eco)^n),alpha*fck),0)</f>
      </c>
      <c r="G828" s="19">
        <f>F828*D828</f>
      </c>
      <c r="H828" s="19">
        <f>G828*C828</f>
      </c>
      <c r="I828" s="19">
        <f>G828*B828</f>
      </c>
      <c r="K828" s="37">
        <f>Eq_e0+Eq_kx*$C828+Eq_ky*$B828</f>
      </c>
      <c r="L828" s="20">
        <f>IF(K828&gt;0,IF(K828&lt;=eco,alpha*fck*(1-(1-K828/eco)^n),alpha*fck),0)</f>
      </c>
    </row>
    <row r="829" spans="1:12" x14ac:dyDescent="0.25">
      <c r="A829">
        <f>Mesh!A826</f>
      </c>
      <c r="B829" s="20">
        <f>Mesh!B826</f>
      </c>
      <c r="C829" s="20">
        <f>Mesh!C826</f>
      </c>
      <c r="D829" s="20">
        <f>Mesh!D826</f>
      </c>
      <c r="E829" s="37">
        <f>INDEX(St_e0,Det+1)+INDEX(St_kx,Det+1)*C829+INDEX(St_ky,Det+1)*B829</f>
      </c>
      <c r="F829" s="20">
        <f>IF(E829&gt;0,IF(E829&lt;=eco,alpha*fck*(1-(1-E829/eco)^n),alpha*fck),0)</f>
      </c>
      <c r="G829" s="19">
        <f>F829*D829</f>
      </c>
      <c r="H829" s="19">
        <f>G829*C829</f>
      </c>
      <c r="I829" s="19">
        <f>G829*B829</f>
      </c>
      <c r="K829" s="37">
        <f>Eq_e0+Eq_kx*$C829+Eq_ky*$B829</f>
      </c>
      <c r="L829" s="20">
        <f>IF(K829&gt;0,IF(K829&lt;=eco,alpha*fck*(1-(1-K829/eco)^n),alpha*fck),0)</f>
      </c>
    </row>
    <row r="830" spans="1:12" x14ac:dyDescent="0.25">
      <c r="A830">
        <f>Mesh!A827</f>
      </c>
      <c r="B830" s="20">
        <f>Mesh!B827</f>
      </c>
      <c r="C830" s="20">
        <f>Mesh!C827</f>
      </c>
      <c r="D830" s="20">
        <f>Mesh!D827</f>
      </c>
      <c r="E830" s="37">
        <f>INDEX(St_e0,Det+1)+INDEX(St_kx,Det+1)*C830+INDEX(St_ky,Det+1)*B830</f>
      </c>
      <c r="F830" s="20">
        <f>IF(E830&gt;0,IF(E830&lt;=eco,alpha*fck*(1-(1-E830/eco)^n),alpha*fck),0)</f>
      </c>
      <c r="G830" s="19">
        <f>F830*D830</f>
      </c>
      <c r="H830" s="19">
        <f>G830*C830</f>
      </c>
      <c r="I830" s="19">
        <f>G830*B830</f>
      </c>
      <c r="K830" s="37">
        <f>Eq_e0+Eq_kx*$C830+Eq_ky*$B830</f>
      </c>
      <c r="L830" s="20">
        <f>IF(K830&gt;0,IF(K830&lt;=eco,alpha*fck*(1-(1-K830/eco)^n),alpha*fck),0)</f>
      </c>
    </row>
    <row r="831" spans="1:12" x14ac:dyDescent="0.25">
      <c r="A831">
        <f>Mesh!A828</f>
      </c>
      <c r="B831" s="20">
        <f>Mesh!B828</f>
      </c>
      <c r="C831" s="20">
        <f>Mesh!C828</f>
      </c>
      <c r="D831" s="20">
        <f>Mesh!D828</f>
      </c>
      <c r="E831" s="37">
        <f>INDEX(St_e0,Det+1)+INDEX(St_kx,Det+1)*C831+INDEX(St_ky,Det+1)*B831</f>
      </c>
      <c r="F831" s="20">
        <f>IF(E831&gt;0,IF(E831&lt;=eco,alpha*fck*(1-(1-E831/eco)^n),alpha*fck),0)</f>
      </c>
      <c r="G831" s="19">
        <f>F831*D831</f>
      </c>
      <c r="H831" s="19">
        <f>G831*C831</f>
      </c>
      <c r="I831" s="19">
        <f>G831*B831</f>
      </c>
      <c r="K831" s="37">
        <f>Eq_e0+Eq_kx*$C831+Eq_ky*$B831</f>
      </c>
      <c r="L831" s="20">
        <f>IF(K831&gt;0,IF(K831&lt;=eco,alpha*fck*(1-(1-K831/eco)^n),alpha*fck),0)</f>
      </c>
    </row>
    <row r="832" spans="1:12" x14ac:dyDescent="0.25">
      <c r="A832">
        <f>Mesh!A829</f>
      </c>
      <c r="B832" s="20">
        <f>Mesh!B829</f>
      </c>
      <c r="C832" s="20">
        <f>Mesh!C829</f>
      </c>
      <c r="D832" s="20">
        <f>Mesh!D829</f>
      </c>
      <c r="E832" s="37">
        <f>INDEX(St_e0,Det+1)+INDEX(St_kx,Det+1)*C832+INDEX(St_ky,Det+1)*B832</f>
      </c>
      <c r="F832" s="20">
        <f>IF(E832&gt;0,IF(E832&lt;=eco,alpha*fck*(1-(1-E832/eco)^n),alpha*fck),0)</f>
      </c>
      <c r="G832" s="19">
        <f>F832*D832</f>
      </c>
      <c r="H832" s="19">
        <f>G832*C832</f>
      </c>
      <c r="I832" s="19">
        <f>G832*B832</f>
      </c>
      <c r="K832" s="37">
        <f>Eq_e0+Eq_kx*$C832+Eq_ky*$B832</f>
      </c>
      <c r="L832" s="20">
        <f>IF(K832&gt;0,IF(K832&lt;=eco,alpha*fck*(1-(1-K832/eco)^n),alpha*fck),0)</f>
      </c>
    </row>
    <row r="833" spans="1:12" x14ac:dyDescent="0.25">
      <c r="A833">
        <f>Mesh!A830</f>
      </c>
      <c r="B833" s="20">
        <f>Mesh!B830</f>
      </c>
      <c r="C833" s="20">
        <f>Mesh!C830</f>
      </c>
      <c r="D833" s="20">
        <f>Mesh!D830</f>
      </c>
      <c r="E833" s="37">
        <f>INDEX(St_e0,Det+1)+INDEX(St_kx,Det+1)*C833+INDEX(St_ky,Det+1)*B833</f>
      </c>
      <c r="F833" s="20">
        <f>IF(E833&gt;0,IF(E833&lt;=eco,alpha*fck*(1-(1-E833/eco)^n),alpha*fck),0)</f>
      </c>
      <c r="G833" s="19">
        <f>F833*D833</f>
      </c>
      <c r="H833" s="19">
        <f>G833*C833</f>
      </c>
      <c r="I833" s="19">
        <f>G833*B833</f>
      </c>
      <c r="K833" s="37">
        <f>Eq_e0+Eq_kx*$C833+Eq_ky*$B833</f>
      </c>
      <c r="L833" s="20">
        <f>IF(K833&gt;0,IF(K833&lt;=eco,alpha*fck*(1-(1-K833/eco)^n),alpha*fck),0)</f>
      </c>
    </row>
    <row r="834" spans="1:12" x14ac:dyDescent="0.25">
      <c r="A834">
        <f>Mesh!A831</f>
      </c>
      <c r="B834" s="20">
        <f>Mesh!B831</f>
      </c>
      <c r="C834" s="20">
        <f>Mesh!C831</f>
      </c>
      <c r="D834" s="20">
        <f>Mesh!D831</f>
      </c>
      <c r="E834" s="37">
        <f>INDEX(St_e0,Det+1)+INDEX(St_kx,Det+1)*C834+INDEX(St_ky,Det+1)*B834</f>
      </c>
      <c r="F834" s="20">
        <f>IF(E834&gt;0,IF(E834&lt;=eco,alpha*fck*(1-(1-E834/eco)^n),alpha*fck),0)</f>
      </c>
      <c r="G834" s="19">
        <f>F834*D834</f>
      </c>
      <c r="H834" s="19">
        <f>G834*C834</f>
      </c>
      <c r="I834" s="19">
        <f>G834*B834</f>
      </c>
      <c r="K834" s="37">
        <f>Eq_e0+Eq_kx*$C834+Eq_ky*$B834</f>
      </c>
      <c r="L834" s="20">
        <f>IF(K834&gt;0,IF(K834&lt;=eco,alpha*fck*(1-(1-K834/eco)^n),alpha*fck),0)</f>
      </c>
    </row>
    <row r="835" spans="1:12" x14ac:dyDescent="0.25">
      <c r="A835">
        <f>Mesh!A832</f>
      </c>
      <c r="B835" s="20">
        <f>Mesh!B832</f>
      </c>
      <c r="C835" s="20">
        <f>Mesh!C832</f>
      </c>
      <c r="D835" s="20">
        <f>Mesh!D832</f>
      </c>
      <c r="E835" s="37">
        <f>INDEX(St_e0,Det+1)+INDEX(St_kx,Det+1)*C835+INDEX(St_ky,Det+1)*B835</f>
      </c>
      <c r="F835" s="20">
        <f>IF(E835&gt;0,IF(E835&lt;=eco,alpha*fck*(1-(1-E835/eco)^n),alpha*fck),0)</f>
      </c>
      <c r="G835" s="19">
        <f>F835*D835</f>
      </c>
      <c r="H835" s="19">
        <f>G835*C835</f>
      </c>
      <c r="I835" s="19">
        <f>G835*B835</f>
      </c>
      <c r="K835" s="37">
        <f>Eq_e0+Eq_kx*$C835+Eq_ky*$B835</f>
      </c>
      <c r="L835" s="20">
        <f>IF(K835&gt;0,IF(K835&lt;=eco,alpha*fck*(1-(1-K835/eco)^n),alpha*fck),0)</f>
      </c>
    </row>
    <row r="836" spans="1:12" x14ac:dyDescent="0.25">
      <c r="A836">
        <f>Mesh!A833</f>
      </c>
      <c r="B836" s="20">
        <f>Mesh!B833</f>
      </c>
      <c r="C836" s="20">
        <f>Mesh!C833</f>
      </c>
      <c r="D836" s="20">
        <f>Mesh!D833</f>
      </c>
      <c r="E836" s="37">
        <f>INDEX(St_e0,Det+1)+INDEX(St_kx,Det+1)*C836+INDEX(St_ky,Det+1)*B836</f>
      </c>
      <c r="F836" s="20">
        <f>IF(E836&gt;0,IF(E836&lt;=eco,alpha*fck*(1-(1-E836/eco)^n),alpha*fck),0)</f>
      </c>
      <c r="G836" s="19">
        <f>F836*D836</f>
      </c>
      <c r="H836" s="19">
        <f>G836*C836</f>
      </c>
      <c r="I836" s="19">
        <f>G836*B836</f>
      </c>
      <c r="K836" s="37">
        <f>Eq_e0+Eq_kx*$C836+Eq_ky*$B836</f>
      </c>
      <c r="L836" s="20">
        <f>IF(K836&gt;0,IF(K836&lt;=eco,alpha*fck*(1-(1-K836/eco)^n),alpha*fck),0)</f>
      </c>
    </row>
    <row r="837" spans="1:12" x14ac:dyDescent="0.25">
      <c r="A837">
        <f>Mesh!A834</f>
      </c>
      <c r="B837" s="20">
        <f>Mesh!B834</f>
      </c>
      <c r="C837" s="20">
        <f>Mesh!C834</f>
      </c>
      <c r="D837" s="20">
        <f>Mesh!D834</f>
      </c>
      <c r="E837" s="37">
        <f>INDEX(St_e0,Det+1)+INDEX(St_kx,Det+1)*C837+INDEX(St_ky,Det+1)*B837</f>
      </c>
      <c r="F837" s="20">
        <f>IF(E837&gt;0,IF(E837&lt;=eco,alpha*fck*(1-(1-E837/eco)^n),alpha*fck),0)</f>
      </c>
      <c r="G837" s="19">
        <f>F837*D837</f>
      </c>
      <c r="H837" s="19">
        <f>G837*C837</f>
      </c>
      <c r="I837" s="19">
        <f>G837*B837</f>
      </c>
      <c r="K837" s="37">
        <f>Eq_e0+Eq_kx*$C837+Eq_ky*$B837</f>
      </c>
      <c r="L837" s="20">
        <f>IF(K837&gt;0,IF(K837&lt;=eco,alpha*fck*(1-(1-K837/eco)^n),alpha*fck),0)</f>
      </c>
    </row>
    <row r="838" spans="1:12" x14ac:dyDescent="0.25">
      <c r="A838">
        <f>Mesh!A835</f>
      </c>
      <c r="B838" s="20">
        <f>Mesh!B835</f>
      </c>
      <c r="C838" s="20">
        <f>Mesh!C835</f>
      </c>
      <c r="D838" s="20">
        <f>Mesh!D835</f>
      </c>
      <c r="E838" s="37">
        <f>INDEX(St_e0,Det+1)+INDEX(St_kx,Det+1)*C838+INDEX(St_ky,Det+1)*B838</f>
      </c>
      <c r="F838" s="20">
        <f>IF(E838&gt;0,IF(E838&lt;=eco,alpha*fck*(1-(1-E838/eco)^n),alpha*fck),0)</f>
      </c>
      <c r="G838" s="19">
        <f>F838*D838</f>
      </c>
      <c r="H838" s="19">
        <f>G838*C838</f>
      </c>
      <c r="I838" s="19">
        <f>G838*B838</f>
      </c>
      <c r="K838" s="37">
        <f>Eq_e0+Eq_kx*$C838+Eq_ky*$B838</f>
      </c>
      <c r="L838" s="20">
        <f>IF(K838&gt;0,IF(K838&lt;=eco,alpha*fck*(1-(1-K838/eco)^n),alpha*fck),0)</f>
      </c>
    </row>
    <row r="839" spans="1:12" x14ac:dyDescent="0.25">
      <c r="A839">
        <f>Mesh!A836</f>
      </c>
      <c r="B839" s="20">
        <f>Mesh!B836</f>
      </c>
      <c r="C839" s="20">
        <f>Mesh!C836</f>
      </c>
      <c r="D839" s="20">
        <f>Mesh!D836</f>
      </c>
      <c r="E839" s="37">
        <f>INDEX(St_e0,Det+1)+INDEX(St_kx,Det+1)*C839+INDEX(St_ky,Det+1)*B839</f>
      </c>
      <c r="F839" s="20">
        <f>IF(E839&gt;0,IF(E839&lt;=eco,alpha*fck*(1-(1-E839/eco)^n),alpha*fck),0)</f>
      </c>
      <c r="G839" s="19">
        <f>F839*D839</f>
      </c>
      <c r="H839" s="19">
        <f>G839*C839</f>
      </c>
      <c r="I839" s="19">
        <f>G839*B839</f>
      </c>
      <c r="K839" s="37">
        <f>Eq_e0+Eq_kx*$C839+Eq_ky*$B839</f>
      </c>
      <c r="L839" s="20">
        <f>IF(K839&gt;0,IF(K839&lt;=eco,alpha*fck*(1-(1-K839/eco)^n),alpha*fck),0)</f>
      </c>
    </row>
    <row r="840" spans="1:12" x14ac:dyDescent="0.25">
      <c r="A840">
        <f>Mesh!A837</f>
      </c>
      <c r="B840" s="20">
        <f>Mesh!B837</f>
      </c>
      <c r="C840" s="20">
        <f>Mesh!C837</f>
      </c>
      <c r="D840" s="20">
        <f>Mesh!D837</f>
      </c>
      <c r="E840" s="37">
        <f>INDEX(St_e0,Det+1)+INDEX(St_kx,Det+1)*C840+INDEX(St_ky,Det+1)*B840</f>
      </c>
      <c r="F840" s="20">
        <f>IF(E840&gt;0,IF(E840&lt;=eco,alpha*fck*(1-(1-E840/eco)^n),alpha*fck),0)</f>
      </c>
      <c r="G840" s="19">
        <f>F840*D840</f>
      </c>
      <c r="H840" s="19">
        <f>G840*C840</f>
      </c>
      <c r="I840" s="19">
        <f>G840*B840</f>
      </c>
      <c r="K840" s="37">
        <f>Eq_e0+Eq_kx*$C840+Eq_ky*$B840</f>
      </c>
      <c r="L840" s="20">
        <f>IF(K840&gt;0,IF(K840&lt;=eco,alpha*fck*(1-(1-K840/eco)^n),alpha*fck),0)</f>
      </c>
    </row>
    <row r="841" spans="1:12" x14ac:dyDescent="0.25">
      <c r="A841">
        <f>Mesh!A838</f>
      </c>
      <c r="B841" s="20">
        <f>Mesh!B838</f>
      </c>
      <c r="C841" s="20">
        <f>Mesh!C838</f>
      </c>
      <c r="D841" s="20">
        <f>Mesh!D838</f>
      </c>
      <c r="E841" s="37">
        <f>INDEX(St_e0,Det+1)+INDEX(St_kx,Det+1)*C841+INDEX(St_ky,Det+1)*B841</f>
      </c>
      <c r="F841" s="20">
        <f>IF(E841&gt;0,IF(E841&lt;=eco,alpha*fck*(1-(1-E841/eco)^n),alpha*fck),0)</f>
      </c>
      <c r="G841" s="19">
        <f>F841*D841</f>
      </c>
      <c r="H841" s="19">
        <f>G841*C841</f>
      </c>
      <c r="I841" s="19">
        <f>G841*B841</f>
      </c>
      <c r="K841" s="37">
        <f>Eq_e0+Eq_kx*$C841+Eq_ky*$B841</f>
      </c>
      <c r="L841" s="20">
        <f>IF(K841&gt;0,IF(K841&lt;=eco,alpha*fck*(1-(1-K841/eco)^n),alpha*fck),0)</f>
      </c>
    </row>
    <row r="842" spans="1:12" x14ac:dyDescent="0.25">
      <c r="A842">
        <f>Mesh!A839</f>
      </c>
      <c r="B842" s="20">
        <f>Mesh!B839</f>
      </c>
      <c r="C842" s="20">
        <f>Mesh!C839</f>
      </c>
      <c r="D842" s="20">
        <f>Mesh!D839</f>
      </c>
      <c r="E842" s="37">
        <f>INDEX(St_e0,Det+1)+INDEX(St_kx,Det+1)*C842+INDEX(St_ky,Det+1)*B842</f>
      </c>
      <c r="F842" s="20">
        <f>IF(E842&gt;0,IF(E842&lt;=eco,alpha*fck*(1-(1-E842/eco)^n),alpha*fck),0)</f>
      </c>
      <c r="G842" s="19">
        <f>F842*D842</f>
      </c>
      <c r="H842" s="19">
        <f>G842*C842</f>
      </c>
      <c r="I842" s="19">
        <f>G842*B842</f>
      </c>
      <c r="K842" s="37">
        <f>Eq_e0+Eq_kx*$C842+Eq_ky*$B842</f>
      </c>
      <c r="L842" s="20">
        <f>IF(K842&gt;0,IF(K842&lt;=eco,alpha*fck*(1-(1-K842/eco)^n),alpha*fck),0)</f>
      </c>
    </row>
    <row r="843" spans="1:12" x14ac:dyDescent="0.25">
      <c r="A843">
        <f>Mesh!A840</f>
      </c>
      <c r="B843" s="20">
        <f>Mesh!B840</f>
      </c>
      <c r="C843" s="20">
        <f>Mesh!C840</f>
      </c>
      <c r="D843" s="20">
        <f>Mesh!D840</f>
      </c>
      <c r="E843" s="37">
        <f>INDEX(St_e0,Det+1)+INDEX(St_kx,Det+1)*C843+INDEX(St_ky,Det+1)*B843</f>
      </c>
      <c r="F843" s="20">
        <f>IF(E843&gt;0,IF(E843&lt;=eco,alpha*fck*(1-(1-E843/eco)^n),alpha*fck),0)</f>
      </c>
      <c r="G843" s="19">
        <f>F843*D843</f>
      </c>
      <c r="H843" s="19">
        <f>G843*C843</f>
      </c>
      <c r="I843" s="19">
        <f>G843*B843</f>
      </c>
      <c r="K843" s="37">
        <f>Eq_e0+Eq_kx*$C843+Eq_ky*$B843</f>
      </c>
      <c r="L843" s="20">
        <f>IF(K843&gt;0,IF(K843&lt;=eco,alpha*fck*(1-(1-K843/eco)^n),alpha*fck),0)</f>
      </c>
    </row>
    <row r="844" spans="1:12" x14ac:dyDescent="0.25">
      <c r="A844">
        <f>Mesh!A841</f>
      </c>
      <c r="B844" s="20">
        <f>Mesh!B841</f>
      </c>
      <c r="C844" s="20">
        <f>Mesh!C841</f>
      </c>
      <c r="D844" s="20">
        <f>Mesh!D841</f>
      </c>
      <c r="E844" s="37">
        <f>INDEX(St_e0,Det+1)+INDEX(St_kx,Det+1)*C844+INDEX(St_ky,Det+1)*B844</f>
      </c>
      <c r="F844" s="20">
        <f>IF(E844&gt;0,IF(E844&lt;=eco,alpha*fck*(1-(1-E844/eco)^n),alpha*fck),0)</f>
      </c>
      <c r="G844" s="19">
        <f>F844*D844</f>
      </c>
      <c r="H844" s="19">
        <f>G844*C844</f>
      </c>
      <c r="I844" s="19">
        <f>G844*B844</f>
      </c>
      <c r="K844" s="37">
        <f>Eq_e0+Eq_kx*$C844+Eq_ky*$B844</f>
      </c>
      <c r="L844" s="20">
        <f>IF(K844&gt;0,IF(K844&lt;=eco,alpha*fck*(1-(1-K844/eco)^n),alpha*fck),0)</f>
      </c>
    </row>
    <row r="845" spans="1:12" x14ac:dyDescent="0.25">
      <c r="A845">
        <f>Mesh!A842</f>
      </c>
      <c r="B845" s="20">
        <f>Mesh!B842</f>
      </c>
      <c r="C845" s="20">
        <f>Mesh!C842</f>
      </c>
      <c r="D845" s="20">
        <f>Mesh!D842</f>
      </c>
      <c r="E845" s="37">
        <f>INDEX(St_e0,Det+1)+INDEX(St_kx,Det+1)*C845+INDEX(St_ky,Det+1)*B845</f>
      </c>
      <c r="F845" s="20">
        <f>IF(E845&gt;0,IF(E845&lt;=eco,alpha*fck*(1-(1-E845/eco)^n),alpha*fck),0)</f>
      </c>
      <c r="G845" s="19">
        <f>F845*D845</f>
      </c>
      <c r="H845" s="19">
        <f>G845*C845</f>
      </c>
      <c r="I845" s="19">
        <f>G845*B845</f>
      </c>
      <c r="K845" s="37">
        <f>Eq_e0+Eq_kx*$C845+Eq_ky*$B845</f>
      </c>
      <c r="L845" s="20">
        <f>IF(K845&gt;0,IF(K845&lt;=eco,alpha*fck*(1-(1-K845/eco)^n),alpha*fck),0)</f>
      </c>
    </row>
    <row r="846" spans="1:12" x14ac:dyDescent="0.25">
      <c r="A846">
        <f>Mesh!A843</f>
      </c>
      <c r="B846" s="20">
        <f>Mesh!B843</f>
      </c>
      <c r="C846" s="20">
        <f>Mesh!C843</f>
      </c>
      <c r="D846" s="20">
        <f>Mesh!D843</f>
      </c>
      <c r="E846" s="37">
        <f>INDEX(St_e0,Det+1)+INDEX(St_kx,Det+1)*C846+INDEX(St_ky,Det+1)*B846</f>
      </c>
      <c r="F846" s="20">
        <f>IF(E846&gt;0,IF(E846&lt;=eco,alpha*fck*(1-(1-E846/eco)^n),alpha*fck),0)</f>
      </c>
      <c r="G846" s="19">
        <f>F846*D846</f>
      </c>
      <c r="H846" s="19">
        <f>G846*C846</f>
      </c>
      <c r="I846" s="19">
        <f>G846*B846</f>
      </c>
      <c r="K846" s="37">
        <f>Eq_e0+Eq_kx*$C846+Eq_ky*$B846</f>
      </c>
      <c r="L846" s="20">
        <f>IF(K846&gt;0,IF(K846&lt;=eco,alpha*fck*(1-(1-K846/eco)^n),alpha*fck),0)</f>
      </c>
    </row>
    <row r="847" spans="1:12" x14ac:dyDescent="0.25">
      <c r="A847">
        <f>Mesh!A844</f>
      </c>
      <c r="B847" s="20">
        <f>Mesh!B844</f>
      </c>
      <c r="C847" s="20">
        <f>Mesh!C844</f>
      </c>
      <c r="D847" s="20">
        <f>Mesh!D844</f>
      </c>
      <c r="E847" s="37">
        <f>INDEX(St_e0,Det+1)+INDEX(St_kx,Det+1)*C847+INDEX(St_ky,Det+1)*B847</f>
      </c>
      <c r="F847" s="20">
        <f>IF(E847&gt;0,IF(E847&lt;=eco,alpha*fck*(1-(1-E847/eco)^n),alpha*fck),0)</f>
      </c>
      <c r="G847" s="19">
        <f>F847*D847</f>
      </c>
      <c r="H847" s="19">
        <f>G847*C847</f>
      </c>
      <c r="I847" s="19">
        <f>G847*B847</f>
      </c>
      <c r="K847" s="37">
        <f>Eq_e0+Eq_kx*$C847+Eq_ky*$B847</f>
      </c>
      <c r="L847" s="20">
        <f>IF(K847&gt;0,IF(K847&lt;=eco,alpha*fck*(1-(1-K847/eco)^n),alpha*fck),0)</f>
      </c>
    </row>
    <row r="848" spans="1:12" x14ac:dyDescent="0.25">
      <c r="A848">
        <f>Mesh!A845</f>
      </c>
      <c r="B848" s="20">
        <f>Mesh!B845</f>
      </c>
      <c r="C848" s="20">
        <f>Mesh!C845</f>
      </c>
      <c r="D848" s="20">
        <f>Mesh!D845</f>
      </c>
      <c r="E848" s="37">
        <f>INDEX(St_e0,Det+1)+INDEX(St_kx,Det+1)*C848+INDEX(St_ky,Det+1)*B848</f>
      </c>
      <c r="F848" s="20">
        <f>IF(E848&gt;0,IF(E848&lt;=eco,alpha*fck*(1-(1-E848/eco)^n),alpha*fck),0)</f>
      </c>
      <c r="G848" s="19">
        <f>F848*D848</f>
      </c>
      <c r="H848" s="19">
        <f>G848*C848</f>
      </c>
      <c r="I848" s="19">
        <f>G848*B848</f>
      </c>
      <c r="K848" s="37">
        <f>Eq_e0+Eq_kx*$C848+Eq_ky*$B848</f>
      </c>
      <c r="L848" s="20">
        <f>IF(K848&gt;0,IF(K848&lt;=eco,alpha*fck*(1-(1-K848/eco)^n),alpha*fck),0)</f>
      </c>
    </row>
    <row r="849" spans="1:12" x14ac:dyDescent="0.25">
      <c r="A849">
        <f>Mesh!A846</f>
      </c>
      <c r="B849" s="20">
        <f>Mesh!B846</f>
      </c>
      <c r="C849" s="20">
        <f>Mesh!C846</f>
      </c>
      <c r="D849" s="20">
        <f>Mesh!D846</f>
      </c>
      <c r="E849" s="37">
        <f>INDEX(St_e0,Det+1)+INDEX(St_kx,Det+1)*C849+INDEX(St_ky,Det+1)*B849</f>
      </c>
      <c r="F849" s="20">
        <f>IF(E849&gt;0,IF(E849&lt;=eco,alpha*fck*(1-(1-E849/eco)^n),alpha*fck),0)</f>
      </c>
      <c r="G849" s="19">
        <f>F849*D849</f>
      </c>
      <c r="H849" s="19">
        <f>G849*C849</f>
      </c>
      <c r="I849" s="19">
        <f>G849*B849</f>
      </c>
      <c r="K849" s="37">
        <f>Eq_e0+Eq_kx*$C849+Eq_ky*$B849</f>
      </c>
      <c r="L849" s="20">
        <f>IF(K849&gt;0,IF(K849&lt;=eco,alpha*fck*(1-(1-K849/eco)^n),alpha*fck),0)</f>
      </c>
    </row>
    <row r="850" spans="1:12" x14ac:dyDescent="0.25">
      <c r="A850">
        <f>Mesh!A847</f>
      </c>
      <c r="B850" s="20">
        <f>Mesh!B847</f>
      </c>
      <c r="C850" s="20">
        <f>Mesh!C847</f>
      </c>
      <c r="D850" s="20">
        <f>Mesh!D847</f>
      </c>
      <c r="E850" s="37">
        <f>INDEX(St_e0,Det+1)+INDEX(St_kx,Det+1)*C850+INDEX(St_ky,Det+1)*B850</f>
      </c>
      <c r="F850" s="20">
        <f>IF(E850&gt;0,IF(E850&lt;=eco,alpha*fck*(1-(1-E850/eco)^n),alpha*fck),0)</f>
      </c>
      <c r="G850" s="19">
        <f>F850*D850</f>
      </c>
      <c r="H850" s="19">
        <f>G850*C850</f>
      </c>
      <c r="I850" s="19">
        <f>G850*B850</f>
      </c>
      <c r="K850" s="37">
        <f>Eq_e0+Eq_kx*$C850+Eq_ky*$B850</f>
      </c>
      <c r="L850" s="20">
        <f>IF(K850&gt;0,IF(K850&lt;=eco,alpha*fck*(1-(1-K850/eco)^n),alpha*fck),0)</f>
      </c>
    </row>
    <row r="851" spans="1:12" x14ac:dyDescent="0.25">
      <c r="A851">
        <f>Mesh!A848</f>
      </c>
      <c r="B851" s="20">
        <f>Mesh!B848</f>
      </c>
      <c r="C851" s="20">
        <f>Mesh!C848</f>
      </c>
      <c r="D851" s="20">
        <f>Mesh!D848</f>
      </c>
      <c r="E851" s="37">
        <f>INDEX(St_e0,Det+1)+INDEX(St_kx,Det+1)*C851+INDEX(St_ky,Det+1)*B851</f>
      </c>
      <c r="F851" s="20">
        <f>IF(E851&gt;0,IF(E851&lt;=eco,alpha*fck*(1-(1-E851/eco)^n),alpha*fck),0)</f>
      </c>
      <c r="G851" s="19">
        <f>F851*D851</f>
      </c>
      <c r="H851" s="19">
        <f>G851*C851</f>
      </c>
      <c r="I851" s="19">
        <f>G851*B851</f>
      </c>
      <c r="K851" s="37">
        <f>Eq_e0+Eq_kx*$C851+Eq_ky*$B851</f>
      </c>
      <c r="L851" s="20">
        <f>IF(K851&gt;0,IF(K851&lt;=eco,alpha*fck*(1-(1-K851/eco)^n),alpha*fck),0)</f>
      </c>
    </row>
    <row r="852" spans="1:12" x14ac:dyDescent="0.25">
      <c r="A852">
        <f>Mesh!A849</f>
      </c>
      <c r="B852" s="20">
        <f>Mesh!B849</f>
      </c>
      <c r="C852" s="20">
        <f>Mesh!C849</f>
      </c>
      <c r="D852" s="20">
        <f>Mesh!D849</f>
      </c>
      <c r="E852" s="37">
        <f>INDEX(St_e0,Det+1)+INDEX(St_kx,Det+1)*C852+INDEX(St_ky,Det+1)*B852</f>
      </c>
      <c r="F852" s="20">
        <f>IF(E852&gt;0,IF(E852&lt;=eco,alpha*fck*(1-(1-E852/eco)^n),alpha*fck),0)</f>
      </c>
      <c r="G852" s="19">
        <f>F852*D852</f>
      </c>
      <c r="H852" s="19">
        <f>G852*C852</f>
      </c>
      <c r="I852" s="19">
        <f>G852*B852</f>
      </c>
      <c r="K852" s="37">
        <f>Eq_e0+Eq_kx*$C852+Eq_ky*$B852</f>
      </c>
      <c r="L852" s="20">
        <f>IF(K852&gt;0,IF(K852&lt;=eco,alpha*fck*(1-(1-K852/eco)^n),alpha*fck),0)</f>
      </c>
    </row>
    <row r="853" spans="1:12" x14ac:dyDescent="0.25">
      <c r="A853">
        <f>Mesh!A850</f>
      </c>
      <c r="B853" s="20">
        <f>Mesh!B850</f>
      </c>
      <c r="C853" s="20">
        <f>Mesh!C850</f>
      </c>
      <c r="D853" s="20">
        <f>Mesh!D850</f>
      </c>
      <c r="E853" s="37">
        <f>INDEX(St_e0,Det+1)+INDEX(St_kx,Det+1)*C853+INDEX(St_ky,Det+1)*B853</f>
      </c>
      <c r="F853" s="20">
        <f>IF(E853&gt;0,IF(E853&lt;=eco,alpha*fck*(1-(1-E853/eco)^n),alpha*fck),0)</f>
      </c>
      <c r="G853" s="19">
        <f>F853*D853</f>
      </c>
      <c r="H853" s="19">
        <f>G853*C853</f>
      </c>
      <c r="I853" s="19">
        <f>G853*B853</f>
      </c>
      <c r="K853" s="37">
        <f>Eq_e0+Eq_kx*$C853+Eq_ky*$B853</f>
      </c>
      <c r="L853" s="20">
        <f>IF(K853&gt;0,IF(K853&lt;=eco,alpha*fck*(1-(1-K853/eco)^n),alpha*fck),0)</f>
      </c>
    </row>
    <row r="854" spans="1:12" x14ac:dyDescent="0.25">
      <c r="A854">
        <f>Mesh!A851</f>
      </c>
      <c r="B854" s="20">
        <f>Mesh!B851</f>
      </c>
      <c r="C854" s="20">
        <f>Mesh!C851</f>
      </c>
      <c r="D854" s="20">
        <f>Mesh!D851</f>
      </c>
      <c r="E854" s="37">
        <f>INDEX(St_e0,Det+1)+INDEX(St_kx,Det+1)*C854+INDEX(St_ky,Det+1)*B854</f>
      </c>
      <c r="F854" s="20">
        <f>IF(E854&gt;0,IF(E854&lt;=eco,alpha*fck*(1-(1-E854/eco)^n),alpha*fck),0)</f>
      </c>
      <c r="G854" s="19">
        <f>F854*D854</f>
      </c>
      <c r="H854" s="19">
        <f>G854*C854</f>
      </c>
      <c r="I854" s="19">
        <f>G854*B854</f>
      </c>
      <c r="K854" s="37">
        <f>Eq_e0+Eq_kx*$C854+Eq_ky*$B854</f>
      </c>
      <c r="L854" s="20">
        <f>IF(K854&gt;0,IF(K854&lt;=eco,alpha*fck*(1-(1-K854/eco)^n),alpha*fck),0)</f>
      </c>
    </row>
    <row r="855" spans="1:12" x14ac:dyDescent="0.25">
      <c r="A855">
        <f>Mesh!A852</f>
      </c>
      <c r="B855" s="20">
        <f>Mesh!B852</f>
      </c>
      <c r="C855" s="20">
        <f>Mesh!C852</f>
      </c>
      <c r="D855" s="20">
        <f>Mesh!D852</f>
      </c>
      <c r="E855" s="37">
        <f>INDEX(St_e0,Det+1)+INDEX(St_kx,Det+1)*C855+INDEX(St_ky,Det+1)*B855</f>
      </c>
      <c r="F855" s="20">
        <f>IF(E855&gt;0,IF(E855&lt;=eco,alpha*fck*(1-(1-E855/eco)^n),alpha*fck),0)</f>
      </c>
      <c r="G855" s="19">
        <f>F855*D855</f>
      </c>
      <c r="H855" s="19">
        <f>G855*C855</f>
      </c>
      <c r="I855" s="19">
        <f>G855*B855</f>
      </c>
      <c r="K855" s="37">
        <f>Eq_e0+Eq_kx*$C855+Eq_ky*$B855</f>
      </c>
      <c r="L855" s="20">
        <f>IF(K855&gt;0,IF(K855&lt;=eco,alpha*fck*(1-(1-K855/eco)^n),alpha*fck),0)</f>
      </c>
    </row>
    <row r="856" spans="1:12" x14ac:dyDescent="0.25">
      <c r="A856">
        <f>Mesh!A853</f>
      </c>
      <c r="B856" s="20">
        <f>Mesh!B853</f>
      </c>
      <c r="C856" s="20">
        <f>Mesh!C853</f>
      </c>
      <c r="D856" s="20">
        <f>Mesh!D853</f>
      </c>
      <c r="E856" s="37">
        <f>INDEX(St_e0,Det+1)+INDEX(St_kx,Det+1)*C856+INDEX(St_ky,Det+1)*B856</f>
      </c>
      <c r="F856" s="20">
        <f>IF(E856&gt;0,IF(E856&lt;=eco,alpha*fck*(1-(1-E856/eco)^n),alpha*fck),0)</f>
      </c>
      <c r="G856" s="19">
        <f>F856*D856</f>
      </c>
      <c r="H856" s="19">
        <f>G856*C856</f>
      </c>
      <c r="I856" s="19">
        <f>G856*B856</f>
      </c>
      <c r="K856" s="37">
        <f>Eq_e0+Eq_kx*$C856+Eq_ky*$B856</f>
      </c>
      <c r="L856" s="20">
        <f>IF(K856&gt;0,IF(K856&lt;=eco,alpha*fck*(1-(1-K856/eco)^n),alpha*fck),0)</f>
      </c>
    </row>
    <row r="857" spans="1:12" x14ac:dyDescent="0.25">
      <c r="A857">
        <f>Mesh!A854</f>
      </c>
      <c r="B857" s="20">
        <f>Mesh!B854</f>
      </c>
      <c r="C857" s="20">
        <f>Mesh!C854</f>
      </c>
      <c r="D857" s="20">
        <f>Mesh!D854</f>
      </c>
      <c r="E857" s="37">
        <f>INDEX(St_e0,Det+1)+INDEX(St_kx,Det+1)*C857+INDEX(St_ky,Det+1)*B857</f>
      </c>
      <c r="F857" s="20">
        <f>IF(E857&gt;0,IF(E857&lt;=eco,alpha*fck*(1-(1-E857/eco)^n),alpha*fck),0)</f>
      </c>
      <c r="G857" s="19">
        <f>F857*D857</f>
      </c>
      <c r="H857" s="19">
        <f>G857*C857</f>
      </c>
      <c r="I857" s="19">
        <f>G857*B857</f>
      </c>
      <c r="K857" s="37">
        <f>Eq_e0+Eq_kx*$C857+Eq_ky*$B857</f>
      </c>
      <c r="L857" s="20">
        <f>IF(K857&gt;0,IF(K857&lt;=eco,alpha*fck*(1-(1-K857/eco)^n),alpha*fck),0)</f>
      </c>
    </row>
    <row r="858" spans="1:12" x14ac:dyDescent="0.25">
      <c r="A858">
        <f>Mesh!A855</f>
      </c>
      <c r="B858" s="20">
        <f>Mesh!B855</f>
      </c>
      <c r="C858" s="20">
        <f>Mesh!C855</f>
      </c>
      <c r="D858" s="20">
        <f>Mesh!D855</f>
      </c>
      <c r="E858" s="37">
        <f>INDEX(St_e0,Det+1)+INDEX(St_kx,Det+1)*C858+INDEX(St_ky,Det+1)*B858</f>
      </c>
      <c r="F858" s="20">
        <f>IF(E858&gt;0,IF(E858&lt;=eco,alpha*fck*(1-(1-E858/eco)^n),alpha*fck),0)</f>
      </c>
      <c r="G858" s="19">
        <f>F858*D858</f>
      </c>
      <c r="H858" s="19">
        <f>G858*C858</f>
      </c>
      <c r="I858" s="19">
        <f>G858*B858</f>
      </c>
      <c r="K858" s="37">
        <f>Eq_e0+Eq_kx*$C858+Eq_ky*$B858</f>
      </c>
      <c r="L858" s="20">
        <f>IF(K858&gt;0,IF(K858&lt;=eco,alpha*fck*(1-(1-K858/eco)^n),alpha*fck),0)</f>
      </c>
    </row>
    <row r="859" spans="1:12" x14ac:dyDescent="0.25">
      <c r="A859">
        <f>Mesh!A856</f>
      </c>
      <c r="B859" s="20">
        <f>Mesh!B856</f>
      </c>
      <c r="C859" s="20">
        <f>Mesh!C856</f>
      </c>
      <c r="D859" s="20">
        <f>Mesh!D856</f>
      </c>
      <c r="E859" s="37">
        <f>INDEX(St_e0,Det+1)+INDEX(St_kx,Det+1)*C859+INDEX(St_ky,Det+1)*B859</f>
      </c>
      <c r="F859" s="20">
        <f>IF(E859&gt;0,IF(E859&lt;=eco,alpha*fck*(1-(1-E859/eco)^n),alpha*fck),0)</f>
      </c>
      <c r="G859" s="19">
        <f>F859*D859</f>
      </c>
      <c r="H859" s="19">
        <f>G859*C859</f>
      </c>
      <c r="I859" s="19">
        <f>G859*B859</f>
      </c>
      <c r="K859" s="37">
        <f>Eq_e0+Eq_kx*$C859+Eq_ky*$B859</f>
      </c>
      <c r="L859" s="20">
        <f>IF(K859&gt;0,IF(K859&lt;=eco,alpha*fck*(1-(1-K859/eco)^n),alpha*fck),0)</f>
      </c>
    </row>
    <row r="860" spans="1:12" x14ac:dyDescent="0.25">
      <c r="A860">
        <f>Mesh!A857</f>
      </c>
      <c r="B860" s="20">
        <f>Mesh!B857</f>
      </c>
      <c r="C860" s="20">
        <f>Mesh!C857</f>
      </c>
      <c r="D860" s="20">
        <f>Mesh!D857</f>
      </c>
      <c r="E860" s="37">
        <f>INDEX(St_e0,Det+1)+INDEX(St_kx,Det+1)*C860+INDEX(St_ky,Det+1)*B860</f>
      </c>
      <c r="F860" s="20">
        <f>IF(E860&gt;0,IF(E860&lt;=eco,alpha*fck*(1-(1-E860/eco)^n),alpha*fck),0)</f>
      </c>
      <c r="G860" s="19">
        <f>F860*D860</f>
      </c>
      <c r="H860" s="19">
        <f>G860*C860</f>
      </c>
      <c r="I860" s="19">
        <f>G860*B860</f>
      </c>
      <c r="K860" s="37">
        <f>Eq_e0+Eq_kx*$C860+Eq_ky*$B860</f>
      </c>
      <c r="L860" s="20">
        <f>IF(K860&gt;0,IF(K860&lt;=eco,alpha*fck*(1-(1-K860/eco)^n),alpha*fck),0)</f>
      </c>
    </row>
    <row r="861" spans="1:12" x14ac:dyDescent="0.25">
      <c r="A861">
        <f>Mesh!A858</f>
      </c>
      <c r="B861" s="20">
        <f>Mesh!B858</f>
      </c>
      <c r="C861" s="20">
        <f>Mesh!C858</f>
      </c>
      <c r="D861" s="20">
        <f>Mesh!D858</f>
      </c>
      <c r="E861" s="37">
        <f>INDEX(St_e0,Det+1)+INDEX(St_kx,Det+1)*C861+INDEX(St_ky,Det+1)*B861</f>
      </c>
      <c r="F861" s="20">
        <f>IF(E861&gt;0,IF(E861&lt;=eco,alpha*fck*(1-(1-E861/eco)^n),alpha*fck),0)</f>
      </c>
      <c r="G861" s="19">
        <f>F861*D861</f>
      </c>
      <c r="H861" s="19">
        <f>G861*C861</f>
      </c>
      <c r="I861" s="19">
        <f>G861*B861</f>
      </c>
      <c r="K861" s="37">
        <f>Eq_e0+Eq_kx*$C861+Eq_ky*$B861</f>
      </c>
      <c r="L861" s="20">
        <f>IF(K861&gt;0,IF(K861&lt;=eco,alpha*fck*(1-(1-K861/eco)^n),alpha*fck),0)</f>
      </c>
    </row>
    <row r="862" spans="1:12" x14ac:dyDescent="0.25">
      <c r="A862">
        <f>Mesh!A859</f>
      </c>
      <c r="B862" s="20">
        <f>Mesh!B859</f>
      </c>
      <c r="C862" s="20">
        <f>Mesh!C859</f>
      </c>
      <c r="D862" s="20">
        <f>Mesh!D859</f>
      </c>
      <c r="E862" s="37">
        <f>INDEX(St_e0,Det+1)+INDEX(St_kx,Det+1)*C862+INDEX(St_ky,Det+1)*B862</f>
      </c>
      <c r="F862" s="20">
        <f>IF(E862&gt;0,IF(E862&lt;=eco,alpha*fck*(1-(1-E862/eco)^n),alpha*fck),0)</f>
      </c>
      <c r="G862" s="19">
        <f>F862*D862</f>
      </c>
      <c r="H862" s="19">
        <f>G862*C862</f>
      </c>
      <c r="I862" s="19">
        <f>G862*B862</f>
      </c>
      <c r="K862" s="37">
        <f>Eq_e0+Eq_kx*$C862+Eq_ky*$B862</f>
      </c>
      <c r="L862" s="20">
        <f>IF(K862&gt;0,IF(K862&lt;=eco,alpha*fck*(1-(1-K862/eco)^n),alpha*fck),0)</f>
      </c>
    </row>
    <row r="863" spans="1:12" x14ac:dyDescent="0.25">
      <c r="A863">
        <f>Mesh!A860</f>
      </c>
      <c r="B863" s="20">
        <f>Mesh!B860</f>
      </c>
      <c r="C863" s="20">
        <f>Mesh!C860</f>
      </c>
      <c r="D863" s="20">
        <f>Mesh!D860</f>
      </c>
      <c r="E863" s="37">
        <f>INDEX(St_e0,Det+1)+INDEX(St_kx,Det+1)*C863+INDEX(St_ky,Det+1)*B863</f>
      </c>
      <c r="F863" s="20">
        <f>IF(E863&gt;0,IF(E863&lt;=eco,alpha*fck*(1-(1-E863/eco)^n),alpha*fck),0)</f>
      </c>
      <c r="G863" s="19">
        <f>F863*D863</f>
      </c>
      <c r="H863" s="19">
        <f>G863*C863</f>
      </c>
      <c r="I863" s="19">
        <f>G863*B863</f>
      </c>
      <c r="K863" s="37">
        <f>Eq_e0+Eq_kx*$C863+Eq_ky*$B863</f>
      </c>
      <c r="L863" s="20">
        <f>IF(K863&gt;0,IF(K863&lt;=eco,alpha*fck*(1-(1-K863/eco)^n),alpha*fck),0)</f>
      </c>
    </row>
    <row r="864" spans="1:12" x14ac:dyDescent="0.25">
      <c r="A864">
        <f>Mesh!A861</f>
      </c>
      <c r="B864" s="20">
        <f>Mesh!B861</f>
      </c>
      <c r="C864" s="20">
        <f>Mesh!C861</f>
      </c>
      <c r="D864" s="20">
        <f>Mesh!D861</f>
      </c>
      <c r="E864" s="37">
        <f>INDEX(St_e0,Det+1)+INDEX(St_kx,Det+1)*C864+INDEX(St_ky,Det+1)*B864</f>
      </c>
      <c r="F864" s="20">
        <f>IF(E864&gt;0,IF(E864&lt;=eco,alpha*fck*(1-(1-E864/eco)^n),alpha*fck),0)</f>
      </c>
      <c r="G864" s="19">
        <f>F864*D864</f>
      </c>
      <c r="H864" s="19">
        <f>G864*C864</f>
      </c>
      <c r="I864" s="19">
        <f>G864*B864</f>
      </c>
      <c r="K864" s="37">
        <f>Eq_e0+Eq_kx*$C864+Eq_ky*$B864</f>
      </c>
      <c r="L864" s="20">
        <f>IF(K864&gt;0,IF(K864&lt;=eco,alpha*fck*(1-(1-K864/eco)^n),alpha*fck),0)</f>
      </c>
    </row>
    <row r="865" spans="1:12" x14ac:dyDescent="0.25">
      <c r="A865">
        <f>Mesh!A862</f>
      </c>
      <c r="B865" s="20">
        <f>Mesh!B862</f>
      </c>
      <c r="C865" s="20">
        <f>Mesh!C862</f>
      </c>
      <c r="D865" s="20">
        <f>Mesh!D862</f>
      </c>
      <c r="E865" s="37">
        <f>INDEX(St_e0,Det+1)+INDEX(St_kx,Det+1)*C865+INDEX(St_ky,Det+1)*B865</f>
      </c>
      <c r="F865" s="20">
        <f>IF(E865&gt;0,IF(E865&lt;=eco,alpha*fck*(1-(1-E865/eco)^n),alpha*fck),0)</f>
      </c>
      <c r="G865" s="19">
        <f>F865*D865</f>
      </c>
      <c r="H865" s="19">
        <f>G865*C865</f>
      </c>
      <c r="I865" s="19">
        <f>G865*B865</f>
      </c>
      <c r="K865" s="37">
        <f>Eq_e0+Eq_kx*$C865+Eq_ky*$B865</f>
      </c>
      <c r="L865" s="20">
        <f>IF(K865&gt;0,IF(K865&lt;=eco,alpha*fck*(1-(1-K865/eco)^n),alpha*fck),0)</f>
      </c>
    </row>
    <row r="866" spans="1:12" x14ac:dyDescent="0.25">
      <c r="A866">
        <f>Mesh!A863</f>
      </c>
      <c r="B866" s="20">
        <f>Mesh!B863</f>
      </c>
      <c r="C866" s="20">
        <f>Mesh!C863</f>
      </c>
      <c r="D866" s="20">
        <f>Mesh!D863</f>
      </c>
      <c r="E866" s="37">
        <f>INDEX(St_e0,Det+1)+INDEX(St_kx,Det+1)*C866+INDEX(St_ky,Det+1)*B866</f>
      </c>
      <c r="F866" s="20">
        <f>IF(E866&gt;0,IF(E866&lt;=eco,alpha*fck*(1-(1-E866/eco)^n),alpha*fck),0)</f>
      </c>
      <c r="G866" s="19">
        <f>F866*D866</f>
      </c>
      <c r="H866" s="19">
        <f>G866*C866</f>
      </c>
      <c r="I866" s="19">
        <f>G866*B866</f>
      </c>
      <c r="K866" s="37">
        <f>Eq_e0+Eq_kx*$C866+Eq_ky*$B866</f>
      </c>
      <c r="L866" s="20">
        <f>IF(K866&gt;0,IF(K866&lt;=eco,alpha*fck*(1-(1-K866/eco)^n),alpha*fck),0)</f>
      </c>
    </row>
    <row r="867" spans="1:12" x14ac:dyDescent="0.25">
      <c r="A867">
        <f>Mesh!A864</f>
      </c>
      <c r="B867" s="20">
        <f>Mesh!B864</f>
      </c>
      <c r="C867" s="20">
        <f>Mesh!C864</f>
      </c>
      <c r="D867" s="20">
        <f>Mesh!D864</f>
      </c>
      <c r="E867" s="37">
        <f>INDEX(St_e0,Det+1)+INDEX(St_kx,Det+1)*C867+INDEX(St_ky,Det+1)*B867</f>
      </c>
      <c r="F867" s="20">
        <f>IF(E867&gt;0,IF(E867&lt;=eco,alpha*fck*(1-(1-E867/eco)^n),alpha*fck),0)</f>
      </c>
      <c r="G867" s="19">
        <f>F867*D867</f>
      </c>
      <c r="H867" s="19">
        <f>G867*C867</f>
      </c>
      <c r="I867" s="19">
        <f>G867*B867</f>
      </c>
      <c r="K867" s="37">
        <f>Eq_e0+Eq_kx*$C867+Eq_ky*$B867</f>
      </c>
      <c r="L867" s="20">
        <f>IF(K867&gt;0,IF(K867&lt;=eco,alpha*fck*(1-(1-K867/eco)^n),alpha*fck),0)</f>
      </c>
    </row>
    <row r="868" spans="1:12" x14ac:dyDescent="0.25">
      <c r="A868">
        <f>Mesh!A865</f>
      </c>
      <c r="B868" s="20">
        <f>Mesh!B865</f>
      </c>
      <c r="C868" s="20">
        <f>Mesh!C865</f>
      </c>
      <c r="D868" s="20">
        <f>Mesh!D865</f>
      </c>
      <c r="E868" s="37">
        <f>INDEX(St_e0,Det+1)+INDEX(St_kx,Det+1)*C868+INDEX(St_ky,Det+1)*B868</f>
      </c>
      <c r="F868" s="20">
        <f>IF(E868&gt;0,IF(E868&lt;=eco,alpha*fck*(1-(1-E868/eco)^n),alpha*fck),0)</f>
      </c>
      <c r="G868" s="19">
        <f>F868*D868</f>
      </c>
      <c r="H868" s="19">
        <f>G868*C868</f>
      </c>
      <c r="I868" s="19">
        <f>G868*B868</f>
      </c>
      <c r="K868" s="37">
        <f>Eq_e0+Eq_kx*$C868+Eq_ky*$B868</f>
      </c>
      <c r="L868" s="20">
        <f>IF(K868&gt;0,IF(K868&lt;=eco,alpha*fck*(1-(1-K868/eco)^n),alpha*fck),0)</f>
      </c>
    </row>
    <row r="869" spans="1:12" x14ac:dyDescent="0.25">
      <c r="A869">
        <f>Mesh!A866</f>
      </c>
      <c r="B869" s="20">
        <f>Mesh!B866</f>
      </c>
      <c r="C869" s="20">
        <f>Mesh!C866</f>
      </c>
      <c r="D869" s="20">
        <f>Mesh!D866</f>
      </c>
      <c r="E869" s="37">
        <f>INDEX(St_e0,Det+1)+INDEX(St_kx,Det+1)*C869+INDEX(St_ky,Det+1)*B869</f>
      </c>
      <c r="F869" s="20">
        <f>IF(E869&gt;0,IF(E869&lt;=eco,alpha*fck*(1-(1-E869/eco)^n),alpha*fck),0)</f>
      </c>
      <c r="G869" s="19">
        <f>F869*D869</f>
      </c>
      <c r="H869" s="19">
        <f>G869*C869</f>
      </c>
      <c r="I869" s="19">
        <f>G869*B869</f>
      </c>
      <c r="K869" s="37">
        <f>Eq_e0+Eq_kx*$C869+Eq_ky*$B869</f>
      </c>
      <c r="L869" s="20">
        <f>IF(K869&gt;0,IF(K869&lt;=eco,alpha*fck*(1-(1-K869/eco)^n),alpha*fck),0)</f>
      </c>
    </row>
    <row r="870" spans="1:12" x14ac:dyDescent="0.25">
      <c r="A870">
        <f>Mesh!A867</f>
      </c>
      <c r="B870" s="20">
        <f>Mesh!B867</f>
      </c>
      <c r="C870" s="20">
        <f>Mesh!C867</f>
      </c>
      <c r="D870" s="20">
        <f>Mesh!D867</f>
      </c>
      <c r="E870" s="37">
        <f>INDEX(St_e0,Det+1)+INDEX(St_kx,Det+1)*C870+INDEX(St_ky,Det+1)*B870</f>
      </c>
      <c r="F870" s="20">
        <f>IF(E870&gt;0,IF(E870&lt;=eco,alpha*fck*(1-(1-E870/eco)^n),alpha*fck),0)</f>
      </c>
      <c r="G870" s="19">
        <f>F870*D870</f>
      </c>
      <c r="H870" s="19">
        <f>G870*C870</f>
      </c>
      <c r="I870" s="19">
        <f>G870*B870</f>
      </c>
      <c r="K870" s="37">
        <f>Eq_e0+Eq_kx*$C870+Eq_ky*$B870</f>
      </c>
      <c r="L870" s="20">
        <f>IF(K870&gt;0,IF(K870&lt;=eco,alpha*fck*(1-(1-K870/eco)^n),alpha*fck),0)</f>
      </c>
    </row>
    <row r="871" spans="1:12" x14ac:dyDescent="0.25">
      <c r="A871">
        <f>Mesh!A868</f>
      </c>
      <c r="B871" s="20">
        <f>Mesh!B868</f>
      </c>
      <c r="C871" s="20">
        <f>Mesh!C868</f>
      </c>
      <c r="D871" s="20">
        <f>Mesh!D868</f>
      </c>
      <c r="E871" s="37">
        <f>INDEX(St_e0,Det+1)+INDEX(St_kx,Det+1)*C871+INDEX(St_ky,Det+1)*B871</f>
      </c>
      <c r="F871" s="20">
        <f>IF(E871&gt;0,IF(E871&lt;=eco,alpha*fck*(1-(1-E871/eco)^n),alpha*fck),0)</f>
      </c>
      <c r="G871" s="19">
        <f>F871*D871</f>
      </c>
      <c r="H871" s="19">
        <f>G871*C871</f>
      </c>
      <c r="I871" s="19">
        <f>G871*B871</f>
      </c>
      <c r="K871" s="37">
        <f>Eq_e0+Eq_kx*$C871+Eq_ky*$B871</f>
      </c>
      <c r="L871" s="20">
        <f>IF(K871&gt;0,IF(K871&lt;=eco,alpha*fck*(1-(1-K871/eco)^n),alpha*fck),0)</f>
      </c>
    </row>
    <row r="872" spans="1:12" x14ac:dyDescent="0.25">
      <c r="A872">
        <f>Mesh!A869</f>
      </c>
      <c r="B872" s="20">
        <f>Mesh!B869</f>
      </c>
      <c r="C872" s="20">
        <f>Mesh!C869</f>
      </c>
      <c r="D872" s="20">
        <f>Mesh!D869</f>
      </c>
      <c r="E872" s="37">
        <f>INDEX(St_e0,Det+1)+INDEX(St_kx,Det+1)*C872+INDEX(St_ky,Det+1)*B872</f>
      </c>
      <c r="F872" s="20">
        <f>IF(E872&gt;0,IF(E872&lt;=eco,alpha*fck*(1-(1-E872/eco)^n),alpha*fck),0)</f>
      </c>
      <c r="G872" s="19">
        <f>F872*D872</f>
      </c>
      <c r="H872" s="19">
        <f>G872*C872</f>
      </c>
      <c r="I872" s="19">
        <f>G872*B872</f>
      </c>
      <c r="K872" s="37">
        <f>Eq_e0+Eq_kx*$C872+Eq_ky*$B872</f>
      </c>
      <c r="L872" s="20">
        <f>IF(K872&gt;0,IF(K872&lt;=eco,alpha*fck*(1-(1-K872/eco)^n),alpha*fck),0)</f>
      </c>
    </row>
    <row r="873" spans="1:12" x14ac:dyDescent="0.25">
      <c r="A873">
        <f>Mesh!A870</f>
      </c>
      <c r="B873" s="20">
        <f>Mesh!B870</f>
      </c>
      <c r="C873" s="20">
        <f>Mesh!C870</f>
      </c>
      <c r="D873" s="20">
        <f>Mesh!D870</f>
      </c>
      <c r="E873" s="37">
        <f>INDEX(St_e0,Det+1)+INDEX(St_kx,Det+1)*C873+INDEX(St_ky,Det+1)*B873</f>
      </c>
      <c r="F873" s="20">
        <f>IF(E873&gt;0,IF(E873&lt;=eco,alpha*fck*(1-(1-E873/eco)^n),alpha*fck),0)</f>
      </c>
      <c r="G873" s="19">
        <f>F873*D873</f>
      </c>
      <c r="H873" s="19">
        <f>G873*C873</f>
      </c>
      <c r="I873" s="19">
        <f>G873*B873</f>
      </c>
      <c r="K873" s="37">
        <f>Eq_e0+Eq_kx*$C873+Eq_ky*$B873</f>
      </c>
      <c r="L873" s="20">
        <f>IF(K873&gt;0,IF(K873&lt;=eco,alpha*fck*(1-(1-K873/eco)^n),alpha*fck),0)</f>
      </c>
    </row>
    <row r="874" spans="1:12" x14ac:dyDescent="0.25">
      <c r="A874">
        <f>Mesh!A871</f>
      </c>
      <c r="B874" s="20">
        <f>Mesh!B871</f>
      </c>
      <c r="C874" s="20">
        <f>Mesh!C871</f>
      </c>
      <c r="D874" s="20">
        <f>Mesh!D871</f>
      </c>
      <c r="E874" s="37">
        <f>INDEX(St_e0,Det+1)+INDEX(St_kx,Det+1)*C874+INDEX(St_ky,Det+1)*B874</f>
      </c>
      <c r="F874" s="20">
        <f>IF(E874&gt;0,IF(E874&lt;=eco,alpha*fck*(1-(1-E874/eco)^n),alpha*fck),0)</f>
      </c>
      <c r="G874" s="19">
        <f>F874*D874</f>
      </c>
      <c r="H874" s="19">
        <f>G874*C874</f>
      </c>
      <c r="I874" s="19">
        <f>G874*B874</f>
      </c>
      <c r="K874" s="37">
        <f>Eq_e0+Eq_kx*$C874+Eq_ky*$B874</f>
      </c>
      <c r="L874" s="20">
        <f>IF(K874&gt;0,IF(K874&lt;=eco,alpha*fck*(1-(1-K874/eco)^n),alpha*fck),0)</f>
      </c>
    </row>
    <row r="875" spans="1:12" x14ac:dyDescent="0.25">
      <c r="A875">
        <f>Mesh!A872</f>
      </c>
      <c r="B875" s="20">
        <f>Mesh!B872</f>
      </c>
      <c r="C875" s="20">
        <f>Mesh!C872</f>
      </c>
      <c r="D875" s="20">
        <f>Mesh!D872</f>
      </c>
      <c r="E875" s="37">
        <f>INDEX(St_e0,Det+1)+INDEX(St_kx,Det+1)*C875+INDEX(St_ky,Det+1)*B875</f>
      </c>
      <c r="F875" s="20">
        <f>IF(E875&gt;0,IF(E875&lt;=eco,alpha*fck*(1-(1-E875/eco)^n),alpha*fck),0)</f>
      </c>
      <c r="G875" s="19">
        <f>F875*D875</f>
      </c>
      <c r="H875" s="19">
        <f>G875*C875</f>
      </c>
      <c r="I875" s="19">
        <f>G875*B875</f>
      </c>
      <c r="K875" s="37">
        <f>Eq_e0+Eq_kx*$C875+Eq_ky*$B875</f>
      </c>
      <c r="L875" s="20">
        <f>IF(K875&gt;0,IF(K875&lt;=eco,alpha*fck*(1-(1-K875/eco)^n),alpha*fck),0)</f>
      </c>
    </row>
    <row r="876" spans="1:12" x14ac:dyDescent="0.25">
      <c r="A876">
        <f>Mesh!A873</f>
      </c>
      <c r="B876" s="20">
        <f>Mesh!B873</f>
      </c>
      <c r="C876" s="20">
        <f>Mesh!C873</f>
      </c>
      <c r="D876" s="20">
        <f>Mesh!D873</f>
      </c>
      <c r="E876" s="37">
        <f>INDEX(St_e0,Det+1)+INDEX(St_kx,Det+1)*C876+INDEX(St_ky,Det+1)*B876</f>
      </c>
      <c r="F876" s="20">
        <f>IF(E876&gt;0,IF(E876&lt;=eco,alpha*fck*(1-(1-E876/eco)^n),alpha*fck),0)</f>
      </c>
      <c r="G876" s="19">
        <f>F876*D876</f>
      </c>
      <c r="H876" s="19">
        <f>G876*C876</f>
      </c>
      <c r="I876" s="19">
        <f>G876*B876</f>
      </c>
      <c r="K876" s="37">
        <f>Eq_e0+Eq_kx*$C876+Eq_ky*$B876</f>
      </c>
      <c r="L876" s="20">
        <f>IF(K876&gt;0,IF(K876&lt;=eco,alpha*fck*(1-(1-K876/eco)^n),alpha*fck),0)</f>
      </c>
    </row>
    <row r="877" spans="1:12" x14ac:dyDescent="0.25">
      <c r="A877">
        <f>Mesh!A874</f>
      </c>
      <c r="B877" s="20">
        <f>Mesh!B874</f>
      </c>
      <c r="C877" s="20">
        <f>Mesh!C874</f>
      </c>
      <c r="D877" s="20">
        <f>Mesh!D874</f>
      </c>
      <c r="E877" s="37">
        <f>INDEX(St_e0,Det+1)+INDEX(St_kx,Det+1)*C877+INDEX(St_ky,Det+1)*B877</f>
      </c>
      <c r="F877" s="20">
        <f>IF(E877&gt;0,IF(E877&lt;=eco,alpha*fck*(1-(1-E877/eco)^n),alpha*fck),0)</f>
      </c>
      <c r="G877" s="19">
        <f>F877*D877</f>
      </c>
      <c r="H877" s="19">
        <f>G877*C877</f>
      </c>
      <c r="I877" s="19">
        <f>G877*B877</f>
      </c>
      <c r="K877" s="37">
        <f>Eq_e0+Eq_kx*$C877+Eq_ky*$B877</f>
      </c>
      <c r="L877" s="20">
        <f>IF(K877&gt;0,IF(K877&lt;=eco,alpha*fck*(1-(1-K877/eco)^n),alpha*fck),0)</f>
      </c>
    </row>
    <row r="878" spans="1:12" x14ac:dyDescent="0.25">
      <c r="A878">
        <f>Mesh!A875</f>
      </c>
      <c r="B878" s="20">
        <f>Mesh!B875</f>
      </c>
      <c r="C878" s="20">
        <f>Mesh!C875</f>
      </c>
      <c r="D878" s="20">
        <f>Mesh!D875</f>
      </c>
      <c r="E878" s="37">
        <f>INDEX(St_e0,Det+1)+INDEX(St_kx,Det+1)*C878+INDEX(St_ky,Det+1)*B878</f>
      </c>
      <c r="F878" s="20">
        <f>IF(E878&gt;0,IF(E878&lt;=eco,alpha*fck*(1-(1-E878/eco)^n),alpha*fck),0)</f>
      </c>
      <c r="G878" s="19">
        <f>F878*D878</f>
      </c>
      <c r="H878" s="19">
        <f>G878*C878</f>
      </c>
      <c r="I878" s="19">
        <f>G878*B878</f>
      </c>
      <c r="K878" s="37">
        <f>Eq_e0+Eq_kx*$C878+Eq_ky*$B878</f>
      </c>
      <c r="L878" s="20">
        <f>IF(K878&gt;0,IF(K878&lt;=eco,alpha*fck*(1-(1-K878/eco)^n),alpha*fck),0)</f>
      </c>
    </row>
    <row r="879" spans="1:12" x14ac:dyDescent="0.25">
      <c r="A879">
        <f>Mesh!A876</f>
      </c>
      <c r="B879" s="20">
        <f>Mesh!B876</f>
      </c>
      <c r="C879" s="20">
        <f>Mesh!C876</f>
      </c>
      <c r="D879" s="20">
        <f>Mesh!D876</f>
      </c>
      <c r="E879" s="37">
        <f>INDEX(St_e0,Det+1)+INDEX(St_kx,Det+1)*C879+INDEX(St_ky,Det+1)*B879</f>
      </c>
      <c r="F879" s="20">
        <f>IF(E879&gt;0,IF(E879&lt;=eco,alpha*fck*(1-(1-E879/eco)^n),alpha*fck),0)</f>
      </c>
      <c r="G879" s="19">
        <f>F879*D879</f>
      </c>
      <c r="H879" s="19">
        <f>G879*C879</f>
      </c>
      <c r="I879" s="19">
        <f>G879*B879</f>
      </c>
      <c r="K879" s="37">
        <f>Eq_e0+Eq_kx*$C879+Eq_ky*$B879</f>
      </c>
      <c r="L879" s="20">
        <f>IF(K879&gt;0,IF(K879&lt;=eco,alpha*fck*(1-(1-K879/eco)^n),alpha*fck),0)</f>
      </c>
    </row>
    <row r="880" spans="1:12" x14ac:dyDescent="0.25">
      <c r="A880">
        <f>Mesh!A877</f>
      </c>
      <c r="B880" s="20">
        <f>Mesh!B877</f>
      </c>
      <c r="C880" s="20">
        <f>Mesh!C877</f>
      </c>
      <c r="D880" s="20">
        <f>Mesh!D877</f>
      </c>
      <c r="E880" s="37">
        <f>INDEX(St_e0,Det+1)+INDEX(St_kx,Det+1)*C880+INDEX(St_ky,Det+1)*B880</f>
      </c>
      <c r="F880" s="20">
        <f>IF(E880&gt;0,IF(E880&lt;=eco,alpha*fck*(1-(1-E880/eco)^n),alpha*fck),0)</f>
      </c>
      <c r="G880" s="19">
        <f>F880*D880</f>
      </c>
      <c r="H880" s="19">
        <f>G880*C880</f>
      </c>
      <c r="I880" s="19">
        <f>G880*B880</f>
      </c>
      <c r="K880" s="37">
        <f>Eq_e0+Eq_kx*$C880+Eq_ky*$B880</f>
      </c>
      <c r="L880" s="20">
        <f>IF(K880&gt;0,IF(K880&lt;=eco,alpha*fck*(1-(1-K880/eco)^n),alpha*fck),0)</f>
      </c>
    </row>
    <row r="881" spans="1:12" x14ac:dyDescent="0.25">
      <c r="A881">
        <f>Mesh!A878</f>
      </c>
      <c r="B881" s="20">
        <f>Mesh!B878</f>
      </c>
      <c r="C881" s="20">
        <f>Mesh!C878</f>
      </c>
      <c r="D881" s="20">
        <f>Mesh!D878</f>
      </c>
      <c r="E881" s="37">
        <f>INDEX(St_e0,Det+1)+INDEX(St_kx,Det+1)*C881+INDEX(St_ky,Det+1)*B881</f>
      </c>
      <c r="F881" s="20">
        <f>IF(E881&gt;0,IF(E881&lt;=eco,alpha*fck*(1-(1-E881/eco)^n),alpha*fck),0)</f>
      </c>
      <c r="G881" s="19">
        <f>F881*D881</f>
      </c>
      <c r="H881" s="19">
        <f>G881*C881</f>
      </c>
      <c r="I881" s="19">
        <f>G881*B881</f>
      </c>
      <c r="K881" s="37">
        <f>Eq_e0+Eq_kx*$C881+Eq_ky*$B881</f>
      </c>
      <c r="L881" s="20">
        <f>IF(K881&gt;0,IF(K881&lt;=eco,alpha*fck*(1-(1-K881/eco)^n),alpha*fck),0)</f>
      </c>
    </row>
    <row r="882" spans="1:12" x14ac:dyDescent="0.25">
      <c r="A882">
        <f>Mesh!A879</f>
      </c>
      <c r="B882" s="20">
        <f>Mesh!B879</f>
      </c>
      <c r="C882" s="20">
        <f>Mesh!C879</f>
      </c>
      <c r="D882" s="20">
        <f>Mesh!D879</f>
      </c>
      <c r="E882" s="37">
        <f>INDEX(St_e0,Det+1)+INDEX(St_kx,Det+1)*C882+INDEX(St_ky,Det+1)*B882</f>
      </c>
      <c r="F882" s="20">
        <f>IF(E882&gt;0,IF(E882&lt;=eco,alpha*fck*(1-(1-E882/eco)^n),alpha*fck),0)</f>
      </c>
      <c r="G882" s="19">
        <f>F882*D882</f>
      </c>
      <c r="H882" s="19">
        <f>G882*C882</f>
      </c>
      <c r="I882" s="19">
        <f>G882*B882</f>
      </c>
      <c r="K882" s="37">
        <f>Eq_e0+Eq_kx*$C882+Eq_ky*$B882</f>
      </c>
      <c r="L882" s="20">
        <f>IF(K882&gt;0,IF(K882&lt;=eco,alpha*fck*(1-(1-K882/eco)^n),alpha*fck),0)</f>
      </c>
    </row>
    <row r="883" spans="1:12" x14ac:dyDescent="0.25">
      <c r="A883">
        <f>Mesh!A880</f>
      </c>
      <c r="B883" s="20">
        <f>Mesh!B880</f>
      </c>
      <c r="C883" s="20">
        <f>Mesh!C880</f>
      </c>
      <c r="D883" s="20">
        <f>Mesh!D880</f>
      </c>
      <c r="E883" s="37">
        <f>INDEX(St_e0,Det+1)+INDEX(St_kx,Det+1)*C883+INDEX(St_ky,Det+1)*B883</f>
      </c>
      <c r="F883" s="20">
        <f>IF(E883&gt;0,IF(E883&lt;=eco,alpha*fck*(1-(1-E883/eco)^n),alpha*fck),0)</f>
      </c>
      <c r="G883" s="19">
        <f>F883*D883</f>
      </c>
      <c r="H883" s="19">
        <f>G883*C883</f>
      </c>
      <c r="I883" s="19">
        <f>G883*B883</f>
      </c>
      <c r="K883" s="37">
        <f>Eq_e0+Eq_kx*$C883+Eq_ky*$B883</f>
      </c>
      <c r="L883" s="20">
        <f>IF(K883&gt;0,IF(K883&lt;=eco,alpha*fck*(1-(1-K883/eco)^n),alpha*fck),0)</f>
      </c>
    </row>
    <row r="884" spans="1:12" x14ac:dyDescent="0.25">
      <c r="A884">
        <f>Mesh!A881</f>
      </c>
      <c r="B884" s="20">
        <f>Mesh!B881</f>
      </c>
      <c r="C884" s="20">
        <f>Mesh!C881</f>
      </c>
      <c r="D884" s="20">
        <f>Mesh!D881</f>
      </c>
      <c r="E884" s="37">
        <f>INDEX(St_e0,Det+1)+INDEX(St_kx,Det+1)*C884+INDEX(St_ky,Det+1)*B884</f>
      </c>
      <c r="F884" s="20">
        <f>IF(E884&gt;0,IF(E884&lt;=eco,alpha*fck*(1-(1-E884/eco)^n),alpha*fck),0)</f>
      </c>
      <c r="G884" s="19">
        <f>F884*D884</f>
      </c>
      <c r="H884" s="19">
        <f>G884*C884</f>
      </c>
      <c r="I884" s="19">
        <f>G884*B884</f>
      </c>
      <c r="K884" s="37">
        <f>Eq_e0+Eq_kx*$C884+Eq_ky*$B884</f>
      </c>
      <c r="L884" s="20">
        <f>IF(K884&gt;0,IF(K884&lt;=eco,alpha*fck*(1-(1-K884/eco)^n),alpha*fck),0)</f>
      </c>
    </row>
    <row r="885" spans="1:12" x14ac:dyDescent="0.25">
      <c r="A885">
        <f>Mesh!A882</f>
      </c>
      <c r="B885" s="20">
        <f>Mesh!B882</f>
      </c>
      <c r="C885" s="20">
        <f>Mesh!C882</f>
      </c>
      <c r="D885" s="20">
        <f>Mesh!D882</f>
      </c>
      <c r="E885" s="37">
        <f>INDEX(St_e0,Det+1)+INDEX(St_kx,Det+1)*C885+INDEX(St_ky,Det+1)*B885</f>
      </c>
      <c r="F885" s="20">
        <f>IF(E885&gt;0,IF(E885&lt;=eco,alpha*fck*(1-(1-E885/eco)^n),alpha*fck),0)</f>
      </c>
      <c r="G885" s="19">
        <f>F885*D885</f>
      </c>
      <c r="H885" s="19">
        <f>G885*C885</f>
      </c>
      <c r="I885" s="19">
        <f>G885*B885</f>
      </c>
      <c r="K885" s="37">
        <f>Eq_e0+Eq_kx*$C885+Eq_ky*$B885</f>
      </c>
      <c r="L885" s="20">
        <f>IF(K885&gt;0,IF(K885&lt;=eco,alpha*fck*(1-(1-K885/eco)^n),alpha*fck),0)</f>
      </c>
    </row>
    <row r="886" spans="1:12" x14ac:dyDescent="0.25">
      <c r="A886">
        <f>Mesh!A883</f>
      </c>
      <c r="B886" s="20">
        <f>Mesh!B883</f>
      </c>
      <c r="C886" s="20">
        <f>Mesh!C883</f>
      </c>
      <c r="D886" s="20">
        <f>Mesh!D883</f>
      </c>
      <c r="E886" s="37">
        <f>INDEX(St_e0,Det+1)+INDEX(St_kx,Det+1)*C886+INDEX(St_ky,Det+1)*B886</f>
      </c>
      <c r="F886" s="20">
        <f>IF(E886&gt;0,IF(E886&lt;=eco,alpha*fck*(1-(1-E886/eco)^n),alpha*fck),0)</f>
      </c>
      <c r="G886" s="19">
        <f>F886*D886</f>
      </c>
      <c r="H886" s="19">
        <f>G886*C886</f>
      </c>
      <c r="I886" s="19">
        <f>G886*B886</f>
      </c>
      <c r="K886" s="37">
        <f>Eq_e0+Eq_kx*$C886+Eq_ky*$B886</f>
      </c>
      <c r="L886" s="20">
        <f>IF(K886&gt;0,IF(K886&lt;=eco,alpha*fck*(1-(1-K886/eco)^n),alpha*fck),0)</f>
      </c>
    </row>
    <row r="887" spans="1:12" x14ac:dyDescent="0.25">
      <c r="A887">
        <f>Mesh!A884</f>
      </c>
      <c r="B887" s="20">
        <f>Mesh!B884</f>
      </c>
      <c r="C887" s="20">
        <f>Mesh!C884</f>
      </c>
      <c r="D887" s="20">
        <f>Mesh!D884</f>
      </c>
      <c r="E887" s="37">
        <f>INDEX(St_e0,Det+1)+INDEX(St_kx,Det+1)*C887+INDEX(St_ky,Det+1)*B887</f>
      </c>
      <c r="F887" s="20">
        <f>IF(E887&gt;0,IF(E887&lt;=eco,alpha*fck*(1-(1-E887/eco)^n),alpha*fck),0)</f>
      </c>
      <c r="G887" s="19">
        <f>F887*D887</f>
      </c>
      <c r="H887" s="19">
        <f>G887*C887</f>
      </c>
      <c r="I887" s="19">
        <f>G887*B887</f>
      </c>
      <c r="K887" s="37">
        <f>Eq_e0+Eq_kx*$C887+Eq_ky*$B887</f>
      </c>
      <c r="L887" s="20">
        <f>IF(K887&gt;0,IF(K887&lt;=eco,alpha*fck*(1-(1-K887/eco)^n),alpha*fck),0)</f>
      </c>
    </row>
    <row r="888" spans="1:12" x14ac:dyDescent="0.25">
      <c r="A888">
        <f>Mesh!A885</f>
      </c>
      <c r="B888" s="20">
        <f>Mesh!B885</f>
      </c>
      <c r="C888" s="20">
        <f>Mesh!C885</f>
      </c>
      <c r="D888" s="20">
        <f>Mesh!D885</f>
      </c>
      <c r="E888" s="37">
        <f>INDEX(St_e0,Det+1)+INDEX(St_kx,Det+1)*C888+INDEX(St_ky,Det+1)*B888</f>
      </c>
      <c r="F888" s="20">
        <f>IF(E888&gt;0,IF(E888&lt;=eco,alpha*fck*(1-(1-E888/eco)^n),alpha*fck),0)</f>
      </c>
      <c r="G888" s="19">
        <f>F888*D888</f>
      </c>
      <c r="H888" s="19">
        <f>G888*C888</f>
      </c>
      <c r="I888" s="19">
        <f>G888*B888</f>
      </c>
      <c r="K888" s="37">
        <f>Eq_e0+Eq_kx*$C888+Eq_ky*$B888</f>
      </c>
      <c r="L888" s="20">
        <f>IF(K888&gt;0,IF(K888&lt;=eco,alpha*fck*(1-(1-K888/eco)^n),alpha*fck),0)</f>
      </c>
    </row>
    <row r="889" spans="1:12" x14ac:dyDescent="0.25">
      <c r="A889">
        <f>Mesh!A886</f>
      </c>
      <c r="B889" s="20">
        <f>Mesh!B886</f>
      </c>
      <c r="C889" s="20">
        <f>Mesh!C886</f>
      </c>
      <c r="D889" s="20">
        <f>Mesh!D886</f>
      </c>
      <c r="E889" s="37">
        <f>INDEX(St_e0,Det+1)+INDEX(St_kx,Det+1)*C889+INDEX(St_ky,Det+1)*B889</f>
      </c>
      <c r="F889" s="20">
        <f>IF(E889&gt;0,IF(E889&lt;=eco,alpha*fck*(1-(1-E889/eco)^n),alpha*fck),0)</f>
      </c>
      <c r="G889" s="19">
        <f>F889*D889</f>
      </c>
      <c r="H889" s="19">
        <f>G889*C889</f>
      </c>
      <c r="I889" s="19">
        <f>G889*B889</f>
      </c>
      <c r="K889" s="37">
        <f>Eq_e0+Eq_kx*$C889+Eq_ky*$B889</f>
      </c>
      <c r="L889" s="20">
        <f>IF(K889&gt;0,IF(K889&lt;=eco,alpha*fck*(1-(1-K889/eco)^n),alpha*fck),0)</f>
      </c>
    </row>
    <row r="890" spans="1:12" x14ac:dyDescent="0.25">
      <c r="A890">
        <f>Mesh!A887</f>
      </c>
      <c r="B890" s="20">
        <f>Mesh!B887</f>
      </c>
      <c r="C890" s="20">
        <f>Mesh!C887</f>
      </c>
      <c r="D890" s="20">
        <f>Mesh!D887</f>
      </c>
      <c r="E890" s="37">
        <f>INDEX(St_e0,Det+1)+INDEX(St_kx,Det+1)*C890+INDEX(St_ky,Det+1)*B890</f>
      </c>
      <c r="F890" s="20">
        <f>IF(E890&gt;0,IF(E890&lt;=eco,alpha*fck*(1-(1-E890/eco)^n),alpha*fck),0)</f>
      </c>
      <c r="G890" s="19">
        <f>F890*D890</f>
      </c>
      <c r="H890" s="19">
        <f>G890*C890</f>
      </c>
      <c r="I890" s="19">
        <f>G890*B890</f>
      </c>
      <c r="K890" s="37">
        <f>Eq_e0+Eq_kx*$C890+Eq_ky*$B890</f>
      </c>
      <c r="L890" s="20">
        <f>IF(K890&gt;0,IF(K890&lt;=eco,alpha*fck*(1-(1-K890/eco)^n),alpha*fck),0)</f>
      </c>
    </row>
    <row r="891" spans="1:12" x14ac:dyDescent="0.25">
      <c r="A891">
        <f>Mesh!A888</f>
      </c>
      <c r="B891" s="20">
        <f>Mesh!B888</f>
      </c>
      <c r="C891" s="20">
        <f>Mesh!C888</f>
      </c>
      <c r="D891" s="20">
        <f>Mesh!D888</f>
      </c>
      <c r="E891" s="37">
        <f>INDEX(St_e0,Det+1)+INDEX(St_kx,Det+1)*C891+INDEX(St_ky,Det+1)*B891</f>
      </c>
      <c r="F891" s="20">
        <f>IF(E891&gt;0,IF(E891&lt;=eco,alpha*fck*(1-(1-E891/eco)^n),alpha*fck),0)</f>
      </c>
      <c r="G891" s="19">
        <f>F891*D891</f>
      </c>
      <c r="H891" s="19">
        <f>G891*C891</f>
      </c>
      <c r="I891" s="19">
        <f>G891*B891</f>
      </c>
      <c r="K891" s="37">
        <f>Eq_e0+Eq_kx*$C891+Eq_ky*$B891</f>
      </c>
      <c r="L891" s="20">
        <f>IF(K891&gt;0,IF(K891&lt;=eco,alpha*fck*(1-(1-K891/eco)^n),alpha*fck),0)</f>
      </c>
    </row>
    <row r="892" spans="1:12" x14ac:dyDescent="0.25">
      <c r="A892">
        <f>Mesh!A889</f>
      </c>
      <c r="B892" s="20">
        <f>Mesh!B889</f>
      </c>
      <c r="C892" s="20">
        <f>Mesh!C889</f>
      </c>
      <c r="D892" s="20">
        <f>Mesh!D889</f>
      </c>
      <c r="E892" s="37">
        <f>INDEX(St_e0,Det+1)+INDEX(St_kx,Det+1)*C892+INDEX(St_ky,Det+1)*B892</f>
      </c>
      <c r="F892" s="20">
        <f>IF(E892&gt;0,IF(E892&lt;=eco,alpha*fck*(1-(1-E892/eco)^n),alpha*fck),0)</f>
      </c>
      <c r="G892" s="19">
        <f>F892*D892</f>
      </c>
      <c r="H892" s="19">
        <f>G892*C892</f>
      </c>
      <c r="I892" s="19">
        <f>G892*B892</f>
      </c>
      <c r="K892" s="37">
        <f>Eq_e0+Eq_kx*$C892+Eq_ky*$B892</f>
      </c>
      <c r="L892" s="20">
        <f>IF(K892&gt;0,IF(K892&lt;=eco,alpha*fck*(1-(1-K892/eco)^n),alpha*fck),0)</f>
      </c>
    </row>
    <row r="893" spans="1:12" x14ac:dyDescent="0.25">
      <c r="A893">
        <f>Mesh!A890</f>
      </c>
      <c r="B893" s="20">
        <f>Mesh!B890</f>
      </c>
      <c r="C893" s="20">
        <f>Mesh!C890</f>
      </c>
      <c r="D893" s="20">
        <f>Mesh!D890</f>
      </c>
      <c r="E893" s="37">
        <f>INDEX(St_e0,Det+1)+INDEX(St_kx,Det+1)*C893+INDEX(St_ky,Det+1)*B893</f>
      </c>
      <c r="F893" s="20">
        <f>IF(E893&gt;0,IF(E893&lt;=eco,alpha*fck*(1-(1-E893/eco)^n),alpha*fck),0)</f>
      </c>
      <c r="G893" s="19">
        <f>F893*D893</f>
      </c>
      <c r="H893" s="19">
        <f>G893*C893</f>
      </c>
      <c r="I893" s="19">
        <f>G893*B893</f>
      </c>
      <c r="K893" s="37">
        <f>Eq_e0+Eq_kx*$C893+Eq_ky*$B893</f>
      </c>
      <c r="L893" s="20">
        <f>IF(K893&gt;0,IF(K893&lt;=eco,alpha*fck*(1-(1-K893/eco)^n),alpha*fck),0)</f>
      </c>
    </row>
    <row r="894" spans="1:12" x14ac:dyDescent="0.25">
      <c r="A894">
        <f>Mesh!A891</f>
      </c>
      <c r="B894" s="20">
        <f>Mesh!B891</f>
      </c>
      <c r="C894" s="20">
        <f>Mesh!C891</f>
      </c>
      <c r="D894" s="20">
        <f>Mesh!D891</f>
      </c>
      <c r="E894" s="37">
        <f>INDEX(St_e0,Det+1)+INDEX(St_kx,Det+1)*C894+INDEX(St_ky,Det+1)*B894</f>
      </c>
      <c r="F894" s="20">
        <f>IF(E894&gt;0,IF(E894&lt;=eco,alpha*fck*(1-(1-E894/eco)^n),alpha*fck),0)</f>
      </c>
      <c r="G894" s="19">
        <f>F894*D894</f>
      </c>
      <c r="H894" s="19">
        <f>G894*C894</f>
      </c>
      <c r="I894" s="19">
        <f>G894*B894</f>
      </c>
      <c r="K894" s="37">
        <f>Eq_e0+Eq_kx*$C894+Eq_ky*$B894</f>
      </c>
      <c r="L894" s="20">
        <f>IF(K894&gt;0,IF(K894&lt;=eco,alpha*fck*(1-(1-K894/eco)^n),alpha*fck),0)</f>
      </c>
    </row>
    <row r="895" spans="1:12" x14ac:dyDescent="0.25">
      <c r="A895">
        <f>Mesh!A892</f>
      </c>
      <c r="B895" s="20">
        <f>Mesh!B892</f>
      </c>
      <c r="C895" s="20">
        <f>Mesh!C892</f>
      </c>
      <c r="D895" s="20">
        <f>Mesh!D892</f>
      </c>
      <c r="E895" s="37">
        <f>INDEX(St_e0,Det+1)+INDEX(St_kx,Det+1)*C895+INDEX(St_ky,Det+1)*B895</f>
      </c>
      <c r="F895" s="20">
        <f>IF(E895&gt;0,IF(E895&lt;=eco,alpha*fck*(1-(1-E895/eco)^n),alpha*fck),0)</f>
      </c>
      <c r="G895" s="19">
        <f>F895*D895</f>
      </c>
      <c r="H895" s="19">
        <f>G895*C895</f>
      </c>
      <c r="I895" s="19">
        <f>G895*B895</f>
      </c>
      <c r="K895" s="37">
        <f>Eq_e0+Eq_kx*$C895+Eq_ky*$B895</f>
      </c>
      <c r="L895" s="20">
        <f>IF(K895&gt;0,IF(K895&lt;=eco,alpha*fck*(1-(1-K895/eco)^n),alpha*fck),0)</f>
      </c>
    </row>
    <row r="896" spans="1:12" x14ac:dyDescent="0.25">
      <c r="A896">
        <f>Mesh!A893</f>
      </c>
      <c r="B896" s="20">
        <f>Mesh!B893</f>
      </c>
      <c r="C896" s="20">
        <f>Mesh!C893</f>
      </c>
      <c r="D896" s="20">
        <f>Mesh!D893</f>
      </c>
      <c r="E896" s="37">
        <f>INDEX(St_e0,Det+1)+INDEX(St_kx,Det+1)*C896+INDEX(St_ky,Det+1)*B896</f>
      </c>
      <c r="F896" s="20">
        <f>IF(E896&gt;0,IF(E896&lt;=eco,alpha*fck*(1-(1-E896/eco)^n),alpha*fck),0)</f>
      </c>
      <c r="G896" s="19">
        <f>F896*D896</f>
      </c>
      <c r="H896" s="19">
        <f>G896*C896</f>
      </c>
      <c r="I896" s="19">
        <f>G896*B896</f>
      </c>
      <c r="K896" s="37">
        <f>Eq_e0+Eq_kx*$C896+Eq_ky*$B896</f>
      </c>
      <c r="L896" s="20">
        <f>IF(K896&gt;0,IF(K896&lt;=eco,alpha*fck*(1-(1-K896/eco)^n),alpha*fck),0)</f>
      </c>
    </row>
    <row r="897" spans="1:12" x14ac:dyDescent="0.25">
      <c r="A897">
        <f>Mesh!A894</f>
      </c>
      <c r="B897" s="20">
        <f>Mesh!B894</f>
      </c>
      <c r="C897" s="20">
        <f>Mesh!C894</f>
      </c>
      <c r="D897" s="20">
        <f>Mesh!D894</f>
      </c>
      <c r="E897" s="37">
        <f>INDEX(St_e0,Det+1)+INDEX(St_kx,Det+1)*C897+INDEX(St_ky,Det+1)*B897</f>
      </c>
      <c r="F897" s="20">
        <f>IF(E897&gt;0,IF(E897&lt;=eco,alpha*fck*(1-(1-E897/eco)^n),alpha*fck),0)</f>
      </c>
      <c r="G897" s="19">
        <f>F897*D897</f>
      </c>
      <c r="H897" s="19">
        <f>G897*C897</f>
      </c>
      <c r="I897" s="19">
        <f>G897*B897</f>
      </c>
      <c r="K897" s="37">
        <f>Eq_e0+Eq_kx*$C897+Eq_ky*$B897</f>
      </c>
      <c r="L897" s="20">
        <f>IF(K897&gt;0,IF(K897&lt;=eco,alpha*fck*(1-(1-K897/eco)^n),alpha*fck),0)</f>
      </c>
    </row>
    <row r="898" spans="1:12" x14ac:dyDescent="0.25">
      <c r="A898">
        <f>Mesh!A895</f>
      </c>
      <c r="B898" s="20">
        <f>Mesh!B895</f>
      </c>
      <c r="C898" s="20">
        <f>Mesh!C895</f>
      </c>
      <c r="D898" s="20">
        <f>Mesh!D895</f>
      </c>
      <c r="E898" s="37">
        <f>INDEX(St_e0,Det+1)+INDEX(St_kx,Det+1)*C898+INDEX(St_ky,Det+1)*B898</f>
      </c>
      <c r="F898" s="20">
        <f>IF(E898&gt;0,IF(E898&lt;=eco,alpha*fck*(1-(1-E898/eco)^n),alpha*fck),0)</f>
      </c>
      <c r="G898" s="19">
        <f>F898*D898</f>
      </c>
      <c r="H898" s="19">
        <f>G898*C898</f>
      </c>
      <c r="I898" s="19">
        <f>G898*B898</f>
      </c>
      <c r="K898" s="37">
        <f>Eq_e0+Eq_kx*$C898+Eq_ky*$B898</f>
      </c>
      <c r="L898" s="20">
        <f>IF(K898&gt;0,IF(K898&lt;=eco,alpha*fck*(1-(1-K898/eco)^n),alpha*fck),0)</f>
      </c>
    </row>
    <row r="899" spans="1:12" x14ac:dyDescent="0.25">
      <c r="A899">
        <f>Mesh!A896</f>
      </c>
      <c r="B899" s="20">
        <f>Mesh!B896</f>
      </c>
      <c r="C899" s="20">
        <f>Mesh!C896</f>
      </c>
      <c r="D899" s="20">
        <f>Mesh!D896</f>
      </c>
      <c r="E899" s="37">
        <f>INDEX(St_e0,Det+1)+INDEX(St_kx,Det+1)*C899+INDEX(St_ky,Det+1)*B899</f>
      </c>
      <c r="F899" s="20">
        <f>IF(E899&gt;0,IF(E899&lt;=eco,alpha*fck*(1-(1-E899/eco)^n),alpha*fck),0)</f>
      </c>
      <c r="G899" s="19">
        <f>F899*D899</f>
      </c>
      <c r="H899" s="19">
        <f>G899*C899</f>
      </c>
      <c r="I899" s="19">
        <f>G899*B899</f>
      </c>
      <c r="K899" s="37">
        <f>Eq_e0+Eq_kx*$C899+Eq_ky*$B899</f>
      </c>
      <c r="L899" s="20">
        <f>IF(K899&gt;0,IF(K899&lt;=eco,alpha*fck*(1-(1-K899/eco)^n),alpha*fck),0)</f>
      </c>
    </row>
    <row r="900" spans="1:12" x14ac:dyDescent="0.25">
      <c r="A900">
        <f>Mesh!A897</f>
      </c>
      <c r="B900" s="20">
        <f>Mesh!B897</f>
      </c>
      <c r="C900" s="20">
        <f>Mesh!C897</f>
      </c>
      <c r="D900" s="20">
        <f>Mesh!D897</f>
      </c>
      <c r="E900" s="37">
        <f>INDEX(St_e0,Det+1)+INDEX(St_kx,Det+1)*C900+INDEX(St_ky,Det+1)*B900</f>
      </c>
      <c r="F900" s="20">
        <f>IF(E900&gt;0,IF(E900&lt;=eco,alpha*fck*(1-(1-E900/eco)^n),alpha*fck),0)</f>
      </c>
      <c r="G900" s="19">
        <f>F900*D900</f>
      </c>
      <c r="H900" s="19">
        <f>G900*C900</f>
      </c>
      <c r="I900" s="19">
        <f>G900*B900</f>
      </c>
      <c r="K900" s="37">
        <f>Eq_e0+Eq_kx*$C900+Eq_ky*$B900</f>
      </c>
      <c r="L900" s="20">
        <f>IF(K900&gt;0,IF(K900&lt;=eco,alpha*fck*(1-(1-K900/eco)^n),alpha*fck),0)</f>
      </c>
    </row>
    <row r="901" spans="1:12" x14ac:dyDescent="0.25">
      <c r="A901">
        <f>Mesh!A898</f>
      </c>
      <c r="B901" s="20">
        <f>Mesh!B898</f>
      </c>
      <c r="C901" s="20">
        <f>Mesh!C898</f>
      </c>
      <c r="D901" s="20">
        <f>Mesh!D898</f>
      </c>
      <c r="E901" s="37">
        <f>INDEX(St_e0,Det+1)+INDEX(St_kx,Det+1)*C901+INDEX(St_ky,Det+1)*B901</f>
      </c>
      <c r="F901" s="20">
        <f>IF(E901&gt;0,IF(E901&lt;=eco,alpha*fck*(1-(1-E901/eco)^n),alpha*fck),0)</f>
      </c>
      <c r="G901" s="19">
        <f>F901*D901</f>
      </c>
      <c r="H901" s="19">
        <f>G901*C901</f>
      </c>
      <c r="I901" s="19">
        <f>G901*B901</f>
      </c>
      <c r="K901" s="37">
        <f>Eq_e0+Eq_kx*$C901+Eq_ky*$B901</f>
      </c>
      <c r="L901" s="20">
        <f>IF(K901&gt;0,IF(K901&lt;=eco,alpha*fck*(1-(1-K901/eco)^n),alpha*fck),0)</f>
      </c>
    </row>
    <row r="902" spans="1:12" x14ac:dyDescent="0.25">
      <c r="A902">
        <f>Mesh!A899</f>
      </c>
      <c r="B902" s="20">
        <f>Mesh!B899</f>
      </c>
      <c r="C902" s="20">
        <f>Mesh!C899</f>
      </c>
      <c r="D902" s="20">
        <f>Mesh!D899</f>
      </c>
      <c r="E902" s="37">
        <f>INDEX(St_e0,Det+1)+INDEX(St_kx,Det+1)*C902+INDEX(St_ky,Det+1)*B902</f>
      </c>
      <c r="F902" s="20">
        <f>IF(E902&gt;0,IF(E902&lt;=eco,alpha*fck*(1-(1-E902/eco)^n),alpha*fck),0)</f>
      </c>
      <c r="G902" s="19">
        <f>F902*D902</f>
      </c>
      <c r="H902" s="19">
        <f>G902*C902</f>
      </c>
      <c r="I902" s="19">
        <f>G902*B902</f>
      </c>
      <c r="K902" s="37">
        <f>Eq_e0+Eq_kx*$C902+Eq_ky*$B902</f>
      </c>
      <c r="L902" s="20">
        <f>IF(K902&gt;0,IF(K902&lt;=eco,alpha*fck*(1-(1-K902/eco)^n),alpha*fck),0)</f>
      </c>
    </row>
    <row r="903" spans="1:12" x14ac:dyDescent="0.25">
      <c r="A903">
        <f>Mesh!A900</f>
      </c>
      <c r="B903" s="20">
        <f>Mesh!B900</f>
      </c>
      <c r="C903" s="20">
        <f>Mesh!C900</f>
      </c>
      <c r="D903" s="20">
        <f>Mesh!D900</f>
      </c>
      <c r="E903" s="37">
        <f>INDEX(St_e0,Det+1)+INDEX(St_kx,Det+1)*C903+INDEX(St_ky,Det+1)*B903</f>
      </c>
      <c r="F903" s="20">
        <f>IF(E903&gt;0,IF(E903&lt;=eco,alpha*fck*(1-(1-E903/eco)^n),alpha*fck),0)</f>
      </c>
      <c r="G903" s="19">
        <f>F903*D903</f>
      </c>
      <c r="H903" s="19">
        <f>G903*C903</f>
      </c>
      <c r="I903" s="19">
        <f>G903*B903</f>
      </c>
      <c r="K903" s="37">
        <f>Eq_e0+Eq_kx*$C903+Eq_ky*$B903</f>
      </c>
      <c r="L903" s="20">
        <f>IF(K903&gt;0,IF(K903&lt;=eco,alpha*fck*(1-(1-K903/eco)^n),alpha*fck),0)</f>
      </c>
    </row>
    <row r="904" spans="1:12" x14ac:dyDescent="0.25">
      <c r="A904">
        <f>Mesh!A901</f>
      </c>
      <c r="B904" s="20">
        <f>Mesh!B901</f>
      </c>
      <c r="C904" s="20">
        <f>Mesh!C901</f>
      </c>
      <c r="D904" s="20">
        <f>Mesh!D901</f>
      </c>
      <c r="E904" s="37">
        <f>INDEX(St_e0,Det+1)+INDEX(St_kx,Det+1)*C904+INDEX(St_ky,Det+1)*B904</f>
      </c>
      <c r="F904" s="20">
        <f>IF(E904&gt;0,IF(E904&lt;=eco,alpha*fck*(1-(1-E904/eco)^n),alpha*fck),0)</f>
      </c>
      <c r="G904" s="19">
        <f>F904*D904</f>
      </c>
      <c r="H904" s="19">
        <f>G904*C904</f>
      </c>
      <c r="I904" s="19">
        <f>G904*B904</f>
      </c>
      <c r="K904" s="37">
        <f>Eq_e0+Eq_kx*$C904+Eq_ky*$B904</f>
      </c>
      <c r="L904" s="20">
        <f>IF(K904&gt;0,IF(K904&lt;=eco,alpha*fck*(1-(1-K904/eco)^n),alpha*fck),0)</f>
      </c>
    </row>
    <row r="905" spans="1:12" x14ac:dyDescent="0.25">
      <c r="A905">
        <f>Mesh!A902</f>
      </c>
      <c r="B905" s="20">
        <f>Mesh!B902</f>
      </c>
      <c r="C905" s="20">
        <f>Mesh!C902</f>
      </c>
      <c r="D905" s="20">
        <f>Mesh!D902</f>
      </c>
      <c r="E905" s="37">
        <f>INDEX(St_e0,Det+1)+INDEX(St_kx,Det+1)*C905+INDEX(St_ky,Det+1)*B905</f>
      </c>
      <c r="F905" s="20">
        <f>IF(E905&gt;0,IF(E905&lt;=eco,alpha*fck*(1-(1-E905/eco)^n),alpha*fck),0)</f>
      </c>
      <c r="G905" s="19">
        <f>F905*D905</f>
      </c>
      <c r="H905" s="19">
        <f>G905*C905</f>
      </c>
      <c r="I905" s="19">
        <f>G905*B905</f>
      </c>
      <c r="K905" s="37">
        <f>Eq_e0+Eq_kx*$C905+Eq_ky*$B905</f>
      </c>
      <c r="L905" s="20">
        <f>IF(K905&gt;0,IF(K905&lt;=eco,alpha*fck*(1-(1-K905/eco)^n),alpha*fck),0)</f>
      </c>
    </row>
    <row r="906" spans="1:12" x14ac:dyDescent="0.25">
      <c r="A906">
        <f>Mesh!A903</f>
      </c>
      <c r="B906" s="20">
        <f>Mesh!B903</f>
      </c>
      <c r="C906" s="20">
        <f>Mesh!C903</f>
      </c>
      <c r="D906" s="20">
        <f>Mesh!D903</f>
      </c>
      <c r="E906" s="37">
        <f>INDEX(St_e0,Det+1)+INDEX(St_kx,Det+1)*C906+INDEX(St_ky,Det+1)*B906</f>
      </c>
      <c r="F906" s="20">
        <f>IF(E906&gt;0,IF(E906&lt;=eco,alpha*fck*(1-(1-E906/eco)^n),alpha*fck),0)</f>
      </c>
      <c r="G906" s="19">
        <f>F906*D906</f>
      </c>
      <c r="H906" s="19">
        <f>G906*C906</f>
      </c>
      <c r="I906" s="19">
        <f>G906*B906</f>
      </c>
      <c r="K906" s="37">
        <f>Eq_e0+Eq_kx*$C906+Eq_ky*$B906</f>
      </c>
      <c r="L906" s="20">
        <f>IF(K906&gt;0,IF(K906&lt;=eco,alpha*fck*(1-(1-K906/eco)^n),alpha*fck),0)</f>
      </c>
    </row>
    <row r="907" spans="1:12" x14ac:dyDescent="0.25">
      <c r="A907">
        <f>Mesh!A904</f>
      </c>
      <c r="B907" s="20">
        <f>Mesh!B904</f>
      </c>
      <c r="C907" s="20">
        <f>Mesh!C904</f>
      </c>
      <c r="D907" s="20">
        <f>Mesh!D904</f>
      </c>
      <c r="E907" s="37">
        <f>INDEX(St_e0,Det+1)+INDEX(St_kx,Det+1)*C907+INDEX(St_ky,Det+1)*B907</f>
      </c>
      <c r="F907" s="20">
        <f>IF(E907&gt;0,IF(E907&lt;=eco,alpha*fck*(1-(1-E907/eco)^n),alpha*fck),0)</f>
      </c>
      <c r="G907" s="19">
        <f>F907*D907</f>
      </c>
      <c r="H907" s="19">
        <f>G907*C907</f>
      </c>
      <c r="I907" s="19">
        <f>G907*B907</f>
      </c>
      <c r="K907" s="37">
        <f>Eq_e0+Eq_kx*$C907+Eq_ky*$B907</f>
      </c>
      <c r="L907" s="20">
        <f>IF(K907&gt;0,IF(K907&lt;=eco,alpha*fck*(1-(1-K907/eco)^n),alpha*fck),0)</f>
      </c>
    </row>
    <row r="908" spans="1:12" x14ac:dyDescent="0.25">
      <c r="A908">
        <f>Mesh!A905</f>
      </c>
      <c r="B908" s="20">
        <f>Mesh!B905</f>
      </c>
      <c r="C908" s="20">
        <f>Mesh!C905</f>
      </c>
      <c r="D908" s="20">
        <f>Mesh!D905</f>
      </c>
      <c r="E908" s="37">
        <f>INDEX(St_e0,Det+1)+INDEX(St_kx,Det+1)*C908+INDEX(St_ky,Det+1)*B908</f>
      </c>
      <c r="F908" s="20">
        <f>IF(E908&gt;0,IF(E908&lt;=eco,alpha*fck*(1-(1-E908/eco)^n),alpha*fck),0)</f>
      </c>
      <c r="G908" s="19">
        <f>F908*D908</f>
      </c>
      <c r="H908" s="19">
        <f>G908*C908</f>
      </c>
      <c r="I908" s="19">
        <f>G908*B908</f>
      </c>
      <c r="K908" s="37">
        <f>Eq_e0+Eq_kx*$C908+Eq_ky*$B908</f>
      </c>
      <c r="L908" s="20">
        <f>IF(K908&gt;0,IF(K908&lt;=eco,alpha*fck*(1-(1-K908/eco)^n),alpha*fck),0)</f>
      </c>
    </row>
    <row r="909" spans="1:12" x14ac:dyDescent="0.25">
      <c r="A909">
        <f>Mesh!A906</f>
      </c>
      <c r="B909" s="20">
        <f>Mesh!B906</f>
      </c>
      <c r="C909" s="20">
        <f>Mesh!C906</f>
      </c>
      <c r="D909" s="20">
        <f>Mesh!D906</f>
      </c>
      <c r="E909" s="37">
        <f>INDEX(St_e0,Det+1)+INDEX(St_kx,Det+1)*C909+INDEX(St_ky,Det+1)*B909</f>
      </c>
      <c r="F909" s="20">
        <f>IF(E909&gt;0,IF(E909&lt;=eco,alpha*fck*(1-(1-E909/eco)^n),alpha*fck),0)</f>
      </c>
      <c r="G909" s="19">
        <f>F909*D909</f>
      </c>
      <c r="H909" s="19">
        <f>G909*C909</f>
      </c>
      <c r="I909" s="19">
        <f>G909*B909</f>
      </c>
      <c r="K909" s="37">
        <f>Eq_e0+Eq_kx*$C909+Eq_ky*$B909</f>
      </c>
      <c r="L909" s="20">
        <f>IF(K909&gt;0,IF(K909&lt;=eco,alpha*fck*(1-(1-K909/eco)^n),alpha*fck),0)</f>
      </c>
    </row>
    <row r="910" spans="1:12" x14ac:dyDescent="0.25">
      <c r="A910">
        <f>Mesh!A907</f>
      </c>
      <c r="B910" s="20">
        <f>Mesh!B907</f>
      </c>
      <c r="C910" s="20">
        <f>Mesh!C907</f>
      </c>
      <c r="D910" s="20">
        <f>Mesh!D907</f>
      </c>
      <c r="E910" s="37">
        <f>INDEX(St_e0,Det+1)+INDEX(St_kx,Det+1)*C910+INDEX(St_ky,Det+1)*B910</f>
      </c>
      <c r="F910" s="20">
        <f>IF(E910&gt;0,IF(E910&lt;=eco,alpha*fck*(1-(1-E910/eco)^n),alpha*fck),0)</f>
      </c>
      <c r="G910" s="19">
        <f>F910*D910</f>
      </c>
      <c r="H910" s="19">
        <f>G910*C910</f>
      </c>
      <c r="I910" s="19">
        <f>G910*B910</f>
      </c>
      <c r="K910" s="37">
        <f>Eq_e0+Eq_kx*$C910+Eq_ky*$B910</f>
      </c>
      <c r="L910" s="20">
        <f>IF(K910&gt;0,IF(K910&lt;=eco,alpha*fck*(1-(1-K910/eco)^n),alpha*fck),0)</f>
      </c>
    </row>
    <row r="911" spans="1:12" x14ac:dyDescent="0.25">
      <c r="A911">
        <f>Mesh!A908</f>
      </c>
      <c r="B911" s="20">
        <f>Mesh!B908</f>
      </c>
      <c r="C911" s="20">
        <f>Mesh!C908</f>
      </c>
      <c r="D911" s="20">
        <f>Mesh!D908</f>
      </c>
      <c r="E911" s="37">
        <f>INDEX(St_e0,Det+1)+INDEX(St_kx,Det+1)*C911+INDEX(St_ky,Det+1)*B911</f>
      </c>
      <c r="F911" s="20">
        <f>IF(E911&gt;0,IF(E911&lt;=eco,alpha*fck*(1-(1-E911/eco)^n),alpha*fck),0)</f>
      </c>
      <c r="G911" s="19">
        <f>F911*D911</f>
      </c>
      <c r="H911" s="19">
        <f>G911*C911</f>
      </c>
      <c r="I911" s="19">
        <f>G911*B911</f>
      </c>
      <c r="K911" s="37">
        <f>Eq_e0+Eq_kx*$C911+Eq_ky*$B911</f>
      </c>
      <c r="L911" s="20">
        <f>IF(K911&gt;0,IF(K911&lt;=eco,alpha*fck*(1-(1-K911/eco)^n),alpha*fck),0)</f>
      </c>
    </row>
    <row r="912" spans="1:12" x14ac:dyDescent="0.25">
      <c r="A912">
        <f>Mesh!A909</f>
      </c>
      <c r="B912" s="20">
        <f>Mesh!B909</f>
      </c>
      <c r="C912" s="20">
        <f>Mesh!C909</f>
      </c>
      <c r="D912" s="20">
        <f>Mesh!D909</f>
      </c>
      <c r="E912" s="37">
        <f>INDEX(St_e0,Det+1)+INDEX(St_kx,Det+1)*C912+INDEX(St_ky,Det+1)*B912</f>
      </c>
      <c r="F912" s="20">
        <f>IF(E912&gt;0,IF(E912&lt;=eco,alpha*fck*(1-(1-E912/eco)^n),alpha*fck),0)</f>
      </c>
      <c r="G912" s="19">
        <f>F912*D912</f>
      </c>
      <c r="H912" s="19">
        <f>G912*C912</f>
      </c>
      <c r="I912" s="19">
        <f>G912*B912</f>
      </c>
      <c r="K912" s="37">
        <f>Eq_e0+Eq_kx*$C912+Eq_ky*$B912</f>
      </c>
      <c r="L912" s="20">
        <f>IF(K912&gt;0,IF(K912&lt;=eco,alpha*fck*(1-(1-K912/eco)^n),alpha*fck),0)</f>
      </c>
    </row>
    <row r="913" spans="1:12" x14ac:dyDescent="0.25">
      <c r="A913">
        <f>Mesh!A910</f>
      </c>
      <c r="B913" s="20">
        <f>Mesh!B910</f>
      </c>
      <c r="C913" s="20">
        <f>Mesh!C910</f>
      </c>
      <c r="D913" s="20">
        <f>Mesh!D910</f>
      </c>
      <c r="E913" s="37">
        <f>INDEX(St_e0,Det+1)+INDEX(St_kx,Det+1)*C913+INDEX(St_ky,Det+1)*B913</f>
      </c>
      <c r="F913" s="20">
        <f>IF(E913&gt;0,IF(E913&lt;=eco,alpha*fck*(1-(1-E913/eco)^n),alpha*fck),0)</f>
      </c>
      <c r="G913" s="19">
        <f>F913*D913</f>
      </c>
      <c r="H913" s="19">
        <f>G913*C913</f>
      </c>
      <c r="I913" s="19">
        <f>G913*B913</f>
      </c>
      <c r="K913" s="37">
        <f>Eq_e0+Eq_kx*$C913+Eq_ky*$B913</f>
      </c>
      <c r="L913" s="20">
        <f>IF(K913&gt;0,IF(K913&lt;=eco,alpha*fck*(1-(1-K913/eco)^n),alpha*fck),0)</f>
      </c>
    </row>
    <row r="914" spans="1:12" x14ac:dyDescent="0.25">
      <c r="A914">
        <f>Mesh!A911</f>
      </c>
      <c r="B914" s="20">
        <f>Mesh!B911</f>
      </c>
      <c r="C914" s="20">
        <f>Mesh!C911</f>
      </c>
      <c r="D914" s="20">
        <f>Mesh!D911</f>
      </c>
      <c r="E914" s="37">
        <f>INDEX(St_e0,Det+1)+INDEX(St_kx,Det+1)*C914+INDEX(St_ky,Det+1)*B914</f>
      </c>
      <c r="F914" s="20">
        <f>IF(E914&gt;0,IF(E914&lt;=eco,alpha*fck*(1-(1-E914/eco)^n),alpha*fck),0)</f>
      </c>
      <c r="G914" s="19">
        <f>F914*D914</f>
      </c>
      <c r="H914" s="19">
        <f>G914*C914</f>
      </c>
      <c r="I914" s="19">
        <f>G914*B914</f>
      </c>
      <c r="K914" s="37">
        <f>Eq_e0+Eq_kx*$C914+Eq_ky*$B914</f>
      </c>
      <c r="L914" s="20">
        <f>IF(K914&gt;0,IF(K914&lt;=eco,alpha*fck*(1-(1-K914/eco)^n),alpha*fck),0)</f>
      </c>
    </row>
    <row r="915" spans="1:12" x14ac:dyDescent="0.25">
      <c r="A915">
        <f>Mesh!A912</f>
      </c>
      <c r="B915" s="20">
        <f>Mesh!B912</f>
      </c>
      <c r="C915" s="20">
        <f>Mesh!C912</f>
      </c>
      <c r="D915" s="20">
        <f>Mesh!D912</f>
      </c>
      <c r="E915" s="37">
        <f>INDEX(St_e0,Det+1)+INDEX(St_kx,Det+1)*C915+INDEX(St_ky,Det+1)*B915</f>
      </c>
      <c r="F915" s="20">
        <f>IF(E915&gt;0,IF(E915&lt;=eco,alpha*fck*(1-(1-E915/eco)^n),alpha*fck),0)</f>
      </c>
      <c r="G915" s="19">
        <f>F915*D915</f>
      </c>
      <c r="H915" s="19">
        <f>G915*C915</f>
      </c>
      <c r="I915" s="19">
        <f>G915*B915</f>
      </c>
      <c r="K915" s="37">
        <f>Eq_e0+Eq_kx*$C915+Eq_ky*$B915</f>
      </c>
      <c r="L915" s="20">
        <f>IF(K915&gt;0,IF(K915&lt;=eco,alpha*fck*(1-(1-K915/eco)^n),alpha*fck),0)</f>
      </c>
    </row>
    <row r="916" spans="1:12" x14ac:dyDescent="0.25">
      <c r="A916">
        <f>Mesh!A913</f>
      </c>
      <c r="B916" s="20">
        <f>Mesh!B913</f>
      </c>
      <c r="C916" s="20">
        <f>Mesh!C913</f>
      </c>
      <c r="D916" s="20">
        <f>Mesh!D913</f>
      </c>
      <c r="E916" s="37">
        <f>INDEX(St_e0,Det+1)+INDEX(St_kx,Det+1)*C916+INDEX(St_ky,Det+1)*B916</f>
      </c>
      <c r="F916" s="20">
        <f>IF(E916&gt;0,IF(E916&lt;=eco,alpha*fck*(1-(1-E916/eco)^n),alpha*fck),0)</f>
      </c>
      <c r="G916" s="19">
        <f>F916*D916</f>
      </c>
      <c r="H916" s="19">
        <f>G916*C916</f>
      </c>
      <c r="I916" s="19">
        <f>G916*B916</f>
      </c>
      <c r="K916" s="37">
        <f>Eq_e0+Eq_kx*$C916+Eq_ky*$B916</f>
      </c>
      <c r="L916" s="20">
        <f>IF(K916&gt;0,IF(K916&lt;=eco,alpha*fck*(1-(1-K916/eco)^n),alpha*fck),0)</f>
      </c>
    </row>
    <row r="917" spans="1:12" x14ac:dyDescent="0.25">
      <c r="A917">
        <f>Mesh!A914</f>
      </c>
      <c r="B917" s="20">
        <f>Mesh!B914</f>
      </c>
      <c r="C917" s="20">
        <f>Mesh!C914</f>
      </c>
      <c r="D917" s="20">
        <f>Mesh!D914</f>
      </c>
      <c r="E917" s="37">
        <f>INDEX(St_e0,Det+1)+INDEX(St_kx,Det+1)*C917+INDEX(St_ky,Det+1)*B917</f>
      </c>
      <c r="F917" s="20">
        <f>IF(E917&gt;0,IF(E917&lt;=eco,alpha*fck*(1-(1-E917/eco)^n),alpha*fck),0)</f>
      </c>
      <c r="G917" s="19">
        <f>F917*D917</f>
      </c>
      <c r="H917" s="19">
        <f>G917*C917</f>
      </c>
      <c r="I917" s="19">
        <f>G917*B917</f>
      </c>
      <c r="K917" s="37">
        <f>Eq_e0+Eq_kx*$C917+Eq_ky*$B917</f>
      </c>
      <c r="L917" s="20">
        <f>IF(K917&gt;0,IF(K917&lt;=eco,alpha*fck*(1-(1-K917/eco)^n),alpha*fck),0)</f>
      </c>
    </row>
    <row r="918" spans="1:12" x14ac:dyDescent="0.25">
      <c r="A918">
        <f>Mesh!A915</f>
      </c>
      <c r="B918" s="20">
        <f>Mesh!B915</f>
      </c>
      <c r="C918" s="20">
        <f>Mesh!C915</f>
      </c>
      <c r="D918" s="20">
        <f>Mesh!D915</f>
      </c>
      <c r="E918" s="37">
        <f>INDEX(St_e0,Det+1)+INDEX(St_kx,Det+1)*C918+INDEX(St_ky,Det+1)*B918</f>
      </c>
      <c r="F918" s="20">
        <f>IF(E918&gt;0,IF(E918&lt;=eco,alpha*fck*(1-(1-E918/eco)^n),alpha*fck),0)</f>
      </c>
      <c r="G918" s="19">
        <f>F918*D918</f>
      </c>
      <c r="H918" s="19">
        <f>G918*C918</f>
      </c>
      <c r="I918" s="19">
        <f>G918*B918</f>
      </c>
      <c r="K918" s="37">
        <f>Eq_e0+Eq_kx*$C918+Eq_ky*$B918</f>
      </c>
      <c r="L918" s="20">
        <f>IF(K918&gt;0,IF(K918&lt;=eco,alpha*fck*(1-(1-K918/eco)^n),alpha*fck),0)</f>
      </c>
    </row>
    <row r="919" spans="1:12" x14ac:dyDescent="0.25">
      <c r="A919">
        <f>Mesh!A916</f>
      </c>
      <c r="B919" s="20">
        <f>Mesh!B916</f>
      </c>
      <c r="C919" s="20">
        <f>Mesh!C916</f>
      </c>
      <c r="D919" s="20">
        <f>Mesh!D916</f>
      </c>
      <c r="E919" s="37">
        <f>INDEX(St_e0,Det+1)+INDEX(St_kx,Det+1)*C919+INDEX(St_ky,Det+1)*B919</f>
      </c>
      <c r="F919" s="20">
        <f>IF(E919&gt;0,IF(E919&lt;=eco,alpha*fck*(1-(1-E919/eco)^n),alpha*fck),0)</f>
      </c>
      <c r="G919" s="19">
        <f>F919*D919</f>
      </c>
      <c r="H919" s="19">
        <f>G919*C919</f>
      </c>
      <c r="I919" s="19">
        <f>G919*B919</f>
      </c>
      <c r="K919" s="37">
        <f>Eq_e0+Eq_kx*$C919+Eq_ky*$B919</f>
      </c>
      <c r="L919" s="20">
        <f>IF(K919&gt;0,IF(K919&lt;=eco,alpha*fck*(1-(1-K919/eco)^n),alpha*fck),0)</f>
      </c>
    </row>
    <row r="920" spans="1:12" x14ac:dyDescent="0.25">
      <c r="A920">
        <f>Mesh!A917</f>
      </c>
      <c r="B920" s="20">
        <f>Mesh!B917</f>
      </c>
      <c r="C920" s="20">
        <f>Mesh!C917</f>
      </c>
      <c r="D920" s="20">
        <f>Mesh!D917</f>
      </c>
      <c r="E920" s="37">
        <f>INDEX(St_e0,Det+1)+INDEX(St_kx,Det+1)*C920+INDEX(St_ky,Det+1)*B920</f>
      </c>
      <c r="F920" s="20">
        <f>IF(E920&gt;0,IF(E920&lt;=eco,alpha*fck*(1-(1-E920/eco)^n),alpha*fck),0)</f>
      </c>
      <c r="G920" s="19">
        <f>F920*D920</f>
      </c>
      <c r="H920" s="19">
        <f>G920*C920</f>
      </c>
      <c r="I920" s="19">
        <f>G920*B920</f>
      </c>
      <c r="K920" s="37">
        <f>Eq_e0+Eq_kx*$C920+Eq_ky*$B920</f>
      </c>
      <c r="L920" s="20">
        <f>IF(K920&gt;0,IF(K920&lt;=eco,alpha*fck*(1-(1-K920/eco)^n),alpha*fck),0)</f>
      </c>
    </row>
    <row r="921" spans="1:12" x14ac:dyDescent="0.25">
      <c r="A921">
        <f>Mesh!A918</f>
      </c>
      <c r="B921" s="20">
        <f>Mesh!B918</f>
      </c>
      <c r="C921" s="20">
        <f>Mesh!C918</f>
      </c>
      <c r="D921" s="20">
        <f>Mesh!D918</f>
      </c>
      <c r="E921" s="37">
        <f>INDEX(St_e0,Det+1)+INDEX(St_kx,Det+1)*C921+INDEX(St_ky,Det+1)*B921</f>
      </c>
      <c r="F921" s="20">
        <f>IF(E921&gt;0,IF(E921&lt;=eco,alpha*fck*(1-(1-E921/eco)^n),alpha*fck),0)</f>
      </c>
      <c r="G921" s="19">
        <f>F921*D921</f>
      </c>
      <c r="H921" s="19">
        <f>G921*C921</f>
      </c>
      <c r="I921" s="19">
        <f>G921*B921</f>
      </c>
      <c r="K921" s="37">
        <f>Eq_e0+Eq_kx*$C921+Eq_ky*$B921</f>
      </c>
      <c r="L921" s="20">
        <f>IF(K921&gt;0,IF(K921&lt;=eco,alpha*fck*(1-(1-K921/eco)^n),alpha*fck),0)</f>
      </c>
    </row>
    <row r="922" spans="1:12" x14ac:dyDescent="0.25">
      <c r="A922">
        <f>Mesh!A919</f>
      </c>
      <c r="B922" s="20">
        <f>Mesh!B919</f>
      </c>
      <c r="C922" s="20">
        <f>Mesh!C919</f>
      </c>
      <c r="D922" s="20">
        <f>Mesh!D919</f>
      </c>
      <c r="E922" s="37">
        <f>INDEX(St_e0,Det+1)+INDEX(St_kx,Det+1)*C922+INDEX(St_ky,Det+1)*B922</f>
      </c>
      <c r="F922" s="20">
        <f>IF(E922&gt;0,IF(E922&lt;=eco,alpha*fck*(1-(1-E922/eco)^n),alpha*fck),0)</f>
      </c>
      <c r="G922" s="19">
        <f>F922*D922</f>
      </c>
      <c r="H922" s="19">
        <f>G922*C922</f>
      </c>
      <c r="I922" s="19">
        <f>G922*B922</f>
      </c>
      <c r="K922" s="37">
        <f>Eq_e0+Eq_kx*$C922+Eq_ky*$B922</f>
      </c>
      <c r="L922" s="20">
        <f>IF(K922&gt;0,IF(K922&lt;=eco,alpha*fck*(1-(1-K922/eco)^n),alpha*fck),0)</f>
      </c>
    </row>
    <row r="923" spans="1:12" x14ac:dyDescent="0.25">
      <c r="A923">
        <f>Mesh!A920</f>
      </c>
      <c r="B923" s="20">
        <f>Mesh!B920</f>
      </c>
      <c r="C923" s="20">
        <f>Mesh!C920</f>
      </c>
      <c r="D923" s="20">
        <f>Mesh!D920</f>
      </c>
      <c r="E923" s="37">
        <f>INDEX(St_e0,Det+1)+INDEX(St_kx,Det+1)*C923+INDEX(St_ky,Det+1)*B923</f>
      </c>
      <c r="F923" s="20">
        <f>IF(E923&gt;0,IF(E923&lt;=eco,alpha*fck*(1-(1-E923/eco)^n),alpha*fck),0)</f>
      </c>
      <c r="G923" s="19">
        <f>F923*D923</f>
      </c>
      <c r="H923" s="19">
        <f>G923*C923</f>
      </c>
      <c r="I923" s="19">
        <f>G923*B923</f>
      </c>
      <c r="K923" s="37">
        <f>Eq_e0+Eq_kx*$C923+Eq_ky*$B923</f>
      </c>
      <c r="L923" s="20">
        <f>IF(K923&gt;0,IF(K923&lt;=eco,alpha*fck*(1-(1-K923/eco)^n),alpha*fck),0)</f>
      </c>
    </row>
    <row r="924" spans="1:12" x14ac:dyDescent="0.25">
      <c r="A924">
        <f>Mesh!A921</f>
      </c>
      <c r="B924" s="20">
        <f>Mesh!B921</f>
      </c>
      <c r="C924" s="20">
        <f>Mesh!C921</f>
      </c>
      <c r="D924" s="20">
        <f>Mesh!D921</f>
      </c>
      <c r="E924" s="37">
        <f>INDEX(St_e0,Det+1)+INDEX(St_kx,Det+1)*C924+INDEX(St_ky,Det+1)*B924</f>
      </c>
      <c r="F924" s="20">
        <f>IF(E924&gt;0,IF(E924&lt;=eco,alpha*fck*(1-(1-E924/eco)^n),alpha*fck),0)</f>
      </c>
      <c r="G924" s="19">
        <f>F924*D924</f>
      </c>
      <c r="H924" s="19">
        <f>G924*C924</f>
      </c>
      <c r="I924" s="19">
        <f>G924*B924</f>
      </c>
      <c r="K924" s="37">
        <f>Eq_e0+Eq_kx*$C924+Eq_ky*$B924</f>
      </c>
      <c r="L924" s="20">
        <f>IF(K924&gt;0,IF(K924&lt;=eco,alpha*fck*(1-(1-K924/eco)^n),alpha*fck),0)</f>
      </c>
    </row>
    <row r="925" spans="1:12" x14ac:dyDescent="0.25">
      <c r="A925">
        <f>Mesh!A922</f>
      </c>
      <c r="B925" s="20">
        <f>Mesh!B922</f>
      </c>
      <c r="C925" s="20">
        <f>Mesh!C922</f>
      </c>
      <c r="D925" s="20">
        <f>Mesh!D922</f>
      </c>
      <c r="E925" s="37">
        <f>INDEX(St_e0,Det+1)+INDEX(St_kx,Det+1)*C925+INDEX(St_ky,Det+1)*B925</f>
      </c>
      <c r="F925" s="20">
        <f>IF(E925&gt;0,IF(E925&lt;=eco,alpha*fck*(1-(1-E925/eco)^n),alpha*fck),0)</f>
      </c>
      <c r="G925" s="19">
        <f>F925*D925</f>
      </c>
      <c r="H925" s="19">
        <f>G925*C925</f>
      </c>
      <c r="I925" s="19">
        <f>G925*B925</f>
      </c>
      <c r="K925" s="37">
        <f>Eq_e0+Eq_kx*$C925+Eq_ky*$B925</f>
      </c>
      <c r="L925" s="20">
        <f>IF(K925&gt;0,IF(K925&lt;=eco,alpha*fck*(1-(1-K925/eco)^n),alpha*fck),0)</f>
      </c>
    </row>
    <row r="926" spans="1:12" x14ac:dyDescent="0.25">
      <c r="A926">
        <f>Mesh!A923</f>
      </c>
      <c r="B926" s="20">
        <f>Mesh!B923</f>
      </c>
      <c r="C926" s="20">
        <f>Mesh!C923</f>
      </c>
      <c r="D926" s="20">
        <f>Mesh!D923</f>
      </c>
      <c r="E926" s="37">
        <f>INDEX(St_e0,Det+1)+INDEX(St_kx,Det+1)*C926+INDEX(St_ky,Det+1)*B926</f>
      </c>
      <c r="F926" s="20">
        <f>IF(E926&gt;0,IF(E926&lt;=eco,alpha*fck*(1-(1-E926/eco)^n),alpha*fck),0)</f>
      </c>
      <c r="G926" s="19">
        <f>F926*D926</f>
      </c>
      <c r="H926" s="19">
        <f>G926*C926</f>
      </c>
      <c r="I926" s="19">
        <f>G926*B926</f>
      </c>
      <c r="K926" s="37">
        <f>Eq_e0+Eq_kx*$C926+Eq_ky*$B926</f>
      </c>
      <c r="L926" s="20">
        <f>IF(K926&gt;0,IF(K926&lt;=eco,alpha*fck*(1-(1-K926/eco)^n),alpha*fck),0)</f>
      </c>
    </row>
    <row r="927" spans="1:12" x14ac:dyDescent="0.25">
      <c r="A927">
        <f>Mesh!A924</f>
      </c>
      <c r="B927" s="20">
        <f>Mesh!B924</f>
      </c>
      <c r="C927" s="20">
        <f>Mesh!C924</f>
      </c>
      <c r="D927" s="20">
        <f>Mesh!D924</f>
      </c>
      <c r="E927" s="37">
        <f>INDEX(St_e0,Det+1)+INDEX(St_kx,Det+1)*C927+INDEX(St_ky,Det+1)*B927</f>
      </c>
      <c r="F927" s="20">
        <f>IF(E927&gt;0,IF(E927&lt;=eco,alpha*fck*(1-(1-E927/eco)^n),alpha*fck),0)</f>
      </c>
      <c r="G927" s="19">
        <f>F927*D927</f>
      </c>
      <c r="H927" s="19">
        <f>G927*C927</f>
      </c>
      <c r="I927" s="19">
        <f>G927*B927</f>
      </c>
      <c r="K927" s="37">
        <f>Eq_e0+Eq_kx*$C927+Eq_ky*$B927</f>
      </c>
      <c r="L927" s="20">
        <f>IF(K927&gt;0,IF(K927&lt;=eco,alpha*fck*(1-(1-K927/eco)^n),alpha*fck),0)</f>
      </c>
    </row>
    <row r="928" spans="1:12" x14ac:dyDescent="0.25">
      <c r="A928">
        <f>Mesh!A925</f>
      </c>
      <c r="B928" s="20">
        <f>Mesh!B925</f>
      </c>
      <c r="C928" s="20">
        <f>Mesh!C925</f>
      </c>
      <c r="D928" s="20">
        <f>Mesh!D925</f>
      </c>
      <c r="E928" s="37">
        <f>INDEX(St_e0,Det+1)+INDEX(St_kx,Det+1)*C928+INDEX(St_ky,Det+1)*B928</f>
      </c>
      <c r="F928" s="20">
        <f>IF(E928&gt;0,IF(E928&lt;=eco,alpha*fck*(1-(1-E928/eco)^n),alpha*fck),0)</f>
      </c>
      <c r="G928" s="19">
        <f>F928*D928</f>
      </c>
      <c r="H928" s="19">
        <f>G928*C928</f>
      </c>
      <c r="I928" s="19">
        <f>G928*B928</f>
      </c>
      <c r="K928" s="37">
        <f>Eq_e0+Eq_kx*$C928+Eq_ky*$B928</f>
      </c>
      <c r="L928" s="20">
        <f>IF(K928&gt;0,IF(K928&lt;=eco,alpha*fck*(1-(1-K928/eco)^n),alpha*fck),0)</f>
      </c>
    </row>
    <row r="929" spans="1:12" x14ac:dyDescent="0.25">
      <c r="A929">
        <f>Mesh!A926</f>
      </c>
      <c r="B929" s="20">
        <f>Mesh!B926</f>
      </c>
      <c r="C929" s="20">
        <f>Mesh!C926</f>
      </c>
      <c r="D929" s="20">
        <f>Mesh!D926</f>
      </c>
      <c r="E929" s="37">
        <f>INDEX(St_e0,Det+1)+INDEX(St_kx,Det+1)*C929+INDEX(St_ky,Det+1)*B929</f>
      </c>
      <c r="F929" s="20">
        <f>IF(E929&gt;0,IF(E929&lt;=eco,alpha*fck*(1-(1-E929/eco)^n),alpha*fck),0)</f>
      </c>
      <c r="G929" s="19">
        <f>F929*D929</f>
      </c>
      <c r="H929" s="19">
        <f>G929*C929</f>
      </c>
      <c r="I929" s="19">
        <f>G929*B929</f>
      </c>
      <c r="K929" s="37">
        <f>Eq_e0+Eq_kx*$C929+Eq_ky*$B929</f>
      </c>
      <c r="L929" s="20">
        <f>IF(K929&gt;0,IF(K929&lt;=eco,alpha*fck*(1-(1-K929/eco)^n),alpha*fck),0)</f>
      </c>
    </row>
    <row r="930" spans="1:12" x14ac:dyDescent="0.25">
      <c r="A930">
        <f>Mesh!A927</f>
      </c>
      <c r="B930" s="20">
        <f>Mesh!B927</f>
      </c>
      <c r="C930" s="20">
        <f>Mesh!C927</f>
      </c>
      <c r="D930" s="20">
        <f>Mesh!D927</f>
      </c>
      <c r="E930" s="37">
        <f>INDEX(St_e0,Det+1)+INDEX(St_kx,Det+1)*C930+INDEX(St_ky,Det+1)*B930</f>
      </c>
      <c r="F930" s="20">
        <f>IF(E930&gt;0,IF(E930&lt;=eco,alpha*fck*(1-(1-E930/eco)^n),alpha*fck),0)</f>
      </c>
      <c r="G930" s="19">
        <f>F930*D930</f>
      </c>
      <c r="H930" s="19">
        <f>G930*C930</f>
      </c>
      <c r="I930" s="19">
        <f>G930*B930</f>
      </c>
      <c r="K930" s="37">
        <f>Eq_e0+Eq_kx*$C930+Eq_ky*$B930</f>
      </c>
      <c r="L930" s="20">
        <f>IF(K930&gt;0,IF(K930&lt;=eco,alpha*fck*(1-(1-K930/eco)^n),alpha*fck),0)</f>
      </c>
    </row>
    <row r="931" spans="1:12" x14ac:dyDescent="0.25">
      <c r="A931">
        <f>Mesh!A928</f>
      </c>
      <c r="B931" s="20">
        <f>Mesh!B928</f>
      </c>
      <c r="C931" s="20">
        <f>Mesh!C928</f>
      </c>
      <c r="D931" s="20">
        <f>Mesh!D928</f>
      </c>
      <c r="E931" s="37">
        <f>INDEX(St_e0,Det+1)+INDEX(St_kx,Det+1)*C931+INDEX(St_ky,Det+1)*B931</f>
      </c>
      <c r="F931" s="20">
        <f>IF(E931&gt;0,IF(E931&lt;=eco,alpha*fck*(1-(1-E931/eco)^n),alpha*fck),0)</f>
      </c>
      <c r="G931" s="19">
        <f>F931*D931</f>
      </c>
      <c r="H931" s="19">
        <f>G931*C931</f>
      </c>
      <c r="I931" s="19">
        <f>G931*B931</f>
      </c>
      <c r="K931" s="37">
        <f>Eq_e0+Eq_kx*$C931+Eq_ky*$B931</f>
      </c>
      <c r="L931" s="20">
        <f>IF(K931&gt;0,IF(K931&lt;=eco,alpha*fck*(1-(1-K931/eco)^n),alpha*fck),0)</f>
      </c>
    </row>
    <row r="932" spans="1:12" x14ac:dyDescent="0.25">
      <c r="A932">
        <f>Mesh!A929</f>
      </c>
      <c r="B932" s="20">
        <f>Mesh!B929</f>
      </c>
      <c r="C932" s="20">
        <f>Mesh!C929</f>
      </c>
      <c r="D932" s="20">
        <f>Mesh!D929</f>
      </c>
      <c r="E932" s="37">
        <f>INDEX(St_e0,Det+1)+INDEX(St_kx,Det+1)*C932+INDEX(St_ky,Det+1)*B932</f>
      </c>
      <c r="F932" s="20">
        <f>IF(E932&gt;0,IF(E932&lt;=eco,alpha*fck*(1-(1-E932/eco)^n),alpha*fck),0)</f>
      </c>
      <c r="G932" s="19">
        <f>F932*D932</f>
      </c>
      <c r="H932" s="19">
        <f>G932*C932</f>
      </c>
      <c r="I932" s="19">
        <f>G932*B932</f>
      </c>
      <c r="K932" s="37">
        <f>Eq_e0+Eq_kx*$C932+Eq_ky*$B932</f>
      </c>
      <c r="L932" s="20">
        <f>IF(K932&gt;0,IF(K932&lt;=eco,alpha*fck*(1-(1-K932/eco)^n),alpha*fck),0)</f>
      </c>
    </row>
    <row r="933" spans="1:12" x14ac:dyDescent="0.25">
      <c r="A933">
        <f>Mesh!A930</f>
      </c>
      <c r="B933" s="20">
        <f>Mesh!B930</f>
      </c>
      <c r="C933" s="20">
        <f>Mesh!C930</f>
      </c>
      <c r="D933" s="20">
        <f>Mesh!D930</f>
      </c>
      <c r="E933" s="37">
        <f>INDEX(St_e0,Det+1)+INDEX(St_kx,Det+1)*C933+INDEX(St_ky,Det+1)*B933</f>
      </c>
      <c r="F933" s="20">
        <f>IF(E933&gt;0,IF(E933&lt;=eco,alpha*fck*(1-(1-E933/eco)^n),alpha*fck),0)</f>
      </c>
      <c r="G933" s="19">
        <f>F933*D933</f>
      </c>
      <c r="H933" s="19">
        <f>G933*C933</f>
      </c>
      <c r="I933" s="19">
        <f>G933*B933</f>
      </c>
      <c r="K933" s="37">
        <f>Eq_e0+Eq_kx*$C933+Eq_ky*$B933</f>
      </c>
      <c r="L933" s="20">
        <f>IF(K933&gt;0,IF(K933&lt;=eco,alpha*fck*(1-(1-K933/eco)^n),alpha*fck),0)</f>
      </c>
    </row>
    <row r="934" spans="1:12" x14ac:dyDescent="0.25">
      <c r="A934">
        <f>Mesh!A931</f>
      </c>
      <c r="B934" s="20">
        <f>Mesh!B931</f>
      </c>
      <c r="C934" s="20">
        <f>Mesh!C931</f>
      </c>
      <c r="D934" s="20">
        <f>Mesh!D931</f>
      </c>
      <c r="E934" s="37">
        <f>INDEX(St_e0,Det+1)+INDEX(St_kx,Det+1)*C934+INDEX(St_ky,Det+1)*B934</f>
      </c>
      <c r="F934" s="20">
        <f>IF(E934&gt;0,IF(E934&lt;=eco,alpha*fck*(1-(1-E934/eco)^n),alpha*fck),0)</f>
      </c>
      <c r="G934" s="19">
        <f>F934*D934</f>
      </c>
      <c r="H934" s="19">
        <f>G934*C934</f>
      </c>
      <c r="I934" s="19">
        <f>G934*B934</f>
      </c>
      <c r="K934" s="37">
        <f>Eq_e0+Eq_kx*$C934+Eq_ky*$B934</f>
      </c>
      <c r="L934" s="20">
        <f>IF(K934&gt;0,IF(K934&lt;=eco,alpha*fck*(1-(1-K934/eco)^n),alpha*fck),0)</f>
      </c>
    </row>
    <row r="935" spans="1:12" x14ac:dyDescent="0.25">
      <c r="A935">
        <f>Mesh!A932</f>
      </c>
      <c r="B935" s="20">
        <f>Mesh!B932</f>
      </c>
      <c r="C935" s="20">
        <f>Mesh!C932</f>
      </c>
      <c r="D935" s="20">
        <f>Mesh!D932</f>
      </c>
      <c r="E935" s="37">
        <f>INDEX(St_e0,Det+1)+INDEX(St_kx,Det+1)*C935+INDEX(St_ky,Det+1)*B935</f>
      </c>
      <c r="F935" s="20">
        <f>IF(E935&gt;0,IF(E935&lt;=eco,alpha*fck*(1-(1-E935/eco)^n),alpha*fck),0)</f>
      </c>
      <c r="G935" s="19">
        <f>F935*D935</f>
      </c>
      <c r="H935" s="19">
        <f>G935*C935</f>
      </c>
      <c r="I935" s="19">
        <f>G935*B935</f>
      </c>
      <c r="K935" s="37">
        <f>Eq_e0+Eq_kx*$C935+Eq_ky*$B935</f>
      </c>
      <c r="L935" s="20">
        <f>IF(K935&gt;0,IF(K935&lt;=eco,alpha*fck*(1-(1-K935/eco)^n),alpha*fck),0)</f>
      </c>
    </row>
    <row r="936" spans="1:12" x14ac:dyDescent="0.25">
      <c r="A936">
        <f>Mesh!A933</f>
      </c>
      <c r="B936" s="20">
        <f>Mesh!B933</f>
      </c>
      <c r="C936" s="20">
        <f>Mesh!C933</f>
      </c>
      <c r="D936" s="20">
        <f>Mesh!D933</f>
      </c>
      <c r="E936" s="37">
        <f>INDEX(St_e0,Det+1)+INDEX(St_kx,Det+1)*C936+INDEX(St_ky,Det+1)*B936</f>
      </c>
      <c r="F936" s="20">
        <f>IF(E936&gt;0,IF(E936&lt;=eco,alpha*fck*(1-(1-E936/eco)^n),alpha*fck),0)</f>
      </c>
      <c r="G936" s="19">
        <f>F936*D936</f>
      </c>
      <c r="H936" s="19">
        <f>G936*C936</f>
      </c>
      <c r="I936" s="19">
        <f>G936*B936</f>
      </c>
      <c r="K936" s="37">
        <f>Eq_e0+Eq_kx*$C936+Eq_ky*$B936</f>
      </c>
      <c r="L936" s="20">
        <f>IF(K936&gt;0,IF(K936&lt;=eco,alpha*fck*(1-(1-K936/eco)^n),alpha*fck),0)</f>
      </c>
    </row>
    <row r="937" spans="1:12" x14ac:dyDescent="0.25">
      <c r="A937">
        <f>Mesh!A934</f>
      </c>
      <c r="B937" s="20">
        <f>Mesh!B934</f>
      </c>
      <c r="C937" s="20">
        <f>Mesh!C934</f>
      </c>
      <c r="D937" s="20">
        <f>Mesh!D934</f>
      </c>
      <c r="E937" s="37">
        <f>INDEX(St_e0,Det+1)+INDEX(St_kx,Det+1)*C937+INDEX(St_ky,Det+1)*B937</f>
      </c>
      <c r="F937" s="20">
        <f>IF(E937&gt;0,IF(E937&lt;=eco,alpha*fck*(1-(1-E937/eco)^n),alpha*fck),0)</f>
      </c>
      <c r="G937" s="19">
        <f>F937*D937</f>
      </c>
      <c r="H937" s="19">
        <f>G937*C937</f>
      </c>
      <c r="I937" s="19">
        <f>G937*B937</f>
      </c>
      <c r="K937" s="37">
        <f>Eq_e0+Eq_kx*$C937+Eq_ky*$B937</f>
      </c>
      <c r="L937" s="20">
        <f>IF(K937&gt;0,IF(K937&lt;=eco,alpha*fck*(1-(1-K937/eco)^n),alpha*fck),0)</f>
      </c>
    </row>
    <row r="938" spans="1:12" x14ac:dyDescent="0.25">
      <c r="A938">
        <f>Mesh!A935</f>
      </c>
      <c r="B938" s="20">
        <f>Mesh!B935</f>
      </c>
      <c r="C938" s="20">
        <f>Mesh!C935</f>
      </c>
      <c r="D938" s="20">
        <f>Mesh!D935</f>
      </c>
      <c r="E938" s="37">
        <f>INDEX(St_e0,Det+1)+INDEX(St_kx,Det+1)*C938+INDEX(St_ky,Det+1)*B938</f>
      </c>
      <c r="F938" s="20">
        <f>IF(E938&gt;0,IF(E938&lt;=eco,alpha*fck*(1-(1-E938/eco)^n),alpha*fck),0)</f>
      </c>
      <c r="G938" s="19">
        <f>F938*D938</f>
      </c>
      <c r="H938" s="19">
        <f>G938*C938</f>
      </c>
      <c r="I938" s="19">
        <f>G938*B938</f>
      </c>
      <c r="K938" s="37">
        <f>Eq_e0+Eq_kx*$C938+Eq_ky*$B938</f>
      </c>
      <c r="L938" s="20">
        <f>IF(K938&gt;0,IF(K938&lt;=eco,alpha*fck*(1-(1-K938/eco)^n),alpha*fck),0)</f>
      </c>
    </row>
    <row r="939" spans="1:12" x14ac:dyDescent="0.25">
      <c r="A939">
        <f>Mesh!A936</f>
      </c>
      <c r="B939" s="20">
        <f>Mesh!B936</f>
      </c>
      <c r="C939" s="20">
        <f>Mesh!C936</f>
      </c>
      <c r="D939" s="20">
        <f>Mesh!D936</f>
      </c>
      <c r="E939" s="37">
        <f>INDEX(St_e0,Det+1)+INDEX(St_kx,Det+1)*C939+INDEX(St_ky,Det+1)*B939</f>
      </c>
      <c r="F939" s="20">
        <f>IF(E939&gt;0,IF(E939&lt;=eco,alpha*fck*(1-(1-E939/eco)^n),alpha*fck),0)</f>
      </c>
      <c r="G939" s="19">
        <f>F939*D939</f>
      </c>
      <c r="H939" s="19">
        <f>G939*C939</f>
      </c>
      <c r="I939" s="19">
        <f>G939*B939</f>
      </c>
      <c r="K939" s="37">
        <f>Eq_e0+Eq_kx*$C939+Eq_ky*$B939</f>
      </c>
      <c r="L939" s="20">
        <f>IF(K939&gt;0,IF(K939&lt;=eco,alpha*fck*(1-(1-K939/eco)^n),alpha*fck),0)</f>
      </c>
    </row>
    <row r="940" spans="1:12" x14ac:dyDescent="0.25">
      <c r="A940">
        <f>Mesh!A937</f>
      </c>
      <c r="B940" s="20">
        <f>Mesh!B937</f>
      </c>
      <c r="C940" s="20">
        <f>Mesh!C937</f>
      </c>
      <c r="D940" s="20">
        <f>Mesh!D937</f>
      </c>
      <c r="E940" s="37">
        <f>INDEX(St_e0,Det+1)+INDEX(St_kx,Det+1)*C940+INDEX(St_ky,Det+1)*B940</f>
      </c>
      <c r="F940" s="20">
        <f>IF(E940&gt;0,IF(E940&lt;=eco,alpha*fck*(1-(1-E940/eco)^n),alpha*fck),0)</f>
      </c>
      <c r="G940" s="19">
        <f>F940*D940</f>
      </c>
      <c r="H940" s="19">
        <f>G940*C940</f>
      </c>
      <c r="I940" s="19">
        <f>G940*B940</f>
      </c>
      <c r="K940" s="37">
        <f>Eq_e0+Eq_kx*$C940+Eq_ky*$B940</f>
      </c>
      <c r="L940" s="20">
        <f>IF(K940&gt;0,IF(K940&lt;=eco,alpha*fck*(1-(1-K940/eco)^n),alpha*fck),0)</f>
      </c>
    </row>
    <row r="941" spans="1:12" x14ac:dyDescent="0.25">
      <c r="A941">
        <f>Mesh!A938</f>
      </c>
      <c r="B941" s="20">
        <f>Mesh!B938</f>
      </c>
      <c r="C941" s="20">
        <f>Mesh!C938</f>
      </c>
      <c r="D941" s="20">
        <f>Mesh!D938</f>
      </c>
      <c r="E941" s="37">
        <f>INDEX(St_e0,Det+1)+INDEX(St_kx,Det+1)*C941+INDEX(St_ky,Det+1)*B941</f>
      </c>
      <c r="F941" s="20">
        <f>IF(E941&gt;0,IF(E941&lt;=eco,alpha*fck*(1-(1-E941/eco)^n),alpha*fck),0)</f>
      </c>
      <c r="G941" s="19">
        <f>F941*D941</f>
      </c>
      <c r="H941" s="19">
        <f>G941*C941</f>
      </c>
      <c r="I941" s="19">
        <f>G941*B941</f>
      </c>
      <c r="K941" s="37">
        <f>Eq_e0+Eq_kx*$C941+Eq_ky*$B941</f>
      </c>
      <c r="L941" s="20">
        <f>IF(K941&gt;0,IF(K941&lt;=eco,alpha*fck*(1-(1-K941/eco)^n),alpha*fck),0)</f>
      </c>
    </row>
    <row r="942" spans="1:12" x14ac:dyDescent="0.25">
      <c r="A942">
        <f>Mesh!A939</f>
      </c>
      <c r="B942" s="20">
        <f>Mesh!B939</f>
      </c>
      <c r="C942" s="20">
        <f>Mesh!C939</f>
      </c>
      <c r="D942" s="20">
        <f>Mesh!D939</f>
      </c>
      <c r="E942" s="37">
        <f>INDEX(St_e0,Det+1)+INDEX(St_kx,Det+1)*C942+INDEX(St_ky,Det+1)*B942</f>
      </c>
      <c r="F942" s="20">
        <f>IF(E942&gt;0,IF(E942&lt;=eco,alpha*fck*(1-(1-E942/eco)^n),alpha*fck),0)</f>
      </c>
      <c r="G942" s="19">
        <f>F942*D942</f>
      </c>
      <c r="H942" s="19">
        <f>G942*C942</f>
      </c>
      <c r="I942" s="19">
        <f>G942*B942</f>
      </c>
      <c r="K942" s="37">
        <f>Eq_e0+Eq_kx*$C942+Eq_ky*$B942</f>
      </c>
      <c r="L942" s="20">
        <f>IF(K942&gt;0,IF(K942&lt;=eco,alpha*fck*(1-(1-K942/eco)^n),alpha*fck),0)</f>
      </c>
    </row>
    <row r="943" spans="1:12" x14ac:dyDescent="0.25">
      <c r="A943">
        <f>Mesh!A940</f>
      </c>
      <c r="B943" s="20">
        <f>Mesh!B940</f>
      </c>
      <c r="C943" s="20">
        <f>Mesh!C940</f>
      </c>
      <c r="D943" s="20">
        <f>Mesh!D940</f>
      </c>
      <c r="E943" s="37">
        <f>INDEX(St_e0,Det+1)+INDEX(St_kx,Det+1)*C943+INDEX(St_ky,Det+1)*B943</f>
      </c>
      <c r="F943" s="20">
        <f>IF(E943&gt;0,IF(E943&lt;=eco,alpha*fck*(1-(1-E943/eco)^n),alpha*fck),0)</f>
      </c>
      <c r="G943" s="19">
        <f>F943*D943</f>
      </c>
      <c r="H943" s="19">
        <f>G943*C943</f>
      </c>
      <c r="I943" s="19">
        <f>G943*B943</f>
      </c>
      <c r="K943" s="37">
        <f>Eq_e0+Eq_kx*$C943+Eq_ky*$B943</f>
      </c>
      <c r="L943" s="20">
        <f>IF(K943&gt;0,IF(K943&lt;=eco,alpha*fck*(1-(1-K943/eco)^n),alpha*fck),0)</f>
      </c>
    </row>
    <row r="944" spans="1:12" x14ac:dyDescent="0.25">
      <c r="A944">
        <f>Mesh!A941</f>
      </c>
      <c r="B944" s="20">
        <f>Mesh!B941</f>
      </c>
      <c r="C944" s="20">
        <f>Mesh!C941</f>
      </c>
      <c r="D944" s="20">
        <f>Mesh!D941</f>
      </c>
      <c r="E944" s="37">
        <f>INDEX(St_e0,Det+1)+INDEX(St_kx,Det+1)*C944+INDEX(St_ky,Det+1)*B944</f>
      </c>
      <c r="F944" s="20">
        <f>IF(E944&gt;0,IF(E944&lt;=eco,alpha*fck*(1-(1-E944/eco)^n),alpha*fck),0)</f>
      </c>
      <c r="G944" s="19">
        <f>F944*D944</f>
      </c>
      <c r="H944" s="19">
        <f>G944*C944</f>
      </c>
      <c r="I944" s="19">
        <f>G944*B944</f>
      </c>
      <c r="K944" s="37">
        <f>Eq_e0+Eq_kx*$C944+Eq_ky*$B944</f>
      </c>
      <c r="L944" s="20">
        <f>IF(K944&gt;0,IF(K944&lt;=eco,alpha*fck*(1-(1-K944/eco)^n),alpha*fck),0)</f>
      </c>
    </row>
    <row r="945" spans="1:12" x14ac:dyDescent="0.25">
      <c r="A945">
        <f>Mesh!A942</f>
      </c>
      <c r="B945" s="20">
        <f>Mesh!B942</f>
      </c>
      <c r="C945" s="20">
        <f>Mesh!C942</f>
      </c>
      <c r="D945" s="20">
        <f>Mesh!D942</f>
      </c>
      <c r="E945" s="37">
        <f>INDEX(St_e0,Det+1)+INDEX(St_kx,Det+1)*C945+INDEX(St_ky,Det+1)*B945</f>
      </c>
      <c r="F945" s="20">
        <f>IF(E945&gt;0,IF(E945&lt;=eco,alpha*fck*(1-(1-E945/eco)^n),alpha*fck),0)</f>
      </c>
      <c r="G945" s="19">
        <f>F945*D945</f>
      </c>
      <c r="H945" s="19">
        <f>G945*C945</f>
      </c>
      <c r="I945" s="19">
        <f>G945*B945</f>
      </c>
      <c r="K945" s="37">
        <f>Eq_e0+Eq_kx*$C945+Eq_ky*$B945</f>
      </c>
      <c r="L945" s="20">
        <f>IF(K945&gt;0,IF(K945&lt;=eco,alpha*fck*(1-(1-K945/eco)^n),alpha*fck),0)</f>
      </c>
    </row>
    <row r="946" spans="1:12" x14ac:dyDescent="0.25">
      <c r="A946">
        <f>Mesh!A943</f>
      </c>
      <c r="B946" s="20">
        <f>Mesh!B943</f>
      </c>
      <c r="C946" s="20">
        <f>Mesh!C943</f>
      </c>
      <c r="D946" s="20">
        <f>Mesh!D943</f>
      </c>
      <c r="E946" s="37">
        <f>INDEX(St_e0,Det+1)+INDEX(St_kx,Det+1)*C946+INDEX(St_ky,Det+1)*B946</f>
      </c>
      <c r="F946" s="20">
        <f>IF(E946&gt;0,IF(E946&lt;=eco,alpha*fck*(1-(1-E946/eco)^n),alpha*fck),0)</f>
      </c>
      <c r="G946" s="19">
        <f>F946*D946</f>
      </c>
      <c r="H946" s="19">
        <f>G946*C946</f>
      </c>
      <c r="I946" s="19">
        <f>G946*B946</f>
      </c>
      <c r="K946" s="37">
        <f>Eq_e0+Eq_kx*$C946+Eq_ky*$B946</f>
      </c>
      <c r="L946" s="20">
        <f>IF(K946&gt;0,IF(K946&lt;=eco,alpha*fck*(1-(1-K946/eco)^n),alpha*fck),0)</f>
      </c>
    </row>
    <row r="947" spans="1:12" x14ac:dyDescent="0.25">
      <c r="A947">
        <f>Mesh!A944</f>
      </c>
      <c r="B947" s="20">
        <f>Mesh!B944</f>
      </c>
      <c r="C947" s="20">
        <f>Mesh!C944</f>
      </c>
      <c r="D947" s="20">
        <f>Mesh!D944</f>
      </c>
      <c r="E947" s="37">
        <f>INDEX(St_e0,Det+1)+INDEX(St_kx,Det+1)*C947+INDEX(St_ky,Det+1)*B947</f>
      </c>
      <c r="F947" s="20">
        <f>IF(E947&gt;0,IF(E947&lt;=eco,alpha*fck*(1-(1-E947/eco)^n),alpha*fck),0)</f>
      </c>
      <c r="G947" s="19">
        <f>F947*D947</f>
      </c>
      <c r="H947" s="19">
        <f>G947*C947</f>
      </c>
      <c r="I947" s="19">
        <f>G947*B947</f>
      </c>
      <c r="K947" s="37">
        <f>Eq_e0+Eq_kx*$C947+Eq_ky*$B947</f>
      </c>
      <c r="L947" s="20">
        <f>IF(K947&gt;0,IF(K947&lt;=eco,alpha*fck*(1-(1-K947/eco)^n),alpha*fck),0)</f>
      </c>
    </row>
    <row r="948" spans="1:12" x14ac:dyDescent="0.25">
      <c r="A948">
        <f>Mesh!A945</f>
      </c>
      <c r="B948" s="20">
        <f>Mesh!B945</f>
      </c>
      <c r="C948" s="20">
        <f>Mesh!C945</f>
      </c>
      <c r="D948" s="20">
        <f>Mesh!D945</f>
      </c>
      <c r="E948" s="37">
        <f>INDEX(St_e0,Det+1)+INDEX(St_kx,Det+1)*C948+INDEX(St_ky,Det+1)*B948</f>
      </c>
      <c r="F948" s="20">
        <f>IF(E948&gt;0,IF(E948&lt;=eco,alpha*fck*(1-(1-E948/eco)^n),alpha*fck),0)</f>
      </c>
      <c r="G948" s="19">
        <f>F948*D948</f>
      </c>
      <c r="H948" s="19">
        <f>G948*C948</f>
      </c>
      <c r="I948" s="19">
        <f>G948*B948</f>
      </c>
      <c r="K948" s="37">
        <f>Eq_e0+Eq_kx*$C948+Eq_ky*$B948</f>
      </c>
      <c r="L948" s="20">
        <f>IF(K948&gt;0,IF(K948&lt;=eco,alpha*fck*(1-(1-K948/eco)^n),alpha*fck),0)</f>
      </c>
    </row>
    <row r="949" spans="1:12" x14ac:dyDescent="0.25">
      <c r="A949">
        <f>Mesh!A946</f>
      </c>
      <c r="B949" s="20">
        <f>Mesh!B946</f>
      </c>
      <c r="C949" s="20">
        <f>Mesh!C946</f>
      </c>
      <c r="D949" s="20">
        <f>Mesh!D946</f>
      </c>
      <c r="E949" s="37">
        <f>INDEX(St_e0,Det+1)+INDEX(St_kx,Det+1)*C949+INDEX(St_ky,Det+1)*B949</f>
      </c>
      <c r="F949" s="20">
        <f>IF(E949&gt;0,IF(E949&lt;=eco,alpha*fck*(1-(1-E949/eco)^n),alpha*fck),0)</f>
      </c>
      <c r="G949" s="19">
        <f>F949*D949</f>
      </c>
      <c r="H949" s="19">
        <f>G949*C949</f>
      </c>
      <c r="I949" s="19">
        <f>G949*B949</f>
      </c>
      <c r="K949" s="37">
        <f>Eq_e0+Eq_kx*$C949+Eq_ky*$B949</f>
      </c>
      <c r="L949" s="20">
        <f>IF(K949&gt;0,IF(K949&lt;=eco,alpha*fck*(1-(1-K949/eco)^n),alpha*fck),0)</f>
      </c>
    </row>
    <row r="950" spans="1:12" x14ac:dyDescent="0.25">
      <c r="A950">
        <f>Mesh!A947</f>
      </c>
      <c r="B950" s="20">
        <f>Mesh!B947</f>
      </c>
      <c r="C950" s="20">
        <f>Mesh!C947</f>
      </c>
      <c r="D950" s="20">
        <f>Mesh!D947</f>
      </c>
      <c r="E950" s="37">
        <f>INDEX(St_e0,Det+1)+INDEX(St_kx,Det+1)*C950+INDEX(St_ky,Det+1)*B950</f>
      </c>
      <c r="F950" s="20">
        <f>IF(E950&gt;0,IF(E950&lt;=eco,alpha*fck*(1-(1-E950/eco)^n),alpha*fck),0)</f>
      </c>
      <c r="G950" s="19">
        <f>F950*D950</f>
      </c>
      <c r="H950" s="19">
        <f>G950*C950</f>
      </c>
      <c r="I950" s="19">
        <f>G950*B950</f>
      </c>
      <c r="K950" s="37">
        <f>Eq_e0+Eq_kx*$C950+Eq_ky*$B950</f>
      </c>
      <c r="L950" s="20">
        <f>IF(K950&gt;0,IF(K950&lt;=eco,alpha*fck*(1-(1-K950/eco)^n),alpha*fck),0)</f>
      </c>
    </row>
    <row r="951" spans="1:12" x14ac:dyDescent="0.25">
      <c r="A951">
        <f>Mesh!A948</f>
      </c>
      <c r="B951" s="20">
        <f>Mesh!B948</f>
      </c>
      <c r="C951" s="20">
        <f>Mesh!C948</f>
      </c>
      <c r="D951" s="20">
        <f>Mesh!D948</f>
      </c>
      <c r="E951" s="37">
        <f>INDEX(St_e0,Det+1)+INDEX(St_kx,Det+1)*C951+INDEX(St_ky,Det+1)*B951</f>
      </c>
      <c r="F951" s="20">
        <f>IF(E951&gt;0,IF(E951&lt;=eco,alpha*fck*(1-(1-E951/eco)^n),alpha*fck),0)</f>
      </c>
      <c r="G951" s="19">
        <f>F951*D951</f>
      </c>
      <c r="H951" s="19">
        <f>G951*C951</f>
      </c>
      <c r="I951" s="19">
        <f>G951*B951</f>
      </c>
      <c r="K951" s="37">
        <f>Eq_e0+Eq_kx*$C951+Eq_ky*$B951</f>
      </c>
      <c r="L951" s="20">
        <f>IF(K951&gt;0,IF(K951&lt;=eco,alpha*fck*(1-(1-K951/eco)^n),alpha*fck),0)</f>
      </c>
    </row>
    <row r="952" spans="1:12" x14ac:dyDescent="0.25">
      <c r="A952">
        <f>Mesh!A949</f>
      </c>
      <c r="B952" s="20">
        <f>Mesh!B949</f>
      </c>
      <c r="C952" s="20">
        <f>Mesh!C949</f>
      </c>
      <c r="D952" s="20">
        <f>Mesh!D949</f>
      </c>
      <c r="E952" s="37">
        <f>INDEX(St_e0,Det+1)+INDEX(St_kx,Det+1)*C952+INDEX(St_ky,Det+1)*B952</f>
      </c>
      <c r="F952" s="20">
        <f>IF(E952&gt;0,IF(E952&lt;=eco,alpha*fck*(1-(1-E952/eco)^n),alpha*fck),0)</f>
      </c>
      <c r="G952" s="19">
        <f>F952*D952</f>
      </c>
      <c r="H952" s="19">
        <f>G952*C952</f>
      </c>
      <c r="I952" s="19">
        <f>G952*B952</f>
      </c>
      <c r="K952" s="37">
        <f>Eq_e0+Eq_kx*$C952+Eq_ky*$B952</f>
      </c>
      <c r="L952" s="20">
        <f>IF(K952&gt;0,IF(K952&lt;=eco,alpha*fck*(1-(1-K952/eco)^n),alpha*fck),0)</f>
      </c>
    </row>
    <row r="953" spans="1:12" x14ac:dyDescent="0.25">
      <c r="A953">
        <f>Mesh!A950</f>
      </c>
      <c r="B953" s="20">
        <f>Mesh!B950</f>
      </c>
      <c r="C953" s="20">
        <f>Mesh!C950</f>
      </c>
      <c r="D953" s="20">
        <f>Mesh!D950</f>
      </c>
      <c r="E953" s="37">
        <f>INDEX(St_e0,Det+1)+INDEX(St_kx,Det+1)*C953+INDEX(St_ky,Det+1)*B953</f>
      </c>
      <c r="F953" s="20">
        <f>IF(E953&gt;0,IF(E953&lt;=eco,alpha*fck*(1-(1-E953/eco)^n),alpha*fck),0)</f>
      </c>
      <c r="G953" s="19">
        <f>F953*D953</f>
      </c>
      <c r="H953" s="19">
        <f>G953*C953</f>
      </c>
      <c r="I953" s="19">
        <f>G953*B953</f>
      </c>
      <c r="K953" s="37">
        <f>Eq_e0+Eq_kx*$C953+Eq_ky*$B953</f>
      </c>
      <c r="L953" s="20">
        <f>IF(K953&gt;0,IF(K953&lt;=eco,alpha*fck*(1-(1-K953/eco)^n),alpha*fck),0)</f>
      </c>
    </row>
    <row r="954" spans="1:12" x14ac:dyDescent="0.25">
      <c r="A954">
        <f>Mesh!A951</f>
      </c>
      <c r="B954" s="20">
        <f>Mesh!B951</f>
      </c>
      <c r="C954" s="20">
        <f>Mesh!C951</f>
      </c>
      <c r="D954" s="20">
        <f>Mesh!D951</f>
      </c>
      <c r="E954" s="37">
        <f>INDEX(St_e0,Det+1)+INDEX(St_kx,Det+1)*C954+INDEX(St_ky,Det+1)*B954</f>
      </c>
      <c r="F954" s="20">
        <f>IF(E954&gt;0,IF(E954&lt;=eco,alpha*fck*(1-(1-E954/eco)^n),alpha*fck),0)</f>
      </c>
      <c r="G954" s="19">
        <f>F954*D954</f>
      </c>
      <c r="H954" s="19">
        <f>G954*C954</f>
      </c>
      <c r="I954" s="19">
        <f>G954*B954</f>
      </c>
      <c r="K954" s="37">
        <f>Eq_e0+Eq_kx*$C954+Eq_ky*$B954</f>
      </c>
      <c r="L954" s="20">
        <f>IF(K954&gt;0,IF(K954&lt;=eco,alpha*fck*(1-(1-K954/eco)^n),alpha*fck),0)</f>
      </c>
    </row>
    <row r="955" spans="1:12" x14ac:dyDescent="0.25">
      <c r="A955">
        <f>Mesh!A952</f>
      </c>
      <c r="B955" s="20">
        <f>Mesh!B952</f>
      </c>
      <c r="C955" s="20">
        <f>Mesh!C952</f>
      </c>
      <c r="D955" s="20">
        <f>Mesh!D952</f>
      </c>
      <c r="E955" s="37">
        <f>INDEX(St_e0,Det+1)+INDEX(St_kx,Det+1)*C955+INDEX(St_ky,Det+1)*B955</f>
      </c>
      <c r="F955" s="20">
        <f>IF(E955&gt;0,IF(E955&lt;=eco,alpha*fck*(1-(1-E955/eco)^n),alpha*fck),0)</f>
      </c>
      <c r="G955" s="19">
        <f>F955*D955</f>
      </c>
      <c r="H955" s="19">
        <f>G955*C955</f>
      </c>
      <c r="I955" s="19">
        <f>G955*B955</f>
      </c>
      <c r="K955" s="37">
        <f>Eq_e0+Eq_kx*$C955+Eq_ky*$B955</f>
      </c>
      <c r="L955" s="20">
        <f>IF(K955&gt;0,IF(K955&lt;=eco,alpha*fck*(1-(1-K955/eco)^n),alpha*fck),0)</f>
      </c>
    </row>
    <row r="956" spans="1:12" x14ac:dyDescent="0.25">
      <c r="A956">
        <f>Mesh!A953</f>
      </c>
      <c r="B956" s="20">
        <f>Mesh!B953</f>
      </c>
      <c r="C956" s="20">
        <f>Mesh!C953</f>
      </c>
      <c r="D956" s="20">
        <f>Mesh!D953</f>
      </c>
      <c r="E956" s="37">
        <f>INDEX(St_e0,Det+1)+INDEX(St_kx,Det+1)*C956+INDEX(St_ky,Det+1)*B956</f>
      </c>
      <c r="F956" s="20">
        <f>IF(E956&gt;0,IF(E956&lt;=eco,alpha*fck*(1-(1-E956/eco)^n),alpha*fck),0)</f>
      </c>
      <c r="G956" s="19">
        <f>F956*D956</f>
      </c>
      <c r="H956" s="19">
        <f>G956*C956</f>
      </c>
      <c r="I956" s="19">
        <f>G956*B956</f>
      </c>
      <c r="K956" s="37">
        <f>Eq_e0+Eq_kx*$C956+Eq_ky*$B956</f>
      </c>
      <c r="L956" s="20">
        <f>IF(K956&gt;0,IF(K956&lt;=eco,alpha*fck*(1-(1-K956/eco)^n),alpha*fck),0)</f>
      </c>
    </row>
    <row r="957" spans="1:12" x14ac:dyDescent="0.25">
      <c r="A957">
        <f>Mesh!A954</f>
      </c>
      <c r="B957" s="20">
        <f>Mesh!B954</f>
      </c>
      <c r="C957" s="20">
        <f>Mesh!C954</f>
      </c>
      <c r="D957" s="20">
        <f>Mesh!D954</f>
      </c>
      <c r="E957" s="37">
        <f>INDEX(St_e0,Det+1)+INDEX(St_kx,Det+1)*C957+INDEX(St_ky,Det+1)*B957</f>
      </c>
      <c r="F957" s="20">
        <f>IF(E957&gt;0,IF(E957&lt;=eco,alpha*fck*(1-(1-E957/eco)^n),alpha*fck),0)</f>
      </c>
      <c r="G957" s="19">
        <f>F957*D957</f>
      </c>
      <c r="H957" s="19">
        <f>G957*C957</f>
      </c>
      <c r="I957" s="19">
        <f>G957*B957</f>
      </c>
      <c r="K957" s="37">
        <f>Eq_e0+Eq_kx*$C957+Eq_ky*$B957</f>
      </c>
      <c r="L957" s="20">
        <f>IF(K957&gt;0,IF(K957&lt;=eco,alpha*fck*(1-(1-K957/eco)^n),alpha*fck),0)</f>
      </c>
    </row>
    <row r="958" spans="1:12" x14ac:dyDescent="0.25">
      <c r="A958">
        <f>Mesh!A955</f>
      </c>
      <c r="B958" s="20">
        <f>Mesh!B955</f>
      </c>
      <c r="C958" s="20">
        <f>Mesh!C955</f>
      </c>
      <c r="D958" s="20">
        <f>Mesh!D955</f>
      </c>
      <c r="E958" s="37">
        <f>INDEX(St_e0,Det+1)+INDEX(St_kx,Det+1)*C958+INDEX(St_ky,Det+1)*B958</f>
      </c>
      <c r="F958" s="20">
        <f>IF(E958&gt;0,IF(E958&lt;=eco,alpha*fck*(1-(1-E958/eco)^n),alpha*fck),0)</f>
      </c>
      <c r="G958" s="19">
        <f>F958*D958</f>
      </c>
      <c r="H958" s="19">
        <f>G958*C958</f>
      </c>
      <c r="I958" s="19">
        <f>G958*B958</f>
      </c>
      <c r="K958" s="37">
        <f>Eq_e0+Eq_kx*$C958+Eq_ky*$B958</f>
      </c>
      <c r="L958" s="20">
        <f>IF(K958&gt;0,IF(K958&lt;=eco,alpha*fck*(1-(1-K958/eco)^n),alpha*fck),0)</f>
      </c>
    </row>
    <row r="959" spans="1:12" x14ac:dyDescent="0.25">
      <c r="A959">
        <f>Mesh!A956</f>
      </c>
      <c r="B959" s="20">
        <f>Mesh!B956</f>
      </c>
      <c r="C959" s="20">
        <f>Mesh!C956</f>
      </c>
      <c r="D959" s="20">
        <f>Mesh!D956</f>
      </c>
      <c r="E959" s="37">
        <f>INDEX(St_e0,Det+1)+INDEX(St_kx,Det+1)*C959+INDEX(St_ky,Det+1)*B959</f>
      </c>
      <c r="F959" s="20">
        <f>IF(E959&gt;0,IF(E959&lt;=eco,alpha*fck*(1-(1-E959/eco)^n),alpha*fck),0)</f>
      </c>
      <c r="G959" s="19">
        <f>F959*D959</f>
      </c>
      <c r="H959" s="19">
        <f>G959*C959</f>
      </c>
      <c r="I959" s="19">
        <f>G959*B959</f>
      </c>
      <c r="K959" s="37">
        <f>Eq_e0+Eq_kx*$C959+Eq_ky*$B959</f>
      </c>
      <c r="L959" s="20">
        <f>IF(K959&gt;0,IF(K959&lt;=eco,alpha*fck*(1-(1-K959/eco)^n),alpha*fck),0)</f>
      </c>
    </row>
    <row r="960" spans="1:12" x14ac:dyDescent="0.25">
      <c r="A960">
        <f>Mesh!A957</f>
      </c>
      <c r="B960" s="20">
        <f>Mesh!B957</f>
      </c>
      <c r="C960" s="20">
        <f>Mesh!C957</f>
      </c>
      <c r="D960" s="20">
        <f>Mesh!D957</f>
      </c>
      <c r="E960" s="37">
        <f>INDEX(St_e0,Det+1)+INDEX(St_kx,Det+1)*C960+INDEX(St_ky,Det+1)*B960</f>
      </c>
      <c r="F960" s="20">
        <f>IF(E960&gt;0,IF(E960&lt;=eco,alpha*fck*(1-(1-E960/eco)^n),alpha*fck),0)</f>
      </c>
      <c r="G960" s="19">
        <f>F960*D960</f>
      </c>
      <c r="H960" s="19">
        <f>G960*C960</f>
      </c>
      <c r="I960" s="19">
        <f>G960*B960</f>
      </c>
      <c r="K960" s="37">
        <f>Eq_e0+Eq_kx*$C960+Eq_ky*$B960</f>
      </c>
      <c r="L960" s="20">
        <f>IF(K960&gt;0,IF(K960&lt;=eco,alpha*fck*(1-(1-K960/eco)^n),alpha*fck),0)</f>
      </c>
    </row>
    <row r="961" spans="1:12" x14ac:dyDescent="0.25">
      <c r="A961">
        <f>Mesh!A958</f>
      </c>
      <c r="B961" s="20">
        <f>Mesh!B958</f>
      </c>
      <c r="C961" s="20">
        <f>Mesh!C958</f>
      </c>
      <c r="D961" s="20">
        <f>Mesh!D958</f>
      </c>
      <c r="E961" s="37">
        <f>INDEX(St_e0,Det+1)+INDEX(St_kx,Det+1)*C961+INDEX(St_ky,Det+1)*B961</f>
      </c>
      <c r="F961" s="20">
        <f>IF(E961&gt;0,IF(E961&lt;=eco,alpha*fck*(1-(1-E961/eco)^n),alpha*fck),0)</f>
      </c>
      <c r="G961" s="19">
        <f>F961*D961</f>
      </c>
      <c r="H961" s="19">
        <f>G961*C961</f>
      </c>
      <c r="I961" s="19">
        <f>G961*B961</f>
      </c>
      <c r="K961" s="37">
        <f>Eq_e0+Eq_kx*$C961+Eq_ky*$B961</f>
      </c>
      <c r="L961" s="20">
        <f>IF(K961&gt;0,IF(K961&lt;=eco,alpha*fck*(1-(1-K961/eco)^n),alpha*fck),0)</f>
      </c>
    </row>
    <row r="962" spans="1:12" x14ac:dyDescent="0.25">
      <c r="A962">
        <f>Mesh!A959</f>
      </c>
      <c r="B962" s="20">
        <f>Mesh!B959</f>
      </c>
      <c r="C962" s="20">
        <f>Mesh!C959</f>
      </c>
      <c r="D962" s="20">
        <f>Mesh!D959</f>
      </c>
      <c r="E962" s="37">
        <f>INDEX(St_e0,Det+1)+INDEX(St_kx,Det+1)*C962+INDEX(St_ky,Det+1)*B962</f>
      </c>
      <c r="F962" s="20">
        <f>IF(E962&gt;0,IF(E962&lt;=eco,alpha*fck*(1-(1-E962/eco)^n),alpha*fck),0)</f>
      </c>
      <c r="G962" s="19">
        <f>F962*D962</f>
      </c>
      <c r="H962" s="19">
        <f>G962*C962</f>
      </c>
      <c r="I962" s="19">
        <f>G962*B962</f>
      </c>
      <c r="K962" s="37">
        <f>Eq_e0+Eq_kx*$C962+Eq_ky*$B962</f>
      </c>
      <c r="L962" s="20">
        <f>IF(K962&gt;0,IF(K962&lt;=eco,alpha*fck*(1-(1-K962/eco)^n),alpha*fck),0)</f>
      </c>
    </row>
    <row r="963" spans="1:12" x14ac:dyDescent="0.25">
      <c r="A963">
        <f>Mesh!A960</f>
      </c>
      <c r="B963" s="20">
        <f>Mesh!B960</f>
      </c>
      <c r="C963" s="20">
        <f>Mesh!C960</f>
      </c>
      <c r="D963" s="20">
        <f>Mesh!D960</f>
      </c>
      <c r="E963" s="37">
        <f>INDEX(St_e0,Det+1)+INDEX(St_kx,Det+1)*C963+INDEX(St_ky,Det+1)*B963</f>
      </c>
      <c r="F963" s="20">
        <f>IF(E963&gt;0,IF(E963&lt;=eco,alpha*fck*(1-(1-E963/eco)^n),alpha*fck),0)</f>
      </c>
      <c r="G963" s="19">
        <f>F963*D963</f>
      </c>
      <c r="H963" s="19">
        <f>G963*C963</f>
      </c>
      <c r="I963" s="19">
        <f>G963*B963</f>
      </c>
      <c r="K963" s="37">
        <f>Eq_e0+Eq_kx*$C963+Eq_ky*$B963</f>
      </c>
      <c r="L963" s="20">
        <f>IF(K963&gt;0,IF(K963&lt;=eco,alpha*fck*(1-(1-K963/eco)^n),alpha*fck),0)</f>
      </c>
    </row>
    <row r="964" spans="1:12" x14ac:dyDescent="0.25">
      <c r="A964">
        <f>Mesh!A961</f>
      </c>
      <c r="B964" s="20">
        <f>Mesh!B961</f>
      </c>
      <c r="C964" s="20">
        <f>Mesh!C961</f>
      </c>
      <c r="D964" s="20">
        <f>Mesh!D961</f>
      </c>
      <c r="E964" s="37">
        <f>INDEX(St_e0,Det+1)+INDEX(St_kx,Det+1)*C964+INDEX(St_ky,Det+1)*B964</f>
      </c>
      <c r="F964" s="20">
        <f>IF(E964&gt;0,IF(E964&lt;=eco,alpha*fck*(1-(1-E964/eco)^n),alpha*fck),0)</f>
      </c>
      <c r="G964" s="19">
        <f>F964*D964</f>
      </c>
      <c r="H964" s="19">
        <f>G964*C964</f>
      </c>
      <c r="I964" s="19">
        <f>G964*B964</f>
      </c>
      <c r="K964" s="37">
        <f>Eq_e0+Eq_kx*$C964+Eq_ky*$B964</f>
      </c>
      <c r="L964" s="20">
        <f>IF(K964&gt;0,IF(K964&lt;=eco,alpha*fck*(1-(1-K964/eco)^n),alpha*fck),0)</f>
      </c>
    </row>
    <row r="965" spans="1:12" x14ac:dyDescent="0.25">
      <c r="A965">
        <f>Mesh!A962</f>
      </c>
      <c r="B965" s="20">
        <f>Mesh!B962</f>
      </c>
      <c r="C965" s="20">
        <f>Mesh!C962</f>
      </c>
      <c r="D965" s="20">
        <f>Mesh!D962</f>
      </c>
      <c r="E965" s="37">
        <f>INDEX(St_e0,Det+1)+INDEX(St_kx,Det+1)*C965+INDEX(St_ky,Det+1)*B965</f>
      </c>
      <c r="F965" s="20">
        <f>IF(E965&gt;0,IF(E965&lt;=eco,alpha*fck*(1-(1-E965/eco)^n),alpha*fck),0)</f>
      </c>
      <c r="G965" s="19">
        <f>F965*D965</f>
      </c>
      <c r="H965" s="19">
        <f>G965*C965</f>
      </c>
      <c r="I965" s="19">
        <f>G965*B965</f>
      </c>
      <c r="K965" s="37">
        <f>Eq_e0+Eq_kx*$C965+Eq_ky*$B965</f>
      </c>
      <c r="L965" s="20">
        <f>IF(K965&gt;0,IF(K965&lt;=eco,alpha*fck*(1-(1-K965/eco)^n),alpha*fck),0)</f>
      </c>
    </row>
    <row r="966" spans="1:12" x14ac:dyDescent="0.25">
      <c r="A966">
        <f>Mesh!A963</f>
      </c>
      <c r="B966" s="20">
        <f>Mesh!B963</f>
      </c>
      <c r="C966" s="20">
        <f>Mesh!C963</f>
      </c>
      <c r="D966" s="20">
        <f>Mesh!D963</f>
      </c>
      <c r="E966" s="37">
        <f>INDEX(St_e0,Det+1)+INDEX(St_kx,Det+1)*C966+INDEX(St_ky,Det+1)*B966</f>
      </c>
      <c r="F966" s="20">
        <f>IF(E966&gt;0,IF(E966&lt;=eco,alpha*fck*(1-(1-E966/eco)^n),alpha*fck),0)</f>
      </c>
      <c r="G966" s="19">
        <f>F966*D966</f>
      </c>
      <c r="H966" s="19">
        <f>G966*C966</f>
      </c>
      <c r="I966" s="19">
        <f>G966*B966</f>
      </c>
      <c r="K966" s="37">
        <f>Eq_e0+Eq_kx*$C966+Eq_ky*$B966</f>
      </c>
      <c r="L966" s="20">
        <f>IF(K966&gt;0,IF(K966&lt;=eco,alpha*fck*(1-(1-K966/eco)^n),alpha*fck),0)</f>
      </c>
    </row>
    <row r="967" spans="1:12" x14ac:dyDescent="0.25">
      <c r="A967">
        <f>Mesh!A964</f>
      </c>
      <c r="B967" s="20">
        <f>Mesh!B964</f>
      </c>
      <c r="C967" s="20">
        <f>Mesh!C964</f>
      </c>
      <c r="D967" s="20">
        <f>Mesh!D964</f>
      </c>
      <c r="E967" s="37">
        <f>INDEX(St_e0,Det+1)+INDEX(St_kx,Det+1)*C967+INDEX(St_ky,Det+1)*B967</f>
      </c>
      <c r="F967" s="20">
        <f>IF(E967&gt;0,IF(E967&lt;=eco,alpha*fck*(1-(1-E967/eco)^n),alpha*fck),0)</f>
      </c>
      <c r="G967" s="19">
        <f>F967*D967</f>
      </c>
      <c r="H967" s="19">
        <f>G967*C967</f>
      </c>
      <c r="I967" s="19">
        <f>G967*B967</f>
      </c>
      <c r="K967" s="37">
        <f>Eq_e0+Eq_kx*$C967+Eq_ky*$B967</f>
      </c>
      <c r="L967" s="20">
        <f>IF(K967&gt;0,IF(K967&lt;=eco,alpha*fck*(1-(1-K967/eco)^n),alpha*fck),0)</f>
      </c>
    </row>
    <row r="968" spans="1:12" x14ac:dyDescent="0.25">
      <c r="A968">
        <f>Mesh!A965</f>
      </c>
      <c r="B968" s="20">
        <f>Mesh!B965</f>
      </c>
      <c r="C968" s="20">
        <f>Mesh!C965</f>
      </c>
      <c r="D968" s="20">
        <f>Mesh!D965</f>
      </c>
      <c r="E968" s="37">
        <f>INDEX(St_e0,Det+1)+INDEX(St_kx,Det+1)*C968+INDEX(St_ky,Det+1)*B968</f>
      </c>
      <c r="F968" s="20">
        <f>IF(E968&gt;0,IF(E968&lt;=eco,alpha*fck*(1-(1-E968/eco)^n),alpha*fck),0)</f>
      </c>
      <c r="G968" s="19">
        <f>F968*D968</f>
      </c>
      <c r="H968" s="19">
        <f>G968*C968</f>
      </c>
      <c r="I968" s="19">
        <f>G968*B968</f>
      </c>
      <c r="K968" s="37">
        <f>Eq_e0+Eq_kx*$C968+Eq_ky*$B968</f>
      </c>
      <c r="L968" s="20">
        <f>IF(K968&gt;0,IF(K968&lt;=eco,alpha*fck*(1-(1-K968/eco)^n),alpha*fck),0)</f>
      </c>
    </row>
    <row r="969" spans="1:12" x14ac:dyDescent="0.25">
      <c r="A969">
        <f>Mesh!A966</f>
      </c>
      <c r="B969" s="20">
        <f>Mesh!B966</f>
      </c>
      <c r="C969" s="20">
        <f>Mesh!C966</f>
      </c>
      <c r="D969" s="20">
        <f>Mesh!D966</f>
      </c>
      <c r="E969" s="37">
        <f>INDEX(St_e0,Det+1)+INDEX(St_kx,Det+1)*C969+INDEX(St_ky,Det+1)*B969</f>
      </c>
      <c r="F969" s="20">
        <f>IF(E969&gt;0,IF(E969&lt;=eco,alpha*fck*(1-(1-E969/eco)^n),alpha*fck),0)</f>
      </c>
      <c r="G969" s="19">
        <f>F969*D969</f>
      </c>
      <c r="H969" s="19">
        <f>G969*C969</f>
      </c>
      <c r="I969" s="19">
        <f>G969*B969</f>
      </c>
      <c r="K969" s="37">
        <f>Eq_e0+Eq_kx*$C969+Eq_ky*$B969</f>
      </c>
      <c r="L969" s="20">
        <f>IF(K969&gt;0,IF(K969&lt;=eco,alpha*fck*(1-(1-K969/eco)^n),alpha*fck),0)</f>
      </c>
    </row>
    <row r="970" spans="1:12" x14ac:dyDescent="0.25">
      <c r="A970">
        <f>Mesh!A967</f>
      </c>
      <c r="B970" s="20">
        <f>Mesh!B967</f>
      </c>
      <c r="C970" s="20">
        <f>Mesh!C967</f>
      </c>
      <c r="D970" s="20">
        <f>Mesh!D967</f>
      </c>
      <c r="E970" s="37">
        <f>INDEX(St_e0,Det+1)+INDEX(St_kx,Det+1)*C970+INDEX(St_ky,Det+1)*B970</f>
      </c>
      <c r="F970" s="20">
        <f>IF(E970&gt;0,IF(E970&lt;=eco,alpha*fck*(1-(1-E970/eco)^n),alpha*fck),0)</f>
      </c>
      <c r="G970" s="19">
        <f>F970*D970</f>
      </c>
      <c r="H970" s="19">
        <f>G970*C970</f>
      </c>
      <c r="I970" s="19">
        <f>G970*B970</f>
      </c>
      <c r="K970" s="37">
        <f>Eq_e0+Eq_kx*$C970+Eq_ky*$B970</f>
      </c>
      <c r="L970" s="20">
        <f>IF(K970&gt;0,IF(K970&lt;=eco,alpha*fck*(1-(1-K970/eco)^n),alpha*fck),0)</f>
      </c>
    </row>
    <row r="971" spans="1:12" x14ac:dyDescent="0.25">
      <c r="A971">
        <f>Mesh!A968</f>
      </c>
      <c r="B971" s="20">
        <f>Mesh!B968</f>
      </c>
      <c r="C971" s="20">
        <f>Mesh!C968</f>
      </c>
      <c r="D971" s="20">
        <f>Mesh!D968</f>
      </c>
      <c r="E971" s="37">
        <f>INDEX(St_e0,Det+1)+INDEX(St_kx,Det+1)*C971+INDEX(St_ky,Det+1)*B971</f>
      </c>
      <c r="F971" s="20">
        <f>IF(E971&gt;0,IF(E971&lt;=eco,alpha*fck*(1-(1-E971/eco)^n),alpha*fck),0)</f>
      </c>
      <c r="G971" s="19">
        <f>F971*D971</f>
      </c>
      <c r="H971" s="19">
        <f>G971*C971</f>
      </c>
      <c r="I971" s="19">
        <f>G971*B971</f>
      </c>
      <c r="K971" s="37">
        <f>Eq_e0+Eq_kx*$C971+Eq_ky*$B971</f>
      </c>
      <c r="L971" s="20">
        <f>IF(K971&gt;0,IF(K971&lt;=eco,alpha*fck*(1-(1-K971/eco)^n),alpha*fck),0)</f>
      </c>
    </row>
    <row r="972" spans="1:12" x14ac:dyDescent="0.25">
      <c r="A972">
        <f>Mesh!A969</f>
      </c>
      <c r="B972" s="20">
        <f>Mesh!B969</f>
      </c>
      <c r="C972" s="20">
        <f>Mesh!C969</f>
      </c>
      <c r="D972" s="20">
        <f>Mesh!D969</f>
      </c>
      <c r="E972" s="37">
        <f>INDEX(St_e0,Det+1)+INDEX(St_kx,Det+1)*C972+INDEX(St_ky,Det+1)*B972</f>
      </c>
      <c r="F972" s="20">
        <f>IF(E972&gt;0,IF(E972&lt;=eco,alpha*fck*(1-(1-E972/eco)^n),alpha*fck),0)</f>
      </c>
      <c r="G972" s="19">
        <f>F972*D972</f>
      </c>
      <c r="H972" s="19">
        <f>G972*C972</f>
      </c>
      <c r="I972" s="19">
        <f>G972*B972</f>
      </c>
      <c r="K972" s="37">
        <f>Eq_e0+Eq_kx*$C972+Eq_ky*$B972</f>
      </c>
      <c r="L972" s="20">
        <f>IF(K972&gt;0,IF(K972&lt;=eco,alpha*fck*(1-(1-K972/eco)^n),alpha*fck),0)</f>
      </c>
    </row>
    <row r="973" spans="1:12" x14ac:dyDescent="0.25">
      <c r="A973">
        <f>Mesh!A970</f>
      </c>
      <c r="B973" s="20">
        <f>Mesh!B970</f>
      </c>
      <c r="C973" s="20">
        <f>Mesh!C970</f>
      </c>
      <c r="D973" s="20">
        <f>Mesh!D970</f>
      </c>
      <c r="E973" s="37">
        <f>INDEX(St_e0,Det+1)+INDEX(St_kx,Det+1)*C973+INDEX(St_ky,Det+1)*B973</f>
      </c>
      <c r="F973" s="20">
        <f>IF(E973&gt;0,IF(E973&lt;=eco,alpha*fck*(1-(1-E973/eco)^n),alpha*fck),0)</f>
      </c>
      <c r="G973" s="19">
        <f>F973*D973</f>
      </c>
      <c r="H973" s="19">
        <f>G973*C973</f>
      </c>
      <c r="I973" s="19">
        <f>G973*B973</f>
      </c>
      <c r="K973" s="37">
        <f>Eq_e0+Eq_kx*$C973+Eq_ky*$B973</f>
      </c>
      <c r="L973" s="20">
        <f>IF(K973&gt;0,IF(K973&lt;=eco,alpha*fck*(1-(1-K973/eco)^n),alpha*fck),0)</f>
      </c>
    </row>
    <row r="974" spans="1:12" x14ac:dyDescent="0.25">
      <c r="A974">
        <f>Mesh!A971</f>
      </c>
      <c r="B974" s="20">
        <f>Mesh!B971</f>
      </c>
      <c r="C974" s="20">
        <f>Mesh!C971</f>
      </c>
      <c r="D974" s="20">
        <f>Mesh!D971</f>
      </c>
      <c r="E974" s="37">
        <f>INDEX(St_e0,Det+1)+INDEX(St_kx,Det+1)*C974+INDEX(St_ky,Det+1)*B974</f>
      </c>
      <c r="F974" s="20">
        <f>IF(E974&gt;0,IF(E974&lt;=eco,alpha*fck*(1-(1-E974/eco)^n),alpha*fck),0)</f>
      </c>
      <c r="G974" s="19">
        <f>F974*D974</f>
      </c>
      <c r="H974" s="19">
        <f>G974*C974</f>
      </c>
      <c r="I974" s="19">
        <f>G974*B974</f>
      </c>
      <c r="K974" s="37">
        <f>Eq_e0+Eq_kx*$C974+Eq_ky*$B974</f>
      </c>
      <c r="L974" s="20">
        <f>IF(K974&gt;0,IF(K974&lt;=eco,alpha*fck*(1-(1-K974/eco)^n),alpha*fck),0)</f>
      </c>
    </row>
    <row r="975" spans="1:12" x14ac:dyDescent="0.25">
      <c r="A975">
        <f>Mesh!A972</f>
      </c>
      <c r="B975" s="20">
        <f>Mesh!B972</f>
      </c>
      <c r="C975" s="20">
        <f>Mesh!C972</f>
      </c>
      <c r="D975" s="20">
        <f>Mesh!D972</f>
      </c>
      <c r="E975" s="37">
        <f>INDEX(St_e0,Det+1)+INDEX(St_kx,Det+1)*C975+INDEX(St_ky,Det+1)*B975</f>
      </c>
      <c r="F975" s="20">
        <f>IF(E975&gt;0,IF(E975&lt;=eco,alpha*fck*(1-(1-E975/eco)^n),alpha*fck),0)</f>
      </c>
      <c r="G975" s="19">
        <f>F975*D975</f>
      </c>
      <c r="H975" s="19">
        <f>G975*C975</f>
      </c>
      <c r="I975" s="19">
        <f>G975*B975</f>
      </c>
      <c r="K975" s="37">
        <f>Eq_e0+Eq_kx*$C975+Eq_ky*$B975</f>
      </c>
      <c r="L975" s="20">
        <f>IF(K975&gt;0,IF(K975&lt;=eco,alpha*fck*(1-(1-K975/eco)^n),alpha*fck),0)</f>
      </c>
    </row>
    <row r="976" spans="1:12" x14ac:dyDescent="0.25">
      <c r="A976">
        <f>Mesh!A973</f>
      </c>
      <c r="B976" s="20">
        <f>Mesh!B973</f>
      </c>
      <c r="C976" s="20">
        <f>Mesh!C973</f>
      </c>
      <c r="D976" s="20">
        <f>Mesh!D973</f>
      </c>
      <c r="E976" s="37">
        <f>INDEX(St_e0,Det+1)+INDEX(St_kx,Det+1)*C976+INDEX(St_ky,Det+1)*B976</f>
      </c>
      <c r="F976" s="20">
        <f>IF(E976&gt;0,IF(E976&lt;=eco,alpha*fck*(1-(1-E976/eco)^n),alpha*fck),0)</f>
      </c>
      <c r="G976" s="19">
        <f>F976*D976</f>
      </c>
      <c r="H976" s="19">
        <f>G976*C976</f>
      </c>
      <c r="I976" s="19">
        <f>G976*B976</f>
      </c>
      <c r="K976" s="37">
        <f>Eq_e0+Eq_kx*$C976+Eq_ky*$B976</f>
      </c>
      <c r="L976" s="20">
        <f>IF(K976&gt;0,IF(K976&lt;=eco,alpha*fck*(1-(1-K976/eco)^n),alpha*fck),0)</f>
      </c>
    </row>
    <row r="977" spans="1:12" x14ac:dyDescent="0.25">
      <c r="A977">
        <f>Mesh!A974</f>
      </c>
      <c r="B977" s="20">
        <f>Mesh!B974</f>
      </c>
      <c r="C977" s="20">
        <f>Mesh!C974</f>
      </c>
      <c r="D977" s="20">
        <f>Mesh!D974</f>
      </c>
      <c r="E977" s="37">
        <f>INDEX(St_e0,Det+1)+INDEX(St_kx,Det+1)*C977+INDEX(St_ky,Det+1)*B977</f>
      </c>
      <c r="F977" s="20">
        <f>IF(E977&gt;0,IF(E977&lt;=eco,alpha*fck*(1-(1-E977/eco)^n),alpha*fck),0)</f>
      </c>
      <c r="G977" s="19">
        <f>F977*D977</f>
      </c>
      <c r="H977" s="19">
        <f>G977*C977</f>
      </c>
      <c r="I977" s="19">
        <f>G977*B977</f>
      </c>
      <c r="K977" s="37">
        <f>Eq_e0+Eq_kx*$C977+Eq_ky*$B977</f>
      </c>
      <c r="L977" s="20">
        <f>IF(K977&gt;0,IF(K977&lt;=eco,alpha*fck*(1-(1-K977/eco)^n),alpha*fck),0)</f>
      </c>
    </row>
    <row r="978" spans="1:12" x14ac:dyDescent="0.25">
      <c r="A978">
        <f>Mesh!A975</f>
      </c>
      <c r="B978" s="20">
        <f>Mesh!B975</f>
      </c>
      <c r="C978" s="20">
        <f>Mesh!C975</f>
      </c>
      <c r="D978" s="20">
        <f>Mesh!D975</f>
      </c>
      <c r="E978" s="37">
        <f>INDEX(St_e0,Det+1)+INDEX(St_kx,Det+1)*C978+INDEX(St_ky,Det+1)*B978</f>
      </c>
      <c r="F978" s="20">
        <f>IF(E978&gt;0,IF(E978&lt;=eco,alpha*fck*(1-(1-E978/eco)^n),alpha*fck),0)</f>
      </c>
      <c r="G978" s="19">
        <f>F978*D978</f>
      </c>
      <c r="H978" s="19">
        <f>G978*C978</f>
      </c>
      <c r="I978" s="19">
        <f>G978*B978</f>
      </c>
      <c r="K978" s="37">
        <f>Eq_e0+Eq_kx*$C978+Eq_ky*$B978</f>
      </c>
      <c r="L978" s="20">
        <f>IF(K978&gt;0,IF(K978&lt;=eco,alpha*fck*(1-(1-K978/eco)^n),alpha*fck),0)</f>
      </c>
    </row>
    <row r="979" spans="1:12" x14ac:dyDescent="0.25">
      <c r="A979">
        <f>Mesh!A976</f>
      </c>
      <c r="B979" s="20">
        <f>Mesh!B976</f>
      </c>
      <c r="C979" s="20">
        <f>Mesh!C976</f>
      </c>
      <c r="D979" s="20">
        <f>Mesh!D976</f>
      </c>
      <c r="E979" s="37">
        <f>INDEX(St_e0,Det+1)+INDEX(St_kx,Det+1)*C979+INDEX(St_ky,Det+1)*B979</f>
      </c>
      <c r="F979" s="20">
        <f>IF(E979&gt;0,IF(E979&lt;=eco,alpha*fck*(1-(1-E979/eco)^n),alpha*fck),0)</f>
      </c>
      <c r="G979" s="19">
        <f>F979*D979</f>
      </c>
      <c r="H979" s="19">
        <f>G979*C979</f>
      </c>
      <c r="I979" s="19">
        <f>G979*B979</f>
      </c>
      <c r="K979" s="37">
        <f>Eq_e0+Eq_kx*$C979+Eq_ky*$B979</f>
      </c>
      <c r="L979" s="20">
        <f>IF(K979&gt;0,IF(K979&lt;=eco,alpha*fck*(1-(1-K979/eco)^n),alpha*fck),0)</f>
      </c>
    </row>
    <row r="980" spans="1:12" x14ac:dyDescent="0.25">
      <c r="A980">
        <f>Mesh!A977</f>
      </c>
      <c r="B980" s="20">
        <f>Mesh!B977</f>
      </c>
      <c r="C980" s="20">
        <f>Mesh!C977</f>
      </c>
      <c r="D980" s="20">
        <f>Mesh!D977</f>
      </c>
      <c r="E980" s="37">
        <f>INDEX(St_e0,Det+1)+INDEX(St_kx,Det+1)*C980+INDEX(St_ky,Det+1)*B980</f>
      </c>
      <c r="F980" s="20">
        <f>IF(E980&gt;0,IF(E980&lt;=eco,alpha*fck*(1-(1-E980/eco)^n),alpha*fck),0)</f>
      </c>
      <c r="G980" s="19">
        <f>F980*D980</f>
      </c>
      <c r="H980" s="19">
        <f>G980*C980</f>
      </c>
      <c r="I980" s="19">
        <f>G980*B980</f>
      </c>
      <c r="K980" s="37">
        <f>Eq_e0+Eq_kx*$C980+Eq_ky*$B980</f>
      </c>
      <c r="L980" s="20">
        <f>IF(K980&gt;0,IF(K980&lt;=eco,alpha*fck*(1-(1-K980/eco)^n),alpha*fck),0)</f>
      </c>
    </row>
    <row r="981" spans="1:12" x14ac:dyDescent="0.25">
      <c r="A981">
        <f>Mesh!A978</f>
      </c>
      <c r="B981" s="20">
        <f>Mesh!B978</f>
      </c>
      <c r="C981" s="20">
        <f>Mesh!C978</f>
      </c>
      <c r="D981" s="20">
        <f>Mesh!D978</f>
      </c>
      <c r="E981" s="37">
        <f>INDEX(St_e0,Det+1)+INDEX(St_kx,Det+1)*C981+INDEX(St_ky,Det+1)*B981</f>
      </c>
      <c r="F981" s="20">
        <f>IF(E981&gt;0,IF(E981&lt;=eco,alpha*fck*(1-(1-E981/eco)^n),alpha*fck),0)</f>
      </c>
      <c r="G981" s="19">
        <f>F981*D981</f>
      </c>
      <c r="H981" s="19">
        <f>G981*C981</f>
      </c>
      <c r="I981" s="19">
        <f>G981*B981</f>
      </c>
      <c r="K981" s="37">
        <f>Eq_e0+Eq_kx*$C981+Eq_ky*$B981</f>
      </c>
      <c r="L981" s="20">
        <f>IF(K981&gt;0,IF(K981&lt;=eco,alpha*fck*(1-(1-K981/eco)^n),alpha*fck),0)</f>
      </c>
    </row>
    <row r="982" spans="1:12" x14ac:dyDescent="0.25">
      <c r="A982">
        <f>Mesh!A979</f>
      </c>
      <c r="B982" s="20">
        <f>Mesh!B979</f>
      </c>
      <c r="C982" s="20">
        <f>Mesh!C979</f>
      </c>
      <c r="D982" s="20">
        <f>Mesh!D979</f>
      </c>
      <c r="E982" s="37">
        <f>INDEX(St_e0,Det+1)+INDEX(St_kx,Det+1)*C982+INDEX(St_ky,Det+1)*B982</f>
      </c>
      <c r="F982" s="20">
        <f>IF(E982&gt;0,IF(E982&lt;=eco,alpha*fck*(1-(1-E982/eco)^n),alpha*fck),0)</f>
      </c>
      <c r="G982" s="19">
        <f>F982*D982</f>
      </c>
      <c r="H982" s="19">
        <f>G982*C982</f>
      </c>
      <c r="I982" s="19">
        <f>G982*B982</f>
      </c>
      <c r="K982" s="37">
        <f>Eq_e0+Eq_kx*$C982+Eq_ky*$B982</f>
      </c>
      <c r="L982" s="20">
        <f>IF(K982&gt;0,IF(K982&lt;=eco,alpha*fck*(1-(1-K982/eco)^n),alpha*fck),0)</f>
      </c>
    </row>
    <row r="983" spans="1:12" x14ac:dyDescent="0.25">
      <c r="A983">
        <f>Mesh!A980</f>
      </c>
      <c r="B983" s="20">
        <f>Mesh!B980</f>
      </c>
      <c r="C983" s="20">
        <f>Mesh!C980</f>
      </c>
      <c r="D983" s="20">
        <f>Mesh!D980</f>
      </c>
      <c r="E983" s="37">
        <f>INDEX(St_e0,Det+1)+INDEX(St_kx,Det+1)*C983+INDEX(St_ky,Det+1)*B983</f>
      </c>
      <c r="F983" s="20">
        <f>IF(E983&gt;0,IF(E983&lt;=eco,alpha*fck*(1-(1-E983/eco)^n),alpha*fck),0)</f>
      </c>
      <c r="G983" s="19">
        <f>F983*D983</f>
      </c>
      <c r="H983" s="19">
        <f>G983*C983</f>
      </c>
      <c r="I983" s="19">
        <f>G983*B983</f>
      </c>
      <c r="K983" s="37">
        <f>Eq_e0+Eq_kx*$C983+Eq_ky*$B983</f>
      </c>
      <c r="L983" s="20">
        <f>IF(K983&gt;0,IF(K983&lt;=eco,alpha*fck*(1-(1-K983/eco)^n),alpha*fck),0)</f>
      </c>
    </row>
    <row r="984" spans="1:12" x14ac:dyDescent="0.25">
      <c r="A984">
        <f>Mesh!A981</f>
      </c>
      <c r="B984" s="20">
        <f>Mesh!B981</f>
      </c>
      <c r="C984" s="20">
        <f>Mesh!C981</f>
      </c>
      <c r="D984" s="20">
        <f>Mesh!D981</f>
      </c>
      <c r="E984" s="37">
        <f>INDEX(St_e0,Det+1)+INDEX(St_kx,Det+1)*C984+INDEX(St_ky,Det+1)*B984</f>
      </c>
      <c r="F984" s="20">
        <f>IF(E984&gt;0,IF(E984&lt;=eco,alpha*fck*(1-(1-E984/eco)^n),alpha*fck),0)</f>
      </c>
      <c r="G984" s="19">
        <f>F984*D984</f>
      </c>
      <c r="H984" s="19">
        <f>G984*C984</f>
      </c>
      <c r="I984" s="19">
        <f>G984*B984</f>
      </c>
      <c r="K984" s="37">
        <f>Eq_e0+Eq_kx*$C984+Eq_ky*$B984</f>
      </c>
      <c r="L984" s="20">
        <f>IF(K984&gt;0,IF(K984&lt;=eco,alpha*fck*(1-(1-K984/eco)^n),alpha*fck),0)</f>
      </c>
    </row>
    <row r="985" spans="1:12" x14ac:dyDescent="0.25">
      <c r="A985">
        <f>Mesh!A982</f>
      </c>
      <c r="B985" s="20">
        <f>Mesh!B982</f>
      </c>
      <c r="C985" s="20">
        <f>Mesh!C982</f>
      </c>
      <c r="D985" s="20">
        <f>Mesh!D982</f>
      </c>
      <c r="E985" s="37">
        <f>INDEX(St_e0,Det+1)+INDEX(St_kx,Det+1)*C985+INDEX(St_ky,Det+1)*B985</f>
      </c>
      <c r="F985" s="20">
        <f>IF(E985&gt;0,IF(E985&lt;=eco,alpha*fck*(1-(1-E985/eco)^n),alpha*fck),0)</f>
      </c>
      <c r="G985" s="19">
        <f>F985*D985</f>
      </c>
      <c r="H985" s="19">
        <f>G985*C985</f>
      </c>
      <c r="I985" s="19">
        <f>G985*B985</f>
      </c>
      <c r="K985" s="37">
        <f>Eq_e0+Eq_kx*$C985+Eq_ky*$B985</f>
      </c>
      <c r="L985" s="20">
        <f>IF(K985&gt;0,IF(K985&lt;=eco,alpha*fck*(1-(1-K985/eco)^n),alpha*fck),0)</f>
      </c>
    </row>
    <row r="986" spans="1:12" x14ac:dyDescent="0.25">
      <c r="A986">
        <f>Mesh!A983</f>
      </c>
      <c r="B986" s="20">
        <f>Mesh!B983</f>
      </c>
      <c r="C986" s="20">
        <f>Mesh!C983</f>
      </c>
      <c r="D986" s="20">
        <f>Mesh!D983</f>
      </c>
      <c r="E986" s="37">
        <f>INDEX(St_e0,Det+1)+INDEX(St_kx,Det+1)*C986+INDEX(St_ky,Det+1)*B986</f>
      </c>
      <c r="F986" s="20">
        <f>IF(E986&gt;0,IF(E986&lt;=eco,alpha*fck*(1-(1-E986/eco)^n),alpha*fck),0)</f>
      </c>
      <c r="G986" s="19">
        <f>F986*D986</f>
      </c>
      <c r="H986" s="19">
        <f>G986*C986</f>
      </c>
      <c r="I986" s="19">
        <f>G986*B986</f>
      </c>
      <c r="K986" s="37">
        <f>Eq_e0+Eq_kx*$C986+Eq_ky*$B986</f>
      </c>
      <c r="L986" s="20">
        <f>IF(K986&gt;0,IF(K986&lt;=eco,alpha*fck*(1-(1-K986/eco)^n),alpha*fck),0)</f>
      </c>
    </row>
    <row r="987" spans="1:12" x14ac:dyDescent="0.25">
      <c r="A987">
        <f>Mesh!A984</f>
      </c>
      <c r="B987" s="20">
        <f>Mesh!B984</f>
      </c>
      <c r="C987" s="20">
        <f>Mesh!C984</f>
      </c>
      <c r="D987" s="20">
        <f>Mesh!D984</f>
      </c>
      <c r="E987" s="37">
        <f>INDEX(St_e0,Det+1)+INDEX(St_kx,Det+1)*C987+INDEX(St_ky,Det+1)*B987</f>
      </c>
      <c r="F987" s="20">
        <f>IF(E987&gt;0,IF(E987&lt;=eco,alpha*fck*(1-(1-E987/eco)^n),alpha*fck),0)</f>
      </c>
      <c r="G987" s="19">
        <f>F987*D987</f>
      </c>
      <c r="H987" s="19">
        <f>G987*C987</f>
      </c>
      <c r="I987" s="19">
        <f>G987*B987</f>
      </c>
      <c r="K987" s="37">
        <f>Eq_e0+Eq_kx*$C987+Eq_ky*$B987</f>
      </c>
      <c r="L987" s="20">
        <f>IF(K987&gt;0,IF(K987&lt;=eco,alpha*fck*(1-(1-K987/eco)^n),alpha*fck),0)</f>
      </c>
    </row>
    <row r="988" spans="1:12" x14ac:dyDescent="0.25">
      <c r="A988">
        <f>Mesh!A985</f>
      </c>
      <c r="B988" s="20">
        <f>Mesh!B985</f>
      </c>
      <c r="C988" s="20">
        <f>Mesh!C985</f>
      </c>
      <c r="D988" s="20">
        <f>Mesh!D985</f>
      </c>
      <c r="E988" s="37">
        <f>INDEX(St_e0,Det+1)+INDEX(St_kx,Det+1)*C988+INDEX(St_ky,Det+1)*B988</f>
      </c>
      <c r="F988" s="20">
        <f>IF(E988&gt;0,IF(E988&lt;=eco,alpha*fck*(1-(1-E988/eco)^n),alpha*fck),0)</f>
      </c>
      <c r="G988" s="19">
        <f>F988*D988</f>
      </c>
      <c r="H988" s="19">
        <f>G988*C988</f>
      </c>
      <c r="I988" s="19">
        <f>G988*B988</f>
      </c>
      <c r="K988" s="37">
        <f>Eq_e0+Eq_kx*$C988+Eq_ky*$B988</f>
      </c>
      <c r="L988" s="20">
        <f>IF(K988&gt;0,IF(K988&lt;=eco,alpha*fck*(1-(1-K988/eco)^n),alpha*fck),0)</f>
      </c>
    </row>
    <row r="989" spans="1:12" x14ac:dyDescent="0.25">
      <c r="A989">
        <f>Mesh!A986</f>
      </c>
      <c r="B989" s="20">
        <f>Mesh!B986</f>
      </c>
      <c r="C989" s="20">
        <f>Mesh!C986</f>
      </c>
      <c r="D989" s="20">
        <f>Mesh!D986</f>
      </c>
      <c r="E989" s="37">
        <f>INDEX(St_e0,Det+1)+INDEX(St_kx,Det+1)*C989+INDEX(St_ky,Det+1)*B989</f>
      </c>
      <c r="F989" s="20">
        <f>IF(E989&gt;0,IF(E989&lt;=eco,alpha*fck*(1-(1-E989/eco)^n),alpha*fck),0)</f>
      </c>
      <c r="G989" s="19">
        <f>F989*D989</f>
      </c>
      <c r="H989" s="19">
        <f>G989*C989</f>
      </c>
      <c r="I989" s="19">
        <f>G989*B989</f>
      </c>
      <c r="K989" s="37">
        <f>Eq_e0+Eq_kx*$C989+Eq_ky*$B989</f>
      </c>
      <c r="L989" s="20">
        <f>IF(K989&gt;0,IF(K989&lt;=eco,alpha*fck*(1-(1-K989/eco)^n),alpha*fck),0)</f>
      </c>
    </row>
    <row r="990" spans="1:12" x14ac:dyDescent="0.25">
      <c r="A990">
        <f>Mesh!A987</f>
      </c>
      <c r="B990" s="20">
        <f>Mesh!B987</f>
      </c>
      <c r="C990" s="20">
        <f>Mesh!C987</f>
      </c>
      <c r="D990" s="20">
        <f>Mesh!D987</f>
      </c>
      <c r="E990" s="37">
        <f>INDEX(St_e0,Det+1)+INDEX(St_kx,Det+1)*C990+INDEX(St_ky,Det+1)*B990</f>
      </c>
      <c r="F990" s="20">
        <f>IF(E990&gt;0,IF(E990&lt;=eco,alpha*fck*(1-(1-E990/eco)^n),alpha*fck),0)</f>
      </c>
      <c r="G990" s="19">
        <f>F990*D990</f>
      </c>
      <c r="H990" s="19">
        <f>G990*C990</f>
      </c>
      <c r="I990" s="19">
        <f>G990*B990</f>
      </c>
      <c r="K990" s="37">
        <f>Eq_e0+Eq_kx*$C990+Eq_ky*$B990</f>
      </c>
      <c r="L990" s="20">
        <f>IF(K990&gt;0,IF(K990&lt;=eco,alpha*fck*(1-(1-K990/eco)^n),alpha*fck),0)</f>
      </c>
    </row>
    <row r="991" spans="1:12" x14ac:dyDescent="0.25">
      <c r="A991">
        <f>Mesh!A988</f>
      </c>
      <c r="B991" s="20">
        <f>Mesh!B988</f>
      </c>
      <c r="C991" s="20">
        <f>Mesh!C988</f>
      </c>
      <c r="D991" s="20">
        <f>Mesh!D988</f>
      </c>
      <c r="E991" s="37">
        <f>INDEX(St_e0,Det+1)+INDEX(St_kx,Det+1)*C991+INDEX(St_ky,Det+1)*B991</f>
      </c>
      <c r="F991" s="20">
        <f>IF(E991&gt;0,IF(E991&lt;=eco,alpha*fck*(1-(1-E991/eco)^n),alpha*fck),0)</f>
      </c>
      <c r="G991" s="19">
        <f>F991*D991</f>
      </c>
      <c r="H991" s="19">
        <f>G991*C991</f>
      </c>
      <c r="I991" s="19">
        <f>G991*B991</f>
      </c>
      <c r="K991" s="37">
        <f>Eq_e0+Eq_kx*$C991+Eq_ky*$B991</f>
      </c>
      <c r="L991" s="20">
        <f>IF(K991&gt;0,IF(K991&lt;=eco,alpha*fck*(1-(1-K991/eco)^n),alpha*fck),0)</f>
      </c>
    </row>
    <row r="992" spans="1:12" x14ac:dyDescent="0.25">
      <c r="A992">
        <f>Mesh!A989</f>
      </c>
      <c r="B992" s="20">
        <f>Mesh!B989</f>
      </c>
      <c r="C992" s="20">
        <f>Mesh!C989</f>
      </c>
      <c r="D992" s="20">
        <f>Mesh!D989</f>
      </c>
      <c r="E992" s="37">
        <f>INDEX(St_e0,Det+1)+INDEX(St_kx,Det+1)*C992+INDEX(St_ky,Det+1)*B992</f>
      </c>
      <c r="F992" s="20">
        <f>IF(E992&gt;0,IF(E992&lt;=eco,alpha*fck*(1-(1-E992/eco)^n),alpha*fck),0)</f>
      </c>
      <c r="G992" s="19">
        <f>F992*D992</f>
      </c>
      <c r="H992" s="19">
        <f>G992*C992</f>
      </c>
      <c r="I992" s="19">
        <f>G992*B992</f>
      </c>
      <c r="K992" s="37">
        <f>Eq_e0+Eq_kx*$C992+Eq_ky*$B992</f>
      </c>
      <c r="L992" s="20">
        <f>IF(K992&gt;0,IF(K992&lt;=eco,alpha*fck*(1-(1-K992/eco)^n),alpha*fck),0)</f>
      </c>
    </row>
    <row r="993" spans="1:12" x14ac:dyDescent="0.25">
      <c r="A993">
        <f>Mesh!A990</f>
      </c>
      <c r="B993" s="20">
        <f>Mesh!B990</f>
      </c>
      <c r="C993" s="20">
        <f>Mesh!C990</f>
      </c>
      <c r="D993" s="20">
        <f>Mesh!D990</f>
      </c>
      <c r="E993" s="37">
        <f>INDEX(St_e0,Det+1)+INDEX(St_kx,Det+1)*C993+INDEX(St_ky,Det+1)*B993</f>
      </c>
      <c r="F993" s="20">
        <f>IF(E993&gt;0,IF(E993&lt;=eco,alpha*fck*(1-(1-E993/eco)^n),alpha*fck),0)</f>
      </c>
      <c r="G993" s="19">
        <f>F993*D993</f>
      </c>
      <c r="H993" s="19">
        <f>G993*C993</f>
      </c>
      <c r="I993" s="19">
        <f>G993*B993</f>
      </c>
      <c r="K993" s="37">
        <f>Eq_e0+Eq_kx*$C993+Eq_ky*$B993</f>
      </c>
      <c r="L993" s="20">
        <f>IF(K993&gt;0,IF(K993&lt;=eco,alpha*fck*(1-(1-K993/eco)^n),alpha*fck),0)</f>
      </c>
    </row>
    <row r="994" spans="1:12" x14ac:dyDescent="0.25">
      <c r="A994">
        <f>Mesh!A991</f>
      </c>
      <c r="B994" s="20">
        <f>Mesh!B991</f>
      </c>
      <c r="C994" s="20">
        <f>Mesh!C991</f>
      </c>
      <c r="D994" s="20">
        <f>Mesh!D991</f>
      </c>
      <c r="E994" s="37">
        <f>INDEX(St_e0,Det+1)+INDEX(St_kx,Det+1)*C994+INDEX(St_ky,Det+1)*B994</f>
      </c>
      <c r="F994" s="20">
        <f>IF(E994&gt;0,IF(E994&lt;=eco,alpha*fck*(1-(1-E994/eco)^n),alpha*fck),0)</f>
      </c>
      <c r="G994" s="19">
        <f>F994*D994</f>
      </c>
      <c r="H994" s="19">
        <f>G994*C994</f>
      </c>
      <c r="I994" s="19">
        <f>G994*B994</f>
      </c>
      <c r="K994" s="37">
        <f>Eq_e0+Eq_kx*$C994+Eq_ky*$B994</f>
      </c>
      <c r="L994" s="20">
        <f>IF(K994&gt;0,IF(K994&lt;=eco,alpha*fck*(1-(1-K994/eco)^n),alpha*fck),0)</f>
      </c>
    </row>
    <row r="995" spans="1:12" x14ac:dyDescent="0.25">
      <c r="A995">
        <f>Mesh!A992</f>
      </c>
      <c r="B995" s="20">
        <f>Mesh!B992</f>
      </c>
      <c r="C995" s="20">
        <f>Mesh!C992</f>
      </c>
      <c r="D995" s="20">
        <f>Mesh!D992</f>
      </c>
      <c r="E995" s="37">
        <f>INDEX(St_e0,Det+1)+INDEX(St_kx,Det+1)*C995+INDEX(St_ky,Det+1)*B995</f>
      </c>
      <c r="F995" s="20">
        <f>IF(E995&gt;0,IF(E995&lt;=eco,alpha*fck*(1-(1-E995/eco)^n),alpha*fck),0)</f>
      </c>
      <c r="G995" s="19">
        <f>F995*D995</f>
      </c>
      <c r="H995" s="19">
        <f>G995*C995</f>
      </c>
      <c r="I995" s="19">
        <f>G995*B995</f>
      </c>
      <c r="K995" s="37">
        <f>Eq_e0+Eq_kx*$C995+Eq_ky*$B995</f>
      </c>
      <c r="L995" s="20">
        <f>IF(K995&gt;0,IF(K995&lt;=eco,alpha*fck*(1-(1-K995/eco)^n),alpha*fck),0)</f>
      </c>
    </row>
    <row r="996" spans="1:12" x14ac:dyDescent="0.25">
      <c r="A996">
        <f>Mesh!A993</f>
      </c>
      <c r="B996" s="20">
        <f>Mesh!B993</f>
      </c>
      <c r="C996" s="20">
        <f>Mesh!C993</f>
      </c>
      <c r="D996" s="20">
        <f>Mesh!D993</f>
      </c>
      <c r="E996" s="37">
        <f>INDEX(St_e0,Det+1)+INDEX(St_kx,Det+1)*C996+INDEX(St_ky,Det+1)*B996</f>
      </c>
      <c r="F996" s="20">
        <f>IF(E996&gt;0,IF(E996&lt;=eco,alpha*fck*(1-(1-E996/eco)^n),alpha*fck),0)</f>
      </c>
      <c r="G996" s="19">
        <f>F996*D996</f>
      </c>
      <c r="H996" s="19">
        <f>G996*C996</f>
      </c>
      <c r="I996" s="19">
        <f>G996*B996</f>
      </c>
      <c r="K996" s="37">
        <f>Eq_e0+Eq_kx*$C996+Eq_ky*$B996</f>
      </c>
      <c r="L996" s="20">
        <f>IF(K996&gt;0,IF(K996&lt;=eco,alpha*fck*(1-(1-K996/eco)^n),alpha*fck),0)</f>
      </c>
    </row>
    <row r="997" spans="1:12" x14ac:dyDescent="0.25">
      <c r="A997">
        <f>Mesh!A994</f>
      </c>
      <c r="B997" s="20">
        <f>Mesh!B994</f>
      </c>
      <c r="C997" s="20">
        <f>Mesh!C994</f>
      </c>
      <c r="D997" s="20">
        <f>Mesh!D994</f>
      </c>
      <c r="E997" s="37">
        <f>INDEX(St_e0,Det+1)+INDEX(St_kx,Det+1)*C997+INDEX(St_ky,Det+1)*B997</f>
      </c>
      <c r="F997" s="20">
        <f>IF(E997&gt;0,IF(E997&lt;=eco,alpha*fck*(1-(1-E997/eco)^n),alpha*fck),0)</f>
      </c>
      <c r="G997" s="19">
        <f>F997*D997</f>
      </c>
      <c r="H997" s="19">
        <f>G997*C997</f>
      </c>
      <c r="I997" s="19">
        <f>G997*B997</f>
      </c>
      <c r="K997" s="37">
        <f>Eq_e0+Eq_kx*$C997+Eq_ky*$B997</f>
      </c>
      <c r="L997" s="20">
        <f>IF(K997&gt;0,IF(K997&lt;=eco,alpha*fck*(1-(1-K997/eco)^n),alpha*fck),0)</f>
      </c>
    </row>
    <row r="998" spans="1:12" x14ac:dyDescent="0.25">
      <c r="A998">
        <f>Mesh!A995</f>
      </c>
      <c r="B998" s="20">
        <f>Mesh!B995</f>
      </c>
      <c r="C998" s="20">
        <f>Mesh!C995</f>
      </c>
      <c r="D998" s="20">
        <f>Mesh!D995</f>
      </c>
      <c r="E998" s="37">
        <f>INDEX(St_e0,Det+1)+INDEX(St_kx,Det+1)*C998+INDEX(St_ky,Det+1)*B998</f>
      </c>
      <c r="F998" s="20">
        <f>IF(E998&gt;0,IF(E998&lt;=eco,alpha*fck*(1-(1-E998/eco)^n),alpha*fck),0)</f>
      </c>
      <c r="G998" s="19">
        <f>F998*D998</f>
      </c>
      <c r="H998" s="19">
        <f>G998*C998</f>
      </c>
      <c r="I998" s="19">
        <f>G998*B998</f>
      </c>
      <c r="K998" s="37">
        <f>Eq_e0+Eq_kx*$C998+Eq_ky*$B998</f>
      </c>
      <c r="L998" s="20">
        <f>IF(K998&gt;0,IF(K998&lt;=eco,alpha*fck*(1-(1-K998/eco)^n),alpha*fck),0)</f>
      </c>
    </row>
    <row r="999" spans="1:12" x14ac:dyDescent="0.25">
      <c r="A999">
        <f>Mesh!A996</f>
      </c>
      <c r="B999" s="20">
        <f>Mesh!B996</f>
      </c>
      <c r="C999" s="20">
        <f>Mesh!C996</f>
      </c>
      <c r="D999" s="20">
        <f>Mesh!D996</f>
      </c>
      <c r="E999" s="37">
        <f>INDEX(St_e0,Det+1)+INDEX(St_kx,Det+1)*C999+INDEX(St_ky,Det+1)*B999</f>
      </c>
      <c r="F999" s="20">
        <f>IF(E999&gt;0,IF(E999&lt;=eco,alpha*fck*(1-(1-E999/eco)^n),alpha*fck),0)</f>
      </c>
      <c r="G999" s="19">
        <f>F999*D999</f>
      </c>
      <c r="H999" s="19">
        <f>G999*C999</f>
      </c>
      <c r="I999" s="19">
        <f>G999*B999</f>
      </c>
      <c r="K999" s="37">
        <f>Eq_e0+Eq_kx*$C999+Eq_ky*$B999</f>
      </c>
      <c r="L999" s="20">
        <f>IF(K999&gt;0,IF(K999&lt;=eco,alpha*fck*(1-(1-K999/eco)^n),alpha*fck),0)</f>
      </c>
    </row>
    <row r="1000" spans="1:12" x14ac:dyDescent="0.25">
      <c r="A1000">
        <f>Mesh!A997</f>
      </c>
      <c r="B1000" s="20">
        <f>Mesh!B997</f>
      </c>
      <c r="C1000" s="20">
        <f>Mesh!C997</f>
      </c>
      <c r="D1000" s="20">
        <f>Mesh!D997</f>
      </c>
      <c r="E1000" s="37">
        <f>INDEX(St_e0,Det+1)+INDEX(St_kx,Det+1)*C1000+INDEX(St_ky,Det+1)*B1000</f>
      </c>
      <c r="F1000" s="20">
        <f>IF(E1000&gt;0,IF(E1000&lt;=eco,alpha*fck*(1-(1-E1000/eco)^n),alpha*fck),0)</f>
      </c>
      <c r="G1000" s="19">
        <f>F1000*D1000</f>
      </c>
      <c r="H1000" s="19">
        <f>G1000*C1000</f>
      </c>
      <c r="I1000" s="19">
        <f>G1000*B1000</f>
      </c>
      <c r="K1000" s="37">
        <f>Eq_e0+Eq_kx*$C1000+Eq_ky*$B1000</f>
      </c>
      <c r="L1000" s="20">
        <f>IF(K1000&gt;0,IF(K1000&lt;=eco,alpha*fck*(1-(1-K1000/eco)^n),alpha*fck),0)</f>
      </c>
    </row>
    <row r="1001" spans="1:12" x14ac:dyDescent="0.25">
      <c r="A1001">
        <f>Mesh!A998</f>
      </c>
      <c r="B1001" s="20">
        <f>Mesh!B998</f>
      </c>
      <c r="C1001" s="20">
        <f>Mesh!C998</f>
      </c>
      <c r="D1001" s="20">
        <f>Mesh!D998</f>
      </c>
      <c r="E1001" s="37">
        <f>INDEX(St_e0,Det+1)+INDEX(St_kx,Det+1)*C1001+INDEX(St_ky,Det+1)*B1001</f>
      </c>
      <c r="F1001" s="20">
        <f>IF(E1001&gt;0,IF(E1001&lt;=eco,alpha*fck*(1-(1-E1001/eco)^n),alpha*fck),0)</f>
      </c>
      <c r="G1001" s="19">
        <f>F1001*D1001</f>
      </c>
      <c r="H1001" s="19">
        <f>G1001*C1001</f>
      </c>
      <c r="I1001" s="19">
        <f>G1001*B1001</f>
      </c>
      <c r="K1001" s="37">
        <f>Eq_e0+Eq_kx*$C1001+Eq_ky*$B1001</f>
      </c>
      <c r="L1001" s="20">
        <f>IF(K1001&gt;0,IF(K1001&lt;=eco,alpha*fck*(1-(1-K1001/eco)^n),alpha*fck),0)</f>
      </c>
    </row>
    <row r="1002" spans="1:12" x14ac:dyDescent="0.25">
      <c r="A1002">
        <f>Mesh!A999</f>
      </c>
      <c r="B1002" s="20">
        <f>Mesh!B999</f>
      </c>
      <c r="C1002" s="20">
        <f>Mesh!C999</f>
      </c>
      <c r="D1002" s="20">
        <f>Mesh!D999</f>
      </c>
      <c r="E1002" s="37">
        <f>INDEX(St_e0,Det+1)+INDEX(St_kx,Det+1)*C1002+INDEX(St_ky,Det+1)*B1002</f>
      </c>
      <c r="F1002" s="20">
        <f>IF(E1002&gt;0,IF(E1002&lt;=eco,alpha*fck*(1-(1-E1002/eco)^n),alpha*fck),0)</f>
      </c>
      <c r="G1002" s="19">
        <f>F1002*D1002</f>
      </c>
      <c r="H1002" s="19">
        <f>G1002*C1002</f>
      </c>
      <c r="I1002" s="19">
        <f>G1002*B1002</f>
      </c>
      <c r="K1002" s="37">
        <f>Eq_e0+Eq_kx*$C1002+Eq_ky*$B1002</f>
      </c>
      <c r="L1002" s="20">
        <f>IF(K1002&gt;0,IF(K1002&lt;=eco,alpha*fck*(1-(1-K1002/eco)^n),alpha*fck),0)</f>
      </c>
    </row>
    <row r="1003" spans="1:12" x14ac:dyDescent="0.25">
      <c r="A1003">
        <f>Mesh!A1000</f>
      </c>
      <c r="B1003" s="20">
        <f>Mesh!B1000</f>
      </c>
      <c r="C1003" s="20">
        <f>Mesh!C1000</f>
      </c>
      <c r="D1003" s="20">
        <f>Mesh!D1000</f>
      </c>
      <c r="E1003" s="37">
        <f>INDEX(St_e0,Det+1)+INDEX(St_kx,Det+1)*C1003+INDEX(St_ky,Det+1)*B1003</f>
      </c>
      <c r="F1003" s="20">
        <f>IF(E1003&gt;0,IF(E1003&lt;=eco,alpha*fck*(1-(1-E1003/eco)^n),alpha*fck),0)</f>
      </c>
      <c r="G1003" s="19">
        <f>F1003*D1003</f>
      </c>
      <c r="H1003" s="19">
        <f>G1003*C1003</f>
      </c>
      <c r="I1003" s="19">
        <f>G1003*B1003</f>
      </c>
      <c r="K1003" s="37">
        <f>Eq_e0+Eq_kx*$C1003+Eq_ky*$B1003</f>
      </c>
      <c r="L1003" s="20">
        <f>IF(K1003&gt;0,IF(K1003&lt;=eco,alpha*fck*(1-(1-K1003/eco)^n),alpha*fck),0)</f>
      </c>
    </row>
    <row r="1004" spans="1:12" x14ac:dyDescent="0.25">
      <c r="A1004">
        <f>Mesh!A1001</f>
      </c>
      <c r="B1004" s="20">
        <f>Mesh!B1001</f>
      </c>
      <c r="C1004" s="20">
        <f>Mesh!C1001</f>
      </c>
      <c r="D1004" s="20">
        <f>Mesh!D1001</f>
      </c>
      <c r="E1004" s="37">
        <f>INDEX(St_e0,Det+1)+INDEX(St_kx,Det+1)*C1004+INDEX(St_ky,Det+1)*B1004</f>
      </c>
      <c r="F1004" s="20">
        <f>IF(E1004&gt;0,IF(E1004&lt;=eco,alpha*fck*(1-(1-E1004/eco)^n),alpha*fck),0)</f>
      </c>
      <c r="G1004" s="19">
        <f>F1004*D1004</f>
      </c>
      <c r="H1004" s="19">
        <f>G1004*C1004</f>
      </c>
      <c r="I1004" s="19">
        <f>G1004*B1004</f>
      </c>
      <c r="K1004" s="37">
        <f>Eq_e0+Eq_kx*$C1004+Eq_ky*$B1004</f>
      </c>
      <c r="L1004" s="20">
        <f>IF(K1004&gt;0,IF(K1004&lt;=eco,alpha*fck*(1-(1-K1004/eco)^n),alpha*fck),0)</f>
      </c>
    </row>
    <row r="1005" spans="1:12" x14ac:dyDescent="0.25">
      <c r="A1005">
        <f>Mesh!A1002</f>
      </c>
      <c r="B1005" s="20">
        <f>Mesh!B1002</f>
      </c>
      <c r="C1005" s="20">
        <f>Mesh!C1002</f>
      </c>
      <c r="D1005" s="20">
        <f>Mesh!D1002</f>
      </c>
      <c r="E1005" s="37">
        <f>INDEX(St_e0,Det+1)+INDEX(St_kx,Det+1)*C1005+INDEX(St_ky,Det+1)*B1005</f>
      </c>
      <c r="F1005" s="20">
        <f>IF(E1005&gt;0,IF(E1005&lt;=eco,alpha*fck*(1-(1-E1005/eco)^n),alpha*fck),0)</f>
      </c>
      <c r="G1005" s="19">
        <f>F1005*D1005</f>
      </c>
      <c r="H1005" s="19">
        <f>G1005*C1005</f>
      </c>
      <c r="I1005" s="19">
        <f>G1005*B1005</f>
      </c>
      <c r="K1005" s="37">
        <f>Eq_e0+Eq_kx*$C1005+Eq_ky*$B1005</f>
      </c>
      <c r="L1005" s="20">
        <f>IF(K1005&gt;0,IF(K1005&lt;=eco,alpha*fck*(1-(1-K1005/eco)^n),alpha*fck),0)</f>
      </c>
    </row>
    <row r="1006" spans="1:12" x14ac:dyDescent="0.25">
      <c r="A1006">
        <f>Mesh!A1003</f>
      </c>
      <c r="B1006" s="20">
        <f>Mesh!B1003</f>
      </c>
      <c r="C1006" s="20">
        <f>Mesh!C1003</f>
      </c>
      <c r="D1006" s="20">
        <f>Mesh!D1003</f>
      </c>
      <c r="E1006" s="37">
        <f>INDEX(St_e0,Det+1)+INDEX(St_kx,Det+1)*C1006+INDEX(St_ky,Det+1)*B1006</f>
      </c>
      <c r="F1006" s="20">
        <f>IF(E1006&gt;0,IF(E1006&lt;=eco,alpha*fck*(1-(1-E1006/eco)^n),alpha*fck),0)</f>
      </c>
      <c r="G1006" s="19">
        <f>F1006*D1006</f>
      </c>
      <c r="H1006" s="19">
        <f>G1006*C1006</f>
      </c>
      <c r="I1006" s="19">
        <f>G1006*B1006</f>
      </c>
      <c r="K1006" s="37">
        <f>Eq_e0+Eq_kx*$C1006+Eq_ky*$B1006</f>
      </c>
      <c r="L1006" s="20">
        <f>IF(K1006&gt;0,IF(K1006&lt;=eco,alpha*fck*(1-(1-K1006/eco)^n),alpha*fck),0)</f>
      </c>
    </row>
    <row r="1007" spans="1:12" x14ac:dyDescent="0.25">
      <c r="A1007">
        <f>Mesh!A1004</f>
      </c>
      <c r="B1007" s="20">
        <f>Mesh!B1004</f>
      </c>
      <c r="C1007" s="20">
        <f>Mesh!C1004</f>
      </c>
      <c r="D1007" s="20">
        <f>Mesh!D1004</f>
      </c>
      <c r="E1007" s="37">
        <f>INDEX(St_e0,Det+1)+INDEX(St_kx,Det+1)*C1007+INDEX(St_ky,Det+1)*B1007</f>
      </c>
      <c r="F1007" s="20">
        <f>IF(E1007&gt;0,IF(E1007&lt;=eco,alpha*fck*(1-(1-E1007/eco)^n),alpha*fck),0)</f>
      </c>
      <c r="G1007" s="19">
        <f>F1007*D1007</f>
      </c>
      <c r="H1007" s="19">
        <f>G1007*C1007</f>
      </c>
      <c r="I1007" s="19">
        <f>G1007*B1007</f>
      </c>
      <c r="K1007" s="37">
        <f>Eq_e0+Eq_kx*$C1007+Eq_ky*$B1007</f>
      </c>
      <c r="L1007" s="20">
        <f>IF(K1007&gt;0,IF(K1007&lt;=eco,alpha*fck*(1-(1-K1007/eco)^n),alpha*fck),0)</f>
      </c>
    </row>
    <row r="1008" spans="1:12" x14ac:dyDescent="0.25">
      <c r="A1008">
        <f>Mesh!A1005</f>
      </c>
      <c r="B1008" s="20">
        <f>Mesh!B1005</f>
      </c>
      <c r="C1008" s="20">
        <f>Mesh!C1005</f>
      </c>
      <c r="D1008" s="20">
        <f>Mesh!D1005</f>
      </c>
      <c r="E1008" s="37">
        <f>INDEX(St_e0,Det+1)+INDEX(St_kx,Det+1)*C1008+INDEX(St_ky,Det+1)*B1008</f>
      </c>
      <c r="F1008" s="20">
        <f>IF(E1008&gt;0,IF(E1008&lt;=eco,alpha*fck*(1-(1-E1008/eco)^n),alpha*fck),0)</f>
      </c>
      <c r="G1008" s="19">
        <f>F1008*D1008</f>
      </c>
      <c r="H1008" s="19">
        <f>G1008*C1008</f>
      </c>
      <c r="I1008" s="19">
        <f>G1008*B1008</f>
      </c>
      <c r="K1008" s="37">
        <f>Eq_e0+Eq_kx*$C1008+Eq_ky*$B1008</f>
      </c>
      <c r="L1008" s="20">
        <f>IF(K1008&gt;0,IF(K1008&lt;=eco,alpha*fck*(1-(1-K1008/eco)^n),alpha*fck),0)</f>
      </c>
    </row>
    <row r="1009" spans="1:12" x14ac:dyDescent="0.25">
      <c r="A1009">
        <f>Mesh!A1006</f>
      </c>
      <c r="B1009" s="20">
        <f>Mesh!B1006</f>
      </c>
      <c r="C1009" s="20">
        <f>Mesh!C1006</f>
      </c>
      <c r="D1009" s="20">
        <f>Mesh!D1006</f>
      </c>
      <c r="E1009" s="37">
        <f>INDEX(St_e0,Det+1)+INDEX(St_kx,Det+1)*C1009+INDEX(St_ky,Det+1)*B1009</f>
      </c>
      <c r="F1009" s="20">
        <f>IF(E1009&gt;0,IF(E1009&lt;=eco,alpha*fck*(1-(1-E1009/eco)^n),alpha*fck),0)</f>
      </c>
      <c r="G1009" s="19">
        <f>F1009*D1009</f>
      </c>
      <c r="H1009" s="19">
        <f>G1009*C1009</f>
      </c>
      <c r="I1009" s="19">
        <f>G1009*B1009</f>
      </c>
      <c r="K1009" s="37">
        <f>Eq_e0+Eq_kx*$C1009+Eq_ky*$B1009</f>
      </c>
      <c r="L1009" s="20">
        <f>IF(K1009&gt;0,IF(K1009&lt;=eco,alpha*fck*(1-(1-K1009/eco)^n),alpha*fck),0)</f>
      </c>
    </row>
    <row r="1010" spans="1:12" x14ac:dyDescent="0.25">
      <c r="A1010">
        <f>Mesh!A1007</f>
      </c>
      <c r="B1010" s="20">
        <f>Mesh!B1007</f>
      </c>
      <c r="C1010" s="20">
        <f>Mesh!C1007</f>
      </c>
      <c r="D1010" s="20">
        <f>Mesh!D1007</f>
      </c>
      <c r="E1010" s="37">
        <f>INDEX(St_e0,Det+1)+INDEX(St_kx,Det+1)*C1010+INDEX(St_ky,Det+1)*B1010</f>
      </c>
      <c r="F1010" s="20">
        <f>IF(E1010&gt;0,IF(E1010&lt;=eco,alpha*fck*(1-(1-E1010/eco)^n),alpha*fck),0)</f>
      </c>
      <c r="G1010" s="19">
        <f>F1010*D1010</f>
      </c>
      <c r="H1010" s="19">
        <f>G1010*C1010</f>
      </c>
      <c r="I1010" s="19">
        <f>G1010*B1010</f>
      </c>
      <c r="K1010" s="37">
        <f>Eq_e0+Eq_kx*$C1010+Eq_ky*$B1010</f>
      </c>
      <c r="L1010" s="20">
        <f>IF(K1010&gt;0,IF(K1010&lt;=eco,alpha*fck*(1-(1-K1010/eco)^n),alpha*fck),0)</f>
      </c>
    </row>
    <row r="1011" spans="1:12" x14ac:dyDescent="0.25">
      <c r="A1011">
        <f>Mesh!A1008</f>
      </c>
      <c r="B1011" s="20">
        <f>Mesh!B1008</f>
      </c>
      <c r="C1011" s="20">
        <f>Mesh!C1008</f>
      </c>
      <c r="D1011" s="20">
        <f>Mesh!D1008</f>
      </c>
      <c r="E1011" s="37">
        <f>INDEX(St_e0,Det+1)+INDEX(St_kx,Det+1)*C1011+INDEX(St_ky,Det+1)*B1011</f>
      </c>
      <c r="F1011" s="20">
        <f>IF(E1011&gt;0,IF(E1011&lt;=eco,alpha*fck*(1-(1-E1011/eco)^n),alpha*fck),0)</f>
      </c>
      <c r="G1011" s="19">
        <f>F1011*D1011</f>
      </c>
      <c r="H1011" s="19">
        <f>G1011*C1011</f>
      </c>
      <c r="I1011" s="19">
        <f>G1011*B1011</f>
      </c>
      <c r="K1011" s="37">
        <f>Eq_e0+Eq_kx*$C1011+Eq_ky*$B1011</f>
      </c>
      <c r="L1011" s="20">
        <f>IF(K1011&gt;0,IF(K1011&lt;=eco,alpha*fck*(1-(1-K1011/eco)^n),alpha*fck),0)</f>
      </c>
    </row>
    <row r="1012" spans="1:12" x14ac:dyDescent="0.25">
      <c r="A1012">
        <f>Mesh!A1009</f>
      </c>
      <c r="B1012" s="20">
        <f>Mesh!B1009</f>
      </c>
      <c r="C1012" s="20">
        <f>Mesh!C1009</f>
      </c>
      <c r="D1012" s="20">
        <f>Mesh!D1009</f>
      </c>
      <c r="E1012" s="37">
        <f>INDEX(St_e0,Det+1)+INDEX(St_kx,Det+1)*C1012+INDEX(St_ky,Det+1)*B1012</f>
      </c>
      <c r="F1012" s="20">
        <f>IF(E1012&gt;0,IF(E1012&lt;=eco,alpha*fck*(1-(1-E1012/eco)^n),alpha*fck),0)</f>
      </c>
      <c r="G1012" s="19">
        <f>F1012*D1012</f>
      </c>
      <c r="H1012" s="19">
        <f>G1012*C1012</f>
      </c>
      <c r="I1012" s="19">
        <f>G1012*B1012</f>
      </c>
      <c r="K1012" s="37">
        <f>Eq_e0+Eq_kx*$C1012+Eq_ky*$B1012</f>
      </c>
      <c r="L1012" s="20">
        <f>IF(K1012&gt;0,IF(K1012&lt;=eco,alpha*fck*(1-(1-K1012/eco)^n),alpha*fck),0)</f>
      </c>
    </row>
    <row r="1013" spans="1:12" x14ac:dyDescent="0.25">
      <c r="A1013">
        <f>Mesh!A1010</f>
      </c>
      <c r="B1013" s="20">
        <f>Mesh!B1010</f>
      </c>
      <c r="C1013" s="20">
        <f>Mesh!C1010</f>
      </c>
      <c r="D1013" s="20">
        <f>Mesh!D1010</f>
      </c>
      <c r="E1013" s="37">
        <f>INDEX(St_e0,Det+1)+INDEX(St_kx,Det+1)*C1013+INDEX(St_ky,Det+1)*B1013</f>
      </c>
      <c r="F1013" s="20">
        <f>IF(E1013&gt;0,IF(E1013&lt;=eco,alpha*fck*(1-(1-E1013/eco)^n),alpha*fck),0)</f>
      </c>
      <c r="G1013" s="19">
        <f>F1013*D1013</f>
      </c>
      <c r="H1013" s="19">
        <f>G1013*C1013</f>
      </c>
      <c r="I1013" s="19">
        <f>G1013*B1013</f>
      </c>
      <c r="K1013" s="37">
        <f>Eq_e0+Eq_kx*$C1013+Eq_ky*$B1013</f>
      </c>
      <c r="L1013" s="20">
        <f>IF(K1013&gt;0,IF(K1013&lt;=eco,alpha*fck*(1-(1-K1013/eco)^n),alpha*fck),0)</f>
      </c>
    </row>
    <row r="1014" spans="1:12" x14ac:dyDescent="0.25">
      <c r="A1014">
        <f>Mesh!A1011</f>
      </c>
      <c r="B1014" s="20">
        <f>Mesh!B1011</f>
      </c>
      <c r="C1014" s="20">
        <f>Mesh!C1011</f>
      </c>
      <c r="D1014" s="20">
        <f>Mesh!D1011</f>
      </c>
      <c r="E1014" s="37">
        <f>INDEX(St_e0,Det+1)+INDEX(St_kx,Det+1)*C1014+INDEX(St_ky,Det+1)*B1014</f>
      </c>
      <c r="F1014" s="20">
        <f>IF(E1014&gt;0,IF(E1014&lt;=eco,alpha*fck*(1-(1-E1014/eco)^n),alpha*fck),0)</f>
      </c>
      <c r="G1014" s="19">
        <f>F1014*D1014</f>
      </c>
      <c r="H1014" s="19">
        <f>G1014*C1014</f>
      </c>
      <c r="I1014" s="19">
        <f>G1014*B1014</f>
      </c>
      <c r="K1014" s="37">
        <f>Eq_e0+Eq_kx*$C1014+Eq_ky*$B1014</f>
      </c>
      <c r="L1014" s="20">
        <f>IF(K1014&gt;0,IF(K1014&lt;=eco,alpha*fck*(1-(1-K1014/eco)^n),alpha*fck),0)</f>
      </c>
    </row>
    <row r="1015" spans="1:12" x14ac:dyDescent="0.25">
      <c r="A1015">
        <f>Mesh!A1012</f>
      </c>
      <c r="B1015" s="20">
        <f>Mesh!B1012</f>
      </c>
      <c r="C1015" s="20">
        <f>Mesh!C1012</f>
      </c>
      <c r="D1015" s="20">
        <f>Mesh!D1012</f>
      </c>
      <c r="E1015" s="37">
        <f>INDEX(St_e0,Det+1)+INDEX(St_kx,Det+1)*C1015+INDEX(St_ky,Det+1)*B1015</f>
      </c>
      <c r="F1015" s="20">
        <f>IF(E1015&gt;0,IF(E1015&lt;=eco,alpha*fck*(1-(1-E1015/eco)^n),alpha*fck),0)</f>
      </c>
      <c r="G1015" s="19">
        <f>F1015*D1015</f>
      </c>
      <c r="H1015" s="19">
        <f>G1015*C1015</f>
      </c>
      <c r="I1015" s="19">
        <f>G1015*B1015</f>
      </c>
      <c r="K1015" s="37">
        <f>Eq_e0+Eq_kx*$C1015+Eq_ky*$B1015</f>
      </c>
      <c r="L1015" s="20">
        <f>IF(K1015&gt;0,IF(K1015&lt;=eco,alpha*fck*(1-(1-K1015/eco)^n),alpha*fck),0)</f>
      </c>
    </row>
    <row r="1016" spans="1:12" x14ac:dyDescent="0.25">
      <c r="A1016">
        <f>Mesh!A1013</f>
      </c>
      <c r="B1016" s="20">
        <f>Mesh!B1013</f>
      </c>
      <c r="C1016" s="20">
        <f>Mesh!C1013</f>
      </c>
      <c r="D1016" s="20">
        <f>Mesh!D1013</f>
      </c>
      <c r="E1016" s="37">
        <f>INDEX(St_e0,Det+1)+INDEX(St_kx,Det+1)*C1016+INDEX(St_ky,Det+1)*B1016</f>
      </c>
      <c r="F1016" s="20">
        <f>IF(E1016&gt;0,IF(E1016&lt;=eco,alpha*fck*(1-(1-E1016/eco)^n),alpha*fck),0)</f>
      </c>
      <c r="G1016" s="19">
        <f>F1016*D1016</f>
      </c>
      <c r="H1016" s="19">
        <f>G1016*C1016</f>
      </c>
      <c r="I1016" s="19">
        <f>G1016*B1016</f>
      </c>
      <c r="K1016" s="37">
        <f>Eq_e0+Eq_kx*$C1016+Eq_ky*$B1016</f>
      </c>
      <c r="L1016" s="20">
        <f>IF(K1016&gt;0,IF(K1016&lt;=eco,alpha*fck*(1-(1-K1016/eco)^n),alpha*fck),0)</f>
      </c>
    </row>
    <row r="1017" spans="1:12" x14ac:dyDescent="0.25">
      <c r="A1017">
        <f>Mesh!A1014</f>
      </c>
      <c r="B1017" s="20">
        <f>Mesh!B1014</f>
      </c>
      <c r="C1017" s="20">
        <f>Mesh!C1014</f>
      </c>
      <c r="D1017" s="20">
        <f>Mesh!D1014</f>
      </c>
      <c r="E1017" s="37">
        <f>INDEX(St_e0,Det+1)+INDEX(St_kx,Det+1)*C1017+INDEX(St_ky,Det+1)*B1017</f>
      </c>
      <c r="F1017" s="20">
        <f>IF(E1017&gt;0,IF(E1017&lt;=eco,alpha*fck*(1-(1-E1017/eco)^n),alpha*fck),0)</f>
      </c>
      <c r="G1017" s="19">
        <f>F1017*D1017</f>
      </c>
      <c r="H1017" s="19">
        <f>G1017*C1017</f>
      </c>
      <c r="I1017" s="19">
        <f>G1017*B1017</f>
      </c>
      <c r="K1017" s="37">
        <f>Eq_e0+Eq_kx*$C1017+Eq_ky*$B1017</f>
      </c>
      <c r="L1017" s="20">
        <f>IF(K1017&gt;0,IF(K1017&lt;=eco,alpha*fck*(1-(1-K1017/eco)^n),alpha*fck),0)</f>
      </c>
    </row>
    <row r="1018" spans="1:12" x14ac:dyDescent="0.25">
      <c r="A1018">
        <f>Mesh!A1015</f>
      </c>
      <c r="B1018" s="20">
        <f>Mesh!B1015</f>
      </c>
      <c r="C1018" s="20">
        <f>Mesh!C1015</f>
      </c>
      <c r="D1018" s="20">
        <f>Mesh!D1015</f>
      </c>
      <c r="E1018" s="37">
        <f>INDEX(St_e0,Det+1)+INDEX(St_kx,Det+1)*C1018+INDEX(St_ky,Det+1)*B1018</f>
      </c>
      <c r="F1018" s="20">
        <f>IF(E1018&gt;0,IF(E1018&lt;=eco,alpha*fck*(1-(1-E1018/eco)^n),alpha*fck),0)</f>
      </c>
      <c r="G1018" s="19">
        <f>F1018*D1018</f>
      </c>
      <c r="H1018" s="19">
        <f>G1018*C1018</f>
      </c>
      <c r="I1018" s="19">
        <f>G1018*B1018</f>
      </c>
      <c r="K1018" s="37">
        <f>Eq_e0+Eq_kx*$C1018+Eq_ky*$B1018</f>
      </c>
      <c r="L1018" s="20">
        <f>IF(K1018&gt;0,IF(K1018&lt;=eco,alpha*fck*(1-(1-K1018/eco)^n),alpha*fck),0)</f>
      </c>
    </row>
    <row r="1019" spans="1:12" x14ac:dyDescent="0.25">
      <c r="A1019">
        <f>Mesh!A1016</f>
      </c>
      <c r="B1019" s="20">
        <f>Mesh!B1016</f>
      </c>
      <c r="C1019" s="20">
        <f>Mesh!C1016</f>
      </c>
      <c r="D1019" s="20">
        <f>Mesh!D1016</f>
      </c>
      <c r="E1019" s="37">
        <f>INDEX(St_e0,Det+1)+INDEX(St_kx,Det+1)*C1019+INDEX(St_ky,Det+1)*B1019</f>
      </c>
      <c r="F1019" s="20">
        <f>IF(E1019&gt;0,IF(E1019&lt;=eco,alpha*fck*(1-(1-E1019/eco)^n),alpha*fck),0)</f>
      </c>
      <c r="G1019" s="19">
        <f>F1019*D1019</f>
      </c>
      <c r="H1019" s="19">
        <f>G1019*C1019</f>
      </c>
      <c r="I1019" s="19">
        <f>G1019*B1019</f>
      </c>
      <c r="K1019" s="37">
        <f>Eq_e0+Eq_kx*$C1019+Eq_ky*$B1019</f>
      </c>
      <c r="L1019" s="20">
        <f>IF(K1019&gt;0,IF(K1019&lt;=eco,alpha*fck*(1-(1-K1019/eco)^n),alpha*fck),0)</f>
      </c>
    </row>
    <row r="1020" spans="1:12" x14ac:dyDescent="0.25">
      <c r="A1020">
        <f>Mesh!A1017</f>
      </c>
      <c r="B1020" s="20">
        <f>Mesh!B1017</f>
      </c>
      <c r="C1020" s="20">
        <f>Mesh!C1017</f>
      </c>
      <c r="D1020" s="20">
        <f>Mesh!D1017</f>
      </c>
      <c r="E1020" s="37">
        <f>INDEX(St_e0,Det+1)+INDEX(St_kx,Det+1)*C1020+INDEX(St_ky,Det+1)*B1020</f>
      </c>
      <c r="F1020" s="20">
        <f>IF(E1020&gt;0,IF(E1020&lt;=eco,alpha*fck*(1-(1-E1020/eco)^n),alpha*fck),0)</f>
      </c>
      <c r="G1020" s="19">
        <f>F1020*D1020</f>
      </c>
      <c r="H1020" s="19">
        <f>G1020*C1020</f>
      </c>
      <c r="I1020" s="19">
        <f>G1020*B1020</f>
      </c>
      <c r="K1020" s="37">
        <f>Eq_e0+Eq_kx*$C1020+Eq_ky*$B1020</f>
      </c>
      <c r="L1020" s="20">
        <f>IF(K1020&gt;0,IF(K1020&lt;=eco,alpha*fck*(1-(1-K1020/eco)^n),alpha*fck),0)</f>
      </c>
    </row>
    <row r="1021" spans="1:12" x14ac:dyDescent="0.25">
      <c r="A1021">
        <f>Mesh!A1018</f>
      </c>
      <c r="B1021" s="20">
        <f>Mesh!B1018</f>
      </c>
      <c r="C1021" s="20">
        <f>Mesh!C1018</f>
      </c>
      <c r="D1021" s="20">
        <f>Mesh!D1018</f>
      </c>
      <c r="E1021" s="37">
        <f>INDEX(St_e0,Det+1)+INDEX(St_kx,Det+1)*C1021+INDEX(St_ky,Det+1)*B1021</f>
      </c>
      <c r="F1021" s="20">
        <f>IF(E1021&gt;0,IF(E1021&lt;=eco,alpha*fck*(1-(1-E1021/eco)^n),alpha*fck),0)</f>
      </c>
      <c r="G1021" s="19">
        <f>F1021*D1021</f>
      </c>
      <c r="H1021" s="19">
        <f>G1021*C1021</f>
      </c>
      <c r="I1021" s="19">
        <f>G1021*B1021</f>
      </c>
      <c r="K1021" s="37">
        <f>Eq_e0+Eq_kx*$C1021+Eq_ky*$B1021</f>
      </c>
      <c r="L1021" s="20">
        <f>IF(K1021&gt;0,IF(K1021&lt;=eco,alpha*fck*(1-(1-K1021/eco)^n),alpha*fck),0)</f>
      </c>
    </row>
    <row r="1022" spans="1:12" x14ac:dyDescent="0.25">
      <c r="A1022">
        <f>Mesh!A1019</f>
      </c>
      <c r="B1022" s="20">
        <f>Mesh!B1019</f>
      </c>
      <c r="C1022" s="20">
        <f>Mesh!C1019</f>
      </c>
      <c r="D1022" s="20">
        <f>Mesh!D1019</f>
      </c>
      <c r="E1022" s="37">
        <f>INDEX(St_e0,Det+1)+INDEX(St_kx,Det+1)*C1022+INDEX(St_ky,Det+1)*B1022</f>
      </c>
      <c r="F1022" s="20">
        <f>IF(E1022&gt;0,IF(E1022&lt;=eco,alpha*fck*(1-(1-E1022/eco)^n),alpha*fck),0)</f>
      </c>
      <c r="G1022" s="19">
        <f>F1022*D1022</f>
      </c>
      <c r="H1022" s="19">
        <f>G1022*C1022</f>
      </c>
      <c r="I1022" s="19">
        <f>G1022*B1022</f>
      </c>
      <c r="K1022" s="37">
        <f>Eq_e0+Eq_kx*$C1022+Eq_ky*$B1022</f>
      </c>
      <c r="L1022" s="20">
        <f>IF(K1022&gt;0,IF(K1022&lt;=eco,alpha*fck*(1-(1-K1022/eco)^n),alpha*fck),0)</f>
      </c>
    </row>
    <row r="1023" spans="1:12" x14ac:dyDescent="0.25">
      <c r="A1023">
        <f>Mesh!A1020</f>
      </c>
      <c r="B1023" s="20">
        <f>Mesh!B1020</f>
      </c>
      <c r="C1023" s="20">
        <f>Mesh!C1020</f>
      </c>
      <c r="D1023" s="20">
        <f>Mesh!D1020</f>
      </c>
      <c r="E1023" s="37">
        <f>INDEX(St_e0,Det+1)+INDEX(St_kx,Det+1)*C1023+INDEX(St_ky,Det+1)*B1023</f>
      </c>
      <c r="F1023" s="20">
        <f>IF(E1023&gt;0,IF(E1023&lt;=eco,alpha*fck*(1-(1-E1023/eco)^n),alpha*fck),0)</f>
      </c>
      <c r="G1023" s="19">
        <f>F1023*D1023</f>
      </c>
      <c r="H1023" s="19">
        <f>G1023*C1023</f>
      </c>
      <c r="I1023" s="19">
        <f>G1023*B1023</f>
      </c>
      <c r="K1023" s="37">
        <f>Eq_e0+Eq_kx*$C1023+Eq_ky*$B1023</f>
      </c>
      <c r="L1023" s="20">
        <f>IF(K1023&gt;0,IF(K1023&lt;=eco,alpha*fck*(1-(1-K1023/eco)^n),alpha*fck),0)</f>
      </c>
    </row>
    <row r="1024" spans="1:12" x14ac:dyDescent="0.25">
      <c r="A1024">
        <f>Mesh!A1021</f>
      </c>
      <c r="B1024" s="20">
        <f>Mesh!B1021</f>
      </c>
      <c r="C1024" s="20">
        <f>Mesh!C1021</f>
      </c>
      <c r="D1024" s="20">
        <f>Mesh!D1021</f>
      </c>
      <c r="E1024" s="37">
        <f>INDEX(St_e0,Det+1)+INDEX(St_kx,Det+1)*C1024+INDEX(St_ky,Det+1)*B1024</f>
      </c>
      <c r="F1024" s="20">
        <f>IF(E1024&gt;0,IF(E1024&lt;=eco,alpha*fck*(1-(1-E1024/eco)^n),alpha*fck),0)</f>
      </c>
      <c r="G1024" s="19">
        <f>F1024*D1024</f>
      </c>
      <c r="H1024" s="19">
        <f>G1024*C1024</f>
      </c>
      <c r="I1024" s="19">
        <f>G1024*B1024</f>
      </c>
      <c r="K1024" s="37">
        <f>Eq_e0+Eq_kx*$C1024+Eq_ky*$B1024</f>
      </c>
      <c r="L1024" s="20">
        <f>IF(K1024&gt;0,IF(K1024&lt;=eco,alpha*fck*(1-(1-K1024/eco)^n),alpha*fck),0)</f>
      </c>
    </row>
    <row r="1025" spans="1:12" x14ac:dyDescent="0.25">
      <c r="A1025">
        <f>Mesh!A1022</f>
      </c>
      <c r="B1025" s="20">
        <f>Mesh!B1022</f>
      </c>
      <c r="C1025" s="20">
        <f>Mesh!C1022</f>
      </c>
      <c r="D1025" s="20">
        <f>Mesh!D1022</f>
      </c>
      <c r="E1025" s="37">
        <f>INDEX(St_e0,Det+1)+INDEX(St_kx,Det+1)*C1025+INDEX(St_ky,Det+1)*B1025</f>
      </c>
      <c r="F1025" s="20">
        <f>IF(E1025&gt;0,IF(E1025&lt;=eco,alpha*fck*(1-(1-E1025/eco)^n),alpha*fck),0)</f>
      </c>
      <c r="G1025" s="19">
        <f>F1025*D1025</f>
      </c>
      <c r="H1025" s="19">
        <f>G1025*C1025</f>
      </c>
      <c r="I1025" s="19">
        <f>G1025*B1025</f>
      </c>
      <c r="K1025" s="37">
        <f>Eq_e0+Eq_kx*$C1025+Eq_ky*$B1025</f>
      </c>
      <c r="L1025" s="20">
        <f>IF(K1025&gt;0,IF(K1025&lt;=eco,alpha*fck*(1-(1-K1025/eco)^n),alpha*fck),0)</f>
      </c>
    </row>
    <row r="1026" spans="1:12" x14ac:dyDescent="0.25">
      <c r="A1026">
        <f>Mesh!A1023</f>
      </c>
      <c r="B1026" s="20">
        <f>Mesh!B1023</f>
      </c>
      <c r="C1026" s="20">
        <f>Mesh!C1023</f>
      </c>
      <c r="D1026" s="20">
        <f>Mesh!D1023</f>
      </c>
      <c r="E1026" s="37">
        <f>INDEX(St_e0,Det+1)+INDEX(St_kx,Det+1)*C1026+INDEX(St_ky,Det+1)*B1026</f>
      </c>
      <c r="F1026" s="20">
        <f>IF(E1026&gt;0,IF(E1026&lt;=eco,alpha*fck*(1-(1-E1026/eco)^n),alpha*fck),0)</f>
      </c>
      <c r="G1026" s="19">
        <f>F1026*D1026</f>
      </c>
      <c r="H1026" s="19">
        <f>G1026*C1026</f>
      </c>
      <c r="I1026" s="19">
        <f>G1026*B1026</f>
      </c>
      <c r="K1026" s="37">
        <f>Eq_e0+Eq_kx*$C1026+Eq_ky*$B1026</f>
      </c>
      <c r="L1026" s="20">
        <f>IF(K1026&gt;0,IF(K1026&lt;=eco,alpha*fck*(1-(1-K1026/eco)^n),alpha*fck),0)</f>
      </c>
    </row>
    <row r="1027" spans="1:12" x14ac:dyDescent="0.25">
      <c r="A1027">
        <f>Mesh!A1024</f>
      </c>
      <c r="B1027" s="20">
        <f>Mesh!B1024</f>
      </c>
      <c r="C1027" s="20">
        <f>Mesh!C1024</f>
      </c>
      <c r="D1027" s="20">
        <f>Mesh!D1024</f>
      </c>
      <c r="E1027" s="37">
        <f>INDEX(St_e0,Det+1)+INDEX(St_kx,Det+1)*C1027+INDEX(St_ky,Det+1)*B1027</f>
      </c>
      <c r="F1027" s="20">
        <f>IF(E1027&gt;0,IF(E1027&lt;=eco,alpha*fck*(1-(1-E1027/eco)^n),alpha*fck),0)</f>
      </c>
      <c r="G1027" s="19">
        <f>F1027*D1027</f>
      </c>
      <c r="H1027" s="19">
        <f>G1027*C1027</f>
      </c>
      <c r="I1027" s="19">
        <f>G1027*B1027</f>
      </c>
      <c r="K1027" s="37">
        <f>Eq_e0+Eq_kx*$C1027+Eq_ky*$B1027</f>
      </c>
      <c r="L1027" s="20">
        <f>IF(K1027&gt;0,IF(K1027&lt;=eco,alpha*fck*(1-(1-K1027/eco)^n),alpha*fck),0)</f>
      </c>
    </row>
    <row r="1028" spans="1:12" x14ac:dyDescent="0.25">
      <c r="A1028">
        <f>Mesh!A1025</f>
      </c>
      <c r="B1028" s="20">
        <f>Mesh!B1025</f>
      </c>
      <c r="C1028" s="20">
        <f>Mesh!C1025</f>
      </c>
      <c r="D1028" s="20">
        <f>Mesh!D1025</f>
      </c>
      <c r="E1028" s="37">
        <f>INDEX(St_e0,Det+1)+INDEX(St_kx,Det+1)*C1028+INDEX(St_ky,Det+1)*B1028</f>
      </c>
      <c r="F1028" s="20">
        <f>IF(E1028&gt;0,IF(E1028&lt;=eco,alpha*fck*(1-(1-E1028/eco)^n),alpha*fck),0)</f>
      </c>
      <c r="G1028" s="19">
        <f>F1028*D1028</f>
      </c>
      <c r="H1028" s="19">
        <f>G1028*C1028</f>
      </c>
      <c r="I1028" s="19">
        <f>G1028*B1028</f>
      </c>
      <c r="K1028" s="37">
        <f>Eq_e0+Eq_kx*$C1028+Eq_ky*$B1028</f>
      </c>
      <c r="L1028" s="20">
        <f>IF(K1028&gt;0,IF(K1028&lt;=eco,alpha*fck*(1-(1-K1028/eco)^n),alpha*fck),0)</f>
      </c>
    </row>
    <row r="1029" spans="1:12" x14ac:dyDescent="0.25">
      <c r="A1029">
        <f>Mesh!A1026</f>
      </c>
      <c r="B1029" s="20">
        <f>Mesh!B1026</f>
      </c>
      <c r="C1029" s="20">
        <f>Mesh!C1026</f>
      </c>
      <c r="D1029" s="20">
        <f>Mesh!D1026</f>
      </c>
      <c r="E1029" s="37">
        <f>INDEX(St_e0,Det+1)+INDEX(St_kx,Det+1)*C1029+INDEX(St_ky,Det+1)*B1029</f>
      </c>
      <c r="F1029" s="20">
        <f>IF(E1029&gt;0,IF(E1029&lt;=eco,alpha*fck*(1-(1-E1029/eco)^n),alpha*fck),0)</f>
      </c>
      <c r="G1029" s="19">
        <f>F1029*D1029</f>
      </c>
      <c r="H1029" s="19">
        <f>G1029*C1029</f>
      </c>
      <c r="I1029" s="19">
        <f>G1029*B1029</f>
      </c>
      <c r="K1029" s="37">
        <f>Eq_e0+Eq_kx*$C1029+Eq_ky*$B1029</f>
      </c>
      <c r="L1029" s="20">
        <f>IF(K1029&gt;0,IF(K1029&lt;=eco,alpha*fck*(1-(1-K1029/eco)^n),alpha*fck),0)</f>
      </c>
    </row>
    <row r="1030" spans="1:12" x14ac:dyDescent="0.25">
      <c r="A1030">
        <f>Mesh!A1027</f>
      </c>
      <c r="B1030" s="20">
        <f>Mesh!B1027</f>
      </c>
      <c r="C1030" s="20">
        <f>Mesh!C1027</f>
      </c>
      <c r="D1030" s="20">
        <f>Mesh!D1027</f>
      </c>
      <c r="E1030" s="37">
        <f>INDEX(St_e0,Det+1)+INDEX(St_kx,Det+1)*C1030+INDEX(St_ky,Det+1)*B1030</f>
      </c>
      <c r="F1030" s="20">
        <f>IF(E1030&gt;0,IF(E1030&lt;=eco,alpha*fck*(1-(1-E1030/eco)^n),alpha*fck),0)</f>
      </c>
      <c r="G1030" s="19">
        <f>F1030*D1030</f>
      </c>
      <c r="H1030" s="19">
        <f>G1030*C1030</f>
      </c>
      <c r="I1030" s="19">
        <f>G1030*B1030</f>
      </c>
      <c r="K1030" s="37">
        <f>Eq_e0+Eq_kx*$C1030+Eq_ky*$B1030</f>
      </c>
      <c r="L1030" s="20">
        <f>IF(K1030&gt;0,IF(K1030&lt;=eco,alpha*fck*(1-(1-K1030/eco)^n),alpha*fck),0)</f>
      </c>
    </row>
    <row r="1031" spans="1:12" x14ac:dyDescent="0.25">
      <c r="A1031">
        <f>Mesh!A1028</f>
      </c>
      <c r="B1031" s="20">
        <f>Mesh!B1028</f>
      </c>
      <c r="C1031" s="20">
        <f>Mesh!C1028</f>
      </c>
      <c r="D1031" s="20">
        <f>Mesh!D1028</f>
      </c>
      <c r="E1031" s="37">
        <f>INDEX(St_e0,Det+1)+INDEX(St_kx,Det+1)*C1031+INDEX(St_ky,Det+1)*B1031</f>
      </c>
      <c r="F1031" s="20">
        <f>IF(E1031&gt;0,IF(E1031&lt;=eco,alpha*fck*(1-(1-E1031/eco)^n),alpha*fck),0)</f>
      </c>
      <c r="G1031" s="19">
        <f>F1031*D1031</f>
      </c>
      <c r="H1031" s="19">
        <f>G1031*C1031</f>
      </c>
      <c r="I1031" s="19">
        <f>G1031*B1031</f>
      </c>
      <c r="K1031" s="37">
        <f>Eq_e0+Eq_kx*$C1031+Eq_ky*$B1031</f>
      </c>
      <c r="L1031" s="20">
        <f>IF(K1031&gt;0,IF(K1031&lt;=eco,alpha*fck*(1-(1-K1031/eco)^n),alpha*fck),0)</f>
      </c>
    </row>
    <row r="1032" spans="1:12" x14ac:dyDescent="0.25">
      <c r="A1032">
        <f>Mesh!A1029</f>
      </c>
      <c r="B1032" s="20">
        <f>Mesh!B1029</f>
      </c>
      <c r="C1032" s="20">
        <f>Mesh!C1029</f>
      </c>
      <c r="D1032" s="20">
        <f>Mesh!D1029</f>
      </c>
      <c r="E1032" s="37">
        <f>INDEX(St_e0,Det+1)+INDEX(St_kx,Det+1)*C1032+INDEX(St_ky,Det+1)*B1032</f>
      </c>
      <c r="F1032" s="20">
        <f>IF(E1032&gt;0,IF(E1032&lt;=eco,alpha*fck*(1-(1-E1032/eco)^n),alpha*fck),0)</f>
      </c>
      <c r="G1032" s="19">
        <f>F1032*D1032</f>
      </c>
      <c r="H1032" s="19">
        <f>G1032*C1032</f>
      </c>
      <c r="I1032" s="19">
        <f>G1032*B1032</f>
      </c>
      <c r="K1032" s="37">
        <f>Eq_e0+Eq_kx*$C1032+Eq_ky*$B1032</f>
      </c>
      <c r="L1032" s="20">
        <f>IF(K1032&gt;0,IF(K1032&lt;=eco,alpha*fck*(1-(1-K1032/eco)^n),alpha*fck),0)</f>
      </c>
    </row>
    <row r="1033" spans="1:12" x14ac:dyDescent="0.25">
      <c r="A1033">
        <f>Mesh!A1030</f>
      </c>
      <c r="B1033" s="20">
        <f>Mesh!B1030</f>
      </c>
      <c r="C1033" s="20">
        <f>Mesh!C1030</f>
      </c>
      <c r="D1033" s="20">
        <f>Mesh!D1030</f>
      </c>
      <c r="E1033" s="37">
        <f>INDEX(St_e0,Det+1)+INDEX(St_kx,Det+1)*C1033+INDEX(St_ky,Det+1)*B1033</f>
      </c>
      <c r="F1033" s="20">
        <f>IF(E1033&gt;0,IF(E1033&lt;=eco,alpha*fck*(1-(1-E1033/eco)^n),alpha*fck),0)</f>
      </c>
      <c r="G1033" s="19">
        <f>F1033*D1033</f>
      </c>
      <c r="H1033" s="19">
        <f>G1033*C1033</f>
      </c>
      <c r="I1033" s="19">
        <f>G1033*B1033</f>
      </c>
      <c r="K1033" s="37">
        <f>Eq_e0+Eq_kx*$C1033+Eq_ky*$B1033</f>
      </c>
      <c r="L1033" s="20">
        <f>IF(K1033&gt;0,IF(K1033&lt;=eco,alpha*fck*(1-(1-K1033/eco)^n),alpha*fck),0)</f>
      </c>
    </row>
    <row r="1034" spans="1:12" x14ac:dyDescent="0.25">
      <c r="A1034">
        <f>Mesh!A1031</f>
      </c>
      <c r="B1034" s="20">
        <f>Mesh!B1031</f>
      </c>
      <c r="C1034" s="20">
        <f>Mesh!C1031</f>
      </c>
      <c r="D1034" s="20">
        <f>Mesh!D1031</f>
      </c>
      <c r="E1034" s="37">
        <f>INDEX(St_e0,Det+1)+INDEX(St_kx,Det+1)*C1034+INDEX(St_ky,Det+1)*B1034</f>
      </c>
      <c r="F1034" s="20">
        <f>IF(E1034&gt;0,IF(E1034&lt;=eco,alpha*fck*(1-(1-E1034/eco)^n),alpha*fck),0)</f>
      </c>
      <c r="G1034" s="19">
        <f>F1034*D1034</f>
      </c>
      <c r="H1034" s="19">
        <f>G1034*C1034</f>
      </c>
      <c r="I1034" s="19">
        <f>G1034*B1034</f>
      </c>
      <c r="K1034" s="37">
        <f>Eq_e0+Eq_kx*$C1034+Eq_ky*$B1034</f>
      </c>
      <c r="L1034" s="20">
        <f>IF(K1034&gt;0,IF(K1034&lt;=eco,alpha*fck*(1-(1-K1034/eco)^n),alpha*fck),0)</f>
      </c>
    </row>
    <row r="1035" spans="1:12" x14ac:dyDescent="0.25">
      <c r="A1035">
        <f>Mesh!A1032</f>
      </c>
      <c r="B1035" s="20">
        <f>Mesh!B1032</f>
      </c>
      <c r="C1035" s="20">
        <f>Mesh!C1032</f>
      </c>
      <c r="D1035" s="20">
        <f>Mesh!D1032</f>
      </c>
      <c r="E1035" s="37">
        <f>INDEX(St_e0,Det+1)+INDEX(St_kx,Det+1)*C1035+INDEX(St_ky,Det+1)*B1035</f>
      </c>
      <c r="F1035" s="20">
        <f>IF(E1035&gt;0,IF(E1035&lt;=eco,alpha*fck*(1-(1-E1035/eco)^n),alpha*fck),0)</f>
      </c>
      <c r="G1035" s="19">
        <f>F1035*D1035</f>
      </c>
      <c r="H1035" s="19">
        <f>G1035*C1035</f>
      </c>
      <c r="I1035" s="19">
        <f>G1035*B1035</f>
      </c>
      <c r="K1035" s="37">
        <f>Eq_e0+Eq_kx*$C1035+Eq_ky*$B1035</f>
      </c>
      <c r="L1035" s="20">
        <f>IF(K1035&gt;0,IF(K1035&lt;=eco,alpha*fck*(1-(1-K1035/eco)^n),alpha*fck),0)</f>
      </c>
    </row>
    <row r="1036" spans="1:12" x14ac:dyDescent="0.25">
      <c r="A1036">
        <f>Mesh!A1033</f>
      </c>
      <c r="B1036" s="20">
        <f>Mesh!B1033</f>
      </c>
      <c r="C1036" s="20">
        <f>Mesh!C1033</f>
      </c>
      <c r="D1036" s="20">
        <f>Mesh!D1033</f>
      </c>
      <c r="E1036" s="37">
        <f>INDEX(St_e0,Det+1)+INDEX(St_kx,Det+1)*C1036+INDEX(St_ky,Det+1)*B1036</f>
      </c>
      <c r="F1036" s="20">
        <f>IF(E1036&gt;0,IF(E1036&lt;=eco,alpha*fck*(1-(1-E1036/eco)^n),alpha*fck),0)</f>
      </c>
      <c r="G1036" s="19">
        <f>F1036*D1036</f>
      </c>
      <c r="H1036" s="19">
        <f>G1036*C1036</f>
      </c>
      <c r="I1036" s="19">
        <f>G1036*B1036</f>
      </c>
      <c r="K1036" s="37">
        <f>Eq_e0+Eq_kx*$C1036+Eq_ky*$B1036</f>
      </c>
      <c r="L1036" s="20">
        <f>IF(K1036&gt;0,IF(K1036&lt;=eco,alpha*fck*(1-(1-K1036/eco)^n),alpha*fck),0)</f>
      </c>
    </row>
    <row r="1037" spans="1:12" x14ac:dyDescent="0.25">
      <c r="A1037">
        <f>Mesh!A1034</f>
      </c>
      <c r="B1037" s="20">
        <f>Mesh!B1034</f>
      </c>
      <c r="C1037" s="20">
        <f>Mesh!C1034</f>
      </c>
      <c r="D1037" s="20">
        <f>Mesh!D1034</f>
      </c>
      <c r="E1037" s="37">
        <f>INDEX(St_e0,Det+1)+INDEX(St_kx,Det+1)*C1037+INDEX(St_ky,Det+1)*B1037</f>
      </c>
      <c r="F1037" s="20">
        <f>IF(E1037&gt;0,IF(E1037&lt;=eco,alpha*fck*(1-(1-E1037/eco)^n),alpha*fck),0)</f>
      </c>
      <c r="G1037" s="19">
        <f>F1037*D1037</f>
      </c>
      <c r="H1037" s="19">
        <f>G1037*C1037</f>
      </c>
      <c r="I1037" s="19">
        <f>G1037*B1037</f>
      </c>
      <c r="K1037" s="37">
        <f>Eq_e0+Eq_kx*$C1037+Eq_ky*$B1037</f>
      </c>
      <c r="L1037" s="20">
        <f>IF(K1037&gt;0,IF(K1037&lt;=eco,alpha*fck*(1-(1-K1037/eco)^n),alpha*fck),0)</f>
      </c>
    </row>
    <row r="1038" spans="1:12" x14ac:dyDescent="0.25">
      <c r="A1038">
        <f>Mesh!A1035</f>
      </c>
      <c r="B1038" s="20">
        <f>Mesh!B1035</f>
      </c>
      <c r="C1038" s="20">
        <f>Mesh!C1035</f>
      </c>
      <c r="D1038" s="20">
        <f>Mesh!D1035</f>
      </c>
      <c r="E1038" s="37">
        <f>INDEX(St_e0,Det+1)+INDEX(St_kx,Det+1)*C1038+INDEX(St_ky,Det+1)*B1038</f>
      </c>
      <c r="F1038" s="20">
        <f>IF(E1038&gt;0,IF(E1038&lt;=eco,alpha*fck*(1-(1-E1038/eco)^n),alpha*fck),0)</f>
      </c>
      <c r="G1038" s="19">
        <f>F1038*D1038</f>
      </c>
      <c r="H1038" s="19">
        <f>G1038*C1038</f>
      </c>
      <c r="I1038" s="19">
        <f>G1038*B1038</f>
      </c>
      <c r="K1038" s="37">
        <f>Eq_e0+Eq_kx*$C1038+Eq_ky*$B1038</f>
      </c>
      <c r="L1038" s="20">
        <f>IF(K1038&gt;0,IF(K1038&lt;=eco,alpha*fck*(1-(1-K1038/eco)^n),alpha*fck),0)</f>
      </c>
    </row>
    <row r="1039" spans="1:12" x14ac:dyDescent="0.25">
      <c r="A1039">
        <f>Mesh!A1036</f>
      </c>
      <c r="B1039" s="20">
        <f>Mesh!B1036</f>
      </c>
      <c r="C1039" s="20">
        <f>Mesh!C1036</f>
      </c>
      <c r="D1039" s="20">
        <f>Mesh!D1036</f>
      </c>
      <c r="E1039" s="37">
        <f>INDEX(St_e0,Det+1)+INDEX(St_kx,Det+1)*C1039+INDEX(St_ky,Det+1)*B1039</f>
      </c>
      <c r="F1039" s="20">
        <f>IF(E1039&gt;0,IF(E1039&lt;=eco,alpha*fck*(1-(1-E1039/eco)^n),alpha*fck),0)</f>
      </c>
      <c r="G1039" s="19">
        <f>F1039*D1039</f>
      </c>
      <c r="H1039" s="19">
        <f>G1039*C1039</f>
      </c>
      <c r="I1039" s="19">
        <f>G1039*B1039</f>
      </c>
      <c r="K1039" s="37">
        <f>Eq_e0+Eq_kx*$C1039+Eq_ky*$B1039</f>
      </c>
      <c r="L1039" s="20">
        <f>IF(K1039&gt;0,IF(K1039&lt;=eco,alpha*fck*(1-(1-K1039/eco)^n),alpha*fck),0)</f>
      </c>
    </row>
    <row r="1040" spans="1:12" x14ac:dyDescent="0.25">
      <c r="A1040">
        <f>Mesh!A1037</f>
      </c>
      <c r="B1040" s="20">
        <f>Mesh!B1037</f>
      </c>
      <c r="C1040" s="20">
        <f>Mesh!C1037</f>
      </c>
      <c r="D1040" s="20">
        <f>Mesh!D1037</f>
      </c>
      <c r="E1040" s="37">
        <f>INDEX(St_e0,Det+1)+INDEX(St_kx,Det+1)*C1040+INDEX(St_ky,Det+1)*B1040</f>
      </c>
      <c r="F1040" s="20">
        <f>IF(E1040&gt;0,IF(E1040&lt;=eco,alpha*fck*(1-(1-E1040/eco)^n),alpha*fck),0)</f>
      </c>
      <c r="G1040" s="19">
        <f>F1040*D1040</f>
      </c>
      <c r="H1040" s="19">
        <f>G1040*C1040</f>
      </c>
      <c r="I1040" s="19">
        <f>G1040*B1040</f>
      </c>
      <c r="K1040" s="37">
        <f>Eq_e0+Eq_kx*$C1040+Eq_ky*$B1040</f>
      </c>
      <c r="L1040" s="20">
        <f>IF(K1040&gt;0,IF(K1040&lt;=eco,alpha*fck*(1-(1-K1040/eco)^n),alpha*fck),0)</f>
      </c>
    </row>
    <row r="1041" spans="1:12" x14ac:dyDescent="0.25">
      <c r="A1041">
        <f>Mesh!A1038</f>
      </c>
      <c r="B1041" s="20">
        <f>Mesh!B1038</f>
      </c>
      <c r="C1041" s="20">
        <f>Mesh!C1038</f>
      </c>
      <c r="D1041" s="20">
        <f>Mesh!D1038</f>
      </c>
      <c r="E1041" s="37">
        <f>INDEX(St_e0,Det+1)+INDEX(St_kx,Det+1)*C1041+INDEX(St_ky,Det+1)*B1041</f>
      </c>
      <c r="F1041" s="20">
        <f>IF(E1041&gt;0,IF(E1041&lt;=eco,alpha*fck*(1-(1-E1041/eco)^n),alpha*fck),0)</f>
      </c>
      <c r="G1041" s="19">
        <f>F1041*D1041</f>
      </c>
      <c r="H1041" s="19">
        <f>G1041*C1041</f>
      </c>
      <c r="I1041" s="19">
        <f>G1041*B1041</f>
      </c>
      <c r="K1041" s="37">
        <f>Eq_e0+Eq_kx*$C1041+Eq_ky*$B1041</f>
      </c>
      <c r="L1041" s="20">
        <f>IF(K1041&gt;0,IF(K1041&lt;=eco,alpha*fck*(1-(1-K1041/eco)^n),alpha*fck),0)</f>
      </c>
    </row>
    <row r="1042" spans="1:12" x14ac:dyDescent="0.25">
      <c r="A1042">
        <f>Mesh!A1039</f>
      </c>
      <c r="B1042" s="20">
        <f>Mesh!B1039</f>
      </c>
      <c r="C1042" s="20">
        <f>Mesh!C1039</f>
      </c>
      <c r="D1042" s="20">
        <f>Mesh!D1039</f>
      </c>
      <c r="E1042" s="37">
        <f>INDEX(St_e0,Det+1)+INDEX(St_kx,Det+1)*C1042+INDEX(St_ky,Det+1)*B1042</f>
      </c>
      <c r="F1042" s="20">
        <f>IF(E1042&gt;0,IF(E1042&lt;=eco,alpha*fck*(1-(1-E1042/eco)^n),alpha*fck),0)</f>
      </c>
      <c r="G1042" s="19">
        <f>F1042*D1042</f>
      </c>
      <c r="H1042" s="19">
        <f>G1042*C1042</f>
      </c>
      <c r="I1042" s="19">
        <f>G1042*B1042</f>
      </c>
      <c r="K1042" s="37">
        <f>Eq_e0+Eq_kx*$C1042+Eq_ky*$B1042</f>
      </c>
      <c r="L1042" s="20">
        <f>IF(K1042&gt;0,IF(K1042&lt;=eco,alpha*fck*(1-(1-K1042/eco)^n),alpha*fck),0)</f>
      </c>
    </row>
    <row r="1043" spans="1:12" x14ac:dyDescent="0.25">
      <c r="A1043">
        <f>Mesh!A1040</f>
      </c>
      <c r="B1043" s="20">
        <f>Mesh!B1040</f>
      </c>
      <c r="C1043" s="20">
        <f>Mesh!C1040</f>
      </c>
      <c r="D1043" s="20">
        <f>Mesh!D1040</f>
      </c>
      <c r="E1043" s="37">
        <f>INDEX(St_e0,Det+1)+INDEX(St_kx,Det+1)*C1043+INDEX(St_ky,Det+1)*B1043</f>
      </c>
      <c r="F1043" s="20">
        <f>IF(E1043&gt;0,IF(E1043&lt;=eco,alpha*fck*(1-(1-E1043/eco)^n),alpha*fck),0)</f>
      </c>
      <c r="G1043" s="19">
        <f>F1043*D1043</f>
      </c>
      <c r="H1043" s="19">
        <f>G1043*C1043</f>
      </c>
      <c r="I1043" s="19">
        <f>G1043*B1043</f>
      </c>
      <c r="K1043" s="37">
        <f>Eq_e0+Eq_kx*$C1043+Eq_ky*$B1043</f>
      </c>
      <c r="L1043" s="20">
        <f>IF(K1043&gt;0,IF(K1043&lt;=eco,alpha*fck*(1-(1-K1043/eco)^n),alpha*fck),0)</f>
      </c>
    </row>
    <row r="1044" spans="1:12" x14ac:dyDescent="0.25">
      <c r="A1044">
        <f>Mesh!A1041</f>
      </c>
      <c r="B1044" s="20">
        <f>Mesh!B1041</f>
      </c>
      <c r="C1044" s="20">
        <f>Mesh!C1041</f>
      </c>
      <c r="D1044" s="20">
        <f>Mesh!D1041</f>
      </c>
      <c r="E1044" s="37">
        <f>INDEX(St_e0,Det+1)+INDEX(St_kx,Det+1)*C1044+INDEX(St_ky,Det+1)*B1044</f>
      </c>
      <c r="F1044" s="20">
        <f>IF(E1044&gt;0,IF(E1044&lt;=eco,alpha*fck*(1-(1-E1044/eco)^n),alpha*fck),0)</f>
      </c>
      <c r="G1044" s="19">
        <f>F1044*D1044</f>
      </c>
      <c r="H1044" s="19">
        <f>G1044*C1044</f>
      </c>
      <c r="I1044" s="19">
        <f>G1044*B1044</f>
      </c>
      <c r="K1044" s="37">
        <f>Eq_e0+Eq_kx*$C1044+Eq_ky*$B1044</f>
      </c>
      <c r="L1044" s="20">
        <f>IF(K1044&gt;0,IF(K1044&lt;=eco,alpha*fck*(1-(1-K1044/eco)^n),alpha*fck),0)</f>
      </c>
    </row>
    <row r="1045" spans="1:12" x14ac:dyDescent="0.25">
      <c r="A1045">
        <f>Mesh!A1042</f>
      </c>
      <c r="B1045" s="20">
        <f>Mesh!B1042</f>
      </c>
      <c r="C1045" s="20">
        <f>Mesh!C1042</f>
      </c>
      <c r="D1045" s="20">
        <f>Mesh!D1042</f>
      </c>
      <c r="E1045" s="37">
        <f>INDEX(St_e0,Det+1)+INDEX(St_kx,Det+1)*C1045+INDEX(St_ky,Det+1)*B1045</f>
      </c>
      <c r="F1045" s="20">
        <f>IF(E1045&gt;0,IF(E1045&lt;=eco,alpha*fck*(1-(1-E1045/eco)^n),alpha*fck),0)</f>
      </c>
      <c r="G1045" s="19">
        <f>F1045*D1045</f>
      </c>
      <c r="H1045" s="19">
        <f>G1045*C1045</f>
      </c>
      <c r="I1045" s="19">
        <f>G1045*B1045</f>
      </c>
      <c r="K1045" s="37">
        <f>Eq_e0+Eq_kx*$C1045+Eq_ky*$B1045</f>
      </c>
      <c r="L1045" s="20">
        <f>IF(K1045&gt;0,IF(K1045&lt;=eco,alpha*fck*(1-(1-K1045/eco)^n),alpha*fck),0)</f>
      </c>
    </row>
    <row r="1046" spans="1:12" x14ac:dyDescent="0.25">
      <c r="A1046">
        <f>Mesh!A1043</f>
      </c>
      <c r="B1046" s="20">
        <f>Mesh!B1043</f>
      </c>
      <c r="C1046" s="20">
        <f>Mesh!C1043</f>
      </c>
      <c r="D1046" s="20">
        <f>Mesh!D1043</f>
      </c>
      <c r="E1046" s="37">
        <f>INDEX(St_e0,Det+1)+INDEX(St_kx,Det+1)*C1046+INDEX(St_ky,Det+1)*B1046</f>
      </c>
      <c r="F1046" s="20">
        <f>IF(E1046&gt;0,IF(E1046&lt;=eco,alpha*fck*(1-(1-E1046/eco)^n),alpha*fck),0)</f>
      </c>
      <c r="G1046" s="19">
        <f>F1046*D1046</f>
      </c>
      <c r="H1046" s="19">
        <f>G1046*C1046</f>
      </c>
      <c r="I1046" s="19">
        <f>G1046*B1046</f>
      </c>
      <c r="K1046" s="37">
        <f>Eq_e0+Eq_kx*$C1046+Eq_ky*$B1046</f>
      </c>
      <c r="L1046" s="20">
        <f>IF(K1046&gt;0,IF(K1046&lt;=eco,alpha*fck*(1-(1-K1046/eco)^n),alpha*fck),0)</f>
      </c>
    </row>
    <row r="1047" spans="1:12" x14ac:dyDescent="0.25">
      <c r="A1047">
        <f>Mesh!A1044</f>
      </c>
      <c r="B1047" s="20">
        <f>Mesh!B1044</f>
      </c>
      <c r="C1047" s="20">
        <f>Mesh!C1044</f>
      </c>
      <c r="D1047" s="20">
        <f>Mesh!D1044</f>
      </c>
      <c r="E1047" s="37">
        <f>INDEX(St_e0,Det+1)+INDEX(St_kx,Det+1)*C1047+INDEX(St_ky,Det+1)*B1047</f>
      </c>
      <c r="F1047" s="20">
        <f>IF(E1047&gt;0,IF(E1047&lt;=eco,alpha*fck*(1-(1-E1047/eco)^n),alpha*fck),0)</f>
      </c>
      <c r="G1047" s="19">
        <f>F1047*D1047</f>
      </c>
      <c r="H1047" s="19">
        <f>G1047*C1047</f>
      </c>
      <c r="I1047" s="19">
        <f>G1047*B1047</f>
      </c>
      <c r="K1047" s="37">
        <f>Eq_e0+Eq_kx*$C1047+Eq_ky*$B1047</f>
      </c>
      <c r="L1047" s="20">
        <f>IF(K1047&gt;0,IF(K1047&lt;=eco,alpha*fck*(1-(1-K1047/eco)^n),alpha*fck),0)</f>
      </c>
    </row>
    <row r="1048" spans="1:12" x14ac:dyDescent="0.25">
      <c r="A1048">
        <f>Mesh!A1045</f>
      </c>
      <c r="B1048" s="20">
        <f>Mesh!B1045</f>
      </c>
      <c r="C1048" s="20">
        <f>Mesh!C1045</f>
      </c>
      <c r="D1048" s="20">
        <f>Mesh!D1045</f>
      </c>
      <c r="E1048" s="37">
        <f>INDEX(St_e0,Det+1)+INDEX(St_kx,Det+1)*C1048+INDEX(St_ky,Det+1)*B1048</f>
      </c>
      <c r="F1048" s="20">
        <f>IF(E1048&gt;0,IF(E1048&lt;=eco,alpha*fck*(1-(1-E1048/eco)^n),alpha*fck),0)</f>
      </c>
      <c r="G1048" s="19">
        <f>F1048*D1048</f>
      </c>
      <c r="H1048" s="19">
        <f>G1048*C1048</f>
      </c>
      <c r="I1048" s="19">
        <f>G1048*B1048</f>
      </c>
      <c r="K1048" s="37">
        <f>Eq_e0+Eq_kx*$C1048+Eq_ky*$B1048</f>
      </c>
      <c r="L1048" s="20">
        <f>IF(K1048&gt;0,IF(K1048&lt;=eco,alpha*fck*(1-(1-K1048/eco)^n),alpha*fck),0)</f>
      </c>
    </row>
    <row r="1049" spans="1:12" x14ac:dyDescent="0.25">
      <c r="A1049">
        <f>Mesh!A1046</f>
      </c>
      <c r="B1049" s="20">
        <f>Mesh!B1046</f>
      </c>
      <c r="C1049" s="20">
        <f>Mesh!C1046</f>
      </c>
      <c r="D1049" s="20">
        <f>Mesh!D1046</f>
      </c>
      <c r="E1049" s="37">
        <f>INDEX(St_e0,Det+1)+INDEX(St_kx,Det+1)*C1049+INDEX(St_ky,Det+1)*B1049</f>
      </c>
      <c r="F1049" s="20">
        <f>IF(E1049&gt;0,IF(E1049&lt;=eco,alpha*fck*(1-(1-E1049/eco)^n),alpha*fck),0)</f>
      </c>
      <c r="G1049" s="19">
        <f>F1049*D1049</f>
      </c>
      <c r="H1049" s="19">
        <f>G1049*C1049</f>
      </c>
      <c r="I1049" s="19">
        <f>G1049*B1049</f>
      </c>
      <c r="K1049" s="37">
        <f>Eq_e0+Eq_kx*$C1049+Eq_ky*$B1049</f>
      </c>
      <c r="L1049" s="20">
        <f>IF(K1049&gt;0,IF(K1049&lt;=eco,alpha*fck*(1-(1-K1049/eco)^n),alpha*fck),0)</f>
      </c>
    </row>
    <row r="1050" spans="1:12" x14ac:dyDescent="0.25">
      <c r="A1050">
        <f>Mesh!A1047</f>
      </c>
      <c r="B1050" s="20">
        <f>Mesh!B1047</f>
      </c>
      <c r="C1050" s="20">
        <f>Mesh!C1047</f>
      </c>
      <c r="D1050" s="20">
        <f>Mesh!D1047</f>
      </c>
      <c r="E1050" s="37">
        <f>INDEX(St_e0,Det+1)+INDEX(St_kx,Det+1)*C1050+INDEX(St_ky,Det+1)*B1050</f>
      </c>
      <c r="F1050" s="20">
        <f>IF(E1050&gt;0,IF(E1050&lt;=eco,alpha*fck*(1-(1-E1050/eco)^n),alpha*fck),0)</f>
      </c>
      <c r="G1050" s="19">
        <f>F1050*D1050</f>
      </c>
      <c r="H1050" s="19">
        <f>G1050*C1050</f>
      </c>
      <c r="I1050" s="19">
        <f>G1050*B1050</f>
      </c>
      <c r="K1050" s="37">
        <f>Eq_e0+Eq_kx*$C1050+Eq_ky*$B1050</f>
      </c>
      <c r="L1050" s="20">
        <f>IF(K1050&gt;0,IF(K1050&lt;=eco,alpha*fck*(1-(1-K1050/eco)^n),alpha*fck),0)</f>
      </c>
    </row>
    <row r="1051" spans="1:12" x14ac:dyDescent="0.25">
      <c r="A1051">
        <f>Mesh!A1048</f>
      </c>
      <c r="B1051" s="20">
        <f>Mesh!B1048</f>
      </c>
      <c r="C1051" s="20">
        <f>Mesh!C1048</f>
      </c>
      <c r="D1051" s="20">
        <f>Mesh!D1048</f>
      </c>
      <c r="E1051" s="37">
        <f>INDEX(St_e0,Det+1)+INDEX(St_kx,Det+1)*C1051+INDEX(St_ky,Det+1)*B1051</f>
      </c>
      <c r="F1051" s="20">
        <f>IF(E1051&gt;0,IF(E1051&lt;=eco,alpha*fck*(1-(1-E1051/eco)^n),alpha*fck),0)</f>
      </c>
      <c r="G1051" s="19">
        <f>F1051*D1051</f>
      </c>
      <c r="H1051" s="19">
        <f>G1051*C1051</f>
      </c>
      <c r="I1051" s="19">
        <f>G1051*B1051</f>
      </c>
      <c r="K1051" s="37">
        <f>Eq_e0+Eq_kx*$C1051+Eq_ky*$B1051</f>
      </c>
      <c r="L1051" s="20">
        <f>IF(K1051&gt;0,IF(K1051&lt;=eco,alpha*fck*(1-(1-K1051/eco)^n),alpha*fck),0)</f>
      </c>
    </row>
    <row r="1052" spans="1:12" x14ac:dyDescent="0.25">
      <c r="A1052">
        <f>Mesh!A1049</f>
      </c>
      <c r="B1052" s="20">
        <f>Mesh!B1049</f>
      </c>
      <c r="C1052" s="20">
        <f>Mesh!C1049</f>
      </c>
      <c r="D1052" s="20">
        <f>Mesh!D1049</f>
      </c>
      <c r="E1052" s="37">
        <f>INDEX(St_e0,Det+1)+INDEX(St_kx,Det+1)*C1052+INDEX(St_ky,Det+1)*B1052</f>
      </c>
      <c r="F1052" s="20">
        <f>IF(E1052&gt;0,IF(E1052&lt;=eco,alpha*fck*(1-(1-E1052/eco)^n),alpha*fck),0)</f>
      </c>
      <c r="G1052" s="19">
        <f>F1052*D1052</f>
      </c>
      <c r="H1052" s="19">
        <f>G1052*C1052</f>
      </c>
      <c r="I1052" s="19">
        <f>G1052*B1052</f>
      </c>
      <c r="K1052" s="37">
        <f>Eq_e0+Eq_kx*$C1052+Eq_ky*$B1052</f>
      </c>
      <c r="L1052" s="20">
        <f>IF(K1052&gt;0,IF(K1052&lt;=eco,alpha*fck*(1-(1-K1052/eco)^n),alpha*fck),0)</f>
      </c>
    </row>
    <row r="1053" spans="1:12" x14ac:dyDescent="0.25">
      <c r="A1053">
        <f>Mesh!A1050</f>
      </c>
      <c r="B1053" s="20">
        <f>Mesh!B1050</f>
      </c>
      <c r="C1053" s="20">
        <f>Mesh!C1050</f>
      </c>
      <c r="D1053" s="20">
        <f>Mesh!D1050</f>
      </c>
      <c r="E1053" s="37">
        <f>INDEX(St_e0,Det+1)+INDEX(St_kx,Det+1)*C1053+INDEX(St_ky,Det+1)*B1053</f>
      </c>
      <c r="F1053" s="20">
        <f>IF(E1053&gt;0,IF(E1053&lt;=eco,alpha*fck*(1-(1-E1053/eco)^n),alpha*fck),0)</f>
      </c>
      <c r="G1053" s="19">
        <f>F1053*D1053</f>
      </c>
      <c r="H1053" s="19">
        <f>G1053*C1053</f>
      </c>
      <c r="I1053" s="19">
        <f>G1053*B1053</f>
      </c>
      <c r="K1053" s="37">
        <f>Eq_e0+Eq_kx*$C1053+Eq_ky*$B1053</f>
      </c>
      <c r="L1053" s="20">
        <f>IF(K1053&gt;0,IF(K1053&lt;=eco,alpha*fck*(1-(1-K1053/eco)^n),alpha*fck),0)</f>
      </c>
    </row>
    <row r="1054" spans="1:12" x14ac:dyDescent="0.25">
      <c r="A1054">
        <f>Mesh!A1051</f>
      </c>
      <c r="B1054" s="20">
        <f>Mesh!B1051</f>
      </c>
      <c r="C1054" s="20">
        <f>Mesh!C1051</f>
      </c>
      <c r="D1054" s="20">
        <f>Mesh!D1051</f>
      </c>
      <c r="E1054" s="37">
        <f>INDEX(St_e0,Det+1)+INDEX(St_kx,Det+1)*C1054+INDEX(St_ky,Det+1)*B1054</f>
      </c>
      <c r="F1054" s="20">
        <f>IF(E1054&gt;0,IF(E1054&lt;=eco,alpha*fck*(1-(1-E1054/eco)^n),alpha*fck),0)</f>
      </c>
      <c r="G1054" s="19">
        <f>F1054*D1054</f>
      </c>
      <c r="H1054" s="19">
        <f>G1054*C1054</f>
      </c>
      <c r="I1054" s="19">
        <f>G1054*B1054</f>
      </c>
      <c r="K1054" s="37">
        <f>Eq_e0+Eq_kx*$C1054+Eq_ky*$B1054</f>
      </c>
      <c r="L1054" s="20">
        <f>IF(K1054&gt;0,IF(K1054&lt;=eco,alpha*fck*(1-(1-K1054/eco)^n),alpha*fck),0)</f>
      </c>
    </row>
    <row r="1055" spans="1:12" x14ac:dyDescent="0.25">
      <c r="A1055">
        <f>Mesh!A1052</f>
      </c>
      <c r="B1055" s="20">
        <f>Mesh!B1052</f>
      </c>
      <c r="C1055" s="20">
        <f>Mesh!C1052</f>
      </c>
      <c r="D1055" s="20">
        <f>Mesh!D1052</f>
      </c>
      <c r="E1055" s="37">
        <f>INDEX(St_e0,Det+1)+INDEX(St_kx,Det+1)*C1055+INDEX(St_ky,Det+1)*B1055</f>
      </c>
      <c r="F1055" s="20">
        <f>IF(E1055&gt;0,IF(E1055&lt;=eco,alpha*fck*(1-(1-E1055/eco)^n),alpha*fck),0)</f>
      </c>
      <c r="G1055" s="19">
        <f>F1055*D1055</f>
      </c>
      <c r="H1055" s="19">
        <f>G1055*C1055</f>
      </c>
      <c r="I1055" s="19">
        <f>G1055*B1055</f>
      </c>
      <c r="K1055" s="37">
        <f>Eq_e0+Eq_kx*$C1055+Eq_ky*$B1055</f>
      </c>
      <c r="L1055" s="20">
        <f>IF(K1055&gt;0,IF(K1055&lt;=eco,alpha*fck*(1-(1-K1055/eco)^n),alpha*fck),0)</f>
      </c>
    </row>
    <row r="1056" spans="1:12" x14ac:dyDescent="0.25">
      <c r="A1056">
        <f>Mesh!A1053</f>
      </c>
      <c r="B1056" s="20">
        <f>Mesh!B1053</f>
      </c>
      <c r="C1056" s="20">
        <f>Mesh!C1053</f>
      </c>
      <c r="D1056" s="20">
        <f>Mesh!D1053</f>
      </c>
      <c r="E1056" s="37">
        <f>INDEX(St_e0,Det+1)+INDEX(St_kx,Det+1)*C1056+INDEX(St_ky,Det+1)*B1056</f>
      </c>
      <c r="F1056" s="20">
        <f>IF(E1056&gt;0,IF(E1056&lt;=eco,alpha*fck*(1-(1-E1056/eco)^n),alpha*fck),0)</f>
      </c>
      <c r="G1056" s="19">
        <f>F1056*D1056</f>
      </c>
      <c r="H1056" s="19">
        <f>G1056*C1056</f>
      </c>
      <c r="I1056" s="19">
        <f>G1056*B1056</f>
      </c>
      <c r="K1056" s="37">
        <f>Eq_e0+Eq_kx*$C1056+Eq_ky*$B1056</f>
      </c>
      <c r="L1056" s="20">
        <f>IF(K1056&gt;0,IF(K1056&lt;=eco,alpha*fck*(1-(1-K1056/eco)^n),alpha*fck),0)</f>
      </c>
    </row>
    <row r="1057" spans="1:12" x14ac:dyDescent="0.25">
      <c r="A1057">
        <f>Mesh!A1054</f>
      </c>
      <c r="B1057" s="20">
        <f>Mesh!B1054</f>
      </c>
      <c r="C1057" s="20">
        <f>Mesh!C1054</f>
      </c>
      <c r="D1057" s="20">
        <f>Mesh!D1054</f>
      </c>
      <c r="E1057" s="37">
        <f>INDEX(St_e0,Det+1)+INDEX(St_kx,Det+1)*C1057+INDEX(St_ky,Det+1)*B1057</f>
      </c>
      <c r="F1057" s="20">
        <f>IF(E1057&gt;0,IF(E1057&lt;=eco,alpha*fck*(1-(1-E1057/eco)^n),alpha*fck),0)</f>
      </c>
      <c r="G1057" s="19">
        <f>F1057*D1057</f>
      </c>
      <c r="H1057" s="19">
        <f>G1057*C1057</f>
      </c>
      <c r="I1057" s="19">
        <f>G1057*B1057</f>
      </c>
      <c r="K1057" s="37">
        <f>Eq_e0+Eq_kx*$C1057+Eq_ky*$B1057</f>
      </c>
      <c r="L1057" s="20">
        <f>IF(K1057&gt;0,IF(K1057&lt;=eco,alpha*fck*(1-(1-K1057/eco)^n),alpha*fck),0)</f>
      </c>
    </row>
    <row r="1058" spans="1:12" x14ac:dyDescent="0.25">
      <c r="A1058">
        <f>Mesh!A1055</f>
      </c>
      <c r="B1058" s="20">
        <f>Mesh!B1055</f>
      </c>
      <c r="C1058" s="20">
        <f>Mesh!C1055</f>
      </c>
      <c r="D1058" s="20">
        <f>Mesh!D1055</f>
      </c>
      <c r="E1058" s="37">
        <f>INDEX(St_e0,Det+1)+INDEX(St_kx,Det+1)*C1058+INDEX(St_ky,Det+1)*B1058</f>
      </c>
      <c r="F1058" s="20">
        <f>IF(E1058&gt;0,IF(E1058&lt;=eco,alpha*fck*(1-(1-E1058/eco)^n),alpha*fck),0)</f>
      </c>
      <c r="G1058" s="19">
        <f>F1058*D1058</f>
      </c>
      <c r="H1058" s="19">
        <f>G1058*C1058</f>
      </c>
      <c r="I1058" s="19">
        <f>G1058*B1058</f>
      </c>
      <c r="K1058" s="37">
        <f>Eq_e0+Eq_kx*$C1058+Eq_ky*$B1058</f>
      </c>
      <c r="L1058" s="20">
        <f>IF(K1058&gt;0,IF(K1058&lt;=eco,alpha*fck*(1-(1-K1058/eco)^n),alpha*fck),0)</f>
      </c>
    </row>
    <row r="1059" spans="1:12" x14ac:dyDescent="0.25">
      <c r="A1059">
        <f>Mesh!A1056</f>
      </c>
      <c r="B1059" s="20">
        <f>Mesh!B1056</f>
      </c>
      <c r="C1059" s="20">
        <f>Mesh!C1056</f>
      </c>
      <c r="D1059" s="20">
        <f>Mesh!D1056</f>
      </c>
      <c r="E1059" s="37">
        <f>INDEX(St_e0,Det+1)+INDEX(St_kx,Det+1)*C1059+INDEX(St_ky,Det+1)*B1059</f>
      </c>
      <c r="F1059" s="20">
        <f>IF(E1059&gt;0,IF(E1059&lt;=eco,alpha*fck*(1-(1-E1059/eco)^n),alpha*fck),0)</f>
      </c>
      <c r="G1059" s="19">
        <f>F1059*D1059</f>
      </c>
      <c r="H1059" s="19">
        <f>G1059*C1059</f>
      </c>
      <c r="I1059" s="19">
        <f>G1059*B1059</f>
      </c>
      <c r="K1059" s="37">
        <f>Eq_e0+Eq_kx*$C1059+Eq_ky*$B1059</f>
      </c>
      <c r="L1059" s="20">
        <f>IF(K1059&gt;0,IF(K1059&lt;=eco,alpha*fck*(1-(1-K1059/eco)^n),alpha*fck),0)</f>
      </c>
    </row>
    <row r="1060" spans="1:12" x14ac:dyDescent="0.25">
      <c r="A1060">
        <f>Mesh!A1057</f>
      </c>
      <c r="B1060" s="20">
        <f>Mesh!B1057</f>
      </c>
      <c r="C1060" s="20">
        <f>Mesh!C1057</f>
      </c>
      <c r="D1060" s="20">
        <f>Mesh!D1057</f>
      </c>
      <c r="E1060" s="37">
        <f>INDEX(St_e0,Det+1)+INDEX(St_kx,Det+1)*C1060+INDEX(St_ky,Det+1)*B1060</f>
      </c>
      <c r="F1060" s="20">
        <f>IF(E1060&gt;0,IF(E1060&lt;=eco,alpha*fck*(1-(1-E1060/eco)^n),alpha*fck),0)</f>
      </c>
      <c r="G1060" s="19">
        <f>F1060*D1060</f>
      </c>
      <c r="H1060" s="19">
        <f>G1060*C1060</f>
      </c>
      <c r="I1060" s="19">
        <f>G1060*B1060</f>
      </c>
      <c r="K1060" s="37">
        <f>Eq_e0+Eq_kx*$C1060+Eq_ky*$B1060</f>
      </c>
      <c r="L1060" s="20">
        <f>IF(K1060&gt;0,IF(K1060&lt;=eco,alpha*fck*(1-(1-K1060/eco)^n),alpha*fck),0)</f>
      </c>
    </row>
    <row r="1061" spans="1:12" x14ac:dyDescent="0.25">
      <c r="A1061">
        <f>Mesh!A1058</f>
      </c>
      <c r="B1061" s="20">
        <f>Mesh!B1058</f>
      </c>
      <c r="C1061" s="20">
        <f>Mesh!C1058</f>
      </c>
      <c r="D1061" s="20">
        <f>Mesh!D1058</f>
      </c>
      <c r="E1061" s="37">
        <f>INDEX(St_e0,Det+1)+INDEX(St_kx,Det+1)*C1061+INDEX(St_ky,Det+1)*B1061</f>
      </c>
      <c r="F1061" s="20">
        <f>IF(E1061&gt;0,IF(E1061&lt;=eco,alpha*fck*(1-(1-E1061/eco)^n),alpha*fck),0)</f>
      </c>
      <c r="G1061" s="19">
        <f>F1061*D1061</f>
      </c>
      <c r="H1061" s="19">
        <f>G1061*C1061</f>
      </c>
      <c r="I1061" s="19">
        <f>G1061*B1061</f>
      </c>
      <c r="K1061" s="37">
        <f>Eq_e0+Eq_kx*$C1061+Eq_ky*$B1061</f>
      </c>
      <c r="L1061" s="20">
        <f>IF(K1061&gt;0,IF(K1061&lt;=eco,alpha*fck*(1-(1-K1061/eco)^n),alpha*fck),0)</f>
      </c>
    </row>
    <row r="1062" spans="1:12" x14ac:dyDescent="0.25">
      <c r="A1062">
        <f>Mesh!A1059</f>
      </c>
      <c r="B1062" s="20">
        <f>Mesh!B1059</f>
      </c>
      <c r="C1062" s="20">
        <f>Mesh!C1059</f>
      </c>
      <c r="D1062" s="20">
        <f>Mesh!D1059</f>
      </c>
      <c r="E1062" s="37">
        <f>INDEX(St_e0,Det+1)+INDEX(St_kx,Det+1)*C1062+INDEX(St_ky,Det+1)*B1062</f>
      </c>
      <c r="F1062" s="20">
        <f>IF(E1062&gt;0,IF(E1062&lt;=eco,alpha*fck*(1-(1-E1062/eco)^n),alpha*fck),0)</f>
      </c>
      <c r="G1062" s="19">
        <f>F1062*D1062</f>
      </c>
      <c r="H1062" s="19">
        <f>G1062*C1062</f>
      </c>
      <c r="I1062" s="19">
        <f>G1062*B1062</f>
      </c>
      <c r="K1062" s="37">
        <f>Eq_e0+Eq_kx*$C1062+Eq_ky*$B1062</f>
      </c>
      <c r="L1062" s="20">
        <f>IF(K1062&gt;0,IF(K1062&lt;=eco,alpha*fck*(1-(1-K1062/eco)^n),alpha*fck),0)</f>
      </c>
    </row>
    <row r="1063" spans="1:12" x14ac:dyDescent="0.25">
      <c r="A1063">
        <f>Mesh!A1060</f>
      </c>
      <c r="B1063" s="20">
        <f>Mesh!B1060</f>
      </c>
      <c r="C1063" s="20">
        <f>Mesh!C1060</f>
      </c>
      <c r="D1063" s="20">
        <f>Mesh!D1060</f>
      </c>
      <c r="E1063" s="37">
        <f>INDEX(St_e0,Det+1)+INDEX(St_kx,Det+1)*C1063+INDEX(St_ky,Det+1)*B1063</f>
      </c>
      <c r="F1063" s="20">
        <f>IF(E1063&gt;0,IF(E1063&lt;=eco,alpha*fck*(1-(1-E1063/eco)^n),alpha*fck),0)</f>
      </c>
      <c r="G1063" s="19">
        <f>F1063*D1063</f>
      </c>
      <c r="H1063" s="19">
        <f>G1063*C1063</f>
      </c>
      <c r="I1063" s="19">
        <f>G1063*B1063</f>
      </c>
      <c r="K1063" s="37">
        <f>Eq_e0+Eq_kx*$C1063+Eq_ky*$B1063</f>
      </c>
      <c r="L1063" s="20">
        <f>IF(K1063&gt;0,IF(K1063&lt;=eco,alpha*fck*(1-(1-K1063/eco)^n),alpha*fck),0)</f>
      </c>
    </row>
    <row r="1064" spans="1:12" x14ac:dyDescent="0.25">
      <c r="A1064">
        <f>Mesh!A1061</f>
      </c>
      <c r="B1064" s="20">
        <f>Mesh!B1061</f>
      </c>
      <c r="C1064" s="20">
        <f>Mesh!C1061</f>
      </c>
      <c r="D1064" s="20">
        <f>Mesh!D1061</f>
      </c>
      <c r="E1064" s="37">
        <f>INDEX(St_e0,Det+1)+INDEX(St_kx,Det+1)*C1064+INDEX(St_ky,Det+1)*B1064</f>
      </c>
      <c r="F1064" s="20">
        <f>IF(E1064&gt;0,IF(E1064&lt;=eco,alpha*fck*(1-(1-E1064/eco)^n),alpha*fck),0)</f>
      </c>
      <c r="G1064" s="19">
        <f>F1064*D1064</f>
      </c>
      <c r="H1064" s="19">
        <f>G1064*C1064</f>
      </c>
      <c r="I1064" s="19">
        <f>G1064*B1064</f>
      </c>
      <c r="K1064" s="37">
        <f>Eq_e0+Eq_kx*$C1064+Eq_ky*$B1064</f>
      </c>
      <c r="L1064" s="20">
        <f>IF(K1064&gt;0,IF(K1064&lt;=eco,alpha*fck*(1-(1-K1064/eco)^n),alpha*fck),0)</f>
      </c>
    </row>
    <row r="1065" spans="1:12" x14ac:dyDescent="0.25">
      <c r="A1065">
        <f>Mesh!A1062</f>
      </c>
      <c r="B1065" s="20">
        <f>Mesh!B1062</f>
      </c>
      <c r="C1065" s="20">
        <f>Mesh!C1062</f>
      </c>
      <c r="D1065" s="20">
        <f>Mesh!D1062</f>
      </c>
      <c r="E1065" s="37">
        <f>INDEX(St_e0,Det+1)+INDEX(St_kx,Det+1)*C1065+INDEX(St_ky,Det+1)*B1065</f>
      </c>
      <c r="F1065" s="20">
        <f>IF(E1065&gt;0,IF(E1065&lt;=eco,alpha*fck*(1-(1-E1065/eco)^n),alpha*fck),0)</f>
      </c>
      <c r="G1065" s="19">
        <f>F1065*D1065</f>
      </c>
      <c r="H1065" s="19">
        <f>G1065*C1065</f>
      </c>
      <c r="I1065" s="19">
        <f>G1065*B1065</f>
      </c>
      <c r="K1065" s="37">
        <f>Eq_e0+Eq_kx*$C1065+Eq_ky*$B1065</f>
      </c>
      <c r="L1065" s="20">
        <f>IF(K1065&gt;0,IF(K1065&lt;=eco,alpha*fck*(1-(1-K1065/eco)^n),alpha*fck),0)</f>
      </c>
    </row>
    <row r="1066" spans="1:12" x14ac:dyDescent="0.25">
      <c r="A1066">
        <f>Mesh!A1063</f>
      </c>
      <c r="B1066" s="20">
        <f>Mesh!B1063</f>
      </c>
      <c r="C1066" s="20">
        <f>Mesh!C1063</f>
      </c>
      <c r="D1066" s="20">
        <f>Mesh!D1063</f>
      </c>
      <c r="E1066" s="37">
        <f>INDEX(St_e0,Det+1)+INDEX(St_kx,Det+1)*C1066+INDEX(St_ky,Det+1)*B1066</f>
      </c>
      <c r="F1066" s="20">
        <f>IF(E1066&gt;0,IF(E1066&lt;=eco,alpha*fck*(1-(1-E1066/eco)^n),alpha*fck),0)</f>
      </c>
      <c r="G1066" s="19">
        <f>F1066*D1066</f>
      </c>
      <c r="H1066" s="19">
        <f>G1066*C1066</f>
      </c>
      <c r="I1066" s="19">
        <f>G1066*B1066</f>
      </c>
      <c r="K1066" s="37">
        <f>Eq_e0+Eq_kx*$C1066+Eq_ky*$B1066</f>
      </c>
      <c r="L1066" s="20">
        <f>IF(K1066&gt;0,IF(K1066&lt;=eco,alpha*fck*(1-(1-K1066/eco)^n),alpha*fck),0)</f>
      </c>
    </row>
    <row r="1067" spans="1:12" x14ac:dyDescent="0.25">
      <c r="A1067">
        <f>Mesh!A1064</f>
      </c>
      <c r="B1067" s="20">
        <f>Mesh!B1064</f>
      </c>
      <c r="C1067" s="20">
        <f>Mesh!C1064</f>
      </c>
      <c r="D1067" s="20">
        <f>Mesh!D1064</f>
      </c>
      <c r="E1067" s="37">
        <f>INDEX(St_e0,Det+1)+INDEX(St_kx,Det+1)*C1067+INDEX(St_ky,Det+1)*B1067</f>
      </c>
      <c r="F1067" s="20">
        <f>IF(E1067&gt;0,IF(E1067&lt;=eco,alpha*fck*(1-(1-E1067/eco)^n),alpha*fck),0)</f>
      </c>
      <c r="G1067" s="19">
        <f>F1067*D1067</f>
      </c>
      <c r="H1067" s="19">
        <f>G1067*C1067</f>
      </c>
      <c r="I1067" s="19">
        <f>G1067*B1067</f>
      </c>
      <c r="K1067" s="37">
        <f>Eq_e0+Eq_kx*$C1067+Eq_ky*$B1067</f>
      </c>
      <c r="L1067" s="20">
        <f>IF(K1067&gt;0,IF(K1067&lt;=eco,alpha*fck*(1-(1-K1067/eco)^n),alpha*fck),0)</f>
      </c>
    </row>
    <row r="1068" spans="1:12" x14ac:dyDescent="0.25">
      <c r="A1068">
        <f>Mesh!A1065</f>
      </c>
      <c r="B1068" s="20">
        <f>Mesh!B1065</f>
      </c>
      <c r="C1068" s="20">
        <f>Mesh!C1065</f>
      </c>
      <c r="D1068" s="20">
        <f>Mesh!D1065</f>
      </c>
      <c r="E1068" s="37">
        <f>INDEX(St_e0,Det+1)+INDEX(St_kx,Det+1)*C1068+INDEX(St_ky,Det+1)*B1068</f>
      </c>
      <c r="F1068" s="20">
        <f>IF(E1068&gt;0,IF(E1068&lt;=eco,alpha*fck*(1-(1-E1068/eco)^n),alpha*fck),0)</f>
      </c>
      <c r="G1068" s="19">
        <f>F1068*D1068</f>
      </c>
      <c r="H1068" s="19">
        <f>G1068*C1068</f>
      </c>
      <c r="I1068" s="19">
        <f>G1068*B1068</f>
      </c>
      <c r="K1068" s="37">
        <f>Eq_e0+Eq_kx*$C1068+Eq_ky*$B1068</f>
      </c>
      <c r="L1068" s="20">
        <f>IF(K1068&gt;0,IF(K1068&lt;=eco,alpha*fck*(1-(1-K1068/eco)^n),alpha*fck),0)</f>
      </c>
    </row>
    <row r="1069" spans="1:12" x14ac:dyDescent="0.25">
      <c r="A1069">
        <f>Mesh!A1066</f>
      </c>
      <c r="B1069" s="20">
        <f>Mesh!B1066</f>
      </c>
      <c r="C1069" s="20">
        <f>Mesh!C1066</f>
      </c>
      <c r="D1069" s="20">
        <f>Mesh!D1066</f>
      </c>
      <c r="E1069" s="37">
        <f>INDEX(St_e0,Det+1)+INDEX(St_kx,Det+1)*C1069+INDEX(St_ky,Det+1)*B1069</f>
      </c>
      <c r="F1069" s="20">
        <f>IF(E1069&gt;0,IF(E1069&lt;=eco,alpha*fck*(1-(1-E1069/eco)^n),alpha*fck),0)</f>
      </c>
      <c r="G1069" s="19">
        <f>F1069*D1069</f>
      </c>
      <c r="H1069" s="19">
        <f>G1069*C1069</f>
      </c>
      <c r="I1069" s="19">
        <f>G1069*B1069</f>
      </c>
      <c r="K1069" s="37">
        <f>Eq_e0+Eq_kx*$C1069+Eq_ky*$B1069</f>
      </c>
      <c r="L1069" s="20">
        <f>IF(K1069&gt;0,IF(K1069&lt;=eco,alpha*fck*(1-(1-K1069/eco)^n),alpha*fck),0)</f>
      </c>
    </row>
    <row r="1070" spans="1:12" x14ac:dyDescent="0.25">
      <c r="A1070">
        <f>Mesh!A1067</f>
      </c>
      <c r="B1070" s="20">
        <f>Mesh!B1067</f>
      </c>
      <c r="C1070" s="20">
        <f>Mesh!C1067</f>
      </c>
      <c r="D1070" s="20">
        <f>Mesh!D1067</f>
      </c>
      <c r="E1070" s="37">
        <f>INDEX(St_e0,Det+1)+INDEX(St_kx,Det+1)*C1070+INDEX(St_ky,Det+1)*B1070</f>
      </c>
      <c r="F1070" s="20">
        <f>IF(E1070&gt;0,IF(E1070&lt;=eco,alpha*fck*(1-(1-E1070/eco)^n),alpha*fck),0)</f>
      </c>
      <c r="G1070" s="19">
        <f>F1070*D1070</f>
      </c>
      <c r="H1070" s="19">
        <f>G1070*C1070</f>
      </c>
      <c r="I1070" s="19">
        <f>G1070*B1070</f>
      </c>
      <c r="K1070" s="37">
        <f>Eq_e0+Eq_kx*$C1070+Eq_ky*$B1070</f>
      </c>
      <c r="L1070" s="20">
        <f>IF(K1070&gt;0,IF(K1070&lt;=eco,alpha*fck*(1-(1-K1070/eco)^n),alpha*fck),0)</f>
      </c>
    </row>
    <row r="1071" spans="1:12" x14ac:dyDescent="0.25">
      <c r="A1071">
        <f>Mesh!A1068</f>
      </c>
      <c r="B1071" s="20">
        <f>Mesh!B1068</f>
      </c>
      <c r="C1071" s="20">
        <f>Mesh!C1068</f>
      </c>
      <c r="D1071" s="20">
        <f>Mesh!D1068</f>
      </c>
      <c r="E1071" s="37">
        <f>INDEX(St_e0,Det+1)+INDEX(St_kx,Det+1)*C1071+INDEX(St_ky,Det+1)*B1071</f>
      </c>
      <c r="F1071" s="20">
        <f>IF(E1071&gt;0,IF(E1071&lt;=eco,alpha*fck*(1-(1-E1071/eco)^n),alpha*fck),0)</f>
      </c>
      <c r="G1071" s="19">
        <f>F1071*D1071</f>
      </c>
      <c r="H1071" s="19">
        <f>G1071*C1071</f>
      </c>
      <c r="I1071" s="19">
        <f>G1071*B1071</f>
      </c>
      <c r="K1071" s="37">
        <f>Eq_e0+Eq_kx*$C1071+Eq_ky*$B1071</f>
      </c>
      <c r="L1071" s="20">
        <f>IF(K1071&gt;0,IF(K1071&lt;=eco,alpha*fck*(1-(1-K1071/eco)^n),alpha*fck),0)</f>
      </c>
    </row>
    <row r="1072" spans="1:12" x14ac:dyDescent="0.25">
      <c r="A1072">
        <f>Mesh!A1069</f>
      </c>
      <c r="B1072" s="20">
        <f>Mesh!B1069</f>
      </c>
      <c r="C1072" s="20">
        <f>Mesh!C1069</f>
      </c>
      <c r="D1072" s="20">
        <f>Mesh!D1069</f>
      </c>
      <c r="E1072" s="37">
        <f>INDEX(St_e0,Det+1)+INDEX(St_kx,Det+1)*C1072+INDEX(St_ky,Det+1)*B1072</f>
      </c>
      <c r="F1072" s="20">
        <f>IF(E1072&gt;0,IF(E1072&lt;=eco,alpha*fck*(1-(1-E1072/eco)^n),alpha*fck),0)</f>
      </c>
      <c r="G1072" s="19">
        <f>F1072*D1072</f>
      </c>
      <c r="H1072" s="19">
        <f>G1072*C1072</f>
      </c>
      <c r="I1072" s="19">
        <f>G1072*B1072</f>
      </c>
      <c r="K1072" s="37">
        <f>Eq_e0+Eq_kx*$C1072+Eq_ky*$B1072</f>
      </c>
      <c r="L1072" s="20">
        <f>IF(K1072&gt;0,IF(K1072&lt;=eco,alpha*fck*(1-(1-K1072/eco)^n),alpha*fck),0)</f>
      </c>
    </row>
    <row r="1073" spans="1:12" x14ac:dyDescent="0.25">
      <c r="A1073">
        <f>Mesh!A1070</f>
      </c>
      <c r="B1073" s="20">
        <f>Mesh!B1070</f>
      </c>
      <c r="C1073" s="20">
        <f>Mesh!C1070</f>
      </c>
      <c r="D1073" s="20">
        <f>Mesh!D1070</f>
      </c>
      <c r="E1073" s="37">
        <f>INDEX(St_e0,Det+1)+INDEX(St_kx,Det+1)*C1073+INDEX(St_ky,Det+1)*B1073</f>
      </c>
      <c r="F1073" s="20">
        <f>IF(E1073&gt;0,IF(E1073&lt;=eco,alpha*fck*(1-(1-E1073/eco)^n),alpha*fck),0)</f>
      </c>
      <c r="G1073" s="19">
        <f>F1073*D1073</f>
      </c>
      <c r="H1073" s="19">
        <f>G1073*C1073</f>
      </c>
      <c r="I1073" s="19">
        <f>G1073*B1073</f>
      </c>
      <c r="K1073" s="37">
        <f>Eq_e0+Eq_kx*$C1073+Eq_ky*$B1073</f>
      </c>
      <c r="L1073" s="20">
        <f>IF(K1073&gt;0,IF(K1073&lt;=eco,alpha*fck*(1-(1-K1073/eco)^n),alpha*fck),0)</f>
      </c>
    </row>
    <row r="1074" spans="1:12" x14ac:dyDescent="0.25">
      <c r="A1074">
        <f>Mesh!A1071</f>
      </c>
      <c r="B1074" s="20">
        <f>Mesh!B1071</f>
      </c>
      <c r="C1074" s="20">
        <f>Mesh!C1071</f>
      </c>
      <c r="D1074" s="20">
        <f>Mesh!D1071</f>
      </c>
      <c r="E1074" s="37">
        <f>INDEX(St_e0,Det+1)+INDEX(St_kx,Det+1)*C1074+INDEX(St_ky,Det+1)*B1074</f>
      </c>
      <c r="F1074" s="20">
        <f>IF(E1074&gt;0,IF(E1074&lt;=eco,alpha*fck*(1-(1-E1074/eco)^n),alpha*fck),0)</f>
      </c>
      <c r="G1074" s="19">
        <f>F1074*D1074</f>
      </c>
      <c r="H1074" s="19">
        <f>G1074*C1074</f>
      </c>
      <c r="I1074" s="19">
        <f>G1074*B1074</f>
      </c>
      <c r="K1074" s="37">
        <f>Eq_e0+Eq_kx*$C1074+Eq_ky*$B1074</f>
      </c>
      <c r="L1074" s="20">
        <f>IF(K1074&gt;0,IF(K1074&lt;=eco,alpha*fck*(1-(1-K1074/eco)^n),alpha*fck),0)</f>
      </c>
    </row>
    <row r="1075" spans="1:12" x14ac:dyDescent="0.25">
      <c r="A1075">
        <f>Mesh!A1072</f>
      </c>
      <c r="B1075" s="20">
        <f>Mesh!B1072</f>
      </c>
      <c r="C1075" s="20">
        <f>Mesh!C1072</f>
      </c>
      <c r="D1075" s="20">
        <f>Mesh!D1072</f>
      </c>
      <c r="E1075" s="37">
        <f>INDEX(St_e0,Det+1)+INDEX(St_kx,Det+1)*C1075+INDEX(St_ky,Det+1)*B1075</f>
      </c>
      <c r="F1075" s="20">
        <f>IF(E1075&gt;0,IF(E1075&lt;=eco,alpha*fck*(1-(1-E1075/eco)^n),alpha*fck),0)</f>
      </c>
      <c r="G1075" s="19">
        <f>F1075*D1075</f>
      </c>
      <c r="H1075" s="19">
        <f>G1075*C1075</f>
      </c>
      <c r="I1075" s="19">
        <f>G1075*B1075</f>
      </c>
      <c r="K1075" s="37">
        <f>Eq_e0+Eq_kx*$C1075+Eq_ky*$B1075</f>
      </c>
      <c r="L1075" s="20">
        <f>IF(K1075&gt;0,IF(K1075&lt;=eco,alpha*fck*(1-(1-K1075/eco)^n),alpha*fck),0)</f>
      </c>
    </row>
    <row r="1076" spans="1:12" x14ac:dyDescent="0.25">
      <c r="A1076">
        <f>Mesh!A1073</f>
      </c>
      <c r="B1076" s="20">
        <f>Mesh!B1073</f>
      </c>
      <c r="C1076" s="20">
        <f>Mesh!C1073</f>
      </c>
      <c r="D1076" s="20">
        <f>Mesh!D1073</f>
      </c>
      <c r="E1076" s="37">
        <f>INDEX(St_e0,Det+1)+INDEX(St_kx,Det+1)*C1076+INDEX(St_ky,Det+1)*B1076</f>
      </c>
      <c r="F1076" s="20">
        <f>IF(E1076&gt;0,IF(E1076&lt;=eco,alpha*fck*(1-(1-E1076/eco)^n),alpha*fck),0)</f>
      </c>
      <c r="G1076" s="19">
        <f>F1076*D1076</f>
      </c>
      <c r="H1076" s="19">
        <f>G1076*C1076</f>
      </c>
      <c r="I1076" s="19">
        <f>G1076*B1076</f>
      </c>
      <c r="K1076" s="37">
        <f>Eq_e0+Eq_kx*$C1076+Eq_ky*$B1076</f>
      </c>
      <c r="L1076" s="20">
        <f>IF(K1076&gt;0,IF(K1076&lt;=eco,alpha*fck*(1-(1-K1076/eco)^n),alpha*fck),0)</f>
      </c>
    </row>
    <row r="1077" spans="1:12" x14ac:dyDescent="0.25">
      <c r="A1077">
        <f>Mesh!A1074</f>
      </c>
      <c r="B1077" s="20">
        <f>Mesh!B1074</f>
      </c>
      <c r="C1077" s="20">
        <f>Mesh!C1074</f>
      </c>
      <c r="D1077" s="20">
        <f>Mesh!D1074</f>
      </c>
      <c r="E1077" s="37">
        <f>INDEX(St_e0,Det+1)+INDEX(St_kx,Det+1)*C1077+INDEX(St_ky,Det+1)*B1077</f>
      </c>
      <c r="F1077" s="20">
        <f>IF(E1077&gt;0,IF(E1077&lt;=eco,alpha*fck*(1-(1-E1077/eco)^n),alpha*fck),0)</f>
      </c>
      <c r="G1077" s="19">
        <f>F1077*D1077</f>
      </c>
      <c r="H1077" s="19">
        <f>G1077*C1077</f>
      </c>
      <c r="I1077" s="19">
        <f>G1077*B1077</f>
      </c>
      <c r="K1077" s="37">
        <f>Eq_e0+Eq_kx*$C1077+Eq_ky*$B1077</f>
      </c>
      <c r="L1077" s="20">
        <f>IF(K1077&gt;0,IF(K1077&lt;=eco,alpha*fck*(1-(1-K1077/eco)^n),alpha*fck),0)</f>
      </c>
    </row>
    <row r="1078" spans="1:12" x14ac:dyDescent="0.25">
      <c r="A1078">
        <f>Mesh!A1075</f>
      </c>
      <c r="B1078" s="20">
        <f>Mesh!B1075</f>
      </c>
      <c r="C1078" s="20">
        <f>Mesh!C1075</f>
      </c>
      <c r="D1078" s="20">
        <f>Mesh!D1075</f>
      </c>
      <c r="E1078" s="37">
        <f>INDEX(St_e0,Det+1)+INDEX(St_kx,Det+1)*C1078+INDEX(St_ky,Det+1)*B1078</f>
      </c>
      <c r="F1078" s="20">
        <f>IF(E1078&gt;0,IF(E1078&lt;=eco,alpha*fck*(1-(1-E1078/eco)^n),alpha*fck),0)</f>
      </c>
      <c r="G1078" s="19">
        <f>F1078*D1078</f>
      </c>
      <c r="H1078" s="19">
        <f>G1078*C1078</f>
      </c>
      <c r="I1078" s="19">
        <f>G1078*B1078</f>
      </c>
      <c r="K1078" s="37">
        <f>Eq_e0+Eq_kx*$C1078+Eq_ky*$B1078</f>
      </c>
      <c r="L1078" s="20">
        <f>IF(K1078&gt;0,IF(K1078&lt;=eco,alpha*fck*(1-(1-K1078/eco)^n),alpha*fck),0)</f>
      </c>
    </row>
    <row r="1079" spans="1:12" x14ac:dyDescent="0.25">
      <c r="A1079">
        <f>Mesh!A1076</f>
      </c>
      <c r="B1079" s="20">
        <f>Mesh!B1076</f>
      </c>
      <c r="C1079" s="20">
        <f>Mesh!C1076</f>
      </c>
      <c r="D1079" s="20">
        <f>Mesh!D1076</f>
      </c>
      <c r="E1079" s="37">
        <f>INDEX(St_e0,Det+1)+INDEX(St_kx,Det+1)*C1079+INDEX(St_ky,Det+1)*B1079</f>
      </c>
      <c r="F1079" s="20">
        <f>IF(E1079&gt;0,IF(E1079&lt;=eco,alpha*fck*(1-(1-E1079/eco)^n),alpha*fck),0)</f>
      </c>
      <c r="G1079" s="19">
        <f>F1079*D1079</f>
      </c>
      <c r="H1079" s="19">
        <f>G1079*C1079</f>
      </c>
      <c r="I1079" s="19">
        <f>G1079*B1079</f>
      </c>
      <c r="K1079" s="37">
        <f>Eq_e0+Eq_kx*$C1079+Eq_ky*$B1079</f>
      </c>
      <c r="L1079" s="20">
        <f>IF(K1079&gt;0,IF(K1079&lt;=eco,alpha*fck*(1-(1-K1079/eco)^n),alpha*fck),0)</f>
      </c>
    </row>
    <row r="1080" spans="1:12" x14ac:dyDescent="0.25">
      <c r="A1080">
        <f>Mesh!A1077</f>
      </c>
      <c r="B1080" s="20">
        <f>Mesh!B1077</f>
      </c>
      <c r="C1080" s="20">
        <f>Mesh!C1077</f>
      </c>
      <c r="D1080" s="20">
        <f>Mesh!D1077</f>
      </c>
      <c r="E1080" s="37">
        <f>INDEX(St_e0,Det+1)+INDEX(St_kx,Det+1)*C1080+INDEX(St_ky,Det+1)*B1080</f>
      </c>
      <c r="F1080" s="20">
        <f>IF(E1080&gt;0,IF(E1080&lt;=eco,alpha*fck*(1-(1-E1080/eco)^n),alpha*fck),0)</f>
      </c>
      <c r="G1080" s="19">
        <f>F1080*D1080</f>
      </c>
      <c r="H1080" s="19">
        <f>G1080*C1080</f>
      </c>
      <c r="I1080" s="19">
        <f>G1080*B1080</f>
      </c>
      <c r="K1080" s="37">
        <f>Eq_e0+Eq_kx*$C1080+Eq_ky*$B1080</f>
      </c>
      <c r="L1080" s="20">
        <f>IF(K1080&gt;0,IF(K1080&lt;=eco,alpha*fck*(1-(1-K1080/eco)^n),alpha*fck),0)</f>
      </c>
    </row>
    <row r="1081" spans="1:12" x14ac:dyDescent="0.25">
      <c r="A1081">
        <f>Mesh!A1078</f>
      </c>
      <c r="B1081" s="20">
        <f>Mesh!B1078</f>
      </c>
      <c r="C1081" s="20">
        <f>Mesh!C1078</f>
      </c>
      <c r="D1081" s="20">
        <f>Mesh!D1078</f>
      </c>
      <c r="E1081" s="37">
        <f>INDEX(St_e0,Det+1)+INDEX(St_kx,Det+1)*C1081+INDEX(St_ky,Det+1)*B1081</f>
      </c>
      <c r="F1081" s="20">
        <f>IF(E1081&gt;0,IF(E1081&lt;=eco,alpha*fck*(1-(1-E1081/eco)^n),alpha*fck),0)</f>
      </c>
      <c r="G1081" s="19">
        <f>F1081*D1081</f>
      </c>
      <c r="H1081" s="19">
        <f>G1081*C1081</f>
      </c>
      <c r="I1081" s="19">
        <f>G1081*B1081</f>
      </c>
      <c r="K1081" s="37">
        <f>Eq_e0+Eq_kx*$C1081+Eq_ky*$B1081</f>
      </c>
      <c r="L1081" s="20">
        <f>IF(K1081&gt;0,IF(K1081&lt;=eco,alpha*fck*(1-(1-K1081/eco)^n),alpha*fck),0)</f>
      </c>
    </row>
    <row r="1082" spans="1:12" x14ac:dyDescent="0.25">
      <c r="A1082">
        <f>Mesh!A1079</f>
      </c>
      <c r="B1082" s="20">
        <f>Mesh!B1079</f>
      </c>
      <c r="C1082" s="20">
        <f>Mesh!C1079</f>
      </c>
      <c r="D1082" s="20">
        <f>Mesh!D1079</f>
      </c>
      <c r="E1082" s="37">
        <f>INDEX(St_e0,Det+1)+INDEX(St_kx,Det+1)*C1082+INDEX(St_ky,Det+1)*B1082</f>
      </c>
      <c r="F1082" s="20">
        <f>IF(E1082&gt;0,IF(E1082&lt;=eco,alpha*fck*(1-(1-E1082/eco)^n),alpha*fck),0)</f>
      </c>
      <c r="G1082" s="19">
        <f>F1082*D1082</f>
      </c>
      <c r="H1082" s="19">
        <f>G1082*C1082</f>
      </c>
      <c r="I1082" s="19">
        <f>G1082*B1082</f>
      </c>
      <c r="K1082" s="37">
        <f>Eq_e0+Eq_kx*$C1082+Eq_ky*$B1082</f>
      </c>
      <c r="L1082" s="20">
        <f>IF(K1082&gt;0,IF(K1082&lt;=eco,alpha*fck*(1-(1-K1082/eco)^n),alpha*fck),0)</f>
      </c>
    </row>
    <row r="1083" spans="1:12" x14ac:dyDescent="0.25">
      <c r="A1083">
        <f>Mesh!A1080</f>
      </c>
      <c r="B1083" s="20">
        <f>Mesh!B1080</f>
      </c>
      <c r="C1083" s="20">
        <f>Mesh!C1080</f>
      </c>
      <c r="D1083" s="20">
        <f>Mesh!D1080</f>
      </c>
      <c r="E1083" s="37">
        <f>INDEX(St_e0,Det+1)+INDEX(St_kx,Det+1)*C1083+INDEX(St_ky,Det+1)*B1083</f>
      </c>
      <c r="F1083" s="20">
        <f>IF(E1083&gt;0,IF(E1083&lt;=eco,alpha*fck*(1-(1-E1083/eco)^n),alpha*fck),0)</f>
      </c>
      <c r="G1083" s="19">
        <f>F1083*D1083</f>
      </c>
      <c r="H1083" s="19">
        <f>G1083*C1083</f>
      </c>
      <c r="I1083" s="19">
        <f>G1083*B1083</f>
      </c>
      <c r="K1083" s="37">
        <f>Eq_e0+Eq_kx*$C1083+Eq_ky*$B1083</f>
      </c>
      <c r="L1083" s="20">
        <f>IF(K1083&gt;0,IF(K1083&lt;=eco,alpha*fck*(1-(1-K1083/eco)^n),alpha*fck),0)</f>
      </c>
    </row>
    <row r="1084" spans="1:12" x14ac:dyDescent="0.25">
      <c r="A1084">
        <f>Mesh!A1081</f>
      </c>
      <c r="B1084" s="20">
        <f>Mesh!B1081</f>
      </c>
      <c r="C1084" s="20">
        <f>Mesh!C1081</f>
      </c>
      <c r="D1084" s="20">
        <f>Mesh!D1081</f>
      </c>
      <c r="E1084" s="37">
        <f>INDEX(St_e0,Det+1)+INDEX(St_kx,Det+1)*C1084+INDEX(St_ky,Det+1)*B1084</f>
      </c>
      <c r="F1084" s="20">
        <f>IF(E1084&gt;0,IF(E1084&lt;=eco,alpha*fck*(1-(1-E1084/eco)^n),alpha*fck),0)</f>
      </c>
      <c r="G1084" s="19">
        <f>F1084*D1084</f>
      </c>
      <c r="H1084" s="19">
        <f>G1084*C1084</f>
      </c>
      <c r="I1084" s="19">
        <f>G1084*B1084</f>
      </c>
      <c r="K1084" s="37">
        <f>Eq_e0+Eq_kx*$C1084+Eq_ky*$B1084</f>
      </c>
      <c r="L1084" s="20">
        <f>IF(K1084&gt;0,IF(K1084&lt;=eco,alpha*fck*(1-(1-K1084/eco)^n),alpha*fck),0)</f>
      </c>
    </row>
    <row r="1085" spans="1:12" x14ac:dyDescent="0.25">
      <c r="A1085">
        <f>Mesh!A1082</f>
      </c>
      <c r="B1085" s="20">
        <f>Mesh!B1082</f>
      </c>
      <c r="C1085" s="20">
        <f>Mesh!C1082</f>
      </c>
      <c r="D1085" s="20">
        <f>Mesh!D1082</f>
      </c>
      <c r="E1085" s="37">
        <f>INDEX(St_e0,Det+1)+INDEX(St_kx,Det+1)*C1085+INDEX(St_ky,Det+1)*B1085</f>
      </c>
      <c r="F1085" s="20">
        <f>IF(E1085&gt;0,IF(E1085&lt;=eco,alpha*fck*(1-(1-E1085/eco)^n),alpha*fck),0)</f>
      </c>
      <c r="G1085" s="19">
        <f>F1085*D1085</f>
      </c>
      <c r="H1085" s="19">
        <f>G1085*C1085</f>
      </c>
      <c r="I1085" s="19">
        <f>G1085*B1085</f>
      </c>
      <c r="K1085" s="37">
        <f>Eq_e0+Eq_kx*$C1085+Eq_ky*$B1085</f>
      </c>
      <c r="L1085" s="20">
        <f>IF(K1085&gt;0,IF(K1085&lt;=eco,alpha*fck*(1-(1-K1085/eco)^n),alpha*fck),0)</f>
      </c>
    </row>
    <row r="1086" spans="1:12" x14ac:dyDescent="0.25">
      <c r="A1086">
        <f>Mesh!A1083</f>
      </c>
      <c r="B1086" s="20">
        <f>Mesh!B1083</f>
      </c>
      <c r="C1086" s="20">
        <f>Mesh!C1083</f>
      </c>
      <c r="D1086" s="20">
        <f>Mesh!D1083</f>
      </c>
      <c r="E1086" s="37">
        <f>INDEX(St_e0,Det+1)+INDEX(St_kx,Det+1)*C1086+INDEX(St_ky,Det+1)*B1086</f>
      </c>
      <c r="F1086" s="20">
        <f>IF(E1086&gt;0,IF(E1086&lt;=eco,alpha*fck*(1-(1-E1086/eco)^n),alpha*fck),0)</f>
      </c>
      <c r="G1086" s="19">
        <f>F1086*D1086</f>
      </c>
      <c r="H1086" s="19">
        <f>G1086*C1086</f>
      </c>
      <c r="I1086" s="19">
        <f>G1086*B1086</f>
      </c>
      <c r="K1086" s="37">
        <f>Eq_e0+Eq_kx*$C1086+Eq_ky*$B1086</f>
      </c>
      <c r="L1086" s="20">
        <f>IF(K1086&gt;0,IF(K1086&lt;=eco,alpha*fck*(1-(1-K1086/eco)^n),alpha*fck),0)</f>
      </c>
    </row>
    <row r="1087" spans="1:12" x14ac:dyDescent="0.25">
      <c r="A1087">
        <f>Mesh!A1084</f>
      </c>
      <c r="B1087" s="20">
        <f>Mesh!B1084</f>
      </c>
      <c r="C1087" s="20">
        <f>Mesh!C1084</f>
      </c>
      <c r="D1087" s="20">
        <f>Mesh!D1084</f>
      </c>
      <c r="E1087" s="37">
        <f>INDEX(St_e0,Det+1)+INDEX(St_kx,Det+1)*C1087+INDEX(St_ky,Det+1)*B1087</f>
      </c>
      <c r="F1087" s="20">
        <f>IF(E1087&gt;0,IF(E1087&lt;=eco,alpha*fck*(1-(1-E1087/eco)^n),alpha*fck),0)</f>
      </c>
      <c r="G1087" s="19">
        <f>F1087*D1087</f>
      </c>
      <c r="H1087" s="19">
        <f>G1087*C1087</f>
      </c>
      <c r="I1087" s="19">
        <f>G1087*B1087</f>
      </c>
      <c r="K1087" s="37">
        <f>Eq_e0+Eq_kx*$C1087+Eq_ky*$B1087</f>
      </c>
      <c r="L1087" s="20">
        <f>IF(K1087&gt;0,IF(K1087&lt;=eco,alpha*fck*(1-(1-K1087/eco)^n),alpha*fck),0)</f>
      </c>
    </row>
    <row r="1088" spans="1:12" x14ac:dyDescent="0.25">
      <c r="A1088">
        <f>Mesh!A1085</f>
      </c>
      <c r="B1088" s="20">
        <f>Mesh!B1085</f>
      </c>
      <c r="C1088" s="20">
        <f>Mesh!C1085</f>
      </c>
      <c r="D1088" s="20">
        <f>Mesh!D1085</f>
      </c>
      <c r="E1088" s="37">
        <f>INDEX(St_e0,Det+1)+INDEX(St_kx,Det+1)*C1088+INDEX(St_ky,Det+1)*B1088</f>
      </c>
      <c r="F1088" s="20">
        <f>IF(E1088&gt;0,IF(E1088&lt;=eco,alpha*fck*(1-(1-E1088/eco)^n),alpha*fck),0)</f>
      </c>
      <c r="G1088" s="19">
        <f>F1088*D1088</f>
      </c>
      <c r="H1088" s="19">
        <f>G1088*C1088</f>
      </c>
      <c r="I1088" s="19">
        <f>G1088*B1088</f>
      </c>
      <c r="K1088" s="37">
        <f>Eq_e0+Eq_kx*$C1088+Eq_ky*$B1088</f>
      </c>
      <c r="L1088" s="20">
        <f>IF(K1088&gt;0,IF(K1088&lt;=eco,alpha*fck*(1-(1-K1088/eco)^n),alpha*fck),0)</f>
      </c>
    </row>
    <row r="1089" spans="1:12" x14ac:dyDescent="0.25">
      <c r="A1089">
        <f>Mesh!A1086</f>
      </c>
      <c r="B1089" s="20">
        <f>Mesh!B1086</f>
      </c>
      <c r="C1089" s="20">
        <f>Mesh!C1086</f>
      </c>
      <c r="D1089" s="20">
        <f>Mesh!D1086</f>
      </c>
      <c r="E1089" s="37">
        <f>INDEX(St_e0,Det+1)+INDEX(St_kx,Det+1)*C1089+INDEX(St_ky,Det+1)*B1089</f>
      </c>
      <c r="F1089" s="20">
        <f>IF(E1089&gt;0,IF(E1089&lt;=eco,alpha*fck*(1-(1-E1089/eco)^n),alpha*fck),0)</f>
      </c>
      <c r="G1089" s="19">
        <f>F1089*D1089</f>
      </c>
      <c r="H1089" s="19">
        <f>G1089*C1089</f>
      </c>
      <c r="I1089" s="19">
        <f>G1089*B1089</f>
      </c>
      <c r="K1089" s="37">
        <f>Eq_e0+Eq_kx*$C1089+Eq_ky*$B1089</f>
      </c>
      <c r="L1089" s="20">
        <f>IF(K1089&gt;0,IF(K1089&lt;=eco,alpha*fck*(1-(1-K1089/eco)^n),alpha*fck),0)</f>
      </c>
    </row>
    <row r="1090" spans="1:12" x14ac:dyDescent="0.25">
      <c r="A1090">
        <f>Mesh!A1087</f>
      </c>
      <c r="B1090" s="20">
        <f>Mesh!B1087</f>
      </c>
      <c r="C1090" s="20">
        <f>Mesh!C1087</f>
      </c>
      <c r="D1090" s="20">
        <f>Mesh!D1087</f>
      </c>
      <c r="E1090" s="37">
        <f>INDEX(St_e0,Det+1)+INDEX(St_kx,Det+1)*C1090+INDEX(St_ky,Det+1)*B1090</f>
      </c>
      <c r="F1090" s="20">
        <f>IF(E1090&gt;0,IF(E1090&lt;=eco,alpha*fck*(1-(1-E1090/eco)^n),alpha*fck),0)</f>
      </c>
      <c r="G1090" s="19">
        <f>F1090*D1090</f>
      </c>
      <c r="H1090" s="19">
        <f>G1090*C1090</f>
      </c>
      <c r="I1090" s="19">
        <f>G1090*B1090</f>
      </c>
      <c r="K1090" s="37">
        <f>Eq_e0+Eq_kx*$C1090+Eq_ky*$B1090</f>
      </c>
      <c r="L1090" s="20">
        <f>IF(K1090&gt;0,IF(K1090&lt;=eco,alpha*fck*(1-(1-K1090/eco)^n),alpha*fck),0)</f>
      </c>
    </row>
    <row r="1091" spans="1:12" x14ac:dyDescent="0.25">
      <c r="A1091">
        <f>Mesh!A1088</f>
      </c>
      <c r="B1091" s="20">
        <f>Mesh!B1088</f>
      </c>
      <c r="C1091" s="20">
        <f>Mesh!C1088</f>
      </c>
      <c r="D1091" s="20">
        <f>Mesh!D1088</f>
      </c>
      <c r="E1091" s="37">
        <f>INDEX(St_e0,Det+1)+INDEX(St_kx,Det+1)*C1091+INDEX(St_ky,Det+1)*B1091</f>
      </c>
      <c r="F1091" s="20">
        <f>IF(E1091&gt;0,IF(E1091&lt;=eco,alpha*fck*(1-(1-E1091/eco)^n),alpha*fck),0)</f>
      </c>
      <c r="G1091" s="19">
        <f>F1091*D1091</f>
      </c>
      <c r="H1091" s="19">
        <f>G1091*C1091</f>
      </c>
      <c r="I1091" s="19">
        <f>G1091*B1091</f>
      </c>
      <c r="K1091" s="37">
        <f>Eq_e0+Eq_kx*$C1091+Eq_ky*$B1091</f>
      </c>
      <c r="L1091" s="20">
        <f>IF(K1091&gt;0,IF(K1091&lt;=eco,alpha*fck*(1-(1-K1091/eco)^n),alpha*fck),0)</f>
      </c>
    </row>
    <row r="1092" spans="1:12" x14ac:dyDescent="0.25">
      <c r="A1092">
        <f>Mesh!A1089</f>
      </c>
      <c r="B1092" s="20">
        <f>Mesh!B1089</f>
      </c>
      <c r="C1092" s="20">
        <f>Mesh!C1089</f>
      </c>
      <c r="D1092" s="20">
        <f>Mesh!D1089</f>
      </c>
      <c r="E1092" s="37">
        <f>INDEX(St_e0,Det+1)+INDEX(St_kx,Det+1)*C1092+INDEX(St_ky,Det+1)*B1092</f>
      </c>
      <c r="F1092" s="20">
        <f>IF(E1092&gt;0,IF(E1092&lt;=eco,alpha*fck*(1-(1-E1092/eco)^n),alpha*fck),0)</f>
      </c>
      <c r="G1092" s="19">
        <f>F1092*D1092</f>
      </c>
      <c r="H1092" s="19">
        <f>G1092*C1092</f>
      </c>
      <c r="I1092" s="19">
        <f>G1092*B1092</f>
      </c>
      <c r="K1092" s="37">
        <f>Eq_e0+Eq_kx*$C1092+Eq_ky*$B1092</f>
      </c>
      <c r="L1092" s="20">
        <f>IF(K1092&gt;0,IF(K1092&lt;=eco,alpha*fck*(1-(1-K1092/eco)^n),alpha*fck),0)</f>
      </c>
    </row>
    <row r="1093" spans="1:12" x14ac:dyDescent="0.25">
      <c r="A1093">
        <f>Mesh!A1090</f>
      </c>
      <c r="B1093" s="20">
        <f>Mesh!B1090</f>
      </c>
      <c r="C1093" s="20">
        <f>Mesh!C1090</f>
      </c>
      <c r="D1093" s="20">
        <f>Mesh!D1090</f>
      </c>
      <c r="E1093" s="37">
        <f>INDEX(St_e0,Det+1)+INDEX(St_kx,Det+1)*C1093+INDEX(St_ky,Det+1)*B1093</f>
      </c>
      <c r="F1093" s="20">
        <f>IF(E1093&gt;0,IF(E1093&lt;=eco,alpha*fck*(1-(1-E1093/eco)^n),alpha*fck),0)</f>
      </c>
      <c r="G1093" s="19">
        <f>F1093*D1093</f>
      </c>
      <c r="H1093" s="19">
        <f>G1093*C1093</f>
      </c>
      <c r="I1093" s="19">
        <f>G1093*B1093</f>
      </c>
      <c r="K1093" s="37">
        <f>Eq_e0+Eq_kx*$C1093+Eq_ky*$B1093</f>
      </c>
      <c r="L1093" s="20">
        <f>IF(K1093&gt;0,IF(K1093&lt;=eco,alpha*fck*(1-(1-K1093/eco)^n),alpha*fck),0)</f>
      </c>
    </row>
    <row r="1094" spans="1:12" x14ac:dyDescent="0.25">
      <c r="A1094">
        <f>Mesh!A1091</f>
      </c>
      <c r="B1094" s="20">
        <f>Mesh!B1091</f>
      </c>
      <c r="C1094" s="20">
        <f>Mesh!C1091</f>
      </c>
      <c r="D1094" s="20">
        <f>Mesh!D1091</f>
      </c>
      <c r="E1094" s="37">
        <f>INDEX(St_e0,Det+1)+INDEX(St_kx,Det+1)*C1094+INDEX(St_ky,Det+1)*B1094</f>
      </c>
      <c r="F1094" s="20">
        <f>IF(E1094&gt;0,IF(E1094&lt;=eco,alpha*fck*(1-(1-E1094/eco)^n),alpha*fck),0)</f>
      </c>
      <c r="G1094" s="19">
        <f>F1094*D1094</f>
      </c>
      <c r="H1094" s="19">
        <f>G1094*C1094</f>
      </c>
      <c r="I1094" s="19">
        <f>G1094*B1094</f>
      </c>
      <c r="K1094" s="37">
        <f>Eq_e0+Eq_kx*$C1094+Eq_ky*$B1094</f>
      </c>
      <c r="L1094" s="20">
        <f>IF(K1094&gt;0,IF(K1094&lt;=eco,alpha*fck*(1-(1-K1094/eco)^n),alpha*fck),0)</f>
      </c>
    </row>
    <row r="1095" spans="1:12" x14ac:dyDescent="0.25">
      <c r="A1095">
        <f>Mesh!A1092</f>
      </c>
      <c r="B1095" s="20">
        <f>Mesh!B1092</f>
      </c>
      <c r="C1095" s="20">
        <f>Mesh!C1092</f>
      </c>
      <c r="D1095" s="20">
        <f>Mesh!D1092</f>
      </c>
      <c r="E1095" s="37">
        <f>INDEX(St_e0,Det+1)+INDEX(St_kx,Det+1)*C1095+INDEX(St_ky,Det+1)*B1095</f>
      </c>
      <c r="F1095" s="20">
        <f>IF(E1095&gt;0,IF(E1095&lt;=eco,alpha*fck*(1-(1-E1095/eco)^n),alpha*fck),0)</f>
      </c>
      <c r="G1095" s="19">
        <f>F1095*D1095</f>
      </c>
      <c r="H1095" s="19">
        <f>G1095*C1095</f>
      </c>
      <c r="I1095" s="19">
        <f>G1095*B1095</f>
      </c>
      <c r="K1095" s="37">
        <f>Eq_e0+Eq_kx*$C1095+Eq_ky*$B1095</f>
      </c>
      <c r="L1095" s="20">
        <f>IF(K1095&gt;0,IF(K1095&lt;=eco,alpha*fck*(1-(1-K1095/eco)^n),alpha*fck),0)</f>
      </c>
    </row>
    <row r="1096" spans="1:12" x14ac:dyDescent="0.25">
      <c r="A1096">
        <f>Mesh!A1093</f>
      </c>
      <c r="B1096" s="20">
        <f>Mesh!B1093</f>
      </c>
      <c r="C1096" s="20">
        <f>Mesh!C1093</f>
      </c>
      <c r="D1096" s="20">
        <f>Mesh!D1093</f>
      </c>
      <c r="E1096" s="37">
        <f>INDEX(St_e0,Det+1)+INDEX(St_kx,Det+1)*C1096+INDEX(St_ky,Det+1)*B1096</f>
      </c>
      <c r="F1096" s="20">
        <f>IF(E1096&gt;0,IF(E1096&lt;=eco,alpha*fck*(1-(1-E1096/eco)^n),alpha*fck),0)</f>
      </c>
      <c r="G1096" s="19">
        <f>F1096*D1096</f>
      </c>
      <c r="H1096" s="19">
        <f>G1096*C1096</f>
      </c>
      <c r="I1096" s="19">
        <f>G1096*B1096</f>
      </c>
      <c r="K1096" s="37">
        <f>Eq_e0+Eq_kx*$C1096+Eq_ky*$B1096</f>
      </c>
      <c r="L1096" s="20">
        <f>IF(K1096&gt;0,IF(K1096&lt;=eco,alpha*fck*(1-(1-K1096/eco)^n),alpha*fck),0)</f>
      </c>
    </row>
    <row r="1097" spans="1:12" x14ac:dyDescent="0.25">
      <c r="A1097">
        <f>Mesh!A1094</f>
      </c>
      <c r="B1097" s="20">
        <f>Mesh!B1094</f>
      </c>
      <c r="C1097" s="20">
        <f>Mesh!C1094</f>
      </c>
      <c r="D1097" s="20">
        <f>Mesh!D1094</f>
      </c>
      <c r="E1097" s="37">
        <f>INDEX(St_e0,Det+1)+INDEX(St_kx,Det+1)*C1097+INDEX(St_ky,Det+1)*B1097</f>
      </c>
      <c r="F1097" s="20">
        <f>IF(E1097&gt;0,IF(E1097&lt;=eco,alpha*fck*(1-(1-E1097/eco)^n),alpha*fck),0)</f>
      </c>
      <c r="G1097" s="19">
        <f>F1097*D1097</f>
      </c>
      <c r="H1097" s="19">
        <f>G1097*C1097</f>
      </c>
      <c r="I1097" s="19">
        <f>G1097*B1097</f>
      </c>
      <c r="K1097" s="37">
        <f>Eq_e0+Eq_kx*$C1097+Eq_ky*$B1097</f>
      </c>
      <c r="L1097" s="20">
        <f>IF(K1097&gt;0,IF(K1097&lt;=eco,alpha*fck*(1-(1-K1097/eco)^n),alpha*fck),0)</f>
      </c>
    </row>
    <row r="1098" spans="1:12" x14ac:dyDescent="0.25">
      <c r="A1098">
        <f>Mesh!A1095</f>
      </c>
      <c r="B1098" s="20">
        <f>Mesh!B1095</f>
      </c>
      <c r="C1098" s="20">
        <f>Mesh!C1095</f>
      </c>
      <c r="D1098" s="20">
        <f>Mesh!D1095</f>
      </c>
      <c r="E1098" s="37">
        <f>INDEX(St_e0,Det+1)+INDEX(St_kx,Det+1)*C1098+INDEX(St_ky,Det+1)*B1098</f>
      </c>
      <c r="F1098" s="20">
        <f>IF(E1098&gt;0,IF(E1098&lt;=eco,alpha*fck*(1-(1-E1098/eco)^n),alpha*fck),0)</f>
      </c>
      <c r="G1098" s="19">
        <f>F1098*D1098</f>
      </c>
      <c r="H1098" s="19">
        <f>G1098*C1098</f>
      </c>
      <c r="I1098" s="19">
        <f>G1098*B1098</f>
      </c>
      <c r="K1098" s="37">
        <f>Eq_e0+Eq_kx*$C1098+Eq_ky*$B1098</f>
      </c>
      <c r="L1098" s="20">
        <f>IF(K1098&gt;0,IF(K1098&lt;=eco,alpha*fck*(1-(1-K1098/eco)^n),alpha*fck),0)</f>
      </c>
    </row>
    <row r="1099" spans="1:12" x14ac:dyDescent="0.25">
      <c r="A1099">
        <f>Mesh!A1096</f>
      </c>
      <c r="B1099" s="20">
        <f>Mesh!B1096</f>
      </c>
      <c r="C1099" s="20">
        <f>Mesh!C1096</f>
      </c>
      <c r="D1099" s="20">
        <f>Mesh!D1096</f>
      </c>
      <c r="E1099" s="37">
        <f>INDEX(St_e0,Det+1)+INDEX(St_kx,Det+1)*C1099+INDEX(St_ky,Det+1)*B1099</f>
      </c>
      <c r="F1099" s="20">
        <f>IF(E1099&gt;0,IF(E1099&lt;=eco,alpha*fck*(1-(1-E1099/eco)^n),alpha*fck),0)</f>
      </c>
      <c r="G1099" s="19">
        <f>F1099*D1099</f>
      </c>
      <c r="H1099" s="19">
        <f>G1099*C1099</f>
      </c>
      <c r="I1099" s="19">
        <f>G1099*B1099</f>
      </c>
      <c r="K1099" s="37">
        <f>Eq_e0+Eq_kx*$C1099+Eq_ky*$B1099</f>
      </c>
      <c r="L1099" s="20">
        <f>IF(K1099&gt;0,IF(K1099&lt;=eco,alpha*fck*(1-(1-K1099/eco)^n),alpha*fck),0)</f>
      </c>
    </row>
    <row r="1100" spans="1:12" x14ac:dyDescent="0.25">
      <c r="A1100">
        <f>Mesh!A1097</f>
      </c>
      <c r="B1100" s="20">
        <f>Mesh!B1097</f>
      </c>
      <c r="C1100" s="20">
        <f>Mesh!C1097</f>
      </c>
      <c r="D1100" s="20">
        <f>Mesh!D1097</f>
      </c>
      <c r="E1100" s="37">
        <f>INDEX(St_e0,Det+1)+INDEX(St_kx,Det+1)*C1100+INDEX(St_ky,Det+1)*B1100</f>
      </c>
      <c r="F1100" s="20">
        <f>IF(E1100&gt;0,IF(E1100&lt;=eco,alpha*fck*(1-(1-E1100/eco)^n),alpha*fck),0)</f>
      </c>
      <c r="G1100" s="19">
        <f>F1100*D1100</f>
      </c>
      <c r="H1100" s="19">
        <f>G1100*C1100</f>
      </c>
      <c r="I1100" s="19">
        <f>G1100*B1100</f>
      </c>
      <c r="K1100" s="37">
        <f>Eq_e0+Eq_kx*$C1100+Eq_ky*$B1100</f>
      </c>
      <c r="L1100" s="20">
        <f>IF(K1100&gt;0,IF(K1100&lt;=eco,alpha*fck*(1-(1-K1100/eco)^n),alpha*fck),0)</f>
      </c>
    </row>
    <row r="1101" spans="1:12" x14ac:dyDescent="0.25">
      <c r="A1101">
        <f>Mesh!A1098</f>
      </c>
      <c r="B1101" s="20">
        <f>Mesh!B1098</f>
      </c>
      <c r="C1101" s="20">
        <f>Mesh!C1098</f>
      </c>
      <c r="D1101" s="20">
        <f>Mesh!D1098</f>
      </c>
      <c r="E1101" s="37">
        <f>INDEX(St_e0,Det+1)+INDEX(St_kx,Det+1)*C1101+INDEX(St_ky,Det+1)*B1101</f>
      </c>
      <c r="F1101" s="20">
        <f>IF(E1101&gt;0,IF(E1101&lt;=eco,alpha*fck*(1-(1-E1101/eco)^n),alpha*fck),0)</f>
      </c>
      <c r="G1101" s="19">
        <f>F1101*D1101</f>
      </c>
      <c r="H1101" s="19">
        <f>G1101*C1101</f>
      </c>
      <c r="I1101" s="19">
        <f>G1101*B1101</f>
      </c>
      <c r="K1101" s="37">
        <f>Eq_e0+Eq_kx*$C1101+Eq_ky*$B1101</f>
      </c>
      <c r="L1101" s="20">
        <f>IF(K1101&gt;0,IF(K1101&lt;=eco,alpha*fck*(1-(1-K1101/eco)^n),alpha*fck),0)</f>
      </c>
    </row>
    <row r="1102" spans="1:12" x14ac:dyDescent="0.25">
      <c r="A1102">
        <f>Mesh!A1099</f>
      </c>
      <c r="B1102" s="20">
        <f>Mesh!B1099</f>
      </c>
      <c r="C1102" s="20">
        <f>Mesh!C1099</f>
      </c>
      <c r="D1102" s="20">
        <f>Mesh!D1099</f>
      </c>
      <c r="E1102" s="37">
        <f>INDEX(St_e0,Det+1)+INDEX(St_kx,Det+1)*C1102+INDEX(St_ky,Det+1)*B1102</f>
      </c>
      <c r="F1102" s="20">
        <f>IF(E1102&gt;0,IF(E1102&lt;=eco,alpha*fck*(1-(1-E1102/eco)^n),alpha*fck),0)</f>
      </c>
      <c r="G1102" s="19">
        <f>F1102*D1102</f>
      </c>
      <c r="H1102" s="19">
        <f>G1102*C1102</f>
      </c>
      <c r="I1102" s="19">
        <f>G1102*B1102</f>
      </c>
      <c r="K1102" s="37">
        <f>Eq_e0+Eq_kx*$C1102+Eq_ky*$B1102</f>
      </c>
      <c r="L1102" s="20">
        <f>IF(K1102&gt;0,IF(K1102&lt;=eco,alpha*fck*(1-(1-K1102/eco)^n),alpha*fck),0)</f>
      </c>
    </row>
    <row r="1103" spans="1:12" x14ac:dyDescent="0.25">
      <c r="A1103">
        <f>Mesh!A1100</f>
      </c>
      <c r="B1103" s="20">
        <f>Mesh!B1100</f>
      </c>
      <c r="C1103" s="20">
        <f>Mesh!C1100</f>
      </c>
      <c r="D1103" s="20">
        <f>Mesh!D1100</f>
      </c>
      <c r="E1103" s="37">
        <f>INDEX(St_e0,Det+1)+INDEX(St_kx,Det+1)*C1103+INDEX(St_ky,Det+1)*B1103</f>
      </c>
      <c r="F1103" s="20">
        <f>IF(E1103&gt;0,IF(E1103&lt;=eco,alpha*fck*(1-(1-E1103/eco)^n),alpha*fck),0)</f>
      </c>
      <c r="G1103" s="19">
        <f>F1103*D1103</f>
      </c>
      <c r="H1103" s="19">
        <f>G1103*C1103</f>
      </c>
      <c r="I1103" s="19">
        <f>G1103*B1103</f>
      </c>
      <c r="K1103" s="37">
        <f>Eq_e0+Eq_kx*$C1103+Eq_ky*$B1103</f>
      </c>
      <c r="L1103" s="20">
        <f>IF(K1103&gt;0,IF(K1103&lt;=eco,alpha*fck*(1-(1-K1103/eco)^n),alpha*fck),0)</f>
      </c>
    </row>
    <row r="1104" spans="1:12" x14ac:dyDescent="0.25">
      <c r="A1104">
        <f>Mesh!A1101</f>
      </c>
      <c r="B1104" s="20">
        <f>Mesh!B1101</f>
      </c>
      <c r="C1104" s="20">
        <f>Mesh!C1101</f>
      </c>
      <c r="D1104" s="20">
        <f>Mesh!D1101</f>
      </c>
      <c r="E1104" s="37">
        <f>INDEX(St_e0,Det+1)+INDEX(St_kx,Det+1)*C1104+INDEX(St_ky,Det+1)*B1104</f>
      </c>
      <c r="F1104" s="20">
        <f>IF(E1104&gt;0,IF(E1104&lt;=eco,alpha*fck*(1-(1-E1104/eco)^n),alpha*fck),0)</f>
      </c>
      <c r="G1104" s="19">
        <f>F1104*D1104</f>
      </c>
      <c r="H1104" s="19">
        <f>G1104*C1104</f>
      </c>
      <c r="I1104" s="19">
        <f>G1104*B1104</f>
      </c>
      <c r="K1104" s="37">
        <f>Eq_e0+Eq_kx*$C1104+Eq_ky*$B1104</f>
      </c>
      <c r="L1104" s="20">
        <f>IF(K1104&gt;0,IF(K1104&lt;=eco,alpha*fck*(1-(1-K1104/eco)^n),alpha*fck),0)</f>
      </c>
    </row>
    <row r="1105" spans="1:12" x14ac:dyDescent="0.25">
      <c r="A1105">
        <f>Mesh!A1102</f>
      </c>
      <c r="B1105" s="20">
        <f>Mesh!B1102</f>
      </c>
      <c r="C1105" s="20">
        <f>Mesh!C1102</f>
      </c>
      <c r="D1105" s="20">
        <f>Mesh!D1102</f>
      </c>
      <c r="E1105" s="37">
        <f>INDEX(St_e0,Det+1)+INDEX(St_kx,Det+1)*C1105+INDEX(St_ky,Det+1)*B1105</f>
      </c>
      <c r="F1105" s="20">
        <f>IF(E1105&gt;0,IF(E1105&lt;=eco,alpha*fck*(1-(1-E1105/eco)^n),alpha*fck),0)</f>
      </c>
      <c r="G1105" s="19">
        <f>F1105*D1105</f>
      </c>
      <c r="H1105" s="19">
        <f>G1105*C1105</f>
      </c>
      <c r="I1105" s="19">
        <f>G1105*B1105</f>
      </c>
      <c r="K1105" s="37">
        <f>Eq_e0+Eq_kx*$C1105+Eq_ky*$B1105</f>
      </c>
      <c r="L1105" s="20">
        <f>IF(K1105&gt;0,IF(K1105&lt;=eco,alpha*fck*(1-(1-K1105/eco)^n),alpha*fck),0)</f>
      </c>
    </row>
    <row r="1106" spans="1:12" x14ac:dyDescent="0.25">
      <c r="A1106">
        <f>Mesh!A1103</f>
      </c>
      <c r="B1106" s="20">
        <f>Mesh!B1103</f>
      </c>
      <c r="C1106" s="20">
        <f>Mesh!C1103</f>
      </c>
      <c r="D1106" s="20">
        <f>Mesh!D1103</f>
      </c>
      <c r="E1106" s="37">
        <f>INDEX(St_e0,Det+1)+INDEX(St_kx,Det+1)*C1106+INDEX(St_ky,Det+1)*B1106</f>
      </c>
      <c r="F1106" s="20">
        <f>IF(E1106&gt;0,IF(E1106&lt;=eco,alpha*fck*(1-(1-E1106/eco)^n),alpha*fck),0)</f>
      </c>
      <c r="G1106" s="19">
        <f>F1106*D1106</f>
      </c>
      <c r="H1106" s="19">
        <f>G1106*C1106</f>
      </c>
      <c r="I1106" s="19">
        <f>G1106*B1106</f>
      </c>
      <c r="K1106" s="37">
        <f>Eq_e0+Eq_kx*$C1106+Eq_ky*$B1106</f>
      </c>
      <c r="L1106" s="20">
        <f>IF(K1106&gt;0,IF(K1106&lt;=eco,alpha*fck*(1-(1-K1106/eco)^n),alpha*fck),0)</f>
      </c>
    </row>
    <row r="1107" spans="1:12" x14ac:dyDescent="0.25">
      <c r="A1107">
        <f>Mesh!A1104</f>
      </c>
      <c r="B1107" s="20">
        <f>Mesh!B1104</f>
      </c>
      <c r="C1107" s="20">
        <f>Mesh!C1104</f>
      </c>
      <c r="D1107" s="20">
        <f>Mesh!D1104</f>
      </c>
      <c r="E1107" s="37">
        <f>INDEX(St_e0,Det+1)+INDEX(St_kx,Det+1)*C1107+INDEX(St_ky,Det+1)*B1107</f>
      </c>
      <c r="F1107" s="20">
        <f>IF(E1107&gt;0,IF(E1107&lt;=eco,alpha*fck*(1-(1-E1107/eco)^n),alpha*fck),0)</f>
      </c>
      <c r="G1107" s="19">
        <f>F1107*D1107</f>
      </c>
      <c r="H1107" s="19">
        <f>G1107*C1107</f>
      </c>
      <c r="I1107" s="19">
        <f>G1107*B1107</f>
      </c>
      <c r="K1107" s="37">
        <f>Eq_e0+Eq_kx*$C1107+Eq_ky*$B1107</f>
      </c>
      <c r="L1107" s="20">
        <f>IF(K1107&gt;0,IF(K1107&lt;=eco,alpha*fck*(1-(1-K1107/eco)^n),alpha*fck),0)</f>
      </c>
    </row>
    <row r="1108" spans="1:12" x14ac:dyDescent="0.25">
      <c r="A1108">
        <f>Mesh!A1105</f>
      </c>
      <c r="B1108" s="20">
        <f>Mesh!B1105</f>
      </c>
      <c r="C1108" s="20">
        <f>Mesh!C1105</f>
      </c>
      <c r="D1108" s="20">
        <f>Mesh!D1105</f>
      </c>
      <c r="E1108" s="37">
        <f>INDEX(St_e0,Det+1)+INDEX(St_kx,Det+1)*C1108+INDEX(St_ky,Det+1)*B1108</f>
      </c>
      <c r="F1108" s="20">
        <f>IF(E1108&gt;0,IF(E1108&lt;=eco,alpha*fck*(1-(1-E1108/eco)^n),alpha*fck),0)</f>
      </c>
      <c r="G1108" s="19">
        <f>F1108*D1108</f>
      </c>
      <c r="H1108" s="19">
        <f>G1108*C1108</f>
      </c>
      <c r="I1108" s="19">
        <f>G1108*B1108</f>
      </c>
      <c r="K1108" s="37">
        <f>Eq_e0+Eq_kx*$C1108+Eq_ky*$B1108</f>
      </c>
      <c r="L1108" s="20">
        <f>IF(K1108&gt;0,IF(K1108&lt;=eco,alpha*fck*(1-(1-K1108/eco)^n),alpha*fck),0)</f>
      </c>
    </row>
    <row r="1109" spans="1:12" x14ac:dyDescent="0.25">
      <c r="A1109">
        <f>Mesh!A1106</f>
      </c>
      <c r="B1109" s="20">
        <f>Mesh!B1106</f>
      </c>
      <c r="C1109" s="20">
        <f>Mesh!C1106</f>
      </c>
      <c r="D1109" s="20">
        <f>Mesh!D1106</f>
      </c>
      <c r="E1109" s="37">
        <f>INDEX(St_e0,Det+1)+INDEX(St_kx,Det+1)*C1109+INDEX(St_ky,Det+1)*B1109</f>
      </c>
      <c r="F1109" s="20">
        <f>IF(E1109&gt;0,IF(E1109&lt;=eco,alpha*fck*(1-(1-E1109/eco)^n),alpha*fck),0)</f>
      </c>
      <c r="G1109" s="19">
        <f>F1109*D1109</f>
      </c>
      <c r="H1109" s="19">
        <f>G1109*C1109</f>
      </c>
      <c r="I1109" s="19">
        <f>G1109*B1109</f>
      </c>
      <c r="K1109" s="37">
        <f>Eq_e0+Eq_kx*$C1109+Eq_ky*$B1109</f>
      </c>
      <c r="L1109" s="20">
        <f>IF(K1109&gt;0,IF(K1109&lt;=eco,alpha*fck*(1-(1-K1109/eco)^n),alpha*fck),0)</f>
      </c>
    </row>
    <row r="1110" spans="1:12" x14ac:dyDescent="0.25">
      <c r="A1110">
        <f>Mesh!A1107</f>
      </c>
      <c r="B1110" s="20">
        <f>Mesh!B1107</f>
      </c>
      <c r="C1110" s="20">
        <f>Mesh!C1107</f>
      </c>
      <c r="D1110" s="20">
        <f>Mesh!D1107</f>
      </c>
      <c r="E1110" s="37">
        <f>INDEX(St_e0,Det+1)+INDEX(St_kx,Det+1)*C1110+INDEX(St_ky,Det+1)*B1110</f>
      </c>
      <c r="F1110" s="20">
        <f>IF(E1110&gt;0,IF(E1110&lt;=eco,alpha*fck*(1-(1-E1110/eco)^n),alpha*fck),0)</f>
      </c>
      <c r="G1110" s="19">
        <f>F1110*D1110</f>
      </c>
      <c r="H1110" s="19">
        <f>G1110*C1110</f>
      </c>
      <c r="I1110" s="19">
        <f>G1110*B1110</f>
      </c>
      <c r="K1110" s="37">
        <f>Eq_e0+Eq_kx*$C1110+Eq_ky*$B1110</f>
      </c>
      <c r="L1110" s="20">
        <f>IF(K1110&gt;0,IF(K1110&lt;=eco,alpha*fck*(1-(1-K1110/eco)^n),alpha*fck),0)</f>
      </c>
    </row>
    <row r="1111" spans="1:12" x14ac:dyDescent="0.25">
      <c r="A1111">
        <f>Mesh!A1108</f>
      </c>
      <c r="B1111" s="20">
        <f>Mesh!B1108</f>
      </c>
      <c r="C1111" s="20">
        <f>Mesh!C1108</f>
      </c>
      <c r="D1111" s="20">
        <f>Mesh!D1108</f>
      </c>
      <c r="E1111" s="37">
        <f>INDEX(St_e0,Det+1)+INDEX(St_kx,Det+1)*C1111+INDEX(St_ky,Det+1)*B1111</f>
      </c>
      <c r="F1111" s="20">
        <f>IF(E1111&gt;0,IF(E1111&lt;=eco,alpha*fck*(1-(1-E1111/eco)^n),alpha*fck),0)</f>
      </c>
      <c r="G1111" s="19">
        <f>F1111*D1111</f>
      </c>
      <c r="H1111" s="19">
        <f>G1111*C1111</f>
      </c>
      <c r="I1111" s="19">
        <f>G1111*B1111</f>
      </c>
      <c r="K1111" s="37">
        <f>Eq_e0+Eq_kx*$C1111+Eq_ky*$B1111</f>
      </c>
      <c r="L1111" s="20">
        <f>IF(K1111&gt;0,IF(K1111&lt;=eco,alpha*fck*(1-(1-K1111/eco)^n),alpha*fck),0)</f>
      </c>
    </row>
    <row r="1112" spans="1:12" x14ac:dyDescent="0.25">
      <c r="A1112">
        <f>Mesh!A1109</f>
      </c>
      <c r="B1112" s="20">
        <f>Mesh!B1109</f>
      </c>
      <c r="C1112" s="20">
        <f>Mesh!C1109</f>
      </c>
      <c r="D1112" s="20">
        <f>Mesh!D1109</f>
      </c>
      <c r="E1112" s="37">
        <f>INDEX(St_e0,Det+1)+INDEX(St_kx,Det+1)*C1112+INDEX(St_ky,Det+1)*B1112</f>
      </c>
      <c r="F1112" s="20">
        <f>IF(E1112&gt;0,IF(E1112&lt;=eco,alpha*fck*(1-(1-E1112/eco)^n),alpha*fck),0)</f>
      </c>
      <c r="G1112" s="19">
        <f>F1112*D1112</f>
      </c>
      <c r="H1112" s="19">
        <f>G1112*C1112</f>
      </c>
      <c r="I1112" s="19">
        <f>G1112*B1112</f>
      </c>
      <c r="K1112" s="37">
        <f>Eq_e0+Eq_kx*$C1112+Eq_ky*$B1112</f>
      </c>
      <c r="L1112" s="20">
        <f>IF(K1112&gt;0,IF(K1112&lt;=eco,alpha*fck*(1-(1-K1112/eco)^n),alpha*fck),0)</f>
      </c>
    </row>
    <row r="1113" spans="1:12" x14ac:dyDescent="0.25">
      <c r="A1113">
        <f>Mesh!A1110</f>
      </c>
      <c r="B1113" s="20">
        <f>Mesh!B1110</f>
      </c>
      <c r="C1113" s="20">
        <f>Mesh!C1110</f>
      </c>
      <c r="D1113" s="20">
        <f>Mesh!D1110</f>
      </c>
      <c r="E1113" s="37">
        <f>INDEX(St_e0,Det+1)+INDEX(St_kx,Det+1)*C1113+INDEX(St_ky,Det+1)*B1113</f>
      </c>
      <c r="F1113" s="20">
        <f>IF(E1113&gt;0,IF(E1113&lt;=eco,alpha*fck*(1-(1-E1113/eco)^n),alpha*fck),0)</f>
      </c>
      <c r="G1113" s="19">
        <f>F1113*D1113</f>
      </c>
      <c r="H1113" s="19">
        <f>G1113*C1113</f>
      </c>
      <c r="I1113" s="19">
        <f>G1113*B1113</f>
      </c>
      <c r="K1113" s="37">
        <f>Eq_e0+Eq_kx*$C1113+Eq_ky*$B1113</f>
      </c>
      <c r="L1113" s="20">
        <f>IF(K1113&gt;0,IF(K1113&lt;=eco,alpha*fck*(1-(1-K1113/eco)^n),alpha*fck),0)</f>
      </c>
    </row>
    <row r="1114" spans="1:12" x14ac:dyDescent="0.25">
      <c r="A1114">
        <f>Mesh!A1111</f>
      </c>
      <c r="B1114" s="20">
        <f>Mesh!B1111</f>
      </c>
      <c r="C1114" s="20">
        <f>Mesh!C1111</f>
      </c>
      <c r="D1114" s="20">
        <f>Mesh!D1111</f>
      </c>
      <c r="E1114" s="37">
        <f>INDEX(St_e0,Det+1)+INDEX(St_kx,Det+1)*C1114+INDEX(St_ky,Det+1)*B1114</f>
      </c>
      <c r="F1114" s="20">
        <f>IF(E1114&gt;0,IF(E1114&lt;=eco,alpha*fck*(1-(1-E1114/eco)^n),alpha*fck),0)</f>
      </c>
      <c r="G1114" s="19">
        <f>F1114*D1114</f>
      </c>
      <c r="H1114" s="19">
        <f>G1114*C1114</f>
      </c>
      <c r="I1114" s="19">
        <f>G1114*B1114</f>
      </c>
      <c r="K1114" s="37">
        <f>Eq_e0+Eq_kx*$C1114+Eq_ky*$B1114</f>
      </c>
      <c r="L1114" s="20">
        <f>IF(K1114&gt;0,IF(K1114&lt;=eco,alpha*fck*(1-(1-K1114/eco)^n),alpha*fck),0)</f>
      </c>
    </row>
    <row r="1115" spans="1:12" x14ac:dyDescent="0.25">
      <c r="A1115">
        <f>Mesh!A1112</f>
      </c>
      <c r="B1115" s="20">
        <f>Mesh!B1112</f>
      </c>
      <c r="C1115" s="20">
        <f>Mesh!C1112</f>
      </c>
      <c r="D1115" s="20">
        <f>Mesh!D1112</f>
      </c>
      <c r="E1115" s="37">
        <f>INDEX(St_e0,Det+1)+INDEX(St_kx,Det+1)*C1115+INDEX(St_ky,Det+1)*B1115</f>
      </c>
      <c r="F1115" s="20">
        <f>IF(E1115&gt;0,IF(E1115&lt;=eco,alpha*fck*(1-(1-E1115/eco)^n),alpha*fck),0)</f>
      </c>
      <c r="G1115" s="19">
        <f>F1115*D1115</f>
      </c>
      <c r="H1115" s="19">
        <f>G1115*C1115</f>
      </c>
      <c r="I1115" s="19">
        <f>G1115*B1115</f>
      </c>
      <c r="K1115" s="37">
        <f>Eq_e0+Eq_kx*$C1115+Eq_ky*$B1115</f>
      </c>
      <c r="L1115" s="20">
        <f>IF(K1115&gt;0,IF(K1115&lt;=eco,alpha*fck*(1-(1-K1115/eco)^n),alpha*fck),0)</f>
      </c>
    </row>
    <row r="1116" spans="1:12" x14ac:dyDescent="0.25">
      <c r="A1116">
        <f>Mesh!A1113</f>
      </c>
      <c r="B1116" s="20">
        <f>Mesh!B1113</f>
      </c>
      <c r="C1116" s="20">
        <f>Mesh!C1113</f>
      </c>
      <c r="D1116" s="20">
        <f>Mesh!D1113</f>
      </c>
      <c r="E1116" s="37">
        <f>INDEX(St_e0,Det+1)+INDEX(St_kx,Det+1)*C1116+INDEX(St_ky,Det+1)*B1116</f>
      </c>
      <c r="F1116" s="20">
        <f>IF(E1116&gt;0,IF(E1116&lt;=eco,alpha*fck*(1-(1-E1116/eco)^n),alpha*fck),0)</f>
      </c>
      <c r="G1116" s="19">
        <f>F1116*D1116</f>
      </c>
      <c r="H1116" s="19">
        <f>G1116*C1116</f>
      </c>
      <c r="I1116" s="19">
        <f>G1116*B1116</f>
      </c>
      <c r="K1116" s="37">
        <f>Eq_e0+Eq_kx*$C1116+Eq_ky*$B1116</f>
      </c>
      <c r="L1116" s="20">
        <f>IF(K1116&gt;0,IF(K1116&lt;=eco,alpha*fck*(1-(1-K1116/eco)^n),alpha*fck),0)</f>
      </c>
    </row>
    <row r="1117" spans="1:12" x14ac:dyDescent="0.25">
      <c r="A1117">
        <f>Mesh!A1114</f>
      </c>
      <c r="B1117" s="20">
        <f>Mesh!B1114</f>
      </c>
      <c r="C1117" s="20">
        <f>Mesh!C1114</f>
      </c>
      <c r="D1117" s="20">
        <f>Mesh!D1114</f>
      </c>
      <c r="E1117" s="37">
        <f>INDEX(St_e0,Det+1)+INDEX(St_kx,Det+1)*C1117+INDEX(St_ky,Det+1)*B1117</f>
      </c>
      <c r="F1117" s="20">
        <f>IF(E1117&gt;0,IF(E1117&lt;=eco,alpha*fck*(1-(1-E1117/eco)^n),alpha*fck),0)</f>
      </c>
      <c r="G1117" s="19">
        <f>F1117*D1117</f>
      </c>
      <c r="H1117" s="19">
        <f>G1117*C1117</f>
      </c>
      <c r="I1117" s="19">
        <f>G1117*B1117</f>
      </c>
      <c r="K1117" s="37">
        <f>Eq_e0+Eq_kx*$C1117+Eq_ky*$B1117</f>
      </c>
      <c r="L1117" s="20">
        <f>IF(K1117&gt;0,IF(K1117&lt;=eco,alpha*fck*(1-(1-K1117/eco)^n),alpha*fck),0)</f>
      </c>
    </row>
    <row r="1118" spans="1:12" x14ac:dyDescent="0.25">
      <c r="A1118">
        <f>Mesh!A1115</f>
      </c>
      <c r="B1118" s="20">
        <f>Mesh!B1115</f>
      </c>
      <c r="C1118" s="20">
        <f>Mesh!C1115</f>
      </c>
      <c r="D1118" s="20">
        <f>Mesh!D1115</f>
      </c>
      <c r="E1118" s="37">
        <f>INDEX(St_e0,Det+1)+INDEX(St_kx,Det+1)*C1118+INDEX(St_ky,Det+1)*B1118</f>
      </c>
      <c r="F1118" s="20">
        <f>IF(E1118&gt;0,IF(E1118&lt;=eco,alpha*fck*(1-(1-E1118/eco)^n),alpha*fck),0)</f>
      </c>
      <c r="G1118" s="19">
        <f>F1118*D1118</f>
      </c>
      <c r="H1118" s="19">
        <f>G1118*C1118</f>
      </c>
      <c r="I1118" s="19">
        <f>G1118*B1118</f>
      </c>
      <c r="K1118" s="37">
        <f>Eq_e0+Eq_kx*$C1118+Eq_ky*$B1118</f>
      </c>
      <c r="L1118" s="20">
        <f>IF(K1118&gt;0,IF(K1118&lt;=eco,alpha*fck*(1-(1-K1118/eco)^n),alpha*fck),0)</f>
      </c>
    </row>
    <row r="1119" spans="1:12" x14ac:dyDescent="0.25">
      <c r="A1119">
        <f>Mesh!A1116</f>
      </c>
      <c r="B1119" s="20">
        <f>Mesh!B1116</f>
      </c>
      <c r="C1119" s="20">
        <f>Mesh!C1116</f>
      </c>
      <c r="D1119" s="20">
        <f>Mesh!D1116</f>
      </c>
      <c r="E1119" s="37">
        <f>INDEX(St_e0,Det+1)+INDEX(St_kx,Det+1)*C1119+INDEX(St_ky,Det+1)*B1119</f>
      </c>
      <c r="F1119" s="20">
        <f>IF(E1119&gt;0,IF(E1119&lt;=eco,alpha*fck*(1-(1-E1119/eco)^n),alpha*fck),0)</f>
      </c>
      <c r="G1119" s="19">
        <f>F1119*D1119</f>
      </c>
      <c r="H1119" s="19">
        <f>G1119*C1119</f>
      </c>
      <c r="I1119" s="19">
        <f>G1119*B1119</f>
      </c>
      <c r="K1119" s="37">
        <f>Eq_e0+Eq_kx*$C1119+Eq_ky*$B1119</f>
      </c>
      <c r="L1119" s="20">
        <f>IF(K1119&gt;0,IF(K1119&lt;=eco,alpha*fck*(1-(1-K1119/eco)^n),alpha*fck),0)</f>
      </c>
    </row>
    <row r="1120" spans="1:12" x14ac:dyDescent="0.25">
      <c r="A1120">
        <f>Mesh!A1117</f>
      </c>
      <c r="B1120" s="20">
        <f>Mesh!B1117</f>
      </c>
      <c r="C1120" s="20">
        <f>Mesh!C1117</f>
      </c>
      <c r="D1120" s="20">
        <f>Mesh!D1117</f>
      </c>
      <c r="E1120" s="37">
        <f>INDEX(St_e0,Det+1)+INDEX(St_kx,Det+1)*C1120+INDEX(St_ky,Det+1)*B1120</f>
      </c>
      <c r="F1120" s="20">
        <f>IF(E1120&gt;0,IF(E1120&lt;=eco,alpha*fck*(1-(1-E1120/eco)^n),alpha*fck),0)</f>
      </c>
      <c r="G1120" s="19">
        <f>F1120*D1120</f>
      </c>
      <c r="H1120" s="19">
        <f>G1120*C1120</f>
      </c>
      <c r="I1120" s="19">
        <f>G1120*B1120</f>
      </c>
      <c r="K1120" s="37">
        <f>Eq_e0+Eq_kx*$C1120+Eq_ky*$B1120</f>
      </c>
      <c r="L1120" s="20">
        <f>IF(K1120&gt;0,IF(K1120&lt;=eco,alpha*fck*(1-(1-K1120/eco)^n),alpha*fck),0)</f>
      </c>
    </row>
    <row r="1121" spans="1:12" x14ac:dyDescent="0.25">
      <c r="A1121">
        <f>Mesh!A1118</f>
      </c>
      <c r="B1121" s="20">
        <f>Mesh!B1118</f>
      </c>
      <c r="C1121" s="20">
        <f>Mesh!C1118</f>
      </c>
      <c r="D1121" s="20">
        <f>Mesh!D1118</f>
      </c>
      <c r="E1121" s="37">
        <f>INDEX(St_e0,Det+1)+INDEX(St_kx,Det+1)*C1121+INDEX(St_ky,Det+1)*B1121</f>
      </c>
      <c r="F1121" s="20">
        <f>IF(E1121&gt;0,IF(E1121&lt;=eco,alpha*fck*(1-(1-E1121/eco)^n),alpha*fck),0)</f>
      </c>
      <c r="G1121" s="19">
        <f>F1121*D1121</f>
      </c>
      <c r="H1121" s="19">
        <f>G1121*C1121</f>
      </c>
      <c r="I1121" s="19">
        <f>G1121*B1121</f>
      </c>
      <c r="K1121" s="37">
        <f>Eq_e0+Eq_kx*$C1121+Eq_ky*$B1121</f>
      </c>
      <c r="L1121" s="20">
        <f>IF(K1121&gt;0,IF(K1121&lt;=eco,alpha*fck*(1-(1-K1121/eco)^n),alpha*fck),0)</f>
      </c>
    </row>
    <row r="1122" spans="1:12" x14ac:dyDescent="0.25">
      <c r="A1122">
        <f>Mesh!A1119</f>
      </c>
      <c r="B1122" s="20">
        <f>Mesh!B1119</f>
      </c>
      <c r="C1122" s="20">
        <f>Mesh!C1119</f>
      </c>
      <c r="D1122" s="20">
        <f>Mesh!D1119</f>
      </c>
      <c r="E1122" s="37">
        <f>INDEX(St_e0,Det+1)+INDEX(St_kx,Det+1)*C1122+INDEX(St_ky,Det+1)*B1122</f>
      </c>
      <c r="F1122" s="20">
        <f>IF(E1122&gt;0,IF(E1122&lt;=eco,alpha*fck*(1-(1-E1122/eco)^n),alpha*fck),0)</f>
      </c>
      <c r="G1122" s="19">
        <f>F1122*D1122</f>
      </c>
      <c r="H1122" s="19">
        <f>G1122*C1122</f>
      </c>
      <c r="I1122" s="19">
        <f>G1122*B1122</f>
      </c>
      <c r="K1122" s="37">
        <f>Eq_e0+Eq_kx*$C1122+Eq_ky*$B1122</f>
      </c>
      <c r="L1122" s="20">
        <f>IF(K1122&gt;0,IF(K1122&lt;=eco,alpha*fck*(1-(1-K1122/eco)^n),alpha*fck),0)</f>
      </c>
    </row>
    <row r="1123" spans="1:12" x14ac:dyDescent="0.25">
      <c r="A1123">
        <f>Mesh!A1120</f>
      </c>
      <c r="B1123" s="20">
        <f>Mesh!B1120</f>
      </c>
      <c r="C1123" s="20">
        <f>Mesh!C1120</f>
      </c>
      <c r="D1123" s="20">
        <f>Mesh!D1120</f>
      </c>
      <c r="E1123" s="37">
        <f>INDEX(St_e0,Det+1)+INDEX(St_kx,Det+1)*C1123+INDEX(St_ky,Det+1)*B1123</f>
      </c>
      <c r="F1123" s="20">
        <f>IF(E1123&gt;0,IF(E1123&lt;=eco,alpha*fck*(1-(1-E1123/eco)^n),alpha*fck),0)</f>
      </c>
      <c r="G1123" s="19">
        <f>F1123*D1123</f>
      </c>
      <c r="H1123" s="19">
        <f>G1123*C1123</f>
      </c>
      <c r="I1123" s="19">
        <f>G1123*B1123</f>
      </c>
      <c r="K1123" s="37">
        <f>Eq_e0+Eq_kx*$C1123+Eq_ky*$B1123</f>
      </c>
      <c r="L1123" s="20">
        <f>IF(K1123&gt;0,IF(K1123&lt;=eco,alpha*fck*(1-(1-K1123/eco)^n),alpha*fck),0)</f>
      </c>
    </row>
    <row r="1124" spans="1:12" x14ac:dyDescent="0.25">
      <c r="A1124">
        <f>Mesh!A1121</f>
      </c>
      <c r="B1124" s="20">
        <f>Mesh!B1121</f>
      </c>
      <c r="C1124" s="20">
        <f>Mesh!C1121</f>
      </c>
      <c r="D1124" s="20">
        <f>Mesh!D1121</f>
      </c>
      <c r="E1124" s="37">
        <f>INDEX(St_e0,Det+1)+INDEX(St_kx,Det+1)*C1124+INDEX(St_ky,Det+1)*B1124</f>
      </c>
      <c r="F1124" s="20">
        <f>IF(E1124&gt;0,IF(E1124&lt;=eco,alpha*fck*(1-(1-E1124/eco)^n),alpha*fck),0)</f>
      </c>
      <c r="G1124" s="19">
        <f>F1124*D1124</f>
      </c>
      <c r="H1124" s="19">
        <f>G1124*C1124</f>
      </c>
      <c r="I1124" s="19">
        <f>G1124*B1124</f>
      </c>
      <c r="K1124" s="37">
        <f>Eq_e0+Eq_kx*$C1124+Eq_ky*$B1124</f>
      </c>
      <c r="L1124" s="20">
        <f>IF(K1124&gt;0,IF(K1124&lt;=eco,alpha*fck*(1-(1-K1124/eco)^n),alpha*fck),0)</f>
      </c>
    </row>
    <row r="1125" spans="1:12" x14ac:dyDescent="0.25">
      <c r="A1125">
        <f>Mesh!A1122</f>
      </c>
      <c r="B1125" s="20">
        <f>Mesh!B1122</f>
      </c>
      <c r="C1125" s="20">
        <f>Mesh!C1122</f>
      </c>
      <c r="D1125" s="20">
        <f>Mesh!D1122</f>
      </c>
      <c r="E1125" s="37">
        <f>INDEX(St_e0,Det+1)+INDEX(St_kx,Det+1)*C1125+INDEX(St_ky,Det+1)*B1125</f>
      </c>
      <c r="F1125" s="20">
        <f>IF(E1125&gt;0,IF(E1125&lt;=eco,alpha*fck*(1-(1-E1125/eco)^n),alpha*fck),0)</f>
      </c>
      <c r="G1125" s="19">
        <f>F1125*D1125</f>
      </c>
      <c r="H1125" s="19">
        <f>G1125*C1125</f>
      </c>
      <c r="I1125" s="19">
        <f>G1125*B1125</f>
      </c>
      <c r="K1125" s="37">
        <f>Eq_e0+Eq_kx*$C1125+Eq_ky*$B1125</f>
      </c>
      <c r="L1125" s="20">
        <f>IF(K1125&gt;0,IF(K1125&lt;=eco,alpha*fck*(1-(1-K1125/eco)^n),alpha*fck),0)</f>
      </c>
    </row>
    <row r="1126" spans="1:12" x14ac:dyDescent="0.25">
      <c r="A1126">
        <f>Mesh!A1123</f>
      </c>
      <c r="B1126" s="20">
        <f>Mesh!B1123</f>
      </c>
      <c r="C1126" s="20">
        <f>Mesh!C1123</f>
      </c>
      <c r="D1126" s="20">
        <f>Mesh!D1123</f>
      </c>
      <c r="E1126" s="37">
        <f>INDEX(St_e0,Det+1)+INDEX(St_kx,Det+1)*C1126+INDEX(St_ky,Det+1)*B1126</f>
      </c>
      <c r="F1126" s="20">
        <f>IF(E1126&gt;0,IF(E1126&lt;=eco,alpha*fck*(1-(1-E1126/eco)^n),alpha*fck),0)</f>
      </c>
      <c r="G1126" s="19">
        <f>F1126*D1126</f>
      </c>
      <c r="H1126" s="19">
        <f>G1126*C1126</f>
      </c>
      <c r="I1126" s="19">
        <f>G1126*B1126</f>
      </c>
      <c r="K1126" s="37">
        <f>Eq_e0+Eq_kx*$C1126+Eq_ky*$B1126</f>
      </c>
      <c r="L1126" s="20">
        <f>IF(K1126&gt;0,IF(K1126&lt;=eco,alpha*fck*(1-(1-K1126/eco)^n),alpha*fck),0)</f>
      </c>
    </row>
    <row r="1127" spans="1:12" x14ac:dyDescent="0.25">
      <c r="A1127">
        <f>Mesh!A1124</f>
      </c>
      <c r="B1127" s="20">
        <f>Mesh!B1124</f>
      </c>
      <c r="C1127" s="20">
        <f>Mesh!C1124</f>
      </c>
      <c r="D1127" s="20">
        <f>Mesh!D1124</f>
      </c>
      <c r="E1127" s="37">
        <f>INDEX(St_e0,Det+1)+INDEX(St_kx,Det+1)*C1127+INDEX(St_ky,Det+1)*B1127</f>
      </c>
      <c r="F1127" s="20">
        <f>IF(E1127&gt;0,IF(E1127&lt;=eco,alpha*fck*(1-(1-E1127/eco)^n),alpha*fck),0)</f>
      </c>
      <c r="G1127" s="19">
        <f>F1127*D1127</f>
      </c>
      <c r="H1127" s="19">
        <f>G1127*C1127</f>
      </c>
      <c r="I1127" s="19">
        <f>G1127*B1127</f>
      </c>
      <c r="K1127" s="37">
        <f>Eq_e0+Eq_kx*$C1127+Eq_ky*$B1127</f>
      </c>
      <c r="L1127" s="20">
        <f>IF(K1127&gt;0,IF(K1127&lt;=eco,alpha*fck*(1-(1-K1127/eco)^n),alpha*fck),0)</f>
      </c>
    </row>
    <row r="1128" spans="1:12" x14ac:dyDescent="0.25">
      <c r="A1128">
        <f>Mesh!A1125</f>
      </c>
      <c r="B1128" s="20">
        <f>Mesh!B1125</f>
      </c>
      <c r="C1128" s="20">
        <f>Mesh!C1125</f>
      </c>
      <c r="D1128" s="20">
        <f>Mesh!D1125</f>
      </c>
      <c r="E1128" s="37">
        <f>INDEX(St_e0,Det+1)+INDEX(St_kx,Det+1)*C1128+INDEX(St_ky,Det+1)*B1128</f>
      </c>
      <c r="F1128" s="20">
        <f>IF(E1128&gt;0,IF(E1128&lt;=eco,alpha*fck*(1-(1-E1128/eco)^n),alpha*fck),0)</f>
      </c>
      <c r="G1128" s="19">
        <f>F1128*D1128</f>
      </c>
      <c r="H1128" s="19">
        <f>G1128*C1128</f>
      </c>
      <c r="I1128" s="19">
        <f>G1128*B1128</f>
      </c>
      <c r="K1128" s="37">
        <f>Eq_e0+Eq_kx*$C1128+Eq_ky*$B1128</f>
      </c>
      <c r="L1128" s="20">
        <f>IF(K1128&gt;0,IF(K1128&lt;=eco,alpha*fck*(1-(1-K1128/eco)^n),alpha*fck),0)</f>
      </c>
    </row>
    <row r="1129" spans="1:12" x14ac:dyDescent="0.25">
      <c r="A1129">
        <f>Mesh!A1126</f>
      </c>
      <c r="B1129" s="20">
        <f>Mesh!B1126</f>
      </c>
      <c r="C1129" s="20">
        <f>Mesh!C1126</f>
      </c>
      <c r="D1129" s="20">
        <f>Mesh!D1126</f>
      </c>
      <c r="E1129" s="37">
        <f>INDEX(St_e0,Det+1)+INDEX(St_kx,Det+1)*C1129+INDEX(St_ky,Det+1)*B1129</f>
      </c>
      <c r="F1129" s="20">
        <f>IF(E1129&gt;0,IF(E1129&lt;=eco,alpha*fck*(1-(1-E1129/eco)^n),alpha*fck),0)</f>
      </c>
      <c r="G1129" s="19">
        <f>F1129*D1129</f>
      </c>
      <c r="H1129" s="19">
        <f>G1129*C1129</f>
      </c>
      <c r="I1129" s="19">
        <f>G1129*B1129</f>
      </c>
      <c r="K1129" s="37">
        <f>Eq_e0+Eq_kx*$C1129+Eq_ky*$B1129</f>
      </c>
      <c r="L1129" s="20">
        <f>IF(K1129&gt;0,IF(K1129&lt;=eco,alpha*fck*(1-(1-K1129/eco)^n),alpha*fck),0)</f>
      </c>
    </row>
    <row r="1130" spans="1:12" x14ac:dyDescent="0.25">
      <c r="A1130">
        <f>Mesh!A1127</f>
      </c>
      <c r="B1130" s="20">
        <f>Mesh!B1127</f>
      </c>
      <c r="C1130" s="20">
        <f>Mesh!C1127</f>
      </c>
      <c r="D1130" s="20">
        <f>Mesh!D1127</f>
      </c>
      <c r="E1130" s="37">
        <f>INDEX(St_e0,Det+1)+INDEX(St_kx,Det+1)*C1130+INDEX(St_ky,Det+1)*B1130</f>
      </c>
      <c r="F1130" s="20">
        <f>IF(E1130&gt;0,IF(E1130&lt;=eco,alpha*fck*(1-(1-E1130/eco)^n),alpha*fck),0)</f>
      </c>
      <c r="G1130" s="19">
        <f>F1130*D1130</f>
      </c>
      <c r="H1130" s="19">
        <f>G1130*C1130</f>
      </c>
      <c r="I1130" s="19">
        <f>G1130*B1130</f>
      </c>
      <c r="K1130" s="37">
        <f>Eq_e0+Eq_kx*$C1130+Eq_ky*$B1130</f>
      </c>
      <c r="L1130" s="20">
        <f>IF(K1130&gt;0,IF(K1130&lt;=eco,alpha*fck*(1-(1-K1130/eco)^n),alpha*fck),0)</f>
      </c>
    </row>
    <row r="1131" spans="1:12" x14ac:dyDescent="0.25">
      <c r="A1131">
        <f>Mesh!A1128</f>
      </c>
      <c r="B1131" s="20">
        <f>Mesh!B1128</f>
      </c>
      <c r="C1131" s="20">
        <f>Mesh!C1128</f>
      </c>
      <c r="D1131" s="20">
        <f>Mesh!D1128</f>
      </c>
      <c r="E1131" s="37">
        <f>INDEX(St_e0,Det+1)+INDEX(St_kx,Det+1)*C1131+INDEX(St_ky,Det+1)*B1131</f>
      </c>
      <c r="F1131" s="20">
        <f>IF(E1131&gt;0,IF(E1131&lt;=eco,alpha*fck*(1-(1-E1131/eco)^n),alpha*fck),0)</f>
      </c>
      <c r="G1131" s="19">
        <f>F1131*D1131</f>
      </c>
      <c r="H1131" s="19">
        <f>G1131*C1131</f>
      </c>
      <c r="I1131" s="19">
        <f>G1131*B1131</f>
      </c>
      <c r="K1131" s="37">
        <f>Eq_e0+Eq_kx*$C1131+Eq_ky*$B1131</f>
      </c>
      <c r="L1131" s="20">
        <f>IF(K1131&gt;0,IF(K1131&lt;=eco,alpha*fck*(1-(1-K1131/eco)^n),alpha*fck),0)</f>
      </c>
    </row>
    <row r="1132" spans="1:12" x14ac:dyDescent="0.25">
      <c r="A1132">
        <f>Mesh!A1129</f>
      </c>
      <c r="B1132" s="20">
        <f>Mesh!B1129</f>
      </c>
      <c r="C1132" s="20">
        <f>Mesh!C1129</f>
      </c>
      <c r="D1132" s="20">
        <f>Mesh!D1129</f>
      </c>
      <c r="E1132" s="37">
        <f>INDEX(St_e0,Det+1)+INDEX(St_kx,Det+1)*C1132+INDEX(St_ky,Det+1)*B1132</f>
      </c>
      <c r="F1132" s="20">
        <f>IF(E1132&gt;0,IF(E1132&lt;=eco,alpha*fck*(1-(1-E1132/eco)^n),alpha*fck),0)</f>
      </c>
      <c r="G1132" s="19">
        <f>F1132*D1132</f>
      </c>
      <c r="H1132" s="19">
        <f>G1132*C1132</f>
      </c>
      <c r="I1132" s="19">
        <f>G1132*B1132</f>
      </c>
      <c r="K1132" s="37">
        <f>Eq_e0+Eq_kx*$C1132+Eq_ky*$B1132</f>
      </c>
      <c r="L1132" s="20">
        <f>IF(K1132&gt;0,IF(K1132&lt;=eco,alpha*fck*(1-(1-K1132/eco)^n),alpha*fck),0)</f>
      </c>
    </row>
    <row r="1133" spans="1:12" x14ac:dyDescent="0.25">
      <c r="A1133">
        <f>Mesh!A1130</f>
      </c>
      <c r="B1133" s="20">
        <f>Mesh!B1130</f>
      </c>
      <c r="C1133" s="20">
        <f>Mesh!C1130</f>
      </c>
      <c r="D1133" s="20">
        <f>Mesh!D1130</f>
      </c>
      <c r="E1133" s="37">
        <f>INDEX(St_e0,Det+1)+INDEX(St_kx,Det+1)*C1133+INDEX(St_ky,Det+1)*B1133</f>
      </c>
      <c r="F1133" s="20">
        <f>IF(E1133&gt;0,IF(E1133&lt;=eco,alpha*fck*(1-(1-E1133/eco)^n),alpha*fck),0)</f>
      </c>
      <c r="G1133" s="19">
        <f>F1133*D1133</f>
      </c>
      <c r="H1133" s="19">
        <f>G1133*C1133</f>
      </c>
      <c r="I1133" s="19">
        <f>G1133*B1133</f>
      </c>
      <c r="K1133" s="37">
        <f>Eq_e0+Eq_kx*$C1133+Eq_ky*$B1133</f>
      </c>
      <c r="L1133" s="20">
        <f>IF(K1133&gt;0,IF(K1133&lt;=eco,alpha*fck*(1-(1-K1133/eco)^n),alpha*fck),0)</f>
      </c>
    </row>
    <row r="1134" spans="1:12" x14ac:dyDescent="0.25">
      <c r="A1134">
        <f>Mesh!A1131</f>
      </c>
      <c r="B1134" s="20">
        <f>Mesh!B1131</f>
      </c>
      <c r="C1134" s="20">
        <f>Mesh!C1131</f>
      </c>
      <c r="D1134" s="20">
        <f>Mesh!D1131</f>
      </c>
      <c r="E1134" s="37">
        <f>INDEX(St_e0,Det+1)+INDEX(St_kx,Det+1)*C1134+INDEX(St_ky,Det+1)*B1134</f>
      </c>
      <c r="F1134" s="20">
        <f>IF(E1134&gt;0,IF(E1134&lt;=eco,alpha*fck*(1-(1-E1134/eco)^n),alpha*fck),0)</f>
      </c>
      <c r="G1134" s="19">
        <f>F1134*D1134</f>
      </c>
      <c r="H1134" s="19">
        <f>G1134*C1134</f>
      </c>
      <c r="I1134" s="19">
        <f>G1134*B1134</f>
      </c>
      <c r="K1134" s="37">
        <f>Eq_e0+Eq_kx*$C1134+Eq_ky*$B1134</f>
      </c>
      <c r="L1134" s="20">
        <f>IF(K1134&gt;0,IF(K1134&lt;=eco,alpha*fck*(1-(1-K1134/eco)^n),alpha*fck),0)</f>
      </c>
    </row>
    <row r="1135" spans="1:12" x14ac:dyDescent="0.25">
      <c r="A1135">
        <f>Mesh!A1132</f>
      </c>
      <c r="B1135" s="20">
        <f>Mesh!B1132</f>
      </c>
      <c r="C1135" s="20">
        <f>Mesh!C1132</f>
      </c>
      <c r="D1135" s="20">
        <f>Mesh!D1132</f>
      </c>
      <c r="E1135" s="37">
        <f>INDEX(St_e0,Det+1)+INDEX(St_kx,Det+1)*C1135+INDEX(St_ky,Det+1)*B1135</f>
      </c>
      <c r="F1135" s="20">
        <f>IF(E1135&gt;0,IF(E1135&lt;=eco,alpha*fck*(1-(1-E1135/eco)^n),alpha*fck),0)</f>
      </c>
      <c r="G1135" s="19">
        <f>F1135*D1135</f>
      </c>
      <c r="H1135" s="19">
        <f>G1135*C1135</f>
      </c>
      <c r="I1135" s="19">
        <f>G1135*B1135</f>
      </c>
      <c r="K1135" s="37">
        <f>Eq_e0+Eq_kx*$C1135+Eq_ky*$B1135</f>
      </c>
      <c r="L1135" s="20">
        <f>IF(K1135&gt;0,IF(K1135&lt;=eco,alpha*fck*(1-(1-K1135/eco)^n),alpha*fck),0)</f>
      </c>
    </row>
    <row r="1136" spans="1:12" x14ac:dyDescent="0.25">
      <c r="A1136">
        <f>Mesh!A1133</f>
      </c>
      <c r="B1136" s="20">
        <f>Mesh!B1133</f>
      </c>
      <c r="C1136" s="20">
        <f>Mesh!C1133</f>
      </c>
      <c r="D1136" s="20">
        <f>Mesh!D1133</f>
      </c>
      <c r="E1136" s="37">
        <f>INDEX(St_e0,Det+1)+INDEX(St_kx,Det+1)*C1136+INDEX(St_ky,Det+1)*B1136</f>
      </c>
      <c r="F1136" s="20">
        <f>IF(E1136&gt;0,IF(E1136&lt;=eco,alpha*fck*(1-(1-E1136/eco)^n),alpha*fck),0)</f>
      </c>
      <c r="G1136" s="19">
        <f>F1136*D1136</f>
      </c>
      <c r="H1136" s="19">
        <f>G1136*C1136</f>
      </c>
      <c r="I1136" s="19">
        <f>G1136*B1136</f>
      </c>
      <c r="K1136" s="37">
        <f>Eq_e0+Eq_kx*$C1136+Eq_ky*$B1136</f>
      </c>
      <c r="L1136" s="20">
        <f>IF(K1136&gt;0,IF(K1136&lt;=eco,alpha*fck*(1-(1-K1136/eco)^n),alpha*fck),0)</f>
      </c>
    </row>
    <row r="1137" spans="1:12" x14ac:dyDescent="0.25">
      <c r="A1137">
        <f>Mesh!A1134</f>
      </c>
      <c r="B1137" s="20">
        <f>Mesh!B1134</f>
      </c>
      <c r="C1137" s="20">
        <f>Mesh!C1134</f>
      </c>
      <c r="D1137" s="20">
        <f>Mesh!D1134</f>
      </c>
      <c r="E1137" s="37">
        <f>INDEX(St_e0,Det+1)+INDEX(St_kx,Det+1)*C1137+INDEX(St_ky,Det+1)*B1137</f>
      </c>
      <c r="F1137" s="20">
        <f>IF(E1137&gt;0,IF(E1137&lt;=eco,alpha*fck*(1-(1-E1137/eco)^n),alpha*fck),0)</f>
      </c>
      <c r="G1137" s="19">
        <f>F1137*D1137</f>
      </c>
      <c r="H1137" s="19">
        <f>G1137*C1137</f>
      </c>
      <c r="I1137" s="19">
        <f>G1137*B1137</f>
      </c>
      <c r="K1137" s="37">
        <f>Eq_e0+Eq_kx*$C1137+Eq_ky*$B1137</f>
      </c>
      <c r="L1137" s="20">
        <f>IF(K1137&gt;0,IF(K1137&lt;=eco,alpha*fck*(1-(1-K1137/eco)^n),alpha*fck),0)</f>
      </c>
    </row>
    <row r="1138" spans="1:12" x14ac:dyDescent="0.25">
      <c r="A1138">
        <f>Mesh!A1135</f>
      </c>
      <c r="B1138" s="20">
        <f>Mesh!B1135</f>
      </c>
      <c r="C1138" s="20">
        <f>Mesh!C1135</f>
      </c>
      <c r="D1138" s="20">
        <f>Mesh!D1135</f>
      </c>
      <c r="E1138" s="37">
        <f>INDEX(St_e0,Det+1)+INDEX(St_kx,Det+1)*C1138+INDEX(St_ky,Det+1)*B1138</f>
      </c>
      <c r="F1138" s="20">
        <f>IF(E1138&gt;0,IF(E1138&lt;=eco,alpha*fck*(1-(1-E1138/eco)^n),alpha*fck),0)</f>
      </c>
      <c r="G1138" s="19">
        <f>F1138*D1138</f>
      </c>
      <c r="H1138" s="19">
        <f>G1138*C1138</f>
      </c>
      <c r="I1138" s="19">
        <f>G1138*B1138</f>
      </c>
      <c r="K1138" s="37">
        <f>Eq_e0+Eq_kx*$C1138+Eq_ky*$B1138</f>
      </c>
      <c r="L1138" s="20">
        <f>IF(K1138&gt;0,IF(K1138&lt;=eco,alpha*fck*(1-(1-K1138/eco)^n),alpha*fck),0)</f>
      </c>
    </row>
    <row r="1139" spans="1:12" x14ac:dyDescent="0.25">
      <c r="A1139">
        <f>Mesh!A1136</f>
      </c>
      <c r="B1139" s="20">
        <f>Mesh!B1136</f>
      </c>
      <c r="C1139" s="20">
        <f>Mesh!C1136</f>
      </c>
      <c r="D1139" s="20">
        <f>Mesh!D1136</f>
      </c>
      <c r="E1139" s="37">
        <f>INDEX(St_e0,Det+1)+INDEX(St_kx,Det+1)*C1139+INDEX(St_ky,Det+1)*B1139</f>
      </c>
      <c r="F1139" s="20">
        <f>IF(E1139&gt;0,IF(E1139&lt;=eco,alpha*fck*(1-(1-E1139/eco)^n),alpha*fck),0)</f>
      </c>
      <c r="G1139" s="19">
        <f>F1139*D1139</f>
      </c>
      <c r="H1139" s="19">
        <f>G1139*C1139</f>
      </c>
      <c r="I1139" s="19">
        <f>G1139*B1139</f>
      </c>
      <c r="K1139" s="37">
        <f>Eq_e0+Eq_kx*$C1139+Eq_ky*$B1139</f>
      </c>
      <c r="L1139" s="20">
        <f>IF(K1139&gt;0,IF(K1139&lt;=eco,alpha*fck*(1-(1-K1139/eco)^n),alpha*fck),0)</f>
      </c>
    </row>
    <row r="1140" spans="1:12" x14ac:dyDescent="0.25">
      <c r="A1140">
        <f>Mesh!A1137</f>
      </c>
      <c r="B1140" s="20">
        <f>Mesh!B1137</f>
      </c>
      <c r="C1140" s="20">
        <f>Mesh!C1137</f>
      </c>
      <c r="D1140" s="20">
        <f>Mesh!D1137</f>
      </c>
      <c r="E1140" s="37">
        <f>INDEX(St_e0,Det+1)+INDEX(St_kx,Det+1)*C1140+INDEX(St_ky,Det+1)*B1140</f>
      </c>
      <c r="F1140" s="20">
        <f>IF(E1140&gt;0,IF(E1140&lt;=eco,alpha*fck*(1-(1-E1140/eco)^n),alpha*fck),0)</f>
      </c>
      <c r="G1140" s="19">
        <f>F1140*D1140</f>
      </c>
      <c r="H1140" s="19">
        <f>G1140*C1140</f>
      </c>
      <c r="I1140" s="19">
        <f>G1140*B1140</f>
      </c>
      <c r="K1140" s="37">
        <f>Eq_e0+Eq_kx*$C1140+Eq_ky*$B1140</f>
      </c>
      <c r="L1140" s="20">
        <f>IF(K1140&gt;0,IF(K1140&lt;=eco,alpha*fck*(1-(1-K1140/eco)^n),alpha*fck),0)</f>
      </c>
    </row>
    <row r="1141" spans="1:12" x14ac:dyDescent="0.25">
      <c r="A1141">
        <f>Mesh!A1138</f>
      </c>
      <c r="B1141" s="20">
        <f>Mesh!B1138</f>
      </c>
      <c r="C1141" s="20">
        <f>Mesh!C1138</f>
      </c>
      <c r="D1141" s="20">
        <f>Mesh!D1138</f>
      </c>
      <c r="E1141" s="37">
        <f>INDEX(St_e0,Det+1)+INDEX(St_kx,Det+1)*C1141+INDEX(St_ky,Det+1)*B1141</f>
      </c>
      <c r="F1141" s="20">
        <f>IF(E1141&gt;0,IF(E1141&lt;=eco,alpha*fck*(1-(1-E1141/eco)^n),alpha*fck),0)</f>
      </c>
      <c r="G1141" s="19">
        <f>F1141*D1141</f>
      </c>
      <c r="H1141" s="19">
        <f>G1141*C1141</f>
      </c>
      <c r="I1141" s="19">
        <f>G1141*B1141</f>
      </c>
      <c r="K1141" s="37">
        <f>Eq_e0+Eq_kx*$C1141+Eq_ky*$B1141</f>
      </c>
      <c r="L1141" s="20">
        <f>IF(K1141&gt;0,IF(K1141&lt;=eco,alpha*fck*(1-(1-K1141/eco)^n),alpha*fck),0)</f>
      </c>
    </row>
    <row r="1142" spans="1:12" x14ac:dyDescent="0.25">
      <c r="A1142">
        <f>Mesh!A1139</f>
      </c>
      <c r="B1142" s="20">
        <f>Mesh!B1139</f>
      </c>
      <c r="C1142" s="20">
        <f>Mesh!C1139</f>
      </c>
      <c r="D1142" s="20">
        <f>Mesh!D1139</f>
      </c>
      <c r="E1142" s="37">
        <f>INDEX(St_e0,Det+1)+INDEX(St_kx,Det+1)*C1142+INDEX(St_ky,Det+1)*B1142</f>
      </c>
      <c r="F1142" s="20">
        <f>IF(E1142&gt;0,IF(E1142&lt;=eco,alpha*fck*(1-(1-E1142/eco)^n),alpha*fck),0)</f>
      </c>
      <c r="G1142" s="19">
        <f>F1142*D1142</f>
      </c>
      <c r="H1142" s="19">
        <f>G1142*C1142</f>
      </c>
      <c r="I1142" s="19">
        <f>G1142*B1142</f>
      </c>
      <c r="K1142" s="37">
        <f>Eq_e0+Eq_kx*$C1142+Eq_ky*$B1142</f>
      </c>
      <c r="L1142" s="20">
        <f>IF(K1142&gt;0,IF(K1142&lt;=eco,alpha*fck*(1-(1-K1142/eco)^n),alpha*fck),0)</f>
      </c>
    </row>
    <row r="1143" spans="1:12" x14ac:dyDescent="0.25">
      <c r="A1143">
        <f>Mesh!A1140</f>
      </c>
      <c r="B1143" s="20">
        <f>Mesh!B1140</f>
      </c>
      <c r="C1143" s="20">
        <f>Mesh!C1140</f>
      </c>
      <c r="D1143" s="20">
        <f>Mesh!D1140</f>
      </c>
      <c r="E1143" s="37">
        <f>INDEX(St_e0,Det+1)+INDEX(St_kx,Det+1)*C1143+INDEX(St_ky,Det+1)*B1143</f>
      </c>
      <c r="F1143" s="20">
        <f>IF(E1143&gt;0,IF(E1143&lt;=eco,alpha*fck*(1-(1-E1143/eco)^n),alpha*fck),0)</f>
      </c>
      <c r="G1143" s="19">
        <f>F1143*D1143</f>
      </c>
      <c r="H1143" s="19">
        <f>G1143*C1143</f>
      </c>
      <c r="I1143" s="19">
        <f>G1143*B1143</f>
      </c>
      <c r="K1143" s="37">
        <f>Eq_e0+Eq_kx*$C1143+Eq_ky*$B1143</f>
      </c>
      <c r="L1143" s="20">
        <f>IF(K1143&gt;0,IF(K1143&lt;=eco,alpha*fck*(1-(1-K1143/eco)^n),alpha*fck),0)</f>
      </c>
    </row>
    <row r="1144" spans="1:12" x14ac:dyDescent="0.25">
      <c r="A1144">
        <f>Mesh!A1141</f>
      </c>
      <c r="B1144" s="20">
        <f>Mesh!B1141</f>
      </c>
      <c r="C1144" s="20">
        <f>Mesh!C1141</f>
      </c>
      <c r="D1144" s="20">
        <f>Mesh!D1141</f>
      </c>
      <c r="E1144" s="37">
        <f>INDEX(St_e0,Det+1)+INDEX(St_kx,Det+1)*C1144+INDEX(St_ky,Det+1)*B1144</f>
      </c>
      <c r="F1144" s="20">
        <f>IF(E1144&gt;0,IF(E1144&lt;=eco,alpha*fck*(1-(1-E1144/eco)^n),alpha*fck),0)</f>
      </c>
      <c r="G1144" s="19">
        <f>F1144*D1144</f>
      </c>
      <c r="H1144" s="19">
        <f>G1144*C1144</f>
      </c>
      <c r="I1144" s="19">
        <f>G1144*B1144</f>
      </c>
      <c r="K1144" s="37">
        <f>Eq_e0+Eq_kx*$C1144+Eq_ky*$B1144</f>
      </c>
      <c r="L1144" s="20">
        <f>IF(K1144&gt;0,IF(K1144&lt;=eco,alpha*fck*(1-(1-K1144/eco)^n),alpha*fck),0)</f>
      </c>
    </row>
    <row r="1145" spans="1:12" x14ac:dyDescent="0.25">
      <c r="A1145">
        <f>Mesh!A1142</f>
      </c>
      <c r="B1145" s="20">
        <f>Mesh!B1142</f>
      </c>
      <c r="C1145" s="20">
        <f>Mesh!C1142</f>
      </c>
      <c r="D1145" s="20">
        <f>Mesh!D1142</f>
      </c>
      <c r="E1145" s="37">
        <f>INDEX(St_e0,Det+1)+INDEX(St_kx,Det+1)*C1145+INDEX(St_ky,Det+1)*B1145</f>
      </c>
      <c r="F1145" s="20">
        <f>IF(E1145&gt;0,IF(E1145&lt;=eco,alpha*fck*(1-(1-E1145/eco)^n),alpha*fck),0)</f>
      </c>
      <c r="G1145" s="19">
        <f>F1145*D1145</f>
      </c>
      <c r="H1145" s="19">
        <f>G1145*C1145</f>
      </c>
      <c r="I1145" s="19">
        <f>G1145*B1145</f>
      </c>
      <c r="K1145" s="37">
        <f>Eq_e0+Eq_kx*$C1145+Eq_ky*$B1145</f>
      </c>
      <c r="L1145" s="20">
        <f>IF(K1145&gt;0,IF(K1145&lt;=eco,alpha*fck*(1-(1-K1145/eco)^n),alpha*fck),0)</f>
      </c>
    </row>
    <row r="1146" spans="1:12" x14ac:dyDescent="0.25">
      <c r="A1146">
        <f>Mesh!A1143</f>
      </c>
      <c r="B1146" s="20">
        <f>Mesh!B1143</f>
      </c>
      <c r="C1146" s="20">
        <f>Mesh!C1143</f>
      </c>
      <c r="D1146" s="20">
        <f>Mesh!D1143</f>
      </c>
      <c r="E1146" s="37">
        <f>INDEX(St_e0,Det+1)+INDEX(St_kx,Det+1)*C1146+INDEX(St_ky,Det+1)*B1146</f>
      </c>
      <c r="F1146" s="20">
        <f>IF(E1146&gt;0,IF(E1146&lt;=eco,alpha*fck*(1-(1-E1146/eco)^n),alpha*fck),0)</f>
      </c>
      <c r="G1146" s="19">
        <f>F1146*D1146</f>
      </c>
      <c r="H1146" s="19">
        <f>G1146*C1146</f>
      </c>
      <c r="I1146" s="19">
        <f>G1146*B1146</f>
      </c>
      <c r="K1146" s="37">
        <f>Eq_e0+Eq_kx*$C1146+Eq_ky*$B1146</f>
      </c>
      <c r="L1146" s="20">
        <f>IF(K1146&gt;0,IF(K1146&lt;=eco,alpha*fck*(1-(1-K1146/eco)^n),alpha*fck),0)</f>
      </c>
    </row>
    <row r="1147" spans="1:12" x14ac:dyDescent="0.25">
      <c r="A1147">
        <f>Mesh!A1144</f>
      </c>
      <c r="B1147" s="20">
        <f>Mesh!B1144</f>
      </c>
      <c r="C1147" s="20">
        <f>Mesh!C1144</f>
      </c>
      <c r="D1147" s="20">
        <f>Mesh!D1144</f>
      </c>
      <c r="E1147" s="37">
        <f>INDEX(St_e0,Det+1)+INDEX(St_kx,Det+1)*C1147+INDEX(St_ky,Det+1)*B1147</f>
      </c>
      <c r="F1147" s="20">
        <f>IF(E1147&gt;0,IF(E1147&lt;=eco,alpha*fck*(1-(1-E1147/eco)^n),alpha*fck),0)</f>
      </c>
      <c r="G1147" s="19">
        <f>F1147*D1147</f>
      </c>
      <c r="H1147" s="19">
        <f>G1147*C1147</f>
      </c>
      <c r="I1147" s="19">
        <f>G1147*B1147</f>
      </c>
      <c r="K1147" s="37">
        <f>Eq_e0+Eq_kx*$C1147+Eq_ky*$B1147</f>
      </c>
      <c r="L1147" s="20">
        <f>IF(K1147&gt;0,IF(K1147&lt;=eco,alpha*fck*(1-(1-K1147/eco)^n),alpha*fck),0)</f>
      </c>
    </row>
    <row r="1148" spans="1:12" x14ac:dyDescent="0.25">
      <c r="A1148">
        <f>Mesh!A1145</f>
      </c>
      <c r="B1148" s="20">
        <f>Mesh!B1145</f>
      </c>
      <c r="C1148" s="20">
        <f>Mesh!C1145</f>
      </c>
      <c r="D1148" s="20">
        <f>Mesh!D1145</f>
      </c>
      <c r="E1148" s="37">
        <f>INDEX(St_e0,Det+1)+INDEX(St_kx,Det+1)*C1148+INDEX(St_ky,Det+1)*B1148</f>
      </c>
      <c r="F1148" s="20">
        <f>IF(E1148&gt;0,IF(E1148&lt;=eco,alpha*fck*(1-(1-E1148/eco)^n),alpha*fck),0)</f>
      </c>
      <c r="G1148" s="19">
        <f>F1148*D1148</f>
      </c>
      <c r="H1148" s="19">
        <f>G1148*C1148</f>
      </c>
      <c r="I1148" s="19">
        <f>G1148*B1148</f>
      </c>
      <c r="K1148" s="37">
        <f>Eq_e0+Eq_kx*$C1148+Eq_ky*$B1148</f>
      </c>
      <c r="L1148" s="20">
        <f>IF(K1148&gt;0,IF(K1148&lt;=eco,alpha*fck*(1-(1-K1148/eco)^n),alpha*fck),0)</f>
      </c>
    </row>
    <row r="1149" spans="1:12" x14ac:dyDescent="0.25">
      <c r="A1149">
        <f>Mesh!A1146</f>
      </c>
      <c r="B1149" s="20">
        <f>Mesh!B1146</f>
      </c>
      <c r="C1149" s="20">
        <f>Mesh!C1146</f>
      </c>
      <c r="D1149" s="20">
        <f>Mesh!D1146</f>
      </c>
      <c r="E1149" s="37">
        <f>INDEX(St_e0,Det+1)+INDEX(St_kx,Det+1)*C1149+INDEX(St_ky,Det+1)*B1149</f>
      </c>
      <c r="F1149" s="20">
        <f>IF(E1149&gt;0,IF(E1149&lt;=eco,alpha*fck*(1-(1-E1149/eco)^n),alpha*fck),0)</f>
      </c>
      <c r="G1149" s="19">
        <f>F1149*D1149</f>
      </c>
      <c r="H1149" s="19">
        <f>G1149*C1149</f>
      </c>
      <c r="I1149" s="19">
        <f>G1149*B1149</f>
      </c>
      <c r="K1149" s="37">
        <f>Eq_e0+Eq_kx*$C1149+Eq_ky*$B1149</f>
      </c>
      <c r="L1149" s="20">
        <f>IF(K1149&gt;0,IF(K1149&lt;=eco,alpha*fck*(1-(1-K1149/eco)^n),alpha*fck),0)</f>
      </c>
    </row>
    <row r="1150" spans="1:12" x14ac:dyDescent="0.25">
      <c r="A1150">
        <f>Mesh!A1147</f>
      </c>
      <c r="B1150" s="20">
        <f>Mesh!B1147</f>
      </c>
      <c r="C1150" s="20">
        <f>Mesh!C1147</f>
      </c>
      <c r="D1150" s="20">
        <f>Mesh!D1147</f>
      </c>
      <c r="E1150" s="37">
        <f>INDEX(St_e0,Det+1)+INDEX(St_kx,Det+1)*C1150+INDEX(St_ky,Det+1)*B1150</f>
      </c>
      <c r="F1150" s="20">
        <f>IF(E1150&gt;0,IF(E1150&lt;=eco,alpha*fck*(1-(1-E1150/eco)^n),alpha*fck),0)</f>
      </c>
      <c r="G1150" s="19">
        <f>F1150*D1150</f>
      </c>
      <c r="H1150" s="19">
        <f>G1150*C1150</f>
      </c>
      <c r="I1150" s="19">
        <f>G1150*B1150</f>
      </c>
      <c r="K1150" s="37">
        <f>Eq_e0+Eq_kx*$C1150+Eq_ky*$B1150</f>
      </c>
      <c r="L1150" s="20">
        <f>IF(K1150&gt;0,IF(K1150&lt;=eco,alpha*fck*(1-(1-K1150/eco)^n),alpha*fck),0)</f>
      </c>
    </row>
    <row r="1151" spans="1:12" x14ac:dyDescent="0.25">
      <c r="A1151">
        <f>Mesh!A1148</f>
      </c>
      <c r="B1151" s="20">
        <f>Mesh!B1148</f>
      </c>
      <c r="C1151" s="20">
        <f>Mesh!C1148</f>
      </c>
      <c r="D1151" s="20">
        <f>Mesh!D1148</f>
      </c>
      <c r="E1151" s="37">
        <f>INDEX(St_e0,Det+1)+INDEX(St_kx,Det+1)*C1151+INDEX(St_ky,Det+1)*B1151</f>
      </c>
      <c r="F1151" s="20">
        <f>IF(E1151&gt;0,IF(E1151&lt;=eco,alpha*fck*(1-(1-E1151/eco)^n),alpha*fck),0)</f>
      </c>
      <c r="G1151" s="19">
        <f>F1151*D1151</f>
      </c>
      <c r="H1151" s="19">
        <f>G1151*C1151</f>
      </c>
      <c r="I1151" s="19">
        <f>G1151*B1151</f>
      </c>
      <c r="K1151" s="37">
        <f>Eq_e0+Eq_kx*$C1151+Eq_ky*$B1151</f>
      </c>
      <c r="L1151" s="20">
        <f>IF(K1151&gt;0,IF(K1151&lt;=eco,alpha*fck*(1-(1-K1151/eco)^n),alpha*fck),0)</f>
      </c>
    </row>
    <row r="1152" spans="1:12" x14ac:dyDescent="0.25">
      <c r="A1152">
        <f>Mesh!A1149</f>
      </c>
      <c r="B1152" s="20">
        <f>Mesh!B1149</f>
      </c>
      <c r="C1152" s="20">
        <f>Mesh!C1149</f>
      </c>
      <c r="D1152" s="20">
        <f>Mesh!D1149</f>
      </c>
      <c r="E1152" s="37">
        <f>INDEX(St_e0,Det+1)+INDEX(St_kx,Det+1)*C1152+INDEX(St_ky,Det+1)*B1152</f>
      </c>
      <c r="F1152" s="20">
        <f>IF(E1152&gt;0,IF(E1152&lt;=eco,alpha*fck*(1-(1-E1152/eco)^n),alpha*fck),0)</f>
      </c>
      <c r="G1152" s="19">
        <f>F1152*D1152</f>
      </c>
      <c r="H1152" s="19">
        <f>G1152*C1152</f>
      </c>
      <c r="I1152" s="19">
        <f>G1152*B1152</f>
      </c>
      <c r="K1152" s="37">
        <f>Eq_e0+Eq_kx*$C1152+Eq_ky*$B1152</f>
      </c>
      <c r="L1152" s="20">
        <f>IF(K1152&gt;0,IF(K1152&lt;=eco,alpha*fck*(1-(1-K1152/eco)^n),alpha*fck),0)</f>
      </c>
    </row>
    <row r="1153" spans="1:12" x14ac:dyDescent="0.25">
      <c r="A1153">
        <f>Mesh!A1150</f>
      </c>
      <c r="B1153" s="20">
        <f>Mesh!B1150</f>
      </c>
      <c r="C1153" s="20">
        <f>Mesh!C1150</f>
      </c>
      <c r="D1153" s="20">
        <f>Mesh!D1150</f>
      </c>
      <c r="E1153" s="37">
        <f>INDEX(St_e0,Det+1)+INDEX(St_kx,Det+1)*C1153+INDEX(St_ky,Det+1)*B1153</f>
      </c>
      <c r="F1153" s="20">
        <f>IF(E1153&gt;0,IF(E1153&lt;=eco,alpha*fck*(1-(1-E1153/eco)^n),alpha*fck),0)</f>
      </c>
      <c r="G1153" s="19">
        <f>F1153*D1153</f>
      </c>
      <c r="H1153" s="19">
        <f>G1153*C1153</f>
      </c>
      <c r="I1153" s="19">
        <f>G1153*B1153</f>
      </c>
      <c r="K1153" s="37">
        <f>Eq_e0+Eq_kx*$C1153+Eq_ky*$B1153</f>
      </c>
      <c r="L1153" s="20">
        <f>IF(K1153&gt;0,IF(K1153&lt;=eco,alpha*fck*(1-(1-K1153/eco)^n),alpha*fck),0)</f>
      </c>
    </row>
    <row r="1154" spans="1:12" x14ac:dyDescent="0.25">
      <c r="A1154">
        <f>Mesh!A1151</f>
      </c>
      <c r="B1154" s="20">
        <f>Mesh!B1151</f>
      </c>
      <c r="C1154" s="20">
        <f>Mesh!C1151</f>
      </c>
      <c r="D1154" s="20">
        <f>Mesh!D1151</f>
      </c>
      <c r="E1154" s="37">
        <f>INDEX(St_e0,Det+1)+INDEX(St_kx,Det+1)*C1154+INDEX(St_ky,Det+1)*B1154</f>
      </c>
      <c r="F1154" s="20">
        <f>IF(E1154&gt;0,IF(E1154&lt;=eco,alpha*fck*(1-(1-E1154/eco)^n),alpha*fck),0)</f>
      </c>
      <c r="G1154" s="19">
        <f>F1154*D1154</f>
      </c>
      <c r="H1154" s="19">
        <f>G1154*C1154</f>
      </c>
      <c r="I1154" s="19">
        <f>G1154*B1154</f>
      </c>
      <c r="K1154" s="37">
        <f>Eq_e0+Eq_kx*$C1154+Eq_ky*$B1154</f>
      </c>
      <c r="L1154" s="20">
        <f>IF(K1154&gt;0,IF(K1154&lt;=eco,alpha*fck*(1-(1-K1154/eco)^n),alpha*fck),0)</f>
      </c>
    </row>
    <row r="1155" spans="1:12" x14ac:dyDescent="0.25">
      <c r="A1155">
        <f>Mesh!A1152</f>
      </c>
      <c r="B1155" s="20">
        <f>Mesh!B1152</f>
      </c>
      <c r="C1155" s="20">
        <f>Mesh!C1152</f>
      </c>
      <c r="D1155" s="20">
        <f>Mesh!D1152</f>
      </c>
      <c r="E1155" s="37">
        <f>INDEX(St_e0,Det+1)+INDEX(St_kx,Det+1)*C1155+INDEX(St_ky,Det+1)*B1155</f>
      </c>
      <c r="F1155" s="20">
        <f>IF(E1155&gt;0,IF(E1155&lt;=eco,alpha*fck*(1-(1-E1155/eco)^n),alpha*fck),0)</f>
      </c>
      <c r="G1155" s="19">
        <f>F1155*D1155</f>
      </c>
      <c r="H1155" s="19">
        <f>G1155*C1155</f>
      </c>
      <c r="I1155" s="19">
        <f>G1155*B1155</f>
      </c>
      <c r="K1155" s="37">
        <f>Eq_e0+Eq_kx*$C1155+Eq_ky*$B1155</f>
      </c>
      <c r="L1155" s="20">
        <f>IF(K1155&gt;0,IF(K1155&lt;=eco,alpha*fck*(1-(1-K1155/eco)^n),alpha*fck),0)</f>
      </c>
    </row>
    <row r="1156" spans="1:12" x14ac:dyDescent="0.25">
      <c r="A1156">
        <f>Mesh!A1153</f>
      </c>
      <c r="B1156" s="20">
        <f>Mesh!B1153</f>
      </c>
      <c r="C1156" s="20">
        <f>Mesh!C1153</f>
      </c>
      <c r="D1156" s="20">
        <f>Mesh!D1153</f>
      </c>
      <c r="E1156" s="37">
        <f>INDEX(St_e0,Det+1)+INDEX(St_kx,Det+1)*C1156+INDEX(St_ky,Det+1)*B1156</f>
      </c>
      <c r="F1156" s="20">
        <f>IF(E1156&gt;0,IF(E1156&lt;=eco,alpha*fck*(1-(1-E1156/eco)^n),alpha*fck),0)</f>
      </c>
      <c r="G1156" s="19">
        <f>F1156*D1156</f>
      </c>
      <c r="H1156" s="19">
        <f>G1156*C1156</f>
      </c>
      <c r="I1156" s="19">
        <f>G1156*B1156</f>
      </c>
      <c r="K1156" s="37">
        <f>Eq_e0+Eq_kx*$C1156+Eq_ky*$B1156</f>
      </c>
      <c r="L1156" s="20">
        <f>IF(K1156&gt;0,IF(K1156&lt;=eco,alpha*fck*(1-(1-K1156/eco)^n),alpha*fck),0)</f>
      </c>
    </row>
    <row r="1157" spans="1:12" x14ac:dyDescent="0.25">
      <c r="A1157">
        <f>Mesh!A1154</f>
      </c>
      <c r="B1157" s="20">
        <f>Mesh!B1154</f>
      </c>
      <c r="C1157" s="20">
        <f>Mesh!C1154</f>
      </c>
      <c r="D1157" s="20">
        <f>Mesh!D1154</f>
      </c>
      <c r="E1157" s="37">
        <f>INDEX(St_e0,Det+1)+INDEX(St_kx,Det+1)*C1157+INDEX(St_ky,Det+1)*B1157</f>
      </c>
      <c r="F1157" s="20">
        <f>IF(E1157&gt;0,IF(E1157&lt;=eco,alpha*fck*(1-(1-E1157/eco)^n),alpha*fck),0)</f>
      </c>
      <c r="G1157" s="19">
        <f>F1157*D1157</f>
      </c>
      <c r="H1157" s="19">
        <f>G1157*C1157</f>
      </c>
      <c r="I1157" s="19">
        <f>G1157*B1157</f>
      </c>
      <c r="K1157" s="37">
        <f>Eq_e0+Eq_kx*$C1157+Eq_ky*$B1157</f>
      </c>
      <c r="L1157" s="20">
        <f>IF(K1157&gt;0,IF(K1157&lt;=eco,alpha*fck*(1-(1-K1157/eco)^n),alpha*fck),0)</f>
      </c>
    </row>
    <row r="1158" spans="1:12" x14ac:dyDescent="0.25">
      <c r="A1158">
        <f>Mesh!A1155</f>
      </c>
      <c r="B1158" s="20">
        <f>Mesh!B1155</f>
      </c>
      <c r="C1158" s="20">
        <f>Mesh!C1155</f>
      </c>
      <c r="D1158" s="20">
        <f>Mesh!D1155</f>
      </c>
      <c r="E1158" s="37">
        <f>INDEX(St_e0,Det+1)+INDEX(St_kx,Det+1)*C1158+INDEX(St_ky,Det+1)*B1158</f>
      </c>
      <c r="F1158" s="20">
        <f>IF(E1158&gt;0,IF(E1158&lt;=eco,alpha*fck*(1-(1-E1158/eco)^n),alpha*fck),0)</f>
      </c>
      <c r="G1158" s="19">
        <f>F1158*D1158</f>
      </c>
      <c r="H1158" s="19">
        <f>G1158*C1158</f>
      </c>
      <c r="I1158" s="19">
        <f>G1158*B1158</f>
      </c>
      <c r="K1158" s="37">
        <f>Eq_e0+Eq_kx*$C1158+Eq_ky*$B1158</f>
      </c>
      <c r="L1158" s="20">
        <f>IF(K1158&gt;0,IF(K1158&lt;=eco,alpha*fck*(1-(1-K1158/eco)^n),alpha*fck),0)</f>
      </c>
    </row>
    <row r="1159" spans="1:12" x14ac:dyDescent="0.25">
      <c r="A1159">
        <f>Mesh!A1156</f>
      </c>
      <c r="B1159" s="20">
        <f>Mesh!B1156</f>
      </c>
      <c r="C1159" s="20">
        <f>Mesh!C1156</f>
      </c>
      <c r="D1159" s="20">
        <f>Mesh!D1156</f>
      </c>
      <c r="E1159" s="37">
        <f>INDEX(St_e0,Det+1)+INDEX(St_kx,Det+1)*C1159+INDEX(St_ky,Det+1)*B1159</f>
      </c>
      <c r="F1159" s="20">
        <f>IF(E1159&gt;0,IF(E1159&lt;=eco,alpha*fck*(1-(1-E1159/eco)^n),alpha*fck),0)</f>
      </c>
      <c r="G1159" s="19">
        <f>F1159*D1159</f>
      </c>
      <c r="H1159" s="19">
        <f>G1159*C1159</f>
      </c>
      <c r="I1159" s="19">
        <f>G1159*B1159</f>
      </c>
      <c r="K1159" s="37">
        <f>Eq_e0+Eq_kx*$C1159+Eq_ky*$B1159</f>
      </c>
      <c r="L1159" s="20">
        <f>IF(K1159&gt;0,IF(K1159&lt;=eco,alpha*fck*(1-(1-K1159/eco)^n),alpha*fck),0)</f>
      </c>
    </row>
    <row r="1160" spans="1:12" x14ac:dyDescent="0.25">
      <c r="A1160">
        <f>Mesh!A1157</f>
      </c>
      <c r="B1160" s="20">
        <f>Mesh!B1157</f>
      </c>
      <c r="C1160" s="20">
        <f>Mesh!C1157</f>
      </c>
      <c r="D1160" s="20">
        <f>Mesh!D1157</f>
      </c>
      <c r="E1160" s="37">
        <f>INDEX(St_e0,Det+1)+INDEX(St_kx,Det+1)*C1160+INDEX(St_ky,Det+1)*B1160</f>
      </c>
      <c r="F1160" s="20">
        <f>IF(E1160&gt;0,IF(E1160&lt;=eco,alpha*fck*(1-(1-E1160/eco)^n),alpha*fck),0)</f>
      </c>
      <c r="G1160" s="19">
        <f>F1160*D1160</f>
      </c>
      <c r="H1160" s="19">
        <f>G1160*C1160</f>
      </c>
      <c r="I1160" s="19">
        <f>G1160*B1160</f>
      </c>
      <c r="K1160" s="37">
        <f>Eq_e0+Eq_kx*$C1160+Eq_ky*$B1160</f>
      </c>
      <c r="L1160" s="20">
        <f>IF(K1160&gt;0,IF(K1160&lt;=eco,alpha*fck*(1-(1-K1160/eco)^n),alpha*fck),0)</f>
      </c>
    </row>
    <row r="1161" spans="1:12" x14ac:dyDescent="0.25">
      <c r="A1161">
        <f>Mesh!A1158</f>
      </c>
      <c r="B1161" s="20">
        <f>Mesh!B1158</f>
      </c>
      <c r="C1161" s="20">
        <f>Mesh!C1158</f>
      </c>
      <c r="D1161" s="20">
        <f>Mesh!D1158</f>
      </c>
      <c r="E1161" s="37">
        <f>INDEX(St_e0,Det+1)+INDEX(St_kx,Det+1)*C1161+INDEX(St_ky,Det+1)*B1161</f>
      </c>
      <c r="F1161" s="20">
        <f>IF(E1161&gt;0,IF(E1161&lt;=eco,alpha*fck*(1-(1-E1161/eco)^n),alpha*fck),0)</f>
      </c>
      <c r="G1161" s="19">
        <f>F1161*D1161</f>
      </c>
      <c r="H1161" s="19">
        <f>G1161*C1161</f>
      </c>
      <c r="I1161" s="19">
        <f>G1161*B1161</f>
      </c>
      <c r="K1161" s="37">
        <f>Eq_e0+Eq_kx*$C1161+Eq_ky*$B1161</f>
      </c>
      <c r="L1161" s="20">
        <f>IF(K1161&gt;0,IF(K1161&lt;=eco,alpha*fck*(1-(1-K1161/eco)^n),alpha*fck),0)</f>
      </c>
    </row>
    <row r="1162" spans="1:12" x14ac:dyDescent="0.25">
      <c r="A1162">
        <f>Mesh!A1159</f>
      </c>
      <c r="B1162" s="20">
        <f>Mesh!B1159</f>
      </c>
      <c r="C1162" s="20">
        <f>Mesh!C1159</f>
      </c>
      <c r="D1162" s="20">
        <f>Mesh!D1159</f>
      </c>
      <c r="E1162" s="37">
        <f>INDEX(St_e0,Det+1)+INDEX(St_kx,Det+1)*C1162+INDEX(St_ky,Det+1)*B1162</f>
      </c>
      <c r="F1162" s="20">
        <f>IF(E1162&gt;0,IF(E1162&lt;=eco,alpha*fck*(1-(1-E1162/eco)^n),alpha*fck),0)</f>
      </c>
      <c r="G1162" s="19">
        <f>F1162*D1162</f>
      </c>
      <c r="H1162" s="19">
        <f>G1162*C1162</f>
      </c>
      <c r="I1162" s="19">
        <f>G1162*B1162</f>
      </c>
      <c r="K1162" s="37">
        <f>Eq_e0+Eq_kx*$C1162+Eq_ky*$B1162</f>
      </c>
      <c r="L1162" s="20">
        <f>IF(K1162&gt;0,IF(K1162&lt;=eco,alpha*fck*(1-(1-K1162/eco)^n),alpha*fck),0)</f>
      </c>
    </row>
    <row r="1163" spans="1:12" x14ac:dyDescent="0.25">
      <c r="A1163">
        <f>Mesh!A1160</f>
      </c>
      <c r="B1163" s="20">
        <f>Mesh!B1160</f>
      </c>
      <c r="C1163" s="20">
        <f>Mesh!C1160</f>
      </c>
      <c r="D1163" s="20">
        <f>Mesh!D1160</f>
      </c>
      <c r="E1163" s="37">
        <f>INDEX(St_e0,Det+1)+INDEX(St_kx,Det+1)*C1163+INDEX(St_ky,Det+1)*B1163</f>
      </c>
      <c r="F1163" s="20">
        <f>IF(E1163&gt;0,IF(E1163&lt;=eco,alpha*fck*(1-(1-E1163/eco)^n),alpha*fck),0)</f>
      </c>
      <c r="G1163" s="19">
        <f>F1163*D1163</f>
      </c>
      <c r="H1163" s="19">
        <f>G1163*C1163</f>
      </c>
      <c r="I1163" s="19">
        <f>G1163*B1163</f>
      </c>
      <c r="K1163" s="37">
        <f>Eq_e0+Eq_kx*$C1163+Eq_ky*$B1163</f>
      </c>
      <c r="L1163" s="20">
        <f>IF(K1163&gt;0,IF(K1163&lt;=eco,alpha*fck*(1-(1-K1163/eco)^n),alpha*fck),0)</f>
      </c>
    </row>
    <row r="1164" spans="1:12" x14ac:dyDescent="0.25">
      <c r="A1164">
        <f>Mesh!A1161</f>
      </c>
      <c r="B1164" s="20">
        <f>Mesh!B1161</f>
      </c>
      <c r="C1164" s="20">
        <f>Mesh!C1161</f>
      </c>
      <c r="D1164" s="20">
        <f>Mesh!D1161</f>
      </c>
      <c r="E1164" s="37">
        <f>INDEX(St_e0,Det+1)+INDEX(St_kx,Det+1)*C1164+INDEX(St_ky,Det+1)*B1164</f>
      </c>
      <c r="F1164" s="20">
        <f>IF(E1164&gt;0,IF(E1164&lt;=eco,alpha*fck*(1-(1-E1164/eco)^n),alpha*fck),0)</f>
      </c>
      <c r="G1164" s="19">
        <f>F1164*D1164</f>
      </c>
      <c r="H1164" s="19">
        <f>G1164*C1164</f>
      </c>
      <c r="I1164" s="19">
        <f>G1164*B1164</f>
      </c>
      <c r="K1164" s="37">
        <f>Eq_e0+Eq_kx*$C1164+Eq_ky*$B1164</f>
      </c>
      <c r="L1164" s="20">
        <f>IF(K1164&gt;0,IF(K1164&lt;=eco,alpha*fck*(1-(1-K1164/eco)^n),alpha*fck),0)</f>
      </c>
    </row>
    <row r="1165" spans="1:12" x14ac:dyDescent="0.25">
      <c r="A1165">
        <f>Mesh!A1162</f>
      </c>
      <c r="B1165" s="20">
        <f>Mesh!B1162</f>
      </c>
      <c r="C1165" s="20">
        <f>Mesh!C1162</f>
      </c>
      <c r="D1165" s="20">
        <f>Mesh!D1162</f>
      </c>
      <c r="E1165" s="37">
        <f>INDEX(St_e0,Det+1)+INDEX(St_kx,Det+1)*C1165+INDEX(St_ky,Det+1)*B1165</f>
      </c>
      <c r="F1165" s="20">
        <f>IF(E1165&gt;0,IF(E1165&lt;=eco,alpha*fck*(1-(1-E1165/eco)^n),alpha*fck),0)</f>
      </c>
      <c r="G1165" s="19">
        <f>F1165*D1165</f>
      </c>
      <c r="H1165" s="19">
        <f>G1165*C1165</f>
      </c>
      <c r="I1165" s="19">
        <f>G1165*B1165</f>
      </c>
      <c r="K1165" s="37">
        <f>Eq_e0+Eq_kx*$C1165+Eq_ky*$B1165</f>
      </c>
      <c r="L1165" s="20">
        <f>IF(K1165&gt;0,IF(K1165&lt;=eco,alpha*fck*(1-(1-K1165/eco)^n),alpha*fck),0)</f>
      </c>
    </row>
    <row r="1166" spans="1:12" x14ac:dyDescent="0.25">
      <c r="A1166">
        <f>Mesh!A1163</f>
      </c>
      <c r="B1166" s="20">
        <f>Mesh!B1163</f>
      </c>
      <c r="C1166" s="20">
        <f>Mesh!C1163</f>
      </c>
      <c r="D1166" s="20">
        <f>Mesh!D1163</f>
      </c>
      <c r="E1166" s="37">
        <f>INDEX(St_e0,Det+1)+INDEX(St_kx,Det+1)*C1166+INDEX(St_ky,Det+1)*B1166</f>
      </c>
      <c r="F1166" s="20">
        <f>IF(E1166&gt;0,IF(E1166&lt;=eco,alpha*fck*(1-(1-E1166/eco)^n),alpha*fck),0)</f>
      </c>
      <c r="G1166" s="19">
        <f>F1166*D1166</f>
      </c>
      <c r="H1166" s="19">
        <f>G1166*C1166</f>
      </c>
      <c r="I1166" s="19">
        <f>G1166*B1166</f>
      </c>
      <c r="K1166" s="37">
        <f>Eq_e0+Eq_kx*$C1166+Eq_ky*$B1166</f>
      </c>
      <c r="L1166" s="20">
        <f>IF(K1166&gt;0,IF(K1166&lt;=eco,alpha*fck*(1-(1-K1166/eco)^n),alpha*fck),0)</f>
      </c>
    </row>
    <row r="1167" spans="1:12" x14ac:dyDescent="0.25">
      <c r="A1167">
        <f>Mesh!A1164</f>
      </c>
      <c r="B1167" s="20">
        <f>Mesh!B1164</f>
      </c>
      <c r="C1167" s="20">
        <f>Mesh!C1164</f>
      </c>
      <c r="D1167" s="20">
        <f>Mesh!D1164</f>
      </c>
      <c r="E1167" s="37">
        <f>INDEX(St_e0,Det+1)+INDEX(St_kx,Det+1)*C1167+INDEX(St_ky,Det+1)*B1167</f>
      </c>
      <c r="F1167" s="20">
        <f>IF(E1167&gt;0,IF(E1167&lt;=eco,alpha*fck*(1-(1-E1167/eco)^n),alpha*fck),0)</f>
      </c>
      <c r="G1167" s="19">
        <f>F1167*D1167</f>
      </c>
      <c r="H1167" s="19">
        <f>G1167*C1167</f>
      </c>
      <c r="I1167" s="19">
        <f>G1167*B1167</f>
      </c>
      <c r="K1167" s="37">
        <f>Eq_e0+Eq_kx*$C1167+Eq_ky*$B1167</f>
      </c>
      <c r="L1167" s="20">
        <f>IF(K1167&gt;0,IF(K1167&lt;=eco,alpha*fck*(1-(1-K1167/eco)^n),alpha*fck),0)</f>
      </c>
    </row>
    <row r="1168" spans="1:12" x14ac:dyDescent="0.25">
      <c r="A1168">
        <f>Mesh!A1165</f>
      </c>
      <c r="B1168" s="20">
        <f>Mesh!B1165</f>
      </c>
      <c r="C1168" s="20">
        <f>Mesh!C1165</f>
      </c>
      <c r="D1168" s="20">
        <f>Mesh!D1165</f>
      </c>
      <c r="E1168" s="37">
        <f>INDEX(St_e0,Det+1)+INDEX(St_kx,Det+1)*C1168+INDEX(St_ky,Det+1)*B1168</f>
      </c>
      <c r="F1168" s="20">
        <f>IF(E1168&gt;0,IF(E1168&lt;=eco,alpha*fck*(1-(1-E1168/eco)^n),alpha*fck),0)</f>
      </c>
      <c r="G1168" s="19">
        <f>F1168*D1168</f>
      </c>
      <c r="H1168" s="19">
        <f>G1168*C1168</f>
      </c>
      <c r="I1168" s="19">
        <f>G1168*B1168</f>
      </c>
      <c r="K1168" s="37">
        <f>Eq_e0+Eq_kx*$C1168+Eq_ky*$B1168</f>
      </c>
      <c r="L1168" s="20">
        <f>IF(K1168&gt;0,IF(K1168&lt;=eco,alpha*fck*(1-(1-K1168/eco)^n),alpha*fck),0)</f>
      </c>
    </row>
    <row r="1169" spans="1:12" x14ac:dyDescent="0.25">
      <c r="A1169">
        <f>Mesh!A1166</f>
      </c>
      <c r="B1169" s="20">
        <f>Mesh!B1166</f>
      </c>
      <c r="C1169" s="20">
        <f>Mesh!C1166</f>
      </c>
      <c r="D1169" s="20">
        <f>Mesh!D1166</f>
      </c>
      <c r="E1169" s="37">
        <f>INDEX(St_e0,Det+1)+INDEX(St_kx,Det+1)*C1169+INDEX(St_ky,Det+1)*B1169</f>
      </c>
      <c r="F1169" s="20">
        <f>IF(E1169&gt;0,IF(E1169&lt;=eco,alpha*fck*(1-(1-E1169/eco)^n),alpha*fck),0)</f>
      </c>
      <c r="G1169" s="19">
        <f>F1169*D1169</f>
      </c>
      <c r="H1169" s="19">
        <f>G1169*C1169</f>
      </c>
      <c r="I1169" s="19">
        <f>G1169*B1169</f>
      </c>
      <c r="K1169" s="37">
        <f>Eq_e0+Eq_kx*$C1169+Eq_ky*$B1169</f>
      </c>
      <c r="L1169" s="20">
        <f>IF(K1169&gt;0,IF(K1169&lt;=eco,alpha*fck*(1-(1-K1169/eco)^n),alpha*fck),0)</f>
      </c>
    </row>
    <row r="1170" spans="1:12" x14ac:dyDescent="0.25">
      <c r="A1170">
        <f>Mesh!A1167</f>
      </c>
      <c r="B1170" s="20">
        <f>Mesh!B1167</f>
      </c>
      <c r="C1170" s="20">
        <f>Mesh!C1167</f>
      </c>
      <c r="D1170" s="20">
        <f>Mesh!D1167</f>
      </c>
      <c r="E1170" s="37">
        <f>INDEX(St_e0,Det+1)+INDEX(St_kx,Det+1)*C1170+INDEX(St_ky,Det+1)*B1170</f>
      </c>
      <c r="F1170" s="20">
        <f>IF(E1170&gt;0,IF(E1170&lt;=eco,alpha*fck*(1-(1-E1170/eco)^n),alpha*fck),0)</f>
      </c>
      <c r="G1170" s="19">
        <f>F1170*D1170</f>
      </c>
      <c r="H1170" s="19">
        <f>G1170*C1170</f>
      </c>
      <c r="I1170" s="19">
        <f>G1170*B1170</f>
      </c>
      <c r="K1170" s="37">
        <f>Eq_e0+Eq_kx*$C1170+Eq_ky*$B1170</f>
      </c>
      <c r="L1170" s="20">
        <f>IF(K1170&gt;0,IF(K1170&lt;=eco,alpha*fck*(1-(1-K1170/eco)^n),alpha*fck),0)</f>
      </c>
    </row>
    <row r="1171" spans="1:12" x14ac:dyDescent="0.25">
      <c r="A1171">
        <f>Mesh!A1168</f>
      </c>
      <c r="B1171" s="20">
        <f>Mesh!B1168</f>
      </c>
      <c r="C1171" s="20">
        <f>Mesh!C1168</f>
      </c>
      <c r="D1171" s="20">
        <f>Mesh!D1168</f>
      </c>
      <c r="E1171" s="37">
        <f>INDEX(St_e0,Det+1)+INDEX(St_kx,Det+1)*C1171+INDEX(St_ky,Det+1)*B1171</f>
      </c>
      <c r="F1171" s="20">
        <f>IF(E1171&gt;0,IF(E1171&lt;=eco,alpha*fck*(1-(1-E1171/eco)^n),alpha*fck),0)</f>
      </c>
      <c r="G1171" s="19">
        <f>F1171*D1171</f>
      </c>
      <c r="H1171" s="19">
        <f>G1171*C1171</f>
      </c>
      <c r="I1171" s="19">
        <f>G1171*B1171</f>
      </c>
      <c r="K1171" s="37">
        <f>Eq_e0+Eq_kx*$C1171+Eq_ky*$B1171</f>
      </c>
      <c r="L1171" s="20">
        <f>IF(K1171&gt;0,IF(K1171&lt;=eco,alpha*fck*(1-(1-K1171/eco)^n),alpha*fck),0)</f>
      </c>
    </row>
    <row r="1172" spans="1:12" x14ac:dyDescent="0.25">
      <c r="A1172">
        <f>Mesh!A1169</f>
      </c>
      <c r="B1172" s="20">
        <f>Mesh!B1169</f>
      </c>
      <c r="C1172" s="20">
        <f>Mesh!C1169</f>
      </c>
      <c r="D1172" s="20">
        <f>Mesh!D1169</f>
      </c>
      <c r="E1172" s="37">
        <f>INDEX(St_e0,Det+1)+INDEX(St_kx,Det+1)*C1172+INDEX(St_ky,Det+1)*B1172</f>
      </c>
      <c r="F1172" s="20">
        <f>IF(E1172&gt;0,IF(E1172&lt;=eco,alpha*fck*(1-(1-E1172/eco)^n),alpha*fck),0)</f>
      </c>
      <c r="G1172" s="19">
        <f>F1172*D1172</f>
      </c>
      <c r="H1172" s="19">
        <f>G1172*C1172</f>
      </c>
      <c r="I1172" s="19">
        <f>G1172*B1172</f>
      </c>
      <c r="K1172" s="37">
        <f>Eq_e0+Eq_kx*$C1172+Eq_ky*$B1172</f>
      </c>
      <c r="L1172" s="20">
        <f>IF(K1172&gt;0,IF(K1172&lt;=eco,alpha*fck*(1-(1-K1172/eco)^n),alpha*fck),0)</f>
      </c>
    </row>
    <row r="1173" spans="1:12" x14ac:dyDescent="0.25">
      <c r="A1173">
        <f>Mesh!A1170</f>
      </c>
      <c r="B1173" s="20">
        <f>Mesh!B1170</f>
      </c>
      <c r="C1173" s="20">
        <f>Mesh!C1170</f>
      </c>
      <c r="D1173" s="20">
        <f>Mesh!D1170</f>
      </c>
      <c r="E1173" s="37">
        <f>INDEX(St_e0,Det+1)+INDEX(St_kx,Det+1)*C1173+INDEX(St_ky,Det+1)*B1173</f>
      </c>
      <c r="F1173" s="20">
        <f>IF(E1173&gt;0,IF(E1173&lt;=eco,alpha*fck*(1-(1-E1173/eco)^n),alpha*fck),0)</f>
      </c>
      <c r="G1173" s="19">
        <f>F1173*D1173</f>
      </c>
      <c r="H1173" s="19">
        <f>G1173*C1173</f>
      </c>
      <c r="I1173" s="19">
        <f>G1173*B1173</f>
      </c>
      <c r="K1173" s="37">
        <f>Eq_e0+Eq_kx*$C1173+Eq_ky*$B1173</f>
      </c>
      <c r="L1173" s="20">
        <f>IF(K1173&gt;0,IF(K1173&lt;=eco,alpha*fck*(1-(1-K1173/eco)^n),alpha*fck),0)</f>
      </c>
    </row>
    <row r="1174" spans="1:12" x14ac:dyDescent="0.25">
      <c r="A1174">
        <f>Mesh!A1171</f>
      </c>
      <c r="B1174" s="20">
        <f>Mesh!B1171</f>
      </c>
      <c r="C1174" s="20">
        <f>Mesh!C1171</f>
      </c>
      <c r="D1174" s="20">
        <f>Mesh!D1171</f>
      </c>
      <c r="E1174" s="37">
        <f>INDEX(St_e0,Det+1)+INDEX(St_kx,Det+1)*C1174+INDEX(St_ky,Det+1)*B1174</f>
      </c>
      <c r="F1174" s="20">
        <f>IF(E1174&gt;0,IF(E1174&lt;=eco,alpha*fck*(1-(1-E1174/eco)^n),alpha*fck),0)</f>
      </c>
      <c r="G1174" s="19">
        <f>F1174*D1174</f>
      </c>
      <c r="H1174" s="19">
        <f>G1174*C1174</f>
      </c>
      <c r="I1174" s="19">
        <f>G1174*B1174</f>
      </c>
      <c r="K1174" s="37">
        <f>Eq_e0+Eq_kx*$C1174+Eq_ky*$B1174</f>
      </c>
      <c r="L1174" s="20">
        <f>IF(K1174&gt;0,IF(K1174&lt;=eco,alpha*fck*(1-(1-K1174/eco)^n),alpha*fck),0)</f>
      </c>
    </row>
    <row r="1175" spans="1:12" x14ac:dyDescent="0.25">
      <c r="A1175">
        <f>Mesh!A1172</f>
      </c>
      <c r="B1175" s="20">
        <f>Mesh!B1172</f>
      </c>
      <c r="C1175" s="20">
        <f>Mesh!C1172</f>
      </c>
      <c r="D1175" s="20">
        <f>Mesh!D1172</f>
      </c>
      <c r="E1175" s="37">
        <f>INDEX(St_e0,Det+1)+INDEX(St_kx,Det+1)*C1175+INDEX(St_ky,Det+1)*B1175</f>
      </c>
      <c r="F1175" s="20">
        <f>IF(E1175&gt;0,IF(E1175&lt;=eco,alpha*fck*(1-(1-E1175/eco)^n),alpha*fck),0)</f>
      </c>
      <c r="G1175" s="19">
        <f>F1175*D1175</f>
      </c>
      <c r="H1175" s="19">
        <f>G1175*C1175</f>
      </c>
      <c r="I1175" s="19">
        <f>G1175*B1175</f>
      </c>
      <c r="K1175" s="37">
        <f>Eq_e0+Eq_kx*$C1175+Eq_ky*$B1175</f>
      </c>
      <c r="L1175" s="20">
        <f>IF(K1175&gt;0,IF(K1175&lt;=eco,alpha*fck*(1-(1-K1175/eco)^n),alpha*fck),0)</f>
      </c>
    </row>
    <row r="1176" spans="1:12" x14ac:dyDescent="0.25">
      <c r="A1176">
        <f>Mesh!A1173</f>
      </c>
      <c r="B1176" s="20">
        <f>Mesh!B1173</f>
      </c>
      <c r="C1176" s="20">
        <f>Mesh!C1173</f>
      </c>
      <c r="D1176" s="20">
        <f>Mesh!D1173</f>
      </c>
      <c r="E1176" s="37">
        <f>INDEX(St_e0,Det+1)+INDEX(St_kx,Det+1)*C1176+INDEX(St_ky,Det+1)*B1176</f>
      </c>
      <c r="F1176" s="20">
        <f>IF(E1176&gt;0,IF(E1176&lt;=eco,alpha*fck*(1-(1-E1176/eco)^n),alpha*fck),0)</f>
      </c>
      <c r="G1176" s="19">
        <f>F1176*D1176</f>
      </c>
      <c r="H1176" s="19">
        <f>G1176*C1176</f>
      </c>
      <c r="I1176" s="19">
        <f>G1176*B1176</f>
      </c>
      <c r="K1176" s="37">
        <f>Eq_e0+Eq_kx*$C1176+Eq_ky*$B1176</f>
      </c>
      <c r="L1176" s="20">
        <f>IF(K1176&gt;0,IF(K1176&lt;=eco,alpha*fck*(1-(1-K1176/eco)^n),alpha*fck),0)</f>
      </c>
    </row>
    <row r="1177" spans="1:12" x14ac:dyDescent="0.25">
      <c r="A1177">
        <f>Mesh!A1174</f>
      </c>
      <c r="B1177" s="20">
        <f>Mesh!B1174</f>
      </c>
      <c r="C1177" s="20">
        <f>Mesh!C1174</f>
      </c>
      <c r="D1177" s="20">
        <f>Mesh!D1174</f>
      </c>
      <c r="E1177" s="37">
        <f>INDEX(St_e0,Det+1)+INDEX(St_kx,Det+1)*C1177+INDEX(St_ky,Det+1)*B1177</f>
      </c>
      <c r="F1177" s="20">
        <f>IF(E1177&gt;0,IF(E1177&lt;=eco,alpha*fck*(1-(1-E1177/eco)^n),alpha*fck),0)</f>
      </c>
      <c r="G1177" s="19">
        <f>F1177*D1177</f>
      </c>
      <c r="H1177" s="19">
        <f>G1177*C1177</f>
      </c>
      <c r="I1177" s="19">
        <f>G1177*B1177</f>
      </c>
      <c r="K1177" s="37">
        <f>Eq_e0+Eq_kx*$C1177+Eq_ky*$B1177</f>
      </c>
      <c r="L1177" s="20">
        <f>IF(K1177&gt;0,IF(K1177&lt;=eco,alpha*fck*(1-(1-K1177/eco)^n),alpha*fck),0)</f>
      </c>
    </row>
    <row r="1178" spans="1:12" x14ac:dyDescent="0.25">
      <c r="A1178">
        <f>Mesh!A1175</f>
      </c>
      <c r="B1178" s="20">
        <f>Mesh!B1175</f>
      </c>
      <c r="C1178" s="20">
        <f>Mesh!C1175</f>
      </c>
      <c r="D1178" s="20">
        <f>Mesh!D1175</f>
      </c>
      <c r="E1178" s="37">
        <f>INDEX(St_e0,Det+1)+INDEX(St_kx,Det+1)*C1178+INDEX(St_ky,Det+1)*B1178</f>
      </c>
      <c r="F1178" s="20">
        <f>IF(E1178&gt;0,IF(E1178&lt;=eco,alpha*fck*(1-(1-E1178/eco)^n),alpha*fck),0)</f>
      </c>
      <c r="G1178" s="19">
        <f>F1178*D1178</f>
      </c>
      <c r="H1178" s="19">
        <f>G1178*C1178</f>
      </c>
      <c r="I1178" s="19">
        <f>G1178*B1178</f>
      </c>
      <c r="K1178" s="37">
        <f>Eq_e0+Eq_kx*$C1178+Eq_ky*$B1178</f>
      </c>
      <c r="L1178" s="20">
        <f>IF(K1178&gt;0,IF(K1178&lt;=eco,alpha*fck*(1-(1-K1178/eco)^n),alpha*fck),0)</f>
      </c>
    </row>
    <row r="1179" spans="1:12" x14ac:dyDescent="0.25">
      <c r="A1179">
        <f>Mesh!A1176</f>
      </c>
      <c r="B1179" s="20">
        <f>Mesh!B1176</f>
      </c>
      <c r="C1179" s="20">
        <f>Mesh!C1176</f>
      </c>
      <c r="D1179" s="20">
        <f>Mesh!D1176</f>
      </c>
      <c r="E1179" s="37">
        <f>INDEX(St_e0,Det+1)+INDEX(St_kx,Det+1)*C1179+INDEX(St_ky,Det+1)*B1179</f>
      </c>
      <c r="F1179" s="20">
        <f>IF(E1179&gt;0,IF(E1179&lt;=eco,alpha*fck*(1-(1-E1179/eco)^n),alpha*fck),0)</f>
      </c>
      <c r="G1179" s="19">
        <f>F1179*D1179</f>
      </c>
      <c r="H1179" s="19">
        <f>G1179*C1179</f>
      </c>
      <c r="I1179" s="19">
        <f>G1179*B1179</f>
      </c>
      <c r="K1179" s="37">
        <f>Eq_e0+Eq_kx*$C1179+Eq_ky*$B1179</f>
      </c>
      <c r="L1179" s="20">
        <f>IF(K1179&gt;0,IF(K1179&lt;=eco,alpha*fck*(1-(1-K1179/eco)^n),alpha*fck),0)</f>
      </c>
    </row>
    <row r="1180" spans="1:12" x14ac:dyDescent="0.25">
      <c r="A1180">
        <f>Mesh!A1177</f>
      </c>
      <c r="B1180" s="20">
        <f>Mesh!B1177</f>
      </c>
      <c r="C1180" s="20">
        <f>Mesh!C1177</f>
      </c>
      <c r="D1180" s="20">
        <f>Mesh!D1177</f>
      </c>
      <c r="E1180" s="37">
        <f>INDEX(St_e0,Det+1)+INDEX(St_kx,Det+1)*C1180+INDEX(St_ky,Det+1)*B1180</f>
      </c>
      <c r="F1180" s="20">
        <f>IF(E1180&gt;0,IF(E1180&lt;=eco,alpha*fck*(1-(1-E1180/eco)^n),alpha*fck),0)</f>
      </c>
      <c r="G1180" s="19">
        <f>F1180*D1180</f>
      </c>
      <c r="H1180" s="19">
        <f>G1180*C1180</f>
      </c>
      <c r="I1180" s="19">
        <f>G1180*B1180</f>
      </c>
      <c r="K1180" s="37">
        <f>Eq_e0+Eq_kx*$C1180+Eq_ky*$B1180</f>
      </c>
      <c r="L1180" s="20">
        <f>IF(K1180&gt;0,IF(K1180&lt;=eco,alpha*fck*(1-(1-K1180/eco)^n),alpha*fck),0)</f>
      </c>
    </row>
    <row r="1181" spans="1:12" x14ac:dyDescent="0.25">
      <c r="A1181">
        <f>Mesh!A1178</f>
      </c>
      <c r="B1181" s="20">
        <f>Mesh!B1178</f>
      </c>
      <c r="C1181" s="20">
        <f>Mesh!C1178</f>
      </c>
      <c r="D1181" s="20">
        <f>Mesh!D1178</f>
      </c>
      <c r="E1181" s="37">
        <f>INDEX(St_e0,Det+1)+INDEX(St_kx,Det+1)*C1181+INDEX(St_ky,Det+1)*B1181</f>
      </c>
      <c r="F1181" s="20">
        <f>IF(E1181&gt;0,IF(E1181&lt;=eco,alpha*fck*(1-(1-E1181/eco)^n),alpha*fck),0)</f>
      </c>
      <c r="G1181" s="19">
        <f>F1181*D1181</f>
      </c>
      <c r="H1181" s="19">
        <f>G1181*C1181</f>
      </c>
      <c r="I1181" s="19">
        <f>G1181*B1181</f>
      </c>
      <c r="K1181" s="37">
        <f>Eq_e0+Eq_kx*$C1181+Eq_ky*$B1181</f>
      </c>
      <c r="L1181" s="20">
        <f>IF(K1181&gt;0,IF(K1181&lt;=eco,alpha*fck*(1-(1-K1181/eco)^n),alpha*fck),0)</f>
      </c>
    </row>
    <row r="1182" spans="1:12" x14ac:dyDescent="0.25">
      <c r="A1182">
        <f>Mesh!A1179</f>
      </c>
      <c r="B1182" s="20">
        <f>Mesh!B1179</f>
      </c>
      <c r="C1182" s="20">
        <f>Mesh!C1179</f>
      </c>
      <c r="D1182" s="20">
        <f>Mesh!D1179</f>
      </c>
      <c r="E1182" s="37">
        <f>INDEX(St_e0,Det+1)+INDEX(St_kx,Det+1)*C1182+INDEX(St_ky,Det+1)*B1182</f>
      </c>
      <c r="F1182" s="20">
        <f>IF(E1182&gt;0,IF(E1182&lt;=eco,alpha*fck*(1-(1-E1182/eco)^n),alpha*fck),0)</f>
      </c>
      <c r="G1182" s="19">
        <f>F1182*D1182</f>
      </c>
      <c r="H1182" s="19">
        <f>G1182*C1182</f>
      </c>
      <c r="I1182" s="19">
        <f>G1182*B1182</f>
      </c>
      <c r="K1182" s="37">
        <f>Eq_e0+Eq_kx*$C1182+Eq_ky*$B1182</f>
      </c>
      <c r="L1182" s="20">
        <f>IF(K1182&gt;0,IF(K1182&lt;=eco,alpha*fck*(1-(1-K1182/eco)^n),alpha*fck),0)</f>
      </c>
    </row>
    <row r="1183" spans="1:12" x14ac:dyDescent="0.25">
      <c r="A1183">
        <f>Mesh!A1180</f>
      </c>
      <c r="B1183" s="20">
        <f>Mesh!B1180</f>
      </c>
      <c r="C1183" s="20">
        <f>Mesh!C1180</f>
      </c>
      <c r="D1183" s="20">
        <f>Mesh!D1180</f>
      </c>
      <c r="E1183" s="37">
        <f>INDEX(St_e0,Det+1)+INDEX(St_kx,Det+1)*C1183+INDEX(St_ky,Det+1)*B1183</f>
      </c>
      <c r="F1183" s="20">
        <f>IF(E1183&gt;0,IF(E1183&lt;=eco,alpha*fck*(1-(1-E1183/eco)^n),alpha*fck),0)</f>
      </c>
      <c r="G1183" s="19">
        <f>F1183*D1183</f>
      </c>
      <c r="H1183" s="19">
        <f>G1183*C1183</f>
      </c>
      <c r="I1183" s="19">
        <f>G1183*B1183</f>
      </c>
      <c r="K1183" s="37">
        <f>Eq_e0+Eq_kx*$C1183+Eq_ky*$B1183</f>
      </c>
      <c r="L1183" s="20">
        <f>IF(K1183&gt;0,IF(K1183&lt;=eco,alpha*fck*(1-(1-K1183/eco)^n),alpha*fck),0)</f>
      </c>
    </row>
    <row r="1184" spans="1:12" x14ac:dyDescent="0.25">
      <c r="A1184">
        <f>Mesh!A1181</f>
      </c>
      <c r="B1184" s="20">
        <f>Mesh!B1181</f>
      </c>
      <c r="C1184" s="20">
        <f>Mesh!C1181</f>
      </c>
      <c r="D1184" s="20">
        <f>Mesh!D1181</f>
      </c>
      <c r="E1184" s="37">
        <f>INDEX(St_e0,Det+1)+INDEX(St_kx,Det+1)*C1184+INDEX(St_ky,Det+1)*B1184</f>
      </c>
      <c r="F1184" s="20">
        <f>IF(E1184&gt;0,IF(E1184&lt;=eco,alpha*fck*(1-(1-E1184/eco)^n),alpha*fck),0)</f>
      </c>
      <c r="G1184" s="19">
        <f>F1184*D1184</f>
      </c>
      <c r="H1184" s="19">
        <f>G1184*C1184</f>
      </c>
      <c r="I1184" s="19">
        <f>G1184*B1184</f>
      </c>
      <c r="K1184" s="37">
        <f>Eq_e0+Eq_kx*$C1184+Eq_ky*$B1184</f>
      </c>
      <c r="L1184" s="20">
        <f>IF(K1184&gt;0,IF(K1184&lt;=eco,alpha*fck*(1-(1-K1184/eco)^n),alpha*fck),0)</f>
      </c>
    </row>
    <row r="1185" spans="1:12" x14ac:dyDescent="0.25">
      <c r="A1185">
        <f>Mesh!A1182</f>
      </c>
      <c r="B1185" s="20">
        <f>Mesh!B1182</f>
      </c>
      <c r="C1185" s="20">
        <f>Mesh!C1182</f>
      </c>
      <c r="D1185" s="20">
        <f>Mesh!D1182</f>
      </c>
      <c r="E1185" s="37">
        <f>INDEX(St_e0,Det+1)+INDEX(St_kx,Det+1)*C1185+INDEX(St_ky,Det+1)*B1185</f>
      </c>
      <c r="F1185" s="20">
        <f>IF(E1185&gt;0,IF(E1185&lt;=eco,alpha*fck*(1-(1-E1185/eco)^n),alpha*fck),0)</f>
      </c>
      <c r="G1185" s="19">
        <f>F1185*D1185</f>
      </c>
      <c r="H1185" s="19">
        <f>G1185*C1185</f>
      </c>
      <c r="I1185" s="19">
        <f>G1185*B1185</f>
      </c>
      <c r="K1185" s="37">
        <f>Eq_e0+Eq_kx*$C1185+Eq_ky*$B1185</f>
      </c>
      <c r="L1185" s="20">
        <f>IF(K1185&gt;0,IF(K1185&lt;=eco,alpha*fck*(1-(1-K1185/eco)^n),alpha*fck),0)</f>
      </c>
    </row>
    <row r="1186" spans="1:12" x14ac:dyDescent="0.25">
      <c r="A1186">
        <f>Mesh!A1183</f>
      </c>
      <c r="B1186" s="20">
        <f>Mesh!B1183</f>
      </c>
      <c r="C1186" s="20">
        <f>Mesh!C1183</f>
      </c>
      <c r="D1186" s="20">
        <f>Mesh!D1183</f>
      </c>
      <c r="E1186" s="37">
        <f>INDEX(St_e0,Det+1)+INDEX(St_kx,Det+1)*C1186+INDEX(St_ky,Det+1)*B1186</f>
      </c>
      <c r="F1186" s="20">
        <f>IF(E1186&gt;0,IF(E1186&lt;=eco,alpha*fck*(1-(1-E1186/eco)^n),alpha*fck),0)</f>
      </c>
      <c r="G1186" s="19">
        <f>F1186*D1186</f>
      </c>
      <c r="H1186" s="19">
        <f>G1186*C1186</f>
      </c>
      <c r="I1186" s="19">
        <f>G1186*B1186</f>
      </c>
      <c r="K1186" s="37">
        <f>Eq_e0+Eq_kx*$C1186+Eq_ky*$B1186</f>
      </c>
      <c r="L1186" s="20">
        <f>IF(K1186&gt;0,IF(K1186&lt;=eco,alpha*fck*(1-(1-K1186/eco)^n),alpha*fck),0)</f>
      </c>
    </row>
    <row r="1187" spans="1:12" x14ac:dyDescent="0.25">
      <c r="A1187">
        <f>Mesh!A1184</f>
      </c>
      <c r="B1187" s="20">
        <f>Mesh!B1184</f>
      </c>
      <c r="C1187" s="20">
        <f>Mesh!C1184</f>
      </c>
      <c r="D1187" s="20">
        <f>Mesh!D1184</f>
      </c>
      <c r="E1187" s="37">
        <f>INDEX(St_e0,Det+1)+INDEX(St_kx,Det+1)*C1187+INDEX(St_ky,Det+1)*B1187</f>
      </c>
      <c r="F1187" s="20">
        <f>IF(E1187&gt;0,IF(E1187&lt;=eco,alpha*fck*(1-(1-E1187/eco)^n),alpha*fck),0)</f>
      </c>
      <c r="G1187" s="19">
        <f>F1187*D1187</f>
      </c>
      <c r="H1187" s="19">
        <f>G1187*C1187</f>
      </c>
      <c r="I1187" s="19">
        <f>G1187*B1187</f>
      </c>
      <c r="K1187" s="37">
        <f>Eq_e0+Eq_kx*$C1187+Eq_ky*$B1187</f>
      </c>
      <c r="L1187" s="20">
        <f>IF(K1187&gt;0,IF(K1187&lt;=eco,alpha*fck*(1-(1-K1187/eco)^n),alpha*fck),0)</f>
      </c>
    </row>
    <row r="1188" spans="1:12" x14ac:dyDescent="0.25">
      <c r="A1188">
        <f>Mesh!A1185</f>
      </c>
      <c r="B1188" s="20">
        <f>Mesh!B1185</f>
      </c>
      <c r="C1188" s="20">
        <f>Mesh!C1185</f>
      </c>
      <c r="D1188" s="20">
        <f>Mesh!D1185</f>
      </c>
      <c r="E1188" s="37">
        <f>INDEX(St_e0,Det+1)+INDEX(St_kx,Det+1)*C1188+INDEX(St_ky,Det+1)*B1188</f>
      </c>
      <c r="F1188" s="20">
        <f>IF(E1188&gt;0,IF(E1188&lt;=eco,alpha*fck*(1-(1-E1188/eco)^n),alpha*fck),0)</f>
      </c>
      <c r="G1188" s="19">
        <f>F1188*D1188</f>
      </c>
      <c r="H1188" s="19">
        <f>G1188*C1188</f>
      </c>
      <c r="I1188" s="19">
        <f>G1188*B1188</f>
      </c>
      <c r="K1188" s="37">
        <f>Eq_e0+Eq_kx*$C1188+Eq_ky*$B1188</f>
      </c>
      <c r="L1188" s="20">
        <f>IF(K1188&gt;0,IF(K1188&lt;=eco,alpha*fck*(1-(1-K1188/eco)^n),alpha*fck),0)</f>
      </c>
    </row>
    <row r="1189" spans="1:12" x14ac:dyDescent="0.25">
      <c r="A1189">
        <f>Mesh!A1186</f>
      </c>
      <c r="B1189" s="20">
        <f>Mesh!B1186</f>
      </c>
      <c r="C1189" s="20">
        <f>Mesh!C1186</f>
      </c>
      <c r="D1189" s="20">
        <f>Mesh!D1186</f>
      </c>
      <c r="E1189" s="37">
        <f>INDEX(St_e0,Det+1)+INDEX(St_kx,Det+1)*C1189+INDEX(St_ky,Det+1)*B1189</f>
      </c>
      <c r="F1189" s="20">
        <f>IF(E1189&gt;0,IF(E1189&lt;=eco,alpha*fck*(1-(1-E1189/eco)^n),alpha*fck),0)</f>
      </c>
      <c r="G1189" s="19">
        <f>F1189*D1189</f>
      </c>
      <c r="H1189" s="19">
        <f>G1189*C1189</f>
      </c>
      <c r="I1189" s="19">
        <f>G1189*B1189</f>
      </c>
      <c r="K1189" s="37">
        <f>Eq_e0+Eq_kx*$C1189+Eq_ky*$B1189</f>
      </c>
      <c r="L1189" s="20">
        <f>IF(K1189&gt;0,IF(K1189&lt;=eco,alpha*fck*(1-(1-K1189/eco)^n),alpha*fck),0)</f>
      </c>
    </row>
    <row r="1190" spans="1:12" x14ac:dyDescent="0.25">
      <c r="A1190">
        <f>Mesh!A1187</f>
      </c>
      <c r="B1190" s="20">
        <f>Mesh!B1187</f>
      </c>
      <c r="C1190" s="20">
        <f>Mesh!C1187</f>
      </c>
      <c r="D1190" s="20">
        <f>Mesh!D1187</f>
      </c>
      <c r="E1190" s="37">
        <f>INDEX(St_e0,Det+1)+INDEX(St_kx,Det+1)*C1190+INDEX(St_ky,Det+1)*B1190</f>
      </c>
      <c r="F1190" s="20">
        <f>IF(E1190&gt;0,IF(E1190&lt;=eco,alpha*fck*(1-(1-E1190/eco)^n),alpha*fck),0)</f>
      </c>
      <c r="G1190" s="19">
        <f>F1190*D1190</f>
      </c>
      <c r="H1190" s="19">
        <f>G1190*C1190</f>
      </c>
      <c r="I1190" s="19">
        <f>G1190*B1190</f>
      </c>
      <c r="K1190" s="37">
        <f>Eq_e0+Eq_kx*$C1190+Eq_ky*$B1190</f>
      </c>
      <c r="L1190" s="20">
        <f>IF(K1190&gt;0,IF(K1190&lt;=eco,alpha*fck*(1-(1-K1190/eco)^n),alpha*fck),0)</f>
      </c>
    </row>
    <row r="1191" spans="1:12" x14ac:dyDescent="0.25">
      <c r="A1191">
        <f>Mesh!A1188</f>
      </c>
      <c r="B1191" s="20">
        <f>Mesh!B1188</f>
      </c>
      <c r="C1191" s="20">
        <f>Mesh!C1188</f>
      </c>
      <c r="D1191" s="20">
        <f>Mesh!D1188</f>
      </c>
      <c r="E1191" s="37">
        <f>INDEX(St_e0,Det+1)+INDEX(St_kx,Det+1)*C1191+INDEX(St_ky,Det+1)*B1191</f>
      </c>
      <c r="F1191" s="20">
        <f>IF(E1191&gt;0,IF(E1191&lt;=eco,alpha*fck*(1-(1-E1191/eco)^n),alpha*fck),0)</f>
      </c>
      <c r="G1191" s="19">
        <f>F1191*D1191</f>
      </c>
      <c r="H1191" s="19">
        <f>G1191*C1191</f>
      </c>
      <c r="I1191" s="19">
        <f>G1191*B1191</f>
      </c>
      <c r="K1191" s="37">
        <f>Eq_e0+Eq_kx*$C1191+Eq_ky*$B1191</f>
      </c>
      <c r="L1191" s="20">
        <f>IF(K1191&gt;0,IF(K1191&lt;=eco,alpha*fck*(1-(1-K1191/eco)^n),alpha*fck),0)</f>
      </c>
    </row>
    <row r="1192" spans="1:12" x14ac:dyDescent="0.25">
      <c r="A1192">
        <f>Mesh!A1189</f>
      </c>
      <c r="B1192" s="20">
        <f>Mesh!B1189</f>
      </c>
      <c r="C1192" s="20">
        <f>Mesh!C1189</f>
      </c>
      <c r="D1192" s="20">
        <f>Mesh!D1189</f>
      </c>
      <c r="E1192" s="37">
        <f>INDEX(St_e0,Det+1)+INDEX(St_kx,Det+1)*C1192+INDEX(St_ky,Det+1)*B1192</f>
      </c>
      <c r="F1192" s="20">
        <f>IF(E1192&gt;0,IF(E1192&lt;=eco,alpha*fck*(1-(1-E1192/eco)^n),alpha*fck),0)</f>
      </c>
      <c r="G1192" s="19">
        <f>F1192*D1192</f>
      </c>
      <c r="H1192" s="19">
        <f>G1192*C1192</f>
      </c>
      <c r="I1192" s="19">
        <f>G1192*B1192</f>
      </c>
      <c r="K1192" s="37">
        <f>Eq_e0+Eq_kx*$C1192+Eq_ky*$B1192</f>
      </c>
      <c r="L1192" s="20">
        <f>IF(K1192&gt;0,IF(K1192&lt;=eco,alpha*fck*(1-(1-K1192/eco)^n),alpha*fck),0)</f>
      </c>
    </row>
    <row r="1193" spans="1:12" x14ac:dyDescent="0.25">
      <c r="A1193">
        <f>Mesh!A1190</f>
      </c>
      <c r="B1193" s="20">
        <f>Mesh!B1190</f>
      </c>
      <c r="C1193" s="20">
        <f>Mesh!C1190</f>
      </c>
      <c r="D1193" s="20">
        <f>Mesh!D1190</f>
      </c>
      <c r="E1193" s="37">
        <f>INDEX(St_e0,Det+1)+INDEX(St_kx,Det+1)*C1193+INDEX(St_ky,Det+1)*B1193</f>
      </c>
      <c r="F1193" s="20">
        <f>IF(E1193&gt;0,IF(E1193&lt;=eco,alpha*fck*(1-(1-E1193/eco)^n),alpha*fck),0)</f>
      </c>
      <c r="G1193" s="19">
        <f>F1193*D1193</f>
      </c>
      <c r="H1193" s="19">
        <f>G1193*C1193</f>
      </c>
      <c r="I1193" s="19">
        <f>G1193*B1193</f>
      </c>
      <c r="K1193" s="37">
        <f>Eq_e0+Eq_kx*$C1193+Eq_ky*$B1193</f>
      </c>
      <c r="L1193" s="20">
        <f>IF(K1193&gt;0,IF(K1193&lt;=eco,alpha*fck*(1-(1-K1193/eco)^n),alpha*fck),0)</f>
      </c>
    </row>
    <row r="1194" spans="1:12" x14ac:dyDescent="0.25">
      <c r="A1194">
        <f>Mesh!A1191</f>
      </c>
      <c r="B1194" s="20">
        <f>Mesh!B1191</f>
      </c>
      <c r="C1194" s="20">
        <f>Mesh!C1191</f>
      </c>
      <c r="D1194" s="20">
        <f>Mesh!D1191</f>
      </c>
      <c r="E1194" s="37">
        <f>INDEX(St_e0,Det+1)+INDEX(St_kx,Det+1)*C1194+INDEX(St_ky,Det+1)*B1194</f>
      </c>
      <c r="F1194" s="20">
        <f>IF(E1194&gt;0,IF(E1194&lt;=eco,alpha*fck*(1-(1-E1194/eco)^n),alpha*fck),0)</f>
      </c>
      <c r="G1194" s="19">
        <f>F1194*D1194</f>
      </c>
      <c r="H1194" s="19">
        <f>G1194*C1194</f>
      </c>
      <c r="I1194" s="19">
        <f>G1194*B1194</f>
      </c>
      <c r="K1194" s="37">
        <f>Eq_e0+Eq_kx*$C1194+Eq_ky*$B1194</f>
      </c>
      <c r="L1194" s="20">
        <f>IF(K1194&gt;0,IF(K1194&lt;=eco,alpha*fck*(1-(1-K1194/eco)^n),alpha*fck),0)</f>
      </c>
    </row>
    <row r="1195" spans="1:12" x14ac:dyDescent="0.25">
      <c r="A1195">
        <f>Mesh!A1192</f>
      </c>
      <c r="B1195" s="20">
        <f>Mesh!B1192</f>
      </c>
      <c r="C1195" s="20">
        <f>Mesh!C1192</f>
      </c>
      <c r="D1195" s="20">
        <f>Mesh!D1192</f>
      </c>
      <c r="E1195" s="37">
        <f>INDEX(St_e0,Det+1)+INDEX(St_kx,Det+1)*C1195+INDEX(St_ky,Det+1)*B1195</f>
      </c>
      <c r="F1195" s="20">
        <f>IF(E1195&gt;0,IF(E1195&lt;=eco,alpha*fck*(1-(1-E1195/eco)^n),alpha*fck),0)</f>
      </c>
      <c r="G1195" s="19">
        <f>F1195*D1195</f>
      </c>
      <c r="H1195" s="19">
        <f>G1195*C1195</f>
      </c>
      <c r="I1195" s="19">
        <f>G1195*B1195</f>
      </c>
      <c r="K1195" s="37">
        <f>Eq_e0+Eq_kx*$C1195+Eq_ky*$B1195</f>
      </c>
      <c r="L1195" s="20">
        <f>IF(K1195&gt;0,IF(K1195&lt;=eco,alpha*fck*(1-(1-K1195/eco)^n),alpha*fck),0)</f>
      </c>
    </row>
    <row r="1196" spans="1:12" x14ac:dyDescent="0.25">
      <c r="A1196">
        <f>Mesh!A1193</f>
      </c>
      <c r="B1196" s="20">
        <f>Mesh!B1193</f>
      </c>
      <c r="C1196" s="20">
        <f>Mesh!C1193</f>
      </c>
      <c r="D1196" s="20">
        <f>Mesh!D1193</f>
      </c>
      <c r="E1196" s="37">
        <f>INDEX(St_e0,Det+1)+INDEX(St_kx,Det+1)*C1196+INDEX(St_ky,Det+1)*B1196</f>
      </c>
      <c r="F1196" s="20">
        <f>IF(E1196&gt;0,IF(E1196&lt;=eco,alpha*fck*(1-(1-E1196/eco)^n),alpha*fck),0)</f>
      </c>
      <c r="G1196" s="19">
        <f>F1196*D1196</f>
      </c>
      <c r="H1196" s="19">
        <f>G1196*C1196</f>
      </c>
      <c r="I1196" s="19">
        <f>G1196*B1196</f>
      </c>
      <c r="K1196" s="37">
        <f>Eq_e0+Eq_kx*$C1196+Eq_ky*$B1196</f>
      </c>
      <c r="L1196" s="20">
        <f>IF(K1196&gt;0,IF(K1196&lt;=eco,alpha*fck*(1-(1-K1196/eco)^n),alpha*fck),0)</f>
      </c>
    </row>
    <row r="1197" spans="1:12" x14ac:dyDescent="0.25">
      <c r="A1197">
        <f>Mesh!A1194</f>
      </c>
      <c r="B1197" s="20">
        <f>Mesh!B1194</f>
      </c>
      <c r="C1197" s="20">
        <f>Mesh!C1194</f>
      </c>
      <c r="D1197" s="20">
        <f>Mesh!D1194</f>
      </c>
      <c r="E1197" s="37">
        <f>INDEX(St_e0,Det+1)+INDEX(St_kx,Det+1)*C1197+INDEX(St_ky,Det+1)*B1197</f>
      </c>
      <c r="F1197" s="20">
        <f>IF(E1197&gt;0,IF(E1197&lt;=eco,alpha*fck*(1-(1-E1197/eco)^n),alpha*fck),0)</f>
      </c>
      <c r="G1197" s="19">
        <f>F1197*D1197</f>
      </c>
      <c r="H1197" s="19">
        <f>G1197*C1197</f>
      </c>
      <c r="I1197" s="19">
        <f>G1197*B1197</f>
      </c>
      <c r="K1197" s="37">
        <f>Eq_e0+Eq_kx*$C1197+Eq_ky*$B1197</f>
      </c>
      <c r="L1197" s="20">
        <f>IF(K1197&gt;0,IF(K1197&lt;=eco,alpha*fck*(1-(1-K1197/eco)^n),alpha*fck),0)</f>
      </c>
    </row>
    <row r="1198" spans="1:12" x14ac:dyDescent="0.25">
      <c r="A1198">
        <f>Mesh!A1195</f>
      </c>
      <c r="B1198" s="20">
        <f>Mesh!B1195</f>
      </c>
      <c r="C1198" s="20">
        <f>Mesh!C1195</f>
      </c>
      <c r="D1198" s="20">
        <f>Mesh!D1195</f>
      </c>
      <c r="E1198" s="37">
        <f>INDEX(St_e0,Det+1)+INDEX(St_kx,Det+1)*C1198+INDEX(St_ky,Det+1)*B1198</f>
      </c>
      <c r="F1198" s="20">
        <f>IF(E1198&gt;0,IF(E1198&lt;=eco,alpha*fck*(1-(1-E1198/eco)^n),alpha*fck),0)</f>
      </c>
      <c r="G1198" s="19">
        <f>F1198*D1198</f>
      </c>
      <c r="H1198" s="19">
        <f>G1198*C1198</f>
      </c>
      <c r="I1198" s="19">
        <f>G1198*B1198</f>
      </c>
      <c r="K1198" s="37">
        <f>Eq_e0+Eq_kx*$C1198+Eq_ky*$B1198</f>
      </c>
      <c r="L1198" s="20">
        <f>IF(K1198&gt;0,IF(K1198&lt;=eco,alpha*fck*(1-(1-K1198/eco)^n),alpha*fck),0)</f>
      </c>
    </row>
    <row r="1199" spans="1:12" x14ac:dyDescent="0.25">
      <c r="A1199">
        <f>Mesh!A1196</f>
      </c>
      <c r="B1199" s="20">
        <f>Mesh!B1196</f>
      </c>
      <c r="C1199" s="20">
        <f>Mesh!C1196</f>
      </c>
      <c r="D1199" s="20">
        <f>Mesh!D1196</f>
      </c>
      <c r="E1199" s="37">
        <f>INDEX(St_e0,Det+1)+INDEX(St_kx,Det+1)*C1199+INDEX(St_ky,Det+1)*B1199</f>
      </c>
      <c r="F1199" s="20">
        <f>IF(E1199&gt;0,IF(E1199&lt;=eco,alpha*fck*(1-(1-E1199/eco)^n),alpha*fck),0)</f>
      </c>
      <c r="G1199" s="19">
        <f>F1199*D1199</f>
      </c>
      <c r="H1199" s="19">
        <f>G1199*C1199</f>
      </c>
      <c r="I1199" s="19">
        <f>G1199*B1199</f>
      </c>
      <c r="K1199" s="37">
        <f>Eq_e0+Eq_kx*$C1199+Eq_ky*$B1199</f>
      </c>
      <c r="L1199" s="20">
        <f>IF(K1199&gt;0,IF(K1199&lt;=eco,alpha*fck*(1-(1-K1199/eco)^n),alpha*fck),0)</f>
      </c>
    </row>
    <row r="1200" spans="1:12" x14ac:dyDescent="0.25">
      <c r="A1200">
        <f>Mesh!A1197</f>
      </c>
      <c r="B1200" s="20">
        <f>Mesh!B1197</f>
      </c>
      <c r="C1200" s="20">
        <f>Mesh!C1197</f>
      </c>
      <c r="D1200" s="20">
        <f>Mesh!D1197</f>
      </c>
      <c r="E1200" s="37">
        <f>INDEX(St_e0,Det+1)+INDEX(St_kx,Det+1)*C1200+INDEX(St_ky,Det+1)*B1200</f>
      </c>
      <c r="F1200" s="20">
        <f>IF(E1200&gt;0,IF(E1200&lt;=eco,alpha*fck*(1-(1-E1200/eco)^n),alpha*fck),0)</f>
      </c>
      <c r="G1200" s="19">
        <f>F1200*D1200</f>
      </c>
      <c r="H1200" s="19">
        <f>G1200*C1200</f>
      </c>
      <c r="I1200" s="19">
        <f>G1200*B1200</f>
      </c>
      <c r="K1200" s="37">
        <f>Eq_e0+Eq_kx*$C1200+Eq_ky*$B1200</f>
      </c>
      <c r="L1200" s="20">
        <f>IF(K1200&gt;0,IF(K1200&lt;=eco,alpha*fck*(1-(1-K1200/eco)^n),alpha*fck),0)</f>
      </c>
    </row>
    <row r="1201" spans="1:12" x14ac:dyDescent="0.25">
      <c r="A1201">
        <f>Mesh!A1198</f>
      </c>
      <c r="B1201" s="20">
        <f>Mesh!B1198</f>
      </c>
      <c r="C1201" s="20">
        <f>Mesh!C1198</f>
      </c>
      <c r="D1201" s="20">
        <f>Mesh!D1198</f>
      </c>
      <c r="E1201" s="37">
        <f>INDEX(St_e0,Det+1)+INDEX(St_kx,Det+1)*C1201+INDEX(St_ky,Det+1)*B1201</f>
      </c>
      <c r="F1201" s="20">
        <f>IF(E1201&gt;0,IF(E1201&lt;=eco,alpha*fck*(1-(1-E1201/eco)^n),alpha*fck),0)</f>
      </c>
      <c r="G1201" s="19">
        <f>F1201*D1201</f>
      </c>
      <c r="H1201" s="19">
        <f>G1201*C1201</f>
      </c>
      <c r="I1201" s="19">
        <f>G1201*B1201</f>
      </c>
      <c r="K1201" s="37">
        <f>Eq_e0+Eq_kx*$C1201+Eq_ky*$B1201</f>
      </c>
      <c r="L1201" s="20">
        <f>IF(K1201&gt;0,IF(K1201&lt;=eco,alpha*fck*(1-(1-K1201/eco)^n),alpha*fck),0)</f>
      </c>
    </row>
    <row r="1202" spans="1:12" x14ac:dyDescent="0.25">
      <c r="A1202">
        <f>Mesh!A1199</f>
      </c>
      <c r="B1202" s="20">
        <f>Mesh!B1199</f>
      </c>
      <c r="C1202" s="20">
        <f>Mesh!C1199</f>
      </c>
      <c r="D1202" s="20">
        <f>Mesh!D1199</f>
      </c>
      <c r="E1202" s="37">
        <f>INDEX(St_e0,Det+1)+INDEX(St_kx,Det+1)*C1202+INDEX(St_ky,Det+1)*B1202</f>
      </c>
      <c r="F1202" s="20">
        <f>IF(E1202&gt;0,IF(E1202&lt;=eco,alpha*fck*(1-(1-E1202/eco)^n),alpha*fck),0)</f>
      </c>
      <c r="G1202" s="19">
        <f>F1202*D1202</f>
      </c>
      <c r="H1202" s="19">
        <f>G1202*C1202</f>
      </c>
      <c r="I1202" s="19">
        <f>G1202*B1202</f>
      </c>
      <c r="K1202" s="37">
        <f>Eq_e0+Eq_kx*$C1202+Eq_ky*$B1202</f>
      </c>
      <c r="L1202" s="20">
        <f>IF(K1202&gt;0,IF(K1202&lt;=eco,alpha*fck*(1-(1-K1202/eco)^n),alpha*fck),0)</f>
      </c>
    </row>
    <row r="1203" spans="1:12" x14ac:dyDescent="0.25">
      <c r="A1203">
        <f>Mesh!A1200</f>
      </c>
      <c r="B1203" s="20">
        <f>Mesh!B1200</f>
      </c>
      <c r="C1203" s="20">
        <f>Mesh!C1200</f>
      </c>
      <c r="D1203" s="20">
        <f>Mesh!D1200</f>
      </c>
      <c r="E1203" s="37">
        <f>INDEX(St_e0,Det+1)+INDEX(St_kx,Det+1)*C1203+INDEX(St_ky,Det+1)*B1203</f>
      </c>
      <c r="F1203" s="20">
        <f>IF(E1203&gt;0,IF(E1203&lt;=eco,alpha*fck*(1-(1-E1203/eco)^n),alpha*fck),0)</f>
      </c>
      <c r="G1203" s="19">
        <f>F1203*D1203</f>
      </c>
      <c r="H1203" s="19">
        <f>G1203*C1203</f>
      </c>
      <c r="I1203" s="19">
        <f>G1203*B1203</f>
      </c>
      <c r="K1203" s="37">
        <f>Eq_e0+Eq_kx*$C1203+Eq_ky*$B1203</f>
      </c>
      <c r="L1203" s="20">
        <f>IF(K1203&gt;0,IF(K1203&lt;=eco,alpha*fck*(1-(1-K1203/eco)^n),alpha*fck),0)</f>
      </c>
    </row>
    <row r="1204" spans="1:12" x14ac:dyDescent="0.25">
      <c r="A1204">
        <f>Mesh!A1201</f>
      </c>
      <c r="B1204" s="20">
        <f>Mesh!B1201</f>
      </c>
      <c r="C1204" s="20">
        <f>Mesh!C1201</f>
      </c>
      <c r="D1204" s="20">
        <f>Mesh!D1201</f>
      </c>
      <c r="E1204" s="37">
        <f>INDEX(St_e0,Det+1)+INDEX(St_kx,Det+1)*C1204+INDEX(St_ky,Det+1)*B1204</f>
      </c>
      <c r="F1204" s="20">
        <f>IF(E1204&gt;0,IF(E1204&lt;=eco,alpha*fck*(1-(1-E1204/eco)^n),alpha*fck),0)</f>
      </c>
      <c r="G1204" s="19">
        <f>F1204*D1204</f>
      </c>
      <c r="H1204" s="19">
        <f>G1204*C1204</f>
      </c>
      <c r="I1204" s="19">
        <f>G1204*B1204</f>
      </c>
      <c r="K1204" s="37">
        <f>Eq_e0+Eq_kx*$C1204+Eq_ky*$B1204</f>
      </c>
      <c r="L1204" s="20">
        <f>IF(K1204&gt;0,IF(K1204&lt;=eco,alpha*fck*(1-(1-K1204/eco)^n),alpha*fck),0)</f>
      </c>
    </row>
    <row r="1205" spans="1:12" x14ac:dyDescent="0.25">
      <c r="A1205">
        <f>Mesh!A1202</f>
      </c>
      <c r="B1205" s="20">
        <f>Mesh!B1202</f>
      </c>
      <c r="C1205" s="20">
        <f>Mesh!C1202</f>
      </c>
      <c r="D1205" s="20">
        <f>Mesh!D1202</f>
      </c>
      <c r="E1205" s="37">
        <f>INDEX(St_e0,Det+1)+INDEX(St_kx,Det+1)*C1205+INDEX(St_ky,Det+1)*B1205</f>
      </c>
      <c r="F1205" s="20">
        <f>IF(E1205&gt;0,IF(E1205&lt;=eco,alpha*fck*(1-(1-E1205/eco)^n),alpha*fck),0)</f>
      </c>
      <c r="G1205" s="19">
        <f>F1205*D1205</f>
      </c>
      <c r="H1205" s="19">
        <f>G1205*C1205</f>
      </c>
      <c r="I1205" s="19">
        <f>G1205*B1205</f>
      </c>
      <c r="K1205" s="37">
        <f>Eq_e0+Eq_kx*$C1205+Eq_ky*$B1205</f>
      </c>
      <c r="L1205" s="20">
        <f>IF(K1205&gt;0,IF(K1205&lt;=eco,alpha*fck*(1-(1-K1205/eco)^n),alpha*fck),0)</f>
      </c>
    </row>
    <row r="1206" spans="1:12" x14ac:dyDescent="0.25">
      <c r="A1206">
        <f>Mesh!A1203</f>
      </c>
      <c r="B1206" s="20">
        <f>Mesh!B1203</f>
      </c>
      <c r="C1206" s="20">
        <f>Mesh!C1203</f>
      </c>
      <c r="D1206" s="20">
        <f>Mesh!D1203</f>
      </c>
      <c r="E1206" s="37">
        <f>INDEX(St_e0,Det+1)+INDEX(St_kx,Det+1)*C1206+INDEX(St_ky,Det+1)*B1206</f>
      </c>
      <c r="F1206" s="20">
        <f>IF(E1206&gt;0,IF(E1206&lt;=eco,alpha*fck*(1-(1-E1206/eco)^n),alpha*fck),0)</f>
      </c>
      <c r="G1206" s="19">
        <f>F1206*D1206</f>
      </c>
      <c r="H1206" s="19">
        <f>G1206*C1206</f>
      </c>
      <c r="I1206" s="19">
        <f>G1206*B1206</f>
      </c>
      <c r="K1206" s="37">
        <f>Eq_e0+Eq_kx*$C1206+Eq_ky*$B1206</f>
      </c>
      <c r="L1206" s="20">
        <f>IF(K1206&gt;0,IF(K1206&lt;=eco,alpha*fck*(1-(1-K1206/eco)^n),alpha*fck),0)</f>
      </c>
    </row>
    <row r="1207" spans="1:12" x14ac:dyDescent="0.25">
      <c r="A1207">
        <f>Mesh!A1204</f>
      </c>
      <c r="B1207" s="20">
        <f>Mesh!B1204</f>
      </c>
      <c r="C1207" s="20">
        <f>Mesh!C1204</f>
      </c>
      <c r="D1207" s="20">
        <f>Mesh!D1204</f>
      </c>
      <c r="E1207" s="37">
        <f>INDEX(St_e0,Det+1)+INDEX(St_kx,Det+1)*C1207+INDEX(St_ky,Det+1)*B1207</f>
      </c>
      <c r="F1207" s="20">
        <f>IF(E1207&gt;0,IF(E1207&lt;=eco,alpha*fck*(1-(1-E1207/eco)^n),alpha*fck),0)</f>
      </c>
      <c r="G1207" s="19">
        <f>F1207*D1207</f>
      </c>
      <c r="H1207" s="19">
        <f>G1207*C1207</f>
      </c>
      <c r="I1207" s="19">
        <f>G1207*B1207</f>
      </c>
      <c r="K1207" s="37">
        <f>Eq_e0+Eq_kx*$C1207+Eq_ky*$B1207</f>
      </c>
      <c r="L1207" s="20">
        <f>IF(K1207&gt;0,IF(K1207&lt;=eco,alpha*fck*(1-(1-K1207/eco)^n),alpha*fck),0)</f>
      </c>
    </row>
    <row r="1208" spans="1:12" x14ac:dyDescent="0.25">
      <c r="A1208">
        <f>Mesh!A1205</f>
      </c>
      <c r="B1208" s="20">
        <f>Mesh!B1205</f>
      </c>
      <c r="C1208" s="20">
        <f>Mesh!C1205</f>
      </c>
      <c r="D1208" s="20">
        <f>Mesh!D1205</f>
      </c>
      <c r="E1208" s="37">
        <f>INDEX(St_e0,Det+1)+INDEX(St_kx,Det+1)*C1208+INDEX(St_ky,Det+1)*B1208</f>
      </c>
      <c r="F1208" s="20">
        <f>IF(E1208&gt;0,IF(E1208&lt;=eco,alpha*fck*(1-(1-E1208/eco)^n),alpha*fck),0)</f>
      </c>
      <c r="G1208" s="19">
        <f>F1208*D1208</f>
      </c>
      <c r="H1208" s="19">
        <f>G1208*C1208</f>
      </c>
      <c r="I1208" s="19">
        <f>G1208*B1208</f>
      </c>
      <c r="K1208" s="37">
        <f>Eq_e0+Eq_kx*$C1208+Eq_ky*$B1208</f>
      </c>
      <c r="L1208" s="20">
        <f>IF(K1208&gt;0,IF(K1208&lt;=eco,alpha*fck*(1-(1-K1208/eco)^n),alpha*fck),0)</f>
      </c>
    </row>
    <row r="1209" spans="1:12" x14ac:dyDescent="0.25">
      <c r="A1209">
        <f>Mesh!A1206</f>
      </c>
      <c r="B1209" s="20">
        <f>Mesh!B1206</f>
      </c>
      <c r="C1209" s="20">
        <f>Mesh!C1206</f>
      </c>
      <c r="D1209" s="20">
        <f>Mesh!D1206</f>
      </c>
      <c r="E1209" s="37">
        <f>INDEX(St_e0,Det+1)+INDEX(St_kx,Det+1)*C1209+INDEX(St_ky,Det+1)*B1209</f>
      </c>
      <c r="F1209" s="20">
        <f>IF(E1209&gt;0,IF(E1209&lt;=eco,alpha*fck*(1-(1-E1209/eco)^n),alpha*fck),0)</f>
      </c>
      <c r="G1209" s="19">
        <f>F1209*D1209</f>
      </c>
      <c r="H1209" s="19">
        <f>G1209*C1209</f>
      </c>
      <c r="I1209" s="19">
        <f>G1209*B1209</f>
      </c>
      <c r="K1209" s="37">
        <f>Eq_e0+Eq_kx*$C1209+Eq_ky*$B1209</f>
      </c>
      <c r="L1209" s="20">
        <f>IF(K1209&gt;0,IF(K1209&lt;=eco,alpha*fck*(1-(1-K1209/eco)^n),alpha*fck),0)</f>
      </c>
    </row>
    <row r="1210" spans="1:12" x14ac:dyDescent="0.25">
      <c r="A1210">
        <f>Mesh!A1207</f>
      </c>
      <c r="B1210" s="20">
        <f>Mesh!B1207</f>
      </c>
      <c r="C1210" s="20">
        <f>Mesh!C1207</f>
      </c>
      <c r="D1210" s="20">
        <f>Mesh!D1207</f>
      </c>
      <c r="E1210" s="37">
        <f>INDEX(St_e0,Det+1)+INDEX(St_kx,Det+1)*C1210+INDEX(St_ky,Det+1)*B1210</f>
      </c>
      <c r="F1210" s="20">
        <f>IF(E1210&gt;0,IF(E1210&lt;=eco,alpha*fck*(1-(1-E1210/eco)^n),alpha*fck),0)</f>
      </c>
      <c r="G1210" s="19">
        <f>F1210*D1210</f>
      </c>
      <c r="H1210" s="19">
        <f>G1210*C1210</f>
      </c>
      <c r="I1210" s="19">
        <f>G1210*B1210</f>
      </c>
      <c r="K1210" s="37">
        <f>Eq_e0+Eq_kx*$C1210+Eq_ky*$B1210</f>
      </c>
      <c r="L1210" s="20">
        <f>IF(K1210&gt;0,IF(K1210&lt;=eco,alpha*fck*(1-(1-K1210/eco)^n),alpha*fck),0)</f>
      </c>
    </row>
    <row r="1211" spans="1:12" x14ac:dyDescent="0.25">
      <c r="A1211">
        <f>Mesh!A1208</f>
      </c>
      <c r="B1211" s="20">
        <f>Mesh!B1208</f>
      </c>
      <c r="C1211" s="20">
        <f>Mesh!C1208</f>
      </c>
      <c r="D1211" s="20">
        <f>Mesh!D1208</f>
      </c>
      <c r="E1211" s="37">
        <f>INDEX(St_e0,Det+1)+INDEX(St_kx,Det+1)*C1211+INDEX(St_ky,Det+1)*B1211</f>
      </c>
      <c r="F1211" s="20">
        <f>IF(E1211&gt;0,IF(E1211&lt;=eco,alpha*fck*(1-(1-E1211/eco)^n),alpha*fck),0)</f>
      </c>
      <c r="G1211" s="19">
        <f>F1211*D1211</f>
      </c>
      <c r="H1211" s="19">
        <f>G1211*C1211</f>
      </c>
      <c r="I1211" s="19">
        <f>G1211*B1211</f>
      </c>
      <c r="K1211" s="37">
        <f>Eq_e0+Eq_kx*$C1211+Eq_ky*$B1211</f>
      </c>
      <c r="L1211" s="20">
        <f>IF(K1211&gt;0,IF(K1211&lt;=eco,alpha*fck*(1-(1-K1211/eco)^n),alpha*fck),0)</f>
      </c>
    </row>
    <row r="1212" spans="1:12" x14ac:dyDescent="0.25">
      <c r="A1212">
        <f>Mesh!A1209</f>
      </c>
      <c r="B1212" s="20">
        <f>Mesh!B1209</f>
      </c>
      <c r="C1212" s="20">
        <f>Mesh!C1209</f>
      </c>
      <c r="D1212" s="20">
        <f>Mesh!D1209</f>
      </c>
      <c r="E1212" s="37">
        <f>INDEX(St_e0,Det+1)+INDEX(St_kx,Det+1)*C1212+INDEX(St_ky,Det+1)*B1212</f>
      </c>
      <c r="F1212" s="20">
        <f>IF(E1212&gt;0,IF(E1212&lt;=eco,alpha*fck*(1-(1-E1212/eco)^n),alpha*fck),0)</f>
      </c>
      <c r="G1212" s="19">
        <f>F1212*D1212</f>
      </c>
      <c r="H1212" s="19">
        <f>G1212*C1212</f>
      </c>
      <c r="I1212" s="19">
        <f>G1212*B1212</f>
      </c>
      <c r="K1212" s="37">
        <f>Eq_e0+Eq_kx*$C1212+Eq_ky*$B1212</f>
      </c>
      <c r="L1212" s="20">
        <f>IF(K1212&gt;0,IF(K1212&lt;=eco,alpha*fck*(1-(1-K1212/eco)^n),alpha*fck),0)</f>
      </c>
    </row>
    <row r="1213" spans="1:12" x14ac:dyDescent="0.25">
      <c r="A1213">
        <f>Mesh!A1210</f>
      </c>
      <c r="B1213" s="20">
        <f>Mesh!B1210</f>
      </c>
      <c r="C1213" s="20">
        <f>Mesh!C1210</f>
      </c>
      <c r="D1213" s="20">
        <f>Mesh!D1210</f>
      </c>
      <c r="E1213" s="37">
        <f>INDEX(St_e0,Det+1)+INDEX(St_kx,Det+1)*C1213+INDEX(St_ky,Det+1)*B1213</f>
      </c>
      <c r="F1213" s="20">
        <f>IF(E1213&gt;0,IF(E1213&lt;=eco,alpha*fck*(1-(1-E1213/eco)^n),alpha*fck),0)</f>
      </c>
      <c r="G1213" s="19">
        <f>F1213*D1213</f>
      </c>
      <c r="H1213" s="19">
        <f>G1213*C1213</f>
      </c>
      <c r="I1213" s="19">
        <f>G1213*B1213</f>
      </c>
      <c r="K1213" s="37">
        <f>Eq_e0+Eq_kx*$C1213+Eq_ky*$B1213</f>
      </c>
      <c r="L1213" s="20">
        <f>IF(K1213&gt;0,IF(K1213&lt;=eco,alpha*fck*(1-(1-K1213/eco)^n),alpha*fck),0)</f>
      </c>
    </row>
    <row r="1214" spans="1:12" x14ac:dyDescent="0.25">
      <c r="A1214">
        <f>Mesh!A1211</f>
      </c>
      <c r="B1214" s="20">
        <f>Mesh!B1211</f>
      </c>
      <c r="C1214" s="20">
        <f>Mesh!C1211</f>
      </c>
      <c r="D1214" s="20">
        <f>Mesh!D1211</f>
      </c>
      <c r="E1214" s="37">
        <f>INDEX(St_e0,Det+1)+INDEX(St_kx,Det+1)*C1214+INDEX(St_ky,Det+1)*B1214</f>
      </c>
      <c r="F1214" s="20">
        <f>IF(E1214&gt;0,IF(E1214&lt;=eco,alpha*fck*(1-(1-E1214/eco)^n),alpha*fck),0)</f>
      </c>
      <c r="G1214" s="19">
        <f>F1214*D1214</f>
      </c>
      <c r="H1214" s="19">
        <f>G1214*C1214</f>
      </c>
      <c r="I1214" s="19">
        <f>G1214*B1214</f>
      </c>
      <c r="K1214" s="37">
        <f>Eq_e0+Eq_kx*$C1214+Eq_ky*$B1214</f>
      </c>
      <c r="L1214" s="20">
        <f>IF(K1214&gt;0,IF(K1214&lt;=eco,alpha*fck*(1-(1-K1214/eco)^n),alpha*fck),0)</f>
      </c>
    </row>
    <row r="1215" spans="1:12" x14ac:dyDescent="0.25">
      <c r="A1215">
        <f>Mesh!A1212</f>
      </c>
      <c r="B1215" s="20">
        <f>Mesh!B1212</f>
      </c>
      <c r="C1215" s="20">
        <f>Mesh!C1212</f>
      </c>
      <c r="D1215" s="20">
        <f>Mesh!D1212</f>
      </c>
      <c r="E1215" s="37">
        <f>INDEX(St_e0,Det+1)+INDEX(St_kx,Det+1)*C1215+INDEX(St_ky,Det+1)*B1215</f>
      </c>
      <c r="F1215" s="20">
        <f>IF(E1215&gt;0,IF(E1215&lt;=eco,alpha*fck*(1-(1-E1215/eco)^n),alpha*fck),0)</f>
      </c>
      <c r="G1215" s="19">
        <f>F1215*D1215</f>
      </c>
      <c r="H1215" s="19">
        <f>G1215*C1215</f>
      </c>
      <c r="I1215" s="19">
        <f>G1215*B1215</f>
      </c>
      <c r="K1215" s="37">
        <f>Eq_e0+Eq_kx*$C1215+Eq_ky*$B1215</f>
      </c>
      <c r="L1215" s="20">
        <f>IF(K1215&gt;0,IF(K1215&lt;=eco,alpha*fck*(1-(1-K1215/eco)^n),alpha*fck),0)</f>
      </c>
    </row>
    <row r="1216" spans="1:12" x14ac:dyDescent="0.25">
      <c r="A1216">
        <f>Mesh!A1213</f>
      </c>
      <c r="B1216" s="20">
        <f>Mesh!B1213</f>
      </c>
      <c r="C1216" s="20">
        <f>Mesh!C1213</f>
      </c>
      <c r="D1216" s="20">
        <f>Mesh!D1213</f>
      </c>
      <c r="E1216" s="37">
        <f>INDEX(St_e0,Det+1)+INDEX(St_kx,Det+1)*C1216+INDEX(St_ky,Det+1)*B1216</f>
      </c>
      <c r="F1216" s="20">
        <f>IF(E1216&gt;0,IF(E1216&lt;=eco,alpha*fck*(1-(1-E1216/eco)^n),alpha*fck),0)</f>
      </c>
      <c r="G1216" s="19">
        <f>F1216*D1216</f>
      </c>
      <c r="H1216" s="19">
        <f>G1216*C1216</f>
      </c>
      <c r="I1216" s="19">
        <f>G1216*B1216</f>
      </c>
      <c r="K1216" s="37">
        <f>Eq_e0+Eq_kx*$C1216+Eq_ky*$B1216</f>
      </c>
      <c r="L1216" s="20">
        <f>IF(K1216&gt;0,IF(K1216&lt;=eco,alpha*fck*(1-(1-K1216/eco)^n),alpha*fck),0)</f>
      </c>
    </row>
    <row r="1217" spans="1:12" x14ac:dyDescent="0.25">
      <c r="A1217">
        <f>Mesh!A1214</f>
      </c>
      <c r="B1217" s="20">
        <f>Mesh!B1214</f>
      </c>
      <c r="C1217" s="20">
        <f>Mesh!C1214</f>
      </c>
      <c r="D1217" s="20">
        <f>Mesh!D1214</f>
      </c>
      <c r="E1217" s="37">
        <f>INDEX(St_e0,Det+1)+INDEX(St_kx,Det+1)*C1217+INDEX(St_ky,Det+1)*B1217</f>
      </c>
      <c r="F1217" s="20">
        <f>IF(E1217&gt;0,IF(E1217&lt;=eco,alpha*fck*(1-(1-E1217/eco)^n),alpha*fck),0)</f>
      </c>
      <c r="G1217" s="19">
        <f>F1217*D1217</f>
      </c>
      <c r="H1217" s="19">
        <f>G1217*C1217</f>
      </c>
      <c r="I1217" s="19">
        <f>G1217*B1217</f>
      </c>
      <c r="K1217" s="37">
        <f>Eq_e0+Eq_kx*$C1217+Eq_ky*$B1217</f>
      </c>
      <c r="L1217" s="20">
        <f>IF(K1217&gt;0,IF(K1217&lt;=eco,alpha*fck*(1-(1-K1217/eco)^n),alpha*fck),0)</f>
      </c>
    </row>
    <row r="1218" spans="1:12" x14ac:dyDescent="0.25">
      <c r="A1218">
        <f>Mesh!A1215</f>
      </c>
      <c r="B1218" s="20">
        <f>Mesh!B1215</f>
      </c>
      <c r="C1218" s="20">
        <f>Mesh!C1215</f>
      </c>
      <c r="D1218" s="20">
        <f>Mesh!D1215</f>
      </c>
      <c r="E1218" s="37">
        <f>INDEX(St_e0,Det+1)+INDEX(St_kx,Det+1)*C1218+INDEX(St_ky,Det+1)*B1218</f>
      </c>
      <c r="F1218" s="20">
        <f>IF(E1218&gt;0,IF(E1218&lt;=eco,alpha*fck*(1-(1-E1218/eco)^n),alpha*fck),0)</f>
      </c>
      <c r="G1218" s="19">
        <f>F1218*D1218</f>
      </c>
      <c r="H1218" s="19">
        <f>G1218*C1218</f>
      </c>
      <c r="I1218" s="19">
        <f>G1218*B1218</f>
      </c>
      <c r="K1218" s="37">
        <f>Eq_e0+Eq_kx*$C1218+Eq_ky*$B1218</f>
      </c>
      <c r="L1218" s="20">
        <f>IF(K1218&gt;0,IF(K1218&lt;=eco,alpha*fck*(1-(1-K1218/eco)^n),alpha*fck),0)</f>
      </c>
    </row>
    <row r="1219" spans="1:12" x14ac:dyDescent="0.25">
      <c r="A1219">
        <f>Mesh!A1216</f>
      </c>
      <c r="B1219" s="20">
        <f>Mesh!B1216</f>
      </c>
      <c r="C1219" s="20">
        <f>Mesh!C1216</f>
      </c>
      <c r="D1219" s="20">
        <f>Mesh!D1216</f>
      </c>
      <c r="E1219" s="37">
        <f>INDEX(St_e0,Det+1)+INDEX(St_kx,Det+1)*C1219+INDEX(St_ky,Det+1)*B1219</f>
      </c>
      <c r="F1219" s="20">
        <f>IF(E1219&gt;0,IF(E1219&lt;=eco,alpha*fck*(1-(1-E1219/eco)^n),alpha*fck),0)</f>
      </c>
      <c r="G1219" s="19">
        <f>F1219*D1219</f>
      </c>
      <c r="H1219" s="19">
        <f>G1219*C1219</f>
      </c>
      <c r="I1219" s="19">
        <f>G1219*B1219</f>
      </c>
      <c r="K1219" s="37">
        <f>Eq_e0+Eq_kx*$C1219+Eq_ky*$B1219</f>
      </c>
      <c r="L1219" s="20">
        <f>IF(K1219&gt;0,IF(K1219&lt;=eco,alpha*fck*(1-(1-K1219/eco)^n),alpha*fck),0)</f>
      </c>
    </row>
    <row r="1220" spans="1:12" x14ac:dyDescent="0.25">
      <c r="A1220">
        <f>Mesh!A1217</f>
      </c>
      <c r="B1220" s="20">
        <f>Mesh!B1217</f>
      </c>
      <c r="C1220" s="20">
        <f>Mesh!C1217</f>
      </c>
      <c r="D1220" s="20">
        <f>Mesh!D1217</f>
      </c>
      <c r="E1220" s="37">
        <f>INDEX(St_e0,Det+1)+INDEX(St_kx,Det+1)*C1220+INDEX(St_ky,Det+1)*B1220</f>
      </c>
      <c r="F1220" s="20">
        <f>IF(E1220&gt;0,IF(E1220&lt;=eco,alpha*fck*(1-(1-E1220/eco)^n),alpha*fck),0)</f>
      </c>
      <c r="G1220" s="19">
        <f>F1220*D1220</f>
      </c>
      <c r="H1220" s="19">
        <f>G1220*C1220</f>
      </c>
      <c r="I1220" s="19">
        <f>G1220*B1220</f>
      </c>
      <c r="K1220" s="37">
        <f>Eq_e0+Eq_kx*$C1220+Eq_ky*$B1220</f>
      </c>
      <c r="L1220" s="20">
        <f>IF(K1220&gt;0,IF(K1220&lt;=eco,alpha*fck*(1-(1-K1220/eco)^n),alpha*fck),0)</f>
      </c>
    </row>
    <row r="1221" spans="1:12" x14ac:dyDescent="0.25">
      <c r="A1221">
        <f>Mesh!A1218</f>
      </c>
      <c r="B1221" s="20">
        <f>Mesh!B1218</f>
      </c>
      <c r="C1221" s="20">
        <f>Mesh!C1218</f>
      </c>
      <c r="D1221" s="20">
        <f>Mesh!D1218</f>
      </c>
      <c r="E1221" s="37">
        <f>INDEX(St_e0,Det+1)+INDEX(St_kx,Det+1)*C1221+INDEX(St_ky,Det+1)*B1221</f>
      </c>
      <c r="F1221" s="20">
        <f>IF(E1221&gt;0,IF(E1221&lt;=eco,alpha*fck*(1-(1-E1221/eco)^n),alpha*fck),0)</f>
      </c>
      <c r="G1221" s="19">
        <f>F1221*D1221</f>
      </c>
      <c r="H1221" s="19">
        <f>G1221*C1221</f>
      </c>
      <c r="I1221" s="19">
        <f>G1221*B1221</f>
      </c>
      <c r="K1221" s="37">
        <f>Eq_e0+Eq_kx*$C1221+Eq_ky*$B1221</f>
      </c>
      <c r="L1221" s="20">
        <f>IF(K1221&gt;0,IF(K1221&lt;=eco,alpha*fck*(1-(1-K1221/eco)^n),alpha*fck),0)</f>
      </c>
    </row>
    <row r="1222" spans="1:12" x14ac:dyDescent="0.25">
      <c r="A1222">
        <f>Mesh!A1219</f>
      </c>
      <c r="B1222" s="20">
        <f>Mesh!B1219</f>
      </c>
      <c r="C1222" s="20">
        <f>Mesh!C1219</f>
      </c>
      <c r="D1222" s="20">
        <f>Mesh!D1219</f>
      </c>
      <c r="E1222" s="37">
        <f>INDEX(St_e0,Det+1)+INDEX(St_kx,Det+1)*C1222+INDEX(St_ky,Det+1)*B1222</f>
      </c>
      <c r="F1222" s="20">
        <f>IF(E1222&gt;0,IF(E1222&lt;=eco,alpha*fck*(1-(1-E1222/eco)^n),alpha*fck),0)</f>
      </c>
      <c r="G1222" s="19">
        <f>F1222*D1222</f>
      </c>
      <c r="H1222" s="19">
        <f>G1222*C1222</f>
      </c>
      <c r="I1222" s="19">
        <f>G1222*B1222</f>
      </c>
      <c r="K1222" s="37">
        <f>Eq_e0+Eq_kx*$C1222+Eq_ky*$B1222</f>
      </c>
      <c r="L1222" s="20">
        <f>IF(K1222&gt;0,IF(K1222&lt;=eco,alpha*fck*(1-(1-K1222/eco)^n),alpha*fck),0)</f>
      </c>
    </row>
    <row r="1223" spans="1:12" x14ac:dyDescent="0.25">
      <c r="A1223">
        <f>Mesh!A1220</f>
      </c>
      <c r="B1223" s="20">
        <f>Mesh!B1220</f>
      </c>
      <c r="C1223" s="20">
        <f>Mesh!C1220</f>
      </c>
      <c r="D1223" s="20">
        <f>Mesh!D1220</f>
      </c>
      <c r="E1223" s="37">
        <f>INDEX(St_e0,Det+1)+INDEX(St_kx,Det+1)*C1223+INDEX(St_ky,Det+1)*B1223</f>
      </c>
      <c r="F1223" s="20">
        <f>IF(E1223&gt;0,IF(E1223&lt;=eco,alpha*fck*(1-(1-E1223/eco)^n),alpha*fck),0)</f>
      </c>
      <c r="G1223" s="19">
        <f>F1223*D1223</f>
      </c>
      <c r="H1223" s="19">
        <f>G1223*C1223</f>
      </c>
      <c r="I1223" s="19">
        <f>G1223*B1223</f>
      </c>
      <c r="K1223" s="37">
        <f>Eq_e0+Eq_kx*$C1223+Eq_ky*$B1223</f>
      </c>
      <c r="L1223" s="20">
        <f>IF(K1223&gt;0,IF(K1223&lt;=eco,alpha*fck*(1-(1-K1223/eco)^n),alpha*fck),0)</f>
      </c>
    </row>
    <row r="1224" spans="1:12" x14ac:dyDescent="0.25">
      <c r="A1224">
        <f>Mesh!A1221</f>
      </c>
      <c r="B1224" s="20">
        <f>Mesh!B1221</f>
      </c>
      <c r="C1224" s="20">
        <f>Mesh!C1221</f>
      </c>
      <c r="D1224" s="20">
        <f>Mesh!D1221</f>
      </c>
      <c r="E1224" s="37">
        <f>INDEX(St_e0,Det+1)+INDEX(St_kx,Det+1)*C1224+INDEX(St_ky,Det+1)*B1224</f>
      </c>
      <c r="F1224" s="20">
        <f>IF(E1224&gt;0,IF(E1224&lt;=eco,alpha*fck*(1-(1-E1224/eco)^n),alpha*fck),0)</f>
      </c>
      <c r="G1224" s="19">
        <f>F1224*D1224</f>
      </c>
      <c r="H1224" s="19">
        <f>G1224*C1224</f>
      </c>
      <c r="I1224" s="19">
        <f>G1224*B1224</f>
      </c>
      <c r="K1224" s="37">
        <f>Eq_e0+Eq_kx*$C1224+Eq_ky*$B1224</f>
      </c>
      <c r="L1224" s="20">
        <f>IF(K1224&gt;0,IF(K1224&lt;=eco,alpha*fck*(1-(1-K1224/eco)^n),alpha*fck),0)</f>
      </c>
    </row>
    <row r="1225" spans="1:12" x14ac:dyDescent="0.25">
      <c r="A1225">
        <f>Mesh!A1222</f>
      </c>
      <c r="B1225" s="20">
        <f>Mesh!B1222</f>
      </c>
      <c r="C1225" s="20">
        <f>Mesh!C1222</f>
      </c>
      <c r="D1225" s="20">
        <f>Mesh!D1222</f>
      </c>
      <c r="E1225" s="37">
        <f>INDEX(St_e0,Det+1)+INDEX(St_kx,Det+1)*C1225+INDEX(St_ky,Det+1)*B1225</f>
      </c>
      <c r="F1225" s="20">
        <f>IF(E1225&gt;0,IF(E1225&lt;=eco,alpha*fck*(1-(1-E1225/eco)^n),alpha*fck),0)</f>
      </c>
      <c r="G1225" s="19">
        <f>F1225*D1225</f>
      </c>
      <c r="H1225" s="19">
        <f>G1225*C1225</f>
      </c>
      <c r="I1225" s="19">
        <f>G1225*B1225</f>
      </c>
      <c r="K1225" s="37">
        <f>Eq_e0+Eq_kx*$C1225+Eq_ky*$B1225</f>
      </c>
      <c r="L1225" s="20">
        <f>IF(K1225&gt;0,IF(K1225&lt;=eco,alpha*fck*(1-(1-K1225/eco)^n),alpha*fck),0)</f>
      </c>
    </row>
    <row r="1226" spans="1:12" x14ac:dyDescent="0.25">
      <c r="A1226">
        <f>Mesh!A1223</f>
      </c>
      <c r="B1226" s="20">
        <f>Mesh!B1223</f>
      </c>
      <c r="C1226" s="20">
        <f>Mesh!C1223</f>
      </c>
      <c r="D1226" s="20">
        <f>Mesh!D1223</f>
      </c>
      <c r="E1226" s="37">
        <f>INDEX(St_e0,Det+1)+INDEX(St_kx,Det+1)*C1226+INDEX(St_ky,Det+1)*B1226</f>
      </c>
      <c r="F1226" s="20">
        <f>IF(E1226&gt;0,IF(E1226&lt;=eco,alpha*fck*(1-(1-E1226/eco)^n),alpha*fck),0)</f>
      </c>
      <c r="G1226" s="19">
        <f>F1226*D1226</f>
      </c>
      <c r="H1226" s="19">
        <f>G1226*C1226</f>
      </c>
      <c r="I1226" s="19">
        <f>G1226*B1226</f>
      </c>
      <c r="K1226" s="37">
        <f>Eq_e0+Eq_kx*$C1226+Eq_ky*$B1226</f>
      </c>
      <c r="L1226" s="20">
        <f>IF(K1226&gt;0,IF(K1226&lt;=eco,alpha*fck*(1-(1-K1226/eco)^n),alpha*fck),0)</f>
      </c>
    </row>
    <row r="1227" spans="1:12" x14ac:dyDescent="0.25">
      <c r="A1227">
        <f>Mesh!A1224</f>
      </c>
      <c r="B1227" s="20">
        <f>Mesh!B1224</f>
      </c>
      <c r="C1227" s="20">
        <f>Mesh!C1224</f>
      </c>
      <c r="D1227" s="20">
        <f>Mesh!D1224</f>
      </c>
      <c r="E1227" s="37">
        <f>INDEX(St_e0,Det+1)+INDEX(St_kx,Det+1)*C1227+INDEX(St_ky,Det+1)*B1227</f>
      </c>
      <c r="F1227" s="20">
        <f>IF(E1227&gt;0,IF(E1227&lt;=eco,alpha*fck*(1-(1-E1227/eco)^n),alpha*fck),0)</f>
      </c>
      <c r="G1227" s="19">
        <f>F1227*D1227</f>
      </c>
      <c r="H1227" s="19">
        <f>G1227*C1227</f>
      </c>
      <c r="I1227" s="19">
        <f>G1227*B1227</f>
      </c>
      <c r="K1227" s="37">
        <f>Eq_e0+Eq_kx*$C1227+Eq_ky*$B1227</f>
      </c>
      <c r="L1227" s="20">
        <f>IF(K1227&gt;0,IF(K1227&lt;=eco,alpha*fck*(1-(1-K1227/eco)^n),alpha*fck),0)</f>
      </c>
    </row>
    <row r="1228" spans="1:12" x14ac:dyDescent="0.25">
      <c r="A1228">
        <f>Mesh!A1225</f>
      </c>
      <c r="B1228" s="20">
        <f>Mesh!B1225</f>
      </c>
      <c r="C1228" s="20">
        <f>Mesh!C1225</f>
      </c>
      <c r="D1228" s="20">
        <f>Mesh!D1225</f>
      </c>
      <c r="E1228" s="37">
        <f>INDEX(St_e0,Det+1)+INDEX(St_kx,Det+1)*C1228+INDEX(St_ky,Det+1)*B1228</f>
      </c>
      <c r="F1228" s="20">
        <f>IF(E1228&gt;0,IF(E1228&lt;=eco,alpha*fck*(1-(1-E1228/eco)^n),alpha*fck),0)</f>
      </c>
      <c r="G1228" s="19">
        <f>F1228*D1228</f>
      </c>
      <c r="H1228" s="19">
        <f>G1228*C1228</f>
      </c>
      <c r="I1228" s="19">
        <f>G1228*B1228</f>
      </c>
      <c r="K1228" s="37">
        <f>Eq_e0+Eq_kx*$C1228+Eq_ky*$B1228</f>
      </c>
      <c r="L1228" s="20">
        <f>IF(K1228&gt;0,IF(K1228&lt;=eco,alpha*fck*(1-(1-K1228/eco)^n),alpha*fck),0)</f>
      </c>
    </row>
    <row r="1229" spans="1:12" x14ac:dyDescent="0.25">
      <c r="A1229">
        <f>Mesh!A1226</f>
      </c>
      <c r="B1229" s="20">
        <f>Mesh!B1226</f>
      </c>
      <c r="C1229" s="20">
        <f>Mesh!C1226</f>
      </c>
      <c r="D1229" s="20">
        <f>Mesh!D1226</f>
      </c>
      <c r="E1229" s="37">
        <f>INDEX(St_e0,Det+1)+INDEX(St_kx,Det+1)*C1229+INDEX(St_ky,Det+1)*B1229</f>
      </c>
      <c r="F1229" s="20">
        <f>IF(E1229&gt;0,IF(E1229&lt;=eco,alpha*fck*(1-(1-E1229/eco)^n),alpha*fck),0)</f>
      </c>
      <c r="G1229" s="19">
        <f>F1229*D1229</f>
      </c>
      <c r="H1229" s="19">
        <f>G1229*C1229</f>
      </c>
      <c r="I1229" s="19">
        <f>G1229*B1229</f>
      </c>
      <c r="K1229" s="37">
        <f>Eq_e0+Eq_kx*$C1229+Eq_ky*$B1229</f>
      </c>
      <c r="L1229" s="20">
        <f>IF(K1229&gt;0,IF(K1229&lt;=eco,alpha*fck*(1-(1-K1229/eco)^n),alpha*fck),0)</f>
      </c>
    </row>
    <row r="1230" spans="1:12" x14ac:dyDescent="0.25">
      <c r="A1230">
        <f>Mesh!A1227</f>
      </c>
      <c r="B1230" s="20">
        <f>Mesh!B1227</f>
      </c>
      <c r="C1230" s="20">
        <f>Mesh!C1227</f>
      </c>
      <c r="D1230" s="20">
        <f>Mesh!D1227</f>
      </c>
      <c r="E1230" s="37">
        <f>INDEX(St_e0,Det+1)+INDEX(St_kx,Det+1)*C1230+INDEX(St_ky,Det+1)*B1230</f>
      </c>
      <c r="F1230" s="20">
        <f>IF(E1230&gt;0,IF(E1230&lt;=eco,alpha*fck*(1-(1-E1230/eco)^n),alpha*fck),0)</f>
      </c>
      <c r="G1230" s="19">
        <f>F1230*D1230</f>
      </c>
      <c r="H1230" s="19">
        <f>G1230*C1230</f>
      </c>
      <c r="I1230" s="19">
        <f>G1230*B1230</f>
      </c>
      <c r="K1230" s="37">
        <f>Eq_e0+Eq_kx*$C1230+Eq_ky*$B1230</f>
      </c>
      <c r="L1230" s="20">
        <f>IF(K1230&gt;0,IF(K1230&lt;=eco,alpha*fck*(1-(1-K1230/eco)^n),alpha*fck),0)</f>
      </c>
    </row>
    <row r="1231" spans="1:12" x14ac:dyDescent="0.25">
      <c r="A1231">
        <f>Mesh!A1228</f>
      </c>
      <c r="B1231" s="20">
        <f>Mesh!B1228</f>
      </c>
      <c r="C1231" s="20">
        <f>Mesh!C1228</f>
      </c>
      <c r="D1231" s="20">
        <f>Mesh!D1228</f>
      </c>
      <c r="E1231" s="37">
        <f>INDEX(St_e0,Det+1)+INDEX(St_kx,Det+1)*C1231+INDEX(St_ky,Det+1)*B1231</f>
      </c>
      <c r="F1231" s="20">
        <f>IF(E1231&gt;0,IF(E1231&lt;=eco,alpha*fck*(1-(1-E1231/eco)^n),alpha*fck),0)</f>
      </c>
      <c r="G1231" s="19">
        <f>F1231*D1231</f>
      </c>
      <c r="H1231" s="19">
        <f>G1231*C1231</f>
      </c>
      <c r="I1231" s="19">
        <f>G1231*B1231</f>
      </c>
      <c r="K1231" s="37">
        <f>Eq_e0+Eq_kx*$C1231+Eq_ky*$B1231</f>
      </c>
      <c r="L1231" s="20">
        <f>IF(K1231&gt;0,IF(K1231&lt;=eco,alpha*fck*(1-(1-K1231/eco)^n),alpha*fck),0)</f>
      </c>
    </row>
    <row r="1232" spans="1:12" x14ac:dyDescent="0.25">
      <c r="A1232">
        <f>Mesh!A1229</f>
      </c>
      <c r="B1232" s="20">
        <f>Mesh!B1229</f>
      </c>
      <c r="C1232" s="20">
        <f>Mesh!C1229</f>
      </c>
      <c r="D1232" s="20">
        <f>Mesh!D1229</f>
      </c>
      <c r="E1232" s="37">
        <f>INDEX(St_e0,Det+1)+INDEX(St_kx,Det+1)*C1232+INDEX(St_ky,Det+1)*B1232</f>
      </c>
      <c r="F1232" s="20">
        <f>IF(E1232&gt;0,IF(E1232&lt;=eco,alpha*fck*(1-(1-E1232/eco)^n),alpha*fck),0)</f>
      </c>
      <c r="G1232" s="19">
        <f>F1232*D1232</f>
      </c>
      <c r="H1232" s="19">
        <f>G1232*C1232</f>
      </c>
      <c r="I1232" s="19">
        <f>G1232*B1232</f>
      </c>
      <c r="K1232" s="37">
        <f>Eq_e0+Eq_kx*$C1232+Eq_ky*$B1232</f>
      </c>
      <c r="L1232" s="20">
        <f>IF(K1232&gt;0,IF(K1232&lt;=eco,alpha*fck*(1-(1-K1232/eco)^n),alpha*fck),0)</f>
      </c>
    </row>
    <row r="1233" spans="1:12" x14ac:dyDescent="0.25">
      <c r="A1233">
        <f>Mesh!A1230</f>
      </c>
      <c r="B1233" s="20">
        <f>Mesh!B1230</f>
      </c>
      <c r="C1233" s="20">
        <f>Mesh!C1230</f>
      </c>
      <c r="D1233" s="20">
        <f>Mesh!D1230</f>
      </c>
      <c r="E1233" s="37">
        <f>INDEX(St_e0,Det+1)+INDEX(St_kx,Det+1)*C1233+INDEX(St_ky,Det+1)*B1233</f>
      </c>
      <c r="F1233" s="20">
        <f>IF(E1233&gt;0,IF(E1233&lt;=eco,alpha*fck*(1-(1-E1233/eco)^n),alpha*fck),0)</f>
      </c>
      <c r="G1233" s="19">
        <f>F1233*D1233</f>
      </c>
      <c r="H1233" s="19">
        <f>G1233*C1233</f>
      </c>
      <c r="I1233" s="19">
        <f>G1233*B1233</f>
      </c>
      <c r="K1233" s="37">
        <f>Eq_e0+Eq_kx*$C1233+Eq_ky*$B1233</f>
      </c>
      <c r="L1233" s="20">
        <f>IF(K1233&gt;0,IF(K1233&lt;=eco,alpha*fck*(1-(1-K1233/eco)^n),alpha*fck),0)</f>
      </c>
    </row>
    <row r="1234" spans="1:12" x14ac:dyDescent="0.25">
      <c r="A1234">
        <f>Mesh!A1231</f>
      </c>
      <c r="B1234" s="20">
        <f>Mesh!B1231</f>
      </c>
      <c r="C1234" s="20">
        <f>Mesh!C1231</f>
      </c>
      <c r="D1234" s="20">
        <f>Mesh!D1231</f>
      </c>
      <c r="E1234" s="37">
        <f>INDEX(St_e0,Det+1)+INDEX(St_kx,Det+1)*C1234+INDEX(St_ky,Det+1)*B1234</f>
      </c>
      <c r="F1234" s="20">
        <f>IF(E1234&gt;0,IF(E1234&lt;=eco,alpha*fck*(1-(1-E1234/eco)^n),alpha*fck),0)</f>
      </c>
      <c r="G1234" s="19">
        <f>F1234*D1234</f>
      </c>
      <c r="H1234" s="19">
        <f>G1234*C1234</f>
      </c>
      <c r="I1234" s="19">
        <f>G1234*B1234</f>
      </c>
      <c r="K1234" s="37">
        <f>Eq_e0+Eq_kx*$C1234+Eq_ky*$B1234</f>
      </c>
      <c r="L1234" s="20">
        <f>IF(K1234&gt;0,IF(K1234&lt;=eco,alpha*fck*(1-(1-K1234/eco)^n),alpha*fck),0)</f>
      </c>
    </row>
    <row r="1235" spans="1:12" x14ac:dyDescent="0.25">
      <c r="A1235">
        <f>Mesh!A1232</f>
      </c>
      <c r="B1235" s="20">
        <f>Mesh!B1232</f>
      </c>
      <c r="C1235" s="20">
        <f>Mesh!C1232</f>
      </c>
      <c r="D1235" s="20">
        <f>Mesh!D1232</f>
      </c>
      <c r="E1235" s="37">
        <f>INDEX(St_e0,Det+1)+INDEX(St_kx,Det+1)*C1235+INDEX(St_ky,Det+1)*B1235</f>
      </c>
      <c r="F1235" s="20">
        <f>IF(E1235&gt;0,IF(E1235&lt;=eco,alpha*fck*(1-(1-E1235/eco)^n),alpha*fck),0)</f>
      </c>
      <c r="G1235" s="19">
        <f>F1235*D1235</f>
      </c>
      <c r="H1235" s="19">
        <f>G1235*C1235</f>
      </c>
      <c r="I1235" s="19">
        <f>G1235*B1235</f>
      </c>
      <c r="K1235" s="37">
        <f>Eq_e0+Eq_kx*$C1235+Eq_ky*$B1235</f>
      </c>
      <c r="L1235" s="20">
        <f>IF(K1235&gt;0,IF(K1235&lt;=eco,alpha*fck*(1-(1-K1235/eco)^n),alpha*fck),0)</f>
      </c>
    </row>
    <row r="1236" spans="1:12" x14ac:dyDescent="0.25">
      <c r="A1236">
        <f>Mesh!A1233</f>
      </c>
      <c r="B1236" s="20">
        <f>Mesh!B1233</f>
      </c>
      <c r="C1236" s="20">
        <f>Mesh!C1233</f>
      </c>
      <c r="D1236" s="20">
        <f>Mesh!D1233</f>
      </c>
      <c r="E1236" s="37">
        <f>INDEX(St_e0,Det+1)+INDEX(St_kx,Det+1)*C1236+INDEX(St_ky,Det+1)*B1236</f>
      </c>
      <c r="F1236" s="20">
        <f>IF(E1236&gt;0,IF(E1236&lt;=eco,alpha*fck*(1-(1-E1236/eco)^n),alpha*fck),0)</f>
      </c>
      <c r="G1236" s="19">
        <f>F1236*D1236</f>
      </c>
      <c r="H1236" s="19">
        <f>G1236*C1236</f>
      </c>
      <c r="I1236" s="19">
        <f>G1236*B1236</f>
      </c>
      <c r="K1236" s="37">
        <f>Eq_e0+Eq_kx*$C1236+Eq_ky*$B1236</f>
      </c>
      <c r="L1236" s="20">
        <f>IF(K1236&gt;0,IF(K1236&lt;=eco,alpha*fck*(1-(1-K1236/eco)^n),alpha*fck),0)</f>
      </c>
    </row>
    <row r="1237" spans="1:12" x14ac:dyDescent="0.25">
      <c r="A1237">
        <f>Mesh!A1234</f>
      </c>
      <c r="B1237" s="20">
        <f>Mesh!B1234</f>
      </c>
      <c r="C1237" s="20">
        <f>Mesh!C1234</f>
      </c>
      <c r="D1237" s="20">
        <f>Mesh!D1234</f>
      </c>
      <c r="E1237" s="37">
        <f>INDEX(St_e0,Det+1)+INDEX(St_kx,Det+1)*C1237+INDEX(St_ky,Det+1)*B1237</f>
      </c>
      <c r="F1237" s="20">
        <f>IF(E1237&gt;0,IF(E1237&lt;=eco,alpha*fck*(1-(1-E1237/eco)^n),alpha*fck),0)</f>
      </c>
      <c r="G1237" s="19">
        <f>F1237*D1237</f>
      </c>
      <c r="H1237" s="19">
        <f>G1237*C1237</f>
      </c>
      <c r="I1237" s="19">
        <f>G1237*B1237</f>
      </c>
      <c r="K1237" s="37">
        <f>Eq_e0+Eq_kx*$C1237+Eq_ky*$B1237</f>
      </c>
      <c r="L1237" s="20">
        <f>IF(K1237&gt;0,IF(K1237&lt;=eco,alpha*fck*(1-(1-K1237/eco)^n),alpha*fck),0)</f>
      </c>
    </row>
    <row r="1238" spans="1:12" x14ac:dyDescent="0.25">
      <c r="A1238">
        <f>Mesh!A1235</f>
      </c>
      <c r="B1238" s="20">
        <f>Mesh!B1235</f>
      </c>
      <c r="C1238" s="20">
        <f>Mesh!C1235</f>
      </c>
      <c r="D1238" s="20">
        <f>Mesh!D1235</f>
      </c>
      <c r="E1238" s="37">
        <f>INDEX(St_e0,Det+1)+INDEX(St_kx,Det+1)*C1238+INDEX(St_ky,Det+1)*B1238</f>
      </c>
      <c r="F1238" s="20">
        <f>IF(E1238&gt;0,IF(E1238&lt;=eco,alpha*fck*(1-(1-E1238/eco)^n),alpha*fck),0)</f>
      </c>
      <c r="G1238" s="19">
        <f>F1238*D1238</f>
      </c>
      <c r="H1238" s="19">
        <f>G1238*C1238</f>
      </c>
      <c r="I1238" s="19">
        <f>G1238*B1238</f>
      </c>
      <c r="K1238" s="37">
        <f>Eq_e0+Eq_kx*$C1238+Eq_ky*$B1238</f>
      </c>
      <c r="L1238" s="20">
        <f>IF(K1238&gt;0,IF(K1238&lt;=eco,alpha*fck*(1-(1-K1238/eco)^n),alpha*fck),0)</f>
      </c>
    </row>
    <row r="1239" spans="1:12" x14ac:dyDescent="0.25">
      <c r="A1239">
        <f>Mesh!A1236</f>
      </c>
      <c r="B1239" s="20">
        <f>Mesh!B1236</f>
      </c>
      <c r="C1239" s="20">
        <f>Mesh!C1236</f>
      </c>
      <c r="D1239" s="20">
        <f>Mesh!D1236</f>
      </c>
      <c r="E1239" s="37">
        <f>INDEX(St_e0,Det+1)+INDEX(St_kx,Det+1)*C1239+INDEX(St_ky,Det+1)*B1239</f>
      </c>
      <c r="F1239" s="20">
        <f>IF(E1239&gt;0,IF(E1239&lt;=eco,alpha*fck*(1-(1-E1239/eco)^n),alpha*fck),0)</f>
      </c>
      <c r="G1239" s="19">
        <f>F1239*D1239</f>
      </c>
      <c r="H1239" s="19">
        <f>G1239*C1239</f>
      </c>
      <c r="I1239" s="19">
        <f>G1239*B1239</f>
      </c>
      <c r="K1239" s="37">
        <f>Eq_e0+Eq_kx*$C1239+Eq_ky*$B1239</f>
      </c>
      <c r="L1239" s="20">
        <f>IF(K1239&gt;0,IF(K1239&lt;=eco,alpha*fck*(1-(1-K1239/eco)^n),alpha*fck),0)</f>
      </c>
    </row>
    <row r="1240" spans="1:12" x14ac:dyDescent="0.25">
      <c r="A1240">
        <f>Mesh!A1237</f>
      </c>
      <c r="B1240" s="20">
        <f>Mesh!B1237</f>
      </c>
      <c r="C1240" s="20">
        <f>Mesh!C1237</f>
      </c>
      <c r="D1240" s="20">
        <f>Mesh!D1237</f>
      </c>
      <c r="E1240" s="37">
        <f>INDEX(St_e0,Det+1)+INDEX(St_kx,Det+1)*C1240+INDEX(St_ky,Det+1)*B1240</f>
      </c>
      <c r="F1240" s="20">
        <f>IF(E1240&gt;0,IF(E1240&lt;=eco,alpha*fck*(1-(1-E1240/eco)^n),alpha*fck),0)</f>
      </c>
      <c r="G1240" s="19">
        <f>F1240*D1240</f>
      </c>
      <c r="H1240" s="19">
        <f>G1240*C1240</f>
      </c>
      <c r="I1240" s="19">
        <f>G1240*B1240</f>
      </c>
      <c r="K1240" s="37">
        <f>Eq_e0+Eq_kx*$C1240+Eq_ky*$B1240</f>
      </c>
      <c r="L1240" s="20">
        <f>IF(K1240&gt;0,IF(K1240&lt;=eco,alpha*fck*(1-(1-K1240/eco)^n),alpha*fck),0)</f>
      </c>
    </row>
    <row r="1241" spans="1:12" x14ac:dyDescent="0.25">
      <c r="A1241">
        <f>Mesh!A1238</f>
      </c>
      <c r="B1241" s="20">
        <f>Mesh!B1238</f>
      </c>
      <c r="C1241" s="20">
        <f>Mesh!C1238</f>
      </c>
      <c r="D1241" s="20">
        <f>Mesh!D1238</f>
      </c>
      <c r="E1241" s="37">
        <f>INDEX(St_e0,Det+1)+INDEX(St_kx,Det+1)*C1241+INDEX(St_ky,Det+1)*B1241</f>
      </c>
      <c r="F1241" s="20">
        <f>IF(E1241&gt;0,IF(E1241&lt;=eco,alpha*fck*(1-(1-E1241/eco)^n),alpha*fck),0)</f>
      </c>
      <c r="G1241" s="19">
        <f>F1241*D1241</f>
      </c>
      <c r="H1241" s="19">
        <f>G1241*C1241</f>
      </c>
      <c r="I1241" s="19">
        <f>G1241*B1241</f>
      </c>
      <c r="K1241" s="37">
        <f>Eq_e0+Eq_kx*$C1241+Eq_ky*$B1241</f>
      </c>
      <c r="L1241" s="20">
        <f>IF(K1241&gt;0,IF(K1241&lt;=eco,alpha*fck*(1-(1-K1241/eco)^n),alpha*fck),0)</f>
      </c>
    </row>
    <row r="1242" spans="1:12" x14ac:dyDescent="0.25">
      <c r="A1242">
        <f>Mesh!A1239</f>
      </c>
      <c r="B1242" s="20">
        <f>Mesh!B1239</f>
      </c>
      <c r="C1242" s="20">
        <f>Mesh!C1239</f>
      </c>
      <c r="D1242" s="20">
        <f>Mesh!D1239</f>
      </c>
      <c r="E1242" s="37">
        <f>INDEX(St_e0,Det+1)+INDEX(St_kx,Det+1)*C1242+INDEX(St_ky,Det+1)*B1242</f>
      </c>
      <c r="F1242" s="20">
        <f>IF(E1242&gt;0,IF(E1242&lt;=eco,alpha*fck*(1-(1-E1242/eco)^n),alpha*fck),0)</f>
      </c>
      <c r="G1242" s="19">
        <f>F1242*D1242</f>
      </c>
      <c r="H1242" s="19">
        <f>G1242*C1242</f>
      </c>
      <c r="I1242" s="19">
        <f>G1242*B1242</f>
      </c>
      <c r="K1242" s="37">
        <f>Eq_e0+Eq_kx*$C1242+Eq_ky*$B1242</f>
      </c>
      <c r="L1242" s="20">
        <f>IF(K1242&gt;0,IF(K1242&lt;=eco,alpha*fck*(1-(1-K1242/eco)^n),alpha*fck),0)</f>
      </c>
    </row>
    <row r="1243" spans="1:12" x14ac:dyDescent="0.25">
      <c r="A1243">
        <f>Mesh!A1240</f>
      </c>
      <c r="B1243" s="20">
        <f>Mesh!B1240</f>
      </c>
      <c r="C1243" s="20">
        <f>Mesh!C1240</f>
      </c>
      <c r="D1243" s="20">
        <f>Mesh!D1240</f>
      </c>
      <c r="E1243" s="37">
        <f>INDEX(St_e0,Det+1)+INDEX(St_kx,Det+1)*C1243+INDEX(St_ky,Det+1)*B1243</f>
      </c>
      <c r="F1243" s="20">
        <f>IF(E1243&gt;0,IF(E1243&lt;=eco,alpha*fck*(1-(1-E1243/eco)^n),alpha*fck),0)</f>
      </c>
      <c r="G1243" s="19">
        <f>F1243*D1243</f>
      </c>
      <c r="H1243" s="19">
        <f>G1243*C1243</f>
      </c>
      <c r="I1243" s="19">
        <f>G1243*B1243</f>
      </c>
      <c r="K1243" s="37">
        <f>Eq_e0+Eq_kx*$C1243+Eq_ky*$B1243</f>
      </c>
      <c r="L1243" s="20">
        <f>IF(K1243&gt;0,IF(K1243&lt;=eco,alpha*fck*(1-(1-K1243/eco)^n),alpha*fck),0)</f>
      </c>
    </row>
    <row r="1244" spans="1:12" x14ac:dyDescent="0.25">
      <c r="A1244">
        <f>Mesh!A1241</f>
      </c>
      <c r="B1244" s="20">
        <f>Mesh!B1241</f>
      </c>
      <c r="C1244" s="20">
        <f>Mesh!C1241</f>
      </c>
      <c r="D1244" s="20">
        <f>Mesh!D1241</f>
      </c>
      <c r="E1244" s="37">
        <f>INDEX(St_e0,Det+1)+INDEX(St_kx,Det+1)*C1244+INDEX(St_ky,Det+1)*B1244</f>
      </c>
      <c r="F1244" s="20">
        <f>IF(E1244&gt;0,IF(E1244&lt;=eco,alpha*fck*(1-(1-E1244/eco)^n),alpha*fck),0)</f>
      </c>
      <c r="G1244" s="19">
        <f>F1244*D1244</f>
      </c>
      <c r="H1244" s="19">
        <f>G1244*C1244</f>
      </c>
      <c r="I1244" s="19">
        <f>G1244*B1244</f>
      </c>
      <c r="K1244" s="37">
        <f>Eq_e0+Eq_kx*$C1244+Eq_ky*$B1244</f>
      </c>
      <c r="L1244" s="20">
        <f>IF(K1244&gt;0,IF(K1244&lt;=eco,alpha*fck*(1-(1-K1244/eco)^n),alpha*fck),0)</f>
      </c>
    </row>
    <row r="1245" spans="1:12" x14ac:dyDescent="0.25">
      <c r="A1245">
        <f>Mesh!A1242</f>
      </c>
      <c r="B1245" s="20">
        <f>Mesh!B1242</f>
      </c>
      <c r="C1245" s="20">
        <f>Mesh!C1242</f>
      </c>
      <c r="D1245" s="20">
        <f>Mesh!D1242</f>
      </c>
      <c r="E1245" s="37">
        <f>INDEX(St_e0,Det+1)+INDEX(St_kx,Det+1)*C1245+INDEX(St_ky,Det+1)*B1245</f>
      </c>
      <c r="F1245" s="20">
        <f>IF(E1245&gt;0,IF(E1245&lt;=eco,alpha*fck*(1-(1-E1245/eco)^n),alpha*fck),0)</f>
      </c>
      <c r="G1245" s="19">
        <f>F1245*D1245</f>
      </c>
      <c r="H1245" s="19">
        <f>G1245*C1245</f>
      </c>
      <c r="I1245" s="19">
        <f>G1245*B1245</f>
      </c>
      <c r="K1245" s="37">
        <f>Eq_e0+Eq_kx*$C1245+Eq_ky*$B1245</f>
      </c>
      <c r="L1245" s="20">
        <f>IF(K1245&gt;0,IF(K1245&lt;=eco,alpha*fck*(1-(1-K1245/eco)^n),alpha*fck),0)</f>
      </c>
    </row>
    <row r="1246" spans="1:12" x14ac:dyDescent="0.25">
      <c r="A1246">
        <f>Mesh!A1243</f>
      </c>
      <c r="B1246" s="20">
        <f>Mesh!B1243</f>
      </c>
      <c r="C1246" s="20">
        <f>Mesh!C1243</f>
      </c>
      <c r="D1246" s="20">
        <f>Mesh!D1243</f>
      </c>
      <c r="E1246" s="37">
        <f>INDEX(St_e0,Det+1)+INDEX(St_kx,Det+1)*C1246+INDEX(St_ky,Det+1)*B1246</f>
      </c>
      <c r="F1246" s="20">
        <f>IF(E1246&gt;0,IF(E1246&lt;=eco,alpha*fck*(1-(1-E1246/eco)^n),alpha*fck),0)</f>
      </c>
      <c r="G1246" s="19">
        <f>F1246*D1246</f>
      </c>
      <c r="H1246" s="19">
        <f>G1246*C1246</f>
      </c>
      <c r="I1246" s="19">
        <f>G1246*B1246</f>
      </c>
      <c r="K1246" s="37">
        <f>Eq_e0+Eq_kx*$C1246+Eq_ky*$B1246</f>
      </c>
      <c r="L1246" s="20">
        <f>IF(K1246&gt;0,IF(K1246&lt;=eco,alpha*fck*(1-(1-K1246/eco)^n),alpha*fck),0)</f>
      </c>
    </row>
    <row r="1247" spans="1:12" x14ac:dyDescent="0.25">
      <c r="A1247">
        <f>Mesh!A1244</f>
      </c>
      <c r="B1247" s="20">
        <f>Mesh!B1244</f>
      </c>
      <c r="C1247" s="20">
        <f>Mesh!C1244</f>
      </c>
      <c r="D1247" s="20">
        <f>Mesh!D1244</f>
      </c>
      <c r="E1247" s="37">
        <f>INDEX(St_e0,Det+1)+INDEX(St_kx,Det+1)*C1247+INDEX(St_ky,Det+1)*B1247</f>
      </c>
      <c r="F1247" s="20">
        <f>IF(E1247&gt;0,IF(E1247&lt;=eco,alpha*fck*(1-(1-E1247/eco)^n),alpha*fck),0)</f>
      </c>
      <c r="G1247" s="19">
        <f>F1247*D1247</f>
      </c>
      <c r="H1247" s="19">
        <f>G1247*C1247</f>
      </c>
      <c r="I1247" s="19">
        <f>G1247*B1247</f>
      </c>
      <c r="K1247" s="37">
        <f>Eq_e0+Eq_kx*$C1247+Eq_ky*$B1247</f>
      </c>
      <c r="L1247" s="20">
        <f>IF(K1247&gt;0,IF(K1247&lt;=eco,alpha*fck*(1-(1-K1247/eco)^n),alpha*fck),0)</f>
      </c>
    </row>
    <row r="1248" spans="1:12" x14ac:dyDescent="0.25">
      <c r="A1248">
        <f>Mesh!A1245</f>
      </c>
      <c r="B1248" s="20">
        <f>Mesh!B1245</f>
      </c>
      <c r="C1248" s="20">
        <f>Mesh!C1245</f>
      </c>
      <c r="D1248" s="20">
        <f>Mesh!D1245</f>
      </c>
      <c r="E1248" s="37">
        <f>INDEX(St_e0,Det+1)+INDEX(St_kx,Det+1)*C1248+INDEX(St_ky,Det+1)*B1248</f>
      </c>
      <c r="F1248" s="20">
        <f>IF(E1248&gt;0,IF(E1248&lt;=eco,alpha*fck*(1-(1-E1248/eco)^n),alpha*fck),0)</f>
      </c>
      <c r="G1248" s="19">
        <f>F1248*D1248</f>
      </c>
      <c r="H1248" s="19">
        <f>G1248*C1248</f>
      </c>
      <c r="I1248" s="19">
        <f>G1248*B1248</f>
      </c>
      <c r="K1248" s="37">
        <f>Eq_e0+Eq_kx*$C1248+Eq_ky*$B1248</f>
      </c>
      <c r="L1248" s="20">
        <f>IF(K1248&gt;0,IF(K1248&lt;=eco,alpha*fck*(1-(1-K1248/eco)^n),alpha*fck),0)</f>
      </c>
    </row>
    <row r="1249" spans="1:12" x14ac:dyDescent="0.25">
      <c r="A1249">
        <f>Mesh!A1246</f>
      </c>
      <c r="B1249" s="20">
        <f>Mesh!B1246</f>
      </c>
      <c r="C1249" s="20">
        <f>Mesh!C1246</f>
      </c>
      <c r="D1249" s="20">
        <f>Mesh!D1246</f>
      </c>
      <c r="E1249" s="37">
        <f>INDEX(St_e0,Det+1)+INDEX(St_kx,Det+1)*C1249+INDEX(St_ky,Det+1)*B1249</f>
      </c>
      <c r="F1249" s="20">
        <f>IF(E1249&gt;0,IF(E1249&lt;=eco,alpha*fck*(1-(1-E1249/eco)^n),alpha*fck),0)</f>
      </c>
      <c r="G1249" s="19">
        <f>F1249*D1249</f>
      </c>
      <c r="H1249" s="19">
        <f>G1249*C1249</f>
      </c>
      <c r="I1249" s="19">
        <f>G1249*B1249</f>
      </c>
      <c r="K1249" s="37">
        <f>Eq_e0+Eq_kx*$C1249+Eq_ky*$B1249</f>
      </c>
      <c r="L1249" s="20">
        <f>IF(K1249&gt;0,IF(K1249&lt;=eco,alpha*fck*(1-(1-K1249/eco)^n),alpha*fck),0)</f>
      </c>
    </row>
    <row r="1250" spans="1:12" x14ac:dyDescent="0.25">
      <c r="A1250">
        <f>Mesh!A1247</f>
      </c>
      <c r="B1250" s="20">
        <f>Mesh!B1247</f>
      </c>
      <c r="C1250" s="20">
        <f>Mesh!C1247</f>
      </c>
      <c r="D1250" s="20">
        <f>Mesh!D1247</f>
      </c>
      <c r="E1250" s="37">
        <f>INDEX(St_e0,Det+1)+INDEX(St_kx,Det+1)*C1250+INDEX(St_ky,Det+1)*B1250</f>
      </c>
      <c r="F1250" s="20">
        <f>IF(E1250&gt;0,IF(E1250&lt;=eco,alpha*fck*(1-(1-E1250/eco)^n),alpha*fck),0)</f>
      </c>
      <c r="G1250" s="19">
        <f>F1250*D1250</f>
      </c>
      <c r="H1250" s="19">
        <f>G1250*C1250</f>
      </c>
      <c r="I1250" s="19">
        <f>G1250*B1250</f>
      </c>
      <c r="K1250" s="37">
        <f>Eq_e0+Eq_kx*$C1250+Eq_ky*$B1250</f>
      </c>
      <c r="L1250" s="20">
        <f>IF(K1250&gt;0,IF(K1250&lt;=eco,alpha*fck*(1-(1-K1250/eco)^n),alpha*fck),0)</f>
      </c>
    </row>
    <row r="1251" spans="1:12" x14ac:dyDescent="0.25">
      <c r="A1251">
        <f>Mesh!A1248</f>
      </c>
      <c r="B1251" s="20">
        <f>Mesh!B1248</f>
      </c>
      <c r="C1251" s="20">
        <f>Mesh!C1248</f>
      </c>
      <c r="D1251" s="20">
        <f>Mesh!D1248</f>
      </c>
      <c r="E1251" s="37">
        <f>INDEX(St_e0,Det+1)+INDEX(St_kx,Det+1)*C1251+INDEX(St_ky,Det+1)*B1251</f>
      </c>
      <c r="F1251" s="20">
        <f>IF(E1251&gt;0,IF(E1251&lt;=eco,alpha*fck*(1-(1-E1251/eco)^n),alpha*fck),0)</f>
      </c>
      <c r="G1251" s="19">
        <f>F1251*D1251</f>
      </c>
      <c r="H1251" s="19">
        <f>G1251*C1251</f>
      </c>
      <c r="I1251" s="19">
        <f>G1251*B1251</f>
      </c>
      <c r="K1251" s="37">
        <f>Eq_e0+Eq_kx*$C1251+Eq_ky*$B1251</f>
      </c>
      <c r="L1251" s="20">
        <f>IF(K1251&gt;0,IF(K1251&lt;=eco,alpha*fck*(1-(1-K1251/eco)^n),alpha*fck),0)</f>
      </c>
    </row>
    <row r="1252" spans="1:12" x14ac:dyDescent="0.25">
      <c r="A1252">
        <f>Mesh!A1249</f>
      </c>
      <c r="B1252" s="20">
        <f>Mesh!B1249</f>
      </c>
      <c r="C1252" s="20">
        <f>Mesh!C1249</f>
      </c>
      <c r="D1252" s="20">
        <f>Mesh!D1249</f>
      </c>
      <c r="E1252" s="37">
        <f>INDEX(St_e0,Det+1)+INDEX(St_kx,Det+1)*C1252+INDEX(St_ky,Det+1)*B1252</f>
      </c>
      <c r="F1252" s="20">
        <f>IF(E1252&gt;0,IF(E1252&lt;=eco,alpha*fck*(1-(1-E1252/eco)^n),alpha*fck),0)</f>
      </c>
      <c r="G1252" s="19">
        <f>F1252*D1252</f>
      </c>
      <c r="H1252" s="19">
        <f>G1252*C1252</f>
      </c>
      <c r="I1252" s="19">
        <f>G1252*B1252</f>
      </c>
      <c r="K1252" s="37">
        <f>Eq_e0+Eq_kx*$C1252+Eq_ky*$B1252</f>
      </c>
      <c r="L1252" s="20">
        <f>IF(K1252&gt;0,IF(K1252&lt;=eco,alpha*fck*(1-(1-K1252/eco)^n),alpha*fck),0)</f>
      </c>
    </row>
    <row r="1253" spans="1:12" x14ac:dyDescent="0.25">
      <c r="A1253">
        <f>Mesh!A1250</f>
      </c>
      <c r="B1253" s="20">
        <f>Mesh!B1250</f>
      </c>
      <c r="C1253" s="20">
        <f>Mesh!C1250</f>
      </c>
      <c r="D1253" s="20">
        <f>Mesh!D1250</f>
      </c>
      <c r="E1253" s="37">
        <f>INDEX(St_e0,Det+1)+INDEX(St_kx,Det+1)*C1253+INDEX(St_ky,Det+1)*B1253</f>
      </c>
      <c r="F1253" s="20">
        <f>IF(E1253&gt;0,IF(E1253&lt;=eco,alpha*fck*(1-(1-E1253/eco)^n),alpha*fck),0)</f>
      </c>
      <c r="G1253" s="19">
        <f>F1253*D1253</f>
      </c>
      <c r="H1253" s="19">
        <f>G1253*C1253</f>
      </c>
      <c r="I1253" s="19">
        <f>G1253*B1253</f>
      </c>
      <c r="K1253" s="37">
        <f>Eq_e0+Eq_kx*$C1253+Eq_ky*$B1253</f>
      </c>
      <c r="L1253" s="20">
        <f>IF(K1253&gt;0,IF(K1253&lt;=eco,alpha*fck*(1-(1-K1253/eco)^n),alpha*fck),0)</f>
      </c>
    </row>
    <row r="1254" spans="1:12" x14ac:dyDescent="0.25">
      <c r="A1254">
        <f>Mesh!A1251</f>
      </c>
      <c r="B1254" s="20">
        <f>Mesh!B1251</f>
      </c>
      <c r="C1254" s="20">
        <f>Mesh!C1251</f>
      </c>
      <c r="D1254" s="20">
        <f>Mesh!D1251</f>
      </c>
      <c r="E1254" s="37">
        <f>INDEX(St_e0,Det+1)+INDEX(St_kx,Det+1)*C1254+INDEX(St_ky,Det+1)*B1254</f>
      </c>
      <c r="F1254" s="20">
        <f>IF(E1254&gt;0,IF(E1254&lt;=eco,alpha*fck*(1-(1-E1254/eco)^n),alpha*fck),0)</f>
      </c>
      <c r="G1254" s="19">
        <f>F1254*D1254</f>
      </c>
      <c r="H1254" s="19">
        <f>G1254*C1254</f>
      </c>
      <c r="I1254" s="19">
        <f>G1254*B1254</f>
      </c>
      <c r="K1254" s="37">
        <f>Eq_e0+Eq_kx*$C1254+Eq_ky*$B1254</f>
      </c>
      <c r="L1254" s="20">
        <f>IF(K1254&gt;0,IF(K1254&lt;=eco,alpha*fck*(1-(1-K1254/eco)^n),alpha*fck),0)</f>
      </c>
    </row>
    <row r="1255" spans="1:12" x14ac:dyDescent="0.25">
      <c r="A1255">
        <f>Mesh!A1252</f>
      </c>
      <c r="B1255" s="20">
        <f>Mesh!B1252</f>
      </c>
      <c r="C1255" s="20">
        <f>Mesh!C1252</f>
      </c>
      <c r="D1255" s="20">
        <f>Mesh!D1252</f>
      </c>
      <c r="E1255" s="37">
        <f>INDEX(St_e0,Det+1)+INDEX(St_kx,Det+1)*C1255+INDEX(St_ky,Det+1)*B1255</f>
      </c>
      <c r="F1255" s="20">
        <f>IF(E1255&gt;0,IF(E1255&lt;=eco,alpha*fck*(1-(1-E1255/eco)^n),alpha*fck),0)</f>
      </c>
      <c r="G1255" s="19">
        <f>F1255*D1255</f>
      </c>
      <c r="H1255" s="19">
        <f>G1255*C1255</f>
      </c>
      <c r="I1255" s="19">
        <f>G1255*B1255</f>
      </c>
      <c r="K1255" s="37">
        <f>Eq_e0+Eq_kx*$C1255+Eq_ky*$B1255</f>
      </c>
      <c r="L1255" s="20">
        <f>IF(K1255&gt;0,IF(K1255&lt;=eco,alpha*fck*(1-(1-K1255/eco)^n),alpha*fck),0)</f>
      </c>
    </row>
    <row r="1256" spans="1:12" x14ac:dyDescent="0.25">
      <c r="A1256">
        <f>Mesh!A1253</f>
      </c>
      <c r="B1256" s="20">
        <f>Mesh!B1253</f>
      </c>
      <c r="C1256" s="20">
        <f>Mesh!C1253</f>
      </c>
      <c r="D1256" s="20">
        <f>Mesh!D1253</f>
      </c>
      <c r="E1256" s="37">
        <f>INDEX(St_e0,Det+1)+INDEX(St_kx,Det+1)*C1256+INDEX(St_ky,Det+1)*B1256</f>
      </c>
      <c r="F1256" s="20">
        <f>IF(E1256&gt;0,IF(E1256&lt;=eco,alpha*fck*(1-(1-E1256/eco)^n),alpha*fck),0)</f>
      </c>
      <c r="G1256" s="19">
        <f>F1256*D1256</f>
      </c>
      <c r="H1256" s="19">
        <f>G1256*C1256</f>
      </c>
      <c r="I1256" s="19">
        <f>G1256*B1256</f>
      </c>
      <c r="K1256" s="37">
        <f>Eq_e0+Eq_kx*$C1256+Eq_ky*$B1256</f>
      </c>
      <c r="L1256" s="20">
        <f>IF(K1256&gt;0,IF(K1256&lt;=eco,alpha*fck*(1-(1-K1256/eco)^n),alpha*fck),0)</f>
      </c>
    </row>
    <row r="1257" spans="1:12" x14ac:dyDescent="0.25">
      <c r="A1257">
        <f>Mesh!A1254</f>
      </c>
      <c r="B1257" s="20">
        <f>Mesh!B1254</f>
      </c>
      <c r="C1257" s="20">
        <f>Mesh!C1254</f>
      </c>
      <c r="D1257" s="20">
        <f>Mesh!D1254</f>
      </c>
      <c r="E1257" s="37">
        <f>INDEX(St_e0,Det+1)+INDEX(St_kx,Det+1)*C1257+INDEX(St_ky,Det+1)*B1257</f>
      </c>
      <c r="F1257" s="20">
        <f>IF(E1257&gt;0,IF(E1257&lt;=eco,alpha*fck*(1-(1-E1257/eco)^n),alpha*fck),0)</f>
      </c>
      <c r="G1257" s="19">
        <f>F1257*D1257</f>
      </c>
      <c r="H1257" s="19">
        <f>G1257*C1257</f>
      </c>
      <c r="I1257" s="19">
        <f>G1257*B1257</f>
      </c>
      <c r="K1257" s="37">
        <f>Eq_e0+Eq_kx*$C1257+Eq_ky*$B1257</f>
      </c>
      <c r="L1257" s="20">
        <f>IF(K1257&gt;0,IF(K1257&lt;=eco,alpha*fck*(1-(1-K1257/eco)^n),alpha*fck),0)</f>
      </c>
    </row>
    <row r="1258" spans="1:12" x14ac:dyDescent="0.25">
      <c r="A1258">
        <f>Mesh!A1255</f>
      </c>
      <c r="B1258" s="20">
        <f>Mesh!B1255</f>
      </c>
      <c r="C1258" s="20">
        <f>Mesh!C1255</f>
      </c>
      <c r="D1258" s="20">
        <f>Mesh!D1255</f>
      </c>
      <c r="E1258" s="37">
        <f>INDEX(St_e0,Det+1)+INDEX(St_kx,Det+1)*C1258+INDEX(St_ky,Det+1)*B1258</f>
      </c>
      <c r="F1258" s="20">
        <f>IF(E1258&gt;0,IF(E1258&lt;=eco,alpha*fck*(1-(1-E1258/eco)^n),alpha*fck),0)</f>
      </c>
      <c r="G1258" s="19">
        <f>F1258*D1258</f>
      </c>
      <c r="H1258" s="19">
        <f>G1258*C1258</f>
      </c>
      <c r="I1258" s="19">
        <f>G1258*B1258</f>
      </c>
      <c r="K1258" s="37">
        <f>Eq_e0+Eq_kx*$C1258+Eq_ky*$B1258</f>
      </c>
      <c r="L1258" s="20">
        <f>IF(K1258&gt;0,IF(K1258&lt;=eco,alpha*fck*(1-(1-K1258/eco)^n),alpha*fck),0)</f>
      </c>
    </row>
    <row r="1259" spans="1:12" x14ac:dyDescent="0.25">
      <c r="A1259">
        <f>Mesh!A1256</f>
      </c>
      <c r="B1259" s="20">
        <f>Mesh!B1256</f>
      </c>
      <c r="C1259" s="20">
        <f>Mesh!C1256</f>
      </c>
      <c r="D1259" s="20">
        <f>Mesh!D1256</f>
      </c>
      <c r="E1259" s="37">
        <f>INDEX(St_e0,Det+1)+INDEX(St_kx,Det+1)*C1259+INDEX(St_ky,Det+1)*B1259</f>
      </c>
      <c r="F1259" s="20">
        <f>IF(E1259&gt;0,IF(E1259&lt;=eco,alpha*fck*(1-(1-E1259/eco)^n),alpha*fck),0)</f>
      </c>
      <c r="G1259" s="19">
        <f>F1259*D1259</f>
      </c>
      <c r="H1259" s="19">
        <f>G1259*C1259</f>
      </c>
      <c r="I1259" s="19">
        <f>G1259*B1259</f>
      </c>
      <c r="K1259" s="37">
        <f>Eq_e0+Eq_kx*$C1259+Eq_ky*$B1259</f>
      </c>
      <c r="L1259" s="20">
        <f>IF(K1259&gt;0,IF(K1259&lt;=eco,alpha*fck*(1-(1-K1259/eco)^n),alpha*fck),0)</f>
      </c>
    </row>
    <row r="1260" spans="1:12" x14ac:dyDescent="0.25">
      <c r="A1260">
        <f>Mesh!A1257</f>
      </c>
      <c r="B1260" s="20">
        <f>Mesh!B1257</f>
      </c>
      <c r="C1260" s="20">
        <f>Mesh!C1257</f>
      </c>
      <c r="D1260" s="20">
        <f>Mesh!D1257</f>
      </c>
      <c r="E1260" s="37">
        <f>INDEX(St_e0,Det+1)+INDEX(St_kx,Det+1)*C1260+INDEX(St_ky,Det+1)*B1260</f>
      </c>
      <c r="F1260" s="20">
        <f>IF(E1260&gt;0,IF(E1260&lt;=eco,alpha*fck*(1-(1-E1260/eco)^n),alpha*fck),0)</f>
      </c>
      <c r="G1260" s="19">
        <f>F1260*D1260</f>
      </c>
      <c r="H1260" s="19">
        <f>G1260*C1260</f>
      </c>
      <c r="I1260" s="19">
        <f>G1260*B1260</f>
      </c>
      <c r="K1260" s="37">
        <f>Eq_e0+Eq_kx*$C1260+Eq_ky*$B1260</f>
      </c>
      <c r="L1260" s="20">
        <f>IF(K1260&gt;0,IF(K1260&lt;=eco,alpha*fck*(1-(1-K1260/eco)^n),alpha*fck),0)</f>
      </c>
    </row>
    <row r="1261" spans="1:12" x14ac:dyDescent="0.25">
      <c r="A1261">
        <f>Mesh!A1258</f>
      </c>
      <c r="B1261" s="20">
        <f>Mesh!B1258</f>
      </c>
      <c r="C1261" s="20">
        <f>Mesh!C1258</f>
      </c>
      <c r="D1261" s="20">
        <f>Mesh!D1258</f>
      </c>
      <c r="E1261" s="37">
        <f>INDEX(St_e0,Det+1)+INDEX(St_kx,Det+1)*C1261+INDEX(St_ky,Det+1)*B1261</f>
      </c>
      <c r="F1261" s="20">
        <f>IF(E1261&gt;0,IF(E1261&lt;=eco,alpha*fck*(1-(1-E1261/eco)^n),alpha*fck),0)</f>
      </c>
      <c r="G1261" s="19">
        <f>F1261*D1261</f>
      </c>
      <c r="H1261" s="19">
        <f>G1261*C1261</f>
      </c>
      <c r="I1261" s="19">
        <f>G1261*B1261</f>
      </c>
      <c r="K1261" s="37">
        <f>Eq_e0+Eq_kx*$C1261+Eq_ky*$B1261</f>
      </c>
      <c r="L1261" s="20">
        <f>IF(K1261&gt;0,IF(K1261&lt;=eco,alpha*fck*(1-(1-K1261/eco)^n),alpha*fck),0)</f>
      </c>
    </row>
    <row r="1262" spans="1:12" x14ac:dyDescent="0.25">
      <c r="A1262">
        <f>Mesh!A1259</f>
      </c>
      <c r="B1262" s="20">
        <f>Mesh!B1259</f>
      </c>
      <c r="C1262" s="20">
        <f>Mesh!C1259</f>
      </c>
      <c r="D1262" s="20">
        <f>Mesh!D1259</f>
      </c>
      <c r="E1262" s="37">
        <f>INDEX(St_e0,Det+1)+INDEX(St_kx,Det+1)*C1262+INDEX(St_ky,Det+1)*B1262</f>
      </c>
      <c r="F1262" s="20">
        <f>IF(E1262&gt;0,IF(E1262&lt;=eco,alpha*fck*(1-(1-E1262/eco)^n),alpha*fck),0)</f>
      </c>
      <c r="G1262" s="19">
        <f>F1262*D1262</f>
      </c>
      <c r="H1262" s="19">
        <f>G1262*C1262</f>
      </c>
      <c r="I1262" s="19">
        <f>G1262*B1262</f>
      </c>
      <c r="K1262" s="37">
        <f>Eq_e0+Eq_kx*$C1262+Eq_ky*$B1262</f>
      </c>
      <c r="L1262" s="20">
        <f>IF(K1262&gt;0,IF(K1262&lt;=eco,alpha*fck*(1-(1-K1262/eco)^n),alpha*fck),0)</f>
      </c>
    </row>
    <row r="1263" spans="1:12" x14ac:dyDescent="0.25">
      <c r="A1263">
        <f>Mesh!A1260</f>
      </c>
      <c r="B1263" s="20">
        <f>Mesh!B1260</f>
      </c>
      <c r="C1263" s="20">
        <f>Mesh!C1260</f>
      </c>
      <c r="D1263" s="20">
        <f>Mesh!D1260</f>
      </c>
      <c r="E1263" s="37">
        <f>INDEX(St_e0,Det+1)+INDEX(St_kx,Det+1)*C1263+INDEX(St_ky,Det+1)*B1263</f>
      </c>
      <c r="F1263" s="20">
        <f>IF(E1263&gt;0,IF(E1263&lt;=eco,alpha*fck*(1-(1-E1263/eco)^n),alpha*fck),0)</f>
      </c>
      <c r="G1263" s="19">
        <f>F1263*D1263</f>
      </c>
      <c r="H1263" s="19">
        <f>G1263*C1263</f>
      </c>
      <c r="I1263" s="19">
        <f>G1263*B1263</f>
      </c>
      <c r="K1263" s="37">
        <f>Eq_e0+Eq_kx*$C1263+Eq_ky*$B1263</f>
      </c>
      <c r="L1263" s="20">
        <f>IF(K1263&gt;0,IF(K1263&lt;=eco,alpha*fck*(1-(1-K1263/eco)^n),alpha*fck),0)</f>
      </c>
    </row>
    <row r="1264" spans="1:12" x14ac:dyDescent="0.25">
      <c r="A1264">
        <f>Mesh!A1261</f>
      </c>
      <c r="B1264" s="20">
        <f>Mesh!B1261</f>
      </c>
      <c r="C1264" s="20">
        <f>Mesh!C1261</f>
      </c>
      <c r="D1264" s="20">
        <f>Mesh!D1261</f>
      </c>
      <c r="E1264" s="37">
        <f>INDEX(St_e0,Det+1)+INDEX(St_kx,Det+1)*C1264+INDEX(St_ky,Det+1)*B1264</f>
      </c>
      <c r="F1264" s="20">
        <f>IF(E1264&gt;0,IF(E1264&lt;=eco,alpha*fck*(1-(1-E1264/eco)^n),alpha*fck),0)</f>
      </c>
      <c r="G1264" s="19">
        <f>F1264*D1264</f>
      </c>
      <c r="H1264" s="19">
        <f>G1264*C1264</f>
      </c>
      <c r="I1264" s="19">
        <f>G1264*B1264</f>
      </c>
      <c r="K1264" s="37">
        <f>Eq_e0+Eq_kx*$C1264+Eq_ky*$B1264</f>
      </c>
      <c r="L1264" s="20">
        <f>IF(K1264&gt;0,IF(K1264&lt;=eco,alpha*fck*(1-(1-K1264/eco)^n),alpha*fck),0)</f>
      </c>
    </row>
  </sheetData>
  <mergeCells count="3">
    <mergeCell ref="A1:I1"/>
    <mergeCell ref="A3:I3"/>
    <mergeCell ref="K5:L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S24"/>
  <sheetViews>
    <sheetView workbookViewId="0">
      <pane xSplit="5" ySplit="6" topLeftCell="F7" activePane="bottomRight" state="frozen"/>
      <selection pane="bottomRight"/>
    </sheetView>
  </sheetViews>
  <sheetFormatPr defaultRowHeight="15" outlineLevelRow="0" outlineLevelCol="0" x14ac:dyDescent="55"/>
  <cols>
    <col min="1" max="5" width="11" customWidth="1"/>
    <col min="6" max="201" width="13" customWidth="1"/>
  </cols>
  <sheetData>
    <row r="1" spans="1:12" x14ac:dyDescent="0.25">
      <c r="A1" s="23" t="s">
        <v>259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1:12" x14ac:dyDescent="0.25">
      <c r="A2" s="5" t="s">
        <v>260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4" spans="6:201" x14ac:dyDescent="0.25">
      <c r="F4" s="25" t="s">
        <v>216</v>
      </c>
      <c r="G4" s="25"/>
      <c r="H4" s="25"/>
      <c r="I4" s="25"/>
      <c r="J4" s="25"/>
      <c r="K4" s="25"/>
      <c r="L4" s="25"/>
      <c r="M4" s="25" t="s">
        <v>218</v>
      </c>
      <c r="N4" s="25"/>
      <c r="O4" s="25"/>
      <c r="P4" s="25"/>
      <c r="Q4" s="25"/>
      <c r="R4" s="25"/>
      <c r="S4" s="25"/>
      <c r="T4" s="25" t="s">
        <v>219</v>
      </c>
      <c r="U4" s="25"/>
      <c r="V4" s="25"/>
      <c r="W4" s="25"/>
      <c r="X4" s="25"/>
      <c r="Y4" s="25"/>
      <c r="Z4" s="25"/>
      <c r="AA4" s="25" t="s">
        <v>220</v>
      </c>
      <c r="AB4" s="25"/>
      <c r="AC4" s="25"/>
      <c r="AD4" s="25"/>
      <c r="AE4" s="25"/>
      <c r="AF4" s="25"/>
      <c r="AG4" s="25"/>
      <c r="AH4" s="25" t="s">
        <v>221</v>
      </c>
      <c r="AI4" s="25"/>
      <c r="AJ4" s="25"/>
      <c r="AK4" s="25"/>
      <c r="AL4" s="25"/>
      <c r="AM4" s="25"/>
      <c r="AN4" s="25"/>
      <c r="AO4" s="25" t="s">
        <v>222</v>
      </c>
      <c r="AP4" s="25"/>
      <c r="AQ4" s="25"/>
      <c r="AR4" s="25"/>
      <c r="AS4" s="25"/>
      <c r="AT4" s="25"/>
      <c r="AU4" s="25"/>
      <c r="AV4" s="25" t="s">
        <v>223</v>
      </c>
      <c r="AW4" s="25"/>
      <c r="AX4" s="25"/>
      <c r="AY4" s="25"/>
      <c r="AZ4" s="25"/>
      <c r="BA4" s="25"/>
      <c r="BB4" s="25"/>
      <c r="BC4" s="25" t="s">
        <v>224</v>
      </c>
      <c r="BD4" s="25"/>
      <c r="BE4" s="25"/>
      <c r="BF4" s="25"/>
      <c r="BG4" s="25"/>
      <c r="BH4" s="25"/>
      <c r="BI4" s="25"/>
      <c r="BJ4" s="25" t="s">
        <v>225</v>
      </c>
      <c r="BK4" s="25"/>
      <c r="BL4" s="25"/>
      <c r="BM4" s="25"/>
      <c r="BN4" s="25"/>
      <c r="BO4" s="25"/>
      <c r="BP4" s="25"/>
      <c r="BQ4" s="25" t="s">
        <v>226</v>
      </c>
      <c r="BR4" s="25"/>
      <c r="BS4" s="25"/>
      <c r="BT4" s="25"/>
      <c r="BU4" s="25"/>
      <c r="BV4" s="25"/>
      <c r="BW4" s="25"/>
      <c r="BX4" s="25" t="s">
        <v>227</v>
      </c>
      <c r="BY4" s="25"/>
      <c r="BZ4" s="25"/>
      <c r="CA4" s="25"/>
      <c r="CB4" s="25"/>
      <c r="CC4" s="25"/>
      <c r="CD4" s="25"/>
      <c r="CE4" s="25" t="s">
        <v>228</v>
      </c>
      <c r="CF4" s="25"/>
      <c r="CG4" s="25"/>
      <c r="CH4" s="25"/>
      <c r="CI4" s="25"/>
      <c r="CJ4" s="25"/>
      <c r="CK4" s="25"/>
      <c r="CL4" s="25" t="s">
        <v>229</v>
      </c>
      <c r="CM4" s="25"/>
      <c r="CN4" s="25"/>
      <c r="CO4" s="25"/>
      <c r="CP4" s="25"/>
      <c r="CQ4" s="25"/>
      <c r="CR4" s="25"/>
      <c r="CS4" s="25" t="s">
        <v>230</v>
      </c>
      <c r="CT4" s="25"/>
      <c r="CU4" s="25"/>
      <c r="CV4" s="25"/>
      <c r="CW4" s="25"/>
      <c r="CX4" s="25"/>
      <c r="CY4" s="25"/>
      <c r="CZ4" s="25" t="s">
        <v>231</v>
      </c>
      <c r="DA4" s="25"/>
      <c r="DB4" s="25"/>
      <c r="DC4" s="25"/>
      <c r="DD4" s="25"/>
      <c r="DE4" s="25"/>
      <c r="DF4" s="25"/>
      <c r="DG4" s="25" t="s">
        <v>232</v>
      </c>
      <c r="DH4" s="25"/>
      <c r="DI4" s="25"/>
      <c r="DJ4" s="25"/>
      <c r="DK4" s="25"/>
      <c r="DL4" s="25"/>
      <c r="DM4" s="25"/>
      <c r="DN4" s="25" t="s">
        <v>233</v>
      </c>
      <c r="DO4" s="25"/>
      <c r="DP4" s="25"/>
      <c r="DQ4" s="25"/>
      <c r="DR4" s="25"/>
      <c r="DS4" s="25"/>
      <c r="DT4" s="25"/>
      <c r="DU4" s="25" t="s">
        <v>234</v>
      </c>
      <c r="DV4" s="25"/>
      <c r="DW4" s="25"/>
      <c r="DX4" s="25"/>
      <c r="DY4" s="25"/>
      <c r="DZ4" s="25"/>
      <c r="EA4" s="25"/>
      <c r="EB4" s="25" t="s">
        <v>235</v>
      </c>
      <c r="EC4" s="25"/>
      <c r="ED4" s="25"/>
      <c r="EE4" s="25"/>
      <c r="EF4" s="25"/>
      <c r="EG4" s="25"/>
      <c r="EH4" s="25"/>
      <c r="EI4" s="25" t="s">
        <v>236</v>
      </c>
      <c r="EJ4" s="25"/>
      <c r="EK4" s="25"/>
      <c r="EL4" s="25"/>
      <c r="EM4" s="25"/>
      <c r="EN4" s="25"/>
      <c r="EO4" s="25"/>
      <c r="EP4" s="25" t="s">
        <v>237</v>
      </c>
      <c r="EQ4" s="25"/>
      <c r="ER4" s="25"/>
      <c r="ES4" s="25"/>
      <c r="ET4" s="25"/>
      <c r="EU4" s="25"/>
      <c r="EV4" s="25"/>
      <c r="EW4" s="25" t="s">
        <v>238</v>
      </c>
      <c r="EX4" s="25"/>
      <c r="EY4" s="25"/>
      <c r="EZ4" s="25"/>
      <c r="FA4" s="25"/>
      <c r="FB4" s="25"/>
      <c r="FC4" s="25"/>
      <c r="FD4" s="25" t="s">
        <v>239</v>
      </c>
      <c r="FE4" s="25"/>
      <c r="FF4" s="25"/>
      <c r="FG4" s="25"/>
      <c r="FH4" s="25"/>
      <c r="FI4" s="25"/>
      <c r="FJ4" s="25"/>
      <c r="FK4" s="25" t="s">
        <v>240</v>
      </c>
      <c r="FL4" s="25"/>
      <c r="FM4" s="25"/>
      <c r="FN4" s="25"/>
      <c r="FO4" s="25"/>
      <c r="FP4" s="25"/>
      <c r="FQ4" s="25"/>
      <c r="FR4" s="25" t="s">
        <v>241</v>
      </c>
      <c r="FS4" s="25"/>
      <c r="FT4" s="25"/>
      <c r="FU4" s="25"/>
      <c r="FV4" s="25"/>
      <c r="FW4" s="25"/>
      <c r="FX4" s="25"/>
      <c r="FY4" s="25" t="s">
        <v>242</v>
      </c>
      <c r="FZ4" s="25"/>
      <c r="GA4" s="25"/>
      <c r="GB4" s="25"/>
      <c r="GC4" s="25"/>
      <c r="GD4" s="25"/>
      <c r="GE4" s="25"/>
      <c r="GF4" s="25" t="s">
        <v>243</v>
      </c>
      <c r="GG4" s="25"/>
      <c r="GH4" s="25"/>
      <c r="GI4" s="25"/>
      <c r="GJ4" s="25"/>
      <c r="GK4" s="25"/>
      <c r="GL4" s="25"/>
      <c r="GM4" s="25" t="s">
        <v>252</v>
      </c>
      <c r="GN4" s="25"/>
      <c r="GO4" s="25"/>
      <c r="GP4" s="25"/>
      <c r="GQ4" s="25"/>
      <c r="GR4" s="25"/>
      <c r="GS4" s="25"/>
    </row>
    <row r="5" ht="28" customHeight="1" spans="1:201" x14ac:dyDescent="0.25">
      <c r="A5" s="17" t="s">
        <v>167</v>
      </c>
      <c r="B5" s="17" t="s">
        <v>176</v>
      </c>
      <c r="C5" s="17" t="s">
        <v>169</v>
      </c>
      <c r="D5" s="17" t="s">
        <v>170</v>
      </c>
      <c r="E5" s="17" t="s">
        <v>177</v>
      </c>
      <c r="F5" s="17" t="s">
        <v>202</v>
      </c>
      <c r="G5" s="17" t="s">
        <v>261</v>
      </c>
      <c r="H5" s="17" t="s">
        <v>254</v>
      </c>
      <c r="I5" s="17" t="s">
        <v>262</v>
      </c>
      <c r="J5" s="17" t="s">
        <v>263</v>
      </c>
      <c r="K5" s="17" t="s">
        <v>264</v>
      </c>
      <c r="L5" s="17" t="s">
        <v>265</v>
      </c>
      <c r="M5" s="17" t="s">
        <v>202</v>
      </c>
      <c r="N5" s="17" t="s">
        <v>261</v>
      </c>
      <c r="O5" s="17" t="s">
        <v>254</v>
      </c>
      <c r="P5" s="17" t="s">
        <v>262</v>
      </c>
      <c r="Q5" s="17" t="s">
        <v>263</v>
      </c>
      <c r="R5" s="17" t="s">
        <v>264</v>
      </c>
      <c r="S5" s="17" t="s">
        <v>265</v>
      </c>
      <c r="T5" s="17" t="s">
        <v>202</v>
      </c>
      <c r="U5" s="17" t="s">
        <v>261</v>
      </c>
      <c r="V5" s="17" t="s">
        <v>254</v>
      </c>
      <c r="W5" s="17" t="s">
        <v>262</v>
      </c>
      <c r="X5" s="17" t="s">
        <v>263</v>
      </c>
      <c r="Y5" s="17" t="s">
        <v>264</v>
      </c>
      <c r="Z5" s="17" t="s">
        <v>265</v>
      </c>
      <c r="AA5" s="17" t="s">
        <v>202</v>
      </c>
      <c r="AB5" s="17" t="s">
        <v>261</v>
      </c>
      <c r="AC5" s="17" t="s">
        <v>254</v>
      </c>
      <c r="AD5" s="17" t="s">
        <v>262</v>
      </c>
      <c r="AE5" s="17" t="s">
        <v>263</v>
      </c>
      <c r="AF5" s="17" t="s">
        <v>264</v>
      </c>
      <c r="AG5" s="17" t="s">
        <v>265</v>
      </c>
      <c r="AH5" s="17" t="s">
        <v>202</v>
      </c>
      <c r="AI5" s="17" t="s">
        <v>261</v>
      </c>
      <c r="AJ5" s="17" t="s">
        <v>254</v>
      </c>
      <c r="AK5" s="17" t="s">
        <v>262</v>
      </c>
      <c r="AL5" s="17" t="s">
        <v>263</v>
      </c>
      <c r="AM5" s="17" t="s">
        <v>264</v>
      </c>
      <c r="AN5" s="17" t="s">
        <v>265</v>
      </c>
      <c r="AO5" s="17" t="s">
        <v>202</v>
      </c>
      <c r="AP5" s="17" t="s">
        <v>261</v>
      </c>
      <c r="AQ5" s="17" t="s">
        <v>254</v>
      </c>
      <c r="AR5" s="17" t="s">
        <v>262</v>
      </c>
      <c r="AS5" s="17" t="s">
        <v>263</v>
      </c>
      <c r="AT5" s="17" t="s">
        <v>264</v>
      </c>
      <c r="AU5" s="17" t="s">
        <v>265</v>
      </c>
      <c r="AV5" s="17" t="s">
        <v>202</v>
      </c>
      <c r="AW5" s="17" t="s">
        <v>261</v>
      </c>
      <c r="AX5" s="17" t="s">
        <v>254</v>
      </c>
      <c r="AY5" s="17" t="s">
        <v>262</v>
      </c>
      <c r="AZ5" s="17" t="s">
        <v>263</v>
      </c>
      <c r="BA5" s="17" t="s">
        <v>264</v>
      </c>
      <c r="BB5" s="17" t="s">
        <v>265</v>
      </c>
      <c r="BC5" s="17" t="s">
        <v>202</v>
      </c>
      <c r="BD5" s="17" t="s">
        <v>261</v>
      </c>
      <c r="BE5" s="17" t="s">
        <v>254</v>
      </c>
      <c r="BF5" s="17" t="s">
        <v>262</v>
      </c>
      <c r="BG5" s="17" t="s">
        <v>263</v>
      </c>
      <c r="BH5" s="17" t="s">
        <v>264</v>
      </c>
      <c r="BI5" s="17" t="s">
        <v>265</v>
      </c>
      <c r="BJ5" s="17" t="s">
        <v>202</v>
      </c>
      <c r="BK5" s="17" t="s">
        <v>261</v>
      </c>
      <c r="BL5" s="17" t="s">
        <v>254</v>
      </c>
      <c r="BM5" s="17" t="s">
        <v>262</v>
      </c>
      <c r="BN5" s="17" t="s">
        <v>263</v>
      </c>
      <c r="BO5" s="17" t="s">
        <v>264</v>
      </c>
      <c r="BP5" s="17" t="s">
        <v>265</v>
      </c>
      <c r="BQ5" s="17" t="s">
        <v>202</v>
      </c>
      <c r="BR5" s="17" t="s">
        <v>261</v>
      </c>
      <c r="BS5" s="17" t="s">
        <v>254</v>
      </c>
      <c r="BT5" s="17" t="s">
        <v>262</v>
      </c>
      <c r="BU5" s="17" t="s">
        <v>263</v>
      </c>
      <c r="BV5" s="17" t="s">
        <v>264</v>
      </c>
      <c r="BW5" s="17" t="s">
        <v>265</v>
      </c>
      <c r="BX5" s="17" t="s">
        <v>202</v>
      </c>
      <c r="BY5" s="17" t="s">
        <v>261</v>
      </c>
      <c r="BZ5" s="17" t="s">
        <v>254</v>
      </c>
      <c r="CA5" s="17" t="s">
        <v>262</v>
      </c>
      <c r="CB5" s="17" t="s">
        <v>263</v>
      </c>
      <c r="CC5" s="17" t="s">
        <v>264</v>
      </c>
      <c r="CD5" s="17" t="s">
        <v>265</v>
      </c>
      <c r="CE5" s="17" t="s">
        <v>202</v>
      </c>
      <c r="CF5" s="17" t="s">
        <v>261</v>
      </c>
      <c r="CG5" s="17" t="s">
        <v>254</v>
      </c>
      <c r="CH5" s="17" t="s">
        <v>262</v>
      </c>
      <c r="CI5" s="17" t="s">
        <v>263</v>
      </c>
      <c r="CJ5" s="17" t="s">
        <v>264</v>
      </c>
      <c r="CK5" s="17" t="s">
        <v>265</v>
      </c>
      <c r="CL5" s="17" t="s">
        <v>202</v>
      </c>
      <c r="CM5" s="17" t="s">
        <v>261</v>
      </c>
      <c r="CN5" s="17" t="s">
        <v>254</v>
      </c>
      <c r="CO5" s="17" t="s">
        <v>262</v>
      </c>
      <c r="CP5" s="17" t="s">
        <v>263</v>
      </c>
      <c r="CQ5" s="17" t="s">
        <v>264</v>
      </c>
      <c r="CR5" s="17" t="s">
        <v>265</v>
      </c>
      <c r="CS5" s="17" t="s">
        <v>202</v>
      </c>
      <c r="CT5" s="17" t="s">
        <v>261</v>
      </c>
      <c r="CU5" s="17" t="s">
        <v>254</v>
      </c>
      <c r="CV5" s="17" t="s">
        <v>262</v>
      </c>
      <c r="CW5" s="17" t="s">
        <v>263</v>
      </c>
      <c r="CX5" s="17" t="s">
        <v>264</v>
      </c>
      <c r="CY5" s="17" t="s">
        <v>265</v>
      </c>
      <c r="CZ5" s="17" t="s">
        <v>202</v>
      </c>
      <c r="DA5" s="17" t="s">
        <v>261</v>
      </c>
      <c r="DB5" s="17" t="s">
        <v>254</v>
      </c>
      <c r="DC5" s="17" t="s">
        <v>262</v>
      </c>
      <c r="DD5" s="17" t="s">
        <v>263</v>
      </c>
      <c r="DE5" s="17" t="s">
        <v>264</v>
      </c>
      <c r="DF5" s="17" t="s">
        <v>265</v>
      </c>
      <c r="DG5" s="17" t="s">
        <v>202</v>
      </c>
      <c r="DH5" s="17" t="s">
        <v>261</v>
      </c>
      <c r="DI5" s="17" t="s">
        <v>254</v>
      </c>
      <c r="DJ5" s="17" t="s">
        <v>262</v>
      </c>
      <c r="DK5" s="17" t="s">
        <v>263</v>
      </c>
      <c r="DL5" s="17" t="s">
        <v>264</v>
      </c>
      <c r="DM5" s="17" t="s">
        <v>265</v>
      </c>
      <c r="DN5" s="17" t="s">
        <v>202</v>
      </c>
      <c r="DO5" s="17" t="s">
        <v>261</v>
      </c>
      <c r="DP5" s="17" t="s">
        <v>254</v>
      </c>
      <c r="DQ5" s="17" t="s">
        <v>262</v>
      </c>
      <c r="DR5" s="17" t="s">
        <v>263</v>
      </c>
      <c r="DS5" s="17" t="s">
        <v>264</v>
      </c>
      <c r="DT5" s="17" t="s">
        <v>265</v>
      </c>
      <c r="DU5" s="17" t="s">
        <v>202</v>
      </c>
      <c r="DV5" s="17" t="s">
        <v>261</v>
      </c>
      <c r="DW5" s="17" t="s">
        <v>254</v>
      </c>
      <c r="DX5" s="17" t="s">
        <v>262</v>
      </c>
      <c r="DY5" s="17" t="s">
        <v>263</v>
      </c>
      <c r="DZ5" s="17" t="s">
        <v>264</v>
      </c>
      <c r="EA5" s="17" t="s">
        <v>265</v>
      </c>
      <c r="EB5" s="17" t="s">
        <v>202</v>
      </c>
      <c r="EC5" s="17" t="s">
        <v>261</v>
      </c>
      <c r="ED5" s="17" t="s">
        <v>254</v>
      </c>
      <c r="EE5" s="17" t="s">
        <v>262</v>
      </c>
      <c r="EF5" s="17" t="s">
        <v>263</v>
      </c>
      <c r="EG5" s="17" t="s">
        <v>264</v>
      </c>
      <c r="EH5" s="17" t="s">
        <v>265</v>
      </c>
      <c r="EI5" s="17" t="s">
        <v>202</v>
      </c>
      <c r="EJ5" s="17" t="s">
        <v>261</v>
      </c>
      <c r="EK5" s="17" t="s">
        <v>254</v>
      </c>
      <c r="EL5" s="17" t="s">
        <v>262</v>
      </c>
      <c r="EM5" s="17" t="s">
        <v>263</v>
      </c>
      <c r="EN5" s="17" t="s">
        <v>264</v>
      </c>
      <c r="EO5" s="17" t="s">
        <v>265</v>
      </c>
      <c r="EP5" s="17" t="s">
        <v>202</v>
      </c>
      <c r="EQ5" s="17" t="s">
        <v>261</v>
      </c>
      <c r="ER5" s="17" t="s">
        <v>254</v>
      </c>
      <c r="ES5" s="17" t="s">
        <v>262</v>
      </c>
      <c r="ET5" s="17" t="s">
        <v>263</v>
      </c>
      <c r="EU5" s="17" t="s">
        <v>264</v>
      </c>
      <c r="EV5" s="17" t="s">
        <v>265</v>
      </c>
      <c r="EW5" s="17" t="s">
        <v>202</v>
      </c>
      <c r="EX5" s="17" t="s">
        <v>261</v>
      </c>
      <c r="EY5" s="17" t="s">
        <v>254</v>
      </c>
      <c r="EZ5" s="17" t="s">
        <v>262</v>
      </c>
      <c r="FA5" s="17" t="s">
        <v>263</v>
      </c>
      <c r="FB5" s="17" t="s">
        <v>264</v>
      </c>
      <c r="FC5" s="17" t="s">
        <v>265</v>
      </c>
      <c r="FD5" s="17" t="s">
        <v>202</v>
      </c>
      <c r="FE5" s="17" t="s">
        <v>261</v>
      </c>
      <c r="FF5" s="17" t="s">
        <v>254</v>
      </c>
      <c r="FG5" s="17" t="s">
        <v>262</v>
      </c>
      <c r="FH5" s="17" t="s">
        <v>263</v>
      </c>
      <c r="FI5" s="17" t="s">
        <v>264</v>
      </c>
      <c r="FJ5" s="17" t="s">
        <v>265</v>
      </c>
      <c r="FK5" s="17" t="s">
        <v>202</v>
      </c>
      <c r="FL5" s="17" t="s">
        <v>261</v>
      </c>
      <c r="FM5" s="17" t="s">
        <v>254</v>
      </c>
      <c r="FN5" s="17" t="s">
        <v>262</v>
      </c>
      <c r="FO5" s="17" t="s">
        <v>263</v>
      </c>
      <c r="FP5" s="17" t="s">
        <v>264</v>
      </c>
      <c r="FQ5" s="17" t="s">
        <v>265</v>
      </c>
      <c r="FR5" s="17" t="s">
        <v>202</v>
      </c>
      <c r="FS5" s="17" t="s">
        <v>261</v>
      </c>
      <c r="FT5" s="17" t="s">
        <v>254</v>
      </c>
      <c r="FU5" s="17" t="s">
        <v>262</v>
      </c>
      <c r="FV5" s="17" t="s">
        <v>263</v>
      </c>
      <c r="FW5" s="17" t="s">
        <v>264</v>
      </c>
      <c r="FX5" s="17" t="s">
        <v>265</v>
      </c>
      <c r="FY5" s="17" t="s">
        <v>202</v>
      </c>
      <c r="FZ5" s="17" t="s">
        <v>261</v>
      </c>
      <c r="GA5" s="17" t="s">
        <v>254</v>
      </c>
      <c r="GB5" s="17" t="s">
        <v>262</v>
      </c>
      <c r="GC5" s="17" t="s">
        <v>263</v>
      </c>
      <c r="GD5" s="17" t="s">
        <v>264</v>
      </c>
      <c r="GE5" s="17" t="s">
        <v>265</v>
      </c>
      <c r="GF5" s="17" t="s">
        <v>202</v>
      </c>
      <c r="GG5" s="17" t="s">
        <v>261</v>
      </c>
      <c r="GH5" s="17" t="s">
        <v>254</v>
      </c>
      <c r="GI5" s="17" t="s">
        <v>262</v>
      </c>
      <c r="GJ5" s="17" t="s">
        <v>263</v>
      </c>
      <c r="GK5" s="17" t="s">
        <v>264</v>
      </c>
      <c r="GL5" s="17" t="s">
        <v>265</v>
      </c>
      <c r="GM5" s="17" t="s">
        <v>202</v>
      </c>
      <c r="GN5" s="17" t="s">
        <v>261</v>
      </c>
      <c r="GO5" s="17" t="s">
        <v>254</v>
      </c>
      <c r="GP5" s="17" t="s">
        <v>262</v>
      </c>
      <c r="GQ5" s="17" t="s">
        <v>263</v>
      </c>
      <c r="GR5" s="17" t="s">
        <v>264</v>
      </c>
      <c r="GS5" s="17" t="s">
        <v>265</v>
      </c>
    </row>
    <row r="6" spans="1:201" x14ac:dyDescent="0.25">
      <c r="A6" s="35" t="s">
        <v>258</v>
      </c>
      <c r="E6" s="21">
        <f>SUM(E7:E24)</f>
      </c>
      <c r="J6" s="42">
        <f>SUM(J7:J24)</f>
      </c>
      <c r="K6" s="42">
        <f>SUM(K7:K24)</f>
      </c>
      <c r="L6" s="42">
        <f>SUM(L7:L24)</f>
      </c>
      <c r="Q6" s="42">
        <f>SUM(Q7:Q24)</f>
      </c>
      <c r="R6" s="42">
        <f>SUM(R7:R24)</f>
      </c>
      <c r="S6" s="42">
        <f>SUM(S7:S24)</f>
      </c>
      <c r="X6" s="42">
        <f>SUM(X7:X24)</f>
      </c>
      <c r="Y6" s="42">
        <f>SUM(Y7:Y24)</f>
      </c>
      <c r="Z6" s="42">
        <f>SUM(Z7:Z24)</f>
      </c>
      <c r="AE6" s="42">
        <f>SUM(AE7:AE24)</f>
      </c>
      <c r="AF6" s="42">
        <f>SUM(AF7:AF24)</f>
      </c>
      <c r="AG6" s="42">
        <f>SUM(AG7:AG24)</f>
      </c>
      <c r="AL6" s="42">
        <f>SUM(AL7:AL24)</f>
      </c>
      <c r="AM6" s="42">
        <f>SUM(AM7:AM24)</f>
      </c>
      <c r="AN6" s="42">
        <f>SUM(AN7:AN24)</f>
      </c>
      <c r="AS6" s="42">
        <f>SUM(AS7:AS24)</f>
      </c>
      <c r="AT6" s="42">
        <f>SUM(AT7:AT24)</f>
      </c>
      <c r="AU6" s="42">
        <f>SUM(AU7:AU24)</f>
      </c>
      <c r="AZ6" s="42">
        <f>SUM(AZ7:AZ24)</f>
      </c>
      <c r="BA6" s="42">
        <f>SUM(BA7:BA24)</f>
      </c>
      <c r="BB6" s="42">
        <f>SUM(BB7:BB24)</f>
      </c>
      <c r="BG6" s="42">
        <f>SUM(BG7:BG24)</f>
      </c>
      <c r="BH6" s="42">
        <f>SUM(BH7:BH24)</f>
      </c>
      <c r="BI6" s="42">
        <f>SUM(BI7:BI24)</f>
      </c>
      <c r="BN6" s="42">
        <f>SUM(BN7:BN24)</f>
      </c>
      <c r="BO6" s="42">
        <f>SUM(BO7:BO24)</f>
      </c>
      <c r="BP6" s="42">
        <f>SUM(BP7:BP24)</f>
      </c>
      <c r="BU6" s="42">
        <f>SUM(BU7:BU24)</f>
      </c>
      <c r="BV6" s="42">
        <f>SUM(BV7:BV24)</f>
      </c>
      <c r="BW6" s="42">
        <f>SUM(BW7:BW24)</f>
      </c>
      <c r="CB6" s="42">
        <f>SUM(CB7:CB24)</f>
      </c>
      <c r="CC6" s="42">
        <f>SUM(CC7:CC24)</f>
      </c>
      <c r="CD6" s="42">
        <f>SUM(CD7:CD24)</f>
      </c>
      <c r="CI6" s="42">
        <f>SUM(CI7:CI24)</f>
      </c>
      <c r="CJ6" s="42">
        <f>SUM(CJ7:CJ24)</f>
      </c>
      <c r="CK6" s="42">
        <f>SUM(CK7:CK24)</f>
      </c>
      <c r="CP6" s="42">
        <f>SUM(CP7:CP24)</f>
      </c>
      <c r="CQ6" s="42">
        <f>SUM(CQ7:CQ24)</f>
      </c>
      <c r="CR6" s="42">
        <f>SUM(CR7:CR24)</f>
      </c>
      <c r="CW6" s="42">
        <f>SUM(CW7:CW24)</f>
      </c>
      <c r="CX6" s="42">
        <f>SUM(CX7:CX24)</f>
      </c>
      <c r="CY6" s="42">
        <f>SUM(CY7:CY24)</f>
      </c>
      <c r="DD6" s="42">
        <f>SUM(DD7:DD24)</f>
      </c>
      <c r="DE6" s="42">
        <f>SUM(DE7:DE24)</f>
      </c>
      <c r="DF6" s="42">
        <f>SUM(DF7:DF24)</f>
      </c>
      <c r="DK6" s="42">
        <f>SUM(DK7:DK24)</f>
      </c>
      <c r="DL6" s="42">
        <f>SUM(DL7:DL24)</f>
      </c>
      <c r="DM6" s="42">
        <f>SUM(DM7:DM24)</f>
      </c>
      <c r="DR6" s="42">
        <f>SUM(DR7:DR24)</f>
      </c>
      <c r="DS6" s="42">
        <f>SUM(DS7:DS24)</f>
      </c>
      <c r="DT6" s="42">
        <f>SUM(DT7:DT24)</f>
      </c>
      <c r="DY6" s="42">
        <f>SUM(DY7:DY24)</f>
      </c>
      <c r="DZ6" s="42">
        <f>SUM(DZ7:DZ24)</f>
      </c>
      <c r="EA6" s="42">
        <f>SUM(EA7:EA24)</f>
      </c>
      <c r="EF6" s="42">
        <f>SUM(EF7:EF24)</f>
      </c>
      <c r="EG6" s="42">
        <f>SUM(EG7:EG24)</f>
      </c>
      <c r="EH6" s="42">
        <f>SUM(EH7:EH24)</f>
      </c>
      <c r="EM6" s="42">
        <f>SUM(EM7:EM24)</f>
      </c>
      <c r="EN6" s="42">
        <f>SUM(EN7:EN24)</f>
      </c>
      <c r="EO6" s="42">
        <f>SUM(EO7:EO24)</f>
      </c>
      <c r="ET6" s="42">
        <f>SUM(ET7:ET24)</f>
      </c>
      <c r="EU6" s="42">
        <f>SUM(EU7:EU24)</f>
      </c>
      <c r="EV6" s="42">
        <f>SUM(EV7:EV24)</f>
      </c>
      <c r="FA6" s="42">
        <f>SUM(FA7:FA24)</f>
      </c>
      <c r="FB6" s="42">
        <f>SUM(FB7:FB24)</f>
      </c>
      <c r="FC6" s="42">
        <f>SUM(FC7:FC24)</f>
      </c>
      <c r="FH6" s="42">
        <f>SUM(FH7:FH24)</f>
      </c>
      <c r="FI6" s="42">
        <f>SUM(FI7:FI24)</f>
      </c>
      <c r="FJ6" s="42">
        <f>SUM(FJ7:FJ24)</f>
      </c>
      <c r="FO6" s="42">
        <f>SUM(FO7:FO24)</f>
      </c>
      <c r="FP6" s="42">
        <f>SUM(FP7:FP24)</f>
      </c>
      <c r="FQ6" s="42">
        <f>SUM(FQ7:FQ24)</f>
      </c>
      <c r="FV6" s="42">
        <f>SUM(FV7:FV24)</f>
      </c>
      <c r="FW6" s="42">
        <f>SUM(FW7:FW24)</f>
      </c>
      <c r="FX6" s="42">
        <f>SUM(FX7:FX24)</f>
      </c>
      <c r="GC6" s="42">
        <f>SUM(GC7:GC24)</f>
      </c>
      <c r="GD6" s="42">
        <f>SUM(GD7:GD24)</f>
      </c>
      <c r="GE6" s="42">
        <f>SUM(GE7:GE24)</f>
      </c>
      <c r="GJ6" s="42">
        <f>SUM(GJ7:GJ24)</f>
      </c>
      <c r="GK6" s="42">
        <f>SUM(GK7:GK24)</f>
      </c>
      <c r="GL6" s="42">
        <f>SUM(GL7:GL24)</f>
      </c>
      <c r="GQ6" s="42">
        <f>SUM(GQ7:GQ24)</f>
      </c>
      <c r="GR6" s="42">
        <f>SUM(GR7:GR24)</f>
      </c>
      <c r="GS6" s="42">
        <f>SUM(GS7:GS24)</f>
      </c>
    </row>
    <row r="7" spans="1:201" x14ac:dyDescent="0.25">
      <c r="A7">
        <v>1</v>
      </c>
      <c r="B7" s="20">
        <f>Geometry!C42</f>
      </c>
      <c r="C7" s="20">
        <f>Geometry!D42</f>
      </c>
      <c r="D7" s="20">
        <f>Geometry!E42</f>
      </c>
      <c r="E7" s="20">
        <f>Geometry!F42</f>
      </c>
      <c r="F7" s="37">
        <f>PM_Angle!$J$7+PM_Angle!$K$7*$D7+PM_Angle!$L$7*$C7</f>
      </c>
      <c r="G7" s="20">
        <f>MAX(MIN(Es*F7,fy),-fy)</f>
      </c>
      <c r="H7" s="20">
        <f>IF(F7&gt;0,IF(F7&lt;=eco,alpha*fck*(1-(1-F7/eco)^n),alpha*fck),0)</f>
      </c>
      <c r="I7" s="20">
        <f>G7-H7</f>
      </c>
      <c r="J7" s="19">
        <f>I7*$E7</f>
      </c>
      <c r="K7" s="19">
        <f>J7*$D7</f>
      </c>
      <c r="L7" s="19">
        <f>J7*$C7</f>
      </c>
      <c r="M7" s="37">
        <f>PM_Angle!$J$8+PM_Angle!$K$8*$D7+PM_Angle!$L$8*$C7</f>
      </c>
      <c r="N7" s="20">
        <f>MAX(MIN(Es*M7,fy),-fy)</f>
      </c>
      <c r="O7" s="20">
        <f>IF(M7&gt;0,IF(M7&lt;=eco,alpha*fck*(1-(1-M7/eco)^n),alpha*fck),0)</f>
      </c>
      <c r="P7" s="20">
        <f>N7-O7</f>
      </c>
      <c r="Q7" s="19">
        <f>P7*$E7</f>
      </c>
      <c r="R7" s="19">
        <f>Q7*$D7</f>
      </c>
      <c r="S7" s="19">
        <f>Q7*$C7</f>
      </c>
      <c r="T7" s="37">
        <f>PM_Angle!$J$9+PM_Angle!$K$9*$D7+PM_Angle!$L$9*$C7</f>
      </c>
      <c r="U7" s="20">
        <f>MAX(MIN(Es*T7,fy),-fy)</f>
      </c>
      <c r="V7" s="20">
        <f>IF(T7&gt;0,IF(T7&lt;=eco,alpha*fck*(1-(1-T7/eco)^n),alpha*fck),0)</f>
      </c>
      <c r="W7" s="20">
        <f>U7-V7</f>
      </c>
      <c r="X7" s="19">
        <f>W7*$E7</f>
      </c>
      <c r="Y7" s="19">
        <f>X7*$D7</f>
      </c>
      <c r="Z7" s="19">
        <f>X7*$C7</f>
      </c>
      <c r="AA7" s="37">
        <f>PM_Angle!$J$10+PM_Angle!$K$10*$D7+PM_Angle!$L$10*$C7</f>
      </c>
      <c r="AB7" s="20">
        <f>MAX(MIN(Es*AA7,fy),-fy)</f>
      </c>
      <c r="AC7" s="20">
        <f>IF(AA7&gt;0,IF(AA7&lt;=eco,alpha*fck*(1-(1-AA7/eco)^n),alpha*fck),0)</f>
      </c>
      <c r="AD7" s="20">
        <f>AB7-AC7</f>
      </c>
      <c r="AE7" s="19">
        <f>AD7*$E7</f>
      </c>
      <c r="AF7" s="19">
        <f>AE7*$D7</f>
      </c>
      <c r="AG7" s="19">
        <f>AE7*$C7</f>
      </c>
      <c r="AH7" s="37">
        <f>PM_Angle!$J$11+PM_Angle!$K$11*$D7+PM_Angle!$L$11*$C7</f>
      </c>
      <c r="AI7" s="20">
        <f>MAX(MIN(Es*AH7,fy),-fy)</f>
      </c>
      <c r="AJ7" s="20">
        <f>IF(AH7&gt;0,IF(AH7&lt;=eco,alpha*fck*(1-(1-AH7/eco)^n),alpha*fck),0)</f>
      </c>
      <c r="AK7" s="20">
        <f>AI7-AJ7</f>
      </c>
      <c r="AL7" s="19">
        <f>AK7*$E7</f>
      </c>
      <c r="AM7" s="19">
        <f>AL7*$D7</f>
      </c>
      <c r="AN7" s="19">
        <f>AL7*$C7</f>
      </c>
      <c r="AO7" s="37">
        <f>PM_Angle!$J$12+PM_Angle!$K$12*$D7+PM_Angle!$L$12*$C7</f>
      </c>
      <c r="AP7" s="20">
        <f>MAX(MIN(Es*AO7,fy),-fy)</f>
      </c>
      <c r="AQ7" s="20">
        <f>IF(AO7&gt;0,IF(AO7&lt;=eco,alpha*fck*(1-(1-AO7/eco)^n),alpha*fck),0)</f>
      </c>
      <c r="AR7" s="20">
        <f>AP7-AQ7</f>
      </c>
      <c r="AS7" s="19">
        <f>AR7*$E7</f>
      </c>
      <c r="AT7" s="19">
        <f>AS7*$D7</f>
      </c>
      <c r="AU7" s="19">
        <f>AS7*$C7</f>
      </c>
      <c r="AV7" s="37">
        <f>PM_Angle!$J$13+PM_Angle!$K$13*$D7+PM_Angle!$L$13*$C7</f>
      </c>
      <c r="AW7" s="20">
        <f>MAX(MIN(Es*AV7,fy),-fy)</f>
      </c>
      <c r="AX7" s="20">
        <f>IF(AV7&gt;0,IF(AV7&lt;=eco,alpha*fck*(1-(1-AV7/eco)^n),alpha*fck),0)</f>
      </c>
      <c r="AY7" s="20">
        <f>AW7-AX7</f>
      </c>
      <c r="AZ7" s="19">
        <f>AY7*$E7</f>
      </c>
      <c r="BA7" s="19">
        <f>AZ7*$D7</f>
      </c>
      <c r="BB7" s="19">
        <f>AZ7*$C7</f>
      </c>
      <c r="BC7" s="37">
        <f>PM_Angle!$J$14+PM_Angle!$K$14*$D7+PM_Angle!$L$14*$C7</f>
      </c>
      <c r="BD7" s="20">
        <f>MAX(MIN(Es*BC7,fy),-fy)</f>
      </c>
      <c r="BE7" s="20">
        <f>IF(BC7&gt;0,IF(BC7&lt;=eco,alpha*fck*(1-(1-BC7/eco)^n),alpha*fck),0)</f>
      </c>
      <c r="BF7" s="20">
        <f>BD7-BE7</f>
      </c>
      <c r="BG7" s="19">
        <f>BF7*$E7</f>
      </c>
      <c r="BH7" s="19">
        <f>BG7*$D7</f>
      </c>
      <c r="BI7" s="19">
        <f>BG7*$C7</f>
      </c>
      <c r="BJ7" s="37">
        <f>PM_Angle!$J$15+PM_Angle!$K$15*$D7+PM_Angle!$L$15*$C7</f>
      </c>
      <c r="BK7" s="20">
        <f>MAX(MIN(Es*BJ7,fy),-fy)</f>
      </c>
      <c r="BL7" s="20">
        <f>IF(BJ7&gt;0,IF(BJ7&lt;=eco,alpha*fck*(1-(1-BJ7/eco)^n),alpha*fck),0)</f>
      </c>
      <c r="BM7" s="20">
        <f>BK7-BL7</f>
      </c>
      <c r="BN7" s="19">
        <f>BM7*$E7</f>
      </c>
      <c r="BO7" s="19">
        <f>BN7*$D7</f>
      </c>
      <c r="BP7" s="19">
        <f>BN7*$C7</f>
      </c>
      <c r="BQ7" s="37">
        <f>PM_Angle!$J$16+PM_Angle!$K$16*$D7+PM_Angle!$L$16*$C7</f>
      </c>
      <c r="BR7" s="20">
        <f>MAX(MIN(Es*BQ7,fy),-fy)</f>
      </c>
      <c r="BS7" s="20">
        <f>IF(BQ7&gt;0,IF(BQ7&lt;=eco,alpha*fck*(1-(1-BQ7/eco)^n),alpha*fck),0)</f>
      </c>
      <c r="BT7" s="20">
        <f>BR7-BS7</f>
      </c>
      <c r="BU7" s="19">
        <f>BT7*$E7</f>
      </c>
      <c r="BV7" s="19">
        <f>BU7*$D7</f>
      </c>
      <c r="BW7" s="19">
        <f>BU7*$C7</f>
      </c>
      <c r="BX7" s="37">
        <f>PM_Angle!$J$17+PM_Angle!$K$17*$D7+PM_Angle!$L$17*$C7</f>
      </c>
      <c r="BY7" s="20">
        <f>MAX(MIN(Es*BX7,fy),-fy)</f>
      </c>
      <c r="BZ7" s="20">
        <f>IF(BX7&gt;0,IF(BX7&lt;=eco,alpha*fck*(1-(1-BX7/eco)^n),alpha*fck),0)</f>
      </c>
      <c r="CA7" s="20">
        <f>BY7-BZ7</f>
      </c>
      <c r="CB7" s="19">
        <f>CA7*$E7</f>
      </c>
      <c r="CC7" s="19">
        <f>CB7*$D7</f>
      </c>
      <c r="CD7" s="19">
        <f>CB7*$C7</f>
      </c>
      <c r="CE7" s="37">
        <f>PM_Angle!$J$18+PM_Angle!$K$18*$D7+PM_Angle!$L$18*$C7</f>
      </c>
      <c r="CF7" s="20">
        <f>MAX(MIN(Es*CE7,fy),-fy)</f>
      </c>
      <c r="CG7" s="20">
        <f>IF(CE7&gt;0,IF(CE7&lt;=eco,alpha*fck*(1-(1-CE7/eco)^n),alpha*fck),0)</f>
      </c>
      <c r="CH7" s="20">
        <f>CF7-CG7</f>
      </c>
      <c r="CI7" s="19">
        <f>CH7*$E7</f>
      </c>
      <c r="CJ7" s="19">
        <f>CI7*$D7</f>
      </c>
      <c r="CK7" s="19">
        <f>CI7*$C7</f>
      </c>
      <c r="CL7" s="37">
        <f>PM_Angle!$J$19+PM_Angle!$K$19*$D7+PM_Angle!$L$19*$C7</f>
      </c>
      <c r="CM7" s="20">
        <f>MAX(MIN(Es*CL7,fy),-fy)</f>
      </c>
      <c r="CN7" s="20">
        <f>IF(CL7&gt;0,IF(CL7&lt;=eco,alpha*fck*(1-(1-CL7/eco)^n),alpha*fck),0)</f>
      </c>
      <c r="CO7" s="20">
        <f>CM7-CN7</f>
      </c>
      <c r="CP7" s="19">
        <f>CO7*$E7</f>
      </c>
      <c r="CQ7" s="19">
        <f>CP7*$D7</f>
      </c>
      <c r="CR7" s="19">
        <f>CP7*$C7</f>
      </c>
      <c r="CS7" s="37">
        <f>PM_Angle!$J$20+PM_Angle!$K$20*$D7+PM_Angle!$L$20*$C7</f>
      </c>
      <c r="CT7" s="20">
        <f>MAX(MIN(Es*CS7,fy),-fy)</f>
      </c>
      <c r="CU7" s="20">
        <f>IF(CS7&gt;0,IF(CS7&lt;=eco,alpha*fck*(1-(1-CS7/eco)^n),alpha*fck),0)</f>
      </c>
      <c r="CV7" s="20">
        <f>CT7-CU7</f>
      </c>
      <c r="CW7" s="19">
        <f>CV7*$E7</f>
      </c>
      <c r="CX7" s="19">
        <f>CW7*$D7</f>
      </c>
      <c r="CY7" s="19">
        <f>CW7*$C7</f>
      </c>
      <c r="CZ7" s="37">
        <f>PM_Angle!$J$21+PM_Angle!$K$21*$D7+PM_Angle!$L$21*$C7</f>
      </c>
      <c r="DA7" s="20">
        <f>MAX(MIN(Es*CZ7,fy),-fy)</f>
      </c>
      <c r="DB7" s="20">
        <f>IF(CZ7&gt;0,IF(CZ7&lt;=eco,alpha*fck*(1-(1-CZ7/eco)^n),alpha*fck),0)</f>
      </c>
      <c r="DC7" s="20">
        <f>DA7-DB7</f>
      </c>
      <c r="DD7" s="19">
        <f>DC7*$E7</f>
      </c>
      <c r="DE7" s="19">
        <f>DD7*$D7</f>
      </c>
      <c r="DF7" s="19">
        <f>DD7*$C7</f>
      </c>
      <c r="DG7" s="37">
        <f>PM_Angle!$J$22+PM_Angle!$K$22*$D7+PM_Angle!$L$22*$C7</f>
      </c>
      <c r="DH7" s="20">
        <f>MAX(MIN(Es*DG7,fy),-fy)</f>
      </c>
      <c r="DI7" s="20">
        <f>IF(DG7&gt;0,IF(DG7&lt;=eco,alpha*fck*(1-(1-DG7/eco)^n),alpha*fck),0)</f>
      </c>
      <c r="DJ7" s="20">
        <f>DH7-DI7</f>
      </c>
      <c r="DK7" s="19">
        <f>DJ7*$E7</f>
      </c>
      <c r="DL7" s="19">
        <f>DK7*$D7</f>
      </c>
      <c r="DM7" s="19">
        <f>DK7*$C7</f>
      </c>
      <c r="DN7" s="37">
        <f>PM_Angle!$J$23+PM_Angle!$K$23*$D7+PM_Angle!$L$23*$C7</f>
      </c>
      <c r="DO7" s="20">
        <f>MAX(MIN(Es*DN7,fy),-fy)</f>
      </c>
      <c r="DP7" s="20">
        <f>IF(DN7&gt;0,IF(DN7&lt;=eco,alpha*fck*(1-(1-DN7/eco)^n),alpha*fck),0)</f>
      </c>
      <c r="DQ7" s="20">
        <f>DO7-DP7</f>
      </c>
      <c r="DR7" s="19">
        <f>DQ7*$E7</f>
      </c>
      <c r="DS7" s="19">
        <f>DR7*$D7</f>
      </c>
      <c r="DT7" s="19">
        <f>DR7*$C7</f>
      </c>
      <c r="DU7" s="37">
        <f>PM_Angle!$J$24+PM_Angle!$K$24*$D7+PM_Angle!$L$24*$C7</f>
      </c>
      <c r="DV7" s="20">
        <f>MAX(MIN(Es*DU7,fy),-fy)</f>
      </c>
      <c r="DW7" s="20">
        <f>IF(DU7&gt;0,IF(DU7&lt;=eco,alpha*fck*(1-(1-DU7/eco)^n),alpha*fck),0)</f>
      </c>
      <c r="DX7" s="20">
        <f>DV7-DW7</f>
      </c>
      <c r="DY7" s="19">
        <f>DX7*$E7</f>
      </c>
      <c r="DZ7" s="19">
        <f>DY7*$D7</f>
      </c>
      <c r="EA7" s="19">
        <f>DY7*$C7</f>
      </c>
      <c r="EB7" s="37">
        <f>PM_Angle!$J$25+PM_Angle!$K$25*$D7+PM_Angle!$L$25*$C7</f>
      </c>
      <c r="EC7" s="20">
        <f>MAX(MIN(Es*EB7,fy),-fy)</f>
      </c>
      <c r="ED7" s="20">
        <f>IF(EB7&gt;0,IF(EB7&lt;=eco,alpha*fck*(1-(1-EB7/eco)^n),alpha*fck),0)</f>
      </c>
      <c r="EE7" s="20">
        <f>EC7-ED7</f>
      </c>
      <c r="EF7" s="19">
        <f>EE7*$E7</f>
      </c>
      <c r="EG7" s="19">
        <f>EF7*$D7</f>
      </c>
      <c r="EH7" s="19">
        <f>EF7*$C7</f>
      </c>
      <c r="EI7" s="37">
        <f>PM_Angle!$J$26+PM_Angle!$K$26*$D7+PM_Angle!$L$26*$C7</f>
      </c>
      <c r="EJ7" s="20">
        <f>MAX(MIN(Es*EI7,fy),-fy)</f>
      </c>
      <c r="EK7" s="20">
        <f>IF(EI7&gt;0,IF(EI7&lt;=eco,alpha*fck*(1-(1-EI7/eco)^n),alpha*fck),0)</f>
      </c>
      <c r="EL7" s="20">
        <f>EJ7-EK7</f>
      </c>
      <c r="EM7" s="19">
        <f>EL7*$E7</f>
      </c>
      <c r="EN7" s="19">
        <f>EM7*$D7</f>
      </c>
      <c r="EO7" s="19">
        <f>EM7*$C7</f>
      </c>
      <c r="EP7" s="37">
        <f>PM_Angle!$J$27+PM_Angle!$K$27*$D7+PM_Angle!$L$27*$C7</f>
      </c>
      <c r="EQ7" s="20">
        <f>MAX(MIN(Es*EP7,fy),-fy)</f>
      </c>
      <c r="ER7" s="20">
        <f>IF(EP7&gt;0,IF(EP7&lt;=eco,alpha*fck*(1-(1-EP7/eco)^n),alpha*fck),0)</f>
      </c>
      <c r="ES7" s="20">
        <f>EQ7-ER7</f>
      </c>
      <c r="ET7" s="19">
        <f>ES7*$E7</f>
      </c>
      <c r="EU7" s="19">
        <f>ET7*$D7</f>
      </c>
      <c r="EV7" s="19">
        <f>ET7*$C7</f>
      </c>
      <c r="EW7" s="37">
        <f>PM_Angle!$J$28+PM_Angle!$K$28*$D7+PM_Angle!$L$28*$C7</f>
      </c>
      <c r="EX7" s="20">
        <f>MAX(MIN(Es*EW7,fy),-fy)</f>
      </c>
      <c r="EY7" s="20">
        <f>IF(EW7&gt;0,IF(EW7&lt;=eco,alpha*fck*(1-(1-EW7/eco)^n),alpha*fck),0)</f>
      </c>
      <c r="EZ7" s="20">
        <f>EX7-EY7</f>
      </c>
      <c r="FA7" s="19">
        <f>EZ7*$E7</f>
      </c>
      <c r="FB7" s="19">
        <f>FA7*$D7</f>
      </c>
      <c r="FC7" s="19">
        <f>FA7*$C7</f>
      </c>
      <c r="FD7" s="37">
        <f>PM_Angle!$J$29+PM_Angle!$K$29*$D7+PM_Angle!$L$29*$C7</f>
      </c>
      <c r="FE7" s="20">
        <f>MAX(MIN(Es*FD7,fy),-fy)</f>
      </c>
      <c r="FF7" s="20">
        <f>IF(FD7&gt;0,IF(FD7&lt;=eco,alpha*fck*(1-(1-FD7/eco)^n),alpha*fck),0)</f>
      </c>
      <c r="FG7" s="20">
        <f>FE7-FF7</f>
      </c>
      <c r="FH7" s="19">
        <f>FG7*$E7</f>
      </c>
      <c r="FI7" s="19">
        <f>FH7*$D7</f>
      </c>
      <c r="FJ7" s="19">
        <f>FH7*$C7</f>
      </c>
      <c r="FK7" s="37">
        <f>PM_Angle!$J$30+PM_Angle!$K$30*$D7+PM_Angle!$L$30*$C7</f>
      </c>
      <c r="FL7" s="20">
        <f>MAX(MIN(Es*FK7,fy),-fy)</f>
      </c>
      <c r="FM7" s="20">
        <f>IF(FK7&gt;0,IF(FK7&lt;=eco,alpha*fck*(1-(1-FK7/eco)^n),alpha*fck),0)</f>
      </c>
      <c r="FN7" s="20">
        <f>FL7-FM7</f>
      </c>
      <c r="FO7" s="19">
        <f>FN7*$E7</f>
      </c>
      <c r="FP7" s="19">
        <f>FO7*$D7</f>
      </c>
      <c r="FQ7" s="19">
        <f>FO7*$C7</f>
      </c>
      <c r="FR7" s="37">
        <f>PM_Angle!$J$31+PM_Angle!$K$31*$D7+PM_Angle!$L$31*$C7</f>
      </c>
      <c r="FS7" s="20">
        <f>MAX(MIN(Es*FR7,fy),-fy)</f>
      </c>
      <c r="FT7" s="20">
        <f>IF(FR7&gt;0,IF(FR7&lt;=eco,alpha*fck*(1-(1-FR7/eco)^n),alpha*fck),0)</f>
      </c>
      <c r="FU7" s="20">
        <f>FS7-FT7</f>
      </c>
      <c r="FV7" s="19">
        <f>FU7*$E7</f>
      </c>
      <c r="FW7" s="19">
        <f>FV7*$D7</f>
      </c>
      <c r="FX7" s="19">
        <f>FV7*$C7</f>
      </c>
      <c r="FY7" s="37">
        <f>PM_Angle!$J$32+PM_Angle!$K$32*$D7+PM_Angle!$L$32*$C7</f>
      </c>
      <c r="FZ7" s="20">
        <f>MAX(MIN(Es*FY7,fy),-fy)</f>
      </c>
      <c r="GA7" s="20">
        <f>IF(FY7&gt;0,IF(FY7&lt;=eco,alpha*fck*(1-(1-FY7/eco)^n),alpha*fck),0)</f>
      </c>
      <c r="GB7" s="20">
        <f>FZ7-GA7</f>
      </c>
      <c r="GC7" s="19">
        <f>GB7*$E7</f>
      </c>
      <c r="GD7" s="19">
        <f>GC7*$D7</f>
      </c>
      <c r="GE7" s="19">
        <f>GC7*$C7</f>
      </c>
      <c r="GF7" s="37">
        <f>PM_Angle!$J$33+PM_Angle!$K$33*$D7+PM_Angle!$L$33*$C7</f>
      </c>
      <c r="GG7" s="20">
        <f>MAX(MIN(Es*GF7,fy),-fy)</f>
      </c>
      <c r="GH7" s="20">
        <f>IF(GF7&gt;0,IF(GF7&lt;=eco,alpha*fck*(1-(1-GF7/eco)^n),alpha*fck),0)</f>
      </c>
      <c r="GI7" s="20">
        <f>GG7-GH7</f>
      </c>
      <c r="GJ7" s="19">
        <f>GI7*$E7</f>
      </c>
      <c r="GK7" s="19">
        <f>GJ7*$D7</f>
      </c>
      <c r="GL7" s="19">
        <f>GJ7*$C7</f>
      </c>
      <c r="GM7" s="37">
        <f>Eq_e0+Eq_kx*$D7+Eq_ky*$C7</f>
      </c>
      <c r="GN7" s="20">
        <f>MAX(MIN(Es*GM7,fy),-fy)</f>
      </c>
      <c r="GO7" s="20">
        <f>IF(GM7&gt;0,IF(GM7&lt;=eco,alpha*fck*(1-(1-GM7/eco)^n),alpha*fck),0)</f>
      </c>
      <c r="GP7" s="20">
        <f>GN7-GO7</f>
      </c>
      <c r="GQ7" s="19">
        <f>GP7*$E7</f>
      </c>
      <c r="GR7" s="19">
        <f>GQ7*$D7</f>
      </c>
      <c r="GS7" s="19">
        <f>GQ7*$C7</f>
      </c>
    </row>
    <row r="8" spans="1:201" x14ac:dyDescent="0.25">
      <c r="A8">
        <v>2</v>
      </c>
      <c r="B8" s="20">
        <f>Geometry!C43</f>
      </c>
      <c r="C8" s="20">
        <f>Geometry!D43</f>
      </c>
      <c r="D8" s="20">
        <f>Geometry!E43</f>
      </c>
      <c r="E8" s="20">
        <f>Geometry!F43</f>
      </c>
      <c r="F8" s="37">
        <f>PM_Angle!$J$7+PM_Angle!$K$7*$D8+PM_Angle!$L$7*$C8</f>
      </c>
      <c r="G8" s="20">
        <f>MAX(MIN(Es*F8,fy),-fy)</f>
      </c>
      <c r="H8" s="20">
        <f>IF(F8&gt;0,IF(F8&lt;=eco,alpha*fck*(1-(1-F8/eco)^n),alpha*fck),0)</f>
      </c>
      <c r="I8" s="20">
        <f>G8-H8</f>
      </c>
      <c r="J8" s="19">
        <f>I8*$E8</f>
      </c>
      <c r="K8" s="19">
        <f>J8*$D8</f>
      </c>
      <c r="L8" s="19">
        <f>J8*$C8</f>
      </c>
      <c r="M8" s="37">
        <f>PM_Angle!$J$8+PM_Angle!$K$8*$D8+PM_Angle!$L$8*$C8</f>
      </c>
      <c r="N8" s="20">
        <f>MAX(MIN(Es*M8,fy),-fy)</f>
      </c>
      <c r="O8" s="20">
        <f>IF(M8&gt;0,IF(M8&lt;=eco,alpha*fck*(1-(1-M8/eco)^n),alpha*fck),0)</f>
      </c>
      <c r="P8" s="20">
        <f>N8-O8</f>
      </c>
      <c r="Q8" s="19">
        <f>P8*$E8</f>
      </c>
      <c r="R8" s="19">
        <f>Q8*$D8</f>
      </c>
      <c r="S8" s="19">
        <f>Q8*$C8</f>
      </c>
      <c r="T8" s="37">
        <f>PM_Angle!$J$9+PM_Angle!$K$9*$D8+PM_Angle!$L$9*$C8</f>
      </c>
      <c r="U8" s="20">
        <f>MAX(MIN(Es*T8,fy),-fy)</f>
      </c>
      <c r="V8" s="20">
        <f>IF(T8&gt;0,IF(T8&lt;=eco,alpha*fck*(1-(1-T8/eco)^n),alpha*fck),0)</f>
      </c>
      <c r="W8" s="20">
        <f>U8-V8</f>
      </c>
      <c r="X8" s="19">
        <f>W8*$E8</f>
      </c>
      <c r="Y8" s="19">
        <f>X8*$D8</f>
      </c>
      <c r="Z8" s="19">
        <f>X8*$C8</f>
      </c>
      <c r="AA8" s="37">
        <f>PM_Angle!$J$10+PM_Angle!$K$10*$D8+PM_Angle!$L$10*$C8</f>
      </c>
      <c r="AB8" s="20">
        <f>MAX(MIN(Es*AA8,fy),-fy)</f>
      </c>
      <c r="AC8" s="20">
        <f>IF(AA8&gt;0,IF(AA8&lt;=eco,alpha*fck*(1-(1-AA8/eco)^n),alpha*fck),0)</f>
      </c>
      <c r="AD8" s="20">
        <f>AB8-AC8</f>
      </c>
      <c r="AE8" s="19">
        <f>AD8*$E8</f>
      </c>
      <c r="AF8" s="19">
        <f>AE8*$D8</f>
      </c>
      <c r="AG8" s="19">
        <f>AE8*$C8</f>
      </c>
      <c r="AH8" s="37">
        <f>PM_Angle!$J$11+PM_Angle!$K$11*$D8+PM_Angle!$L$11*$C8</f>
      </c>
      <c r="AI8" s="20">
        <f>MAX(MIN(Es*AH8,fy),-fy)</f>
      </c>
      <c r="AJ8" s="20">
        <f>IF(AH8&gt;0,IF(AH8&lt;=eco,alpha*fck*(1-(1-AH8/eco)^n),alpha*fck),0)</f>
      </c>
      <c r="AK8" s="20">
        <f>AI8-AJ8</f>
      </c>
      <c r="AL8" s="19">
        <f>AK8*$E8</f>
      </c>
      <c r="AM8" s="19">
        <f>AL8*$D8</f>
      </c>
      <c r="AN8" s="19">
        <f>AL8*$C8</f>
      </c>
      <c r="AO8" s="37">
        <f>PM_Angle!$J$12+PM_Angle!$K$12*$D8+PM_Angle!$L$12*$C8</f>
      </c>
      <c r="AP8" s="20">
        <f>MAX(MIN(Es*AO8,fy),-fy)</f>
      </c>
      <c r="AQ8" s="20">
        <f>IF(AO8&gt;0,IF(AO8&lt;=eco,alpha*fck*(1-(1-AO8/eco)^n),alpha*fck),0)</f>
      </c>
      <c r="AR8" s="20">
        <f>AP8-AQ8</f>
      </c>
      <c r="AS8" s="19">
        <f>AR8*$E8</f>
      </c>
      <c r="AT8" s="19">
        <f>AS8*$D8</f>
      </c>
      <c r="AU8" s="19">
        <f>AS8*$C8</f>
      </c>
      <c r="AV8" s="37">
        <f>PM_Angle!$J$13+PM_Angle!$K$13*$D8+PM_Angle!$L$13*$C8</f>
      </c>
      <c r="AW8" s="20">
        <f>MAX(MIN(Es*AV8,fy),-fy)</f>
      </c>
      <c r="AX8" s="20">
        <f>IF(AV8&gt;0,IF(AV8&lt;=eco,alpha*fck*(1-(1-AV8/eco)^n),alpha*fck),0)</f>
      </c>
      <c r="AY8" s="20">
        <f>AW8-AX8</f>
      </c>
      <c r="AZ8" s="19">
        <f>AY8*$E8</f>
      </c>
      <c r="BA8" s="19">
        <f>AZ8*$D8</f>
      </c>
      <c r="BB8" s="19">
        <f>AZ8*$C8</f>
      </c>
      <c r="BC8" s="37">
        <f>PM_Angle!$J$14+PM_Angle!$K$14*$D8+PM_Angle!$L$14*$C8</f>
      </c>
      <c r="BD8" s="20">
        <f>MAX(MIN(Es*BC8,fy),-fy)</f>
      </c>
      <c r="BE8" s="20">
        <f>IF(BC8&gt;0,IF(BC8&lt;=eco,alpha*fck*(1-(1-BC8/eco)^n),alpha*fck),0)</f>
      </c>
      <c r="BF8" s="20">
        <f>BD8-BE8</f>
      </c>
      <c r="BG8" s="19">
        <f>BF8*$E8</f>
      </c>
      <c r="BH8" s="19">
        <f>BG8*$D8</f>
      </c>
      <c r="BI8" s="19">
        <f>BG8*$C8</f>
      </c>
      <c r="BJ8" s="37">
        <f>PM_Angle!$J$15+PM_Angle!$K$15*$D8+PM_Angle!$L$15*$C8</f>
      </c>
      <c r="BK8" s="20">
        <f>MAX(MIN(Es*BJ8,fy),-fy)</f>
      </c>
      <c r="BL8" s="20">
        <f>IF(BJ8&gt;0,IF(BJ8&lt;=eco,alpha*fck*(1-(1-BJ8/eco)^n),alpha*fck),0)</f>
      </c>
      <c r="BM8" s="20">
        <f>BK8-BL8</f>
      </c>
      <c r="BN8" s="19">
        <f>BM8*$E8</f>
      </c>
      <c r="BO8" s="19">
        <f>BN8*$D8</f>
      </c>
      <c r="BP8" s="19">
        <f>BN8*$C8</f>
      </c>
      <c r="BQ8" s="37">
        <f>PM_Angle!$J$16+PM_Angle!$K$16*$D8+PM_Angle!$L$16*$C8</f>
      </c>
      <c r="BR8" s="20">
        <f>MAX(MIN(Es*BQ8,fy),-fy)</f>
      </c>
      <c r="BS8" s="20">
        <f>IF(BQ8&gt;0,IF(BQ8&lt;=eco,alpha*fck*(1-(1-BQ8/eco)^n),alpha*fck),0)</f>
      </c>
      <c r="BT8" s="20">
        <f>BR8-BS8</f>
      </c>
      <c r="BU8" s="19">
        <f>BT8*$E8</f>
      </c>
      <c r="BV8" s="19">
        <f>BU8*$D8</f>
      </c>
      <c r="BW8" s="19">
        <f>BU8*$C8</f>
      </c>
      <c r="BX8" s="37">
        <f>PM_Angle!$J$17+PM_Angle!$K$17*$D8+PM_Angle!$L$17*$C8</f>
      </c>
      <c r="BY8" s="20">
        <f>MAX(MIN(Es*BX8,fy),-fy)</f>
      </c>
      <c r="BZ8" s="20">
        <f>IF(BX8&gt;0,IF(BX8&lt;=eco,alpha*fck*(1-(1-BX8/eco)^n),alpha*fck),0)</f>
      </c>
      <c r="CA8" s="20">
        <f>BY8-BZ8</f>
      </c>
      <c r="CB8" s="19">
        <f>CA8*$E8</f>
      </c>
      <c r="CC8" s="19">
        <f>CB8*$D8</f>
      </c>
      <c r="CD8" s="19">
        <f>CB8*$C8</f>
      </c>
      <c r="CE8" s="37">
        <f>PM_Angle!$J$18+PM_Angle!$K$18*$D8+PM_Angle!$L$18*$C8</f>
      </c>
      <c r="CF8" s="20">
        <f>MAX(MIN(Es*CE8,fy),-fy)</f>
      </c>
      <c r="CG8" s="20">
        <f>IF(CE8&gt;0,IF(CE8&lt;=eco,alpha*fck*(1-(1-CE8/eco)^n),alpha*fck),0)</f>
      </c>
      <c r="CH8" s="20">
        <f>CF8-CG8</f>
      </c>
      <c r="CI8" s="19">
        <f>CH8*$E8</f>
      </c>
      <c r="CJ8" s="19">
        <f>CI8*$D8</f>
      </c>
      <c r="CK8" s="19">
        <f>CI8*$C8</f>
      </c>
      <c r="CL8" s="37">
        <f>PM_Angle!$J$19+PM_Angle!$K$19*$D8+PM_Angle!$L$19*$C8</f>
      </c>
      <c r="CM8" s="20">
        <f>MAX(MIN(Es*CL8,fy),-fy)</f>
      </c>
      <c r="CN8" s="20">
        <f>IF(CL8&gt;0,IF(CL8&lt;=eco,alpha*fck*(1-(1-CL8/eco)^n),alpha*fck),0)</f>
      </c>
      <c r="CO8" s="20">
        <f>CM8-CN8</f>
      </c>
      <c r="CP8" s="19">
        <f>CO8*$E8</f>
      </c>
      <c r="CQ8" s="19">
        <f>CP8*$D8</f>
      </c>
      <c r="CR8" s="19">
        <f>CP8*$C8</f>
      </c>
      <c r="CS8" s="37">
        <f>PM_Angle!$J$20+PM_Angle!$K$20*$D8+PM_Angle!$L$20*$C8</f>
      </c>
      <c r="CT8" s="20">
        <f>MAX(MIN(Es*CS8,fy),-fy)</f>
      </c>
      <c r="CU8" s="20">
        <f>IF(CS8&gt;0,IF(CS8&lt;=eco,alpha*fck*(1-(1-CS8/eco)^n),alpha*fck),0)</f>
      </c>
      <c r="CV8" s="20">
        <f>CT8-CU8</f>
      </c>
      <c r="CW8" s="19">
        <f>CV8*$E8</f>
      </c>
      <c r="CX8" s="19">
        <f>CW8*$D8</f>
      </c>
      <c r="CY8" s="19">
        <f>CW8*$C8</f>
      </c>
      <c r="CZ8" s="37">
        <f>PM_Angle!$J$21+PM_Angle!$K$21*$D8+PM_Angle!$L$21*$C8</f>
      </c>
      <c r="DA8" s="20">
        <f>MAX(MIN(Es*CZ8,fy),-fy)</f>
      </c>
      <c r="DB8" s="20">
        <f>IF(CZ8&gt;0,IF(CZ8&lt;=eco,alpha*fck*(1-(1-CZ8/eco)^n),alpha*fck),0)</f>
      </c>
      <c r="DC8" s="20">
        <f>DA8-DB8</f>
      </c>
      <c r="DD8" s="19">
        <f>DC8*$E8</f>
      </c>
      <c r="DE8" s="19">
        <f>DD8*$D8</f>
      </c>
      <c r="DF8" s="19">
        <f>DD8*$C8</f>
      </c>
      <c r="DG8" s="37">
        <f>PM_Angle!$J$22+PM_Angle!$K$22*$D8+PM_Angle!$L$22*$C8</f>
      </c>
      <c r="DH8" s="20">
        <f>MAX(MIN(Es*DG8,fy),-fy)</f>
      </c>
      <c r="DI8" s="20">
        <f>IF(DG8&gt;0,IF(DG8&lt;=eco,alpha*fck*(1-(1-DG8/eco)^n),alpha*fck),0)</f>
      </c>
      <c r="DJ8" s="20">
        <f>DH8-DI8</f>
      </c>
      <c r="DK8" s="19">
        <f>DJ8*$E8</f>
      </c>
      <c r="DL8" s="19">
        <f>DK8*$D8</f>
      </c>
      <c r="DM8" s="19">
        <f>DK8*$C8</f>
      </c>
      <c r="DN8" s="37">
        <f>PM_Angle!$J$23+PM_Angle!$K$23*$D8+PM_Angle!$L$23*$C8</f>
      </c>
      <c r="DO8" s="20">
        <f>MAX(MIN(Es*DN8,fy),-fy)</f>
      </c>
      <c r="DP8" s="20">
        <f>IF(DN8&gt;0,IF(DN8&lt;=eco,alpha*fck*(1-(1-DN8/eco)^n),alpha*fck),0)</f>
      </c>
      <c r="DQ8" s="20">
        <f>DO8-DP8</f>
      </c>
      <c r="DR8" s="19">
        <f>DQ8*$E8</f>
      </c>
      <c r="DS8" s="19">
        <f>DR8*$D8</f>
      </c>
      <c r="DT8" s="19">
        <f>DR8*$C8</f>
      </c>
      <c r="DU8" s="37">
        <f>PM_Angle!$J$24+PM_Angle!$K$24*$D8+PM_Angle!$L$24*$C8</f>
      </c>
      <c r="DV8" s="20">
        <f>MAX(MIN(Es*DU8,fy),-fy)</f>
      </c>
      <c r="DW8" s="20">
        <f>IF(DU8&gt;0,IF(DU8&lt;=eco,alpha*fck*(1-(1-DU8/eco)^n),alpha*fck),0)</f>
      </c>
      <c r="DX8" s="20">
        <f>DV8-DW8</f>
      </c>
      <c r="DY8" s="19">
        <f>DX8*$E8</f>
      </c>
      <c r="DZ8" s="19">
        <f>DY8*$D8</f>
      </c>
      <c r="EA8" s="19">
        <f>DY8*$C8</f>
      </c>
      <c r="EB8" s="37">
        <f>PM_Angle!$J$25+PM_Angle!$K$25*$D8+PM_Angle!$L$25*$C8</f>
      </c>
      <c r="EC8" s="20">
        <f>MAX(MIN(Es*EB8,fy),-fy)</f>
      </c>
      <c r="ED8" s="20">
        <f>IF(EB8&gt;0,IF(EB8&lt;=eco,alpha*fck*(1-(1-EB8/eco)^n),alpha*fck),0)</f>
      </c>
      <c r="EE8" s="20">
        <f>EC8-ED8</f>
      </c>
      <c r="EF8" s="19">
        <f>EE8*$E8</f>
      </c>
      <c r="EG8" s="19">
        <f>EF8*$D8</f>
      </c>
      <c r="EH8" s="19">
        <f>EF8*$C8</f>
      </c>
      <c r="EI8" s="37">
        <f>PM_Angle!$J$26+PM_Angle!$K$26*$D8+PM_Angle!$L$26*$C8</f>
      </c>
      <c r="EJ8" s="20">
        <f>MAX(MIN(Es*EI8,fy),-fy)</f>
      </c>
      <c r="EK8" s="20">
        <f>IF(EI8&gt;0,IF(EI8&lt;=eco,alpha*fck*(1-(1-EI8/eco)^n),alpha*fck),0)</f>
      </c>
      <c r="EL8" s="20">
        <f>EJ8-EK8</f>
      </c>
      <c r="EM8" s="19">
        <f>EL8*$E8</f>
      </c>
      <c r="EN8" s="19">
        <f>EM8*$D8</f>
      </c>
      <c r="EO8" s="19">
        <f>EM8*$C8</f>
      </c>
      <c r="EP8" s="37">
        <f>PM_Angle!$J$27+PM_Angle!$K$27*$D8+PM_Angle!$L$27*$C8</f>
      </c>
      <c r="EQ8" s="20">
        <f>MAX(MIN(Es*EP8,fy),-fy)</f>
      </c>
      <c r="ER8" s="20">
        <f>IF(EP8&gt;0,IF(EP8&lt;=eco,alpha*fck*(1-(1-EP8/eco)^n),alpha*fck),0)</f>
      </c>
      <c r="ES8" s="20">
        <f>EQ8-ER8</f>
      </c>
      <c r="ET8" s="19">
        <f>ES8*$E8</f>
      </c>
      <c r="EU8" s="19">
        <f>ET8*$D8</f>
      </c>
      <c r="EV8" s="19">
        <f>ET8*$C8</f>
      </c>
      <c r="EW8" s="37">
        <f>PM_Angle!$J$28+PM_Angle!$K$28*$D8+PM_Angle!$L$28*$C8</f>
      </c>
      <c r="EX8" s="20">
        <f>MAX(MIN(Es*EW8,fy),-fy)</f>
      </c>
      <c r="EY8" s="20">
        <f>IF(EW8&gt;0,IF(EW8&lt;=eco,alpha*fck*(1-(1-EW8/eco)^n),alpha*fck),0)</f>
      </c>
      <c r="EZ8" s="20">
        <f>EX8-EY8</f>
      </c>
      <c r="FA8" s="19">
        <f>EZ8*$E8</f>
      </c>
      <c r="FB8" s="19">
        <f>FA8*$D8</f>
      </c>
      <c r="FC8" s="19">
        <f>FA8*$C8</f>
      </c>
      <c r="FD8" s="37">
        <f>PM_Angle!$J$29+PM_Angle!$K$29*$D8+PM_Angle!$L$29*$C8</f>
      </c>
      <c r="FE8" s="20">
        <f>MAX(MIN(Es*FD8,fy),-fy)</f>
      </c>
      <c r="FF8" s="20">
        <f>IF(FD8&gt;0,IF(FD8&lt;=eco,alpha*fck*(1-(1-FD8/eco)^n),alpha*fck),0)</f>
      </c>
      <c r="FG8" s="20">
        <f>FE8-FF8</f>
      </c>
      <c r="FH8" s="19">
        <f>FG8*$E8</f>
      </c>
      <c r="FI8" s="19">
        <f>FH8*$D8</f>
      </c>
      <c r="FJ8" s="19">
        <f>FH8*$C8</f>
      </c>
      <c r="FK8" s="37">
        <f>PM_Angle!$J$30+PM_Angle!$K$30*$D8+PM_Angle!$L$30*$C8</f>
      </c>
      <c r="FL8" s="20">
        <f>MAX(MIN(Es*FK8,fy),-fy)</f>
      </c>
      <c r="FM8" s="20">
        <f>IF(FK8&gt;0,IF(FK8&lt;=eco,alpha*fck*(1-(1-FK8/eco)^n),alpha*fck),0)</f>
      </c>
      <c r="FN8" s="20">
        <f>FL8-FM8</f>
      </c>
      <c r="FO8" s="19">
        <f>FN8*$E8</f>
      </c>
      <c r="FP8" s="19">
        <f>FO8*$D8</f>
      </c>
      <c r="FQ8" s="19">
        <f>FO8*$C8</f>
      </c>
      <c r="FR8" s="37">
        <f>PM_Angle!$J$31+PM_Angle!$K$31*$D8+PM_Angle!$L$31*$C8</f>
      </c>
      <c r="FS8" s="20">
        <f>MAX(MIN(Es*FR8,fy),-fy)</f>
      </c>
      <c r="FT8" s="20">
        <f>IF(FR8&gt;0,IF(FR8&lt;=eco,alpha*fck*(1-(1-FR8/eco)^n),alpha*fck),0)</f>
      </c>
      <c r="FU8" s="20">
        <f>FS8-FT8</f>
      </c>
      <c r="FV8" s="19">
        <f>FU8*$E8</f>
      </c>
      <c r="FW8" s="19">
        <f>FV8*$D8</f>
      </c>
      <c r="FX8" s="19">
        <f>FV8*$C8</f>
      </c>
      <c r="FY8" s="37">
        <f>PM_Angle!$J$32+PM_Angle!$K$32*$D8+PM_Angle!$L$32*$C8</f>
      </c>
      <c r="FZ8" s="20">
        <f>MAX(MIN(Es*FY8,fy),-fy)</f>
      </c>
      <c r="GA8" s="20">
        <f>IF(FY8&gt;0,IF(FY8&lt;=eco,alpha*fck*(1-(1-FY8/eco)^n),alpha*fck),0)</f>
      </c>
      <c r="GB8" s="20">
        <f>FZ8-GA8</f>
      </c>
      <c r="GC8" s="19">
        <f>GB8*$E8</f>
      </c>
      <c r="GD8" s="19">
        <f>GC8*$D8</f>
      </c>
      <c r="GE8" s="19">
        <f>GC8*$C8</f>
      </c>
      <c r="GF8" s="37">
        <f>PM_Angle!$J$33+PM_Angle!$K$33*$D8+PM_Angle!$L$33*$C8</f>
      </c>
      <c r="GG8" s="20">
        <f>MAX(MIN(Es*GF8,fy),-fy)</f>
      </c>
      <c r="GH8" s="20">
        <f>IF(GF8&gt;0,IF(GF8&lt;=eco,alpha*fck*(1-(1-GF8/eco)^n),alpha*fck),0)</f>
      </c>
      <c r="GI8" s="20">
        <f>GG8-GH8</f>
      </c>
      <c r="GJ8" s="19">
        <f>GI8*$E8</f>
      </c>
      <c r="GK8" s="19">
        <f>GJ8*$D8</f>
      </c>
      <c r="GL8" s="19">
        <f>GJ8*$C8</f>
      </c>
      <c r="GM8" s="37">
        <f>Eq_e0+Eq_kx*$D8+Eq_ky*$C8</f>
      </c>
      <c r="GN8" s="20">
        <f>MAX(MIN(Es*GM8,fy),-fy)</f>
      </c>
      <c r="GO8" s="20">
        <f>IF(GM8&gt;0,IF(GM8&lt;=eco,alpha*fck*(1-(1-GM8/eco)^n),alpha*fck),0)</f>
      </c>
      <c r="GP8" s="20">
        <f>GN8-GO8</f>
      </c>
      <c r="GQ8" s="19">
        <f>GP8*$E8</f>
      </c>
      <c r="GR8" s="19">
        <f>GQ8*$D8</f>
      </c>
      <c r="GS8" s="19">
        <f>GQ8*$C8</f>
      </c>
    </row>
    <row r="9" spans="1:201" x14ac:dyDescent="0.25">
      <c r="A9">
        <v>3</v>
      </c>
      <c r="B9" s="20">
        <f>Geometry!C44</f>
      </c>
      <c r="C9" s="20">
        <f>Geometry!D44</f>
      </c>
      <c r="D9" s="20">
        <f>Geometry!E44</f>
      </c>
      <c r="E9" s="20">
        <f>Geometry!F44</f>
      </c>
      <c r="F9" s="37">
        <f>PM_Angle!$J$7+PM_Angle!$K$7*$D9+PM_Angle!$L$7*$C9</f>
      </c>
      <c r="G9" s="20">
        <f>MAX(MIN(Es*F9,fy),-fy)</f>
      </c>
      <c r="H9" s="20">
        <f>IF(F9&gt;0,IF(F9&lt;=eco,alpha*fck*(1-(1-F9/eco)^n),alpha*fck),0)</f>
      </c>
      <c r="I9" s="20">
        <f>G9-H9</f>
      </c>
      <c r="J9" s="19">
        <f>I9*$E9</f>
      </c>
      <c r="K9" s="19">
        <f>J9*$D9</f>
      </c>
      <c r="L9" s="19">
        <f>J9*$C9</f>
      </c>
      <c r="M9" s="37">
        <f>PM_Angle!$J$8+PM_Angle!$K$8*$D9+PM_Angle!$L$8*$C9</f>
      </c>
      <c r="N9" s="20">
        <f>MAX(MIN(Es*M9,fy),-fy)</f>
      </c>
      <c r="O9" s="20">
        <f>IF(M9&gt;0,IF(M9&lt;=eco,alpha*fck*(1-(1-M9/eco)^n),alpha*fck),0)</f>
      </c>
      <c r="P9" s="20">
        <f>N9-O9</f>
      </c>
      <c r="Q9" s="19">
        <f>P9*$E9</f>
      </c>
      <c r="R9" s="19">
        <f>Q9*$D9</f>
      </c>
      <c r="S9" s="19">
        <f>Q9*$C9</f>
      </c>
      <c r="T9" s="37">
        <f>PM_Angle!$J$9+PM_Angle!$K$9*$D9+PM_Angle!$L$9*$C9</f>
      </c>
      <c r="U9" s="20">
        <f>MAX(MIN(Es*T9,fy),-fy)</f>
      </c>
      <c r="V9" s="20">
        <f>IF(T9&gt;0,IF(T9&lt;=eco,alpha*fck*(1-(1-T9/eco)^n),alpha*fck),0)</f>
      </c>
      <c r="W9" s="20">
        <f>U9-V9</f>
      </c>
      <c r="X9" s="19">
        <f>W9*$E9</f>
      </c>
      <c r="Y9" s="19">
        <f>X9*$D9</f>
      </c>
      <c r="Z9" s="19">
        <f>X9*$C9</f>
      </c>
      <c r="AA9" s="37">
        <f>PM_Angle!$J$10+PM_Angle!$K$10*$D9+PM_Angle!$L$10*$C9</f>
      </c>
      <c r="AB9" s="20">
        <f>MAX(MIN(Es*AA9,fy),-fy)</f>
      </c>
      <c r="AC9" s="20">
        <f>IF(AA9&gt;0,IF(AA9&lt;=eco,alpha*fck*(1-(1-AA9/eco)^n),alpha*fck),0)</f>
      </c>
      <c r="AD9" s="20">
        <f>AB9-AC9</f>
      </c>
      <c r="AE9" s="19">
        <f>AD9*$E9</f>
      </c>
      <c r="AF9" s="19">
        <f>AE9*$D9</f>
      </c>
      <c r="AG9" s="19">
        <f>AE9*$C9</f>
      </c>
      <c r="AH9" s="37">
        <f>PM_Angle!$J$11+PM_Angle!$K$11*$D9+PM_Angle!$L$11*$C9</f>
      </c>
      <c r="AI9" s="20">
        <f>MAX(MIN(Es*AH9,fy),-fy)</f>
      </c>
      <c r="AJ9" s="20">
        <f>IF(AH9&gt;0,IF(AH9&lt;=eco,alpha*fck*(1-(1-AH9/eco)^n),alpha*fck),0)</f>
      </c>
      <c r="AK9" s="20">
        <f>AI9-AJ9</f>
      </c>
      <c r="AL9" s="19">
        <f>AK9*$E9</f>
      </c>
      <c r="AM9" s="19">
        <f>AL9*$D9</f>
      </c>
      <c r="AN9" s="19">
        <f>AL9*$C9</f>
      </c>
      <c r="AO9" s="37">
        <f>PM_Angle!$J$12+PM_Angle!$K$12*$D9+PM_Angle!$L$12*$C9</f>
      </c>
      <c r="AP9" s="20">
        <f>MAX(MIN(Es*AO9,fy),-fy)</f>
      </c>
      <c r="AQ9" s="20">
        <f>IF(AO9&gt;0,IF(AO9&lt;=eco,alpha*fck*(1-(1-AO9/eco)^n),alpha*fck),0)</f>
      </c>
      <c r="AR9" s="20">
        <f>AP9-AQ9</f>
      </c>
      <c r="AS9" s="19">
        <f>AR9*$E9</f>
      </c>
      <c r="AT9" s="19">
        <f>AS9*$D9</f>
      </c>
      <c r="AU9" s="19">
        <f>AS9*$C9</f>
      </c>
      <c r="AV9" s="37">
        <f>PM_Angle!$J$13+PM_Angle!$K$13*$D9+PM_Angle!$L$13*$C9</f>
      </c>
      <c r="AW9" s="20">
        <f>MAX(MIN(Es*AV9,fy),-fy)</f>
      </c>
      <c r="AX9" s="20">
        <f>IF(AV9&gt;0,IF(AV9&lt;=eco,alpha*fck*(1-(1-AV9/eco)^n),alpha*fck),0)</f>
      </c>
      <c r="AY9" s="20">
        <f>AW9-AX9</f>
      </c>
      <c r="AZ9" s="19">
        <f>AY9*$E9</f>
      </c>
      <c r="BA9" s="19">
        <f>AZ9*$D9</f>
      </c>
      <c r="BB9" s="19">
        <f>AZ9*$C9</f>
      </c>
      <c r="BC9" s="37">
        <f>PM_Angle!$J$14+PM_Angle!$K$14*$D9+PM_Angle!$L$14*$C9</f>
      </c>
      <c r="BD9" s="20">
        <f>MAX(MIN(Es*BC9,fy),-fy)</f>
      </c>
      <c r="BE9" s="20">
        <f>IF(BC9&gt;0,IF(BC9&lt;=eco,alpha*fck*(1-(1-BC9/eco)^n),alpha*fck),0)</f>
      </c>
      <c r="BF9" s="20">
        <f>BD9-BE9</f>
      </c>
      <c r="BG9" s="19">
        <f>BF9*$E9</f>
      </c>
      <c r="BH9" s="19">
        <f>BG9*$D9</f>
      </c>
      <c r="BI9" s="19">
        <f>BG9*$C9</f>
      </c>
      <c r="BJ9" s="37">
        <f>PM_Angle!$J$15+PM_Angle!$K$15*$D9+PM_Angle!$L$15*$C9</f>
      </c>
      <c r="BK9" s="20">
        <f>MAX(MIN(Es*BJ9,fy),-fy)</f>
      </c>
      <c r="BL9" s="20">
        <f>IF(BJ9&gt;0,IF(BJ9&lt;=eco,alpha*fck*(1-(1-BJ9/eco)^n),alpha*fck),0)</f>
      </c>
      <c r="BM9" s="20">
        <f>BK9-BL9</f>
      </c>
      <c r="BN9" s="19">
        <f>BM9*$E9</f>
      </c>
      <c r="BO9" s="19">
        <f>BN9*$D9</f>
      </c>
      <c r="BP9" s="19">
        <f>BN9*$C9</f>
      </c>
      <c r="BQ9" s="37">
        <f>PM_Angle!$J$16+PM_Angle!$K$16*$D9+PM_Angle!$L$16*$C9</f>
      </c>
      <c r="BR9" s="20">
        <f>MAX(MIN(Es*BQ9,fy),-fy)</f>
      </c>
      <c r="BS9" s="20">
        <f>IF(BQ9&gt;0,IF(BQ9&lt;=eco,alpha*fck*(1-(1-BQ9/eco)^n),alpha*fck),0)</f>
      </c>
      <c r="BT9" s="20">
        <f>BR9-BS9</f>
      </c>
      <c r="BU9" s="19">
        <f>BT9*$E9</f>
      </c>
      <c r="BV9" s="19">
        <f>BU9*$D9</f>
      </c>
      <c r="BW9" s="19">
        <f>BU9*$C9</f>
      </c>
      <c r="BX9" s="37">
        <f>PM_Angle!$J$17+PM_Angle!$K$17*$D9+PM_Angle!$L$17*$C9</f>
      </c>
      <c r="BY9" s="20">
        <f>MAX(MIN(Es*BX9,fy),-fy)</f>
      </c>
      <c r="BZ9" s="20">
        <f>IF(BX9&gt;0,IF(BX9&lt;=eco,alpha*fck*(1-(1-BX9/eco)^n),alpha*fck),0)</f>
      </c>
      <c r="CA9" s="20">
        <f>BY9-BZ9</f>
      </c>
      <c r="CB9" s="19">
        <f>CA9*$E9</f>
      </c>
      <c r="CC9" s="19">
        <f>CB9*$D9</f>
      </c>
      <c r="CD9" s="19">
        <f>CB9*$C9</f>
      </c>
      <c r="CE9" s="37">
        <f>PM_Angle!$J$18+PM_Angle!$K$18*$D9+PM_Angle!$L$18*$C9</f>
      </c>
      <c r="CF9" s="20">
        <f>MAX(MIN(Es*CE9,fy),-fy)</f>
      </c>
      <c r="CG9" s="20">
        <f>IF(CE9&gt;0,IF(CE9&lt;=eco,alpha*fck*(1-(1-CE9/eco)^n),alpha*fck),0)</f>
      </c>
      <c r="CH9" s="20">
        <f>CF9-CG9</f>
      </c>
      <c r="CI9" s="19">
        <f>CH9*$E9</f>
      </c>
      <c r="CJ9" s="19">
        <f>CI9*$D9</f>
      </c>
      <c r="CK9" s="19">
        <f>CI9*$C9</f>
      </c>
      <c r="CL9" s="37">
        <f>PM_Angle!$J$19+PM_Angle!$K$19*$D9+PM_Angle!$L$19*$C9</f>
      </c>
      <c r="CM9" s="20">
        <f>MAX(MIN(Es*CL9,fy),-fy)</f>
      </c>
      <c r="CN9" s="20">
        <f>IF(CL9&gt;0,IF(CL9&lt;=eco,alpha*fck*(1-(1-CL9/eco)^n),alpha*fck),0)</f>
      </c>
      <c r="CO9" s="20">
        <f>CM9-CN9</f>
      </c>
      <c r="CP9" s="19">
        <f>CO9*$E9</f>
      </c>
      <c r="CQ9" s="19">
        <f>CP9*$D9</f>
      </c>
      <c r="CR9" s="19">
        <f>CP9*$C9</f>
      </c>
      <c r="CS9" s="37">
        <f>PM_Angle!$J$20+PM_Angle!$K$20*$D9+PM_Angle!$L$20*$C9</f>
      </c>
      <c r="CT9" s="20">
        <f>MAX(MIN(Es*CS9,fy),-fy)</f>
      </c>
      <c r="CU9" s="20">
        <f>IF(CS9&gt;0,IF(CS9&lt;=eco,alpha*fck*(1-(1-CS9/eco)^n),alpha*fck),0)</f>
      </c>
      <c r="CV9" s="20">
        <f>CT9-CU9</f>
      </c>
      <c r="CW9" s="19">
        <f>CV9*$E9</f>
      </c>
      <c r="CX9" s="19">
        <f>CW9*$D9</f>
      </c>
      <c r="CY9" s="19">
        <f>CW9*$C9</f>
      </c>
      <c r="CZ9" s="37">
        <f>PM_Angle!$J$21+PM_Angle!$K$21*$D9+PM_Angle!$L$21*$C9</f>
      </c>
      <c r="DA9" s="20">
        <f>MAX(MIN(Es*CZ9,fy),-fy)</f>
      </c>
      <c r="DB9" s="20">
        <f>IF(CZ9&gt;0,IF(CZ9&lt;=eco,alpha*fck*(1-(1-CZ9/eco)^n),alpha*fck),0)</f>
      </c>
      <c r="DC9" s="20">
        <f>DA9-DB9</f>
      </c>
      <c r="DD9" s="19">
        <f>DC9*$E9</f>
      </c>
      <c r="DE9" s="19">
        <f>DD9*$D9</f>
      </c>
      <c r="DF9" s="19">
        <f>DD9*$C9</f>
      </c>
      <c r="DG9" s="37">
        <f>PM_Angle!$J$22+PM_Angle!$K$22*$D9+PM_Angle!$L$22*$C9</f>
      </c>
      <c r="DH9" s="20">
        <f>MAX(MIN(Es*DG9,fy),-fy)</f>
      </c>
      <c r="DI9" s="20">
        <f>IF(DG9&gt;0,IF(DG9&lt;=eco,alpha*fck*(1-(1-DG9/eco)^n),alpha*fck),0)</f>
      </c>
      <c r="DJ9" s="20">
        <f>DH9-DI9</f>
      </c>
      <c r="DK9" s="19">
        <f>DJ9*$E9</f>
      </c>
      <c r="DL9" s="19">
        <f>DK9*$D9</f>
      </c>
      <c r="DM9" s="19">
        <f>DK9*$C9</f>
      </c>
      <c r="DN9" s="37">
        <f>PM_Angle!$J$23+PM_Angle!$K$23*$D9+PM_Angle!$L$23*$C9</f>
      </c>
      <c r="DO9" s="20">
        <f>MAX(MIN(Es*DN9,fy),-fy)</f>
      </c>
      <c r="DP9" s="20">
        <f>IF(DN9&gt;0,IF(DN9&lt;=eco,alpha*fck*(1-(1-DN9/eco)^n),alpha*fck),0)</f>
      </c>
      <c r="DQ9" s="20">
        <f>DO9-DP9</f>
      </c>
      <c r="DR9" s="19">
        <f>DQ9*$E9</f>
      </c>
      <c r="DS9" s="19">
        <f>DR9*$D9</f>
      </c>
      <c r="DT9" s="19">
        <f>DR9*$C9</f>
      </c>
      <c r="DU9" s="37">
        <f>PM_Angle!$J$24+PM_Angle!$K$24*$D9+PM_Angle!$L$24*$C9</f>
      </c>
      <c r="DV9" s="20">
        <f>MAX(MIN(Es*DU9,fy),-fy)</f>
      </c>
      <c r="DW9" s="20">
        <f>IF(DU9&gt;0,IF(DU9&lt;=eco,alpha*fck*(1-(1-DU9/eco)^n),alpha*fck),0)</f>
      </c>
      <c r="DX9" s="20">
        <f>DV9-DW9</f>
      </c>
      <c r="DY9" s="19">
        <f>DX9*$E9</f>
      </c>
      <c r="DZ9" s="19">
        <f>DY9*$D9</f>
      </c>
      <c r="EA9" s="19">
        <f>DY9*$C9</f>
      </c>
      <c r="EB9" s="37">
        <f>PM_Angle!$J$25+PM_Angle!$K$25*$D9+PM_Angle!$L$25*$C9</f>
      </c>
      <c r="EC9" s="20">
        <f>MAX(MIN(Es*EB9,fy),-fy)</f>
      </c>
      <c r="ED9" s="20">
        <f>IF(EB9&gt;0,IF(EB9&lt;=eco,alpha*fck*(1-(1-EB9/eco)^n),alpha*fck),0)</f>
      </c>
      <c r="EE9" s="20">
        <f>EC9-ED9</f>
      </c>
      <c r="EF9" s="19">
        <f>EE9*$E9</f>
      </c>
      <c r="EG9" s="19">
        <f>EF9*$D9</f>
      </c>
      <c r="EH9" s="19">
        <f>EF9*$C9</f>
      </c>
      <c r="EI9" s="37">
        <f>PM_Angle!$J$26+PM_Angle!$K$26*$D9+PM_Angle!$L$26*$C9</f>
      </c>
      <c r="EJ9" s="20">
        <f>MAX(MIN(Es*EI9,fy),-fy)</f>
      </c>
      <c r="EK9" s="20">
        <f>IF(EI9&gt;0,IF(EI9&lt;=eco,alpha*fck*(1-(1-EI9/eco)^n),alpha*fck),0)</f>
      </c>
      <c r="EL9" s="20">
        <f>EJ9-EK9</f>
      </c>
      <c r="EM9" s="19">
        <f>EL9*$E9</f>
      </c>
      <c r="EN9" s="19">
        <f>EM9*$D9</f>
      </c>
      <c r="EO9" s="19">
        <f>EM9*$C9</f>
      </c>
      <c r="EP9" s="37">
        <f>PM_Angle!$J$27+PM_Angle!$K$27*$D9+PM_Angle!$L$27*$C9</f>
      </c>
      <c r="EQ9" s="20">
        <f>MAX(MIN(Es*EP9,fy),-fy)</f>
      </c>
      <c r="ER9" s="20">
        <f>IF(EP9&gt;0,IF(EP9&lt;=eco,alpha*fck*(1-(1-EP9/eco)^n),alpha*fck),0)</f>
      </c>
      <c r="ES9" s="20">
        <f>EQ9-ER9</f>
      </c>
      <c r="ET9" s="19">
        <f>ES9*$E9</f>
      </c>
      <c r="EU9" s="19">
        <f>ET9*$D9</f>
      </c>
      <c r="EV9" s="19">
        <f>ET9*$C9</f>
      </c>
      <c r="EW9" s="37">
        <f>PM_Angle!$J$28+PM_Angle!$K$28*$D9+PM_Angle!$L$28*$C9</f>
      </c>
      <c r="EX9" s="20">
        <f>MAX(MIN(Es*EW9,fy),-fy)</f>
      </c>
      <c r="EY9" s="20">
        <f>IF(EW9&gt;0,IF(EW9&lt;=eco,alpha*fck*(1-(1-EW9/eco)^n),alpha*fck),0)</f>
      </c>
      <c r="EZ9" s="20">
        <f>EX9-EY9</f>
      </c>
      <c r="FA9" s="19">
        <f>EZ9*$E9</f>
      </c>
      <c r="FB9" s="19">
        <f>FA9*$D9</f>
      </c>
      <c r="FC9" s="19">
        <f>FA9*$C9</f>
      </c>
      <c r="FD9" s="37">
        <f>PM_Angle!$J$29+PM_Angle!$K$29*$D9+PM_Angle!$L$29*$C9</f>
      </c>
      <c r="FE9" s="20">
        <f>MAX(MIN(Es*FD9,fy),-fy)</f>
      </c>
      <c r="FF9" s="20">
        <f>IF(FD9&gt;0,IF(FD9&lt;=eco,alpha*fck*(1-(1-FD9/eco)^n),alpha*fck),0)</f>
      </c>
      <c r="FG9" s="20">
        <f>FE9-FF9</f>
      </c>
      <c r="FH9" s="19">
        <f>FG9*$E9</f>
      </c>
      <c r="FI9" s="19">
        <f>FH9*$D9</f>
      </c>
      <c r="FJ9" s="19">
        <f>FH9*$C9</f>
      </c>
      <c r="FK9" s="37">
        <f>PM_Angle!$J$30+PM_Angle!$K$30*$D9+PM_Angle!$L$30*$C9</f>
      </c>
      <c r="FL9" s="20">
        <f>MAX(MIN(Es*FK9,fy),-fy)</f>
      </c>
      <c r="FM9" s="20">
        <f>IF(FK9&gt;0,IF(FK9&lt;=eco,alpha*fck*(1-(1-FK9/eco)^n),alpha*fck),0)</f>
      </c>
      <c r="FN9" s="20">
        <f>FL9-FM9</f>
      </c>
      <c r="FO9" s="19">
        <f>FN9*$E9</f>
      </c>
      <c r="FP9" s="19">
        <f>FO9*$D9</f>
      </c>
      <c r="FQ9" s="19">
        <f>FO9*$C9</f>
      </c>
      <c r="FR9" s="37">
        <f>PM_Angle!$J$31+PM_Angle!$K$31*$D9+PM_Angle!$L$31*$C9</f>
      </c>
      <c r="FS9" s="20">
        <f>MAX(MIN(Es*FR9,fy),-fy)</f>
      </c>
      <c r="FT9" s="20">
        <f>IF(FR9&gt;0,IF(FR9&lt;=eco,alpha*fck*(1-(1-FR9/eco)^n),alpha*fck),0)</f>
      </c>
      <c r="FU9" s="20">
        <f>FS9-FT9</f>
      </c>
      <c r="FV9" s="19">
        <f>FU9*$E9</f>
      </c>
      <c r="FW9" s="19">
        <f>FV9*$D9</f>
      </c>
      <c r="FX9" s="19">
        <f>FV9*$C9</f>
      </c>
      <c r="FY9" s="37">
        <f>PM_Angle!$J$32+PM_Angle!$K$32*$D9+PM_Angle!$L$32*$C9</f>
      </c>
      <c r="FZ9" s="20">
        <f>MAX(MIN(Es*FY9,fy),-fy)</f>
      </c>
      <c r="GA9" s="20">
        <f>IF(FY9&gt;0,IF(FY9&lt;=eco,alpha*fck*(1-(1-FY9/eco)^n),alpha*fck),0)</f>
      </c>
      <c r="GB9" s="20">
        <f>FZ9-GA9</f>
      </c>
      <c r="GC9" s="19">
        <f>GB9*$E9</f>
      </c>
      <c r="GD9" s="19">
        <f>GC9*$D9</f>
      </c>
      <c r="GE9" s="19">
        <f>GC9*$C9</f>
      </c>
      <c r="GF9" s="37">
        <f>PM_Angle!$J$33+PM_Angle!$K$33*$D9+PM_Angle!$L$33*$C9</f>
      </c>
      <c r="GG9" s="20">
        <f>MAX(MIN(Es*GF9,fy),-fy)</f>
      </c>
      <c r="GH9" s="20">
        <f>IF(GF9&gt;0,IF(GF9&lt;=eco,alpha*fck*(1-(1-GF9/eco)^n),alpha*fck),0)</f>
      </c>
      <c r="GI9" s="20">
        <f>GG9-GH9</f>
      </c>
      <c r="GJ9" s="19">
        <f>GI9*$E9</f>
      </c>
      <c r="GK9" s="19">
        <f>GJ9*$D9</f>
      </c>
      <c r="GL9" s="19">
        <f>GJ9*$C9</f>
      </c>
      <c r="GM9" s="37">
        <f>Eq_e0+Eq_kx*$D9+Eq_ky*$C9</f>
      </c>
      <c r="GN9" s="20">
        <f>MAX(MIN(Es*GM9,fy),-fy)</f>
      </c>
      <c r="GO9" s="20">
        <f>IF(GM9&gt;0,IF(GM9&lt;=eco,alpha*fck*(1-(1-GM9/eco)^n),alpha*fck),0)</f>
      </c>
      <c r="GP9" s="20">
        <f>GN9-GO9</f>
      </c>
      <c r="GQ9" s="19">
        <f>GP9*$E9</f>
      </c>
      <c r="GR9" s="19">
        <f>GQ9*$D9</f>
      </c>
      <c r="GS9" s="19">
        <f>GQ9*$C9</f>
      </c>
    </row>
    <row r="10" spans="1:201" x14ac:dyDescent="0.25">
      <c r="A10">
        <v>4</v>
      </c>
      <c r="B10" s="20">
        <f>Geometry!C45</f>
      </c>
      <c r="C10" s="20">
        <f>Geometry!D45</f>
      </c>
      <c r="D10" s="20">
        <f>Geometry!E45</f>
      </c>
      <c r="E10" s="20">
        <f>Geometry!F45</f>
      </c>
      <c r="F10" s="37">
        <f>PM_Angle!$J$7+PM_Angle!$K$7*$D10+PM_Angle!$L$7*$C10</f>
      </c>
      <c r="G10" s="20">
        <f>MAX(MIN(Es*F10,fy),-fy)</f>
      </c>
      <c r="H10" s="20">
        <f>IF(F10&gt;0,IF(F10&lt;=eco,alpha*fck*(1-(1-F10/eco)^n),alpha*fck),0)</f>
      </c>
      <c r="I10" s="20">
        <f>G10-H10</f>
      </c>
      <c r="J10" s="19">
        <f>I10*$E10</f>
      </c>
      <c r="K10" s="19">
        <f>J10*$D10</f>
      </c>
      <c r="L10" s="19">
        <f>J10*$C10</f>
      </c>
      <c r="M10" s="37">
        <f>PM_Angle!$J$8+PM_Angle!$K$8*$D10+PM_Angle!$L$8*$C10</f>
      </c>
      <c r="N10" s="20">
        <f>MAX(MIN(Es*M10,fy),-fy)</f>
      </c>
      <c r="O10" s="20">
        <f>IF(M10&gt;0,IF(M10&lt;=eco,alpha*fck*(1-(1-M10/eco)^n),alpha*fck),0)</f>
      </c>
      <c r="P10" s="20">
        <f>N10-O10</f>
      </c>
      <c r="Q10" s="19">
        <f>P10*$E10</f>
      </c>
      <c r="R10" s="19">
        <f>Q10*$D10</f>
      </c>
      <c r="S10" s="19">
        <f>Q10*$C10</f>
      </c>
      <c r="T10" s="37">
        <f>PM_Angle!$J$9+PM_Angle!$K$9*$D10+PM_Angle!$L$9*$C10</f>
      </c>
      <c r="U10" s="20">
        <f>MAX(MIN(Es*T10,fy),-fy)</f>
      </c>
      <c r="V10" s="20">
        <f>IF(T10&gt;0,IF(T10&lt;=eco,alpha*fck*(1-(1-T10/eco)^n),alpha*fck),0)</f>
      </c>
      <c r="W10" s="20">
        <f>U10-V10</f>
      </c>
      <c r="X10" s="19">
        <f>W10*$E10</f>
      </c>
      <c r="Y10" s="19">
        <f>X10*$D10</f>
      </c>
      <c r="Z10" s="19">
        <f>X10*$C10</f>
      </c>
      <c r="AA10" s="37">
        <f>PM_Angle!$J$10+PM_Angle!$K$10*$D10+PM_Angle!$L$10*$C10</f>
      </c>
      <c r="AB10" s="20">
        <f>MAX(MIN(Es*AA10,fy),-fy)</f>
      </c>
      <c r="AC10" s="20">
        <f>IF(AA10&gt;0,IF(AA10&lt;=eco,alpha*fck*(1-(1-AA10/eco)^n),alpha*fck),0)</f>
      </c>
      <c r="AD10" s="20">
        <f>AB10-AC10</f>
      </c>
      <c r="AE10" s="19">
        <f>AD10*$E10</f>
      </c>
      <c r="AF10" s="19">
        <f>AE10*$D10</f>
      </c>
      <c r="AG10" s="19">
        <f>AE10*$C10</f>
      </c>
      <c r="AH10" s="37">
        <f>PM_Angle!$J$11+PM_Angle!$K$11*$D10+PM_Angle!$L$11*$C10</f>
      </c>
      <c r="AI10" s="20">
        <f>MAX(MIN(Es*AH10,fy),-fy)</f>
      </c>
      <c r="AJ10" s="20">
        <f>IF(AH10&gt;0,IF(AH10&lt;=eco,alpha*fck*(1-(1-AH10/eco)^n),alpha*fck),0)</f>
      </c>
      <c r="AK10" s="20">
        <f>AI10-AJ10</f>
      </c>
      <c r="AL10" s="19">
        <f>AK10*$E10</f>
      </c>
      <c r="AM10" s="19">
        <f>AL10*$D10</f>
      </c>
      <c r="AN10" s="19">
        <f>AL10*$C10</f>
      </c>
      <c r="AO10" s="37">
        <f>PM_Angle!$J$12+PM_Angle!$K$12*$D10+PM_Angle!$L$12*$C10</f>
      </c>
      <c r="AP10" s="20">
        <f>MAX(MIN(Es*AO10,fy),-fy)</f>
      </c>
      <c r="AQ10" s="20">
        <f>IF(AO10&gt;0,IF(AO10&lt;=eco,alpha*fck*(1-(1-AO10/eco)^n),alpha*fck),0)</f>
      </c>
      <c r="AR10" s="20">
        <f>AP10-AQ10</f>
      </c>
      <c r="AS10" s="19">
        <f>AR10*$E10</f>
      </c>
      <c r="AT10" s="19">
        <f>AS10*$D10</f>
      </c>
      <c r="AU10" s="19">
        <f>AS10*$C10</f>
      </c>
      <c r="AV10" s="37">
        <f>PM_Angle!$J$13+PM_Angle!$K$13*$D10+PM_Angle!$L$13*$C10</f>
      </c>
      <c r="AW10" s="20">
        <f>MAX(MIN(Es*AV10,fy),-fy)</f>
      </c>
      <c r="AX10" s="20">
        <f>IF(AV10&gt;0,IF(AV10&lt;=eco,alpha*fck*(1-(1-AV10/eco)^n),alpha*fck),0)</f>
      </c>
      <c r="AY10" s="20">
        <f>AW10-AX10</f>
      </c>
      <c r="AZ10" s="19">
        <f>AY10*$E10</f>
      </c>
      <c r="BA10" s="19">
        <f>AZ10*$D10</f>
      </c>
      <c r="BB10" s="19">
        <f>AZ10*$C10</f>
      </c>
      <c r="BC10" s="37">
        <f>PM_Angle!$J$14+PM_Angle!$K$14*$D10+PM_Angle!$L$14*$C10</f>
      </c>
      <c r="BD10" s="20">
        <f>MAX(MIN(Es*BC10,fy),-fy)</f>
      </c>
      <c r="BE10" s="20">
        <f>IF(BC10&gt;0,IF(BC10&lt;=eco,alpha*fck*(1-(1-BC10/eco)^n),alpha*fck),0)</f>
      </c>
      <c r="BF10" s="20">
        <f>BD10-BE10</f>
      </c>
      <c r="BG10" s="19">
        <f>BF10*$E10</f>
      </c>
      <c r="BH10" s="19">
        <f>BG10*$D10</f>
      </c>
      <c r="BI10" s="19">
        <f>BG10*$C10</f>
      </c>
      <c r="BJ10" s="37">
        <f>PM_Angle!$J$15+PM_Angle!$K$15*$D10+PM_Angle!$L$15*$C10</f>
      </c>
      <c r="BK10" s="20">
        <f>MAX(MIN(Es*BJ10,fy),-fy)</f>
      </c>
      <c r="BL10" s="20">
        <f>IF(BJ10&gt;0,IF(BJ10&lt;=eco,alpha*fck*(1-(1-BJ10/eco)^n),alpha*fck),0)</f>
      </c>
      <c r="BM10" s="20">
        <f>BK10-BL10</f>
      </c>
      <c r="BN10" s="19">
        <f>BM10*$E10</f>
      </c>
      <c r="BO10" s="19">
        <f>BN10*$D10</f>
      </c>
      <c r="BP10" s="19">
        <f>BN10*$C10</f>
      </c>
      <c r="BQ10" s="37">
        <f>PM_Angle!$J$16+PM_Angle!$K$16*$D10+PM_Angle!$L$16*$C10</f>
      </c>
      <c r="BR10" s="20">
        <f>MAX(MIN(Es*BQ10,fy),-fy)</f>
      </c>
      <c r="BS10" s="20">
        <f>IF(BQ10&gt;0,IF(BQ10&lt;=eco,alpha*fck*(1-(1-BQ10/eco)^n),alpha*fck),0)</f>
      </c>
      <c r="BT10" s="20">
        <f>BR10-BS10</f>
      </c>
      <c r="BU10" s="19">
        <f>BT10*$E10</f>
      </c>
      <c r="BV10" s="19">
        <f>BU10*$D10</f>
      </c>
      <c r="BW10" s="19">
        <f>BU10*$C10</f>
      </c>
      <c r="BX10" s="37">
        <f>PM_Angle!$J$17+PM_Angle!$K$17*$D10+PM_Angle!$L$17*$C10</f>
      </c>
      <c r="BY10" s="20">
        <f>MAX(MIN(Es*BX10,fy),-fy)</f>
      </c>
      <c r="BZ10" s="20">
        <f>IF(BX10&gt;0,IF(BX10&lt;=eco,alpha*fck*(1-(1-BX10/eco)^n),alpha*fck),0)</f>
      </c>
      <c r="CA10" s="20">
        <f>BY10-BZ10</f>
      </c>
      <c r="CB10" s="19">
        <f>CA10*$E10</f>
      </c>
      <c r="CC10" s="19">
        <f>CB10*$D10</f>
      </c>
      <c r="CD10" s="19">
        <f>CB10*$C10</f>
      </c>
      <c r="CE10" s="37">
        <f>PM_Angle!$J$18+PM_Angle!$K$18*$D10+PM_Angle!$L$18*$C10</f>
      </c>
      <c r="CF10" s="20">
        <f>MAX(MIN(Es*CE10,fy),-fy)</f>
      </c>
      <c r="CG10" s="20">
        <f>IF(CE10&gt;0,IF(CE10&lt;=eco,alpha*fck*(1-(1-CE10/eco)^n),alpha*fck),0)</f>
      </c>
      <c r="CH10" s="20">
        <f>CF10-CG10</f>
      </c>
      <c r="CI10" s="19">
        <f>CH10*$E10</f>
      </c>
      <c r="CJ10" s="19">
        <f>CI10*$D10</f>
      </c>
      <c r="CK10" s="19">
        <f>CI10*$C10</f>
      </c>
      <c r="CL10" s="37">
        <f>PM_Angle!$J$19+PM_Angle!$K$19*$D10+PM_Angle!$L$19*$C10</f>
      </c>
      <c r="CM10" s="20">
        <f>MAX(MIN(Es*CL10,fy),-fy)</f>
      </c>
      <c r="CN10" s="20">
        <f>IF(CL10&gt;0,IF(CL10&lt;=eco,alpha*fck*(1-(1-CL10/eco)^n),alpha*fck),0)</f>
      </c>
      <c r="CO10" s="20">
        <f>CM10-CN10</f>
      </c>
      <c r="CP10" s="19">
        <f>CO10*$E10</f>
      </c>
      <c r="CQ10" s="19">
        <f>CP10*$D10</f>
      </c>
      <c r="CR10" s="19">
        <f>CP10*$C10</f>
      </c>
      <c r="CS10" s="37">
        <f>PM_Angle!$J$20+PM_Angle!$K$20*$D10+PM_Angle!$L$20*$C10</f>
      </c>
      <c r="CT10" s="20">
        <f>MAX(MIN(Es*CS10,fy),-fy)</f>
      </c>
      <c r="CU10" s="20">
        <f>IF(CS10&gt;0,IF(CS10&lt;=eco,alpha*fck*(1-(1-CS10/eco)^n),alpha*fck),0)</f>
      </c>
      <c r="CV10" s="20">
        <f>CT10-CU10</f>
      </c>
      <c r="CW10" s="19">
        <f>CV10*$E10</f>
      </c>
      <c r="CX10" s="19">
        <f>CW10*$D10</f>
      </c>
      <c r="CY10" s="19">
        <f>CW10*$C10</f>
      </c>
      <c r="CZ10" s="37">
        <f>PM_Angle!$J$21+PM_Angle!$K$21*$D10+PM_Angle!$L$21*$C10</f>
      </c>
      <c r="DA10" s="20">
        <f>MAX(MIN(Es*CZ10,fy),-fy)</f>
      </c>
      <c r="DB10" s="20">
        <f>IF(CZ10&gt;0,IF(CZ10&lt;=eco,alpha*fck*(1-(1-CZ10/eco)^n),alpha*fck),0)</f>
      </c>
      <c r="DC10" s="20">
        <f>DA10-DB10</f>
      </c>
      <c r="DD10" s="19">
        <f>DC10*$E10</f>
      </c>
      <c r="DE10" s="19">
        <f>DD10*$D10</f>
      </c>
      <c r="DF10" s="19">
        <f>DD10*$C10</f>
      </c>
      <c r="DG10" s="37">
        <f>PM_Angle!$J$22+PM_Angle!$K$22*$D10+PM_Angle!$L$22*$C10</f>
      </c>
      <c r="DH10" s="20">
        <f>MAX(MIN(Es*DG10,fy),-fy)</f>
      </c>
      <c r="DI10" s="20">
        <f>IF(DG10&gt;0,IF(DG10&lt;=eco,alpha*fck*(1-(1-DG10/eco)^n),alpha*fck),0)</f>
      </c>
      <c r="DJ10" s="20">
        <f>DH10-DI10</f>
      </c>
      <c r="DK10" s="19">
        <f>DJ10*$E10</f>
      </c>
      <c r="DL10" s="19">
        <f>DK10*$D10</f>
      </c>
      <c r="DM10" s="19">
        <f>DK10*$C10</f>
      </c>
      <c r="DN10" s="37">
        <f>PM_Angle!$J$23+PM_Angle!$K$23*$D10+PM_Angle!$L$23*$C10</f>
      </c>
      <c r="DO10" s="20">
        <f>MAX(MIN(Es*DN10,fy),-fy)</f>
      </c>
      <c r="DP10" s="20">
        <f>IF(DN10&gt;0,IF(DN10&lt;=eco,alpha*fck*(1-(1-DN10/eco)^n),alpha*fck),0)</f>
      </c>
      <c r="DQ10" s="20">
        <f>DO10-DP10</f>
      </c>
      <c r="DR10" s="19">
        <f>DQ10*$E10</f>
      </c>
      <c r="DS10" s="19">
        <f>DR10*$D10</f>
      </c>
      <c r="DT10" s="19">
        <f>DR10*$C10</f>
      </c>
      <c r="DU10" s="37">
        <f>PM_Angle!$J$24+PM_Angle!$K$24*$D10+PM_Angle!$L$24*$C10</f>
      </c>
      <c r="DV10" s="20">
        <f>MAX(MIN(Es*DU10,fy),-fy)</f>
      </c>
      <c r="DW10" s="20">
        <f>IF(DU10&gt;0,IF(DU10&lt;=eco,alpha*fck*(1-(1-DU10/eco)^n),alpha*fck),0)</f>
      </c>
      <c r="DX10" s="20">
        <f>DV10-DW10</f>
      </c>
      <c r="DY10" s="19">
        <f>DX10*$E10</f>
      </c>
      <c r="DZ10" s="19">
        <f>DY10*$D10</f>
      </c>
      <c r="EA10" s="19">
        <f>DY10*$C10</f>
      </c>
      <c r="EB10" s="37">
        <f>PM_Angle!$J$25+PM_Angle!$K$25*$D10+PM_Angle!$L$25*$C10</f>
      </c>
      <c r="EC10" s="20">
        <f>MAX(MIN(Es*EB10,fy),-fy)</f>
      </c>
      <c r="ED10" s="20">
        <f>IF(EB10&gt;0,IF(EB10&lt;=eco,alpha*fck*(1-(1-EB10/eco)^n),alpha*fck),0)</f>
      </c>
      <c r="EE10" s="20">
        <f>EC10-ED10</f>
      </c>
      <c r="EF10" s="19">
        <f>EE10*$E10</f>
      </c>
      <c r="EG10" s="19">
        <f>EF10*$D10</f>
      </c>
      <c r="EH10" s="19">
        <f>EF10*$C10</f>
      </c>
      <c r="EI10" s="37">
        <f>PM_Angle!$J$26+PM_Angle!$K$26*$D10+PM_Angle!$L$26*$C10</f>
      </c>
      <c r="EJ10" s="20">
        <f>MAX(MIN(Es*EI10,fy),-fy)</f>
      </c>
      <c r="EK10" s="20">
        <f>IF(EI10&gt;0,IF(EI10&lt;=eco,alpha*fck*(1-(1-EI10/eco)^n),alpha*fck),0)</f>
      </c>
      <c r="EL10" s="20">
        <f>EJ10-EK10</f>
      </c>
      <c r="EM10" s="19">
        <f>EL10*$E10</f>
      </c>
      <c r="EN10" s="19">
        <f>EM10*$D10</f>
      </c>
      <c r="EO10" s="19">
        <f>EM10*$C10</f>
      </c>
      <c r="EP10" s="37">
        <f>PM_Angle!$J$27+PM_Angle!$K$27*$D10+PM_Angle!$L$27*$C10</f>
      </c>
      <c r="EQ10" s="20">
        <f>MAX(MIN(Es*EP10,fy),-fy)</f>
      </c>
      <c r="ER10" s="20">
        <f>IF(EP10&gt;0,IF(EP10&lt;=eco,alpha*fck*(1-(1-EP10/eco)^n),alpha*fck),0)</f>
      </c>
      <c r="ES10" s="20">
        <f>EQ10-ER10</f>
      </c>
      <c r="ET10" s="19">
        <f>ES10*$E10</f>
      </c>
      <c r="EU10" s="19">
        <f>ET10*$D10</f>
      </c>
      <c r="EV10" s="19">
        <f>ET10*$C10</f>
      </c>
      <c r="EW10" s="37">
        <f>PM_Angle!$J$28+PM_Angle!$K$28*$D10+PM_Angle!$L$28*$C10</f>
      </c>
      <c r="EX10" s="20">
        <f>MAX(MIN(Es*EW10,fy),-fy)</f>
      </c>
      <c r="EY10" s="20">
        <f>IF(EW10&gt;0,IF(EW10&lt;=eco,alpha*fck*(1-(1-EW10/eco)^n),alpha*fck),0)</f>
      </c>
      <c r="EZ10" s="20">
        <f>EX10-EY10</f>
      </c>
      <c r="FA10" s="19">
        <f>EZ10*$E10</f>
      </c>
      <c r="FB10" s="19">
        <f>FA10*$D10</f>
      </c>
      <c r="FC10" s="19">
        <f>FA10*$C10</f>
      </c>
      <c r="FD10" s="37">
        <f>PM_Angle!$J$29+PM_Angle!$K$29*$D10+PM_Angle!$L$29*$C10</f>
      </c>
      <c r="FE10" s="20">
        <f>MAX(MIN(Es*FD10,fy),-fy)</f>
      </c>
      <c r="FF10" s="20">
        <f>IF(FD10&gt;0,IF(FD10&lt;=eco,alpha*fck*(1-(1-FD10/eco)^n),alpha*fck),0)</f>
      </c>
      <c r="FG10" s="20">
        <f>FE10-FF10</f>
      </c>
      <c r="FH10" s="19">
        <f>FG10*$E10</f>
      </c>
      <c r="FI10" s="19">
        <f>FH10*$D10</f>
      </c>
      <c r="FJ10" s="19">
        <f>FH10*$C10</f>
      </c>
      <c r="FK10" s="37">
        <f>PM_Angle!$J$30+PM_Angle!$K$30*$D10+PM_Angle!$L$30*$C10</f>
      </c>
      <c r="FL10" s="20">
        <f>MAX(MIN(Es*FK10,fy),-fy)</f>
      </c>
      <c r="FM10" s="20">
        <f>IF(FK10&gt;0,IF(FK10&lt;=eco,alpha*fck*(1-(1-FK10/eco)^n),alpha*fck),0)</f>
      </c>
      <c r="FN10" s="20">
        <f>FL10-FM10</f>
      </c>
      <c r="FO10" s="19">
        <f>FN10*$E10</f>
      </c>
      <c r="FP10" s="19">
        <f>FO10*$D10</f>
      </c>
      <c r="FQ10" s="19">
        <f>FO10*$C10</f>
      </c>
      <c r="FR10" s="37">
        <f>PM_Angle!$J$31+PM_Angle!$K$31*$D10+PM_Angle!$L$31*$C10</f>
      </c>
      <c r="FS10" s="20">
        <f>MAX(MIN(Es*FR10,fy),-fy)</f>
      </c>
      <c r="FT10" s="20">
        <f>IF(FR10&gt;0,IF(FR10&lt;=eco,alpha*fck*(1-(1-FR10/eco)^n),alpha*fck),0)</f>
      </c>
      <c r="FU10" s="20">
        <f>FS10-FT10</f>
      </c>
      <c r="FV10" s="19">
        <f>FU10*$E10</f>
      </c>
      <c r="FW10" s="19">
        <f>FV10*$D10</f>
      </c>
      <c r="FX10" s="19">
        <f>FV10*$C10</f>
      </c>
      <c r="FY10" s="37">
        <f>PM_Angle!$J$32+PM_Angle!$K$32*$D10+PM_Angle!$L$32*$C10</f>
      </c>
      <c r="FZ10" s="20">
        <f>MAX(MIN(Es*FY10,fy),-fy)</f>
      </c>
      <c r="GA10" s="20">
        <f>IF(FY10&gt;0,IF(FY10&lt;=eco,alpha*fck*(1-(1-FY10/eco)^n),alpha*fck),0)</f>
      </c>
      <c r="GB10" s="20">
        <f>FZ10-GA10</f>
      </c>
      <c r="GC10" s="19">
        <f>GB10*$E10</f>
      </c>
      <c r="GD10" s="19">
        <f>GC10*$D10</f>
      </c>
      <c r="GE10" s="19">
        <f>GC10*$C10</f>
      </c>
      <c r="GF10" s="37">
        <f>PM_Angle!$J$33+PM_Angle!$K$33*$D10+PM_Angle!$L$33*$C10</f>
      </c>
      <c r="GG10" s="20">
        <f>MAX(MIN(Es*GF10,fy),-fy)</f>
      </c>
      <c r="GH10" s="20">
        <f>IF(GF10&gt;0,IF(GF10&lt;=eco,alpha*fck*(1-(1-GF10/eco)^n),alpha*fck),0)</f>
      </c>
      <c r="GI10" s="20">
        <f>GG10-GH10</f>
      </c>
      <c r="GJ10" s="19">
        <f>GI10*$E10</f>
      </c>
      <c r="GK10" s="19">
        <f>GJ10*$D10</f>
      </c>
      <c r="GL10" s="19">
        <f>GJ10*$C10</f>
      </c>
      <c r="GM10" s="37">
        <f>Eq_e0+Eq_kx*$D10+Eq_ky*$C10</f>
      </c>
      <c r="GN10" s="20">
        <f>MAX(MIN(Es*GM10,fy),-fy)</f>
      </c>
      <c r="GO10" s="20">
        <f>IF(GM10&gt;0,IF(GM10&lt;=eco,alpha*fck*(1-(1-GM10/eco)^n),alpha*fck),0)</f>
      </c>
      <c r="GP10" s="20">
        <f>GN10-GO10</f>
      </c>
      <c r="GQ10" s="19">
        <f>GP10*$E10</f>
      </c>
      <c r="GR10" s="19">
        <f>GQ10*$D10</f>
      </c>
      <c r="GS10" s="19">
        <f>GQ10*$C10</f>
      </c>
    </row>
    <row r="11" spans="1:201" x14ac:dyDescent="0.25">
      <c r="A11">
        <v>5</v>
      </c>
      <c r="B11" s="20">
        <f>Geometry!C46</f>
      </c>
      <c r="C11" s="20">
        <f>Geometry!D46</f>
      </c>
      <c r="D11" s="20">
        <f>Geometry!E46</f>
      </c>
      <c r="E11" s="20">
        <f>Geometry!F46</f>
      </c>
      <c r="F11" s="37">
        <f>PM_Angle!$J$7+PM_Angle!$K$7*$D11+PM_Angle!$L$7*$C11</f>
      </c>
      <c r="G11" s="20">
        <f>MAX(MIN(Es*F11,fy),-fy)</f>
      </c>
      <c r="H11" s="20">
        <f>IF(F11&gt;0,IF(F11&lt;=eco,alpha*fck*(1-(1-F11/eco)^n),alpha*fck),0)</f>
      </c>
      <c r="I11" s="20">
        <f>G11-H11</f>
      </c>
      <c r="J11" s="19">
        <f>I11*$E11</f>
      </c>
      <c r="K11" s="19">
        <f>J11*$D11</f>
      </c>
      <c r="L11" s="19">
        <f>J11*$C11</f>
      </c>
      <c r="M11" s="37">
        <f>PM_Angle!$J$8+PM_Angle!$K$8*$D11+PM_Angle!$L$8*$C11</f>
      </c>
      <c r="N11" s="20">
        <f>MAX(MIN(Es*M11,fy),-fy)</f>
      </c>
      <c r="O11" s="20">
        <f>IF(M11&gt;0,IF(M11&lt;=eco,alpha*fck*(1-(1-M11/eco)^n),alpha*fck),0)</f>
      </c>
      <c r="P11" s="20">
        <f>N11-O11</f>
      </c>
      <c r="Q11" s="19">
        <f>P11*$E11</f>
      </c>
      <c r="R11" s="19">
        <f>Q11*$D11</f>
      </c>
      <c r="S11" s="19">
        <f>Q11*$C11</f>
      </c>
      <c r="T11" s="37">
        <f>PM_Angle!$J$9+PM_Angle!$K$9*$D11+PM_Angle!$L$9*$C11</f>
      </c>
      <c r="U11" s="20">
        <f>MAX(MIN(Es*T11,fy),-fy)</f>
      </c>
      <c r="V11" s="20">
        <f>IF(T11&gt;0,IF(T11&lt;=eco,alpha*fck*(1-(1-T11/eco)^n),alpha*fck),0)</f>
      </c>
      <c r="W11" s="20">
        <f>U11-V11</f>
      </c>
      <c r="X11" s="19">
        <f>W11*$E11</f>
      </c>
      <c r="Y11" s="19">
        <f>X11*$D11</f>
      </c>
      <c r="Z11" s="19">
        <f>X11*$C11</f>
      </c>
      <c r="AA11" s="37">
        <f>PM_Angle!$J$10+PM_Angle!$K$10*$D11+PM_Angle!$L$10*$C11</f>
      </c>
      <c r="AB11" s="20">
        <f>MAX(MIN(Es*AA11,fy),-fy)</f>
      </c>
      <c r="AC11" s="20">
        <f>IF(AA11&gt;0,IF(AA11&lt;=eco,alpha*fck*(1-(1-AA11/eco)^n),alpha*fck),0)</f>
      </c>
      <c r="AD11" s="20">
        <f>AB11-AC11</f>
      </c>
      <c r="AE11" s="19">
        <f>AD11*$E11</f>
      </c>
      <c r="AF11" s="19">
        <f>AE11*$D11</f>
      </c>
      <c r="AG11" s="19">
        <f>AE11*$C11</f>
      </c>
      <c r="AH11" s="37">
        <f>PM_Angle!$J$11+PM_Angle!$K$11*$D11+PM_Angle!$L$11*$C11</f>
      </c>
      <c r="AI11" s="20">
        <f>MAX(MIN(Es*AH11,fy),-fy)</f>
      </c>
      <c r="AJ11" s="20">
        <f>IF(AH11&gt;0,IF(AH11&lt;=eco,alpha*fck*(1-(1-AH11/eco)^n),alpha*fck),0)</f>
      </c>
      <c r="AK11" s="20">
        <f>AI11-AJ11</f>
      </c>
      <c r="AL11" s="19">
        <f>AK11*$E11</f>
      </c>
      <c r="AM11" s="19">
        <f>AL11*$D11</f>
      </c>
      <c r="AN11" s="19">
        <f>AL11*$C11</f>
      </c>
      <c r="AO11" s="37">
        <f>PM_Angle!$J$12+PM_Angle!$K$12*$D11+PM_Angle!$L$12*$C11</f>
      </c>
      <c r="AP11" s="20">
        <f>MAX(MIN(Es*AO11,fy),-fy)</f>
      </c>
      <c r="AQ11" s="20">
        <f>IF(AO11&gt;0,IF(AO11&lt;=eco,alpha*fck*(1-(1-AO11/eco)^n),alpha*fck),0)</f>
      </c>
      <c r="AR11" s="20">
        <f>AP11-AQ11</f>
      </c>
      <c r="AS11" s="19">
        <f>AR11*$E11</f>
      </c>
      <c r="AT11" s="19">
        <f>AS11*$D11</f>
      </c>
      <c r="AU11" s="19">
        <f>AS11*$C11</f>
      </c>
      <c r="AV11" s="37">
        <f>PM_Angle!$J$13+PM_Angle!$K$13*$D11+PM_Angle!$L$13*$C11</f>
      </c>
      <c r="AW11" s="20">
        <f>MAX(MIN(Es*AV11,fy),-fy)</f>
      </c>
      <c r="AX11" s="20">
        <f>IF(AV11&gt;0,IF(AV11&lt;=eco,alpha*fck*(1-(1-AV11/eco)^n),alpha*fck),0)</f>
      </c>
      <c r="AY11" s="20">
        <f>AW11-AX11</f>
      </c>
      <c r="AZ11" s="19">
        <f>AY11*$E11</f>
      </c>
      <c r="BA11" s="19">
        <f>AZ11*$D11</f>
      </c>
      <c r="BB11" s="19">
        <f>AZ11*$C11</f>
      </c>
      <c r="BC11" s="37">
        <f>PM_Angle!$J$14+PM_Angle!$K$14*$D11+PM_Angle!$L$14*$C11</f>
      </c>
      <c r="BD11" s="20">
        <f>MAX(MIN(Es*BC11,fy),-fy)</f>
      </c>
      <c r="BE11" s="20">
        <f>IF(BC11&gt;0,IF(BC11&lt;=eco,alpha*fck*(1-(1-BC11/eco)^n),alpha*fck),0)</f>
      </c>
      <c r="BF11" s="20">
        <f>BD11-BE11</f>
      </c>
      <c r="BG11" s="19">
        <f>BF11*$E11</f>
      </c>
      <c r="BH11" s="19">
        <f>BG11*$D11</f>
      </c>
      <c r="BI11" s="19">
        <f>BG11*$C11</f>
      </c>
      <c r="BJ11" s="37">
        <f>PM_Angle!$J$15+PM_Angle!$K$15*$D11+PM_Angle!$L$15*$C11</f>
      </c>
      <c r="BK11" s="20">
        <f>MAX(MIN(Es*BJ11,fy),-fy)</f>
      </c>
      <c r="BL11" s="20">
        <f>IF(BJ11&gt;0,IF(BJ11&lt;=eco,alpha*fck*(1-(1-BJ11/eco)^n),alpha*fck),0)</f>
      </c>
      <c r="BM11" s="20">
        <f>BK11-BL11</f>
      </c>
      <c r="BN11" s="19">
        <f>BM11*$E11</f>
      </c>
      <c r="BO11" s="19">
        <f>BN11*$D11</f>
      </c>
      <c r="BP11" s="19">
        <f>BN11*$C11</f>
      </c>
      <c r="BQ11" s="37">
        <f>PM_Angle!$J$16+PM_Angle!$K$16*$D11+PM_Angle!$L$16*$C11</f>
      </c>
      <c r="BR11" s="20">
        <f>MAX(MIN(Es*BQ11,fy),-fy)</f>
      </c>
      <c r="BS11" s="20">
        <f>IF(BQ11&gt;0,IF(BQ11&lt;=eco,alpha*fck*(1-(1-BQ11/eco)^n),alpha*fck),0)</f>
      </c>
      <c r="BT11" s="20">
        <f>BR11-BS11</f>
      </c>
      <c r="BU11" s="19">
        <f>BT11*$E11</f>
      </c>
      <c r="BV11" s="19">
        <f>BU11*$D11</f>
      </c>
      <c r="BW11" s="19">
        <f>BU11*$C11</f>
      </c>
      <c r="BX11" s="37">
        <f>PM_Angle!$J$17+PM_Angle!$K$17*$D11+PM_Angle!$L$17*$C11</f>
      </c>
      <c r="BY11" s="20">
        <f>MAX(MIN(Es*BX11,fy),-fy)</f>
      </c>
      <c r="BZ11" s="20">
        <f>IF(BX11&gt;0,IF(BX11&lt;=eco,alpha*fck*(1-(1-BX11/eco)^n),alpha*fck),0)</f>
      </c>
      <c r="CA11" s="20">
        <f>BY11-BZ11</f>
      </c>
      <c r="CB11" s="19">
        <f>CA11*$E11</f>
      </c>
      <c r="CC11" s="19">
        <f>CB11*$D11</f>
      </c>
      <c r="CD11" s="19">
        <f>CB11*$C11</f>
      </c>
      <c r="CE11" s="37">
        <f>PM_Angle!$J$18+PM_Angle!$K$18*$D11+PM_Angle!$L$18*$C11</f>
      </c>
      <c r="CF11" s="20">
        <f>MAX(MIN(Es*CE11,fy),-fy)</f>
      </c>
      <c r="CG11" s="20">
        <f>IF(CE11&gt;0,IF(CE11&lt;=eco,alpha*fck*(1-(1-CE11/eco)^n),alpha*fck),0)</f>
      </c>
      <c r="CH11" s="20">
        <f>CF11-CG11</f>
      </c>
      <c r="CI11" s="19">
        <f>CH11*$E11</f>
      </c>
      <c r="CJ11" s="19">
        <f>CI11*$D11</f>
      </c>
      <c r="CK11" s="19">
        <f>CI11*$C11</f>
      </c>
      <c r="CL11" s="37">
        <f>PM_Angle!$J$19+PM_Angle!$K$19*$D11+PM_Angle!$L$19*$C11</f>
      </c>
      <c r="CM11" s="20">
        <f>MAX(MIN(Es*CL11,fy),-fy)</f>
      </c>
      <c r="CN11" s="20">
        <f>IF(CL11&gt;0,IF(CL11&lt;=eco,alpha*fck*(1-(1-CL11/eco)^n),alpha*fck),0)</f>
      </c>
      <c r="CO11" s="20">
        <f>CM11-CN11</f>
      </c>
      <c r="CP11" s="19">
        <f>CO11*$E11</f>
      </c>
      <c r="CQ11" s="19">
        <f>CP11*$D11</f>
      </c>
      <c r="CR11" s="19">
        <f>CP11*$C11</f>
      </c>
      <c r="CS11" s="37">
        <f>PM_Angle!$J$20+PM_Angle!$K$20*$D11+PM_Angle!$L$20*$C11</f>
      </c>
      <c r="CT11" s="20">
        <f>MAX(MIN(Es*CS11,fy),-fy)</f>
      </c>
      <c r="CU11" s="20">
        <f>IF(CS11&gt;0,IF(CS11&lt;=eco,alpha*fck*(1-(1-CS11/eco)^n),alpha*fck),0)</f>
      </c>
      <c r="CV11" s="20">
        <f>CT11-CU11</f>
      </c>
      <c r="CW11" s="19">
        <f>CV11*$E11</f>
      </c>
      <c r="CX11" s="19">
        <f>CW11*$D11</f>
      </c>
      <c r="CY11" s="19">
        <f>CW11*$C11</f>
      </c>
      <c r="CZ11" s="37">
        <f>PM_Angle!$J$21+PM_Angle!$K$21*$D11+PM_Angle!$L$21*$C11</f>
      </c>
      <c r="DA11" s="20">
        <f>MAX(MIN(Es*CZ11,fy),-fy)</f>
      </c>
      <c r="DB11" s="20">
        <f>IF(CZ11&gt;0,IF(CZ11&lt;=eco,alpha*fck*(1-(1-CZ11/eco)^n),alpha*fck),0)</f>
      </c>
      <c r="DC11" s="20">
        <f>DA11-DB11</f>
      </c>
      <c r="DD11" s="19">
        <f>DC11*$E11</f>
      </c>
      <c r="DE11" s="19">
        <f>DD11*$D11</f>
      </c>
      <c r="DF11" s="19">
        <f>DD11*$C11</f>
      </c>
      <c r="DG11" s="37">
        <f>PM_Angle!$J$22+PM_Angle!$K$22*$D11+PM_Angle!$L$22*$C11</f>
      </c>
      <c r="DH11" s="20">
        <f>MAX(MIN(Es*DG11,fy),-fy)</f>
      </c>
      <c r="DI11" s="20">
        <f>IF(DG11&gt;0,IF(DG11&lt;=eco,alpha*fck*(1-(1-DG11/eco)^n),alpha*fck),0)</f>
      </c>
      <c r="DJ11" s="20">
        <f>DH11-DI11</f>
      </c>
      <c r="DK11" s="19">
        <f>DJ11*$E11</f>
      </c>
      <c r="DL11" s="19">
        <f>DK11*$D11</f>
      </c>
      <c r="DM11" s="19">
        <f>DK11*$C11</f>
      </c>
      <c r="DN11" s="37">
        <f>PM_Angle!$J$23+PM_Angle!$K$23*$D11+PM_Angle!$L$23*$C11</f>
      </c>
      <c r="DO11" s="20">
        <f>MAX(MIN(Es*DN11,fy),-fy)</f>
      </c>
      <c r="DP11" s="20">
        <f>IF(DN11&gt;0,IF(DN11&lt;=eco,alpha*fck*(1-(1-DN11/eco)^n),alpha*fck),0)</f>
      </c>
      <c r="DQ11" s="20">
        <f>DO11-DP11</f>
      </c>
      <c r="DR11" s="19">
        <f>DQ11*$E11</f>
      </c>
      <c r="DS11" s="19">
        <f>DR11*$D11</f>
      </c>
      <c r="DT11" s="19">
        <f>DR11*$C11</f>
      </c>
      <c r="DU11" s="37">
        <f>PM_Angle!$J$24+PM_Angle!$K$24*$D11+PM_Angle!$L$24*$C11</f>
      </c>
      <c r="DV11" s="20">
        <f>MAX(MIN(Es*DU11,fy),-fy)</f>
      </c>
      <c r="DW11" s="20">
        <f>IF(DU11&gt;0,IF(DU11&lt;=eco,alpha*fck*(1-(1-DU11/eco)^n),alpha*fck),0)</f>
      </c>
      <c r="DX11" s="20">
        <f>DV11-DW11</f>
      </c>
      <c r="DY11" s="19">
        <f>DX11*$E11</f>
      </c>
      <c r="DZ11" s="19">
        <f>DY11*$D11</f>
      </c>
      <c r="EA11" s="19">
        <f>DY11*$C11</f>
      </c>
      <c r="EB11" s="37">
        <f>PM_Angle!$J$25+PM_Angle!$K$25*$D11+PM_Angle!$L$25*$C11</f>
      </c>
      <c r="EC11" s="20">
        <f>MAX(MIN(Es*EB11,fy),-fy)</f>
      </c>
      <c r="ED11" s="20">
        <f>IF(EB11&gt;0,IF(EB11&lt;=eco,alpha*fck*(1-(1-EB11/eco)^n),alpha*fck),0)</f>
      </c>
      <c r="EE11" s="20">
        <f>EC11-ED11</f>
      </c>
      <c r="EF11" s="19">
        <f>EE11*$E11</f>
      </c>
      <c r="EG11" s="19">
        <f>EF11*$D11</f>
      </c>
      <c r="EH11" s="19">
        <f>EF11*$C11</f>
      </c>
      <c r="EI11" s="37">
        <f>PM_Angle!$J$26+PM_Angle!$K$26*$D11+PM_Angle!$L$26*$C11</f>
      </c>
      <c r="EJ11" s="20">
        <f>MAX(MIN(Es*EI11,fy),-fy)</f>
      </c>
      <c r="EK11" s="20">
        <f>IF(EI11&gt;0,IF(EI11&lt;=eco,alpha*fck*(1-(1-EI11/eco)^n),alpha*fck),0)</f>
      </c>
      <c r="EL11" s="20">
        <f>EJ11-EK11</f>
      </c>
      <c r="EM11" s="19">
        <f>EL11*$E11</f>
      </c>
      <c r="EN11" s="19">
        <f>EM11*$D11</f>
      </c>
      <c r="EO11" s="19">
        <f>EM11*$C11</f>
      </c>
      <c r="EP11" s="37">
        <f>PM_Angle!$J$27+PM_Angle!$K$27*$D11+PM_Angle!$L$27*$C11</f>
      </c>
      <c r="EQ11" s="20">
        <f>MAX(MIN(Es*EP11,fy),-fy)</f>
      </c>
      <c r="ER11" s="20">
        <f>IF(EP11&gt;0,IF(EP11&lt;=eco,alpha*fck*(1-(1-EP11/eco)^n),alpha*fck),0)</f>
      </c>
      <c r="ES11" s="20">
        <f>EQ11-ER11</f>
      </c>
      <c r="ET11" s="19">
        <f>ES11*$E11</f>
      </c>
      <c r="EU11" s="19">
        <f>ET11*$D11</f>
      </c>
      <c r="EV11" s="19">
        <f>ET11*$C11</f>
      </c>
      <c r="EW11" s="37">
        <f>PM_Angle!$J$28+PM_Angle!$K$28*$D11+PM_Angle!$L$28*$C11</f>
      </c>
      <c r="EX11" s="20">
        <f>MAX(MIN(Es*EW11,fy),-fy)</f>
      </c>
      <c r="EY11" s="20">
        <f>IF(EW11&gt;0,IF(EW11&lt;=eco,alpha*fck*(1-(1-EW11/eco)^n),alpha*fck),0)</f>
      </c>
      <c r="EZ11" s="20">
        <f>EX11-EY11</f>
      </c>
      <c r="FA11" s="19">
        <f>EZ11*$E11</f>
      </c>
      <c r="FB11" s="19">
        <f>FA11*$D11</f>
      </c>
      <c r="FC11" s="19">
        <f>FA11*$C11</f>
      </c>
      <c r="FD11" s="37">
        <f>PM_Angle!$J$29+PM_Angle!$K$29*$D11+PM_Angle!$L$29*$C11</f>
      </c>
      <c r="FE11" s="20">
        <f>MAX(MIN(Es*FD11,fy),-fy)</f>
      </c>
      <c r="FF11" s="20">
        <f>IF(FD11&gt;0,IF(FD11&lt;=eco,alpha*fck*(1-(1-FD11/eco)^n),alpha*fck),0)</f>
      </c>
      <c r="FG11" s="20">
        <f>FE11-FF11</f>
      </c>
      <c r="FH11" s="19">
        <f>FG11*$E11</f>
      </c>
      <c r="FI11" s="19">
        <f>FH11*$D11</f>
      </c>
      <c r="FJ11" s="19">
        <f>FH11*$C11</f>
      </c>
      <c r="FK11" s="37">
        <f>PM_Angle!$J$30+PM_Angle!$K$30*$D11+PM_Angle!$L$30*$C11</f>
      </c>
      <c r="FL11" s="20">
        <f>MAX(MIN(Es*FK11,fy),-fy)</f>
      </c>
      <c r="FM11" s="20">
        <f>IF(FK11&gt;0,IF(FK11&lt;=eco,alpha*fck*(1-(1-FK11/eco)^n),alpha*fck),0)</f>
      </c>
      <c r="FN11" s="20">
        <f>FL11-FM11</f>
      </c>
      <c r="FO11" s="19">
        <f>FN11*$E11</f>
      </c>
      <c r="FP11" s="19">
        <f>FO11*$D11</f>
      </c>
      <c r="FQ11" s="19">
        <f>FO11*$C11</f>
      </c>
      <c r="FR11" s="37">
        <f>PM_Angle!$J$31+PM_Angle!$K$31*$D11+PM_Angle!$L$31*$C11</f>
      </c>
      <c r="FS11" s="20">
        <f>MAX(MIN(Es*FR11,fy),-fy)</f>
      </c>
      <c r="FT11" s="20">
        <f>IF(FR11&gt;0,IF(FR11&lt;=eco,alpha*fck*(1-(1-FR11/eco)^n),alpha*fck),0)</f>
      </c>
      <c r="FU11" s="20">
        <f>FS11-FT11</f>
      </c>
      <c r="FV11" s="19">
        <f>FU11*$E11</f>
      </c>
      <c r="FW11" s="19">
        <f>FV11*$D11</f>
      </c>
      <c r="FX11" s="19">
        <f>FV11*$C11</f>
      </c>
      <c r="FY11" s="37">
        <f>PM_Angle!$J$32+PM_Angle!$K$32*$D11+PM_Angle!$L$32*$C11</f>
      </c>
      <c r="FZ11" s="20">
        <f>MAX(MIN(Es*FY11,fy),-fy)</f>
      </c>
      <c r="GA11" s="20">
        <f>IF(FY11&gt;0,IF(FY11&lt;=eco,alpha*fck*(1-(1-FY11/eco)^n),alpha*fck),0)</f>
      </c>
      <c r="GB11" s="20">
        <f>FZ11-GA11</f>
      </c>
      <c r="GC11" s="19">
        <f>GB11*$E11</f>
      </c>
      <c r="GD11" s="19">
        <f>GC11*$D11</f>
      </c>
      <c r="GE11" s="19">
        <f>GC11*$C11</f>
      </c>
      <c r="GF11" s="37">
        <f>PM_Angle!$J$33+PM_Angle!$K$33*$D11+PM_Angle!$L$33*$C11</f>
      </c>
      <c r="GG11" s="20">
        <f>MAX(MIN(Es*GF11,fy),-fy)</f>
      </c>
      <c r="GH11" s="20">
        <f>IF(GF11&gt;0,IF(GF11&lt;=eco,alpha*fck*(1-(1-GF11/eco)^n),alpha*fck),0)</f>
      </c>
      <c r="GI11" s="20">
        <f>GG11-GH11</f>
      </c>
      <c r="GJ11" s="19">
        <f>GI11*$E11</f>
      </c>
      <c r="GK11" s="19">
        <f>GJ11*$D11</f>
      </c>
      <c r="GL11" s="19">
        <f>GJ11*$C11</f>
      </c>
      <c r="GM11" s="37">
        <f>Eq_e0+Eq_kx*$D11+Eq_ky*$C11</f>
      </c>
      <c r="GN11" s="20">
        <f>MAX(MIN(Es*GM11,fy),-fy)</f>
      </c>
      <c r="GO11" s="20">
        <f>IF(GM11&gt;0,IF(GM11&lt;=eco,alpha*fck*(1-(1-GM11/eco)^n),alpha*fck),0)</f>
      </c>
      <c r="GP11" s="20">
        <f>GN11-GO11</f>
      </c>
      <c r="GQ11" s="19">
        <f>GP11*$E11</f>
      </c>
      <c r="GR11" s="19">
        <f>GQ11*$D11</f>
      </c>
      <c r="GS11" s="19">
        <f>GQ11*$C11</f>
      </c>
    </row>
    <row r="12" spans="1:201" x14ac:dyDescent="0.25">
      <c r="A12">
        <v>6</v>
      </c>
      <c r="B12" s="20">
        <f>Geometry!C47</f>
      </c>
      <c r="C12" s="20">
        <f>Geometry!D47</f>
      </c>
      <c r="D12" s="20">
        <f>Geometry!E47</f>
      </c>
      <c r="E12" s="20">
        <f>Geometry!F47</f>
      </c>
      <c r="F12" s="37">
        <f>PM_Angle!$J$7+PM_Angle!$K$7*$D12+PM_Angle!$L$7*$C12</f>
      </c>
      <c r="G12" s="20">
        <f>MAX(MIN(Es*F12,fy),-fy)</f>
      </c>
      <c r="H12" s="20">
        <f>IF(F12&gt;0,IF(F12&lt;=eco,alpha*fck*(1-(1-F12/eco)^n),alpha*fck),0)</f>
      </c>
      <c r="I12" s="20">
        <f>G12-H12</f>
      </c>
      <c r="J12" s="19">
        <f>I12*$E12</f>
      </c>
      <c r="K12" s="19">
        <f>J12*$D12</f>
      </c>
      <c r="L12" s="19">
        <f>J12*$C12</f>
      </c>
      <c r="M12" s="37">
        <f>PM_Angle!$J$8+PM_Angle!$K$8*$D12+PM_Angle!$L$8*$C12</f>
      </c>
      <c r="N12" s="20">
        <f>MAX(MIN(Es*M12,fy),-fy)</f>
      </c>
      <c r="O12" s="20">
        <f>IF(M12&gt;0,IF(M12&lt;=eco,alpha*fck*(1-(1-M12/eco)^n),alpha*fck),0)</f>
      </c>
      <c r="P12" s="20">
        <f>N12-O12</f>
      </c>
      <c r="Q12" s="19">
        <f>P12*$E12</f>
      </c>
      <c r="R12" s="19">
        <f>Q12*$D12</f>
      </c>
      <c r="S12" s="19">
        <f>Q12*$C12</f>
      </c>
      <c r="T12" s="37">
        <f>PM_Angle!$J$9+PM_Angle!$K$9*$D12+PM_Angle!$L$9*$C12</f>
      </c>
      <c r="U12" s="20">
        <f>MAX(MIN(Es*T12,fy),-fy)</f>
      </c>
      <c r="V12" s="20">
        <f>IF(T12&gt;0,IF(T12&lt;=eco,alpha*fck*(1-(1-T12/eco)^n),alpha*fck),0)</f>
      </c>
      <c r="W12" s="20">
        <f>U12-V12</f>
      </c>
      <c r="X12" s="19">
        <f>W12*$E12</f>
      </c>
      <c r="Y12" s="19">
        <f>X12*$D12</f>
      </c>
      <c r="Z12" s="19">
        <f>X12*$C12</f>
      </c>
      <c r="AA12" s="37">
        <f>PM_Angle!$J$10+PM_Angle!$K$10*$D12+PM_Angle!$L$10*$C12</f>
      </c>
      <c r="AB12" s="20">
        <f>MAX(MIN(Es*AA12,fy),-fy)</f>
      </c>
      <c r="AC12" s="20">
        <f>IF(AA12&gt;0,IF(AA12&lt;=eco,alpha*fck*(1-(1-AA12/eco)^n),alpha*fck),0)</f>
      </c>
      <c r="AD12" s="20">
        <f>AB12-AC12</f>
      </c>
      <c r="AE12" s="19">
        <f>AD12*$E12</f>
      </c>
      <c r="AF12" s="19">
        <f>AE12*$D12</f>
      </c>
      <c r="AG12" s="19">
        <f>AE12*$C12</f>
      </c>
      <c r="AH12" s="37">
        <f>PM_Angle!$J$11+PM_Angle!$K$11*$D12+PM_Angle!$L$11*$C12</f>
      </c>
      <c r="AI12" s="20">
        <f>MAX(MIN(Es*AH12,fy),-fy)</f>
      </c>
      <c r="AJ12" s="20">
        <f>IF(AH12&gt;0,IF(AH12&lt;=eco,alpha*fck*(1-(1-AH12/eco)^n),alpha*fck),0)</f>
      </c>
      <c r="AK12" s="20">
        <f>AI12-AJ12</f>
      </c>
      <c r="AL12" s="19">
        <f>AK12*$E12</f>
      </c>
      <c r="AM12" s="19">
        <f>AL12*$D12</f>
      </c>
      <c r="AN12" s="19">
        <f>AL12*$C12</f>
      </c>
      <c r="AO12" s="37">
        <f>PM_Angle!$J$12+PM_Angle!$K$12*$D12+PM_Angle!$L$12*$C12</f>
      </c>
      <c r="AP12" s="20">
        <f>MAX(MIN(Es*AO12,fy),-fy)</f>
      </c>
      <c r="AQ12" s="20">
        <f>IF(AO12&gt;0,IF(AO12&lt;=eco,alpha*fck*(1-(1-AO12/eco)^n),alpha*fck),0)</f>
      </c>
      <c r="AR12" s="20">
        <f>AP12-AQ12</f>
      </c>
      <c r="AS12" s="19">
        <f>AR12*$E12</f>
      </c>
      <c r="AT12" s="19">
        <f>AS12*$D12</f>
      </c>
      <c r="AU12" s="19">
        <f>AS12*$C12</f>
      </c>
      <c r="AV12" s="37">
        <f>PM_Angle!$J$13+PM_Angle!$K$13*$D12+PM_Angle!$L$13*$C12</f>
      </c>
      <c r="AW12" s="20">
        <f>MAX(MIN(Es*AV12,fy),-fy)</f>
      </c>
      <c r="AX12" s="20">
        <f>IF(AV12&gt;0,IF(AV12&lt;=eco,alpha*fck*(1-(1-AV12/eco)^n),alpha*fck),0)</f>
      </c>
      <c r="AY12" s="20">
        <f>AW12-AX12</f>
      </c>
      <c r="AZ12" s="19">
        <f>AY12*$E12</f>
      </c>
      <c r="BA12" s="19">
        <f>AZ12*$D12</f>
      </c>
      <c r="BB12" s="19">
        <f>AZ12*$C12</f>
      </c>
      <c r="BC12" s="37">
        <f>PM_Angle!$J$14+PM_Angle!$K$14*$D12+PM_Angle!$L$14*$C12</f>
      </c>
      <c r="BD12" s="20">
        <f>MAX(MIN(Es*BC12,fy),-fy)</f>
      </c>
      <c r="BE12" s="20">
        <f>IF(BC12&gt;0,IF(BC12&lt;=eco,alpha*fck*(1-(1-BC12/eco)^n),alpha*fck),0)</f>
      </c>
      <c r="BF12" s="20">
        <f>BD12-BE12</f>
      </c>
      <c r="BG12" s="19">
        <f>BF12*$E12</f>
      </c>
      <c r="BH12" s="19">
        <f>BG12*$D12</f>
      </c>
      <c r="BI12" s="19">
        <f>BG12*$C12</f>
      </c>
      <c r="BJ12" s="37">
        <f>PM_Angle!$J$15+PM_Angle!$K$15*$D12+PM_Angle!$L$15*$C12</f>
      </c>
      <c r="BK12" s="20">
        <f>MAX(MIN(Es*BJ12,fy),-fy)</f>
      </c>
      <c r="BL12" s="20">
        <f>IF(BJ12&gt;0,IF(BJ12&lt;=eco,alpha*fck*(1-(1-BJ12/eco)^n),alpha*fck),0)</f>
      </c>
      <c r="BM12" s="20">
        <f>BK12-BL12</f>
      </c>
      <c r="BN12" s="19">
        <f>BM12*$E12</f>
      </c>
      <c r="BO12" s="19">
        <f>BN12*$D12</f>
      </c>
      <c r="BP12" s="19">
        <f>BN12*$C12</f>
      </c>
      <c r="BQ12" s="37">
        <f>PM_Angle!$J$16+PM_Angle!$K$16*$D12+PM_Angle!$L$16*$C12</f>
      </c>
      <c r="BR12" s="20">
        <f>MAX(MIN(Es*BQ12,fy),-fy)</f>
      </c>
      <c r="BS12" s="20">
        <f>IF(BQ12&gt;0,IF(BQ12&lt;=eco,alpha*fck*(1-(1-BQ12/eco)^n),alpha*fck),0)</f>
      </c>
      <c r="BT12" s="20">
        <f>BR12-BS12</f>
      </c>
      <c r="BU12" s="19">
        <f>BT12*$E12</f>
      </c>
      <c r="BV12" s="19">
        <f>BU12*$D12</f>
      </c>
      <c r="BW12" s="19">
        <f>BU12*$C12</f>
      </c>
      <c r="BX12" s="37">
        <f>PM_Angle!$J$17+PM_Angle!$K$17*$D12+PM_Angle!$L$17*$C12</f>
      </c>
      <c r="BY12" s="20">
        <f>MAX(MIN(Es*BX12,fy),-fy)</f>
      </c>
      <c r="BZ12" s="20">
        <f>IF(BX12&gt;0,IF(BX12&lt;=eco,alpha*fck*(1-(1-BX12/eco)^n),alpha*fck),0)</f>
      </c>
      <c r="CA12" s="20">
        <f>BY12-BZ12</f>
      </c>
      <c r="CB12" s="19">
        <f>CA12*$E12</f>
      </c>
      <c r="CC12" s="19">
        <f>CB12*$D12</f>
      </c>
      <c r="CD12" s="19">
        <f>CB12*$C12</f>
      </c>
      <c r="CE12" s="37">
        <f>PM_Angle!$J$18+PM_Angle!$K$18*$D12+PM_Angle!$L$18*$C12</f>
      </c>
      <c r="CF12" s="20">
        <f>MAX(MIN(Es*CE12,fy),-fy)</f>
      </c>
      <c r="CG12" s="20">
        <f>IF(CE12&gt;0,IF(CE12&lt;=eco,alpha*fck*(1-(1-CE12/eco)^n),alpha*fck),0)</f>
      </c>
      <c r="CH12" s="20">
        <f>CF12-CG12</f>
      </c>
      <c r="CI12" s="19">
        <f>CH12*$E12</f>
      </c>
      <c r="CJ12" s="19">
        <f>CI12*$D12</f>
      </c>
      <c r="CK12" s="19">
        <f>CI12*$C12</f>
      </c>
      <c r="CL12" s="37">
        <f>PM_Angle!$J$19+PM_Angle!$K$19*$D12+PM_Angle!$L$19*$C12</f>
      </c>
      <c r="CM12" s="20">
        <f>MAX(MIN(Es*CL12,fy),-fy)</f>
      </c>
      <c r="CN12" s="20">
        <f>IF(CL12&gt;0,IF(CL12&lt;=eco,alpha*fck*(1-(1-CL12/eco)^n),alpha*fck),0)</f>
      </c>
      <c r="CO12" s="20">
        <f>CM12-CN12</f>
      </c>
      <c r="CP12" s="19">
        <f>CO12*$E12</f>
      </c>
      <c r="CQ12" s="19">
        <f>CP12*$D12</f>
      </c>
      <c r="CR12" s="19">
        <f>CP12*$C12</f>
      </c>
      <c r="CS12" s="37">
        <f>PM_Angle!$J$20+PM_Angle!$K$20*$D12+PM_Angle!$L$20*$C12</f>
      </c>
      <c r="CT12" s="20">
        <f>MAX(MIN(Es*CS12,fy),-fy)</f>
      </c>
      <c r="CU12" s="20">
        <f>IF(CS12&gt;0,IF(CS12&lt;=eco,alpha*fck*(1-(1-CS12/eco)^n),alpha*fck),0)</f>
      </c>
      <c r="CV12" s="20">
        <f>CT12-CU12</f>
      </c>
      <c r="CW12" s="19">
        <f>CV12*$E12</f>
      </c>
      <c r="CX12" s="19">
        <f>CW12*$D12</f>
      </c>
      <c r="CY12" s="19">
        <f>CW12*$C12</f>
      </c>
      <c r="CZ12" s="37">
        <f>PM_Angle!$J$21+PM_Angle!$K$21*$D12+PM_Angle!$L$21*$C12</f>
      </c>
      <c r="DA12" s="20">
        <f>MAX(MIN(Es*CZ12,fy),-fy)</f>
      </c>
      <c r="DB12" s="20">
        <f>IF(CZ12&gt;0,IF(CZ12&lt;=eco,alpha*fck*(1-(1-CZ12/eco)^n),alpha*fck),0)</f>
      </c>
      <c r="DC12" s="20">
        <f>DA12-DB12</f>
      </c>
      <c r="DD12" s="19">
        <f>DC12*$E12</f>
      </c>
      <c r="DE12" s="19">
        <f>DD12*$D12</f>
      </c>
      <c r="DF12" s="19">
        <f>DD12*$C12</f>
      </c>
      <c r="DG12" s="37">
        <f>PM_Angle!$J$22+PM_Angle!$K$22*$D12+PM_Angle!$L$22*$C12</f>
      </c>
      <c r="DH12" s="20">
        <f>MAX(MIN(Es*DG12,fy),-fy)</f>
      </c>
      <c r="DI12" s="20">
        <f>IF(DG12&gt;0,IF(DG12&lt;=eco,alpha*fck*(1-(1-DG12/eco)^n),alpha*fck),0)</f>
      </c>
      <c r="DJ12" s="20">
        <f>DH12-DI12</f>
      </c>
      <c r="DK12" s="19">
        <f>DJ12*$E12</f>
      </c>
      <c r="DL12" s="19">
        <f>DK12*$D12</f>
      </c>
      <c r="DM12" s="19">
        <f>DK12*$C12</f>
      </c>
      <c r="DN12" s="37">
        <f>PM_Angle!$J$23+PM_Angle!$K$23*$D12+PM_Angle!$L$23*$C12</f>
      </c>
      <c r="DO12" s="20">
        <f>MAX(MIN(Es*DN12,fy),-fy)</f>
      </c>
      <c r="DP12" s="20">
        <f>IF(DN12&gt;0,IF(DN12&lt;=eco,alpha*fck*(1-(1-DN12/eco)^n),alpha*fck),0)</f>
      </c>
      <c r="DQ12" s="20">
        <f>DO12-DP12</f>
      </c>
      <c r="DR12" s="19">
        <f>DQ12*$E12</f>
      </c>
      <c r="DS12" s="19">
        <f>DR12*$D12</f>
      </c>
      <c r="DT12" s="19">
        <f>DR12*$C12</f>
      </c>
      <c r="DU12" s="37">
        <f>PM_Angle!$J$24+PM_Angle!$K$24*$D12+PM_Angle!$L$24*$C12</f>
      </c>
      <c r="DV12" s="20">
        <f>MAX(MIN(Es*DU12,fy),-fy)</f>
      </c>
      <c r="DW12" s="20">
        <f>IF(DU12&gt;0,IF(DU12&lt;=eco,alpha*fck*(1-(1-DU12/eco)^n),alpha*fck),0)</f>
      </c>
      <c r="DX12" s="20">
        <f>DV12-DW12</f>
      </c>
      <c r="DY12" s="19">
        <f>DX12*$E12</f>
      </c>
      <c r="DZ12" s="19">
        <f>DY12*$D12</f>
      </c>
      <c r="EA12" s="19">
        <f>DY12*$C12</f>
      </c>
      <c r="EB12" s="37">
        <f>PM_Angle!$J$25+PM_Angle!$K$25*$D12+PM_Angle!$L$25*$C12</f>
      </c>
      <c r="EC12" s="20">
        <f>MAX(MIN(Es*EB12,fy),-fy)</f>
      </c>
      <c r="ED12" s="20">
        <f>IF(EB12&gt;0,IF(EB12&lt;=eco,alpha*fck*(1-(1-EB12/eco)^n),alpha*fck),0)</f>
      </c>
      <c r="EE12" s="20">
        <f>EC12-ED12</f>
      </c>
      <c r="EF12" s="19">
        <f>EE12*$E12</f>
      </c>
      <c r="EG12" s="19">
        <f>EF12*$D12</f>
      </c>
      <c r="EH12" s="19">
        <f>EF12*$C12</f>
      </c>
      <c r="EI12" s="37">
        <f>PM_Angle!$J$26+PM_Angle!$K$26*$D12+PM_Angle!$L$26*$C12</f>
      </c>
      <c r="EJ12" s="20">
        <f>MAX(MIN(Es*EI12,fy),-fy)</f>
      </c>
      <c r="EK12" s="20">
        <f>IF(EI12&gt;0,IF(EI12&lt;=eco,alpha*fck*(1-(1-EI12/eco)^n),alpha*fck),0)</f>
      </c>
      <c r="EL12" s="20">
        <f>EJ12-EK12</f>
      </c>
      <c r="EM12" s="19">
        <f>EL12*$E12</f>
      </c>
      <c r="EN12" s="19">
        <f>EM12*$D12</f>
      </c>
      <c r="EO12" s="19">
        <f>EM12*$C12</f>
      </c>
      <c r="EP12" s="37">
        <f>PM_Angle!$J$27+PM_Angle!$K$27*$D12+PM_Angle!$L$27*$C12</f>
      </c>
      <c r="EQ12" s="20">
        <f>MAX(MIN(Es*EP12,fy),-fy)</f>
      </c>
      <c r="ER12" s="20">
        <f>IF(EP12&gt;0,IF(EP12&lt;=eco,alpha*fck*(1-(1-EP12/eco)^n),alpha*fck),0)</f>
      </c>
      <c r="ES12" s="20">
        <f>EQ12-ER12</f>
      </c>
      <c r="ET12" s="19">
        <f>ES12*$E12</f>
      </c>
      <c r="EU12" s="19">
        <f>ET12*$D12</f>
      </c>
      <c r="EV12" s="19">
        <f>ET12*$C12</f>
      </c>
      <c r="EW12" s="37">
        <f>PM_Angle!$J$28+PM_Angle!$K$28*$D12+PM_Angle!$L$28*$C12</f>
      </c>
      <c r="EX12" s="20">
        <f>MAX(MIN(Es*EW12,fy),-fy)</f>
      </c>
      <c r="EY12" s="20">
        <f>IF(EW12&gt;0,IF(EW12&lt;=eco,alpha*fck*(1-(1-EW12/eco)^n),alpha*fck),0)</f>
      </c>
      <c r="EZ12" s="20">
        <f>EX12-EY12</f>
      </c>
      <c r="FA12" s="19">
        <f>EZ12*$E12</f>
      </c>
      <c r="FB12" s="19">
        <f>FA12*$D12</f>
      </c>
      <c r="FC12" s="19">
        <f>FA12*$C12</f>
      </c>
      <c r="FD12" s="37">
        <f>PM_Angle!$J$29+PM_Angle!$K$29*$D12+PM_Angle!$L$29*$C12</f>
      </c>
      <c r="FE12" s="20">
        <f>MAX(MIN(Es*FD12,fy),-fy)</f>
      </c>
      <c r="FF12" s="20">
        <f>IF(FD12&gt;0,IF(FD12&lt;=eco,alpha*fck*(1-(1-FD12/eco)^n),alpha*fck),0)</f>
      </c>
      <c r="FG12" s="20">
        <f>FE12-FF12</f>
      </c>
      <c r="FH12" s="19">
        <f>FG12*$E12</f>
      </c>
      <c r="FI12" s="19">
        <f>FH12*$D12</f>
      </c>
      <c r="FJ12" s="19">
        <f>FH12*$C12</f>
      </c>
      <c r="FK12" s="37">
        <f>PM_Angle!$J$30+PM_Angle!$K$30*$D12+PM_Angle!$L$30*$C12</f>
      </c>
      <c r="FL12" s="20">
        <f>MAX(MIN(Es*FK12,fy),-fy)</f>
      </c>
      <c r="FM12" s="20">
        <f>IF(FK12&gt;0,IF(FK12&lt;=eco,alpha*fck*(1-(1-FK12/eco)^n),alpha*fck),0)</f>
      </c>
      <c r="FN12" s="20">
        <f>FL12-FM12</f>
      </c>
      <c r="FO12" s="19">
        <f>FN12*$E12</f>
      </c>
      <c r="FP12" s="19">
        <f>FO12*$D12</f>
      </c>
      <c r="FQ12" s="19">
        <f>FO12*$C12</f>
      </c>
      <c r="FR12" s="37">
        <f>PM_Angle!$J$31+PM_Angle!$K$31*$D12+PM_Angle!$L$31*$C12</f>
      </c>
      <c r="FS12" s="20">
        <f>MAX(MIN(Es*FR12,fy),-fy)</f>
      </c>
      <c r="FT12" s="20">
        <f>IF(FR12&gt;0,IF(FR12&lt;=eco,alpha*fck*(1-(1-FR12/eco)^n),alpha*fck),0)</f>
      </c>
      <c r="FU12" s="20">
        <f>FS12-FT12</f>
      </c>
      <c r="FV12" s="19">
        <f>FU12*$E12</f>
      </c>
      <c r="FW12" s="19">
        <f>FV12*$D12</f>
      </c>
      <c r="FX12" s="19">
        <f>FV12*$C12</f>
      </c>
      <c r="FY12" s="37">
        <f>PM_Angle!$J$32+PM_Angle!$K$32*$D12+PM_Angle!$L$32*$C12</f>
      </c>
      <c r="FZ12" s="20">
        <f>MAX(MIN(Es*FY12,fy),-fy)</f>
      </c>
      <c r="GA12" s="20">
        <f>IF(FY12&gt;0,IF(FY12&lt;=eco,alpha*fck*(1-(1-FY12/eco)^n),alpha*fck),0)</f>
      </c>
      <c r="GB12" s="20">
        <f>FZ12-GA12</f>
      </c>
      <c r="GC12" s="19">
        <f>GB12*$E12</f>
      </c>
      <c r="GD12" s="19">
        <f>GC12*$D12</f>
      </c>
      <c r="GE12" s="19">
        <f>GC12*$C12</f>
      </c>
      <c r="GF12" s="37">
        <f>PM_Angle!$J$33+PM_Angle!$K$33*$D12+PM_Angle!$L$33*$C12</f>
      </c>
      <c r="GG12" s="20">
        <f>MAX(MIN(Es*GF12,fy),-fy)</f>
      </c>
      <c r="GH12" s="20">
        <f>IF(GF12&gt;0,IF(GF12&lt;=eco,alpha*fck*(1-(1-GF12/eco)^n),alpha*fck),0)</f>
      </c>
      <c r="GI12" s="20">
        <f>GG12-GH12</f>
      </c>
      <c r="GJ12" s="19">
        <f>GI12*$E12</f>
      </c>
      <c r="GK12" s="19">
        <f>GJ12*$D12</f>
      </c>
      <c r="GL12" s="19">
        <f>GJ12*$C12</f>
      </c>
      <c r="GM12" s="37">
        <f>Eq_e0+Eq_kx*$D12+Eq_ky*$C12</f>
      </c>
      <c r="GN12" s="20">
        <f>MAX(MIN(Es*GM12,fy),-fy)</f>
      </c>
      <c r="GO12" s="20">
        <f>IF(GM12&gt;0,IF(GM12&lt;=eco,alpha*fck*(1-(1-GM12/eco)^n),alpha*fck),0)</f>
      </c>
      <c r="GP12" s="20">
        <f>GN12-GO12</f>
      </c>
      <c r="GQ12" s="19">
        <f>GP12*$E12</f>
      </c>
      <c r="GR12" s="19">
        <f>GQ12*$D12</f>
      </c>
      <c r="GS12" s="19">
        <f>GQ12*$C12</f>
      </c>
    </row>
    <row r="13" spans="1:201" x14ac:dyDescent="0.25">
      <c r="A13">
        <v>7</v>
      </c>
      <c r="B13" s="20">
        <f>Geometry!C48</f>
      </c>
      <c r="C13" s="20">
        <f>Geometry!D48</f>
      </c>
      <c r="D13" s="20">
        <f>Geometry!E48</f>
      </c>
      <c r="E13" s="20">
        <f>Geometry!F48</f>
      </c>
      <c r="F13" s="37">
        <f>PM_Angle!$J$7+PM_Angle!$K$7*$D13+PM_Angle!$L$7*$C13</f>
      </c>
      <c r="G13" s="20">
        <f>MAX(MIN(Es*F13,fy),-fy)</f>
      </c>
      <c r="H13" s="20">
        <f>IF(F13&gt;0,IF(F13&lt;=eco,alpha*fck*(1-(1-F13/eco)^n),alpha*fck),0)</f>
      </c>
      <c r="I13" s="20">
        <f>G13-H13</f>
      </c>
      <c r="J13" s="19">
        <f>I13*$E13</f>
      </c>
      <c r="K13" s="19">
        <f>J13*$D13</f>
      </c>
      <c r="L13" s="19">
        <f>J13*$C13</f>
      </c>
      <c r="M13" s="37">
        <f>PM_Angle!$J$8+PM_Angle!$K$8*$D13+PM_Angle!$L$8*$C13</f>
      </c>
      <c r="N13" s="20">
        <f>MAX(MIN(Es*M13,fy),-fy)</f>
      </c>
      <c r="O13" s="20">
        <f>IF(M13&gt;0,IF(M13&lt;=eco,alpha*fck*(1-(1-M13/eco)^n),alpha*fck),0)</f>
      </c>
      <c r="P13" s="20">
        <f>N13-O13</f>
      </c>
      <c r="Q13" s="19">
        <f>P13*$E13</f>
      </c>
      <c r="R13" s="19">
        <f>Q13*$D13</f>
      </c>
      <c r="S13" s="19">
        <f>Q13*$C13</f>
      </c>
      <c r="T13" s="37">
        <f>PM_Angle!$J$9+PM_Angle!$K$9*$D13+PM_Angle!$L$9*$C13</f>
      </c>
      <c r="U13" s="20">
        <f>MAX(MIN(Es*T13,fy),-fy)</f>
      </c>
      <c r="V13" s="20">
        <f>IF(T13&gt;0,IF(T13&lt;=eco,alpha*fck*(1-(1-T13/eco)^n),alpha*fck),0)</f>
      </c>
      <c r="W13" s="20">
        <f>U13-V13</f>
      </c>
      <c r="X13" s="19">
        <f>W13*$E13</f>
      </c>
      <c r="Y13" s="19">
        <f>X13*$D13</f>
      </c>
      <c r="Z13" s="19">
        <f>X13*$C13</f>
      </c>
      <c r="AA13" s="37">
        <f>PM_Angle!$J$10+PM_Angle!$K$10*$D13+PM_Angle!$L$10*$C13</f>
      </c>
      <c r="AB13" s="20">
        <f>MAX(MIN(Es*AA13,fy),-fy)</f>
      </c>
      <c r="AC13" s="20">
        <f>IF(AA13&gt;0,IF(AA13&lt;=eco,alpha*fck*(1-(1-AA13/eco)^n),alpha*fck),0)</f>
      </c>
      <c r="AD13" s="20">
        <f>AB13-AC13</f>
      </c>
      <c r="AE13" s="19">
        <f>AD13*$E13</f>
      </c>
      <c r="AF13" s="19">
        <f>AE13*$D13</f>
      </c>
      <c r="AG13" s="19">
        <f>AE13*$C13</f>
      </c>
      <c r="AH13" s="37">
        <f>PM_Angle!$J$11+PM_Angle!$K$11*$D13+PM_Angle!$L$11*$C13</f>
      </c>
      <c r="AI13" s="20">
        <f>MAX(MIN(Es*AH13,fy),-fy)</f>
      </c>
      <c r="AJ13" s="20">
        <f>IF(AH13&gt;0,IF(AH13&lt;=eco,alpha*fck*(1-(1-AH13/eco)^n),alpha*fck),0)</f>
      </c>
      <c r="AK13" s="20">
        <f>AI13-AJ13</f>
      </c>
      <c r="AL13" s="19">
        <f>AK13*$E13</f>
      </c>
      <c r="AM13" s="19">
        <f>AL13*$D13</f>
      </c>
      <c r="AN13" s="19">
        <f>AL13*$C13</f>
      </c>
      <c r="AO13" s="37">
        <f>PM_Angle!$J$12+PM_Angle!$K$12*$D13+PM_Angle!$L$12*$C13</f>
      </c>
      <c r="AP13" s="20">
        <f>MAX(MIN(Es*AO13,fy),-fy)</f>
      </c>
      <c r="AQ13" s="20">
        <f>IF(AO13&gt;0,IF(AO13&lt;=eco,alpha*fck*(1-(1-AO13/eco)^n),alpha*fck),0)</f>
      </c>
      <c r="AR13" s="20">
        <f>AP13-AQ13</f>
      </c>
      <c r="AS13" s="19">
        <f>AR13*$E13</f>
      </c>
      <c r="AT13" s="19">
        <f>AS13*$D13</f>
      </c>
      <c r="AU13" s="19">
        <f>AS13*$C13</f>
      </c>
      <c r="AV13" s="37">
        <f>PM_Angle!$J$13+PM_Angle!$K$13*$D13+PM_Angle!$L$13*$C13</f>
      </c>
      <c r="AW13" s="20">
        <f>MAX(MIN(Es*AV13,fy),-fy)</f>
      </c>
      <c r="AX13" s="20">
        <f>IF(AV13&gt;0,IF(AV13&lt;=eco,alpha*fck*(1-(1-AV13/eco)^n),alpha*fck),0)</f>
      </c>
      <c r="AY13" s="20">
        <f>AW13-AX13</f>
      </c>
      <c r="AZ13" s="19">
        <f>AY13*$E13</f>
      </c>
      <c r="BA13" s="19">
        <f>AZ13*$D13</f>
      </c>
      <c r="BB13" s="19">
        <f>AZ13*$C13</f>
      </c>
      <c r="BC13" s="37">
        <f>PM_Angle!$J$14+PM_Angle!$K$14*$D13+PM_Angle!$L$14*$C13</f>
      </c>
      <c r="BD13" s="20">
        <f>MAX(MIN(Es*BC13,fy),-fy)</f>
      </c>
      <c r="BE13" s="20">
        <f>IF(BC13&gt;0,IF(BC13&lt;=eco,alpha*fck*(1-(1-BC13/eco)^n),alpha*fck),0)</f>
      </c>
      <c r="BF13" s="20">
        <f>BD13-BE13</f>
      </c>
      <c r="BG13" s="19">
        <f>BF13*$E13</f>
      </c>
      <c r="BH13" s="19">
        <f>BG13*$D13</f>
      </c>
      <c r="BI13" s="19">
        <f>BG13*$C13</f>
      </c>
      <c r="BJ13" s="37">
        <f>PM_Angle!$J$15+PM_Angle!$K$15*$D13+PM_Angle!$L$15*$C13</f>
      </c>
      <c r="BK13" s="20">
        <f>MAX(MIN(Es*BJ13,fy),-fy)</f>
      </c>
      <c r="BL13" s="20">
        <f>IF(BJ13&gt;0,IF(BJ13&lt;=eco,alpha*fck*(1-(1-BJ13/eco)^n),alpha*fck),0)</f>
      </c>
      <c r="BM13" s="20">
        <f>BK13-BL13</f>
      </c>
      <c r="BN13" s="19">
        <f>BM13*$E13</f>
      </c>
      <c r="BO13" s="19">
        <f>BN13*$D13</f>
      </c>
      <c r="BP13" s="19">
        <f>BN13*$C13</f>
      </c>
      <c r="BQ13" s="37">
        <f>PM_Angle!$J$16+PM_Angle!$K$16*$D13+PM_Angle!$L$16*$C13</f>
      </c>
      <c r="BR13" s="20">
        <f>MAX(MIN(Es*BQ13,fy),-fy)</f>
      </c>
      <c r="BS13" s="20">
        <f>IF(BQ13&gt;0,IF(BQ13&lt;=eco,alpha*fck*(1-(1-BQ13/eco)^n),alpha*fck),0)</f>
      </c>
      <c r="BT13" s="20">
        <f>BR13-BS13</f>
      </c>
      <c r="BU13" s="19">
        <f>BT13*$E13</f>
      </c>
      <c r="BV13" s="19">
        <f>BU13*$D13</f>
      </c>
      <c r="BW13" s="19">
        <f>BU13*$C13</f>
      </c>
      <c r="BX13" s="37">
        <f>PM_Angle!$J$17+PM_Angle!$K$17*$D13+PM_Angle!$L$17*$C13</f>
      </c>
      <c r="BY13" s="20">
        <f>MAX(MIN(Es*BX13,fy),-fy)</f>
      </c>
      <c r="BZ13" s="20">
        <f>IF(BX13&gt;0,IF(BX13&lt;=eco,alpha*fck*(1-(1-BX13/eco)^n),alpha*fck),0)</f>
      </c>
      <c r="CA13" s="20">
        <f>BY13-BZ13</f>
      </c>
      <c r="CB13" s="19">
        <f>CA13*$E13</f>
      </c>
      <c r="CC13" s="19">
        <f>CB13*$D13</f>
      </c>
      <c r="CD13" s="19">
        <f>CB13*$C13</f>
      </c>
      <c r="CE13" s="37">
        <f>PM_Angle!$J$18+PM_Angle!$K$18*$D13+PM_Angle!$L$18*$C13</f>
      </c>
      <c r="CF13" s="20">
        <f>MAX(MIN(Es*CE13,fy),-fy)</f>
      </c>
      <c r="CG13" s="20">
        <f>IF(CE13&gt;0,IF(CE13&lt;=eco,alpha*fck*(1-(1-CE13/eco)^n),alpha*fck),0)</f>
      </c>
      <c r="CH13" s="20">
        <f>CF13-CG13</f>
      </c>
      <c r="CI13" s="19">
        <f>CH13*$E13</f>
      </c>
      <c r="CJ13" s="19">
        <f>CI13*$D13</f>
      </c>
      <c r="CK13" s="19">
        <f>CI13*$C13</f>
      </c>
      <c r="CL13" s="37">
        <f>PM_Angle!$J$19+PM_Angle!$K$19*$D13+PM_Angle!$L$19*$C13</f>
      </c>
      <c r="CM13" s="20">
        <f>MAX(MIN(Es*CL13,fy),-fy)</f>
      </c>
      <c r="CN13" s="20">
        <f>IF(CL13&gt;0,IF(CL13&lt;=eco,alpha*fck*(1-(1-CL13/eco)^n),alpha*fck),0)</f>
      </c>
      <c r="CO13" s="20">
        <f>CM13-CN13</f>
      </c>
      <c r="CP13" s="19">
        <f>CO13*$E13</f>
      </c>
      <c r="CQ13" s="19">
        <f>CP13*$D13</f>
      </c>
      <c r="CR13" s="19">
        <f>CP13*$C13</f>
      </c>
      <c r="CS13" s="37">
        <f>PM_Angle!$J$20+PM_Angle!$K$20*$D13+PM_Angle!$L$20*$C13</f>
      </c>
      <c r="CT13" s="20">
        <f>MAX(MIN(Es*CS13,fy),-fy)</f>
      </c>
      <c r="CU13" s="20">
        <f>IF(CS13&gt;0,IF(CS13&lt;=eco,alpha*fck*(1-(1-CS13/eco)^n),alpha*fck),0)</f>
      </c>
      <c r="CV13" s="20">
        <f>CT13-CU13</f>
      </c>
      <c r="CW13" s="19">
        <f>CV13*$E13</f>
      </c>
      <c r="CX13" s="19">
        <f>CW13*$D13</f>
      </c>
      <c r="CY13" s="19">
        <f>CW13*$C13</f>
      </c>
      <c r="CZ13" s="37">
        <f>PM_Angle!$J$21+PM_Angle!$K$21*$D13+PM_Angle!$L$21*$C13</f>
      </c>
      <c r="DA13" s="20">
        <f>MAX(MIN(Es*CZ13,fy),-fy)</f>
      </c>
      <c r="DB13" s="20">
        <f>IF(CZ13&gt;0,IF(CZ13&lt;=eco,alpha*fck*(1-(1-CZ13/eco)^n),alpha*fck),0)</f>
      </c>
      <c r="DC13" s="20">
        <f>DA13-DB13</f>
      </c>
      <c r="DD13" s="19">
        <f>DC13*$E13</f>
      </c>
      <c r="DE13" s="19">
        <f>DD13*$D13</f>
      </c>
      <c r="DF13" s="19">
        <f>DD13*$C13</f>
      </c>
      <c r="DG13" s="37">
        <f>PM_Angle!$J$22+PM_Angle!$K$22*$D13+PM_Angle!$L$22*$C13</f>
      </c>
      <c r="DH13" s="20">
        <f>MAX(MIN(Es*DG13,fy),-fy)</f>
      </c>
      <c r="DI13" s="20">
        <f>IF(DG13&gt;0,IF(DG13&lt;=eco,alpha*fck*(1-(1-DG13/eco)^n),alpha*fck),0)</f>
      </c>
      <c r="DJ13" s="20">
        <f>DH13-DI13</f>
      </c>
      <c r="DK13" s="19">
        <f>DJ13*$E13</f>
      </c>
      <c r="DL13" s="19">
        <f>DK13*$D13</f>
      </c>
      <c r="DM13" s="19">
        <f>DK13*$C13</f>
      </c>
      <c r="DN13" s="37">
        <f>PM_Angle!$J$23+PM_Angle!$K$23*$D13+PM_Angle!$L$23*$C13</f>
      </c>
      <c r="DO13" s="20">
        <f>MAX(MIN(Es*DN13,fy),-fy)</f>
      </c>
      <c r="DP13" s="20">
        <f>IF(DN13&gt;0,IF(DN13&lt;=eco,alpha*fck*(1-(1-DN13/eco)^n),alpha*fck),0)</f>
      </c>
      <c r="DQ13" s="20">
        <f>DO13-DP13</f>
      </c>
      <c r="DR13" s="19">
        <f>DQ13*$E13</f>
      </c>
      <c r="DS13" s="19">
        <f>DR13*$D13</f>
      </c>
      <c r="DT13" s="19">
        <f>DR13*$C13</f>
      </c>
      <c r="DU13" s="37">
        <f>PM_Angle!$J$24+PM_Angle!$K$24*$D13+PM_Angle!$L$24*$C13</f>
      </c>
      <c r="DV13" s="20">
        <f>MAX(MIN(Es*DU13,fy),-fy)</f>
      </c>
      <c r="DW13" s="20">
        <f>IF(DU13&gt;0,IF(DU13&lt;=eco,alpha*fck*(1-(1-DU13/eco)^n),alpha*fck),0)</f>
      </c>
      <c r="DX13" s="20">
        <f>DV13-DW13</f>
      </c>
      <c r="DY13" s="19">
        <f>DX13*$E13</f>
      </c>
      <c r="DZ13" s="19">
        <f>DY13*$D13</f>
      </c>
      <c r="EA13" s="19">
        <f>DY13*$C13</f>
      </c>
      <c r="EB13" s="37">
        <f>PM_Angle!$J$25+PM_Angle!$K$25*$D13+PM_Angle!$L$25*$C13</f>
      </c>
      <c r="EC13" s="20">
        <f>MAX(MIN(Es*EB13,fy),-fy)</f>
      </c>
      <c r="ED13" s="20">
        <f>IF(EB13&gt;0,IF(EB13&lt;=eco,alpha*fck*(1-(1-EB13/eco)^n),alpha*fck),0)</f>
      </c>
      <c r="EE13" s="20">
        <f>EC13-ED13</f>
      </c>
      <c r="EF13" s="19">
        <f>EE13*$E13</f>
      </c>
      <c r="EG13" s="19">
        <f>EF13*$D13</f>
      </c>
      <c r="EH13" s="19">
        <f>EF13*$C13</f>
      </c>
      <c r="EI13" s="37">
        <f>PM_Angle!$J$26+PM_Angle!$K$26*$D13+PM_Angle!$L$26*$C13</f>
      </c>
      <c r="EJ13" s="20">
        <f>MAX(MIN(Es*EI13,fy),-fy)</f>
      </c>
      <c r="EK13" s="20">
        <f>IF(EI13&gt;0,IF(EI13&lt;=eco,alpha*fck*(1-(1-EI13/eco)^n),alpha*fck),0)</f>
      </c>
      <c r="EL13" s="20">
        <f>EJ13-EK13</f>
      </c>
      <c r="EM13" s="19">
        <f>EL13*$E13</f>
      </c>
      <c r="EN13" s="19">
        <f>EM13*$D13</f>
      </c>
      <c r="EO13" s="19">
        <f>EM13*$C13</f>
      </c>
      <c r="EP13" s="37">
        <f>PM_Angle!$J$27+PM_Angle!$K$27*$D13+PM_Angle!$L$27*$C13</f>
      </c>
      <c r="EQ13" s="20">
        <f>MAX(MIN(Es*EP13,fy),-fy)</f>
      </c>
      <c r="ER13" s="20">
        <f>IF(EP13&gt;0,IF(EP13&lt;=eco,alpha*fck*(1-(1-EP13/eco)^n),alpha*fck),0)</f>
      </c>
      <c r="ES13" s="20">
        <f>EQ13-ER13</f>
      </c>
      <c r="ET13" s="19">
        <f>ES13*$E13</f>
      </c>
      <c r="EU13" s="19">
        <f>ET13*$D13</f>
      </c>
      <c r="EV13" s="19">
        <f>ET13*$C13</f>
      </c>
      <c r="EW13" s="37">
        <f>PM_Angle!$J$28+PM_Angle!$K$28*$D13+PM_Angle!$L$28*$C13</f>
      </c>
      <c r="EX13" s="20">
        <f>MAX(MIN(Es*EW13,fy),-fy)</f>
      </c>
      <c r="EY13" s="20">
        <f>IF(EW13&gt;0,IF(EW13&lt;=eco,alpha*fck*(1-(1-EW13/eco)^n),alpha*fck),0)</f>
      </c>
      <c r="EZ13" s="20">
        <f>EX13-EY13</f>
      </c>
      <c r="FA13" s="19">
        <f>EZ13*$E13</f>
      </c>
      <c r="FB13" s="19">
        <f>FA13*$D13</f>
      </c>
      <c r="FC13" s="19">
        <f>FA13*$C13</f>
      </c>
      <c r="FD13" s="37">
        <f>PM_Angle!$J$29+PM_Angle!$K$29*$D13+PM_Angle!$L$29*$C13</f>
      </c>
      <c r="FE13" s="20">
        <f>MAX(MIN(Es*FD13,fy),-fy)</f>
      </c>
      <c r="FF13" s="20">
        <f>IF(FD13&gt;0,IF(FD13&lt;=eco,alpha*fck*(1-(1-FD13/eco)^n),alpha*fck),0)</f>
      </c>
      <c r="FG13" s="20">
        <f>FE13-FF13</f>
      </c>
      <c r="FH13" s="19">
        <f>FG13*$E13</f>
      </c>
      <c r="FI13" s="19">
        <f>FH13*$D13</f>
      </c>
      <c r="FJ13" s="19">
        <f>FH13*$C13</f>
      </c>
      <c r="FK13" s="37">
        <f>PM_Angle!$J$30+PM_Angle!$K$30*$D13+PM_Angle!$L$30*$C13</f>
      </c>
      <c r="FL13" s="20">
        <f>MAX(MIN(Es*FK13,fy),-fy)</f>
      </c>
      <c r="FM13" s="20">
        <f>IF(FK13&gt;0,IF(FK13&lt;=eco,alpha*fck*(1-(1-FK13/eco)^n),alpha*fck),0)</f>
      </c>
      <c r="FN13" s="20">
        <f>FL13-FM13</f>
      </c>
      <c r="FO13" s="19">
        <f>FN13*$E13</f>
      </c>
      <c r="FP13" s="19">
        <f>FO13*$D13</f>
      </c>
      <c r="FQ13" s="19">
        <f>FO13*$C13</f>
      </c>
      <c r="FR13" s="37">
        <f>PM_Angle!$J$31+PM_Angle!$K$31*$D13+PM_Angle!$L$31*$C13</f>
      </c>
      <c r="FS13" s="20">
        <f>MAX(MIN(Es*FR13,fy),-fy)</f>
      </c>
      <c r="FT13" s="20">
        <f>IF(FR13&gt;0,IF(FR13&lt;=eco,alpha*fck*(1-(1-FR13/eco)^n),alpha*fck),0)</f>
      </c>
      <c r="FU13" s="20">
        <f>FS13-FT13</f>
      </c>
      <c r="FV13" s="19">
        <f>FU13*$E13</f>
      </c>
      <c r="FW13" s="19">
        <f>FV13*$D13</f>
      </c>
      <c r="FX13" s="19">
        <f>FV13*$C13</f>
      </c>
      <c r="FY13" s="37">
        <f>PM_Angle!$J$32+PM_Angle!$K$32*$D13+PM_Angle!$L$32*$C13</f>
      </c>
      <c r="FZ13" s="20">
        <f>MAX(MIN(Es*FY13,fy),-fy)</f>
      </c>
      <c r="GA13" s="20">
        <f>IF(FY13&gt;0,IF(FY13&lt;=eco,alpha*fck*(1-(1-FY13/eco)^n),alpha*fck),0)</f>
      </c>
      <c r="GB13" s="20">
        <f>FZ13-GA13</f>
      </c>
      <c r="GC13" s="19">
        <f>GB13*$E13</f>
      </c>
      <c r="GD13" s="19">
        <f>GC13*$D13</f>
      </c>
      <c r="GE13" s="19">
        <f>GC13*$C13</f>
      </c>
      <c r="GF13" s="37">
        <f>PM_Angle!$J$33+PM_Angle!$K$33*$D13+PM_Angle!$L$33*$C13</f>
      </c>
      <c r="GG13" s="20">
        <f>MAX(MIN(Es*GF13,fy),-fy)</f>
      </c>
      <c r="GH13" s="20">
        <f>IF(GF13&gt;0,IF(GF13&lt;=eco,alpha*fck*(1-(1-GF13/eco)^n),alpha*fck),0)</f>
      </c>
      <c r="GI13" s="20">
        <f>GG13-GH13</f>
      </c>
      <c r="GJ13" s="19">
        <f>GI13*$E13</f>
      </c>
      <c r="GK13" s="19">
        <f>GJ13*$D13</f>
      </c>
      <c r="GL13" s="19">
        <f>GJ13*$C13</f>
      </c>
      <c r="GM13" s="37">
        <f>Eq_e0+Eq_kx*$D13+Eq_ky*$C13</f>
      </c>
      <c r="GN13" s="20">
        <f>MAX(MIN(Es*GM13,fy),-fy)</f>
      </c>
      <c r="GO13" s="20">
        <f>IF(GM13&gt;0,IF(GM13&lt;=eco,alpha*fck*(1-(1-GM13/eco)^n),alpha*fck),0)</f>
      </c>
      <c r="GP13" s="20">
        <f>GN13-GO13</f>
      </c>
      <c r="GQ13" s="19">
        <f>GP13*$E13</f>
      </c>
      <c r="GR13" s="19">
        <f>GQ13*$D13</f>
      </c>
      <c r="GS13" s="19">
        <f>GQ13*$C13</f>
      </c>
    </row>
    <row r="14" spans="1:201" x14ac:dyDescent="0.25">
      <c r="A14">
        <v>8</v>
      </c>
      <c r="B14" s="20">
        <f>Geometry!C49</f>
      </c>
      <c r="C14" s="20">
        <f>Geometry!D49</f>
      </c>
      <c r="D14" s="20">
        <f>Geometry!E49</f>
      </c>
      <c r="E14" s="20">
        <f>Geometry!F49</f>
      </c>
      <c r="F14" s="37">
        <f>PM_Angle!$J$7+PM_Angle!$K$7*$D14+PM_Angle!$L$7*$C14</f>
      </c>
      <c r="G14" s="20">
        <f>MAX(MIN(Es*F14,fy),-fy)</f>
      </c>
      <c r="H14" s="20">
        <f>IF(F14&gt;0,IF(F14&lt;=eco,alpha*fck*(1-(1-F14/eco)^n),alpha*fck),0)</f>
      </c>
      <c r="I14" s="20">
        <f>G14-H14</f>
      </c>
      <c r="J14" s="19">
        <f>I14*$E14</f>
      </c>
      <c r="K14" s="19">
        <f>J14*$D14</f>
      </c>
      <c r="L14" s="19">
        <f>J14*$C14</f>
      </c>
      <c r="M14" s="37">
        <f>PM_Angle!$J$8+PM_Angle!$K$8*$D14+PM_Angle!$L$8*$C14</f>
      </c>
      <c r="N14" s="20">
        <f>MAX(MIN(Es*M14,fy),-fy)</f>
      </c>
      <c r="O14" s="20">
        <f>IF(M14&gt;0,IF(M14&lt;=eco,alpha*fck*(1-(1-M14/eco)^n),alpha*fck),0)</f>
      </c>
      <c r="P14" s="20">
        <f>N14-O14</f>
      </c>
      <c r="Q14" s="19">
        <f>P14*$E14</f>
      </c>
      <c r="R14" s="19">
        <f>Q14*$D14</f>
      </c>
      <c r="S14" s="19">
        <f>Q14*$C14</f>
      </c>
      <c r="T14" s="37">
        <f>PM_Angle!$J$9+PM_Angle!$K$9*$D14+PM_Angle!$L$9*$C14</f>
      </c>
      <c r="U14" s="20">
        <f>MAX(MIN(Es*T14,fy),-fy)</f>
      </c>
      <c r="V14" s="20">
        <f>IF(T14&gt;0,IF(T14&lt;=eco,alpha*fck*(1-(1-T14/eco)^n),alpha*fck),0)</f>
      </c>
      <c r="W14" s="20">
        <f>U14-V14</f>
      </c>
      <c r="X14" s="19">
        <f>W14*$E14</f>
      </c>
      <c r="Y14" s="19">
        <f>X14*$D14</f>
      </c>
      <c r="Z14" s="19">
        <f>X14*$C14</f>
      </c>
      <c r="AA14" s="37">
        <f>PM_Angle!$J$10+PM_Angle!$K$10*$D14+PM_Angle!$L$10*$C14</f>
      </c>
      <c r="AB14" s="20">
        <f>MAX(MIN(Es*AA14,fy),-fy)</f>
      </c>
      <c r="AC14" s="20">
        <f>IF(AA14&gt;0,IF(AA14&lt;=eco,alpha*fck*(1-(1-AA14/eco)^n),alpha*fck),0)</f>
      </c>
      <c r="AD14" s="20">
        <f>AB14-AC14</f>
      </c>
      <c r="AE14" s="19">
        <f>AD14*$E14</f>
      </c>
      <c r="AF14" s="19">
        <f>AE14*$D14</f>
      </c>
      <c r="AG14" s="19">
        <f>AE14*$C14</f>
      </c>
      <c r="AH14" s="37">
        <f>PM_Angle!$J$11+PM_Angle!$K$11*$D14+PM_Angle!$L$11*$C14</f>
      </c>
      <c r="AI14" s="20">
        <f>MAX(MIN(Es*AH14,fy),-fy)</f>
      </c>
      <c r="AJ14" s="20">
        <f>IF(AH14&gt;0,IF(AH14&lt;=eco,alpha*fck*(1-(1-AH14/eco)^n),alpha*fck),0)</f>
      </c>
      <c r="AK14" s="20">
        <f>AI14-AJ14</f>
      </c>
      <c r="AL14" s="19">
        <f>AK14*$E14</f>
      </c>
      <c r="AM14" s="19">
        <f>AL14*$D14</f>
      </c>
      <c r="AN14" s="19">
        <f>AL14*$C14</f>
      </c>
      <c r="AO14" s="37">
        <f>PM_Angle!$J$12+PM_Angle!$K$12*$D14+PM_Angle!$L$12*$C14</f>
      </c>
      <c r="AP14" s="20">
        <f>MAX(MIN(Es*AO14,fy),-fy)</f>
      </c>
      <c r="AQ14" s="20">
        <f>IF(AO14&gt;0,IF(AO14&lt;=eco,alpha*fck*(1-(1-AO14/eco)^n),alpha*fck),0)</f>
      </c>
      <c r="AR14" s="20">
        <f>AP14-AQ14</f>
      </c>
      <c r="AS14" s="19">
        <f>AR14*$E14</f>
      </c>
      <c r="AT14" s="19">
        <f>AS14*$D14</f>
      </c>
      <c r="AU14" s="19">
        <f>AS14*$C14</f>
      </c>
      <c r="AV14" s="37">
        <f>PM_Angle!$J$13+PM_Angle!$K$13*$D14+PM_Angle!$L$13*$C14</f>
      </c>
      <c r="AW14" s="20">
        <f>MAX(MIN(Es*AV14,fy),-fy)</f>
      </c>
      <c r="AX14" s="20">
        <f>IF(AV14&gt;0,IF(AV14&lt;=eco,alpha*fck*(1-(1-AV14/eco)^n),alpha*fck),0)</f>
      </c>
      <c r="AY14" s="20">
        <f>AW14-AX14</f>
      </c>
      <c r="AZ14" s="19">
        <f>AY14*$E14</f>
      </c>
      <c r="BA14" s="19">
        <f>AZ14*$D14</f>
      </c>
      <c r="BB14" s="19">
        <f>AZ14*$C14</f>
      </c>
      <c r="BC14" s="37">
        <f>PM_Angle!$J$14+PM_Angle!$K$14*$D14+PM_Angle!$L$14*$C14</f>
      </c>
      <c r="BD14" s="20">
        <f>MAX(MIN(Es*BC14,fy),-fy)</f>
      </c>
      <c r="BE14" s="20">
        <f>IF(BC14&gt;0,IF(BC14&lt;=eco,alpha*fck*(1-(1-BC14/eco)^n),alpha*fck),0)</f>
      </c>
      <c r="BF14" s="20">
        <f>BD14-BE14</f>
      </c>
      <c r="BG14" s="19">
        <f>BF14*$E14</f>
      </c>
      <c r="BH14" s="19">
        <f>BG14*$D14</f>
      </c>
      <c r="BI14" s="19">
        <f>BG14*$C14</f>
      </c>
      <c r="BJ14" s="37">
        <f>PM_Angle!$J$15+PM_Angle!$K$15*$D14+PM_Angle!$L$15*$C14</f>
      </c>
      <c r="BK14" s="20">
        <f>MAX(MIN(Es*BJ14,fy),-fy)</f>
      </c>
      <c r="BL14" s="20">
        <f>IF(BJ14&gt;0,IF(BJ14&lt;=eco,alpha*fck*(1-(1-BJ14/eco)^n),alpha*fck),0)</f>
      </c>
      <c r="BM14" s="20">
        <f>BK14-BL14</f>
      </c>
      <c r="BN14" s="19">
        <f>BM14*$E14</f>
      </c>
      <c r="BO14" s="19">
        <f>BN14*$D14</f>
      </c>
      <c r="BP14" s="19">
        <f>BN14*$C14</f>
      </c>
      <c r="BQ14" s="37">
        <f>PM_Angle!$J$16+PM_Angle!$K$16*$D14+PM_Angle!$L$16*$C14</f>
      </c>
      <c r="BR14" s="20">
        <f>MAX(MIN(Es*BQ14,fy),-fy)</f>
      </c>
      <c r="BS14" s="20">
        <f>IF(BQ14&gt;0,IF(BQ14&lt;=eco,alpha*fck*(1-(1-BQ14/eco)^n),alpha*fck),0)</f>
      </c>
      <c r="BT14" s="20">
        <f>BR14-BS14</f>
      </c>
      <c r="BU14" s="19">
        <f>BT14*$E14</f>
      </c>
      <c r="BV14" s="19">
        <f>BU14*$D14</f>
      </c>
      <c r="BW14" s="19">
        <f>BU14*$C14</f>
      </c>
      <c r="BX14" s="37">
        <f>PM_Angle!$J$17+PM_Angle!$K$17*$D14+PM_Angle!$L$17*$C14</f>
      </c>
      <c r="BY14" s="20">
        <f>MAX(MIN(Es*BX14,fy),-fy)</f>
      </c>
      <c r="BZ14" s="20">
        <f>IF(BX14&gt;0,IF(BX14&lt;=eco,alpha*fck*(1-(1-BX14/eco)^n),alpha*fck),0)</f>
      </c>
      <c r="CA14" s="20">
        <f>BY14-BZ14</f>
      </c>
      <c r="CB14" s="19">
        <f>CA14*$E14</f>
      </c>
      <c r="CC14" s="19">
        <f>CB14*$D14</f>
      </c>
      <c r="CD14" s="19">
        <f>CB14*$C14</f>
      </c>
      <c r="CE14" s="37">
        <f>PM_Angle!$J$18+PM_Angle!$K$18*$D14+PM_Angle!$L$18*$C14</f>
      </c>
      <c r="CF14" s="20">
        <f>MAX(MIN(Es*CE14,fy),-fy)</f>
      </c>
      <c r="CG14" s="20">
        <f>IF(CE14&gt;0,IF(CE14&lt;=eco,alpha*fck*(1-(1-CE14/eco)^n),alpha*fck),0)</f>
      </c>
      <c r="CH14" s="20">
        <f>CF14-CG14</f>
      </c>
      <c r="CI14" s="19">
        <f>CH14*$E14</f>
      </c>
      <c r="CJ14" s="19">
        <f>CI14*$D14</f>
      </c>
      <c r="CK14" s="19">
        <f>CI14*$C14</f>
      </c>
      <c r="CL14" s="37">
        <f>PM_Angle!$J$19+PM_Angle!$K$19*$D14+PM_Angle!$L$19*$C14</f>
      </c>
      <c r="CM14" s="20">
        <f>MAX(MIN(Es*CL14,fy),-fy)</f>
      </c>
      <c r="CN14" s="20">
        <f>IF(CL14&gt;0,IF(CL14&lt;=eco,alpha*fck*(1-(1-CL14/eco)^n),alpha*fck),0)</f>
      </c>
      <c r="CO14" s="20">
        <f>CM14-CN14</f>
      </c>
      <c r="CP14" s="19">
        <f>CO14*$E14</f>
      </c>
      <c r="CQ14" s="19">
        <f>CP14*$D14</f>
      </c>
      <c r="CR14" s="19">
        <f>CP14*$C14</f>
      </c>
      <c r="CS14" s="37">
        <f>PM_Angle!$J$20+PM_Angle!$K$20*$D14+PM_Angle!$L$20*$C14</f>
      </c>
      <c r="CT14" s="20">
        <f>MAX(MIN(Es*CS14,fy),-fy)</f>
      </c>
      <c r="CU14" s="20">
        <f>IF(CS14&gt;0,IF(CS14&lt;=eco,alpha*fck*(1-(1-CS14/eco)^n),alpha*fck),0)</f>
      </c>
      <c r="CV14" s="20">
        <f>CT14-CU14</f>
      </c>
      <c r="CW14" s="19">
        <f>CV14*$E14</f>
      </c>
      <c r="CX14" s="19">
        <f>CW14*$D14</f>
      </c>
      <c r="CY14" s="19">
        <f>CW14*$C14</f>
      </c>
      <c r="CZ14" s="37">
        <f>PM_Angle!$J$21+PM_Angle!$K$21*$D14+PM_Angle!$L$21*$C14</f>
      </c>
      <c r="DA14" s="20">
        <f>MAX(MIN(Es*CZ14,fy),-fy)</f>
      </c>
      <c r="DB14" s="20">
        <f>IF(CZ14&gt;0,IF(CZ14&lt;=eco,alpha*fck*(1-(1-CZ14/eco)^n),alpha*fck),0)</f>
      </c>
      <c r="DC14" s="20">
        <f>DA14-DB14</f>
      </c>
      <c r="DD14" s="19">
        <f>DC14*$E14</f>
      </c>
      <c r="DE14" s="19">
        <f>DD14*$D14</f>
      </c>
      <c r="DF14" s="19">
        <f>DD14*$C14</f>
      </c>
      <c r="DG14" s="37">
        <f>PM_Angle!$J$22+PM_Angle!$K$22*$D14+PM_Angle!$L$22*$C14</f>
      </c>
      <c r="DH14" s="20">
        <f>MAX(MIN(Es*DG14,fy),-fy)</f>
      </c>
      <c r="DI14" s="20">
        <f>IF(DG14&gt;0,IF(DG14&lt;=eco,alpha*fck*(1-(1-DG14/eco)^n),alpha*fck),0)</f>
      </c>
      <c r="DJ14" s="20">
        <f>DH14-DI14</f>
      </c>
      <c r="DK14" s="19">
        <f>DJ14*$E14</f>
      </c>
      <c r="DL14" s="19">
        <f>DK14*$D14</f>
      </c>
      <c r="DM14" s="19">
        <f>DK14*$C14</f>
      </c>
      <c r="DN14" s="37">
        <f>PM_Angle!$J$23+PM_Angle!$K$23*$D14+PM_Angle!$L$23*$C14</f>
      </c>
      <c r="DO14" s="20">
        <f>MAX(MIN(Es*DN14,fy),-fy)</f>
      </c>
      <c r="DP14" s="20">
        <f>IF(DN14&gt;0,IF(DN14&lt;=eco,alpha*fck*(1-(1-DN14/eco)^n),alpha*fck),0)</f>
      </c>
      <c r="DQ14" s="20">
        <f>DO14-DP14</f>
      </c>
      <c r="DR14" s="19">
        <f>DQ14*$E14</f>
      </c>
      <c r="DS14" s="19">
        <f>DR14*$D14</f>
      </c>
      <c r="DT14" s="19">
        <f>DR14*$C14</f>
      </c>
      <c r="DU14" s="37">
        <f>PM_Angle!$J$24+PM_Angle!$K$24*$D14+PM_Angle!$L$24*$C14</f>
      </c>
      <c r="DV14" s="20">
        <f>MAX(MIN(Es*DU14,fy),-fy)</f>
      </c>
      <c r="DW14" s="20">
        <f>IF(DU14&gt;0,IF(DU14&lt;=eco,alpha*fck*(1-(1-DU14/eco)^n),alpha*fck),0)</f>
      </c>
      <c r="DX14" s="20">
        <f>DV14-DW14</f>
      </c>
      <c r="DY14" s="19">
        <f>DX14*$E14</f>
      </c>
      <c r="DZ14" s="19">
        <f>DY14*$D14</f>
      </c>
      <c r="EA14" s="19">
        <f>DY14*$C14</f>
      </c>
      <c r="EB14" s="37">
        <f>PM_Angle!$J$25+PM_Angle!$K$25*$D14+PM_Angle!$L$25*$C14</f>
      </c>
      <c r="EC14" s="20">
        <f>MAX(MIN(Es*EB14,fy),-fy)</f>
      </c>
      <c r="ED14" s="20">
        <f>IF(EB14&gt;0,IF(EB14&lt;=eco,alpha*fck*(1-(1-EB14/eco)^n),alpha*fck),0)</f>
      </c>
      <c r="EE14" s="20">
        <f>EC14-ED14</f>
      </c>
      <c r="EF14" s="19">
        <f>EE14*$E14</f>
      </c>
      <c r="EG14" s="19">
        <f>EF14*$D14</f>
      </c>
      <c r="EH14" s="19">
        <f>EF14*$C14</f>
      </c>
      <c r="EI14" s="37">
        <f>PM_Angle!$J$26+PM_Angle!$K$26*$D14+PM_Angle!$L$26*$C14</f>
      </c>
      <c r="EJ14" s="20">
        <f>MAX(MIN(Es*EI14,fy),-fy)</f>
      </c>
      <c r="EK14" s="20">
        <f>IF(EI14&gt;0,IF(EI14&lt;=eco,alpha*fck*(1-(1-EI14/eco)^n),alpha*fck),0)</f>
      </c>
      <c r="EL14" s="20">
        <f>EJ14-EK14</f>
      </c>
      <c r="EM14" s="19">
        <f>EL14*$E14</f>
      </c>
      <c r="EN14" s="19">
        <f>EM14*$D14</f>
      </c>
      <c r="EO14" s="19">
        <f>EM14*$C14</f>
      </c>
      <c r="EP14" s="37">
        <f>PM_Angle!$J$27+PM_Angle!$K$27*$D14+PM_Angle!$L$27*$C14</f>
      </c>
      <c r="EQ14" s="20">
        <f>MAX(MIN(Es*EP14,fy),-fy)</f>
      </c>
      <c r="ER14" s="20">
        <f>IF(EP14&gt;0,IF(EP14&lt;=eco,alpha*fck*(1-(1-EP14/eco)^n),alpha*fck),0)</f>
      </c>
      <c r="ES14" s="20">
        <f>EQ14-ER14</f>
      </c>
      <c r="ET14" s="19">
        <f>ES14*$E14</f>
      </c>
      <c r="EU14" s="19">
        <f>ET14*$D14</f>
      </c>
      <c r="EV14" s="19">
        <f>ET14*$C14</f>
      </c>
      <c r="EW14" s="37">
        <f>PM_Angle!$J$28+PM_Angle!$K$28*$D14+PM_Angle!$L$28*$C14</f>
      </c>
      <c r="EX14" s="20">
        <f>MAX(MIN(Es*EW14,fy),-fy)</f>
      </c>
      <c r="EY14" s="20">
        <f>IF(EW14&gt;0,IF(EW14&lt;=eco,alpha*fck*(1-(1-EW14/eco)^n),alpha*fck),0)</f>
      </c>
      <c r="EZ14" s="20">
        <f>EX14-EY14</f>
      </c>
      <c r="FA14" s="19">
        <f>EZ14*$E14</f>
      </c>
      <c r="FB14" s="19">
        <f>FA14*$D14</f>
      </c>
      <c r="FC14" s="19">
        <f>FA14*$C14</f>
      </c>
      <c r="FD14" s="37">
        <f>PM_Angle!$J$29+PM_Angle!$K$29*$D14+PM_Angle!$L$29*$C14</f>
      </c>
      <c r="FE14" s="20">
        <f>MAX(MIN(Es*FD14,fy),-fy)</f>
      </c>
      <c r="FF14" s="20">
        <f>IF(FD14&gt;0,IF(FD14&lt;=eco,alpha*fck*(1-(1-FD14/eco)^n),alpha*fck),0)</f>
      </c>
      <c r="FG14" s="20">
        <f>FE14-FF14</f>
      </c>
      <c r="FH14" s="19">
        <f>FG14*$E14</f>
      </c>
      <c r="FI14" s="19">
        <f>FH14*$D14</f>
      </c>
      <c r="FJ14" s="19">
        <f>FH14*$C14</f>
      </c>
      <c r="FK14" s="37">
        <f>PM_Angle!$J$30+PM_Angle!$K$30*$D14+PM_Angle!$L$30*$C14</f>
      </c>
      <c r="FL14" s="20">
        <f>MAX(MIN(Es*FK14,fy),-fy)</f>
      </c>
      <c r="FM14" s="20">
        <f>IF(FK14&gt;0,IF(FK14&lt;=eco,alpha*fck*(1-(1-FK14/eco)^n),alpha*fck),0)</f>
      </c>
      <c r="FN14" s="20">
        <f>FL14-FM14</f>
      </c>
      <c r="FO14" s="19">
        <f>FN14*$E14</f>
      </c>
      <c r="FP14" s="19">
        <f>FO14*$D14</f>
      </c>
      <c r="FQ14" s="19">
        <f>FO14*$C14</f>
      </c>
      <c r="FR14" s="37">
        <f>PM_Angle!$J$31+PM_Angle!$K$31*$D14+PM_Angle!$L$31*$C14</f>
      </c>
      <c r="FS14" s="20">
        <f>MAX(MIN(Es*FR14,fy),-fy)</f>
      </c>
      <c r="FT14" s="20">
        <f>IF(FR14&gt;0,IF(FR14&lt;=eco,alpha*fck*(1-(1-FR14/eco)^n),alpha*fck),0)</f>
      </c>
      <c r="FU14" s="20">
        <f>FS14-FT14</f>
      </c>
      <c r="FV14" s="19">
        <f>FU14*$E14</f>
      </c>
      <c r="FW14" s="19">
        <f>FV14*$D14</f>
      </c>
      <c r="FX14" s="19">
        <f>FV14*$C14</f>
      </c>
      <c r="FY14" s="37">
        <f>PM_Angle!$J$32+PM_Angle!$K$32*$D14+PM_Angle!$L$32*$C14</f>
      </c>
      <c r="FZ14" s="20">
        <f>MAX(MIN(Es*FY14,fy),-fy)</f>
      </c>
      <c r="GA14" s="20">
        <f>IF(FY14&gt;0,IF(FY14&lt;=eco,alpha*fck*(1-(1-FY14/eco)^n),alpha*fck),0)</f>
      </c>
      <c r="GB14" s="20">
        <f>FZ14-GA14</f>
      </c>
      <c r="GC14" s="19">
        <f>GB14*$E14</f>
      </c>
      <c r="GD14" s="19">
        <f>GC14*$D14</f>
      </c>
      <c r="GE14" s="19">
        <f>GC14*$C14</f>
      </c>
      <c r="GF14" s="37">
        <f>PM_Angle!$J$33+PM_Angle!$K$33*$D14+PM_Angle!$L$33*$C14</f>
      </c>
      <c r="GG14" s="20">
        <f>MAX(MIN(Es*GF14,fy),-fy)</f>
      </c>
      <c r="GH14" s="20">
        <f>IF(GF14&gt;0,IF(GF14&lt;=eco,alpha*fck*(1-(1-GF14/eco)^n),alpha*fck),0)</f>
      </c>
      <c r="GI14" s="20">
        <f>GG14-GH14</f>
      </c>
      <c r="GJ14" s="19">
        <f>GI14*$E14</f>
      </c>
      <c r="GK14" s="19">
        <f>GJ14*$D14</f>
      </c>
      <c r="GL14" s="19">
        <f>GJ14*$C14</f>
      </c>
      <c r="GM14" s="37">
        <f>Eq_e0+Eq_kx*$D14+Eq_ky*$C14</f>
      </c>
      <c r="GN14" s="20">
        <f>MAX(MIN(Es*GM14,fy),-fy)</f>
      </c>
      <c r="GO14" s="20">
        <f>IF(GM14&gt;0,IF(GM14&lt;=eco,alpha*fck*(1-(1-GM14/eco)^n),alpha*fck),0)</f>
      </c>
      <c r="GP14" s="20">
        <f>GN14-GO14</f>
      </c>
      <c r="GQ14" s="19">
        <f>GP14*$E14</f>
      </c>
      <c r="GR14" s="19">
        <f>GQ14*$D14</f>
      </c>
      <c r="GS14" s="19">
        <f>GQ14*$C14</f>
      </c>
    </row>
    <row r="15" spans="1:201" x14ac:dyDescent="0.25">
      <c r="A15">
        <v>9</v>
      </c>
      <c r="B15" s="20">
        <f>Geometry!C50</f>
      </c>
      <c r="C15" s="20">
        <f>Geometry!D50</f>
      </c>
      <c r="D15" s="20">
        <f>Geometry!E50</f>
      </c>
      <c r="E15" s="20">
        <f>Geometry!F50</f>
      </c>
      <c r="F15" s="37">
        <f>PM_Angle!$J$7+PM_Angle!$K$7*$D15+PM_Angle!$L$7*$C15</f>
      </c>
      <c r="G15" s="20">
        <f>MAX(MIN(Es*F15,fy),-fy)</f>
      </c>
      <c r="H15" s="20">
        <f>IF(F15&gt;0,IF(F15&lt;=eco,alpha*fck*(1-(1-F15/eco)^n),alpha*fck),0)</f>
      </c>
      <c r="I15" s="20">
        <f>G15-H15</f>
      </c>
      <c r="J15" s="19">
        <f>I15*$E15</f>
      </c>
      <c r="K15" s="19">
        <f>J15*$D15</f>
      </c>
      <c r="L15" s="19">
        <f>J15*$C15</f>
      </c>
      <c r="M15" s="37">
        <f>PM_Angle!$J$8+PM_Angle!$K$8*$D15+PM_Angle!$L$8*$C15</f>
      </c>
      <c r="N15" s="20">
        <f>MAX(MIN(Es*M15,fy),-fy)</f>
      </c>
      <c r="O15" s="20">
        <f>IF(M15&gt;0,IF(M15&lt;=eco,alpha*fck*(1-(1-M15/eco)^n),alpha*fck),0)</f>
      </c>
      <c r="P15" s="20">
        <f>N15-O15</f>
      </c>
      <c r="Q15" s="19">
        <f>P15*$E15</f>
      </c>
      <c r="R15" s="19">
        <f>Q15*$D15</f>
      </c>
      <c r="S15" s="19">
        <f>Q15*$C15</f>
      </c>
      <c r="T15" s="37">
        <f>PM_Angle!$J$9+PM_Angle!$K$9*$D15+PM_Angle!$L$9*$C15</f>
      </c>
      <c r="U15" s="20">
        <f>MAX(MIN(Es*T15,fy),-fy)</f>
      </c>
      <c r="V15" s="20">
        <f>IF(T15&gt;0,IF(T15&lt;=eco,alpha*fck*(1-(1-T15/eco)^n),alpha*fck),0)</f>
      </c>
      <c r="W15" s="20">
        <f>U15-V15</f>
      </c>
      <c r="X15" s="19">
        <f>W15*$E15</f>
      </c>
      <c r="Y15" s="19">
        <f>X15*$D15</f>
      </c>
      <c r="Z15" s="19">
        <f>X15*$C15</f>
      </c>
      <c r="AA15" s="37">
        <f>PM_Angle!$J$10+PM_Angle!$K$10*$D15+PM_Angle!$L$10*$C15</f>
      </c>
      <c r="AB15" s="20">
        <f>MAX(MIN(Es*AA15,fy),-fy)</f>
      </c>
      <c r="AC15" s="20">
        <f>IF(AA15&gt;0,IF(AA15&lt;=eco,alpha*fck*(1-(1-AA15/eco)^n),alpha*fck),0)</f>
      </c>
      <c r="AD15" s="20">
        <f>AB15-AC15</f>
      </c>
      <c r="AE15" s="19">
        <f>AD15*$E15</f>
      </c>
      <c r="AF15" s="19">
        <f>AE15*$D15</f>
      </c>
      <c r="AG15" s="19">
        <f>AE15*$C15</f>
      </c>
      <c r="AH15" s="37">
        <f>PM_Angle!$J$11+PM_Angle!$K$11*$D15+PM_Angle!$L$11*$C15</f>
      </c>
      <c r="AI15" s="20">
        <f>MAX(MIN(Es*AH15,fy),-fy)</f>
      </c>
      <c r="AJ15" s="20">
        <f>IF(AH15&gt;0,IF(AH15&lt;=eco,alpha*fck*(1-(1-AH15/eco)^n),alpha*fck),0)</f>
      </c>
      <c r="AK15" s="20">
        <f>AI15-AJ15</f>
      </c>
      <c r="AL15" s="19">
        <f>AK15*$E15</f>
      </c>
      <c r="AM15" s="19">
        <f>AL15*$D15</f>
      </c>
      <c r="AN15" s="19">
        <f>AL15*$C15</f>
      </c>
      <c r="AO15" s="37">
        <f>PM_Angle!$J$12+PM_Angle!$K$12*$D15+PM_Angle!$L$12*$C15</f>
      </c>
      <c r="AP15" s="20">
        <f>MAX(MIN(Es*AO15,fy),-fy)</f>
      </c>
      <c r="AQ15" s="20">
        <f>IF(AO15&gt;0,IF(AO15&lt;=eco,alpha*fck*(1-(1-AO15/eco)^n),alpha*fck),0)</f>
      </c>
      <c r="AR15" s="20">
        <f>AP15-AQ15</f>
      </c>
      <c r="AS15" s="19">
        <f>AR15*$E15</f>
      </c>
      <c r="AT15" s="19">
        <f>AS15*$D15</f>
      </c>
      <c r="AU15" s="19">
        <f>AS15*$C15</f>
      </c>
      <c r="AV15" s="37">
        <f>PM_Angle!$J$13+PM_Angle!$K$13*$D15+PM_Angle!$L$13*$C15</f>
      </c>
      <c r="AW15" s="20">
        <f>MAX(MIN(Es*AV15,fy),-fy)</f>
      </c>
      <c r="AX15" s="20">
        <f>IF(AV15&gt;0,IF(AV15&lt;=eco,alpha*fck*(1-(1-AV15/eco)^n),alpha*fck),0)</f>
      </c>
      <c r="AY15" s="20">
        <f>AW15-AX15</f>
      </c>
      <c r="AZ15" s="19">
        <f>AY15*$E15</f>
      </c>
      <c r="BA15" s="19">
        <f>AZ15*$D15</f>
      </c>
      <c r="BB15" s="19">
        <f>AZ15*$C15</f>
      </c>
      <c r="BC15" s="37">
        <f>PM_Angle!$J$14+PM_Angle!$K$14*$D15+PM_Angle!$L$14*$C15</f>
      </c>
      <c r="BD15" s="20">
        <f>MAX(MIN(Es*BC15,fy),-fy)</f>
      </c>
      <c r="BE15" s="20">
        <f>IF(BC15&gt;0,IF(BC15&lt;=eco,alpha*fck*(1-(1-BC15/eco)^n),alpha*fck),0)</f>
      </c>
      <c r="BF15" s="20">
        <f>BD15-BE15</f>
      </c>
      <c r="BG15" s="19">
        <f>BF15*$E15</f>
      </c>
      <c r="BH15" s="19">
        <f>BG15*$D15</f>
      </c>
      <c r="BI15" s="19">
        <f>BG15*$C15</f>
      </c>
      <c r="BJ15" s="37">
        <f>PM_Angle!$J$15+PM_Angle!$K$15*$D15+PM_Angle!$L$15*$C15</f>
      </c>
      <c r="BK15" s="20">
        <f>MAX(MIN(Es*BJ15,fy),-fy)</f>
      </c>
      <c r="BL15" s="20">
        <f>IF(BJ15&gt;0,IF(BJ15&lt;=eco,alpha*fck*(1-(1-BJ15/eco)^n),alpha*fck),0)</f>
      </c>
      <c r="BM15" s="20">
        <f>BK15-BL15</f>
      </c>
      <c r="BN15" s="19">
        <f>BM15*$E15</f>
      </c>
      <c r="BO15" s="19">
        <f>BN15*$D15</f>
      </c>
      <c r="BP15" s="19">
        <f>BN15*$C15</f>
      </c>
      <c r="BQ15" s="37">
        <f>PM_Angle!$J$16+PM_Angle!$K$16*$D15+PM_Angle!$L$16*$C15</f>
      </c>
      <c r="BR15" s="20">
        <f>MAX(MIN(Es*BQ15,fy),-fy)</f>
      </c>
      <c r="BS15" s="20">
        <f>IF(BQ15&gt;0,IF(BQ15&lt;=eco,alpha*fck*(1-(1-BQ15/eco)^n),alpha*fck),0)</f>
      </c>
      <c r="BT15" s="20">
        <f>BR15-BS15</f>
      </c>
      <c r="BU15" s="19">
        <f>BT15*$E15</f>
      </c>
      <c r="BV15" s="19">
        <f>BU15*$D15</f>
      </c>
      <c r="BW15" s="19">
        <f>BU15*$C15</f>
      </c>
      <c r="BX15" s="37">
        <f>PM_Angle!$J$17+PM_Angle!$K$17*$D15+PM_Angle!$L$17*$C15</f>
      </c>
      <c r="BY15" s="20">
        <f>MAX(MIN(Es*BX15,fy),-fy)</f>
      </c>
      <c r="BZ15" s="20">
        <f>IF(BX15&gt;0,IF(BX15&lt;=eco,alpha*fck*(1-(1-BX15/eco)^n),alpha*fck),0)</f>
      </c>
      <c r="CA15" s="20">
        <f>BY15-BZ15</f>
      </c>
      <c r="CB15" s="19">
        <f>CA15*$E15</f>
      </c>
      <c r="CC15" s="19">
        <f>CB15*$D15</f>
      </c>
      <c r="CD15" s="19">
        <f>CB15*$C15</f>
      </c>
      <c r="CE15" s="37">
        <f>PM_Angle!$J$18+PM_Angle!$K$18*$D15+PM_Angle!$L$18*$C15</f>
      </c>
      <c r="CF15" s="20">
        <f>MAX(MIN(Es*CE15,fy),-fy)</f>
      </c>
      <c r="CG15" s="20">
        <f>IF(CE15&gt;0,IF(CE15&lt;=eco,alpha*fck*(1-(1-CE15/eco)^n),alpha*fck),0)</f>
      </c>
      <c r="CH15" s="20">
        <f>CF15-CG15</f>
      </c>
      <c r="CI15" s="19">
        <f>CH15*$E15</f>
      </c>
      <c r="CJ15" s="19">
        <f>CI15*$D15</f>
      </c>
      <c r="CK15" s="19">
        <f>CI15*$C15</f>
      </c>
      <c r="CL15" s="37">
        <f>PM_Angle!$J$19+PM_Angle!$K$19*$D15+PM_Angle!$L$19*$C15</f>
      </c>
      <c r="CM15" s="20">
        <f>MAX(MIN(Es*CL15,fy),-fy)</f>
      </c>
      <c r="CN15" s="20">
        <f>IF(CL15&gt;0,IF(CL15&lt;=eco,alpha*fck*(1-(1-CL15/eco)^n),alpha*fck),0)</f>
      </c>
      <c r="CO15" s="20">
        <f>CM15-CN15</f>
      </c>
      <c r="CP15" s="19">
        <f>CO15*$E15</f>
      </c>
      <c r="CQ15" s="19">
        <f>CP15*$D15</f>
      </c>
      <c r="CR15" s="19">
        <f>CP15*$C15</f>
      </c>
      <c r="CS15" s="37">
        <f>PM_Angle!$J$20+PM_Angle!$K$20*$D15+PM_Angle!$L$20*$C15</f>
      </c>
      <c r="CT15" s="20">
        <f>MAX(MIN(Es*CS15,fy),-fy)</f>
      </c>
      <c r="CU15" s="20">
        <f>IF(CS15&gt;0,IF(CS15&lt;=eco,alpha*fck*(1-(1-CS15/eco)^n),alpha*fck),0)</f>
      </c>
      <c r="CV15" s="20">
        <f>CT15-CU15</f>
      </c>
      <c r="CW15" s="19">
        <f>CV15*$E15</f>
      </c>
      <c r="CX15" s="19">
        <f>CW15*$D15</f>
      </c>
      <c r="CY15" s="19">
        <f>CW15*$C15</f>
      </c>
      <c r="CZ15" s="37">
        <f>PM_Angle!$J$21+PM_Angle!$K$21*$D15+PM_Angle!$L$21*$C15</f>
      </c>
      <c r="DA15" s="20">
        <f>MAX(MIN(Es*CZ15,fy),-fy)</f>
      </c>
      <c r="DB15" s="20">
        <f>IF(CZ15&gt;0,IF(CZ15&lt;=eco,alpha*fck*(1-(1-CZ15/eco)^n),alpha*fck),0)</f>
      </c>
      <c r="DC15" s="20">
        <f>DA15-DB15</f>
      </c>
      <c r="DD15" s="19">
        <f>DC15*$E15</f>
      </c>
      <c r="DE15" s="19">
        <f>DD15*$D15</f>
      </c>
      <c r="DF15" s="19">
        <f>DD15*$C15</f>
      </c>
      <c r="DG15" s="37">
        <f>PM_Angle!$J$22+PM_Angle!$K$22*$D15+PM_Angle!$L$22*$C15</f>
      </c>
      <c r="DH15" s="20">
        <f>MAX(MIN(Es*DG15,fy),-fy)</f>
      </c>
      <c r="DI15" s="20">
        <f>IF(DG15&gt;0,IF(DG15&lt;=eco,alpha*fck*(1-(1-DG15/eco)^n),alpha*fck),0)</f>
      </c>
      <c r="DJ15" s="20">
        <f>DH15-DI15</f>
      </c>
      <c r="DK15" s="19">
        <f>DJ15*$E15</f>
      </c>
      <c r="DL15" s="19">
        <f>DK15*$D15</f>
      </c>
      <c r="DM15" s="19">
        <f>DK15*$C15</f>
      </c>
      <c r="DN15" s="37">
        <f>PM_Angle!$J$23+PM_Angle!$K$23*$D15+PM_Angle!$L$23*$C15</f>
      </c>
      <c r="DO15" s="20">
        <f>MAX(MIN(Es*DN15,fy),-fy)</f>
      </c>
      <c r="DP15" s="20">
        <f>IF(DN15&gt;0,IF(DN15&lt;=eco,alpha*fck*(1-(1-DN15/eco)^n),alpha*fck),0)</f>
      </c>
      <c r="DQ15" s="20">
        <f>DO15-DP15</f>
      </c>
      <c r="DR15" s="19">
        <f>DQ15*$E15</f>
      </c>
      <c r="DS15" s="19">
        <f>DR15*$D15</f>
      </c>
      <c r="DT15" s="19">
        <f>DR15*$C15</f>
      </c>
      <c r="DU15" s="37">
        <f>PM_Angle!$J$24+PM_Angle!$K$24*$D15+PM_Angle!$L$24*$C15</f>
      </c>
      <c r="DV15" s="20">
        <f>MAX(MIN(Es*DU15,fy),-fy)</f>
      </c>
      <c r="DW15" s="20">
        <f>IF(DU15&gt;0,IF(DU15&lt;=eco,alpha*fck*(1-(1-DU15/eco)^n),alpha*fck),0)</f>
      </c>
      <c r="DX15" s="20">
        <f>DV15-DW15</f>
      </c>
      <c r="DY15" s="19">
        <f>DX15*$E15</f>
      </c>
      <c r="DZ15" s="19">
        <f>DY15*$D15</f>
      </c>
      <c r="EA15" s="19">
        <f>DY15*$C15</f>
      </c>
      <c r="EB15" s="37">
        <f>PM_Angle!$J$25+PM_Angle!$K$25*$D15+PM_Angle!$L$25*$C15</f>
      </c>
      <c r="EC15" s="20">
        <f>MAX(MIN(Es*EB15,fy),-fy)</f>
      </c>
      <c r="ED15" s="20">
        <f>IF(EB15&gt;0,IF(EB15&lt;=eco,alpha*fck*(1-(1-EB15/eco)^n),alpha*fck),0)</f>
      </c>
      <c r="EE15" s="20">
        <f>EC15-ED15</f>
      </c>
      <c r="EF15" s="19">
        <f>EE15*$E15</f>
      </c>
      <c r="EG15" s="19">
        <f>EF15*$D15</f>
      </c>
      <c r="EH15" s="19">
        <f>EF15*$C15</f>
      </c>
      <c r="EI15" s="37">
        <f>PM_Angle!$J$26+PM_Angle!$K$26*$D15+PM_Angle!$L$26*$C15</f>
      </c>
      <c r="EJ15" s="20">
        <f>MAX(MIN(Es*EI15,fy),-fy)</f>
      </c>
      <c r="EK15" s="20">
        <f>IF(EI15&gt;0,IF(EI15&lt;=eco,alpha*fck*(1-(1-EI15/eco)^n),alpha*fck),0)</f>
      </c>
      <c r="EL15" s="20">
        <f>EJ15-EK15</f>
      </c>
      <c r="EM15" s="19">
        <f>EL15*$E15</f>
      </c>
      <c r="EN15" s="19">
        <f>EM15*$D15</f>
      </c>
      <c r="EO15" s="19">
        <f>EM15*$C15</f>
      </c>
      <c r="EP15" s="37">
        <f>PM_Angle!$J$27+PM_Angle!$K$27*$D15+PM_Angle!$L$27*$C15</f>
      </c>
      <c r="EQ15" s="20">
        <f>MAX(MIN(Es*EP15,fy),-fy)</f>
      </c>
      <c r="ER15" s="20">
        <f>IF(EP15&gt;0,IF(EP15&lt;=eco,alpha*fck*(1-(1-EP15/eco)^n),alpha*fck),0)</f>
      </c>
      <c r="ES15" s="20">
        <f>EQ15-ER15</f>
      </c>
      <c r="ET15" s="19">
        <f>ES15*$E15</f>
      </c>
      <c r="EU15" s="19">
        <f>ET15*$D15</f>
      </c>
      <c r="EV15" s="19">
        <f>ET15*$C15</f>
      </c>
      <c r="EW15" s="37">
        <f>PM_Angle!$J$28+PM_Angle!$K$28*$D15+PM_Angle!$L$28*$C15</f>
      </c>
      <c r="EX15" s="20">
        <f>MAX(MIN(Es*EW15,fy),-fy)</f>
      </c>
      <c r="EY15" s="20">
        <f>IF(EW15&gt;0,IF(EW15&lt;=eco,alpha*fck*(1-(1-EW15/eco)^n),alpha*fck),0)</f>
      </c>
      <c r="EZ15" s="20">
        <f>EX15-EY15</f>
      </c>
      <c r="FA15" s="19">
        <f>EZ15*$E15</f>
      </c>
      <c r="FB15" s="19">
        <f>FA15*$D15</f>
      </c>
      <c r="FC15" s="19">
        <f>FA15*$C15</f>
      </c>
      <c r="FD15" s="37">
        <f>PM_Angle!$J$29+PM_Angle!$K$29*$D15+PM_Angle!$L$29*$C15</f>
      </c>
      <c r="FE15" s="20">
        <f>MAX(MIN(Es*FD15,fy),-fy)</f>
      </c>
      <c r="FF15" s="20">
        <f>IF(FD15&gt;0,IF(FD15&lt;=eco,alpha*fck*(1-(1-FD15/eco)^n),alpha*fck),0)</f>
      </c>
      <c r="FG15" s="20">
        <f>FE15-FF15</f>
      </c>
      <c r="FH15" s="19">
        <f>FG15*$E15</f>
      </c>
      <c r="FI15" s="19">
        <f>FH15*$D15</f>
      </c>
      <c r="FJ15" s="19">
        <f>FH15*$C15</f>
      </c>
      <c r="FK15" s="37">
        <f>PM_Angle!$J$30+PM_Angle!$K$30*$D15+PM_Angle!$L$30*$C15</f>
      </c>
      <c r="FL15" s="20">
        <f>MAX(MIN(Es*FK15,fy),-fy)</f>
      </c>
      <c r="FM15" s="20">
        <f>IF(FK15&gt;0,IF(FK15&lt;=eco,alpha*fck*(1-(1-FK15/eco)^n),alpha*fck),0)</f>
      </c>
      <c r="FN15" s="20">
        <f>FL15-FM15</f>
      </c>
      <c r="FO15" s="19">
        <f>FN15*$E15</f>
      </c>
      <c r="FP15" s="19">
        <f>FO15*$D15</f>
      </c>
      <c r="FQ15" s="19">
        <f>FO15*$C15</f>
      </c>
      <c r="FR15" s="37">
        <f>PM_Angle!$J$31+PM_Angle!$K$31*$D15+PM_Angle!$L$31*$C15</f>
      </c>
      <c r="FS15" s="20">
        <f>MAX(MIN(Es*FR15,fy),-fy)</f>
      </c>
      <c r="FT15" s="20">
        <f>IF(FR15&gt;0,IF(FR15&lt;=eco,alpha*fck*(1-(1-FR15/eco)^n),alpha*fck),0)</f>
      </c>
      <c r="FU15" s="20">
        <f>FS15-FT15</f>
      </c>
      <c r="FV15" s="19">
        <f>FU15*$E15</f>
      </c>
      <c r="FW15" s="19">
        <f>FV15*$D15</f>
      </c>
      <c r="FX15" s="19">
        <f>FV15*$C15</f>
      </c>
      <c r="FY15" s="37">
        <f>PM_Angle!$J$32+PM_Angle!$K$32*$D15+PM_Angle!$L$32*$C15</f>
      </c>
      <c r="FZ15" s="20">
        <f>MAX(MIN(Es*FY15,fy),-fy)</f>
      </c>
      <c r="GA15" s="20">
        <f>IF(FY15&gt;0,IF(FY15&lt;=eco,alpha*fck*(1-(1-FY15/eco)^n),alpha*fck),0)</f>
      </c>
      <c r="GB15" s="20">
        <f>FZ15-GA15</f>
      </c>
      <c r="GC15" s="19">
        <f>GB15*$E15</f>
      </c>
      <c r="GD15" s="19">
        <f>GC15*$D15</f>
      </c>
      <c r="GE15" s="19">
        <f>GC15*$C15</f>
      </c>
      <c r="GF15" s="37">
        <f>PM_Angle!$J$33+PM_Angle!$K$33*$D15+PM_Angle!$L$33*$C15</f>
      </c>
      <c r="GG15" s="20">
        <f>MAX(MIN(Es*GF15,fy),-fy)</f>
      </c>
      <c r="GH15" s="20">
        <f>IF(GF15&gt;0,IF(GF15&lt;=eco,alpha*fck*(1-(1-GF15/eco)^n),alpha*fck),0)</f>
      </c>
      <c r="GI15" s="20">
        <f>GG15-GH15</f>
      </c>
      <c r="GJ15" s="19">
        <f>GI15*$E15</f>
      </c>
      <c r="GK15" s="19">
        <f>GJ15*$D15</f>
      </c>
      <c r="GL15" s="19">
        <f>GJ15*$C15</f>
      </c>
      <c r="GM15" s="37">
        <f>Eq_e0+Eq_kx*$D15+Eq_ky*$C15</f>
      </c>
      <c r="GN15" s="20">
        <f>MAX(MIN(Es*GM15,fy),-fy)</f>
      </c>
      <c r="GO15" s="20">
        <f>IF(GM15&gt;0,IF(GM15&lt;=eco,alpha*fck*(1-(1-GM15/eco)^n),alpha*fck),0)</f>
      </c>
      <c r="GP15" s="20">
        <f>GN15-GO15</f>
      </c>
      <c r="GQ15" s="19">
        <f>GP15*$E15</f>
      </c>
      <c r="GR15" s="19">
        <f>GQ15*$D15</f>
      </c>
      <c r="GS15" s="19">
        <f>GQ15*$C15</f>
      </c>
    </row>
    <row r="16" spans="1:201" x14ac:dyDescent="0.25">
      <c r="A16">
        <v>10</v>
      </c>
      <c r="B16" s="20">
        <f>Geometry!C51</f>
      </c>
      <c r="C16" s="20">
        <f>Geometry!D51</f>
      </c>
      <c r="D16" s="20">
        <f>Geometry!E51</f>
      </c>
      <c r="E16" s="20">
        <f>Geometry!F51</f>
      </c>
      <c r="F16" s="37">
        <f>PM_Angle!$J$7+PM_Angle!$K$7*$D16+PM_Angle!$L$7*$C16</f>
      </c>
      <c r="G16" s="20">
        <f>MAX(MIN(Es*F16,fy),-fy)</f>
      </c>
      <c r="H16" s="20">
        <f>IF(F16&gt;0,IF(F16&lt;=eco,alpha*fck*(1-(1-F16/eco)^n),alpha*fck),0)</f>
      </c>
      <c r="I16" s="20">
        <f>G16-H16</f>
      </c>
      <c r="J16" s="19">
        <f>I16*$E16</f>
      </c>
      <c r="K16" s="19">
        <f>J16*$D16</f>
      </c>
      <c r="L16" s="19">
        <f>J16*$C16</f>
      </c>
      <c r="M16" s="37">
        <f>PM_Angle!$J$8+PM_Angle!$K$8*$D16+PM_Angle!$L$8*$C16</f>
      </c>
      <c r="N16" s="20">
        <f>MAX(MIN(Es*M16,fy),-fy)</f>
      </c>
      <c r="O16" s="20">
        <f>IF(M16&gt;0,IF(M16&lt;=eco,alpha*fck*(1-(1-M16/eco)^n),alpha*fck),0)</f>
      </c>
      <c r="P16" s="20">
        <f>N16-O16</f>
      </c>
      <c r="Q16" s="19">
        <f>P16*$E16</f>
      </c>
      <c r="R16" s="19">
        <f>Q16*$D16</f>
      </c>
      <c r="S16" s="19">
        <f>Q16*$C16</f>
      </c>
      <c r="T16" s="37">
        <f>PM_Angle!$J$9+PM_Angle!$K$9*$D16+PM_Angle!$L$9*$C16</f>
      </c>
      <c r="U16" s="20">
        <f>MAX(MIN(Es*T16,fy),-fy)</f>
      </c>
      <c r="V16" s="20">
        <f>IF(T16&gt;0,IF(T16&lt;=eco,alpha*fck*(1-(1-T16/eco)^n),alpha*fck),0)</f>
      </c>
      <c r="W16" s="20">
        <f>U16-V16</f>
      </c>
      <c r="X16" s="19">
        <f>W16*$E16</f>
      </c>
      <c r="Y16" s="19">
        <f>X16*$D16</f>
      </c>
      <c r="Z16" s="19">
        <f>X16*$C16</f>
      </c>
      <c r="AA16" s="37">
        <f>PM_Angle!$J$10+PM_Angle!$K$10*$D16+PM_Angle!$L$10*$C16</f>
      </c>
      <c r="AB16" s="20">
        <f>MAX(MIN(Es*AA16,fy),-fy)</f>
      </c>
      <c r="AC16" s="20">
        <f>IF(AA16&gt;0,IF(AA16&lt;=eco,alpha*fck*(1-(1-AA16/eco)^n),alpha*fck),0)</f>
      </c>
      <c r="AD16" s="20">
        <f>AB16-AC16</f>
      </c>
      <c r="AE16" s="19">
        <f>AD16*$E16</f>
      </c>
      <c r="AF16" s="19">
        <f>AE16*$D16</f>
      </c>
      <c r="AG16" s="19">
        <f>AE16*$C16</f>
      </c>
      <c r="AH16" s="37">
        <f>PM_Angle!$J$11+PM_Angle!$K$11*$D16+PM_Angle!$L$11*$C16</f>
      </c>
      <c r="AI16" s="20">
        <f>MAX(MIN(Es*AH16,fy),-fy)</f>
      </c>
      <c r="AJ16" s="20">
        <f>IF(AH16&gt;0,IF(AH16&lt;=eco,alpha*fck*(1-(1-AH16/eco)^n),alpha*fck),0)</f>
      </c>
      <c r="AK16" s="20">
        <f>AI16-AJ16</f>
      </c>
      <c r="AL16" s="19">
        <f>AK16*$E16</f>
      </c>
      <c r="AM16" s="19">
        <f>AL16*$D16</f>
      </c>
      <c r="AN16" s="19">
        <f>AL16*$C16</f>
      </c>
      <c r="AO16" s="37">
        <f>PM_Angle!$J$12+PM_Angle!$K$12*$D16+PM_Angle!$L$12*$C16</f>
      </c>
      <c r="AP16" s="20">
        <f>MAX(MIN(Es*AO16,fy),-fy)</f>
      </c>
      <c r="AQ16" s="20">
        <f>IF(AO16&gt;0,IF(AO16&lt;=eco,alpha*fck*(1-(1-AO16/eco)^n),alpha*fck),0)</f>
      </c>
      <c r="AR16" s="20">
        <f>AP16-AQ16</f>
      </c>
      <c r="AS16" s="19">
        <f>AR16*$E16</f>
      </c>
      <c r="AT16" s="19">
        <f>AS16*$D16</f>
      </c>
      <c r="AU16" s="19">
        <f>AS16*$C16</f>
      </c>
      <c r="AV16" s="37">
        <f>PM_Angle!$J$13+PM_Angle!$K$13*$D16+PM_Angle!$L$13*$C16</f>
      </c>
      <c r="AW16" s="20">
        <f>MAX(MIN(Es*AV16,fy),-fy)</f>
      </c>
      <c r="AX16" s="20">
        <f>IF(AV16&gt;0,IF(AV16&lt;=eco,alpha*fck*(1-(1-AV16/eco)^n),alpha*fck),0)</f>
      </c>
      <c r="AY16" s="20">
        <f>AW16-AX16</f>
      </c>
      <c r="AZ16" s="19">
        <f>AY16*$E16</f>
      </c>
      <c r="BA16" s="19">
        <f>AZ16*$D16</f>
      </c>
      <c r="BB16" s="19">
        <f>AZ16*$C16</f>
      </c>
      <c r="BC16" s="37">
        <f>PM_Angle!$J$14+PM_Angle!$K$14*$D16+PM_Angle!$L$14*$C16</f>
      </c>
      <c r="BD16" s="20">
        <f>MAX(MIN(Es*BC16,fy),-fy)</f>
      </c>
      <c r="BE16" s="20">
        <f>IF(BC16&gt;0,IF(BC16&lt;=eco,alpha*fck*(1-(1-BC16/eco)^n),alpha*fck),0)</f>
      </c>
      <c r="BF16" s="20">
        <f>BD16-BE16</f>
      </c>
      <c r="BG16" s="19">
        <f>BF16*$E16</f>
      </c>
      <c r="BH16" s="19">
        <f>BG16*$D16</f>
      </c>
      <c r="BI16" s="19">
        <f>BG16*$C16</f>
      </c>
      <c r="BJ16" s="37">
        <f>PM_Angle!$J$15+PM_Angle!$K$15*$D16+PM_Angle!$L$15*$C16</f>
      </c>
      <c r="BK16" s="20">
        <f>MAX(MIN(Es*BJ16,fy),-fy)</f>
      </c>
      <c r="BL16" s="20">
        <f>IF(BJ16&gt;0,IF(BJ16&lt;=eco,alpha*fck*(1-(1-BJ16/eco)^n),alpha*fck),0)</f>
      </c>
      <c r="BM16" s="20">
        <f>BK16-BL16</f>
      </c>
      <c r="BN16" s="19">
        <f>BM16*$E16</f>
      </c>
      <c r="BO16" s="19">
        <f>BN16*$D16</f>
      </c>
      <c r="BP16" s="19">
        <f>BN16*$C16</f>
      </c>
      <c r="BQ16" s="37">
        <f>PM_Angle!$J$16+PM_Angle!$K$16*$D16+PM_Angle!$L$16*$C16</f>
      </c>
      <c r="BR16" s="20">
        <f>MAX(MIN(Es*BQ16,fy),-fy)</f>
      </c>
      <c r="BS16" s="20">
        <f>IF(BQ16&gt;0,IF(BQ16&lt;=eco,alpha*fck*(1-(1-BQ16/eco)^n),alpha*fck),0)</f>
      </c>
      <c r="BT16" s="20">
        <f>BR16-BS16</f>
      </c>
      <c r="BU16" s="19">
        <f>BT16*$E16</f>
      </c>
      <c r="BV16" s="19">
        <f>BU16*$D16</f>
      </c>
      <c r="BW16" s="19">
        <f>BU16*$C16</f>
      </c>
      <c r="BX16" s="37">
        <f>PM_Angle!$J$17+PM_Angle!$K$17*$D16+PM_Angle!$L$17*$C16</f>
      </c>
      <c r="BY16" s="20">
        <f>MAX(MIN(Es*BX16,fy),-fy)</f>
      </c>
      <c r="BZ16" s="20">
        <f>IF(BX16&gt;0,IF(BX16&lt;=eco,alpha*fck*(1-(1-BX16/eco)^n),alpha*fck),0)</f>
      </c>
      <c r="CA16" s="20">
        <f>BY16-BZ16</f>
      </c>
      <c r="CB16" s="19">
        <f>CA16*$E16</f>
      </c>
      <c r="CC16" s="19">
        <f>CB16*$D16</f>
      </c>
      <c r="CD16" s="19">
        <f>CB16*$C16</f>
      </c>
      <c r="CE16" s="37">
        <f>PM_Angle!$J$18+PM_Angle!$K$18*$D16+PM_Angle!$L$18*$C16</f>
      </c>
      <c r="CF16" s="20">
        <f>MAX(MIN(Es*CE16,fy),-fy)</f>
      </c>
      <c r="CG16" s="20">
        <f>IF(CE16&gt;0,IF(CE16&lt;=eco,alpha*fck*(1-(1-CE16/eco)^n),alpha*fck),0)</f>
      </c>
      <c r="CH16" s="20">
        <f>CF16-CG16</f>
      </c>
      <c r="CI16" s="19">
        <f>CH16*$E16</f>
      </c>
      <c r="CJ16" s="19">
        <f>CI16*$D16</f>
      </c>
      <c r="CK16" s="19">
        <f>CI16*$C16</f>
      </c>
      <c r="CL16" s="37">
        <f>PM_Angle!$J$19+PM_Angle!$K$19*$D16+PM_Angle!$L$19*$C16</f>
      </c>
      <c r="CM16" s="20">
        <f>MAX(MIN(Es*CL16,fy),-fy)</f>
      </c>
      <c r="CN16" s="20">
        <f>IF(CL16&gt;0,IF(CL16&lt;=eco,alpha*fck*(1-(1-CL16/eco)^n),alpha*fck),0)</f>
      </c>
      <c r="CO16" s="20">
        <f>CM16-CN16</f>
      </c>
      <c r="CP16" s="19">
        <f>CO16*$E16</f>
      </c>
      <c r="CQ16" s="19">
        <f>CP16*$D16</f>
      </c>
      <c r="CR16" s="19">
        <f>CP16*$C16</f>
      </c>
      <c r="CS16" s="37">
        <f>PM_Angle!$J$20+PM_Angle!$K$20*$D16+PM_Angle!$L$20*$C16</f>
      </c>
      <c r="CT16" s="20">
        <f>MAX(MIN(Es*CS16,fy),-fy)</f>
      </c>
      <c r="CU16" s="20">
        <f>IF(CS16&gt;0,IF(CS16&lt;=eco,alpha*fck*(1-(1-CS16/eco)^n),alpha*fck),0)</f>
      </c>
      <c r="CV16" s="20">
        <f>CT16-CU16</f>
      </c>
      <c r="CW16" s="19">
        <f>CV16*$E16</f>
      </c>
      <c r="CX16" s="19">
        <f>CW16*$D16</f>
      </c>
      <c r="CY16" s="19">
        <f>CW16*$C16</f>
      </c>
      <c r="CZ16" s="37">
        <f>PM_Angle!$J$21+PM_Angle!$K$21*$D16+PM_Angle!$L$21*$C16</f>
      </c>
      <c r="DA16" s="20">
        <f>MAX(MIN(Es*CZ16,fy),-fy)</f>
      </c>
      <c r="DB16" s="20">
        <f>IF(CZ16&gt;0,IF(CZ16&lt;=eco,alpha*fck*(1-(1-CZ16/eco)^n),alpha*fck),0)</f>
      </c>
      <c r="DC16" s="20">
        <f>DA16-DB16</f>
      </c>
      <c r="DD16" s="19">
        <f>DC16*$E16</f>
      </c>
      <c r="DE16" s="19">
        <f>DD16*$D16</f>
      </c>
      <c r="DF16" s="19">
        <f>DD16*$C16</f>
      </c>
      <c r="DG16" s="37">
        <f>PM_Angle!$J$22+PM_Angle!$K$22*$D16+PM_Angle!$L$22*$C16</f>
      </c>
      <c r="DH16" s="20">
        <f>MAX(MIN(Es*DG16,fy),-fy)</f>
      </c>
      <c r="DI16" s="20">
        <f>IF(DG16&gt;0,IF(DG16&lt;=eco,alpha*fck*(1-(1-DG16/eco)^n),alpha*fck),0)</f>
      </c>
      <c r="DJ16" s="20">
        <f>DH16-DI16</f>
      </c>
      <c r="DK16" s="19">
        <f>DJ16*$E16</f>
      </c>
      <c r="DL16" s="19">
        <f>DK16*$D16</f>
      </c>
      <c r="DM16" s="19">
        <f>DK16*$C16</f>
      </c>
      <c r="DN16" s="37">
        <f>PM_Angle!$J$23+PM_Angle!$K$23*$D16+PM_Angle!$L$23*$C16</f>
      </c>
      <c r="DO16" s="20">
        <f>MAX(MIN(Es*DN16,fy),-fy)</f>
      </c>
      <c r="DP16" s="20">
        <f>IF(DN16&gt;0,IF(DN16&lt;=eco,alpha*fck*(1-(1-DN16/eco)^n),alpha*fck),0)</f>
      </c>
      <c r="DQ16" s="20">
        <f>DO16-DP16</f>
      </c>
      <c r="DR16" s="19">
        <f>DQ16*$E16</f>
      </c>
      <c r="DS16" s="19">
        <f>DR16*$D16</f>
      </c>
      <c r="DT16" s="19">
        <f>DR16*$C16</f>
      </c>
      <c r="DU16" s="37">
        <f>PM_Angle!$J$24+PM_Angle!$K$24*$D16+PM_Angle!$L$24*$C16</f>
      </c>
      <c r="DV16" s="20">
        <f>MAX(MIN(Es*DU16,fy),-fy)</f>
      </c>
      <c r="DW16" s="20">
        <f>IF(DU16&gt;0,IF(DU16&lt;=eco,alpha*fck*(1-(1-DU16/eco)^n),alpha*fck),0)</f>
      </c>
      <c r="DX16" s="20">
        <f>DV16-DW16</f>
      </c>
      <c r="DY16" s="19">
        <f>DX16*$E16</f>
      </c>
      <c r="DZ16" s="19">
        <f>DY16*$D16</f>
      </c>
      <c r="EA16" s="19">
        <f>DY16*$C16</f>
      </c>
      <c r="EB16" s="37">
        <f>PM_Angle!$J$25+PM_Angle!$K$25*$D16+PM_Angle!$L$25*$C16</f>
      </c>
      <c r="EC16" s="20">
        <f>MAX(MIN(Es*EB16,fy),-fy)</f>
      </c>
      <c r="ED16" s="20">
        <f>IF(EB16&gt;0,IF(EB16&lt;=eco,alpha*fck*(1-(1-EB16/eco)^n),alpha*fck),0)</f>
      </c>
      <c r="EE16" s="20">
        <f>EC16-ED16</f>
      </c>
      <c r="EF16" s="19">
        <f>EE16*$E16</f>
      </c>
      <c r="EG16" s="19">
        <f>EF16*$D16</f>
      </c>
      <c r="EH16" s="19">
        <f>EF16*$C16</f>
      </c>
      <c r="EI16" s="37">
        <f>PM_Angle!$J$26+PM_Angle!$K$26*$D16+PM_Angle!$L$26*$C16</f>
      </c>
      <c r="EJ16" s="20">
        <f>MAX(MIN(Es*EI16,fy),-fy)</f>
      </c>
      <c r="EK16" s="20">
        <f>IF(EI16&gt;0,IF(EI16&lt;=eco,alpha*fck*(1-(1-EI16/eco)^n),alpha*fck),0)</f>
      </c>
      <c r="EL16" s="20">
        <f>EJ16-EK16</f>
      </c>
      <c r="EM16" s="19">
        <f>EL16*$E16</f>
      </c>
      <c r="EN16" s="19">
        <f>EM16*$D16</f>
      </c>
      <c r="EO16" s="19">
        <f>EM16*$C16</f>
      </c>
      <c r="EP16" s="37">
        <f>PM_Angle!$J$27+PM_Angle!$K$27*$D16+PM_Angle!$L$27*$C16</f>
      </c>
      <c r="EQ16" s="20">
        <f>MAX(MIN(Es*EP16,fy),-fy)</f>
      </c>
      <c r="ER16" s="20">
        <f>IF(EP16&gt;0,IF(EP16&lt;=eco,alpha*fck*(1-(1-EP16/eco)^n),alpha*fck),0)</f>
      </c>
      <c r="ES16" s="20">
        <f>EQ16-ER16</f>
      </c>
      <c r="ET16" s="19">
        <f>ES16*$E16</f>
      </c>
      <c r="EU16" s="19">
        <f>ET16*$D16</f>
      </c>
      <c r="EV16" s="19">
        <f>ET16*$C16</f>
      </c>
      <c r="EW16" s="37">
        <f>PM_Angle!$J$28+PM_Angle!$K$28*$D16+PM_Angle!$L$28*$C16</f>
      </c>
      <c r="EX16" s="20">
        <f>MAX(MIN(Es*EW16,fy),-fy)</f>
      </c>
      <c r="EY16" s="20">
        <f>IF(EW16&gt;0,IF(EW16&lt;=eco,alpha*fck*(1-(1-EW16/eco)^n),alpha*fck),0)</f>
      </c>
      <c r="EZ16" s="20">
        <f>EX16-EY16</f>
      </c>
      <c r="FA16" s="19">
        <f>EZ16*$E16</f>
      </c>
      <c r="FB16" s="19">
        <f>FA16*$D16</f>
      </c>
      <c r="FC16" s="19">
        <f>FA16*$C16</f>
      </c>
      <c r="FD16" s="37">
        <f>PM_Angle!$J$29+PM_Angle!$K$29*$D16+PM_Angle!$L$29*$C16</f>
      </c>
      <c r="FE16" s="20">
        <f>MAX(MIN(Es*FD16,fy),-fy)</f>
      </c>
      <c r="FF16" s="20">
        <f>IF(FD16&gt;0,IF(FD16&lt;=eco,alpha*fck*(1-(1-FD16/eco)^n),alpha*fck),0)</f>
      </c>
      <c r="FG16" s="20">
        <f>FE16-FF16</f>
      </c>
      <c r="FH16" s="19">
        <f>FG16*$E16</f>
      </c>
      <c r="FI16" s="19">
        <f>FH16*$D16</f>
      </c>
      <c r="FJ16" s="19">
        <f>FH16*$C16</f>
      </c>
      <c r="FK16" s="37">
        <f>PM_Angle!$J$30+PM_Angle!$K$30*$D16+PM_Angle!$L$30*$C16</f>
      </c>
      <c r="FL16" s="20">
        <f>MAX(MIN(Es*FK16,fy),-fy)</f>
      </c>
      <c r="FM16" s="20">
        <f>IF(FK16&gt;0,IF(FK16&lt;=eco,alpha*fck*(1-(1-FK16/eco)^n),alpha*fck),0)</f>
      </c>
      <c r="FN16" s="20">
        <f>FL16-FM16</f>
      </c>
      <c r="FO16" s="19">
        <f>FN16*$E16</f>
      </c>
      <c r="FP16" s="19">
        <f>FO16*$D16</f>
      </c>
      <c r="FQ16" s="19">
        <f>FO16*$C16</f>
      </c>
      <c r="FR16" s="37">
        <f>PM_Angle!$J$31+PM_Angle!$K$31*$D16+PM_Angle!$L$31*$C16</f>
      </c>
      <c r="FS16" s="20">
        <f>MAX(MIN(Es*FR16,fy),-fy)</f>
      </c>
      <c r="FT16" s="20">
        <f>IF(FR16&gt;0,IF(FR16&lt;=eco,alpha*fck*(1-(1-FR16/eco)^n),alpha*fck),0)</f>
      </c>
      <c r="FU16" s="20">
        <f>FS16-FT16</f>
      </c>
      <c r="FV16" s="19">
        <f>FU16*$E16</f>
      </c>
      <c r="FW16" s="19">
        <f>FV16*$D16</f>
      </c>
      <c r="FX16" s="19">
        <f>FV16*$C16</f>
      </c>
      <c r="FY16" s="37">
        <f>PM_Angle!$J$32+PM_Angle!$K$32*$D16+PM_Angle!$L$32*$C16</f>
      </c>
      <c r="FZ16" s="20">
        <f>MAX(MIN(Es*FY16,fy),-fy)</f>
      </c>
      <c r="GA16" s="20">
        <f>IF(FY16&gt;0,IF(FY16&lt;=eco,alpha*fck*(1-(1-FY16/eco)^n),alpha*fck),0)</f>
      </c>
      <c r="GB16" s="20">
        <f>FZ16-GA16</f>
      </c>
      <c r="GC16" s="19">
        <f>GB16*$E16</f>
      </c>
      <c r="GD16" s="19">
        <f>GC16*$D16</f>
      </c>
      <c r="GE16" s="19">
        <f>GC16*$C16</f>
      </c>
      <c r="GF16" s="37">
        <f>PM_Angle!$J$33+PM_Angle!$K$33*$D16+PM_Angle!$L$33*$C16</f>
      </c>
      <c r="GG16" s="20">
        <f>MAX(MIN(Es*GF16,fy),-fy)</f>
      </c>
      <c r="GH16" s="20">
        <f>IF(GF16&gt;0,IF(GF16&lt;=eco,alpha*fck*(1-(1-GF16/eco)^n),alpha*fck),0)</f>
      </c>
      <c r="GI16" s="20">
        <f>GG16-GH16</f>
      </c>
      <c r="GJ16" s="19">
        <f>GI16*$E16</f>
      </c>
      <c r="GK16" s="19">
        <f>GJ16*$D16</f>
      </c>
      <c r="GL16" s="19">
        <f>GJ16*$C16</f>
      </c>
      <c r="GM16" s="37">
        <f>Eq_e0+Eq_kx*$D16+Eq_ky*$C16</f>
      </c>
      <c r="GN16" s="20">
        <f>MAX(MIN(Es*GM16,fy),-fy)</f>
      </c>
      <c r="GO16" s="20">
        <f>IF(GM16&gt;0,IF(GM16&lt;=eco,alpha*fck*(1-(1-GM16/eco)^n),alpha*fck),0)</f>
      </c>
      <c r="GP16" s="20">
        <f>GN16-GO16</f>
      </c>
      <c r="GQ16" s="19">
        <f>GP16*$E16</f>
      </c>
      <c r="GR16" s="19">
        <f>GQ16*$D16</f>
      </c>
      <c r="GS16" s="19">
        <f>GQ16*$C16</f>
      </c>
    </row>
    <row r="17" spans="1:201" x14ac:dyDescent="0.25">
      <c r="A17">
        <v>11</v>
      </c>
      <c r="B17" s="20">
        <f>Geometry!C52</f>
      </c>
      <c r="C17" s="20">
        <f>Geometry!D52</f>
      </c>
      <c r="D17" s="20">
        <f>Geometry!E52</f>
      </c>
      <c r="E17" s="20">
        <f>Geometry!F52</f>
      </c>
      <c r="F17" s="37">
        <f>PM_Angle!$J$7+PM_Angle!$K$7*$D17+PM_Angle!$L$7*$C17</f>
      </c>
      <c r="G17" s="20">
        <f>MAX(MIN(Es*F17,fy),-fy)</f>
      </c>
      <c r="H17" s="20">
        <f>IF(F17&gt;0,IF(F17&lt;=eco,alpha*fck*(1-(1-F17/eco)^n),alpha*fck),0)</f>
      </c>
      <c r="I17" s="20">
        <f>G17-H17</f>
      </c>
      <c r="J17" s="19">
        <f>I17*$E17</f>
      </c>
      <c r="K17" s="19">
        <f>J17*$D17</f>
      </c>
      <c r="L17" s="19">
        <f>J17*$C17</f>
      </c>
      <c r="M17" s="37">
        <f>PM_Angle!$J$8+PM_Angle!$K$8*$D17+PM_Angle!$L$8*$C17</f>
      </c>
      <c r="N17" s="20">
        <f>MAX(MIN(Es*M17,fy),-fy)</f>
      </c>
      <c r="O17" s="20">
        <f>IF(M17&gt;0,IF(M17&lt;=eco,alpha*fck*(1-(1-M17/eco)^n),alpha*fck),0)</f>
      </c>
      <c r="P17" s="20">
        <f>N17-O17</f>
      </c>
      <c r="Q17" s="19">
        <f>P17*$E17</f>
      </c>
      <c r="R17" s="19">
        <f>Q17*$D17</f>
      </c>
      <c r="S17" s="19">
        <f>Q17*$C17</f>
      </c>
      <c r="T17" s="37">
        <f>PM_Angle!$J$9+PM_Angle!$K$9*$D17+PM_Angle!$L$9*$C17</f>
      </c>
      <c r="U17" s="20">
        <f>MAX(MIN(Es*T17,fy),-fy)</f>
      </c>
      <c r="V17" s="20">
        <f>IF(T17&gt;0,IF(T17&lt;=eco,alpha*fck*(1-(1-T17/eco)^n),alpha*fck),0)</f>
      </c>
      <c r="W17" s="20">
        <f>U17-V17</f>
      </c>
      <c r="X17" s="19">
        <f>W17*$E17</f>
      </c>
      <c r="Y17" s="19">
        <f>X17*$D17</f>
      </c>
      <c r="Z17" s="19">
        <f>X17*$C17</f>
      </c>
      <c r="AA17" s="37">
        <f>PM_Angle!$J$10+PM_Angle!$K$10*$D17+PM_Angle!$L$10*$C17</f>
      </c>
      <c r="AB17" s="20">
        <f>MAX(MIN(Es*AA17,fy),-fy)</f>
      </c>
      <c r="AC17" s="20">
        <f>IF(AA17&gt;0,IF(AA17&lt;=eco,alpha*fck*(1-(1-AA17/eco)^n),alpha*fck),0)</f>
      </c>
      <c r="AD17" s="20">
        <f>AB17-AC17</f>
      </c>
      <c r="AE17" s="19">
        <f>AD17*$E17</f>
      </c>
      <c r="AF17" s="19">
        <f>AE17*$D17</f>
      </c>
      <c r="AG17" s="19">
        <f>AE17*$C17</f>
      </c>
      <c r="AH17" s="37">
        <f>PM_Angle!$J$11+PM_Angle!$K$11*$D17+PM_Angle!$L$11*$C17</f>
      </c>
      <c r="AI17" s="20">
        <f>MAX(MIN(Es*AH17,fy),-fy)</f>
      </c>
      <c r="AJ17" s="20">
        <f>IF(AH17&gt;0,IF(AH17&lt;=eco,alpha*fck*(1-(1-AH17/eco)^n),alpha*fck),0)</f>
      </c>
      <c r="AK17" s="20">
        <f>AI17-AJ17</f>
      </c>
      <c r="AL17" s="19">
        <f>AK17*$E17</f>
      </c>
      <c r="AM17" s="19">
        <f>AL17*$D17</f>
      </c>
      <c r="AN17" s="19">
        <f>AL17*$C17</f>
      </c>
      <c r="AO17" s="37">
        <f>PM_Angle!$J$12+PM_Angle!$K$12*$D17+PM_Angle!$L$12*$C17</f>
      </c>
      <c r="AP17" s="20">
        <f>MAX(MIN(Es*AO17,fy),-fy)</f>
      </c>
      <c r="AQ17" s="20">
        <f>IF(AO17&gt;0,IF(AO17&lt;=eco,alpha*fck*(1-(1-AO17/eco)^n),alpha*fck),0)</f>
      </c>
      <c r="AR17" s="20">
        <f>AP17-AQ17</f>
      </c>
      <c r="AS17" s="19">
        <f>AR17*$E17</f>
      </c>
      <c r="AT17" s="19">
        <f>AS17*$D17</f>
      </c>
      <c r="AU17" s="19">
        <f>AS17*$C17</f>
      </c>
      <c r="AV17" s="37">
        <f>PM_Angle!$J$13+PM_Angle!$K$13*$D17+PM_Angle!$L$13*$C17</f>
      </c>
      <c r="AW17" s="20">
        <f>MAX(MIN(Es*AV17,fy),-fy)</f>
      </c>
      <c r="AX17" s="20">
        <f>IF(AV17&gt;0,IF(AV17&lt;=eco,alpha*fck*(1-(1-AV17/eco)^n),alpha*fck),0)</f>
      </c>
      <c r="AY17" s="20">
        <f>AW17-AX17</f>
      </c>
      <c r="AZ17" s="19">
        <f>AY17*$E17</f>
      </c>
      <c r="BA17" s="19">
        <f>AZ17*$D17</f>
      </c>
      <c r="BB17" s="19">
        <f>AZ17*$C17</f>
      </c>
      <c r="BC17" s="37">
        <f>PM_Angle!$J$14+PM_Angle!$K$14*$D17+PM_Angle!$L$14*$C17</f>
      </c>
      <c r="BD17" s="20">
        <f>MAX(MIN(Es*BC17,fy),-fy)</f>
      </c>
      <c r="BE17" s="20">
        <f>IF(BC17&gt;0,IF(BC17&lt;=eco,alpha*fck*(1-(1-BC17/eco)^n),alpha*fck),0)</f>
      </c>
      <c r="BF17" s="20">
        <f>BD17-BE17</f>
      </c>
      <c r="BG17" s="19">
        <f>BF17*$E17</f>
      </c>
      <c r="BH17" s="19">
        <f>BG17*$D17</f>
      </c>
      <c r="BI17" s="19">
        <f>BG17*$C17</f>
      </c>
      <c r="BJ17" s="37">
        <f>PM_Angle!$J$15+PM_Angle!$K$15*$D17+PM_Angle!$L$15*$C17</f>
      </c>
      <c r="BK17" s="20">
        <f>MAX(MIN(Es*BJ17,fy),-fy)</f>
      </c>
      <c r="BL17" s="20">
        <f>IF(BJ17&gt;0,IF(BJ17&lt;=eco,alpha*fck*(1-(1-BJ17/eco)^n),alpha*fck),0)</f>
      </c>
      <c r="BM17" s="20">
        <f>BK17-BL17</f>
      </c>
      <c r="BN17" s="19">
        <f>BM17*$E17</f>
      </c>
      <c r="BO17" s="19">
        <f>BN17*$D17</f>
      </c>
      <c r="BP17" s="19">
        <f>BN17*$C17</f>
      </c>
      <c r="BQ17" s="37">
        <f>PM_Angle!$J$16+PM_Angle!$K$16*$D17+PM_Angle!$L$16*$C17</f>
      </c>
      <c r="BR17" s="20">
        <f>MAX(MIN(Es*BQ17,fy),-fy)</f>
      </c>
      <c r="BS17" s="20">
        <f>IF(BQ17&gt;0,IF(BQ17&lt;=eco,alpha*fck*(1-(1-BQ17/eco)^n),alpha*fck),0)</f>
      </c>
      <c r="BT17" s="20">
        <f>BR17-BS17</f>
      </c>
      <c r="BU17" s="19">
        <f>BT17*$E17</f>
      </c>
      <c r="BV17" s="19">
        <f>BU17*$D17</f>
      </c>
      <c r="BW17" s="19">
        <f>BU17*$C17</f>
      </c>
      <c r="BX17" s="37">
        <f>PM_Angle!$J$17+PM_Angle!$K$17*$D17+PM_Angle!$L$17*$C17</f>
      </c>
      <c r="BY17" s="20">
        <f>MAX(MIN(Es*BX17,fy),-fy)</f>
      </c>
      <c r="BZ17" s="20">
        <f>IF(BX17&gt;0,IF(BX17&lt;=eco,alpha*fck*(1-(1-BX17/eco)^n),alpha*fck),0)</f>
      </c>
      <c r="CA17" s="20">
        <f>BY17-BZ17</f>
      </c>
      <c r="CB17" s="19">
        <f>CA17*$E17</f>
      </c>
      <c r="CC17" s="19">
        <f>CB17*$D17</f>
      </c>
      <c r="CD17" s="19">
        <f>CB17*$C17</f>
      </c>
      <c r="CE17" s="37">
        <f>PM_Angle!$J$18+PM_Angle!$K$18*$D17+PM_Angle!$L$18*$C17</f>
      </c>
      <c r="CF17" s="20">
        <f>MAX(MIN(Es*CE17,fy),-fy)</f>
      </c>
      <c r="CG17" s="20">
        <f>IF(CE17&gt;0,IF(CE17&lt;=eco,alpha*fck*(1-(1-CE17/eco)^n),alpha*fck),0)</f>
      </c>
      <c r="CH17" s="20">
        <f>CF17-CG17</f>
      </c>
      <c r="CI17" s="19">
        <f>CH17*$E17</f>
      </c>
      <c r="CJ17" s="19">
        <f>CI17*$D17</f>
      </c>
      <c r="CK17" s="19">
        <f>CI17*$C17</f>
      </c>
      <c r="CL17" s="37">
        <f>PM_Angle!$J$19+PM_Angle!$K$19*$D17+PM_Angle!$L$19*$C17</f>
      </c>
      <c r="CM17" s="20">
        <f>MAX(MIN(Es*CL17,fy),-fy)</f>
      </c>
      <c r="CN17" s="20">
        <f>IF(CL17&gt;0,IF(CL17&lt;=eco,alpha*fck*(1-(1-CL17/eco)^n),alpha*fck),0)</f>
      </c>
      <c r="CO17" s="20">
        <f>CM17-CN17</f>
      </c>
      <c r="CP17" s="19">
        <f>CO17*$E17</f>
      </c>
      <c r="CQ17" s="19">
        <f>CP17*$D17</f>
      </c>
      <c r="CR17" s="19">
        <f>CP17*$C17</f>
      </c>
      <c r="CS17" s="37">
        <f>PM_Angle!$J$20+PM_Angle!$K$20*$D17+PM_Angle!$L$20*$C17</f>
      </c>
      <c r="CT17" s="20">
        <f>MAX(MIN(Es*CS17,fy),-fy)</f>
      </c>
      <c r="CU17" s="20">
        <f>IF(CS17&gt;0,IF(CS17&lt;=eco,alpha*fck*(1-(1-CS17/eco)^n),alpha*fck),0)</f>
      </c>
      <c r="CV17" s="20">
        <f>CT17-CU17</f>
      </c>
      <c r="CW17" s="19">
        <f>CV17*$E17</f>
      </c>
      <c r="CX17" s="19">
        <f>CW17*$D17</f>
      </c>
      <c r="CY17" s="19">
        <f>CW17*$C17</f>
      </c>
      <c r="CZ17" s="37">
        <f>PM_Angle!$J$21+PM_Angle!$K$21*$D17+PM_Angle!$L$21*$C17</f>
      </c>
      <c r="DA17" s="20">
        <f>MAX(MIN(Es*CZ17,fy),-fy)</f>
      </c>
      <c r="DB17" s="20">
        <f>IF(CZ17&gt;0,IF(CZ17&lt;=eco,alpha*fck*(1-(1-CZ17/eco)^n),alpha*fck),0)</f>
      </c>
      <c r="DC17" s="20">
        <f>DA17-DB17</f>
      </c>
      <c r="DD17" s="19">
        <f>DC17*$E17</f>
      </c>
      <c r="DE17" s="19">
        <f>DD17*$D17</f>
      </c>
      <c r="DF17" s="19">
        <f>DD17*$C17</f>
      </c>
      <c r="DG17" s="37">
        <f>PM_Angle!$J$22+PM_Angle!$K$22*$D17+PM_Angle!$L$22*$C17</f>
      </c>
      <c r="DH17" s="20">
        <f>MAX(MIN(Es*DG17,fy),-fy)</f>
      </c>
      <c r="DI17" s="20">
        <f>IF(DG17&gt;0,IF(DG17&lt;=eco,alpha*fck*(1-(1-DG17/eco)^n),alpha*fck),0)</f>
      </c>
      <c r="DJ17" s="20">
        <f>DH17-DI17</f>
      </c>
      <c r="DK17" s="19">
        <f>DJ17*$E17</f>
      </c>
      <c r="DL17" s="19">
        <f>DK17*$D17</f>
      </c>
      <c r="DM17" s="19">
        <f>DK17*$C17</f>
      </c>
      <c r="DN17" s="37">
        <f>PM_Angle!$J$23+PM_Angle!$K$23*$D17+PM_Angle!$L$23*$C17</f>
      </c>
      <c r="DO17" s="20">
        <f>MAX(MIN(Es*DN17,fy),-fy)</f>
      </c>
      <c r="DP17" s="20">
        <f>IF(DN17&gt;0,IF(DN17&lt;=eco,alpha*fck*(1-(1-DN17/eco)^n),alpha*fck),0)</f>
      </c>
      <c r="DQ17" s="20">
        <f>DO17-DP17</f>
      </c>
      <c r="DR17" s="19">
        <f>DQ17*$E17</f>
      </c>
      <c r="DS17" s="19">
        <f>DR17*$D17</f>
      </c>
      <c r="DT17" s="19">
        <f>DR17*$C17</f>
      </c>
      <c r="DU17" s="37">
        <f>PM_Angle!$J$24+PM_Angle!$K$24*$D17+PM_Angle!$L$24*$C17</f>
      </c>
      <c r="DV17" s="20">
        <f>MAX(MIN(Es*DU17,fy),-fy)</f>
      </c>
      <c r="DW17" s="20">
        <f>IF(DU17&gt;0,IF(DU17&lt;=eco,alpha*fck*(1-(1-DU17/eco)^n),alpha*fck),0)</f>
      </c>
      <c r="DX17" s="20">
        <f>DV17-DW17</f>
      </c>
      <c r="DY17" s="19">
        <f>DX17*$E17</f>
      </c>
      <c r="DZ17" s="19">
        <f>DY17*$D17</f>
      </c>
      <c r="EA17" s="19">
        <f>DY17*$C17</f>
      </c>
      <c r="EB17" s="37">
        <f>PM_Angle!$J$25+PM_Angle!$K$25*$D17+PM_Angle!$L$25*$C17</f>
      </c>
      <c r="EC17" s="20">
        <f>MAX(MIN(Es*EB17,fy),-fy)</f>
      </c>
      <c r="ED17" s="20">
        <f>IF(EB17&gt;0,IF(EB17&lt;=eco,alpha*fck*(1-(1-EB17/eco)^n),alpha*fck),0)</f>
      </c>
      <c r="EE17" s="20">
        <f>EC17-ED17</f>
      </c>
      <c r="EF17" s="19">
        <f>EE17*$E17</f>
      </c>
      <c r="EG17" s="19">
        <f>EF17*$D17</f>
      </c>
      <c r="EH17" s="19">
        <f>EF17*$C17</f>
      </c>
      <c r="EI17" s="37">
        <f>PM_Angle!$J$26+PM_Angle!$K$26*$D17+PM_Angle!$L$26*$C17</f>
      </c>
      <c r="EJ17" s="20">
        <f>MAX(MIN(Es*EI17,fy),-fy)</f>
      </c>
      <c r="EK17" s="20">
        <f>IF(EI17&gt;0,IF(EI17&lt;=eco,alpha*fck*(1-(1-EI17/eco)^n),alpha*fck),0)</f>
      </c>
      <c r="EL17" s="20">
        <f>EJ17-EK17</f>
      </c>
      <c r="EM17" s="19">
        <f>EL17*$E17</f>
      </c>
      <c r="EN17" s="19">
        <f>EM17*$D17</f>
      </c>
      <c r="EO17" s="19">
        <f>EM17*$C17</f>
      </c>
      <c r="EP17" s="37">
        <f>PM_Angle!$J$27+PM_Angle!$K$27*$D17+PM_Angle!$L$27*$C17</f>
      </c>
      <c r="EQ17" s="20">
        <f>MAX(MIN(Es*EP17,fy),-fy)</f>
      </c>
      <c r="ER17" s="20">
        <f>IF(EP17&gt;0,IF(EP17&lt;=eco,alpha*fck*(1-(1-EP17/eco)^n),alpha*fck),0)</f>
      </c>
      <c r="ES17" s="20">
        <f>EQ17-ER17</f>
      </c>
      <c r="ET17" s="19">
        <f>ES17*$E17</f>
      </c>
      <c r="EU17" s="19">
        <f>ET17*$D17</f>
      </c>
      <c r="EV17" s="19">
        <f>ET17*$C17</f>
      </c>
      <c r="EW17" s="37">
        <f>PM_Angle!$J$28+PM_Angle!$K$28*$D17+PM_Angle!$L$28*$C17</f>
      </c>
      <c r="EX17" s="20">
        <f>MAX(MIN(Es*EW17,fy),-fy)</f>
      </c>
      <c r="EY17" s="20">
        <f>IF(EW17&gt;0,IF(EW17&lt;=eco,alpha*fck*(1-(1-EW17/eco)^n),alpha*fck),0)</f>
      </c>
      <c r="EZ17" s="20">
        <f>EX17-EY17</f>
      </c>
      <c r="FA17" s="19">
        <f>EZ17*$E17</f>
      </c>
      <c r="FB17" s="19">
        <f>FA17*$D17</f>
      </c>
      <c r="FC17" s="19">
        <f>FA17*$C17</f>
      </c>
      <c r="FD17" s="37">
        <f>PM_Angle!$J$29+PM_Angle!$K$29*$D17+PM_Angle!$L$29*$C17</f>
      </c>
      <c r="FE17" s="20">
        <f>MAX(MIN(Es*FD17,fy),-fy)</f>
      </c>
      <c r="FF17" s="20">
        <f>IF(FD17&gt;0,IF(FD17&lt;=eco,alpha*fck*(1-(1-FD17/eco)^n),alpha*fck),0)</f>
      </c>
      <c r="FG17" s="20">
        <f>FE17-FF17</f>
      </c>
      <c r="FH17" s="19">
        <f>FG17*$E17</f>
      </c>
      <c r="FI17" s="19">
        <f>FH17*$D17</f>
      </c>
      <c r="FJ17" s="19">
        <f>FH17*$C17</f>
      </c>
      <c r="FK17" s="37">
        <f>PM_Angle!$J$30+PM_Angle!$K$30*$D17+PM_Angle!$L$30*$C17</f>
      </c>
      <c r="FL17" s="20">
        <f>MAX(MIN(Es*FK17,fy),-fy)</f>
      </c>
      <c r="FM17" s="20">
        <f>IF(FK17&gt;0,IF(FK17&lt;=eco,alpha*fck*(1-(1-FK17/eco)^n),alpha*fck),0)</f>
      </c>
      <c r="FN17" s="20">
        <f>FL17-FM17</f>
      </c>
      <c r="FO17" s="19">
        <f>FN17*$E17</f>
      </c>
      <c r="FP17" s="19">
        <f>FO17*$D17</f>
      </c>
      <c r="FQ17" s="19">
        <f>FO17*$C17</f>
      </c>
      <c r="FR17" s="37">
        <f>PM_Angle!$J$31+PM_Angle!$K$31*$D17+PM_Angle!$L$31*$C17</f>
      </c>
      <c r="FS17" s="20">
        <f>MAX(MIN(Es*FR17,fy),-fy)</f>
      </c>
      <c r="FT17" s="20">
        <f>IF(FR17&gt;0,IF(FR17&lt;=eco,alpha*fck*(1-(1-FR17/eco)^n),alpha*fck),0)</f>
      </c>
      <c r="FU17" s="20">
        <f>FS17-FT17</f>
      </c>
      <c r="FV17" s="19">
        <f>FU17*$E17</f>
      </c>
      <c r="FW17" s="19">
        <f>FV17*$D17</f>
      </c>
      <c r="FX17" s="19">
        <f>FV17*$C17</f>
      </c>
      <c r="FY17" s="37">
        <f>PM_Angle!$J$32+PM_Angle!$K$32*$D17+PM_Angle!$L$32*$C17</f>
      </c>
      <c r="FZ17" s="20">
        <f>MAX(MIN(Es*FY17,fy),-fy)</f>
      </c>
      <c r="GA17" s="20">
        <f>IF(FY17&gt;0,IF(FY17&lt;=eco,alpha*fck*(1-(1-FY17/eco)^n),alpha*fck),0)</f>
      </c>
      <c r="GB17" s="20">
        <f>FZ17-GA17</f>
      </c>
      <c r="GC17" s="19">
        <f>GB17*$E17</f>
      </c>
      <c r="GD17" s="19">
        <f>GC17*$D17</f>
      </c>
      <c r="GE17" s="19">
        <f>GC17*$C17</f>
      </c>
      <c r="GF17" s="37">
        <f>PM_Angle!$J$33+PM_Angle!$K$33*$D17+PM_Angle!$L$33*$C17</f>
      </c>
      <c r="GG17" s="20">
        <f>MAX(MIN(Es*GF17,fy),-fy)</f>
      </c>
      <c r="GH17" s="20">
        <f>IF(GF17&gt;0,IF(GF17&lt;=eco,alpha*fck*(1-(1-GF17/eco)^n),alpha*fck),0)</f>
      </c>
      <c r="GI17" s="20">
        <f>GG17-GH17</f>
      </c>
      <c r="GJ17" s="19">
        <f>GI17*$E17</f>
      </c>
      <c r="GK17" s="19">
        <f>GJ17*$D17</f>
      </c>
      <c r="GL17" s="19">
        <f>GJ17*$C17</f>
      </c>
      <c r="GM17" s="37">
        <f>Eq_e0+Eq_kx*$D17+Eq_ky*$C17</f>
      </c>
      <c r="GN17" s="20">
        <f>MAX(MIN(Es*GM17,fy),-fy)</f>
      </c>
      <c r="GO17" s="20">
        <f>IF(GM17&gt;0,IF(GM17&lt;=eco,alpha*fck*(1-(1-GM17/eco)^n),alpha*fck),0)</f>
      </c>
      <c r="GP17" s="20">
        <f>GN17-GO17</f>
      </c>
      <c r="GQ17" s="19">
        <f>GP17*$E17</f>
      </c>
      <c r="GR17" s="19">
        <f>GQ17*$D17</f>
      </c>
      <c r="GS17" s="19">
        <f>GQ17*$C17</f>
      </c>
    </row>
    <row r="18" spans="1:201" x14ac:dyDescent="0.25">
      <c r="A18">
        <v>12</v>
      </c>
      <c r="B18" s="20">
        <f>Geometry!C53</f>
      </c>
      <c r="C18" s="20">
        <f>Geometry!D53</f>
      </c>
      <c r="D18" s="20">
        <f>Geometry!E53</f>
      </c>
      <c r="E18" s="20">
        <f>Geometry!F53</f>
      </c>
      <c r="F18" s="37">
        <f>PM_Angle!$J$7+PM_Angle!$K$7*$D18+PM_Angle!$L$7*$C18</f>
      </c>
      <c r="G18" s="20">
        <f>MAX(MIN(Es*F18,fy),-fy)</f>
      </c>
      <c r="H18" s="20">
        <f>IF(F18&gt;0,IF(F18&lt;=eco,alpha*fck*(1-(1-F18/eco)^n),alpha*fck),0)</f>
      </c>
      <c r="I18" s="20">
        <f>G18-H18</f>
      </c>
      <c r="J18" s="19">
        <f>I18*$E18</f>
      </c>
      <c r="K18" s="19">
        <f>J18*$D18</f>
      </c>
      <c r="L18" s="19">
        <f>J18*$C18</f>
      </c>
      <c r="M18" s="37">
        <f>PM_Angle!$J$8+PM_Angle!$K$8*$D18+PM_Angle!$L$8*$C18</f>
      </c>
      <c r="N18" s="20">
        <f>MAX(MIN(Es*M18,fy),-fy)</f>
      </c>
      <c r="O18" s="20">
        <f>IF(M18&gt;0,IF(M18&lt;=eco,alpha*fck*(1-(1-M18/eco)^n),alpha*fck),0)</f>
      </c>
      <c r="P18" s="20">
        <f>N18-O18</f>
      </c>
      <c r="Q18" s="19">
        <f>P18*$E18</f>
      </c>
      <c r="R18" s="19">
        <f>Q18*$D18</f>
      </c>
      <c r="S18" s="19">
        <f>Q18*$C18</f>
      </c>
      <c r="T18" s="37">
        <f>PM_Angle!$J$9+PM_Angle!$K$9*$D18+PM_Angle!$L$9*$C18</f>
      </c>
      <c r="U18" s="20">
        <f>MAX(MIN(Es*T18,fy),-fy)</f>
      </c>
      <c r="V18" s="20">
        <f>IF(T18&gt;0,IF(T18&lt;=eco,alpha*fck*(1-(1-T18/eco)^n),alpha*fck),0)</f>
      </c>
      <c r="W18" s="20">
        <f>U18-V18</f>
      </c>
      <c r="X18" s="19">
        <f>W18*$E18</f>
      </c>
      <c r="Y18" s="19">
        <f>X18*$D18</f>
      </c>
      <c r="Z18" s="19">
        <f>X18*$C18</f>
      </c>
      <c r="AA18" s="37">
        <f>PM_Angle!$J$10+PM_Angle!$K$10*$D18+PM_Angle!$L$10*$C18</f>
      </c>
      <c r="AB18" s="20">
        <f>MAX(MIN(Es*AA18,fy),-fy)</f>
      </c>
      <c r="AC18" s="20">
        <f>IF(AA18&gt;0,IF(AA18&lt;=eco,alpha*fck*(1-(1-AA18/eco)^n),alpha*fck),0)</f>
      </c>
      <c r="AD18" s="20">
        <f>AB18-AC18</f>
      </c>
      <c r="AE18" s="19">
        <f>AD18*$E18</f>
      </c>
      <c r="AF18" s="19">
        <f>AE18*$D18</f>
      </c>
      <c r="AG18" s="19">
        <f>AE18*$C18</f>
      </c>
      <c r="AH18" s="37">
        <f>PM_Angle!$J$11+PM_Angle!$K$11*$D18+PM_Angle!$L$11*$C18</f>
      </c>
      <c r="AI18" s="20">
        <f>MAX(MIN(Es*AH18,fy),-fy)</f>
      </c>
      <c r="AJ18" s="20">
        <f>IF(AH18&gt;0,IF(AH18&lt;=eco,alpha*fck*(1-(1-AH18/eco)^n),alpha*fck),0)</f>
      </c>
      <c r="AK18" s="20">
        <f>AI18-AJ18</f>
      </c>
      <c r="AL18" s="19">
        <f>AK18*$E18</f>
      </c>
      <c r="AM18" s="19">
        <f>AL18*$D18</f>
      </c>
      <c r="AN18" s="19">
        <f>AL18*$C18</f>
      </c>
      <c r="AO18" s="37">
        <f>PM_Angle!$J$12+PM_Angle!$K$12*$D18+PM_Angle!$L$12*$C18</f>
      </c>
      <c r="AP18" s="20">
        <f>MAX(MIN(Es*AO18,fy),-fy)</f>
      </c>
      <c r="AQ18" s="20">
        <f>IF(AO18&gt;0,IF(AO18&lt;=eco,alpha*fck*(1-(1-AO18/eco)^n),alpha*fck),0)</f>
      </c>
      <c r="AR18" s="20">
        <f>AP18-AQ18</f>
      </c>
      <c r="AS18" s="19">
        <f>AR18*$E18</f>
      </c>
      <c r="AT18" s="19">
        <f>AS18*$D18</f>
      </c>
      <c r="AU18" s="19">
        <f>AS18*$C18</f>
      </c>
      <c r="AV18" s="37">
        <f>PM_Angle!$J$13+PM_Angle!$K$13*$D18+PM_Angle!$L$13*$C18</f>
      </c>
      <c r="AW18" s="20">
        <f>MAX(MIN(Es*AV18,fy),-fy)</f>
      </c>
      <c r="AX18" s="20">
        <f>IF(AV18&gt;0,IF(AV18&lt;=eco,alpha*fck*(1-(1-AV18/eco)^n),alpha*fck),0)</f>
      </c>
      <c r="AY18" s="20">
        <f>AW18-AX18</f>
      </c>
      <c r="AZ18" s="19">
        <f>AY18*$E18</f>
      </c>
      <c r="BA18" s="19">
        <f>AZ18*$D18</f>
      </c>
      <c r="BB18" s="19">
        <f>AZ18*$C18</f>
      </c>
      <c r="BC18" s="37">
        <f>PM_Angle!$J$14+PM_Angle!$K$14*$D18+PM_Angle!$L$14*$C18</f>
      </c>
      <c r="BD18" s="20">
        <f>MAX(MIN(Es*BC18,fy),-fy)</f>
      </c>
      <c r="BE18" s="20">
        <f>IF(BC18&gt;0,IF(BC18&lt;=eco,alpha*fck*(1-(1-BC18/eco)^n),alpha*fck),0)</f>
      </c>
      <c r="BF18" s="20">
        <f>BD18-BE18</f>
      </c>
      <c r="BG18" s="19">
        <f>BF18*$E18</f>
      </c>
      <c r="BH18" s="19">
        <f>BG18*$D18</f>
      </c>
      <c r="BI18" s="19">
        <f>BG18*$C18</f>
      </c>
      <c r="BJ18" s="37">
        <f>PM_Angle!$J$15+PM_Angle!$K$15*$D18+PM_Angle!$L$15*$C18</f>
      </c>
      <c r="BK18" s="20">
        <f>MAX(MIN(Es*BJ18,fy),-fy)</f>
      </c>
      <c r="BL18" s="20">
        <f>IF(BJ18&gt;0,IF(BJ18&lt;=eco,alpha*fck*(1-(1-BJ18/eco)^n),alpha*fck),0)</f>
      </c>
      <c r="BM18" s="20">
        <f>BK18-BL18</f>
      </c>
      <c r="BN18" s="19">
        <f>BM18*$E18</f>
      </c>
      <c r="BO18" s="19">
        <f>BN18*$D18</f>
      </c>
      <c r="BP18" s="19">
        <f>BN18*$C18</f>
      </c>
      <c r="BQ18" s="37">
        <f>PM_Angle!$J$16+PM_Angle!$K$16*$D18+PM_Angle!$L$16*$C18</f>
      </c>
      <c r="BR18" s="20">
        <f>MAX(MIN(Es*BQ18,fy),-fy)</f>
      </c>
      <c r="BS18" s="20">
        <f>IF(BQ18&gt;0,IF(BQ18&lt;=eco,alpha*fck*(1-(1-BQ18/eco)^n),alpha*fck),0)</f>
      </c>
      <c r="BT18" s="20">
        <f>BR18-BS18</f>
      </c>
      <c r="BU18" s="19">
        <f>BT18*$E18</f>
      </c>
      <c r="BV18" s="19">
        <f>BU18*$D18</f>
      </c>
      <c r="BW18" s="19">
        <f>BU18*$C18</f>
      </c>
      <c r="BX18" s="37">
        <f>PM_Angle!$J$17+PM_Angle!$K$17*$D18+PM_Angle!$L$17*$C18</f>
      </c>
      <c r="BY18" s="20">
        <f>MAX(MIN(Es*BX18,fy),-fy)</f>
      </c>
      <c r="BZ18" s="20">
        <f>IF(BX18&gt;0,IF(BX18&lt;=eco,alpha*fck*(1-(1-BX18/eco)^n),alpha*fck),0)</f>
      </c>
      <c r="CA18" s="20">
        <f>BY18-BZ18</f>
      </c>
      <c r="CB18" s="19">
        <f>CA18*$E18</f>
      </c>
      <c r="CC18" s="19">
        <f>CB18*$D18</f>
      </c>
      <c r="CD18" s="19">
        <f>CB18*$C18</f>
      </c>
      <c r="CE18" s="37">
        <f>PM_Angle!$J$18+PM_Angle!$K$18*$D18+PM_Angle!$L$18*$C18</f>
      </c>
      <c r="CF18" s="20">
        <f>MAX(MIN(Es*CE18,fy),-fy)</f>
      </c>
      <c r="CG18" s="20">
        <f>IF(CE18&gt;0,IF(CE18&lt;=eco,alpha*fck*(1-(1-CE18/eco)^n),alpha*fck),0)</f>
      </c>
      <c r="CH18" s="20">
        <f>CF18-CG18</f>
      </c>
      <c r="CI18" s="19">
        <f>CH18*$E18</f>
      </c>
      <c r="CJ18" s="19">
        <f>CI18*$D18</f>
      </c>
      <c r="CK18" s="19">
        <f>CI18*$C18</f>
      </c>
      <c r="CL18" s="37">
        <f>PM_Angle!$J$19+PM_Angle!$K$19*$D18+PM_Angle!$L$19*$C18</f>
      </c>
      <c r="CM18" s="20">
        <f>MAX(MIN(Es*CL18,fy),-fy)</f>
      </c>
      <c r="CN18" s="20">
        <f>IF(CL18&gt;0,IF(CL18&lt;=eco,alpha*fck*(1-(1-CL18/eco)^n),alpha*fck),0)</f>
      </c>
      <c r="CO18" s="20">
        <f>CM18-CN18</f>
      </c>
      <c r="CP18" s="19">
        <f>CO18*$E18</f>
      </c>
      <c r="CQ18" s="19">
        <f>CP18*$D18</f>
      </c>
      <c r="CR18" s="19">
        <f>CP18*$C18</f>
      </c>
      <c r="CS18" s="37">
        <f>PM_Angle!$J$20+PM_Angle!$K$20*$D18+PM_Angle!$L$20*$C18</f>
      </c>
      <c r="CT18" s="20">
        <f>MAX(MIN(Es*CS18,fy),-fy)</f>
      </c>
      <c r="CU18" s="20">
        <f>IF(CS18&gt;0,IF(CS18&lt;=eco,alpha*fck*(1-(1-CS18/eco)^n),alpha*fck),0)</f>
      </c>
      <c r="CV18" s="20">
        <f>CT18-CU18</f>
      </c>
      <c r="CW18" s="19">
        <f>CV18*$E18</f>
      </c>
      <c r="CX18" s="19">
        <f>CW18*$D18</f>
      </c>
      <c r="CY18" s="19">
        <f>CW18*$C18</f>
      </c>
      <c r="CZ18" s="37">
        <f>PM_Angle!$J$21+PM_Angle!$K$21*$D18+PM_Angle!$L$21*$C18</f>
      </c>
      <c r="DA18" s="20">
        <f>MAX(MIN(Es*CZ18,fy),-fy)</f>
      </c>
      <c r="DB18" s="20">
        <f>IF(CZ18&gt;0,IF(CZ18&lt;=eco,alpha*fck*(1-(1-CZ18/eco)^n),alpha*fck),0)</f>
      </c>
      <c r="DC18" s="20">
        <f>DA18-DB18</f>
      </c>
      <c r="DD18" s="19">
        <f>DC18*$E18</f>
      </c>
      <c r="DE18" s="19">
        <f>DD18*$D18</f>
      </c>
      <c r="DF18" s="19">
        <f>DD18*$C18</f>
      </c>
      <c r="DG18" s="37">
        <f>PM_Angle!$J$22+PM_Angle!$K$22*$D18+PM_Angle!$L$22*$C18</f>
      </c>
      <c r="DH18" s="20">
        <f>MAX(MIN(Es*DG18,fy),-fy)</f>
      </c>
      <c r="DI18" s="20">
        <f>IF(DG18&gt;0,IF(DG18&lt;=eco,alpha*fck*(1-(1-DG18/eco)^n),alpha*fck),0)</f>
      </c>
      <c r="DJ18" s="20">
        <f>DH18-DI18</f>
      </c>
      <c r="DK18" s="19">
        <f>DJ18*$E18</f>
      </c>
      <c r="DL18" s="19">
        <f>DK18*$D18</f>
      </c>
      <c r="DM18" s="19">
        <f>DK18*$C18</f>
      </c>
      <c r="DN18" s="37">
        <f>PM_Angle!$J$23+PM_Angle!$K$23*$D18+PM_Angle!$L$23*$C18</f>
      </c>
      <c r="DO18" s="20">
        <f>MAX(MIN(Es*DN18,fy),-fy)</f>
      </c>
      <c r="DP18" s="20">
        <f>IF(DN18&gt;0,IF(DN18&lt;=eco,alpha*fck*(1-(1-DN18/eco)^n),alpha*fck),0)</f>
      </c>
      <c r="DQ18" s="20">
        <f>DO18-DP18</f>
      </c>
      <c r="DR18" s="19">
        <f>DQ18*$E18</f>
      </c>
      <c r="DS18" s="19">
        <f>DR18*$D18</f>
      </c>
      <c r="DT18" s="19">
        <f>DR18*$C18</f>
      </c>
      <c r="DU18" s="37">
        <f>PM_Angle!$J$24+PM_Angle!$K$24*$D18+PM_Angle!$L$24*$C18</f>
      </c>
      <c r="DV18" s="20">
        <f>MAX(MIN(Es*DU18,fy),-fy)</f>
      </c>
      <c r="DW18" s="20">
        <f>IF(DU18&gt;0,IF(DU18&lt;=eco,alpha*fck*(1-(1-DU18/eco)^n),alpha*fck),0)</f>
      </c>
      <c r="DX18" s="20">
        <f>DV18-DW18</f>
      </c>
      <c r="DY18" s="19">
        <f>DX18*$E18</f>
      </c>
      <c r="DZ18" s="19">
        <f>DY18*$D18</f>
      </c>
      <c r="EA18" s="19">
        <f>DY18*$C18</f>
      </c>
      <c r="EB18" s="37">
        <f>PM_Angle!$J$25+PM_Angle!$K$25*$D18+PM_Angle!$L$25*$C18</f>
      </c>
      <c r="EC18" s="20">
        <f>MAX(MIN(Es*EB18,fy),-fy)</f>
      </c>
      <c r="ED18" s="20">
        <f>IF(EB18&gt;0,IF(EB18&lt;=eco,alpha*fck*(1-(1-EB18/eco)^n),alpha*fck),0)</f>
      </c>
      <c r="EE18" s="20">
        <f>EC18-ED18</f>
      </c>
      <c r="EF18" s="19">
        <f>EE18*$E18</f>
      </c>
      <c r="EG18" s="19">
        <f>EF18*$D18</f>
      </c>
      <c r="EH18" s="19">
        <f>EF18*$C18</f>
      </c>
      <c r="EI18" s="37">
        <f>PM_Angle!$J$26+PM_Angle!$K$26*$D18+PM_Angle!$L$26*$C18</f>
      </c>
      <c r="EJ18" s="20">
        <f>MAX(MIN(Es*EI18,fy),-fy)</f>
      </c>
      <c r="EK18" s="20">
        <f>IF(EI18&gt;0,IF(EI18&lt;=eco,alpha*fck*(1-(1-EI18/eco)^n),alpha*fck),0)</f>
      </c>
      <c r="EL18" s="20">
        <f>EJ18-EK18</f>
      </c>
      <c r="EM18" s="19">
        <f>EL18*$E18</f>
      </c>
      <c r="EN18" s="19">
        <f>EM18*$D18</f>
      </c>
      <c r="EO18" s="19">
        <f>EM18*$C18</f>
      </c>
      <c r="EP18" s="37">
        <f>PM_Angle!$J$27+PM_Angle!$K$27*$D18+PM_Angle!$L$27*$C18</f>
      </c>
      <c r="EQ18" s="20">
        <f>MAX(MIN(Es*EP18,fy),-fy)</f>
      </c>
      <c r="ER18" s="20">
        <f>IF(EP18&gt;0,IF(EP18&lt;=eco,alpha*fck*(1-(1-EP18/eco)^n),alpha*fck),0)</f>
      </c>
      <c r="ES18" s="20">
        <f>EQ18-ER18</f>
      </c>
      <c r="ET18" s="19">
        <f>ES18*$E18</f>
      </c>
      <c r="EU18" s="19">
        <f>ET18*$D18</f>
      </c>
      <c r="EV18" s="19">
        <f>ET18*$C18</f>
      </c>
      <c r="EW18" s="37">
        <f>PM_Angle!$J$28+PM_Angle!$K$28*$D18+PM_Angle!$L$28*$C18</f>
      </c>
      <c r="EX18" s="20">
        <f>MAX(MIN(Es*EW18,fy),-fy)</f>
      </c>
      <c r="EY18" s="20">
        <f>IF(EW18&gt;0,IF(EW18&lt;=eco,alpha*fck*(1-(1-EW18/eco)^n),alpha*fck),0)</f>
      </c>
      <c r="EZ18" s="20">
        <f>EX18-EY18</f>
      </c>
      <c r="FA18" s="19">
        <f>EZ18*$E18</f>
      </c>
      <c r="FB18" s="19">
        <f>FA18*$D18</f>
      </c>
      <c r="FC18" s="19">
        <f>FA18*$C18</f>
      </c>
      <c r="FD18" s="37">
        <f>PM_Angle!$J$29+PM_Angle!$K$29*$D18+PM_Angle!$L$29*$C18</f>
      </c>
      <c r="FE18" s="20">
        <f>MAX(MIN(Es*FD18,fy),-fy)</f>
      </c>
      <c r="FF18" s="20">
        <f>IF(FD18&gt;0,IF(FD18&lt;=eco,alpha*fck*(1-(1-FD18/eco)^n),alpha*fck),0)</f>
      </c>
      <c r="FG18" s="20">
        <f>FE18-FF18</f>
      </c>
      <c r="FH18" s="19">
        <f>FG18*$E18</f>
      </c>
      <c r="FI18" s="19">
        <f>FH18*$D18</f>
      </c>
      <c r="FJ18" s="19">
        <f>FH18*$C18</f>
      </c>
      <c r="FK18" s="37">
        <f>PM_Angle!$J$30+PM_Angle!$K$30*$D18+PM_Angle!$L$30*$C18</f>
      </c>
      <c r="FL18" s="20">
        <f>MAX(MIN(Es*FK18,fy),-fy)</f>
      </c>
      <c r="FM18" s="20">
        <f>IF(FK18&gt;0,IF(FK18&lt;=eco,alpha*fck*(1-(1-FK18/eco)^n),alpha*fck),0)</f>
      </c>
      <c r="FN18" s="20">
        <f>FL18-FM18</f>
      </c>
      <c r="FO18" s="19">
        <f>FN18*$E18</f>
      </c>
      <c r="FP18" s="19">
        <f>FO18*$D18</f>
      </c>
      <c r="FQ18" s="19">
        <f>FO18*$C18</f>
      </c>
      <c r="FR18" s="37">
        <f>PM_Angle!$J$31+PM_Angle!$K$31*$D18+PM_Angle!$L$31*$C18</f>
      </c>
      <c r="FS18" s="20">
        <f>MAX(MIN(Es*FR18,fy),-fy)</f>
      </c>
      <c r="FT18" s="20">
        <f>IF(FR18&gt;0,IF(FR18&lt;=eco,alpha*fck*(1-(1-FR18/eco)^n),alpha*fck),0)</f>
      </c>
      <c r="FU18" s="20">
        <f>FS18-FT18</f>
      </c>
      <c r="FV18" s="19">
        <f>FU18*$E18</f>
      </c>
      <c r="FW18" s="19">
        <f>FV18*$D18</f>
      </c>
      <c r="FX18" s="19">
        <f>FV18*$C18</f>
      </c>
      <c r="FY18" s="37">
        <f>PM_Angle!$J$32+PM_Angle!$K$32*$D18+PM_Angle!$L$32*$C18</f>
      </c>
      <c r="FZ18" s="20">
        <f>MAX(MIN(Es*FY18,fy),-fy)</f>
      </c>
      <c r="GA18" s="20">
        <f>IF(FY18&gt;0,IF(FY18&lt;=eco,alpha*fck*(1-(1-FY18/eco)^n),alpha*fck),0)</f>
      </c>
      <c r="GB18" s="20">
        <f>FZ18-GA18</f>
      </c>
      <c r="GC18" s="19">
        <f>GB18*$E18</f>
      </c>
      <c r="GD18" s="19">
        <f>GC18*$D18</f>
      </c>
      <c r="GE18" s="19">
        <f>GC18*$C18</f>
      </c>
      <c r="GF18" s="37">
        <f>PM_Angle!$J$33+PM_Angle!$K$33*$D18+PM_Angle!$L$33*$C18</f>
      </c>
      <c r="GG18" s="20">
        <f>MAX(MIN(Es*GF18,fy),-fy)</f>
      </c>
      <c r="GH18" s="20">
        <f>IF(GF18&gt;0,IF(GF18&lt;=eco,alpha*fck*(1-(1-GF18/eco)^n),alpha*fck),0)</f>
      </c>
      <c r="GI18" s="20">
        <f>GG18-GH18</f>
      </c>
      <c r="GJ18" s="19">
        <f>GI18*$E18</f>
      </c>
      <c r="GK18" s="19">
        <f>GJ18*$D18</f>
      </c>
      <c r="GL18" s="19">
        <f>GJ18*$C18</f>
      </c>
      <c r="GM18" s="37">
        <f>Eq_e0+Eq_kx*$D18+Eq_ky*$C18</f>
      </c>
      <c r="GN18" s="20">
        <f>MAX(MIN(Es*GM18,fy),-fy)</f>
      </c>
      <c r="GO18" s="20">
        <f>IF(GM18&gt;0,IF(GM18&lt;=eco,alpha*fck*(1-(1-GM18/eco)^n),alpha*fck),0)</f>
      </c>
      <c r="GP18" s="20">
        <f>GN18-GO18</f>
      </c>
      <c r="GQ18" s="19">
        <f>GP18*$E18</f>
      </c>
      <c r="GR18" s="19">
        <f>GQ18*$D18</f>
      </c>
      <c r="GS18" s="19">
        <f>GQ18*$C18</f>
      </c>
    </row>
    <row r="19" spans="1:201" x14ac:dyDescent="0.25">
      <c r="A19">
        <v>13</v>
      </c>
      <c r="B19" s="20">
        <f>Geometry!C54</f>
      </c>
      <c r="C19" s="20">
        <f>Geometry!D54</f>
      </c>
      <c r="D19" s="20">
        <f>Geometry!E54</f>
      </c>
      <c r="E19" s="20">
        <f>Geometry!F54</f>
      </c>
      <c r="F19" s="37">
        <f>PM_Angle!$J$7+PM_Angle!$K$7*$D19+PM_Angle!$L$7*$C19</f>
      </c>
      <c r="G19" s="20">
        <f>MAX(MIN(Es*F19,fy),-fy)</f>
      </c>
      <c r="H19" s="20">
        <f>IF(F19&gt;0,IF(F19&lt;=eco,alpha*fck*(1-(1-F19/eco)^n),alpha*fck),0)</f>
      </c>
      <c r="I19" s="20">
        <f>G19-H19</f>
      </c>
      <c r="J19" s="19">
        <f>I19*$E19</f>
      </c>
      <c r="K19" s="19">
        <f>J19*$D19</f>
      </c>
      <c r="L19" s="19">
        <f>J19*$C19</f>
      </c>
      <c r="M19" s="37">
        <f>PM_Angle!$J$8+PM_Angle!$K$8*$D19+PM_Angle!$L$8*$C19</f>
      </c>
      <c r="N19" s="20">
        <f>MAX(MIN(Es*M19,fy),-fy)</f>
      </c>
      <c r="O19" s="20">
        <f>IF(M19&gt;0,IF(M19&lt;=eco,alpha*fck*(1-(1-M19/eco)^n),alpha*fck),0)</f>
      </c>
      <c r="P19" s="20">
        <f>N19-O19</f>
      </c>
      <c r="Q19" s="19">
        <f>P19*$E19</f>
      </c>
      <c r="R19" s="19">
        <f>Q19*$D19</f>
      </c>
      <c r="S19" s="19">
        <f>Q19*$C19</f>
      </c>
      <c r="T19" s="37">
        <f>PM_Angle!$J$9+PM_Angle!$K$9*$D19+PM_Angle!$L$9*$C19</f>
      </c>
      <c r="U19" s="20">
        <f>MAX(MIN(Es*T19,fy),-fy)</f>
      </c>
      <c r="V19" s="20">
        <f>IF(T19&gt;0,IF(T19&lt;=eco,alpha*fck*(1-(1-T19/eco)^n),alpha*fck),0)</f>
      </c>
      <c r="W19" s="20">
        <f>U19-V19</f>
      </c>
      <c r="X19" s="19">
        <f>W19*$E19</f>
      </c>
      <c r="Y19" s="19">
        <f>X19*$D19</f>
      </c>
      <c r="Z19" s="19">
        <f>X19*$C19</f>
      </c>
      <c r="AA19" s="37">
        <f>PM_Angle!$J$10+PM_Angle!$K$10*$D19+PM_Angle!$L$10*$C19</f>
      </c>
      <c r="AB19" s="20">
        <f>MAX(MIN(Es*AA19,fy),-fy)</f>
      </c>
      <c r="AC19" s="20">
        <f>IF(AA19&gt;0,IF(AA19&lt;=eco,alpha*fck*(1-(1-AA19/eco)^n),alpha*fck),0)</f>
      </c>
      <c r="AD19" s="20">
        <f>AB19-AC19</f>
      </c>
      <c r="AE19" s="19">
        <f>AD19*$E19</f>
      </c>
      <c r="AF19" s="19">
        <f>AE19*$D19</f>
      </c>
      <c r="AG19" s="19">
        <f>AE19*$C19</f>
      </c>
      <c r="AH19" s="37">
        <f>PM_Angle!$J$11+PM_Angle!$K$11*$D19+PM_Angle!$L$11*$C19</f>
      </c>
      <c r="AI19" s="20">
        <f>MAX(MIN(Es*AH19,fy),-fy)</f>
      </c>
      <c r="AJ19" s="20">
        <f>IF(AH19&gt;0,IF(AH19&lt;=eco,alpha*fck*(1-(1-AH19/eco)^n),alpha*fck),0)</f>
      </c>
      <c r="AK19" s="20">
        <f>AI19-AJ19</f>
      </c>
      <c r="AL19" s="19">
        <f>AK19*$E19</f>
      </c>
      <c r="AM19" s="19">
        <f>AL19*$D19</f>
      </c>
      <c r="AN19" s="19">
        <f>AL19*$C19</f>
      </c>
      <c r="AO19" s="37">
        <f>PM_Angle!$J$12+PM_Angle!$K$12*$D19+PM_Angle!$L$12*$C19</f>
      </c>
      <c r="AP19" s="20">
        <f>MAX(MIN(Es*AO19,fy),-fy)</f>
      </c>
      <c r="AQ19" s="20">
        <f>IF(AO19&gt;0,IF(AO19&lt;=eco,alpha*fck*(1-(1-AO19/eco)^n),alpha*fck),0)</f>
      </c>
      <c r="AR19" s="20">
        <f>AP19-AQ19</f>
      </c>
      <c r="AS19" s="19">
        <f>AR19*$E19</f>
      </c>
      <c r="AT19" s="19">
        <f>AS19*$D19</f>
      </c>
      <c r="AU19" s="19">
        <f>AS19*$C19</f>
      </c>
      <c r="AV19" s="37">
        <f>PM_Angle!$J$13+PM_Angle!$K$13*$D19+PM_Angle!$L$13*$C19</f>
      </c>
      <c r="AW19" s="20">
        <f>MAX(MIN(Es*AV19,fy),-fy)</f>
      </c>
      <c r="AX19" s="20">
        <f>IF(AV19&gt;0,IF(AV19&lt;=eco,alpha*fck*(1-(1-AV19/eco)^n),alpha*fck),0)</f>
      </c>
      <c r="AY19" s="20">
        <f>AW19-AX19</f>
      </c>
      <c r="AZ19" s="19">
        <f>AY19*$E19</f>
      </c>
      <c r="BA19" s="19">
        <f>AZ19*$D19</f>
      </c>
      <c r="BB19" s="19">
        <f>AZ19*$C19</f>
      </c>
      <c r="BC19" s="37">
        <f>PM_Angle!$J$14+PM_Angle!$K$14*$D19+PM_Angle!$L$14*$C19</f>
      </c>
      <c r="BD19" s="20">
        <f>MAX(MIN(Es*BC19,fy),-fy)</f>
      </c>
      <c r="BE19" s="20">
        <f>IF(BC19&gt;0,IF(BC19&lt;=eco,alpha*fck*(1-(1-BC19/eco)^n),alpha*fck),0)</f>
      </c>
      <c r="BF19" s="20">
        <f>BD19-BE19</f>
      </c>
      <c r="BG19" s="19">
        <f>BF19*$E19</f>
      </c>
      <c r="BH19" s="19">
        <f>BG19*$D19</f>
      </c>
      <c r="BI19" s="19">
        <f>BG19*$C19</f>
      </c>
      <c r="BJ19" s="37">
        <f>PM_Angle!$J$15+PM_Angle!$K$15*$D19+PM_Angle!$L$15*$C19</f>
      </c>
      <c r="BK19" s="20">
        <f>MAX(MIN(Es*BJ19,fy),-fy)</f>
      </c>
      <c r="BL19" s="20">
        <f>IF(BJ19&gt;0,IF(BJ19&lt;=eco,alpha*fck*(1-(1-BJ19/eco)^n),alpha*fck),0)</f>
      </c>
      <c r="BM19" s="20">
        <f>BK19-BL19</f>
      </c>
      <c r="BN19" s="19">
        <f>BM19*$E19</f>
      </c>
      <c r="BO19" s="19">
        <f>BN19*$D19</f>
      </c>
      <c r="BP19" s="19">
        <f>BN19*$C19</f>
      </c>
      <c r="BQ19" s="37">
        <f>PM_Angle!$J$16+PM_Angle!$K$16*$D19+PM_Angle!$L$16*$C19</f>
      </c>
      <c r="BR19" s="20">
        <f>MAX(MIN(Es*BQ19,fy),-fy)</f>
      </c>
      <c r="BS19" s="20">
        <f>IF(BQ19&gt;0,IF(BQ19&lt;=eco,alpha*fck*(1-(1-BQ19/eco)^n),alpha*fck),0)</f>
      </c>
      <c r="BT19" s="20">
        <f>BR19-BS19</f>
      </c>
      <c r="BU19" s="19">
        <f>BT19*$E19</f>
      </c>
      <c r="BV19" s="19">
        <f>BU19*$D19</f>
      </c>
      <c r="BW19" s="19">
        <f>BU19*$C19</f>
      </c>
      <c r="BX19" s="37">
        <f>PM_Angle!$J$17+PM_Angle!$K$17*$D19+PM_Angle!$L$17*$C19</f>
      </c>
      <c r="BY19" s="20">
        <f>MAX(MIN(Es*BX19,fy),-fy)</f>
      </c>
      <c r="BZ19" s="20">
        <f>IF(BX19&gt;0,IF(BX19&lt;=eco,alpha*fck*(1-(1-BX19/eco)^n),alpha*fck),0)</f>
      </c>
      <c r="CA19" s="20">
        <f>BY19-BZ19</f>
      </c>
      <c r="CB19" s="19">
        <f>CA19*$E19</f>
      </c>
      <c r="CC19" s="19">
        <f>CB19*$D19</f>
      </c>
      <c r="CD19" s="19">
        <f>CB19*$C19</f>
      </c>
      <c r="CE19" s="37">
        <f>PM_Angle!$J$18+PM_Angle!$K$18*$D19+PM_Angle!$L$18*$C19</f>
      </c>
      <c r="CF19" s="20">
        <f>MAX(MIN(Es*CE19,fy),-fy)</f>
      </c>
      <c r="CG19" s="20">
        <f>IF(CE19&gt;0,IF(CE19&lt;=eco,alpha*fck*(1-(1-CE19/eco)^n),alpha*fck),0)</f>
      </c>
      <c r="CH19" s="20">
        <f>CF19-CG19</f>
      </c>
      <c r="CI19" s="19">
        <f>CH19*$E19</f>
      </c>
      <c r="CJ19" s="19">
        <f>CI19*$D19</f>
      </c>
      <c r="CK19" s="19">
        <f>CI19*$C19</f>
      </c>
      <c r="CL19" s="37">
        <f>PM_Angle!$J$19+PM_Angle!$K$19*$D19+PM_Angle!$L$19*$C19</f>
      </c>
      <c r="CM19" s="20">
        <f>MAX(MIN(Es*CL19,fy),-fy)</f>
      </c>
      <c r="CN19" s="20">
        <f>IF(CL19&gt;0,IF(CL19&lt;=eco,alpha*fck*(1-(1-CL19/eco)^n),alpha*fck),0)</f>
      </c>
      <c r="CO19" s="20">
        <f>CM19-CN19</f>
      </c>
      <c r="CP19" s="19">
        <f>CO19*$E19</f>
      </c>
      <c r="CQ19" s="19">
        <f>CP19*$D19</f>
      </c>
      <c r="CR19" s="19">
        <f>CP19*$C19</f>
      </c>
      <c r="CS19" s="37">
        <f>PM_Angle!$J$20+PM_Angle!$K$20*$D19+PM_Angle!$L$20*$C19</f>
      </c>
      <c r="CT19" s="20">
        <f>MAX(MIN(Es*CS19,fy),-fy)</f>
      </c>
      <c r="CU19" s="20">
        <f>IF(CS19&gt;0,IF(CS19&lt;=eco,alpha*fck*(1-(1-CS19/eco)^n),alpha*fck),0)</f>
      </c>
      <c r="CV19" s="20">
        <f>CT19-CU19</f>
      </c>
      <c r="CW19" s="19">
        <f>CV19*$E19</f>
      </c>
      <c r="CX19" s="19">
        <f>CW19*$D19</f>
      </c>
      <c r="CY19" s="19">
        <f>CW19*$C19</f>
      </c>
      <c r="CZ19" s="37">
        <f>PM_Angle!$J$21+PM_Angle!$K$21*$D19+PM_Angle!$L$21*$C19</f>
      </c>
      <c r="DA19" s="20">
        <f>MAX(MIN(Es*CZ19,fy),-fy)</f>
      </c>
      <c r="DB19" s="20">
        <f>IF(CZ19&gt;0,IF(CZ19&lt;=eco,alpha*fck*(1-(1-CZ19/eco)^n),alpha*fck),0)</f>
      </c>
      <c r="DC19" s="20">
        <f>DA19-DB19</f>
      </c>
      <c r="DD19" s="19">
        <f>DC19*$E19</f>
      </c>
      <c r="DE19" s="19">
        <f>DD19*$D19</f>
      </c>
      <c r="DF19" s="19">
        <f>DD19*$C19</f>
      </c>
      <c r="DG19" s="37">
        <f>PM_Angle!$J$22+PM_Angle!$K$22*$D19+PM_Angle!$L$22*$C19</f>
      </c>
      <c r="DH19" s="20">
        <f>MAX(MIN(Es*DG19,fy),-fy)</f>
      </c>
      <c r="DI19" s="20">
        <f>IF(DG19&gt;0,IF(DG19&lt;=eco,alpha*fck*(1-(1-DG19/eco)^n),alpha*fck),0)</f>
      </c>
      <c r="DJ19" s="20">
        <f>DH19-DI19</f>
      </c>
      <c r="DK19" s="19">
        <f>DJ19*$E19</f>
      </c>
      <c r="DL19" s="19">
        <f>DK19*$D19</f>
      </c>
      <c r="DM19" s="19">
        <f>DK19*$C19</f>
      </c>
      <c r="DN19" s="37">
        <f>PM_Angle!$J$23+PM_Angle!$K$23*$D19+PM_Angle!$L$23*$C19</f>
      </c>
      <c r="DO19" s="20">
        <f>MAX(MIN(Es*DN19,fy),-fy)</f>
      </c>
      <c r="DP19" s="20">
        <f>IF(DN19&gt;0,IF(DN19&lt;=eco,alpha*fck*(1-(1-DN19/eco)^n),alpha*fck),0)</f>
      </c>
      <c r="DQ19" s="20">
        <f>DO19-DP19</f>
      </c>
      <c r="DR19" s="19">
        <f>DQ19*$E19</f>
      </c>
      <c r="DS19" s="19">
        <f>DR19*$D19</f>
      </c>
      <c r="DT19" s="19">
        <f>DR19*$C19</f>
      </c>
      <c r="DU19" s="37">
        <f>PM_Angle!$J$24+PM_Angle!$K$24*$D19+PM_Angle!$L$24*$C19</f>
      </c>
      <c r="DV19" s="20">
        <f>MAX(MIN(Es*DU19,fy),-fy)</f>
      </c>
      <c r="DW19" s="20">
        <f>IF(DU19&gt;0,IF(DU19&lt;=eco,alpha*fck*(1-(1-DU19/eco)^n),alpha*fck),0)</f>
      </c>
      <c r="DX19" s="20">
        <f>DV19-DW19</f>
      </c>
      <c r="DY19" s="19">
        <f>DX19*$E19</f>
      </c>
      <c r="DZ19" s="19">
        <f>DY19*$D19</f>
      </c>
      <c r="EA19" s="19">
        <f>DY19*$C19</f>
      </c>
      <c r="EB19" s="37">
        <f>PM_Angle!$J$25+PM_Angle!$K$25*$D19+PM_Angle!$L$25*$C19</f>
      </c>
      <c r="EC19" s="20">
        <f>MAX(MIN(Es*EB19,fy),-fy)</f>
      </c>
      <c r="ED19" s="20">
        <f>IF(EB19&gt;0,IF(EB19&lt;=eco,alpha*fck*(1-(1-EB19/eco)^n),alpha*fck),0)</f>
      </c>
      <c r="EE19" s="20">
        <f>EC19-ED19</f>
      </c>
      <c r="EF19" s="19">
        <f>EE19*$E19</f>
      </c>
      <c r="EG19" s="19">
        <f>EF19*$D19</f>
      </c>
      <c r="EH19" s="19">
        <f>EF19*$C19</f>
      </c>
      <c r="EI19" s="37">
        <f>PM_Angle!$J$26+PM_Angle!$K$26*$D19+PM_Angle!$L$26*$C19</f>
      </c>
      <c r="EJ19" s="20">
        <f>MAX(MIN(Es*EI19,fy),-fy)</f>
      </c>
      <c r="EK19" s="20">
        <f>IF(EI19&gt;0,IF(EI19&lt;=eco,alpha*fck*(1-(1-EI19/eco)^n),alpha*fck),0)</f>
      </c>
      <c r="EL19" s="20">
        <f>EJ19-EK19</f>
      </c>
      <c r="EM19" s="19">
        <f>EL19*$E19</f>
      </c>
      <c r="EN19" s="19">
        <f>EM19*$D19</f>
      </c>
      <c r="EO19" s="19">
        <f>EM19*$C19</f>
      </c>
      <c r="EP19" s="37">
        <f>PM_Angle!$J$27+PM_Angle!$K$27*$D19+PM_Angle!$L$27*$C19</f>
      </c>
      <c r="EQ19" s="20">
        <f>MAX(MIN(Es*EP19,fy),-fy)</f>
      </c>
      <c r="ER19" s="20">
        <f>IF(EP19&gt;0,IF(EP19&lt;=eco,alpha*fck*(1-(1-EP19/eco)^n),alpha*fck),0)</f>
      </c>
      <c r="ES19" s="20">
        <f>EQ19-ER19</f>
      </c>
      <c r="ET19" s="19">
        <f>ES19*$E19</f>
      </c>
      <c r="EU19" s="19">
        <f>ET19*$D19</f>
      </c>
      <c r="EV19" s="19">
        <f>ET19*$C19</f>
      </c>
      <c r="EW19" s="37">
        <f>PM_Angle!$J$28+PM_Angle!$K$28*$D19+PM_Angle!$L$28*$C19</f>
      </c>
      <c r="EX19" s="20">
        <f>MAX(MIN(Es*EW19,fy),-fy)</f>
      </c>
      <c r="EY19" s="20">
        <f>IF(EW19&gt;0,IF(EW19&lt;=eco,alpha*fck*(1-(1-EW19/eco)^n),alpha*fck),0)</f>
      </c>
      <c r="EZ19" s="20">
        <f>EX19-EY19</f>
      </c>
      <c r="FA19" s="19">
        <f>EZ19*$E19</f>
      </c>
      <c r="FB19" s="19">
        <f>FA19*$D19</f>
      </c>
      <c r="FC19" s="19">
        <f>FA19*$C19</f>
      </c>
      <c r="FD19" s="37">
        <f>PM_Angle!$J$29+PM_Angle!$K$29*$D19+PM_Angle!$L$29*$C19</f>
      </c>
      <c r="FE19" s="20">
        <f>MAX(MIN(Es*FD19,fy),-fy)</f>
      </c>
      <c r="FF19" s="20">
        <f>IF(FD19&gt;0,IF(FD19&lt;=eco,alpha*fck*(1-(1-FD19/eco)^n),alpha*fck),0)</f>
      </c>
      <c r="FG19" s="20">
        <f>FE19-FF19</f>
      </c>
      <c r="FH19" s="19">
        <f>FG19*$E19</f>
      </c>
      <c r="FI19" s="19">
        <f>FH19*$D19</f>
      </c>
      <c r="FJ19" s="19">
        <f>FH19*$C19</f>
      </c>
      <c r="FK19" s="37">
        <f>PM_Angle!$J$30+PM_Angle!$K$30*$D19+PM_Angle!$L$30*$C19</f>
      </c>
      <c r="FL19" s="20">
        <f>MAX(MIN(Es*FK19,fy),-fy)</f>
      </c>
      <c r="FM19" s="20">
        <f>IF(FK19&gt;0,IF(FK19&lt;=eco,alpha*fck*(1-(1-FK19/eco)^n),alpha*fck),0)</f>
      </c>
      <c r="FN19" s="20">
        <f>FL19-FM19</f>
      </c>
      <c r="FO19" s="19">
        <f>FN19*$E19</f>
      </c>
      <c r="FP19" s="19">
        <f>FO19*$D19</f>
      </c>
      <c r="FQ19" s="19">
        <f>FO19*$C19</f>
      </c>
      <c r="FR19" s="37">
        <f>PM_Angle!$J$31+PM_Angle!$K$31*$D19+PM_Angle!$L$31*$C19</f>
      </c>
      <c r="FS19" s="20">
        <f>MAX(MIN(Es*FR19,fy),-fy)</f>
      </c>
      <c r="FT19" s="20">
        <f>IF(FR19&gt;0,IF(FR19&lt;=eco,alpha*fck*(1-(1-FR19/eco)^n),alpha*fck),0)</f>
      </c>
      <c r="FU19" s="20">
        <f>FS19-FT19</f>
      </c>
      <c r="FV19" s="19">
        <f>FU19*$E19</f>
      </c>
      <c r="FW19" s="19">
        <f>FV19*$D19</f>
      </c>
      <c r="FX19" s="19">
        <f>FV19*$C19</f>
      </c>
      <c r="FY19" s="37">
        <f>PM_Angle!$J$32+PM_Angle!$K$32*$D19+PM_Angle!$L$32*$C19</f>
      </c>
      <c r="FZ19" s="20">
        <f>MAX(MIN(Es*FY19,fy),-fy)</f>
      </c>
      <c r="GA19" s="20">
        <f>IF(FY19&gt;0,IF(FY19&lt;=eco,alpha*fck*(1-(1-FY19/eco)^n),alpha*fck),0)</f>
      </c>
      <c r="GB19" s="20">
        <f>FZ19-GA19</f>
      </c>
      <c r="GC19" s="19">
        <f>GB19*$E19</f>
      </c>
      <c r="GD19" s="19">
        <f>GC19*$D19</f>
      </c>
      <c r="GE19" s="19">
        <f>GC19*$C19</f>
      </c>
      <c r="GF19" s="37">
        <f>PM_Angle!$J$33+PM_Angle!$K$33*$D19+PM_Angle!$L$33*$C19</f>
      </c>
      <c r="GG19" s="20">
        <f>MAX(MIN(Es*GF19,fy),-fy)</f>
      </c>
      <c r="GH19" s="20">
        <f>IF(GF19&gt;0,IF(GF19&lt;=eco,alpha*fck*(1-(1-GF19/eco)^n),alpha*fck),0)</f>
      </c>
      <c r="GI19" s="20">
        <f>GG19-GH19</f>
      </c>
      <c r="GJ19" s="19">
        <f>GI19*$E19</f>
      </c>
      <c r="GK19" s="19">
        <f>GJ19*$D19</f>
      </c>
      <c r="GL19" s="19">
        <f>GJ19*$C19</f>
      </c>
      <c r="GM19" s="37">
        <f>Eq_e0+Eq_kx*$D19+Eq_ky*$C19</f>
      </c>
      <c r="GN19" s="20">
        <f>MAX(MIN(Es*GM19,fy),-fy)</f>
      </c>
      <c r="GO19" s="20">
        <f>IF(GM19&gt;0,IF(GM19&lt;=eco,alpha*fck*(1-(1-GM19/eco)^n),alpha*fck),0)</f>
      </c>
      <c r="GP19" s="20">
        <f>GN19-GO19</f>
      </c>
      <c r="GQ19" s="19">
        <f>GP19*$E19</f>
      </c>
      <c r="GR19" s="19">
        <f>GQ19*$D19</f>
      </c>
      <c r="GS19" s="19">
        <f>GQ19*$C19</f>
      </c>
    </row>
    <row r="20" spans="1:201" x14ac:dyDescent="0.25">
      <c r="A20">
        <v>14</v>
      </c>
      <c r="B20" s="20">
        <f>Geometry!C55</f>
      </c>
      <c r="C20" s="20">
        <f>Geometry!D55</f>
      </c>
      <c r="D20" s="20">
        <f>Geometry!E55</f>
      </c>
      <c r="E20" s="20">
        <f>Geometry!F55</f>
      </c>
      <c r="F20" s="37">
        <f>PM_Angle!$J$7+PM_Angle!$K$7*$D20+PM_Angle!$L$7*$C20</f>
      </c>
      <c r="G20" s="20">
        <f>MAX(MIN(Es*F20,fy),-fy)</f>
      </c>
      <c r="H20" s="20">
        <f>IF(F20&gt;0,IF(F20&lt;=eco,alpha*fck*(1-(1-F20/eco)^n),alpha*fck),0)</f>
      </c>
      <c r="I20" s="20">
        <f>G20-H20</f>
      </c>
      <c r="J20" s="19">
        <f>I20*$E20</f>
      </c>
      <c r="K20" s="19">
        <f>J20*$D20</f>
      </c>
      <c r="L20" s="19">
        <f>J20*$C20</f>
      </c>
      <c r="M20" s="37">
        <f>PM_Angle!$J$8+PM_Angle!$K$8*$D20+PM_Angle!$L$8*$C20</f>
      </c>
      <c r="N20" s="20">
        <f>MAX(MIN(Es*M20,fy),-fy)</f>
      </c>
      <c r="O20" s="20">
        <f>IF(M20&gt;0,IF(M20&lt;=eco,alpha*fck*(1-(1-M20/eco)^n),alpha*fck),0)</f>
      </c>
      <c r="P20" s="20">
        <f>N20-O20</f>
      </c>
      <c r="Q20" s="19">
        <f>P20*$E20</f>
      </c>
      <c r="R20" s="19">
        <f>Q20*$D20</f>
      </c>
      <c r="S20" s="19">
        <f>Q20*$C20</f>
      </c>
      <c r="T20" s="37">
        <f>PM_Angle!$J$9+PM_Angle!$K$9*$D20+PM_Angle!$L$9*$C20</f>
      </c>
      <c r="U20" s="20">
        <f>MAX(MIN(Es*T20,fy),-fy)</f>
      </c>
      <c r="V20" s="20">
        <f>IF(T20&gt;0,IF(T20&lt;=eco,alpha*fck*(1-(1-T20/eco)^n),alpha*fck),0)</f>
      </c>
      <c r="W20" s="20">
        <f>U20-V20</f>
      </c>
      <c r="X20" s="19">
        <f>W20*$E20</f>
      </c>
      <c r="Y20" s="19">
        <f>X20*$D20</f>
      </c>
      <c r="Z20" s="19">
        <f>X20*$C20</f>
      </c>
      <c r="AA20" s="37">
        <f>PM_Angle!$J$10+PM_Angle!$K$10*$D20+PM_Angle!$L$10*$C20</f>
      </c>
      <c r="AB20" s="20">
        <f>MAX(MIN(Es*AA20,fy),-fy)</f>
      </c>
      <c r="AC20" s="20">
        <f>IF(AA20&gt;0,IF(AA20&lt;=eco,alpha*fck*(1-(1-AA20/eco)^n),alpha*fck),0)</f>
      </c>
      <c r="AD20" s="20">
        <f>AB20-AC20</f>
      </c>
      <c r="AE20" s="19">
        <f>AD20*$E20</f>
      </c>
      <c r="AF20" s="19">
        <f>AE20*$D20</f>
      </c>
      <c r="AG20" s="19">
        <f>AE20*$C20</f>
      </c>
      <c r="AH20" s="37">
        <f>PM_Angle!$J$11+PM_Angle!$K$11*$D20+PM_Angle!$L$11*$C20</f>
      </c>
      <c r="AI20" s="20">
        <f>MAX(MIN(Es*AH20,fy),-fy)</f>
      </c>
      <c r="AJ20" s="20">
        <f>IF(AH20&gt;0,IF(AH20&lt;=eco,alpha*fck*(1-(1-AH20/eco)^n),alpha*fck),0)</f>
      </c>
      <c r="AK20" s="20">
        <f>AI20-AJ20</f>
      </c>
      <c r="AL20" s="19">
        <f>AK20*$E20</f>
      </c>
      <c r="AM20" s="19">
        <f>AL20*$D20</f>
      </c>
      <c r="AN20" s="19">
        <f>AL20*$C20</f>
      </c>
      <c r="AO20" s="37">
        <f>PM_Angle!$J$12+PM_Angle!$K$12*$D20+PM_Angle!$L$12*$C20</f>
      </c>
      <c r="AP20" s="20">
        <f>MAX(MIN(Es*AO20,fy),-fy)</f>
      </c>
      <c r="AQ20" s="20">
        <f>IF(AO20&gt;0,IF(AO20&lt;=eco,alpha*fck*(1-(1-AO20/eco)^n),alpha*fck),0)</f>
      </c>
      <c r="AR20" s="20">
        <f>AP20-AQ20</f>
      </c>
      <c r="AS20" s="19">
        <f>AR20*$E20</f>
      </c>
      <c r="AT20" s="19">
        <f>AS20*$D20</f>
      </c>
      <c r="AU20" s="19">
        <f>AS20*$C20</f>
      </c>
      <c r="AV20" s="37">
        <f>PM_Angle!$J$13+PM_Angle!$K$13*$D20+PM_Angle!$L$13*$C20</f>
      </c>
      <c r="AW20" s="20">
        <f>MAX(MIN(Es*AV20,fy),-fy)</f>
      </c>
      <c r="AX20" s="20">
        <f>IF(AV20&gt;0,IF(AV20&lt;=eco,alpha*fck*(1-(1-AV20/eco)^n),alpha*fck),0)</f>
      </c>
      <c r="AY20" s="20">
        <f>AW20-AX20</f>
      </c>
      <c r="AZ20" s="19">
        <f>AY20*$E20</f>
      </c>
      <c r="BA20" s="19">
        <f>AZ20*$D20</f>
      </c>
      <c r="BB20" s="19">
        <f>AZ20*$C20</f>
      </c>
      <c r="BC20" s="37">
        <f>PM_Angle!$J$14+PM_Angle!$K$14*$D20+PM_Angle!$L$14*$C20</f>
      </c>
      <c r="BD20" s="20">
        <f>MAX(MIN(Es*BC20,fy),-fy)</f>
      </c>
      <c r="BE20" s="20">
        <f>IF(BC20&gt;0,IF(BC20&lt;=eco,alpha*fck*(1-(1-BC20/eco)^n),alpha*fck),0)</f>
      </c>
      <c r="BF20" s="20">
        <f>BD20-BE20</f>
      </c>
      <c r="BG20" s="19">
        <f>BF20*$E20</f>
      </c>
      <c r="BH20" s="19">
        <f>BG20*$D20</f>
      </c>
      <c r="BI20" s="19">
        <f>BG20*$C20</f>
      </c>
      <c r="BJ20" s="37">
        <f>PM_Angle!$J$15+PM_Angle!$K$15*$D20+PM_Angle!$L$15*$C20</f>
      </c>
      <c r="BK20" s="20">
        <f>MAX(MIN(Es*BJ20,fy),-fy)</f>
      </c>
      <c r="BL20" s="20">
        <f>IF(BJ20&gt;0,IF(BJ20&lt;=eco,alpha*fck*(1-(1-BJ20/eco)^n),alpha*fck),0)</f>
      </c>
      <c r="BM20" s="20">
        <f>BK20-BL20</f>
      </c>
      <c r="BN20" s="19">
        <f>BM20*$E20</f>
      </c>
      <c r="BO20" s="19">
        <f>BN20*$D20</f>
      </c>
      <c r="BP20" s="19">
        <f>BN20*$C20</f>
      </c>
      <c r="BQ20" s="37">
        <f>PM_Angle!$J$16+PM_Angle!$K$16*$D20+PM_Angle!$L$16*$C20</f>
      </c>
      <c r="BR20" s="20">
        <f>MAX(MIN(Es*BQ20,fy),-fy)</f>
      </c>
      <c r="BS20" s="20">
        <f>IF(BQ20&gt;0,IF(BQ20&lt;=eco,alpha*fck*(1-(1-BQ20/eco)^n),alpha*fck),0)</f>
      </c>
      <c r="BT20" s="20">
        <f>BR20-BS20</f>
      </c>
      <c r="BU20" s="19">
        <f>BT20*$E20</f>
      </c>
      <c r="BV20" s="19">
        <f>BU20*$D20</f>
      </c>
      <c r="BW20" s="19">
        <f>BU20*$C20</f>
      </c>
      <c r="BX20" s="37">
        <f>PM_Angle!$J$17+PM_Angle!$K$17*$D20+PM_Angle!$L$17*$C20</f>
      </c>
      <c r="BY20" s="20">
        <f>MAX(MIN(Es*BX20,fy),-fy)</f>
      </c>
      <c r="BZ20" s="20">
        <f>IF(BX20&gt;0,IF(BX20&lt;=eco,alpha*fck*(1-(1-BX20/eco)^n),alpha*fck),0)</f>
      </c>
      <c r="CA20" s="20">
        <f>BY20-BZ20</f>
      </c>
      <c r="CB20" s="19">
        <f>CA20*$E20</f>
      </c>
      <c r="CC20" s="19">
        <f>CB20*$D20</f>
      </c>
      <c r="CD20" s="19">
        <f>CB20*$C20</f>
      </c>
      <c r="CE20" s="37">
        <f>PM_Angle!$J$18+PM_Angle!$K$18*$D20+PM_Angle!$L$18*$C20</f>
      </c>
      <c r="CF20" s="20">
        <f>MAX(MIN(Es*CE20,fy),-fy)</f>
      </c>
      <c r="CG20" s="20">
        <f>IF(CE20&gt;0,IF(CE20&lt;=eco,alpha*fck*(1-(1-CE20/eco)^n),alpha*fck),0)</f>
      </c>
      <c r="CH20" s="20">
        <f>CF20-CG20</f>
      </c>
      <c r="CI20" s="19">
        <f>CH20*$E20</f>
      </c>
      <c r="CJ20" s="19">
        <f>CI20*$D20</f>
      </c>
      <c r="CK20" s="19">
        <f>CI20*$C20</f>
      </c>
      <c r="CL20" s="37">
        <f>PM_Angle!$J$19+PM_Angle!$K$19*$D20+PM_Angle!$L$19*$C20</f>
      </c>
      <c r="CM20" s="20">
        <f>MAX(MIN(Es*CL20,fy),-fy)</f>
      </c>
      <c r="CN20" s="20">
        <f>IF(CL20&gt;0,IF(CL20&lt;=eco,alpha*fck*(1-(1-CL20/eco)^n),alpha*fck),0)</f>
      </c>
      <c r="CO20" s="20">
        <f>CM20-CN20</f>
      </c>
      <c r="CP20" s="19">
        <f>CO20*$E20</f>
      </c>
      <c r="CQ20" s="19">
        <f>CP20*$D20</f>
      </c>
      <c r="CR20" s="19">
        <f>CP20*$C20</f>
      </c>
      <c r="CS20" s="37">
        <f>PM_Angle!$J$20+PM_Angle!$K$20*$D20+PM_Angle!$L$20*$C20</f>
      </c>
      <c r="CT20" s="20">
        <f>MAX(MIN(Es*CS20,fy),-fy)</f>
      </c>
      <c r="CU20" s="20">
        <f>IF(CS20&gt;0,IF(CS20&lt;=eco,alpha*fck*(1-(1-CS20/eco)^n),alpha*fck),0)</f>
      </c>
      <c r="CV20" s="20">
        <f>CT20-CU20</f>
      </c>
      <c r="CW20" s="19">
        <f>CV20*$E20</f>
      </c>
      <c r="CX20" s="19">
        <f>CW20*$D20</f>
      </c>
      <c r="CY20" s="19">
        <f>CW20*$C20</f>
      </c>
      <c r="CZ20" s="37">
        <f>PM_Angle!$J$21+PM_Angle!$K$21*$D20+PM_Angle!$L$21*$C20</f>
      </c>
      <c r="DA20" s="20">
        <f>MAX(MIN(Es*CZ20,fy),-fy)</f>
      </c>
      <c r="DB20" s="20">
        <f>IF(CZ20&gt;0,IF(CZ20&lt;=eco,alpha*fck*(1-(1-CZ20/eco)^n),alpha*fck),0)</f>
      </c>
      <c r="DC20" s="20">
        <f>DA20-DB20</f>
      </c>
      <c r="DD20" s="19">
        <f>DC20*$E20</f>
      </c>
      <c r="DE20" s="19">
        <f>DD20*$D20</f>
      </c>
      <c r="DF20" s="19">
        <f>DD20*$C20</f>
      </c>
      <c r="DG20" s="37">
        <f>PM_Angle!$J$22+PM_Angle!$K$22*$D20+PM_Angle!$L$22*$C20</f>
      </c>
      <c r="DH20" s="20">
        <f>MAX(MIN(Es*DG20,fy),-fy)</f>
      </c>
      <c r="DI20" s="20">
        <f>IF(DG20&gt;0,IF(DG20&lt;=eco,alpha*fck*(1-(1-DG20/eco)^n),alpha*fck),0)</f>
      </c>
      <c r="DJ20" s="20">
        <f>DH20-DI20</f>
      </c>
      <c r="DK20" s="19">
        <f>DJ20*$E20</f>
      </c>
      <c r="DL20" s="19">
        <f>DK20*$D20</f>
      </c>
      <c r="DM20" s="19">
        <f>DK20*$C20</f>
      </c>
      <c r="DN20" s="37">
        <f>PM_Angle!$J$23+PM_Angle!$K$23*$D20+PM_Angle!$L$23*$C20</f>
      </c>
      <c r="DO20" s="20">
        <f>MAX(MIN(Es*DN20,fy),-fy)</f>
      </c>
      <c r="DP20" s="20">
        <f>IF(DN20&gt;0,IF(DN20&lt;=eco,alpha*fck*(1-(1-DN20/eco)^n),alpha*fck),0)</f>
      </c>
      <c r="DQ20" s="20">
        <f>DO20-DP20</f>
      </c>
      <c r="DR20" s="19">
        <f>DQ20*$E20</f>
      </c>
      <c r="DS20" s="19">
        <f>DR20*$D20</f>
      </c>
      <c r="DT20" s="19">
        <f>DR20*$C20</f>
      </c>
      <c r="DU20" s="37">
        <f>PM_Angle!$J$24+PM_Angle!$K$24*$D20+PM_Angle!$L$24*$C20</f>
      </c>
      <c r="DV20" s="20">
        <f>MAX(MIN(Es*DU20,fy),-fy)</f>
      </c>
      <c r="DW20" s="20">
        <f>IF(DU20&gt;0,IF(DU20&lt;=eco,alpha*fck*(1-(1-DU20/eco)^n),alpha*fck),0)</f>
      </c>
      <c r="DX20" s="20">
        <f>DV20-DW20</f>
      </c>
      <c r="DY20" s="19">
        <f>DX20*$E20</f>
      </c>
      <c r="DZ20" s="19">
        <f>DY20*$D20</f>
      </c>
      <c r="EA20" s="19">
        <f>DY20*$C20</f>
      </c>
      <c r="EB20" s="37">
        <f>PM_Angle!$J$25+PM_Angle!$K$25*$D20+PM_Angle!$L$25*$C20</f>
      </c>
      <c r="EC20" s="20">
        <f>MAX(MIN(Es*EB20,fy),-fy)</f>
      </c>
      <c r="ED20" s="20">
        <f>IF(EB20&gt;0,IF(EB20&lt;=eco,alpha*fck*(1-(1-EB20/eco)^n),alpha*fck),0)</f>
      </c>
      <c r="EE20" s="20">
        <f>EC20-ED20</f>
      </c>
      <c r="EF20" s="19">
        <f>EE20*$E20</f>
      </c>
      <c r="EG20" s="19">
        <f>EF20*$D20</f>
      </c>
      <c r="EH20" s="19">
        <f>EF20*$C20</f>
      </c>
      <c r="EI20" s="37">
        <f>PM_Angle!$J$26+PM_Angle!$K$26*$D20+PM_Angle!$L$26*$C20</f>
      </c>
      <c r="EJ20" s="20">
        <f>MAX(MIN(Es*EI20,fy),-fy)</f>
      </c>
      <c r="EK20" s="20">
        <f>IF(EI20&gt;0,IF(EI20&lt;=eco,alpha*fck*(1-(1-EI20/eco)^n),alpha*fck),0)</f>
      </c>
      <c r="EL20" s="20">
        <f>EJ20-EK20</f>
      </c>
      <c r="EM20" s="19">
        <f>EL20*$E20</f>
      </c>
      <c r="EN20" s="19">
        <f>EM20*$D20</f>
      </c>
      <c r="EO20" s="19">
        <f>EM20*$C20</f>
      </c>
      <c r="EP20" s="37">
        <f>PM_Angle!$J$27+PM_Angle!$K$27*$D20+PM_Angle!$L$27*$C20</f>
      </c>
      <c r="EQ20" s="20">
        <f>MAX(MIN(Es*EP20,fy),-fy)</f>
      </c>
      <c r="ER20" s="20">
        <f>IF(EP20&gt;0,IF(EP20&lt;=eco,alpha*fck*(1-(1-EP20/eco)^n),alpha*fck),0)</f>
      </c>
      <c r="ES20" s="20">
        <f>EQ20-ER20</f>
      </c>
      <c r="ET20" s="19">
        <f>ES20*$E20</f>
      </c>
      <c r="EU20" s="19">
        <f>ET20*$D20</f>
      </c>
      <c r="EV20" s="19">
        <f>ET20*$C20</f>
      </c>
      <c r="EW20" s="37">
        <f>PM_Angle!$J$28+PM_Angle!$K$28*$D20+PM_Angle!$L$28*$C20</f>
      </c>
      <c r="EX20" s="20">
        <f>MAX(MIN(Es*EW20,fy),-fy)</f>
      </c>
      <c r="EY20" s="20">
        <f>IF(EW20&gt;0,IF(EW20&lt;=eco,alpha*fck*(1-(1-EW20/eco)^n),alpha*fck),0)</f>
      </c>
      <c r="EZ20" s="20">
        <f>EX20-EY20</f>
      </c>
      <c r="FA20" s="19">
        <f>EZ20*$E20</f>
      </c>
      <c r="FB20" s="19">
        <f>FA20*$D20</f>
      </c>
      <c r="FC20" s="19">
        <f>FA20*$C20</f>
      </c>
      <c r="FD20" s="37">
        <f>PM_Angle!$J$29+PM_Angle!$K$29*$D20+PM_Angle!$L$29*$C20</f>
      </c>
      <c r="FE20" s="20">
        <f>MAX(MIN(Es*FD20,fy),-fy)</f>
      </c>
      <c r="FF20" s="20">
        <f>IF(FD20&gt;0,IF(FD20&lt;=eco,alpha*fck*(1-(1-FD20/eco)^n),alpha*fck),0)</f>
      </c>
      <c r="FG20" s="20">
        <f>FE20-FF20</f>
      </c>
      <c r="FH20" s="19">
        <f>FG20*$E20</f>
      </c>
      <c r="FI20" s="19">
        <f>FH20*$D20</f>
      </c>
      <c r="FJ20" s="19">
        <f>FH20*$C20</f>
      </c>
      <c r="FK20" s="37">
        <f>PM_Angle!$J$30+PM_Angle!$K$30*$D20+PM_Angle!$L$30*$C20</f>
      </c>
      <c r="FL20" s="20">
        <f>MAX(MIN(Es*FK20,fy),-fy)</f>
      </c>
      <c r="FM20" s="20">
        <f>IF(FK20&gt;0,IF(FK20&lt;=eco,alpha*fck*(1-(1-FK20/eco)^n),alpha*fck),0)</f>
      </c>
      <c r="FN20" s="20">
        <f>FL20-FM20</f>
      </c>
      <c r="FO20" s="19">
        <f>FN20*$E20</f>
      </c>
      <c r="FP20" s="19">
        <f>FO20*$D20</f>
      </c>
      <c r="FQ20" s="19">
        <f>FO20*$C20</f>
      </c>
      <c r="FR20" s="37">
        <f>PM_Angle!$J$31+PM_Angle!$K$31*$D20+PM_Angle!$L$31*$C20</f>
      </c>
      <c r="FS20" s="20">
        <f>MAX(MIN(Es*FR20,fy),-fy)</f>
      </c>
      <c r="FT20" s="20">
        <f>IF(FR20&gt;0,IF(FR20&lt;=eco,alpha*fck*(1-(1-FR20/eco)^n),alpha*fck),0)</f>
      </c>
      <c r="FU20" s="20">
        <f>FS20-FT20</f>
      </c>
      <c r="FV20" s="19">
        <f>FU20*$E20</f>
      </c>
      <c r="FW20" s="19">
        <f>FV20*$D20</f>
      </c>
      <c r="FX20" s="19">
        <f>FV20*$C20</f>
      </c>
      <c r="FY20" s="37">
        <f>PM_Angle!$J$32+PM_Angle!$K$32*$D20+PM_Angle!$L$32*$C20</f>
      </c>
      <c r="FZ20" s="20">
        <f>MAX(MIN(Es*FY20,fy),-fy)</f>
      </c>
      <c r="GA20" s="20">
        <f>IF(FY20&gt;0,IF(FY20&lt;=eco,alpha*fck*(1-(1-FY20/eco)^n),alpha*fck),0)</f>
      </c>
      <c r="GB20" s="20">
        <f>FZ20-GA20</f>
      </c>
      <c r="GC20" s="19">
        <f>GB20*$E20</f>
      </c>
      <c r="GD20" s="19">
        <f>GC20*$D20</f>
      </c>
      <c r="GE20" s="19">
        <f>GC20*$C20</f>
      </c>
      <c r="GF20" s="37">
        <f>PM_Angle!$J$33+PM_Angle!$K$33*$D20+PM_Angle!$L$33*$C20</f>
      </c>
      <c r="GG20" s="20">
        <f>MAX(MIN(Es*GF20,fy),-fy)</f>
      </c>
      <c r="GH20" s="20">
        <f>IF(GF20&gt;0,IF(GF20&lt;=eco,alpha*fck*(1-(1-GF20/eco)^n),alpha*fck),0)</f>
      </c>
      <c r="GI20" s="20">
        <f>GG20-GH20</f>
      </c>
      <c r="GJ20" s="19">
        <f>GI20*$E20</f>
      </c>
      <c r="GK20" s="19">
        <f>GJ20*$D20</f>
      </c>
      <c r="GL20" s="19">
        <f>GJ20*$C20</f>
      </c>
      <c r="GM20" s="37">
        <f>Eq_e0+Eq_kx*$D20+Eq_ky*$C20</f>
      </c>
      <c r="GN20" s="20">
        <f>MAX(MIN(Es*GM20,fy),-fy)</f>
      </c>
      <c r="GO20" s="20">
        <f>IF(GM20&gt;0,IF(GM20&lt;=eco,alpha*fck*(1-(1-GM20/eco)^n),alpha*fck),0)</f>
      </c>
      <c r="GP20" s="20">
        <f>GN20-GO20</f>
      </c>
      <c r="GQ20" s="19">
        <f>GP20*$E20</f>
      </c>
      <c r="GR20" s="19">
        <f>GQ20*$D20</f>
      </c>
      <c r="GS20" s="19">
        <f>GQ20*$C20</f>
      </c>
    </row>
    <row r="21" spans="1:201" x14ac:dyDescent="0.25">
      <c r="A21">
        <v>15</v>
      </c>
      <c r="B21" s="20">
        <f>Geometry!C56</f>
      </c>
      <c r="C21" s="20">
        <f>Geometry!D56</f>
      </c>
      <c r="D21" s="20">
        <f>Geometry!E56</f>
      </c>
      <c r="E21" s="20">
        <f>Geometry!F56</f>
      </c>
      <c r="F21" s="37">
        <f>PM_Angle!$J$7+PM_Angle!$K$7*$D21+PM_Angle!$L$7*$C21</f>
      </c>
      <c r="G21" s="20">
        <f>MAX(MIN(Es*F21,fy),-fy)</f>
      </c>
      <c r="H21" s="20">
        <f>IF(F21&gt;0,IF(F21&lt;=eco,alpha*fck*(1-(1-F21/eco)^n),alpha*fck),0)</f>
      </c>
      <c r="I21" s="20">
        <f>G21-H21</f>
      </c>
      <c r="J21" s="19">
        <f>I21*$E21</f>
      </c>
      <c r="K21" s="19">
        <f>J21*$D21</f>
      </c>
      <c r="L21" s="19">
        <f>J21*$C21</f>
      </c>
      <c r="M21" s="37">
        <f>PM_Angle!$J$8+PM_Angle!$K$8*$D21+PM_Angle!$L$8*$C21</f>
      </c>
      <c r="N21" s="20">
        <f>MAX(MIN(Es*M21,fy),-fy)</f>
      </c>
      <c r="O21" s="20">
        <f>IF(M21&gt;0,IF(M21&lt;=eco,alpha*fck*(1-(1-M21/eco)^n),alpha*fck),0)</f>
      </c>
      <c r="P21" s="20">
        <f>N21-O21</f>
      </c>
      <c r="Q21" s="19">
        <f>P21*$E21</f>
      </c>
      <c r="R21" s="19">
        <f>Q21*$D21</f>
      </c>
      <c r="S21" s="19">
        <f>Q21*$C21</f>
      </c>
      <c r="T21" s="37">
        <f>PM_Angle!$J$9+PM_Angle!$K$9*$D21+PM_Angle!$L$9*$C21</f>
      </c>
      <c r="U21" s="20">
        <f>MAX(MIN(Es*T21,fy),-fy)</f>
      </c>
      <c r="V21" s="20">
        <f>IF(T21&gt;0,IF(T21&lt;=eco,alpha*fck*(1-(1-T21/eco)^n),alpha*fck),0)</f>
      </c>
      <c r="W21" s="20">
        <f>U21-V21</f>
      </c>
      <c r="X21" s="19">
        <f>W21*$E21</f>
      </c>
      <c r="Y21" s="19">
        <f>X21*$D21</f>
      </c>
      <c r="Z21" s="19">
        <f>X21*$C21</f>
      </c>
      <c r="AA21" s="37">
        <f>PM_Angle!$J$10+PM_Angle!$K$10*$D21+PM_Angle!$L$10*$C21</f>
      </c>
      <c r="AB21" s="20">
        <f>MAX(MIN(Es*AA21,fy),-fy)</f>
      </c>
      <c r="AC21" s="20">
        <f>IF(AA21&gt;0,IF(AA21&lt;=eco,alpha*fck*(1-(1-AA21/eco)^n),alpha*fck),0)</f>
      </c>
      <c r="AD21" s="20">
        <f>AB21-AC21</f>
      </c>
      <c r="AE21" s="19">
        <f>AD21*$E21</f>
      </c>
      <c r="AF21" s="19">
        <f>AE21*$D21</f>
      </c>
      <c r="AG21" s="19">
        <f>AE21*$C21</f>
      </c>
      <c r="AH21" s="37">
        <f>PM_Angle!$J$11+PM_Angle!$K$11*$D21+PM_Angle!$L$11*$C21</f>
      </c>
      <c r="AI21" s="20">
        <f>MAX(MIN(Es*AH21,fy),-fy)</f>
      </c>
      <c r="AJ21" s="20">
        <f>IF(AH21&gt;0,IF(AH21&lt;=eco,alpha*fck*(1-(1-AH21/eco)^n),alpha*fck),0)</f>
      </c>
      <c r="AK21" s="20">
        <f>AI21-AJ21</f>
      </c>
      <c r="AL21" s="19">
        <f>AK21*$E21</f>
      </c>
      <c r="AM21" s="19">
        <f>AL21*$D21</f>
      </c>
      <c r="AN21" s="19">
        <f>AL21*$C21</f>
      </c>
      <c r="AO21" s="37">
        <f>PM_Angle!$J$12+PM_Angle!$K$12*$D21+PM_Angle!$L$12*$C21</f>
      </c>
      <c r="AP21" s="20">
        <f>MAX(MIN(Es*AO21,fy),-fy)</f>
      </c>
      <c r="AQ21" s="20">
        <f>IF(AO21&gt;0,IF(AO21&lt;=eco,alpha*fck*(1-(1-AO21/eco)^n),alpha*fck),0)</f>
      </c>
      <c r="AR21" s="20">
        <f>AP21-AQ21</f>
      </c>
      <c r="AS21" s="19">
        <f>AR21*$E21</f>
      </c>
      <c r="AT21" s="19">
        <f>AS21*$D21</f>
      </c>
      <c r="AU21" s="19">
        <f>AS21*$C21</f>
      </c>
      <c r="AV21" s="37">
        <f>PM_Angle!$J$13+PM_Angle!$K$13*$D21+PM_Angle!$L$13*$C21</f>
      </c>
      <c r="AW21" s="20">
        <f>MAX(MIN(Es*AV21,fy),-fy)</f>
      </c>
      <c r="AX21" s="20">
        <f>IF(AV21&gt;0,IF(AV21&lt;=eco,alpha*fck*(1-(1-AV21/eco)^n),alpha*fck),0)</f>
      </c>
      <c r="AY21" s="20">
        <f>AW21-AX21</f>
      </c>
      <c r="AZ21" s="19">
        <f>AY21*$E21</f>
      </c>
      <c r="BA21" s="19">
        <f>AZ21*$D21</f>
      </c>
      <c r="BB21" s="19">
        <f>AZ21*$C21</f>
      </c>
      <c r="BC21" s="37">
        <f>PM_Angle!$J$14+PM_Angle!$K$14*$D21+PM_Angle!$L$14*$C21</f>
      </c>
      <c r="BD21" s="20">
        <f>MAX(MIN(Es*BC21,fy),-fy)</f>
      </c>
      <c r="BE21" s="20">
        <f>IF(BC21&gt;0,IF(BC21&lt;=eco,alpha*fck*(1-(1-BC21/eco)^n),alpha*fck),0)</f>
      </c>
      <c r="BF21" s="20">
        <f>BD21-BE21</f>
      </c>
      <c r="BG21" s="19">
        <f>BF21*$E21</f>
      </c>
      <c r="BH21" s="19">
        <f>BG21*$D21</f>
      </c>
      <c r="BI21" s="19">
        <f>BG21*$C21</f>
      </c>
      <c r="BJ21" s="37">
        <f>PM_Angle!$J$15+PM_Angle!$K$15*$D21+PM_Angle!$L$15*$C21</f>
      </c>
      <c r="BK21" s="20">
        <f>MAX(MIN(Es*BJ21,fy),-fy)</f>
      </c>
      <c r="BL21" s="20">
        <f>IF(BJ21&gt;0,IF(BJ21&lt;=eco,alpha*fck*(1-(1-BJ21/eco)^n),alpha*fck),0)</f>
      </c>
      <c r="BM21" s="20">
        <f>BK21-BL21</f>
      </c>
      <c r="BN21" s="19">
        <f>BM21*$E21</f>
      </c>
      <c r="BO21" s="19">
        <f>BN21*$D21</f>
      </c>
      <c r="BP21" s="19">
        <f>BN21*$C21</f>
      </c>
      <c r="BQ21" s="37">
        <f>PM_Angle!$J$16+PM_Angle!$K$16*$D21+PM_Angle!$L$16*$C21</f>
      </c>
      <c r="BR21" s="20">
        <f>MAX(MIN(Es*BQ21,fy),-fy)</f>
      </c>
      <c r="BS21" s="20">
        <f>IF(BQ21&gt;0,IF(BQ21&lt;=eco,alpha*fck*(1-(1-BQ21/eco)^n),alpha*fck),0)</f>
      </c>
      <c r="BT21" s="20">
        <f>BR21-BS21</f>
      </c>
      <c r="BU21" s="19">
        <f>BT21*$E21</f>
      </c>
      <c r="BV21" s="19">
        <f>BU21*$D21</f>
      </c>
      <c r="BW21" s="19">
        <f>BU21*$C21</f>
      </c>
      <c r="BX21" s="37">
        <f>PM_Angle!$J$17+PM_Angle!$K$17*$D21+PM_Angle!$L$17*$C21</f>
      </c>
      <c r="BY21" s="20">
        <f>MAX(MIN(Es*BX21,fy),-fy)</f>
      </c>
      <c r="BZ21" s="20">
        <f>IF(BX21&gt;0,IF(BX21&lt;=eco,alpha*fck*(1-(1-BX21/eco)^n),alpha*fck),0)</f>
      </c>
      <c r="CA21" s="20">
        <f>BY21-BZ21</f>
      </c>
      <c r="CB21" s="19">
        <f>CA21*$E21</f>
      </c>
      <c r="CC21" s="19">
        <f>CB21*$D21</f>
      </c>
      <c r="CD21" s="19">
        <f>CB21*$C21</f>
      </c>
      <c r="CE21" s="37">
        <f>PM_Angle!$J$18+PM_Angle!$K$18*$D21+PM_Angle!$L$18*$C21</f>
      </c>
      <c r="CF21" s="20">
        <f>MAX(MIN(Es*CE21,fy),-fy)</f>
      </c>
      <c r="CG21" s="20">
        <f>IF(CE21&gt;0,IF(CE21&lt;=eco,alpha*fck*(1-(1-CE21/eco)^n),alpha*fck),0)</f>
      </c>
      <c r="CH21" s="20">
        <f>CF21-CG21</f>
      </c>
      <c r="CI21" s="19">
        <f>CH21*$E21</f>
      </c>
      <c r="CJ21" s="19">
        <f>CI21*$D21</f>
      </c>
      <c r="CK21" s="19">
        <f>CI21*$C21</f>
      </c>
      <c r="CL21" s="37">
        <f>PM_Angle!$J$19+PM_Angle!$K$19*$D21+PM_Angle!$L$19*$C21</f>
      </c>
      <c r="CM21" s="20">
        <f>MAX(MIN(Es*CL21,fy),-fy)</f>
      </c>
      <c r="CN21" s="20">
        <f>IF(CL21&gt;0,IF(CL21&lt;=eco,alpha*fck*(1-(1-CL21/eco)^n),alpha*fck),0)</f>
      </c>
      <c r="CO21" s="20">
        <f>CM21-CN21</f>
      </c>
      <c r="CP21" s="19">
        <f>CO21*$E21</f>
      </c>
      <c r="CQ21" s="19">
        <f>CP21*$D21</f>
      </c>
      <c r="CR21" s="19">
        <f>CP21*$C21</f>
      </c>
      <c r="CS21" s="37">
        <f>PM_Angle!$J$20+PM_Angle!$K$20*$D21+PM_Angle!$L$20*$C21</f>
      </c>
      <c r="CT21" s="20">
        <f>MAX(MIN(Es*CS21,fy),-fy)</f>
      </c>
      <c r="CU21" s="20">
        <f>IF(CS21&gt;0,IF(CS21&lt;=eco,alpha*fck*(1-(1-CS21/eco)^n),alpha*fck),0)</f>
      </c>
      <c r="CV21" s="20">
        <f>CT21-CU21</f>
      </c>
      <c r="CW21" s="19">
        <f>CV21*$E21</f>
      </c>
      <c r="CX21" s="19">
        <f>CW21*$D21</f>
      </c>
      <c r="CY21" s="19">
        <f>CW21*$C21</f>
      </c>
      <c r="CZ21" s="37">
        <f>PM_Angle!$J$21+PM_Angle!$K$21*$D21+PM_Angle!$L$21*$C21</f>
      </c>
      <c r="DA21" s="20">
        <f>MAX(MIN(Es*CZ21,fy),-fy)</f>
      </c>
      <c r="DB21" s="20">
        <f>IF(CZ21&gt;0,IF(CZ21&lt;=eco,alpha*fck*(1-(1-CZ21/eco)^n),alpha*fck),0)</f>
      </c>
      <c r="DC21" s="20">
        <f>DA21-DB21</f>
      </c>
      <c r="DD21" s="19">
        <f>DC21*$E21</f>
      </c>
      <c r="DE21" s="19">
        <f>DD21*$D21</f>
      </c>
      <c r="DF21" s="19">
        <f>DD21*$C21</f>
      </c>
      <c r="DG21" s="37">
        <f>PM_Angle!$J$22+PM_Angle!$K$22*$D21+PM_Angle!$L$22*$C21</f>
      </c>
      <c r="DH21" s="20">
        <f>MAX(MIN(Es*DG21,fy),-fy)</f>
      </c>
      <c r="DI21" s="20">
        <f>IF(DG21&gt;0,IF(DG21&lt;=eco,alpha*fck*(1-(1-DG21/eco)^n),alpha*fck),0)</f>
      </c>
      <c r="DJ21" s="20">
        <f>DH21-DI21</f>
      </c>
      <c r="DK21" s="19">
        <f>DJ21*$E21</f>
      </c>
      <c r="DL21" s="19">
        <f>DK21*$D21</f>
      </c>
      <c r="DM21" s="19">
        <f>DK21*$C21</f>
      </c>
      <c r="DN21" s="37">
        <f>PM_Angle!$J$23+PM_Angle!$K$23*$D21+PM_Angle!$L$23*$C21</f>
      </c>
      <c r="DO21" s="20">
        <f>MAX(MIN(Es*DN21,fy),-fy)</f>
      </c>
      <c r="DP21" s="20">
        <f>IF(DN21&gt;0,IF(DN21&lt;=eco,alpha*fck*(1-(1-DN21/eco)^n),alpha*fck),0)</f>
      </c>
      <c r="DQ21" s="20">
        <f>DO21-DP21</f>
      </c>
      <c r="DR21" s="19">
        <f>DQ21*$E21</f>
      </c>
      <c r="DS21" s="19">
        <f>DR21*$D21</f>
      </c>
      <c r="DT21" s="19">
        <f>DR21*$C21</f>
      </c>
      <c r="DU21" s="37">
        <f>PM_Angle!$J$24+PM_Angle!$K$24*$D21+PM_Angle!$L$24*$C21</f>
      </c>
      <c r="DV21" s="20">
        <f>MAX(MIN(Es*DU21,fy),-fy)</f>
      </c>
      <c r="DW21" s="20">
        <f>IF(DU21&gt;0,IF(DU21&lt;=eco,alpha*fck*(1-(1-DU21/eco)^n),alpha*fck),0)</f>
      </c>
      <c r="DX21" s="20">
        <f>DV21-DW21</f>
      </c>
      <c r="DY21" s="19">
        <f>DX21*$E21</f>
      </c>
      <c r="DZ21" s="19">
        <f>DY21*$D21</f>
      </c>
      <c r="EA21" s="19">
        <f>DY21*$C21</f>
      </c>
      <c r="EB21" s="37">
        <f>PM_Angle!$J$25+PM_Angle!$K$25*$D21+PM_Angle!$L$25*$C21</f>
      </c>
      <c r="EC21" s="20">
        <f>MAX(MIN(Es*EB21,fy),-fy)</f>
      </c>
      <c r="ED21" s="20">
        <f>IF(EB21&gt;0,IF(EB21&lt;=eco,alpha*fck*(1-(1-EB21/eco)^n),alpha*fck),0)</f>
      </c>
      <c r="EE21" s="20">
        <f>EC21-ED21</f>
      </c>
      <c r="EF21" s="19">
        <f>EE21*$E21</f>
      </c>
      <c r="EG21" s="19">
        <f>EF21*$D21</f>
      </c>
      <c r="EH21" s="19">
        <f>EF21*$C21</f>
      </c>
      <c r="EI21" s="37">
        <f>PM_Angle!$J$26+PM_Angle!$K$26*$D21+PM_Angle!$L$26*$C21</f>
      </c>
      <c r="EJ21" s="20">
        <f>MAX(MIN(Es*EI21,fy),-fy)</f>
      </c>
      <c r="EK21" s="20">
        <f>IF(EI21&gt;0,IF(EI21&lt;=eco,alpha*fck*(1-(1-EI21/eco)^n),alpha*fck),0)</f>
      </c>
      <c r="EL21" s="20">
        <f>EJ21-EK21</f>
      </c>
      <c r="EM21" s="19">
        <f>EL21*$E21</f>
      </c>
      <c r="EN21" s="19">
        <f>EM21*$D21</f>
      </c>
      <c r="EO21" s="19">
        <f>EM21*$C21</f>
      </c>
      <c r="EP21" s="37">
        <f>PM_Angle!$J$27+PM_Angle!$K$27*$D21+PM_Angle!$L$27*$C21</f>
      </c>
      <c r="EQ21" s="20">
        <f>MAX(MIN(Es*EP21,fy),-fy)</f>
      </c>
      <c r="ER21" s="20">
        <f>IF(EP21&gt;0,IF(EP21&lt;=eco,alpha*fck*(1-(1-EP21/eco)^n),alpha*fck),0)</f>
      </c>
      <c r="ES21" s="20">
        <f>EQ21-ER21</f>
      </c>
      <c r="ET21" s="19">
        <f>ES21*$E21</f>
      </c>
      <c r="EU21" s="19">
        <f>ET21*$D21</f>
      </c>
      <c r="EV21" s="19">
        <f>ET21*$C21</f>
      </c>
      <c r="EW21" s="37">
        <f>PM_Angle!$J$28+PM_Angle!$K$28*$D21+PM_Angle!$L$28*$C21</f>
      </c>
      <c r="EX21" s="20">
        <f>MAX(MIN(Es*EW21,fy),-fy)</f>
      </c>
      <c r="EY21" s="20">
        <f>IF(EW21&gt;0,IF(EW21&lt;=eco,alpha*fck*(1-(1-EW21/eco)^n),alpha*fck),0)</f>
      </c>
      <c r="EZ21" s="20">
        <f>EX21-EY21</f>
      </c>
      <c r="FA21" s="19">
        <f>EZ21*$E21</f>
      </c>
      <c r="FB21" s="19">
        <f>FA21*$D21</f>
      </c>
      <c r="FC21" s="19">
        <f>FA21*$C21</f>
      </c>
      <c r="FD21" s="37">
        <f>PM_Angle!$J$29+PM_Angle!$K$29*$D21+PM_Angle!$L$29*$C21</f>
      </c>
      <c r="FE21" s="20">
        <f>MAX(MIN(Es*FD21,fy),-fy)</f>
      </c>
      <c r="FF21" s="20">
        <f>IF(FD21&gt;0,IF(FD21&lt;=eco,alpha*fck*(1-(1-FD21/eco)^n),alpha*fck),0)</f>
      </c>
      <c r="FG21" s="20">
        <f>FE21-FF21</f>
      </c>
      <c r="FH21" s="19">
        <f>FG21*$E21</f>
      </c>
      <c r="FI21" s="19">
        <f>FH21*$D21</f>
      </c>
      <c r="FJ21" s="19">
        <f>FH21*$C21</f>
      </c>
      <c r="FK21" s="37">
        <f>PM_Angle!$J$30+PM_Angle!$K$30*$D21+PM_Angle!$L$30*$C21</f>
      </c>
      <c r="FL21" s="20">
        <f>MAX(MIN(Es*FK21,fy),-fy)</f>
      </c>
      <c r="FM21" s="20">
        <f>IF(FK21&gt;0,IF(FK21&lt;=eco,alpha*fck*(1-(1-FK21/eco)^n),alpha*fck),0)</f>
      </c>
      <c r="FN21" s="20">
        <f>FL21-FM21</f>
      </c>
      <c r="FO21" s="19">
        <f>FN21*$E21</f>
      </c>
      <c r="FP21" s="19">
        <f>FO21*$D21</f>
      </c>
      <c r="FQ21" s="19">
        <f>FO21*$C21</f>
      </c>
      <c r="FR21" s="37">
        <f>PM_Angle!$J$31+PM_Angle!$K$31*$D21+PM_Angle!$L$31*$C21</f>
      </c>
      <c r="FS21" s="20">
        <f>MAX(MIN(Es*FR21,fy),-fy)</f>
      </c>
      <c r="FT21" s="20">
        <f>IF(FR21&gt;0,IF(FR21&lt;=eco,alpha*fck*(1-(1-FR21/eco)^n),alpha*fck),0)</f>
      </c>
      <c r="FU21" s="20">
        <f>FS21-FT21</f>
      </c>
      <c r="FV21" s="19">
        <f>FU21*$E21</f>
      </c>
      <c r="FW21" s="19">
        <f>FV21*$D21</f>
      </c>
      <c r="FX21" s="19">
        <f>FV21*$C21</f>
      </c>
      <c r="FY21" s="37">
        <f>PM_Angle!$J$32+PM_Angle!$K$32*$D21+PM_Angle!$L$32*$C21</f>
      </c>
      <c r="FZ21" s="20">
        <f>MAX(MIN(Es*FY21,fy),-fy)</f>
      </c>
      <c r="GA21" s="20">
        <f>IF(FY21&gt;0,IF(FY21&lt;=eco,alpha*fck*(1-(1-FY21/eco)^n),alpha*fck),0)</f>
      </c>
      <c r="GB21" s="20">
        <f>FZ21-GA21</f>
      </c>
      <c r="GC21" s="19">
        <f>GB21*$E21</f>
      </c>
      <c r="GD21" s="19">
        <f>GC21*$D21</f>
      </c>
      <c r="GE21" s="19">
        <f>GC21*$C21</f>
      </c>
      <c r="GF21" s="37">
        <f>PM_Angle!$J$33+PM_Angle!$K$33*$D21+PM_Angle!$L$33*$C21</f>
      </c>
      <c r="GG21" s="20">
        <f>MAX(MIN(Es*GF21,fy),-fy)</f>
      </c>
      <c r="GH21" s="20">
        <f>IF(GF21&gt;0,IF(GF21&lt;=eco,alpha*fck*(1-(1-GF21/eco)^n),alpha*fck),0)</f>
      </c>
      <c r="GI21" s="20">
        <f>GG21-GH21</f>
      </c>
      <c r="GJ21" s="19">
        <f>GI21*$E21</f>
      </c>
      <c r="GK21" s="19">
        <f>GJ21*$D21</f>
      </c>
      <c r="GL21" s="19">
        <f>GJ21*$C21</f>
      </c>
      <c r="GM21" s="37">
        <f>Eq_e0+Eq_kx*$D21+Eq_ky*$C21</f>
      </c>
      <c r="GN21" s="20">
        <f>MAX(MIN(Es*GM21,fy),-fy)</f>
      </c>
      <c r="GO21" s="20">
        <f>IF(GM21&gt;0,IF(GM21&lt;=eco,alpha*fck*(1-(1-GM21/eco)^n),alpha*fck),0)</f>
      </c>
      <c r="GP21" s="20">
        <f>GN21-GO21</f>
      </c>
      <c r="GQ21" s="19">
        <f>GP21*$E21</f>
      </c>
      <c r="GR21" s="19">
        <f>GQ21*$D21</f>
      </c>
      <c r="GS21" s="19">
        <f>GQ21*$C21</f>
      </c>
    </row>
    <row r="22" spans="1:201" x14ac:dyDescent="0.25">
      <c r="A22">
        <v>16</v>
      </c>
      <c r="B22" s="20">
        <f>Geometry!C57</f>
      </c>
      <c r="C22" s="20">
        <f>Geometry!D57</f>
      </c>
      <c r="D22" s="20">
        <f>Geometry!E57</f>
      </c>
      <c r="E22" s="20">
        <f>Geometry!F57</f>
      </c>
      <c r="F22" s="37">
        <f>PM_Angle!$J$7+PM_Angle!$K$7*$D22+PM_Angle!$L$7*$C22</f>
      </c>
      <c r="G22" s="20">
        <f>MAX(MIN(Es*F22,fy),-fy)</f>
      </c>
      <c r="H22" s="20">
        <f>IF(F22&gt;0,IF(F22&lt;=eco,alpha*fck*(1-(1-F22/eco)^n),alpha*fck),0)</f>
      </c>
      <c r="I22" s="20">
        <f>G22-H22</f>
      </c>
      <c r="J22" s="19">
        <f>I22*$E22</f>
      </c>
      <c r="K22" s="19">
        <f>J22*$D22</f>
      </c>
      <c r="L22" s="19">
        <f>J22*$C22</f>
      </c>
      <c r="M22" s="37">
        <f>PM_Angle!$J$8+PM_Angle!$K$8*$D22+PM_Angle!$L$8*$C22</f>
      </c>
      <c r="N22" s="20">
        <f>MAX(MIN(Es*M22,fy),-fy)</f>
      </c>
      <c r="O22" s="20">
        <f>IF(M22&gt;0,IF(M22&lt;=eco,alpha*fck*(1-(1-M22/eco)^n),alpha*fck),0)</f>
      </c>
      <c r="P22" s="20">
        <f>N22-O22</f>
      </c>
      <c r="Q22" s="19">
        <f>P22*$E22</f>
      </c>
      <c r="R22" s="19">
        <f>Q22*$D22</f>
      </c>
      <c r="S22" s="19">
        <f>Q22*$C22</f>
      </c>
      <c r="T22" s="37">
        <f>PM_Angle!$J$9+PM_Angle!$K$9*$D22+PM_Angle!$L$9*$C22</f>
      </c>
      <c r="U22" s="20">
        <f>MAX(MIN(Es*T22,fy),-fy)</f>
      </c>
      <c r="V22" s="20">
        <f>IF(T22&gt;0,IF(T22&lt;=eco,alpha*fck*(1-(1-T22/eco)^n),alpha*fck),0)</f>
      </c>
      <c r="W22" s="20">
        <f>U22-V22</f>
      </c>
      <c r="X22" s="19">
        <f>W22*$E22</f>
      </c>
      <c r="Y22" s="19">
        <f>X22*$D22</f>
      </c>
      <c r="Z22" s="19">
        <f>X22*$C22</f>
      </c>
      <c r="AA22" s="37">
        <f>PM_Angle!$J$10+PM_Angle!$K$10*$D22+PM_Angle!$L$10*$C22</f>
      </c>
      <c r="AB22" s="20">
        <f>MAX(MIN(Es*AA22,fy),-fy)</f>
      </c>
      <c r="AC22" s="20">
        <f>IF(AA22&gt;0,IF(AA22&lt;=eco,alpha*fck*(1-(1-AA22/eco)^n),alpha*fck),0)</f>
      </c>
      <c r="AD22" s="20">
        <f>AB22-AC22</f>
      </c>
      <c r="AE22" s="19">
        <f>AD22*$E22</f>
      </c>
      <c r="AF22" s="19">
        <f>AE22*$D22</f>
      </c>
      <c r="AG22" s="19">
        <f>AE22*$C22</f>
      </c>
      <c r="AH22" s="37">
        <f>PM_Angle!$J$11+PM_Angle!$K$11*$D22+PM_Angle!$L$11*$C22</f>
      </c>
      <c r="AI22" s="20">
        <f>MAX(MIN(Es*AH22,fy),-fy)</f>
      </c>
      <c r="AJ22" s="20">
        <f>IF(AH22&gt;0,IF(AH22&lt;=eco,alpha*fck*(1-(1-AH22/eco)^n),alpha*fck),0)</f>
      </c>
      <c r="AK22" s="20">
        <f>AI22-AJ22</f>
      </c>
      <c r="AL22" s="19">
        <f>AK22*$E22</f>
      </c>
      <c r="AM22" s="19">
        <f>AL22*$D22</f>
      </c>
      <c r="AN22" s="19">
        <f>AL22*$C22</f>
      </c>
      <c r="AO22" s="37">
        <f>PM_Angle!$J$12+PM_Angle!$K$12*$D22+PM_Angle!$L$12*$C22</f>
      </c>
      <c r="AP22" s="20">
        <f>MAX(MIN(Es*AO22,fy),-fy)</f>
      </c>
      <c r="AQ22" s="20">
        <f>IF(AO22&gt;0,IF(AO22&lt;=eco,alpha*fck*(1-(1-AO22/eco)^n),alpha*fck),0)</f>
      </c>
      <c r="AR22" s="20">
        <f>AP22-AQ22</f>
      </c>
      <c r="AS22" s="19">
        <f>AR22*$E22</f>
      </c>
      <c r="AT22" s="19">
        <f>AS22*$D22</f>
      </c>
      <c r="AU22" s="19">
        <f>AS22*$C22</f>
      </c>
      <c r="AV22" s="37">
        <f>PM_Angle!$J$13+PM_Angle!$K$13*$D22+PM_Angle!$L$13*$C22</f>
      </c>
      <c r="AW22" s="20">
        <f>MAX(MIN(Es*AV22,fy),-fy)</f>
      </c>
      <c r="AX22" s="20">
        <f>IF(AV22&gt;0,IF(AV22&lt;=eco,alpha*fck*(1-(1-AV22/eco)^n),alpha*fck),0)</f>
      </c>
      <c r="AY22" s="20">
        <f>AW22-AX22</f>
      </c>
      <c r="AZ22" s="19">
        <f>AY22*$E22</f>
      </c>
      <c r="BA22" s="19">
        <f>AZ22*$D22</f>
      </c>
      <c r="BB22" s="19">
        <f>AZ22*$C22</f>
      </c>
      <c r="BC22" s="37">
        <f>PM_Angle!$J$14+PM_Angle!$K$14*$D22+PM_Angle!$L$14*$C22</f>
      </c>
      <c r="BD22" s="20">
        <f>MAX(MIN(Es*BC22,fy),-fy)</f>
      </c>
      <c r="BE22" s="20">
        <f>IF(BC22&gt;0,IF(BC22&lt;=eco,alpha*fck*(1-(1-BC22/eco)^n),alpha*fck),0)</f>
      </c>
      <c r="BF22" s="20">
        <f>BD22-BE22</f>
      </c>
      <c r="BG22" s="19">
        <f>BF22*$E22</f>
      </c>
      <c r="BH22" s="19">
        <f>BG22*$D22</f>
      </c>
      <c r="BI22" s="19">
        <f>BG22*$C22</f>
      </c>
      <c r="BJ22" s="37">
        <f>PM_Angle!$J$15+PM_Angle!$K$15*$D22+PM_Angle!$L$15*$C22</f>
      </c>
      <c r="BK22" s="20">
        <f>MAX(MIN(Es*BJ22,fy),-fy)</f>
      </c>
      <c r="BL22" s="20">
        <f>IF(BJ22&gt;0,IF(BJ22&lt;=eco,alpha*fck*(1-(1-BJ22/eco)^n),alpha*fck),0)</f>
      </c>
      <c r="BM22" s="20">
        <f>BK22-BL22</f>
      </c>
      <c r="BN22" s="19">
        <f>BM22*$E22</f>
      </c>
      <c r="BO22" s="19">
        <f>BN22*$D22</f>
      </c>
      <c r="BP22" s="19">
        <f>BN22*$C22</f>
      </c>
      <c r="BQ22" s="37">
        <f>PM_Angle!$J$16+PM_Angle!$K$16*$D22+PM_Angle!$L$16*$C22</f>
      </c>
      <c r="BR22" s="20">
        <f>MAX(MIN(Es*BQ22,fy),-fy)</f>
      </c>
      <c r="BS22" s="20">
        <f>IF(BQ22&gt;0,IF(BQ22&lt;=eco,alpha*fck*(1-(1-BQ22/eco)^n),alpha*fck),0)</f>
      </c>
      <c r="BT22" s="20">
        <f>BR22-BS22</f>
      </c>
      <c r="BU22" s="19">
        <f>BT22*$E22</f>
      </c>
      <c r="BV22" s="19">
        <f>BU22*$D22</f>
      </c>
      <c r="BW22" s="19">
        <f>BU22*$C22</f>
      </c>
      <c r="BX22" s="37">
        <f>PM_Angle!$J$17+PM_Angle!$K$17*$D22+PM_Angle!$L$17*$C22</f>
      </c>
      <c r="BY22" s="20">
        <f>MAX(MIN(Es*BX22,fy),-fy)</f>
      </c>
      <c r="BZ22" s="20">
        <f>IF(BX22&gt;0,IF(BX22&lt;=eco,alpha*fck*(1-(1-BX22/eco)^n),alpha*fck),0)</f>
      </c>
      <c r="CA22" s="20">
        <f>BY22-BZ22</f>
      </c>
      <c r="CB22" s="19">
        <f>CA22*$E22</f>
      </c>
      <c r="CC22" s="19">
        <f>CB22*$D22</f>
      </c>
      <c r="CD22" s="19">
        <f>CB22*$C22</f>
      </c>
      <c r="CE22" s="37">
        <f>PM_Angle!$J$18+PM_Angle!$K$18*$D22+PM_Angle!$L$18*$C22</f>
      </c>
      <c r="CF22" s="20">
        <f>MAX(MIN(Es*CE22,fy),-fy)</f>
      </c>
      <c r="CG22" s="20">
        <f>IF(CE22&gt;0,IF(CE22&lt;=eco,alpha*fck*(1-(1-CE22/eco)^n),alpha*fck),0)</f>
      </c>
      <c r="CH22" s="20">
        <f>CF22-CG22</f>
      </c>
      <c r="CI22" s="19">
        <f>CH22*$E22</f>
      </c>
      <c r="CJ22" s="19">
        <f>CI22*$D22</f>
      </c>
      <c r="CK22" s="19">
        <f>CI22*$C22</f>
      </c>
      <c r="CL22" s="37">
        <f>PM_Angle!$J$19+PM_Angle!$K$19*$D22+PM_Angle!$L$19*$C22</f>
      </c>
      <c r="CM22" s="20">
        <f>MAX(MIN(Es*CL22,fy),-fy)</f>
      </c>
      <c r="CN22" s="20">
        <f>IF(CL22&gt;0,IF(CL22&lt;=eco,alpha*fck*(1-(1-CL22/eco)^n),alpha*fck),0)</f>
      </c>
      <c r="CO22" s="20">
        <f>CM22-CN22</f>
      </c>
      <c r="CP22" s="19">
        <f>CO22*$E22</f>
      </c>
      <c r="CQ22" s="19">
        <f>CP22*$D22</f>
      </c>
      <c r="CR22" s="19">
        <f>CP22*$C22</f>
      </c>
      <c r="CS22" s="37">
        <f>PM_Angle!$J$20+PM_Angle!$K$20*$D22+PM_Angle!$L$20*$C22</f>
      </c>
      <c r="CT22" s="20">
        <f>MAX(MIN(Es*CS22,fy),-fy)</f>
      </c>
      <c r="CU22" s="20">
        <f>IF(CS22&gt;0,IF(CS22&lt;=eco,alpha*fck*(1-(1-CS22/eco)^n),alpha*fck),0)</f>
      </c>
      <c r="CV22" s="20">
        <f>CT22-CU22</f>
      </c>
      <c r="CW22" s="19">
        <f>CV22*$E22</f>
      </c>
      <c r="CX22" s="19">
        <f>CW22*$D22</f>
      </c>
      <c r="CY22" s="19">
        <f>CW22*$C22</f>
      </c>
      <c r="CZ22" s="37">
        <f>PM_Angle!$J$21+PM_Angle!$K$21*$D22+PM_Angle!$L$21*$C22</f>
      </c>
      <c r="DA22" s="20">
        <f>MAX(MIN(Es*CZ22,fy),-fy)</f>
      </c>
      <c r="DB22" s="20">
        <f>IF(CZ22&gt;0,IF(CZ22&lt;=eco,alpha*fck*(1-(1-CZ22/eco)^n),alpha*fck),0)</f>
      </c>
      <c r="DC22" s="20">
        <f>DA22-DB22</f>
      </c>
      <c r="DD22" s="19">
        <f>DC22*$E22</f>
      </c>
      <c r="DE22" s="19">
        <f>DD22*$D22</f>
      </c>
      <c r="DF22" s="19">
        <f>DD22*$C22</f>
      </c>
      <c r="DG22" s="37">
        <f>PM_Angle!$J$22+PM_Angle!$K$22*$D22+PM_Angle!$L$22*$C22</f>
      </c>
      <c r="DH22" s="20">
        <f>MAX(MIN(Es*DG22,fy),-fy)</f>
      </c>
      <c r="DI22" s="20">
        <f>IF(DG22&gt;0,IF(DG22&lt;=eco,alpha*fck*(1-(1-DG22/eco)^n),alpha*fck),0)</f>
      </c>
      <c r="DJ22" s="20">
        <f>DH22-DI22</f>
      </c>
      <c r="DK22" s="19">
        <f>DJ22*$E22</f>
      </c>
      <c r="DL22" s="19">
        <f>DK22*$D22</f>
      </c>
      <c r="DM22" s="19">
        <f>DK22*$C22</f>
      </c>
      <c r="DN22" s="37">
        <f>PM_Angle!$J$23+PM_Angle!$K$23*$D22+PM_Angle!$L$23*$C22</f>
      </c>
      <c r="DO22" s="20">
        <f>MAX(MIN(Es*DN22,fy),-fy)</f>
      </c>
      <c r="DP22" s="20">
        <f>IF(DN22&gt;0,IF(DN22&lt;=eco,alpha*fck*(1-(1-DN22/eco)^n),alpha*fck),0)</f>
      </c>
      <c r="DQ22" s="20">
        <f>DO22-DP22</f>
      </c>
      <c r="DR22" s="19">
        <f>DQ22*$E22</f>
      </c>
      <c r="DS22" s="19">
        <f>DR22*$D22</f>
      </c>
      <c r="DT22" s="19">
        <f>DR22*$C22</f>
      </c>
      <c r="DU22" s="37">
        <f>PM_Angle!$J$24+PM_Angle!$K$24*$D22+PM_Angle!$L$24*$C22</f>
      </c>
      <c r="DV22" s="20">
        <f>MAX(MIN(Es*DU22,fy),-fy)</f>
      </c>
      <c r="DW22" s="20">
        <f>IF(DU22&gt;0,IF(DU22&lt;=eco,alpha*fck*(1-(1-DU22/eco)^n),alpha*fck),0)</f>
      </c>
      <c r="DX22" s="20">
        <f>DV22-DW22</f>
      </c>
      <c r="DY22" s="19">
        <f>DX22*$E22</f>
      </c>
      <c r="DZ22" s="19">
        <f>DY22*$D22</f>
      </c>
      <c r="EA22" s="19">
        <f>DY22*$C22</f>
      </c>
      <c r="EB22" s="37">
        <f>PM_Angle!$J$25+PM_Angle!$K$25*$D22+PM_Angle!$L$25*$C22</f>
      </c>
      <c r="EC22" s="20">
        <f>MAX(MIN(Es*EB22,fy),-fy)</f>
      </c>
      <c r="ED22" s="20">
        <f>IF(EB22&gt;0,IF(EB22&lt;=eco,alpha*fck*(1-(1-EB22/eco)^n),alpha*fck),0)</f>
      </c>
      <c r="EE22" s="20">
        <f>EC22-ED22</f>
      </c>
      <c r="EF22" s="19">
        <f>EE22*$E22</f>
      </c>
      <c r="EG22" s="19">
        <f>EF22*$D22</f>
      </c>
      <c r="EH22" s="19">
        <f>EF22*$C22</f>
      </c>
      <c r="EI22" s="37">
        <f>PM_Angle!$J$26+PM_Angle!$K$26*$D22+PM_Angle!$L$26*$C22</f>
      </c>
      <c r="EJ22" s="20">
        <f>MAX(MIN(Es*EI22,fy),-fy)</f>
      </c>
      <c r="EK22" s="20">
        <f>IF(EI22&gt;0,IF(EI22&lt;=eco,alpha*fck*(1-(1-EI22/eco)^n),alpha*fck),0)</f>
      </c>
      <c r="EL22" s="20">
        <f>EJ22-EK22</f>
      </c>
      <c r="EM22" s="19">
        <f>EL22*$E22</f>
      </c>
      <c r="EN22" s="19">
        <f>EM22*$D22</f>
      </c>
      <c r="EO22" s="19">
        <f>EM22*$C22</f>
      </c>
      <c r="EP22" s="37">
        <f>PM_Angle!$J$27+PM_Angle!$K$27*$D22+PM_Angle!$L$27*$C22</f>
      </c>
      <c r="EQ22" s="20">
        <f>MAX(MIN(Es*EP22,fy),-fy)</f>
      </c>
      <c r="ER22" s="20">
        <f>IF(EP22&gt;0,IF(EP22&lt;=eco,alpha*fck*(1-(1-EP22/eco)^n),alpha*fck),0)</f>
      </c>
      <c r="ES22" s="20">
        <f>EQ22-ER22</f>
      </c>
      <c r="ET22" s="19">
        <f>ES22*$E22</f>
      </c>
      <c r="EU22" s="19">
        <f>ET22*$D22</f>
      </c>
      <c r="EV22" s="19">
        <f>ET22*$C22</f>
      </c>
      <c r="EW22" s="37">
        <f>PM_Angle!$J$28+PM_Angle!$K$28*$D22+PM_Angle!$L$28*$C22</f>
      </c>
      <c r="EX22" s="20">
        <f>MAX(MIN(Es*EW22,fy),-fy)</f>
      </c>
      <c r="EY22" s="20">
        <f>IF(EW22&gt;0,IF(EW22&lt;=eco,alpha*fck*(1-(1-EW22/eco)^n),alpha*fck),0)</f>
      </c>
      <c r="EZ22" s="20">
        <f>EX22-EY22</f>
      </c>
      <c r="FA22" s="19">
        <f>EZ22*$E22</f>
      </c>
      <c r="FB22" s="19">
        <f>FA22*$D22</f>
      </c>
      <c r="FC22" s="19">
        <f>FA22*$C22</f>
      </c>
      <c r="FD22" s="37">
        <f>PM_Angle!$J$29+PM_Angle!$K$29*$D22+PM_Angle!$L$29*$C22</f>
      </c>
      <c r="FE22" s="20">
        <f>MAX(MIN(Es*FD22,fy),-fy)</f>
      </c>
      <c r="FF22" s="20">
        <f>IF(FD22&gt;0,IF(FD22&lt;=eco,alpha*fck*(1-(1-FD22/eco)^n),alpha*fck),0)</f>
      </c>
      <c r="FG22" s="20">
        <f>FE22-FF22</f>
      </c>
      <c r="FH22" s="19">
        <f>FG22*$E22</f>
      </c>
      <c r="FI22" s="19">
        <f>FH22*$D22</f>
      </c>
      <c r="FJ22" s="19">
        <f>FH22*$C22</f>
      </c>
      <c r="FK22" s="37">
        <f>PM_Angle!$J$30+PM_Angle!$K$30*$D22+PM_Angle!$L$30*$C22</f>
      </c>
      <c r="FL22" s="20">
        <f>MAX(MIN(Es*FK22,fy),-fy)</f>
      </c>
      <c r="FM22" s="20">
        <f>IF(FK22&gt;0,IF(FK22&lt;=eco,alpha*fck*(1-(1-FK22/eco)^n),alpha*fck),0)</f>
      </c>
      <c r="FN22" s="20">
        <f>FL22-FM22</f>
      </c>
      <c r="FO22" s="19">
        <f>FN22*$E22</f>
      </c>
      <c r="FP22" s="19">
        <f>FO22*$D22</f>
      </c>
      <c r="FQ22" s="19">
        <f>FO22*$C22</f>
      </c>
      <c r="FR22" s="37">
        <f>PM_Angle!$J$31+PM_Angle!$K$31*$D22+PM_Angle!$L$31*$C22</f>
      </c>
      <c r="FS22" s="20">
        <f>MAX(MIN(Es*FR22,fy),-fy)</f>
      </c>
      <c r="FT22" s="20">
        <f>IF(FR22&gt;0,IF(FR22&lt;=eco,alpha*fck*(1-(1-FR22/eco)^n),alpha*fck),0)</f>
      </c>
      <c r="FU22" s="20">
        <f>FS22-FT22</f>
      </c>
      <c r="FV22" s="19">
        <f>FU22*$E22</f>
      </c>
      <c r="FW22" s="19">
        <f>FV22*$D22</f>
      </c>
      <c r="FX22" s="19">
        <f>FV22*$C22</f>
      </c>
      <c r="FY22" s="37">
        <f>PM_Angle!$J$32+PM_Angle!$K$32*$D22+PM_Angle!$L$32*$C22</f>
      </c>
      <c r="FZ22" s="20">
        <f>MAX(MIN(Es*FY22,fy),-fy)</f>
      </c>
      <c r="GA22" s="20">
        <f>IF(FY22&gt;0,IF(FY22&lt;=eco,alpha*fck*(1-(1-FY22/eco)^n),alpha*fck),0)</f>
      </c>
      <c r="GB22" s="20">
        <f>FZ22-GA22</f>
      </c>
      <c r="GC22" s="19">
        <f>GB22*$E22</f>
      </c>
      <c r="GD22" s="19">
        <f>GC22*$D22</f>
      </c>
      <c r="GE22" s="19">
        <f>GC22*$C22</f>
      </c>
      <c r="GF22" s="37">
        <f>PM_Angle!$J$33+PM_Angle!$K$33*$D22+PM_Angle!$L$33*$C22</f>
      </c>
      <c r="GG22" s="20">
        <f>MAX(MIN(Es*GF22,fy),-fy)</f>
      </c>
      <c r="GH22" s="20">
        <f>IF(GF22&gt;0,IF(GF22&lt;=eco,alpha*fck*(1-(1-GF22/eco)^n),alpha*fck),0)</f>
      </c>
      <c r="GI22" s="20">
        <f>GG22-GH22</f>
      </c>
      <c r="GJ22" s="19">
        <f>GI22*$E22</f>
      </c>
      <c r="GK22" s="19">
        <f>GJ22*$D22</f>
      </c>
      <c r="GL22" s="19">
        <f>GJ22*$C22</f>
      </c>
      <c r="GM22" s="37">
        <f>Eq_e0+Eq_kx*$D22+Eq_ky*$C22</f>
      </c>
      <c r="GN22" s="20">
        <f>MAX(MIN(Es*GM22,fy),-fy)</f>
      </c>
      <c r="GO22" s="20">
        <f>IF(GM22&gt;0,IF(GM22&lt;=eco,alpha*fck*(1-(1-GM22/eco)^n),alpha*fck),0)</f>
      </c>
      <c r="GP22" s="20">
        <f>GN22-GO22</f>
      </c>
      <c r="GQ22" s="19">
        <f>GP22*$E22</f>
      </c>
      <c r="GR22" s="19">
        <f>GQ22*$D22</f>
      </c>
      <c r="GS22" s="19">
        <f>GQ22*$C22</f>
      </c>
    </row>
    <row r="23" spans="1:201" x14ac:dyDescent="0.25">
      <c r="A23">
        <v>17</v>
      </c>
      <c r="B23" s="20">
        <f>Geometry!C58</f>
      </c>
      <c r="C23" s="20">
        <f>Geometry!D58</f>
      </c>
      <c r="D23" s="20">
        <f>Geometry!E58</f>
      </c>
      <c r="E23" s="20">
        <f>Geometry!F58</f>
      </c>
      <c r="F23" s="37">
        <f>PM_Angle!$J$7+PM_Angle!$K$7*$D23+PM_Angle!$L$7*$C23</f>
      </c>
      <c r="G23" s="20">
        <f>MAX(MIN(Es*F23,fy),-fy)</f>
      </c>
      <c r="H23" s="20">
        <f>IF(F23&gt;0,IF(F23&lt;=eco,alpha*fck*(1-(1-F23/eco)^n),alpha*fck),0)</f>
      </c>
      <c r="I23" s="20">
        <f>G23-H23</f>
      </c>
      <c r="J23" s="19">
        <f>I23*$E23</f>
      </c>
      <c r="K23" s="19">
        <f>J23*$D23</f>
      </c>
      <c r="L23" s="19">
        <f>J23*$C23</f>
      </c>
      <c r="M23" s="37">
        <f>PM_Angle!$J$8+PM_Angle!$K$8*$D23+PM_Angle!$L$8*$C23</f>
      </c>
      <c r="N23" s="20">
        <f>MAX(MIN(Es*M23,fy),-fy)</f>
      </c>
      <c r="O23" s="20">
        <f>IF(M23&gt;0,IF(M23&lt;=eco,alpha*fck*(1-(1-M23/eco)^n),alpha*fck),0)</f>
      </c>
      <c r="P23" s="20">
        <f>N23-O23</f>
      </c>
      <c r="Q23" s="19">
        <f>P23*$E23</f>
      </c>
      <c r="R23" s="19">
        <f>Q23*$D23</f>
      </c>
      <c r="S23" s="19">
        <f>Q23*$C23</f>
      </c>
      <c r="T23" s="37">
        <f>PM_Angle!$J$9+PM_Angle!$K$9*$D23+PM_Angle!$L$9*$C23</f>
      </c>
      <c r="U23" s="20">
        <f>MAX(MIN(Es*T23,fy),-fy)</f>
      </c>
      <c r="V23" s="20">
        <f>IF(T23&gt;0,IF(T23&lt;=eco,alpha*fck*(1-(1-T23/eco)^n),alpha*fck),0)</f>
      </c>
      <c r="W23" s="20">
        <f>U23-V23</f>
      </c>
      <c r="X23" s="19">
        <f>W23*$E23</f>
      </c>
      <c r="Y23" s="19">
        <f>X23*$D23</f>
      </c>
      <c r="Z23" s="19">
        <f>X23*$C23</f>
      </c>
      <c r="AA23" s="37">
        <f>PM_Angle!$J$10+PM_Angle!$K$10*$D23+PM_Angle!$L$10*$C23</f>
      </c>
      <c r="AB23" s="20">
        <f>MAX(MIN(Es*AA23,fy),-fy)</f>
      </c>
      <c r="AC23" s="20">
        <f>IF(AA23&gt;0,IF(AA23&lt;=eco,alpha*fck*(1-(1-AA23/eco)^n),alpha*fck),0)</f>
      </c>
      <c r="AD23" s="20">
        <f>AB23-AC23</f>
      </c>
      <c r="AE23" s="19">
        <f>AD23*$E23</f>
      </c>
      <c r="AF23" s="19">
        <f>AE23*$D23</f>
      </c>
      <c r="AG23" s="19">
        <f>AE23*$C23</f>
      </c>
      <c r="AH23" s="37">
        <f>PM_Angle!$J$11+PM_Angle!$K$11*$D23+PM_Angle!$L$11*$C23</f>
      </c>
      <c r="AI23" s="20">
        <f>MAX(MIN(Es*AH23,fy),-fy)</f>
      </c>
      <c r="AJ23" s="20">
        <f>IF(AH23&gt;0,IF(AH23&lt;=eco,alpha*fck*(1-(1-AH23/eco)^n),alpha*fck),0)</f>
      </c>
      <c r="AK23" s="20">
        <f>AI23-AJ23</f>
      </c>
      <c r="AL23" s="19">
        <f>AK23*$E23</f>
      </c>
      <c r="AM23" s="19">
        <f>AL23*$D23</f>
      </c>
      <c r="AN23" s="19">
        <f>AL23*$C23</f>
      </c>
      <c r="AO23" s="37">
        <f>PM_Angle!$J$12+PM_Angle!$K$12*$D23+PM_Angle!$L$12*$C23</f>
      </c>
      <c r="AP23" s="20">
        <f>MAX(MIN(Es*AO23,fy),-fy)</f>
      </c>
      <c r="AQ23" s="20">
        <f>IF(AO23&gt;0,IF(AO23&lt;=eco,alpha*fck*(1-(1-AO23/eco)^n),alpha*fck),0)</f>
      </c>
      <c r="AR23" s="20">
        <f>AP23-AQ23</f>
      </c>
      <c r="AS23" s="19">
        <f>AR23*$E23</f>
      </c>
      <c r="AT23" s="19">
        <f>AS23*$D23</f>
      </c>
      <c r="AU23" s="19">
        <f>AS23*$C23</f>
      </c>
      <c r="AV23" s="37">
        <f>PM_Angle!$J$13+PM_Angle!$K$13*$D23+PM_Angle!$L$13*$C23</f>
      </c>
      <c r="AW23" s="20">
        <f>MAX(MIN(Es*AV23,fy),-fy)</f>
      </c>
      <c r="AX23" s="20">
        <f>IF(AV23&gt;0,IF(AV23&lt;=eco,alpha*fck*(1-(1-AV23/eco)^n),alpha*fck),0)</f>
      </c>
      <c r="AY23" s="20">
        <f>AW23-AX23</f>
      </c>
      <c r="AZ23" s="19">
        <f>AY23*$E23</f>
      </c>
      <c r="BA23" s="19">
        <f>AZ23*$D23</f>
      </c>
      <c r="BB23" s="19">
        <f>AZ23*$C23</f>
      </c>
      <c r="BC23" s="37">
        <f>PM_Angle!$J$14+PM_Angle!$K$14*$D23+PM_Angle!$L$14*$C23</f>
      </c>
      <c r="BD23" s="20">
        <f>MAX(MIN(Es*BC23,fy),-fy)</f>
      </c>
      <c r="BE23" s="20">
        <f>IF(BC23&gt;0,IF(BC23&lt;=eco,alpha*fck*(1-(1-BC23/eco)^n),alpha*fck),0)</f>
      </c>
      <c r="BF23" s="20">
        <f>BD23-BE23</f>
      </c>
      <c r="BG23" s="19">
        <f>BF23*$E23</f>
      </c>
      <c r="BH23" s="19">
        <f>BG23*$D23</f>
      </c>
      <c r="BI23" s="19">
        <f>BG23*$C23</f>
      </c>
      <c r="BJ23" s="37">
        <f>PM_Angle!$J$15+PM_Angle!$K$15*$D23+PM_Angle!$L$15*$C23</f>
      </c>
      <c r="BK23" s="20">
        <f>MAX(MIN(Es*BJ23,fy),-fy)</f>
      </c>
      <c r="BL23" s="20">
        <f>IF(BJ23&gt;0,IF(BJ23&lt;=eco,alpha*fck*(1-(1-BJ23/eco)^n),alpha*fck),0)</f>
      </c>
      <c r="BM23" s="20">
        <f>BK23-BL23</f>
      </c>
      <c r="BN23" s="19">
        <f>BM23*$E23</f>
      </c>
      <c r="BO23" s="19">
        <f>BN23*$D23</f>
      </c>
      <c r="BP23" s="19">
        <f>BN23*$C23</f>
      </c>
      <c r="BQ23" s="37">
        <f>PM_Angle!$J$16+PM_Angle!$K$16*$D23+PM_Angle!$L$16*$C23</f>
      </c>
      <c r="BR23" s="20">
        <f>MAX(MIN(Es*BQ23,fy),-fy)</f>
      </c>
      <c r="BS23" s="20">
        <f>IF(BQ23&gt;0,IF(BQ23&lt;=eco,alpha*fck*(1-(1-BQ23/eco)^n),alpha*fck),0)</f>
      </c>
      <c r="BT23" s="20">
        <f>BR23-BS23</f>
      </c>
      <c r="BU23" s="19">
        <f>BT23*$E23</f>
      </c>
      <c r="BV23" s="19">
        <f>BU23*$D23</f>
      </c>
      <c r="BW23" s="19">
        <f>BU23*$C23</f>
      </c>
      <c r="BX23" s="37">
        <f>PM_Angle!$J$17+PM_Angle!$K$17*$D23+PM_Angle!$L$17*$C23</f>
      </c>
      <c r="BY23" s="20">
        <f>MAX(MIN(Es*BX23,fy),-fy)</f>
      </c>
      <c r="BZ23" s="20">
        <f>IF(BX23&gt;0,IF(BX23&lt;=eco,alpha*fck*(1-(1-BX23/eco)^n),alpha*fck),0)</f>
      </c>
      <c r="CA23" s="20">
        <f>BY23-BZ23</f>
      </c>
      <c r="CB23" s="19">
        <f>CA23*$E23</f>
      </c>
      <c r="CC23" s="19">
        <f>CB23*$D23</f>
      </c>
      <c r="CD23" s="19">
        <f>CB23*$C23</f>
      </c>
      <c r="CE23" s="37">
        <f>PM_Angle!$J$18+PM_Angle!$K$18*$D23+PM_Angle!$L$18*$C23</f>
      </c>
      <c r="CF23" s="20">
        <f>MAX(MIN(Es*CE23,fy),-fy)</f>
      </c>
      <c r="CG23" s="20">
        <f>IF(CE23&gt;0,IF(CE23&lt;=eco,alpha*fck*(1-(1-CE23/eco)^n),alpha*fck),0)</f>
      </c>
      <c r="CH23" s="20">
        <f>CF23-CG23</f>
      </c>
      <c r="CI23" s="19">
        <f>CH23*$E23</f>
      </c>
      <c r="CJ23" s="19">
        <f>CI23*$D23</f>
      </c>
      <c r="CK23" s="19">
        <f>CI23*$C23</f>
      </c>
      <c r="CL23" s="37">
        <f>PM_Angle!$J$19+PM_Angle!$K$19*$D23+PM_Angle!$L$19*$C23</f>
      </c>
      <c r="CM23" s="20">
        <f>MAX(MIN(Es*CL23,fy),-fy)</f>
      </c>
      <c r="CN23" s="20">
        <f>IF(CL23&gt;0,IF(CL23&lt;=eco,alpha*fck*(1-(1-CL23/eco)^n),alpha*fck),0)</f>
      </c>
      <c r="CO23" s="20">
        <f>CM23-CN23</f>
      </c>
      <c r="CP23" s="19">
        <f>CO23*$E23</f>
      </c>
      <c r="CQ23" s="19">
        <f>CP23*$D23</f>
      </c>
      <c r="CR23" s="19">
        <f>CP23*$C23</f>
      </c>
      <c r="CS23" s="37">
        <f>PM_Angle!$J$20+PM_Angle!$K$20*$D23+PM_Angle!$L$20*$C23</f>
      </c>
      <c r="CT23" s="20">
        <f>MAX(MIN(Es*CS23,fy),-fy)</f>
      </c>
      <c r="CU23" s="20">
        <f>IF(CS23&gt;0,IF(CS23&lt;=eco,alpha*fck*(1-(1-CS23/eco)^n),alpha*fck),0)</f>
      </c>
      <c r="CV23" s="20">
        <f>CT23-CU23</f>
      </c>
      <c r="CW23" s="19">
        <f>CV23*$E23</f>
      </c>
      <c r="CX23" s="19">
        <f>CW23*$D23</f>
      </c>
      <c r="CY23" s="19">
        <f>CW23*$C23</f>
      </c>
      <c r="CZ23" s="37">
        <f>PM_Angle!$J$21+PM_Angle!$K$21*$D23+PM_Angle!$L$21*$C23</f>
      </c>
      <c r="DA23" s="20">
        <f>MAX(MIN(Es*CZ23,fy),-fy)</f>
      </c>
      <c r="DB23" s="20">
        <f>IF(CZ23&gt;0,IF(CZ23&lt;=eco,alpha*fck*(1-(1-CZ23/eco)^n),alpha*fck),0)</f>
      </c>
      <c r="DC23" s="20">
        <f>DA23-DB23</f>
      </c>
      <c r="DD23" s="19">
        <f>DC23*$E23</f>
      </c>
      <c r="DE23" s="19">
        <f>DD23*$D23</f>
      </c>
      <c r="DF23" s="19">
        <f>DD23*$C23</f>
      </c>
      <c r="DG23" s="37">
        <f>PM_Angle!$J$22+PM_Angle!$K$22*$D23+PM_Angle!$L$22*$C23</f>
      </c>
      <c r="DH23" s="20">
        <f>MAX(MIN(Es*DG23,fy),-fy)</f>
      </c>
      <c r="DI23" s="20">
        <f>IF(DG23&gt;0,IF(DG23&lt;=eco,alpha*fck*(1-(1-DG23/eco)^n),alpha*fck),0)</f>
      </c>
      <c r="DJ23" s="20">
        <f>DH23-DI23</f>
      </c>
      <c r="DK23" s="19">
        <f>DJ23*$E23</f>
      </c>
      <c r="DL23" s="19">
        <f>DK23*$D23</f>
      </c>
      <c r="DM23" s="19">
        <f>DK23*$C23</f>
      </c>
      <c r="DN23" s="37">
        <f>PM_Angle!$J$23+PM_Angle!$K$23*$D23+PM_Angle!$L$23*$C23</f>
      </c>
      <c r="DO23" s="20">
        <f>MAX(MIN(Es*DN23,fy),-fy)</f>
      </c>
      <c r="DP23" s="20">
        <f>IF(DN23&gt;0,IF(DN23&lt;=eco,alpha*fck*(1-(1-DN23/eco)^n),alpha*fck),0)</f>
      </c>
      <c r="DQ23" s="20">
        <f>DO23-DP23</f>
      </c>
      <c r="DR23" s="19">
        <f>DQ23*$E23</f>
      </c>
      <c r="DS23" s="19">
        <f>DR23*$D23</f>
      </c>
      <c r="DT23" s="19">
        <f>DR23*$C23</f>
      </c>
      <c r="DU23" s="37">
        <f>PM_Angle!$J$24+PM_Angle!$K$24*$D23+PM_Angle!$L$24*$C23</f>
      </c>
      <c r="DV23" s="20">
        <f>MAX(MIN(Es*DU23,fy),-fy)</f>
      </c>
      <c r="DW23" s="20">
        <f>IF(DU23&gt;0,IF(DU23&lt;=eco,alpha*fck*(1-(1-DU23/eco)^n),alpha*fck),0)</f>
      </c>
      <c r="DX23" s="20">
        <f>DV23-DW23</f>
      </c>
      <c r="DY23" s="19">
        <f>DX23*$E23</f>
      </c>
      <c r="DZ23" s="19">
        <f>DY23*$D23</f>
      </c>
      <c r="EA23" s="19">
        <f>DY23*$C23</f>
      </c>
      <c r="EB23" s="37">
        <f>PM_Angle!$J$25+PM_Angle!$K$25*$D23+PM_Angle!$L$25*$C23</f>
      </c>
      <c r="EC23" s="20">
        <f>MAX(MIN(Es*EB23,fy),-fy)</f>
      </c>
      <c r="ED23" s="20">
        <f>IF(EB23&gt;0,IF(EB23&lt;=eco,alpha*fck*(1-(1-EB23/eco)^n),alpha*fck),0)</f>
      </c>
      <c r="EE23" s="20">
        <f>EC23-ED23</f>
      </c>
      <c r="EF23" s="19">
        <f>EE23*$E23</f>
      </c>
      <c r="EG23" s="19">
        <f>EF23*$D23</f>
      </c>
      <c r="EH23" s="19">
        <f>EF23*$C23</f>
      </c>
      <c r="EI23" s="37">
        <f>PM_Angle!$J$26+PM_Angle!$K$26*$D23+PM_Angle!$L$26*$C23</f>
      </c>
      <c r="EJ23" s="20">
        <f>MAX(MIN(Es*EI23,fy),-fy)</f>
      </c>
      <c r="EK23" s="20">
        <f>IF(EI23&gt;0,IF(EI23&lt;=eco,alpha*fck*(1-(1-EI23/eco)^n),alpha*fck),0)</f>
      </c>
      <c r="EL23" s="20">
        <f>EJ23-EK23</f>
      </c>
      <c r="EM23" s="19">
        <f>EL23*$E23</f>
      </c>
      <c r="EN23" s="19">
        <f>EM23*$D23</f>
      </c>
      <c r="EO23" s="19">
        <f>EM23*$C23</f>
      </c>
      <c r="EP23" s="37">
        <f>PM_Angle!$J$27+PM_Angle!$K$27*$D23+PM_Angle!$L$27*$C23</f>
      </c>
      <c r="EQ23" s="20">
        <f>MAX(MIN(Es*EP23,fy),-fy)</f>
      </c>
      <c r="ER23" s="20">
        <f>IF(EP23&gt;0,IF(EP23&lt;=eco,alpha*fck*(1-(1-EP23/eco)^n),alpha*fck),0)</f>
      </c>
      <c r="ES23" s="20">
        <f>EQ23-ER23</f>
      </c>
      <c r="ET23" s="19">
        <f>ES23*$E23</f>
      </c>
      <c r="EU23" s="19">
        <f>ET23*$D23</f>
      </c>
      <c r="EV23" s="19">
        <f>ET23*$C23</f>
      </c>
      <c r="EW23" s="37">
        <f>PM_Angle!$J$28+PM_Angle!$K$28*$D23+PM_Angle!$L$28*$C23</f>
      </c>
      <c r="EX23" s="20">
        <f>MAX(MIN(Es*EW23,fy),-fy)</f>
      </c>
      <c r="EY23" s="20">
        <f>IF(EW23&gt;0,IF(EW23&lt;=eco,alpha*fck*(1-(1-EW23/eco)^n),alpha*fck),0)</f>
      </c>
      <c r="EZ23" s="20">
        <f>EX23-EY23</f>
      </c>
      <c r="FA23" s="19">
        <f>EZ23*$E23</f>
      </c>
      <c r="FB23" s="19">
        <f>FA23*$D23</f>
      </c>
      <c r="FC23" s="19">
        <f>FA23*$C23</f>
      </c>
      <c r="FD23" s="37">
        <f>PM_Angle!$J$29+PM_Angle!$K$29*$D23+PM_Angle!$L$29*$C23</f>
      </c>
      <c r="FE23" s="20">
        <f>MAX(MIN(Es*FD23,fy),-fy)</f>
      </c>
      <c r="FF23" s="20">
        <f>IF(FD23&gt;0,IF(FD23&lt;=eco,alpha*fck*(1-(1-FD23/eco)^n),alpha*fck),0)</f>
      </c>
      <c r="FG23" s="20">
        <f>FE23-FF23</f>
      </c>
      <c r="FH23" s="19">
        <f>FG23*$E23</f>
      </c>
      <c r="FI23" s="19">
        <f>FH23*$D23</f>
      </c>
      <c r="FJ23" s="19">
        <f>FH23*$C23</f>
      </c>
      <c r="FK23" s="37">
        <f>PM_Angle!$J$30+PM_Angle!$K$30*$D23+PM_Angle!$L$30*$C23</f>
      </c>
      <c r="FL23" s="20">
        <f>MAX(MIN(Es*FK23,fy),-fy)</f>
      </c>
      <c r="FM23" s="20">
        <f>IF(FK23&gt;0,IF(FK23&lt;=eco,alpha*fck*(1-(1-FK23/eco)^n),alpha*fck),0)</f>
      </c>
      <c r="FN23" s="20">
        <f>FL23-FM23</f>
      </c>
      <c r="FO23" s="19">
        <f>FN23*$E23</f>
      </c>
      <c r="FP23" s="19">
        <f>FO23*$D23</f>
      </c>
      <c r="FQ23" s="19">
        <f>FO23*$C23</f>
      </c>
      <c r="FR23" s="37">
        <f>PM_Angle!$J$31+PM_Angle!$K$31*$D23+PM_Angle!$L$31*$C23</f>
      </c>
      <c r="FS23" s="20">
        <f>MAX(MIN(Es*FR23,fy),-fy)</f>
      </c>
      <c r="FT23" s="20">
        <f>IF(FR23&gt;0,IF(FR23&lt;=eco,alpha*fck*(1-(1-FR23/eco)^n),alpha*fck),0)</f>
      </c>
      <c r="FU23" s="20">
        <f>FS23-FT23</f>
      </c>
      <c r="FV23" s="19">
        <f>FU23*$E23</f>
      </c>
      <c r="FW23" s="19">
        <f>FV23*$D23</f>
      </c>
      <c r="FX23" s="19">
        <f>FV23*$C23</f>
      </c>
      <c r="FY23" s="37">
        <f>PM_Angle!$J$32+PM_Angle!$K$32*$D23+PM_Angle!$L$32*$C23</f>
      </c>
      <c r="FZ23" s="20">
        <f>MAX(MIN(Es*FY23,fy),-fy)</f>
      </c>
      <c r="GA23" s="20">
        <f>IF(FY23&gt;0,IF(FY23&lt;=eco,alpha*fck*(1-(1-FY23/eco)^n),alpha*fck),0)</f>
      </c>
      <c r="GB23" s="20">
        <f>FZ23-GA23</f>
      </c>
      <c r="GC23" s="19">
        <f>GB23*$E23</f>
      </c>
      <c r="GD23" s="19">
        <f>GC23*$D23</f>
      </c>
      <c r="GE23" s="19">
        <f>GC23*$C23</f>
      </c>
      <c r="GF23" s="37">
        <f>PM_Angle!$J$33+PM_Angle!$K$33*$D23+PM_Angle!$L$33*$C23</f>
      </c>
      <c r="GG23" s="20">
        <f>MAX(MIN(Es*GF23,fy),-fy)</f>
      </c>
      <c r="GH23" s="20">
        <f>IF(GF23&gt;0,IF(GF23&lt;=eco,alpha*fck*(1-(1-GF23/eco)^n),alpha*fck),0)</f>
      </c>
      <c r="GI23" s="20">
        <f>GG23-GH23</f>
      </c>
      <c r="GJ23" s="19">
        <f>GI23*$E23</f>
      </c>
      <c r="GK23" s="19">
        <f>GJ23*$D23</f>
      </c>
      <c r="GL23" s="19">
        <f>GJ23*$C23</f>
      </c>
      <c r="GM23" s="37">
        <f>Eq_e0+Eq_kx*$D23+Eq_ky*$C23</f>
      </c>
      <c r="GN23" s="20">
        <f>MAX(MIN(Es*GM23,fy),-fy)</f>
      </c>
      <c r="GO23" s="20">
        <f>IF(GM23&gt;0,IF(GM23&lt;=eco,alpha*fck*(1-(1-GM23/eco)^n),alpha*fck),0)</f>
      </c>
      <c r="GP23" s="20">
        <f>GN23-GO23</f>
      </c>
      <c r="GQ23" s="19">
        <f>GP23*$E23</f>
      </c>
      <c r="GR23" s="19">
        <f>GQ23*$D23</f>
      </c>
      <c r="GS23" s="19">
        <f>GQ23*$C23</f>
      </c>
    </row>
    <row r="24" spans="1:201" x14ac:dyDescent="0.25">
      <c r="A24">
        <v>18</v>
      </c>
      <c r="B24" s="20">
        <f>Geometry!C59</f>
      </c>
      <c r="C24" s="20">
        <f>Geometry!D59</f>
      </c>
      <c r="D24" s="20">
        <f>Geometry!E59</f>
      </c>
      <c r="E24" s="20">
        <f>Geometry!F59</f>
      </c>
      <c r="F24" s="37">
        <f>PM_Angle!$J$7+PM_Angle!$K$7*$D24+PM_Angle!$L$7*$C24</f>
      </c>
      <c r="G24" s="20">
        <f>MAX(MIN(Es*F24,fy),-fy)</f>
      </c>
      <c r="H24" s="20">
        <f>IF(F24&gt;0,IF(F24&lt;=eco,alpha*fck*(1-(1-F24/eco)^n),alpha*fck),0)</f>
      </c>
      <c r="I24" s="20">
        <f>G24-H24</f>
      </c>
      <c r="J24" s="19">
        <f>I24*$E24</f>
      </c>
      <c r="K24" s="19">
        <f>J24*$D24</f>
      </c>
      <c r="L24" s="19">
        <f>J24*$C24</f>
      </c>
      <c r="M24" s="37">
        <f>PM_Angle!$J$8+PM_Angle!$K$8*$D24+PM_Angle!$L$8*$C24</f>
      </c>
      <c r="N24" s="20">
        <f>MAX(MIN(Es*M24,fy),-fy)</f>
      </c>
      <c r="O24" s="20">
        <f>IF(M24&gt;0,IF(M24&lt;=eco,alpha*fck*(1-(1-M24/eco)^n),alpha*fck),0)</f>
      </c>
      <c r="P24" s="20">
        <f>N24-O24</f>
      </c>
      <c r="Q24" s="19">
        <f>P24*$E24</f>
      </c>
      <c r="R24" s="19">
        <f>Q24*$D24</f>
      </c>
      <c r="S24" s="19">
        <f>Q24*$C24</f>
      </c>
      <c r="T24" s="37">
        <f>PM_Angle!$J$9+PM_Angle!$K$9*$D24+PM_Angle!$L$9*$C24</f>
      </c>
      <c r="U24" s="20">
        <f>MAX(MIN(Es*T24,fy),-fy)</f>
      </c>
      <c r="V24" s="20">
        <f>IF(T24&gt;0,IF(T24&lt;=eco,alpha*fck*(1-(1-T24/eco)^n),alpha*fck),0)</f>
      </c>
      <c r="W24" s="20">
        <f>U24-V24</f>
      </c>
      <c r="X24" s="19">
        <f>W24*$E24</f>
      </c>
      <c r="Y24" s="19">
        <f>X24*$D24</f>
      </c>
      <c r="Z24" s="19">
        <f>X24*$C24</f>
      </c>
      <c r="AA24" s="37">
        <f>PM_Angle!$J$10+PM_Angle!$K$10*$D24+PM_Angle!$L$10*$C24</f>
      </c>
      <c r="AB24" s="20">
        <f>MAX(MIN(Es*AA24,fy),-fy)</f>
      </c>
      <c r="AC24" s="20">
        <f>IF(AA24&gt;0,IF(AA24&lt;=eco,alpha*fck*(1-(1-AA24/eco)^n),alpha*fck),0)</f>
      </c>
      <c r="AD24" s="20">
        <f>AB24-AC24</f>
      </c>
      <c r="AE24" s="19">
        <f>AD24*$E24</f>
      </c>
      <c r="AF24" s="19">
        <f>AE24*$D24</f>
      </c>
      <c r="AG24" s="19">
        <f>AE24*$C24</f>
      </c>
      <c r="AH24" s="37">
        <f>PM_Angle!$J$11+PM_Angle!$K$11*$D24+PM_Angle!$L$11*$C24</f>
      </c>
      <c r="AI24" s="20">
        <f>MAX(MIN(Es*AH24,fy),-fy)</f>
      </c>
      <c r="AJ24" s="20">
        <f>IF(AH24&gt;0,IF(AH24&lt;=eco,alpha*fck*(1-(1-AH24/eco)^n),alpha*fck),0)</f>
      </c>
      <c r="AK24" s="20">
        <f>AI24-AJ24</f>
      </c>
      <c r="AL24" s="19">
        <f>AK24*$E24</f>
      </c>
      <c r="AM24" s="19">
        <f>AL24*$D24</f>
      </c>
      <c r="AN24" s="19">
        <f>AL24*$C24</f>
      </c>
      <c r="AO24" s="37">
        <f>PM_Angle!$J$12+PM_Angle!$K$12*$D24+PM_Angle!$L$12*$C24</f>
      </c>
      <c r="AP24" s="20">
        <f>MAX(MIN(Es*AO24,fy),-fy)</f>
      </c>
      <c r="AQ24" s="20">
        <f>IF(AO24&gt;0,IF(AO24&lt;=eco,alpha*fck*(1-(1-AO24/eco)^n),alpha*fck),0)</f>
      </c>
      <c r="AR24" s="20">
        <f>AP24-AQ24</f>
      </c>
      <c r="AS24" s="19">
        <f>AR24*$E24</f>
      </c>
      <c r="AT24" s="19">
        <f>AS24*$D24</f>
      </c>
      <c r="AU24" s="19">
        <f>AS24*$C24</f>
      </c>
      <c r="AV24" s="37">
        <f>PM_Angle!$J$13+PM_Angle!$K$13*$D24+PM_Angle!$L$13*$C24</f>
      </c>
      <c r="AW24" s="20">
        <f>MAX(MIN(Es*AV24,fy),-fy)</f>
      </c>
      <c r="AX24" s="20">
        <f>IF(AV24&gt;0,IF(AV24&lt;=eco,alpha*fck*(1-(1-AV24/eco)^n),alpha*fck),0)</f>
      </c>
      <c r="AY24" s="20">
        <f>AW24-AX24</f>
      </c>
      <c r="AZ24" s="19">
        <f>AY24*$E24</f>
      </c>
      <c r="BA24" s="19">
        <f>AZ24*$D24</f>
      </c>
      <c r="BB24" s="19">
        <f>AZ24*$C24</f>
      </c>
      <c r="BC24" s="37">
        <f>PM_Angle!$J$14+PM_Angle!$K$14*$D24+PM_Angle!$L$14*$C24</f>
      </c>
      <c r="BD24" s="20">
        <f>MAX(MIN(Es*BC24,fy),-fy)</f>
      </c>
      <c r="BE24" s="20">
        <f>IF(BC24&gt;0,IF(BC24&lt;=eco,alpha*fck*(1-(1-BC24/eco)^n),alpha*fck),0)</f>
      </c>
      <c r="BF24" s="20">
        <f>BD24-BE24</f>
      </c>
      <c r="BG24" s="19">
        <f>BF24*$E24</f>
      </c>
      <c r="BH24" s="19">
        <f>BG24*$D24</f>
      </c>
      <c r="BI24" s="19">
        <f>BG24*$C24</f>
      </c>
      <c r="BJ24" s="37">
        <f>PM_Angle!$J$15+PM_Angle!$K$15*$D24+PM_Angle!$L$15*$C24</f>
      </c>
      <c r="BK24" s="20">
        <f>MAX(MIN(Es*BJ24,fy),-fy)</f>
      </c>
      <c r="BL24" s="20">
        <f>IF(BJ24&gt;0,IF(BJ24&lt;=eco,alpha*fck*(1-(1-BJ24/eco)^n),alpha*fck),0)</f>
      </c>
      <c r="BM24" s="20">
        <f>BK24-BL24</f>
      </c>
      <c r="BN24" s="19">
        <f>BM24*$E24</f>
      </c>
      <c r="BO24" s="19">
        <f>BN24*$D24</f>
      </c>
      <c r="BP24" s="19">
        <f>BN24*$C24</f>
      </c>
      <c r="BQ24" s="37">
        <f>PM_Angle!$J$16+PM_Angle!$K$16*$D24+PM_Angle!$L$16*$C24</f>
      </c>
      <c r="BR24" s="20">
        <f>MAX(MIN(Es*BQ24,fy),-fy)</f>
      </c>
      <c r="BS24" s="20">
        <f>IF(BQ24&gt;0,IF(BQ24&lt;=eco,alpha*fck*(1-(1-BQ24/eco)^n),alpha*fck),0)</f>
      </c>
      <c r="BT24" s="20">
        <f>BR24-BS24</f>
      </c>
      <c r="BU24" s="19">
        <f>BT24*$E24</f>
      </c>
      <c r="BV24" s="19">
        <f>BU24*$D24</f>
      </c>
      <c r="BW24" s="19">
        <f>BU24*$C24</f>
      </c>
      <c r="BX24" s="37">
        <f>PM_Angle!$J$17+PM_Angle!$K$17*$D24+PM_Angle!$L$17*$C24</f>
      </c>
      <c r="BY24" s="20">
        <f>MAX(MIN(Es*BX24,fy),-fy)</f>
      </c>
      <c r="BZ24" s="20">
        <f>IF(BX24&gt;0,IF(BX24&lt;=eco,alpha*fck*(1-(1-BX24/eco)^n),alpha*fck),0)</f>
      </c>
      <c r="CA24" s="20">
        <f>BY24-BZ24</f>
      </c>
      <c r="CB24" s="19">
        <f>CA24*$E24</f>
      </c>
      <c r="CC24" s="19">
        <f>CB24*$D24</f>
      </c>
      <c r="CD24" s="19">
        <f>CB24*$C24</f>
      </c>
      <c r="CE24" s="37">
        <f>PM_Angle!$J$18+PM_Angle!$K$18*$D24+PM_Angle!$L$18*$C24</f>
      </c>
      <c r="CF24" s="20">
        <f>MAX(MIN(Es*CE24,fy),-fy)</f>
      </c>
      <c r="CG24" s="20">
        <f>IF(CE24&gt;0,IF(CE24&lt;=eco,alpha*fck*(1-(1-CE24/eco)^n),alpha*fck),0)</f>
      </c>
      <c r="CH24" s="20">
        <f>CF24-CG24</f>
      </c>
      <c r="CI24" s="19">
        <f>CH24*$E24</f>
      </c>
      <c r="CJ24" s="19">
        <f>CI24*$D24</f>
      </c>
      <c r="CK24" s="19">
        <f>CI24*$C24</f>
      </c>
      <c r="CL24" s="37">
        <f>PM_Angle!$J$19+PM_Angle!$K$19*$D24+PM_Angle!$L$19*$C24</f>
      </c>
      <c r="CM24" s="20">
        <f>MAX(MIN(Es*CL24,fy),-fy)</f>
      </c>
      <c r="CN24" s="20">
        <f>IF(CL24&gt;0,IF(CL24&lt;=eco,alpha*fck*(1-(1-CL24/eco)^n),alpha*fck),0)</f>
      </c>
      <c r="CO24" s="20">
        <f>CM24-CN24</f>
      </c>
      <c r="CP24" s="19">
        <f>CO24*$E24</f>
      </c>
      <c r="CQ24" s="19">
        <f>CP24*$D24</f>
      </c>
      <c r="CR24" s="19">
        <f>CP24*$C24</f>
      </c>
      <c r="CS24" s="37">
        <f>PM_Angle!$J$20+PM_Angle!$K$20*$D24+PM_Angle!$L$20*$C24</f>
      </c>
      <c r="CT24" s="20">
        <f>MAX(MIN(Es*CS24,fy),-fy)</f>
      </c>
      <c r="CU24" s="20">
        <f>IF(CS24&gt;0,IF(CS24&lt;=eco,alpha*fck*(1-(1-CS24/eco)^n),alpha*fck),0)</f>
      </c>
      <c r="CV24" s="20">
        <f>CT24-CU24</f>
      </c>
      <c r="CW24" s="19">
        <f>CV24*$E24</f>
      </c>
      <c r="CX24" s="19">
        <f>CW24*$D24</f>
      </c>
      <c r="CY24" s="19">
        <f>CW24*$C24</f>
      </c>
      <c r="CZ24" s="37">
        <f>PM_Angle!$J$21+PM_Angle!$K$21*$D24+PM_Angle!$L$21*$C24</f>
      </c>
      <c r="DA24" s="20">
        <f>MAX(MIN(Es*CZ24,fy),-fy)</f>
      </c>
      <c r="DB24" s="20">
        <f>IF(CZ24&gt;0,IF(CZ24&lt;=eco,alpha*fck*(1-(1-CZ24/eco)^n),alpha*fck),0)</f>
      </c>
      <c r="DC24" s="20">
        <f>DA24-DB24</f>
      </c>
      <c r="DD24" s="19">
        <f>DC24*$E24</f>
      </c>
      <c r="DE24" s="19">
        <f>DD24*$D24</f>
      </c>
      <c r="DF24" s="19">
        <f>DD24*$C24</f>
      </c>
      <c r="DG24" s="37">
        <f>PM_Angle!$J$22+PM_Angle!$K$22*$D24+PM_Angle!$L$22*$C24</f>
      </c>
      <c r="DH24" s="20">
        <f>MAX(MIN(Es*DG24,fy),-fy)</f>
      </c>
      <c r="DI24" s="20">
        <f>IF(DG24&gt;0,IF(DG24&lt;=eco,alpha*fck*(1-(1-DG24/eco)^n),alpha*fck),0)</f>
      </c>
      <c r="DJ24" s="20">
        <f>DH24-DI24</f>
      </c>
      <c r="DK24" s="19">
        <f>DJ24*$E24</f>
      </c>
      <c r="DL24" s="19">
        <f>DK24*$D24</f>
      </c>
      <c r="DM24" s="19">
        <f>DK24*$C24</f>
      </c>
      <c r="DN24" s="37">
        <f>PM_Angle!$J$23+PM_Angle!$K$23*$D24+PM_Angle!$L$23*$C24</f>
      </c>
      <c r="DO24" s="20">
        <f>MAX(MIN(Es*DN24,fy),-fy)</f>
      </c>
      <c r="DP24" s="20">
        <f>IF(DN24&gt;0,IF(DN24&lt;=eco,alpha*fck*(1-(1-DN24/eco)^n),alpha*fck),0)</f>
      </c>
      <c r="DQ24" s="20">
        <f>DO24-DP24</f>
      </c>
      <c r="DR24" s="19">
        <f>DQ24*$E24</f>
      </c>
      <c r="DS24" s="19">
        <f>DR24*$D24</f>
      </c>
      <c r="DT24" s="19">
        <f>DR24*$C24</f>
      </c>
      <c r="DU24" s="37">
        <f>PM_Angle!$J$24+PM_Angle!$K$24*$D24+PM_Angle!$L$24*$C24</f>
      </c>
      <c r="DV24" s="20">
        <f>MAX(MIN(Es*DU24,fy),-fy)</f>
      </c>
      <c r="DW24" s="20">
        <f>IF(DU24&gt;0,IF(DU24&lt;=eco,alpha*fck*(1-(1-DU24/eco)^n),alpha*fck),0)</f>
      </c>
      <c r="DX24" s="20">
        <f>DV24-DW24</f>
      </c>
      <c r="DY24" s="19">
        <f>DX24*$E24</f>
      </c>
      <c r="DZ24" s="19">
        <f>DY24*$D24</f>
      </c>
      <c r="EA24" s="19">
        <f>DY24*$C24</f>
      </c>
      <c r="EB24" s="37">
        <f>PM_Angle!$J$25+PM_Angle!$K$25*$D24+PM_Angle!$L$25*$C24</f>
      </c>
      <c r="EC24" s="20">
        <f>MAX(MIN(Es*EB24,fy),-fy)</f>
      </c>
      <c r="ED24" s="20">
        <f>IF(EB24&gt;0,IF(EB24&lt;=eco,alpha*fck*(1-(1-EB24/eco)^n),alpha*fck),0)</f>
      </c>
      <c r="EE24" s="20">
        <f>EC24-ED24</f>
      </c>
      <c r="EF24" s="19">
        <f>EE24*$E24</f>
      </c>
      <c r="EG24" s="19">
        <f>EF24*$D24</f>
      </c>
      <c r="EH24" s="19">
        <f>EF24*$C24</f>
      </c>
      <c r="EI24" s="37">
        <f>PM_Angle!$J$26+PM_Angle!$K$26*$D24+PM_Angle!$L$26*$C24</f>
      </c>
      <c r="EJ24" s="20">
        <f>MAX(MIN(Es*EI24,fy),-fy)</f>
      </c>
      <c r="EK24" s="20">
        <f>IF(EI24&gt;0,IF(EI24&lt;=eco,alpha*fck*(1-(1-EI24/eco)^n),alpha*fck),0)</f>
      </c>
      <c r="EL24" s="20">
        <f>EJ24-EK24</f>
      </c>
      <c r="EM24" s="19">
        <f>EL24*$E24</f>
      </c>
      <c r="EN24" s="19">
        <f>EM24*$D24</f>
      </c>
      <c r="EO24" s="19">
        <f>EM24*$C24</f>
      </c>
      <c r="EP24" s="37">
        <f>PM_Angle!$J$27+PM_Angle!$K$27*$D24+PM_Angle!$L$27*$C24</f>
      </c>
      <c r="EQ24" s="20">
        <f>MAX(MIN(Es*EP24,fy),-fy)</f>
      </c>
      <c r="ER24" s="20">
        <f>IF(EP24&gt;0,IF(EP24&lt;=eco,alpha*fck*(1-(1-EP24/eco)^n),alpha*fck),0)</f>
      </c>
      <c r="ES24" s="20">
        <f>EQ24-ER24</f>
      </c>
      <c r="ET24" s="19">
        <f>ES24*$E24</f>
      </c>
      <c r="EU24" s="19">
        <f>ET24*$D24</f>
      </c>
      <c r="EV24" s="19">
        <f>ET24*$C24</f>
      </c>
      <c r="EW24" s="37">
        <f>PM_Angle!$J$28+PM_Angle!$K$28*$D24+PM_Angle!$L$28*$C24</f>
      </c>
      <c r="EX24" s="20">
        <f>MAX(MIN(Es*EW24,fy),-fy)</f>
      </c>
      <c r="EY24" s="20">
        <f>IF(EW24&gt;0,IF(EW24&lt;=eco,alpha*fck*(1-(1-EW24/eco)^n),alpha*fck),0)</f>
      </c>
      <c r="EZ24" s="20">
        <f>EX24-EY24</f>
      </c>
      <c r="FA24" s="19">
        <f>EZ24*$E24</f>
      </c>
      <c r="FB24" s="19">
        <f>FA24*$D24</f>
      </c>
      <c r="FC24" s="19">
        <f>FA24*$C24</f>
      </c>
      <c r="FD24" s="37">
        <f>PM_Angle!$J$29+PM_Angle!$K$29*$D24+PM_Angle!$L$29*$C24</f>
      </c>
      <c r="FE24" s="20">
        <f>MAX(MIN(Es*FD24,fy),-fy)</f>
      </c>
      <c r="FF24" s="20">
        <f>IF(FD24&gt;0,IF(FD24&lt;=eco,alpha*fck*(1-(1-FD24/eco)^n),alpha*fck),0)</f>
      </c>
      <c r="FG24" s="20">
        <f>FE24-FF24</f>
      </c>
      <c r="FH24" s="19">
        <f>FG24*$E24</f>
      </c>
      <c r="FI24" s="19">
        <f>FH24*$D24</f>
      </c>
      <c r="FJ24" s="19">
        <f>FH24*$C24</f>
      </c>
      <c r="FK24" s="37">
        <f>PM_Angle!$J$30+PM_Angle!$K$30*$D24+PM_Angle!$L$30*$C24</f>
      </c>
      <c r="FL24" s="20">
        <f>MAX(MIN(Es*FK24,fy),-fy)</f>
      </c>
      <c r="FM24" s="20">
        <f>IF(FK24&gt;0,IF(FK24&lt;=eco,alpha*fck*(1-(1-FK24/eco)^n),alpha*fck),0)</f>
      </c>
      <c r="FN24" s="20">
        <f>FL24-FM24</f>
      </c>
      <c r="FO24" s="19">
        <f>FN24*$E24</f>
      </c>
      <c r="FP24" s="19">
        <f>FO24*$D24</f>
      </c>
      <c r="FQ24" s="19">
        <f>FO24*$C24</f>
      </c>
      <c r="FR24" s="37">
        <f>PM_Angle!$J$31+PM_Angle!$K$31*$D24+PM_Angle!$L$31*$C24</f>
      </c>
      <c r="FS24" s="20">
        <f>MAX(MIN(Es*FR24,fy),-fy)</f>
      </c>
      <c r="FT24" s="20">
        <f>IF(FR24&gt;0,IF(FR24&lt;=eco,alpha*fck*(1-(1-FR24/eco)^n),alpha*fck),0)</f>
      </c>
      <c r="FU24" s="20">
        <f>FS24-FT24</f>
      </c>
      <c r="FV24" s="19">
        <f>FU24*$E24</f>
      </c>
      <c r="FW24" s="19">
        <f>FV24*$D24</f>
      </c>
      <c r="FX24" s="19">
        <f>FV24*$C24</f>
      </c>
      <c r="FY24" s="37">
        <f>PM_Angle!$J$32+PM_Angle!$K$32*$D24+PM_Angle!$L$32*$C24</f>
      </c>
      <c r="FZ24" s="20">
        <f>MAX(MIN(Es*FY24,fy),-fy)</f>
      </c>
      <c r="GA24" s="20">
        <f>IF(FY24&gt;0,IF(FY24&lt;=eco,alpha*fck*(1-(1-FY24/eco)^n),alpha*fck),0)</f>
      </c>
      <c r="GB24" s="20">
        <f>FZ24-GA24</f>
      </c>
      <c r="GC24" s="19">
        <f>GB24*$E24</f>
      </c>
      <c r="GD24" s="19">
        <f>GC24*$D24</f>
      </c>
      <c r="GE24" s="19">
        <f>GC24*$C24</f>
      </c>
      <c r="GF24" s="37">
        <f>PM_Angle!$J$33+PM_Angle!$K$33*$D24+PM_Angle!$L$33*$C24</f>
      </c>
      <c r="GG24" s="20">
        <f>MAX(MIN(Es*GF24,fy),-fy)</f>
      </c>
      <c r="GH24" s="20">
        <f>IF(GF24&gt;0,IF(GF24&lt;=eco,alpha*fck*(1-(1-GF24/eco)^n),alpha*fck),0)</f>
      </c>
      <c r="GI24" s="20">
        <f>GG24-GH24</f>
      </c>
      <c r="GJ24" s="19">
        <f>GI24*$E24</f>
      </c>
      <c r="GK24" s="19">
        <f>GJ24*$D24</f>
      </c>
      <c r="GL24" s="19">
        <f>GJ24*$C24</f>
      </c>
      <c r="GM24" s="37">
        <f>Eq_e0+Eq_kx*$D24+Eq_ky*$C24</f>
      </c>
      <c r="GN24" s="20">
        <f>MAX(MIN(Es*GM24,fy),-fy)</f>
      </c>
      <c r="GO24" s="20">
        <f>IF(GM24&gt;0,IF(GM24&lt;=eco,alpha*fck*(1-(1-GM24/eco)^n),alpha*fck),0)</f>
      </c>
      <c r="GP24" s="20">
        <f>GN24-GO24</f>
      </c>
      <c r="GQ24" s="19">
        <f>GP24*$E24</f>
      </c>
      <c r="GR24" s="19">
        <f>GQ24*$D24</f>
      </c>
      <c r="GS24" s="19">
        <f>GQ24*$C24</f>
      </c>
    </row>
  </sheetData>
  <mergeCells count="30">
    <mergeCell ref="A1:L1"/>
    <mergeCell ref="A2:L2"/>
    <mergeCell ref="F4:L4"/>
    <mergeCell ref="M4:S4"/>
    <mergeCell ref="T4:Z4"/>
    <mergeCell ref="AA4:AG4"/>
    <mergeCell ref="AH4:AN4"/>
    <mergeCell ref="AO4:AU4"/>
    <mergeCell ref="AV4:BB4"/>
    <mergeCell ref="BC4:BI4"/>
    <mergeCell ref="BJ4:BP4"/>
    <mergeCell ref="BQ4:BW4"/>
    <mergeCell ref="BX4:CD4"/>
    <mergeCell ref="CE4:CK4"/>
    <mergeCell ref="CL4:CR4"/>
    <mergeCell ref="CS4:CY4"/>
    <mergeCell ref="CZ4:DF4"/>
    <mergeCell ref="DG4:DM4"/>
    <mergeCell ref="DN4:DT4"/>
    <mergeCell ref="DU4:EA4"/>
    <mergeCell ref="EB4:EH4"/>
    <mergeCell ref="EI4:EO4"/>
    <mergeCell ref="EP4:EV4"/>
    <mergeCell ref="EW4:FC4"/>
    <mergeCell ref="FD4:FJ4"/>
    <mergeCell ref="FK4:FQ4"/>
    <mergeCell ref="FR4:FX4"/>
    <mergeCell ref="FY4:GE4"/>
    <mergeCell ref="GF4:GL4"/>
    <mergeCell ref="GM4:GS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V58"/>
  <sheetViews>
    <sheetView workbookViewId="0">
      <pane xSplit="1" ySplit="8" topLeftCell="B9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178" width="12" customWidth="1"/>
  </cols>
  <sheetData>
    <row r="1" ht="22" customHeight="1" spans="2:13" x14ac:dyDescent="0.25">
      <c r="B1" s="1" t="s">
        <v>266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6" customHeight="1" spans="2:14" x14ac:dyDescent="0.25">
      <c r="B2" s="2" t="s">
        <v>267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2:14" x14ac:dyDescent="0.2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6" spans="2:178" x14ac:dyDescent="0.25">
      <c r="B6" s="25" t="s">
        <v>268</v>
      </c>
      <c r="C6" s="25"/>
      <c r="D6" s="25"/>
      <c r="E6" s="25"/>
      <c r="F6" s="25" t="s">
        <v>269</v>
      </c>
      <c r="G6" s="25"/>
      <c r="H6" s="25"/>
      <c r="I6" s="25" t="s">
        <v>270</v>
      </c>
      <c r="J6" s="25"/>
      <c r="K6" s="25"/>
      <c r="L6" s="25" t="s">
        <v>271</v>
      </c>
      <c r="M6" s="25"/>
      <c r="N6" s="25"/>
      <c r="O6" s="25" t="s">
        <v>272</v>
      </c>
      <c r="P6" s="25"/>
      <c r="Q6" s="25"/>
      <c r="R6" s="25" t="s">
        <v>273</v>
      </c>
      <c r="S6" s="25"/>
      <c r="T6" s="25"/>
      <c r="U6" s="25" t="s">
        <v>274</v>
      </c>
      <c r="V6" s="25"/>
      <c r="W6" s="25"/>
      <c r="X6" s="25" t="s">
        <v>275</v>
      </c>
      <c r="Y6" s="25"/>
      <c r="Z6" s="25"/>
      <c r="AA6" s="25" t="s">
        <v>276</v>
      </c>
      <c r="AB6" s="25"/>
      <c r="AC6" s="25"/>
      <c r="AD6" s="25" t="s">
        <v>277</v>
      </c>
      <c r="AE6" s="25"/>
      <c r="AF6" s="25"/>
      <c r="AG6" s="25" t="s">
        <v>278</v>
      </c>
      <c r="AH6" s="25"/>
      <c r="AI6" s="25"/>
      <c r="AJ6" s="25" t="s">
        <v>279</v>
      </c>
      <c r="AK6" s="25"/>
      <c r="AL6" s="25"/>
      <c r="AM6" s="25" t="s">
        <v>280</v>
      </c>
      <c r="AN6" s="25"/>
      <c r="AO6" s="25"/>
      <c r="AP6" s="25" t="s">
        <v>281</v>
      </c>
      <c r="AQ6" s="25"/>
      <c r="AR6" s="25"/>
      <c r="AS6" s="25" t="s">
        <v>282</v>
      </c>
      <c r="AT6" s="25"/>
      <c r="AU6" s="25"/>
      <c r="AV6" s="25" t="s">
        <v>283</v>
      </c>
      <c r="AW6" s="25"/>
      <c r="AX6" s="25"/>
      <c r="AY6" s="25" t="s">
        <v>284</v>
      </c>
      <c r="AZ6" s="25"/>
      <c r="BA6" s="25"/>
      <c r="BB6" s="25" t="s">
        <v>285</v>
      </c>
      <c r="BC6" s="25"/>
      <c r="BD6" s="25"/>
      <c r="BE6" s="25" t="s">
        <v>286</v>
      </c>
      <c r="BF6" s="25"/>
      <c r="BG6" s="25"/>
      <c r="BH6" s="25" t="s">
        <v>287</v>
      </c>
      <c r="BI6" s="25"/>
      <c r="BJ6" s="25"/>
      <c r="BK6" s="25" t="s">
        <v>288</v>
      </c>
      <c r="BL6" s="25"/>
      <c r="BM6" s="25"/>
      <c r="BN6" s="25" t="s">
        <v>289</v>
      </c>
      <c r="BO6" s="25"/>
      <c r="BP6" s="25"/>
      <c r="BQ6" s="25" t="s">
        <v>290</v>
      </c>
      <c r="BR6" s="25"/>
      <c r="BS6" s="25"/>
      <c r="BT6" s="25" t="s">
        <v>291</v>
      </c>
      <c r="BU6" s="25"/>
      <c r="BV6" s="25"/>
      <c r="BW6" s="25" t="s">
        <v>292</v>
      </c>
      <c r="BX6" s="25"/>
      <c r="BY6" s="25"/>
      <c r="BZ6" s="25" t="s">
        <v>293</v>
      </c>
      <c r="CA6" s="25"/>
      <c r="CB6" s="25"/>
      <c r="CC6" s="25" t="s">
        <v>294</v>
      </c>
      <c r="CD6" s="25"/>
      <c r="CE6" s="25"/>
      <c r="CF6" s="25" t="s">
        <v>295</v>
      </c>
      <c r="CG6" s="25"/>
      <c r="CH6" s="25"/>
      <c r="CI6" s="25" t="s">
        <v>296</v>
      </c>
      <c r="CJ6" s="25"/>
      <c r="CK6" s="25"/>
      <c r="CL6" s="25"/>
      <c r="CM6" s="25"/>
      <c r="CN6" s="25"/>
      <c r="CO6" s="25"/>
      <c r="CP6" s="25"/>
      <c r="CQ6" s="25"/>
      <c r="CR6" s="25"/>
      <c r="CS6" s="25"/>
      <c r="CT6" s="25"/>
      <c r="CU6" s="25"/>
      <c r="CV6" s="25"/>
      <c r="CW6" s="25"/>
      <c r="CX6" s="25"/>
      <c r="CY6" s="25"/>
      <c r="CZ6" s="25"/>
      <c r="DA6" s="25"/>
      <c r="DB6" s="25"/>
      <c r="DC6" s="25"/>
      <c r="DD6" s="25"/>
      <c r="DE6" s="25"/>
      <c r="DF6" s="25"/>
      <c r="DG6" s="25"/>
      <c r="DH6" s="25"/>
      <c r="DI6" s="25"/>
      <c r="DJ6" s="25" t="s">
        <v>297</v>
      </c>
      <c r="DK6" s="25"/>
      <c r="DL6" s="25"/>
      <c r="DM6" s="25"/>
      <c r="DN6" s="25"/>
      <c r="DO6" s="25"/>
      <c r="DP6" s="25"/>
      <c r="DQ6" s="25"/>
      <c r="DR6" s="25"/>
      <c r="DS6" s="25"/>
      <c r="DT6" s="25"/>
      <c r="DU6" s="25"/>
      <c r="DV6" s="25"/>
      <c r="DW6" s="25"/>
      <c r="DX6" s="25"/>
      <c r="DY6" s="25"/>
      <c r="DZ6" s="25"/>
      <c r="EA6" s="25"/>
      <c r="EB6" s="25"/>
      <c r="EC6" s="25"/>
      <c r="ED6" s="25"/>
      <c r="EE6" s="25"/>
      <c r="EF6" s="25"/>
      <c r="EG6" s="25"/>
      <c r="EH6" s="25"/>
      <c r="EI6" s="25"/>
      <c r="EJ6" s="25"/>
      <c r="EK6" s="25" t="s">
        <v>298</v>
      </c>
      <c r="EL6" s="25"/>
      <c r="EM6" s="25"/>
      <c r="EN6" s="25"/>
      <c r="EO6" s="25"/>
      <c r="EP6" s="25"/>
      <c r="EQ6" s="25"/>
      <c r="ER6" s="25"/>
      <c r="ES6" s="25"/>
      <c r="ET6" s="25"/>
      <c r="EU6" s="25"/>
      <c r="EV6" s="25"/>
      <c r="EW6" s="25"/>
      <c r="EX6" s="25"/>
      <c r="EY6" s="25"/>
      <c r="EZ6" s="25"/>
      <c r="FA6" s="25"/>
      <c r="FB6" s="25"/>
      <c r="FC6" s="25"/>
      <c r="FD6" s="25"/>
      <c r="FE6" s="25"/>
      <c r="FF6" s="25"/>
      <c r="FG6" s="25"/>
      <c r="FH6" s="25"/>
      <c r="FI6" s="25"/>
      <c r="FJ6" s="25"/>
      <c r="FK6" s="25"/>
      <c r="FL6" s="25" t="s">
        <v>299</v>
      </c>
      <c r="FM6" s="25"/>
      <c r="FN6" s="25"/>
      <c r="FO6" s="25"/>
      <c r="FP6" s="25"/>
      <c r="FQ6" s="25" t="s">
        <v>300</v>
      </c>
      <c r="FR6" s="25"/>
      <c r="FS6" s="25"/>
      <c r="FT6" s="25"/>
      <c r="FU6" s="25"/>
      <c r="FV6" s="25"/>
    </row>
    <row r="7" ht="26" customHeight="1" spans="2:178" x14ac:dyDescent="0.25">
      <c r="B7" s="17" t="s">
        <v>301</v>
      </c>
      <c r="C7" s="17" t="s">
        <v>302</v>
      </c>
      <c r="D7" s="17" t="s">
        <v>303</v>
      </c>
      <c r="E7" s="17" t="s">
        <v>304</v>
      </c>
      <c r="F7" s="17" t="s">
        <v>207</v>
      </c>
      <c r="G7" s="17" t="s">
        <v>305</v>
      </c>
      <c r="H7" s="17" t="s">
        <v>306</v>
      </c>
      <c r="I7" s="17" t="s">
        <v>207</v>
      </c>
      <c r="J7" s="17" t="s">
        <v>305</v>
      </c>
      <c r="K7" s="17" t="s">
        <v>306</v>
      </c>
      <c r="L7" s="17" t="s">
        <v>207</v>
      </c>
      <c r="M7" s="17" t="s">
        <v>305</v>
      </c>
      <c r="N7" s="17" t="s">
        <v>306</v>
      </c>
      <c r="O7" s="17" t="s">
        <v>207</v>
      </c>
      <c r="P7" s="17" t="s">
        <v>305</v>
      </c>
      <c r="Q7" s="17" t="s">
        <v>306</v>
      </c>
      <c r="R7" s="17" t="s">
        <v>207</v>
      </c>
      <c r="S7" s="17" t="s">
        <v>305</v>
      </c>
      <c r="T7" s="17" t="s">
        <v>306</v>
      </c>
      <c r="U7" s="17" t="s">
        <v>207</v>
      </c>
      <c r="V7" s="17" t="s">
        <v>305</v>
      </c>
      <c r="W7" s="17" t="s">
        <v>306</v>
      </c>
      <c r="X7" s="17" t="s">
        <v>207</v>
      </c>
      <c r="Y7" s="17" t="s">
        <v>305</v>
      </c>
      <c r="Z7" s="17" t="s">
        <v>306</v>
      </c>
      <c r="AA7" s="17" t="s">
        <v>207</v>
      </c>
      <c r="AB7" s="17" t="s">
        <v>305</v>
      </c>
      <c r="AC7" s="17" t="s">
        <v>306</v>
      </c>
      <c r="AD7" s="17" t="s">
        <v>207</v>
      </c>
      <c r="AE7" s="17" t="s">
        <v>305</v>
      </c>
      <c r="AF7" s="17" t="s">
        <v>306</v>
      </c>
      <c r="AG7" s="17" t="s">
        <v>207</v>
      </c>
      <c r="AH7" s="17" t="s">
        <v>305</v>
      </c>
      <c r="AI7" s="17" t="s">
        <v>306</v>
      </c>
      <c r="AJ7" s="17" t="s">
        <v>207</v>
      </c>
      <c r="AK7" s="17" t="s">
        <v>305</v>
      </c>
      <c r="AL7" s="17" t="s">
        <v>306</v>
      </c>
      <c r="AM7" s="17" t="s">
        <v>207</v>
      </c>
      <c r="AN7" s="17" t="s">
        <v>305</v>
      </c>
      <c r="AO7" s="17" t="s">
        <v>306</v>
      </c>
      <c r="AP7" s="17" t="s">
        <v>207</v>
      </c>
      <c r="AQ7" s="17" t="s">
        <v>305</v>
      </c>
      <c r="AR7" s="17" t="s">
        <v>306</v>
      </c>
      <c r="AS7" s="17" t="s">
        <v>207</v>
      </c>
      <c r="AT7" s="17" t="s">
        <v>305</v>
      </c>
      <c r="AU7" s="17" t="s">
        <v>306</v>
      </c>
      <c r="AV7" s="17" t="s">
        <v>207</v>
      </c>
      <c r="AW7" s="17" t="s">
        <v>305</v>
      </c>
      <c r="AX7" s="17" t="s">
        <v>306</v>
      </c>
      <c r="AY7" s="17" t="s">
        <v>207</v>
      </c>
      <c r="AZ7" s="17" t="s">
        <v>305</v>
      </c>
      <c r="BA7" s="17" t="s">
        <v>306</v>
      </c>
      <c r="BB7" s="17" t="s">
        <v>207</v>
      </c>
      <c r="BC7" s="17" t="s">
        <v>305</v>
      </c>
      <c r="BD7" s="17" t="s">
        <v>306</v>
      </c>
      <c r="BE7" s="17" t="s">
        <v>207</v>
      </c>
      <c r="BF7" s="17" t="s">
        <v>305</v>
      </c>
      <c r="BG7" s="17" t="s">
        <v>306</v>
      </c>
      <c r="BH7" s="17" t="s">
        <v>207</v>
      </c>
      <c r="BI7" s="17" t="s">
        <v>305</v>
      </c>
      <c r="BJ7" s="17" t="s">
        <v>306</v>
      </c>
      <c r="BK7" s="17" t="s">
        <v>207</v>
      </c>
      <c r="BL7" s="17" t="s">
        <v>305</v>
      </c>
      <c r="BM7" s="17" t="s">
        <v>306</v>
      </c>
      <c r="BN7" s="17" t="s">
        <v>207</v>
      </c>
      <c r="BO7" s="17" t="s">
        <v>305</v>
      </c>
      <c r="BP7" s="17" t="s">
        <v>306</v>
      </c>
      <c r="BQ7" s="17" t="s">
        <v>207</v>
      </c>
      <c r="BR7" s="17" t="s">
        <v>305</v>
      </c>
      <c r="BS7" s="17" t="s">
        <v>306</v>
      </c>
      <c r="BT7" s="17" t="s">
        <v>207</v>
      </c>
      <c r="BU7" s="17" t="s">
        <v>305</v>
      </c>
      <c r="BV7" s="17" t="s">
        <v>306</v>
      </c>
      <c r="BW7" s="17" t="s">
        <v>207</v>
      </c>
      <c r="BX7" s="17" t="s">
        <v>305</v>
      </c>
      <c r="BY7" s="17" t="s">
        <v>306</v>
      </c>
      <c r="BZ7" s="17" t="s">
        <v>207</v>
      </c>
      <c r="CA7" s="17" t="s">
        <v>305</v>
      </c>
      <c r="CB7" s="17" t="s">
        <v>306</v>
      </c>
      <c r="CC7" s="17" t="s">
        <v>207</v>
      </c>
      <c r="CD7" s="17" t="s">
        <v>305</v>
      </c>
      <c r="CE7" s="17" t="s">
        <v>306</v>
      </c>
      <c r="CF7" s="17" t="s">
        <v>207</v>
      </c>
      <c r="CG7" s="17" t="s">
        <v>305</v>
      </c>
      <c r="CH7" s="17" t="s">
        <v>306</v>
      </c>
      <c r="CI7" s="17" t="s">
        <v>216</v>
      </c>
      <c r="CJ7" s="17" t="s">
        <v>218</v>
      </c>
      <c r="CK7" s="17" t="s">
        <v>219</v>
      </c>
      <c r="CL7" s="17" t="s">
        <v>220</v>
      </c>
      <c r="CM7" s="17" t="s">
        <v>221</v>
      </c>
      <c r="CN7" s="17" t="s">
        <v>222</v>
      </c>
      <c r="CO7" s="17" t="s">
        <v>223</v>
      </c>
      <c r="CP7" s="17" t="s">
        <v>224</v>
      </c>
      <c r="CQ7" s="17" t="s">
        <v>225</v>
      </c>
      <c r="CR7" s="17" t="s">
        <v>226</v>
      </c>
      <c r="CS7" s="17" t="s">
        <v>227</v>
      </c>
      <c r="CT7" s="17" t="s">
        <v>228</v>
      </c>
      <c r="CU7" s="17" t="s">
        <v>229</v>
      </c>
      <c r="CV7" s="17" t="s">
        <v>230</v>
      </c>
      <c r="CW7" s="17" t="s">
        <v>231</v>
      </c>
      <c r="CX7" s="17" t="s">
        <v>232</v>
      </c>
      <c r="CY7" s="17" t="s">
        <v>233</v>
      </c>
      <c r="CZ7" s="17" t="s">
        <v>234</v>
      </c>
      <c r="DA7" s="17" t="s">
        <v>235</v>
      </c>
      <c r="DB7" s="17" t="s">
        <v>236</v>
      </c>
      <c r="DC7" s="17" t="s">
        <v>237</v>
      </c>
      <c r="DD7" s="17" t="s">
        <v>238</v>
      </c>
      <c r="DE7" s="17" t="s">
        <v>239</v>
      </c>
      <c r="DF7" s="17" t="s">
        <v>240</v>
      </c>
      <c r="DG7" s="17" t="s">
        <v>241</v>
      </c>
      <c r="DH7" s="17" t="s">
        <v>242</v>
      </c>
      <c r="DI7" s="17" t="s">
        <v>243</v>
      </c>
      <c r="DJ7" s="17" t="s">
        <v>216</v>
      </c>
      <c r="DK7" s="17" t="s">
        <v>218</v>
      </c>
      <c r="DL7" s="17" t="s">
        <v>219</v>
      </c>
      <c r="DM7" s="17" t="s">
        <v>220</v>
      </c>
      <c r="DN7" s="17" t="s">
        <v>221</v>
      </c>
      <c r="DO7" s="17" t="s">
        <v>222</v>
      </c>
      <c r="DP7" s="17" t="s">
        <v>223</v>
      </c>
      <c r="DQ7" s="17" t="s">
        <v>224</v>
      </c>
      <c r="DR7" s="17" t="s">
        <v>225</v>
      </c>
      <c r="DS7" s="17" t="s">
        <v>226</v>
      </c>
      <c r="DT7" s="17" t="s">
        <v>227</v>
      </c>
      <c r="DU7" s="17" t="s">
        <v>228</v>
      </c>
      <c r="DV7" s="17" t="s">
        <v>229</v>
      </c>
      <c r="DW7" s="17" t="s">
        <v>230</v>
      </c>
      <c r="DX7" s="17" t="s">
        <v>231</v>
      </c>
      <c r="DY7" s="17" t="s">
        <v>232</v>
      </c>
      <c r="DZ7" s="17" t="s">
        <v>233</v>
      </c>
      <c r="EA7" s="17" t="s">
        <v>234</v>
      </c>
      <c r="EB7" s="17" t="s">
        <v>235</v>
      </c>
      <c r="EC7" s="17" t="s">
        <v>236</v>
      </c>
      <c r="ED7" s="17" t="s">
        <v>237</v>
      </c>
      <c r="EE7" s="17" t="s">
        <v>238</v>
      </c>
      <c r="EF7" s="17" t="s">
        <v>239</v>
      </c>
      <c r="EG7" s="17" t="s">
        <v>240</v>
      </c>
      <c r="EH7" s="17" t="s">
        <v>241</v>
      </c>
      <c r="EI7" s="17" t="s">
        <v>242</v>
      </c>
      <c r="EJ7" s="17" t="s">
        <v>243</v>
      </c>
      <c r="EK7" s="17" t="s">
        <v>216</v>
      </c>
      <c r="EL7" s="17" t="s">
        <v>218</v>
      </c>
      <c r="EM7" s="17" t="s">
        <v>219</v>
      </c>
      <c r="EN7" s="17" t="s">
        <v>220</v>
      </c>
      <c r="EO7" s="17" t="s">
        <v>221</v>
      </c>
      <c r="EP7" s="17" t="s">
        <v>222</v>
      </c>
      <c r="EQ7" s="17" t="s">
        <v>223</v>
      </c>
      <c r="ER7" s="17" t="s">
        <v>224</v>
      </c>
      <c r="ES7" s="17" t="s">
        <v>225</v>
      </c>
      <c r="ET7" s="17" t="s">
        <v>226</v>
      </c>
      <c r="EU7" s="17" t="s">
        <v>227</v>
      </c>
      <c r="EV7" s="17" t="s">
        <v>228</v>
      </c>
      <c r="EW7" s="17" t="s">
        <v>229</v>
      </c>
      <c r="EX7" s="17" t="s">
        <v>230</v>
      </c>
      <c r="EY7" s="17" t="s">
        <v>231</v>
      </c>
      <c r="EZ7" s="17" t="s">
        <v>232</v>
      </c>
      <c r="FA7" s="17" t="s">
        <v>233</v>
      </c>
      <c r="FB7" s="17" t="s">
        <v>234</v>
      </c>
      <c r="FC7" s="17" t="s">
        <v>235</v>
      </c>
      <c r="FD7" s="17" t="s">
        <v>236</v>
      </c>
      <c r="FE7" s="17" t="s">
        <v>237</v>
      </c>
      <c r="FF7" s="17" t="s">
        <v>238</v>
      </c>
      <c r="FG7" s="17" t="s">
        <v>239</v>
      </c>
      <c r="FH7" s="17" t="s">
        <v>240</v>
      </c>
      <c r="FI7" s="17" t="s">
        <v>241</v>
      </c>
      <c r="FJ7" s="17" t="s">
        <v>242</v>
      </c>
      <c r="FK7" s="17" t="s">
        <v>243</v>
      </c>
      <c r="FL7" s="43" t="s">
        <v>307</v>
      </c>
      <c r="FM7" s="43" t="s">
        <v>308</v>
      </c>
      <c r="FN7" s="43" t="s">
        <v>211</v>
      </c>
      <c r="FO7" s="43" t="s">
        <v>212</v>
      </c>
      <c r="FP7" s="43" t="s">
        <v>213</v>
      </c>
      <c r="FQ7" s="43" t="s">
        <v>309</v>
      </c>
      <c r="FR7" s="43" t="s">
        <v>310</v>
      </c>
      <c r="FS7" s="43" t="s">
        <v>311</v>
      </c>
      <c r="FT7" s="43" t="s">
        <v>312</v>
      </c>
      <c r="FU7" s="43" t="s">
        <v>313</v>
      </c>
      <c r="FV7" s="43" t="s">
        <v>314</v>
      </c>
    </row>
    <row r="8" spans="1:178" x14ac:dyDescent="0.25">
      <c r="A8">
        <v>1</v>
      </c>
      <c r="B8" s="44">
        <v>0</v>
      </c>
      <c r="C8" s="18">
        <v>600</v>
      </c>
      <c r="D8" s="18">
        <v>-530</v>
      </c>
      <c r="E8" s="18">
        <v>1130</v>
      </c>
      <c r="F8" s="16">
        <v>0.0033</v>
      </c>
      <c r="G8" s="16">
        <v>0</v>
      </c>
      <c r="H8" s="16">
        <v>0</v>
      </c>
      <c r="I8" s="16">
        <v>0.00275</v>
      </c>
      <c r="J8" s="16">
        <v>9.166666666666666e-7</v>
      </c>
      <c r="K8" s="16">
        <v>0</v>
      </c>
      <c r="L8" s="16">
        <v>0.0024749999999999998</v>
      </c>
      <c r="M8" s="16">
        <v>0.000001375</v>
      </c>
      <c r="N8" s="16">
        <v>0</v>
      </c>
      <c r="O8" s="16">
        <v>0.0021999999999999997</v>
      </c>
      <c r="P8" s="16">
        <v>0.0000018333333333333333</v>
      </c>
      <c r="Q8" s="16">
        <v>0</v>
      </c>
      <c r="R8" s="16">
        <v>0.001925</v>
      </c>
      <c r="S8" s="16">
        <v>0.0000022916666666666666</v>
      </c>
      <c r="T8" s="16">
        <v>0</v>
      </c>
      <c r="U8" s="16">
        <v>0.0018000000000000002</v>
      </c>
      <c r="V8" s="16">
        <v>0.0000024999999999999998</v>
      </c>
      <c r="W8" s="16">
        <v>0</v>
      </c>
      <c r="X8" s="16">
        <v>0.00165</v>
      </c>
      <c r="Y8" s="16">
        <v>0.00000275</v>
      </c>
      <c r="Z8" s="16">
        <v>0</v>
      </c>
      <c r="AA8" s="16">
        <v>0.001547787610619469</v>
      </c>
      <c r="AB8" s="16">
        <v>0.000002920353982300885</v>
      </c>
      <c r="AC8" s="16">
        <v>0</v>
      </c>
      <c r="AD8" s="16">
        <v>0.001282300884955752</v>
      </c>
      <c r="AE8" s="16">
        <v>0.0000033628318584070798</v>
      </c>
      <c r="AF8" s="16">
        <v>0</v>
      </c>
      <c r="AG8" s="16">
        <v>0.0011495575221238939</v>
      </c>
      <c r="AH8" s="16">
        <v>0.000003584070796460177</v>
      </c>
      <c r="AI8" s="16">
        <v>0</v>
      </c>
      <c r="AJ8" s="16">
        <v>0.0010168141592920353</v>
      </c>
      <c r="AK8" s="16">
        <v>0.000003805309734513274</v>
      </c>
      <c r="AL8" s="16">
        <v>0</v>
      </c>
      <c r="AM8" s="16">
        <v>0.0008840707964601767</v>
      </c>
      <c r="AN8" s="16">
        <v>0.000004026548672566372</v>
      </c>
      <c r="AO8" s="16">
        <v>0</v>
      </c>
      <c r="AP8" s="16">
        <v>0.0007513274336283186</v>
      </c>
      <c r="AQ8" s="16">
        <v>0.000004247787610619469</v>
      </c>
      <c r="AR8" s="16">
        <v>0</v>
      </c>
      <c r="AS8" s="16">
        <v>0.0006185840707964604</v>
      </c>
      <c r="AT8" s="16">
        <v>0.000004469026548672566</v>
      </c>
      <c r="AU8" s="16">
        <v>0</v>
      </c>
      <c r="AV8" s="16">
        <v>0.00048584070796460184</v>
      </c>
      <c r="AW8" s="16">
        <v>0.0000046902654867256635</v>
      </c>
      <c r="AX8" s="16">
        <v>0</v>
      </c>
      <c r="AY8" s="16">
        <v>0.00022035398230088512</v>
      </c>
      <c r="AZ8" s="16">
        <v>0.000005132743362831858</v>
      </c>
      <c r="BA8" s="16">
        <v>0</v>
      </c>
      <c r="BB8" s="16">
        <v>-0.00004513274336283204</v>
      </c>
      <c r="BC8" s="16">
        <v>0.000005575221238938053</v>
      </c>
      <c r="BD8" s="16">
        <v>0</v>
      </c>
      <c r="BE8" s="16">
        <v>-0.0003106194690265492</v>
      </c>
      <c r="BF8" s="16">
        <v>0.0000060176991150442484</v>
      </c>
      <c r="BG8" s="16">
        <v>0</v>
      </c>
      <c r="BH8" s="16">
        <v>-0.0005761061946902659</v>
      </c>
      <c r="BI8" s="16">
        <v>0.000006460176991150443</v>
      </c>
      <c r="BJ8" s="16">
        <v>0</v>
      </c>
      <c r="BK8" s="16">
        <v>-0.001107079646017699</v>
      </c>
      <c r="BL8" s="16">
        <v>0.000007345132743362832</v>
      </c>
      <c r="BM8" s="16">
        <v>0</v>
      </c>
      <c r="BN8" s="16">
        <v>-0.0016380530973451315</v>
      </c>
      <c r="BO8" s="16">
        <v>0.00000823008849557522</v>
      </c>
      <c r="BP8" s="16">
        <v>0</v>
      </c>
      <c r="BQ8" s="16">
        <v>-0.0027</v>
      </c>
      <c r="BR8" s="16">
        <v>0.00001</v>
      </c>
      <c r="BS8" s="16">
        <v>0</v>
      </c>
      <c r="BT8" s="16">
        <v>-0.003761946902654867</v>
      </c>
      <c r="BU8" s="16">
        <v>0.000011769911504424779</v>
      </c>
      <c r="BV8" s="16">
        <v>0</v>
      </c>
      <c r="BW8" s="16">
        <v>-0.006416814159292035</v>
      </c>
      <c r="BX8" s="16">
        <v>0.000016194690265486724</v>
      </c>
      <c r="BY8" s="16">
        <v>0</v>
      </c>
      <c r="BZ8" s="16">
        <v>-0.009071681415929202</v>
      </c>
      <c r="CA8" s="16">
        <v>0.000020619469026548672</v>
      </c>
      <c r="CB8" s="16">
        <v>0</v>
      </c>
      <c r="CC8" s="16">
        <v>-0.01969115044247787</v>
      </c>
      <c r="CD8" s="16">
        <v>0.000038318584070796456</v>
      </c>
      <c r="CE8" s="16">
        <v>0</v>
      </c>
      <c r="CF8" s="16">
        <v>-0.05</v>
      </c>
      <c r="CG8" s="16">
        <v>0</v>
      </c>
      <c r="CH8" s="16">
        <v>0</v>
      </c>
      <c r="CI8" s="45">
        <v>33981.43387592912</v>
      </c>
      <c r="CJ8" s="45">
        <v>33981.43387592912</v>
      </c>
      <c r="CK8" s="45">
        <v>33697.99889567864</v>
      </c>
      <c r="CL8" s="45">
        <v>32265.41983671862</v>
      </c>
      <c r="CM8" s="45">
        <v>29458.701738526564</v>
      </c>
      <c r="CN8" s="45">
        <v>27730.09410184366</v>
      </c>
      <c r="CO8" s="45">
        <v>25248.563599258836</v>
      </c>
      <c r="CP8" s="45">
        <v>23514.322248754543</v>
      </c>
      <c r="CQ8" s="45">
        <v>20124.121038215144</v>
      </c>
      <c r="CR8" s="45">
        <v>18882.738169040487</v>
      </c>
      <c r="CS8" s="45">
        <v>17776.353375143117</v>
      </c>
      <c r="CT8" s="45">
        <v>16760.388558863382</v>
      </c>
      <c r="CU8" s="45">
        <v>15800.236623069633</v>
      </c>
      <c r="CV8" s="45">
        <v>14902.046247507536</v>
      </c>
      <c r="CW8" s="45">
        <v>14042.955356745177</v>
      </c>
      <c r="CX8" s="45">
        <v>12848.396583065864</v>
      </c>
      <c r="CY8" s="45">
        <v>11780.888412913204</v>
      </c>
      <c r="CZ8" s="45">
        <v>10874.165106109966</v>
      </c>
      <c r="DA8" s="45">
        <v>10115.37601589935</v>
      </c>
      <c r="DB8" s="45">
        <v>8812.745574290735</v>
      </c>
      <c r="DC8" s="45">
        <v>7793.573662012833</v>
      </c>
      <c r="DD8" s="45">
        <v>6221.462349919355</v>
      </c>
      <c r="DE8" s="45">
        <v>5040.452657994034</v>
      </c>
      <c r="DF8" s="45">
        <v>2747.5191908344864</v>
      </c>
      <c r="DG8" s="45">
        <v>1203.7013416344244</v>
      </c>
      <c r="DH8" s="45">
        <v>-1714.4396393656968</v>
      </c>
      <c r="DI8" s="45">
        <v>-5790.583579096708</v>
      </c>
      <c r="DJ8" s="45">
        <v>6.55418261885643e-13</v>
      </c>
      <c r="DK8" s="45">
        <v>6.55418261885643e-13</v>
      </c>
      <c r="DL8" s="45">
        <v>150.46136414826947</v>
      </c>
      <c r="DM8" s="45">
        <v>838.9046608751036</v>
      </c>
      <c r="DN8" s="45">
        <v>2076.7979535082554</v>
      </c>
      <c r="DO8" s="45">
        <v>2819.1055487374533</v>
      </c>
      <c r="DP8" s="45">
        <v>3855.0903161670462</v>
      </c>
      <c r="DQ8" s="45">
        <v>4530.118037670052</v>
      </c>
      <c r="DR8" s="45">
        <v>5598.135049837574</v>
      </c>
      <c r="DS8" s="45">
        <v>5894.79693613114</v>
      </c>
      <c r="DT8" s="45">
        <v>6124.812619238588</v>
      </c>
      <c r="DU8" s="45">
        <v>6314.337858211325</v>
      </c>
      <c r="DV8" s="45">
        <v>6477.537136847315</v>
      </c>
      <c r="DW8" s="45">
        <v>6612.75498641875</v>
      </c>
      <c r="DX8" s="45">
        <v>6729.602944736926</v>
      </c>
      <c r="DY8" s="45">
        <v>6719.392919295084</v>
      </c>
      <c r="DZ8" s="45">
        <v>6681.944730043465</v>
      </c>
      <c r="EA8" s="45">
        <v>6619.376661682477</v>
      </c>
      <c r="EB8" s="45">
        <v>6520.300492379301</v>
      </c>
      <c r="EC8" s="45">
        <v>6317.221588401691</v>
      </c>
      <c r="ED8" s="45">
        <v>6095.595406911573</v>
      </c>
      <c r="EE8" s="45">
        <v>5669.773965842053</v>
      </c>
      <c r="EF8" s="45">
        <v>5279.5486588665335</v>
      </c>
      <c r="EG8" s="45">
        <v>4395.024835253348</v>
      </c>
      <c r="EH8" s="45">
        <v>3714.4317841181155</v>
      </c>
      <c r="EI8" s="45">
        <v>2227.93189961245</v>
      </c>
      <c r="EJ8" s="45">
        <v>0</v>
      </c>
      <c r="EK8" s="45">
        <v>-5.220063030719757e-12</v>
      </c>
      <c r="EL8" s="45">
        <v>-5.220063030719757e-12</v>
      </c>
      <c r="EM8" s="45">
        <v>0.000017494509751908482</v>
      </c>
      <c r="EN8" s="45">
        <v>0.0009406118215573952</v>
      </c>
      <c r="EO8" s="45">
        <v>0.00037674127167556436</v>
      </c>
      <c r="EP8" s="45">
        <v>0.0002115091088814661</v>
      </c>
      <c r="EQ8" s="45">
        <v>0.0015901064639454708</v>
      </c>
      <c r="ER8" s="45">
        <v>0.07635615567926224</v>
      </c>
      <c r="ES8" s="45">
        <v>-0.298929788221614</v>
      </c>
      <c r="ET8" s="45">
        <v>-0.06835164865992638</v>
      </c>
      <c r="EU8" s="45">
        <v>-0.036833113046715035</v>
      </c>
      <c r="EV8" s="45">
        <v>-0.17062774422102422</v>
      </c>
      <c r="EW8" s="45">
        <v>0.000766949239820242</v>
      </c>
      <c r="EX8" s="45">
        <v>-0.16007528021579376</v>
      </c>
      <c r="EY8" s="45">
        <v>0.2033703180078668</v>
      </c>
      <c r="EZ8" s="45">
        <v>-0.18254523419917001</v>
      </c>
      <c r="FA8" s="45">
        <v>0.00011138413645233958</v>
      </c>
      <c r="FB8" s="45">
        <v>-0.04691961909174547</v>
      </c>
      <c r="FC8" s="45">
        <v>0.017060437182207358</v>
      </c>
      <c r="FD8" s="45">
        <v>0.22085739108868455</v>
      </c>
      <c r="FE8" s="45">
        <v>0.0005276283492443618</v>
      </c>
      <c r="FF8" s="45">
        <v>0.058994860705671136</v>
      </c>
      <c r="FG8" s="45">
        <v>0.3035026830671234</v>
      </c>
      <c r="FH8" s="45">
        <v>0.8146481828627189</v>
      </c>
      <c r="FI8" s="45">
        <v>0.3976159518024968</v>
      </c>
      <c r="FJ8" s="45">
        <v>0.7652766825170573</v>
      </c>
      <c r="FK8" s="45">
        <v>5.960464477539062e-14</v>
      </c>
      <c r="FL8" s="46">
        <f>MAX(1,MIN(26,SUMPRODUCT(--($CI8:$DI8&gt;=Pu))))</f>
      </c>
      <c r="FM8" s="47">
        <f>(Pu-INDEX($CI8:$DI8,1,$FL8))/(INDEX($CI8:$DI8,1,$FL8+1)-INDEX($CI8:$DI8,1,$FL8))</f>
      </c>
      <c r="FN8" s="39">
        <f>INDEX($DJ8:$EJ8,1,$FL8)+$FM8*(INDEX($DJ8:$EJ8,1,$FL8+1)-INDEX($DJ8:$EJ8,1,$FL8))</f>
      </c>
      <c r="FO8" s="39">
        <f>INDEX($EK8:$FK8,1,$FL8)+$FM8*(INDEX($EK8:$FK8,1,$FL8+1)-INDEX($EK8:$FK8,1,$FL8))</f>
      </c>
      <c r="FP8" s="39">
        <f>SQRT(FN8^2+FO8^2)</f>
      </c>
      <c r="FQ8" s="20">
        <f>FN9-FN8</f>
      </c>
      <c r="FR8" s="20">
        <f>FO9-FO8</f>
      </c>
      <c r="FS8" s="20">
        <f>FQ8*SIN(RADIANS(theta_L))-FR8*COS(RADIANS(theta_L))</f>
      </c>
      <c r="FT8" s="47">
        <f>IF(FS8=0,"",-(FN8*SIN(RADIANS(theta_L))-FO8*COS(RADIANS(theta_L)))/FS8)</f>
      </c>
      <c r="FU8" s="20">
        <f>IF(FT8="","",(FN8+FT8*FQ8)*COS(RADIANS(theta_L))+(FO8+FT8*FR8)*SIN(RADIANS(theta_L)))</f>
      </c>
      <c r="FV8" s="20">
        <f>IF(OR(FT8="",FT8&lt;0,FT8&gt;1,FU8&lt;0),"",FU8)</f>
      </c>
    </row>
    <row r="9" spans="1:178" x14ac:dyDescent="0.25">
      <c r="A9">
        <v>2</v>
      </c>
      <c r="B9" s="44">
        <v>10</v>
      </c>
      <c r="C9" s="18">
        <v>686.3911495241364</v>
      </c>
      <c r="D9" s="18">
        <v>-591.4073801632424</v>
      </c>
      <c r="E9" s="18">
        <v>1277.7985296873787</v>
      </c>
      <c r="F9" s="16">
        <v>0.0033</v>
      </c>
      <c r="G9" s="16">
        <v>0</v>
      </c>
      <c r="H9" s="16">
        <v>0</v>
      </c>
      <c r="I9" s="16">
        <v>0.00275</v>
      </c>
      <c r="J9" s="16">
        <v>7.891189513912401e-7</v>
      </c>
      <c r="K9" s="16">
        <v>1.391429621186473e-7</v>
      </c>
      <c r="L9" s="16">
        <v>0.0024749999999999998</v>
      </c>
      <c r="M9" s="16">
        <v>0.0000011836784270868602</v>
      </c>
      <c r="N9" s="16">
        <v>2.0871444317797096e-7</v>
      </c>
      <c r="O9" s="16">
        <v>0.0021999999999999997</v>
      </c>
      <c r="P9" s="16">
        <v>0.0000015782379027824802</v>
      </c>
      <c r="Q9" s="16">
        <v>2.782859242372946e-7</v>
      </c>
      <c r="R9" s="16">
        <v>0.001925</v>
      </c>
      <c r="S9" s="16">
        <v>0.0000019727973784781</v>
      </c>
      <c r="T9" s="16">
        <v>3.4785740529661824e-7</v>
      </c>
      <c r="U9" s="16">
        <v>0.0018000000000000002</v>
      </c>
      <c r="V9" s="16">
        <v>0.000002152142594703382</v>
      </c>
      <c r="W9" s="16">
        <v>3.7948080577812895e-7</v>
      </c>
      <c r="X9" s="16">
        <v>0.00165</v>
      </c>
      <c r="Y9" s="16">
        <v>0.0000023673568541737205</v>
      </c>
      <c r="Z9" s="16">
        <v>4.174288863559419e-7</v>
      </c>
      <c r="AA9" s="16">
        <v>0.0015273490375796422</v>
      </c>
      <c r="AB9" s="16">
        <v>0.0000025433317611778644</v>
      </c>
      <c r="AC9" s="16">
        <v>4.4845801038843545e-7</v>
      </c>
      <c r="AD9" s="16">
        <v>0.0012587655584250425</v>
      </c>
      <c r="AE9" s="16">
        <v>0.0000029286850583260253</v>
      </c>
      <c r="AF9" s="16">
        <v>5.164061937806227e-7</v>
      </c>
      <c r="AG9" s="16">
        <v>0.0011244738188477426</v>
      </c>
      <c r="AH9" s="16">
        <v>0.000003121361706900106</v>
      </c>
      <c r="AI9" s="16">
        <v>5.503802854767163e-7</v>
      </c>
      <c r="AJ9" s="16">
        <v>0.0009901820792704427</v>
      </c>
      <c r="AK9" s="16">
        <v>0.0000033140383554741867</v>
      </c>
      <c r="AL9" s="16">
        <v>5.843543771728099e-7</v>
      </c>
      <c r="AM9" s="16">
        <v>0.0008558903396931432</v>
      </c>
      <c r="AN9" s="16">
        <v>0.0000035067150040482674</v>
      </c>
      <c r="AO9" s="16">
        <v>6.183284688689035e-7</v>
      </c>
      <c r="AP9" s="16">
        <v>0.0007215986001158428</v>
      </c>
      <c r="AQ9" s="16">
        <v>0.0000036993916526223485</v>
      </c>
      <c r="AR9" s="16">
        <v>6.523025605649972e-7</v>
      </c>
      <c r="AS9" s="16">
        <v>0.0005873068605385437</v>
      </c>
      <c r="AT9" s="16">
        <v>0.000003892068301196428</v>
      </c>
      <c r="AU9" s="16">
        <v>6.862766522610906e-7</v>
      </c>
      <c r="AV9" s="16">
        <v>0.0004530151209612434</v>
      </c>
      <c r="AW9" s="16">
        <v>0.00000408474494977051</v>
      </c>
      <c r="AX9" s="16">
        <v>7.202507439571843e-7</v>
      </c>
      <c r="AY9" s="16">
        <v>0.00018443164180664395</v>
      </c>
      <c r="AZ9" s="16">
        <v>0.00000447009824691867</v>
      </c>
      <c r="BA9" s="16">
        <v>7.881989273493715e-7</v>
      </c>
      <c r="BB9" s="16">
        <v>-0.00008415183734795592</v>
      </c>
      <c r="BC9" s="16">
        <v>0.000004855451544066832</v>
      </c>
      <c r="BD9" s="16">
        <v>8.561471107415587e-7</v>
      </c>
      <c r="BE9" s="16">
        <v>-0.0003527353165025558</v>
      </c>
      <c r="BF9" s="16">
        <v>0.000005240804841214993</v>
      </c>
      <c r="BG9" s="16">
        <v>9.240952941337459e-7</v>
      </c>
      <c r="BH9" s="16">
        <v>-0.0006213187956571557</v>
      </c>
      <c r="BI9" s="16">
        <v>0.000005626158138363154</v>
      </c>
      <c r="BJ9" s="16">
        <v>9.920434775259332e-7</v>
      </c>
      <c r="BK9" s="16">
        <v>-0.0011584857539663545</v>
      </c>
      <c r="BL9" s="16">
        <v>0.000006396864732659477</v>
      </c>
      <c r="BM9" s="16">
        <v>0.0000011279398443103075</v>
      </c>
      <c r="BN9" s="16">
        <v>-0.0016956527122755534</v>
      </c>
      <c r="BO9" s="16">
        <v>0.000007167571326955799</v>
      </c>
      <c r="BP9" s="16">
        <v>0.0000012638362110946818</v>
      </c>
      <c r="BQ9" s="16">
        <v>-0.0027699866288939537</v>
      </c>
      <c r="BR9" s="16">
        <v>0.000008708984515548445</v>
      </c>
      <c r="BS9" s="16">
        <v>0.0000015356289446634309</v>
      </c>
      <c r="BT9" s="16">
        <v>-0.0038443205455123515</v>
      </c>
      <c r="BU9" s="16">
        <v>0.000010250397704141089</v>
      </c>
      <c r="BV9" s="16">
        <v>0.0000018074216782321795</v>
      </c>
      <c r="BW9" s="16">
        <v>-0.006530155337058348</v>
      </c>
      <c r="BX9" s="16">
        <v>0.000014103930675622702</v>
      </c>
      <c r="BY9" s="16">
        <v>0.0000024869035121540515</v>
      </c>
      <c r="BZ9" s="16">
        <v>-0.009215990128604346</v>
      </c>
      <c r="CA9" s="16">
        <v>0.000017957463647104316</v>
      </c>
      <c r="CB9" s="16">
        <v>0.0000031663853460759237</v>
      </c>
      <c r="CC9" s="16">
        <v>-0.019959329294788327</v>
      </c>
      <c r="CD9" s="16">
        <v>0.00003337159553303076</v>
      </c>
      <c r="CE9" s="16">
        <v>0.000005884312681763411</v>
      </c>
      <c r="CF9" s="16">
        <v>-0.05</v>
      </c>
      <c r="CG9" s="16">
        <v>0</v>
      </c>
      <c r="CH9" s="16">
        <v>0</v>
      </c>
      <c r="CI9" s="45">
        <v>33981.43387592912</v>
      </c>
      <c r="CJ9" s="45">
        <v>33981.43387592912</v>
      </c>
      <c r="CK9" s="45">
        <v>33817.70229793882</v>
      </c>
      <c r="CL9" s="45">
        <v>32659.15227582878</v>
      </c>
      <c r="CM9" s="45">
        <v>30287.885774757073</v>
      </c>
      <c r="CN9" s="45">
        <v>28772.242328926623</v>
      </c>
      <c r="CO9" s="45">
        <v>26602.77332718322</v>
      </c>
      <c r="CP9" s="45">
        <v>24605.694925875352</v>
      </c>
      <c r="CQ9" s="45">
        <v>20756.860759489846</v>
      </c>
      <c r="CR9" s="45">
        <v>19289.695251555466</v>
      </c>
      <c r="CS9" s="45">
        <v>18031.85531842189</v>
      </c>
      <c r="CT9" s="45">
        <v>16897.794068023148</v>
      </c>
      <c r="CU9" s="45">
        <v>15852.238104788283</v>
      </c>
      <c r="CV9" s="45">
        <v>14872.890440450217</v>
      </c>
      <c r="CW9" s="45">
        <v>13950.734450522887</v>
      </c>
      <c r="CX9" s="45">
        <v>12421.584724792363</v>
      </c>
      <c r="CY9" s="45">
        <v>11242.929729050154</v>
      </c>
      <c r="CZ9" s="45">
        <v>10233.38967847071</v>
      </c>
      <c r="DA9" s="45">
        <v>9306.558897226829</v>
      </c>
      <c r="DB9" s="45">
        <v>7768.054582530266</v>
      </c>
      <c r="DC9" s="45">
        <v>6450.509280520864</v>
      </c>
      <c r="DD9" s="45">
        <v>4346.027660578646</v>
      </c>
      <c r="DE9" s="45">
        <v>2621.2595382002214</v>
      </c>
      <c r="DF9" s="45">
        <v>-149.6918872167412</v>
      </c>
      <c r="DG9" s="45">
        <v>-1975.4894876477308</v>
      </c>
      <c r="DH9" s="45">
        <v>-4743.388239756604</v>
      </c>
      <c r="DI9" s="45">
        <v>-5790.583579096708</v>
      </c>
      <c r="DJ9" s="45">
        <v>6.55418261885643e-13</v>
      </c>
      <c r="DK9" s="45">
        <v>6.55418261885643e-13</v>
      </c>
      <c r="DL9" s="45">
        <v>85.94863994576858</v>
      </c>
      <c r="DM9" s="45">
        <v>635.3999294732182</v>
      </c>
      <c r="DN9" s="45">
        <v>1666.7516846922656</v>
      </c>
      <c r="DO9" s="45">
        <v>2294.594182795671</v>
      </c>
      <c r="DP9" s="45">
        <v>3178.3038294731846</v>
      </c>
      <c r="DQ9" s="45">
        <v>3966.1187487697935</v>
      </c>
      <c r="DR9" s="45">
        <v>5242.333438696812</v>
      </c>
      <c r="DS9" s="45">
        <v>5608.668611952205</v>
      </c>
      <c r="DT9" s="45">
        <v>5866.584398792459</v>
      </c>
      <c r="DU9" s="45">
        <v>6062.778230313486</v>
      </c>
      <c r="DV9" s="45">
        <v>6217.649088725267</v>
      </c>
      <c r="DW9" s="45">
        <v>6345.043372952546</v>
      </c>
      <c r="DX9" s="45">
        <v>6451.20121461931</v>
      </c>
      <c r="DY9" s="45">
        <v>6529.861721602958</v>
      </c>
      <c r="DZ9" s="45">
        <v>6462.170385549775</v>
      </c>
      <c r="EA9" s="45">
        <v>6344.428744700177</v>
      </c>
      <c r="EB9" s="45">
        <v>6212.486002589654</v>
      </c>
      <c r="EC9" s="45">
        <v>5898.101182529763</v>
      </c>
      <c r="ED9" s="45">
        <v>5542.26458873892</v>
      </c>
      <c r="EE9" s="45">
        <v>4834.426688912027</v>
      </c>
      <c r="EF9" s="45">
        <v>4161.046889884811</v>
      </c>
      <c r="EG9" s="45">
        <v>2909.979336255783</v>
      </c>
      <c r="EH9" s="45">
        <v>2023.4448033094009</v>
      </c>
      <c r="EI9" s="45">
        <v>575.1013934478117</v>
      </c>
      <c r="EJ9" s="45">
        <v>0</v>
      </c>
      <c r="EK9" s="45">
        <v>-5.220063030719757e-12</v>
      </c>
      <c r="EL9" s="45">
        <v>-5.220063030719757e-12</v>
      </c>
      <c r="EM9" s="45">
        <v>26.912752098990065</v>
      </c>
      <c r="EN9" s="45">
        <v>191.34828260522957</v>
      </c>
      <c r="EO9" s="45">
        <v>464.04737650584104</v>
      </c>
      <c r="EP9" s="45">
        <v>619.3559050249659</v>
      </c>
      <c r="EQ9" s="45">
        <v>834.2371502851801</v>
      </c>
      <c r="ER9" s="45">
        <v>1004.2477006600777</v>
      </c>
      <c r="ES9" s="45">
        <v>1097.3172805828272</v>
      </c>
      <c r="ET9" s="45">
        <v>1093.6509556557012</v>
      </c>
      <c r="EU9" s="45">
        <v>1108.1301429528146</v>
      </c>
      <c r="EV9" s="45">
        <v>1131.1251607466093</v>
      </c>
      <c r="EW9" s="45">
        <v>1161.297481402388</v>
      </c>
      <c r="EX9" s="45">
        <v>1189.611182464058</v>
      </c>
      <c r="EY9" s="45">
        <v>1219.542265375773</v>
      </c>
      <c r="EZ9" s="45">
        <v>1235.8863313681268</v>
      </c>
      <c r="FA9" s="45">
        <v>1268.4115242690955</v>
      </c>
      <c r="FB9" s="45">
        <v>1270.7857198489912</v>
      </c>
      <c r="FC9" s="45">
        <v>1274.0359303159098</v>
      </c>
      <c r="FD9" s="45">
        <v>1270.7531542999632</v>
      </c>
      <c r="FE9" s="45">
        <v>1304.5254438976897</v>
      </c>
      <c r="FF9" s="45">
        <v>1322.0346356462587</v>
      </c>
      <c r="FG9" s="45">
        <v>1334.930749221124</v>
      </c>
      <c r="FH9" s="45">
        <v>1103.3040717625886</v>
      </c>
      <c r="FI9" s="45">
        <v>853.1630492279968</v>
      </c>
      <c r="FJ9" s="45">
        <v>405.27515551443014</v>
      </c>
      <c r="FK9" s="45">
        <v>5.960464477539062e-14</v>
      </c>
      <c r="FL9" s="46">
        <f>MAX(1,MIN(26,SUMPRODUCT(--($CI9:$DI9&gt;=Pu))))</f>
      </c>
      <c r="FM9" s="47">
        <f>(Pu-INDEX($CI9:$DI9,1,$FL9))/(INDEX($CI9:$DI9,1,$FL9+1)-INDEX($CI9:$DI9,1,$FL9))</f>
      </c>
      <c r="FN9" s="39">
        <f>INDEX($DJ9:$EJ9,1,$FL9)+$FM9*(INDEX($DJ9:$EJ9,1,$FL9+1)-INDEX($DJ9:$EJ9,1,$FL9))</f>
      </c>
      <c r="FO9" s="39">
        <f>INDEX($EK9:$FK9,1,$FL9)+$FM9*(INDEX($EK9:$FK9,1,$FL9+1)-INDEX($EK9:$FK9,1,$FL9))</f>
      </c>
      <c r="FP9" s="39">
        <f>SQRT(FN9^2+FO9^2)</f>
      </c>
      <c r="FQ9" s="20">
        <f>FN10-FN9</f>
      </c>
      <c r="FR9" s="20">
        <f>FO10-FO9</f>
      </c>
      <c r="FS9" s="20">
        <f>FQ9*SIN(RADIANS(theta_L))-FR9*COS(RADIANS(theta_L))</f>
      </c>
      <c r="FT9" s="47">
        <f>IF(FS9=0,"",-(FN9*SIN(RADIANS(theta_L))-FO9*COS(RADIANS(theta_L)))/FS9)</f>
      </c>
      <c r="FU9" s="20">
        <f>IF(FT9="","",(FN9+FT9*FQ9)*COS(RADIANS(theta_L))+(FO9+FT9*FR9)*SIN(RADIANS(theta_L)))</f>
      </c>
      <c r="FV9" s="20">
        <f>IF(OR(FT9="",FT9&lt;0,FT9&gt;1,FU9&lt;0),"",FU9)</f>
      </c>
    </row>
    <row r="10" spans="1:178" x14ac:dyDescent="0.25">
      <c r="A10">
        <v>3</v>
      </c>
      <c r="B10" s="44">
        <v>20</v>
      </c>
      <c r="C10" s="18">
        <v>751.9266513006628</v>
      </c>
      <c r="D10" s="18">
        <v>-634.845146346799</v>
      </c>
      <c r="E10" s="18">
        <v>1386.7717976474619</v>
      </c>
      <c r="F10" s="16">
        <v>0.0033</v>
      </c>
      <c r="G10" s="16">
        <v>0</v>
      </c>
      <c r="H10" s="16">
        <v>0</v>
      </c>
      <c r="I10" s="16">
        <v>0.00275</v>
      </c>
      <c r="J10" s="16">
        <v>6.873422301739792e-7</v>
      </c>
      <c r="K10" s="16">
        <v>2.501721125374772e-7</v>
      </c>
      <c r="L10" s="16">
        <v>0.0024749999999999998</v>
      </c>
      <c r="M10" s="16">
        <v>0.000001031013345260969</v>
      </c>
      <c r="N10" s="16">
        <v>3.752581688062158e-7</v>
      </c>
      <c r="O10" s="16">
        <v>0.0021999999999999997</v>
      </c>
      <c r="P10" s="16">
        <v>0.0000013746844603479585</v>
      </c>
      <c r="Q10" s="16">
        <v>5.003442250749544e-7</v>
      </c>
      <c r="R10" s="16">
        <v>0.0019249999999999998</v>
      </c>
      <c r="S10" s="16">
        <v>0.0000017183555754349485</v>
      </c>
      <c r="T10" s="16">
        <v>6.254302813436931e-7</v>
      </c>
      <c r="U10" s="16">
        <v>0.0018000000000000002</v>
      </c>
      <c r="V10" s="16">
        <v>0.000001874569718656307</v>
      </c>
      <c r="W10" s="16">
        <v>6.822875796476651e-7</v>
      </c>
      <c r="X10" s="16">
        <v>0.00165</v>
      </c>
      <c r="Y10" s="16">
        <v>0.000002062026690521938</v>
      </c>
      <c r="Z10" s="16">
        <v>7.505163376124316e-7</v>
      </c>
      <c r="AA10" s="16">
        <v>0.0015106948284486347</v>
      </c>
      <c r="AB10" s="16">
        <v>0.0000022361181946835456</v>
      </c>
      <c r="AC10" s="16">
        <v>8.138804631658875e-7</v>
      </c>
      <c r="AD10" s="16">
        <v>0.001239587984274185</v>
      </c>
      <c r="AE10" s="16">
        <v>0.00000257492398175681</v>
      </c>
      <c r="AF10" s="16">
        <v>9.371956848576887e-7</v>
      </c>
      <c r="AG10" s="16">
        <v>0.0011040345621869609</v>
      </c>
      <c r="AH10" s="16">
        <v>0.000002744326875293442</v>
      </c>
      <c r="AI10" s="16">
        <v>9.988532957035892e-7</v>
      </c>
      <c r="AJ10" s="16">
        <v>0.0009684811400997358</v>
      </c>
      <c r="AK10" s="16">
        <v>0.0000029137297688300746</v>
      </c>
      <c r="AL10" s="16">
        <v>0.0000010605109065494898</v>
      </c>
      <c r="AM10" s="16">
        <v>0.0008329277180125112</v>
      </c>
      <c r="AN10" s="16">
        <v>0.000003083132662366707</v>
      </c>
      <c r="AO10" s="16">
        <v>0.0000011221685173953904</v>
      </c>
      <c r="AP10" s="16">
        <v>0.0006973742959252866</v>
      </c>
      <c r="AQ10" s="16">
        <v>0.0000032525355559033396</v>
      </c>
      <c r="AR10" s="16">
        <v>0.000001183826128241291</v>
      </c>
      <c r="AS10" s="16">
        <v>0.000561820873838062</v>
      </c>
      <c r="AT10" s="16">
        <v>0.0000034219384494399716</v>
      </c>
      <c r="AU10" s="16">
        <v>0.0000012454837390871916</v>
      </c>
      <c r="AV10" s="16">
        <v>0.0004262674517508374</v>
      </c>
      <c r="AW10" s="16">
        <v>0.0000035913413429766037</v>
      </c>
      <c r="AX10" s="16">
        <v>0.0000013071413499330922</v>
      </c>
      <c r="AY10" s="16">
        <v>0.00015516060757638818</v>
      </c>
      <c r="AZ10" s="16">
        <v>0.000003930147130049868</v>
      </c>
      <c r="BA10" s="16">
        <v>0.000001430456571624893</v>
      </c>
      <c r="BB10" s="16">
        <v>-0.00011594623659806104</v>
      </c>
      <c r="BC10" s="16">
        <v>0.000004268952917123133</v>
      </c>
      <c r="BD10" s="16">
        <v>0.0000015537717933166943</v>
      </c>
      <c r="BE10" s="16">
        <v>-0.0003870530807725107</v>
      </c>
      <c r="BF10" s="16">
        <v>0.000004607758704196398</v>
      </c>
      <c r="BG10" s="16">
        <v>0.0000016770870150084955</v>
      </c>
      <c r="BH10" s="16">
        <v>-0.0006581599249469603</v>
      </c>
      <c r="BI10" s="16">
        <v>0.000004946564491269662</v>
      </c>
      <c r="BJ10" s="16">
        <v>0.0000018004022367002968</v>
      </c>
      <c r="BK10" s="16">
        <v>-0.0012003736132958588</v>
      </c>
      <c r="BL10" s="16">
        <v>0.000005624176065416191</v>
      </c>
      <c r="BM10" s="16">
        <v>0.000002047032680083899</v>
      </c>
      <c r="BN10" s="16">
        <v>-0.0017425873016447572</v>
      </c>
      <c r="BO10" s="16">
        <v>0.00000630178763956272</v>
      </c>
      <c r="BP10" s="16">
        <v>0.000002293663123467501</v>
      </c>
      <c r="BQ10" s="16">
        <v>-0.002827014678342554</v>
      </c>
      <c r="BR10" s="16">
        <v>0.000007657010787855779</v>
      </c>
      <c r="BS10" s="16">
        <v>0.000002786924010234706</v>
      </c>
      <c r="BT10" s="16">
        <v>-0.003911442055040351</v>
      </c>
      <c r="BU10" s="16">
        <v>0.000009012233936148835</v>
      </c>
      <c r="BV10" s="16">
        <v>0.00000328018489700191</v>
      </c>
      <c r="BW10" s="16">
        <v>-0.006622510496784845</v>
      </c>
      <c r="BX10" s="16">
        <v>0.00001240029180688148</v>
      </c>
      <c r="BY10" s="16">
        <v>0.000004513337113919922</v>
      </c>
      <c r="BZ10" s="16">
        <v>-0.00933357893852934</v>
      </c>
      <c r="CA10" s="16">
        <v>0.000015788349677614127</v>
      </c>
      <c r="CB10" s="16">
        <v>0.000005746489330837933</v>
      </c>
      <c r="CC10" s="16">
        <v>-0.020177852705507312</v>
      </c>
      <c r="CD10" s="16">
        <v>0.000029340581160544707</v>
      </c>
      <c r="CE10" s="16">
        <v>0.00001067909819850998</v>
      </c>
      <c r="CF10" s="16">
        <v>-0.05</v>
      </c>
      <c r="CG10" s="16">
        <v>0</v>
      </c>
      <c r="CH10" s="16">
        <v>0</v>
      </c>
      <c r="CI10" s="45">
        <v>33981.43387592912</v>
      </c>
      <c r="CJ10" s="45">
        <v>33981.43387592912</v>
      </c>
      <c r="CK10" s="45">
        <v>33866.46115926956</v>
      </c>
      <c r="CL10" s="45">
        <v>32846.243392726465</v>
      </c>
      <c r="CM10" s="45">
        <v>30697.218104554984</v>
      </c>
      <c r="CN10" s="45">
        <v>29309.608441659388</v>
      </c>
      <c r="CO10" s="45">
        <v>27300.75380776754</v>
      </c>
      <c r="CP10" s="45">
        <v>25173.070023499105</v>
      </c>
      <c r="CQ10" s="45">
        <v>21360.538222376872</v>
      </c>
      <c r="CR10" s="45">
        <v>19730.655335128373</v>
      </c>
      <c r="CS10" s="45">
        <v>18286.15307895993</v>
      </c>
      <c r="CT10" s="45">
        <v>17005.320874263653</v>
      </c>
      <c r="CU10" s="45">
        <v>15841.22870035382</v>
      </c>
      <c r="CV10" s="45">
        <v>14756.3481272819</v>
      </c>
      <c r="CW10" s="45">
        <v>13737.506806493247</v>
      </c>
      <c r="CX10" s="45">
        <v>11968.67959043299</v>
      </c>
      <c r="CY10" s="45">
        <v>10539.574187577791</v>
      </c>
      <c r="CZ10" s="45">
        <v>9327.014335856833</v>
      </c>
      <c r="DA10" s="45">
        <v>8303.819816445108</v>
      </c>
      <c r="DB10" s="45">
        <v>6450.666424255945</v>
      </c>
      <c r="DC10" s="45">
        <v>4912.473218237895</v>
      </c>
      <c r="DD10" s="45">
        <v>2611.7963047008457</v>
      </c>
      <c r="DE10" s="45">
        <v>1066.5351454072556</v>
      </c>
      <c r="DF10" s="45">
        <v>-1528.0088222185475</v>
      </c>
      <c r="DG10" s="45">
        <v>-3015.7821499045026</v>
      </c>
      <c r="DH10" s="45">
        <v>-5070.125862798883</v>
      </c>
      <c r="DI10" s="45">
        <v>-5790.583579096708</v>
      </c>
      <c r="DJ10" s="45">
        <v>6.55418261885643e-13</v>
      </c>
      <c r="DK10" s="45">
        <v>6.55418261885643e-13</v>
      </c>
      <c r="DL10" s="45">
        <v>56.91932962290377</v>
      </c>
      <c r="DM10" s="45">
        <v>522.0524115494659</v>
      </c>
      <c r="DN10" s="45">
        <v>1409.5705451258646</v>
      </c>
      <c r="DO10" s="45">
        <v>1952.5956977239046</v>
      </c>
      <c r="DP10" s="45">
        <v>2720.320068058655</v>
      </c>
      <c r="DQ10" s="45">
        <v>3501.6011220569285</v>
      </c>
      <c r="DR10" s="45">
        <v>4715.239522321556</v>
      </c>
      <c r="DS10" s="45">
        <v>5138.427881000349</v>
      </c>
      <c r="DT10" s="45">
        <v>5448.689927340278</v>
      </c>
      <c r="DU10" s="45">
        <v>5665.491378815598</v>
      </c>
      <c r="DV10" s="45">
        <v>5816.135134743739</v>
      </c>
      <c r="DW10" s="45">
        <v>5927.480711235712</v>
      </c>
      <c r="DX10" s="45">
        <v>6010.03583450326</v>
      </c>
      <c r="DY10" s="45">
        <v>6051.51799057294</v>
      </c>
      <c r="DZ10" s="45">
        <v>5958.154498155275</v>
      </c>
      <c r="EA10" s="45">
        <v>5787.0341589309455</v>
      </c>
      <c r="EB10" s="45">
        <v>5570.648550219881</v>
      </c>
      <c r="EC10" s="45">
        <v>5111.873628892475</v>
      </c>
      <c r="ED10" s="45">
        <v>4662.133602370184</v>
      </c>
      <c r="EE10" s="45">
        <v>3839.201768525085</v>
      </c>
      <c r="EF10" s="45">
        <v>3221.718264693535</v>
      </c>
      <c r="EG10" s="45">
        <v>2096.9735275721464</v>
      </c>
      <c r="EH10" s="45">
        <v>1395.3286237833101</v>
      </c>
      <c r="EI10" s="45">
        <v>391.09172695750755</v>
      </c>
      <c r="EJ10" s="45">
        <v>0</v>
      </c>
      <c r="EK10" s="45">
        <v>-5.220063030719757e-12</v>
      </c>
      <c r="EL10" s="45">
        <v>-5.220063030719757e-12</v>
      </c>
      <c r="EM10" s="45">
        <v>42.247982437666295</v>
      </c>
      <c r="EN10" s="45">
        <v>301.8109180484808</v>
      </c>
      <c r="EO10" s="45">
        <v>778.5047817438386</v>
      </c>
      <c r="EP10" s="45">
        <v>1063.1972554083263</v>
      </c>
      <c r="EQ10" s="45">
        <v>1453.9449850019532</v>
      </c>
      <c r="ER10" s="45">
        <v>1817.8613637785795</v>
      </c>
      <c r="ES10" s="45">
        <v>2144.0905912075846</v>
      </c>
      <c r="ET10" s="45">
        <v>2186.899815340587</v>
      </c>
      <c r="EU10" s="45">
        <v>2220.543868075521</v>
      </c>
      <c r="EV10" s="45">
        <v>2258.874310603832</v>
      </c>
      <c r="EW10" s="45">
        <v>2307.222284637683</v>
      </c>
      <c r="EX10" s="45">
        <v>2356.103047517989</v>
      </c>
      <c r="EY10" s="45">
        <v>2407.892176054269</v>
      </c>
      <c r="EZ10" s="45">
        <v>2477.7778281979063</v>
      </c>
      <c r="FA10" s="45">
        <v>2492.7451336041827</v>
      </c>
      <c r="FB10" s="45">
        <v>2530.940786061861</v>
      </c>
      <c r="FC10" s="45">
        <v>2546.117483206379</v>
      </c>
      <c r="FD10" s="45">
        <v>2545.716512078066</v>
      </c>
      <c r="FE10" s="45">
        <v>2475.0876354913917</v>
      </c>
      <c r="FF10" s="45">
        <v>2329.4832128374946</v>
      </c>
      <c r="FG10" s="45">
        <v>2097.0482137373856</v>
      </c>
      <c r="FH10" s="45">
        <v>1555.1543124943107</v>
      </c>
      <c r="FI10" s="45">
        <v>1142.4853831035773</v>
      </c>
      <c r="FJ10" s="45">
        <v>339.8580570824619</v>
      </c>
      <c r="FK10" s="45">
        <v>5.960464477539062e-14</v>
      </c>
      <c r="FL10" s="46">
        <f>MAX(1,MIN(26,SUMPRODUCT(--($CI10:$DI10&gt;=Pu))))</f>
      </c>
      <c r="FM10" s="47">
        <f>(Pu-INDEX($CI10:$DI10,1,$FL10))/(INDEX($CI10:$DI10,1,$FL10+1)-INDEX($CI10:$DI10,1,$FL10))</f>
      </c>
      <c r="FN10" s="39">
        <f>INDEX($DJ10:$EJ10,1,$FL10)+$FM10*(INDEX($DJ10:$EJ10,1,$FL10+1)-INDEX($DJ10:$EJ10,1,$FL10))</f>
      </c>
      <c r="FO10" s="39">
        <f>INDEX($EK10:$FK10,1,$FL10)+$FM10*(INDEX($EK10:$FK10,1,$FL10+1)-INDEX($EK10:$FK10,1,$FL10))</f>
      </c>
      <c r="FP10" s="39">
        <f>SQRT(FN10^2+FO10^2)</f>
      </c>
      <c r="FQ10" s="20">
        <f>FN11-FN10</f>
      </c>
      <c r="FR10" s="20">
        <f>FO11-FO10</f>
      </c>
      <c r="FS10" s="20">
        <f>FQ10*SIN(RADIANS(theta_L))-FR10*COS(RADIANS(theta_L))</f>
      </c>
      <c r="FT10" s="47">
        <f>IF(FS10=0,"",-(FN10*SIN(RADIANS(theta_L))-FO10*COS(RADIANS(theta_L)))/FS10)</f>
      </c>
      <c r="FU10" s="20">
        <f>IF(FT10="","",(FN10+FT10*FQ10)*COS(RADIANS(theta_L))+(FO10+FT10*FR10)*SIN(RADIANS(theta_L)))</f>
      </c>
      <c r="FV10" s="20">
        <f>IF(OR(FT10="",FT10&lt;0,FT10&gt;1,FU10&lt;0),"",FU10)</f>
      </c>
    </row>
    <row r="11" spans="1:178" x14ac:dyDescent="0.25">
      <c r="A11">
        <v>4</v>
      </c>
      <c r="B11" s="44">
        <v>29.999999999999996</v>
      </c>
      <c r="C11" s="18">
        <v>794.6152422706632</v>
      </c>
      <c r="D11" s="18">
        <v>-658.9934640057525</v>
      </c>
      <c r="E11" s="18">
        <v>1453.6087062764157</v>
      </c>
      <c r="F11" s="16">
        <v>0.0033</v>
      </c>
      <c r="G11" s="16">
        <v>0</v>
      </c>
      <c r="H11" s="16">
        <v>0</v>
      </c>
      <c r="I11" s="16">
        <v>0.00275</v>
      </c>
      <c r="J11" s="16">
        <v>5.994271777625911e-7</v>
      </c>
      <c r="K11" s="16">
        <v>3.460794424408096e-7</v>
      </c>
      <c r="L11" s="16">
        <v>0.0024749999999999998</v>
      </c>
      <c r="M11" s="16">
        <v>8.991407666438868e-7</v>
      </c>
      <c r="N11" s="16">
        <v>5.191191636612143e-7</v>
      </c>
      <c r="O11" s="16">
        <v>0.0022</v>
      </c>
      <c r="P11" s="16">
        <v>0.0000011988543555251822</v>
      </c>
      <c r="Q11" s="16">
        <v>6.921588848816192e-7</v>
      </c>
      <c r="R11" s="16">
        <v>0.001925</v>
      </c>
      <c r="S11" s="16">
        <v>0.0000014985679444064779</v>
      </c>
      <c r="T11" s="16">
        <v>8.65198606102024e-7</v>
      </c>
      <c r="U11" s="16">
        <v>0.0018000000000000002</v>
      </c>
      <c r="V11" s="16">
        <v>0.0000016348013938979757</v>
      </c>
      <c r="W11" s="16">
        <v>9.438530248385715e-7</v>
      </c>
      <c r="X11" s="16">
        <v>0.00165</v>
      </c>
      <c r="Y11" s="16">
        <v>0.0000017982815332877735</v>
      </c>
      <c r="Z11" s="16">
        <v>0.0000010382383273224287</v>
      </c>
      <c r="AA11" s="16">
        <v>0.0014960549024157057</v>
      </c>
      <c r="AB11" s="16">
        <v>0.000001966061306697483</v>
      </c>
      <c r="AC11" s="16">
        <v>0.000001135106024665099</v>
      </c>
      <c r="AD11" s="16">
        <v>0.0012227298876302064</v>
      </c>
      <c r="AE11" s="16">
        <v>0.000002263949383469829</v>
      </c>
      <c r="AF11" s="16">
        <v>0.0000013070917859779928</v>
      </c>
      <c r="AG11" s="16">
        <v>0.001086067380237457</v>
      </c>
      <c r="AH11" s="16">
        <v>0.000002412893421856002</v>
      </c>
      <c r="AI11" s="16">
        <v>0.0000013930846666344397</v>
      </c>
      <c r="AJ11" s="16">
        <v>0.0009494048728447071</v>
      </c>
      <c r="AK11" s="16">
        <v>0.0000025618374602421753</v>
      </c>
      <c r="AL11" s="16">
        <v>0.0000014790775472908867</v>
      </c>
      <c r="AM11" s="16">
        <v>0.0008127423654519577</v>
      </c>
      <c r="AN11" s="16">
        <v>0.000002710781498628348</v>
      </c>
      <c r="AO11" s="16">
        <v>0.0000015650704279473335</v>
      </c>
      <c r="AP11" s="16">
        <v>0.0006760798580592079</v>
      </c>
      <c r="AQ11" s="16">
        <v>0.0000028597255370145212</v>
      </c>
      <c r="AR11" s="16">
        <v>0.0000016510633086037806</v>
      </c>
      <c r="AS11" s="16">
        <v>0.0005394173506664589</v>
      </c>
      <c r="AT11" s="16">
        <v>0.0000030086695754006935</v>
      </c>
      <c r="AU11" s="16">
        <v>0.0000017370561892602272</v>
      </c>
      <c r="AV11" s="16">
        <v>0.00040275484327370907</v>
      </c>
      <c r="AW11" s="16">
        <v>0.0000031576136137868667</v>
      </c>
      <c r="AX11" s="16">
        <v>0.0000018230490699166743</v>
      </c>
      <c r="AY11" s="16">
        <v>0.00012942982848821024</v>
      </c>
      <c r="AZ11" s="16">
        <v>0.0000034555016905592126</v>
      </c>
      <c r="BA11" s="16">
        <v>0.0000019950348312295677</v>
      </c>
      <c r="BB11" s="16">
        <v>-0.00014389518629728945</v>
      </c>
      <c r="BC11" s="16">
        <v>0.000003753389767331559</v>
      </c>
      <c r="BD11" s="16">
        <v>0.000002167020592542462</v>
      </c>
      <c r="BE11" s="16">
        <v>-0.0004172202010827887</v>
      </c>
      <c r="BF11" s="16">
        <v>0.000004051277844103905</v>
      </c>
      <c r="BG11" s="16">
        <v>0.0000023390063538553555</v>
      </c>
      <c r="BH11" s="16">
        <v>-0.0006905452158682875</v>
      </c>
      <c r="BI11" s="16">
        <v>0.00000434916592087625</v>
      </c>
      <c r="BJ11" s="16">
        <v>0.000002510992115168249</v>
      </c>
      <c r="BK11" s="16">
        <v>-0.001237195245439286</v>
      </c>
      <c r="BL11" s="16">
        <v>0.000004944942074420942</v>
      </c>
      <c r="BM11" s="16">
        <v>0.000002854963637794037</v>
      </c>
      <c r="BN11" s="16">
        <v>-0.0017838452750102837</v>
      </c>
      <c r="BO11" s="16">
        <v>0.000005540718227965634</v>
      </c>
      <c r="BP11" s="16">
        <v>0.0000031989351604198243</v>
      </c>
      <c r="BQ11" s="16">
        <v>-0.0028771453341522807</v>
      </c>
      <c r="BR11" s="16">
        <v>0.0000067322705350550184</v>
      </c>
      <c r="BS11" s="16">
        <v>0.0000038868782056713994</v>
      </c>
      <c r="BT11" s="16">
        <v>-0.003970445393294277</v>
      </c>
      <c r="BU11" s="16">
        <v>0.0000079238228421444</v>
      </c>
      <c r="BV11" s="16">
        <v>0.000004574821250922974</v>
      </c>
      <c r="BW11" s="16">
        <v>-0.006703695541149268</v>
      </c>
      <c r="BX11" s="16">
        <v>0.00001090270360986786</v>
      </c>
      <c r="BY11" s="16">
        <v>0.0000062946788640519126</v>
      </c>
      <c r="BZ11" s="16">
        <v>-0.009436945689004262</v>
      </c>
      <c r="CA11" s="16">
        <v>0.00001388158437759132</v>
      </c>
      <c r="CB11" s="16">
        <v>0.00000801453647718085</v>
      </c>
      <c r="CC11" s="16">
        <v>-0.020369946280424225</v>
      </c>
      <c r="CD11" s="16">
        <v>0.000025797107448485158</v>
      </c>
      <c r="CE11" s="16">
        <v>0.000014893966929696602</v>
      </c>
      <c r="CF11" s="16">
        <v>-0.05</v>
      </c>
      <c r="CG11" s="16">
        <v>0</v>
      </c>
      <c r="CH11" s="16">
        <v>0</v>
      </c>
      <c r="CI11" s="45">
        <v>33981.43387592912</v>
      </c>
      <c r="CJ11" s="45">
        <v>33981.43387592912</v>
      </c>
      <c r="CK11" s="45">
        <v>33876.03056615473</v>
      </c>
      <c r="CL11" s="45">
        <v>32906.01178851932</v>
      </c>
      <c r="CM11" s="45">
        <v>30851.920509876694</v>
      </c>
      <c r="CN11" s="45">
        <v>29530.371489867903</v>
      </c>
      <c r="CO11" s="45">
        <v>27606.296201041132</v>
      </c>
      <c r="CP11" s="45">
        <v>25380.86323540859</v>
      </c>
      <c r="CQ11" s="45">
        <v>21708.388171722734</v>
      </c>
      <c r="CR11" s="45">
        <v>20028.769037314978</v>
      </c>
      <c r="CS11" s="45">
        <v>18459.098358075855</v>
      </c>
      <c r="CT11" s="45">
        <v>17009.087636417506</v>
      </c>
      <c r="CU11" s="45">
        <v>15698.064949720847</v>
      </c>
      <c r="CV11" s="45">
        <v>14509.518685661613</v>
      </c>
      <c r="CW11" s="45">
        <v>13398.558181464363</v>
      </c>
      <c r="CX11" s="45">
        <v>11481.010011114</v>
      </c>
      <c r="CY11" s="45">
        <v>9856.426280410444</v>
      </c>
      <c r="CZ11" s="45">
        <v>8503.76831256637</v>
      </c>
      <c r="DA11" s="45">
        <v>7316.387390805251</v>
      </c>
      <c r="DB11" s="45">
        <v>5445.897484036579</v>
      </c>
      <c r="DC11" s="45">
        <v>3997.7266310209325</v>
      </c>
      <c r="DD11" s="45">
        <v>1950.9838840341615</v>
      </c>
      <c r="DE11" s="45">
        <v>508.677244907836</v>
      </c>
      <c r="DF11" s="45">
        <v>-1808.7552903519556</v>
      </c>
      <c r="DG11" s="45">
        <v>-3139.05732773258</v>
      </c>
      <c r="DH11" s="45">
        <v>-5044.668022560147</v>
      </c>
      <c r="DI11" s="45">
        <v>-5790.583579096708</v>
      </c>
      <c r="DJ11" s="45">
        <v>6.55418261885643e-13</v>
      </c>
      <c r="DK11" s="45">
        <v>6.55418261885643e-13</v>
      </c>
      <c r="DL11" s="45">
        <v>48.82791381012355</v>
      </c>
      <c r="DM11" s="45">
        <v>451.61667014415667</v>
      </c>
      <c r="DN11" s="45">
        <v>1225.072932055232</v>
      </c>
      <c r="DO11" s="45">
        <v>1702.4506196215966</v>
      </c>
      <c r="DP11" s="45">
        <v>2381.6932871152885</v>
      </c>
      <c r="DQ11" s="45">
        <v>3127.116699800583</v>
      </c>
      <c r="DR11" s="45">
        <v>4144.952822607358</v>
      </c>
      <c r="DS11" s="45">
        <v>4521.823095870025</v>
      </c>
      <c r="DT11" s="45">
        <v>4824.02175288371</v>
      </c>
      <c r="DU11" s="45">
        <v>5045.692950968513</v>
      </c>
      <c r="DV11" s="45">
        <v>5194.520925566539</v>
      </c>
      <c r="DW11" s="45">
        <v>5287.233712702831</v>
      </c>
      <c r="DX11" s="45">
        <v>5345.367703847265</v>
      </c>
      <c r="DY11" s="45">
        <v>5332.562286786956</v>
      </c>
      <c r="DZ11" s="45">
        <v>5211.010266921576</v>
      </c>
      <c r="EA11" s="45">
        <v>5022.633609330719</v>
      </c>
      <c r="EB11" s="45">
        <v>4796.654940796912</v>
      </c>
      <c r="EC11" s="45">
        <v>4296.04868560701</v>
      </c>
      <c r="ED11" s="45">
        <v>3875.03318506901</v>
      </c>
      <c r="EE11" s="45">
        <v>3246.4322241358614</v>
      </c>
      <c r="EF11" s="45">
        <v>2731.3046332448416</v>
      </c>
      <c r="EG11" s="45">
        <v>1813.4055011192856</v>
      </c>
      <c r="EH11" s="45">
        <v>1252.5262117187629</v>
      </c>
      <c r="EI11" s="45">
        <v>390.01149467631905</v>
      </c>
      <c r="EJ11" s="45">
        <v>0</v>
      </c>
      <c r="EK11" s="45">
        <v>-5.220063030719757e-12</v>
      </c>
      <c r="EL11" s="45">
        <v>-5.220063030719757e-12</v>
      </c>
      <c r="EM11" s="45">
        <v>49.00906050673975</v>
      </c>
      <c r="EN11" s="45">
        <v>395.30343166716597</v>
      </c>
      <c r="EO11" s="45">
        <v>1044.9473847494498</v>
      </c>
      <c r="EP11" s="45">
        <v>1429.3883928366295</v>
      </c>
      <c r="EQ11" s="45">
        <v>1956.4268193190899</v>
      </c>
      <c r="ER11" s="45">
        <v>2508.5541519539247</v>
      </c>
      <c r="ES11" s="45">
        <v>3072.3243988693134</v>
      </c>
      <c r="ET11" s="45">
        <v>3217.541978767996</v>
      </c>
      <c r="EU11" s="45">
        <v>3317.9870544614937</v>
      </c>
      <c r="EV11" s="45">
        <v>3398.128740616591</v>
      </c>
      <c r="EW11" s="45">
        <v>3475.181445882785</v>
      </c>
      <c r="EX11" s="45">
        <v>3554.1906133089337</v>
      </c>
      <c r="EY11" s="45">
        <v>3624.778026789106</v>
      </c>
      <c r="EZ11" s="45">
        <v>3682.9297482900897</v>
      </c>
      <c r="FA11" s="45">
        <v>3694.632587230479</v>
      </c>
      <c r="FB11" s="45">
        <v>3660.009299856681</v>
      </c>
      <c r="FC11" s="45">
        <v>3632.3766178319847</v>
      </c>
      <c r="FD11" s="45">
        <v>3539.2938275018173</v>
      </c>
      <c r="FE11" s="45">
        <v>3370.1544662181723</v>
      </c>
      <c r="FF11" s="45">
        <v>2927.21160435815</v>
      </c>
      <c r="FG11" s="45">
        <v>2575.5968664263683</v>
      </c>
      <c r="FH11" s="45">
        <v>1853.2097743702893</v>
      </c>
      <c r="FI11" s="45">
        <v>1317.6610707113998</v>
      </c>
      <c r="FJ11" s="45">
        <v>388.2413941258377</v>
      </c>
      <c r="FK11" s="45">
        <v>5.960464477539062e-14</v>
      </c>
      <c r="FL11" s="46">
        <f>MAX(1,MIN(26,SUMPRODUCT(--($CI11:$DI11&gt;=Pu))))</f>
      </c>
      <c r="FM11" s="47">
        <f>(Pu-INDEX($CI11:$DI11,1,$FL11))/(INDEX($CI11:$DI11,1,$FL11+1)-INDEX($CI11:$DI11,1,$FL11))</f>
      </c>
      <c r="FN11" s="39">
        <f>INDEX($DJ11:$EJ11,1,$FL11)+$FM11*(INDEX($DJ11:$EJ11,1,$FL11+1)-INDEX($DJ11:$EJ11,1,$FL11))</f>
      </c>
      <c r="FO11" s="39">
        <f>INDEX($EK11:$FK11,1,$FL11)+$FM11*(INDEX($EK11:$FK11,1,$FL11+1)-INDEX($EK11:$FK11,1,$FL11))</f>
      </c>
      <c r="FP11" s="39">
        <f>SQRT(FN11^2+FO11^2)</f>
      </c>
      <c r="FQ11" s="20">
        <f>FN12-FN11</f>
      </c>
      <c r="FR11" s="20">
        <f>FO12-FO11</f>
      </c>
      <c r="FS11" s="20">
        <f>FQ11*SIN(RADIANS(theta_L))-FR11*COS(RADIANS(theta_L))</f>
      </c>
      <c r="FT11" s="47">
        <f>IF(FS11=0,"",-(FN11*SIN(RADIANS(theta_L))-FO11*COS(RADIANS(theta_L)))/FS11)</f>
      </c>
      <c r="FU11" s="20">
        <f>IF(FT11="","",(FN11+FT11*FQ11)*COS(RADIANS(theta_L))+(FO11+FT11*FR11)*SIN(RADIANS(theta_L)))</f>
      </c>
      <c r="FV11" s="20">
        <f>IF(OR(FT11="",FT11&lt;0,FT11&gt;1,FU11&lt;0),"",FU11)</f>
      </c>
    </row>
    <row r="12" spans="1:178" x14ac:dyDescent="0.25">
      <c r="A12">
        <v>5</v>
      </c>
      <c r="B12" s="44">
        <v>40</v>
      </c>
      <c r="C12" s="18">
        <v>813.1598511989835</v>
      </c>
      <c r="D12" s="18">
        <v>-666.9089075225401</v>
      </c>
      <c r="E12" s="18">
        <v>1480.0687587215234</v>
      </c>
      <c r="F12" s="16">
        <v>0.0033</v>
      </c>
      <c r="G12" s="16">
        <v>0</v>
      </c>
      <c r="H12" s="16">
        <v>0</v>
      </c>
      <c r="I12" s="16">
        <v>0.00275</v>
      </c>
      <c r="J12" s="16">
        <v>5.18132373473931e-7</v>
      </c>
      <c r="K12" s="16">
        <v>4.3476468348298417e-7</v>
      </c>
      <c r="L12" s="16">
        <v>0.002475</v>
      </c>
      <c r="M12" s="16">
        <v>7.771985602108965e-7</v>
      </c>
      <c r="N12" s="16">
        <v>6.521470252244763e-7</v>
      </c>
      <c r="O12" s="16">
        <v>0.0022</v>
      </c>
      <c r="P12" s="16">
        <v>0.000001036264746947862</v>
      </c>
      <c r="Q12" s="16">
        <v>8.695293669659683e-7</v>
      </c>
      <c r="R12" s="16">
        <v>0.0019249999999999998</v>
      </c>
      <c r="S12" s="16">
        <v>0.0000012953309336848276</v>
      </c>
      <c r="T12" s="16">
        <v>0.0000010869117087074606</v>
      </c>
      <c r="U12" s="16">
        <v>0.0018</v>
      </c>
      <c r="V12" s="16">
        <v>0.0000014130882912925392</v>
      </c>
      <c r="W12" s="16">
        <v>0.0000011857218640445023</v>
      </c>
      <c r="X12" s="16">
        <v>0.0016500000000000002</v>
      </c>
      <c r="Y12" s="16">
        <v>0.000001554397120421793</v>
      </c>
      <c r="Z12" s="16">
        <v>0.0000013042940504489526</v>
      </c>
      <c r="AA12" s="16">
        <v>0.0014869575361656999</v>
      </c>
      <c r="AB12" s="16">
        <v>0.0000017079927181736179</v>
      </c>
      <c r="AC12" s="16">
        <v>0.0000014331760598729625</v>
      </c>
      <c r="AD12" s="16">
        <v>0.001212254132554442</v>
      </c>
      <c r="AE12" s="16">
        <v>0.000001966779493654469</v>
      </c>
      <c r="AF12" s="16">
        <v>0.0000016503239477325025</v>
      </c>
      <c r="AG12" s="16">
        <v>0.0010749024307488133</v>
      </c>
      <c r="AH12" s="16">
        <v>0.0000020961728813948945</v>
      </c>
      <c r="AI12" s="16">
        <v>0.0000017588978916622723</v>
      </c>
      <c r="AJ12" s="16">
        <v>0.0009375507289431841</v>
      </c>
      <c r="AK12" s="16">
        <v>0.0000022255662691353206</v>
      </c>
      <c r="AL12" s="16">
        <v>0.0000018674718355920423</v>
      </c>
      <c r="AM12" s="16">
        <v>0.0008001990271375554</v>
      </c>
      <c r="AN12" s="16">
        <v>0.000002354959656875746</v>
      </c>
      <c r="AO12" s="16">
        <v>0.0000019760457795218125</v>
      </c>
      <c r="AP12" s="16">
        <v>0.0006628473253319266</v>
      </c>
      <c r="AQ12" s="16">
        <v>0.000002484353044616172</v>
      </c>
      <c r="AR12" s="16">
        <v>0.000002084619723451582</v>
      </c>
      <c r="AS12" s="16">
        <v>0.0005254956235262978</v>
      </c>
      <c r="AT12" s="16">
        <v>0.000002613746432356597</v>
      </c>
      <c r="AU12" s="16">
        <v>0.000002193193667381352</v>
      </c>
      <c r="AV12" s="16">
        <v>0.00038814392172066906</v>
      </c>
      <c r="AW12" s="16">
        <v>0.0000027431398200970226</v>
      </c>
      <c r="AX12" s="16">
        <v>0.0000023017676113111216</v>
      </c>
      <c r="AY12" s="16">
        <v>0.00011344051810941195</v>
      </c>
      <c r="AZ12" s="16">
        <v>0.0000030019265955778734</v>
      </c>
      <c r="BA12" s="16">
        <v>0.000002518915499170661</v>
      </c>
      <c r="BB12" s="16">
        <v>-0.00016126288550184645</v>
      </c>
      <c r="BC12" s="16">
        <v>0.000003260713371058725</v>
      </c>
      <c r="BD12" s="16">
        <v>0.0000027360633870302016</v>
      </c>
      <c r="BE12" s="16">
        <v>-0.0004359662891131044</v>
      </c>
      <c r="BF12" s="16">
        <v>0.0000035195001465395768</v>
      </c>
      <c r="BG12" s="16">
        <v>0.0000029532112748897416</v>
      </c>
      <c r="BH12" s="16">
        <v>-0.000710669692724362</v>
      </c>
      <c r="BI12" s="16">
        <v>0.000003778286922020428</v>
      </c>
      <c r="BJ12" s="16">
        <v>0.000003170359162749281</v>
      </c>
      <c r="BK12" s="16">
        <v>-0.0012600764999468762</v>
      </c>
      <c r="BL12" s="16">
        <v>0.00000429586047298213</v>
      </c>
      <c r="BM12" s="16">
        <v>0.0000036046549384683603</v>
      </c>
      <c r="BN12" s="16">
        <v>-0.0018094833071693912</v>
      </c>
      <c r="BO12" s="16">
        <v>0.000004813434023943832</v>
      </c>
      <c r="BP12" s="16">
        <v>0.0000040389507141874394</v>
      </c>
      <c r="BQ12" s="16">
        <v>-0.002908296921614424</v>
      </c>
      <c r="BR12" s="16">
        <v>0.000005848581125867238</v>
      </c>
      <c r="BS12" s="16">
        <v>0.0000049075422656256</v>
      </c>
      <c r="BT12" s="16">
        <v>-0.004007110536059453</v>
      </c>
      <c r="BU12" s="16">
        <v>0.0000068837282277906424</v>
      </c>
      <c r="BV12" s="16">
        <v>0.0000057761338170637585</v>
      </c>
      <c r="BW12" s="16">
        <v>-0.0067541445721720295</v>
      </c>
      <c r="BX12" s="16">
        <v>0.000009471595982599155</v>
      </c>
      <c r="BY12" s="16">
        <v>0.000007947612695659157</v>
      </c>
      <c r="BZ12" s="16">
        <v>-0.009501178608284606</v>
      </c>
      <c r="CA12" s="16">
        <v>0.000012059463737407667</v>
      </c>
      <c r="CB12" s="16">
        <v>0.000010119091574254555</v>
      </c>
      <c r="CC12" s="16">
        <v>-0.02048931475273491</v>
      </c>
      <c r="CD12" s="16">
        <v>0.000022410934756641713</v>
      </c>
      <c r="CE12" s="16">
        <v>0.000018805007088636146</v>
      </c>
      <c r="CF12" s="16">
        <v>-0.05</v>
      </c>
      <c r="CG12" s="16">
        <v>0</v>
      </c>
      <c r="CH12" s="16">
        <v>0</v>
      </c>
      <c r="CI12" s="45">
        <v>33981.43387592912</v>
      </c>
      <c r="CJ12" s="45">
        <v>33981.43387592912</v>
      </c>
      <c r="CK12" s="45">
        <v>33863.4019278609</v>
      </c>
      <c r="CL12" s="45">
        <v>32899.22926191779</v>
      </c>
      <c r="CM12" s="45">
        <v>30842.141157638685</v>
      </c>
      <c r="CN12" s="45">
        <v>29535.78122262831</v>
      </c>
      <c r="CO12" s="45">
        <v>27634.203654828656</v>
      </c>
      <c r="CP12" s="45">
        <v>25331.98561091937</v>
      </c>
      <c r="CQ12" s="45">
        <v>21761.49832435747</v>
      </c>
      <c r="CR12" s="45">
        <v>20101.233755674148</v>
      </c>
      <c r="CS12" s="45">
        <v>18512.965438943043</v>
      </c>
      <c r="CT12" s="45">
        <v>17004.16819477337</v>
      </c>
      <c r="CU12" s="45">
        <v>15596.041271232392</v>
      </c>
      <c r="CV12" s="45">
        <v>14295.108616266318</v>
      </c>
      <c r="CW12" s="45">
        <v>13105.429237884797</v>
      </c>
      <c r="CX12" s="45">
        <v>11110.812129683569</v>
      </c>
      <c r="CY12" s="45">
        <v>9458.564835327312</v>
      </c>
      <c r="CZ12" s="45">
        <v>8044.434706052966</v>
      </c>
      <c r="DA12" s="45">
        <v>6845.7055909640585</v>
      </c>
      <c r="DB12" s="45">
        <v>5045.352005767924</v>
      </c>
      <c r="DC12" s="45">
        <v>3785.1692362146955</v>
      </c>
      <c r="DD12" s="45">
        <v>1892.8787054045847</v>
      </c>
      <c r="DE12" s="45">
        <v>539.2842817507508</v>
      </c>
      <c r="DF12" s="45">
        <v>-1617.030559325174</v>
      </c>
      <c r="DG12" s="45">
        <v>-2848.8840854358505</v>
      </c>
      <c r="DH12" s="45">
        <v>-4753.272036817409</v>
      </c>
      <c r="DI12" s="45">
        <v>-5790.583579096708</v>
      </c>
      <c r="DJ12" s="45">
        <v>6.55418261885643e-13</v>
      </c>
      <c r="DK12" s="45">
        <v>6.55418261885643e-13</v>
      </c>
      <c r="DL12" s="45">
        <v>48.95821174686092</v>
      </c>
      <c r="DM12" s="45">
        <v>398.07614815868817</v>
      </c>
      <c r="DN12" s="45">
        <v>1088.2677593914796</v>
      </c>
      <c r="DO12" s="45">
        <v>1510.5394062163482</v>
      </c>
      <c r="DP12" s="45">
        <v>2101.5490608098685</v>
      </c>
      <c r="DQ12" s="45">
        <v>2749.17244630961</v>
      </c>
      <c r="DR12" s="45">
        <v>3532.4595008386927</v>
      </c>
      <c r="DS12" s="45">
        <v>3817.9038691272594</v>
      </c>
      <c r="DT12" s="45">
        <v>4054.012628913973</v>
      </c>
      <c r="DU12" s="45">
        <v>4242.4304934374395</v>
      </c>
      <c r="DV12" s="45">
        <v>4383.050984922743</v>
      </c>
      <c r="DW12" s="45">
        <v>4474.361403091517</v>
      </c>
      <c r="DX12" s="45">
        <v>4527.252028689051</v>
      </c>
      <c r="DY12" s="45">
        <v>4493.000379010573</v>
      </c>
      <c r="DZ12" s="45">
        <v>4364.299420136142</v>
      </c>
      <c r="EA12" s="45">
        <v>4189.796532898555</v>
      </c>
      <c r="EB12" s="45">
        <v>4004.450322337828</v>
      </c>
      <c r="EC12" s="45">
        <v>3650.144863259121</v>
      </c>
      <c r="ED12" s="45">
        <v>3332.9834706241627</v>
      </c>
      <c r="EE12" s="45">
        <v>2821.363259907644</v>
      </c>
      <c r="EF12" s="45">
        <v>2452.2456179077435</v>
      </c>
      <c r="EG12" s="45">
        <v>1732.8119981166421</v>
      </c>
      <c r="EH12" s="45">
        <v>1269.4998932099595</v>
      </c>
      <c r="EI12" s="45">
        <v>478.2994270238235</v>
      </c>
      <c r="EJ12" s="45">
        <v>0</v>
      </c>
      <c r="EK12" s="45">
        <v>-5.220063030719757e-12</v>
      </c>
      <c r="EL12" s="45">
        <v>-5.220063030719757e-12</v>
      </c>
      <c r="EM12" s="45">
        <v>61.95277245291322</v>
      </c>
      <c r="EN12" s="45">
        <v>493.73002813324047</v>
      </c>
      <c r="EO12" s="45">
        <v>1280.8287853018498</v>
      </c>
      <c r="EP12" s="45">
        <v>1753.7364955417304</v>
      </c>
      <c r="EQ12" s="45">
        <v>2419.2840497207385</v>
      </c>
      <c r="ER12" s="45">
        <v>3138.3267249623345</v>
      </c>
      <c r="ES12" s="45">
        <v>3910.0948671110946</v>
      </c>
      <c r="ET12" s="45">
        <v>4157.552279320432</v>
      </c>
      <c r="EU12" s="45">
        <v>4343.443561540246</v>
      </c>
      <c r="EV12" s="45">
        <v>4477.967966764084</v>
      </c>
      <c r="EW12" s="45">
        <v>4579.698006938624</v>
      </c>
      <c r="EX12" s="45">
        <v>4662.446581960033</v>
      </c>
      <c r="EY12" s="45">
        <v>4734.757205790492</v>
      </c>
      <c r="EZ12" s="45">
        <v>4781.25242679108</v>
      </c>
      <c r="FA12" s="45">
        <v>4758.5854572323415</v>
      </c>
      <c r="FB12" s="45">
        <v>4691.187232885849</v>
      </c>
      <c r="FC12" s="45">
        <v>4570.485374880952</v>
      </c>
      <c r="FD12" s="45">
        <v>4282.198490446652</v>
      </c>
      <c r="FE12" s="45">
        <v>4003.380286508313</v>
      </c>
      <c r="FF12" s="45">
        <v>3509.6294181023322</v>
      </c>
      <c r="FG12" s="45">
        <v>3053.453364898382</v>
      </c>
      <c r="FH12" s="45">
        <v>2184.1011427265976</v>
      </c>
      <c r="FI12" s="45">
        <v>1603.0135655680524</v>
      </c>
      <c r="FJ12" s="45">
        <v>608.3293457977202</v>
      </c>
      <c r="FK12" s="45">
        <v>5.960464477539062e-14</v>
      </c>
      <c r="FL12" s="46">
        <f>MAX(1,MIN(26,SUMPRODUCT(--($CI12:$DI12&gt;=Pu))))</f>
      </c>
      <c r="FM12" s="47">
        <f>(Pu-INDEX($CI12:$DI12,1,$FL12))/(INDEX($CI12:$DI12,1,$FL12+1)-INDEX($CI12:$DI12,1,$FL12))</f>
      </c>
      <c r="FN12" s="39">
        <f>INDEX($DJ12:$EJ12,1,$FL12)+$FM12*(INDEX($DJ12:$EJ12,1,$FL12+1)-INDEX($DJ12:$EJ12,1,$FL12))</f>
      </c>
      <c r="FO12" s="39">
        <f>INDEX($EK12:$FK12,1,$FL12)+$FM12*(INDEX($EK12:$FK12,1,$FL12+1)-INDEX($EK12:$FK12,1,$FL12))</f>
      </c>
      <c r="FP12" s="39">
        <f>SQRT(FN12^2+FO12^2)</f>
      </c>
      <c r="FQ12" s="20">
        <f>FN13-FN12</f>
      </c>
      <c r="FR12" s="20">
        <f>FO13-FO12</f>
      </c>
      <c r="FS12" s="20">
        <f>FQ12*SIN(RADIANS(theta_L))-FR12*COS(RADIANS(theta_L))</f>
      </c>
      <c r="FT12" s="47">
        <f>IF(FS12=0,"",-(FN12*SIN(RADIANS(theta_L))-FO12*COS(RADIANS(theta_L)))/FS12)</f>
      </c>
      <c r="FU12" s="20">
        <f>IF(FT12="","",(FN12+FT12*FQ12)*COS(RADIANS(theta_L))+(FO12+FT12*FR12)*SIN(RADIANS(theta_L)))</f>
      </c>
      <c r="FV12" s="20">
        <f>IF(OR(FT12="",FT12&lt;0,FT12&gt;1,FU12&lt;0),"",FU12)</f>
      </c>
    </row>
    <row r="13" spans="1:178" x14ac:dyDescent="0.25">
      <c r="A13">
        <v>6</v>
      </c>
      <c r="B13" s="44">
        <v>50</v>
      </c>
      <c r="C13" s="18">
        <v>831.6483762138494</v>
      </c>
      <c r="D13" s="18">
        <v>-713.7465042268668</v>
      </c>
      <c r="E13" s="18">
        <v>1545.3948804407162</v>
      </c>
      <c r="F13" s="16">
        <v>0.0033</v>
      </c>
      <c r="G13" s="16">
        <v>0</v>
      </c>
      <c r="H13" s="16">
        <v>0</v>
      </c>
      <c r="I13" s="16">
        <v>0.00275</v>
      </c>
      <c r="J13" s="16">
        <v>4.250993514074865e-7</v>
      </c>
      <c r="K13" s="16">
        <v>5.066136792493406e-7</v>
      </c>
      <c r="L13" s="16">
        <v>0.0024749999999999998</v>
      </c>
      <c r="M13" s="16">
        <v>6.376490271112297e-7</v>
      </c>
      <c r="N13" s="16">
        <v>7.599205188740108e-7</v>
      </c>
      <c r="O13" s="16">
        <v>0.0021999999999999997</v>
      </c>
      <c r="P13" s="16">
        <v>8.50198702814973e-7</v>
      </c>
      <c r="Q13" s="16">
        <v>0.0000010132273584986811</v>
      </c>
      <c r="R13" s="16">
        <v>0.0019249999999999998</v>
      </c>
      <c r="S13" s="16">
        <v>0.0000010627483785187162</v>
      </c>
      <c r="T13" s="16">
        <v>0.0000012665341981233513</v>
      </c>
      <c r="U13" s="16">
        <v>0.0018000000000000002</v>
      </c>
      <c r="V13" s="16">
        <v>0.0000011593618674749628</v>
      </c>
      <c r="W13" s="16">
        <v>0.0000013816736706800193</v>
      </c>
      <c r="X13" s="16">
        <v>0.00165</v>
      </c>
      <c r="Y13" s="16">
        <v>0.0000012752980542224595</v>
      </c>
      <c r="Z13" s="16">
        <v>0.0000015198410377480215</v>
      </c>
      <c r="AA13" s="16">
        <v>0.0015241175532281802</v>
      </c>
      <c r="AB13" s="16">
        <v>0.0000013725935932702558</v>
      </c>
      <c r="AC13" s="16">
        <v>0.0000016357933459516229</v>
      </c>
      <c r="AD13" s="16">
        <v>0.0012550444552324501</v>
      </c>
      <c r="AE13" s="16">
        <v>0.0000015805623195233249</v>
      </c>
      <c r="AF13" s="16">
        <v>0.00000188364082261096</v>
      </c>
      <c r="AG13" s="16">
        <v>0.001120507906234585</v>
      </c>
      <c r="AH13" s="16">
        <v>0.0000016845466826498592</v>
      </c>
      <c r="AI13" s="16">
        <v>0.0000020075645609406282</v>
      </c>
      <c r="AJ13" s="16">
        <v>0.0009859713572367198</v>
      </c>
      <c r="AK13" s="16">
        <v>0.0000017885310457763938</v>
      </c>
      <c r="AL13" s="16">
        <v>0.0000021314882992702965</v>
      </c>
      <c r="AM13" s="16">
        <v>0.0008514348082388546</v>
      </c>
      <c r="AN13" s="16">
        <v>0.0000018925154089029285</v>
      </c>
      <c r="AO13" s="16">
        <v>0.0000022554120375999653</v>
      </c>
      <c r="AP13" s="16">
        <v>0.000716898259240989</v>
      </c>
      <c r="AQ13" s="16">
        <v>0.000001996499772029463</v>
      </c>
      <c r="AR13" s="16">
        <v>0.0000023793357759296336</v>
      </c>
      <c r="AS13" s="16">
        <v>0.0005823617102431243</v>
      </c>
      <c r="AT13" s="16">
        <v>0.0000021004841351559974</v>
      </c>
      <c r="AU13" s="16">
        <v>0.0000025032595142593015</v>
      </c>
      <c r="AV13" s="16">
        <v>0.0004478251612452591</v>
      </c>
      <c r="AW13" s="16">
        <v>0.000002204468498282532</v>
      </c>
      <c r="AX13" s="16">
        <v>0.0000026271832525889702</v>
      </c>
      <c r="AY13" s="16">
        <v>0.00017875206324952922</v>
      </c>
      <c r="AZ13" s="16">
        <v>0.000002412437224535601</v>
      </c>
      <c r="BA13" s="16">
        <v>0.000002875030729248307</v>
      </c>
      <c r="BB13" s="16">
        <v>-0.00009032103474620155</v>
      </c>
      <c r="BC13" s="16">
        <v>0.00000262040595078867</v>
      </c>
      <c r="BD13" s="16">
        <v>0.000003122878205907644</v>
      </c>
      <c r="BE13" s="16">
        <v>-0.0003593941327419319</v>
      </c>
      <c r="BF13" s="16">
        <v>0.0000028283746770417395</v>
      </c>
      <c r="BG13" s="16">
        <v>0.000003370725682566981</v>
      </c>
      <c r="BH13" s="16">
        <v>-0.0006284672307376622</v>
      </c>
      <c r="BI13" s="16">
        <v>0.000003036343403294808</v>
      </c>
      <c r="BJ13" s="16">
        <v>0.0000036185731592263176</v>
      </c>
      <c r="BK13" s="16">
        <v>-0.001166613426729122</v>
      </c>
      <c r="BL13" s="16">
        <v>0.000003452280855800946</v>
      </c>
      <c r="BM13" s="16">
        <v>0.000004114268112544991</v>
      </c>
      <c r="BN13" s="16">
        <v>-0.0017047596227205827</v>
      </c>
      <c r="BO13" s="16">
        <v>0.000003868218308307084</v>
      </c>
      <c r="BP13" s="16">
        <v>0.0000046099630658636645</v>
      </c>
      <c r="BQ13" s="16">
        <v>-0.002781052014703505</v>
      </c>
      <c r="BR13" s="16">
        <v>0.000004700093213319361</v>
      </c>
      <c r="BS13" s="16">
        <v>0.000005601352972501013</v>
      </c>
      <c r="BT13" s="16">
        <v>-0.0038573444066864245</v>
      </c>
      <c r="BU13" s="16">
        <v>0.000005531968118331637</v>
      </c>
      <c r="BV13" s="16">
        <v>0.000006592742879138359</v>
      </c>
      <c r="BW13" s="16">
        <v>-0.006548075386643729</v>
      </c>
      <c r="BX13" s="16">
        <v>0.000007611655380862328</v>
      </c>
      <c r="BY13" s="16">
        <v>0.000009071217645731727</v>
      </c>
      <c r="BZ13" s="16">
        <v>-0.00923880636660103</v>
      </c>
      <c r="CA13" s="16">
        <v>0.000009691342643393018</v>
      </c>
      <c r="CB13" s="16">
        <v>0.000011549692412325097</v>
      </c>
      <c r="CC13" s="16">
        <v>-0.02000173028643024</v>
      </c>
      <c r="CD13" s="16">
        <v>0.00001801009169351578</v>
      </c>
      <c r="CE13" s="16">
        <v>0.000021463591478698567</v>
      </c>
      <c r="CF13" s="16">
        <v>-0.05</v>
      </c>
      <c r="CG13" s="16">
        <v>0</v>
      </c>
      <c r="CH13" s="16">
        <v>0</v>
      </c>
      <c r="CI13" s="45">
        <v>33981.43387592912</v>
      </c>
      <c r="CJ13" s="45">
        <v>33981.43387592912</v>
      </c>
      <c r="CK13" s="45">
        <v>33861.11987355758</v>
      </c>
      <c r="CL13" s="45">
        <v>32881.80530550579</v>
      </c>
      <c r="CM13" s="45">
        <v>30855.015523442326</v>
      </c>
      <c r="CN13" s="45">
        <v>29533.92295661245</v>
      </c>
      <c r="CO13" s="45">
        <v>27619.545603007748</v>
      </c>
      <c r="CP13" s="45">
        <v>25828.732590736738</v>
      </c>
      <c r="CQ13" s="45">
        <v>22308.650651053966</v>
      </c>
      <c r="CR13" s="45">
        <v>20694.56114589393</v>
      </c>
      <c r="CS13" s="45">
        <v>19128.94112824127</v>
      </c>
      <c r="CT13" s="45">
        <v>17629.78011271354</v>
      </c>
      <c r="CU13" s="45">
        <v>16201.95377751613</v>
      </c>
      <c r="CV13" s="45">
        <v>14847.85709123559</v>
      </c>
      <c r="CW13" s="45">
        <v>13572.613813574288</v>
      </c>
      <c r="CX13" s="45">
        <v>11395.089372935574</v>
      </c>
      <c r="CY13" s="45">
        <v>9623.714727508263</v>
      </c>
      <c r="CZ13" s="45">
        <v>8193.757011200709</v>
      </c>
      <c r="DA13" s="45">
        <v>7046.6806064266575</v>
      </c>
      <c r="DB13" s="45">
        <v>5322.575503546272</v>
      </c>
      <c r="DC13" s="45">
        <v>4001.047488836841</v>
      </c>
      <c r="DD13" s="45">
        <v>2162.5299859065553</v>
      </c>
      <c r="DE13" s="45">
        <v>836.105408563802</v>
      </c>
      <c r="DF13" s="45">
        <v>-1331.0195891740643</v>
      </c>
      <c r="DG13" s="45">
        <v>-2663.8787007552955</v>
      </c>
      <c r="DH13" s="45">
        <v>-4670.644880305006</v>
      </c>
      <c r="DI13" s="45">
        <v>-5790.583579096708</v>
      </c>
      <c r="DJ13" s="45">
        <v>6.55418261885643e-13</v>
      </c>
      <c r="DK13" s="45">
        <v>6.55418261885643e-13</v>
      </c>
      <c r="DL13" s="45">
        <v>43.470385618144384</v>
      </c>
      <c r="DM13" s="45">
        <v>338.26049379112754</v>
      </c>
      <c r="DN13" s="45">
        <v>920.3014575978341</v>
      </c>
      <c r="DO13" s="45">
        <v>1269.558884673265</v>
      </c>
      <c r="DP13" s="45">
        <v>1760.1984683471119</v>
      </c>
      <c r="DQ13" s="45">
        <v>2172.9750267083946</v>
      </c>
      <c r="DR13" s="45">
        <v>2766.6055127465497</v>
      </c>
      <c r="DS13" s="45">
        <v>2970.9908541036234</v>
      </c>
      <c r="DT13" s="45">
        <v>3141.1591661033676</v>
      </c>
      <c r="DU13" s="45">
        <v>3286.97351365593</v>
      </c>
      <c r="DV13" s="45">
        <v>3409.1802013741685</v>
      </c>
      <c r="DW13" s="45">
        <v>3502.9996997005805</v>
      </c>
      <c r="DX13" s="45">
        <v>3568.005718388447</v>
      </c>
      <c r="DY13" s="45">
        <v>3576.268162611187</v>
      </c>
      <c r="DZ13" s="45">
        <v>3491.330025144508</v>
      </c>
      <c r="EA13" s="45">
        <v>3364.180817610131</v>
      </c>
      <c r="EB13" s="45">
        <v>3239.1330678446425</v>
      </c>
      <c r="EC13" s="45">
        <v>3028.6831705245486</v>
      </c>
      <c r="ED13" s="45">
        <v>2830.132233021573</v>
      </c>
      <c r="EE13" s="45">
        <v>2449.7161085146686</v>
      </c>
      <c r="EF13" s="45">
        <v>2145.9229954756315</v>
      </c>
      <c r="EG13" s="45">
        <v>1613.0539465387396</v>
      </c>
      <c r="EH13" s="45">
        <v>1203.0074617618</v>
      </c>
      <c r="EI13" s="45">
        <v>458.03500999883084</v>
      </c>
      <c r="EJ13" s="45">
        <v>0</v>
      </c>
      <c r="EK13" s="45">
        <v>-5.220063030719757e-12</v>
      </c>
      <c r="EL13" s="45">
        <v>-5.220063030719757e-12</v>
      </c>
      <c r="EM13" s="45">
        <v>70.03734147386379</v>
      </c>
      <c r="EN13" s="45">
        <v>568.3569397542186</v>
      </c>
      <c r="EO13" s="45">
        <v>1467.8047555854366</v>
      </c>
      <c r="EP13" s="45">
        <v>2015.1913813636484</v>
      </c>
      <c r="EQ13" s="45">
        <v>2783.8130733790076</v>
      </c>
      <c r="ER13" s="45">
        <v>3452.385222558172</v>
      </c>
      <c r="ES13" s="45">
        <v>4479.465630782855</v>
      </c>
      <c r="ET13" s="45">
        <v>4822.626737001372</v>
      </c>
      <c r="EU13" s="45">
        <v>5080.669509422898</v>
      </c>
      <c r="EV13" s="45">
        <v>5273.746598899371</v>
      </c>
      <c r="EW13" s="45">
        <v>5417.822551830352</v>
      </c>
      <c r="EX13" s="45">
        <v>5530.106265675667</v>
      </c>
      <c r="EY13" s="45">
        <v>5621.660873287397</v>
      </c>
      <c r="EZ13" s="45">
        <v>5684.951174118129</v>
      </c>
      <c r="FA13" s="45">
        <v>5644.053931677196</v>
      </c>
      <c r="FB13" s="45">
        <v>5533.7185775037515</v>
      </c>
      <c r="FC13" s="45">
        <v>5383.16224653089</v>
      </c>
      <c r="FD13" s="45">
        <v>5021.170969469249</v>
      </c>
      <c r="FE13" s="45">
        <v>4664.7684282958935</v>
      </c>
      <c r="FF13" s="45">
        <v>4071.123604989439</v>
      </c>
      <c r="FG13" s="45">
        <v>3547.968301729883</v>
      </c>
      <c r="FH13" s="45">
        <v>2529.294747544302</v>
      </c>
      <c r="FI13" s="45">
        <v>1841.732380371836</v>
      </c>
      <c r="FJ13" s="45">
        <v>718.0661238671553</v>
      </c>
      <c r="FK13" s="45">
        <v>5.960464477539062e-14</v>
      </c>
      <c r="FL13" s="46">
        <f>MAX(1,MIN(26,SUMPRODUCT(--($CI13:$DI13&gt;=Pu))))</f>
      </c>
      <c r="FM13" s="47">
        <f>(Pu-INDEX($CI13:$DI13,1,$FL13))/(INDEX($CI13:$DI13,1,$FL13+1)-INDEX($CI13:$DI13,1,$FL13))</f>
      </c>
      <c r="FN13" s="39">
        <f>INDEX($DJ13:$EJ13,1,$FL13)+$FM13*(INDEX($DJ13:$EJ13,1,$FL13+1)-INDEX($DJ13:$EJ13,1,$FL13))</f>
      </c>
      <c r="FO13" s="39">
        <f>INDEX($EK13:$FK13,1,$FL13)+$FM13*(INDEX($EK13:$FK13,1,$FL13+1)-INDEX($EK13:$FK13,1,$FL13))</f>
      </c>
      <c r="FP13" s="39">
        <f>SQRT(FN13^2+FO13^2)</f>
      </c>
      <c r="FQ13" s="20">
        <f>FN14-FN13</f>
      </c>
      <c r="FR13" s="20">
        <f>FO14-FO13</f>
      </c>
      <c r="FS13" s="20">
        <f>FQ13*SIN(RADIANS(theta_L))-FR13*COS(RADIANS(theta_L))</f>
      </c>
      <c r="FT13" s="47">
        <f>IF(FS13=0,"",-(FN13*SIN(RADIANS(theta_L))-FO13*COS(RADIANS(theta_L)))/FS13)</f>
      </c>
      <c r="FU13" s="20">
        <f>IF(FT13="","",(FN13+FT13*FQ13)*COS(RADIANS(theta_L))+(FO13+FT13*FR13)*SIN(RADIANS(theta_L)))</f>
      </c>
      <c r="FV13" s="20">
        <f>IF(OR(FT13="",FT13&lt;0,FT13&gt;1,FU13&lt;0),"",FU13)</f>
      </c>
    </row>
    <row r="14" spans="1:178" x14ac:dyDescent="0.25">
      <c r="A14">
        <v>7</v>
      </c>
      <c r="B14" s="44">
        <v>59.99999999999999</v>
      </c>
      <c r="C14" s="18">
        <v>849.5190528383291</v>
      </c>
      <c r="D14" s="18">
        <v>-738.8972745734183</v>
      </c>
      <c r="E14" s="18">
        <v>1588.4163274117473</v>
      </c>
      <c r="F14" s="16">
        <v>0.0033</v>
      </c>
      <c r="G14" s="16">
        <v>0</v>
      </c>
      <c r="H14" s="16">
        <v>0</v>
      </c>
      <c r="I14" s="16">
        <v>0.00275</v>
      </c>
      <c r="J14" s="16">
        <v>3.237125748753924e-7</v>
      </c>
      <c r="K14" s="16">
        <v>5.606866267331239e-7</v>
      </c>
      <c r="L14" s="16">
        <v>0.0024749999999999998</v>
      </c>
      <c r="M14" s="16">
        <v>4.855688623130887e-7</v>
      </c>
      <c r="N14" s="16">
        <v>8.41029940099686e-7</v>
      </c>
      <c r="O14" s="16">
        <v>0.0021999999999999997</v>
      </c>
      <c r="P14" s="16">
        <v>6.474251497507848e-7</v>
      </c>
      <c r="Q14" s="16">
        <v>0.0000011213732534662478</v>
      </c>
      <c r="R14" s="16">
        <v>0.001925</v>
      </c>
      <c r="S14" s="16">
        <v>8.092814371884811e-7</v>
      </c>
      <c r="T14" s="16">
        <v>0.0000014017165668328098</v>
      </c>
      <c r="U14" s="16">
        <v>0.0018000000000000002</v>
      </c>
      <c r="V14" s="16">
        <v>8.828524769328883e-7</v>
      </c>
      <c r="W14" s="16">
        <v>0.0000015291453456357924</v>
      </c>
      <c r="X14" s="16">
        <v>0.0016499999999999998</v>
      </c>
      <c r="Y14" s="16">
        <v>9.711377246261773e-7</v>
      </c>
      <c r="Z14" s="16">
        <v>0.000001682059880199372</v>
      </c>
      <c r="AA14" s="16">
        <v>0.0015350893616571412</v>
      </c>
      <c r="AB14" s="16">
        <v>0.0000010387704857507987</v>
      </c>
      <c r="AC14" s="16">
        <v>0.0000017992032587233852</v>
      </c>
      <c r="AD14" s="16">
        <v>0.0012676786588779205</v>
      </c>
      <c r="AE14" s="16">
        <v>0.0000011961599532887984</v>
      </c>
      <c r="AF14" s="16">
        <v>0.000002071809813075413</v>
      </c>
      <c r="AG14" s="16">
        <v>0.00113397330748831</v>
      </c>
      <c r="AH14" s="16">
        <v>0.0000012748546870577983</v>
      </c>
      <c r="AI14" s="16">
        <v>0.0000022081130902514273</v>
      </c>
      <c r="AJ14" s="16">
        <v>0.0010002679560986993</v>
      </c>
      <c r="AK14" s="16">
        <v>0.0000013535494208267981</v>
      </c>
      <c r="AL14" s="16">
        <v>0.0000023444163674274413</v>
      </c>
      <c r="AM14" s="16">
        <v>0.0008665626047090883</v>
      </c>
      <c r="AN14" s="16">
        <v>0.0000014322441545957984</v>
      </c>
      <c r="AO14" s="16">
        <v>0.000002480719644603456</v>
      </c>
      <c r="AP14" s="16">
        <v>0.0007328572533194782</v>
      </c>
      <c r="AQ14" s="16">
        <v>0.0000015109388883647983</v>
      </c>
      <c r="AR14" s="16">
        <v>0.00000261702292177947</v>
      </c>
      <c r="AS14" s="16">
        <v>0.0005991519019298681</v>
      </c>
      <c r="AT14" s="16">
        <v>0.000001589633622133798</v>
      </c>
      <c r="AU14" s="16">
        <v>0.0000027533261989554836</v>
      </c>
      <c r="AV14" s="16">
        <v>0.00046544655054025705</v>
      </c>
      <c r="AW14" s="16">
        <v>0.000001668328355902798</v>
      </c>
      <c r="AX14" s="16">
        <v>0.0000028896294761314977</v>
      </c>
      <c r="AY14" s="16">
        <v>0.00019803584776103634</v>
      </c>
      <c r="AZ14" s="16">
        <v>0.0000018257178234407975</v>
      </c>
      <c r="BA14" s="16">
        <v>0.0000031622360304835254</v>
      </c>
      <c r="BB14" s="16">
        <v>-0.00006937485501818481</v>
      </c>
      <c r="BC14" s="16">
        <v>0.0000019831072909787975</v>
      </c>
      <c r="BD14" s="16">
        <v>0.000003434842584835554</v>
      </c>
      <c r="BE14" s="16">
        <v>-0.00033678555779740596</v>
      </c>
      <c r="BF14" s="16">
        <v>0.0000021404967585167972</v>
      </c>
      <c r="BG14" s="16">
        <v>0.0000037074491391875817</v>
      </c>
      <c r="BH14" s="16">
        <v>-0.0006041962605766267</v>
      </c>
      <c r="BI14" s="16">
        <v>0.000002297886226054797</v>
      </c>
      <c r="BJ14" s="16">
        <v>0.0000039800556935396095</v>
      </c>
      <c r="BK14" s="16">
        <v>-0.001139017666135069</v>
      </c>
      <c r="BL14" s="16">
        <v>0.0000026126651611307964</v>
      </c>
      <c r="BM14" s="16">
        <v>0.000004525268802243666</v>
      </c>
      <c r="BN14" s="16">
        <v>-0.0016738390716935104</v>
      </c>
      <c r="BO14" s="16">
        <v>0.0000029274440962067963</v>
      </c>
      <c r="BP14" s="16">
        <v>0.000005070481910947722</v>
      </c>
      <c r="BQ14" s="16">
        <v>-0.002743481882810395</v>
      </c>
      <c r="BR14" s="16">
        <v>0.0000035570019663587957</v>
      </c>
      <c r="BS14" s="16">
        <v>0.000006160908128355835</v>
      </c>
      <c r="BT14" s="16">
        <v>-0.0038131246939272787</v>
      </c>
      <c r="BU14" s="16">
        <v>0.000004186559836510794</v>
      </c>
      <c r="BV14" s="16">
        <v>0.000007251334345763946</v>
      </c>
      <c r="BW14" s="16">
        <v>-0.00648723172171949</v>
      </c>
      <c r="BX14" s="16">
        <v>0.000005760454511890793</v>
      </c>
      <c r="BY14" s="16">
        <v>0.000009977399889284227</v>
      </c>
      <c r="BZ14" s="16">
        <v>-0.0091613387495117</v>
      </c>
      <c r="CA14" s="16">
        <v>0.000007334349187270791</v>
      </c>
      <c r="CB14" s="16">
        <v>0.000012703465432804509</v>
      </c>
      <c r="CC14" s="16">
        <v>-0.01985776686068054</v>
      </c>
      <c r="CD14" s="16">
        <v>0.000013629927888790782</v>
      </c>
      <c r="CE14" s="16">
        <v>0.00002360772760688563</v>
      </c>
      <c r="CF14" s="16">
        <v>-0.05</v>
      </c>
      <c r="CG14" s="16">
        <v>0</v>
      </c>
      <c r="CH14" s="16">
        <v>0</v>
      </c>
      <c r="CI14" s="45">
        <v>33981.43387592912</v>
      </c>
      <c r="CJ14" s="45">
        <v>33981.43387592912</v>
      </c>
      <c r="CK14" s="45">
        <v>33858.008926913506</v>
      </c>
      <c r="CL14" s="45">
        <v>32881.28527068503</v>
      </c>
      <c r="CM14" s="45">
        <v>30862.420778163585</v>
      </c>
      <c r="CN14" s="45">
        <v>29545.977401892065</v>
      </c>
      <c r="CO14" s="45">
        <v>27609.648492070977</v>
      </c>
      <c r="CP14" s="45">
        <v>25940.546929557837</v>
      </c>
      <c r="CQ14" s="45">
        <v>22365.056293892365</v>
      </c>
      <c r="CR14" s="45">
        <v>20781.35896864792</v>
      </c>
      <c r="CS14" s="45">
        <v>19282.099301619695</v>
      </c>
      <c r="CT14" s="45">
        <v>17834.011315777818</v>
      </c>
      <c r="CU14" s="45">
        <v>16419.912862858284</v>
      </c>
      <c r="CV14" s="45">
        <v>15049.593801230054</v>
      </c>
      <c r="CW14" s="45">
        <v>13726.14402666004</v>
      </c>
      <c r="CX14" s="45">
        <v>11427.235734381187</v>
      </c>
      <c r="CY14" s="45">
        <v>9630.539386630138</v>
      </c>
      <c r="CZ14" s="45">
        <v>8260.278473405078</v>
      </c>
      <c r="DA14" s="45">
        <v>7167.348146760594</v>
      </c>
      <c r="DB14" s="45">
        <v>5508.747972884244</v>
      </c>
      <c r="DC14" s="45">
        <v>4245.448163779906</v>
      </c>
      <c r="DD14" s="45">
        <v>2368.9259532496335</v>
      </c>
      <c r="DE14" s="45">
        <v>1058.986334659224</v>
      </c>
      <c r="DF14" s="45">
        <v>-1196.8281060371623</v>
      </c>
      <c r="DG14" s="45">
        <v>-2637.701608428711</v>
      </c>
      <c r="DH14" s="45">
        <v>-4794.143648381746</v>
      </c>
      <c r="DI14" s="45">
        <v>-5790.583579096708</v>
      </c>
      <c r="DJ14" s="45">
        <v>6.55418261885643e-13</v>
      </c>
      <c r="DK14" s="45">
        <v>6.55418261885643e-13</v>
      </c>
      <c r="DL14" s="45">
        <v>35.78973637903496</v>
      </c>
      <c r="DM14" s="45">
        <v>269.47170084239775</v>
      </c>
      <c r="DN14" s="45">
        <v>712.7729967400338</v>
      </c>
      <c r="DO14" s="45">
        <v>981.7415451907975</v>
      </c>
      <c r="DP14" s="45">
        <v>1356.4043955543561</v>
      </c>
      <c r="DQ14" s="45">
        <v>1654.9809739342713</v>
      </c>
      <c r="DR14" s="45">
        <v>2065.6607176110756</v>
      </c>
      <c r="DS14" s="45">
        <v>2183.3081142494766</v>
      </c>
      <c r="DT14" s="45">
        <v>2293.7415307423275</v>
      </c>
      <c r="DU14" s="45">
        <v>2396.773797924037</v>
      </c>
      <c r="DV14" s="45">
        <v>2487.291764485568</v>
      </c>
      <c r="DW14" s="45">
        <v>2560.629386289851</v>
      </c>
      <c r="DX14" s="45">
        <v>2613.1907890263437</v>
      </c>
      <c r="DY14" s="45">
        <v>2638.0852053712997</v>
      </c>
      <c r="DZ14" s="45">
        <v>2568.336069400564</v>
      </c>
      <c r="EA14" s="45">
        <v>2490.6715883932734</v>
      </c>
      <c r="EB14" s="45">
        <v>2425.327025164202</v>
      </c>
      <c r="EC14" s="45">
        <v>2293.6033831874665</v>
      </c>
      <c r="ED14" s="45">
        <v>2174.928578914172</v>
      </c>
      <c r="EE14" s="45">
        <v>1970.1160644894323</v>
      </c>
      <c r="EF14" s="45">
        <v>1771.8188658267422</v>
      </c>
      <c r="EG14" s="45">
        <v>1356.7755011088157</v>
      </c>
      <c r="EH14" s="45">
        <v>1030.1210905064202</v>
      </c>
      <c r="EI14" s="45">
        <v>370.7077571339184</v>
      </c>
      <c r="EJ14" s="45">
        <v>0</v>
      </c>
      <c r="EK14" s="45">
        <v>-5.220063030719757e-12</v>
      </c>
      <c r="EL14" s="45">
        <v>-5.220063030719757e-12</v>
      </c>
      <c r="EM14" s="45">
        <v>76.68525933694781</v>
      </c>
      <c r="EN14" s="45">
        <v>617.9471514372192</v>
      </c>
      <c r="EO14" s="45">
        <v>1613.8491636516997</v>
      </c>
      <c r="EP14" s="45">
        <v>2216.7307548428057</v>
      </c>
      <c r="EQ14" s="45">
        <v>3062.6441574832743</v>
      </c>
      <c r="ER14" s="45">
        <v>3756.767842390123</v>
      </c>
      <c r="ES14" s="45">
        <v>4955.668609924965</v>
      </c>
      <c r="ET14" s="45">
        <v>5339.286265361528</v>
      </c>
      <c r="EU14" s="45">
        <v>5622.895415514314</v>
      </c>
      <c r="EV14" s="45">
        <v>5840.732374923039</v>
      </c>
      <c r="EW14" s="45">
        <v>6015.640819147438</v>
      </c>
      <c r="EX14" s="45">
        <v>6156.303451561607</v>
      </c>
      <c r="EY14" s="45">
        <v>6261.0453900840885</v>
      </c>
      <c r="EZ14" s="45">
        <v>6339.790254261059</v>
      </c>
      <c r="FA14" s="45">
        <v>6292.813226473766</v>
      </c>
      <c r="FB14" s="45">
        <v>6161.870024451688</v>
      </c>
      <c r="FC14" s="45">
        <v>5982.638792869891</v>
      </c>
      <c r="FD14" s="45">
        <v>5625.969198198719</v>
      </c>
      <c r="FE14" s="45">
        <v>5274.7791402349985</v>
      </c>
      <c r="FF14" s="45">
        <v>4562.167788043867</v>
      </c>
      <c r="FG14" s="45">
        <v>3949.8309751312704</v>
      </c>
      <c r="FH14" s="45">
        <v>2781.508261019259</v>
      </c>
      <c r="FI14" s="45">
        <v>1966.7823008591577</v>
      </c>
      <c r="FJ14" s="45">
        <v>668.639815825191</v>
      </c>
      <c r="FK14" s="45">
        <v>5.960464477539062e-14</v>
      </c>
      <c r="FL14" s="46">
        <f>MAX(1,MIN(26,SUMPRODUCT(--($CI14:$DI14&gt;=Pu))))</f>
      </c>
      <c r="FM14" s="47">
        <f>(Pu-INDEX($CI14:$DI14,1,$FL14))/(INDEX($CI14:$DI14,1,$FL14+1)-INDEX($CI14:$DI14,1,$FL14))</f>
      </c>
      <c r="FN14" s="39">
        <f>INDEX($DJ14:$EJ14,1,$FL14)+$FM14*(INDEX($DJ14:$EJ14,1,$FL14+1)-INDEX($DJ14:$EJ14,1,$FL14))</f>
      </c>
      <c r="FO14" s="39">
        <f>INDEX($EK14:$FK14,1,$FL14)+$FM14*(INDEX($EK14:$FK14,1,$FL14+1)-INDEX($EK14:$FK14,1,$FL14))</f>
      </c>
      <c r="FP14" s="39">
        <f>SQRT(FN14^2+FO14^2)</f>
      </c>
      <c r="FQ14" s="20">
        <f>FN15-FN14</f>
      </c>
      <c r="FR14" s="20">
        <f>FO15-FO14</f>
      </c>
      <c r="FS14" s="20">
        <f>FQ14*SIN(RADIANS(theta_L))-FR14*COS(RADIANS(theta_L))</f>
      </c>
      <c r="FT14" s="47">
        <f>IF(FS14=0,"",-(FN14*SIN(RADIANS(theta_L))-FO14*COS(RADIANS(theta_L)))/FS14)</f>
      </c>
      <c r="FU14" s="20">
        <f>IF(FT14="","",(FN14+FT14*FQ14)*COS(RADIANS(theta_L))+(FO14+FT14*FR14)*SIN(RADIANS(theta_L)))</f>
      </c>
      <c r="FV14" s="20">
        <f>IF(OR(FT14="",FT14&lt;0,FT14&gt;1,FU14&lt;0),"",FU14)</f>
      </c>
    </row>
    <row r="15" spans="1:178" x14ac:dyDescent="0.25">
      <c r="A15">
        <v>8</v>
      </c>
      <c r="B15" s="44">
        <v>70</v>
      </c>
      <c r="C15" s="18">
        <v>841.5775229196987</v>
      </c>
      <c r="D15" s="18">
        <v>-741.5970251321183</v>
      </c>
      <c r="E15" s="18">
        <v>1583.174548051817</v>
      </c>
      <c r="F15" s="16">
        <v>0.0033</v>
      </c>
      <c r="G15" s="16">
        <v>0</v>
      </c>
      <c r="H15" s="16">
        <v>0</v>
      </c>
      <c r="I15" s="16">
        <v>0.00275</v>
      </c>
      <c r="J15" s="16">
        <v>2.2352198544526355e-7</v>
      </c>
      <c r="K15" s="16">
        <v>6.141216077625262e-7</v>
      </c>
      <c r="L15" s="16">
        <v>0.0024749999999999998</v>
      </c>
      <c r="M15" s="16">
        <v>3.352829781678953e-7</v>
      </c>
      <c r="N15" s="16">
        <v>9.211824116437892e-7</v>
      </c>
      <c r="O15" s="16">
        <v>0.0021999999999999997</v>
      </c>
      <c r="P15" s="16">
        <v>4.470439708905271e-7</v>
      </c>
      <c r="Q15" s="16">
        <v>0.0000012282432155250523</v>
      </c>
      <c r="R15" s="16">
        <v>0.001925</v>
      </c>
      <c r="S15" s="16">
        <v>5.58804963613159e-7</v>
      </c>
      <c r="T15" s="16">
        <v>0.0000015353040194063154</v>
      </c>
      <c r="U15" s="16">
        <v>0.0018000000000000002</v>
      </c>
      <c r="V15" s="16">
        <v>6.096054148507187e-7</v>
      </c>
      <c r="W15" s="16">
        <v>0.0000016748771120796167</v>
      </c>
      <c r="X15" s="16">
        <v>0.00165</v>
      </c>
      <c r="Y15" s="16">
        <v>6.705659563357906e-7</v>
      </c>
      <c r="Z15" s="16">
        <v>0.0000018423648232875784</v>
      </c>
      <c r="AA15" s="16">
        <v>0.0015457993472340055</v>
      </c>
      <c r="AB15" s="16">
        <v>7.129134777738772e-7</v>
      </c>
      <c r="AC15" s="16">
        <v>0.0000019587136822085915</v>
      </c>
      <c r="AD15" s="16">
        <v>0.0012800113695421883</v>
      </c>
      <c r="AE15" s="16">
        <v>8.209306713759797e-7</v>
      </c>
      <c r="AF15" s="16">
        <v>0.0000022554884825432266</v>
      </c>
      <c r="AG15" s="16">
        <v>0.0011471173806962796</v>
      </c>
      <c r="AH15" s="16">
        <v>8.749392681770311e-7</v>
      </c>
      <c r="AI15" s="16">
        <v>0.000002403875882710544</v>
      </c>
      <c r="AJ15" s="16">
        <v>0.0010142233918503706</v>
      </c>
      <c r="AK15" s="16">
        <v>9.289478649780824e-7</v>
      </c>
      <c r="AL15" s="16">
        <v>0.000002552263282877862</v>
      </c>
      <c r="AM15" s="16">
        <v>0.000881329403004462</v>
      </c>
      <c r="AN15" s="16">
        <v>9.829564617791338e-7</v>
      </c>
      <c r="AO15" s="16">
        <v>0.0000027006506830451796</v>
      </c>
      <c r="AP15" s="16">
        <v>0.0007484354141585529</v>
      </c>
      <c r="AQ15" s="16">
        <v>0.000001036965058580185</v>
      </c>
      <c r="AR15" s="16">
        <v>0.000002849038083212497</v>
      </c>
      <c r="AS15" s="16">
        <v>0.0006155414253126452</v>
      </c>
      <c r="AT15" s="16">
        <v>0.0000010909736553812362</v>
      </c>
      <c r="AU15" s="16">
        <v>0.0000029974254833798143</v>
      </c>
      <c r="AV15" s="16">
        <v>0.00048264743646673613</v>
      </c>
      <c r="AW15" s="16">
        <v>0.0000011449822521822875</v>
      </c>
      <c r="AX15" s="16">
        <v>0.000003145812883547132</v>
      </c>
      <c r="AY15" s="16">
        <v>0.0002168594587749189</v>
      </c>
      <c r="AZ15" s="16">
        <v>0.00000125299944578439</v>
      </c>
      <c r="BA15" s="16">
        <v>0.000003442587683881767</v>
      </c>
      <c r="BB15" s="16">
        <v>-0.00004892851891689833</v>
      </c>
      <c r="BC15" s="16">
        <v>0.0000013610166393864927</v>
      </c>
      <c r="BD15" s="16">
        <v>0.000003739362484216402</v>
      </c>
      <c r="BE15" s="16">
        <v>-0.000314716496608716</v>
      </c>
      <c r="BF15" s="16">
        <v>0.0000014690338329885954</v>
      </c>
      <c r="BG15" s="16">
        <v>0.000004036137284551038</v>
      </c>
      <c r="BH15" s="16">
        <v>-0.0005805044743005328</v>
      </c>
      <c r="BI15" s="16">
        <v>0.0000015770510265906978</v>
      </c>
      <c r="BJ15" s="16">
        <v>0.000004332912084885672</v>
      </c>
      <c r="BK15" s="16">
        <v>-0.0011120804296841681</v>
      </c>
      <c r="BL15" s="16">
        <v>0.0000017930854137949033</v>
      </c>
      <c r="BM15" s="16">
        <v>0.000004926461685554943</v>
      </c>
      <c r="BN15" s="16">
        <v>-0.0016436563850678017</v>
      </c>
      <c r="BO15" s="16">
        <v>0.000002009119800999108</v>
      </c>
      <c r="BP15" s="16">
        <v>0.000005520011286224212</v>
      </c>
      <c r="BQ15" s="16">
        <v>-0.0027068082958350724</v>
      </c>
      <c r="BR15" s="16">
        <v>0.0000024411885754075188</v>
      </c>
      <c r="BS15" s="16">
        <v>0.000006707110487562754</v>
      </c>
      <c r="BT15" s="16">
        <v>-0.0037699602066023413</v>
      </c>
      <c r="BU15" s="16">
        <v>0.0000028732573498159293</v>
      </c>
      <c r="BV15" s="16">
        <v>0.000007894209688901294</v>
      </c>
      <c r="BW15" s="16">
        <v>-0.006427839983520515</v>
      </c>
      <c r="BX15" s="16">
        <v>0.000003953429285836955</v>
      </c>
      <c r="BY15" s="16">
        <v>0.000010861957692247645</v>
      </c>
      <c r="BZ15" s="16">
        <v>-0.009085719760438687</v>
      </c>
      <c r="CA15" s="16">
        <v>0.000005033601221857981</v>
      </c>
      <c r="CB15" s="16">
        <v>0.000013829705695593996</v>
      </c>
      <c r="CC15" s="16">
        <v>-0.01971723886811138</v>
      </c>
      <c r="CD15" s="16">
        <v>0.000009354288965942085</v>
      </c>
      <c r="CE15" s="16">
        <v>0.0000257006977089794</v>
      </c>
      <c r="CF15" s="16">
        <v>-0.05</v>
      </c>
      <c r="CG15" s="16">
        <v>0</v>
      </c>
      <c r="CH15" s="16">
        <v>0</v>
      </c>
      <c r="CI15" s="45">
        <v>33981.43387592912</v>
      </c>
      <c r="CJ15" s="45">
        <v>33981.43387592912</v>
      </c>
      <c r="CK15" s="45">
        <v>33836.34804643079</v>
      </c>
      <c r="CL15" s="45">
        <v>32825.41073445812</v>
      </c>
      <c r="CM15" s="45">
        <v>30736.23781218096</v>
      </c>
      <c r="CN15" s="45">
        <v>29379.98691898861</v>
      </c>
      <c r="CO15" s="45">
        <v>27414.14035528285</v>
      </c>
      <c r="CP15" s="45">
        <v>25849.92906629291</v>
      </c>
      <c r="CQ15" s="45">
        <v>22255.619125350004</v>
      </c>
      <c r="CR15" s="45">
        <v>20764.4016754925</v>
      </c>
      <c r="CS15" s="45">
        <v>19344.177995447084</v>
      </c>
      <c r="CT15" s="45">
        <v>17934.406157313293</v>
      </c>
      <c r="CU15" s="45">
        <v>16541.518850913104</v>
      </c>
      <c r="CV15" s="45">
        <v>15174.686948705463</v>
      </c>
      <c r="CW15" s="45">
        <v>13848.349619090231</v>
      </c>
      <c r="CX15" s="45">
        <v>11528.004317238358</v>
      </c>
      <c r="CY15" s="45">
        <v>9770.70396721421</v>
      </c>
      <c r="CZ15" s="45">
        <v>8448.539549933796</v>
      </c>
      <c r="DA15" s="45">
        <v>7424.225954141329</v>
      </c>
      <c r="DB15" s="45">
        <v>5858.7897272436885</v>
      </c>
      <c r="DC15" s="45">
        <v>4737.414659634635</v>
      </c>
      <c r="DD15" s="45">
        <v>3042.1507553788774</v>
      </c>
      <c r="DE15" s="45">
        <v>1690.3730062034726</v>
      </c>
      <c r="DF15" s="45">
        <v>-654.457682446253</v>
      </c>
      <c r="DG15" s="45">
        <v>-2196.6426200522883</v>
      </c>
      <c r="DH15" s="45">
        <v>-4678.162413345976</v>
      </c>
      <c r="DI15" s="45">
        <v>-5790.583579096708</v>
      </c>
      <c r="DJ15" s="45">
        <v>6.55418261885643e-13</v>
      </c>
      <c r="DK15" s="45">
        <v>6.55418261885643e-13</v>
      </c>
      <c r="DL15" s="45">
        <v>27.19737474406521</v>
      </c>
      <c r="DM15" s="45">
        <v>198.56493352020783</v>
      </c>
      <c r="DN15" s="45">
        <v>507.06669233175256</v>
      </c>
      <c r="DO15" s="45">
        <v>693.2985261889228</v>
      </c>
      <c r="DP15" s="45">
        <v>953.4930739231036</v>
      </c>
      <c r="DQ15" s="45">
        <v>1138.5017574635615</v>
      </c>
      <c r="DR15" s="45">
        <v>1371.395385952342</v>
      </c>
      <c r="DS15" s="45">
        <v>1436.7963594803432</v>
      </c>
      <c r="DT15" s="45">
        <v>1504.75807543784</v>
      </c>
      <c r="DU15" s="45">
        <v>1570.4274796556629</v>
      </c>
      <c r="DV15" s="45">
        <v>1632.5943124053829</v>
      </c>
      <c r="DW15" s="45">
        <v>1686.8836695574437</v>
      </c>
      <c r="DX15" s="45">
        <v>1726.4785090368864</v>
      </c>
      <c r="DY15" s="45">
        <v>1733.5288739597515</v>
      </c>
      <c r="DZ15" s="45">
        <v>1701.4292899679006</v>
      </c>
      <c r="EA15" s="45">
        <v>1659.41768165265</v>
      </c>
      <c r="EB15" s="45">
        <v>1603.7739535741578</v>
      </c>
      <c r="EC15" s="45">
        <v>1516.9745826044277</v>
      </c>
      <c r="ED15" s="45">
        <v>1467.9492960438572</v>
      </c>
      <c r="EE15" s="45">
        <v>1402.6339641960978</v>
      </c>
      <c r="EF15" s="45">
        <v>1328.8119834969286</v>
      </c>
      <c r="EG15" s="45">
        <v>1065.030333228197</v>
      </c>
      <c r="EH15" s="45">
        <v>843.8934420595334</v>
      </c>
      <c r="EI15" s="45">
        <v>345.9890205099358</v>
      </c>
      <c r="EJ15" s="45">
        <v>0</v>
      </c>
      <c r="EK15" s="45">
        <v>-5.220063030719757e-12</v>
      </c>
      <c r="EL15" s="45">
        <v>-5.220063030719757e-12</v>
      </c>
      <c r="EM15" s="45">
        <v>94.3381126276373</v>
      </c>
      <c r="EN15" s="45">
        <v>686.5205954627518</v>
      </c>
      <c r="EO15" s="45">
        <v>1782.7733200694877</v>
      </c>
      <c r="EP15" s="45">
        <v>2445.2371199646673</v>
      </c>
      <c r="EQ15" s="45">
        <v>3374.8920141652175</v>
      </c>
      <c r="ER15" s="45">
        <v>4072.0022276578943</v>
      </c>
      <c r="ES15" s="45">
        <v>5365.227351448006</v>
      </c>
      <c r="ET15" s="45">
        <v>5730.395634446339</v>
      </c>
      <c r="EU15" s="45">
        <v>6005.804850623931</v>
      </c>
      <c r="EV15" s="45">
        <v>6227.485252652085</v>
      </c>
      <c r="EW15" s="45">
        <v>6408.5008469370705</v>
      </c>
      <c r="EX15" s="45">
        <v>6558.168904543588</v>
      </c>
      <c r="EY15" s="45">
        <v>6683.305584915304</v>
      </c>
      <c r="EZ15" s="45">
        <v>6791.531256765541</v>
      </c>
      <c r="FA15" s="45">
        <v>6731.608852784827</v>
      </c>
      <c r="FB15" s="45">
        <v>6610.312079585384</v>
      </c>
      <c r="FC15" s="45">
        <v>6467.808582064206</v>
      </c>
      <c r="FD15" s="45">
        <v>6165.601153452135</v>
      </c>
      <c r="FE15" s="45">
        <v>5830.997539309641</v>
      </c>
      <c r="FF15" s="45">
        <v>5179.519497675735</v>
      </c>
      <c r="FG15" s="45">
        <v>4552.8161984944</v>
      </c>
      <c r="FH15" s="45">
        <v>3271.1702599225646</v>
      </c>
      <c r="FI15" s="45">
        <v>2341.561199356002</v>
      </c>
      <c r="FJ15" s="45">
        <v>764.1509477946122</v>
      </c>
      <c r="FK15" s="45">
        <v>5.960464477539062e-14</v>
      </c>
      <c r="FL15" s="46">
        <f>MAX(1,MIN(26,SUMPRODUCT(--($CI15:$DI15&gt;=Pu))))</f>
      </c>
      <c r="FM15" s="47">
        <f>(Pu-INDEX($CI15:$DI15,1,$FL15))/(INDEX($CI15:$DI15,1,$FL15+1)-INDEX($CI15:$DI15,1,$FL15))</f>
      </c>
      <c r="FN15" s="39">
        <f>INDEX($DJ15:$EJ15,1,$FL15)+$FM15*(INDEX($DJ15:$EJ15,1,$FL15+1)-INDEX($DJ15:$EJ15,1,$FL15))</f>
      </c>
      <c r="FO15" s="39">
        <f>INDEX($EK15:$FK15,1,$FL15)+$FM15*(INDEX($EK15:$FK15,1,$FL15+1)-INDEX($EK15:$FK15,1,$FL15))</f>
      </c>
      <c r="FP15" s="39">
        <f>SQRT(FN15^2+FO15^2)</f>
      </c>
      <c r="FQ15" s="20">
        <f>FN16-FN15</f>
      </c>
      <c r="FR15" s="20">
        <f>FO16-FO15</f>
      </c>
      <c r="FS15" s="20">
        <f>FQ15*SIN(RADIANS(theta_L))-FR15*COS(RADIANS(theta_L))</f>
      </c>
      <c r="FT15" s="47">
        <f>IF(FS15=0,"",-(FN15*SIN(RADIANS(theta_L))-FO15*COS(RADIANS(theta_L)))/FS15)</f>
      </c>
      <c r="FU15" s="20">
        <f>IF(FT15="","",(FN15+FT15*FQ15)*COS(RADIANS(theta_L))+(FO15+FT15*FR15)*SIN(RADIANS(theta_L)))</f>
      </c>
      <c r="FV15" s="20">
        <f>IF(OR(FT15="",FT15&lt;0,FT15&gt;1,FU15&lt;0),"",FU15)</f>
      </c>
    </row>
    <row r="16" spans="1:178" x14ac:dyDescent="0.25">
      <c r="A16">
        <v>9</v>
      </c>
      <c r="B16" s="44">
        <v>80</v>
      </c>
      <c r="C16" s="18">
        <v>808.0650858259282</v>
      </c>
      <c r="D16" s="18">
        <v>-721.7637253483806</v>
      </c>
      <c r="E16" s="18">
        <v>1529.8288111743088</v>
      </c>
      <c r="F16" s="16">
        <v>0.0033</v>
      </c>
      <c r="G16" s="16">
        <v>0</v>
      </c>
      <c r="H16" s="16">
        <v>0</v>
      </c>
      <c r="I16" s="16">
        <v>0.00275</v>
      </c>
      <c r="J16" s="16">
        <v>1.1819159049446365e-7</v>
      </c>
      <c r="K16" s="16">
        <v>6.702978184029527e-7</v>
      </c>
      <c r="L16" s="16">
        <v>0.0024749999999999998</v>
      </c>
      <c r="M16" s="16">
        <v>1.772873857416955e-7</v>
      </c>
      <c r="N16" s="16">
        <v>0.000001005446727604429</v>
      </c>
      <c r="O16" s="16">
        <v>0.0021999999999999997</v>
      </c>
      <c r="P16" s="16">
        <v>2.363831809889273e-7</v>
      </c>
      <c r="Q16" s="16">
        <v>0.0000013405956368059054</v>
      </c>
      <c r="R16" s="16">
        <v>0.001925</v>
      </c>
      <c r="S16" s="16">
        <v>2.954789762361591e-7</v>
      </c>
      <c r="T16" s="16">
        <v>0.0000016757445460073818</v>
      </c>
      <c r="U16" s="16">
        <v>0.0018</v>
      </c>
      <c r="V16" s="16">
        <v>3.223407013485372e-7</v>
      </c>
      <c r="W16" s="16">
        <v>0.0000018280849592807799</v>
      </c>
      <c r="X16" s="16">
        <v>0.0016499999999999998</v>
      </c>
      <c r="Y16" s="16">
        <v>3.54574771483391e-7</v>
      </c>
      <c r="Z16" s="16">
        <v>0.000002010893455208858</v>
      </c>
      <c r="AA16" s="16">
        <v>0.001556919490764036</v>
      </c>
      <c r="AB16" s="16">
        <v>3.74577195902724e-7</v>
      </c>
      <c r="AC16" s="16">
        <v>0.000002124332841166499</v>
      </c>
      <c r="AD16" s="16">
        <v>0.0012928163833040417</v>
      </c>
      <c r="AE16" s="16">
        <v>4.313313164940458e-7</v>
      </c>
      <c r="AF16" s="16">
        <v>0.0000024462014534644528</v>
      </c>
      <c r="AG16" s="16">
        <v>0.0011607648295740448</v>
      </c>
      <c r="AH16" s="16">
        <v>4.597083767897067e-7</v>
      </c>
      <c r="AI16" s="16">
        <v>0.00000260713575961343</v>
      </c>
      <c r="AJ16" s="16">
        <v>0.0010287132758440474</v>
      </c>
      <c r="AK16" s="16">
        <v>4.880854370853675e-7</v>
      </c>
      <c r="AL16" s="16">
        <v>0.000002768070065762407</v>
      </c>
      <c r="AM16" s="16">
        <v>0.00089666172211405</v>
      </c>
      <c r="AN16" s="16">
        <v>5.164624973810285e-7</v>
      </c>
      <c r="AO16" s="16">
        <v>0.0000029290043719113847</v>
      </c>
      <c r="AP16" s="16">
        <v>0.0007646101683840526</v>
      </c>
      <c r="AQ16" s="16">
        <v>5.448395576766894e-7</v>
      </c>
      <c r="AR16" s="16">
        <v>0.000003089938678060362</v>
      </c>
      <c r="AS16" s="16">
        <v>0.0006325586146540556</v>
      </c>
      <c r="AT16" s="16">
        <v>5.732166179723503e-7</v>
      </c>
      <c r="AU16" s="16">
        <v>0.000003250872984209339</v>
      </c>
      <c r="AV16" s="16">
        <v>0.0005005070609240582</v>
      </c>
      <c r="AW16" s="16">
        <v>6.015936782680112e-7</v>
      </c>
      <c r="AX16" s="16">
        <v>0.000003411807290358316</v>
      </c>
      <c r="AY16" s="16">
        <v>0.00023640395346406383</v>
      </c>
      <c r="AZ16" s="16">
        <v>6.58347798859333e-7</v>
      </c>
      <c r="BA16" s="16">
        <v>0.00000373367590265627</v>
      </c>
      <c r="BB16" s="16">
        <v>-0.000027699153995930977</v>
      </c>
      <c r="BC16" s="16">
        <v>7.151019194506548e-7</v>
      </c>
      <c r="BD16" s="16">
        <v>0.000004055544514954225</v>
      </c>
      <c r="BE16" s="16">
        <v>-0.00029180226145592535</v>
      </c>
      <c r="BF16" s="16">
        <v>7.718560400419766e-7</v>
      </c>
      <c r="BG16" s="16">
        <v>0.000004377413127252179</v>
      </c>
      <c r="BH16" s="16">
        <v>-0.0005559053689159197</v>
      </c>
      <c r="BI16" s="16">
        <v>8.286101606332984e-7</v>
      </c>
      <c r="BJ16" s="16">
        <v>0.0000046992817395501335</v>
      </c>
      <c r="BK16" s="16">
        <v>-0.0010841115838359089</v>
      </c>
      <c r="BL16" s="16">
        <v>9.421184018159422e-7</v>
      </c>
      <c r="BM16" s="16">
        <v>0.000005343018964146042</v>
      </c>
      <c r="BN16" s="16">
        <v>-0.0016123177987558968</v>
      </c>
      <c r="BO16" s="16">
        <v>0.0000010556266429985855</v>
      </c>
      <c r="BP16" s="16">
        <v>0.00000598675618874195</v>
      </c>
      <c r="BQ16" s="16">
        <v>-0.002668730228595876</v>
      </c>
      <c r="BR16" s="16">
        <v>0.000001282643125363873</v>
      </c>
      <c r="BS16" s="16">
        <v>0.000007274230637933769</v>
      </c>
      <c r="BT16" s="16">
        <v>-0.0037251426584358534</v>
      </c>
      <c r="BU16" s="16">
        <v>0.00000150965960772916</v>
      </c>
      <c r="BV16" s="16">
        <v>0.000008561705087125585</v>
      </c>
      <c r="BW16" s="16">
        <v>-0.006366173733035799</v>
      </c>
      <c r="BX16" s="16">
        <v>0.0000020772008136423784</v>
      </c>
      <c r="BY16" s="16">
        <v>0.000011780391210105129</v>
      </c>
      <c r="BZ16" s="16">
        <v>-0.009007204807635744</v>
      </c>
      <c r="CA16" s="16">
        <v>0.0000026447420195555964</v>
      </c>
      <c r="CB16" s="16">
        <v>0.000014999077333084674</v>
      </c>
      <c r="CC16" s="16">
        <v>-0.019571329106035523</v>
      </c>
      <c r="CD16" s="16">
        <v>0.000004914906843208469</v>
      </c>
      <c r="CE16" s="16">
        <v>0.000027873821825002845</v>
      </c>
      <c r="CF16" s="16">
        <v>-0.05</v>
      </c>
      <c r="CG16" s="16">
        <v>0</v>
      </c>
      <c r="CH16" s="16">
        <v>0</v>
      </c>
      <c r="CI16" s="45">
        <v>33981.43387592912</v>
      </c>
      <c r="CJ16" s="45">
        <v>33981.43387592912</v>
      </c>
      <c r="CK16" s="45">
        <v>33796.94841348857</v>
      </c>
      <c r="CL16" s="45">
        <v>32693.446059030623</v>
      </c>
      <c r="CM16" s="45">
        <v>30469.955567605244</v>
      </c>
      <c r="CN16" s="45">
        <v>29053.730742253072</v>
      </c>
      <c r="CO16" s="45">
        <v>26969.395504306864</v>
      </c>
      <c r="CP16" s="45">
        <v>25522.242089644693</v>
      </c>
      <c r="CQ16" s="45">
        <v>22092.105646373715</v>
      </c>
      <c r="CR16" s="45">
        <v>20700.003289395176</v>
      </c>
      <c r="CS16" s="45">
        <v>19337.524218794773</v>
      </c>
      <c r="CT16" s="45">
        <v>17985.686543835607</v>
      </c>
      <c r="CU16" s="45">
        <v>16631.63447954474</v>
      </c>
      <c r="CV16" s="45">
        <v>15281.373543731224</v>
      </c>
      <c r="CW16" s="45">
        <v>13950.68883106677</v>
      </c>
      <c r="CX16" s="45">
        <v>11713.21683141249</v>
      </c>
      <c r="CY16" s="45">
        <v>9986.02331276656</v>
      </c>
      <c r="CZ16" s="45">
        <v>8652.122643884262</v>
      </c>
      <c r="DA16" s="45">
        <v>7604.876355022803</v>
      </c>
      <c r="DB16" s="45">
        <v>6264.345644254712</v>
      </c>
      <c r="DC16" s="45">
        <v>5275.282130442076</v>
      </c>
      <c r="DD16" s="45">
        <v>3788.7509768730642</v>
      </c>
      <c r="DE16" s="45">
        <v>2713.39222663151</v>
      </c>
      <c r="DF16" s="45">
        <v>525.622545111389</v>
      </c>
      <c r="DG16" s="45">
        <v>-1078.9294487799518</v>
      </c>
      <c r="DH16" s="45">
        <v>-4093.977491613538</v>
      </c>
      <c r="DI16" s="45">
        <v>-5790.583579096708</v>
      </c>
      <c r="DJ16" s="45">
        <v>6.55418261885643e-13</v>
      </c>
      <c r="DK16" s="45">
        <v>6.55418261885643e-13</v>
      </c>
      <c r="DL16" s="45">
        <v>14.815260913190249</v>
      </c>
      <c r="DM16" s="45">
        <v>113.98118785823569</v>
      </c>
      <c r="DN16" s="45">
        <v>279.71030779939485</v>
      </c>
      <c r="DO16" s="45">
        <v>377.30157084538257</v>
      </c>
      <c r="DP16" s="45">
        <v>516.0379815146194</v>
      </c>
      <c r="DQ16" s="45">
        <v>599.5705512431122</v>
      </c>
      <c r="DR16" s="45">
        <v>682.8935642782459</v>
      </c>
      <c r="DS16" s="45">
        <v>707.0322320272536</v>
      </c>
      <c r="DT16" s="45">
        <v>741.5958160197497</v>
      </c>
      <c r="DU16" s="45">
        <v>778.9864484834147</v>
      </c>
      <c r="DV16" s="45">
        <v>815.6719088274408</v>
      </c>
      <c r="DW16" s="45">
        <v>848.2303232864851</v>
      </c>
      <c r="DX16" s="45">
        <v>871.5291100570875</v>
      </c>
      <c r="DY16" s="45">
        <v>869.9380839103744</v>
      </c>
      <c r="DZ16" s="45">
        <v>877.0497884445737</v>
      </c>
      <c r="EA16" s="45">
        <v>839.3456182851356</v>
      </c>
      <c r="EB16" s="45">
        <v>798.3817596328271</v>
      </c>
      <c r="EC16" s="45">
        <v>746.8695485537944</v>
      </c>
      <c r="ED16" s="45">
        <v>729.9893384063647</v>
      </c>
      <c r="EE16" s="45">
        <v>709.6023256468175</v>
      </c>
      <c r="EF16" s="45">
        <v>710.0980456062168</v>
      </c>
      <c r="EG16" s="45">
        <v>656.3827009082911</v>
      </c>
      <c r="EH16" s="45">
        <v>522.3619276176956</v>
      </c>
      <c r="EI16" s="45">
        <v>351.8306751035948</v>
      </c>
      <c r="EJ16" s="45">
        <v>0</v>
      </c>
      <c r="EK16" s="45">
        <v>-5.220063030719757e-12</v>
      </c>
      <c r="EL16" s="45">
        <v>-5.220063030719757e-12</v>
      </c>
      <c r="EM16" s="45">
        <v>123.87275928823291</v>
      </c>
      <c r="EN16" s="45">
        <v>787.0982084074326</v>
      </c>
      <c r="EO16" s="45">
        <v>1996.1560329055503</v>
      </c>
      <c r="EP16" s="45">
        <v>2723.9704070145253</v>
      </c>
      <c r="EQ16" s="45">
        <v>3738.705969147661</v>
      </c>
      <c r="ER16" s="45">
        <v>4416.604224134835</v>
      </c>
      <c r="ES16" s="45">
        <v>5680.071488093091</v>
      </c>
      <c r="ET16" s="45">
        <v>6009.517990539773</v>
      </c>
      <c r="EU16" s="45">
        <v>6269.347736131932</v>
      </c>
      <c r="EV16" s="45">
        <v>6485.9687392218975</v>
      </c>
      <c r="EW16" s="45">
        <v>6672.446168405426</v>
      </c>
      <c r="EX16" s="45">
        <v>6834.2579643767685</v>
      </c>
      <c r="EY16" s="45">
        <v>6974.520951136511</v>
      </c>
      <c r="EZ16" s="45">
        <v>7056.366636600159</v>
      </c>
      <c r="FA16" s="45">
        <v>6993.606911318537</v>
      </c>
      <c r="FB16" s="45">
        <v>6879.460196329958</v>
      </c>
      <c r="FC16" s="45">
        <v>6769.088563661113</v>
      </c>
      <c r="FD16" s="45">
        <v>6513.746159202857</v>
      </c>
      <c r="FE16" s="45">
        <v>6267.446298198744</v>
      </c>
      <c r="FF16" s="45">
        <v>5760.054180607279</v>
      </c>
      <c r="FG16" s="45">
        <v>5273.149844826889</v>
      </c>
      <c r="FH16" s="45">
        <v>4119.673953179303</v>
      </c>
      <c r="FI16" s="45">
        <v>3166.2552001148633</v>
      </c>
      <c r="FJ16" s="45">
        <v>1177.579169071515</v>
      </c>
      <c r="FK16" s="45">
        <v>5.960464477539062e-14</v>
      </c>
      <c r="FL16" s="46">
        <f>MAX(1,MIN(26,SUMPRODUCT(--($CI16:$DI16&gt;=Pu))))</f>
      </c>
      <c r="FM16" s="47">
        <f>(Pu-INDEX($CI16:$DI16,1,$FL16))/(INDEX($CI16:$DI16,1,$FL16+1)-INDEX($CI16:$DI16,1,$FL16))</f>
      </c>
      <c r="FN16" s="39">
        <f>INDEX($DJ16:$EJ16,1,$FL16)+$FM16*(INDEX($DJ16:$EJ16,1,$FL16+1)-INDEX($DJ16:$EJ16,1,$FL16))</f>
      </c>
      <c r="FO16" s="39">
        <f>INDEX($EK16:$FK16,1,$FL16)+$FM16*(INDEX($EK16:$FK16,1,$FL16+1)-INDEX($EK16:$FK16,1,$FL16))</f>
      </c>
      <c r="FP16" s="39">
        <f>SQRT(FN16^2+FO16^2)</f>
      </c>
      <c r="FQ16" s="20">
        <f>FN17-FN16</f>
      </c>
      <c r="FR16" s="20">
        <f>FO17-FO16</f>
      </c>
      <c r="FS16" s="20">
        <f>FQ16*SIN(RADIANS(theta_L))-FR16*COS(RADIANS(theta_L))</f>
      </c>
      <c r="FT16" s="47">
        <f>IF(FS16=0,"",-(FN16*SIN(RADIANS(theta_L))-FO16*COS(RADIANS(theta_L)))/FS16)</f>
      </c>
      <c r="FU16" s="20">
        <f>IF(FT16="","",(FN16+FT16*FQ16)*COS(RADIANS(theta_L))+(FO16+FT16*FR16)*SIN(RADIANS(theta_L)))</f>
      </c>
      <c r="FV16" s="20">
        <f>IF(OR(FT16="",FT16&lt;0,FT16&gt;1,FU16&lt;0),"",FU16)</f>
      </c>
    </row>
    <row r="17" spans="1:178" x14ac:dyDescent="0.25">
      <c r="A17">
        <v>10</v>
      </c>
      <c r="B17" s="44">
        <v>90</v>
      </c>
      <c r="C17" s="18">
        <v>750</v>
      </c>
      <c r="D17" s="18">
        <v>-680</v>
      </c>
      <c r="E17" s="18">
        <v>1430</v>
      </c>
      <c r="F17" s="16">
        <v>0.0033</v>
      </c>
      <c r="G17" s="16">
        <v>0</v>
      </c>
      <c r="H17" s="16">
        <v>0</v>
      </c>
      <c r="I17" s="16">
        <v>0.00275</v>
      </c>
      <c r="J17" s="16">
        <v>4.4903715968736284e-23</v>
      </c>
      <c r="K17" s="16">
        <v>7.333333333333333e-7</v>
      </c>
      <c r="L17" s="16">
        <v>0.0024749999999999998</v>
      </c>
      <c r="M17" s="16">
        <v>6.735557395310443e-23</v>
      </c>
      <c r="N17" s="16">
        <v>0.0000011</v>
      </c>
      <c r="O17" s="16">
        <v>0.0021999999999999997</v>
      </c>
      <c r="P17" s="16">
        <v>8.980743193747257e-23</v>
      </c>
      <c r="Q17" s="16">
        <v>0.0000014666666666666667</v>
      </c>
      <c r="R17" s="16">
        <v>0.001925</v>
      </c>
      <c r="S17" s="16">
        <v>1.122592899218407e-22</v>
      </c>
      <c r="T17" s="16">
        <v>0.0000018333333333333333</v>
      </c>
      <c r="U17" s="16">
        <v>0.0018</v>
      </c>
      <c r="V17" s="16">
        <v>1.2246467991473532e-22</v>
      </c>
      <c r="W17" s="16">
        <v>0.000002</v>
      </c>
      <c r="X17" s="16">
        <v>0.00165</v>
      </c>
      <c r="Y17" s="16">
        <v>1.3471114790620886e-22</v>
      </c>
      <c r="Z17" s="16">
        <v>0.0000022</v>
      </c>
      <c r="AA17" s="16">
        <v>0.0015692307692307692</v>
      </c>
      <c r="AB17" s="16">
        <v>1.4130539990161768e-22</v>
      </c>
      <c r="AC17" s="16">
        <v>0.0000023076923076923077</v>
      </c>
      <c r="AD17" s="16">
        <v>0.001306993006993007</v>
      </c>
      <c r="AE17" s="16">
        <v>1.6271530897762037e-22</v>
      </c>
      <c r="AF17" s="16">
        <v>0.0000026573426573426574</v>
      </c>
      <c r="AG17" s="16">
        <v>0.0011758741258741262</v>
      </c>
      <c r="AH17" s="16">
        <v>1.7342026351562169e-22</v>
      </c>
      <c r="AI17" s="16">
        <v>0.000002832167832167832</v>
      </c>
      <c r="AJ17" s="16">
        <v>0.0010447552447552448</v>
      </c>
      <c r="AK17" s="16">
        <v>1.8412521805362302e-22</v>
      </c>
      <c r="AL17" s="16">
        <v>0.000003006993006993007</v>
      </c>
      <c r="AM17" s="16">
        <v>0.0009136363636363634</v>
      </c>
      <c r="AN17" s="16">
        <v>1.9483017259162438e-22</v>
      </c>
      <c r="AO17" s="16">
        <v>0.000003181818181818182</v>
      </c>
      <c r="AP17" s="16">
        <v>0.0007825174825174821</v>
      </c>
      <c r="AQ17" s="16">
        <v>2.0553512712962574e-22</v>
      </c>
      <c r="AR17" s="16">
        <v>0.000003356643356643357</v>
      </c>
      <c r="AS17" s="16">
        <v>0.0006513986013986016</v>
      </c>
      <c r="AT17" s="16">
        <v>2.1624008166762705e-22</v>
      </c>
      <c r="AU17" s="16">
        <v>0.0000035314685314685315</v>
      </c>
      <c r="AV17" s="16">
        <v>0.0005202797202797202</v>
      </c>
      <c r="AW17" s="16">
        <v>2.269450362056284e-22</v>
      </c>
      <c r="AX17" s="16">
        <v>0.0000037062937062937064</v>
      </c>
      <c r="AY17" s="16">
        <v>0.00025804195804195835</v>
      </c>
      <c r="AZ17" s="16">
        <v>2.4835494528163104e-22</v>
      </c>
      <c r="BA17" s="16">
        <v>0.000004055944055944055</v>
      </c>
      <c r="BB17" s="16">
        <v>-0.000004195804195804374</v>
      </c>
      <c r="BC17" s="16">
        <v>2.6976485435763376e-22</v>
      </c>
      <c r="BD17" s="16">
        <v>0.000004405594405594406</v>
      </c>
      <c r="BE17" s="16">
        <v>-0.00026643356643356667</v>
      </c>
      <c r="BF17" s="16">
        <v>2.911747634336365e-22</v>
      </c>
      <c r="BG17" s="16">
        <v>0.000004755244755244756</v>
      </c>
      <c r="BH17" s="16">
        <v>-0.0005286713286713285</v>
      </c>
      <c r="BI17" s="16">
        <v>3.125846725096391e-22</v>
      </c>
      <c r="BJ17" s="16">
        <v>0.000005104895104895105</v>
      </c>
      <c r="BK17" s="16">
        <v>-0.001053146853146853</v>
      </c>
      <c r="BL17" s="16">
        <v>3.5540449066164445e-22</v>
      </c>
      <c r="BM17" s="16">
        <v>0.000005804195804195804</v>
      </c>
      <c r="BN17" s="16">
        <v>-0.0015776223776223768</v>
      </c>
      <c r="BO17" s="16">
        <v>3.982243088136498e-22</v>
      </c>
      <c r="BP17" s="16">
        <v>0.000006503496503496503</v>
      </c>
      <c r="BQ17" s="16">
        <v>-0.002626573426573427</v>
      </c>
      <c r="BR17" s="16">
        <v>4.838639451176606e-22</v>
      </c>
      <c r="BS17" s="16">
        <v>0.000007902097902097902</v>
      </c>
      <c r="BT17" s="16">
        <v>-0.0036755244755244743</v>
      </c>
      <c r="BU17" s="16">
        <v>5.695035814216712e-22</v>
      </c>
      <c r="BV17" s="16">
        <v>0.0000093006993006993</v>
      </c>
      <c r="BW17" s="16">
        <v>-0.006297902097902098</v>
      </c>
      <c r="BX17" s="16">
        <v>7.836026721816981e-22</v>
      </c>
      <c r="BY17" s="16">
        <v>0.000012797202797202797</v>
      </c>
      <c r="BZ17" s="16">
        <v>-0.008920279720279721</v>
      </c>
      <c r="CA17" s="16">
        <v>9.97701762941725e-22</v>
      </c>
      <c r="CB17" s="16">
        <v>0.000016293706293706295</v>
      </c>
      <c r="CC17" s="16">
        <v>-0.01940979020979021</v>
      </c>
      <c r="CD17" s="16">
        <v>1.854098125981832e-21</v>
      </c>
      <c r="CE17" s="16">
        <v>0.00003027972027972028</v>
      </c>
      <c r="CF17" s="16">
        <v>-0.05</v>
      </c>
      <c r="CG17" s="16">
        <v>0</v>
      </c>
      <c r="CH17" s="16">
        <v>0</v>
      </c>
      <c r="CI17" s="45">
        <v>33981.43387592912</v>
      </c>
      <c r="CJ17" s="45">
        <v>33981.43387592912</v>
      </c>
      <c r="CK17" s="45">
        <v>33730.918345783655</v>
      </c>
      <c r="CL17" s="45">
        <v>32465.04135606111</v>
      </c>
      <c r="CM17" s="45">
        <v>30022.0775888111</v>
      </c>
      <c r="CN17" s="45">
        <v>28470.429513529605</v>
      </c>
      <c r="CO17" s="45">
        <v>26243.4807491744</v>
      </c>
      <c r="CP17" s="45">
        <v>24996.6946488549</v>
      </c>
      <c r="CQ17" s="45">
        <v>21859.873675260937</v>
      </c>
      <c r="CR17" s="45">
        <v>20549.235181546614</v>
      </c>
      <c r="CS17" s="45">
        <v>19257.34528368032</v>
      </c>
      <c r="CT17" s="45">
        <v>17960.88684361845</v>
      </c>
      <c r="CU17" s="45">
        <v>16660.144228338402</v>
      </c>
      <c r="CV17" s="45">
        <v>15357.877064296614</v>
      </c>
      <c r="CW17" s="45">
        <v>14050.571202410852</v>
      </c>
      <c r="CX17" s="45">
        <v>11985.400841663712</v>
      </c>
      <c r="CY17" s="45">
        <v>10315.097752359867</v>
      </c>
      <c r="CZ17" s="45">
        <v>8965.541535624372</v>
      </c>
      <c r="DA17" s="45">
        <v>7963.904131310896</v>
      </c>
      <c r="DB17" s="45">
        <v>6651.61059748359</v>
      </c>
      <c r="DC17" s="45">
        <v>5775.624602046034</v>
      </c>
      <c r="DD17" s="45">
        <v>4498.9668412284345</v>
      </c>
      <c r="DE17" s="45">
        <v>3530.3143006987975</v>
      </c>
      <c r="DF17" s="45">
        <v>1945.3988118058605</v>
      </c>
      <c r="DG17" s="45">
        <v>674.413710760259</v>
      </c>
      <c r="DH17" s="45">
        <v>-1858.5665227544646</v>
      </c>
      <c r="DI17" s="45">
        <v>-5790.583579096708</v>
      </c>
      <c r="DJ17" s="45">
        <v>6.55418261885643e-13</v>
      </c>
      <c r="DK17" s="45">
        <v>6.55418261885643e-13</v>
      </c>
      <c r="DL17" s="45">
        <v>0.00011222892552590929</v>
      </c>
      <c r="DM17" s="45">
        <v>-0.0001381042217577342</v>
      </c>
      <c r="DN17" s="45">
        <v>-0.00021578784555220044</v>
      </c>
      <c r="DO17" s="45">
        <v>0.00014039817786565983</v>
      </c>
      <c r="DP17" s="45">
        <v>0.0011537770876360591</v>
      </c>
      <c r="DQ17" s="45">
        <v>-0.009812315038196975</v>
      </c>
      <c r="DR17" s="45">
        <v>0.0012424812019781676</v>
      </c>
      <c r="DS17" s="45">
        <v>-0.00020636864029453136</v>
      </c>
      <c r="DT17" s="45">
        <v>0.05416357428831025</v>
      </c>
      <c r="DU17" s="45">
        <v>-0.0645688396626322</v>
      </c>
      <c r="DV17" s="45">
        <v>0.016425851074659964</v>
      </c>
      <c r="DW17" s="45">
        <v>-0.06923895250375406</v>
      </c>
      <c r="DX17" s="45">
        <v>-0.0007738427507265006</v>
      </c>
      <c r="DY17" s="45">
        <v>0.0028770378543992994</v>
      </c>
      <c r="DZ17" s="45">
        <v>0.2546113302428105</v>
      </c>
      <c r="EA17" s="45">
        <v>-0.19313882154022552</v>
      </c>
      <c r="EB17" s="45">
        <v>0.14031428690526984</v>
      </c>
      <c r="EC17" s="45">
        <v>0.24954921305241598</v>
      </c>
      <c r="ED17" s="45">
        <v>-0.2022892272097033</v>
      </c>
      <c r="EE17" s="45">
        <v>-0.11688335950552696</v>
      </c>
      <c r="EF17" s="45">
        <v>0.0446924803431991</v>
      </c>
      <c r="EG17" s="45">
        <v>-0.4905368469607087</v>
      </c>
      <c r="EH17" s="45">
        <v>0.048462490699708226</v>
      </c>
      <c r="EI17" s="45">
        <v>0.08246456787968404</v>
      </c>
      <c r="EJ17" s="45">
        <v>0</v>
      </c>
      <c r="EK17" s="45">
        <v>-5.220063030719757e-12</v>
      </c>
      <c r="EL17" s="45">
        <v>-5.220063030719757e-12</v>
      </c>
      <c r="EM17" s="45">
        <v>169.4569257436545</v>
      </c>
      <c r="EN17" s="45">
        <v>931.8347186772166</v>
      </c>
      <c r="EO17" s="45">
        <v>2280.331227265779</v>
      </c>
      <c r="EP17" s="45">
        <v>3085.0979024875514</v>
      </c>
      <c r="EQ17" s="45">
        <v>4208.047328578062</v>
      </c>
      <c r="ER17" s="45">
        <v>4794.5115703832125</v>
      </c>
      <c r="ES17" s="45">
        <v>5873.180220832167</v>
      </c>
      <c r="ET17" s="45">
        <v>6176.961299171682</v>
      </c>
      <c r="EU17" s="45">
        <v>6430.541388868624</v>
      </c>
      <c r="EV17" s="45">
        <v>6651.857021413534</v>
      </c>
      <c r="EW17" s="45">
        <v>6846.5319861405615</v>
      </c>
      <c r="EX17" s="45">
        <v>7019.957576508832</v>
      </c>
      <c r="EY17" s="45">
        <v>7177.124260039108</v>
      </c>
      <c r="EZ17" s="45">
        <v>7186.385290245283</v>
      </c>
      <c r="FA17" s="45">
        <v>7136.0916462236155</v>
      </c>
      <c r="FB17" s="45">
        <v>7044.071002780853</v>
      </c>
      <c r="FC17" s="45">
        <v>6922.062538064366</v>
      </c>
      <c r="FD17" s="45">
        <v>6711.896942577079</v>
      </c>
      <c r="FE17" s="45">
        <v>6501.570596289839</v>
      </c>
      <c r="FF17" s="45">
        <v>6115.040040968902</v>
      </c>
      <c r="FG17" s="45">
        <v>5753.063025049909</v>
      </c>
      <c r="FH17" s="45">
        <v>5001.371693863676</v>
      </c>
      <c r="FI17" s="45">
        <v>4323.340680095894</v>
      </c>
      <c r="FJ17" s="45">
        <v>2719.738269291223</v>
      </c>
      <c r="FK17" s="45">
        <v>5.960464477539062e-14</v>
      </c>
      <c r="FL17" s="46">
        <f>MAX(1,MIN(26,SUMPRODUCT(--($CI17:$DI17&gt;=Pu))))</f>
      </c>
      <c r="FM17" s="47">
        <f>(Pu-INDEX($CI17:$DI17,1,$FL17))/(INDEX($CI17:$DI17,1,$FL17+1)-INDEX($CI17:$DI17,1,$FL17))</f>
      </c>
      <c r="FN17" s="39">
        <f>INDEX($DJ17:$EJ17,1,$FL17)+$FM17*(INDEX($DJ17:$EJ17,1,$FL17+1)-INDEX($DJ17:$EJ17,1,$FL17))</f>
      </c>
      <c r="FO17" s="39">
        <f>INDEX($EK17:$FK17,1,$FL17)+$FM17*(INDEX($EK17:$FK17,1,$FL17+1)-INDEX($EK17:$FK17,1,$FL17))</f>
      </c>
      <c r="FP17" s="39">
        <f>SQRT(FN17^2+FO17^2)</f>
      </c>
      <c r="FQ17" s="20">
        <f>FN18-FN17</f>
      </c>
      <c r="FR17" s="20">
        <f>FO18-FO17</f>
      </c>
      <c r="FS17" s="20">
        <f>FQ17*SIN(RADIANS(theta_L))-FR17*COS(RADIANS(theta_L))</f>
      </c>
      <c r="FT17" s="47">
        <f>IF(FS17=0,"",-(FN17*SIN(RADIANS(theta_L))-FO17*COS(RADIANS(theta_L)))/FS17)</f>
      </c>
      <c r="FU17" s="20">
        <f>IF(FT17="","",(FN17+FT17*FQ17)*COS(RADIANS(theta_L))+(FO17+FT17*FR17)*SIN(RADIANS(theta_L)))</f>
      </c>
      <c r="FV17" s="20">
        <f>IF(OR(FT17="",FT17&lt;0,FT17&gt;1,FU17&lt;0),"",FU17)</f>
      </c>
    </row>
    <row r="18" spans="1:178" x14ac:dyDescent="0.25">
      <c r="A18">
        <v>11</v>
      </c>
      <c r="B18" s="44">
        <v>100</v>
      </c>
      <c r="C18" s="18">
        <v>808.0650858259281</v>
      </c>
      <c r="D18" s="18">
        <v>-721.7637253483805</v>
      </c>
      <c r="E18" s="18">
        <v>1529.8288111743086</v>
      </c>
      <c r="F18" s="16">
        <v>0.0033</v>
      </c>
      <c r="G18" s="16">
        <v>0</v>
      </c>
      <c r="H18" s="16">
        <v>0</v>
      </c>
      <c r="I18" s="16">
        <v>0.00275</v>
      </c>
      <c r="J18" s="16">
        <v>-1.181915904944636e-7</v>
      </c>
      <c r="K18" s="16">
        <v>6.702978184029528e-7</v>
      </c>
      <c r="L18" s="16">
        <v>0.0024749999999999998</v>
      </c>
      <c r="M18" s="16">
        <v>-1.7728738574169536e-7</v>
      </c>
      <c r="N18" s="16">
        <v>0.000001005446727604429</v>
      </c>
      <c r="O18" s="16">
        <v>0.0021999999999999997</v>
      </c>
      <c r="P18" s="16">
        <v>-2.363831809889272e-7</v>
      </c>
      <c r="Q18" s="16">
        <v>0.0000013405956368059057</v>
      </c>
      <c r="R18" s="16">
        <v>0.001925</v>
      </c>
      <c r="S18" s="16">
        <v>-2.9547897623615897e-7</v>
      </c>
      <c r="T18" s="16">
        <v>0.000001675744546007382</v>
      </c>
      <c r="U18" s="16">
        <v>0.0018000000000000002</v>
      </c>
      <c r="V18" s="16">
        <v>-3.22340701348537e-7</v>
      </c>
      <c r="W18" s="16">
        <v>0.00000182808495928078</v>
      </c>
      <c r="X18" s="16">
        <v>0.00165</v>
      </c>
      <c r="Y18" s="16">
        <v>-3.545747714833907e-7</v>
      </c>
      <c r="Z18" s="16">
        <v>0.000002010893455208858</v>
      </c>
      <c r="AA18" s="16">
        <v>0.0015569194907640365</v>
      </c>
      <c r="AB18" s="16">
        <v>-3.745771959027237e-7</v>
      </c>
      <c r="AC18" s="16">
        <v>0.000002124332841166499</v>
      </c>
      <c r="AD18" s="16">
        <v>0.0012928163833040417</v>
      </c>
      <c r="AE18" s="16">
        <v>-4.3133131649404557e-7</v>
      </c>
      <c r="AF18" s="16">
        <v>0.000002446201453464453</v>
      </c>
      <c r="AG18" s="16">
        <v>0.0011607648295740448</v>
      </c>
      <c r="AH18" s="16">
        <v>-4.597083767897064e-7</v>
      </c>
      <c r="AI18" s="16">
        <v>0.0000026071357596134304</v>
      </c>
      <c r="AJ18" s="16">
        <v>0.0010287132758440474</v>
      </c>
      <c r="AK18" s="16">
        <v>-4.880854370853673e-7</v>
      </c>
      <c r="AL18" s="16">
        <v>0.0000027680700657624075</v>
      </c>
      <c r="AM18" s="16">
        <v>0.00089666172211405</v>
      </c>
      <c r="AN18" s="16">
        <v>-5.164624973810282e-7</v>
      </c>
      <c r="AO18" s="16">
        <v>0.000002929004371911385</v>
      </c>
      <c r="AP18" s="16">
        <v>0.0007646101683840526</v>
      </c>
      <c r="AQ18" s="16">
        <v>-5.448395576766891e-7</v>
      </c>
      <c r="AR18" s="16">
        <v>0.0000030899386780603623</v>
      </c>
      <c r="AS18" s="16">
        <v>0.0006325586146540556</v>
      </c>
      <c r="AT18" s="16">
        <v>-5.7321661797235e-7</v>
      </c>
      <c r="AU18" s="16">
        <v>0.0000032508729842093394</v>
      </c>
      <c r="AV18" s="16">
        <v>0.0005005070609240582</v>
      </c>
      <c r="AW18" s="16">
        <v>-6.015936782680109e-7</v>
      </c>
      <c r="AX18" s="16">
        <v>0.0000034118072903583166</v>
      </c>
      <c r="AY18" s="16">
        <v>0.00023640395346406383</v>
      </c>
      <c r="AZ18" s="16">
        <v>-6.583477988593327e-7</v>
      </c>
      <c r="BA18" s="16">
        <v>0.0000037336759026562705</v>
      </c>
      <c r="BB18" s="16">
        <v>-0.000027699153995930977</v>
      </c>
      <c r="BC18" s="16">
        <v>-7.151019194506546e-7</v>
      </c>
      <c r="BD18" s="16">
        <v>0.000004055544514954226</v>
      </c>
      <c r="BE18" s="16">
        <v>-0.00029180226145592535</v>
      </c>
      <c r="BF18" s="16">
        <v>-7.718560400419763e-7</v>
      </c>
      <c r="BG18" s="16">
        <v>0.00000437741312725218</v>
      </c>
      <c r="BH18" s="16">
        <v>-0.0005559053689159197</v>
      </c>
      <c r="BI18" s="16">
        <v>-8.286101606332981e-7</v>
      </c>
      <c r="BJ18" s="16">
        <v>0.000004699281739550134</v>
      </c>
      <c r="BK18" s="16">
        <v>-0.001084111583835908</v>
      </c>
      <c r="BL18" s="16">
        <v>-9.421184018159415e-7</v>
      </c>
      <c r="BM18" s="16">
        <v>0.000005343018964146042</v>
      </c>
      <c r="BN18" s="16">
        <v>-0.0016123177987558968</v>
      </c>
      <c r="BO18" s="16">
        <v>-0.0000010556266429985851</v>
      </c>
      <c r="BP18" s="16">
        <v>0.000005986756188741951</v>
      </c>
      <c r="BQ18" s="16">
        <v>-0.002668730228595877</v>
      </c>
      <c r="BR18" s="16">
        <v>-0.0000012826431253638725</v>
      </c>
      <c r="BS18" s="16">
        <v>0.000007274230637933771</v>
      </c>
      <c r="BT18" s="16">
        <v>-0.0037251426584358543</v>
      </c>
      <c r="BU18" s="16">
        <v>-0.0000015096596077291595</v>
      </c>
      <c r="BV18" s="16">
        <v>0.000008561705087125587</v>
      </c>
      <c r="BW18" s="16">
        <v>-0.006366173733035799</v>
      </c>
      <c r="BX18" s="16">
        <v>-0.000002077200813642377</v>
      </c>
      <c r="BY18" s="16">
        <v>0.00001178039121010513</v>
      </c>
      <c r="BZ18" s="16">
        <v>-0.009007204807635744</v>
      </c>
      <c r="CA18" s="16">
        <v>-0.000002644742019555595</v>
      </c>
      <c r="CB18" s="16">
        <v>0.000014999077333084675</v>
      </c>
      <c r="CC18" s="16">
        <v>-0.019571329106035523</v>
      </c>
      <c r="CD18" s="16">
        <v>-0.000004914906843208466</v>
      </c>
      <c r="CE18" s="16">
        <v>0.000027873821825002848</v>
      </c>
      <c r="CF18" s="16">
        <v>-0.05</v>
      </c>
      <c r="CG18" s="16">
        <v>0</v>
      </c>
      <c r="CH18" s="16">
        <v>0</v>
      </c>
      <c r="CI18" s="45">
        <v>33981.43387592912</v>
      </c>
      <c r="CJ18" s="45">
        <v>33981.43387592912</v>
      </c>
      <c r="CK18" s="45">
        <v>33796.950255158394</v>
      </c>
      <c r="CL18" s="45">
        <v>32693.445213509345</v>
      </c>
      <c r="CM18" s="45">
        <v>30469.95667032236</v>
      </c>
      <c r="CN18" s="45">
        <v>29053.72531090656</v>
      </c>
      <c r="CO18" s="45">
        <v>26969.38768186543</v>
      </c>
      <c r="CP18" s="45">
        <v>25522.097382746873</v>
      </c>
      <c r="CQ18" s="45">
        <v>22092.13498116457</v>
      </c>
      <c r="CR18" s="45">
        <v>20700.916107857473</v>
      </c>
      <c r="CS18" s="45">
        <v>19337.878913528926</v>
      </c>
      <c r="CT18" s="45">
        <v>17985.151281230064</v>
      </c>
      <c r="CU18" s="45">
        <v>16631.372030389823</v>
      </c>
      <c r="CV18" s="45">
        <v>15281.799944474547</v>
      </c>
      <c r="CW18" s="45">
        <v>13949.822938290741</v>
      </c>
      <c r="CX18" s="45">
        <v>11712.731739864035</v>
      </c>
      <c r="CY18" s="45">
        <v>9986.203602843989</v>
      </c>
      <c r="CZ18" s="45">
        <v>8652.531179073738</v>
      </c>
      <c r="DA18" s="45">
        <v>7603.77040059274</v>
      </c>
      <c r="DB18" s="45">
        <v>6263.642028119872</v>
      </c>
      <c r="DC18" s="45">
        <v>5275.342145099679</v>
      </c>
      <c r="DD18" s="45">
        <v>3787.0906344174987</v>
      </c>
      <c r="DE18" s="45">
        <v>2716.1321899574905</v>
      </c>
      <c r="DF18" s="45">
        <v>525.3919800732681</v>
      </c>
      <c r="DG18" s="45">
        <v>-1079.784725437686</v>
      </c>
      <c r="DH18" s="45">
        <v>-4098.208511215942</v>
      </c>
      <c r="DI18" s="45">
        <v>-5790.583579096708</v>
      </c>
      <c r="DJ18" s="45">
        <v>6.55418261885643e-13</v>
      </c>
      <c r="DK18" s="45">
        <v>6.55418261885643e-13</v>
      </c>
      <c r="DL18" s="45">
        <v>-14.815164214181527</v>
      </c>
      <c r="DM18" s="45">
        <v>-113.98095060598013</v>
      </c>
      <c r="DN18" s="45">
        <v>-279.7098814863177</v>
      </c>
      <c r="DO18" s="45">
        <v>-377.30172428004954</v>
      </c>
      <c r="DP18" s="45">
        <v>-516.0380043217509</v>
      </c>
      <c r="DQ18" s="45">
        <v>-599.6436883265151</v>
      </c>
      <c r="DR18" s="45">
        <v>-682.5889086427431</v>
      </c>
      <c r="DS18" s="45">
        <v>-706.7485379512938</v>
      </c>
      <c r="DT18" s="45">
        <v>-741.4668747101939</v>
      </c>
      <c r="DU18" s="45">
        <v>-779.0676502908935</v>
      </c>
      <c r="DV18" s="45">
        <v>-815.7274064457195</v>
      </c>
      <c r="DW18" s="45">
        <v>-848.2240831168178</v>
      </c>
      <c r="DX18" s="45">
        <v>-871.2578860211053</v>
      </c>
      <c r="DY18" s="45">
        <v>-869.6459898979932</v>
      </c>
      <c r="DZ18" s="45">
        <v>-876.903566655197</v>
      </c>
      <c r="EA18" s="45">
        <v>-839.1633024008801</v>
      </c>
      <c r="EB18" s="45">
        <v>-798.3779707145312</v>
      </c>
      <c r="EC18" s="45">
        <v>-746.6553002754432</v>
      </c>
      <c r="ED18" s="45">
        <v>-729.7764628040306</v>
      </c>
      <c r="EE18" s="45">
        <v>-709.7894179932783</v>
      </c>
      <c r="EF18" s="45">
        <v>-710.8844635103767</v>
      </c>
      <c r="EG18" s="45">
        <v>-655.9480519158317</v>
      </c>
      <c r="EH18" s="45">
        <v>-525.7704431224757</v>
      </c>
      <c r="EI18" s="45">
        <v>-349.6548678474978</v>
      </c>
      <c r="EJ18" s="45">
        <v>0</v>
      </c>
      <c r="EK18" s="45">
        <v>-5.220063030719757e-12</v>
      </c>
      <c r="EL18" s="45">
        <v>-5.220063030719757e-12</v>
      </c>
      <c r="EM18" s="45">
        <v>123.87187777743804</v>
      </c>
      <c r="EN18" s="45">
        <v>787.0983072469969</v>
      </c>
      <c r="EO18" s="45">
        <v>1996.1557587428813</v>
      </c>
      <c r="EP18" s="45">
        <v>2723.9695174745025</v>
      </c>
      <c r="EQ18" s="45">
        <v>3738.7043380804835</v>
      </c>
      <c r="ER18" s="45">
        <v>4416.7008923333005</v>
      </c>
      <c r="ES18" s="45">
        <v>5680.092985913906</v>
      </c>
      <c r="ET18" s="45">
        <v>6009.1609590552025</v>
      </c>
      <c r="EU18" s="45">
        <v>6269.248784105469</v>
      </c>
      <c r="EV18" s="45">
        <v>6486.1228773138655</v>
      </c>
      <c r="EW18" s="45">
        <v>6672.489721079426</v>
      </c>
      <c r="EX18" s="45">
        <v>6834.211544324216</v>
      </c>
      <c r="EY18" s="45">
        <v>6974.679511506632</v>
      </c>
      <c r="EZ18" s="45">
        <v>7056.4425953032805</v>
      </c>
      <c r="FA18" s="45">
        <v>6993.6386909287685</v>
      </c>
      <c r="FB18" s="45">
        <v>6879.5380227992</v>
      </c>
      <c r="FC18" s="45">
        <v>6768.935334399641</v>
      </c>
      <c r="FD18" s="45">
        <v>6513.642025018983</v>
      </c>
      <c r="FE18" s="45">
        <v>6267.449913659511</v>
      </c>
      <c r="FF18" s="45">
        <v>5759.363645807278</v>
      </c>
      <c r="FG18" s="45">
        <v>5274.144030372774</v>
      </c>
      <c r="FH18" s="45">
        <v>4119.577280472779</v>
      </c>
      <c r="FI18" s="45">
        <v>3165.2013342808027</v>
      </c>
      <c r="FJ18" s="45">
        <v>1174.940098979493</v>
      </c>
      <c r="FK18" s="45">
        <v>5.960464477539062e-14</v>
      </c>
      <c r="FL18" s="46">
        <f>MAX(1,MIN(26,SUMPRODUCT(--($CI18:$DI18&gt;=Pu))))</f>
      </c>
      <c r="FM18" s="47">
        <f>(Pu-INDEX($CI18:$DI18,1,$FL18))/(INDEX($CI18:$DI18,1,$FL18+1)-INDEX($CI18:$DI18,1,$FL18))</f>
      </c>
      <c r="FN18" s="39">
        <f>INDEX($DJ18:$EJ18,1,$FL18)+$FM18*(INDEX($DJ18:$EJ18,1,$FL18+1)-INDEX($DJ18:$EJ18,1,$FL18))</f>
      </c>
      <c r="FO18" s="39">
        <f>INDEX($EK18:$FK18,1,$FL18)+$FM18*(INDEX($EK18:$FK18,1,$FL18+1)-INDEX($EK18:$FK18,1,$FL18))</f>
      </c>
      <c r="FP18" s="39">
        <f>SQRT(FN18^2+FO18^2)</f>
      </c>
      <c r="FQ18" s="20">
        <f>FN19-FN18</f>
      </c>
      <c r="FR18" s="20">
        <f>FO19-FO18</f>
      </c>
      <c r="FS18" s="20">
        <f>FQ18*SIN(RADIANS(theta_L))-FR18*COS(RADIANS(theta_L))</f>
      </c>
      <c r="FT18" s="47">
        <f>IF(FS18=0,"",-(FN18*SIN(RADIANS(theta_L))-FO18*COS(RADIANS(theta_L)))/FS18)</f>
      </c>
      <c r="FU18" s="20">
        <f>IF(FT18="","",(FN18+FT18*FQ18)*COS(RADIANS(theta_L))+(FO18+FT18*FR18)*SIN(RADIANS(theta_L)))</f>
      </c>
      <c r="FV18" s="20">
        <f>IF(OR(FT18="",FT18&lt;0,FT18&gt;1,FU18&lt;0),"",FU18)</f>
      </c>
    </row>
    <row r="19" spans="1:178" x14ac:dyDescent="0.25">
      <c r="A19">
        <v>12</v>
      </c>
      <c r="B19" s="44">
        <v>109.99999999999999</v>
      </c>
      <c r="C19" s="18">
        <v>841.5775229196987</v>
      </c>
      <c r="D19" s="18">
        <v>-741.5970251321183</v>
      </c>
      <c r="E19" s="18">
        <v>1583.174548051817</v>
      </c>
      <c r="F19" s="16">
        <v>0.0033</v>
      </c>
      <c r="G19" s="16">
        <v>0</v>
      </c>
      <c r="H19" s="16">
        <v>0</v>
      </c>
      <c r="I19" s="16">
        <v>0.00275</v>
      </c>
      <c r="J19" s="16">
        <v>-2.2352198544526334e-7</v>
      </c>
      <c r="K19" s="16">
        <v>6.141216077625262e-7</v>
      </c>
      <c r="L19" s="16">
        <v>0.0024749999999999998</v>
      </c>
      <c r="M19" s="16">
        <v>-3.35282978167895e-7</v>
      </c>
      <c r="N19" s="16">
        <v>9.211824116437893e-7</v>
      </c>
      <c r="O19" s="16">
        <v>0.0021999999999999997</v>
      </c>
      <c r="P19" s="16">
        <v>-4.4704397089052667e-7</v>
      </c>
      <c r="Q19" s="16">
        <v>0.0000012282432155250523</v>
      </c>
      <c r="R19" s="16">
        <v>0.001925</v>
      </c>
      <c r="S19" s="16">
        <v>-5.588049636131583e-7</v>
      </c>
      <c r="T19" s="16">
        <v>0.0000015353040194063156</v>
      </c>
      <c r="U19" s="16">
        <v>0.0018000000000000002</v>
      </c>
      <c r="V19" s="16">
        <v>-6.096054148507182e-7</v>
      </c>
      <c r="W19" s="16">
        <v>0.0000016748771120796169</v>
      </c>
      <c r="X19" s="16">
        <v>0.00165</v>
      </c>
      <c r="Y19" s="16">
        <v>-6.7056595633579e-7</v>
      </c>
      <c r="Z19" s="16">
        <v>0.0000018423648232875786</v>
      </c>
      <c r="AA19" s="16">
        <v>0.0015457993472340055</v>
      </c>
      <c r="AB19" s="16">
        <v>-7.129134777738765e-7</v>
      </c>
      <c r="AC19" s="16">
        <v>0.000001958713682208592</v>
      </c>
      <c r="AD19" s="16">
        <v>0.0012800113695421883</v>
      </c>
      <c r="AE19" s="16">
        <v>-8.209306713759789e-7</v>
      </c>
      <c r="AF19" s="16">
        <v>0.000002255488482543227</v>
      </c>
      <c r="AG19" s="16">
        <v>0.0011471173806962796</v>
      </c>
      <c r="AH19" s="16">
        <v>-8.749392681770302e-7</v>
      </c>
      <c r="AI19" s="16">
        <v>0.0000024038758827105445</v>
      </c>
      <c r="AJ19" s="16">
        <v>0.0010142233918503706</v>
      </c>
      <c r="AK19" s="16">
        <v>-9.289478649780815e-7</v>
      </c>
      <c r="AL19" s="16">
        <v>0.000002552263282877862</v>
      </c>
      <c r="AM19" s="16">
        <v>0.000881329403004462</v>
      </c>
      <c r="AN19" s="16">
        <v>-9.829564617791328e-7</v>
      </c>
      <c r="AO19" s="16">
        <v>0.00000270065068304518</v>
      </c>
      <c r="AP19" s="16">
        <v>0.0007484354141585529</v>
      </c>
      <c r="AQ19" s="16">
        <v>-0.0000010369650585801842</v>
      </c>
      <c r="AR19" s="16">
        <v>0.0000028490380832124976</v>
      </c>
      <c r="AS19" s="16">
        <v>0.0006155414253126452</v>
      </c>
      <c r="AT19" s="16">
        <v>-0.0000010909736553812352</v>
      </c>
      <c r="AU19" s="16">
        <v>0.0000029974254833798143</v>
      </c>
      <c r="AV19" s="16">
        <v>0.00048264743646673613</v>
      </c>
      <c r="AW19" s="16">
        <v>-0.0000011449822521822864</v>
      </c>
      <c r="AX19" s="16">
        <v>0.0000031458128835471323</v>
      </c>
      <c r="AY19" s="16">
        <v>0.0002168594587749189</v>
      </c>
      <c r="AZ19" s="16">
        <v>-0.0000012529994457843888</v>
      </c>
      <c r="BA19" s="16">
        <v>0.0000034425876838817674</v>
      </c>
      <c r="BB19" s="16">
        <v>-0.00004892851891689833</v>
      </c>
      <c r="BC19" s="16">
        <v>-0.0000013610166393864915</v>
      </c>
      <c r="BD19" s="16">
        <v>0.0000037393624842164025</v>
      </c>
      <c r="BE19" s="16">
        <v>-0.000314716496608716</v>
      </c>
      <c r="BF19" s="16">
        <v>-0.0000014690338329885941</v>
      </c>
      <c r="BG19" s="16">
        <v>0.000004036137284551038</v>
      </c>
      <c r="BH19" s="16">
        <v>-0.0005805044743005328</v>
      </c>
      <c r="BI19" s="16">
        <v>-0.0000015770510265906963</v>
      </c>
      <c r="BJ19" s="16">
        <v>0.000004332912084885673</v>
      </c>
      <c r="BK19" s="16">
        <v>-0.0011120804296841681</v>
      </c>
      <c r="BL19" s="16">
        <v>-0.0000017930854137949016</v>
      </c>
      <c r="BM19" s="16">
        <v>0.000004926461685554944</v>
      </c>
      <c r="BN19" s="16">
        <v>-0.0016436563850678017</v>
      </c>
      <c r="BO19" s="16">
        <v>-0.000002009119800999106</v>
      </c>
      <c r="BP19" s="16">
        <v>0.000005520011286224212</v>
      </c>
      <c r="BQ19" s="16">
        <v>-0.0027068082958350724</v>
      </c>
      <c r="BR19" s="16">
        <v>-0.0000024411885754075166</v>
      </c>
      <c r="BS19" s="16">
        <v>0.0000067071104875627544</v>
      </c>
      <c r="BT19" s="16">
        <v>-0.0037699602066023413</v>
      </c>
      <c r="BU19" s="16">
        <v>-0.0000028732573498159264</v>
      </c>
      <c r="BV19" s="16">
        <v>0.000007894209688901294</v>
      </c>
      <c r="BW19" s="16">
        <v>-0.006427839983520515</v>
      </c>
      <c r="BX19" s="16">
        <v>-0.000003953429285836952</v>
      </c>
      <c r="BY19" s="16">
        <v>0.000010861957692247647</v>
      </c>
      <c r="BZ19" s="16">
        <v>-0.009085719760438687</v>
      </c>
      <c r="CA19" s="16">
        <v>-0.000005033601221857976</v>
      </c>
      <c r="CB19" s="16">
        <v>0.000013829705695593998</v>
      </c>
      <c r="CC19" s="16">
        <v>-0.01971723886811138</v>
      </c>
      <c r="CD19" s="16">
        <v>-0.000009354288965942075</v>
      </c>
      <c r="CE19" s="16">
        <v>0.0000257006977089794</v>
      </c>
      <c r="CF19" s="16">
        <v>-0.05</v>
      </c>
      <c r="CG19" s="16">
        <v>0</v>
      </c>
      <c r="CH19" s="16">
        <v>0</v>
      </c>
      <c r="CI19" s="45">
        <v>33981.43387592912</v>
      </c>
      <c r="CJ19" s="45">
        <v>33981.43387592912</v>
      </c>
      <c r="CK19" s="45">
        <v>33836.34683483384</v>
      </c>
      <c r="CL19" s="45">
        <v>32825.40991692369</v>
      </c>
      <c r="CM19" s="45">
        <v>30736.23599089433</v>
      </c>
      <c r="CN19" s="45">
        <v>29379.98622408417</v>
      </c>
      <c r="CO19" s="45">
        <v>27414.136149591624</v>
      </c>
      <c r="CP19" s="45">
        <v>25850.015384867576</v>
      </c>
      <c r="CQ19" s="45">
        <v>22255.70394684678</v>
      </c>
      <c r="CR19" s="45">
        <v>20764.836420739597</v>
      </c>
      <c r="CS19" s="45">
        <v>19344.455695562647</v>
      </c>
      <c r="CT19" s="45">
        <v>17933.789295652838</v>
      </c>
      <c r="CU19" s="45">
        <v>16542.17466366308</v>
      </c>
      <c r="CV19" s="45">
        <v>15174.495935602554</v>
      </c>
      <c r="CW19" s="45">
        <v>13847.865258732154</v>
      </c>
      <c r="CX19" s="45">
        <v>11527.170121473824</v>
      </c>
      <c r="CY19" s="45">
        <v>9770.62220874658</v>
      </c>
      <c r="CZ19" s="45">
        <v>8449.45930484283</v>
      </c>
      <c r="DA19" s="45">
        <v>7424.504488016121</v>
      </c>
      <c r="DB19" s="45">
        <v>5858.5095326173905</v>
      </c>
      <c r="DC19" s="45">
        <v>4737.69646944351</v>
      </c>
      <c r="DD19" s="45">
        <v>3038.482733475703</v>
      </c>
      <c r="DE19" s="45">
        <v>1687.7371041771169</v>
      </c>
      <c r="DF19" s="45">
        <v>-653.0454433987727</v>
      </c>
      <c r="DG19" s="45">
        <v>-2196.679644703563</v>
      </c>
      <c r="DH19" s="45">
        <v>-4679.206242630987</v>
      </c>
      <c r="DI19" s="45">
        <v>-5790.583579096708</v>
      </c>
      <c r="DJ19" s="45">
        <v>6.55418261885643e-13</v>
      </c>
      <c r="DK19" s="45">
        <v>6.55418261885643e-13</v>
      </c>
      <c r="DL19" s="45">
        <v>-27.197853444145174</v>
      </c>
      <c r="DM19" s="45">
        <v>-198.56492753808266</v>
      </c>
      <c r="DN19" s="45">
        <v>-507.06557215701474</v>
      </c>
      <c r="DO19" s="45">
        <v>-693.2947561608717</v>
      </c>
      <c r="DP19" s="45">
        <v>-953.4940600144416</v>
      </c>
      <c r="DQ19" s="45">
        <v>-1138.4895333770012</v>
      </c>
      <c r="DR19" s="45">
        <v>-1371.2308207226615</v>
      </c>
      <c r="DS19" s="45">
        <v>-1436.6863540220734</v>
      </c>
      <c r="DT19" s="45">
        <v>-1504.7742468466736</v>
      </c>
      <c r="DU19" s="45">
        <v>-1570.635755222437</v>
      </c>
      <c r="DV19" s="45">
        <v>-1632.6491010601376</v>
      </c>
      <c r="DW19" s="45">
        <v>-1686.4163095650003</v>
      </c>
      <c r="DX19" s="45">
        <v>-1726.9872658107029</v>
      </c>
      <c r="DY19" s="45">
        <v>-1733.992215033174</v>
      </c>
      <c r="DZ19" s="45">
        <v>-1701.7554178569394</v>
      </c>
      <c r="EA19" s="45">
        <v>-1659.2382810304387</v>
      </c>
      <c r="EB19" s="45">
        <v>-1603.1410952148817</v>
      </c>
      <c r="EC19" s="45">
        <v>-1516.2443442677984</v>
      </c>
      <c r="ED19" s="45">
        <v>-1467.9049465577511</v>
      </c>
      <c r="EE19" s="45">
        <v>-1402.7974461308804</v>
      </c>
      <c r="EF19" s="45">
        <v>-1328.0282825677607</v>
      </c>
      <c r="EG19" s="45">
        <v>-1065.144384227219</v>
      </c>
      <c r="EH19" s="45">
        <v>-843.1669953420247</v>
      </c>
      <c r="EI19" s="45">
        <v>-346.0743108155071</v>
      </c>
      <c r="EJ19" s="45">
        <v>0</v>
      </c>
      <c r="EK19" s="45">
        <v>-5.220063030719757e-12</v>
      </c>
      <c r="EL19" s="45">
        <v>-5.220063030719757e-12</v>
      </c>
      <c r="EM19" s="45">
        <v>94.33843637037602</v>
      </c>
      <c r="EN19" s="45">
        <v>686.5204544891857</v>
      </c>
      <c r="EO19" s="45">
        <v>1782.7729045974097</v>
      </c>
      <c r="EP19" s="45">
        <v>2445.237922204549</v>
      </c>
      <c r="EQ19" s="45">
        <v>3374.8904879406678</v>
      </c>
      <c r="ER19" s="45">
        <v>4071.946288972635</v>
      </c>
      <c r="ES19" s="45">
        <v>5365.239477580422</v>
      </c>
      <c r="ET19" s="45">
        <v>5730.229035188359</v>
      </c>
      <c r="EU19" s="45">
        <v>6005.70318688497</v>
      </c>
      <c r="EV19" s="45">
        <v>6227.6147860646915</v>
      </c>
      <c r="EW19" s="45">
        <v>6408.304460633652</v>
      </c>
      <c r="EX19" s="45">
        <v>6558.393952544411</v>
      </c>
      <c r="EY19" s="45">
        <v>6683.197364866203</v>
      </c>
      <c r="EZ19" s="45">
        <v>6791.434884009807</v>
      </c>
      <c r="FA19" s="45">
        <v>6731.486218850721</v>
      </c>
      <c r="FB19" s="45">
        <v>6610.452701814494</v>
      </c>
      <c r="FC19" s="45">
        <v>6468.085420216953</v>
      </c>
      <c r="FD19" s="45">
        <v>6165.800537140165</v>
      </c>
      <c r="FE19" s="45">
        <v>5831.121893805829</v>
      </c>
      <c r="FF19" s="45">
        <v>5178.0258454515015</v>
      </c>
      <c r="FG19" s="45">
        <v>4551.79002792473</v>
      </c>
      <c r="FH19" s="45">
        <v>3272.0001815230416</v>
      </c>
      <c r="FI19" s="45">
        <v>2341.8086233153927</v>
      </c>
      <c r="FJ19" s="45">
        <v>763.341964116267</v>
      </c>
      <c r="FK19" s="45">
        <v>5.960464477539062e-14</v>
      </c>
      <c r="FL19" s="46">
        <f>MAX(1,MIN(26,SUMPRODUCT(--($CI19:$DI19&gt;=Pu))))</f>
      </c>
      <c r="FM19" s="47">
        <f>(Pu-INDEX($CI19:$DI19,1,$FL19))/(INDEX($CI19:$DI19,1,$FL19+1)-INDEX($CI19:$DI19,1,$FL19))</f>
      </c>
      <c r="FN19" s="39">
        <f>INDEX($DJ19:$EJ19,1,$FL19)+$FM19*(INDEX($DJ19:$EJ19,1,$FL19+1)-INDEX($DJ19:$EJ19,1,$FL19))</f>
      </c>
      <c r="FO19" s="39">
        <f>INDEX($EK19:$FK19,1,$FL19)+$FM19*(INDEX($EK19:$FK19,1,$FL19+1)-INDEX($EK19:$FK19,1,$FL19))</f>
      </c>
      <c r="FP19" s="39">
        <f>SQRT(FN19^2+FO19^2)</f>
      </c>
      <c r="FQ19" s="20">
        <f>FN20-FN19</f>
      </c>
      <c r="FR19" s="20">
        <f>FO20-FO19</f>
      </c>
      <c r="FS19" s="20">
        <f>FQ19*SIN(RADIANS(theta_L))-FR19*COS(RADIANS(theta_L))</f>
      </c>
      <c r="FT19" s="47">
        <f>IF(FS19=0,"",-(FN19*SIN(RADIANS(theta_L))-FO19*COS(RADIANS(theta_L)))/FS19)</f>
      </c>
      <c r="FU19" s="20">
        <f>IF(FT19="","",(FN19+FT19*FQ19)*COS(RADIANS(theta_L))+(FO19+FT19*FR19)*SIN(RADIANS(theta_L)))</f>
      </c>
      <c r="FV19" s="20">
        <f>IF(OR(FT19="",FT19&lt;0,FT19&gt;1,FU19&lt;0),"",FU19)</f>
      </c>
    </row>
    <row r="20" spans="1:178" x14ac:dyDescent="0.25">
      <c r="A20">
        <v>13</v>
      </c>
      <c r="B20" s="44">
        <v>119.99999999999999</v>
      </c>
      <c r="C20" s="18">
        <v>849.5190528383289</v>
      </c>
      <c r="D20" s="18">
        <v>-738.8972745734184</v>
      </c>
      <c r="E20" s="18">
        <v>1588.4163274117473</v>
      </c>
      <c r="F20" s="16">
        <v>0.0033</v>
      </c>
      <c r="G20" s="16">
        <v>0</v>
      </c>
      <c r="H20" s="16">
        <v>0</v>
      </c>
      <c r="I20" s="16">
        <v>0.00275</v>
      </c>
      <c r="J20" s="16">
        <v>-3.237125748753923e-7</v>
      </c>
      <c r="K20" s="16">
        <v>5.606866267331242e-7</v>
      </c>
      <c r="L20" s="16">
        <v>0.0024749999999999998</v>
      </c>
      <c r="M20" s="16">
        <v>-4.855688623130884e-7</v>
      </c>
      <c r="N20" s="16">
        <v>8.410299400996863e-7</v>
      </c>
      <c r="O20" s="16">
        <v>0.0021999999999999997</v>
      </c>
      <c r="P20" s="16">
        <v>-6.474251497507846e-7</v>
      </c>
      <c r="Q20" s="16">
        <v>0.0000011213732534662485</v>
      </c>
      <c r="R20" s="16">
        <v>0.0019249999999999998</v>
      </c>
      <c r="S20" s="16">
        <v>-8.092814371884808e-7</v>
      </c>
      <c r="T20" s="16">
        <v>0.0000014017165668328106</v>
      </c>
      <c r="U20" s="16">
        <v>0.0018000000000000002</v>
      </c>
      <c r="V20" s="16">
        <v>-8.828524769328879e-7</v>
      </c>
      <c r="W20" s="16">
        <v>0.000001529145345635793</v>
      </c>
      <c r="X20" s="16">
        <v>0.00165</v>
      </c>
      <c r="Y20" s="16">
        <v>-9.711377246261769e-7</v>
      </c>
      <c r="Z20" s="16">
        <v>0.0000016820598801993726</v>
      </c>
      <c r="AA20" s="16">
        <v>0.0015350893616571418</v>
      </c>
      <c r="AB20" s="16">
        <v>-0.000001038770485750798</v>
      </c>
      <c r="AC20" s="16">
        <v>0.0000017992032587233854</v>
      </c>
      <c r="AD20" s="16">
        <v>0.001267678658877921</v>
      </c>
      <c r="AE20" s="16">
        <v>-0.0000011961599532887976</v>
      </c>
      <c r="AF20" s="16">
        <v>0.0000020718098130754136</v>
      </c>
      <c r="AG20" s="16">
        <v>0.0011339733074883103</v>
      </c>
      <c r="AH20" s="16">
        <v>-0.0000012748546870577974</v>
      </c>
      <c r="AI20" s="16">
        <v>0.0000022081130902514277</v>
      </c>
      <c r="AJ20" s="16">
        <v>0.0010002679560986998</v>
      </c>
      <c r="AK20" s="16">
        <v>-0.0000013535494208267973</v>
      </c>
      <c r="AL20" s="16">
        <v>0.0000023444163674274418</v>
      </c>
      <c r="AM20" s="16">
        <v>0.0008665626047090892</v>
      </c>
      <c r="AN20" s="16">
        <v>-0.0000014322441545957974</v>
      </c>
      <c r="AO20" s="16">
        <v>0.000002480719644603456</v>
      </c>
      <c r="AP20" s="16">
        <v>0.0007328572533194786</v>
      </c>
      <c r="AQ20" s="16">
        <v>-0.0000015109388883647972</v>
      </c>
      <c r="AR20" s="16">
        <v>0.00000261702292177947</v>
      </c>
      <c r="AS20" s="16">
        <v>0.0005991519019298685</v>
      </c>
      <c r="AT20" s="16">
        <v>-0.0000015896336221337969</v>
      </c>
      <c r="AU20" s="16">
        <v>0.0000027533261989554836</v>
      </c>
      <c r="AV20" s="16">
        <v>0.0004654465505402579</v>
      </c>
      <c r="AW20" s="16">
        <v>-0.000001668328355902797</v>
      </c>
      <c r="AX20" s="16">
        <v>0.000002889629476131498</v>
      </c>
      <c r="AY20" s="16">
        <v>0.0001980358477610372</v>
      </c>
      <c r="AZ20" s="16">
        <v>-0.0000018257178234407963</v>
      </c>
      <c r="BA20" s="16">
        <v>0.000003162236030483526</v>
      </c>
      <c r="BB20" s="16">
        <v>-0.00006937485501818394</v>
      </c>
      <c r="BC20" s="16">
        <v>-0.0000019831072909787962</v>
      </c>
      <c r="BD20" s="16">
        <v>0.0000034348425848355544</v>
      </c>
      <c r="BE20" s="16">
        <v>-0.00033678555779740466</v>
      </c>
      <c r="BF20" s="16">
        <v>-0.000002140496758516796</v>
      </c>
      <c r="BG20" s="16">
        <v>0.000003707449139187582</v>
      </c>
      <c r="BH20" s="16">
        <v>-0.0006041962605766258</v>
      </c>
      <c r="BI20" s="16">
        <v>-0.0000022978862260547957</v>
      </c>
      <c r="BJ20" s="16">
        <v>0.00000398005569353961</v>
      </c>
      <c r="BK20" s="16">
        <v>-0.0011390176661350672</v>
      </c>
      <c r="BL20" s="16">
        <v>-0.0000026126651611307947</v>
      </c>
      <c r="BM20" s="16">
        <v>0.000004525268802243667</v>
      </c>
      <c r="BN20" s="16">
        <v>-0.0016738390716935095</v>
      </c>
      <c r="BO20" s="16">
        <v>-0.000002927444096206794</v>
      </c>
      <c r="BP20" s="16">
        <v>0.000005070481910947723</v>
      </c>
      <c r="BQ20" s="16">
        <v>-0.0027434818828103932</v>
      </c>
      <c r="BR20" s="16">
        <v>-0.000003557001966358793</v>
      </c>
      <c r="BS20" s="16">
        <v>0.000006160908128355836</v>
      </c>
      <c r="BT20" s="16">
        <v>-0.003813124693927276</v>
      </c>
      <c r="BU20" s="16">
        <v>-0.000004186559836510792</v>
      </c>
      <c r="BV20" s="16">
        <v>0.000007251334345763947</v>
      </c>
      <c r="BW20" s="16">
        <v>-0.006487231721719487</v>
      </c>
      <c r="BX20" s="16">
        <v>-0.000005760454511890789</v>
      </c>
      <c r="BY20" s="16">
        <v>0.000009977399889284229</v>
      </c>
      <c r="BZ20" s="16">
        <v>-0.009161338749511697</v>
      </c>
      <c r="CA20" s="16">
        <v>-0.000007334349187270786</v>
      </c>
      <c r="CB20" s="16">
        <v>0.00001270346543280451</v>
      </c>
      <c r="CC20" s="16">
        <v>-0.019857766860680533</v>
      </c>
      <c r="CD20" s="16">
        <v>-0.000013629927888790772</v>
      </c>
      <c r="CE20" s="16">
        <v>0.000023607727606885634</v>
      </c>
      <c r="CF20" s="16">
        <v>-0.05</v>
      </c>
      <c r="CG20" s="16">
        <v>0</v>
      </c>
      <c r="CH20" s="16">
        <v>0</v>
      </c>
      <c r="CI20" s="45">
        <v>33981.43387592912</v>
      </c>
      <c r="CJ20" s="45">
        <v>33981.43387592912</v>
      </c>
      <c r="CK20" s="45">
        <v>33858.009080359014</v>
      </c>
      <c r="CL20" s="45">
        <v>32881.28661994507</v>
      </c>
      <c r="CM20" s="45">
        <v>30862.424634179613</v>
      </c>
      <c r="CN20" s="45">
        <v>29545.978448688606</v>
      </c>
      <c r="CO20" s="45">
        <v>27609.650051226738</v>
      </c>
      <c r="CP20" s="45">
        <v>25940.440407992995</v>
      </c>
      <c r="CQ20" s="45">
        <v>22364.36905667349</v>
      </c>
      <c r="CR20" s="45">
        <v>20780.51299779107</v>
      </c>
      <c r="CS20" s="45">
        <v>19282.325347258426</v>
      </c>
      <c r="CT20" s="45">
        <v>17833.822602301752</v>
      </c>
      <c r="CU20" s="45">
        <v>16419.57350466651</v>
      </c>
      <c r="CV20" s="45">
        <v>15049.476981344984</v>
      </c>
      <c r="CW20" s="45">
        <v>13726.638239995787</v>
      </c>
      <c r="CX20" s="45">
        <v>11427.223489263097</v>
      </c>
      <c r="CY20" s="45">
        <v>9630.756601455381</v>
      </c>
      <c r="CZ20" s="45">
        <v>8259.976599100582</v>
      </c>
      <c r="DA20" s="45">
        <v>7168.398748811488</v>
      </c>
      <c r="DB20" s="45">
        <v>5508.486912984249</v>
      </c>
      <c r="DC20" s="45">
        <v>4245.278139611561</v>
      </c>
      <c r="DD20" s="45">
        <v>2370.1576672295405</v>
      </c>
      <c r="DE20" s="45">
        <v>1060.1483470416824</v>
      </c>
      <c r="DF20" s="45">
        <v>-1201.3762587647439</v>
      </c>
      <c r="DG20" s="45">
        <v>-2637.9210003419394</v>
      </c>
      <c r="DH20" s="45">
        <v>-4790.827764753658</v>
      </c>
      <c r="DI20" s="45">
        <v>-5790.583579096708</v>
      </c>
      <c r="DJ20" s="45">
        <v>6.55418261885643e-13</v>
      </c>
      <c r="DK20" s="45">
        <v>6.55418261885643e-13</v>
      </c>
      <c r="DL20" s="45">
        <v>-35.789356700408</v>
      </c>
      <c r="DM20" s="45">
        <v>-269.470761068003</v>
      </c>
      <c r="DN20" s="45">
        <v>-712.7723687199457</v>
      </c>
      <c r="DO20" s="45">
        <v>-981.7414392371213</v>
      </c>
      <c r="DP20" s="45">
        <v>-1356.4047227104268</v>
      </c>
      <c r="DQ20" s="45">
        <v>-1654.9559691161162</v>
      </c>
      <c r="DR20" s="45">
        <v>-2065.6212864672393</v>
      </c>
      <c r="DS20" s="45">
        <v>-2183.2257909891828</v>
      </c>
      <c r="DT20" s="45">
        <v>-2293.687313497708</v>
      </c>
      <c r="DU20" s="45">
        <v>-2397.008433895084</v>
      </c>
      <c r="DV20" s="45">
        <v>-2487.086200356003</v>
      </c>
      <c r="DW20" s="45">
        <v>-2560.7515279200543</v>
      </c>
      <c r="DX20" s="45">
        <v>-2613.154528296417</v>
      </c>
      <c r="DY20" s="45">
        <v>-2637.654787425441</v>
      </c>
      <c r="DZ20" s="45">
        <v>-2567.9649924945597</v>
      </c>
      <c r="EA20" s="45">
        <v>-2490.455672139138</v>
      </c>
      <c r="EB20" s="45">
        <v>-2425.18339602054</v>
      </c>
      <c r="EC20" s="45">
        <v>-2293.3910412462815</v>
      </c>
      <c r="ED20" s="45">
        <v>-2174.3647585518015</v>
      </c>
      <c r="EE20" s="45">
        <v>-1970.2553545952192</v>
      </c>
      <c r="EF20" s="45">
        <v>-1771.1022574811402</v>
      </c>
      <c r="EG20" s="45">
        <v>-1355.3945500106072</v>
      </c>
      <c r="EH20" s="45">
        <v>-1029.2470694599467</v>
      </c>
      <c r="EI20" s="45">
        <v>-373.99048597878874</v>
      </c>
      <c r="EJ20" s="45">
        <v>0</v>
      </c>
      <c r="EK20" s="45">
        <v>-5.220063030719757e-12</v>
      </c>
      <c r="EL20" s="45">
        <v>-5.220063030719757e-12</v>
      </c>
      <c r="EM20" s="45">
        <v>76.68514906917204</v>
      </c>
      <c r="EN20" s="45">
        <v>617.9469717822292</v>
      </c>
      <c r="EO20" s="45">
        <v>1613.8486914358846</v>
      </c>
      <c r="EP20" s="45">
        <v>2216.7300226249563</v>
      </c>
      <c r="EQ20" s="45">
        <v>3062.6435499260924</v>
      </c>
      <c r="ER20" s="45">
        <v>3756.8783198188517</v>
      </c>
      <c r="ES20" s="45">
        <v>4956.117540219163</v>
      </c>
      <c r="ET20" s="45">
        <v>5339.759992624872</v>
      </c>
      <c r="EU20" s="45">
        <v>5622.832205894558</v>
      </c>
      <c r="EV20" s="45">
        <v>5840.667367711726</v>
      </c>
      <c r="EW20" s="45">
        <v>6015.862732350805</v>
      </c>
      <c r="EX20" s="45">
        <v>6156.258895239392</v>
      </c>
      <c r="EY20" s="45">
        <v>6260.980502652927</v>
      </c>
      <c r="EZ20" s="45">
        <v>6340.042601365806</v>
      </c>
      <c r="FA20" s="45">
        <v>6293.026564320863</v>
      </c>
      <c r="FB20" s="45">
        <v>6161.961059519671</v>
      </c>
      <c r="FC20" s="45">
        <v>5982.8941973823685</v>
      </c>
      <c r="FD20" s="45">
        <v>5625.989011011412</v>
      </c>
      <c r="FE20" s="45">
        <v>5275.006114867101</v>
      </c>
      <c r="FF20" s="45">
        <v>4562.646435837371</v>
      </c>
      <c r="FG20" s="45">
        <v>3950.832933135185</v>
      </c>
      <c r="FH20" s="45">
        <v>2779.3840947276203</v>
      </c>
      <c r="FI20" s="45">
        <v>1967.1347677402207</v>
      </c>
      <c r="FJ20" s="45">
        <v>669.4742550661371</v>
      </c>
      <c r="FK20" s="45">
        <v>5.960464477539062e-14</v>
      </c>
      <c r="FL20" s="46">
        <f>MAX(1,MIN(26,SUMPRODUCT(--($CI20:$DI20&gt;=Pu))))</f>
      </c>
      <c r="FM20" s="47">
        <f>(Pu-INDEX($CI20:$DI20,1,$FL20))/(INDEX($CI20:$DI20,1,$FL20+1)-INDEX($CI20:$DI20,1,$FL20))</f>
      </c>
      <c r="FN20" s="39">
        <f>INDEX($DJ20:$EJ20,1,$FL20)+$FM20*(INDEX($DJ20:$EJ20,1,$FL20+1)-INDEX($DJ20:$EJ20,1,$FL20))</f>
      </c>
      <c r="FO20" s="39">
        <f>INDEX($EK20:$FK20,1,$FL20)+$FM20*(INDEX($EK20:$FK20,1,$FL20+1)-INDEX($EK20:$FK20,1,$FL20))</f>
      </c>
      <c r="FP20" s="39">
        <f>SQRT(FN20^2+FO20^2)</f>
      </c>
      <c r="FQ20" s="20">
        <f>FN21-FN20</f>
      </c>
      <c r="FR20" s="20">
        <f>FO21-FO20</f>
      </c>
      <c r="FS20" s="20">
        <f>FQ20*SIN(RADIANS(theta_L))-FR20*COS(RADIANS(theta_L))</f>
      </c>
      <c r="FT20" s="47">
        <f>IF(FS20=0,"",-(FN20*SIN(RADIANS(theta_L))-FO20*COS(RADIANS(theta_L)))/FS20)</f>
      </c>
      <c r="FU20" s="20">
        <f>IF(FT20="","",(FN20+FT20*FQ20)*COS(RADIANS(theta_L))+(FO20+FT20*FR20)*SIN(RADIANS(theta_L)))</f>
      </c>
      <c r="FV20" s="20">
        <f>IF(OR(FT20="",FT20&lt;0,FT20&gt;1,FU20&lt;0),"",FU20)</f>
      </c>
    </row>
    <row r="21" spans="1:178" x14ac:dyDescent="0.25">
      <c r="A21">
        <v>14</v>
      </c>
      <c r="B21" s="44">
        <v>130</v>
      </c>
      <c r="C21" s="18">
        <v>831.6483762138494</v>
      </c>
      <c r="D21" s="18">
        <v>-713.7465042268668</v>
      </c>
      <c r="E21" s="18">
        <v>1545.3948804407162</v>
      </c>
      <c r="F21" s="16">
        <v>0.0033</v>
      </c>
      <c r="G21" s="16">
        <v>0</v>
      </c>
      <c r="H21" s="16">
        <v>0</v>
      </c>
      <c r="I21" s="16">
        <v>0.00275</v>
      </c>
      <c r="J21" s="16">
        <v>-4.250993514074865e-7</v>
      </c>
      <c r="K21" s="16">
        <v>5.066136792493406e-7</v>
      </c>
      <c r="L21" s="16">
        <v>0.0024749999999999998</v>
      </c>
      <c r="M21" s="16">
        <v>-6.376490271112297e-7</v>
      </c>
      <c r="N21" s="16">
        <v>7.599205188740108e-7</v>
      </c>
      <c r="O21" s="16">
        <v>0.0021999999999999997</v>
      </c>
      <c r="P21" s="16">
        <v>-8.50198702814973e-7</v>
      </c>
      <c r="Q21" s="16">
        <v>0.0000010132273584986811</v>
      </c>
      <c r="R21" s="16">
        <v>0.0019249999999999998</v>
      </c>
      <c r="S21" s="16">
        <v>-0.0000010627483785187162</v>
      </c>
      <c r="T21" s="16">
        <v>0.0000012665341981233513</v>
      </c>
      <c r="U21" s="16">
        <v>0.0018000000000000002</v>
      </c>
      <c r="V21" s="16">
        <v>-0.0000011593618674749628</v>
      </c>
      <c r="W21" s="16">
        <v>0.0000013816736706800193</v>
      </c>
      <c r="X21" s="16">
        <v>0.00165</v>
      </c>
      <c r="Y21" s="16">
        <v>-0.0000012752980542224595</v>
      </c>
      <c r="Z21" s="16">
        <v>0.0000015198410377480215</v>
      </c>
      <c r="AA21" s="16">
        <v>0.0015241175532281802</v>
      </c>
      <c r="AB21" s="16">
        <v>-0.0000013725935932702558</v>
      </c>
      <c r="AC21" s="16">
        <v>0.0000016357933459516229</v>
      </c>
      <c r="AD21" s="16">
        <v>0.0012550444552324501</v>
      </c>
      <c r="AE21" s="16">
        <v>-0.0000015805623195233249</v>
      </c>
      <c r="AF21" s="16">
        <v>0.00000188364082261096</v>
      </c>
      <c r="AG21" s="16">
        <v>0.001120507906234585</v>
      </c>
      <c r="AH21" s="16">
        <v>-0.0000016845466826498592</v>
      </c>
      <c r="AI21" s="16">
        <v>0.0000020075645609406282</v>
      </c>
      <c r="AJ21" s="16">
        <v>0.0009859713572367198</v>
      </c>
      <c r="AK21" s="16">
        <v>-0.0000017885310457763938</v>
      </c>
      <c r="AL21" s="16">
        <v>0.0000021314882992702965</v>
      </c>
      <c r="AM21" s="16">
        <v>0.0008514348082388546</v>
      </c>
      <c r="AN21" s="16">
        <v>-0.0000018925154089029285</v>
      </c>
      <c r="AO21" s="16">
        <v>0.0000022554120375999653</v>
      </c>
      <c r="AP21" s="16">
        <v>0.000716898259240989</v>
      </c>
      <c r="AQ21" s="16">
        <v>-0.000001996499772029463</v>
      </c>
      <c r="AR21" s="16">
        <v>0.0000023793357759296336</v>
      </c>
      <c r="AS21" s="16">
        <v>0.0005823617102431243</v>
      </c>
      <c r="AT21" s="16">
        <v>-0.0000021004841351559974</v>
      </c>
      <c r="AU21" s="16">
        <v>0.0000025032595142593015</v>
      </c>
      <c r="AV21" s="16">
        <v>0.0004478251612452591</v>
      </c>
      <c r="AW21" s="16">
        <v>-0.000002204468498282532</v>
      </c>
      <c r="AX21" s="16">
        <v>0.0000026271832525889702</v>
      </c>
      <c r="AY21" s="16">
        <v>0.00017875206324952922</v>
      </c>
      <c r="AZ21" s="16">
        <v>-0.000002412437224535601</v>
      </c>
      <c r="BA21" s="16">
        <v>0.000002875030729248307</v>
      </c>
      <c r="BB21" s="16">
        <v>-0.00009032103474620155</v>
      </c>
      <c r="BC21" s="16">
        <v>-0.00000262040595078867</v>
      </c>
      <c r="BD21" s="16">
        <v>0.000003122878205907644</v>
      </c>
      <c r="BE21" s="16">
        <v>-0.0003593941327419319</v>
      </c>
      <c r="BF21" s="16">
        <v>-0.0000028283746770417395</v>
      </c>
      <c r="BG21" s="16">
        <v>0.000003370725682566981</v>
      </c>
      <c r="BH21" s="16">
        <v>-0.0006284672307376622</v>
      </c>
      <c r="BI21" s="16">
        <v>-0.000003036343403294808</v>
      </c>
      <c r="BJ21" s="16">
        <v>0.0000036185731592263176</v>
      </c>
      <c r="BK21" s="16">
        <v>-0.001166613426729122</v>
      </c>
      <c r="BL21" s="16">
        <v>-0.000003452280855800946</v>
      </c>
      <c r="BM21" s="16">
        <v>0.000004114268112544991</v>
      </c>
      <c r="BN21" s="16">
        <v>-0.0017047596227205827</v>
      </c>
      <c r="BO21" s="16">
        <v>-0.000003868218308307084</v>
      </c>
      <c r="BP21" s="16">
        <v>0.0000046099630658636645</v>
      </c>
      <c r="BQ21" s="16">
        <v>-0.002781052014703505</v>
      </c>
      <c r="BR21" s="16">
        <v>-0.000004700093213319361</v>
      </c>
      <c r="BS21" s="16">
        <v>0.000005601352972501013</v>
      </c>
      <c r="BT21" s="16">
        <v>-0.0038573444066864245</v>
      </c>
      <c r="BU21" s="16">
        <v>-0.000005531968118331637</v>
      </c>
      <c r="BV21" s="16">
        <v>0.000006592742879138359</v>
      </c>
      <c r="BW21" s="16">
        <v>-0.006548075386643729</v>
      </c>
      <c r="BX21" s="16">
        <v>-0.000007611655380862328</v>
      </c>
      <c r="BY21" s="16">
        <v>0.000009071217645731727</v>
      </c>
      <c r="BZ21" s="16">
        <v>-0.00923880636660103</v>
      </c>
      <c r="CA21" s="16">
        <v>-0.000009691342643393018</v>
      </c>
      <c r="CB21" s="16">
        <v>0.000011549692412325097</v>
      </c>
      <c r="CC21" s="16">
        <v>-0.02000173028643024</v>
      </c>
      <c r="CD21" s="16">
        <v>-0.00001801009169351578</v>
      </c>
      <c r="CE21" s="16">
        <v>0.000021463591478698567</v>
      </c>
      <c r="CF21" s="16">
        <v>-0.05</v>
      </c>
      <c r="CG21" s="16">
        <v>0</v>
      </c>
      <c r="CH21" s="16">
        <v>0</v>
      </c>
      <c r="CI21" s="45">
        <v>33981.43387592912</v>
      </c>
      <c r="CJ21" s="45">
        <v>33981.43387592912</v>
      </c>
      <c r="CK21" s="45">
        <v>33861.12011412981</v>
      </c>
      <c r="CL21" s="45">
        <v>32881.80265926324</v>
      </c>
      <c r="CM21" s="45">
        <v>30855.005526209377</v>
      </c>
      <c r="CN21" s="45">
        <v>29533.92349375708</v>
      </c>
      <c r="CO21" s="45">
        <v>27619.544658542214</v>
      </c>
      <c r="CP21" s="45">
        <v>25828.834090045955</v>
      </c>
      <c r="CQ21" s="45">
        <v>22310.378409219877</v>
      </c>
      <c r="CR21" s="45">
        <v>20692.9706490081</v>
      </c>
      <c r="CS21" s="45">
        <v>19128.451438865763</v>
      </c>
      <c r="CT21" s="45">
        <v>17629.3670931777</v>
      </c>
      <c r="CU21" s="45">
        <v>16201.438440933865</v>
      </c>
      <c r="CV21" s="45">
        <v>14848.147011311112</v>
      </c>
      <c r="CW21" s="45">
        <v>13571.021658828146</v>
      </c>
      <c r="CX21" s="45">
        <v>11397.31266132688</v>
      </c>
      <c r="CY21" s="45">
        <v>9627.546798389118</v>
      </c>
      <c r="CZ21" s="45">
        <v>8197.09325101943</v>
      </c>
      <c r="DA21" s="45">
        <v>7049.482802975906</v>
      </c>
      <c r="DB21" s="45">
        <v>5321.774382932601</v>
      </c>
      <c r="DC21" s="45">
        <v>3999.840416724033</v>
      </c>
      <c r="DD21" s="45">
        <v>2165.2711975185725</v>
      </c>
      <c r="DE21" s="45">
        <v>835.2502338755801</v>
      </c>
      <c r="DF21" s="45">
        <v>-1325.4698372256803</v>
      </c>
      <c r="DG21" s="45">
        <v>-2658.507710420096</v>
      </c>
      <c r="DH21" s="45">
        <v>-4668.297312131807</v>
      </c>
      <c r="DI21" s="45">
        <v>-5790.583579096708</v>
      </c>
      <c r="DJ21" s="45">
        <v>6.55418261885643e-13</v>
      </c>
      <c r="DK21" s="45">
        <v>6.55418261885643e-13</v>
      </c>
      <c r="DL21" s="45">
        <v>-43.470578514860385</v>
      </c>
      <c r="DM21" s="45">
        <v>-338.2578093986828</v>
      </c>
      <c r="DN21" s="45">
        <v>-920.3007501188997</v>
      </c>
      <c r="DO21" s="45">
        <v>-1269.556165375445</v>
      </c>
      <c r="DP21" s="45">
        <v>-1760.1945402314525</v>
      </c>
      <c r="DQ21" s="45">
        <v>-2172.796443685329</v>
      </c>
      <c r="DR21" s="45">
        <v>-2766.152262028416</v>
      </c>
      <c r="DS21" s="45">
        <v>-2971.1275112906565</v>
      </c>
      <c r="DT21" s="45">
        <v>-3141.605870781592</v>
      </c>
      <c r="DU21" s="45">
        <v>-3287.6000516610443</v>
      </c>
      <c r="DV21" s="45">
        <v>-3409.739431741207</v>
      </c>
      <c r="DW21" s="45">
        <v>-3503.0629127004286</v>
      </c>
      <c r="DX21" s="45">
        <v>-3567.6283620251747</v>
      </c>
      <c r="DY21" s="45">
        <v>-3576.313082001725</v>
      </c>
      <c r="DZ21" s="45">
        <v>-3491.155447859436</v>
      </c>
      <c r="EA21" s="45">
        <v>-3364.1290927452187</v>
      </c>
      <c r="EB21" s="45">
        <v>-3238.4153891761152</v>
      </c>
      <c r="EC21" s="45">
        <v>-3028.302212085409</v>
      </c>
      <c r="ED21" s="45">
        <v>-2830.263398761134</v>
      </c>
      <c r="EE21" s="45">
        <v>-2448.942870237528</v>
      </c>
      <c r="EF21" s="45">
        <v>-2144.3326353486245</v>
      </c>
      <c r="EG21" s="45">
        <v>-1614.4882664959716</v>
      </c>
      <c r="EH21" s="45">
        <v>-1204.3610062051935</v>
      </c>
      <c r="EI21" s="45">
        <v>-457.72422894053</v>
      </c>
      <c r="EJ21" s="45">
        <v>0</v>
      </c>
      <c r="EK21" s="45">
        <v>-5.220063030719757e-12</v>
      </c>
      <c r="EL21" s="45">
        <v>-5.220063030719757e-12</v>
      </c>
      <c r="EM21" s="45">
        <v>70.03682558763164</v>
      </c>
      <c r="EN21" s="45">
        <v>568.3588749254336</v>
      </c>
      <c r="EO21" s="45">
        <v>1467.8040444089777</v>
      </c>
      <c r="EP21" s="45">
        <v>2015.1928831863395</v>
      </c>
      <c r="EQ21" s="45">
        <v>2783.8151446957113</v>
      </c>
      <c r="ER21" s="45">
        <v>3452.432810203995</v>
      </c>
      <c r="ES21" s="45">
        <v>4478.699668239828</v>
      </c>
      <c r="ET21" s="45">
        <v>4823.374935221731</v>
      </c>
      <c r="EU21" s="45">
        <v>5080.561858085566</v>
      </c>
      <c r="EV21" s="45">
        <v>5273.357110107376</v>
      </c>
      <c r="EW21" s="45">
        <v>5417.540724100972</v>
      </c>
      <c r="EX21" s="45">
        <v>5530.010043723447</v>
      </c>
      <c r="EY21" s="45">
        <v>5622.239334190098</v>
      </c>
      <c r="EZ21" s="45">
        <v>5684.8560640102905</v>
      </c>
      <c r="FA21" s="45">
        <v>5644.291834759379</v>
      </c>
      <c r="FB21" s="45">
        <v>5534.159485811004</v>
      </c>
      <c r="FC21" s="45">
        <v>5384.288030667616</v>
      </c>
      <c r="FD21" s="45">
        <v>5021.272862451933</v>
      </c>
      <c r="FE21" s="45">
        <v>4664.195319656198</v>
      </c>
      <c r="FF21" s="45">
        <v>4073.0440936493774</v>
      </c>
      <c r="FG21" s="45">
        <v>3548.643645668581</v>
      </c>
      <c r="FH21" s="45">
        <v>2532.081750739266</v>
      </c>
      <c r="FI21" s="45">
        <v>1844.9712769077469</v>
      </c>
      <c r="FJ21" s="45">
        <v>720.2796840587451</v>
      </c>
      <c r="FK21" s="45">
        <v>5.960464477539062e-14</v>
      </c>
      <c r="FL21" s="46">
        <f>MAX(1,MIN(26,SUMPRODUCT(--($CI21:$DI21&gt;=Pu))))</f>
      </c>
      <c r="FM21" s="47">
        <f>(Pu-INDEX($CI21:$DI21,1,$FL21))/(INDEX($CI21:$DI21,1,$FL21+1)-INDEX($CI21:$DI21,1,$FL21))</f>
      </c>
      <c r="FN21" s="39">
        <f>INDEX($DJ21:$EJ21,1,$FL21)+$FM21*(INDEX($DJ21:$EJ21,1,$FL21+1)-INDEX($DJ21:$EJ21,1,$FL21))</f>
      </c>
      <c r="FO21" s="39">
        <f>INDEX($EK21:$FK21,1,$FL21)+$FM21*(INDEX($EK21:$FK21,1,$FL21+1)-INDEX($EK21:$FK21,1,$FL21))</f>
      </c>
      <c r="FP21" s="39">
        <f>SQRT(FN21^2+FO21^2)</f>
      </c>
      <c r="FQ21" s="20">
        <f>FN22-FN21</f>
      </c>
      <c r="FR21" s="20">
        <f>FO22-FO21</f>
      </c>
      <c r="FS21" s="20">
        <f>FQ21*SIN(RADIANS(theta_L))-FR21*COS(RADIANS(theta_L))</f>
      </c>
      <c r="FT21" s="47">
        <f>IF(FS21=0,"",-(FN21*SIN(RADIANS(theta_L))-FO21*COS(RADIANS(theta_L)))/FS21)</f>
      </c>
      <c r="FU21" s="20">
        <f>IF(FT21="","",(FN21+FT21*FQ21)*COS(RADIANS(theta_L))+(FO21+FT21*FR21)*SIN(RADIANS(theta_L)))</f>
      </c>
      <c r="FV21" s="20">
        <f>IF(OR(FT21="",FT21&lt;0,FT21&gt;1,FU21&lt;0),"",FU21)</f>
      </c>
    </row>
    <row r="22" spans="1:178" x14ac:dyDescent="0.25">
      <c r="A22">
        <v>15</v>
      </c>
      <c r="B22" s="44">
        <v>140</v>
      </c>
      <c r="C22" s="18">
        <v>813.1598511989835</v>
      </c>
      <c r="D22" s="18">
        <v>-666.9089075225402</v>
      </c>
      <c r="E22" s="18">
        <v>1480.0687587215236</v>
      </c>
      <c r="F22" s="16">
        <v>0.0033</v>
      </c>
      <c r="G22" s="16">
        <v>0</v>
      </c>
      <c r="H22" s="16">
        <v>0</v>
      </c>
      <c r="I22" s="16">
        <v>0.00275</v>
      </c>
      <c r="J22" s="16">
        <v>-5.181323734739309e-7</v>
      </c>
      <c r="K22" s="16">
        <v>4.3476468348298433e-7</v>
      </c>
      <c r="L22" s="16">
        <v>0.002475</v>
      </c>
      <c r="M22" s="16">
        <v>-7.771985602108964e-7</v>
      </c>
      <c r="N22" s="16">
        <v>6.521470252244765e-7</v>
      </c>
      <c r="O22" s="16">
        <v>0.0022</v>
      </c>
      <c r="P22" s="16">
        <v>-0.0000010362647469478618</v>
      </c>
      <c r="Q22" s="16">
        <v>8.695293669659687e-7</v>
      </c>
      <c r="R22" s="16">
        <v>0.0019249999999999998</v>
      </c>
      <c r="S22" s="16">
        <v>-0.0000012953309336848276</v>
      </c>
      <c r="T22" s="16">
        <v>0.000001086911708707461</v>
      </c>
      <c r="U22" s="16">
        <v>0.0018</v>
      </c>
      <c r="V22" s="16">
        <v>-0.000001413088291292539</v>
      </c>
      <c r="W22" s="16">
        <v>0.0000011857218640445027</v>
      </c>
      <c r="X22" s="16">
        <v>0.0016500000000000002</v>
      </c>
      <c r="Y22" s="16">
        <v>-0.0000015543971204217928</v>
      </c>
      <c r="Z22" s="16">
        <v>0.000001304294050448953</v>
      </c>
      <c r="AA22" s="16">
        <v>0.0014869575361656999</v>
      </c>
      <c r="AB22" s="16">
        <v>-0.0000017079927181736175</v>
      </c>
      <c r="AC22" s="16">
        <v>0.000001433176059872963</v>
      </c>
      <c r="AD22" s="16">
        <v>0.0012122541325544425</v>
      </c>
      <c r="AE22" s="16">
        <v>-0.0000019667794936544685</v>
      </c>
      <c r="AF22" s="16">
        <v>0.0000016503239477325027</v>
      </c>
      <c r="AG22" s="16">
        <v>0.0010749024307488138</v>
      </c>
      <c r="AH22" s="16">
        <v>-0.000002096172881394894</v>
      </c>
      <c r="AI22" s="16">
        <v>0.0000017588978916622725</v>
      </c>
      <c r="AJ22" s="16">
        <v>0.0009375507289431846</v>
      </c>
      <c r="AK22" s="16">
        <v>-0.0000022255662691353197</v>
      </c>
      <c r="AL22" s="16">
        <v>0.0000018674718355920427</v>
      </c>
      <c r="AM22" s="16">
        <v>0.0008001990271375558</v>
      </c>
      <c r="AN22" s="16">
        <v>-0.0000023549596568757453</v>
      </c>
      <c r="AO22" s="16">
        <v>0.0000019760457795218125</v>
      </c>
      <c r="AP22" s="16">
        <v>0.000662847325331927</v>
      </c>
      <c r="AQ22" s="16">
        <v>-0.000002484353044616171</v>
      </c>
      <c r="AR22" s="16">
        <v>0.0000020846197234515825</v>
      </c>
      <c r="AS22" s="16">
        <v>0.0005254956235262987</v>
      </c>
      <c r="AT22" s="16">
        <v>-0.000002613746432356596</v>
      </c>
      <c r="AU22" s="16">
        <v>0.000002193193667381352</v>
      </c>
      <c r="AV22" s="16">
        <v>0.0003881439217206695</v>
      </c>
      <c r="AW22" s="16">
        <v>-0.0000027431398200970218</v>
      </c>
      <c r="AX22" s="16">
        <v>0.0000023017676113111225</v>
      </c>
      <c r="AY22" s="16">
        <v>0.00011344051810941239</v>
      </c>
      <c r="AZ22" s="16">
        <v>-0.0000030019265955778726</v>
      </c>
      <c r="BA22" s="16">
        <v>0.0000025189154991706616</v>
      </c>
      <c r="BB22" s="16">
        <v>-0.00016126288550184558</v>
      </c>
      <c r="BC22" s="16">
        <v>-0.0000032607133710587242</v>
      </c>
      <c r="BD22" s="16">
        <v>0.000002736063387030202</v>
      </c>
      <c r="BE22" s="16">
        <v>-0.00043596628911310355</v>
      </c>
      <c r="BF22" s="16">
        <v>-0.000003519500146539576</v>
      </c>
      <c r="BG22" s="16">
        <v>0.000002953211274889742</v>
      </c>
      <c r="BH22" s="16">
        <v>-0.0007106696927243611</v>
      </c>
      <c r="BI22" s="16">
        <v>-0.0000037782869220204267</v>
      </c>
      <c r="BJ22" s="16">
        <v>0.000003170359162749282</v>
      </c>
      <c r="BK22" s="16">
        <v>-0.0012600764999468762</v>
      </c>
      <c r="BL22" s="16">
        <v>-0.000004295860472982128</v>
      </c>
      <c r="BM22" s="16">
        <v>0.000003604654938468361</v>
      </c>
      <c r="BN22" s="16">
        <v>-0.0018094833071693904</v>
      </c>
      <c r="BO22" s="16">
        <v>-0.00000481343402394383</v>
      </c>
      <c r="BP22" s="16">
        <v>0.00000403895071418744</v>
      </c>
      <c r="BQ22" s="16">
        <v>-0.0029082969216144222</v>
      </c>
      <c r="BR22" s="16">
        <v>-0.000005848581125867236</v>
      </c>
      <c r="BS22" s="16">
        <v>0.000004907542265625601</v>
      </c>
      <c r="BT22" s="16">
        <v>-0.0040071105360594515</v>
      </c>
      <c r="BU22" s="16">
        <v>-0.00000688372822779064</v>
      </c>
      <c r="BV22" s="16">
        <v>0.000005776133817063759</v>
      </c>
      <c r="BW22" s="16">
        <v>-0.006754144572172028</v>
      </c>
      <c r="BX22" s="16">
        <v>-0.000009471595982599151</v>
      </c>
      <c r="BY22" s="16">
        <v>0.000007947612695659158</v>
      </c>
      <c r="BZ22" s="16">
        <v>-0.009501178608284602</v>
      </c>
      <c r="CA22" s="16">
        <v>-0.000012059463737407662</v>
      </c>
      <c r="CB22" s="16">
        <v>0.000010119091574254557</v>
      </c>
      <c r="CC22" s="16">
        <v>-0.020489314752734907</v>
      </c>
      <c r="CD22" s="16">
        <v>-0.000022410934756641707</v>
      </c>
      <c r="CE22" s="16">
        <v>0.00001880500708863615</v>
      </c>
      <c r="CF22" s="16">
        <v>-0.05</v>
      </c>
      <c r="CG22" s="16">
        <v>0</v>
      </c>
      <c r="CH22" s="16">
        <v>0</v>
      </c>
      <c r="CI22" s="45">
        <v>33981.43387592912</v>
      </c>
      <c r="CJ22" s="45">
        <v>33981.43387592912</v>
      </c>
      <c r="CK22" s="45">
        <v>33863.399702958624</v>
      </c>
      <c r="CL22" s="45">
        <v>32899.21981623408</v>
      </c>
      <c r="CM22" s="45">
        <v>30842.125818211876</v>
      </c>
      <c r="CN22" s="45">
        <v>29535.772279034274</v>
      </c>
      <c r="CO22" s="45">
        <v>27634.198706586183</v>
      </c>
      <c r="CP22" s="45">
        <v>25331.45132890057</v>
      </c>
      <c r="CQ22" s="45">
        <v>21760.322248916444</v>
      </c>
      <c r="CR22" s="45">
        <v>20099.396951737763</v>
      </c>
      <c r="CS22" s="45">
        <v>18513.13731805183</v>
      </c>
      <c r="CT22" s="45">
        <v>17004.111375666704</v>
      </c>
      <c r="CU22" s="45">
        <v>15595.283433307739</v>
      </c>
      <c r="CV22" s="45">
        <v>14296.166726999612</v>
      </c>
      <c r="CW22" s="45">
        <v>13108.16712629838</v>
      </c>
      <c r="CX22" s="45">
        <v>11112.679501230268</v>
      </c>
      <c r="CY22" s="45">
        <v>9459.856233908784</v>
      </c>
      <c r="CZ22" s="45">
        <v>8046.687322654508</v>
      </c>
      <c r="DA22" s="45">
        <v>6848.925450177883</v>
      </c>
      <c r="DB22" s="45">
        <v>5046.398268532079</v>
      </c>
      <c r="DC22" s="45">
        <v>3788.3229484121825</v>
      </c>
      <c r="DD22" s="45">
        <v>1887.7959285797729</v>
      </c>
      <c r="DE22" s="45">
        <v>530.255801803785</v>
      </c>
      <c r="DF22" s="45">
        <v>-1612.596664867675</v>
      </c>
      <c r="DG22" s="45">
        <v>-2843.9781608715934</v>
      </c>
      <c r="DH22" s="45">
        <v>-4747.928328036806</v>
      </c>
      <c r="DI22" s="45">
        <v>-5790.583579096708</v>
      </c>
      <c r="DJ22" s="45">
        <v>6.55418261885643e-13</v>
      </c>
      <c r="DK22" s="45">
        <v>6.55418261885643e-13</v>
      </c>
      <c r="DL22" s="45">
        <v>-48.958749949947816</v>
      </c>
      <c r="DM22" s="45">
        <v>-398.07487368961654</v>
      </c>
      <c r="DN22" s="45">
        <v>-1088.2689795255794</v>
      </c>
      <c r="DO22" s="45">
        <v>-1510.5359062884645</v>
      </c>
      <c r="DP22" s="45">
        <v>-2101.5510864134494</v>
      </c>
      <c r="DQ22" s="45">
        <v>-2749.2590197014633</v>
      </c>
      <c r="DR22" s="45">
        <v>-3532.7211669010458</v>
      </c>
      <c r="DS22" s="45">
        <v>-3818.0405401335083</v>
      </c>
      <c r="DT22" s="45">
        <v>-4053.4033227156942</v>
      </c>
      <c r="DU22" s="45">
        <v>-4241.46094610851</v>
      </c>
      <c r="DV22" s="45">
        <v>-4382.332586994836</v>
      </c>
      <c r="DW22" s="45">
        <v>-4474.609540935373</v>
      </c>
      <c r="DX22" s="45">
        <v>-4526.954348123551</v>
      </c>
      <c r="DY22" s="45">
        <v>-4493.501927191643</v>
      </c>
      <c r="DZ22" s="45">
        <v>-4364.208251969574</v>
      </c>
      <c r="EA22" s="45">
        <v>-4190.247699752607</v>
      </c>
      <c r="EB22" s="45">
        <v>-4004.9008574008312</v>
      </c>
      <c r="EC22" s="45">
        <v>-3648.936488645754</v>
      </c>
      <c r="ED22" s="45">
        <v>-3332.614886175481</v>
      </c>
      <c r="EE22" s="45">
        <v>-2820.971901243181</v>
      </c>
      <c r="EF22" s="45">
        <v>-2449.4967885377496</v>
      </c>
      <c r="EG22" s="45">
        <v>-1733.8828488807712</v>
      </c>
      <c r="EH22" s="45">
        <v>-1271.1941975865855</v>
      </c>
      <c r="EI22" s="45">
        <v>-481.9439440512204</v>
      </c>
      <c r="EJ22" s="45">
        <v>0</v>
      </c>
      <c r="EK22" s="45">
        <v>-5.220063030719757e-12</v>
      </c>
      <c r="EL22" s="45">
        <v>-5.220063030719757e-12</v>
      </c>
      <c r="EM22" s="45">
        <v>61.953521070099995</v>
      </c>
      <c r="EN22" s="45">
        <v>493.7327338958014</v>
      </c>
      <c r="EO22" s="45">
        <v>1280.8257430680267</v>
      </c>
      <c r="EP22" s="45">
        <v>1753.738440878117</v>
      </c>
      <c r="EQ22" s="45">
        <v>2419.2792007055427</v>
      </c>
      <c r="ER22" s="45">
        <v>3138.788608692687</v>
      </c>
      <c r="ES22" s="45">
        <v>3910.562698120713</v>
      </c>
      <c r="ET22" s="45">
        <v>4158.582913229491</v>
      </c>
      <c r="EU22" s="45">
        <v>4344.114165484369</v>
      </c>
      <c r="EV22" s="45">
        <v>4479.214604815689</v>
      </c>
      <c r="EW22" s="45">
        <v>4580.792479568259</v>
      </c>
      <c r="EX22" s="45">
        <v>4661.756579654492</v>
      </c>
      <c r="EY22" s="45">
        <v>4734.73162021244</v>
      </c>
      <c r="EZ22" s="45">
        <v>4780.4278574436485</v>
      </c>
      <c r="FA22" s="45">
        <v>4758.621804881603</v>
      </c>
      <c r="FB22" s="45">
        <v>4690.914638154413</v>
      </c>
      <c r="FC22" s="45">
        <v>4570.681848285162</v>
      </c>
      <c r="FD22" s="45">
        <v>4283.99716127675</v>
      </c>
      <c r="FE22" s="45">
        <v>4005.227687459116</v>
      </c>
      <c r="FF22" s="45">
        <v>3507.0550627953053</v>
      </c>
      <c r="FG22" s="45">
        <v>3050.461000333123</v>
      </c>
      <c r="FH22" s="45">
        <v>2186.382614813867</v>
      </c>
      <c r="FI22" s="45">
        <v>1605.6285614258188</v>
      </c>
      <c r="FJ22" s="45">
        <v>609.3567258624712</v>
      </c>
      <c r="FK22" s="45">
        <v>5.960464477539062e-14</v>
      </c>
      <c r="FL22" s="46">
        <f>MAX(1,MIN(26,SUMPRODUCT(--($CI22:$DI22&gt;=Pu))))</f>
      </c>
      <c r="FM22" s="47">
        <f>(Pu-INDEX($CI22:$DI22,1,$FL22))/(INDEX($CI22:$DI22,1,$FL22+1)-INDEX($CI22:$DI22,1,$FL22))</f>
      </c>
      <c r="FN22" s="39">
        <f>INDEX($DJ22:$EJ22,1,$FL22)+$FM22*(INDEX($DJ22:$EJ22,1,$FL22+1)-INDEX($DJ22:$EJ22,1,$FL22))</f>
      </c>
      <c r="FO22" s="39">
        <f>INDEX($EK22:$FK22,1,$FL22)+$FM22*(INDEX($EK22:$FK22,1,$FL22+1)-INDEX($EK22:$FK22,1,$FL22))</f>
      </c>
      <c r="FP22" s="39">
        <f>SQRT(FN22^2+FO22^2)</f>
      </c>
      <c r="FQ22" s="20">
        <f>FN23-FN22</f>
      </c>
      <c r="FR22" s="20">
        <f>FO23-FO22</f>
      </c>
      <c r="FS22" s="20">
        <f>FQ22*SIN(RADIANS(theta_L))-FR22*COS(RADIANS(theta_L))</f>
      </c>
      <c r="FT22" s="47">
        <f>IF(FS22=0,"",-(FN22*SIN(RADIANS(theta_L))-FO22*COS(RADIANS(theta_L)))/FS22)</f>
      </c>
      <c r="FU22" s="20">
        <f>IF(FT22="","",(FN22+FT22*FQ22)*COS(RADIANS(theta_L))+(FO22+FT22*FR22)*SIN(RADIANS(theta_L)))</f>
      </c>
      <c r="FV22" s="20">
        <f>IF(OR(FT22="",FT22&lt;0,FT22&gt;1,FU22&lt;0),"",FU22)</f>
      </c>
    </row>
    <row r="23" spans="1:178" x14ac:dyDescent="0.25">
      <c r="A23">
        <v>16</v>
      </c>
      <c r="B23" s="44">
        <v>149.99999999999997</v>
      </c>
      <c r="C23" s="18">
        <v>794.6152422706632</v>
      </c>
      <c r="D23" s="18">
        <v>-658.9934640057526</v>
      </c>
      <c r="E23" s="18">
        <v>1453.608706276416</v>
      </c>
      <c r="F23" s="16">
        <v>0.0033</v>
      </c>
      <c r="G23" s="16">
        <v>0</v>
      </c>
      <c r="H23" s="16">
        <v>0</v>
      </c>
      <c r="I23" s="16">
        <v>0.00275</v>
      </c>
      <c r="J23" s="16">
        <v>-5.99427177762591e-7</v>
      </c>
      <c r="K23" s="16">
        <v>3.4607944244080984e-7</v>
      </c>
      <c r="L23" s="16">
        <v>0.0024749999999999998</v>
      </c>
      <c r="M23" s="16">
        <v>-8.991407666438865e-7</v>
      </c>
      <c r="N23" s="16">
        <v>5.191191636612148e-7</v>
      </c>
      <c r="O23" s="16">
        <v>0.0022</v>
      </c>
      <c r="P23" s="16">
        <v>-0.000001198854355525182</v>
      </c>
      <c r="Q23" s="16">
        <v>6.921588848816197e-7</v>
      </c>
      <c r="R23" s="16">
        <v>0.001925</v>
      </c>
      <c r="S23" s="16">
        <v>-0.0000014985679444064775</v>
      </c>
      <c r="T23" s="16">
        <v>8.651986061020246e-7</v>
      </c>
      <c r="U23" s="16">
        <v>0.0018000000000000002</v>
      </c>
      <c r="V23" s="16">
        <v>-0.0000016348013938979753</v>
      </c>
      <c r="W23" s="16">
        <v>9.438530248385723e-7</v>
      </c>
      <c r="X23" s="16">
        <v>0.00165</v>
      </c>
      <c r="Y23" s="16">
        <v>-0.000001798281533287773</v>
      </c>
      <c r="Z23" s="16">
        <v>0.0000010382383273224295</v>
      </c>
      <c r="AA23" s="16">
        <v>0.001496054902415706</v>
      </c>
      <c r="AB23" s="16">
        <v>-0.0000019660613066974822</v>
      </c>
      <c r="AC23" s="16">
        <v>0.0000011351060246650998</v>
      </c>
      <c r="AD23" s="16">
        <v>0.0012227298876302068</v>
      </c>
      <c r="AE23" s="16">
        <v>-0.000002263949383469828</v>
      </c>
      <c r="AF23" s="16">
        <v>0.0000013070917859779937</v>
      </c>
      <c r="AG23" s="16">
        <v>0.0010860673802374574</v>
      </c>
      <c r="AH23" s="16">
        <v>-0.000002412893421856001</v>
      </c>
      <c r="AI23" s="16">
        <v>0.0000013930846666344405</v>
      </c>
      <c r="AJ23" s="16">
        <v>0.000949404872844708</v>
      </c>
      <c r="AK23" s="16">
        <v>-0.0000025618374602421736</v>
      </c>
      <c r="AL23" s="16">
        <v>0.0000014790775472908876</v>
      </c>
      <c r="AM23" s="16">
        <v>0.0008127423654519582</v>
      </c>
      <c r="AN23" s="16">
        <v>-0.0000027107814986283468</v>
      </c>
      <c r="AO23" s="16">
        <v>0.0000015650704279473346</v>
      </c>
      <c r="AP23" s="16">
        <v>0.0006760798580592083</v>
      </c>
      <c r="AQ23" s="16">
        <v>-0.00000285972553701452</v>
      </c>
      <c r="AR23" s="16">
        <v>0.0000016510633086037817</v>
      </c>
      <c r="AS23" s="16">
        <v>0.0005394173506664589</v>
      </c>
      <c r="AT23" s="16">
        <v>-0.0000030086695754006927</v>
      </c>
      <c r="AU23" s="16">
        <v>0.0000017370561892602283</v>
      </c>
      <c r="AV23" s="16">
        <v>0.0004027548432737095</v>
      </c>
      <c r="AW23" s="16">
        <v>-0.000003157613613786866</v>
      </c>
      <c r="AX23" s="16">
        <v>0.0000018230490699166755</v>
      </c>
      <c r="AY23" s="16">
        <v>0.00012942982848821068</v>
      </c>
      <c r="AZ23" s="16">
        <v>-0.000003455501690559211</v>
      </c>
      <c r="BA23" s="16">
        <v>0.000001995034831229569</v>
      </c>
      <c r="BB23" s="16">
        <v>-0.00014389518629728901</v>
      </c>
      <c r="BC23" s="16">
        <v>-0.0000037533897673315573</v>
      </c>
      <c r="BD23" s="16">
        <v>0.000002167020592542463</v>
      </c>
      <c r="BE23" s="16">
        <v>-0.00041722020108278784</v>
      </c>
      <c r="BF23" s="16">
        <v>-0.000004051277844103903</v>
      </c>
      <c r="BG23" s="16">
        <v>0.000002339006353855357</v>
      </c>
      <c r="BH23" s="16">
        <v>-0.0006905452158682867</v>
      </c>
      <c r="BI23" s="16">
        <v>-0.000004349165920876249</v>
      </c>
      <c r="BJ23" s="16">
        <v>0.000002510992115168251</v>
      </c>
      <c r="BK23" s="16">
        <v>-0.0012371952454392852</v>
      </c>
      <c r="BL23" s="16">
        <v>-0.0000049449420744209405</v>
      </c>
      <c r="BM23" s="16">
        <v>0.0000028549636377940386</v>
      </c>
      <c r="BN23" s="16">
        <v>-0.0017838452750102828</v>
      </c>
      <c r="BO23" s="16">
        <v>-0.0000055407182279656314</v>
      </c>
      <c r="BP23" s="16">
        <v>0.0000031989351604198264</v>
      </c>
      <c r="BQ23" s="16">
        <v>-0.0028771453341522807</v>
      </c>
      <c r="BR23" s="16">
        <v>-0.000006732270535055016</v>
      </c>
      <c r="BS23" s="16">
        <v>0.000003886878205671403</v>
      </c>
      <c r="BT23" s="16">
        <v>-0.003970445393294277</v>
      </c>
      <c r="BU23" s="16">
        <v>-0.000007923822842144399</v>
      </c>
      <c r="BV23" s="16">
        <v>0.000004574821250922978</v>
      </c>
      <c r="BW23" s="16">
        <v>-0.006703695541149268</v>
      </c>
      <c r="BX23" s="16">
        <v>-0.000010902703609867857</v>
      </c>
      <c r="BY23" s="16">
        <v>0.000006294678864051917</v>
      </c>
      <c r="BZ23" s="16">
        <v>-0.009436945689004262</v>
      </c>
      <c r="CA23" s="16">
        <v>-0.000013881584377591317</v>
      </c>
      <c r="CB23" s="16">
        <v>0.000008014536477180857</v>
      </c>
      <c r="CC23" s="16">
        <v>-0.020369946280424222</v>
      </c>
      <c r="CD23" s="16">
        <v>-0.000025797107448485148</v>
      </c>
      <c r="CE23" s="16">
        <v>0.000014893966929696612</v>
      </c>
      <c r="CF23" s="16">
        <v>-0.05</v>
      </c>
      <c r="CG23" s="16">
        <v>0</v>
      </c>
      <c r="CH23" s="16">
        <v>0</v>
      </c>
      <c r="CI23" s="45">
        <v>33981.43387592912</v>
      </c>
      <c r="CJ23" s="45">
        <v>33981.43387592912</v>
      </c>
      <c r="CK23" s="45">
        <v>33876.032423720506</v>
      </c>
      <c r="CL23" s="45">
        <v>32906.00896253187</v>
      </c>
      <c r="CM23" s="45">
        <v>30851.92170191501</v>
      </c>
      <c r="CN23" s="45">
        <v>29530.365543009226</v>
      </c>
      <c r="CO23" s="45">
        <v>27606.287904631015</v>
      </c>
      <c r="CP23" s="45">
        <v>25380.737018622607</v>
      </c>
      <c r="CQ23" s="45">
        <v>21707.524511551168</v>
      </c>
      <c r="CR23" s="45">
        <v>20027.977686561753</v>
      </c>
      <c r="CS23" s="45">
        <v>18459.700761718</v>
      </c>
      <c r="CT23" s="45">
        <v>17010.06513182722</v>
      </c>
      <c r="CU23" s="45">
        <v>15697.191393702924</v>
      </c>
      <c r="CV23" s="45">
        <v>14509.847419832777</v>
      </c>
      <c r="CW23" s="45">
        <v>13400.03008413472</v>
      </c>
      <c r="CX23" s="45">
        <v>11482.620029205329</v>
      </c>
      <c r="CY23" s="45">
        <v>9855.756716821383</v>
      </c>
      <c r="CZ23" s="45">
        <v>8506.000783745014</v>
      </c>
      <c r="DA23" s="45">
        <v>7315.769153577812</v>
      </c>
      <c r="DB23" s="45">
        <v>5445.803689066823</v>
      </c>
      <c r="DC23" s="45">
        <v>3997.387410376516</v>
      </c>
      <c r="DD23" s="45">
        <v>1949.8973719397882</v>
      </c>
      <c r="DE23" s="45">
        <v>509.633182821041</v>
      </c>
      <c r="DF23" s="45">
        <v>-1807.5002700487496</v>
      </c>
      <c r="DG23" s="45">
        <v>-3145.9229606543713</v>
      </c>
      <c r="DH23" s="45">
        <v>-5044.245735349632</v>
      </c>
      <c r="DI23" s="45">
        <v>-5790.583579096708</v>
      </c>
      <c r="DJ23" s="45">
        <v>6.55418261885643e-13</v>
      </c>
      <c r="DK23" s="45">
        <v>6.55418261885643e-13</v>
      </c>
      <c r="DL23" s="45">
        <v>-48.82677273249524</v>
      </c>
      <c r="DM23" s="45">
        <v>-451.61693024945544</v>
      </c>
      <c r="DN23" s="45">
        <v>-1225.0723114306484</v>
      </c>
      <c r="DO23" s="45">
        <v>-1702.4499008397042</v>
      </c>
      <c r="DP23" s="45">
        <v>-2381.6927872113242</v>
      </c>
      <c r="DQ23" s="45">
        <v>-3127.08126746846</v>
      </c>
      <c r="DR23" s="45">
        <v>-4145.3008580027235</v>
      </c>
      <c r="DS23" s="45">
        <v>-4522.005748210319</v>
      </c>
      <c r="DT23" s="45">
        <v>-4823.786066720646</v>
      </c>
      <c r="DU23" s="45">
        <v>-5045.744661282662</v>
      </c>
      <c r="DV23" s="45">
        <v>-5194.549653500879</v>
      </c>
      <c r="DW23" s="45">
        <v>-5287.121300461979</v>
      </c>
      <c r="DX23" s="45">
        <v>-5345.534657736141</v>
      </c>
      <c r="DY23" s="45">
        <v>-5332.733812545469</v>
      </c>
      <c r="DZ23" s="45">
        <v>-5211.147246092593</v>
      </c>
      <c r="EA23" s="45">
        <v>-5022.4899501368245</v>
      </c>
      <c r="EB23" s="45">
        <v>-4796.765707672195</v>
      </c>
      <c r="EC23" s="45">
        <v>-4296.292370197109</v>
      </c>
      <c r="ED23" s="45">
        <v>-3874.8874951089133</v>
      </c>
      <c r="EE23" s="45">
        <v>-3246.0607146233892</v>
      </c>
      <c r="EF23" s="45">
        <v>-2732.1097803069597</v>
      </c>
      <c r="EG23" s="45">
        <v>-1813.692983001575</v>
      </c>
      <c r="EH23" s="45">
        <v>-1249.9554175270023</v>
      </c>
      <c r="EI23" s="45">
        <v>-389.3207116980091</v>
      </c>
      <c r="EJ23" s="45">
        <v>0</v>
      </c>
      <c r="EK23" s="45">
        <v>-5.220063030719757e-12</v>
      </c>
      <c r="EL23" s="45">
        <v>-5.220063030719757e-12</v>
      </c>
      <c r="EM23" s="45">
        <v>49.00876038762486</v>
      </c>
      <c r="EN23" s="45">
        <v>395.3026346468644</v>
      </c>
      <c r="EO23" s="45">
        <v>1044.9474662340915</v>
      </c>
      <c r="EP23" s="45">
        <v>1429.3873844491482</v>
      </c>
      <c r="EQ23" s="45">
        <v>1956.4233746819339</v>
      </c>
      <c r="ER23" s="45">
        <v>2508.7943372891564</v>
      </c>
      <c r="ES23" s="45">
        <v>3072.5485790399744</v>
      </c>
      <c r="ET23" s="45">
        <v>3217.804563413731</v>
      </c>
      <c r="EU23" s="45">
        <v>3317.9925711855376</v>
      </c>
      <c r="EV23" s="45">
        <v>3397.542972175255</v>
      </c>
      <c r="EW23" s="45">
        <v>3475.4697803282047</v>
      </c>
      <c r="EX23" s="45">
        <v>3554.293561438723</v>
      </c>
      <c r="EY23" s="45">
        <v>3624.1906109761353</v>
      </c>
      <c r="EZ23" s="45">
        <v>3682.544096439456</v>
      </c>
      <c r="FA23" s="45">
        <v>3694.3509130744646</v>
      </c>
      <c r="FB23" s="45">
        <v>3660.613517515544</v>
      </c>
      <c r="FC23" s="45">
        <v>3632.0901167991974</v>
      </c>
      <c r="FD23" s="45">
        <v>3538.8952098945</v>
      </c>
      <c r="FE23" s="45">
        <v>3370.2552296006297</v>
      </c>
      <c r="FF23" s="45">
        <v>2927.05646436924</v>
      </c>
      <c r="FG23" s="45">
        <v>2574.973232754143</v>
      </c>
      <c r="FH23" s="45">
        <v>1854.0928130728937</v>
      </c>
      <c r="FI23" s="45">
        <v>1314.1407121190196</v>
      </c>
      <c r="FJ23" s="45">
        <v>390.1156249147635</v>
      </c>
      <c r="FK23" s="45">
        <v>5.960464477539062e-14</v>
      </c>
      <c r="FL23" s="46">
        <f>MAX(1,MIN(26,SUMPRODUCT(--($CI23:$DI23&gt;=Pu))))</f>
      </c>
      <c r="FM23" s="47">
        <f>(Pu-INDEX($CI23:$DI23,1,$FL23))/(INDEX($CI23:$DI23,1,$FL23+1)-INDEX($CI23:$DI23,1,$FL23))</f>
      </c>
      <c r="FN23" s="39">
        <f>INDEX($DJ23:$EJ23,1,$FL23)+$FM23*(INDEX($DJ23:$EJ23,1,$FL23+1)-INDEX($DJ23:$EJ23,1,$FL23))</f>
      </c>
      <c r="FO23" s="39">
        <f>INDEX($EK23:$FK23,1,$FL23)+$FM23*(INDEX($EK23:$FK23,1,$FL23+1)-INDEX($EK23:$FK23,1,$FL23))</f>
      </c>
      <c r="FP23" s="39">
        <f>SQRT(FN23^2+FO23^2)</f>
      </c>
      <c r="FQ23" s="20">
        <f>FN24-FN23</f>
      </c>
      <c r="FR23" s="20">
        <f>FO24-FO23</f>
      </c>
      <c r="FS23" s="20">
        <f>FQ23*SIN(RADIANS(theta_L))-FR23*COS(RADIANS(theta_L))</f>
      </c>
      <c r="FT23" s="47">
        <f>IF(FS23=0,"",-(FN23*SIN(RADIANS(theta_L))-FO23*COS(RADIANS(theta_L)))/FS23)</f>
      </c>
      <c r="FU23" s="20">
        <f>IF(FT23="","",(FN23+FT23*FQ23)*COS(RADIANS(theta_L))+(FO23+FT23*FR23)*SIN(RADIANS(theta_L)))</f>
      </c>
      <c r="FV23" s="20">
        <f>IF(OR(FT23="",FT23&lt;0,FT23&gt;1,FU23&lt;0),"",FU23)</f>
      </c>
    </row>
    <row r="24" spans="1:178" x14ac:dyDescent="0.25">
      <c r="A24">
        <v>17</v>
      </c>
      <c r="B24" s="44">
        <v>160</v>
      </c>
      <c r="C24" s="18">
        <v>751.9266513006629</v>
      </c>
      <c r="D24" s="18">
        <v>-634.845146346799</v>
      </c>
      <c r="E24" s="18">
        <v>1386.7717976474619</v>
      </c>
      <c r="F24" s="16">
        <v>0.0033</v>
      </c>
      <c r="G24" s="16">
        <v>0</v>
      </c>
      <c r="H24" s="16">
        <v>0</v>
      </c>
      <c r="I24" s="16">
        <v>0.00275</v>
      </c>
      <c r="J24" s="16">
        <v>-6.873422301739791e-7</v>
      </c>
      <c r="K24" s="16">
        <v>2.501721125374773e-7</v>
      </c>
      <c r="L24" s="16">
        <v>0.0024749999999999998</v>
      </c>
      <c r="M24" s="16">
        <v>-0.0000010310133452609685</v>
      </c>
      <c r="N24" s="16">
        <v>3.752581688062159e-7</v>
      </c>
      <c r="O24" s="16">
        <v>0.0021999999999999997</v>
      </c>
      <c r="P24" s="16">
        <v>-0.0000013746844603479583</v>
      </c>
      <c r="Q24" s="16">
        <v>5.003442250749546e-7</v>
      </c>
      <c r="R24" s="16">
        <v>0.0019249999999999998</v>
      </c>
      <c r="S24" s="16">
        <v>-0.000001718355575434948</v>
      </c>
      <c r="T24" s="16">
        <v>6.254302813436933e-7</v>
      </c>
      <c r="U24" s="16">
        <v>0.0018</v>
      </c>
      <c r="V24" s="16">
        <v>-0.0000018745697186563068</v>
      </c>
      <c r="W24" s="16">
        <v>6.822875796476654e-7</v>
      </c>
      <c r="X24" s="16">
        <v>0.00165</v>
      </c>
      <c r="Y24" s="16">
        <v>-0.000002062026690521937</v>
      </c>
      <c r="Z24" s="16">
        <v>7.505163376124318e-7</v>
      </c>
      <c r="AA24" s="16">
        <v>0.0015106948284486345</v>
      </c>
      <c r="AB24" s="16">
        <v>-0.0000022361181946835452</v>
      </c>
      <c r="AC24" s="16">
        <v>8.138804631658879e-7</v>
      </c>
      <c r="AD24" s="16">
        <v>0.0012395879842741846</v>
      </c>
      <c r="AE24" s="16">
        <v>-0.00000257492398175681</v>
      </c>
      <c r="AF24" s="16">
        <v>9.371956848576892e-7</v>
      </c>
      <c r="AG24" s="16">
        <v>0.0011040345621869604</v>
      </c>
      <c r="AH24" s="16">
        <v>-0.0000027443268752934418</v>
      </c>
      <c r="AI24" s="16">
        <v>9.988532957035898e-7</v>
      </c>
      <c r="AJ24" s="16">
        <v>0.0009684811400997354</v>
      </c>
      <c r="AK24" s="16">
        <v>-0.0000029137297688300742</v>
      </c>
      <c r="AL24" s="16">
        <v>0.0000010605109065494904</v>
      </c>
      <c r="AM24" s="16">
        <v>0.0008329277180125108</v>
      </c>
      <c r="AN24" s="16">
        <v>-0.0000030831326623667067</v>
      </c>
      <c r="AO24" s="16">
        <v>0.000001122168517395391</v>
      </c>
      <c r="AP24" s="16">
        <v>0.0006973742959252862</v>
      </c>
      <c r="AQ24" s="16">
        <v>-0.000003252535555903339</v>
      </c>
      <c r="AR24" s="16">
        <v>0.0000011838261282412916</v>
      </c>
      <c r="AS24" s="16">
        <v>0.0005618208738380616</v>
      </c>
      <c r="AT24" s="16">
        <v>-0.000003421938449439971</v>
      </c>
      <c r="AU24" s="16">
        <v>0.000001245483739087192</v>
      </c>
      <c r="AV24" s="16">
        <v>0.00042626745175083696</v>
      </c>
      <c r="AW24" s="16">
        <v>-0.0000035913413429766032</v>
      </c>
      <c r="AX24" s="16">
        <v>0.0000013071413499330929</v>
      </c>
      <c r="AY24" s="16">
        <v>0.00015516060757638775</v>
      </c>
      <c r="AZ24" s="16">
        <v>-0.000003930147130049868</v>
      </c>
      <c r="BA24" s="16">
        <v>0.0000014304565716248937</v>
      </c>
      <c r="BB24" s="16">
        <v>-0.0001159462365980619</v>
      </c>
      <c r="BC24" s="16">
        <v>-0.000004268952917123132</v>
      </c>
      <c r="BD24" s="16">
        <v>0.0000015537717933166952</v>
      </c>
      <c r="BE24" s="16">
        <v>-0.0003870530807725111</v>
      </c>
      <c r="BF24" s="16">
        <v>-0.000004607758704196397</v>
      </c>
      <c r="BG24" s="16">
        <v>0.0000016770870150084964</v>
      </c>
      <c r="BH24" s="16">
        <v>-0.0006581599249469612</v>
      </c>
      <c r="BI24" s="16">
        <v>-0.000004946564491269662</v>
      </c>
      <c r="BJ24" s="16">
        <v>0.0000018004022367002976</v>
      </c>
      <c r="BK24" s="16">
        <v>-0.0012003736132958596</v>
      </c>
      <c r="BL24" s="16">
        <v>-0.00000562417606541619</v>
      </c>
      <c r="BM24" s="16">
        <v>0.0000020470326800839</v>
      </c>
      <c r="BN24" s="16">
        <v>-0.001742587301644758</v>
      </c>
      <c r="BO24" s="16">
        <v>-0.000006301787639562719</v>
      </c>
      <c r="BP24" s="16">
        <v>0.0000022936631234675024</v>
      </c>
      <c r="BQ24" s="16">
        <v>-0.002827014678342556</v>
      </c>
      <c r="BR24" s="16">
        <v>-0.000007657010787855777</v>
      </c>
      <c r="BS24" s="16">
        <v>0.0000027869240102347073</v>
      </c>
      <c r="BT24" s="16">
        <v>-0.003911442055040353</v>
      </c>
      <c r="BU24" s="16">
        <v>-0.000009012233936148835</v>
      </c>
      <c r="BV24" s="16">
        <v>0.000003280184897001912</v>
      </c>
      <c r="BW24" s="16">
        <v>-0.006622510496784847</v>
      </c>
      <c r="BX24" s="16">
        <v>-0.000012400291806881479</v>
      </c>
      <c r="BY24" s="16">
        <v>0.000004513337113919924</v>
      </c>
      <c r="BZ24" s="16">
        <v>-0.00933357893852934</v>
      </c>
      <c r="CA24" s="16">
        <v>-0.000015788349677614123</v>
      </c>
      <c r="CB24" s="16">
        <v>0.000005746489330837936</v>
      </c>
      <c r="CC24" s="16">
        <v>-0.020177852705507315</v>
      </c>
      <c r="CD24" s="16">
        <v>-0.000029340581160544703</v>
      </c>
      <c r="CE24" s="16">
        <v>0.000010679098198509985</v>
      </c>
      <c r="CF24" s="16">
        <v>-0.05</v>
      </c>
      <c r="CG24" s="16">
        <v>0</v>
      </c>
      <c r="CH24" s="16">
        <v>0</v>
      </c>
      <c r="CI24" s="45">
        <v>33981.43387592912</v>
      </c>
      <c r="CJ24" s="45">
        <v>33981.43387592912</v>
      </c>
      <c r="CK24" s="45">
        <v>33866.46043470934</v>
      </c>
      <c r="CL24" s="45">
        <v>32846.244609645684</v>
      </c>
      <c r="CM24" s="45">
        <v>30697.219949188813</v>
      </c>
      <c r="CN24" s="45">
        <v>29309.6097443066</v>
      </c>
      <c r="CO24" s="45">
        <v>27300.750818011173</v>
      </c>
      <c r="CP24" s="45">
        <v>25172.733490727733</v>
      </c>
      <c r="CQ24" s="45">
        <v>21360.98716647161</v>
      </c>
      <c r="CR24" s="45">
        <v>19730.60798691844</v>
      </c>
      <c r="CS24" s="45">
        <v>18285.33534803117</v>
      </c>
      <c r="CT24" s="45">
        <v>17006.17177091882</v>
      </c>
      <c r="CU24" s="45">
        <v>15841.58145508318</v>
      </c>
      <c r="CV24" s="45">
        <v>14755.360392492448</v>
      </c>
      <c r="CW24" s="45">
        <v>13737.084597095234</v>
      </c>
      <c r="CX24" s="45">
        <v>11968.347317246924</v>
      </c>
      <c r="CY24" s="45">
        <v>10539.206333801088</v>
      </c>
      <c r="CZ24" s="45">
        <v>9328.107551995714</v>
      </c>
      <c r="DA24" s="45">
        <v>8304.338217146409</v>
      </c>
      <c r="DB24" s="45">
        <v>6449.765646713419</v>
      </c>
      <c r="DC24" s="45">
        <v>4910.892907757391</v>
      </c>
      <c r="DD24" s="45">
        <v>2614.200481915442</v>
      </c>
      <c r="DE24" s="45">
        <v>1068.158012931651</v>
      </c>
      <c r="DF24" s="45">
        <v>-1527.4808413953674</v>
      </c>
      <c r="DG24" s="45">
        <v>-3013.774870172399</v>
      </c>
      <c r="DH24" s="45">
        <v>-5064.846896047958</v>
      </c>
      <c r="DI24" s="45">
        <v>-5790.583579096708</v>
      </c>
      <c r="DJ24" s="45">
        <v>6.55418261885643e-13</v>
      </c>
      <c r="DK24" s="45">
        <v>6.55418261885643e-13</v>
      </c>
      <c r="DL24" s="45">
        <v>-56.91913748612648</v>
      </c>
      <c r="DM24" s="45">
        <v>-522.0529703940143</v>
      </c>
      <c r="DN24" s="45">
        <v>-1409.5712960921974</v>
      </c>
      <c r="DO24" s="45">
        <v>-1952.5973421514973</v>
      </c>
      <c r="DP24" s="45">
        <v>-2720.3181651620525</v>
      </c>
      <c r="DQ24" s="45">
        <v>-3501.781795613699</v>
      </c>
      <c r="DR24" s="45">
        <v>-4715.179969752153</v>
      </c>
      <c r="DS24" s="45">
        <v>-5138.519927349573</v>
      </c>
      <c r="DT24" s="45">
        <v>-5448.856768776006</v>
      </c>
      <c r="DU24" s="45">
        <v>-5665.290932819792</v>
      </c>
      <c r="DV24" s="45">
        <v>-5816.184773196854</v>
      </c>
      <c r="DW24" s="45">
        <v>-5927.414130888652</v>
      </c>
      <c r="DX24" s="45">
        <v>-6010.378867388586</v>
      </c>
      <c r="DY24" s="45">
        <v>-6051.790660153101</v>
      </c>
      <c r="DZ24" s="45">
        <v>-5958.179081079269</v>
      </c>
      <c r="EA24" s="45">
        <v>-5787.017731851669</v>
      </c>
      <c r="EB24" s="45">
        <v>-5571.273697428158</v>
      </c>
      <c r="EC24" s="45">
        <v>-5111.531530264861</v>
      </c>
      <c r="ED24" s="45">
        <v>-4661.28482362186</v>
      </c>
      <c r="EE24" s="45">
        <v>-3840.1740430725195</v>
      </c>
      <c r="EF24" s="45">
        <v>-3222.2946150285284</v>
      </c>
      <c r="EG24" s="45">
        <v>-2097.1878703522852</v>
      </c>
      <c r="EH24" s="45">
        <v>-1396.4195364665704</v>
      </c>
      <c r="EI24" s="45">
        <v>-393.5871041442493</v>
      </c>
      <c r="EJ24" s="45">
        <v>0</v>
      </c>
      <c r="EK24" s="45">
        <v>-5.220063030719757e-12</v>
      </c>
      <c r="EL24" s="45">
        <v>-5.220063030719757e-12</v>
      </c>
      <c r="EM24" s="45">
        <v>42.24822612637365</v>
      </c>
      <c r="EN24" s="45">
        <v>301.8082060193556</v>
      </c>
      <c r="EO24" s="45">
        <v>778.50154163991</v>
      </c>
      <c r="EP24" s="45">
        <v>1063.1919130931306</v>
      </c>
      <c r="EQ24" s="45">
        <v>1453.9460873012738</v>
      </c>
      <c r="ER24" s="45">
        <v>1817.9940195256252</v>
      </c>
      <c r="ES24" s="45">
        <v>2143.7265997812547</v>
      </c>
      <c r="ET24" s="45">
        <v>2186.7647164589166</v>
      </c>
      <c r="EU24" s="45">
        <v>2220.820369769435</v>
      </c>
      <c r="EV24" s="45">
        <v>2258.6741248095495</v>
      </c>
      <c r="EW24" s="45">
        <v>2306.9564840841144</v>
      </c>
      <c r="EX24" s="45">
        <v>2356.6800105447787</v>
      </c>
      <c r="EY24" s="45">
        <v>2407.1256724062887</v>
      </c>
      <c r="EZ24" s="45">
        <v>2477.04987814416</v>
      </c>
      <c r="FA24" s="45">
        <v>2492.7102488303553</v>
      </c>
      <c r="FB24" s="45">
        <v>2531.1486575665463</v>
      </c>
      <c r="FC24" s="45">
        <v>2544.5965267164315</v>
      </c>
      <c r="FD24" s="45">
        <v>2546.068484370609</v>
      </c>
      <c r="FE24" s="45">
        <v>2476.13697414869</v>
      </c>
      <c r="FF24" s="45">
        <v>2329.1979741880114</v>
      </c>
      <c r="FG24" s="45">
        <v>2097.373178438847</v>
      </c>
      <c r="FH24" s="45">
        <v>1555.283866677683</v>
      </c>
      <c r="FI24" s="45">
        <v>1143.0389241118341</v>
      </c>
      <c r="FJ24" s="45">
        <v>342.864959626809</v>
      </c>
      <c r="FK24" s="45">
        <v>5.960464477539062e-14</v>
      </c>
      <c r="FL24" s="46">
        <f>MAX(1,MIN(26,SUMPRODUCT(--($CI24:$DI24&gt;=Pu))))</f>
      </c>
      <c r="FM24" s="47">
        <f>(Pu-INDEX($CI24:$DI24,1,$FL24))/(INDEX($CI24:$DI24,1,$FL24+1)-INDEX($CI24:$DI24,1,$FL24))</f>
      </c>
      <c r="FN24" s="39">
        <f>INDEX($DJ24:$EJ24,1,$FL24)+$FM24*(INDEX($DJ24:$EJ24,1,$FL24+1)-INDEX($DJ24:$EJ24,1,$FL24))</f>
      </c>
      <c r="FO24" s="39">
        <f>INDEX($EK24:$FK24,1,$FL24)+$FM24*(INDEX($EK24:$FK24,1,$FL24+1)-INDEX($EK24:$FK24,1,$FL24))</f>
      </c>
      <c r="FP24" s="39">
        <f>SQRT(FN24^2+FO24^2)</f>
      </c>
      <c r="FQ24" s="20">
        <f>FN25-FN24</f>
      </c>
      <c r="FR24" s="20">
        <f>FO25-FO24</f>
      </c>
      <c r="FS24" s="20">
        <f>FQ24*SIN(RADIANS(theta_L))-FR24*COS(RADIANS(theta_L))</f>
      </c>
      <c r="FT24" s="47">
        <f>IF(FS24=0,"",-(FN24*SIN(RADIANS(theta_L))-FO24*COS(RADIANS(theta_L)))/FS24)</f>
      </c>
      <c r="FU24" s="20">
        <f>IF(FT24="","",(FN24+FT24*FQ24)*COS(RADIANS(theta_L))+(FO24+FT24*FR24)*SIN(RADIANS(theta_L)))</f>
      </c>
      <c r="FV24" s="20">
        <f>IF(OR(FT24="",FT24&lt;0,FT24&gt;1,FU24&lt;0),"",FU24)</f>
      </c>
    </row>
    <row r="25" spans="1:178" x14ac:dyDescent="0.25">
      <c r="A25">
        <v>18</v>
      </c>
      <c r="B25" s="44">
        <v>170</v>
      </c>
      <c r="C25" s="18">
        <v>686.3911495241364</v>
      </c>
      <c r="D25" s="18">
        <v>-591.4073801632424</v>
      </c>
      <c r="E25" s="18">
        <v>1277.7985296873787</v>
      </c>
      <c r="F25" s="16">
        <v>0.0033</v>
      </c>
      <c r="G25" s="16">
        <v>0</v>
      </c>
      <c r="H25" s="16">
        <v>0</v>
      </c>
      <c r="I25" s="16">
        <v>0.00275</v>
      </c>
      <c r="J25" s="16">
        <v>-7.891189513912401e-7</v>
      </c>
      <c r="K25" s="16">
        <v>1.3914296211864725e-7</v>
      </c>
      <c r="L25" s="16">
        <v>0.0024749999999999998</v>
      </c>
      <c r="M25" s="16">
        <v>-0.0000011836784270868602</v>
      </c>
      <c r="N25" s="16">
        <v>2.087144431779709e-7</v>
      </c>
      <c r="O25" s="16">
        <v>0.0021999999999999997</v>
      </c>
      <c r="P25" s="16">
        <v>-0.0000015782379027824802</v>
      </c>
      <c r="Q25" s="16">
        <v>2.782859242372945e-7</v>
      </c>
      <c r="R25" s="16">
        <v>0.001925</v>
      </c>
      <c r="S25" s="16">
        <v>-0.0000019727973784781</v>
      </c>
      <c r="T25" s="16">
        <v>3.4785740529661813e-7</v>
      </c>
      <c r="U25" s="16">
        <v>0.0018000000000000002</v>
      </c>
      <c r="V25" s="16">
        <v>-0.000002152142594703382</v>
      </c>
      <c r="W25" s="16">
        <v>3.7948080577812884e-7</v>
      </c>
      <c r="X25" s="16">
        <v>0.00165</v>
      </c>
      <c r="Y25" s="16">
        <v>-0.0000023673568541737205</v>
      </c>
      <c r="Z25" s="16">
        <v>4.174288863559418e-7</v>
      </c>
      <c r="AA25" s="16">
        <v>0.0015273490375796422</v>
      </c>
      <c r="AB25" s="16">
        <v>-0.0000025433317611778644</v>
      </c>
      <c r="AC25" s="16">
        <v>4.4845801038843535e-7</v>
      </c>
      <c r="AD25" s="16">
        <v>0.0012587655584250425</v>
      </c>
      <c r="AE25" s="16">
        <v>-0.0000029286850583260253</v>
      </c>
      <c r="AF25" s="16">
        <v>5.164061937806226e-7</v>
      </c>
      <c r="AG25" s="16">
        <v>0.0011244738188477426</v>
      </c>
      <c r="AH25" s="16">
        <v>-0.000003121361706900106</v>
      </c>
      <c r="AI25" s="16">
        <v>5.503802854767161e-7</v>
      </c>
      <c r="AJ25" s="16">
        <v>0.0009901820792704427</v>
      </c>
      <c r="AK25" s="16">
        <v>-0.0000033140383554741867</v>
      </c>
      <c r="AL25" s="16">
        <v>5.843543771728097e-7</v>
      </c>
      <c r="AM25" s="16">
        <v>0.0008558903396931432</v>
      </c>
      <c r="AN25" s="16">
        <v>-0.0000035067150040482674</v>
      </c>
      <c r="AO25" s="16">
        <v>6.183284688689032e-7</v>
      </c>
      <c r="AP25" s="16">
        <v>0.0007215986001158428</v>
      </c>
      <c r="AQ25" s="16">
        <v>-0.0000036993916526223485</v>
      </c>
      <c r="AR25" s="16">
        <v>6.52302560564997e-7</v>
      </c>
      <c r="AS25" s="16">
        <v>0.0005873068605385437</v>
      </c>
      <c r="AT25" s="16">
        <v>-0.000003892068301196428</v>
      </c>
      <c r="AU25" s="16">
        <v>6.862766522610904e-7</v>
      </c>
      <c r="AV25" s="16">
        <v>0.0004530151209612434</v>
      </c>
      <c r="AW25" s="16">
        <v>-0.00000408474494977051</v>
      </c>
      <c r="AX25" s="16">
        <v>7.20250743957184e-7</v>
      </c>
      <c r="AY25" s="16">
        <v>0.00018443164180664395</v>
      </c>
      <c r="AZ25" s="16">
        <v>-0.00000447009824691867</v>
      </c>
      <c r="BA25" s="16">
        <v>7.881989273493713e-7</v>
      </c>
      <c r="BB25" s="16">
        <v>-0.00008415183734795592</v>
      </c>
      <c r="BC25" s="16">
        <v>-0.000004855451544066832</v>
      </c>
      <c r="BD25" s="16">
        <v>8.561471107415584e-7</v>
      </c>
      <c r="BE25" s="16">
        <v>-0.0003527353165025558</v>
      </c>
      <c r="BF25" s="16">
        <v>-0.000005240804841214993</v>
      </c>
      <c r="BG25" s="16">
        <v>9.240952941337456e-7</v>
      </c>
      <c r="BH25" s="16">
        <v>-0.0006213187956571557</v>
      </c>
      <c r="BI25" s="16">
        <v>-0.000005626158138363154</v>
      </c>
      <c r="BJ25" s="16">
        <v>9.920434775259328e-7</v>
      </c>
      <c r="BK25" s="16">
        <v>-0.0011584857539663545</v>
      </c>
      <c r="BL25" s="16">
        <v>-0.000006396864732659477</v>
      </c>
      <c r="BM25" s="16">
        <v>0.000001127939844310307</v>
      </c>
      <c r="BN25" s="16">
        <v>-0.0016956527122755534</v>
      </c>
      <c r="BO25" s="16">
        <v>-0.000007167571326955799</v>
      </c>
      <c r="BP25" s="16">
        <v>0.0000012638362110946814</v>
      </c>
      <c r="BQ25" s="16">
        <v>-0.0027699866288939537</v>
      </c>
      <c r="BR25" s="16">
        <v>-0.000008708984515548445</v>
      </c>
      <c r="BS25" s="16">
        <v>0.0000015356289446634304</v>
      </c>
      <c r="BT25" s="16">
        <v>-0.0038443205455123515</v>
      </c>
      <c r="BU25" s="16">
        <v>-0.000010250397704141089</v>
      </c>
      <c r="BV25" s="16">
        <v>0.0000018074216782321788</v>
      </c>
      <c r="BW25" s="16">
        <v>-0.006530155337058348</v>
      </c>
      <c r="BX25" s="16">
        <v>-0.000014103930675622702</v>
      </c>
      <c r="BY25" s="16">
        <v>0.0000024869035121540506</v>
      </c>
      <c r="BZ25" s="16">
        <v>-0.009215990128604346</v>
      </c>
      <c r="CA25" s="16">
        <v>-0.000017957463647104316</v>
      </c>
      <c r="CB25" s="16">
        <v>0.000003166385346075923</v>
      </c>
      <c r="CC25" s="16">
        <v>-0.019959329294788327</v>
      </c>
      <c r="CD25" s="16">
        <v>-0.00003337159553303076</v>
      </c>
      <c r="CE25" s="16">
        <v>0.000005884312681763409</v>
      </c>
      <c r="CF25" s="16">
        <v>-0.05</v>
      </c>
      <c r="CG25" s="16">
        <v>0</v>
      </c>
      <c r="CH25" s="16">
        <v>0</v>
      </c>
      <c r="CI25" s="45">
        <v>33981.43387592912</v>
      </c>
      <c r="CJ25" s="45">
        <v>33981.43387592912</v>
      </c>
      <c r="CK25" s="45">
        <v>33817.69819449096</v>
      </c>
      <c r="CL25" s="45">
        <v>32659.152233986217</v>
      </c>
      <c r="CM25" s="45">
        <v>30287.887092940524</v>
      </c>
      <c r="CN25" s="45">
        <v>28772.248196924425</v>
      </c>
      <c r="CO25" s="45">
        <v>26602.768355528173</v>
      </c>
      <c r="CP25" s="45">
        <v>24605.38698064708</v>
      </c>
      <c r="CQ25" s="45">
        <v>20759.985824739164</v>
      </c>
      <c r="CR25" s="45">
        <v>19288.583017044384</v>
      </c>
      <c r="CS25" s="45">
        <v>18032.0207927484</v>
      </c>
      <c r="CT25" s="45">
        <v>16898.562411681454</v>
      </c>
      <c r="CU25" s="45">
        <v>15852.082122324548</v>
      </c>
      <c r="CV25" s="45">
        <v>14873.106437773695</v>
      </c>
      <c r="CW25" s="45">
        <v>13951.279006534854</v>
      </c>
      <c r="CX25" s="45">
        <v>12422.05161413835</v>
      </c>
      <c r="CY25" s="45">
        <v>11243.614950790728</v>
      </c>
      <c r="CZ25" s="45">
        <v>10232.993853214319</v>
      </c>
      <c r="DA25" s="45">
        <v>9306.973481646524</v>
      </c>
      <c r="DB25" s="45">
        <v>7770.13479672648</v>
      </c>
      <c r="DC25" s="45">
        <v>6451.881819179729</v>
      </c>
      <c r="DD25" s="45">
        <v>4346.7837913852745</v>
      </c>
      <c r="DE25" s="45">
        <v>2623.944914272959</v>
      </c>
      <c r="DF25" s="45">
        <v>-145.2873060250422</v>
      </c>
      <c r="DG25" s="45">
        <v>-1980.7189719030685</v>
      </c>
      <c r="DH25" s="45">
        <v>-4756.490574324481</v>
      </c>
      <c r="DI25" s="45">
        <v>-5790.583579096708</v>
      </c>
      <c r="DJ25" s="45">
        <v>6.55418261885643e-13</v>
      </c>
      <c r="DK25" s="45">
        <v>6.55418261885643e-13</v>
      </c>
      <c r="DL25" s="45">
        <v>-85.95010823306283</v>
      </c>
      <c r="DM25" s="45">
        <v>-635.3997901825403</v>
      </c>
      <c r="DN25" s="45">
        <v>-1666.7504590545386</v>
      </c>
      <c r="DO25" s="45">
        <v>-2294.5939991187543</v>
      </c>
      <c r="DP25" s="45">
        <v>-3178.3055057747165</v>
      </c>
      <c r="DQ25" s="45">
        <v>-3966.297069267776</v>
      </c>
      <c r="DR25" s="45">
        <v>-5241.198459287927</v>
      </c>
      <c r="DS25" s="45">
        <v>-5609.205039262797</v>
      </c>
      <c r="DT25" s="45">
        <v>-5866.23810515942</v>
      </c>
      <c r="DU25" s="45">
        <v>-6062.621217943197</v>
      </c>
      <c r="DV25" s="45">
        <v>-6217.554466684792</v>
      </c>
      <c r="DW25" s="45">
        <v>-6345.052807270401</v>
      </c>
      <c r="DX25" s="45">
        <v>-6450.836730726594</v>
      </c>
      <c r="DY25" s="45">
        <v>-6529.573170853704</v>
      </c>
      <c r="DZ25" s="45">
        <v>-6462.301642714423</v>
      </c>
      <c r="EA25" s="45">
        <v>-6344.2712759391925</v>
      </c>
      <c r="EB25" s="45">
        <v>-6212.608348653811</v>
      </c>
      <c r="EC25" s="45">
        <v>-5899.162620496416</v>
      </c>
      <c r="ED25" s="45">
        <v>-5541.974485727463</v>
      </c>
      <c r="EE25" s="45">
        <v>-4833.924424507916</v>
      </c>
      <c r="EF25" s="45">
        <v>-4162.549504768833</v>
      </c>
      <c r="EG25" s="45">
        <v>-2912.7008173264226</v>
      </c>
      <c r="EH25" s="45">
        <v>-2021.2815479402996</v>
      </c>
      <c r="EI25" s="45">
        <v>-568.722331014076</v>
      </c>
      <c r="EJ25" s="45">
        <v>0</v>
      </c>
      <c r="EK25" s="45">
        <v>-5.220063030719757e-12</v>
      </c>
      <c r="EL25" s="45">
        <v>-5.220063030719757e-12</v>
      </c>
      <c r="EM25" s="45">
        <v>26.91244464190541</v>
      </c>
      <c r="EN25" s="45">
        <v>191.34822684240092</v>
      </c>
      <c r="EO25" s="45">
        <v>464.05338859890537</v>
      </c>
      <c r="EP25" s="45">
        <v>619.3581875809298</v>
      </c>
      <c r="EQ25" s="45">
        <v>834.2219051382043</v>
      </c>
      <c r="ER25" s="45">
        <v>1004.381089015507</v>
      </c>
      <c r="ES25" s="45">
        <v>1096.2082275739056</v>
      </c>
      <c r="ET25" s="45">
        <v>1092.9282606003585</v>
      </c>
      <c r="EU25" s="45">
        <v>1109.5382325586447</v>
      </c>
      <c r="EV25" s="45">
        <v>1130.8103942886005</v>
      </c>
      <c r="EW25" s="45">
        <v>1162.0209775449814</v>
      </c>
      <c r="EX25" s="45">
        <v>1189.4576292931781</v>
      </c>
      <c r="EY25" s="45">
        <v>1221.1764390032351</v>
      </c>
      <c r="EZ25" s="45">
        <v>1237.2911235078295</v>
      </c>
      <c r="FA25" s="45">
        <v>1267.5490814355312</v>
      </c>
      <c r="FB25" s="45">
        <v>1271.620856786367</v>
      </c>
      <c r="FC25" s="45">
        <v>1273.7476866057518</v>
      </c>
      <c r="FD25" s="45">
        <v>1266.834631073773</v>
      </c>
      <c r="FE25" s="45">
        <v>1307.6348851104076</v>
      </c>
      <c r="FF25" s="45">
        <v>1325.8373063211102</v>
      </c>
      <c r="FG25" s="45">
        <v>1332.2791214301164</v>
      </c>
      <c r="FH25" s="45">
        <v>1101.1669373287073</v>
      </c>
      <c r="FI25" s="45">
        <v>849.606233058404</v>
      </c>
      <c r="FJ25" s="45">
        <v>397.02604773009176</v>
      </c>
      <c r="FK25" s="45">
        <v>5.960464477539062e-14</v>
      </c>
      <c r="FL25" s="46">
        <f>MAX(1,MIN(26,SUMPRODUCT(--($CI25:$DI25&gt;=Pu))))</f>
      </c>
      <c r="FM25" s="47">
        <f>(Pu-INDEX($CI25:$DI25,1,$FL25))/(INDEX($CI25:$DI25,1,$FL25+1)-INDEX($CI25:$DI25,1,$FL25))</f>
      </c>
      <c r="FN25" s="39">
        <f>INDEX($DJ25:$EJ25,1,$FL25)+$FM25*(INDEX($DJ25:$EJ25,1,$FL25+1)-INDEX($DJ25:$EJ25,1,$FL25))</f>
      </c>
      <c r="FO25" s="39">
        <f>INDEX($EK25:$FK25,1,$FL25)+$FM25*(INDEX($EK25:$FK25,1,$FL25+1)-INDEX($EK25:$FK25,1,$FL25))</f>
      </c>
      <c r="FP25" s="39">
        <f>SQRT(FN25^2+FO25^2)</f>
      </c>
      <c r="FQ25" s="20">
        <f>FN26-FN25</f>
      </c>
      <c r="FR25" s="20">
        <f>FO26-FO25</f>
      </c>
      <c r="FS25" s="20">
        <f>FQ25*SIN(RADIANS(theta_L))-FR25*COS(RADIANS(theta_L))</f>
      </c>
      <c r="FT25" s="47">
        <f>IF(FS25=0,"",-(FN25*SIN(RADIANS(theta_L))-FO25*COS(RADIANS(theta_L)))/FS25)</f>
      </c>
      <c r="FU25" s="20">
        <f>IF(FT25="","",(FN25+FT25*FQ25)*COS(RADIANS(theta_L))+(FO25+FT25*FR25)*SIN(RADIANS(theta_L)))</f>
      </c>
      <c r="FV25" s="20">
        <f>IF(OR(FT25="",FT25&lt;0,FT25&gt;1,FU25&lt;0),"",FU25)</f>
      </c>
    </row>
    <row r="26" spans="1:178" x14ac:dyDescent="0.25">
      <c r="A26">
        <v>19</v>
      </c>
      <c r="B26" s="44">
        <v>180</v>
      </c>
      <c r="C26" s="18">
        <v>600.0000000000001</v>
      </c>
      <c r="D26" s="18">
        <v>-530</v>
      </c>
      <c r="E26" s="18">
        <v>1130</v>
      </c>
      <c r="F26" s="16">
        <v>0.0033</v>
      </c>
      <c r="G26" s="16">
        <v>0</v>
      </c>
      <c r="H26" s="16">
        <v>0</v>
      </c>
      <c r="I26" s="16">
        <v>0.00275</v>
      </c>
      <c r="J26" s="16">
        <v>-9.166666666666664e-7</v>
      </c>
      <c r="K26" s="16">
        <v>1.1225928992184068e-22</v>
      </c>
      <c r="L26" s="16">
        <v>0.0024749999999999998</v>
      </c>
      <c r="M26" s="16">
        <v>-0.0000013749999999999998</v>
      </c>
      <c r="N26" s="16">
        <v>1.6838893488276103e-22</v>
      </c>
      <c r="O26" s="16">
        <v>0.0022</v>
      </c>
      <c r="P26" s="16">
        <v>-0.0000018333333333333329</v>
      </c>
      <c r="Q26" s="16">
        <v>2.2451857984368136e-22</v>
      </c>
      <c r="R26" s="16">
        <v>0.001925</v>
      </c>
      <c r="S26" s="16">
        <v>-0.000002291666666666666</v>
      </c>
      <c r="T26" s="16">
        <v>2.806482248046017e-22</v>
      </c>
      <c r="U26" s="16">
        <v>0.0018000000000000004</v>
      </c>
      <c r="V26" s="16">
        <v>-0.000002499999999999999</v>
      </c>
      <c r="W26" s="16">
        <v>3.0616169978683817e-22</v>
      </c>
      <c r="X26" s="16">
        <v>0.00165</v>
      </c>
      <c r="Y26" s="16">
        <v>-0.0000027499999999999995</v>
      </c>
      <c r="Z26" s="16">
        <v>3.3677786976552207e-22</v>
      </c>
      <c r="AA26" s="16">
        <v>0.0015477876106194687</v>
      </c>
      <c r="AB26" s="16">
        <v>-0.000002920353982300885</v>
      </c>
      <c r="AC26" s="16">
        <v>3.576402156802005e-22</v>
      </c>
      <c r="AD26" s="16">
        <v>0.0012823008849557516</v>
      </c>
      <c r="AE26" s="16">
        <v>-0.0000033628318584070798</v>
      </c>
      <c r="AF26" s="16">
        <v>4.1182812714689754e-22</v>
      </c>
      <c r="AG26" s="16">
        <v>0.0011495575221238934</v>
      </c>
      <c r="AH26" s="16">
        <v>-0.000003584070796460177</v>
      </c>
      <c r="AI26" s="16">
        <v>4.389220828802461e-22</v>
      </c>
      <c r="AJ26" s="16">
        <v>0.0010168141592920349</v>
      </c>
      <c r="AK26" s="16">
        <v>-0.000003805309734513274</v>
      </c>
      <c r="AL26" s="16">
        <v>4.6601603861359455e-22</v>
      </c>
      <c r="AM26" s="16">
        <v>0.0008840707964601763</v>
      </c>
      <c r="AN26" s="16">
        <v>-0.000004026548672566372</v>
      </c>
      <c r="AO26" s="16">
        <v>4.931099943469431e-22</v>
      </c>
      <c r="AP26" s="16">
        <v>0.0007513274336283181</v>
      </c>
      <c r="AQ26" s="16">
        <v>-0.000004247787610619469</v>
      </c>
      <c r="AR26" s="16">
        <v>5.2020395008029165e-22</v>
      </c>
      <c r="AS26" s="16">
        <v>0.0006185840707964596</v>
      </c>
      <c r="AT26" s="16">
        <v>-0.000004469026548672566</v>
      </c>
      <c r="AU26" s="16">
        <v>5.472979058136401e-22</v>
      </c>
      <c r="AV26" s="16">
        <v>0.0004858407079646014</v>
      </c>
      <c r="AW26" s="16">
        <v>-0.0000046902654867256635</v>
      </c>
      <c r="AX26" s="16">
        <v>5.743918615469887e-22</v>
      </c>
      <c r="AY26" s="16">
        <v>0.00022035398230088469</v>
      </c>
      <c r="AZ26" s="16">
        <v>-0.000005132743362831858</v>
      </c>
      <c r="BA26" s="16">
        <v>6.285797730136857e-22</v>
      </c>
      <c r="BB26" s="16">
        <v>-0.00004513274336283247</v>
      </c>
      <c r="BC26" s="16">
        <v>-0.000005575221238938053</v>
      </c>
      <c r="BD26" s="16">
        <v>6.827676844803828e-22</v>
      </c>
      <c r="BE26" s="16">
        <v>-0.00031061946902654963</v>
      </c>
      <c r="BF26" s="16">
        <v>-0.0000060176991150442484</v>
      </c>
      <c r="BG26" s="16">
        <v>7.369555959470799e-22</v>
      </c>
      <c r="BH26" s="16">
        <v>-0.0005761061946902664</v>
      </c>
      <c r="BI26" s="16">
        <v>-0.000006460176991150443</v>
      </c>
      <c r="BJ26" s="16">
        <v>7.911435074137769e-22</v>
      </c>
      <c r="BK26" s="16">
        <v>-0.0011070796460176998</v>
      </c>
      <c r="BL26" s="16">
        <v>-0.000007345132743362832</v>
      </c>
      <c r="BM26" s="16">
        <v>8.99519330347171e-22</v>
      </c>
      <c r="BN26" s="16">
        <v>-0.0016380530973451324</v>
      </c>
      <c r="BO26" s="16">
        <v>-0.00000823008849557522</v>
      </c>
      <c r="BP26" s="16">
        <v>1.0078951532805648e-21</v>
      </c>
      <c r="BQ26" s="16">
        <v>-0.002700000000000002</v>
      </c>
      <c r="BR26" s="16">
        <v>-0.00001</v>
      </c>
      <c r="BS26" s="16">
        <v>1.2246467991473532e-21</v>
      </c>
      <c r="BT26" s="16">
        <v>-0.0037619469026548688</v>
      </c>
      <c r="BU26" s="16">
        <v>-0.000011769911504424779</v>
      </c>
      <c r="BV26" s="16">
        <v>1.4413984450141414e-21</v>
      </c>
      <c r="BW26" s="16">
        <v>-0.006416814159292037</v>
      </c>
      <c r="BX26" s="16">
        <v>-0.000016194690265486724</v>
      </c>
      <c r="BY26" s="16">
        <v>1.9832775596811117e-21</v>
      </c>
      <c r="BZ26" s="16">
        <v>-0.009071681415929206</v>
      </c>
      <c r="CA26" s="16">
        <v>-0.000020619469026548672</v>
      </c>
      <c r="CB26" s="16">
        <v>2.5251566743480824e-21</v>
      </c>
      <c r="CC26" s="16">
        <v>-0.01969115044247788</v>
      </c>
      <c r="CD26" s="16">
        <v>-0.000038318584070796456</v>
      </c>
      <c r="CE26" s="16">
        <v>4.6926731330159634e-21</v>
      </c>
      <c r="CF26" s="16">
        <v>-0.05</v>
      </c>
      <c r="CG26" s="16">
        <v>0</v>
      </c>
      <c r="CH26" s="16">
        <v>0</v>
      </c>
      <c r="CI26" s="45">
        <v>33981.43387592912</v>
      </c>
      <c r="CJ26" s="45">
        <v>33981.43387592912</v>
      </c>
      <c r="CK26" s="45">
        <v>33698.00934472476</v>
      </c>
      <c r="CL26" s="45">
        <v>32265.44123729754</v>
      </c>
      <c r="CM26" s="45">
        <v>29458.65740892347</v>
      </c>
      <c r="CN26" s="45">
        <v>27730.13880342822</v>
      </c>
      <c r="CO26" s="45">
        <v>25248.44778281695</v>
      </c>
      <c r="CP26" s="45">
        <v>23519.3524091918</v>
      </c>
      <c r="CQ26" s="45">
        <v>20114.66988381167</v>
      </c>
      <c r="CR26" s="45">
        <v>18891.805535826818</v>
      </c>
      <c r="CS26" s="45">
        <v>17780.480514091738</v>
      </c>
      <c r="CT26" s="45">
        <v>16763.022351513177</v>
      </c>
      <c r="CU26" s="45">
        <v>15803.893722164325</v>
      </c>
      <c r="CV26" s="45">
        <v>14910.588644043606</v>
      </c>
      <c r="CW26" s="45">
        <v>14041.607359925214</v>
      </c>
      <c r="CX26" s="45">
        <v>12847.605429876321</v>
      </c>
      <c r="CY26" s="45">
        <v>11776.01047781701</v>
      </c>
      <c r="CZ26" s="45">
        <v>10862.220476664379</v>
      </c>
      <c r="DA26" s="45">
        <v>10109.776247635666</v>
      </c>
      <c r="DB26" s="45">
        <v>8793.556936127505</v>
      </c>
      <c r="DC26" s="45">
        <v>7818.6810726428985</v>
      </c>
      <c r="DD26" s="45">
        <v>6211.270387095731</v>
      </c>
      <c r="DE26" s="45">
        <v>5010.559344086973</v>
      </c>
      <c r="DF26" s="45">
        <v>2729.644384331354</v>
      </c>
      <c r="DG26" s="45">
        <v>1150.035950816786</v>
      </c>
      <c r="DH26" s="45">
        <v>-1706.2132372526755</v>
      </c>
      <c r="DI26" s="45">
        <v>-5790.583579096708</v>
      </c>
      <c r="DJ26" s="45">
        <v>6.55418261885643e-13</v>
      </c>
      <c r="DK26" s="45">
        <v>6.55418261885643e-13</v>
      </c>
      <c r="DL26" s="45">
        <v>-150.4577836670172</v>
      </c>
      <c r="DM26" s="45">
        <v>-838.9041821678363</v>
      </c>
      <c r="DN26" s="45">
        <v>-2076.7946003602656</v>
      </c>
      <c r="DO26" s="45">
        <v>-2819.1103012445196</v>
      </c>
      <c r="DP26" s="45">
        <v>-3855.074849757815</v>
      </c>
      <c r="DQ26" s="45">
        <v>-4527.638240543402</v>
      </c>
      <c r="DR26" s="45">
        <v>-5601.505222312361</v>
      </c>
      <c r="DS26" s="45">
        <v>-5891.888803566449</v>
      </c>
      <c r="DT26" s="45">
        <v>-6123.832291339832</v>
      </c>
      <c r="DU26" s="45">
        <v>-6313.559103342136</v>
      </c>
      <c r="DV26" s="45">
        <v>-6476.8858918286005</v>
      </c>
      <c r="DW26" s="45">
        <v>-6611.241926216232</v>
      </c>
      <c r="DX26" s="45">
        <v>-6729.91519519182</v>
      </c>
      <c r="DY26" s="45">
        <v>-6719.138154666231</v>
      </c>
      <c r="DZ26" s="45">
        <v>-6682.167593807906</v>
      </c>
      <c r="EA26" s="45">
        <v>-6618.299553287571</v>
      </c>
      <c r="EB26" s="45">
        <v>-6519.720477788166</v>
      </c>
      <c r="EC26" s="45">
        <v>-6314.606963418669</v>
      </c>
      <c r="ED26" s="45">
        <v>-6100.9306482478405</v>
      </c>
      <c r="EE26" s="45">
        <v>-5666.888234148671</v>
      </c>
      <c r="EF26" s="45">
        <v>-5269.431072035049</v>
      </c>
      <c r="EG26" s="45">
        <v>-4387.003126167122</v>
      </c>
      <c r="EH26" s="45">
        <v>-3692.1137578220923</v>
      </c>
      <c r="EI26" s="45">
        <v>-2232.057027574651</v>
      </c>
      <c r="EJ26" s="45">
        <v>0</v>
      </c>
      <c r="EK26" s="45">
        <v>-5.220063030719757e-12</v>
      </c>
      <c r="EL26" s="45">
        <v>-5.220063030719757e-12</v>
      </c>
      <c r="EM26" s="45">
        <v>0.00003535303426533938</v>
      </c>
      <c r="EN26" s="45">
        <v>0.000015093681963393465</v>
      </c>
      <c r="EO26" s="45">
        <v>-0.0018688374156416393</v>
      </c>
      <c r="EP26" s="45">
        <v>0.000028066767512355</v>
      </c>
      <c r="EQ26" s="45">
        <v>-0.002365661586874863</v>
      </c>
      <c r="ER26" s="45">
        <v>0.00005955687234038487</v>
      </c>
      <c r="ES26" s="45">
        <v>-0.05904518479251512</v>
      </c>
      <c r="ET26" s="45">
        <v>0.10323128769298445</v>
      </c>
      <c r="EU26" s="45">
        <v>5.254667485132813e-12</v>
      </c>
      <c r="EV26" s="45">
        <v>-0.12295042978744954</v>
      </c>
      <c r="EW26" s="45">
        <v>-0.006030513816840743</v>
      </c>
      <c r="EX26" s="45">
        <v>-0.045766228212455344</v>
      </c>
      <c r="EY26" s="45">
        <v>-0.0009918963676331914</v>
      </c>
      <c r="EZ26" s="45">
        <v>-0.19212709224245308</v>
      </c>
      <c r="FA26" s="45">
        <v>0.06463869971007738</v>
      </c>
      <c r="FB26" s="45">
        <v>-0.22754139526280284</v>
      </c>
      <c r="FC26" s="45">
        <v>0.006006112223848038</v>
      </c>
      <c r="FD26" s="45">
        <v>0.0001150786182951415</v>
      </c>
      <c r="FE26" s="45">
        <v>0.25871785237228895</v>
      </c>
      <c r="FF26" s="45">
        <v>-0.031107028702247887</v>
      </c>
      <c r="FG26" s="45">
        <v>-0.23759404721924143</v>
      </c>
      <c r="FH26" s="45">
        <v>-0.4655718281849647</v>
      </c>
      <c r="FI26" s="45">
        <v>-0.02207308053882327</v>
      </c>
      <c r="FJ26" s="45">
        <v>-0.5958286324448082</v>
      </c>
      <c r="FK26" s="45">
        <v>5.960464477539062e-14</v>
      </c>
      <c r="FL26" s="46">
        <f>MAX(1,MIN(26,SUMPRODUCT(--($CI26:$DI26&gt;=Pu))))</f>
      </c>
      <c r="FM26" s="47">
        <f>(Pu-INDEX($CI26:$DI26,1,$FL26))/(INDEX($CI26:$DI26,1,$FL26+1)-INDEX($CI26:$DI26,1,$FL26))</f>
      </c>
      <c r="FN26" s="39">
        <f>INDEX($DJ26:$EJ26,1,$FL26)+$FM26*(INDEX($DJ26:$EJ26,1,$FL26+1)-INDEX($DJ26:$EJ26,1,$FL26))</f>
      </c>
      <c r="FO26" s="39">
        <f>INDEX($EK26:$FK26,1,$FL26)+$FM26*(INDEX($EK26:$FK26,1,$FL26+1)-INDEX($EK26:$FK26,1,$FL26))</f>
      </c>
      <c r="FP26" s="39">
        <f>SQRT(FN26^2+FO26^2)</f>
      </c>
      <c r="FQ26" s="20">
        <f>FN27-FN26</f>
      </c>
      <c r="FR26" s="20">
        <f>FO27-FO26</f>
      </c>
      <c r="FS26" s="20">
        <f>FQ26*SIN(RADIANS(theta_L))-FR26*COS(RADIANS(theta_L))</f>
      </c>
      <c r="FT26" s="47">
        <f>IF(FS26=0,"",-(FN26*SIN(RADIANS(theta_L))-FO26*COS(RADIANS(theta_L)))/FS26)</f>
      </c>
      <c r="FU26" s="20">
        <f>IF(FT26="","",(FN26+FT26*FQ26)*COS(RADIANS(theta_L))+(FO26+FT26*FR26)*SIN(RADIANS(theta_L)))</f>
      </c>
      <c r="FV26" s="20">
        <f>IF(OR(FT26="",FT26&lt;0,FT26&gt;1,FU26&lt;0),"",FU26)</f>
      </c>
    </row>
    <row r="27" spans="1:178" x14ac:dyDescent="0.25">
      <c r="A27">
        <v>20</v>
      </c>
      <c r="B27" s="44">
        <v>190</v>
      </c>
      <c r="C27" s="18">
        <v>686.3911495241364</v>
      </c>
      <c r="D27" s="18">
        <v>-591.4073801632422</v>
      </c>
      <c r="E27" s="18">
        <v>1277.7985296873785</v>
      </c>
      <c r="F27" s="16">
        <v>0.0033</v>
      </c>
      <c r="G27" s="16">
        <v>0</v>
      </c>
      <c r="H27" s="16">
        <v>0</v>
      </c>
      <c r="I27" s="16">
        <v>0.00275</v>
      </c>
      <c r="J27" s="16">
        <v>-7.891189513912402e-7</v>
      </c>
      <c r="K27" s="16">
        <v>-1.3914296211864707e-7</v>
      </c>
      <c r="L27" s="16">
        <v>0.0024749999999999998</v>
      </c>
      <c r="M27" s="16">
        <v>-0.0000011836784270868605</v>
      </c>
      <c r="N27" s="16">
        <v>-2.0871444317797059e-7</v>
      </c>
      <c r="O27" s="16">
        <v>0.0021999999999999997</v>
      </c>
      <c r="P27" s="16">
        <v>-0.0000015782379027824804</v>
      </c>
      <c r="Q27" s="16">
        <v>-2.7828592423729413e-7</v>
      </c>
      <c r="R27" s="16">
        <v>0.001925</v>
      </c>
      <c r="S27" s="16">
        <v>-0.0000019727973784781005</v>
      </c>
      <c r="T27" s="16">
        <v>-3.4785740529661765e-7</v>
      </c>
      <c r="U27" s="16">
        <v>0.0018000000000000002</v>
      </c>
      <c r="V27" s="16">
        <v>-0.0000021521425947033823</v>
      </c>
      <c r="W27" s="16">
        <v>-3.7948080577812826e-7</v>
      </c>
      <c r="X27" s="16">
        <v>0.00165</v>
      </c>
      <c r="Y27" s="16">
        <v>-0.000002367356854173721</v>
      </c>
      <c r="Z27" s="16">
        <v>-4.1742888635594117e-7</v>
      </c>
      <c r="AA27" s="16">
        <v>0.001527349037579642</v>
      </c>
      <c r="AB27" s="16">
        <v>-0.000002543331761177865</v>
      </c>
      <c r="AC27" s="16">
        <v>-4.4845801038843477e-7</v>
      </c>
      <c r="AD27" s="16">
        <v>0.0012587655584250421</v>
      </c>
      <c r="AE27" s="16">
        <v>-0.000002928685058326026</v>
      </c>
      <c r="AF27" s="16">
        <v>-5.164061937806218e-7</v>
      </c>
      <c r="AG27" s="16">
        <v>0.0011244738188477426</v>
      </c>
      <c r="AH27" s="16">
        <v>-0.000003121361706900107</v>
      </c>
      <c r="AI27" s="16">
        <v>-5.503802854767153e-7</v>
      </c>
      <c r="AJ27" s="16">
        <v>0.0009901820792704427</v>
      </c>
      <c r="AK27" s="16">
        <v>-0.0000033140383554741875</v>
      </c>
      <c r="AL27" s="16">
        <v>-5.84354377172809e-7</v>
      </c>
      <c r="AM27" s="16">
        <v>0.0008558903396931423</v>
      </c>
      <c r="AN27" s="16">
        <v>-0.0000035067150040482686</v>
      </c>
      <c r="AO27" s="16">
        <v>-6.183284688689025e-7</v>
      </c>
      <c r="AP27" s="16">
        <v>0.0007215986001158424</v>
      </c>
      <c r="AQ27" s="16">
        <v>-0.0000036993916526223493</v>
      </c>
      <c r="AR27" s="16">
        <v>-6.523025605649961e-7</v>
      </c>
      <c r="AS27" s="16">
        <v>0.0005873068605385429</v>
      </c>
      <c r="AT27" s="16">
        <v>-0.00000389206830119643</v>
      </c>
      <c r="AU27" s="16">
        <v>-6.862766522610895e-7</v>
      </c>
      <c r="AV27" s="16">
        <v>0.00045301512096124295</v>
      </c>
      <c r="AW27" s="16">
        <v>-0.000004084744949770511</v>
      </c>
      <c r="AX27" s="16">
        <v>-7.202507439571832e-7</v>
      </c>
      <c r="AY27" s="16">
        <v>0.00018443164180664395</v>
      </c>
      <c r="AZ27" s="16">
        <v>-0.000004470098246918671</v>
      </c>
      <c r="BA27" s="16">
        <v>-7.881989273493701e-7</v>
      </c>
      <c r="BB27" s="16">
        <v>-0.00008415183734795635</v>
      </c>
      <c r="BC27" s="16">
        <v>-0.000004855451544066833</v>
      </c>
      <c r="BD27" s="16">
        <v>-8.561471107415574e-7</v>
      </c>
      <c r="BE27" s="16">
        <v>-0.0003527353165025562</v>
      </c>
      <c r="BF27" s="16">
        <v>-0.000005240804841214995</v>
      </c>
      <c r="BG27" s="16">
        <v>-9.240952941337444e-7</v>
      </c>
      <c r="BH27" s="16">
        <v>-0.0006213187956571557</v>
      </c>
      <c r="BI27" s="16">
        <v>-0.000005626158138363156</v>
      </c>
      <c r="BJ27" s="16">
        <v>-9.920434775259315e-7</v>
      </c>
      <c r="BK27" s="16">
        <v>-0.0011584857539663554</v>
      </c>
      <c r="BL27" s="16">
        <v>-0.000006396864732659479</v>
      </c>
      <c r="BM27" s="16">
        <v>-0.0000011279398443103056</v>
      </c>
      <c r="BN27" s="16">
        <v>-0.0016956527122755543</v>
      </c>
      <c r="BO27" s="16">
        <v>-0.000007167571326955801</v>
      </c>
      <c r="BP27" s="16">
        <v>-0.0000012638362110946797</v>
      </c>
      <c r="BQ27" s="16">
        <v>-0.0027699866288939546</v>
      </c>
      <c r="BR27" s="16">
        <v>-0.000008708984515548449</v>
      </c>
      <c r="BS27" s="16">
        <v>-0.0000015356289446634285</v>
      </c>
      <c r="BT27" s="16">
        <v>-0.0038443205455123523</v>
      </c>
      <c r="BU27" s="16">
        <v>-0.000010250397704141092</v>
      </c>
      <c r="BV27" s="16">
        <v>-0.0000018074216782321765</v>
      </c>
      <c r="BW27" s="16">
        <v>-0.00653015533705835</v>
      </c>
      <c r="BX27" s="16">
        <v>-0.000014103930675622707</v>
      </c>
      <c r="BY27" s="16">
        <v>-0.0000024869035121540477</v>
      </c>
      <c r="BZ27" s="16">
        <v>-0.00921599012860435</v>
      </c>
      <c r="CA27" s="16">
        <v>-0.000017957463647104323</v>
      </c>
      <c r="CB27" s="16">
        <v>-0.0000031663853460759186</v>
      </c>
      <c r="CC27" s="16">
        <v>-0.019959329294788334</v>
      </c>
      <c r="CD27" s="16">
        <v>-0.00003337159553303077</v>
      </c>
      <c r="CE27" s="16">
        <v>-0.0000058843126817634014</v>
      </c>
      <c r="CF27" s="16">
        <v>-0.05</v>
      </c>
      <c r="CG27" s="16">
        <v>0</v>
      </c>
      <c r="CH27" s="16">
        <v>0</v>
      </c>
      <c r="CI27" s="45">
        <v>33981.43387592912</v>
      </c>
      <c r="CJ27" s="45">
        <v>33981.43387592912</v>
      </c>
      <c r="CK27" s="45">
        <v>33817.69981060283</v>
      </c>
      <c r="CL27" s="45">
        <v>32659.151964925328</v>
      </c>
      <c r="CM27" s="45">
        <v>30287.885334435556</v>
      </c>
      <c r="CN27" s="45">
        <v>28772.245272369528</v>
      </c>
      <c r="CO27" s="45">
        <v>26602.772004302955</v>
      </c>
      <c r="CP27" s="45">
        <v>24605.85383266287</v>
      </c>
      <c r="CQ27" s="45">
        <v>20758.861333901223</v>
      </c>
      <c r="CR27" s="45">
        <v>19288.93626668274</v>
      </c>
      <c r="CS27" s="45">
        <v>18031.714211044276</v>
      </c>
      <c r="CT27" s="45">
        <v>16898.61896953326</v>
      </c>
      <c r="CU27" s="45">
        <v>15852.343399000274</v>
      </c>
      <c r="CV27" s="45">
        <v>14872.550883922242</v>
      </c>
      <c r="CW27" s="45">
        <v>13951.11587744091</v>
      </c>
      <c r="CX27" s="45">
        <v>12421.393166414402</v>
      </c>
      <c r="CY27" s="45">
        <v>11243.198400221583</v>
      </c>
      <c r="CZ27" s="45">
        <v>10233.327648088367</v>
      </c>
      <c r="DA27" s="45">
        <v>9306.17143955051</v>
      </c>
      <c r="DB27" s="45">
        <v>7769.01210807301</v>
      </c>
      <c r="DC27" s="45">
        <v>6451.275501328343</v>
      </c>
      <c r="DD27" s="45">
        <v>4346.253412270877</v>
      </c>
      <c r="DE27" s="45">
        <v>2623.097082354886</v>
      </c>
      <c r="DF27" s="45">
        <v>-146.3985943512409</v>
      </c>
      <c r="DG27" s="45">
        <v>-1978.908772419001</v>
      </c>
      <c r="DH27" s="45">
        <v>-4753.306783483274</v>
      </c>
      <c r="DI27" s="45">
        <v>-5790.583579096708</v>
      </c>
      <c r="DJ27" s="45">
        <v>6.55418261885643e-13</v>
      </c>
      <c r="DK27" s="45">
        <v>6.55418261885643e-13</v>
      </c>
      <c r="DL27" s="45">
        <v>-85.94975902454784</v>
      </c>
      <c r="DM27" s="45">
        <v>-635.4003853751817</v>
      </c>
      <c r="DN27" s="45">
        <v>-1666.7514101489749</v>
      </c>
      <c r="DO27" s="45">
        <v>-2294.5939256600136</v>
      </c>
      <c r="DP27" s="45">
        <v>-3178.3061995727785</v>
      </c>
      <c r="DQ27" s="45">
        <v>-3966.056134738004</v>
      </c>
      <c r="DR27" s="45">
        <v>-5241.553612897495</v>
      </c>
      <c r="DS27" s="45">
        <v>-5609.062629960072</v>
      </c>
      <c r="DT27" s="45">
        <v>-5866.413492888881</v>
      </c>
      <c r="DU27" s="45">
        <v>-6062.561084784191</v>
      </c>
      <c r="DV27" s="45">
        <v>-6217.639461630622</v>
      </c>
      <c r="DW27" s="45">
        <v>-6345.05620944823</v>
      </c>
      <c r="DX27" s="45">
        <v>-6451.090034215364</v>
      </c>
      <c r="DY27" s="45">
        <v>-6529.638458740238</v>
      </c>
      <c r="DZ27" s="45">
        <v>-6462.297328965139</v>
      </c>
      <c r="EA27" s="45">
        <v>-6344.464917244122</v>
      </c>
      <c r="EB27" s="45">
        <v>-6212.419035361694</v>
      </c>
      <c r="EC27" s="45">
        <v>-5898.6150067535145</v>
      </c>
      <c r="ED27" s="45">
        <v>-5542.276729191338</v>
      </c>
      <c r="EE27" s="45">
        <v>-4834.111766052884</v>
      </c>
      <c r="EF27" s="45">
        <v>-4162.01862319291</v>
      </c>
      <c r="EG27" s="45">
        <v>-2911.710553902407</v>
      </c>
      <c r="EH27" s="45">
        <v>-2022.1267387069258</v>
      </c>
      <c r="EI27" s="45">
        <v>-570.1619860880456</v>
      </c>
      <c r="EJ27" s="45">
        <v>0</v>
      </c>
      <c r="EK27" s="45">
        <v>-5.220063030719757e-12</v>
      </c>
      <c r="EL27" s="45">
        <v>-5.220063030719757e-12</v>
      </c>
      <c r="EM27" s="45">
        <v>-26.912546520206018</v>
      </c>
      <c r="EN27" s="45">
        <v>-191.34697497024942</v>
      </c>
      <c r="EO27" s="45">
        <v>-464.05039567230654</v>
      </c>
      <c r="EP27" s="45">
        <v>-619.3604893191279</v>
      </c>
      <c r="EQ27" s="45">
        <v>-834.2251563136106</v>
      </c>
      <c r="ER27" s="45">
        <v>-1004.1192206816</v>
      </c>
      <c r="ES27" s="45">
        <v>-1096.8948649419995</v>
      </c>
      <c r="ET27" s="45">
        <v>-1093.0341272434214</v>
      </c>
      <c r="EU27" s="45">
        <v>-1109.209320181542</v>
      </c>
      <c r="EV27" s="45">
        <v>-1131.157256821314</v>
      </c>
      <c r="EW27" s="45">
        <v>-1161.2636502518526</v>
      </c>
      <c r="EX27" s="45">
        <v>-1189.8435951536483</v>
      </c>
      <c r="EY27" s="45">
        <v>-1219.8923216829944</v>
      </c>
      <c r="EZ27" s="45">
        <v>-1237.0672845478505</v>
      </c>
      <c r="FA27" s="45">
        <v>-1267.6890767511384</v>
      </c>
      <c r="FB27" s="45">
        <v>-1270.6658162519234</v>
      </c>
      <c r="FC27" s="45">
        <v>-1274.2848429229</v>
      </c>
      <c r="FD27" s="45">
        <v>-1268.7680801793977</v>
      </c>
      <c r="FE27" s="45">
        <v>-1305.285462491857</v>
      </c>
      <c r="FF27" s="45">
        <v>-1324.1095009096782</v>
      </c>
      <c r="FG27" s="45">
        <v>-1333.3560295202099</v>
      </c>
      <c r="FH27" s="45">
        <v>-1103.2487612230552</v>
      </c>
      <c r="FI27" s="45">
        <v>-850.2817833584593</v>
      </c>
      <c r="FJ27" s="45">
        <v>-399.9340402570527</v>
      </c>
      <c r="FK27" s="45">
        <v>5.960464477539062e-14</v>
      </c>
      <c r="FL27" s="46">
        <f>MAX(1,MIN(26,SUMPRODUCT(--($CI27:$DI27&gt;=Pu))))</f>
      </c>
      <c r="FM27" s="47">
        <f>(Pu-INDEX($CI27:$DI27,1,$FL27))/(INDEX($CI27:$DI27,1,$FL27+1)-INDEX($CI27:$DI27,1,$FL27))</f>
      </c>
      <c r="FN27" s="39">
        <f>INDEX($DJ27:$EJ27,1,$FL27)+$FM27*(INDEX($DJ27:$EJ27,1,$FL27+1)-INDEX($DJ27:$EJ27,1,$FL27))</f>
      </c>
      <c r="FO27" s="39">
        <f>INDEX($EK27:$FK27,1,$FL27)+$FM27*(INDEX($EK27:$FK27,1,$FL27+1)-INDEX($EK27:$FK27,1,$FL27))</f>
      </c>
      <c r="FP27" s="39">
        <f>SQRT(FN27^2+FO27^2)</f>
      </c>
      <c r="FQ27" s="20">
        <f>FN28-FN27</f>
      </c>
      <c r="FR27" s="20">
        <f>FO28-FO27</f>
      </c>
      <c r="FS27" s="20">
        <f>FQ27*SIN(RADIANS(theta_L))-FR27*COS(RADIANS(theta_L))</f>
      </c>
      <c r="FT27" s="47">
        <f>IF(FS27=0,"",-(FN27*SIN(RADIANS(theta_L))-FO27*COS(RADIANS(theta_L)))/FS27)</f>
      </c>
      <c r="FU27" s="20">
        <f>IF(FT27="","",(FN27+FT27*FQ27)*COS(RADIANS(theta_L))+(FO27+FT27*FR27)*SIN(RADIANS(theta_L)))</f>
      </c>
      <c r="FV27" s="20">
        <f>IF(OR(FT27="",FT27&lt;0,FT27&gt;1,FU27&lt;0),"",FU27)</f>
      </c>
    </row>
    <row r="28" spans="1:178" x14ac:dyDescent="0.25">
      <c r="A28">
        <v>21</v>
      </c>
      <c r="B28" s="44">
        <v>200</v>
      </c>
      <c r="C28" s="18">
        <v>751.9266513006628</v>
      </c>
      <c r="D28" s="18">
        <v>-634.845146346799</v>
      </c>
      <c r="E28" s="18">
        <v>1386.7717976474619</v>
      </c>
      <c r="F28" s="16">
        <v>0.0033</v>
      </c>
      <c r="G28" s="16">
        <v>0</v>
      </c>
      <c r="H28" s="16">
        <v>0</v>
      </c>
      <c r="I28" s="16">
        <v>0.00275</v>
      </c>
      <c r="J28" s="16">
        <v>-6.873422301739792e-7</v>
      </c>
      <c r="K28" s="16">
        <v>-2.5017211253747714e-7</v>
      </c>
      <c r="L28" s="16">
        <v>0.0024749999999999998</v>
      </c>
      <c r="M28" s="16">
        <v>-0.000001031013345260969</v>
      </c>
      <c r="N28" s="16">
        <v>-3.752581688062157e-7</v>
      </c>
      <c r="O28" s="16">
        <v>0.0021999999999999997</v>
      </c>
      <c r="P28" s="16">
        <v>-0.0000013746844603479585</v>
      </c>
      <c r="Q28" s="16">
        <v>-5.003442250749543e-7</v>
      </c>
      <c r="R28" s="16">
        <v>0.0019249999999999998</v>
      </c>
      <c r="S28" s="16">
        <v>-0.0000017183555754349485</v>
      </c>
      <c r="T28" s="16">
        <v>-6.25430281343693e-7</v>
      </c>
      <c r="U28" s="16">
        <v>0.0018000000000000002</v>
      </c>
      <c r="V28" s="16">
        <v>-0.000001874569718656307</v>
      </c>
      <c r="W28" s="16">
        <v>-6.82287579647665e-7</v>
      </c>
      <c r="X28" s="16">
        <v>0.00165</v>
      </c>
      <c r="Y28" s="16">
        <v>-0.000002062026690521938</v>
      </c>
      <c r="Z28" s="16">
        <v>-7.505163376124314e-7</v>
      </c>
      <c r="AA28" s="16">
        <v>0.0015106948284486347</v>
      </c>
      <c r="AB28" s="16">
        <v>-0.0000022361181946835456</v>
      </c>
      <c r="AC28" s="16">
        <v>-8.138804631658874e-7</v>
      </c>
      <c r="AD28" s="16">
        <v>0.001239587984274185</v>
      </c>
      <c r="AE28" s="16">
        <v>-0.00000257492398175681</v>
      </c>
      <c r="AF28" s="16">
        <v>-9.371956848576885e-7</v>
      </c>
      <c r="AG28" s="16">
        <v>0.0011040345621869609</v>
      </c>
      <c r="AH28" s="16">
        <v>-0.000002744326875293442</v>
      </c>
      <c r="AI28" s="16">
        <v>-9.98853295703589e-7</v>
      </c>
      <c r="AJ28" s="16">
        <v>0.0009684811400997358</v>
      </c>
      <c r="AK28" s="16">
        <v>-0.0000029137297688300746</v>
      </c>
      <c r="AL28" s="16">
        <v>-0.0000010605109065494896</v>
      </c>
      <c r="AM28" s="16">
        <v>0.0008329277180125112</v>
      </c>
      <c r="AN28" s="16">
        <v>-0.000003083132662366707</v>
      </c>
      <c r="AO28" s="16">
        <v>-0.0000011221685173953902</v>
      </c>
      <c r="AP28" s="16">
        <v>0.0006973742959252866</v>
      </c>
      <c r="AQ28" s="16">
        <v>-0.0000032525355559033396</v>
      </c>
      <c r="AR28" s="16">
        <v>-0.0000011838261282412908</v>
      </c>
      <c r="AS28" s="16">
        <v>0.000561820873838062</v>
      </c>
      <c r="AT28" s="16">
        <v>-0.0000034219384494399716</v>
      </c>
      <c r="AU28" s="16">
        <v>-0.0000012454837390871914</v>
      </c>
      <c r="AV28" s="16">
        <v>0.0004262674517508374</v>
      </c>
      <c r="AW28" s="16">
        <v>-0.0000035913413429766037</v>
      </c>
      <c r="AX28" s="16">
        <v>-0.000001307141349933092</v>
      </c>
      <c r="AY28" s="16">
        <v>0.00015516060757638818</v>
      </c>
      <c r="AZ28" s="16">
        <v>-0.000003930147130049868</v>
      </c>
      <c r="BA28" s="16">
        <v>-0.0000014304565716248929</v>
      </c>
      <c r="BB28" s="16">
        <v>-0.00011594623659806104</v>
      </c>
      <c r="BC28" s="16">
        <v>-0.000004268952917123133</v>
      </c>
      <c r="BD28" s="16">
        <v>-0.000001553771793316694</v>
      </c>
      <c r="BE28" s="16">
        <v>-0.0003870530807725107</v>
      </c>
      <c r="BF28" s="16">
        <v>-0.000004607758704196398</v>
      </c>
      <c r="BG28" s="16">
        <v>-0.0000016770870150084953</v>
      </c>
      <c r="BH28" s="16">
        <v>-0.0006581599249469603</v>
      </c>
      <c r="BI28" s="16">
        <v>-0.000004946564491269662</v>
      </c>
      <c r="BJ28" s="16">
        <v>-0.0000018004022367002966</v>
      </c>
      <c r="BK28" s="16">
        <v>-0.0012003736132958588</v>
      </c>
      <c r="BL28" s="16">
        <v>-0.000005624176065416191</v>
      </c>
      <c r="BM28" s="16">
        <v>-0.0000020470326800838986</v>
      </c>
      <c r="BN28" s="16">
        <v>-0.0017425873016447572</v>
      </c>
      <c r="BO28" s="16">
        <v>-0.00000630178763956272</v>
      </c>
      <c r="BP28" s="16">
        <v>-0.0000022936631234675007</v>
      </c>
      <c r="BQ28" s="16">
        <v>-0.002827014678342554</v>
      </c>
      <c r="BR28" s="16">
        <v>-0.000007657010787855779</v>
      </c>
      <c r="BS28" s="16">
        <v>-0.0000027869240102347052</v>
      </c>
      <c r="BT28" s="16">
        <v>-0.003911442055040351</v>
      </c>
      <c r="BU28" s="16">
        <v>-0.000009012233936148835</v>
      </c>
      <c r="BV28" s="16">
        <v>-0.0000032801848970019098</v>
      </c>
      <c r="BW28" s="16">
        <v>-0.006622510496784845</v>
      </c>
      <c r="BX28" s="16">
        <v>-0.00001240029180688148</v>
      </c>
      <c r="BY28" s="16">
        <v>-0.000004513337113919922</v>
      </c>
      <c r="BZ28" s="16">
        <v>-0.00933357893852934</v>
      </c>
      <c r="CA28" s="16">
        <v>-0.000015788349677614127</v>
      </c>
      <c r="CB28" s="16">
        <v>-0.0000057464893308379324</v>
      </c>
      <c r="CC28" s="16">
        <v>-0.020177852705507312</v>
      </c>
      <c r="CD28" s="16">
        <v>-0.000029340581160544707</v>
      </c>
      <c r="CE28" s="16">
        <v>-0.000010679098198509978</v>
      </c>
      <c r="CF28" s="16">
        <v>-0.05</v>
      </c>
      <c r="CG28" s="16">
        <v>0</v>
      </c>
      <c r="CH28" s="16">
        <v>0</v>
      </c>
      <c r="CI28" s="45">
        <v>33981.43387592912</v>
      </c>
      <c r="CJ28" s="45">
        <v>33981.43387592912</v>
      </c>
      <c r="CK28" s="45">
        <v>33866.46038088049</v>
      </c>
      <c r="CL28" s="45">
        <v>32846.24160741138</v>
      </c>
      <c r="CM28" s="45">
        <v>30697.223228992647</v>
      </c>
      <c r="CN28" s="45">
        <v>29309.605206004922</v>
      </c>
      <c r="CO28" s="45">
        <v>27300.755468963154</v>
      </c>
      <c r="CP28" s="45">
        <v>25172.72680650582</v>
      </c>
      <c r="CQ28" s="45">
        <v>21360.451109480982</v>
      </c>
      <c r="CR28" s="45">
        <v>19730.051142762208</v>
      </c>
      <c r="CS28" s="45">
        <v>18285.653894029107</v>
      </c>
      <c r="CT28" s="45">
        <v>17005.319573460074</v>
      </c>
      <c r="CU28" s="45">
        <v>15840.924577130423</v>
      </c>
      <c r="CV28" s="45">
        <v>14757.046583712752</v>
      </c>
      <c r="CW28" s="45">
        <v>13738.818328340469</v>
      </c>
      <c r="CX28" s="45">
        <v>11969.51845152273</v>
      </c>
      <c r="CY28" s="45">
        <v>10538.307697067334</v>
      </c>
      <c r="CZ28" s="45">
        <v>9327.007378869508</v>
      </c>
      <c r="DA28" s="45">
        <v>8305.14877629858</v>
      </c>
      <c r="DB28" s="45">
        <v>6450.976263608236</v>
      </c>
      <c r="DC28" s="45">
        <v>4911.59390921279</v>
      </c>
      <c r="DD28" s="45">
        <v>2611.9614746422103</v>
      </c>
      <c r="DE28" s="45">
        <v>1068.1211383746308</v>
      </c>
      <c r="DF28" s="45">
        <v>-1527.3005595969614</v>
      </c>
      <c r="DG28" s="45">
        <v>-3016.130408836321</v>
      </c>
      <c r="DH28" s="45">
        <v>-5068.5814248840215</v>
      </c>
      <c r="DI28" s="45">
        <v>-5790.583579096708</v>
      </c>
      <c r="DJ28" s="45">
        <v>6.55418261885643e-13</v>
      </c>
      <c r="DK28" s="45">
        <v>6.55418261885643e-13</v>
      </c>
      <c r="DL28" s="45">
        <v>-56.91952712150265</v>
      </c>
      <c r="DM28" s="45">
        <v>-522.0532157475437</v>
      </c>
      <c r="DN28" s="45">
        <v>-1409.5709838368907</v>
      </c>
      <c r="DO28" s="45">
        <v>-1952.5964129862484</v>
      </c>
      <c r="DP28" s="45">
        <v>-2720.320790803787</v>
      </c>
      <c r="DQ28" s="45">
        <v>-3501.7695048238484</v>
      </c>
      <c r="DR28" s="45">
        <v>-4715.298779605154</v>
      </c>
      <c r="DS28" s="45">
        <v>-5138.6726038514635</v>
      </c>
      <c r="DT28" s="45">
        <v>-5449.038240179951</v>
      </c>
      <c r="DU28" s="45">
        <v>-5665.310375971667</v>
      </c>
      <c r="DV28" s="45">
        <v>-5816.306920415162</v>
      </c>
      <c r="DW28" s="45">
        <v>-5927.256932068104</v>
      </c>
      <c r="DX28" s="45">
        <v>-6010.038493179282</v>
      </c>
      <c r="DY28" s="45">
        <v>-6051.353730396353</v>
      </c>
      <c r="DZ28" s="45">
        <v>-5958.30702310341</v>
      </c>
      <c r="EA28" s="45">
        <v>-5786.936787852286</v>
      </c>
      <c r="EB28" s="45">
        <v>-5570.943457995071</v>
      </c>
      <c r="EC28" s="45">
        <v>-5112.140799377338</v>
      </c>
      <c r="ED28" s="45">
        <v>-4661.255385514827</v>
      </c>
      <c r="EE28" s="45">
        <v>-3839.342081133855</v>
      </c>
      <c r="EF28" s="45">
        <v>-3222.3269708989087</v>
      </c>
      <c r="EG28" s="45">
        <v>-2096.9599472305777</v>
      </c>
      <c r="EH28" s="45">
        <v>-1395.342803843023</v>
      </c>
      <c r="EI28" s="45">
        <v>-391.86077782301317</v>
      </c>
      <c r="EJ28" s="45">
        <v>0</v>
      </c>
      <c r="EK28" s="45">
        <v>-5.220063030719757e-12</v>
      </c>
      <c r="EL28" s="45">
        <v>-5.220063030719757e-12</v>
      </c>
      <c r="EM28" s="45">
        <v>-42.24842770035647</v>
      </c>
      <c r="EN28" s="45">
        <v>-301.80997452584893</v>
      </c>
      <c r="EO28" s="45">
        <v>-778.5048827558678</v>
      </c>
      <c r="EP28" s="45">
        <v>-1063.1954917202274</v>
      </c>
      <c r="EQ28" s="45">
        <v>-1453.945074929388</v>
      </c>
      <c r="ER28" s="45">
        <v>-1818.0516930188876</v>
      </c>
      <c r="ES28" s="45">
        <v>-2144.0850533778726</v>
      </c>
      <c r="ET28" s="45">
        <v>-2186.898779793724</v>
      </c>
      <c r="EU28" s="45">
        <v>-2220.0392626023067</v>
      </c>
      <c r="EV28" s="45">
        <v>-2259.317095028226</v>
      </c>
      <c r="EW28" s="45">
        <v>-2306.993048306037</v>
      </c>
      <c r="EX28" s="45">
        <v>-2356.4163809676675</v>
      </c>
      <c r="EY28" s="45">
        <v>-2407.467688394888</v>
      </c>
      <c r="EZ28" s="45">
        <v>-2478.2099750888633</v>
      </c>
      <c r="FA28" s="45">
        <v>-2492.208821371652</v>
      </c>
      <c r="FB28" s="45">
        <v>-2531.2120738594626</v>
      </c>
      <c r="FC28" s="45">
        <v>-2545.87303646232</v>
      </c>
      <c r="FD28" s="45">
        <v>-2545.2747919726507</v>
      </c>
      <c r="FE28" s="45">
        <v>-2476.726029060492</v>
      </c>
      <c r="FF28" s="45">
        <v>-2329.1901032187357</v>
      </c>
      <c r="FG28" s="45">
        <v>-2097.2535073510508</v>
      </c>
      <c r="FH28" s="45">
        <v>-1556.2049107442494</v>
      </c>
      <c r="FI28" s="45">
        <v>-1141.848411675025</v>
      </c>
      <c r="FJ28" s="45">
        <v>-340.5214313684327</v>
      </c>
      <c r="FK28" s="45">
        <v>5.960464477539062e-14</v>
      </c>
      <c r="FL28" s="46">
        <f>MAX(1,MIN(26,SUMPRODUCT(--($CI28:$DI28&gt;=Pu))))</f>
      </c>
      <c r="FM28" s="47">
        <f>(Pu-INDEX($CI28:$DI28,1,$FL28))/(INDEX($CI28:$DI28,1,$FL28+1)-INDEX($CI28:$DI28,1,$FL28))</f>
      </c>
      <c r="FN28" s="39">
        <f>INDEX($DJ28:$EJ28,1,$FL28)+$FM28*(INDEX($DJ28:$EJ28,1,$FL28+1)-INDEX($DJ28:$EJ28,1,$FL28))</f>
      </c>
      <c r="FO28" s="39">
        <f>INDEX($EK28:$FK28,1,$FL28)+$FM28*(INDEX($EK28:$FK28,1,$FL28+1)-INDEX($EK28:$FK28,1,$FL28))</f>
      </c>
      <c r="FP28" s="39">
        <f>SQRT(FN28^2+FO28^2)</f>
      </c>
      <c r="FQ28" s="20">
        <f>FN29-FN28</f>
      </c>
      <c r="FR28" s="20">
        <f>FO29-FO28</f>
      </c>
      <c r="FS28" s="20">
        <f>FQ28*SIN(RADIANS(theta_L))-FR28*COS(RADIANS(theta_L))</f>
      </c>
      <c r="FT28" s="47">
        <f>IF(FS28=0,"",-(FN28*SIN(RADIANS(theta_L))-FO28*COS(RADIANS(theta_L)))/FS28)</f>
      </c>
      <c r="FU28" s="20">
        <f>IF(FT28="","",(FN28+FT28*FQ28)*COS(RADIANS(theta_L))+(FO28+FT28*FR28)*SIN(RADIANS(theta_L)))</f>
      </c>
      <c r="FV28" s="20">
        <f>IF(OR(FT28="",FT28&lt;0,FT28&gt;1,FU28&lt;0),"",FU28)</f>
      </c>
    </row>
    <row r="29" spans="1:178" x14ac:dyDescent="0.25">
      <c r="A29">
        <v>22</v>
      </c>
      <c r="B29" s="44">
        <v>210</v>
      </c>
      <c r="C29" s="18">
        <v>794.6152422706632</v>
      </c>
      <c r="D29" s="18">
        <v>-658.9934640057525</v>
      </c>
      <c r="E29" s="18">
        <v>1453.6087062764157</v>
      </c>
      <c r="F29" s="16">
        <v>0.0033</v>
      </c>
      <c r="G29" s="16">
        <v>0</v>
      </c>
      <c r="H29" s="16">
        <v>0</v>
      </c>
      <c r="I29" s="16">
        <v>0.00275</v>
      </c>
      <c r="J29" s="16">
        <v>-5.994271777625911e-7</v>
      </c>
      <c r="K29" s="16">
        <v>-3.460794424408097e-7</v>
      </c>
      <c r="L29" s="16">
        <v>0.0024749999999999998</v>
      </c>
      <c r="M29" s="16">
        <v>-8.991407666438866e-7</v>
      </c>
      <c r="N29" s="16">
        <v>-5.191191636612146e-7</v>
      </c>
      <c r="O29" s="16">
        <v>0.0022</v>
      </c>
      <c r="P29" s="16">
        <v>-0.0000011988543555251822</v>
      </c>
      <c r="Q29" s="16">
        <v>-6.921588848816194e-7</v>
      </c>
      <c r="R29" s="16">
        <v>0.001925</v>
      </c>
      <c r="S29" s="16">
        <v>-0.0000014985679444064777</v>
      </c>
      <c r="T29" s="16">
        <v>-8.651986061020243e-7</v>
      </c>
      <c r="U29" s="16">
        <v>0.0018000000000000002</v>
      </c>
      <c r="V29" s="16">
        <v>-0.0000016348013938979755</v>
      </c>
      <c r="W29" s="16">
        <v>-9.438530248385719e-7</v>
      </c>
      <c r="X29" s="16">
        <v>0.00165</v>
      </c>
      <c r="Y29" s="16">
        <v>-0.0000017982815332877731</v>
      </c>
      <c r="Z29" s="16">
        <v>-0.000001038238327322429</v>
      </c>
      <c r="AA29" s="16">
        <v>0.0014960549024157057</v>
      </c>
      <c r="AB29" s="16">
        <v>-0.0000019660613066974827</v>
      </c>
      <c r="AC29" s="16">
        <v>-0.0000011351060246650994</v>
      </c>
      <c r="AD29" s="16">
        <v>0.0012227298876302064</v>
      </c>
      <c r="AE29" s="16">
        <v>-0.000002263949383469829</v>
      </c>
      <c r="AF29" s="16">
        <v>-0.0000013070917859779932</v>
      </c>
      <c r="AG29" s="16">
        <v>0.001086067380237457</v>
      </c>
      <c r="AH29" s="16">
        <v>-0.0000024128934218560017</v>
      </c>
      <c r="AI29" s="16">
        <v>-0.00000139308466663444</v>
      </c>
      <c r="AJ29" s="16">
        <v>0.0009494048728447071</v>
      </c>
      <c r="AK29" s="16">
        <v>-0.000002561837460242175</v>
      </c>
      <c r="AL29" s="16">
        <v>-0.0000014790775472908873</v>
      </c>
      <c r="AM29" s="16">
        <v>0.0008127423654519577</v>
      </c>
      <c r="AN29" s="16">
        <v>-0.0000027107814986283476</v>
      </c>
      <c r="AO29" s="16">
        <v>-0.0000015650704279473342</v>
      </c>
      <c r="AP29" s="16">
        <v>0.0006760798580592079</v>
      </c>
      <c r="AQ29" s="16">
        <v>-0.000002859725537014521</v>
      </c>
      <c r="AR29" s="16">
        <v>-0.0000016510633086037812</v>
      </c>
      <c r="AS29" s="16">
        <v>0.0005394173506664589</v>
      </c>
      <c r="AT29" s="16">
        <v>-0.000003008669575400693</v>
      </c>
      <c r="AU29" s="16">
        <v>-0.0000017370561892602279</v>
      </c>
      <c r="AV29" s="16">
        <v>0.00040275484327370907</v>
      </c>
      <c r="AW29" s="16">
        <v>-0.0000031576136137868663</v>
      </c>
      <c r="AX29" s="16">
        <v>-0.000001823049069916675</v>
      </c>
      <c r="AY29" s="16">
        <v>0.00012942982848821024</v>
      </c>
      <c r="AZ29" s="16">
        <v>-0.000003455501690559212</v>
      </c>
      <c r="BA29" s="16">
        <v>-0.0000019950348312295686</v>
      </c>
      <c r="BB29" s="16">
        <v>-0.00014389518629728945</v>
      </c>
      <c r="BC29" s="16">
        <v>-0.0000037533897673315585</v>
      </c>
      <c r="BD29" s="16">
        <v>-0.0000021670205925424627</v>
      </c>
      <c r="BE29" s="16">
        <v>-0.0004172202010827887</v>
      </c>
      <c r="BF29" s="16">
        <v>-0.000004051277844103904</v>
      </c>
      <c r="BG29" s="16">
        <v>-0.0000023390063538553564</v>
      </c>
      <c r="BH29" s="16">
        <v>-0.0006905452158682875</v>
      </c>
      <c r="BI29" s="16">
        <v>-0.0000043491659208762495</v>
      </c>
      <c r="BJ29" s="16">
        <v>-0.00000251099211516825</v>
      </c>
      <c r="BK29" s="16">
        <v>-0.001237195245439286</v>
      </c>
      <c r="BL29" s="16">
        <v>-0.000004944942074420942</v>
      </c>
      <c r="BM29" s="16">
        <v>-0.000002854963637794038</v>
      </c>
      <c r="BN29" s="16">
        <v>-0.0017838452750102837</v>
      </c>
      <c r="BO29" s="16">
        <v>-0.000005540718227965633</v>
      </c>
      <c r="BP29" s="16">
        <v>-0.0000031989351604198256</v>
      </c>
      <c r="BQ29" s="16">
        <v>-0.0028771453341522807</v>
      </c>
      <c r="BR29" s="16">
        <v>-0.000006732270535055018</v>
      </c>
      <c r="BS29" s="16">
        <v>-0.000003886878205671401</v>
      </c>
      <c r="BT29" s="16">
        <v>-0.003970445393294277</v>
      </c>
      <c r="BU29" s="16">
        <v>-0.0000079238228421444</v>
      </c>
      <c r="BV29" s="16">
        <v>-0.000004574821250922976</v>
      </c>
      <c r="BW29" s="16">
        <v>-0.006703695541149268</v>
      </c>
      <c r="BX29" s="16">
        <v>-0.000010902703609867859</v>
      </c>
      <c r="BY29" s="16">
        <v>-0.000006294678864051915</v>
      </c>
      <c r="BZ29" s="16">
        <v>-0.009436945689004262</v>
      </c>
      <c r="CA29" s="16">
        <v>-0.000013881584377591319</v>
      </c>
      <c r="CB29" s="16">
        <v>-0.000008014536477180854</v>
      </c>
      <c r="CC29" s="16">
        <v>-0.020369946280424225</v>
      </c>
      <c r="CD29" s="16">
        <v>-0.000025797107448485155</v>
      </c>
      <c r="CE29" s="16">
        <v>-0.000014893966929696607</v>
      </c>
      <c r="CF29" s="16">
        <v>-0.05</v>
      </c>
      <c r="CG29" s="16">
        <v>0</v>
      </c>
      <c r="CH29" s="16">
        <v>0</v>
      </c>
      <c r="CI29" s="45">
        <v>33981.43387592912</v>
      </c>
      <c r="CJ29" s="45">
        <v>33981.43387592912</v>
      </c>
      <c r="CK29" s="45">
        <v>33876.03213295795</v>
      </c>
      <c r="CL29" s="45">
        <v>32906.01325096785</v>
      </c>
      <c r="CM29" s="45">
        <v>30851.925454771626</v>
      </c>
      <c r="CN29" s="45">
        <v>29530.369281447915</v>
      </c>
      <c r="CO29" s="45">
        <v>27606.29172738972</v>
      </c>
      <c r="CP29" s="45">
        <v>25380.973765469163</v>
      </c>
      <c r="CQ29" s="45">
        <v>21707.329253162665</v>
      </c>
      <c r="CR29" s="45">
        <v>20027.310123110772</v>
      </c>
      <c r="CS29" s="45">
        <v>18459.473777459072</v>
      </c>
      <c r="CT29" s="45">
        <v>17009.192709478302</v>
      </c>
      <c r="CU29" s="45">
        <v>15697.08036515825</v>
      </c>
      <c r="CV29" s="45">
        <v>14508.92628459579</v>
      </c>
      <c r="CW29" s="45">
        <v>13399.503215462624</v>
      </c>
      <c r="CX29" s="45">
        <v>11482.879130004003</v>
      </c>
      <c r="CY29" s="45">
        <v>9854.503094740641</v>
      </c>
      <c r="CZ29" s="45">
        <v>8505.70364520526</v>
      </c>
      <c r="DA29" s="45">
        <v>7315.198362801137</v>
      </c>
      <c r="DB29" s="45">
        <v>5444.444550948747</v>
      </c>
      <c r="DC29" s="45">
        <v>3998.2944795254284</v>
      </c>
      <c r="DD29" s="45">
        <v>1949.6808039073976</v>
      </c>
      <c r="DE29" s="45">
        <v>511.26210997562345</v>
      </c>
      <c r="DF29" s="45">
        <v>-1812.460497372271</v>
      </c>
      <c r="DG29" s="45">
        <v>-3139.320491048343</v>
      </c>
      <c r="DH29" s="45">
        <v>-5043.762423542305</v>
      </c>
      <c r="DI29" s="45">
        <v>-5790.583579096708</v>
      </c>
      <c r="DJ29" s="45">
        <v>6.55418261885643e-13</v>
      </c>
      <c r="DK29" s="45">
        <v>6.55418261885643e-13</v>
      </c>
      <c r="DL29" s="45">
        <v>-48.82737897610025</v>
      </c>
      <c r="DM29" s="45">
        <v>-451.615918305546</v>
      </c>
      <c r="DN29" s="45">
        <v>-1225.0734674282305</v>
      </c>
      <c r="DO29" s="45">
        <v>-1702.4514385348818</v>
      </c>
      <c r="DP29" s="45">
        <v>-2381.69358926521</v>
      </c>
      <c r="DQ29" s="45">
        <v>-3126.99782166084</v>
      </c>
      <c r="DR29" s="45">
        <v>-4145.278835316722</v>
      </c>
      <c r="DS29" s="45">
        <v>-4522.222382735998</v>
      </c>
      <c r="DT29" s="45">
        <v>-4823.7701921769885</v>
      </c>
      <c r="DU29" s="45">
        <v>-5045.950067069866</v>
      </c>
      <c r="DV29" s="45">
        <v>-5194.68506788422</v>
      </c>
      <c r="DW29" s="45">
        <v>-5287.606148098286</v>
      </c>
      <c r="DX29" s="45">
        <v>-5345.641387896185</v>
      </c>
      <c r="DY29" s="45">
        <v>-5332.535715362699</v>
      </c>
      <c r="DZ29" s="45">
        <v>-5211.0731023903445</v>
      </c>
      <c r="EA29" s="45">
        <v>-5022.430466273361</v>
      </c>
      <c r="EB29" s="45">
        <v>-4796.2583190464575</v>
      </c>
      <c r="EC29" s="45">
        <v>-4295.481529775293</v>
      </c>
      <c r="ED29" s="45">
        <v>-3874.7562747465877</v>
      </c>
      <c r="EE29" s="45">
        <v>-3245.9772676604334</v>
      </c>
      <c r="EF29" s="45">
        <v>-2732.25224133507</v>
      </c>
      <c r="EG29" s="45">
        <v>-1811.8862886257757</v>
      </c>
      <c r="EH29" s="45">
        <v>-1252.4501174205975</v>
      </c>
      <c r="EI29" s="45">
        <v>-390.94105290413614</v>
      </c>
      <c r="EJ29" s="45">
        <v>0</v>
      </c>
      <c r="EK29" s="45">
        <v>-5.220063030719757e-12</v>
      </c>
      <c r="EL29" s="45">
        <v>-5.220063030719757e-12</v>
      </c>
      <c r="EM29" s="45">
        <v>-49.008561187525956</v>
      </c>
      <c r="EN29" s="45">
        <v>-395.3042930080064</v>
      </c>
      <c r="EO29" s="45">
        <v>-1044.9472750163882</v>
      </c>
      <c r="EP29" s="45">
        <v>-1429.3874678290456</v>
      </c>
      <c r="EQ29" s="45">
        <v>-1956.4254380642615</v>
      </c>
      <c r="ER29" s="45">
        <v>-2508.604723676955</v>
      </c>
      <c r="ES29" s="45">
        <v>-3072.756183721881</v>
      </c>
      <c r="ET29" s="45">
        <v>-3217.986629953551</v>
      </c>
      <c r="EU29" s="45">
        <v>-3318.1563609051645</v>
      </c>
      <c r="EV29" s="45">
        <v>-3397.6254059745434</v>
      </c>
      <c r="EW29" s="45">
        <v>-3475.2731875085706</v>
      </c>
      <c r="EX29" s="45">
        <v>-3553.802880810791</v>
      </c>
      <c r="EY29" s="45">
        <v>-3624.0803357245036</v>
      </c>
      <c r="EZ29" s="45">
        <v>-3682.8893057261726</v>
      </c>
      <c r="FA29" s="45">
        <v>-3694.4573071277423</v>
      </c>
      <c r="FB29" s="45">
        <v>-3660.6584302057922</v>
      </c>
      <c r="FC29" s="45">
        <v>-3632.740807414711</v>
      </c>
      <c r="FD29" s="45">
        <v>-3539.615758254851</v>
      </c>
      <c r="FE29" s="45">
        <v>-3370.9622004176017</v>
      </c>
      <c r="FF29" s="45">
        <v>-2927.0416833708387</v>
      </c>
      <c r="FG29" s="45">
        <v>-2576.1224045675226</v>
      </c>
      <c r="FH29" s="45">
        <v>-1851.9191068231153</v>
      </c>
      <c r="FI29" s="45">
        <v>-1317.540551083515</v>
      </c>
      <c r="FJ29" s="45">
        <v>-388.05478209691546</v>
      </c>
      <c r="FK29" s="45">
        <v>5.960464477539062e-14</v>
      </c>
      <c r="FL29" s="46">
        <f>MAX(1,MIN(26,SUMPRODUCT(--($CI29:$DI29&gt;=Pu))))</f>
      </c>
      <c r="FM29" s="47">
        <f>(Pu-INDEX($CI29:$DI29,1,$FL29))/(INDEX($CI29:$DI29,1,$FL29+1)-INDEX($CI29:$DI29,1,$FL29))</f>
      </c>
      <c r="FN29" s="39">
        <f>INDEX($DJ29:$EJ29,1,$FL29)+$FM29*(INDEX($DJ29:$EJ29,1,$FL29+1)-INDEX($DJ29:$EJ29,1,$FL29))</f>
      </c>
      <c r="FO29" s="39">
        <f>INDEX($EK29:$FK29,1,$FL29)+$FM29*(INDEX($EK29:$FK29,1,$FL29+1)-INDEX($EK29:$FK29,1,$FL29))</f>
      </c>
      <c r="FP29" s="39">
        <f>SQRT(FN29^2+FO29^2)</f>
      </c>
      <c r="FQ29" s="20">
        <f>FN30-FN29</f>
      </c>
      <c r="FR29" s="20">
        <f>FO30-FO29</f>
      </c>
      <c r="FS29" s="20">
        <f>FQ29*SIN(RADIANS(theta_L))-FR29*COS(RADIANS(theta_L))</f>
      </c>
      <c r="FT29" s="47">
        <f>IF(FS29=0,"",-(FN29*SIN(RADIANS(theta_L))-FO29*COS(RADIANS(theta_L)))/FS29)</f>
      </c>
      <c r="FU29" s="20">
        <f>IF(FT29="","",(FN29+FT29*FQ29)*COS(RADIANS(theta_L))+(FO29+FT29*FR29)*SIN(RADIANS(theta_L)))</f>
      </c>
      <c r="FV29" s="20">
        <f>IF(OR(FT29="",FT29&lt;0,FT29&gt;1,FU29&lt;0),"",FU29)</f>
      </c>
    </row>
    <row r="30" spans="1:178" x14ac:dyDescent="0.25">
      <c r="A30">
        <v>23</v>
      </c>
      <c r="B30" s="44">
        <v>219.99999999999997</v>
      </c>
      <c r="C30" s="18">
        <v>813.1598511989835</v>
      </c>
      <c r="D30" s="18">
        <v>-666.90890752254</v>
      </c>
      <c r="E30" s="18">
        <v>1480.0687587215234</v>
      </c>
      <c r="F30" s="16">
        <v>0.0033</v>
      </c>
      <c r="G30" s="16">
        <v>0</v>
      </c>
      <c r="H30" s="16">
        <v>0</v>
      </c>
      <c r="I30" s="16">
        <v>0.00275</v>
      </c>
      <c r="J30" s="16">
        <v>-5.181323734739312e-7</v>
      </c>
      <c r="K30" s="16">
        <v>-4.3476468348298396e-7</v>
      </c>
      <c r="L30" s="16">
        <v>0.002475</v>
      </c>
      <c r="M30" s="16">
        <v>-7.771985602108968e-7</v>
      </c>
      <c r="N30" s="16">
        <v>-6.521470252244759e-7</v>
      </c>
      <c r="O30" s="16">
        <v>0.0022</v>
      </c>
      <c r="P30" s="16">
        <v>-0.0000010362647469478624</v>
      </c>
      <c r="Q30" s="16">
        <v>-8.695293669659679e-7</v>
      </c>
      <c r="R30" s="16">
        <v>0.0019249999999999998</v>
      </c>
      <c r="S30" s="16">
        <v>-0.0000012953309336848282</v>
      </c>
      <c r="T30" s="16">
        <v>-0.00000108691170870746</v>
      </c>
      <c r="U30" s="16">
        <v>0.0018</v>
      </c>
      <c r="V30" s="16">
        <v>-0.0000014130882912925398</v>
      </c>
      <c r="W30" s="16">
        <v>-0.0000011857218640445017</v>
      </c>
      <c r="X30" s="16">
        <v>0.0016500000000000002</v>
      </c>
      <c r="Y30" s="16">
        <v>-0.0000015543971204217936</v>
      </c>
      <c r="Z30" s="16">
        <v>-0.0000013042940504489518</v>
      </c>
      <c r="AA30" s="16">
        <v>0.0014869575361656999</v>
      </c>
      <c r="AB30" s="16">
        <v>-0.0000017079927181736185</v>
      </c>
      <c r="AC30" s="16">
        <v>-0.0000014331760598729619</v>
      </c>
      <c r="AD30" s="16">
        <v>0.001212254132554442</v>
      </c>
      <c r="AE30" s="16">
        <v>-0.0000019667794936544697</v>
      </c>
      <c r="AF30" s="16">
        <v>-0.0000016503239477325016</v>
      </c>
      <c r="AG30" s="16">
        <v>0.0010749024307488133</v>
      </c>
      <c r="AH30" s="16">
        <v>-0.0000020961728813948954</v>
      </c>
      <c r="AI30" s="16">
        <v>-0.0000017588978916622712</v>
      </c>
      <c r="AJ30" s="16">
        <v>0.0009375507289431841</v>
      </c>
      <c r="AK30" s="16">
        <v>-0.0000022255662691353214</v>
      </c>
      <c r="AL30" s="16">
        <v>-0.0000018674718355920412</v>
      </c>
      <c r="AM30" s="16">
        <v>0.0008001990271375554</v>
      </c>
      <c r="AN30" s="16">
        <v>-0.000002354959656875747</v>
      </c>
      <c r="AO30" s="16">
        <v>-0.000001976045779521811</v>
      </c>
      <c r="AP30" s="16">
        <v>0.0006628473253319266</v>
      </c>
      <c r="AQ30" s="16">
        <v>-0.0000024843530446161726</v>
      </c>
      <c r="AR30" s="16">
        <v>-0.000002084619723451581</v>
      </c>
      <c r="AS30" s="16">
        <v>0.0005254956235262978</v>
      </c>
      <c r="AT30" s="16">
        <v>-0.0000026137464323565983</v>
      </c>
      <c r="AU30" s="16">
        <v>-0.0000021931936673813508</v>
      </c>
      <c r="AV30" s="16">
        <v>0.00038814392172066906</v>
      </c>
      <c r="AW30" s="16">
        <v>-0.000002743139820097024</v>
      </c>
      <c r="AX30" s="16">
        <v>-0.0000023017676113111203</v>
      </c>
      <c r="AY30" s="16">
        <v>0.00011344051810941195</v>
      </c>
      <c r="AZ30" s="16">
        <v>-0.000003001926595577875</v>
      </c>
      <c r="BA30" s="16">
        <v>-0.00000251891549917066</v>
      </c>
      <c r="BB30" s="16">
        <v>-0.00016126288550184645</v>
      </c>
      <c r="BC30" s="16">
        <v>-0.0000032607133710587268</v>
      </c>
      <c r="BD30" s="16">
        <v>-0.0000027360633870302</v>
      </c>
      <c r="BE30" s="16">
        <v>-0.0004359662891131044</v>
      </c>
      <c r="BF30" s="16">
        <v>-0.0000035195001465395784</v>
      </c>
      <c r="BG30" s="16">
        <v>-0.0000029532112748897403</v>
      </c>
      <c r="BH30" s="16">
        <v>-0.000710669692724362</v>
      </c>
      <c r="BI30" s="16">
        <v>-0.0000037782869220204297</v>
      </c>
      <c r="BJ30" s="16">
        <v>-0.0000031703591627492795</v>
      </c>
      <c r="BK30" s="16">
        <v>-0.0012600764999468762</v>
      </c>
      <c r="BL30" s="16">
        <v>-0.000004295860472982132</v>
      </c>
      <c r="BM30" s="16">
        <v>-0.0000036046549384683586</v>
      </c>
      <c r="BN30" s="16">
        <v>-0.0018094833071693912</v>
      </c>
      <c r="BO30" s="16">
        <v>-0.000004813434023943834</v>
      </c>
      <c r="BP30" s="16">
        <v>-0.000004038950714187438</v>
      </c>
      <c r="BQ30" s="16">
        <v>-0.002908296921614424</v>
      </c>
      <c r="BR30" s="16">
        <v>-0.000005848581125867241</v>
      </c>
      <c r="BS30" s="16">
        <v>-0.000004907542265625598</v>
      </c>
      <c r="BT30" s="16">
        <v>-0.004007110536059453</v>
      </c>
      <c r="BU30" s="16">
        <v>-0.000006883728227790645</v>
      </c>
      <c r="BV30" s="16">
        <v>-0.000005776133817063756</v>
      </c>
      <c r="BW30" s="16">
        <v>-0.0067541445721720295</v>
      </c>
      <c r="BX30" s="16">
        <v>-0.000009471595982599158</v>
      </c>
      <c r="BY30" s="16">
        <v>-0.000007947612695659153</v>
      </c>
      <c r="BZ30" s="16">
        <v>-0.009501178608284606</v>
      </c>
      <c r="CA30" s="16">
        <v>-0.000012059463737407672</v>
      </c>
      <c r="CB30" s="16">
        <v>-0.00001011909157425455</v>
      </c>
      <c r="CC30" s="16">
        <v>-0.02048931475273491</v>
      </c>
      <c r="CD30" s="16">
        <v>-0.000022410934756641723</v>
      </c>
      <c r="CE30" s="16">
        <v>-0.000018805007088636136</v>
      </c>
      <c r="CF30" s="16">
        <v>-0.05</v>
      </c>
      <c r="CG30" s="16">
        <v>0</v>
      </c>
      <c r="CH30" s="16">
        <v>0</v>
      </c>
      <c r="CI30" s="45">
        <v>33981.43387592912</v>
      </c>
      <c r="CJ30" s="45">
        <v>33981.43387592912</v>
      </c>
      <c r="CK30" s="45">
        <v>33863.401961756674</v>
      </c>
      <c r="CL30" s="45">
        <v>32899.22900636582</v>
      </c>
      <c r="CM30" s="45">
        <v>30842.140259191136</v>
      </c>
      <c r="CN30" s="45">
        <v>29535.783675959967</v>
      </c>
      <c r="CO30" s="45">
        <v>27634.205024094677</v>
      </c>
      <c r="CP30" s="45">
        <v>25332.233745221645</v>
      </c>
      <c r="CQ30" s="45">
        <v>21761.56042439466</v>
      </c>
      <c r="CR30" s="45">
        <v>20101.224978027964</v>
      </c>
      <c r="CS30" s="45">
        <v>18512.818954302034</v>
      </c>
      <c r="CT30" s="45">
        <v>17004.408123578432</v>
      </c>
      <c r="CU30" s="45">
        <v>15596.516851973447</v>
      </c>
      <c r="CV30" s="45">
        <v>14294.869815560665</v>
      </c>
      <c r="CW30" s="45">
        <v>13104.8791266839</v>
      </c>
      <c r="CX30" s="45">
        <v>11110.884833042266</v>
      </c>
      <c r="CY30" s="45">
        <v>9458.95332207135</v>
      </c>
      <c r="CZ30" s="45">
        <v>8043.1654788070955</v>
      </c>
      <c r="DA30" s="45">
        <v>6844.629912111164</v>
      </c>
      <c r="DB30" s="45">
        <v>5044.902711743984</v>
      </c>
      <c r="DC30" s="45">
        <v>3785.4267341656296</v>
      </c>
      <c r="DD30" s="45">
        <v>1893.5135774425642</v>
      </c>
      <c r="DE30" s="45">
        <v>539.058511288472</v>
      </c>
      <c r="DF30" s="45">
        <v>-1617.1256590809053</v>
      </c>
      <c r="DG30" s="45">
        <v>-2847.6718646728477</v>
      </c>
      <c r="DH30" s="45">
        <v>-4751.34665962874</v>
      </c>
      <c r="DI30" s="45">
        <v>-5790.583579096708</v>
      </c>
      <c r="DJ30" s="45">
        <v>6.55418261885643e-13</v>
      </c>
      <c r="DK30" s="45">
        <v>6.55418261885643e-13</v>
      </c>
      <c r="DL30" s="45">
        <v>-48.958263339747944</v>
      </c>
      <c r="DM30" s="45">
        <v>-398.0757906164403</v>
      </c>
      <c r="DN30" s="45">
        <v>-1088.2690308146505</v>
      </c>
      <c r="DO30" s="45">
        <v>-1510.5385693199</v>
      </c>
      <c r="DP30" s="45">
        <v>-2101.5497614287774</v>
      </c>
      <c r="DQ30" s="45">
        <v>-2749.0950305457104</v>
      </c>
      <c r="DR30" s="45">
        <v>-3532.437769708687</v>
      </c>
      <c r="DS30" s="45">
        <v>-3817.8889792252025</v>
      </c>
      <c r="DT30" s="45">
        <v>-4054.084505202739</v>
      </c>
      <c r="DU30" s="45">
        <v>-4242.420926286809</v>
      </c>
      <c r="DV30" s="45">
        <v>-4383.00903664338</v>
      </c>
      <c r="DW30" s="45">
        <v>-4474.54778540164</v>
      </c>
      <c r="DX30" s="45">
        <v>-4527.173760955919</v>
      </c>
      <c r="DY30" s="45">
        <v>-4493.212345325519</v>
      </c>
      <c r="DZ30" s="45">
        <v>-4364.214520318649</v>
      </c>
      <c r="EA30" s="45">
        <v>-4189.898235503853</v>
      </c>
      <c r="EB30" s="45">
        <v>-4004.359886716836</v>
      </c>
      <c r="EC30" s="45">
        <v>-3649.857267542735</v>
      </c>
      <c r="ED30" s="45">
        <v>-3333.056961239355</v>
      </c>
      <c r="EE30" s="45">
        <v>-2821.6453130223535</v>
      </c>
      <c r="EF30" s="45">
        <v>-2451.7278494402162</v>
      </c>
      <c r="EG30" s="45">
        <v>-1732.8767229561272</v>
      </c>
      <c r="EH30" s="45">
        <v>-1270.1862289909416</v>
      </c>
      <c r="EI30" s="45">
        <v>-478.9243111428827</v>
      </c>
      <c r="EJ30" s="45">
        <v>0</v>
      </c>
      <c r="EK30" s="45">
        <v>-5.220063030719757e-12</v>
      </c>
      <c r="EL30" s="45">
        <v>-5.220063030719757e-12</v>
      </c>
      <c r="EM30" s="45">
        <v>-61.95267625857963</v>
      </c>
      <c r="EN30" s="45">
        <v>-493.73059946020294</v>
      </c>
      <c r="EO30" s="45">
        <v>-1280.8274411753707</v>
      </c>
      <c r="EP30" s="45">
        <v>-1753.7383745309983</v>
      </c>
      <c r="EQ30" s="45">
        <v>-2419.284212618864</v>
      </c>
      <c r="ER30" s="45">
        <v>-3138.164009826728</v>
      </c>
      <c r="ES30" s="45">
        <v>-3910.077001241621</v>
      </c>
      <c r="ET30" s="45">
        <v>-4157.571374021751</v>
      </c>
      <c r="EU30" s="45">
        <v>-4343.422555444722</v>
      </c>
      <c r="EV30" s="45">
        <v>-4477.868024295576</v>
      </c>
      <c r="EW30" s="45">
        <v>-4579.592899760917</v>
      </c>
      <c r="EX30" s="45">
        <v>-4662.285223226658</v>
      </c>
      <c r="EY30" s="45">
        <v>-4734.958946770769</v>
      </c>
      <c r="EZ30" s="45">
        <v>-4781.003576036507</v>
      </c>
      <c r="FA30" s="45">
        <v>-4758.713504104199</v>
      </c>
      <c r="FB30" s="45">
        <v>-4690.889950990288</v>
      </c>
      <c r="FC30" s="45">
        <v>-4570.343560203538</v>
      </c>
      <c r="FD30" s="45">
        <v>-4282.394407140975</v>
      </c>
      <c r="FE30" s="45">
        <v>-4003.4371459442264</v>
      </c>
      <c r="FF30" s="45">
        <v>-3509.669015263958</v>
      </c>
      <c r="FG30" s="45">
        <v>-3053.8936194001967</v>
      </c>
      <c r="FH30" s="45">
        <v>-2183.9795886350516</v>
      </c>
      <c r="FI30" s="45">
        <v>-1603.3563382542457</v>
      </c>
      <c r="FJ30" s="45">
        <v>-609.6888341933746</v>
      </c>
      <c r="FK30" s="45">
        <v>5.960464477539062e-14</v>
      </c>
      <c r="FL30" s="46">
        <f>MAX(1,MIN(26,SUMPRODUCT(--($CI30:$DI30&gt;=Pu))))</f>
      </c>
      <c r="FM30" s="47">
        <f>(Pu-INDEX($CI30:$DI30,1,$FL30))/(INDEX($CI30:$DI30,1,$FL30+1)-INDEX($CI30:$DI30,1,$FL30))</f>
      </c>
      <c r="FN30" s="39">
        <f>INDEX($DJ30:$EJ30,1,$FL30)+$FM30*(INDEX($DJ30:$EJ30,1,$FL30+1)-INDEX($DJ30:$EJ30,1,$FL30))</f>
      </c>
      <c r="FO30" s="39">
        <f>INDEX($EK30:$FK30,1,$FL30)+$FM30*(INDEX($EK30:$FK30,1,$FL30+1)-INDEX($EK30:$FK30,1,$FL30))</f>
      </c>
      <c r="FP30" s="39">
        <f>SQRT(FN30^2+FO30^2)</f>
      </c>
      <c r="FQ30" s="20">
        <f>FN31-FN30</f>
      </c>
      <c r="FR30" s="20">
        <f>FO31-FO30</f>
      </c>
      <c r="FS30" s="20">
        <f>FQ30*SIN(RADIANS(theta_L))-FR30*COS(RADIANS(theta_L))</f>
      </c>
      <c r="FT30" s="47">
        <f>IF(FS30=0,"",-(FN30*SIN(RADIANS(theta_L))-FO30*COS(RADIANS(theta_L)))/FS30)</f>
      </c>
      <c r="FU30" s="20">
        <f>IF(FT30="","",(FN30+FT30*FQ30)*COS(RADIANS(theta_L))+(FO30+FT30*FR30)*SIN(RADIANS(theta_L)))</f>
      </c>
      <c r="FV30" s="20">
        <f>IF(OR(FT30="",FT30&lt;0,FT30&gt;1,FU30&lt;0),"",FU30)</f>
      </c>
    </row>
    <row r="31" spans="1:178" x14ac:dyDescent="0.25">
      <c r="A31">
        <v>24</v>
      </c>
      <c r="B31" s="44">
        <v>229.99999999999997</v>
      </c>
      <c r="C31" s="18">
        <v>831.6483762138491</v>
      </c>
      <c r="D31" s="18">
        <v>-713.7465042268668</v>
      </c>
      <c r="E31" s="18">
        <v>1545.394880440716</v>
      </c>
      <c r="F31" s="16">
        <v>0.0033</v>
      </c>
      <c r="G31" s="16">
        <v>0</v>
      </c>
      <c r="H31" s="16">
        <v>0</v>
      </c>
      <c r="I31" s="16">
        <v>0.00275</v>
      </c>
      <c r="J31" s="16">
        <v>-4.2509935140748674e-7</v>
      </c>
      <c r="K31" s="16">
        <v>-5.066136792493406e-7</v>
      </c>
      <c r="L31" s="16">
        <v>0.0024749999999999998</v>
      </c>
      <c r="M31" s="16">
        <v>-6.376490271112299e-7</v>
      </c>
      <c r="N31" s="16">
        <v>-7.599205188740108e-7</v>
      </c>
      <c r="O31" s="16">
        <v>0.0021999999999999997</v>
      </c>
      <c r="P31" s="16">
        <v>-8.501987028149733e-7</v>
      </c>
      <c r="Q31" s="16">
        <v>-0.0000010132273584986811</v>
      </c>
      <c r="R31" s="16">
        <v>0.0019249999999999998</v>
      </c>
      <c r="S31" s="16">
        <v>-0.0000010627483785187166</v>
      </c>
      <c r="T31" s="16">
        <v>-0.0000012665341981233513</v>
      </c>
      <c r="U31" s="16">
        <v>0.0018</v>
      </c>
      <c r="V31" s="16">
        <v>-0.0000011593618674749635</v>
      </c>
      <c r="W31" s="16">
        <v>-0.0000013816736706800195</v>
      </c>
      <c r="X31" s="16">
        <v>0.00165</v>
      </c>
      <c r="Y31" s="16">
        <v>-0.0000012752980542224599</v>
      </c>
      <c r="Z31" s="16">
        <v>-0.0000015198410377480215</v>
      </c>
      <c r="AA31" s="16">
        <v>0.0015241175532281805</v>
      </c>
      <c r="AB31" s="16">
        <v>-0.0000013725935932702562</v>
      </c>
      <c r="AC31" s="16">
        <v>-0.000001635793345951623</v>
      </c>
      <c r="AD31" s="16">
        <v>0.0012550444552324501</v>
      </c>
      <c r="AE31" s="16">
        <v>-0.0000015805623195233255</v>
      </c>
      <c r="AF31" s="16">
        <v>-0.00000188364082261096</v>
      </c>
      <c r="AG31" s="16">
        <v>0.001120507906234585</v>
      </c>
      <c r="AH31" s="16">
        <v>-0.0000016845466826498598</v>
      </c>
      <c r="AI31" s="16">
        <v>-0.0000020075645609406282</v>
      </c>
      <c r="AJ31" s="16">
        <v>0.0009859713572367202</v>
      </c>
      <c r="AK31" s="16">
        <v>-0.0000017885310457763944</v>
      </c>
      <c r="AL31" s="16">
        <v>-0.0000021314882992702965</v>
      </c>
      <c r="AM31" s="16">
        <v>0.0008514348082388546</v>
      </c>
      <c r="AN31" s="16">
        <v>-0.000001892515408902929</v>
      </c>
      <c r="AO31" s="16">
        <v>-0.000002255412037599965</v>
      </c>
      <c r="AP31" s="16">
        <v>0.0007168982592409895</v>
      </c>
      <c r="AQ31" s="16">
        <v>-0.000001996499772029464</v>
      </c>
      <c r="AR31" s="16">
        <v>-0.0000023793357759296336</v>
      </c>
      <c r="AS31" s="16">
        <v>0.0005823617102431247</v>
      </c>
      <c r="AT31" s="16">
        <v>-0.000002100484135155998</v>
      </c>
      <c r="AU31" s="16">
        <v>-0.0000025032595142593015</v>
      </c>
      <c r="AV31" s="16">
        <v>0.00044782516124525955</v>
      </c>
      <c r="AW31" s="16">
        <v>-0.0000022044684982825326</v>
      </c>
      <c r="AX31" s="16">
        <v>-0.0000026271832525889702</v>
      </c>
      <c r="AY31" s="16">
        <v>0.00017875206324952965</v>
      </c>
      <c r="AZ31" s="16">
        <v>-0.0000024124372245356017</v>
      </c>
      <c r="BA31" s="16">
        <v>-0.000002875030729248307</v>
      </c>
      <c r="BB31" s="16">
        <v>-0.00009032103474620112</v>
      </c>
      <c r="BC31" s="16">
        <v>-0.0000026204059507886712</v>
      </c>
      <c r="BD31" s="16">
        <v>-0.000003122878205907644</v>
      </c>
      <c r="BE31" s="16">
        <v>-0.000359394132741931</v>
      </c>
      <c r="BF31" s="16">
        <v>-0.00000282837467704174</v>
      </c>
      <c r="BG31" s="16">
        <v>-0.0000033707256825669805</v>
      </c>
      <c r="BH31" s="16">
        <v>-0.0006284672307376614</v>
      </c>
      <c r="BI31" s="16">
        <v>-0.0000030363434032948094</v>
      </c>
      <c r="BJ31" s="16">
        <v>-0.000003618573159226318</v>
      </c>
      <c r="BK31" s="16">
        <v>-0.001166613426729122</v>
      </c>
      <c r="BL31" s="16">
        <v>-0.0000034522808558009472</v>
      </c>
      <c r="BM31" s="16">
        <v>-0.000004114268112544991</v>
      </c>
      <c r="BN31" s="16">
        <v>-0.0017047596227205818</v>
      </c>
      <c r="BO31" s="16">
        <v>-0.0000038682183083070854</v>
      </c>
      <c r="BP31" s="16">
        <v>-0.0000046099630658636645</v>
      </c>
      <c r="BQ31" s="16">
        <v>-0.002781052014703503</v>
      </c>
      <c r="BR31" s="16">
        <v>-0.000004700093213319363</v>
      </c>
      <c r="BS31" s="16">
        <v>-0.000005601352972501013</v>
      </c>
      <c r="BT31" s="16">
        <v>-0.0038573444066864245</v>
      </c>
      <c r="BU31" s="16">
        <v>-0.000005531968118331638</v>
      </c>
      <c r="BV31" s="16">
        <v>-0.000006592742879138359</v>
      </c>
      <c r="BW31" s="16">
        <v>-0.006548075386643727</v>
      </c>
      <c r="BX31" s="16">
        <v>-0.00000761165538086233</v>
      </c>
      <c r="BY31" s="16">
        <v>-0.000009071217645731727</v>
      </c>
      <c r="BZ31" s="16">
        <v>-0.00923880636660103</v>
      </c>
      <c r="CA31" s="16">
        <v>-0.000009691342643393021</v>
      </c>
      <c r="CB31" s="16">
        <v>-0.000011549692412325095</v>
      </c>
      <c r="CC31" s="16">
        <v>-0.020001730286430236</v>
      </c>
      <c r="CD31" s="16">
        <v>-0.000018010091693515785</v>
      </c>
      <c r="CE31" s="16">
        <v>-0.000021463591478698567</v>
      </c>
      <c r="CF31" s="16">
        <v>-0.05</v>
      </c>
      <c r="CG31" s="16">
        <v>0</v>
      </c>
      <c r="CH31" s="16">
        <v>0</v>
      </c>
      <c r="CI31" s="45">
        <v>33981.43387592912</v>
      </c>
      <c r="CJ31" s="45">
        <v>33981.43387592912</v>
      </c>
      <c r="CK31" s="45">
        <v>33861.11941091311</v>
      </c>
      <c r="CL31" s="45">
        <v>32881.80373731946</v>
      </c>
      <c r="CM31" s="45">
        <v>30855.015677708063</v>
      </c>
      <c r="CN31" s="45">
        <v>29533.92482868913</v>
      </c>
      <c r="CO31" s="45">
        <v>27619.547925267736</v>
      </c>
      <c r="CP31" s="45">
        <v>25828.944738169932</v>
      </c>
      <c r="CQ31" s="45">
        <v>22309.030785578878</v>
      </c>
      <c r="CR31" s="45">
        <v>20694.528676100555</v>
      </c>
      <c r="CS31" s="45">
        <v>19129.273337512244</v>
      </c>
      <c r="CT31" s="45">
        <v>17629.84366136611</v>
      </c>
      <c r="CU31" s="45">
        <v>16202.01867284073</v>
      </c>
      <c r="CV31" s="45">
        <v>14847.90193342402</v>
      </c>
      <c r="CW31" s="45">
        <v>13572.318907330013</v>
      </c>
      <c r="CX31" s="45">
        <v>11395.329569452102</v>
      </c>
      <c r="CY31" s="45">
        <v>9624.185665708459</v>
      </c>
      <c r="CZ31" s="45">
        <v>8193.367442954379</v>
      </c>
      <c r="DA31" s="45">
        <v>7046.9850086274755</v>
      </c>
      <c r="DB31" s="45">
        <v>5322.042464505348</v>
      </c>
      <c r="DC31" s="45">
        <v>4001.1294367277983</v>
      </c>
      <c r="DD31" s="45">
        <v>2162.771322358068</v>
      </c>
      <c r="DE31" s="45">
        <v>835.6460013542967</v>
      </c>
      <c r="DF31" s="45">
        <v>-1331.3939036607142</v>
      </c>
      <c r="DG31" s="45">
        <v>-2663.97439866753</v>
      </c>
      <c r="DH31" s="45">
        <v>-4673.630550613127</v>
      </c>
      <c r="DI31" s="45">
        <v>-5790.583579096708</v>
      </c>
      <c r="DJ31" s="45">
        <v>6.55418261885643e-13</v>
      </c>
      <c r="DK31" s="45">
        <v>6.55418261885643e-13</v>
      </c>
      <c r="DL31" s="45">
        <v>-43.470549674689984</v>
      </c>
      <c r="DM31" s="45">
        <v>-338.26037721195246</v>
      </c>
      <c r="DN31" s="45">
        <v>-920.3029079826174</v>
      </c>
      <c r="DO31" s="45">
        <v>-1269.5593384797905</v>
      </c>
      <c r="DP31" s="45">
        <v>-1760.199094483151</v>
      </c>
      <c r="DQ31" s="45">
        <v>-2172.884341928995</v>
      </c>
      <c r="DR31" s="45">
        <v>-2766.415913909549</v>
      </c>
      <c r="DS31" s="45">
        <v>-2971.0647982948126</v>
      </c>
      <c r="DT31" s="45">
        <v>-3140.929660858207</v>
      </c>
      <c r="DU31" s="45">
        <v>-3286.8734746732016</v>
      </c>
      <c r="DV31" s="45">
        <v>-3409.2195525686266</v>
      </c>
      <c r="DW31" s="45">
        <v>-3502.726645895818</v>
      </c>
      <c r="DX31" s="45">
        <v>-3568.11347800173</v>
      </c>
      <c r="DY31" s="45">
        <v>-3576.1171459563184</v>
      </c>
      <c r="DZ31" s="45">
        <v>-3490.8288288884005</v>
      </c>
      <c r="EA31" s="45">
        <v>-3363.9972775954157</v>
      </c>
      <c r="EB31" s="45">
        <v>-3239.274440159027</v>
      </c>
      <c r="EC31" s="45">
        <v>-3028.633515053862</v>
      </c>
      <c r="ED31" s="45">
        <v>-2829.888296071576</v>
      </c>
      <c r="EE31" s="45">
        <v>-2449.8091702078596</v>
      </c>
      <c r="EF31" s="45">
        <v>-2145.701893508659</v>
      </c>
      <c r="EG31" s="45">
        <v>-1612.810576098915</v>
      </c>
      <c r="EH31" s="45">
        <v>-1202.9831703576112</v>
      </c>
      <c r="EI31" s="45">
        <v>-456.7173967036648</v>
      </c>
      <c r="EJ31" s="45">
        <v>0</v>
      </c>
      <c r="EK31" s="45">
        <v>-5.220063030719757e-12</v>
      </c>
      <c r="EL31" s="45">
        <v>-5.220063030719757e-12</v>
      </c>
      <c r="EM31" s="45">
        <v>-70.03749424886189</v>
      </c>
      <c r="EN31" s="45">
        <v>-568.3574622308521</v>
      </c>
      <c r="EO31" s="45">
        <v>-1467.8036941435034</v>
      </c>
      <c r="EP31" s="45">
        <v>-2015.191611120875</v>
      </c>
      <c r="EQ31" s="45">
        <v>-2783.813437779914</v>
      </c>
      <c r="ER31" s="45">
        <v>-3452.267781680792</v>
      </c>
      <c r="ES31" s="45">
        <v>-4479.373336810409</v>
      </c>
      <c r="ET31" s="45">
        <v>-4822.580917305342</v>
      </c>
      <c r="EU31" s="45">
        <v>-5080.715414726542</v>
      </c>
      <c r="EV31" s="45">
        <v>-5273.793840468966</v>
      </c>
      <c r="EW31" s="45">
        <v>-5417.7632664990715</v>
      </c>
      <c r="EX31" s="45">
        <v>-5530.338390487945</v>
      </c>
      <c r="EY31" s="45">
        <v>-5621.6353150455925</v>
      </c>
      <c r="EZ31" s="45">
        <v>-5685.063475747935</v>
      </c>
      <c r="FA31" s="45">
        <v>-5644.501602147596</v>
      </c>
      <c r="FB31" s="45">
        <v>-5533.8097468352435</v>
      </c>
      <c r="FC31" s="45">
        <v>-5383.108094724508</v>
      </c>
      <c r="FD31" s="45">
        <v>-5021.055676324054</v>
      </c>
      <c r="FE31" s="45">
        <v>-4664.973113127802</v>
      </c>
      <c r="FF31" s="45">
        <v>-4071.1843989501576</v>
      </c>
      <c r="FG31" s="45">
        <v>-3547.9008305586976</v>
      </c>
      <c r="FH31" s="45">
        <v>-2529.23233936988</v>
      </c>
      <c r="FI31" s="45">
        <v>-1841.6259250823568</v>
      </c>
      <c r="FJ31" s="45">
        <v>-716.4645902078242</v>
      </c>
      <c r="FK31" s="45">
        <v>5.960464477539062e-14</v>
      </c>
      <c r="FL31" s="46">
        <f>MAX(1,MIN(26,SUMPRODUCT(--($CI31:$DI31&gt;=Pu))))</f>
      </c>
      <c r="FM31" s="47">
        <f>(Pu-INDEX($CI31:$DI31,1,$FL31))/(INDEX($CI31:$DI31,1,$FL31+1)-INDEX($CI31:$DI31,1,$FL31))</f>
      </c>
      <c r="FN31" s="39">
        <f>INDEX($DJ31:$EJ31,1,$FL31)+$FM31*(INDEX($DJ31:$EJ31,1,$FL31+1)-INDEX($DJ31:$EJ31,1,$FL31))</f>
      </c>
      <c r="FO31" s="39">
        <f>INDEX($EK31:$FK31,1,$FL31)+$FM31*(INDEX($EK31:$FK31,1,$FL31+1)-INDEX($EK31:$FK31,1,$FL31))</f>
      </c>
      <c r="FP31" s="39">
        <f>SQRT(FN31^2+FO31^2)</f>
      </c>
      <c r="FQ31" s="20">
        <f>FN32-FN31</f>
      </c>
      <c r="FR31" s="20">
        <f>FO32-FO31</f>
      </c>
      <c r="FS31" s="20">
        <f>FQ31*SIN(RADIANS(theta_L))-FR31*COS(RADIANS(theta_L))</f>
      </c>
      <c r="FT31" s="47">
        <f>IF(FS31=0,"",-(FN31*SIN(RADIANS(theta_L))-FO31*COS(RADIANS(theta_L)))/FS31)</f>
      </c>
      <c r="FU31" s="20">
        <f>IF(FT31="","",(FN31+FT31*FQ31)*COS(RADIANS(theta_L))+(FO31+FT31*FR31)*SIN(RADIANS(theta_L)))</f>
      </c>
      <c r="FV31" s="20">
        <f>IF(OR(FT31="",FT31&lt;0,FT31&gt;1,FU31&lt;0),"",FU31)</f>
      </c>
    </row>
    <row r="32" spans="1:178" x14ac:dyDescent="0.25">
      <c r="A32">
        <v>25</v>
      </c>
      <c r="B32" s="44">
        <v>239.99999999999997</v>
      </c>
      <c r="C32" s="18">
        <v>849.5190528383291</v>
      </c>
      <c r="D32" s="18">
        <v>-738.8972745734183</v>
      </c>
      <c r="E32" s="18">
        <v>1588.4163274117473</v>
      </c>
      <c r="F32" s="16">
        <v>0.0033</v>
      </c>
      <c r="G32" s="16">
        <v>0</v>
      </c>
      <c r="H32" s="16">
        <v>0</v>
      </c>
      <c r="I32" s="16">
        <v>0.00275</v>
      </c>
      <c r="J32" s="16">
        <v>-3.237125748753926e-7</v>
      </c>
      <c r="K32" s="16">
        <v>-5.606866267331239e-7</v>
      </c>
      <c r="L32" s="16">
        <v>0.0024749999999999998</v>
      </c>
      <c r="M32" s="16">
        <v>-4.85568862313089e-7</v>
      </c>
      <c r="N32" s="16">
        <v>-8.410299400996859e-7</v>
      </c>
      <c r="O32" s="16">
        <v>0.0021999999999999997</v>
      </c>
      <c r="P32" s="16">
        <v>-6.474251497507852e-7</v>
      </c>
      <c r="Q32" s="16">
        <v>-0.0000011213732534662478</v>
      </c>
      <c r="R32" s="16">
        <v>0.001925</v>
      </c>
      <c r="S32" s="16">
        <v>-8.092814371884816e-7</v>
      </c>
      <c r="T32" s="16">
        <v>-0.0000014017165668328096</v>
      </c>
      <c r="U32" s="16">
        <v>0.0018000000000000002</v>
      </c>
      <c r="V32" s="16">
        <v>-8.828524769328889e-7</v>
      </c>
      <c r="W32" s="16">
        <v>-0.0000015291453456357922</v>
      </c>
      <c r="X32" s="16">
        <v>0.0016499999999999998</v>
      </c>
      <c r="Y32" s="16">
        <v>-9.71137724626178e-7</v>
      </c>
      <c r="Z32" s="16">
        <v>-0.0000016820598801993718</v>
      </c>
      <c r="AA32" s="16">
        <v>0.0015350893616571412</v>
      </c>
      <c r="AB32" s="16">
        <v>-0.0000010387704857507993</v>
      </c>
      <c r="AC32" s="16">
        <v>-0.000001799203258723385</v>
      </c>
      <c r="AD32" s="16">
        <v>0.0012676786588779205</v>
      </c>
      <c r="AE32" s="16">
        <v>-0.0000011961599532887992</v>
      </c>
      <c r="AF32" s="16">
        <v>-0.000002071809813075413</v>
      </c>
      <c r="AG32" s="16">
        <v>0.00113397330748831</v>
      </c>
      <c r="AH32" s="16">
        <v>-0.0000012748546870577991</v>
      </c>
      <c r="AI32" s="16">
        <v>-0.0000022081130902514273</v>
      </c>
      <c r="AJ32" s="16">
        <v>0.0010002679560986993</v>
      </c>
      <c r="AK32" s="16">
        <v>-0.0000013535494208267992</v>
      </c>
      <c r="AL32" s="16">
        <v>-0.000002344416367427441</v>
      </c>
      <c r="AM32" s="16">
        <v>0.0008665626047090883</v>
      </c>
      <c r="AN32" s="16">
        <v>-0.0000014322441545957993</v>
      </c>
      <c r="AO32" s="16">
        <v>-0.0000024807196446034554</v>
      </c>
      <c r="AP32" s="16">
        <v>0.0007328572533194782</v>
      </c>
      <c r="AQ32" s="16">
        <v>-0.0000015109388883647991</v>
      </c>
      <c r="AR32" s="16">
        <v>-0.0000026170229217794695</v>
      </c>
      <c r="AS32" s="16">
        <v>0.0005991519019298681</v>
      </c>
      <c r="AT32" s="16">
        <v>-0.000001589633622133799</v>
      </c>
      <c r="AU32" s="16">
        <v>-0.000002753326198955483</v>
      </c>
      <c r="AV32" s="16">
        <v>0.00046544655054025705</v>
      </c>
      <c r="AW32" s="16">
        <v>-0.000001668328355902799</v>
      </c>
      <c r="AX32" s="16">
        <v>-0.0000028896294761314972</v>
      </c>
      <c r="AY32" s="16">
        <v>0.00019803584776103634</v>
      </c>
      <c r="AZ32" s="16">
        <v>-0.0000018257178234407988</v>
      </c>
      <c r="BA32" s="16">
        <v>-0.000003162236030483525</v>
      </c>
      <c r="BB32" s="16">
        <v>-0.00006937485501818481</v>
      </c>
      <c r="BC32" s="16">
        <v>-0.0000019831072909787988</v>
      </c>
      <c r="BD32" s="16">
        <v>-0.0000034348425848355536</v>
      </c>
      <c r="BE32" s="16">
        <v>-0.00033678555779740596</v>
      </c>
      <c r="BF32" s="16">
        <v>-0.0000021404967585167985</v>
      </c>
      <c r="BG32" s="16">
        <v>-0.0000037074491391875813</v>
      </c>
      <c r="BH32" s="16">
        <v>-0.0006041962605766267</v>
      </c>
      <c r="BI32" s="16">
        <v>-0.0000022978862260547987</v>
      </c>
      <c r="BJ32" s="16">
        <v>-0.0000039800556935396095</v>
      </c>
      <c r="BK32" s="16">
        <v>-0.001139017666135069</v>
      </c>
      <c r="BL32" s="16">
        <v>-0.000002612665161130798</v>
      </c>
      <c r="BM32" s="16">
        <v>-0.000004525268802243665</v>
      </c>
      <c r="BN32" s="16">
        <v>-0.0016738390716935104</v>
      </c>
      <c r="BO32" s="16">
        <v>-0.000002927444096206798</v>
      </c>
      <c r="BP32" s="16">
        <v>-0.000005070481910947721</v>
      </c>
      <c r="BQ32" s="16">
        <v>-0.002743481882810395</v>
      </c>
      <c r="BR32" s="16">
        <v>-0.000003557001966358798</v>
      </c>
      <c r="BS32" s="16">
        <v>-0.000006160908128355834</v>
      </c>
      <c r="BT32" s="16">
        <v>-0.0038131246939272787</v>
      </c>
      <c r="BU32" s="16">
        <v>-0.000004186559836510797</v>
      </c>
      <c r="BV32" s="16">
        <v>-0.000007251334345763945</v>
      </c>
      <c r="BW32" s="16">
        <v>-0.00648723172171949</v>
      </c>
      <c r="BX32" s="16">
        <v>-0.000005760454511890797</v>
      </c>
      <c r="BY32" s="16">
        <v>-0.000009977399889284227</v>
      </c>
      <c r="BZ32" s="16">
        <v>-0.0091613387495117</v>
      </c>
      <c r="CA32" s="16">
        <v>-0.0000073343491872707965</v>
      </c>
      <c r="CB32" s="16">
        <v>-0.000012703465432804507</v>
      </c>
      <c r="CC32" s="16">
        <v>-0.01985776686068054</v>
      </c>
      <c r="CD32" s="16">
        <v>-0.000013629927888790791</v>
      </c>
      <c r="CE32" s="16">
        <v>-0.000023607727606885627</v>
      </c>
      <c r="CF32" s="16">
        <v>-0.05</v>
      </c>
      <c r="CG32" s="16">
        <v>0</v>
      </c>
      <c r="CH32" s="16">
        <v>0</v>
      </c>
      <c r="CI32" s="45">
        <v>33981.43387592912</v>
      </c>
      <c r="CJ32" s="45">
        <v>33981.43387592912</v>
      </c>
      <c r="CK32" s="45">
        <v>33858.00890908785</v>
      </c>
      <c r="CL32" s="45">
        <v>32881.286607822396</v>
      </c>
      <c r="CM32" s="45">
        <v>30862.42066396293</v>
      </c>
      <c r="CN32" s="45">
        <v>29545.977069541877</v>
      </c>
      <c r="CO32" s="45">
        <v>27609.64673449544</v>
      </c>
      <c r="CP32" s="45">
        <v>25940.81350928852</v>
      </c>
      <c r="CQ32" s="45">
        <v>22364.787481436968</v>
      </c>
      <c r="CR32" s="45">
        <v>20781.0318564983</v>
      </c>
      <c r="CS32" s="45">
        <v>19282.24082253629</v>
      </c>
      <c r="CT32" s="45">
        <v>17834.367780527686</v>
      </c>
      <c r="CU32" s="45">
        <v>16419.875710347947</v>
      </c>
      <c r="CV32" s="45">
        <v>15049.746602477711</v>
      </c>
      <c r="CW32" s="45">
        <v>13726.998365273803</v>
      </c>
      <c r="CX32" s="45">
        <v>11427.087449107587</v>
      </c>
      <c r="CY32" s="45">
        <v>9630.589372107817</v>
      </c>
      <c r="CZ32" s="45">
        <v>8260.595222967986</v>
      </c>
      <c r="DA32" s="45">
        <v>7167.301427283116</v>
      </c>
      <c r="DB32" s="45">
        <v>5508.418715469646</v>
      </c>
      <c r="DC32" s="45">
        <v>4246.405743473104</v>
      </c>
      <c r="DD32" s="45">
        <v>2370.7150543191087</v>
      </c>
      <c r="DE32" s="45">
        <v>1059.2605961207043</v>
      </c>
      <c r="DF32" s="45">
        <v>-1197.6390365317031</v>
      </c>
      <c r="DG32" s="45">
        <v>-2639.48051354372</v>
      </c>
      <c r="DH32" s="45">
        <v>-4792.589894212263</v>
      </c>
      <c r="DI32" s="45">
        <v>-5790.583579096708</v>
      </c>
      <c r="DJ32" s="45">
        <v>6.55418261885643e-13</v>
      </c>
      <c r="DK32" s="45">
        <v>6.55418261885643e-13</v>
      </c>
      <c r="DL32" s="45">
        <v>-35.789761790494644</v>
      </c>
      <c r="DM32" s="45">
        <v>-269.4721974407658</v>
      </c>
      <c r="DN32" s="45">
        <v>-712.7729123431916</v>
      </c>
      <c r="DO32" s="45">
        <v>-981.7416934500854</v>
      </c>
      <c r="DP32" s="45">
        <v>-1356.4057998250908</v>
      </c>
      <c r="DQ32" s="45">
        <v>-1654.8230313272863</v>
      </c>
      <c r="DR32" s="45">
        <v>-2065.6276586016597</v>
      </c>
      <c r="DS32" s="45">
        <v>-2183.2586444974127</v>
      </c>
      <c r="DT32" s="45">
        <v>-2293.804991342371</v>
      </c>
      <c r="DU32" s="45">
        <v>-2397.0441540533075</v>
      </c>
      <c r="DV32" s="45">
        <v>-2487.183191698188</v>
      </c>
      <c r="DW32" s="45">
        <v>-2560.730138119383</v>
      </c>
      <c r="DX32" s="45">
        <v>-2613.407007623532</v>
      </c>
      <c r="DY32" s="45">
        <v>-2637.5709552461612</v>
      </c>
      <c r="DZ32" s="45">
        <v>-2567.7418753040274</v>
      </c>
      <c r="EA32" s="45">
        <v>-2490.7914813803923</v>
      </c>
      <c r="EB32" s="45">
        <v>-2424.68992061897</v>
      </c>
      <c r="EC32" s="45">
        <v>-2293.8549176947317</v>
      </c>
      <c r="ED32" s="45">
        <v>-2173.5119787474728</v>
      </c>
      <c r="EE32" s="45">
        <v>-1970.7920542870045</v>
      </c>
      <c r="EF32" s="45">
        <v>-1771.9956628796792</v>
      </c>
      <c r="EG32" s="45">
        <v>-1356.320127709476</v>
      </c>
      <c r="EH32" s="45">
        <v>-1029.0100790460754</v>
      </c>
      <c r="EI32" s="45">
        <v>-371.86515216985845</v>
      </c>
      <c r="EJ32" s="45">
        <v>0</v>
      </c>
      <c r="EK32" s="45">
        <v>-5.220063030719757e-12</v>
      </c>
      <c r="EL32" s="45">
        <v>-5.220063030719757e-12</v>
      </c>
      <c r="EM32" s="45">
        <v>-76.68524944877117</v>
      </c>
      <c r="EN32" s="45">
        <v>-617.9466897289985</v>
      </c>
      <c r="EO32" s="45">
        <v>-1613.8492112417975</v>
      </c>
      <c r="EP32" s="45">
        <v>-2216.7306303455925</v>
      </c>
      <c r="EQ32" s="45">
        <v>-3062.6429120519033</v>
      </c>
      <c r="ER32" s="45">
        <v>-3756.6329151156838</v>
      </c>
      <c r="ES32" s="45">
        <v>-4955.854971681475</v>
      </c>
      <c r="ET32" s="45">
        <v>-5339.490814474965</v>
      </c>
      <c r="EU32" s="45">
        <v>-5622.805185801681</v>
      </c>
      <c r="EV32" s="45">
        <v>-5840.441769536468</v>
      </c>
      <c r="EW32" s="45">
        <v>-6015.697616478879</v>
      </c>
      <c r="EX32" s="45">
        <v>-6156.211738197813</v>
      </c>
      <c r="EY32" s="45">
        <v>-6260.782085960871</v>
      </c>
      <c r="EZ32" s="45">
        <v>-6340.084469203291</v>
      </c>
      <c r="FA32" s="45">
        <v>-6293.15172440257</v>
      </c>
      <c r="FB32" s="45">
        <v>-6161.837049394913</v>
      </c>
      <c r="FC32" s="45">
        <v>-5982.999248794874</v>
      </c>
      <c r="FD32" s="45">
        <v>-5625.746049551829</v>
      </c>
      <c r="FE32" s="45">
        <v>-5275.922552962516</v>
      </c>
      <c r="FF32" s="45">
        <v>-4562.614694892635</v>
      </c>
      <c r="FG32" s="45">
        <v>-3949.8708871748354</v>
      </c>
      <c r="FH32" s="45">
        <v>-2781.265659341161</v>
      </c>
      <c r="FI32" s="45">
        <v>-1966.1067023794146</v>
      </c>
      <c r="FJ32" s="45">
        <v>-669.2252099312501</v>
      </c>
      <c r="FK32" s="45">
        <v>5.960464477539062e-14</v>
      </c>
      <c r="FL32" s="46">
        <f>MAX(1,MIN(26,SUMPRODUCT(--($CI32:$DI32&gt;=Pu))))</f>
      </c>
      <c r="FM32" s="47">
        <f>(Pu-INDEX($CI32:$DI32,1,$FL32))/(INDEX($CI32:$DI32,1,$FL32+1)-INDEX($CI32:$DI32,1,$FL32))</f>
      </c>
      <c r="FN32" s="39">
        <f>INDEX($DJ32:$EJ32,1,$FL32)+$FM32*(INDEX($DJ32:$EJ32,1,$FL32+1)-INDEX($DJ32:$EJ32,1,$FL32))</f>
      </c>
      <c r="FO32" s="39">
        <f>INDEX($EK32:$FK32,1,$FL32)+$FM32*(INDEX($EK32:$FK32,1,$FL32+1)-INDEX($EK32:$FK32,1,$FL32))</f>
      </c>
      <c r="FP32" s="39">
        <f>SQRT(FN32^2+FO32^2)</f>
      </c>
      <c r="FQ32" s="20">
        <f>FN33-FN32</f>
      </c>
      <c r="FR32" s="20">
        <f>FO33-FO32</f>
      </c>
      <c r="FS32" s="20">
        <f>FQ32*SIN(RADIANS(theta_L))-FR32*COS(RADIANS(theta_L))</f>
      </c>
      <c r="FT32" s="47">
        <f>IF(FS32=0,"",-(FN32*SIN(RADIANS(theta_L))-FO32*COS(RADIANS(theta_L)))/FS32)</f>
      </c>
      <c r="FU32" s="20">
        <f>IF(FT32="","",(FN32+FT32*FQ32)*COS(RADIANS(theta_L))+(FO32+FT32*FR32)*SIN(RADIANS(theta_L)))</f>
      </c>
      <c r="FV32" s="20">
        <f>IF(OR(FT32="",FT32&lt;0,FT32&gt;1,FU32&lt;0),"",FU32)</f>
      </c>
    </row>
    <row r="33" spans="1:178" x14ac:dyDescent="0.25">
      <c r="A33">
        <v>26</v>
      </c>
      <c r="B33" s="44">
        <v>250.00000000000003</v>
      </c>
      <c r="C33" s="18">
        <v>841.5775229196987</v>
      </c>
      <c r="D33" s="18">
        <v>-741.5970251321183</v>
      </c>
      <c r="E33" s="18">
        <v>1583.174548051817</v>
      </c>
      <c r="F33" s="16">
        <v>0.0033</v>
      </c>
      <c r="G33" s="16">
        <v>0</v>
      </c>
      <c r="H33" s="16">
        <v>0</v>
      </c>
      <c r="I33" s="16">
        <v>0.00275</v>
      </c>
      <c r="J33" s="16">
        <v>-2.2352198544526336e-7</v>
      </c>
      <c r="K33" s="16">
        <v>-6.141216077625262e-7</v>
      </c>
      <c r="L33" s="16">
        <v>0.0024749999999999998</v>
      </c>
      <c r="M33" s="16">
        <v>-3.3528297816789503e-7</v>
      </c>
      <c r="N33" s="16">
        <v>-9.211824116437893e-7</v>
      </c>
      <c r="O33" s="16">
        <v>0.0021999999999999997</v>
      </c>
      <c r="P33" s="16">
        <v>-4.470439708905267e-7</v>
      </c>
      <c r="Q33" s="16">
        <v>-0.0000012282432155250523</v>
      </c>
      <c r="R33" s="16">
        <v>0.001925</v>
      </c>
      <c r="S33" s="16">
        <v>-5.588049636131584e-7</v>
      </c>
      <c r="T33" s="16">
        <v>-0.0000015353040194063156</v>
      </c>
      <c r="U33" s="16">
        <v>0.0018000000000000002</v>
      </c>
      <c r="V33" s="16">
        <v>-6.096054148507183e-7</v>
      </c>
      <c r="W33" s="16">
        <v>-0.0000016748771120796169</v>
      </c>
      <c r="X33" s="16">
        <v>0.00165</v>
      </c>
      <c r="Y33" s="16">
        <v>-6.705659563357901e-7</v>
      </c>
      <c r="Z33" s="16">
        <v>-0.0000018423648232875786</v>
      </c>
      <c r="AA33" s="16">
        <v>0.0015457993472340055</v>
      </c>
      <c r="AB33" s="16">
        <v>-7.129134777738766e-7</v>
      </c>
      <c r="AC33" s="16">
        <v>-0.000001958713682208592</v>
      </c>
      <c r="AD33" s="16">
        <v>0.0012800113695421883</v>
      </c>
      <c r="AE33" s="16">
        <v>-8.209306713759791e-7</v>
      </c>
      <c r="AF33" s="16">
        <v>-0.000002255488482543227</v>
      </c>
      <c r="AG33" s="16">
        <v>0.0011471173806962796</v>
      </c>
      <c r="AH33" s="16">
        <v>-8.749392681770303e-7</v>
      </c>
      <c r="AI33" s="16">
        <v>-0.0000024038758827105445</v>
      </c>
      <c r="AJ33" s="16">
        <v>0.0010142233918503706</v>
      </c>
      <c r="AK33" s="16">
        <v>-9.289478649780816e-7</v>
      </c>
      <c r="AL33" s="16">
        <v>-0.000002552263282877862</v>
      </c>
      <c r="AM33" s="16">
        <v>0.000881329403004462</v>
      </c>
      <c r="AN33" s="16">
        <v>-9.82956461779133e-7</v>
      </c>
      <c r="AO33" s="16">
        <v>-0.00000270065068304518</v>
      </c>
      <c r="AP33" s="16">
        <v>0.0007484354141585529</v>
      </c>
      <c r="AQ33" s="16">
        <v>-0.0000010369650585801842</v>
      </c>
      <c r="AR33" s="16">
        <v>-0.0000028490380832124976</v>
      </c>
      <c r="AS33" s="16">
        <v>0.0006155414253126452</v>
      </c>
      <c r="AT33" s="16">
        <v>-0.0000010909736553812354</v>
      </c>
      <c r="AU33" s="16">
        <v>-0.0000029974254833798143</v>
      </c>
      <c r="AV33" s="16">
        <v>0.00048264743646673613</v>
      </c>
      <c r="AW33" s="16">
        <v>-0.0000011449822521822866</v>
      </c>
      <c r="AX33" s="16">
        <v>-0.0000031458128835471323</v>
      </c>
      <c r="AY33" s="16">
        <v>0.0002168594587749189</v>
      </c>
      <c r="AZ33" s="16">
        <v>-0.000001252999445784389</v>
      </c>
      <c r="BA33" s="16">
        <v>-0.0000034425876838817674</v>
      </c>
      <c r="BB33" s="16">
        <v>-0.00004892851891689833</v>
      </c>
      <c r="BC33" s="16">
        <v>-0.0000013610166393864917</v>
      </c>
      <c r="BD33" s="16">
        <v>-0.0000037393624842164025</v>
      </c>
      <c r="BE33" s="16">
        <v>-0.000314716496608716</v>
      </c>
      <c r="BF33" s="16">
        <v>-0.0000014690338329885943</v>
      </c>
      <c r="BG33" s="16">
        <v>-0.000004036137284551038</v>
      </c>
      <c r="BH33" s="16">
        <v>-0.0005805044743005328</v>
      </c>
      <c r="BI33" s="16">
        <v>-0.0000015770510265906966</v>
      </c>
      <c r="BJ33" s="16">
        <v>-0.000004332912084885673</v>
      </c>
      <c r="BK33" s="16">
        <v>-0.0011120804296841681</v>
      </c>
      <c r="BL33" s="16">
        <v>-0.0000017930854137949018</v>
      </c>
      <c r="BM33" s="16">
        <v>-0.000004926461685554944</v>
      </c>
      <c r="BN33" s="16">
        <v>-0.0016436563850678017</v>
      </c>
      <c r="BO33" s="16">
        <v>-0.0000020091198009991065</v>
      </c>
      <c r="BP33" s="16">
        <v>-0.000005520011286224212</v>
      </c>
      <c r="BQ33" s="16">
        <v>-0.0027068082958350724</v>
      </c>
      <c r="BR33" s="16">
        <v>-0.000002441188575407517</v>
      </c>
      <c r="BS33" s="16">
        <v>-0.0000067071104875627544</v>
      </c>
      <c r="BT33" s="16">
        <v>-0.0037699602066023413</v>
      </c>
      <c r="BU33" s="16">
        <v>-0.0000028732573498159268</v>
      </c>
      <c r="BV33" s="16">
        <v>-0.000007894209688901294</v>
      </c>
      <c r="BW33" s="16">
        <v>-0.006427839983520515</v>
      </c>
      <c r="BX33" s="16">
        <v>-0.000003953429285836952</v>
      </c>
      <c r="BY33" s="16">
        <v>-0.000010861957692247647</v>
      </c>
      <c r="BZ33" s="16">
        <v>-0.009085719760438687</v>
      </c>
      <c r="CA33" s="16">
        <v>-0.000005033601221857977</v>
      </c>
      <c r="CB33" s="16">
        <v>-0.000013829705695593998</v>
      </c>
      <c r="CC33" s="16">
        <v>-0.01971723886811138</v>
      </c>
      <c r="CD33" s="16">
        <v>-0.000009354288965942077</v>
      </c>
      <c r="CE33" s="16">
        <v>-0.0000257006977089794</v>
      </c>
      <c r="CF33" s="16">
        <v>-0.05</v>
      </c>
      <c r="CG33" s="16">
        <v>0</v>
      </c>
      <c r="CH33" s="16">
        <v>0</v>
      </c>
      <c r="CI33" s="45">
        <v>33981.43387592912</v>
      </c>
      <c r="CJ33" s="45">
        <v>33981.43387592912</v>
      </c>
      <c r="CK33" s="45">
        <v>33836.34808747643</v>
      </c>
      <c r="CL33" s="45">
        <v>32825.41069381918</v>
      </c>
      <c r="CM33" s="45">
        <v>30736.23784908707</v>
      </c>
      <c r="CN33" s="45">
        <v>29379.988567640823</v>
      </c>
      <c r="CO33" s="45">
        <v>27414.141880873223</v>
      </c>
      <c r="CP33" s="45">
        <v>25850.11438409473</v>
      </c>
      <c r="CQ33" s="45">
        <v>22255.918255132154</v>
      </c>
      <c r="CR33" s="45">
        <v>20765.001968967106</v>
      </c>
      <c r="CS33" s="45">
        <v>19344.215025217793</v>
      </c>
      <c r="CT33" s="45">
        <v>17934.520197767422</v>
      </c>
      <c r="CU33" s="45">
        <v>16541.55736742738</v>
      </c>
      <c r="CV33" s="45">
        <v>15174.982495835337</v>
      </c>
      <c r="CW33" s="45">
        <v>13848.649922224567</v>
      </c>
      <c r="CX33" s="45">
        <v>11528.007701850884</v>
      </c>
      <c r="CY33" s="45">
        <v>9770.193897502191</v>
      </c>
      <c r="CZ33" s="45">
        <v>8449.135766229683</v>
      </c>
      <c r="DA33" s="45">
        <v>7425.342768962312</v>
      </c>
      <c r="DB33" s="45">
        <v>5859.134998753663</v>
      </c>
      <c r="DC33" s="45">
        <v>4736.623047368047</v>
      </c>
      <c r="DD33" s="45">
        <v>3041.2948651592783</v>
      </c>
      <c r="DE33" s="45">
        <v>1688.5042626825295</v>
      </c>
      <c r="DF33" s="45">
        <v>-655.2488731579679</v>
      </c>
      <c r="DG33" s="45">
        <v>-2196.8524640870155</v>
      </c>
      <c r="DH33" s="45">
        <v>-4677.958586801249</v>
      </c>
      <c r="DI33" s="45">
        <v>-5790.583579096708</v>
      </c>
      <c r="DJ33" s="45">
        <v>6.55418261885643e-13</v>
      </c>
      <c r="DK33" s="45">
        <v>6.55418261885643e-13</v>
      </c>
      <c r="DL33" s="45">
        <v>-27.197430986823974</v>
      </c>
      <c r="DM33" s="45">
        <v>-198.5654919984511</v>
      </c>
      <c r="DN33" s="45">
        <v>-507.06699116127425</v>
      </c>
      <c r="DO33" s="45">
        <v>-693.2987699946581</v>
      </c>
      <c r="DP33" s="45">
        <v>-953.4941982926716</v>
      </c>
      <c r="DQ33" s="45">
        <v>-1138.4888960791534</v>
      </c>
      <c r="DR33" s="45">
        <v>-1371.3704677804517</v>
      </c>
      <c r="DS33" s="45">
        <v>-1436.8040889149186</v>
      </c>
      <c r="DT33" s="45">
        <v>-1504.984004726396</v>
      </c>
      <c r="DU33" s="45">
        <v>-1570.5008560190931</v>
      </c>
      <c r="DV33" s="45">
        <v>-1632.6492924315103</v>
      </c>
      <c r="DW33" s="45">
        <v>-1686.814686800621</v>
      </c>
      <c r="DX33" s="45">
        <v>-1726.618910374578</v>
      </c>
      <c r="DY33" s="45">
        <v>-1733.5853338372299</v>
      </c>
      <c r="DZ33" s="45">
        <v>-1701.433186591485</v>
      </c>
      <c r="EA33" s="45">
        <v>-1659.1854624423513</v>
      </c>
      <c r="EB33" s="45">
        <v>-1603.8251762456696</v>
      </c>
      <c r="EC33" s="45">
        <v>-1517.1777338527552</v>
      </c>
      <c r="ED33" s="45">
        <v>-1467.7268009567144</v>
      </c>
      <c r="EE33" s="45">
        <v>-1403.2092974993138</v>
      </c>
      <c r="EF33" s="45">
        <v>-1328.839332042616</v>
      </c>
      <c r="EG33" s="45">
        <v>-1065.0834285933452</v>
      </c>
      <c r="EH33" s="45">
        <v>-844.3480185761287</v>
      </c>
      <c r="EI33" s="45">
        <v>-345.28077052365353</v>
      </c>
      <c r="EJ33" s="45">
        <v>0</v>
      </c>
      <c r="EK33" s="45">
        <v>-5.220063030719757e-12</v>
      </c>
      <c r="EL33" s="45">
        <v>-5.220063030719757e-12</v>
      </c>
      <c r="EM33" s="45">
        <v>-94.33800480879368</v>
      </c>
      <c r="EN33" s="45">
        <v>-686.5203661960024</v>
      </c>
      <c r="EO33" s="45">
        <v>-1782.7730634687243</v>
      </c>
      <c r="EP33" s="45">
        <v>-2445.237076347368</v>
      </c>
      <c r="EQ33" s="45">
        <v>-3374.891662482753</v>
      </c>
      <c r="ER33" s="45">
        <v>-4071.8587872752555</v>
      </c>
      <c r="ES33" s="45">
        <v>-5365.064356903673</v>
      </c>
      <c r="ET33" s="45">
        <v>-5730.101851621863</v>
      </c>
      <c r="EU33" s="45">
        <v>-6005.710694255843</v>
      </c>
      <c r="EV33" s="45">
        <v>-6227.420548581115</v>
      </c>
      <c r="EW33" s="45">
        <v>-6408.462626400027</v>
      </c>
      <c r="EX33" s="45">
        <v>-6558.130743960064</v>
      </c>
      <c r="EY33" s="45">
        <v>-6683.2128005392515</v>
      </c>
      <c r="EZ33" s="45">
        <v>-6791.5104176641635</v>
      </c>
      <c r="FA33" s="45">
        <v>-6731.606056257953</v>
      </c>
      <c r="FB33" s="45">
        <v>-6610.441093158313</v>
      </c>
      <c r="FC33" s="45">
        <v>-6467.939395423858</v>
      </c>
      <c r="FD33" s="45">
        <v>-6165.599522685701</v>
      </c>
      <c r="FE33" s="45">
        <v>-5830.856861734377</v>
      </c>
      <c r="FF33" s="45">
        <v>-5178.98314510896</v>
      </c>
      <c r="FG33" s="45">
        <v>-4551.910889521905</v>
      </c>
      <c r="FH33" s="45">
        <v>-3270.6623781247376</v>
      </c>
      <c r="FI33" s="45">
        <v>-2341.237110622212</v>
      </c>
      <c r="FJ33" s="45">
        <v>-764.589615329438</v>
      </c>
      <c r="FK33" s="45">
        <v>5.960464477539062e-14</v>
      </c>
      <c r="FL33" s="46">
        <f>MAX(1,MIN(26,SUMPRODUCT(--($CI33:$DI33&gt;=Pu))))</f>
      </c>
      <c r="FM33" s="47">
        <f>(Pu-INDEX($CI33:$DI33,1,$FL33))/(INDEX($CI33:$DI33,1,$FL33+1)-INDEX($CI33:$DI33,1,$FL33))</f>
      </c>
      <c r="FN33" s="39">
        <f>INDEX($DJ33:$EJ33,1,$FL33)+$FM33*(INDEX($DJ33:$EJ33,1,$FL33+1)-INDEX($DJ33:$EJ33,1,$FL33))</f>
      </c>
      <c r="FO33" s="39">
        <f>INDEX($EK33:$FK33,1,$FL33)+$FM33*(INDEX($EK33:$FK33,1,$FL33+1)-INDEX($EK33:$FK33,1,$FL33))</f>
      </c>
      <c r="FP33" s="39">
        <f>SQRT(FN33^2+FO33^2)</f>
      </c>
      <c r="FQ33" s="20">
        <f>FN34-FN33</f>
      </c>
      <c r="FR33" s="20">
        <f>FO34-FO33</f>
      </c>
      <c r="FS33" s="20">
        <f>FQ33*SIN(RADIANS(theta_L))-FR33*COS(RADIANS(theta_L))</f>
      </c>
      <c r="FT33" s="47">
        <f>IF(FS33=0,"",-(FN33*SIN(RADIANS(theta_L))-FO33*COS(RADIANS(theta_L)))/FS33)</f>
      </c>
      <c r="FU33" s="20">
        <f>IF(FT33="","",(FN33+FT33*FQ33)*COS(RADIANS(theta_L))+(FO33+FT33*FR33)*SIN(RADIANS(theta_L)))</f>
      </c>
      <c r="FV33" s="20">
        <f>IF(OR(FT33="",FT33&lt;0,FT33&gt;1,FU33&lt;0),"",FU33)</f>
      </c>
    </row>
    <row r="34" spans="1:178" x14ac:dyDescent="0.25">
      <c r="A34">
        <v>27</v>
      </c>
      <c r="B34" s="44">
        <v>260</v>
      </c>
      <c r="C34" s="18">
        <v>808.0650858259281</v>
      </c>
      <c r="D34" s="18">
        <v>-721.7637253483805</v>
      </c>
      <c r="E34" s="18">
        <v>1529.8288111743086</v>
      </c>
      <c r="F34" s="16">
        <v>0.0033</v>
      </c>
      <c r="G34" s="16">
        <v>0</v>
      </c>
      <c r="H34" s="16">
        <v>0</v>
      </c>
      <c r="I34" s="16">
        <v>0.00275</v>
      </c>
      <c r="J34" s="16">
        <v>-1.1819159049446361e-7</v>
      </c>
      <c r="K34" s="16">
        <v>-6.702978184029528e-7</v>
      </c>
      <c r="L34" s="16">
        <v>0.0024749999999999998</v>
      </c>
      <c r="M34" s="16">
        <v>-1.7728738574169539e-7</v>
      </c>
      <c r="N34" s="16">
        <v>-0.000001005446727604429</v>
      </c>
      <c r="O34" s="16">
        <v>0.0021999999999999997</v>
      </c>
      <c r="P34" s="16">
        <v>-2.3638318098892722e-7</v>
      </c>
      <c r="Q34" s="16">
        <v>-0.0000013405956368059057</v>
      </c>
      <c r="R34" s="16">
        <v>0.001925</v>
      </c>
      <c r="S34" s="16">
        <v>-2.95478976236159e-7</v>
      </c>
      <c r="T34" s="16">
        <v>-0.000001675744546007382</v>
      </c>
      <c r="U34" s="16">
        <v>0.0018000000000000002</v>
      </c>
      <c r="V34" s="16">
        <v>-3.223407013485371e-7</v>
      </c>
      <c r="W34" s="16">
        <v>-0.00000182808495928078</v>
      </c>
      <c r="X34" s="16">
        <v>0.00165</v>
      </c>
      <c r="Y34" s="16">
        <v>-3.5457477148339077e-7</v>
      </c>
      <c r="Z34" s="16">
        <v>-0.000002010893455208858</v>
      </c>
      <c r="AA34" s="16">
        <v>0.0015569194907640365</v>
      </c>
      <c r="AB34" s="16">
        <v>-3.745771959027238e-7</v>
      </c>
      <c r="AC34" s="16">
        <v>-0.000002124332841166499</v>
      </c>
      <c r="AD34" s="16">
        <v>0.0012928163833040417</v>
      </c>
      <c r="AE34" s="16">
        <v>-4.313313164940456e-7</v>
      </c>
      <c r="AF34" s="16">
        <v>-0.000002446201453464453</v>
      </c>
      <c r="AG34" s="16">
        <v>0.0011607648295740448</v>
      </c>
      <c r="AH34" s="16">
        <v>-4.597083767897065e-7</v>
      </c>
      <c r="AI34" s="16">
        <v>-0.0000026071357596134304</v>
      </c>
      <c r="AJ34" s="16">
        <v>0.0010287132758440474</v>
      </c>
      <c r="AK34" s="16">
        <v>-4.880854370853674e-7</v>
      </c>
      <c r="AL34" s="16">
        <v>-0.0000027680700657624075</v>
      </c>
      <c r="AM34" s="16">
        <v>0.00089666172211405</v>
      </c>
      <c r="AN34" s="16">
        <v>-5.164624973810283e-7</v>
      </c>
      <c r="AO34" s="16">
        <v>-0.000002929004371911385</v>
      </c>
      <c r="AP34" s="16">
        <v>0.0007646101683840526</v>
      </c>
      <c r="AQ34" s="16">
        <v>-5.448395576766892e-7</v>
      </c>
      <c r="AR34" s="16">
        <v>-0.0000030899386780603623</v>
      </c>
      <c r="AS34" s="16">
        <v>0.0006325586146540556</v>
      </c>
      <c r="AT34" s="16">
        <v>-5.732166179723501e-7</v>
      </c>
      <c r="AU34" s="16">
        <v>-0.0000032508729842093394</v>
      </c>
      <c r="AV34" s="16">
        <v>0.0005005070609240582</v>
      </c>
      <c r="AW34" s="16">
        <v>-6.01593678268011e-7</v>
      </c>
      <c r="AX34" s="16">
        <v>-0.0000034118072903583166</v>
      </c>
      <c r="AY34" s="16">
        <v>0.00023640395346406383</v>
      </c>
      <c r="AZ34" s="16">
        <v>-6.583477988593328e-7</v>
      </c>
      <c r="BA34" s="16">
        <v>-0.0000037336759026562705</v>
      </c>
      <c r="BB34" s="16">
        <v>-0.000027699153995930977</v>
      </c>
      <c r="BC34" s="16">
        <v>-7.151019194506547e-7</v>
      </c>
      <c r="BD34" s="16">
        <v>-0.000004055544514954226</v>
      </c>
      <c r="BE34" s="16">
        <v>-0.00029180226145592535</v>
      </c>
      <c r="BF34" s="16">
        <v>-7.718560400419764e-7</v>
      </c>
      <c r="BG34" s="16">
        <v>-0.00000437741312725218</v>
      </c>
      <c r="BH34" s="16">
        <v>-0.0005559053689159197</v>
      </c>
      <c r="BI34" s="16">
        <v>-8.286101606332982e-7</v>
      </c>
      <c r="BJ34" s="16">
        <v>-0.000004699281739550134</v>
      </c>
      <c r="BK34" s="16">
        <v>-0.001084111583835908</v>
      </c>
      <c r="BL34" s="16">
        <v>-9.421184018159416e-7</v>
      </c>
      <c r="BM34" s="16">
        <v>-0.000005343018964146042</v>
      </c>
      <c r="BN34" s="16">
        <v>-0.0016123177987558968</v>
      </c>
      <c r="BO34" s="16">
        <v>-0.0000010556266429985851</v>
      </c>
      <c r="BP34" s="16">
        <v>-0.000005986756188741951</v>
      </c>
      <c r="BQ34" s="16">
        <v>-0.002668730228595877</v>
      </c>
      <c r="BR34" s="16">
        <v>-0.0000012826431253638727</v>
      </c>
      <c r="BS34" s="16">
        <v>-0.000007274230637933771</v>
      </c>
      <c r="BT34" s="16">
        <v>-0.0037251426584358543</v>
      </c>
      <c r="BU34" s="16">
        <v>-0.0000015096596077291597</v>
      </c>
      <c r="BV34" s="16">
        <v>-0.000008561705087125587</v>
      </c>
      <c r="BW34" s="16">
        <v>-0.006366173733035799</v>
      </c>
      <c r="BX34" s="16">
        <v>-0.0000020772008136423776</v>
      </c>
      <c r="BY34" s="16">
        <v>-0.00001178039121010513</v>
      </c>
      <c r="BZ34" s="16">
        <v>-0.009007204807635744</v>
      </c>
      <c r="CA34" s="16">
        <v>-0.0000026447420195555955</v>
      </c>
      <c r="CB34" s="16">
        <v>-0.000014999077333084675</v>
      </c>
      <c r="CC34" s="16">
        <v>-0.019571329106035523</v>
      </c>
      <c r="CD34" s="16">
        <v>-0.000004914906843208467</v>
      </c>
      <c r="CE34" s="16">
        <v>-0.000027873821825002848</v>
      </c>
      <c r="CF34" s="16">
        <v>-0.05</v>
      </c>
      <c r="CG34" s="16">
        <v>0</v>
      </c>
      <c r="CH34" s="16">
        <v>0</v>
      </c>
      <c r="CI34" s="45">
        <v>33981.43387592912</v>
      </c>
      <c r="CJ34" s="45">
        <v>33981.43387592912</v>
      </c>
      <c r="CK34" s="45">
        <v>33796.946864879355</v>
      </c>
      <c r="CL34" s="45">
        <v>32693.445416906277</v>
      </c>
      <c r="CM34" s="45">
        <v>30469.9513829079</v>
      </c>
      <c r="CN34" s="45">
        <v>29053.731108257205</v>
      </c>
      <c r="CO34" s="45">
        <v>26969.40359283283</v>
      </c>
      <c r="CP34" s="45">
        <v>25522.292874102313</v>
      </c>
      <c r="CQ34" s="45">
        <v>22092.01642039207</v>
      </c>
      <c r="CR34" s="45">
        <v>20699.60847723883</v>
      </c>
      <c r="CS34" s="45">
        <v>19336.540762912115</v>
      </c>
      <c r="CT34" s="45">
        <v>17985.6492925051</v>
      </c>
      <c r="CU34" s="45">
        <v>16632.264881022493</v>
      </c>
      <c r="CV34" s="45">
        <v>15280.521075534802</v>
      </c>
      <c r="CW34" s="45">
        <v>13950.968239526464</v>
      </c>
      <c r="CX34" s="45">
        <v>11713.870664242131</v>
      </c>
      <c r="CY34" s="45">
        <v>9986.5894573492</v>
      </c>
      <c r="CZ34" s="45">
        <v>8651.226624656145</v>
      </c>
      <c r="DA34" s="45">
        <v>7606.102960763538</v>
      </c>
      <c r="DB34" s="45">
        <v>6266.316214756502</v>
      </c>
      <c r="DC34" s="45">
        <v>5276.7096397367295</v>
      </c>
      <c r="DD34" s="45">
        <v>3791.9820232034886</v>
      </c>
      <c r="DE34" s="45">
        <v>2712.5120661047285</v>
      </c>
      <c r="DF34" s="45">
        <v>528.5016138277836</v>
      </c>
      <c r="DG34" s="45">
        <v>-1083.2650680408167</v>
      </c>
      <c r="DH34" s="45">
        <v>-4088.677714225727</v>
      </c>
      <c r="DI34" s="45">
        <v>-5790.583579096708</v>
      </c>
      <c r="DJ34" s="45">
        <v>6.55418261885643e-13</v>
      </c>
      <c r="DK34" s="45">
        <v>6.55418261885643e-13</v>
      </c>
      <c r="DL34" s="45">
        <v>-14.815415485245335</v>
      </c>
      <c r="DM34" s="45">
        <v>-113.98133172316557</v>
      </c>
      <c r="DN34" s="45">
        <v>-279.7106664682269</v>
      </c>
      <c r="DO34" s="45">
        <v>-377.3023485835172</v>
      </c>
      <c r="DP34" s="45">
        <v>-516.0381993381255</v>
      </c>
      <c r="DQ34" s="45">
        <v>-599.5439331125003</v>
      </c>
      <c r="DR34" s="45">
        <v>-682.9018021561558</v>
      </c>
      <c r="DS34" s="45">
        <v>-706.9258834126989</v>
      </c>
      <c r="DT34" s="45">
        <v>-741.6853284676238</v>
      </c>
      <c r="DU34" s="45">
        <v>-779.2175767208266</v>
      </c>
      <c r="DV34" s="45">
        <v>-815.7557393988737</v>
      </c>
      <c r="DW34" s="45">
        <v>-848.4371636932659</v>
      </c>
      <c r="DX34" s="45">
        <v>-871.7254317437507</v>
      </c>
      <c r="DY34" s="45">
        <v>-870.1599332811713</v>
      </c>
      <c r="DZ34" s="45">
        <v>-876.8554596238873</v>
      </c>
      <c r="EA34" s="45">
        <v>-839.5889905756982</v>
      </c>
      <c r="EB34" s="45">
        <v>-798.1955135174882</v>
      </c>
      <c r="EC34" s="45">
        <v>-747.2234515249588</v>
      </c>
      <c r="ED34" s="45">
        <v>-729.5107138514834</v>
      </c>
      <c r="EE34" s="45">
        <v>-709.7674543297819</v>
      </c>
      <c r="EF34" s="45">
        <v>-710.1567536238477</v>
      </c>
      <c r="EG34" s="45">
        <v>-657.4063167170542</v>
      </c>
      <c r="EH34" s="45">
        <v>-522.2874691167726</v>
      </c>
      <c r="EI34" s="45">
        <v>-354.65289096948516</v>
      </c>
      <c r="EJ34" s="45">
        <v>0</v>
      </c>
      <c r="EK34" s="45">
        <v>-5.220063030719757e-12</v>
      </c>
      <c r="EL34" s="45">
        <v>-5.220063030719757e-12</v>
      </c>
      <c r="EM34" s="45">
        <v>-123.87349040243559</v>
      </c>
      <c r="EN34" s="45">
        <v>-787.0980002584629</v>
      </c>
      <c r="EO34" s="45">
        <v>-1996.1554859458247</v>
      </c>
      <c r="EP34" s="45">
        <v>-2723.96957593661</v>
      </c>
      <c r="EQ34" s="45">
        <v>-3738.706731632226</v>
      </c>
      <c r="ER34" s="45">
        <v>-4416.561164797146</v>
      </c>
      <c r="ES34" s="45">
        <v>-5680.1245350949575</v>
      </c>
      <c r="ET34" s="45">
        <v>-6009.727455728731</v>
      </c>
      <c r="EU34" s="45">
        <v>-6269.706616466175</v>
      </c>
      <c r="EV34" s="45">
        <v>-6485.901692196674</v>
      </c>
      <c r="EW34" s="45">
        <v>-6672.286205063182</v>
      </c>
      <c r="EX34" s="45">
        <v>-6834.391692524689</v>
      </c>
      <c r="EY34" s="45">
        <v>-6974.454836912981</v>
      </c>
      <c r="EZ34" s="45">
        <v>-7056.26973538525</v>
      </c>
      <c r="FA34" s="45">
        <v>-6993.660793983501</v>
      </c>
      <c r="FB34" s="45">
        <v>-6879.371703999675</v>
      </c>
      <c r="FC34" s="45">
        <v>-6769.245516311514</v>
      </c>
      <c r="FD34" s="45">
        <v>-6514.041698098367</v>
      </c>
      <c r="FE34" s="45">
        <v>-6267.982165607196</v>
      </c>
      <c r="FF34" s="45">
        <v>-5761.221046768871</v>
      </c>
      <c r="FG34" s="45">
        <v>-5272.8393916604255</v>
      </c>
      <c r="FH34" s="45">
        <v>-4121.084011741388</v>
      </c>
      <c r="FI34" s="45">
        <v>-3163.6850564638967</v>
      </c>
      <c r="FJ34" s="45">
        <v>-1180.7341931985727</v>
      </c>
      <c r="FK34" s="45">
        <v>5.960464477539062e-14</v>
      </c>
      <c r="FL34" s="46">
        <f>MAX(1,MIN(26,SUMPRODUCT(--($CI34:$DI34&gt;=Pu))))</f>
      </c>
      <c r="FM34" s="47">
        <f>(Pu-INDEX($CI34:$DI34,1,$FL34))/(INDEX($CI34:$DI34,1,$FL34+1)-INDEX($CI34:$DI34,1,$FL34))</f>
      </c>
      <c r="FN34" s="39">
        <f>INDEX($DJ34:$EJ34,1,$FL34)+$FM34*(INDEX($DJ34:$EJ34,1,$FL34+1)-INDEX($DJ34:$EJ34,1,$FL34))</f>
      </c>
      <c r="FO34" s="39">
        <f>INDEX($EK34:$FK34,1,$FL34)+$FM34*(INDEX($EK34:$FK34,1,$FL34+1)-INDEX($EK34:$FK34,1,$FL34))</f>
      </c>
      <c r="FP34" s="39">
        <f>SQRT(FN34^2+FO34^2)</f>
      </c>
      <c r="FQ34" s="20">
        <f>FN35-FN34</f>
      </c>
      <c r="FR34" s="20">
        <f>FO35-FO34</f>
      </c>
      <c r="FS34" s="20">
        <f>FQ34*SIN(RADIANS(theta_L))-FR34*COS(RADIANS(theta_L))</f>
      </c>
      <c r="FT34" s="47">
        <f>IF(FS34=0,"",-(FN34*SIN(RADIANS(theta_L))-FO34*COS(RADIANS(theta_L)))/FS34)</f>
      </c>
      <c r="FU34" s="20">
        <f>IF(FT34="","",(FN34+FT34*FQ34)*COS(RADIANS(theta_L))+(FO34+FT34*FR34)*SIN(RADIANS(theta_L)))</f>
      </c>
      <c r="FV34" s="20">
        <f>IF(OR(FT34="",FT34&lt;0,FT34&gt;1,FU34&lt;0),"",FU34)</f>
      </c>
    </row>
    <row r="35" spans="1:178" x14ac:dyDescent="0.25">
      <c r="A35">
        <v>28</v>
      </c>
      <c r="B35" s="44">
        <v>270</v>
      </c>
      <c r="C35" s="18">
        <v>750.0000000000001</v>
      </c>
      <c r="D35" s="18">
        <v>-680</v>
      </c>
      <c r="E35" s="18">
        <v>1430</v>
      </c>
      <c r="F35" s="16">
        <v>0.0033</v>
      </c>
      <c r="G35" s="16">
        <v>0</v>
      </c>
      <c r="H35" s="16">
        <v>0</v>
      </c>
      <c r="I35" s="16">
        <v>0.00275</v>
      </c>
      <c r="J35" s="16">
        <v>-1.3471114790620882e-22</v>
      </c>
      <c r="K35" s="16">
        <v>-7.333333333333332e-7</v>
      </c>
      <c r="L35" s="16">
        <v>0.0024749999999999998</v>
      </c>
      <c r="M35" s="16">
        <v>-2.0206672185931323e-22</v>
      </c>
      <c r="N35" s="16">
        <v>-0.0000010999999999999998</v>
      </c>
      <c r="O35" s="16">
        <v>0.0021999999999999997</v>
      </c>
      <c r="P35" s="16">
        <v>-2.6942229581241763e-22</v>
      </c>
      <c r="Q35" s="16">
        <v>-0.0000014666666666666665</v>
      </c>
      <c r="R35" s="16">
        <v>0.0019249999999999998</v>
      </c>
      <c r="S35" s="16">
        <v>-3.367778697655221e-22</v>
      </c>
      <c r="T35" s="16">
        <v>-0.0000018333333333333333</v>
      </c>
      <c r="U35" s="16">
        <v>0.0018000000000000002</v>
      </c>
      <c r="V35" s="16">
        <v>-3.6739403974420583e-22</v>
      </c>
      <c r="W35" s="16">
        <v>-0.0000019999999999999995</v>
      </c>
      <c r="X35" s="16">
        <v>0.00165</v>
      </c>
      <c r="Y35" s="16">
        <v>-4.0413344371862645e-22</v>
      </c>
      <c r="Z35" s="16">
        <v>-0.0000021999999999999997</v>
      </c>
      <c r="AA35" s="16">
        <v>0.001569230769230769</v>
      </c>
      <c r="AB35" s="16">
        <v>-4.23916199704853e-22</v>
      </c>
      <c r="AC35" s="16">
        <v>-0.0000023076923076923077</v>
      </c>
      <c r="AD35" s="16">
        <v>0.0013069930069930067</v>
      </c>
      <c r="AE35" s="16">
        <v>-4.88145926932861e-22</v>
      </c>
      <c r="AF35" s="16">
        <v>-0.0000026573426573426574</v>
      </c>
      <c r="AG35" s="16">
        <v>0.0011758741258741257</v>
      </c>
      <c r="AH35" s="16">
        <v>-5.20260790546865e-22</v>
      </c>
      <c r="AI35" s="16">
        <v>-0.000002832167832167832</v>
      </c>
      <c r="AJ35" s="16">
        <v>0.0010447552447552444</v>
      </c>
      <c r="AK35" s="16">
        <v>-5.52375654160869e-22</v>
      </c>
      <c r="AL35" s="16">
        <v>-0.000003006993006993007</v>
      </c>
      <c r="AM35" s="16">
        <v>0.000913636363636363</v>
      </c>
      <c r="AN35" s="16">
        <v>-5.844905177748731e-22</v>
      </c>
      <c r="AO35" s="16">
        <v>-0.000003181818181818182</v>
      </c>
      <c r="AP35" s="16">
        <v>0.0007825174825174816</v>
      </c>
      <c r="AQ35" s="16">
        <v>-6.166053813888772e-22</v>
      </c>
      <c r="AR35" s="16">
        <v>-0.000003356643356643357</v>
      </c>
      <c r="AS35" s="16">
        <v>0.0006513986013986011</v>
      </c>
      <c r="AT35" s="16">
        <v>-6.487202450028811e-22</v>
      </c>
      <c r="AU35" s="16">
        <v>-0.0000035314685314685315</v>
      </c>
      <c r="AV35" s="16">
        <v>0.0005202797202797198</v>
      </c>
      <c r="AW35" s="16">
        <v>-6.808351086168851e-22</v>
      </c>
      <c r="AX35" s="16">
        <v>-0.0000037062937062937064</v>
      </c>
      <c r="AY35" s="16">
        <v>0.0002580419580419579</v>
      </c>
      <c r="AZ35" s="16">
        <v>-7.45064835844893e-22</v>
      </c>
      <c r="BA35" s="16">
        <v>-0.000004055944055944055</v>
      </c>
      <c r="BB35" s="16">
        <v>-0.000004195804195804807</v>
      </c>
      <c r="BC35" s="16">
        <v>-8.092945630729013e-22</v>
      </c>
      <c r="BD35" s="16">
        <v>-0.000004405594405594406</v>
      </c>
      <c r="BE35" s="16">
        <v>-0.00026643356643356753</v>
      </c>
      <c r="BF35" s="16">
        <v>-8.735242903009093e-22</v>
      </c>
      <c r="BG35" s="16">
        <v>-0.000004755244755244756</v>
      </c>
      <c r="BH35" s="16">
        <v>-0.000528671328671329</v>
      </c>
      <c r="BI35" s="16">
        <v>-9.377540175289172e-22</v>
      </c>
      <c r="BJ35" s="16">
        <v>-0.000005104895104895105</v>
      </c>
      <c r="BK35" s="16">
        <v>-0.001053146853146854</v>
      </c>
      <c r="BL35" s="16">
        <v>-1.0662134719849333e-21</v>
      </c>
      <c r="BM35" s="16">
        <v>-0.000005804195804195804</v>
      </c>
      <c r="BN35" s="16">
        <v>-0.0015776223776223777</v>
      </c>
      <c r="BO35" s="16">
        <v>-1.1946729264409493e-21</v>
      </c>
      <c r="BP35" s="16">
        <v>-0.000006503496503496503</v>
      </c>
      <c r="BQ35" s="16">
        <v>-0.0026265734265734277</v>
      </c>
      <c r="BR35" s="16">
        <v>-1.4515918353529815e-21</v>
      </c>
      <c r="BS35" s="16">
        <v>-0.000007902097902097902</v>
      </c>
      <c r="BT35" s="16">
        <v>-0.003675524475524476</v>
      </c>
      <c r="BU35" s="16">
        <v>-1.7085107442650132e-21</v>
      </c>
      <c r="BV35" s="16">
        <v>-0.0000093006993006993</v>
      </c>
      <c r="BW35" s="16">
        <v>-0.0062979020979021</v>
      </c>
      <c r="BX35" s="16">
        <v>-2.350808016545094e-21</v>
      </c>
      <c r="BY35" s="16">
        <v>-0.000012797202797202797</v>
      </c>
      <c r="BZ35" s="16">
        <v>-0.008920279720279724</v>
      </c>
      <c r="CA35" s="16">
        <v>-2.9931052888251745e-21</v>
      </c>
      <c r="CB35" s="16">
        <v>-0.000016293706293706295</v>
      </c>
      <c r="CC35" s="16">
        <v>-0.019409790209790213</v>
      </c>
      <c r="CD35" s="16">
        <v>-5.562294377945495e-21</v>
      </c>
      <c r="CE35" s="16">
        <v>-0.00003027972027972028</v>
      </c>
      <c r="CF35" s="16">
        <v>-0.05</v>
      </c>
      <c r="CG35" s="16">
        <v>0</v>
      </c>
      <c r="CH35" s="16">
        <v>0</v>
      </c>
      <c r="CI35" s="45">
        <v>33981.43387592912</v>
      </c>
      <c r="CJ35" s="45">
        <v>33981.43387592912</v>
      </c>
      <c r="CK35" s="45">
        <v>33730.92687382824</v>
      </c>
      <c r="CL35" s="45">
        <v>32465.0348992255</v>
      </c>
      <c r="CM35" s="45">
        <v>30022.064109595984</v>
      </c>
      <c r="CN35" s="45">
        <v>28470.462088041528</v>
      </c>
      <c r="CO35" s="45">
        <v>26243.48772017123</v>
      </c>
      <c r="CP35" s="45">
        <v>25003.60781611536</v>
      </c>
      <c r="CQ35" s="45">
        <v>21858.984973550847</v>
      </c>
      <c r="CR35" s="45">
        <v>20552.976587216133</v>
      </c>
      <c r="CS35" s="45">
        <v>19258.022396878634</v>
      </c>
      <c r="CT35" s="45">
        <v>17959.46242292167</v>
      </c>
      <c r="CU35" s="45">
        <v>16660.195250385903</v>
      </c>
      <c r="CV35" s="45">
        <v>15352.724316098518</v>
      </c>
      <c r="CW35" s="45">
        <v>14047.573804671045</v>
      </c>
      <c r="CX35" s="45">
        <v>11993.967924732584</v>
      </c>
      <c r="CY35" s="45">
        <v>10316.770596158798</v>
      </c>
      <c r="CZ35" s="45">
        <v>8969.618334642562</v>
      </c>
      <c r="DA35" s="45">
        <v>7983.545926293632</v>
      </c>
      <c r="DB35" s="45">
        <v>6659.639237389148</v>
      </c>
      <c r="DC35" s="45">
        <v>5767.8628405447525</v>
      </c>
      <c r="DD35" s="45">
        <v>4487.964263760281</v>
      </c>
      <c r="DE35" s="45">
        <v>3536.3460848841037</v>
      </c>
      <c r="DF35" s="45">
        <v>1949.4624679197605</v>
      </c>
      <c r="DG35" s="45">
        <v>684.1681483604917</v>
      </c>
      <c r="DH35" s="45">
        <v>-1852.6621941155468</v>
      </c>
      <c r="DI35" s="45">
        <v>-5790.583579096708</v>
      </c>
      <c r="DJ35" s="45">
        <v>6.55418261885643e-13</v>
      </c>
      <c r="DK35" s="45">
        <v>6.55418261885643e-13</v>
      </c>
      <c r="DL35" s="45">
        <v>-0.0003085921201715246</v>
      </c>
      <c r="DM35" s="45">
        <v>-0.000058574761460069564</v>
      </c>
      <c r="DN35" s="45">
        <v>-0.00018069883312063758</v>
      </c>
      <c r="DO35" s="45">
        <v>-0.0027946975583796737</v>
      </c>
      <c r="DP35" s="45">
        <v>-0.00040176026106910647</v>
      </c>
      <c r="DQ35" s="45">
        <v>-0.13900215292411713</v>
      </c>
      <c r="DR35" s="45">
        <v>-0.10343440789202732</v>
      </c>
      <c r="DS35" s="45">
        <v>-0.0683975719148318</v>
      </c>
      <c r="DT35" s="45">
        <v>0.03986276401591755</v>
      </c>
      <c r="DU35" s="45">
        <v>-0.0010666054150932469</v>
      </c>
      <c r="DV35" s="45">
        <v>-0.06892470908831869</v>
      </c>
      <c r="DW35" s="45">
        <v>0.06487387983581307</v>
      </c>
      <c r="DX35" s="45">
        <v>-0.03484832567005872</v>
      </c>
      <c r="DY35" s="45">
        <v>-0.3565129396871206</v>
      </c>
      <c r="DZ35" s="45">
        <v>0.21945209553790604</v>
      </c>
      <c r="EA35" s="45">
        <v>0.00005264413828169927</v>
      </c>
      <c r="EB35" s="45">
        <v>-0.24234861388243192</v>
      </c>
      <c r="EC35" s="45">
        <v>-0.0021061085251597687</v>
      </c>
      <c r="ED35" s="45">
        <v>0.08643930231230333</v>
      </c>
      <c r="EE35" s="45">
        <v>0.05717526422546618</v>
      </c>
      <c r="EF35" s="45">
        <v>-0.02260784946891479</v>
      </c>
      <c r="EG35" s="45">
        <v>-0.03154463889460964</v>
      </c>
      <c r="EH35" s="45">
        <v>0.10686250715117797</v>
      </c>
      <c r="EI35" s="45">
        <v>-1.2297118902626138</v>
      </c>
      <c r="EJ35" s="45">
        <v>0</v>
      </c>
      <c r="EK35" s="45">
        <v>-5.220063030719757e-12</v>
      </c>
      <c r="EL35" s="45">
        <v>-5.220063030719757e-12</v>
      </c>
      <c r="EM35" s="45">
        <v>-169.45299543293027</v>
      </c>
      <c r="EN35" s="45">
        <v>-931.8351525567556</v>
      </c>
      <c r="EO35" s="45">
        <v>-2280.330009267766</v>
      </c>
      <c r="EP35" s="45">
        <v>-3085.0977088823033</v>
      </c>
      <c r="EQ35" s="45">
        <v>-4208.0491630023935</v>
      </c>
      <c r="ER35" s="45">
        <v>-4789.821465961175</v>
      </c>
      <c r="ES35" s="45">
        <v>-5873.608507474756</v>
      </c>
      <c r="ET35" s="45">
        <v>-6175.357203798309</v>
      </c>
      <c r="EU35" s="45">
        <v>-6430.374399186983</v>
      </c>
      <c r="EV35" s="45">
        <v>-6652.249892869756</v>
      </c>
      <c r="EW35" s="45">
        <v>-6846.477090804602</v>
      </c>
      <c r="EX35" s="45">
        <v>-7020.944088335308</v>
      </c>
      <c r="EY35" s="45">
        <v>-7177.451205986206</v>
      </c>
      <c r="EZ35" s="45">
        <v>-7185.711356544101</v>
      </c>
      <c r="FA35" s="45">
        <v>-7136.502579475227</v>
      </c>
      <c r="FB35" s="45">
        <v>-7044.009858649292</v>
      </c>
      <c r="FC35" s="45">
        <v>-6924.098500168922</v>
      </c>
      <c r="FD35" s="45">
        <v>-6713.624102614421</v>
      </c>
      <c r="FE35" s="45">
        <v>-6499.557698073621</v>
      </c>
      <c r="FF35" s="45">
        <v>-6111.223708154452</v>
      </c>
      <c r="FG35" s="45">
        <v>-5755.775289057241</v>
      </c>
      <c r="FH35" s="45">
        <v>-5002.944205954929</v>
      </c>
      <c r="FI35" s="45">
        <v>-4328.180459587969</v>
      </c>
      <c r="FJ35" s="45">
        <v>-2722.6257015136584</v>
      </c>
      <c r="FK35" s="45">
        <v>5.960464477539062e-14</v>
      </c>
      <c r="FL35" s="46">
        <f>MAX(1,MIN(26,SUMPRODUCT(--($CI35:$DI35&gt;=Pu))))</f>
      </c>
      <c r="FM35" s="47">
        <f>(Pu-INDEX($CI35:$DI35,1,$FL35))/(INDEX($CI35:$DI35,1,$FL35+1)-INDEX($CI35:$DI35,1,$FL35))</f>
      </c>
      <c r="FN35" s="39">
        <f>INDEX($DJ35:$EJ35,1,$FL35)+$FM35*(INDEX($DJ35:$EJ35,1,$FL35+1)-INDEX($DJ35:$EJ35,1,$FL35))</f>
      </c>
      <c r="FO35" s="39">
        <f>INDEX($EK35:$FK35,1,$FL35)+$FM35*(INDEX($EK35:$FK35,1,$FL35+1)-INDEX($EK35:$FK35,1,$FL35))</f>
      </c>
      <c r="FP35" s="39">
        <f>SQRT(FN35^2+FO35^2)</f>
      </c>
      <c r="FQ35" s="20">
        <f>FN36-FN35</f>
      </c>
      <c r="FR35" s="20">
        <f>FO36-FO35</f>
      </c>
      <c r="FS35" s="20">
        <f>FQ35*SIN(RADIANS(theta_L))-FR35*COS(RADIANS(theta_L))</f>
      </c>
      <c r="FT35" s="47">
        <f>IF(FS35=0,"",-(FN35*SIN(RADIANS(theta_L))-FO35*COS(RADIANS(theta_L)))/FS35)</f>
      </c>
      <c r="FU35" s="20">
        <f>IF(FT35="","",(FN35+FT35*FQ35)*COS(RADIANS(theta_L))+(FO35+FT35*FR35)*SIN(RADIANS(theta_L)))</f>
      </c>
      <c r="FV35" s="20">
        <f>IF(OR(FT35="",FT35&lt;0,FT35&gt;1,FU35&lt;0),"",FU35)</f>
      </c>
    </row>
    <row r="36" spans="1:178" x14ac:dyDescent="0.25">
      <c r="A36">
        <v>29</v>
      </c>
      <c r="B36" s="44">
        <v>280</v>
      </c>
      <c r="C36" s="18">
        <v>808.0650858259281</v>
      </c>
      <c r="D36" s="18">
        <v>-721.7637253483805</v>
      </c>
      <c r="E36" s="18">
        <v>1529.8288111743086</v>
      </c>
      <c r="F36" s="16">
        <v>0.0033</v>
      </c>
      <c r="G36" s="16">
        <v>0</v>
      </c>
      <c r="H36" s="16">
        <v>0</v>
      </c>
      <c r="I36" s="16">
        <v>0.00275</v>
      </c>
      <c r="J36" s="16">
        <v>1.1819159049446337e-7</v>
      </c>
      <c r="K36" s="16">
        <v>-6.702978184029529e-7</v>
      </c>
      <c r="L36" s="16">
        <v>0.0024749999999999998</v>
      </c>
      <c r="M36" s="16">
        <v>1.7728738574169504e-7</v>
      </c>
      <c r="N36" s="16">
        <v>-0.0000010054467276044293</v>
      </c>
      <c r="O36" s="16">
        <v>0.0021999999999999997</v>
      </c>
      <c r="P36" s="16">
        <v>2.3638318098892674e-7</v>
      </c>
      <c r="Q36" s="16">
        <v>-0.0000013405956368059059</v>
      </c>
      <c r="R36" s="16">
        <v>0.001925</v>
      </c>
      <c r="S36" s="16">
        <v>2.954789762361584e-7</v>
      </c>
      <c r="T36" s="16">
        <v>-0.000001675744546007382</v>
      </c>
      <c r="U36" s="16">
        <v>0.0018000000000000002</v>
      </c>
      <c r="V36" s="16">
        <v>3.223407013485364e-7</v>
      </c>
      <c r="W36" s="16">
        <v>-0.0000018280849592807803</v>
      </c>
      <c r="X36" s="16">
        <v>0.00165</v>
      </c>
      <c r="Y36" s="16">
        <v>3.545747714833901e-7</v>
      </c>
      <c r="Z36" s="16">
        <v>-0.0000020108934552088586</v>
      </c>
      <c r="AA36" s="16">
        <v>0.0015569194907640365</v>
      </c>
      <c r="AB36" s="16">
        <v>3.7457719590272303e-7</v>
      </c>
      <c r="AC36" s="16">
        <v>-0.000002124332841166499</v>
      </c>
      <c r="AD36" s="16">
        <v>0.0012928163833040417</v>
      </c>
      <c r="AE36" s="16">
        <v>4.313313164940447e-7</v>
      </c>
      <c r="AF36" s="16">
        <v>-0.0000024462014534644536</v>
      </c>
      <c r="AG36" s="16">
        <v>0.0011607648295740448</v>
      </c>
      <c r="AH36" s="16">
        <v>4.5970837678970556e-7</v>
      </c>
      <c r="AI36" s="16">
        <v>-0.000002607135759613431</v>
      </c>
      <c r="AJ36" s="16">
        <v>0.0010287132758440474</v>
      </c>
      <c r="AK36" s="16">
        <v>4.880854370853664e-7</v>
      </c>
      <c r="AL36" s="16">
        <v>-0.000002768070065762408</v>
      </c>
      <c r="AM36" s="16">
        <v>0.00089666172211405</v>
      </c>
      <c r="AN36" s="16">
        <v>5.164624973810272e-7</v>
      </c>
      <c r="AO36" s="16">
        <v>-0.0000029290043719113855</v>
      </c>
      <c r="AP36" s="16">
        <v>0.0007646101683840526</v>
      </c>
      <c r="AQ36" s="16">
        <v>5.44839557676688e-7</v>
      </c>
      <c r="AR36" s="16">
        <v>-0.0000030899386780603627</v>
      </c>
      <c r="AS36" s="16">
        <v>0.0006325586146540556</v>
      </c>
      <c r="AT36" s="16">
        <v>5.732166179723489e-7</v>
      </c>
      <c r="AU36" s="16">
        <v>-0.00000325087298420934</v>
      </c>
      <c r="AV36" s="16">
        <v>0.0005005070609240582</v>
      </c>
      <c r="AW36" s="16">
        <v>6.015936782680097e-7</v>
      </c>
      <c r="AX36" s="16">
        <v>-0.0000034118072903583166</v>
      </c>
      <c r="AY36" s="16">
        <v>0.00023640395346406383</v>
      </c>
      <c r="AZ36" s="16">
        <v>6.583477988593314e-7</v>
      </c>
      <c r="BA36" s="16">
        <v>-0.000003733675902656271</v>
      </c>
      <c r="BB36" s="16">
        <v>-0.000027699153995930977</v>
      </c>
      <c r="BC36" s="16">
        <v>7.151019194506532e-7</v>
      </c>
      <c r="BD36" s="16">
        <v>-0.0000040555445149542265</v>
      </c>
      <c r="BE36" s="16">
        <v>-0.00029180226145592535</v>
      </c>
      <c r="BF36" s="16">
        <v>7.718560400419748e-7</v>
      </c>
      <c r="BG36" s="16">
        <v>-0.00000437741312725218</v>
      </c>
      <c r="BH36" s="16">
        <v>-0.0005559053689159197</v>
      </c>
      <c r="BI36" s="16">
        <v>8.286101606332965e-7</v>
      </c>
      <c r="BJ36" s="16">
        <v>-0.000004699281739550134</v>
      </c>
      <c r="BK36" s="16">
        <v>-0.001084111583835908</v>
      </c>
      <c r="BL36" s="16">
        <v>9.421184018159397e-7</v>
      </c>
      <c r="BM36" s="16">
        <v>-0.000005343018964146043</v>
      </c>
      <c r="BN36" s="16">
        <v>-0.0016123177987558968</v>
      </c>
      <c r="BO36" s="16">
        <v>0.000001055626642998583</v>
      </c>
      <c r="BP36" s="16">
        <v>-0.000005986756188741952</v>
      </c>
      <c r="BQ36" s="16">
        <v>-0.002668730228595877</v>
      </c>
      <c r="BR36" s="16">
        <v>0.00000128264312536387</v>
      </c>
      <c r="BS36" s="16">
        <v>-0.000007274230637933771</v>
      </c>
      <c r="BT36" s="16">
        <v>-0.0037251426584358543</v>
      </c>
      <c r="BU36" s="16">
        <v>0.0000015096596077291565</v>
      </c>
      <c r="BV36" s="16">
        <v>-0.000008561705087125589</v>
      </c>
      <c r="BW36" s="16">
        <v>-0.006366173733035799</v>
      </c>
      <c r="BX36" s="16">
        <v>0.0000020772008136423734</v>
      </c>
      <c r="BY36" s="16">
        <v>-0.000011780391210105132</v>
      </c>
      <c r="BZ36" s="16">
        <v>-0.009007204807635744</v>
      </c>
      <c r="CA36" s="16">
        <v>0.00000264474201955559</v>
      </c>
      <c r="CB36" s="16">
        <v>-0.000014999077333084677</v>
      </c>
      <c r="CC36" s="16">
        <v>-0.019571329106035523</v>
      </c>
      <c r="CD36" s="16">
        <v>0.000004914906843208456</v>
      </c>
      <c r="CE36" s="16">
        <v>-0.00002787382182500285</v>
      </c>
      <c r="CF36" s="16">
        <v>-0.05</v>
      </c>
      <c r="CG36" s="16">
        <v>0</v>
      </c>
      <c r="CH36" s="16">
        <v>0</v>
      </c>
      <c r="CI36" s="45">
        <v>33981.43387592912</v>
      </c>
      <c r="CJ36" s="45">
        <v>33981.43387592912</v>
      </c>
      <c r="CK36" s="45">
        <v>33796.94694990778</v>
      </c>
      <c r="CL36" s="45">
        <v>32693.443696975228</v>
      </c>
      <c r="CM36" s="45">
        <v>30469.950728093463</v>
      </c>
      <c r="CN36" s="45">
        <v>29053.724486610277</v>
      </c>
      <c r="CO36" s="45">
        <v>26969.406816725208</v>
      </c>
      <c r="CP36" s="45">
        <v>25522.401662241053</v>
      </c>
      <c r="CQ36" s="45">
        <v>22092.35822606</v>
      </c>
      <c r="CR36" s="45">
        <v>20699.437452813796</v>
      </c>
      <c r="CS36" s="45">
        <v>19335.875256443433</v>
      </c>
      <c r="CT36" s="45">
        <v>17985.109331043182</v>
      </c>
      <c r="CU36" s="45">
        <v>16633.776651592707</v>
      </c>
      <c r="CV36" s="45">
        <v>15279.597428500796</v>
      </c>
      <c r="CW36" s="45">
        <v>13951.093705975125</v>
      </c>
      <c r="CX36" s="45">
        <v>11713.778666232016</v>
      </c>
      <c r="CY36" s="45">
        <v>9987.621831676995</v>
      </c>
      <c r="CZ36" s="45">
        <v>8650.852079133687</v>
      </c>
      <c r="DA36" s="45">
        <v>7605.641064840288</v>
      </c>
      <c r="DB36" s="45">
        <v>6266.135824964242</v>
      </c>
      <c r="DC36" s="45">
        <v>5279.360967890404</v>
      </c>
      <c r="DD36" s="45">
        <v>3793.9375105422037</v>
      </c>
      <c r="DE36" s="45">
        <v>2713.217552900818</v>
      </c>
      <c r="DF36" s="45">
        <v>530.9158617156744</v>
      </c>
      <c r="DG36" s="45">
        <v>-1082.3523960080217</v>
      </c>
      <c r="DH36" s="45">
        <v>-4086.7549738188663</v>
      </c>
      <c r="DI36" s="45">
        <v>-5790.583579096708</v>
      </c>
      <c r="DJ36" s="45">
        <v>6.55418261885643e-13</v>
      </c>
      <c r="DK36" s="45">
        <v>6.55418261885643e-13</v>
      </c>
      <c r="DL36" s="45">
        <v>14.815463536244117</v>
      </c>
      <c r="DM36" s="45">
        <v>113.97999810839903</v>
      </c>
      <c r="DN36" s="45">
        <v>279.7098222733983</v>
      </c>
      <c r="DO36" s="45">
        <v>377.3007134798157</v>
      </c>
      <c r="DP36" s="45">
        <v>516.0351098525956</v>
      </c>
      <c r="DQ36" s="45">
        <v>599.5037830193401</v>
      </c>
      <c r="DR36" s="45">
        <v>682.9722624045228</v>
      </c>
      <c r="DS36" s="45">
        <v>706.9482597194617</v>
      </c>
      <c r="DT36" s="45">
        <v>741.8517955011937</v>
      </c>
      <c r="DU36" s="45">
        <v>779.0630668374348</v>
      </c>
      <c r="DV36" s="45">
        <v>815.844639635112</v>
      </c>
      <c r="DW36" s="45">
        <v>848.6172837295233</v>
      </c>
      <c r="DX36" s="45">
        <v>871.750606236681</v>
      </c>
      <c r="DY36" s="45">
        <v>870.1823800939536</v>
      </c>
      <c r="DZ36" s="45">
        <v>876.803324573528</v>
      </c>
      <c r="EA36" s="45">
        <v>840.0389512196915</v>
      </c>
      <c r="EB36" s="45">
        <v>798.0767708759757</v>
      </c>
      <c r="EC36" s="45">
        <v>747.2819519248477</v>
      </c>
      <c r="ED36" s="45">
        <v>729.226947224515</v>
      </c>
      <c r="EE36" s="45">
        <v>710.2160952757297</v>
      </c>
      <c r="EF36" s="45">
        <v>710.3241169417373</v>
      </c>
      <c r="EG36" s="45">
        <v>658.645850178619</v>
      </c>
      <c r="EH36" s="45">
        <v>521.8606213134061</v>
      </c>
      <c r="EI36" s="45">
        <v>355.3866929928256</v>
      </c>
      <c r="EJ36" s="45">
        <v>0</v>
      </c>
      <c r="EK36" s="45">
        <v>-5.220063030719757e-12</v>
      </c>
      <c r="EL36" s="45">
        <v>-5.220063030719757e-12</v>
      </c>
      <c r="EM36" s="45">
        <v>-123.87340961984023</v>
      </c>
      <c r="EN36" s="45">
        <v>-787.0981112310167</v>
      </c>
      <c r="EO36" s="45">
        <v>-1996.1548598566778</v>
      </c>
      <c r="EP36" s="45">
        <v>-2723.9681381691425</v>
      </c>
      <c r="EQ36" s="45">
        <v>-3738.70687056946</v>
      </c>
      <c r="ER36" s="45">
        <v>-4416.481199735625</v>
      </c>
      <c r="ES36" s="45">
        <v>-5679.932957583232</v>
      </c>
      <c r="ET36" s="45">
        <v>-6009.823644415388</v>
      </c>
      <c r="EU36" s="45">
        <v>-6269.940677524256</v>
      </c>
      <c r="EV36" s="45">
        <v>-6486.072555095585</v>
      </c>
      <c r="EW36" s="45">
        <v>-6671.889250603272</v>
      </c>
      <c r="EX36" s="45">
        <v>-6834.56362711747</v>
      </c>
      <c r="EY36" s="45">
        <v>-6974.431282801745</v>
      </c>
      <c r="EZ36" s="45">
        <v>-7056.24246751559</v>
      </c>
      <c r="FA36" s="45">
        <v>-6993.684729213758</v>
      </c>
      <c r="FB36" s="45">
        <v>-6879.296337098099</v>
      </c>
      <c r="FC36" s="45">
        <v>-6769.179172734101</v>
      </c>
      <c r="FD36" s="45">
        <v>-6513.94720081459</v>
      </c>
      <c r="FE36" s="45">
        <v>-6268.759878799801</v>
      </c>
      <c r="FF36" s="45">
        <v>-5761.812439876744</v>
      </c>
      <c r="FG36" s="45">
        <v>-5273.181464450747</v>
      </c>
      <c r="FH36" s="45">
        <v>-4122.16900313871</v>
      </c>
      <c r="FI36" s="45">
        <v>-3164.390787527139</v>
      </c>
      <c r="FJ36" s="45">
        <v>-1181.914583054016</v>
      </c>
      <c r="FK36" s="45">
        <v>5.960464477539062e-14</v>
      </c>
      <c r="FL36" s="46">
        <f>MAX(1,MIN(26,SUMPRODUCT(--($CI36:$DI36&gt;=Pu))))</f>
      </c>
      <c r="FM36" s="47">
        <f>(Pu-INDEX($CI36:$DI36,1,$FL36))/(INDEX($CI36:$DI36,1,$FL36+1)-INDEX($CI36:$DI36,1,$FL36))</f>
      </c>
      <c r="FN36" s="39">
        <f>INDEX($DJ36:$EJ36,1,$FL36)+$FM36*(INDEX($DJ36:$EJ36,1,$FL36+1)-INDEX($DJ36:$EJ36,1,$FL36))</f>
      </c>
      <c r="FO36" s="39">
        <f>INDEX($EK36:$FK36,1,$FL36)+$FM36*(INDEX($EK36:$FK36,1,$FL36+1)-INDEX($EK36:$FK36,1,$FL36))</f>
      </c>
      <c r="FP36" s="39">
        <f>SQRT(FN36^2+FO36^2)</f>
      </c>
      <c r="FQ36" s="20">
        <f>FN37-FN36</f>
      </c>
      <c r="FR36" s="20">
        <f>FO37-FO36</f>
      </c>
      <c r="FS36" s="20">
        <f>FQ36*SIN(RADIANS(theta_L))-FR36*COS(RADIANS(theta_L))</f>
      </c>
      <c r="FT36" s="47">
        <f>IF(FS36=0,"",-(FN36*SIN(RADIANS(theta_L))-FO36*COS(RADIANS(theta_L)))/FS36)</f>
      </c>
      <c r="FU36" s="20">
        <f>IF(FT36="","",(FN36+FT36*FQ36)*COS(RADIANS(theta_L))+(FO36+FT36*FR36)*SIN(RADIANS(theta_L)))</f>
      </c>
      <c r="FV36" s="20">
        <f>IF(OR(FT36="",FT36&lt;0,FT36&gt;1,FU36&lt;0),"",FU36)</f>
      </c>
    </row>
    <row r="37" spans="1:178" x14ac:dyDescent="0.25">
      <c r="A37">
        <v>30</v>
      </c>
      <c r="B37" s="44">
        <v>290.00000000000006</v>
      </c>
      <c r="C37" s="18">
        <v>841.5775229196988</v>
      </c>
      <c r="D37" s="18">
        <v>-741.5970251321183</v>
      </c>
      <c r="E37" s="18">
        <v>1583.174548051817</v>
      </c>
      <c r="F37" s="16">
        <v>0.0033</v>
      </c>
      <c r="G37" s="16">
        <v>0</v>
      </c>
      <c r="H37" s="16">
        <v>0</v>
      </c>
      <c r="I37" s="16">
        <v>0.00275</v>
      </c>
      <c r="J37" s="16">
        <v>2.2352198544526363e-7</v>
      </c>
      <c r="K37" s="16">
        <v>-6.141216077625261e-7</v>
      </c>
      <c r="L37" s="16">
        <v>0.0024749999999999998</v>
      </c>
      <c r="M37" s="16">
        <v>3.3528297816789545e-7</v>
      </c>
      <c r="N37" s="16">
        <v>-9.211824116437892e-7</v>
      </c>
      <c r="O37" s="16">
        <v>0.0022</v>
      </c>
      <c r="P37" s="16">
        <v>4.4704397089052726e-7</v>
      </c>
      <c r="Q37" s="16">
        <v>-0.0000012282432155250521</v>
      </c>
      <c r="R37" s="16">
        <v>0.0019249999999999998</v>
      </c>
      <c r="S37" s="16">
        <v>5.588049636131591e-7</v>
      </c>
      <c r="T37" s="16">
        <v>-0.0000015353040194063152</v>
      </c>
      <c r="U37" s="16">
        <v>0.0018000000000000002</v>
      </c>
      <c r="V37" s="16">
        <v>6.09605414850719e-7</v>
      </c>
      <c r="W37" s="16">
        <v>-0.0000016748771120796165</v>
      </c>
      <c r="X37" s="16">
        <v>0.0016499999999999998</v>
      </c>
      <c r="Y37" s="16">
        <v>6.705659563357909e-7</v>
      </c>
      <c r="Z37" s="16">
        <v>-0.0000018423648232875784</v>
      </c>
      <c r="AA37" s="16">
        <v>0.0015457993472340053</v>
      </c>
      <c r="AB37" s="16">
        <v>7.129134777738775e-7</v>
      </c>
      <c r="AC37" s="16">
        <v>-0.0000019587136822085915</v>
      </c>
      <c r="AD37" s="16">
        <v>0.0012800113695421878</v>
      </c>
      <c r="AE37" s="16">
        <v>8.209306713759802e-7</v>
      </c>
      <c r="AF37" s="16">
        <v>-0.0000022554884825432266</v>
      </c>
      <c r="AG37" s="16">
        <v>0.0011471173806962792</v>
      </c>
      <c r="AH37" s="16">
        <v>8.749392681770315e-7</v>
      </c>
      <c r="AI37" s="16">
        <v>-0.000002403875882710544</v>
      </c>
      <c r="AJ37" s="16">
        <v>0.0010142233918503706</v>
      </c>
      <c r="AK37" s="16">
        <v>9.289478649780829e-7</v>
      </c>
      <c r="AL37" s="16">
        <v>-0.000002552263282877862</v>
      </c>
      <c r="AM37" s="16">
        <v>0.0008813294030044615</v>
      </c>
      <c r="AN37" s="16">
        <v>9.829564617791342e-7</v>
      </c>
      <c r="AO37" s="16">
        <v>-0.0000027006506830451796</v>
      </c>
      <c r="AP37" s="16">
        <v>0.0007484354141585529</v>
      </c>
      <c r="AQ37" s="16">
        <v>0.0000010369650585801857</v>
      </c>
      <c r="AR37" s="16">
        <v>-0.000002849038083212497</v>
      </c>
      <c r="AS37" s="16">
        <v>0.0006155414253126447</v>
      </c>
      <c r="AT37" s="16">
        <v>0.0000010909736553812367</v>
      </c>
      <c r="AU37" s="16">
        <v>-0.0000029974254833798143</v>
      </c>
      <c r="AV37" s="16">
        <v>0.0004826474364667357</v>
      </c>
      <c r="AW37" s="16">
        <v>0.000001144982252182288</v>
      </c>
      <c r="AX37" s="16">
        <v>-0.000003145812883547132</v>
      </c>
      <c r="AY37" s="16">
        <v>0.00021685945877491846</v>
      </c>
      <c r="AZ37" s="16">
        <v>0.0000012529994457843907</v>
      </c>
      <c r="BA37" s="16">
        <v>-0.000003442587683881767</v>
      </c>
      <c r="BB37" s="16">
        <v>-0.0000489285189168992</v>
      </c>
      <c r="BC37" s="16">
        <v>0.0000013610166393864934</v>
      </c>
      <c r="BD37" s="16">
        <v>-0.000003739362484216402</v>
      </c>
      <c r="BE37" s="16">
        <v>-0.00031471649660871643</v>
      </c>
      <c r="BF37" s="16">
        <v>0.0000014690338329885962</v>
      </c>
      <c r="BG37" s="16">
        <v>-0.000004036137284551038</v>
      </c>
      <c r="BH37" s="16">
        <v>-0.0005805044743005337</v>
      </c>
      <c r="BI37" s="16">
        <v>0.0000015770510265906987</v>
      </c>
      <c r="BJ37" s="16">
        <v>-0.000004332912084885672</v>
      </c>
      <c r="BK37" s="16">
        <v>-0.001112080429684169</v>
      </c>
      <c r="BL37" s="16">
        <v>0.0000017930854137949042</v>
      </c>
      <c r="BM37" s="16">
        <v>-0.000004926461685554943</v>
      </c>
      <c r="BN37" s="16">
        <v>-0.0016436563850678026</v>
      </c>
      <c r="BO37" s="16">
        <v>0.000002009119800999109</v>
      </c>
      <c r="BP37" s="16">
        <v>-0.000005520011286224212</v>
      </c>
      <c r="BQ37" s="16">
        <v>-0.0027068082958350732</v>
      </c>
      <c r="BR37" s="16">
        <v>0.00000244118857540752</v>
      </c>
      <c r="BS37" s="16">
        <v>-0.000006707110487562754</v>
      </c>
      <c r="BT37" s="16">
        <v>-0.003769960206602342</v>
      </c>
      <c r="BU37" s="16">
        <v>0.0000028732573498159306</v>
      </c>
      <c r="BV37" s="16">
        <v>-0.000007894209688901294</v>
      </c>
      <c r="BW37" s="16">
        <v>-0.006427839983520517</v>
      </c>
      <c r="BX37" s="16">
        <v>0.000003953429285836958</v>
      </c>
      <c r="BY37" s="16">
        <v>-0.000010861957692247645</v>
      </c>
      <c r="BZ37" s="16">
        <v>-0.00908571976043869</v>
      </c>
      <c r="CA37" s="16">
        <v>0.000005033601221857984</v>
      </c>
      <c r="CB37" s="16">
        <v>-0.000013829705695593996</v>
      </c>
      <c r="CC37" s="16">
        <v>-0.019717238868111383</v>
      </c>
      <c r="CD37" s="16">
        <v>0.000009354288965942089</v>
      </c>
      <c r="CE37" s="16">
        <v>-0.0000257006977089794</v>
      </c>
      <c r="CF37" s="16">
        <v>-0.05</v>
      </c>
      <c r="CG37" s="16">
        <v>0</v>
      </c>
      <c r="CH37" s="16">
        <v>0</v>
      </c>
      <c r="CI37" s="45">
        <v>33981.43387592912</v>
      </c>
      <c r="CJ37" s="45">
        <v>33981.43387592912</v>
      </c>
      <c r="CK37" s="45">
        <v>33836.34720381349</v>
      </c>
      <c r="CL37" s="45">
        <v>32825.4102704677</v>
      </c>
      <c r="CM37" s="45">
        <v>30736.236133313032</v>
      </c>
      <c r="CN37" s="45">
        <v>29379.9841350131</v>
      </c>
      <c r="CO37" s="45">
        <v>27414.13888366179</v>
      </c>
      <c r="CP37" s="45">
        <v>25849.965702989077</v>
      </c>
      <c r="CQ37" s="45">
        <v>22255.258970605515</v>
      </c>
      <c r="CR37" s="45">
        <v>20764.216011756274</v>
      </c>
      <c r="CS37" s="45">
        <v>19342.78910459185</v>
      </c>
      <c r="CT37" s="45">
        <v>17934.301994549136</v>
      </c>
      <c r="CU37" s="45">
        <v>16542.336066054748</v>
      </c>
      <c r="CV37" s="45">
        <v>15174.827373048613</v>
      </c>
      <c r="CW37" s="45">
        <v>13848.347403579408</v>
      </c>
      <c r="CX37" s="45">
        <v>11527.86094850163</v>
      </c>
      <c r="CY37" s="45">
        <v>9770.861366390971</v>
      </c>
      <c r="CZ37" s="45">
        <v>8448.900375157666</v>
      </c>
      <c r="DA37" s="45">
        <v>7424.590749444938</v>
      </c>
      <c r="DB37" s="45">
        <v>5858.998068095736</v>
      </c>
      <c r="DC37" s="45">
        <v>4735.554400534144</v>
      </c>
      <c r="DD37" s="45">
        <v>3041.59251263208</v>
      </c>
      <c r="DE37" s="45">
        <v>1689.8118979115677</v>
      </c>
      <c r="DF37" s="45">
        <v>-656.0205704562325</v>
      </c>
      <c r="DG37" s="45">
        <v>-2197.280810607383</v>
      </c>
      <c r="DH37" s="45">
        <v>-4679.7920068782505</v>
      </c>
      <c r="DI37" s="45">
        <v>-5790.583579096708</v>
      </c>
      <c r="DJ37" s="45">
        <v>6.55418261885643e-13</v>
      </c>
      <c r="DK37" s="45">
        <v>6.55418261885643e-13</v>
      </c>
      <c r="DL37" s="45">
        <v>27.197230856824927</v>
      </c>
      <c r="DM37" s="45">
        <v>198.5652251210284</v>
      </c>
      <c r="DN37" s="45">
        <v>507.0640089987721</v>
      </c>
      <c r="DO37" s="45">
        <v>693.2984891921449</v>
      </c>
      <c r="DP37" s="45">
        <v>953.4942933782283</v>
      </c>
      <c r="DQ37" s="45">
        <v>1138.5200755461062</v>
      </c>
      <c r="DR37" s="45">
        <v>1371.4967157297074</v>
      </c>
      <c r="DS37" s="45">
        <v>1437.0437568855405</v>
      </c>
      <c r="DT37" s="45">
        <v>1504.8665012384192</v>
      </c>
      <c r="DU37" s="45">
        <v>1570.5890027168798</v>
      </c>
      <c r="DV37" s="45">
        <v>1632.908549853394</v>
      </c>
      <c r="DW37" s="45">
        <v>1686.4088029736618</v>
      </c>
      <c r="DX37" s="45">
        <v>1726.5870008880786</v>
      </c>
      <c r="DY37" s="45">
        <v>1733.7449420772336</v>
      </c>
      <c r="DZ37" s="45">
        <v>1701.344635345096</v>
      </c>
      <c r="EA37" s="45">
        <v>1659.1996617877082</v>
      </c>
      <c r="EB37" s="45">
        <v>1604.3504170166998</v>
      </c>
      <c r="EC37" s="45">
        <v>1517.4231564349236</v>
      </c>
      <c r="ED37" s="45">
        <v>1468.5150174199043</v>
      </c>
      <c r="EE37" s="45">
        <v>1402.4912949672714</v>
      </c>
      <c r="EF37" s="45">
        <v>1329.239978299655</v>
      </c>
      <c r="EG37" s="45">
        <v>1063.4152307689567</v>
      </c>
      <c r="EH37" s="45">
        <v>844.1461296709217</v>
      </c>
      <c r="EI37" s="45">
        <v>344.7780635522069</v>
      </c>
      <c r="EJ37" s="45">
        <v>0</v>
      </c>
      <c r="EK37" s="45">
        <v>-5.220063030719757e-12</v>
      </c>
      <c r="EL37" s="45">
        <v>-5.220063030719757e-12</v>
      </c>
      <c r="EM37" s="45">
        <v>-94.33831253086547</v>
      </c>
      <c r="EN37" s="45">
        <v>-686.5198515967822</v>
      </c>
      <c r="EO37" s="45">
        <v>-1782.772633725408</v>
      </c>
      <c r="EP37" s="45">
        <v>-2445.235243575464</v>
      </c>
      <c r="EQ37" s="45">
        <v>-3374.8895702783325</v>
      </c>
      <c r="ER37" s="45">
        <v>-4071.975541574688</v>
      </c>
      <c r="ES37" s="45">
        <v>-5365.399240607431</v>
      </c>
      <c r="ET37" s="45">
        <v>-5730.399218213337</v>
      </c>
      <c r="EU37" s="45">
        <v>-6006.307723963136</v>
      </c>
      <c r="EV37" s="45">
        <v>-6227.457906667757</v>
      </c>
      <c r="EW37" s="45">
        <v>-6408.192053969584</v>
      </c>
      <c r="EX37" s="45">
        <v>-6558.322888880803</v>
      </c>
      <c r="EY37" s="45">
        <v>-6683.262958666145</v>
      </c>
      <c r="EZ37" s="45">
        <v>-6791.473338559455</v>
      </c>
      <c r="FA37" s="45">
        <v>-6731.645690458657</v>
      </c>
      <c r="FB37" s="45">
        <v>-6610.426194527998</v>
      </c>
      <c r="FC37" s="45">
        <v>-6467.64811677708</v>
      </c>
      <c r="FD37" s="45">
        <v>-6165.474269362703</v>
      </c>
      <c r="FE37" s="45">
        <v>-5830.219335674961</v>
      </c>
      <c r="FF37" s="45">
        <v>-5179.274442981983</v>
      </c>
      <c r="FG37" s="45">
        <v>-4552.343094454319</v>
      </c>
      <c r="FH37" s="45">
        <v>-3270.843022703111</v>
      </c>
      <c r="FI37" s="45">
        <v>-2341.049418476031</v>
      </c>
      <c r="FJ37" s="45">
        <v>-763.3765225666853</v>
      </c>
      <c r="FK37" s="45">
        <v>5.960464477539062e-14</v>
      </c>
      <c r="FL37" s="46">
        <f>MAX(1,MIN(26,SUMPRODUCT(--($CI37:$DI37&gt;=Pu))))</f>
      </c>
      <c r="FM37" s="47">
        <f>(Pu-INDEX($CI37:$DI37,1,$FL37))/(INDEX($CI37:$DI37,1,$FL37+1)-INDEX($CI37:$DI37,1,$FL37))</f>
      </c>
      <c r="FN37" s="39">
        <f>INDEX($DJ37:$EJ37,1,$FL37)+$FM37*(INDEX($DJ37:$EJ37,1,$FL37+1)-INDEX($DJ37:$EJ37,1,$FL37))</f>
      </c>
      <c r="FO37" s="39">
        <f>INDEX($EK37:$FK37,1,$FL37)+$FM37*(INDEX($EK37:$FK37,1,$FL37+1)-INDEX($EK37:$FK37,1,$FL37))</f>
      </c>
      <c r="FP37" s="39">
        <f>SQRT(FN37^2+FO37^2)</f>
      </c>
      <c r="FQ37" s="20">
        <f>FN38-FN37</f>
      </c>
      <c r="FR37" s="20">
        <f>FO38-FO37</f>
      </c>
      <c r="FS37" s="20">
        <f>FQ37*SIN(RADIANS(theta_L))-FR37*COS(RADIANS(theta_L))</f>
      </c>
      <c r="FT37" s="47">
        <f>IF(FS37=0,"",-(FN37*SIN(RADIANS(theta_L))-FO37*COS(RADIANS(theta_L)))/FS37)</f>
      </c>
      <c r="FU37" s="20">
        <f>IF(FT37="","",(FN37+FT37*FQ37)*COS(RADIANS(theta_L))+(FO37+FT37*FR37)*SIN(RADIANS(theta_L)))</f>
      </c>
      <c r="FV37" s="20">
        <f>IF(OR(FT37="",FT37&lt;0,FT37&gt;1,FU37&lt;0),"",FU37)</f>
      </c>
    </row>
    <row r="38" spans="1:178" x14ac:dyDescent="0.25">
      <c r="A38">
        <v>31</v>
      </c>
      <c r="B38" s="44">
        <v>299.99999999999994</v>
      </c>
      <c r="C38" s="18">
        <v>849.519052838329</v>
      </c>
      <c r="D38" s="18">
        <v>-738.8972745734184</v>
      </c>
      <c r="E38" s="18">
        <v>1588.4163274117473</v>
      </c>
      <c r="F38" s="16">
        <v>0.0033</v>
      </c>
      <c r="G38" s="16">
        <v>0</v>
      </c>
      <c r="H38" s="16">
        <v>0</v>
      </c>
      <c r="I38" s="16">
        <v>0.00275</v>
      </c>
      <c r="J38" s="16">
        <v>3.23712574875392e-7</v>
      </c>
      <c r="K38" s="16">
        <v>-5.606866267331243e-7</v>
      </c>
      <c r="L38" s="16">
        <v>0.0024749999999999998</v>
      </c>
      <c r="M38" s="16">
        <v>4.855688623130879e-7</v>
      </c>
      <c r="N38" s="16">
        <v>-8.410299400996864e-7</v>
      </c>
      <c r="O38" s="16">
        <v>0.0021999999999999997</v>
      </c>
      <c r="P38" s="16">
        <v>6.47425149750784e-7</v>
      </c>
      <c r="Q38" s="16">
        <v>-0.0000011213732534662487</v>
      </c>
      <c r="R38" s="16">
        <v>0.001925</v>
      </c>
      <c r="S38" s="16">
        <v>8.092814371884799e-7</v>
      </c>
      <c r="T38" s="16">
        <v>-0.0000014017165668328106</v>
      </c>
      <c r="U38" s="16">
        <v>0.0018000000000000002</v>
      </c>
      <c r="V38" s="16">
        <v>8.828524769328871e-7</v>
      </c>
      <c r="W38" s="16">
        <v>-0.0000015291453456357935</v>
      </c>
      <c r="X38" s="16">
        <v>0.00165</v>
      </c>
      <c r="Y38" s="16">
        <v>9.711377246261758e-7</v>
      </c>
      <c r="Z38" s="16">
        <v>-0.0000016820598801993728</v>
      </c>
      <c r="AA38" s="16">
        <v>0.0015350893616571414</v>
      </c>
      <c r="AB38" s="16">
        <v>0.000001038770485750797</v>
      </c>
      <c r="AC38" s="16">
        <v>-0.0000017992032587233863</v>
      </c>
      <c r="AD38" s="16">
        <v>0.0012676786588779205</v>
      </c>
      <c r="AE38" s="16">
        <v>0.0000011961599532887965</v>
      </c>
      <c r="AF38" s="16">
        <v>-0.0000020718098130754144</v>
      </c>
      <c r="AG38" s="16">
        <v>0.00113397330748831</v>
      </c>
      <c r="AH38" s="16">
        <v>0.0000012748546870577964</v>
      </c>
      <c r="AI38" s="16">
        <v>-0.0000022081130902514285</v>
      </c>
      <c r="AJ38" s="16">
        <v>0.0010002679560986998</v>
      </c>
      <c r="AK38" s="16">
        <v>0.000001353549420826796</v>
      </c>
      <c r="AL38" s="16">
        <v>-0.0000023444163674274426</v>
      </c>
      <c r="AM38" s="16">
        <v>0.0008665626047090888</v>
      </c>
      <c r="AN38" s="16">
        <v>0.000001432244154595796</v>
      </c>
      <c r="AO38" s="16">
        <v>-0.000002480719644603457</v>
      </c>
      <c r="AP38" s="16">
        <v>0.0007328572533194782</v>
      </c>
      <c r="AQ38" s="16">
        <v>0.0000015109388883647957</v>
      </c>
      <c r="AR38" s="16">
        <v>-0.000002617022921779471</v>
      </c>
      <c r="AS38" s="16">
        <v>0.0005991519019298681</v>
      </c>
      <c r="AT38" s="16">
        <v>0.0000015896336221337954</v>
      </c>
      <c r="AU38" s="16">
        <v>-0.000002753326198955485</v>
      </c>
      <c r="AV38" s="16">
        <v>0.0004654465505402575</v>
      </c>
      <c r="AW38" s="16">
        <v>0.0000016683283559027955</v>
      </c>
      <c r="AX38" s="16">
        <v>-0.0000028896294761314994</v>
      </c>
      <c r="AY38" s="16">
        <v>0.00019803584776103677</v>
      </c>
      <c r="AZ38" s="16">
        <v>0.0000018257178234407948</v>
      </c>
      <c r="BA38" s="16">
        <v>-0.000003162236030483527</v>
      </c>
      <c r="BB38" s="16">
        <v>-0.00006937485501818438</v>
      </c>
      <c r="BC38" s="16">
        <v>0.0000019831072909787945</v>
      </c>
      <c r="BD38" s="16">
        <v>-0.0000034348425848355557</v>
      </c>
      <c r="BE38" s="16">
        <v>-0.0003367855577974055</v>
      </c>
      <c r="BF38" s="16">
        <v>0.000002140496758516794</v>
      </c>
      <c r="BG38" s="16">
        <v>-0.000003707449139187584</v>
      </c>
      <c r="BH38" s="16">
        <v>-0.0006041962605766262</v>
      </c>
      <c r="BI38" s="16">
        <v>0.0000022978862260547936</v>
      </c>
      <c r="BJ38" s="16">
        <v>-0.000003980055693539612</v>
      </c>
      <c r="BK38" s="16">
        <v>-0.001139017666135068</v>
      </c>
      <c r="BL38" s="16">
        <v>0.0000026126651611307926</v>
      </c>
      <c r="BM38" s="16">
        <v>-0.000004525268802243668</v>
      </c>
      <c r="BN38" s="16">
        <v>-0.0016738390716935104</v>
      </c>
      <c r="BO38" s="16">
        <v>0.0000029274440962067917</v>
      </c>
      <c r="BP38" s="16">
        <v>-0.000005070481910947725</v>
      </c>
      <c r="BQ38" s="16">
        <v>-0.002743481882810394</v>
      </c>
      <c r="BR38" s="16">
        <v>0.00000355700196635879</v>
      </c>
      <c r="BS38" s="16">
        <v>-0.000006160908128355838</v>
      </c>
      <c r="BT38" s="16">
        <v>-0.003813124693927277</v>
      </c>
      <c r="BU38" s="16">
        <v>0.000004186559836510787</v>
      </c>
      <c r="BV38" s="16">
        <v>-0.00000725133434576395</v>
      </c>
      <c r="BW38" s="16">
        <v>-0.006487231721719488</v>
      </c>
      <c r="BX38" s="16">
        <v>0.000005760454511890784</v>
      </c>
      <c r="BY38" s="16">
        <v>-0.000009977399889284232</v>
      </c>
      <c r="BZ38" s="16">
        <v>-0.009161338749511697</v>
      </c>
      <c r="CA38" s="16">
        <v>0.0000073343491872707795</v>
      </c>
      <c r="CB38" s="16">
        <v>-0.000012703465432804516</v>
      </c>
      <c r="CC38" s="16">
        <v>-0.019857766860680536</v>
      </c>
      <c r="CD38" s="16">
        <v>0.00001362992788879076</v>
      </c>
      <c r="CE38" s="16">
        <v>-0.000023607727606885644</v>
      </c>
      <c r="CF38" s="16">
        <v>-0.05</v>
      </c>
      <c r="CG38" s="16">
        <v>0</v>
      </c>
      <c r="CH38" s="16">
        <v>0</v>
      </c>
      <c r="CI38" s="45">
        <v>33981.43387592912</v>
      </c>
      <c r="CJ38" s="45">
        <v>33981.43387592912</v>
      </c>
      <c r="CK38" s="45">
        <v>33858.007691238</v>
      </c>
      <c r="CL38" s="45">
        <v>32881.288631107825</v>
      </c>
      <c r="CM38" s="45">
        <v>30862.421595068266</v>
      </c>
      <c r="CN38" s="45">
        <v>29545.973522179953</v>
      </c>
      <c r="CO38" s="45">
        <v>27609.646126597647</v>
      </c>
      <c r="CP38" s="45">
        <v>25940.565024424173</v>
      </c>
      <c r="CQ38" s="45">
        <v>22364.83567873184</v>
      </c>
      <c r="CR38" s="45">
        <v>20781.484566336898</v>
      </c>
      <c r="CS38" s="45">
        <v>19281.800206949567</v>
      </c>
      <c r="CT38" s="45">
        <v>17833.159412692734</v>
      </c>
      <c r="CU38" s="45">
        <v>16419.000326638445</v>
      </c>
      <c r="CV38" s="45">
        <v>15049.976577519887</v>
      </c>
      <c r="CW38" s="45">
        <v>13727.087588801574</v>
      </c>
      <c r="CX38" s="45">
        <v>11428.344938291923</v>
      </c>
      <c r="CY38" s="45">
        <v>9631.205783494568</v>
      </c>
      <c r="CZ38" s="45">
        <v>8259.660669197508</v>
      </c>
      <c r="DA38" s="45">
        <v>7166.95775524246</v>
      </c>
      <c r="DB38" s="45">
        <v>5509.142614880212</v>
      </c>
      <c r="DC38" s="45">
        <v>4246.931336080596</v>
      </c>
      <c r="DD38" s="45">
        <v>2369.6762024574596</v>
      </c>
      <c r="DE38" s="45">
        <v>1060.1510534396841</v>
      </c>
      <c r="DF38" s="45">
        <v>-1199.298485457603</v>
      </c>
      <c r="DG38" s="45">
        <v>-2640.393582378684</v>
      </c>
      <c r="DH38" s="45">
        <v>-4788.691937566217</v>
      </c>
      <c r="DI38" s="45">
        <v>-5790.583579096708</v>
      </c>
      <c r="DJ38" s="45">
        <v>6.55418261885643e-13</v>
      </c>
      <c r="DK38" s="45">
        <v>6.55418261885643e-13</v>
      </c>
      <c r="DL38" s="45">
        <v>35.78993769333926</v>
      </c>
      <c r="DM38" s="45">
        <v>269.4715319757384</v>
      </c>
      <c r="DN38" s="45">
        <v>712.7728686862918</v>
      </c>
      <c r="DO38" s="45">
        <v>981.7421893986568</v>
      </c>
      <c r="DP38" s="45">
        <v>1356.4041276599244</v>
      </c>
      <c r="DQ38" s="45">
        <v>1654.9197939384558</v>
      </c>
      <c r="DR38" s="45">
        <v>2065.8286065571087</v>
      </c>
      <c r="DS38" s="45">
        <v>2183.409259997914</v>
      </c>
      <c r="DT38" s="45">
        <v>2293.975500930307</v>
      </c>
      <c r="DU38" s="45">
        <v>2397.1030812011218</v>
      </c>
      <c r="DV38" s="45">
        <v>2487.166812670945</v>
      </c>
      <c r="DW38" s="45">
        <v>2560.5050751798876</v>
      </c>
      <c r="DX38" s="45">
        <v>2613.584010436705</v>
      </c>
      <c r="DY38" s="45">
        <v>2637.5878302889846</v>
      </c>
      <c r="DZ38" s="45">
        <v>2567.5351373556055</v>
      </c>
      <c r="EA38" s="45">
        <v>2490.9277531059784</v>
      </c>
      <c r="EB38" s="45">
        <v>2425.138576641114</v>
      </c>
      <c r="EC38" s="45">
        <v>2293.2420179113938</v>
      </c>
      <c r="ED38" s="45">
        <v>2174.5176929695513</v>
      </c>
      <c r="EE38" s="45">
        <v>1970.343320471158</v>
      </c>
      <c r="EF38" s="45">
        <v>1771.5712298579285</v>
      </c>
      <c r="EG38" s="45">
        <v>1356.0627149829575</v>
      </c>
      <c r="EH38" s="45">
        <v>1028.9629814941873</v>
      </c>
      <c r="EI38" s="45">
        <v>372.9016243661399</v>
      </c>
      <c r="EJ38" s="45">
        <v>0</v>
      </c>
      <c r="EK38" s="45">
        <v>-5.220063030719757e-12</v>
      </c>
      <c r="EL38" s="45">
        <v>-5.220063030719757e-12</v>
      </c>
      <c r="EM38" s="45">
        <v>-76.68548999725094</v>
      </c>
      <c r="EN38" s="45">
        <v>-617.9457995770372</v>
      </c>
      <c r="EO38" s="45">
        <v>-1613.8473929752597</v>
      </c>
      <c r="EP38" s="45">
        <v>-2216.72783251965</v>
      </c>
      <c r="EQ38" s="45">
        <v>-3062.641695673251</v>
      </c>
      <c r="ER38" s="45">
        <v>-3756.794434783477</v>
      </c>
      <c r="ES38" s="45">
        <v>-4955.701326593931</v>
      </c>
      <c r="ET38" s="45">
        <v>-5339.169645936741</v>
      </c>
      <c r="EU38" s="45">
        <v>-5622.890260630531</v>
      </c>
      <c r="EV38" s="45">
        <v>-5840.831933259902</v>
      </c>
      <c r="EW38" s="45">
        <v>-6015.969140119922</v>
      </c>
      <c r="EX38" s="45">
        <v>-6156.286506221502</v>
      </c>
      <c r="EY38" s="45">
        <v>-6260.693797500239</v>
      </c>
      <c r="EZ38" s="45">
        <v>-6340.007846619667</v>
      </c>
      <c r="FA38" s="45">
        <v>-6293.298541190808</v>
      </c>
      <c r="FB38" s="45">
        <v>-6161.666806496793</v>
      </c>
      <c r="FC38" s="45">
        <v>-5982.682049405886</v>
      </c>
      <c r="FD38" s="45">
        <v>-5626.263820187032</v>
      </c>
      <c r="FE38" s="45">
        <v>-5275.503952494114</v>
      </c>
      <c r="FF38" s="45">
        <v>-4562.370296682682</v>
      </c>
      <c r="FG38" s="45">
        <v>-3950.6237242289503</v>
      </c>
      <c r="FH38" s="45">
        <v>-2780.2292427286616</v>
      </c>
      <c r="FI38" s="45">
        <v>-1965.5419212283307</v>
      </c>
      <c r="FJ38" s="45">
        <v>-671.9598767808169</v>
      </c>
      <c r="FK38" s="45">
        <v>5.960464477539062e-14</v>
      </c>
      <c r="FL38" s="46">
        <f>MAX(1,MIN(26,SUMPRODUCT(--($CI38:$DI38&gt;=Pu))))</f>
      </c>
      <c r="FM38" s="47">
        <f>(Pu-INDEX($CI38:$DI38,1,$FL38))/(INDEX($CI38:$DI38,1,$FL38+1)-INDEX($CI38:$DI38,1,$FL38))</f>
      </c>
      <c r="FN38" s="39">
        <f>INDEX($DJ38:$EJ38,1,$FL38)+$FM38*(INDEX($DJ38:$EJ38,1,$FL38+1)-INDEX($DJ38:$EJ38,1,$FL38))</f>
      </c>
      <c r="FO38" s="39">
        <f>INDEX($EK38:$FK38,1,$FL38)+$FM38*(INDEX($EK38:$FK38,1,$FL38+1)-INDEX($EK38:$FK38,1,$FL38))</f>
      </c>
      <c r="FP38" s="39">
        <f>SQRT(FN38^2+FO38^2)</f>
      </c>
      <c r="FQ38" s="20">
        <f>FN39-FN38</f>
      </c>
      <c r="FR38" s="20">
        <f>FO39-FO38</f>
      </c>
      <c r="FS38" s="20">
        <f>FQ38*SIN(RADIANS(theta_L))-FR38*COS(RADIANS(theta_L))</f>
      </c>
      <c r="FT38" s="47">
        <f>IF(FS38=0,"",-(FN38*SIN(RADIANS(theta_L))-FO38*COS(RADIANS(theta_L)))/FS38)</f>
      </c>
      <c r="FU38" s="20">
        <f>IF(FT38="","",(FN38+FT38*FQ38)*COS(RADIANS(theta_L))+(FO38+FT38*FR38)*SIN(RADIANS(theta_L)))</f>
      </c>
      <c r="FV38" s="20">
        <f>IF(OR(FT38="",FT38&lt;0,FT38&gt;1,FU38&lt;0),"",FU38)</f>
      </c>
    </row>
    <row r="39" spans="1:178" x14ac:dyDescent="0.25">
      <c r="A39">
        <v>32</v>
      </c>
      <c r="B39" s="44">
        <v>310</v>
      </c>
      <c r="C39" s="18">
        <v>831.6483762138492</v>
      </c>
      <c r="D39" s="18">
        <v>-713.7465042268669</v>
      </c>
      <c r="E39" s="18">
        <v>1545.3948804407162</v>
      </c>
      <c r="F39" s="16">
        <v>0.0033</v>
      </c>
      <c r="G39" s="16">
        <v>0</v>
      </c>
      <c r="H39" s="16">
        <v>0</v>
      </c>
      <c r="I39" s="16">
        <v>0.00275</v>
      </c>
      <c r="J39" s="16">
        <v>4.250993514074864e-7</v>
      </c>
      <c r="K39" s="16">
        <v>-5.066136792493406e-7</v>
      </c>
      <c r="L39" s="16">
        <v>0.0024749999999999998</v>
      </c>
      <c r="M39" s="16">
        <v>6.376490271112297e-7</v>
      </c>
      <c r="N39" s="16">
        <v>-7.59920518874011e-7</v>
      </c>
      <c r="O39" s="16">
        <v>0.0021999999999999997</v>
      </c>
      <c r="P39" s="16">
        <v>8.501987028149728e-7</v>
      </c>
      <c r="Q39" s="16">
        <v>-0.0000010132273584986811</v>
      </c>
      <c r="R39" s="16">
        <v>0.0019249999999999998</v>
      </c>
      <c r="S39" s="16">
        <v>0.0000010627483785187164</v>
      </c>
      <c r="T39" s="16">
        <v>-0.0000012665341981233517</v>
      </c>
      <c r="U39" s="16">
        <v>0.0018000000000000002</v>
      </c>
      <c r="V39" s="16">
        <v>0.0000011593618674749628</v>
      </c>
      <c r="W39" s="16">
        <v>-0.0000013816736706800197</v>
      </c>
      <c r="X39" s="16">
        <v>0.0016499999999999998</v>
      </c>
      <c r="Y39" s="16">
        <v>0.0000012752980542224595</v>
      </c>
      <c r="Z39" s="16">
        <v>-0.000001519841037748022</v>
      </c>
      <c r="AA39" s="16">
        <v>0.0015241175532281805</v>
      </c>
      <c r="AB39" s="16">
        <v>0.0000013725935932702555</v>
      </c>
      <c r="AC39" s="16">
        <v>-0.000001635793345951623</v>
      </c>
      <c r="AD39" s="16">
        <v>0.0012550444552324501</v>
      </c>
      <c r="AE39" s="16">
        <v>0.0000015805623195233246</v>
      </c>
      <c r="AF39" s="16">
        <v>-0.0000018836408226109601</v>
      </c>
      <c r="AG39" s="16">
        <v>0.0011205079062345854</v>
      </c>
      <c r="AH39" s="16">
        <v>0.000001684546682649859</v>
      </c>
      <c r="AI39" s="16">
        <v>-0.0000020075645609406282</v>
      </c>
      <c r="AJ39" s="16">
        <v>0.0009859713572367202</v>
      </c>
      <c r="AK39" s="16">
        <v>0.0000017885310457763933</v>
      </c>
      <c r="AL39" s="16">
        <v>-0.0000021314882992702965</v>
      </c>
      <c r="AM39" s="16">
        <v>0.0008514348082388546</v>
      </c>
      <c r="AN39" s="16">
        <v>0.000001892515408902928</v>
      </c>
      <c r="AO39" s="16">
        <v>-0.0000022554120375999653</v>
      </c>
      <c r="AP39" s="16">
        <v>0.0007168982592409895</v>
      </c>
      <c r="AQ39" s="16">
        <v>0.0000019964997720294626</v>
      </c>
      <c r="AR39" s="16">
        <v>-0.000002379335775929634</v>
      </c>
      <c r="AS39" s="16">
        <v>0.0005823617102431247</v>
      </c>
      <c r="AT39" s="16">
        <v>0.000002100484135155997</v>
      </c>
      <c r="AU39" s="16">
        <v>-0.000002503259514259302</v>
      </c>
      <c r="AV39" s="16">
        <v>0.00044782516124525955</v>
      </c>
      <c r="AW39" s="16">
        <v>0.0000022044684982825318</v>
      </c>
      <c r="AX39" s="16">
        <v>-0.0000026271832525889706</v>
      </c>
      <c r="AY39" s="16">
        <v>0.00017875206324952965</v>
      </c>
      <c r="AZ39" s="16">
        <v>0.0000024124372245356004</v>
      </c>
      <c r="BA39" s="16">
        <v>-0.0000028750307292483073</v>
      </c>
      <c r="BB39" s="16">
        <v>-0.00009032103474620069</v>
      </c>
      <c r="BC39" s="16">
        <v>0.0000026204059507886695</v>
      </c>
      <c r="BD39" s="16">
        <v>-0.0000031228782059076443</v>
      </c>
      <c r="BE39" s="16">
        <v>-0.00035939413274193146</v>
      </c>
      <c r="BF39" s="16">
        <v>0.000002828374677041739</v>
      </c>
      <c r="BG39" s="16">
        <v>-0.0000033707256825669814</v>
      </c>
      <c r="BH39" s="16">
        <v>-0.0006284672307376614</v>
      </c>
      <c r="BI39" s="16">
        <v>0.0000030363434032948078</v>
      </c>
      <c r="BJ39" s="16">
        <v>-0.0000036185731592263184</v>
      </c>
      <c r="BK39" s="16">
        <v>-0.001166613426729122</v>
      </c>
      <c r="BL39" s="16">
        <v>0.0000034522808558009455</v>
      </c>
      <c r="BM39" s="16">
        <v>-0.000004114268112544991</v>
      </c>
      <c r="BN39" s="16">
        <v>-0.0017047596227205818</v>
      </c>
      <c r="BO39" s="16">
        <v>0.000003868218308307083</v>
      </c>
      <c r="BP39" s="16">
        <v>-0.0000046099630658636645</v>
      </c>
      <c r="BQ39" s="16">
        <v>-0.002781052014703504</v>
      </c>
      <c r="BR39" s="16">
        <v>0.00000470009321331936</v>
      </c>
      <c r="BS39" s="16">
        <v>-0.0000056013529725010136</v>
      </c>
      <c r="BT39" s="16">
        <v>-0.0038573444066864237</v>
      </c>
      <c r="BU39" s="16">
        <v>0.000005531968118331636</v>
      </c>
      <c r="BV39" s="16">
        <v>-0.00000659274287913836</v>
      </c>
      <c r="BW39" s="16">
        <v>-0.006548075386643727</v>
      </c>
      <c r="BX39" s="16">
        <v>0.000007611655380862326</v>
      </c>
      <c r="BY39" s="16">
        <v>-0.000009071217645731729</v>
      </c>
      <c r="BZ39" s="16">
        <v>-0.00923880636660103</v>
      </c>
      <c r="CA39" s="16">
        <v>0.000009691342643393016</v>
      </c>
      <c r="CB39" s="16">
        <v>-0.000011549692412325099</v>
      </c>
      <c r="CC39" s="16">
        <v>-0.020001730286430236</v>
      </c>
      <c r="CD39" s="16">
        <v>0.000018010091693515775</v>
      </c>
      <c r="CE39" s="16">
        <v>-0.00002146359147869857</v>
      </c>
      <c r="CF39" s="16">
        <v>-0.05</v>
      </c>
      <c r="CG39" s="16">
        <v>0</v>
      </c>
      <c r="CH39" s="16">
        <v>0</v>
      </c>
      <c r="CI39" s="45">
        <v>33981.43387592912</v>
      </c>
      <c r="CJ39" s="45">
        <v>33981.43387592912</v>
      </c>
      <c r="CK39" s="45">
        <v>33861.11626287166</v>
      </c>
      <c r="CL39" s="45">
        <v>32881.807256194574</v>
      </c>
      <c r="CM39" s="45">
        <v>30855.01008662239</v>
      </c>
      <c r="CN39" s="45">
        <v>29533.919997718614</v>
      </c>
      <c r="CO39" s="45">
        <v>27619.542601452675</v>
      </c>
      <c r="CP39" s="45">
        <v>25829.19277848814</v>
      </c>
      <c r="CQ39" s="45">
        <v>22308.550548809486</v>
      </c>
      <c r="CR39" s="45">
        <v>20696.121167803478</v>
      </c>
      <c r="CS39" s="45">
        <v>19128.70866609775</v>
      </c>
      <c r="CT39" s="45">
        <v>17629.189028603705</v>
      </c>
      <c r="CU39" s="45">
        <v>16201.570444687197</v>
      </c>
      <c r="CV39" s="45">
        <v>14847.615453117944</v>
      </c>
      <c r="CW39" s="45">
        <v>13573.807692831137</v>
      </c>
      <c r="CX39" s="45">
        <v>11391.786563807193</v>
      </c>
      <c r="CY39" s="45">
        <v>9622.46236241001</v>
      </c>
      <c r="CZ39" s="45">
        <v>8192.387071394378</v>
      </c>
      <c r="DA39" s="45">
        <v>7045.0792408549305</v>
      </c>
      <c r="DB39" s="45">
        <v>5322.370119797343</v>
      </c>
      <c r="DC39" s="45">
        <v>4001.458226606567</v>
      </c>
      <c r="DD39" s="45">
        <v>2164.1209384482486</v>
      </c>
      <c r="DE39" s="45">
        <v>840.1859279349255</v>
      </c>
      <c r="DF39" s="45">
        <v>-1334.1381867471878</v>
      </c>
      <c r="DG39" s="45">
        <v>-2665.790808216634</v>
      </c>
      <c r="DH39" s="45">
        <v>-4674.0928609835555</v>
      </c>
      <c r="DI39" s="45">
        <v>-5790.583579096708</v>
      </c>
      <c r="DJ39" s="45">
        <v>6.55418261885643e-13</v>
      </c>
      <c r="DK39" s="45">
        <v>6.55418261885643e-13</v>
      </c>
      <c r="DL39" s="45">
        <v>43.471097405415954</v>
      </c>
      <c r="DM39" s="45">
        <v>338.26164895741545</v>
      </c>
      <c r="DN39" s="45">
        <v>920.2998168655603</v>
      </c>
      <c r="DO39" s="45">
        <v>1269.5594478860917</v>
      </c>
      <c r="DP39" s="45">
        <v>1760.1995789699358</v>
      </c>
      <c r="DQ39" s="45">
        <v>2172.8932238867155</v>
      </c>
      <c r="DR39" s="45">
        <v>2766.591755650274</v>
      </c>
      <c r="DS39" s="45">
        <v>2970.527067580899</v>
      </c>
      <c r="DT39" s="45">
        <v>3140.4222742383636</v>
      </c>
      <c r="DU39" s="45">
        <v>3286.2914238078138</v>
      </c>
      <c r="DV39" s="45">
        <v>3408.2026607852454</v>
      </c>
      <c r="DW39" s="45">
        <v>3502.3622154308555</v>
      </c>
      <c r="DX39" s="45">
        <v>3568.675549717335</v>
      </c>
      <c r="DY39" s="45">
        <v>3576.3218698139235</v>
      </c>
      <c r="DZ39" s="45">
        <v>3490.947813980756</v>
      </c>
      <c r="EA39" s="45">
        <v>3364.131119164527</v>
      </c>
      <c r="EB39" s="45">
        <v>3239.9420327955704</v>
      </c>
      <c r="EC39" s="45">
        <v>3028.072925478798</v>
      </c>
      <c r="ED39" s="45">
        <v>2828.930879559684</v>
      </c>
      <c r="EE39" s="45">
        <v>2451.331249890314</v>
      </c>
      <c r="EF39" s="45">
        <v>2146.7398807995805</v>
      </c>
      <c r="EG39" s="45">
        <v>1611.6788117020412</v>
      </c>
      <c r="EH39" s="45">
        <v>1201.3710280962757</v>
      </c>
      <c r="EI39" s="45">
        <v>458.5307647140031</v>
      </c>
      <c r="EJ39" s="45">
        <v>0</v>
      </c>
      <c r="EK39" s="45">
        <v>-5.220063030719757e-12</v>
      </c>
      <c r="EL39" s="45">
        <v>-5.220063030719757e-12</v>
      </c>
      <c r="EM39" s="45">
        <v>-70.03855680527934</v>
      </c>
      <c r="EN39" s="45">
        <v>-568.354274200481</v>
      </c>
      <c r="EO39" s="45">
        <v>-1467.8033516920855</v>
      </c>
      <c r="EP39" s="45">
        <v>-2015.1878309555311</v>
      </c>
      <c r="EQ39" s="45">
        <v>-2783.808282512887</v>
      </c>
      <c r="ER39" s="45">
        <v>-3452.0407620162114</v>
      </c>
      <c r="ES39" s="45">
        <v>-4479.592525287218</v>
      </c>
      <c r="ET39" s="45">
        <v>-4822.119995438223</v>
      </c>
      <c r="EU39" s="45">
        <v>-5081.368747432395</v>
      </c>
      <c r="EV39" s="45">
        <v>-5274.529595208532</v>
      </c>
      <c r="EW39" s="45">
        <v>-5418.724198993898</v>
      </c>
      <c r="EX39" s="45">
        <v>-5530.733938330594</v>
      </c>
      <c r="EY39" s="45">
        <v>-5620.863442378044</v>
      </c>
      <c r="EZ39" s="45">
        <v>-5685.180248416022</v>
      </c>
      <c r="FA39" s="45">
        <v>-5644.4400900927985</v>
      </c>
      <c r="FB39" s="45">
        <v>-5533.660948824503</v>
      </c>
      <c r="FC39" s="45">
        <v>-5382.248222878504</v>
      </c>
      <c r="FD39" s="45">
        <v>-5021.567021436726</v>
      </c>
      <c r="FE39" s="45">
        <v>-4665.919365693891</v>
      </c>
      <c r="FF39" s="45">
        <v>-4070.666526542295</v>
      </c>
      <c r="FG39" s="45">
        <v>-3549.665642750025</v>
      </c>
      <c r="FH39" s="45">
        <v>-2528.337528554965</v>
      </c>
      <c r="FI39" s="45">
        <v>-1841.5912465449146</v>
      </c>
      <c r="FJ39" s="45">
        <v>-714.7148825196319</v>
      </c>
      <c r="FK39" s="45">
        <v>5.960464477539062e-14</v>
      </c>
      <c r="FL39" s="46">
        <f>MAX(1,MIN(26,SUMPRODUCT(--($CI39:$DI39&gt;=Pu))))</f>
      </c>
      <c r="FM39" s="47">
        <f>(Pu-INDEX($CI39:$DI39,1,$FL39))/(INDEX($CI39:$DI39,1,$FL39+1)-INDEX($CI39:$DI39,1,$FL39))</f>
      </c>
      <c r="FN39" s="39">
        <f>INDEX($DJ39:$EJ39,1,$FL39)+$FM39*(INDEX($DJ39:$EJ39,1,$FL39+1)-INDEX($DJ39:$EJ39,1,$FL39))</f>
      </c>
      <c r="FO39" s="39">
        <f>INDEX($EK39:$FK39,1,$FL39)+$FM39*(INDEX($EK39:$FK39,1,$FL39+1)-INDEX($EK39:$FK39,1,$FL39))</f>
      </c>
      <c r="FP39" s="39">
        <f>SQRT(FN39^2+FO39^2)</f>
      </c>
      <c r="FQ39" s="20">
        <f>FN40-FN39</f>
      </c>
      <c r="FR39" s="20">
        <f>FO40-FO39</f>
      </c>
      <c r="FS39" s="20">
        <f>FQ39*SIN(RADIANS(theta_L))-FR39*COS(RADIANS(theta_L))</f>
      </c>
      <c r="FT39" s="47">
        <f>IF(FS39=0,"",-(FN39*SIN(RADIANS(theta_L))-FO39*COS(RADIANS(theta_L)))/FS39)</f>
      </c>
      <c r="FU39" s="20">
        <f>IF(FT39="","",(FN39+FT39*FQ39)*COS(RADIANS(theta_L))+(FO39+FT39*FR39)*SIN(RADIANS(theta_L)))</f>
      </c>
      <c r="FV39" s="20">
        <f>IF(OR(FT39="",FT39&lt;0,FT39&gt;1,FU39&lt;0),"",FU39)</f>
      </c>
    </row>
    <row r="40" spans="1:178" x14ac:dyDescent="0.25">
      <c r="A40">
        <v>33</v>
      </c>
      <c r="B40" s="44">
        <v>320</v>
      </c>
      <c r="C40" s="18">
        <v>813.1598511989835</v>
      </c>
      <c r="D40" s="18">
        <v>-666.9089075225402</v>
      </c>
      <c r="E40" s="18">
        <v>1480.0687587215236</v>
      </c>
      <c r="F40" s="16">
        <v>0.0033</v>
      </c>
      <c r="G40" s="16">
        <v>0</v>
      </c>
      <c r="H40" s="16">
        <v>0</v>
      </c>
      <c r="I40" s="16">
        <v>0.00275</v>
      </c>
      <c r="J40" s="16">
        <v>5.181323734739309e-7</v>
      </c>
      <c r="K40" s="16">
        <v>-4.347646834829844e-7</v>
      </c>
      <c r="L40" s="16">
        <v>0.002475</v>
      </c>
      <c r="M40" s="16">
        <v>7.771985602108963e-7</v>
      </c>
      <c r="N40" s="16">
        <v>-6.521470252244766e-7</v>
      </c>
      <c r="O40" s="16">
        <v>0.0022</v>
      </c>
      <c r="P40" s="16">
        <v>0.0000010362647469478618</v>
      </c>
      <c r="Q40" s="16">
        <v>-8.695293669659688e-7</v>
      </c>
      <c r="R40" s="16">
        <v>0.0019249999999999998</v>
      </c>
      <c r="S40" s="16">
        <v>0.0000012953309336848274</v>
      </c>
      <c r="T40" s="16">
        <v>-0.0000010869117087074612</v>
      </c>
      <c r="U40" s="16">
        <v>0.0018</v>
      </c>
      <c r="V40" s="16">
        <v>0.0000014130882912925388</v>
      </c>
      <c r="W40" s="16">
        <v>-0.000001185721864044503</v>
      </c>
      <c r="X40" s="16">
        <v>0.0016500000000000002</v>
      </c>
      <c r="Y40" s="16">
        <v>0.0000015543971204217926</v>
      </c>
      <c r="Z40" s="16">
        <v>-0.0000013042940504489533</v>
      </c>
      <c r="AA40" s="16">
        <v>0.0014869575361656999</v>
      </c>
      <c r="AB40" s="16">
        <v>0.0000017079927181736172</v>
      </c>
      <c r="AC40" s="16">
        <v>-0.0000014331760598729633</v>
      </c>
      <c r="AD40" s="16">
        <v>0.0012122541325544425</v>
      </c>
      <c r="AE40" s="16">
        <v>0.000001966779493654468</v>
      </c>
      <c r="AF40" s="16">
        <v>-0.000001650323947732503</v>
      </c>
      <c r="AG40" s="16">
        <v>0.0010749024307488138</v>
      </c>
      <c r="AH40" s="16">
        <v>0.0000020961728813948937</v>
      </c>
      <c r="AI40" s="16">
        <v>-0.000001758897891662273</v>
      </c>
      <c r="AJ40" s="16">
        <v>0.0009375507289431846</v>
      </c>
      <c r="AK40" s="16">
        <v>0.0000022255662691353193</v>
      </c>
      <c r="AL40" s="16">
        <v>-0.000001867471835592043</v>
      </c>
      <c r="AM40" s="16">
        <v>0.0008001990271375558</v>
      </c>
      <c r="AN40" s="16">
        <v>0.000002354959656875745</v>
      </c>
      <c r="AO40" s="16">
        <v>-0.000001976045779521813</v>
      </c>
      <c r="AP40" s="16">
        <v>0.000662847325331927</v>
      </c>
      <c r="AQ40" s="16">
        <v>0.0000024843530446161705</v>
      </c>
      <c r="AR40" s="16">
        <v>-0.000002084619723451583</v>
      </c>
      <c r="AS40" s="16">
        <v>0.0005254956235262987</v>
      </c>
      <c r="AT40" s="16">
        <v>0.0000026137464323565957</v>
      </c>
      <c r="AU40" s="16">
        <v>-0.0000021931936673813525</v>
      </c>
      <c r="AV40" s="16">
        <v>0.0003881439217206695</v>
      </c>
      <c r="AW40" s="16">
        <v>0.0000027431398200970213</v>
      </c>
      <c r="AX40" s="16">
        <v>-0.0000023017676113111225</v>
      </c>
      <c r="AY40" s="16">
        <v>0.00011344051810941239</v>
      </c>
      <c r="AZ40" s="16">
        <v>0.000003001926595577872</v>
      </c>
      <c r="BA40" s="16">
        <v>-0.000002518915499170662</v>
      </c>
      <c r="BB40" s="16">
        <v>-0.00016126288550184558</v>
      </c>
      <c r="BC40" s="16">
        <v>0.000003260713371058724</v>
      </c>
      <c r="BD40" s="16">
        <v>-0.0000027360633870302024</v>
      </c>
      <c r="BE40" s="16">
        <v>-0.00043596628911310355</v>
      </c>
      <c r="BF40" s="16">
        <v>0.000003519500146539575</v>
      </c>
      <c r="BG40" s="16">
        <v>-0.0000029532112748897424</v>
      </c>
      <c r="BH40" s="16">
        <v>-0.0007106696927243611</v>
      </c>
      <c r="BI40" s="16">
        <v>0.0000037782869220204263</v>
      </c>
      <c r="BJ40" s="16">
        <v>-0.0000031703591627492824</v>
      </c>
      <c r="BK40" s="16">
        <v>-0.0012600764999468762</v>
      </c>
      <c r="BL40" s="16">
        <v>0.0000042958604729821275</v>
      </c>
      <c r="BM40" s="16">
        <v>-0.0000036046549384683616</v>
      </c>
      <c r="BN40" s="16">
        <v>-0.0018094833071693904</v>
      </c>
      <c r="BO40" s="16">
        <v>0.00000481343402394383</v>
      </c>
      <c r="BP40" s="16">
        <v>-0.000004038950714187441</v>
      </c>
      <c r="BQ40" s="16">
        <v>-0.0029082969216144222</v>
      </c>
      <c r="BR40" s="16">
        <v>0.000005848581125867235</v>
      </c>
      <c r="BS40" s="16">
        <v>-0.000004907542265625602</v>
      </c>
      <c r="BT40" s="16">
        <v>-0.0040071105360594515</v>
      </c>
      <c r="BU40" s="16">
        <v>0.000006883728227790639</v>
      </c>
      <c r="BV40" s="16">
        <v>-0.00000577613381706376</v>
      </c>
      <c r="BW40" s="16">
        <v>-0.006754144572172028</v>
      </c>
      <c r="BX40" s="16">
        <v>0.00000947159598259915</v>
      </c>
      <c r="BY40" s="16">
        <v>-0.00000794761269565916</v>
      </c>
      <c r="BZ40" s="16">
        <v>-0.009501178608284602</v>
      </c>
      <c r="CA40" s="16">
        <v>0.00001205946373740766</v>
      </c>
      <c r="CB40" s="16">
        <v>-0.000010119091574254558</v>
      </c>
      <c r="CC40" s="16">
        <v>-0.020489314752734907</v>
      </c>
      <c r="CD40" s="16">
        <v>0.000022410934756641703</v>
      </c>
      <c r="CE40" s="16">
        <v>-0.000018805007088636153</v>
      </c>
      <c r="CF40" s="16">
        <v>-0.05</v>
      </c>
      <c r="CG40" s="16">
        <v>0</v>
      </c>
      <c r="CH40" s="16">
        <v>0</v>
      </c>
      <c r="CI40" s="45">
        <v>33981.43387592912</v>
      </c>
      <c r="CJ40" s="45">
        <v>33981.43387592912</v>
      </c>
      <c r="CK40" s="45">
        <v>33863.39916557486</v>
      </c>
      <c r="CL40" s="45">
        <v>32899.229260763255</v>
      </c>
      <c r="CM40" s="45">
        <v>30842.138248618754</v>
      </c>
      <c r="CN40" s="45">
        <v>29535.776099623625</v>
      </c>
      <c r="CO40" s="45">
        <v>27634.199470908487</v>
      </c>
      <c r="CP40" s="45">
        <v>25331.59559040491</v>
      </c>
      <c r="CQ40" s="45">
        <v>21763.12230511045</v>
      </c>
      <c r="CR40" s="45">
        <v>20100.341842191938</v>
      </c>
      <c r="CS40" s="45">
        <v>18511.809642488537</v>
      </c>
      <c r="CT40" s="45">
        <v>17003.925454128897</v>
      </c>
      <c r="CU40" s="45">
        <v>15597.531255315664</v>
      </c>
      <c r="CV40" s="45">
        <v>14297.416362065467</v>
      </c>
      <c r="CW40" s="45">
        <v>13101.90726769063</v>
      </c>
      <c r="CX40" s="45">
        <v>11114.317069989778</v>
      </c>
      <c r="CY40" s="45">
        <v>9462.555050280009</v>
      </c>
      <c r="CZ40" s="45">
        <v>8046.6660568621555</v>
      </c>
      <c r="DA40" s="45">
        <v>6843.48384694221</v>
      </c>
      <c r="DB40" s="45">
        <v>5046.40251907861</v>
      </c>
      <c r="DC40" s="45">
        <v>3784.9764659287107</v>
      </c>
      <c r="DD40" s="45">
        <v>1896.3969658781853</v>
      </c>
      <c r="DE40" s="45">
        <v>541.5421235183859</v>
      </c>
      <c r="DF40" s="45">
        <v>-1611.9890552315605</v>
      </c>
      <c r="DG40" s="45">
        <v>-2851.617464280563</v>
      </c>
      <c r="DH40" s="45">
        <v>-4742.744757041798</v>
      </c>
      <c r="DI40" s="45">
        <v>-5790.583579096708</v>
      </c>
      <c r="DJ40" s="45">
        <v>6.55418261885643e-13</v>
      </c>
      <c r="DK40" s="45">
        <v>6.55418261885643e-13</v>
      </c>
      <c r="DL40" s="45">
        <v>48.95874266178892</v>
      </c>
      <c r="DM40" s="45">
        <v>398.07487279518773</v>
      </c>
      <c r="DN40" s="45">
        <v>1088.2677156214008</v>
      </c>
      <c r="DO40" s="45">
        <v>1510.5365828051215</v>
      </c>
      <c r="DP40" s="45">
        <v>2101.5484153383936</v>
      </c>
      <c r="DQ40" s="45">
        <v>2749.4377430247</v>
      </c>
      <c r="DR40" s="45">
        <v>3531.9462036915074</v>
      </c>
      <c r="DS40" s="45">
        <v>3818.478991956254</v>
      </c>
      <c r="DT40" s="45">
        <v>4054.3652893221397</v>
      </c>
      <c r="DU40" s="45">
        <v>4242.558651032698</v>
      </c>
      <c r="DV40" s="45">
        <v>4383.047112486704</v>
      </c>
      <c r="DW40" s="45">
        <v>4474.443861485649</v>
      </c>
      <c r="DX40" s="45">
        <v>4527.5702413239305</v>
      </c>
      <c r="DY40" s="45">
        <v>4493.2159985541775</v>
      </c>
      <c r="DZ40" s="45">
        <v>4363.961838431345</v>
      </c>
      <c r="EA40" s="45">
        <v>4190.230533072649</v>
      </c>
      <c r="EB40" s="45">
        <v>4004.820852739973</v>
      </c>
      <c r="EC40" s="45">
        <v>3649.3323807650886</v>
      </c>
      <c r="ED40" s="45">
        <v>3331.5561443328193</v>
      </c>
      <c r="EE40" s="45">
        <v>2822.7521058181446</v>
      </c>
      <c r="EF40" s="45">
        <v>2452.6782394515067</v>
      </c>
      <c r="EG40" s="45">
        <v>1735.3055891511349</v>
      </c>
      <c r="EH40" s="45">
        <v>1270.1874421876926</v>
      </c>
      <c r="EI40" s="45">
        <v>482.53332144063205</v>
      </c>
      <c r="EJ40" s="45">
        <v>0</v>
      </c>
      <c r="EK40" s="45">
        <v>-5.220063030719757e-12</v>
      </c>
      <c r="EL40" s="45">
        <v>-5.220063030719757e-12</v>
      </c>
      <c r="EM40" s="45">
        <v>-61.95350704428935</v>
      </c>
      <c r="EN40" s="45">
        <v>-493.72973406857903</v>
      </c>
      <c r="EO40" s="45">
        <v>-1280.8256893341627</v>
      </c>
      <c r="EP40" s="45">
        <v>-1753.735600841936</v>
      </c>
      <c r="EQ40" s="45">
        <v>-2419.2790081983444</v>
      </c>
      <c r="ER40" s="45">
        <v>-3138.405405880925</v>
      </c>
      <c r="ES40" s="45">
        <v>-3909.48779226513</v>
      </c>
      <c r="ET40" s="45">
        <v>-4157.3567308621805</v>
      </c>
      <c r="EU40" s="45">
        <v>-4343.592536609753</v>
      </c>
      <c r="EV40" s="45">
        <v>-4477.854362264873</v>
      </c>
      <c r="EW40" s="45">
        <v>-4579.253995022448</v>
      </c>
      <c r="EX40" s="45">
        <v>-4661.844624959833</v>
      </c>
      <c r="EY40" s="45">
        <v>-4734.991685216318</v>
      </c>
      <c r="EZ40" s="45">
        <v>-4780.965550095365</v>
      </c>
      <c r="FA40" s="45">
        <v>-4759.240788072535</v>
      </c>
      <c r="FB40" s="45">
        <v>-4691.156555134668</v>
      </c>
      <c r="FC40" s="45">
        <v>-4569.711264782977</v>
      </c>
      <c r="FD40" s="45">
        <v>-4283.560100000381</v>
      </c>
      <c r="FE40" s="45">
        <v>-4005.1082956951145</v>
      </c>
      <c r="FF40" s="45">
        <v>-3509.892327751328</v>
      </c>
      <c r="FG40" s="45">
        <v>-3054.1999012564775</v>
      </c>
      <c r="FH40" s="45">
        <v>-2185.5975663635454</v>
      </c>
      <c r="FI40" s="45">
        <v>-1599.6964030779804</v>
      </c>
      <c r="FJ40" s="45">
        <v>-615.2396010268598</v>
      </c>
      <c r="FK40" s="45">
        <v>5.960464477539062e-14</v>
      </c>
      <c r="FL40" s="46">
        <f>MAX(1,MIN(26,SUMPRODUCT(--($CI40:$DI40&gt;=Pu))))</f>
      </c>
      <c r="FM40" s="47">
        <f>(Pu-INDEX($CI40:$DI40,1,$FL40))/(INDEX($CI40:$DI40,1,$FL40+1)-INDEX($CI40:$DI40,1,$FL40))</f>
      </c>
      <c r="FN40" s="39">
        <f>INDEX($DJ40:$EJ40,1,$FL40)+$FM40*(INDEX($DJ40:$EJ40,1,$FL40+1)-INDEX($DJ40:$EJ40,1,$FL40))</f>
      </c>
      <c r="FO40" s="39">
        <f>INDEX($EK40:$FK40,1,$FL40)+$FM40*(INDEX($EK40:$FK40,1,$FL40+1)-INDEX($EK40:$FK40,1,$FL40))</f>
      </c>
      <c r="FP40" s="39">
        <f>SQRT(FN40^2+FO40^2)</f>
      </c>
      <c r="FQ40" s="20">
        <f>FN41-FN40</f>
      </c>
      <c r="FR40" s="20">
        <f>FO41-FO40</f>
      </c>
      <c r="FS40" s="20">
        <f>FQ40*SIN(RADIANS(theta_L))-FR40*COS(RADIANS(theta_L))</f>
      </c>
      <c r="FT40" s="47">
        <f>IF(FS40=0,"",-(FN40*SIN(RADIANS(theta_L))-FO40*COS(RADIANS(theta_L)))/FS40)</f>
      </c>
      <c r="FU40" s="20">
        <f>IF(FT40="","",(FN40+FT40*FQ40)*COS(RADIANS(theta_L))+(FO40+FT40*FR40)*SIN(RADIANS(theta_L)))</f>
      </c>
      <c r="FV40" s="20">
        <f>IF(OR(FT40="",FT40&lt;0,FT40&gt;1,FU40&lt;0),"",FU40)</f>
      </c>
    </row>
    <row r="41" spans="1:178" x14ac:dyDescent="0.25">
      <c r="A41">
        <v>34</v>
      </c>
      <c r="B41" s="44">
        <v>330.00000000000006</v>
      </c>
      <c r="C41" s="18">
        <v>794.6152422706632</v>
      </c>
      <c r="D41" s="18">
        <v>-658.9934640057525</v>
      </c>
      <c r="E41" s="18">
        <v>1453.6087062764157</v>
      </c>
      <c r="F41" s="16">
        <v>0.0033</v>
      </c>
      <c r="G41" s="16">
        <v>0</v>
      </c>
      <c r="H41" s="16">
        <v>0</v>
      </c>
      <c r="I41" s="16">
        <v>0.00275</v>
      </c>
      <c r="J41" s="16">
        <v>5.994271777625912e-7</v>
      </c>
      <c r="K41" s="16">
        <v>-3.460794424408094e-7</v>
      </c>
      <c r="L41" s="16">
        <v>0.0024749999999999998</v>
      </c>
      <c r="M41" s="16">
        <v>8.991407666438869e-7</v>
      </c>
      <c r="N41" s="16">
        <v>-5.191191636612141e-7</v>
      </c>
      <c r="O41" s="16">
        <v>0.0022</v>
      </c>
      <c r="P41" s="16">
        <v>0.0000011988543555251824</v>
      </c>
      <c r="Q41" s="16">
        <v>-6.921588848816188e-7</v>
      </c>
      <c r="R41" s="16">
        <v>0.001925</v>
      </c>
      <c r="S41" s="16">
        <v>0.000001498567944406478</v>
      </c>
      <c r="T41" s="16">
        <v>-8.651986061020235e-7</v>
      </c>
      <c r="U41" s="16">
        <v>0.0018000000000000002</v>
      </c>
      <c r="V41" s="16">
        <v>0.000001634801393897976</v>
      </c>
      <c r="W41" s="16">
        <v>-9.43853024838571e-7</v>
      </c>
      <c r="X41" s="16">
        <v>0.00165</v>
      </c>
      <c r="Y41" s="16">
        <v>0.0000017982815332877738</v>
      </c>
      <c r="Z41" s="16">
        <v>-0.0000010382383273224283</v>
      </c>
      <c r="AA41" s="16">
        <v>0.0014960549024157057</v>
      </c>
      <c r="AB41" s="16">
        <v>0.0000019660613066974835</v>
      </c>
      <c r="AC41" s="16">
        <v>-0.0000011351060246650983</v>
      </c>
      <c r="AD41" s="16">
        <v>0.0012227298876302064</v>
      </c>
      <c r="AE41" s="16">
        <v>0.0000022639493834698294</v>
      </c>
      <c r="AF41" s="16">
        <v>-0.0000013070917859779922</v>
      </c>
      <c r="AG41" s="16">
        <v>0.001086067380237457</v>
      </c>
      <c r="AH41" s="16">
        <v>0.000002412893421856002</v>
      </c>
      <c r="AI41" s="16">
        <v>-0.000001393084666634439</v>
      </c>
      <c r="AJ41" s="16">
        <v>0.0009494048728447071</v>
      </c>
      <c r="AK41" s="16">
        <v>0.0000025618374602421753</v>
      </c>
      <c r="AL41" s="16">
        <v>-0.0000014790775472908859</v>
      </c>
      <c r="AM41" s="16">
        <v>0.0008127423654519577</v>
      </c>
      <c r="AN41" s="16">
        <v>0.0000027107814986283485</v>
      </c>
      <c r="AO41" s="16">
        <v>-0.0000015650704279473327</v>
      </c>
      <c r="AP41" s="16">
        <v>0.0006760798580592079</v>
      </c>
      <c r="AQ41" s="16">
        <v>0.0000028597255370145216</v>
      </c>
      <c r="AR41" s="16">
        <v>-0.0000016510633086037797</v>
      </c>
      <c r="AS41" s="16">
        <v>0.0005394173506664589</v>
      </c>
      <c r="AT41" s="16">
        <v>0.000003008669575400694</v>
      </c>
      <c r="AU41" s="16">
        <v>-0.0000017370561892602264</v>
      </c>
      <c r="AV41" s="16">
        <v>0.00040275484327370907</v>
      </c>
      <c r="AW41" s="16">
        <v>0.000003157613613786867</v>
      </c>
      <c r="AX41" s="16">
        <v>-0.0000018230490699166732</v>
      </c>
      <c r="AY41" s="16">
        <v>0.00012942982848821024</v>
      </c>
      <c r="AZ41" s="16">
        <v>0.000003455501690559213</v>
      </c>
      <c r="BA41" s="16">
        <v>-0.000001995034831229567</v>
      </c>
      <c r="BB41" s="16">
        <v>-0.00014389518629728945</v>
      </c>
      <c r="BC41" s="16">
        <v>0.0000037533897673315594</v>
      </c>
      <c r="BD41" s="16">
        <v>-0.000002167020592542461</v>
      </c>
      <c r="BE41" s="16">
        <v>-0.0004172202010827887</v>
      </c>
      <c r="BF41" s="16">
        <v>0.000004051277844103905</v>
      </c>
      <c r="BG41" s="16">
        <v>-0.0000023390063538553542</v>
      </c>
      <c r="BH41" s="16">
        <v>-0.0006905452158682875</v>
      </c>
      <c r="BI41" s="16">
        <v>0.000004349165920876251</v>
      </c>
      <c r="BJ41" s="16">
        <v>-0.000002510992115168248</v>
      </c>
      <c r="BK41" s="16">
        <v>-0.001237195245439286</v>
      </c>
      <c r="BL41" s="16">
        <v>0.000004944942074420943</v>
      </c>
      <c r="BM41" s="16">
        <v>-0.0000028549636377940357</v>
      </c>
      <c r="BN41" s="16">
        <v>-0.0017838452750102837</v>
      </c>
      <c r="BO41" s="16">
        <v>0.000005540718227965635</v>
      </c>
      <c r="BP41" s="16">
        <v>-0.0000031989351604198226</v>
      </c>
      <c r="BQ41" s="16">
        <v>-0.0028771453341522807</v>
      </c>
      <c r="BR41" s="16">
        <v>0.000006732270535055019</v>
      </c>
      <c r="BS41" s="16">
        <v>-0.000003886878205671398</v>
      </c>
      <c r="BT41" s="16">
        <v>-0.003970445393294277</v>
      </c>
      <c r="BU41" s="16">
        <v>0.000007923822842144402</v>
      </c>
      <c r="BV41" s="16">
        <v>-0.000004574821250922972</v>
      </c>
      <c r="BW41" s="16">
        <v>-0.006703695541149268</v>
      </c>
      <c r="BX41" s="16">
        <v>0.000010902703609867862</v>
      </c>
      <c r="BY41" s="16">
        <v>-0.000006294678864051909</v>
      </c>
      <c r="BZ41" s="16">
        <v>-0.009436945689004262</v>
      </c>
      <c r="CA41" s="16">
        <v>0.000013881584377591322</v>
      </c>
      <c r="CB41" s="16">
        <v>-0.000008014536477180847</v>
      </c>
      <c r="CC41" s="16">
        <v>-0.020369946280424225</v>
      </c>
      <c r="CD41" s="16">
        <v>0.000025797107448485158</v>
      </c>
      <c r="CE41" s="16">
        <v>-0.000014893966929696594</v>
      </c>
      <c r="CF41" s="16">
        <v>-0.05</v>
      </c>
      <c r="CG41" s="16">
        <v>0</v>
      </c>
      <c r="CH41" s="16">
        <v>0</v>
      </c>
      <c r="CI41" s="45">
        <v>33981.43387592912</v>
      </c>
      <c r="CJ41" s="45">
        <v>33981.43387592912</v>
      </c>
      <c r="CK41" s="45">
        <v>33876.031355448366</v>
      </c>
      <c r="CL41" s="45">
        <v>32906.01017364879</v>
      </c>
      <c r="CM41" s="45">
        <v>30851.919282869218</v>
      </c>
      <c r="CN41" s="45">
        <v>29530.368669951364</v>
      </c>
      <c r="CO41" s="45">
        <v>27606.29182834962</v>
      </c>
      <c r="CP41" s="45">
        <v>25381.091793473508</v>
      </c>
      <c r="CQ41" s="45">
        <v>21708.014888095622</v>
      </c>
      <c r="CR41" s="45">
        <v>20028.856901347426</v>
      </c>
      <c r="CS41" s="45">
        <v>18459.43266837633</v>
      </c>
      <c r="CT41" s="45">
        <v>17009.40345199579</v>
      </c>
      <c r="CU41" s="45">
        <v>15697.549819149835</v>
      </c>
      <c r="CV41" s="45">
        <v>14510.15417895921</v>
      </c>
      <c r="CW41" s="45">
        <v>13398.360174703597</v>
      </c>
      <c r="CX41" s="45">
        <v>11482.272302138887</v>
      </c>
      <c r="CY41" s="45">
        <v>9856.233004162146</v>
      </c>
      <c r="CZ41" s="45">
        <v>8505.515550852304</v>
      </c>
      <c r="DA41" s="45">
        <v>7313.559394457703</v>
      </c>
      <c r="DB41" s="45">
        <v>5443.634353254709</v>
      </c>
      <c r="DC41" s="45">
        <v>3997.4630745937443</v>
      </c>
      <c r="DD41" s="45">
        <v>1948.2656288286419</v>
      </c>
      <c r="DE41" s="45">
        <v>510.4116643759729</v>
      </c>
      <c r="DF41" s="45">
        <v>-1810.583265463571</v>
      </c>
      <c r="DG41" s="45">
        <v>-3142.764424623504</v>
      </c>
      <c r="DH41" s="45">
        <v>-5041.423983406865</v>
      </c>
      <c r="DI41" s="45">
        <v>-5790.583579096708</v>
      </c>
      <c r="DJ41" s="45">
        <v>6.55418261885643e-13</v>
      </c>
      <c r="DK41" s="45">
        <v>6.55418261885643e-13</v>
      </c>
      <c r="DL41" s="45">
        <v>48.82713843739282</v>
      </c>
      <c r="DM41" s="45">
        <v>451.6155111144447</v>
      </c>
      <c r="DN41" s="45">
        <v>1225.0725364398352</v>
      </c>
      <c r="DO41" s="45">
        <v>1702.448852784374</v>
      </c>
      <c r="DP41" s="45">
        <v>2381.689061196726</v>
      </c>
      <c r="DQ41" s="45">
        <v>3126.9328268338236</v>
      </c>
      <c r="DR41" s="45">
        <v>4145.241642415056</v>
      </c>
      <c r="DS41" s="45">
        <v>4521.877258530331</v>
      </c>
      <c r="DT41" s="45">
        <v>4823.92249910161</v>
      </c>
      <c r="DU41" s="45">
        <v>5045.597745637783</v>
      </c>
      <c r="DV41" s="45">
        <v>5194.349753502199</v>
      </c>
      <c r="DW41" s="45">
        <v>5287.446762186264</v>
      </c>
      <c r="DX41" s="45">
        <v>5345.51860924454</v>
      </c>
      <c r="DY41" s="45">
        <v>5332.405781407123</v>
      </c>
      <c r="DZ41" s="45">
        <v>5210.828498784743</v>
      </c>
      <c r="EA41" s="45">
        <v>5022.723728656769</v>
      </c>
      <c r="EB41" s="45">
        <v>4796.099720561125</v>
      </c>
      <c r="EC41" s="45">
        <v>4296.013810333422</v>
      </c>
      <c r="ED41" s="45">
        <v>3874.856017487694</v>
      </c>
      <c r="EE41" s="45">
        <v>3245.8622164735375</v>
      </c>
      <c r="EF41" s="45">
        <v>2732.0356568630677</v>
      </c>
      <c r="EG41" s="45">
        <v>1812.9207353365773</v>
      </c>
      <c r="EH41" s="45">
        <v>1251.3561331522035</v>
      </c>
      <c r="EI41" s="45">
        <v>391.2390804906461</v>
      </c>
      <c r="EJ41" s="45">
        <v>0</v>
      </c>
      <c r="EK41" s="45">
        <v>-5.220063030719757e-12</v>
      </c>
      <c r="EL41" s="45">
        <v>-5.220063030719757e-12</v>
      </c>
      <c r="EM41" s="45">
        <v>-49.00897828459445</v>
      </c>
      <c r="EN41" s="45">
        <v>-395.30423681634954</v>
      </c>
      <c r="EO41" s="45">
        <v>-1044.9453218525268</v>
      </c>
      <c r="EP41" s="45">
        <v>-1429.38745766985</v>
      </c>
      <c r="EQ41" s="45">
        <v>-1956.4283592695217</v>
      </c>
      <c r="ER41" s="45">
        <v>-2508.578263704938</v>
      </c>
      <c r="ES41" s="45">
        <v>-3072.176158346998</v>
      </c>
      <c r="ET41" s="45">
        <v>-3217.3768555057195</v>
      </c>
      <c r="EU41" s="45">
        <v>-3317.9653296761953</v>
      </c>
      <c r="EV41" s="45">
        <v>-3398.132967413442</v>
      </c>
      <c r="EW41" s="45">
        <v>-3475.6414972391362</v>
      </c>
      <c r="EX41" s="45">
        <v>-3553.6743240287697</v>
      </c>
      <c r="EY41" s="45">
        <v>-3624.5755958886098</v>
      </c>
      <c r="EZ41" s="45">
        <v>-3683.1511373757494</v>
      </c>
      <c r="FA41" s="45">
        <v>-3694.968216280413</v>
      </c>
      <c r="FB41" s="45">
        <v>-3660.1670537064524</v>
      </c>
      <c r="FC41" s="45">
        <v>-3632.6139086551398</v>
      </c>
      <c r="FD41" s="45">
        <v>-3538.4099581076616</v>
      </c>
      <c r="FE41" s="45">
        <v>-3370.2383446802182</v>
      </c>
      <c r="FF41" s="45">
        <v>-2926.1545485100287</v>
      </c>
      <c r="FG41" s="45">
        <v>-2575.7523362428715</v>
      </c>
      <c r="FH41" s="45">
        <v>-1852.1643985580515</v>
      </c>
      <c r="FI41" s="45">
        <v>-1315.4073381259468</v>
      </c>
      <c r="FJ41" s="45">
        <v>-390.6361079849347</v>
      </c>
      <c r="FK41" s="45">
        <v>5.960464477539062e-14</v>
      </c>
      <c r="FL41" s="46">
        <f>MAX(1,MIN(26,SUMPRODUCT(--($CI41:$DI41&gt;=Pu))))</f>
      </c>
      <c r="FM41" s="47">
        <f>(Pu-INDEX($CI41:$DI41,1,$FL41))/(INDEX($CI41:$DI41,1,$FL41+1)-INDEX($CI41:$DI41,1,$FL41))</f>
      </c>
      <c r="FN41" s="39">
        <f>INDEX($DJ41:$EJ41,1,$FL41)+$FM41*(INDEX($DJ41:$EJ41,1,$FL41+1)-INDEX($DJ41:$EJ41,1,$FL41))</f>
      </c>
      <c r="FO41" s="39">
        <f>INDEX($EK41:$FK41,1,$FL41)+$FM41*(INDEX($EK41:$FK41,1,$FL41+1)-INDEX($EK41:$FK41,1,$FL41))</f>
      </c>
      <c r="FP41" s="39">
        <f>SQRT(FN41^2+FO41^2)</f>
      </c>
      <c r="FQ41" s="20">
        <f>FN42-FN41</f>
      </c>
      <c r="FR41" s="20">
        <f>FO42-FO41</f>
      </c>
      <c r="FS41" s="20">
        <f>FQ41*SIN(RADIANS(theta_L))-FR41*COS(RADIANS(theta_L))</f>
      </c>
      <c r="FT41" s="47">
        <f>IF(FS41=0,"",-(FN41*SIN(RADIANS(theta_L))-FO41*COS(RADIANS(theta_L)))/FS41)</f>
      </c>
      <c r="FU41" s="20">
        <f>IF(FT41="","",(FN41+FT41*FQ41)*COS(RADIANS(theta_L))+(FO41+FT41*FR41)*SIN(RADIANS(theta_L)))</f>
      </c>
      <c r="FV41" s="20">
        <f>IF(OR(FT41="",FT41&lt;0,FT41&gt;1,FU41&lt;0),"",FU41)</f>
      </c>
    </row>
    <row r="42" spans="1:178" x14ac:dyDescent="0.25">
      <c r="A42">
        <v>35</v>
      </c>
      <c r="B42" s="44">
        <v>340</v>
      </c>
      <c r="C42" s="18">
        <v>751.9266513006628</v>
      </c>
      <c r="D42" s="18">
        <v>-634.8451463467989</v>
      </c>
      <c r="E42" s="18">
        <v>1386.7717976474617</v>
      </c>
      <c r="F42" s="16">
        <v>0.0033</v>
      </c>
      <c r="G42" s="16">
        <v>0</v>
      </c>
      <c r="H42" s="16">
        <v>0</v>
      </c>
      <c r="I42" s="16">
        <v>0.00275</v>
      </c>
      <c r="J42" s="16">
        <v>6.873422301739792e-7</v>
      </c>
      <c r="K42" s="16">
        <v>-2.5017211253747714e-7</v>
      </c>
      <c r="L42" s="16">
        <v>0.0024749999999999998</v>
      </c>
      <c r="M42" s="16">
        <v>0.000001031013345260969</v>
      </c>
      <c r="N42" s="16">
        <v>-3.7525816880621566e-7</v>
      </c>
      <c r="O42" s="16">
        <v>0.0021999999999999997</v>
      </c>
      <c r="P42" s="16">
        <v>0.0000013746844603479585</v>
      </c>
      <c r="Q42" s="16">
        <v>-5.003442250749543e-7</v>
      </c>
      <c r="R42" s="16">
        <v>0.0019249999999999998</v>
      </c>
      <c r="S42" s="16">
        <v>0.0000017183555754349485</v>
      </c>
      <c r="T42" s="16">
        <v>-6.254302813436929e-7</v>
      </c>
      <c r="U42" s="16">
        <v>0.0018000000000000002</v>
      </c>
      <c r="V42" s="16">
        <v>0.000001874569718656307</v>
      </c>
      <c r="W42" s="16">
        <v>-6.822875796476649e-7</v>
      </c>
      <c r="X42" s="16">
        <v>0.00165</v>
      </c>
      <c r="Y42" s="16">
        <v>0.000002062026690521938</v>
      </c>
      <c r="Z42" s="16">
        <v>-7.505163376124313e-7</v>
      </c>
      <c r="AA42" s="16">
        <v>0.0015106948284486343</v>
      </c>
      <c r="AB42" s="16">
        <v>0.000002236118194683546</v>
      </c>
      <c r="AC42" s="16">
        <v>-8.138804631658874e-7</v>
      </c>
      <c r="AD42" s="16">
        <v>0.0012395879842741846</v>
      </c>
      <c r="AE42" s="16">
        <v>0.0000025749239817568106</v>
      </c>
      <c r="AF42" s="16">
        <v>-9.371956848576885e-7</v>
      </c>
      <c r="AG42" s="16">
        <v>0.0011040345621869604</v>
      </c>
      <c r="AH42" s="16">
        <v>0.0000027443268752934426</v>
      </c>
      <c r="AI42" s="16">
        <v>-9.98853295703589e-7</v>
      </c>
      <c r="AJ42" s="16">
        <v>0.0009684811400997358</v>
      </c>
      <c r="AK42" s="16">
        <v>0.000002913729768830075</v>
      </c>
      <c r="AL42" s="16">
        <v>-0.0000010605109065494896</v>
      </c>
      <c r="AM42" s="16">
        <v>0.0008329277180125108</v>
      </c>
      <c r="AN42" s="16">
        <v>0.0000030831326623667075</v>
      </c>
      <c r="AO42" s="16">
        <v>-0.0000011221685173953902</v>
      </c>
      <c r="AP42" s="16">
        <v>0.0006973742959252857</v>
      </c>
      <c r="AQ42" s="16">
        <v>0.0000032525355559033404</v>
      </c>
      <c r="AR42" s="16">
        <v>-0.000001183826128241291</v>
      </c>
      <c r="AS42" s="16">
        <v>0.0005618208738380616</v>
      </c>
      <c r="AT42" s="16">
        <v>0.0000034219384494399716</v>
      </c>
      <c r="AU42" s="16">
        <v>-0.0000012454837390871912</v>
      </c>
      <c r="AV42" s="16">
        <v>0.00042626745175083653</v>
      </c>
      <c r="AW42" s="16">
        <v>0.0000035913413429766045</v>
      </c>
      <c r="AX42" s="16">
        <v>-0.000001307141349933092</v>
      </c>
      <c r="AY42" s="16">
        <v>0.00015516060757638775</v>
      </c>
      <c r="AZ42" s="16">
        <v>0.000003930147130049869</v>
      </c>
      <c r="BA42" s="16">
        <v>-0.0000014304565716248929</v>
      </c>
      <c r="BB42" s="16">
        <v>-0.0001159462365980619</v>
      </c>
      <c r="BC42" s="16">
        <v>0.0000042689529171231335</v>
      </c>
      <c r="BD42" s="16">
        <v>-0.000001553771793316694</v>
      </c>
      <c r="BE42" s="16">
        <v>-0.00038705308077251156</v>
      </c>
      <c r="BF42" s="16">
        <v>0.0000046077587041963984</v>
      </c>
      <c r="BG42" s="16">
        <v>-0.0000016770870150084953</v>
      </c>
      <c r="BH42" s="16">
        <v>-0.0006581599249469612</v>
      </c>
      <c r="BI42" s="16">
        <v>0.0000049465644912696625</v>
      </c>
      <c r="BJ42" s="16">
        <v>-0.0000018004022367002966</v>
      </c>
      <c r="BK42" s="16">
        <v>-0.0012003736132958596</v>
      </c>
      <c r="BL42" s="16">
        <v>0.0000056241760654161915</v>
      </c>
      <c r="BM42" s="16">
        <v>-0.0000020470326800838986</v>
      </c>
      <c r="BN42" s="16">
        <v>-0.001742587301644758</v>
      </c>
      <c r="BO42" s="16">
        <v>0.0000063017876395627205</v>
      </c>
      <c r="BP42" s="16">
        <v>-0.0000022936631234675007</v>
      </c>
      <c r="BQ42" s="16">
        <v>-0.002827014678342556</v>
      </c>
      <c r="BR42" s="16">
        <v>0.00000765701078785578</v>
      </c>
      <c r="BS42" s="16">
        <v>-0.0000027869240102347056</v>
      </c>
      <c r="BT42" s="16">
        <v>-0.003911442055040353</v>
      </c>
      <c r="BU42" s="16">
        <v>0.000009012233936148837</v>
      </c>
      <c r="BV42" s="16">
        <v>-0.0000032801848970019098</v>
      </c>
      <c r="BW42" s="16">
        <v>-0.006622510496784847</v>
      </c>
      <c r="BX42" s="16">
        <v>0.000012400291806881482</v>
      </c>
      <c r="BY42" s="16">
        <v>-0.000004513337113919921</v>
      </c>
      <c r="BZ42" s="16">
        <v>-0.00933357893852934</v>
      </c>
      <c r="CA42" s="16">
        <v>0.00001578834967761413</v>
      </c>
      <c r="CB42" s="16">
        <v>-0.0000057464893308379324</v>
      </c>
      <c r="CC42" s="16">
        <v>-0.020177852705507312</v>
      </c>
      <c r="CD42" s="16">
        <v>0.000029340581160544707</v>
      </c>
      <c r="CE42" s="16">
        <v>-0.000010679098198509976</v>
      </c>
      <c r="CF42" s="16">
        <v>-0.05</v>
      </c>
      <c r="CG42" s="16">
        <v>0</v>
      </c>
      <c r="CH42" s="16">
        <v>0</v>
      </c>
      <c r="CI42" s="45">
        <v>33981.43387592912</v>
      </c>
      <c r="CJ42" s="45">
        <v>33981.43387592912</v>
      </c>
      <c r="CK42" s="45">
        <v>33866.462449571845</v>
      </c>
      <c r="CL42" s="45">
        <v>32846.24051813572</v>
      </c>
      <c r="CM42" s="45">
        <v>30697.22138623459</v>
      </c>
      <c r="CN42" s="45">
        <v>29309.60161574372</v>
      </c>
      <c r="CO42" s="45">
        <v>27300.76604184358</v>
      </c>
      <c r="CP42" s="45">
        <v>25172.84514837413</v>
      </c>
      <c r="CQ42" s="45">
        <v>21359.511500554156</v>
      </c>
      <c r="CR42" s="45">
        <v>19729.877423616505</v>
      </c>
      <c r="CS42" s="45">
        <v>18286.572869684198</v>
      </c>
      <c r="CT42" s="45">
        <v>17004.568780540507</v>
      </c>
      <c r="CU42" s="45">
        <v>15840.232042761949</v>
      </c>
      <c r="CV42" s="45">
        <v>14758.050396490882</v>
      </c>
      <c r="CW42" s="45">
        <v>13739.115763317328</v>
      </c>
      <c r="CX42" s="45">
        <v>11969.564494169768</v>
      </c>
      <c r="CY42" s="45">
        <v>10538.175888246264</v>
      </c>
      <c r="CZ42" s="45">
        <v>9326.472625762444</v>
      </c>
      <c r="DA42" s="45">
        <v>8305.131303568824</v>
      </c>
      <c r="DB42" s="45">
        <v>6451.546971269042</v>
      </c>
      <c r="DC42" s="45">
        <v>4913.494843753261</v>
      </c>
      <c r="DD42" s="45">
        <v>2613.0866190504244</v>
      </c>
      <c r="DE42" s="45">
        <v>1065.0604405110018</v>
      </c>
      <c r="DF42" s="45">
        <v>-1526.3484629635284</v>
      </c>
      <c r="DG42" s="45">
        <v>-3014.367162179323</v>
      </c>
      <c r="DH42" s="45">
        <v>-5065.202716459819</v>
      </c>
      <c r="DI42" s="45">
        <v>-5790.583579096708</v>
      </c>
      <c r="DJ42" s="45">
        <v>6.55418261885643e-13</v>
      </c>
      <c r="DK42" s="45">
        <v>6.55418261885643e-13</v>
      </c>
      <c r="DL42" s="45">
        <v>56.918512074112286</v>
      </c>
      <c r="DM42" s="45">
        <v>522.0519093728911</v>
      </c>
      <c r="DN42" s="45">
        <v>1409.5710273188133</v>
      </c>
      <c r="DO42" s="45">
        <v>1952.5933142978834</v>
      </c>
      <c r="DP42" s="45">
        <v>2720.3212506716686</v>
      </c>
      <c r="DQ42" s="45">
        <v>3501.722133408528</v>
      </c>
      <c r="DR42" s="45">
        <v>4715.6061135531245</v>
      </c>
      <c r="DS42" s="45">
        <v>5138.526469649722</v>
      </c>
      <c r="DT42" s="45">
        <v>5448.771851441808</v>
      </c>
      <c r="DU42" s="45">
        <v>5665.702795068251</v>
      </c>
      <c r="DV42" s="45">
        <v>5816.506461502521</v>
      </c>
      <c r="DW42" s="45">
        <v>5927.255824362247</v>
      </c>
      <c r="DX42" s="45">
        <v>6009.9061168036205</v>
      </c>
      <c r="DY42" s="45">
        <v>6051.201032693487</v>
      </c>
      <c r="DZ42" s="45">
        <v>5958.033816685864</v>
      </c>
      <c r="EA42" s="45">
        <v>5787.246884664996</v>
      </c>
      <c r="EB42" s="45">
        <v>5570.623197118064</v>
      </c>
      <c r="EC42" s="45">
        <v>5112.077780237947</v>
      </c>
      <c r="ED42" s="45">
        <v>4662.049581172815</v>
      </c>
      <c r="EE42" s="45">
        <v>3839.6989436190997</v>
      </c>
      <c r="EF42" s="45">
        <v>3221.5603821993077</v>
      </c>
      <c r="EG42" s="45">
        <v>2097.635189429109</v>
      </c>
      <c r="EH42" s="45">
        <v>1395.9728918525682</v>
      </c>
      <c r="EI42" s="45">
        <v>393.4412622165588</v>
      </c>
      <c r="EJ42" s="45">
        <v>0</v>
      </c>
      <c r="EK42" s="45">
        <v>-5.220063030719757e-12</v>
      </c>
      <c r="EL42" s="45">
        <v>-5.220063030719757e-12</v>
      </c>
      <c r="EM42" s="45">
        <v>-42.24733086650739</v>
      </c>
      <c r="EN42" s="45">
        <v>-301.81168557579645</v>
      </c>
      <c r="EO42" s="45">
        <v>-778.5011212975776</v>
      </c>
      <c r="EP42" s="45">
        <v>-1063.1979570273909</v>
      </c>
      <c r="EQ42" s="45">
        <v>-1453.9435102259245</v>
      </c>
      <c r="ER42" s="45">
        <v>-1817.9398615895377</v>
      </c>
      <c r="ES42" s="45">
        <v>-2144.4901681486863</v>
      </c>
      <c r="ET42" s="45">
        <v>-2187.4842520032043</v>
      </c>
      <c r="EU42" s="45">
        <v>-2219.89378758982</v>
      </c>
      <c r="EV42" s="45">
        <v>-2258.8583972526517</v>
      </c>
      <c r="EW42" s="45">
        <v>-2306.8503659633184</v>
      </c>
      <c r="EX42" s="45">
        <v>-2355.944485340574</v>
      </c>
      <c r="EY42" s="45">
        <v>-2407.727252314516</v>
      </c>
      <c r="EZ42" s="45">
        <v>-2478.576807959541</v>
      </c>
      <c r="FA42" s="45">
        <v>-2492.832755606079</v>
      </c>
      <c r="FB42" s="45">
        <v>-2530.3705674830726</v>
      </c>
      <c r="FC42" s="45">
        <v>-2546.7047631262626</v>
      </c>
      <c r="FD42" s="45">
        <v>-2545.6664652340955</v>
      </c>
      <c r="FE42" s="45">
        <v>-2476.108465398265</v>
      </c>
      <c r="FF42" s="45">
        <v>-2329.3154270514096</v>
      </c>
      <c r="FG42" s="45">
        <v>-2095.837159637727</v>
      </c>
      <c r="FH42" s="45">
        <v>-1555.8668449423838</v>
      </c>
      <c r="FI42" s="45">
        <v>-1143.0528514639493</v>
      </c>
      <c r="FJ42" s="45">
        <v>-342.79929373818527</v>
      </c>
      <c r="FK42" s="45">
        <v>5.960464477539062e-14</v>
      </c>
      <c r="FL42" s="46">
        <f>MAX(1,MIN(26,SUMPRODUCT(--($CI42:$DI42&gt;=Pu))))</f>
      </c>
      <c r="FM42" s="47">
        <f>(Pu-INDEX($CI42:$DI42,1,$FL42))/(INDEX($CI42:$DI42,1,$FL42+1)-INDEX($CI42:$DI42,1,$FL42))</f>
      </c>
      <c r="FN42" s="39">
        <f>INDEX($DJ42:$EJ42,1,$FL42)+$FM42*(INDEX($DJ42:$EJ42,1,$FL42+1)-INDEX($DJ42:$EJ42,1,$FL42))</f>
      </c>
      <c r="FO42" s="39">
        <f>INDEX($EK42:$FK42,1,$FL42)+$FM42*(INDEX($EK42:$FK42,1,$FL42+1)-INDEX($EK42:$FK42,1,$FL42))</f>
      </c>
      <c r="FP42" s="39">
        <f>SQRT(FN42^2+FO42^2)</f>
      </c>
      <c r="FQ42" s="20">
        <f>FN43-FN42</f>
      </c>
      <c r="FR42" s="20">
        <f>FO43-FO42</f>
      </c>
      <c r="FS42" s="20">
        <f>FQ42*SIN(RADIANS(theta_L))-FR42*COS(RADIANS(theta_L))</f>
      </c>
      <c r="FT42" s="47">
        <f>IF(FS42=0,"",-(FN42*SIN(RADIANS(theta_L))-FO42*COS(RADIANS(theta_L)))/FS42)</f>
      </c>
      <c r="FU42" s="20">
        <f>IF(FT42="","",(FN42+FT42*FQ42)*COS(RADIANS(theta_L))+(FO42+FT42*FR42)*SIN(RADIANS(theta_L)))</f>
      </c>
      <c r="FV42" s="20">
        <f>IF(OR(FT42="",FT42&lt;0,FT42&gt;1,FU42&lt;0),"",FU42)</f>
      </c>
    </row>
    <row r="43" spans="1:178" x14ac:dyDescent="0.25">
      <c r="A43">
        <v>36</v>
      </c>
      <c r="B43" s="44">
        <v>350.00000000000006</v>
      </c>
      <c r="C43" s="18">
        <v>686.3911495241365</v>
      </c>
      <c r="D43" s="18">
        <v>-591.4073801632425</v>
      </c>
      <c r="E43" s="18">
        <v>1277.798529687379</v>
      </c>
      <c r="F43" s="16">
        <v>0.0033</v>
      </c>
      <c r="G43" s="16">
        <v>0</v>
      </c>
      <c r="H43" s="16">
        <v>0</v>
      </c>
      <c r="I43" s="16">
        <v>0.00275</v>
      </c>
      <c r="J43" s="16">
        <v>7.891189513912399e-7</v>
      </c>
      <c r="K43" s="16">
        <v>-1.391429621186473e-7</v>
      </c>
      <c r="L43" s="16">
        <v>0.0024749999999999998</v>
      </c>
      <c r="M43" s="16">
        <v>0.00000118367842708686</v>
      </c>
      <c r="N43" s="16">
        <v>-2.0871444317797098e-7</v>
      </c>
      <c r="O43" s="16">
        <v>0.0022</v>
      </c>
      <c r="P43" s="16">
        <v>0.0000015782379027824798</v>
      </c>
      <c r="Q43" s="16">
        <v>-2.782859242372946e-7</v>
      </c>
      <c r="R43" s="16">
        <v>0.001925</v>
      </c>
      <c r="S43" s="16">
        <v>0.0000019727973784780997</v>
      </c>
      <c r="T43" s="16">
        <v>-3.478574052966183e-7</v>
      </c>
      <c r="U43" s="16">
        <v>0.0018000000000000002</v>
      </c>
      <c r="V43" s="16">
        <v>0.0000021521425947033815</v>
      </c>
      <c r="W43" s="16">
        <v>-3.79480805778129e-7</v>
      </c>
      <c r="X43" s="16">
        <v>0.00165</v>
      </c>
      <c r="Y43" s="16">
        <v>0.00000236735685417372</v>
      </c>
      <c r="Z43" s="16">
        <v>-4.1742888635594197e-7</v>
      </c>
      <c r="AA43" s="16">
        <v>0.0015273490375796422</v>
      </c>
      <c r="AB43" s="16">
        <v>0.000002543331761177864</v>
      </c>
      <c r="AC43" s="16">
        <v>-4.4845801038843556e-7</v>
      </c>
      <c r="AD43" s="16">
        <v>0.0012587655584250425</v>
      </c>
      <c r="AE43" s="16">
        <v>0.000002928685058326025</v>
      </c>
      <c r="AF43" s="16">
        <v>-5.164061937806228e-7</v>
      </c>
      <c r="AG43" s="16">
        <v>0.001124473818847743</v>
      </c>
      <c r="AH43" s="16">
        <v>0.000003121361706900105</v>
      </c>
      <c r="AI43" s="16">
        <v>-5.503802854767163e-7</v>
      </c>
      <c r="AJ43" s="16">
        <v>0.0009901820792704427</v>
      </c>
      <c r="AK43" s="16">
        <v>0.0000033140383554741863</v>
      </c>
      <c r="AL43" s="16">
        <v>-5.8435437717281e-7</v>
      </c>
      <c r="AM43" s="16">
        <v>0.0008558903396931427</v>
      </c>
      <c r="AN43" s="16">
        <v>0.000003506715004048267</v>
      </c>
      <c r="AO43" s="16">
        <v>-6.183284688689037e-7</v>
      </c>
      <c r="AP43" s="16">
        <v>0.0007215986001158428</v>
      </c>
      <c r="AQ43" s="16">
        <v>0.0000036993916526223476</v>
      </c>
      <c r="AR43" s="16">
        <v>-6.523025605649972e-7</v>
      </c>
      <c r="AS43" s="16">
        <v>0.0005873068605385437</v>
      </c>
      <c r="AT43" s="16">
        <v>0.0000038920683011964274</v>
      </c>
      <c r="AU43" s="16">
        <v>-6.862766522610907e-7</v>
      </c>
      <c r="AV43" s="16">
        <v>0.0004530151209612434</v>
      </c>
      <c r="AW43" s="16">
        <v>0.000004084744949770509</v>
      </c>
      <c r="AX43" s="16">
        <v>-7.202507439571843e-7</v>
      </c>
      <c r="AY43" s="16">
        <v>0.00018443164180664395</v>
      </c>
      <c r="AZ43" s="16">
        <v>0.0000044700982469186695</v>
      </c>
      <c r="BA43" s="16">
        <v>-7.881989273493716e-7</v>
      </c>
      <c r="BB43" s="16">
        <v>-0.00008415183734795592</v>
      </c>
      <c r="BC43" s="16">
        <v>0.000004855451544066831</v>
      </c>
      <c r="BD43" s="16">
        <v>-8.561471107415589e-7</v>
      </c>
      <c r="BE43" s="16">
        <v>-0.0003527353165025558</v>
      </c>
      <c r="BF43" s="16">
        <v>0.000005240804841214992</v>
      </c>
      <c r="BG43" s="16">
        <v>-9.24095294133746e-7</v>
      </c>
      <c r="BH43" s="16">
        <v>-0.0006213187956571557</v>
      </c>
      <c r="BI43" s="16">
        <v>0.0000056261581383631535</v>
      </c>
      <c r="BJ43" s="16">
        <v>-9.920434775259332e-7</v>
      </c>
      <c r="BK43" s="16">
        <v>-0.0011584857539663545</v>
      </c>
      <c r="BL43" s="16">
        <v>0.000006396864732659475</v>
      </c>
      <c r="BM43" s="16">
        <v>-0.0000011279398443103075</v>
      </c>
      <c r="BN43" s="16">
        <v>-0.0016956527122755534</v>
      </c>
      <c r="BO43" s="16">
        <v>0.000007167571326955797</v>
      </c>
      <c r="BP43" s="16">
        <v>-0.0000012638362110946818</v>
      </c>
      <c r="BQ43" s="16">
        <v>-0.002769986628893953</v>
      </c>
      <c r="BR43" s="16">
        <v>0.000008708984515548443</v>
      </c>
      <c r="BS43" s="16">
        <v>-0.000001535628944663431</v>
      </c>
      <c r="BT43" s="16">
        <v>-0.0038443205455123515</v>
      </c>
      <c r="BU43" s="16">
        <v>0.000010250397704141087</v>
      </c>
      <c r="BV43" s="16">
        <v>-0.0000018074216782321797</v>
      </c>
      <c r="BW43" s="16">
        <v>-0.006530155337058348</v>
      </c>
      <c r="BX43" s="16">
        <v>0.0000141039306756227</v>
      </c>
      <c r="BY43" s="16">
        <v>-0.000002486903512154052</v>
      </c>
      <c r="BZ43" s="16">
        <v>-0.009215990128604346</v>
      </c>
      <c r="CA43" s="16">
        <v>0.000017957463647104312</v>
      </c>
      <c r="CB43" s="16">
        <v>-0.000003166385346075924</v>
      </c>
      <c r="CC43" s="16">
        <v>-0.019959329294788327</v>
      </c>
      <c r="CD43" s="16">
        <v>0.000033371595533030756</v>
      </c>
      <c r="CE43" s="16">
        <v>-0.000005884312681763412</v>
      </c>
      <c r="CF43" s="16">
        <v>-0.05</v>
      </c>
      <c r="CG43" s="16">
        <v>0</v>
      </c>
      <c r="CH43" s="16">
        <v>0</v>
      </c>
      <c r="CI43" s="45">
        <v>33981.43387592912</v>
      </c>
      <c r="CJ43" s="45">
        <v>33981.43387592912</v>
      </c>
      <c r="CK43" s="45">
        <v>33817.701507394675</v>
      </c>
      <c r="CL43" s="45">
        <v>32659.15104673117</v>
      </c>
      <c r="CM43" s="45">
        <v>30287.88553620258</v>
      </c>
      <c r="CN43" s="45">
        <v>28772.240246435613</v>
      </c>
      <c r="CO43" s="45">
        <v>26602.776134756514</v>
      </c>
      <c r="CP43" s="45">
        <v>24605.43796029775</v>
      </c>
      <c r="CQ43" s="45">
        <v>20757.170692229683</v>
      </c>
      <c r="CR43" s="45">
        <v>19290.00291326094</v>
      </c>
      <c r="CS43" s="45">
        <v>18032.009332030713</v>
      </c>
      <c r="CT43" s="45">
        <v>16897.23331456378</v>
      </c>
      <c r="CU43" s="45">
        <v>15852.405348145594</v>
      </c>
      <c r="CV43" s="45">
        <v>14873.013844795665</v>
      </c>
      <c r="CW43" s="45">
        <v>13951.272230337185</v>
      </c>
      <c r="CX43" s="45">
        <v>12421.828233453763</v>
      </c>
      <c r="CY43" s="45">
        <v>11242.071584918773</v>
      </c>
      <c r="CZ43" s="45">
        <v>10233.710280592522</v>
      </c>
      <c r="DA43" s="45">
        <v>9306.691783648223</v>
      </c>
      <c r="DB43" s="45">
        <v>7767.250008421847</v>
      </c>
      <c r="DC43" s="45">
        <v>6451.036788516125</v>
      </c>
      <c r="DD43" s="45">
        <v>4346.697341490555</v>
      </c>
      <c r="DE43" s="45">
        <v>2621.68918090758</v>
      </c>
      <c r="DF43" s="45">
        <v>-150.83136101588374</v>
      </c>
      <c r="DG43" s="45">
        <v>-1972.9526197015834</v>
      </c>
      <c r="DH43" s="45">
        <v>-4750.175199596196</v>
      </c>
      <c r="DI43" s="45">
        <v>-5790.583579096708</v>
      </c>
      <c r="DJ43" s="45">
        <v>6.55418261885643e-13</v>
      </c>
      <c r="DK43" s="45">
        <v>6.55418261885643e-13</v>
      </c>
      <c r="DL43" s="45">
        <v>85.94843525542095</v>
      </c>
      <c r="DM43" s="45">
        <v>635.3993939907631</v>
      </c>
      <c r="DN43" s="45">
        <v>1666.7507363816576</v>
      </c>
      <c r="DO43" s="45">
        <v>2294.594844515911</v>
      </c>
      <c r="DP43" s="45">
        <v>3178.302639363237</v>
      </c>
      <c r="DQ43" s="45">
        <v>3966.244513686082</v>
      </c>
      <c r="DR43" s="45">
        <v>5242.248492140797</v>
      </c>
      <c r="DS43" s="45">
        <v>5608.419023839459</v>
      </c>
      <c r="DT43" s="45">
        <v>5866.522276077715</v>
      </c>
      <c r="DU43" s="45">
        <v>6062.959743591635</v>
      </c>
      <c r="DV43" s="45">
        <v>6217.602728627305</v>
      </c>
      <c r="DW43" s="45">
        <v>6345.25464602729</v>
      </c>
      <c r="DX43" s="45">
        <v>6451.09103021208</v>
      </c>
      <c r="DY43" s="45">
        <v>6529.897981559441</v>
      </c>
      <c r="DZ43" s="45">
        <v>6462.232865630922</v>
      </c>
      <c r="EA43" s="45">
        <v>6344.404751617119</v>
      </c>
      <c r="EB43" s="45">
        <v>6212.811668253318</v>
      </c>
      <c r="EC43" s="45">
        <v>5897.9293433270705</v>
      </c>
      <c r="ED43" s="45">
        <v>5542.276569090083</v>
      </c>
      <c r="EE43" s="45">
        <v>4834.858860387758</v>
      </c>
      <c r="EF43" s="45">
        <v>4161.52739788789</v>
      </c>
      <c r="EG43" s="45">
        <v>2909.8816207249934</v>
      </c>
      <c r="EH43" s="45">
        <v>2024.5719710169071</v>
      </c>
      <c r="EI43" s="45">
        <v>571.5107830170551</v>
      </c>
      <c r="EJ43" s="45">
        <v>0</v>
      </c>
      <c r="EK43" s="45">
        <v>-5.220063030719757e-12</v>
      </c>
      <c r="EL43" s="45">
        <v>-5.220063030719757e-12</v>
      </c>
      <c r="EM43" s="45">
        <v>-26.913278275566167</v>
      </c>
      <c r="EN43" s="45">
        <v>-191.34994207932988</v>
      </c>
      <c r="EO43" s="45">
        <v>-464.04897303499206</v>
      </c>
      <c r="EP43" s="45">
        <v>-619.3474138745597</v>
      </c>
      <c r="EQ43" s="45">
        <v>-834.2411610225384</v>
      </c>
      <c r="ER43" s="45">
        <v>-1004.4315064344055</v>
      </c>
      <c r="ES43" s="45">
        <v>-1097.2222452691217</v>
      </c>
      <c r="ET43" s="45">
        <v>-1094.2600490064126</v>
      </c>
      <c r="EU43" s="45">
        <v>-1108.2700108245494</v>
      </c>
      <c r="EV43" s="45">
        <v>-1130.8621023375265</v>
      </c>
      <c r="EW43" s="45">
        <v>-1161.3556736691596</v>
      </c>
      <c r="EX43" s="45">
        <v>-1188.404447208841</v>
      </c>
      <c r="EY43" s="45">
        <v>-1219.8996727221013</v>
      </c>
      <c r="EZ43" s="45">
        <v>-1235.6324405633172</v>
      </c>
      <c r="FA43" s="45">
        <v>-1268.0041168298521</v>
      </c>
      <c r="FB43" s="45">
        <v>-1270.9379571195059</v>
      </c>
      <c r="FC43" s="45">
        <v>-1272.3692309041153</v>
      </c>
      <c r="FD43" s="45">
        <v>-1270.90012627532</v>
      </c>
      <c r="FE43" s="45">
        <v>-1305.0767034251694</v>
      </c>
      <c r="FF43" s="45">
        <v>-1320.7725973843737</v>
      </c>
      <c r="FG43" s="45">
        <v>-1333.3244936455021</v>
      </c>
      <c r="FH43" s="45">
        <v>-1100.881919125305</v>
      </c>
      <c r="FI43" s="45">
        <v>-853.9835637394607</v>
      </c>
      <c r="FJ43" s="45">
        <v>-401.9625610780254</v>
      </c>
      <c r="FK43" s="45">
        <v>5.960464477539062e-14</v>
      </c>
      <c r="FL43" s="46">
        <f>MAX(1,MIN(26,SUMPRODUCT(--($CI43:$DI43&gt;=Pu))))</f>
      </c>
      <c r="FM43" s="47">
        <f>(Pu-INDEX($CI43:$DI43,1,$FL43))/(INDEX($CI43:$DI43,1,$FL43+1)-INDEX($CI43:$DI43,1,$FL43))</f>
      </c>
      <c r="FN43" s="39">
        <f>INDEX($DJ43:$EJ43,1,$FL43)+$FM43*(INDEX($DJ43:$EJ43,1,$FL43+1)-INDEX($DJ43:$EJ43,1,$FL43))</f>
      </c>
      <c r="FO43" s="39">
        <f>INDEX($EK43:$FK43,1,$FL43)+$FM43*(INDEX($EK43:$FK43,1,$FL43+1)-INDEX($EK43:$FK43,1,$FL43))</f>
      </c>
      <c r="FP43" s="39">
        <f>SQRT(FN43^2+FO43^2)</f>
      </c>
      <c r="FQ43" s="20">
        <f>FN44-FN43</f>
      </c>
      <c r="FR43" s="20">
        <f>FO44-FO43</f>
      </c>
      <c r="FS43" s="20">
        <f>FQ43*SIN(RADIANS(theta_L))-FR43*COS(RADIANS(theta_L))</f>
      </c>
      <c r="FT43" s="47">
        <f>IF(FS43=0,"",-(FN43*SIN(RADIANS(theta_L))-FO43*COS(RADIANS(theta_L)))/FS43)</f>
      </c>
      <c r="FU43" s="20">
        <f>IF(FT43="","",(FN43+FT43*FQ43)*COS(RADIANS(theta_L))+(FO43+FT43*FR43)*SIN(RADIANS(theta_L)))</f>
      </c>
      <c r="FV43" s="20">
        <f>IF(OR(FT43="",FT43&lt;0,FT43&gt;1,FU43&lt;0),"",FU43)</f>
      </c>
    </row>
    <row r="44" spans="1:172" x14ac:dyDescent="0.25">
      <c r="A44" t="s">
        <v>315</v>
      </c>
      <c r="B44" s="44">
        <v>360</v>
      </c>
      <c r="C44" s="18">
        <v>600</v>
      </c>
      <c r="D44" s="18">
        <v>-530</v>
      </c>
      <c r="E44" s="18">
        <v>1130</v>
      </c>
      <c r="F44" s="16">
        <v>0.0033</v>
      </c>
      <c r="G44" s="16">
        <v>0</v>
      </c>
      <c r="H44" s="16">
        <v>0</v>
      </c>
      <c r="I44" s="16">
        <v>0.00275</v>
      </c>
      <c r="J44" s="16">
        <v>9.166666666666666e-7</v>
      </c>
      <c r="K44" s="16">
        <v>0</v>
      </c>
      <c r="L44" s="16">
        <v>0.0024749999999999998</v>
      </c>
      <c r="M44" s="16">
        <v>0.000001375</v>
      </c>
      <c r="N44" s="16">
        <v>0</v>
      </c>
      <c r="O44" s="16">
        <v>0.0021999999999999997</v>
      </c>
      <c r="P44" s="16">
        <v>0.0000018333333333333333</v>
      </c>
      <c r="Q44" s="16">
        <v>0</v>
      </c>
      <c r="R44" s="16">
        <v>0.001925</v>
      </c>
      <c r="S44" s="16">
        <v>0.0000022916666666666666</v>
      </c>
      <c r="T44" s="16">
        <v>0</v>
      </c>
      <c r="U44" s="16">
        <v>0.0018000000000000002</v>
      </c>
      <c r="V44" s="16">
        <v>0.0000024999999999999998</v>
      </c>
      <c r="W44" s="16">
        <v>0</v>
      </c>
      <c r="X44" s="16">
        <v>0.00165</v>
      </c>
      <c r="Y44" s="16">
        <v>0.00000275</v>
      </c>
      <c r="Z44" s="16">
        <v>0</v>
      </c>
      <c r="AA44" s="16">
        <v>0.001547787610619469</v>
      </c>
      <c r="AB44" s="16">
        <v>0.000002920353982300885</v>
      </c>
      <c r="AC44" s="16">
        <v>0</v>
      </c>
      <c r="AD44" s="16">
        <v>0.001282300884955752</v>
      </c>
      <c r="AE44" s="16">
        <v>0.0000033628318584070798</v>
      </c>
      <c r="AF44" s="16">
        <v>0</v>
      </c>
      <c r="AG44" s="16">
        <v>0.0011495575221238939</v>
      </c>
      <c r="AH44" s="16">
        <v>0.000003584070796460177</v>
      </c>
      <c r="AI44" s="16">
        <v>0</v>
      </c>
      <c r="AJ44" s="16">
        <v>0.0010168141592920353</v>
      </c>
      <c r="AK44" s="16">
        <v>0.000003805309734513274</v>
      </c>
      <c r="AL44" s="16">
        <v>0</v>
      </c>
      <c r="AM44" s="16">
        <v>0.0008840707964601767</v>
      </c>
      <c r="AN44" s="16">
        <v>0.000004026548672566372</v>
      </c>
      <c r="AO44" s="16">
        <v>0</v>
      </c>
      <c r="AP44" s="16">
        <v>0.0007513274336283186</v>
      </c>
      <c r="AQ44" s="16">
        <v>0.000004247787610619469</v>
      </c>
      <c r="AR44" s="16">
        <v>0</v>
      </c>
      <c r="AS44" s="16">
        <v>0.0006185840707964604</v>
      </c>
      <c r="AT44" s="16">
        <v>0.000004469026548672566</v>
      </c>
      <c r="AU44" s="16">
        <v>0</v>
      </c>
      <c r="AV44" s="16">
        <v>0.00048584070796460184</v>
      </c>
      <c r="AW44" s="16">
        <v>0.0000046902654867256635</v>
      </c>
      <c r="AX44" s="16">
        <v>0</v>
      </c>
      <c r="AY44" s="16">
        <v>0.00022035398230088512</v>
      </c>
      <c r="AZ44" s="16">
        <v>0.000005132743362831858</v>
      </c>
      <c r="BA44" s="16">
        <v>0</v>
      </c>
      <c r="BB44" s="16">
        <v>-0.00004513274336283204</v>
      </c>
      <c r="BC44" s="16">
        <v>0.000005575221238938053</v>
      </c>
      <c r="BD44" s="16">
        <v>0</v>
      </c>
      <c r="BE44" s="16">
        <v>-0.0003106194690265492</v>
      </c>
      <c r="BF44" s="16">
        <v>0.0000060176991150442484</v>
      </c>
      <c r="BG44" s="16">
        <v>0</v>
      </c>
      <c r="BH44" s="16">
        <v>-0.0005761061946902659</v>
      </c>
      <c r="BI44" s="16">
        <v>0.000006460176991150443</v>
      </c>
      <c r="BJ44" s="16">
        <v>0</v>
      </c>
      <c r="BK44" s="16">
        <v>-0.001107079646017699</v>
      </c>
      <c r="BL44" s="16">
        <v>0.000007345132743362832</v>
      </c>
      <c r="BM44" s="16">
        <v>0</v>
      </c>
      <c r="BN44" s="16">
        <v>-0.0016380530973451315</v>
      </c>
      <c r="BO44" s="16">
        <v>0.00000823008849557522</v>
      </c>
      <c r="BP44" s="16">
        <v>0</v>
      </c>
      <c r="BQ44" s="16">
        <v>-0.0027</v>
      </c>
      <c r="BR44" s="16">
        <v>0.00001</v>
      </c>
      <c r="BS44" s="16">
        <v>0</v>
      </c>
      <c r="BT44" s="16">
        <v>-0.003761946902654867</v>
      </c>
      <c r="BU44" s="16">
        <v>0.000011769911504424779</v>
      </c>
      <c r="BV44" s="16">
        <v>0</v>
      </c>
      <c r="BW44" s="16">
        <v>-0.006416814159292035</v>
      </c>
      <c r="BX44" s="16">
        <v>0.000016194690265486724</v>
      </c>
      <c r="BY44" s="16">
        <v>0</v>
      </c>
      <c r="BZ44" s="16">
        <v>-0.009071681415929202</v>
      </c>
      <c r="CA44" s="16">
        <v>0.000020619469026548672</v>
      </c>
      <c r="CB44" s="16">
        <v>0</v>
      </c>
      <c r="CC44" s="16">
        <v>-0.01969115044247787</v>
      </c>
      <c r="CD44" s="16">
        <v>0.000038318584070796456</v>
      </c>
      <c r="CE44" s="16">
        <v>0</v>
      </c>
      <c r="CF44" s="16">
        <v>-0.05</v>
      </c>
      <c r="CG44" s="16">
        <v>0</v>
      </c>
      <c r="CH44" s="16">
        <v>0</v>
      </c>
      <c r="CI44" s="45">
        <v>33981.43387592912</v>
      </c>
      <c r="CJ44" s="45">
        <v>33981.43387592912</v>
      </c>
      <c r="CK44" s="45">
        <v>33697.99889567864</v>
      </c>
      <c r="CL44" s="45">
        <v>32265.41983671862</v>
      </c>
      <c r="CM44" s="45">
        <v>29458.701738526564</v>
      </c>
      <c r="CN44" s="45">
        <v>27730.09410184366</v>
      </c>
      <c r="CO44" s="45">
        <v>25248.563599258836</v>
      </c>
      <c r="CP44" s="45">
        <v>23514.322248754543</v>
      </c>
      <c r="CQ44" s="45">
        <v>20124.121038215144</v>
      </c>
      <c r="CR44" s="45">
        <v>18882.738169040487</v>
      </c>
      <c r="CS44" s="45">
        <v>17776.353375143117</v>
      </c>
      <c r="CT44" s="45">
        <v>16760.388558863382</v>
      </c>
      <c r="CU44" s="45">
        <v>15800.236623069633</v>
      </c>
      <c r="CV44" s="45">
        <v>14902.046247507536</v>
      </c>
      <c r="CW44" s="45">
        <v>14042.955356745177</v>
      </c>
      <c r="CX44" s="45">
        <v>12848.396583065864</v>
      </c>
      <c r="CY44" s="45">
        <v>11780.888412913204</v>
      </c>
      <c r="CZ44" s="45">
        <v>10874.165106109966</v>
      </c>
      <c r="DA44" s="45">
        <v>10115.37601589935</v>
      </c>
      <c r="DB44" s="45">
        <v>8812.745574290735</v>
      </c>
      <c r="DC44" s="45">
        <v>7793.573662012833</v>
      </c>
      <c r="DD44" s="45">
        <v>6221.462349919355</v>
      </c>
      <c r="DE44" s="45">
        <v>5040.452657994034</v>
      </c>
      <c r="DF44" s="45">
        <v>2747.5191908344864</v>
      </c>
      <c r="DG44" s="45">
        <v>1203.7013416344244</v>
      </c>
      <c r="DH44" s="45">
        <v>-1714.4396393656968</v>
      </c>
      <c r="DI44" s="45">
        <v>-5790.583579096708</v>
      </c>
      <c r="DJ44" s="45">
        <v>6.55418261885643e-13</v>
      </c>
      <c r="DK44" s="45">
        <v>6.55418261885643e-13</v>
      </c>
      <c r="DL44" s="45">
        <v>150.46136414826947</v>
      </c>
      <c r="DM44" s="45">
        <v>838.9046608751036</v>
      </c>
      <c r="DN44" s="45">
        <v>2076.7979535082554</v>
      </c>
      <c r="DO44" s="45">
        <v>2819.1055487374533</v>
      </c>
      <c r="DP44" s="45">
        <v>3855.0903161670462</v>
      </c>
      <c r="DQ44" s="45">
        <v>4530.118037670052</v>
      </c>
      <c r="DR44" s="45">
        <v>5598.135049837574</v>
      </c>
      <c r="DS44" s="45">
        <v>5894.79693613114</v>
      </c>
      <c r="DT44" s="45">
        <v>6124.812619238588</v>
      </c>
      <c r="DU44" s="45">
        <v>6314.337858211325</v>
      </c>
      <c r="DV44" s="45">
        <v>6477.537136847315</v>
      </c>
      <c r="DW44" s="45">
        <v>6612.75498641875</v>
      </c>
      <c r="DX44" s="45">
        <v>6729.602944736926</v>
      </c>
      <c r="DY44" s="45">
        <v>6719.392919295084</v>
      </c>
      <c r="DZ44" s="45">
        <v>6681.944730043465</v>
      </c>
      <c r="EA44" s="45">
        <v>6619.376661682477</v>
      </c>
      <c r="EB44" s="45">
        <v>6520.300492379301</v>
      </c>
      <c r="EC44" s="45">
        <v>6317.221588401691</v>
      </c>
      <c r="ED44" s="45">
        <v>6095.595406911573</v>
      </c>
      <c r="EE44" s="45">
        <v>5669.773965842053</v>
      </c>
      <c r="EF44" s="45">
        <v>5279.5486588665335</v>
      </c>
      <c r="EG44" s="45">
        <v>4395.024835253348</v>
      </c>
      <c r="EH44" s="45">
        <v>3714.4317841181155</v>
      </c>
      <c r="EI44" s="45">
        <v>2227.93189961245</v>
      </c>
      <c r="EJ44" s="45">
        <v>0</v>
      </c>
      <c r="EK44" s="45">
        <v>-5.220063030719757e-12</v>
      </c>
      <c r="EL44" s="45">
        <v>-5.220063030719757e-12</v>
      </c>
      <c r="EM44" s="45">
        <v>0.000017494509751908482</v>
      </c>
      <c r="EN44" s="45">
        <v>0.0009406118215573952</v>
      </c>
      <c r="EO44" s="45">
        <v>0.00037674127167556436</v>
      </c>
      <c r="EP44" s="45">
        <v>0.0002115091088814661</v>
      </c>
      <c r="EQ44" s="45">
        <v>0.0015901064639454708</v>
      </c>
      <c r="ER44" s="45">
        <v>0.07635615567926224</v>
      </c>
      <c r="ES44" s="45">
        <v>-0.298929788221614</v>
      </c>
      <c r="ET44" s="45">
        <v>-0.06835164865992638</v>
      </c>
      <c r="EU44" s="45">
        <v>-0.036833113046715035</v>
      </c>
      <c r="EV44" s="45">
        <v>-0.17062774422102422</v>
      </c>
      <c r="EW44" s="45">
        <v>0.000766949239820242</v>
      </c>
      <c r="EX44" s="45">
        <v>-0.16007528021579376</v>
      </c>
      <c r="EY44" s="45">
        <v>0.2033703180078668</v>
      </c>
      <c r="EZ44" s="45">
        <v>-0.18254523419917001</v>
      </c>
      <c r="FA44" s="45">
        <v>0.00011138413645233958</v>
      </c>
      <c r="FB44" s="45">
        <v>-0.04691961909174547</v>
      </c>
      <c r="FC44" s="45">
        <v>0.017060437182207358</v>
      </c>
      <c r="FD44" s="45">
        <v>0.22085739108868455</v>
      </c>
      <c r="FE44" s="45">
        <v>0.0005276283492443618</v>
      </c>
      <c r="FF44" s="45">
        <v>0.058994860705671136</v>
      </c>
      <c r="FG44" s="45">
        <v>0.3035026830671234</v>
      </c>
      <c r="FH44" s="45">
        <v>0.8146481828627189</v>
      </c>
      <c r="FI44" s="45">
        <v>0.3976159518024968</v>
      </c>
      <c r="FJ44" s="45">
        <v>0.7652766825170573</v>
      </c>
      <c r="FK44" s="45">
        <v>5.960464477539062e-14</v>
      </c>
      <c r="FL44" s="46">
        <f>MAX(1,MIN(26,SUMPRODUCT(--($CI44:$DI44&gt;=Pu))))</f>
      </c>
      <c r="FM44" s="47">
        <f>(Pu-INDEX($CI44:$DI44,1,$FL44))/(INDEX($CI44:$DI44,1,$FL44+1)-INDEX($CI44:$DI44,1,$FL44))</f>
      </c>
      <c r="FN44" s="39">
        <f>INDEX($DJ44:$EJ44,1,$FL44)+$FM44*(INDEX($DJ44:$EJ44,1,$FL44+1)-INDEX($DJ44:$EJ44,1,$FL44))</f>
      </c>
      <c r="FO44" s="39">
        <f>INDEX($EK44:$FK44,1,$FL44)+$FM44*(INDEX($EK44:$FK44,1,$FL44+1)-INDEX($EK44:$FK44,1,$FL44))</f>
      </c>
      <c r="FP44" s="39">
        <f>SQRT(FN44^2+FO44^2)</f>
      </c>
    </row>
    <row r="45" spans="169:172" x14ac:dyDescent="0.25">
      <c r="FM45" s="35" t="s">
        <v>54</v>
      </c>
      <c r="FN45" s="48">
        <f>Mux</f>
      </c>
      <c r="FO45" s="48">
        <f>Muy</f>
      </c>
      <c r="FP45" s="48">
        <f>Mu</f>
      </c>
    </row>
    <row r="46" spans="2:9" x14ac:dyDescent="0.25">
      <c r="B46" s="3" t="s">
        <v>316</v>
      </c>
      <c r="C46" s="3"/>
      <c r="D46" s="3"/>
      <c r="E46" s="3"/>
      <c r="F46" s="3"/>
      <c r="G46" s="3"/>
      <c r="H46" s="3"/>
      <c r="I46" s="3"/>
    </row>
    <row r="47" spans="2:7" x14ac:dyDescent="0.25">
      <c r="B47" t="s">
        <v>317</v>
      </c>
      <c r="E47" s="10">
        <f>CI8</f>
      </c>
      <c r="F47" s="10">
        <f>PM_Angle!$S$7</f>
      </c>
      <c r="G47" s="35">
        <f>IF(ABS(E47-F47)&lt;=0.000001*MAX(ABS(F47),1),"ok - imported surface matches the live calculation","STALE - material or geometry inputs changed; re-export from the app")</f>
      </c>
    </row>
    <row r="48" spans="2:7" x14ac:dyDescent="0.25">
      <c r="B48" t="s">
        <v>318</v>
      </c>
      <c r="E48" s="10">
        <f>DI8</f>
      </c>
      <c r="F48" s="10">
        <f>PM_Angle!$S$33</f>
      </c>
      <c r="G48" s="35">
        <f>IF(ABS(E48-F48)&lt;=0.000001*MAX(ABS(F48),1),"ok - imported surface matches the live calculation","STALE - material or geometry inputs changed; re-export from the app")</f>
      </c>
    </row>
    <row r="50" spans="2:9" x14ac:dyDescent="0.25">
      <c r="B50" s="3" t="s">
        <v>319</v>
      </c>
      <c r="C50" s="3"/>
      <c r="D50" s="3"/>
      <c r="E50" s="3"/>
      <c r="F50" s="3"/>
      <c r="G50" s="3"/>
      <c r="H50" s="3"/>
      <c r="I50" s="3"/>
    </row>
    <row r="51" spans="2:5" x14ac:dyDescent="0.25">
      <c r="B51" t="s">
        <v>320</v>
      </c>
      <c r="E51" s="49">
        <f>theta_L</f>
      </c>
    </row>
    <row r="52" spans="2:5" x14ac:dyDescent="0.25">
      <c r="B52" t="s">
        <v>321</v>
      </c>
      <c r="E52" s="50">
        <f>COUNT(FV8:FV43)</f>
      </c>
    </row>
    <row r="53" spans="2:5" x14ac:dyDescent="0.25">
      <c r="B53" t="s">
        <v>322</v>
      </c>
      <c r="E53" s="51">
        <f>IF(COUNT(FV8:FV43)=0,"no crossing",MIN(FV8:FV43))</f>
      </c>
    </row>
    <row r="54" spans="2:5" x14ac:dyDescent="0.25">
      <c r="B54" t="s">
        <v>323</v>
      </c>
      <c r="E54" s="51">
        <f>IF(ISNUMBER(Mb),Mb*COS(RADIANS(theta_L)),"n/a")</f>
      </c>
    </row>
    <row r="55" spans="2:5" x14ac:dyDescent="0.25">
      <c r="B55" t="s">
        <v>324</v>
      </c>
      <c r="E55" s="51">
        <f>IF(ISNUMBER(Mb),Mb*SIN(RADIANS(theta_L)),"n/a")</f>
      </c>
    </row>
    <row r="56" spans="2:5" x14ac:dyDescent="0.25">
      <c r="B56" t="s">
        <v>325</v>
      </c>
      <c r="E56" s="51">
        <f>Mu</f>
      </c>
    </row>
    <row r="57" spans="2:5" x14ac:dyDescent="0.25">
      <c r="B57" t="s">
        <v>326</v>
      </c>
      <c r="E57" s="52">
        <f>IF(ISNUMBER(Mb),IF(Mb&lt;=0,"n/a",Mu/Mb),"n/a")</f>
      </c>
    </row>
    <row r="58" spans="2:2" x14ac:dyDescent="0.25">
      <c r="B58" s="5" t="s">
        <v>327</v>
      </c>
    </row>
  </sheetData>
  <mergeCells count="37">
    <mergeCell ref="B1:M1"/>
    <mergeCell ref="B2:N3"/>
    <mergeCell ref="B6:E6"/>
    <mergeCell ref="F6:H6"/>
    <mergeCell ref="I6:K6"/>
    <mergeCell ref="L6:N6"/>
    <mergeCell ref="O6:Q6"/>
    <mergeCell ref="R6:T6"/>
    <mergeCell ref="U6:W6"/>
    <mergeCell ref="X6:Z6"/>
    <mergeCell ref="AA6:AC6"/>
    <mergeCell ref="AD6:AF6"/>
    <mergeCell ref="AG6:AI6"/>
    <mergeCell ref="AJ6:AL6"/>
    <mergeCell ref="AM6:AO6"/>
    <mergeCell ref="AP6:AR6"/>
    <mergeCell ref="AS6:AU6"/>
    <mergeCell ref="AV6:AX6"/>
    <mergeCell ref="AY6:BA6"/>
    <mergeCell ref="BB6:BD6"/>
    <mergeCell ref="BE6:BG6"/>
    <mergeCell ref="BH6:BJ6"/>
    <mergeCell ref="BK6:BM6"/>
    <mergeCell ref="BN6:BP6"/>
    <mergeCell ref="BQ6:BS6"/>
    <mergeCell ref="BT6:BV6"/>
    <mergeCell ref="BW6:BY6"/>
    <mergeCell ref="BZ6:CB6"/>
    <mergeCell ref="CC6:CE6"/>
    <mergeCell ref="CF6:CH6"/>
    <mergeCell ref="CI6:DI6"/>
    <mergeCell ref="DJ6:EJ6"/>
    <mergeCell ref="EK6:FK6"/>
    <mergeCell ref="FL6:FP6"/>
    <mergeCell ref="FQ6:FV6"/>
    <mergeCell ref="B46:I46"/>
    <mergeCell ref="B50:I50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50"/>
  <sheetViews>
    <sheetView workbookViewId="0">
      <pane xSplit="2" ySplit="10" topLeftCell="C11" activePane="bottomRight" state="frozen"/>
      <selection pane="bottomRight"/>
    </sheetView>
  </sheetViews>
  <sheetFormatPr defaultRowHeight="15" outlineLevelRow="0" outlineLevelCol="0" x14ac:dyDescent="55"/>
  <cols>
    <col min="3" max="3" width="22" customWidth="1"/>
    <col min="4" max="10" width="14" customWidth="1"/>
  </cols>
  <sheetData>
    <row r="1" ht="22" customHeight="1" spans="2:13" x14ac:dyDescent="0.25">
      <c r="B1" s="1" t="s">
        <v>328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8" customHeight="1" spans="2:13" x14ac:dyDescent="0.25">
      <c r="B2" s="2" t="s">
        <v>329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2:13" x14ac:dyDescent="0.2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5" spans="2:3" x14ac:dyDescent="0.25">
      <c r="B5" t="s">
        <v>320</v>
      </c>
      <c r="C5" s="11">
        <f>theta_L</f>
      </c>
    </row>
    <row r="6" spans="2:4" x14ac:dyDescent="0.25">
      <c r="B6" t="s">
        <v>330</v>
      </c>
      <c r="C6" s="11">
        <f>beta</f>
      </c>
      <c r="D6" s="5" t="s">
        <v>331</v>
      </c>
    </row>
    <row r="7" spans="2:4" x14ac:dyDescent="0.25">
      <c r="B7" t="s">
        <v>332</v>
      </c>
      <c r="C7" s="53">
        <f>0.000000001*MAX(MAX(MxMy_FixedP!$DJ$8:$EJ$44),-MIN(MxMy_FixedP!$DJ$8:$EJ$44),MAX(MxMy_FixedP!$EK$8:$FK$44),-MIN(MxMy_FixedP!$EK$8:$FK$44))</f>
      </c>
      <c r="D7" s="5" t="s">
        <v>333</v>
      </c>
    </row>
    <row r="8" spans="2:10" x14ac:dyDescent="0.25">
      <c r="B8" s="25" t="s">
        <v>334</v>
      </c>
      <c r="C8" s="25"/>
      <c r="D8" s="25" t="s">
        <v>335</v>
      </c>
      <c r="E8" s="25"/>
      <c r="F8" s="25"/>
      <c r="G8" s="25" t="s">
        <v>336</v>
      </c>
      <c r="H8" s="25"/>
      <c r="I8" s="25"/>
      <c r="J8" s="25" t="s">
        <v>337</v>
      </c>
    </row>
    <row r="9" ht="26" customHeight="1" spans="2:10" x14ac:dyDescent="0.25">
      <c r="B9" s="17" t="s">
        <v>199</v>
      </c>
      <c r="C9" s="17" t="s">
        <v>338</v>
      </c>
      <c r="D9" s="17" t="s">
        <v>339</v>
      </c>
      <c r="E9" s="17" t="s">
        <v>210</v>
      </c>
      <c r="F9" s="17" t="s">
        <v>340</v>
      </c>
      <c r="G9" s="17" t="s">
        <v>339</v>
      </c>
      <c r="H9" s="17" t="s">
        <v>210</v>
      </c>
      <c r="I9" s="17" t="s">
        <v>340</v>
      </c>
      <c r="J9" s="17" t="s">
        <v>341</v>
      </c>
    </row>
    <row r="10" spans="2:11" x14ac:dyDescent="0.25">
      <c r="B10" s="35" t="s">
        <v>216</v>
      </c>
      <c r="C10" s="54" t="s">
        <v>342</v>
      </c>
      <c r="D10" s="46">
        <f>IF($K10&lt;=Mtol,0,SUMPRODUCT(((((MxMy_FixedP!$DJ$8:$DJ$43)*SIN(RADIANS(theta_L))-(MxMy_FixedP!$EK$8:$EK$43)*COS(RADIANS(theta_L))))*(((MxMy_FixedP!$DJ$9:$DJ$44)*SIN(RADIANS(theta_L))-(MxMy_FixedP!$EK$9:$EK$44)*COS(RADIANS(theta_L))))&lt;=0)*((((MxMy_FixedP!$DJ$8:$DJ$43)*SIN(RADIANS(theta_L))-(MxMy_FixedP!$EK$8:$EK$43)*COS(RADIANS(theta_L))))&lt;&gt;(((MxMy_FixedP!$DJ$9:$DJ$44)*SIN(RADIANS(theta_L))-(MxMy_FixedP!$EK$9:$EK$44)*COS(RADIANS(theta_L)))))*((((MxMy_FixedP!$DJ$8:$DJ$43)+(((MxMy_FixedP!$DJ$8:$DJ$43)*SIN(RADIANS(theta_L))-(MxMy_FixedP!$EK$8:$EK$43)*COS(RADIANS(theta_L)))/((((MxMy_FixedP!$DJ$8:$DJ$43)*SIN(RADIANS(theta_L))-(MxMy_FixedP!$EK$8:$EK$43)*COS(RADIANS(theta_L))))-(((MxMy_FixedP!$DJ$9:$DJ$44)*SIN(RADIANS(theta_L))-(MxMy_FixedP!$EK$9:$EK$44)*COS(RADIANS(theta_L))))+((((MxMy_FixedP!$DJ$8:$DJ$43)*SIN(RADIANS(theta_L))-(MxMy_FixedP!$EK$8:$EK$43)*COS(RADIANS(theta_L))))=(((MxMy_FixedP!$DJ$9:$DJ$44)*SIN(RADIANS(theta_L))-(MxMy_FixedP!$EK$9:$EK$44)*COS(RADIANS(theta_L)))))))*((MxMy_FixedP!$DJ$9:$DJ$44)-(MxMy_FixedP!$DJ$8:$DJ$43)))*COS(RADIANS(theta_L))+((MxMy_FixedP!$EK$8:$EK$43)+(((MxMy_FixedP!$DJ$8:$DJ$43)*SIN(RADIANS(theta_L))-(MxMy_FixedP!$EK$8:$EK$43)*COS(RADIANS(theta_L)))/((((MxMy_FixedP!$DJ$8:$DJ$43)*SIN(RADIANS(theta_L))-(MxMy_FixedP!$EK$8:$EK$43)*COS(RADIANS(theta_L))))-(((MxMy_FixedP!$DJ$9:$DJ$44)*SIN(RADIANS(theta_L))-(MxMy_FixedP!$EK$9:$EK$44)*COS(RADIANS(theta_L))))+((((MxMy_FixedP!$DJ$8:$DJ$43)*SIN(RADIANS(theta_L))-(MxMy_FixedP!$EK$8:$EK$43)*COS(RADIANS(theta_L))))=(((MxMy_FixedP!$DJ$9:$DJ$44)*SIN(RADIANS(theta_L))-(MxMy_FixedP!$EK$9:$EK$44)*COS(RADIANS(theta_L)))))))*((MxMy_FixedP!$EK$9:$EK$44)-(MxMy_FixedP!$EK$8:$EK$43)))*SIN(RADIANS(theta_L)))&gt;0)))</f>
      </c>
      <c r="E10" s="10">
        <f>IF($K10&lt;=Mtol,MxMy_FixedP!$CI$8,IF(D10=0,"",SUMPRODUCT(((((MxMy_FixedP!$DJ$8:$DJ$43)*SIN(RADIANS(theta_L))-(MxMy_FixedP!$EK$8:$EK$43)*COS(RADIANS(theta_L))))*(((MxMy_FixedP!$DJ$9:$DJ$44)*SIN(RADIANS(theta_L))-(MxMy_FixedP!$EK$9:$EK$44)*COS(RADIANS(theta_L))))&lt;=0)*((((MxMy_FixedP!$DJ$8:$DJ$43)*SIN(RADIANS(theta_L))-(MxMy_FixedP!$EK$8:$EK$43)*COS(RADIANS(theta_L))))&lt;&gt;(((MxMy_FixedP!$DJ$9:$DJ$44)*SIN(RADIANS(theta_L))-(MxMy_FixedP!$EK$9:$EK$44)*COS(RADIANS(theta_L)))))*((((MxMy_FixedP!$DJ$8:$DJ$43)+(((MxMy_FixedP!$DJ$8:$DJ$43)*SIN(RADIANS(theta_L))-(MxMy_FixedP!$EK$8:$EK$43)*COS(RADIANS(theta_L)))/((((MxMy_FixedP!$DJ$8:$DJ$43)*SIN(RADIANS(theta_L))-(MxMy_FixedP!$EK$8:$EK$43)*COS(RADIANS(theta_L))))-(((MxMy_FixedP!$DJ$9:$DJ$44)*SIN(RADIANS(theta_L))-(MxMy_FixedP!$EK$9:$EK$44)*COS(RADIANS(theta_L))))+((((MxMy_FixedP!$DJ$8:$DJ$43)*SIN(RADIANS(theta_L))-(MxMy_FixedP!$EK$8:$EK$43)*COS(RADIANS(theta_L))))=(((MxMy_FixedP!$DJ$9:$DJ$44)*SIN(RADIANS(theta_L))-(MxMy_FixedP!$EK$9:$EK$44)*COS(RADIANS(theta_L)))))))*((MxMy_FixedP!$DJ$9:$DJ$44)-(MxMy_FixedP!$DJ$8:$DJ$43)))*COS(RADIANS(theta_L))+((MxMy_FixedP!$EK$8:$EK$43)+(((MxMy_FixedP!$DJ$8:$DJ$43)*SIN(RADIANS(theta_L))-(MxMy_FixedP!$EK$8:$EK$43)*COS(RADIANS(theta_L)))/((((MxMy_FixedP!$DJ$8:$DJ$43)*SIN(RADIANS(theta_L))-(MxMy_FixedP!$EK$8:$EK$43)*COS(RADIANS(theta_L))))-(((MxMy_FixedP!$DJ$9:$DJ$44)*SIN(RADIANS(theta_L))-(MxMy_FixedP!$EK$9:$EK$44)*COS(RADIANS(theta_L))))+((((MxMy_FixedP!$DJ$8:$DJ$43)*SIN(RADIANS(theta_L))-(MxMy_FixedP!$EK$8:$EK$43)*COS(RADIANS(theta_L))))=(((MxMy_FixedP!$DJ$9:$DJ$44)*SIN(RADIANS(theta_L))-(MxMy_FixedP!$EK$9:$EK$44)*COS(RADIANS(theta_L)))))))*((MxMy_FixedP!$EK$9:$EK$44)-(MxMy_FixedP!$EK$8:$EK$43)))*SIN(RADIANS(theta_L)))&gt;0),((MxMy_FixedP!$CI$8:$CI$43)+(((MxMy_FixedP!$DJ$8:$DJ$43)*SIN(RADIANS(theta_L))-(MxMy_FixedP!$EK$8:$EK$43)*COS(RADIANS(theta_L)))/((((MxMy_FixedP!$DJ$8:$DJ$43)*SIN(RADIANS(theta_L))-(MxMy_FixedP!$EK$8:$EK$43)*COS(RADIANS(theta_L))))-(((MxMy_FixedP!$DJ$9:$DJ$44)*SIN(RADIANS(theta_L))-(MxMy_FixedP!$EK$9:$EK$44)*COS(RADIANS(theta_L))))+((((MxMy_FixedP!$DJ$8:$DJ$43)*SIN(RADIANS(theta_L))-(MxMy_FixedP!$EK$8:$EK$43)*COS(RADIANS(theta_L))))=(((MxMy_FixedP!$DJ$9:$DJ$44)*SIN(RADIANS(theta_L))-(MxMy_FixedP!$EK$9:$EK$44)*COS(RADIANS(theta_L)))))))*((MxMy_FixedP!$CI$9:$CI$44)-(MxMy_FixedP!$CI$8:$CI$43))))/D10))</f>
      </c>
      <c r="F10" s="10">
        <f>IF($K10&lt;=Mtol,0,IF(D10=0,"",SUMPRODUCT(((((MxMy_FixedP!$DJ$8:$DJ$43)*SIN(RADIANS(theta_L))-(MxMy_FixedP!$EK$8:$EK$43)*COS(RADIANS(theta_L))))*(((MxMy_FixedP!$DJ$9:$DJ$44)*SIN(RADIANS(theta_L))-(MxMy_FixedP!$EK$9:$EK$44)*COS(RADIANS(theta_L))))&lt;=0)*((((MxMy_FixedP!$DJ$8:$DJ$43)*SIN(RADIANS(theta_L))-(MxMy_FixedP!$EK$8:$EK$43)*COS(RADIANS(theta_L))))&lt;&gt;(((MxMy_FixedP!$DJ$9:$DJ$44)*SIN(RADIANS(theta_L))-(MxMy_FixedP!$EK$9:$EK$44)*COS(RADIANS(theta_L)))))*((((MxMy_FixedP!$DJ$8:$DJ$43)+(((MxMy_FixedP!$DJ$8:$DJ$43)*SIN(RADIANS(theta_L))-(MxMy_FixedP!$EK$8:$EK$43)*COS(RADIANS(theta_L)))/((((MxMy_FixedP!$DJ$8:$DJ$43)*SIN(RADIANS(theta_L))-(MxMy_FixedP!$EK$8:$EK$43)*COS(RADIANS(theta_L))))-(((MxMy_FixedP!$DJ$9:$DJ$44)*SIN(RADIANS(theta_L))-(MxMy_FixedP!$EK$9:$EK$44)*COS(RADIANS(theta_L))))+((((MxMy_FixedP!$DJ$8:$DJ$43)*SIN(RADIANS(theta_L))-(MxMy_FixedP!$EK$8:$EK$43)*COS(RADIANS(theta_L))))=(((MxMy_FixedP!$DJ$9:$DJ$44)*SIN(RADIANS(theta_L))-(MxMy_FixedP!$EK$9:$EK$44)*COS(RADIANS(theta_L)))))))*((MxMy_FixedP!$DJ$9:$DJ$44)-(MxMy_FixedP!$DJ$8:$DJ$43)))*COS(RADIANS(theta_L))+((MxMy_FixedP!$EK$8:$EK$43)+(((MxMy_FixedP!$DJ$8:$DJ$43)*SIN(RADIANS(theta_L))-(MxMy_FixedP!$EK$8:$EK$43)*COS(RADIANS(theta_L)))/((((MxMy_FixedP!$DJ$8:$DJ$43)*SIN(RADIANS(theta_L))-(MxMy_FixedP!$EK$8:$EK$43)*COS(RADIANS(theta_L))))-(((MxMy_FixedP!$DJ$9:$DJ$44)*SIN(RADIANS(theta_L))-(MxMy_FixedP!$EK$9:$EK$44)*COS(RADIANS(theta_L))))+((((MxMy_FixedP!$DJ$8:$DJ$43)*SIN(RADIANS(theta_L))-(MxMy_FixedP!$EK$8:$EK$43)*COS(RADIANS(theta_L))))=(((MxMy_FixedP!$DJ$9:$DJ$44)*SIN(RADIANS(theta_L))-(MxMy_FixedP!$EK$9:$EK$44)*COS(RADIANS(theta_L)))))))*((MxMy_FixedP!$EK$9:$EK$44)-(MxMy_FixedP!$EK$8:$EK$43)))*SIN(RADIANS(theta_L)))&gt;0),(((MxMy_FixedP!$DJ$8:$DJ$43)+(((MxMy_FixedP!$DJ$8:$DJ$43)*SIN(RADIANS(theta_L))-(MxMy_FixedP!$EK$8:$EK$43)*COS(RADIANS(theta_L)))/((((MxMy_FixedP!$DJ$8:$DJ$43)*SIN(RADIANS(theta_L))-(MxMy_FixedP!$EK$8:$EK$43)*COS(RADIANS(theta_L))))-(((MxMy_FixedP!$DJ$9:$DJ$44)*SIN(RADIANS(theta_L))-(MxMy_FixedP!$EK$9:$EK$44)*COS(RADIANS(theta_L))))+((((MxMy_FixedP!$DJ$8:$DJ$43)*SIN(RADIANS(theta_L))-(MxMy_FixedP!$EK$8:$EK$43)*COS(RADIANS(theta_L))))=(((MxMy_FixedP!$DJ$9:$DJ$44)*SIN(RADIANS(theta_L))-(MxMy_FixedP!$EK$9:$EK$44)*COS(RADIANS(theta_L)))))))*((MxMy_FixedP!$DJ$9:$DJ$44)-(MxMy_FixedP!$DJ$8:$DJ$43)))*COS(RADIANS(theta_L))+((MxMy_FixedP!$EK$8:$EK$43)+(((MxMy_FixedP!$DJ$8:$DJ$43)*SIN(RADIANS(theta_L))-(MxMy_FixedP!$EK$8:$EK$43)*COS(RADIANS(theta_L)))/((((MxMy_FixedP!$DJ$8:$DJ$43)*SIN(RADIANS(theta_L))-(MxMy_FixedP!$EK$8:$EK$43)*COS(RADIANS(theta_L))))-(((MxMy_FixedP!$DJ$9:$DJ$44)*SIN(RADIANS(theta_L))-(MxMy_FixedP!$EK$9:$EK$44)*COS(RADIANS(theta_L))))+((((MxMy_FixedP!$DJ$8:$DJ$43)*SIN(RADIANS(theta_L))-(MxMy_FixedP!$EK$8:$EK$43)*COS(RADIANS(theta_L))))=(((MxMy_FixedP!$DJ$9:$DJ$44)*SIN(RADIANS(theta_L))-(MxMy_FixedP!$EK$9:$EK$44)*COS(RADIANS(theta_L)))))))*((MxMy_FixedP!$EK$9:$EK$44)-(MxMy_FixedP!$EK$8:$EK$43)))*SIN(RADIANS(theta_L))))/D10))</f>
      </c>
      <c r="G10" s="46">
        <f>IF($K10&lt;=Mtol,0,SUMPRODUCT(((((MxMy_FixedP!$DJ$8:$DJ$43)*SIN(RADIANS(theta_L))-(MxMy_FixedP!$EK$8:$EK$43)*COS(RADIANS(theta_L))))*(((MxMy_FixedP!$DJ$9:$DJ$44)*SIN(RADIANS(theta_L))-(MxMy_FixedP!$EK$9:$EK$44)*COS(RADIANS(theta_L))))&lt;=0)*((((MxMy_FixedP!$DJ$8:$DJ$43)*SIN(RADIANS(theta_L))-(MxMy_FixedP!$EK$8:$EK$43)*COS(RADIANS(theta_L))))&lt;&gt;(((MxMy_FixedP!$DJ$9:$DJ$44)*SIN(RADIANS(theta_L))-(MxMy_FixedP!$EK$9:$EK$44)*COS(RADIANS(theta_L)))))*((((MxMy_FixedP!$DJ$8:$DJ$43)+(((MxMy_FixedP!$DJ$8:$DJ$43)*SIN(RADIANS(theta_L))-(MxMy_FixedP!$EK$8:$EK$43)*COS(RADIANS(theta_L)))/((((MxMy_FixedP!$DJ$8:$DJ$43)*SIN(RADIANS(theta_L))-(MxMy_FixedP!$EK$8:$EK$43)*COS(RADIANS(theta_L))))-(((MxMy_FixedP!$DJ$9:$DJ$44)*SIN(RADIANS(theta_L))-(MxMy_FixedP!$EK$9:$EK$44)*COS(RADIANS(theta_L))))+((((MxMy_FixedP!$DJ$8:$DJ$43)*SIN(RADIANS(theta_L))-(MxMy_FixedP!$EK$8:$EK$43)*COS(RADIANS(theta_L))))=(((MxMy_FixedP!$DJ$9:$DJ$44)*SIN(RADIANS(theta_L))-(MxMy_FixedP!$EK$9:$EK$44)*COS(RADIANS(theta_L)))))))*((MxMy_FixedP!$DJ$9:$DJ$44)-(MxMy_FixedP!$DJ$8:$DJ$43)))*COS(RADIANS(theta_L))+((MxMy_FixedP!$EK$8:$EK$43)+(((MxMy_FixedP!$DJ$8:$DJ$43)*SIN(RADIANS(theta_L))-(MxMy_FixedP!$EK$8:$EK$43)*COS(RADIANS(theta_L)))/((((MxMy_FixedP!$DJ$8:$DJ$43)*SIN(RADIANS(theta_L))-(MxMy_FixedP!$EK$8:$EK$43)*COS(RADIANS(theta_L))))-(((MxMy_FixedP!$DJ$9:$DJ$44)*SIN(RADIANS(theta_L))-(MxMy_FixedP!$EK$9:$EK$44)*COS(RADIANS(theta_L))))+((((MxMy_FixedP!$DJ$8:$DJ$43)*SIN(RADIANS(theta_L))-(MxMy_FixedP!$EK$8:$EK$43)*COS(RADIANS(theta_L))))=(((MxMy_FixedP!$DJ$9:$DJ$44)*SIN(RADIANS(theta_L))-(MxMy_FixedP!$EK$9:$EK$44)*COS(RADIANS(theta_L)))))))*((MxMy_FixedP!$EK$9:$EK$44)-(MxMy_FixedP!$EK$8:$EK$43)))*SIN(RADIANS(theta_L)))&lt;0)))</f>
      </c>
      <c r="H10" s="10">
        <f>IF($K10&lt;=Mtol,MxMy_FixedP!$CI$8,IF(G10=0,"",SUMPRODUCT(((((MxMy_FixedP!$DJ$8:$DJ$43)*SIN(RADIANS(theta_L))-(MxMy_FixedP!$EK$8:$EK$43)*COS(RADIANS(theta_L))))*(((MxMy_FixedP!$DJ$9:$DJ$44)*SIN(RADIANS(theta_L))-(MxMy_FixedP!$EK$9:$EK$44)*COS(RADIANS(theta_L))))&lt;=0)*((((MxMy_FixedP!$DJ$8:$DJ$43)*SIN(RADIANS(theta_L))-(MxMy_FixedP!$EK$8:$EK$43)*COS(RADIANS(theta_L))))&lt;&gt;(((MxMy_FixedP!$DJ$9:$DJ$44)*SIN(RADIANS(theta_L))-(MxMy_FixedP!$EK$9:$EK$44)*COS(RADIANS(theta_L)))))*((((MxMy_FixedP!$DJ$8:$DJ$43)+(((MxMy_FixedP!$DJ$8:$DJ$43)*SIN(RADIANS(theta_L))-(MxMy_FixedP!$EK$8:$EK$43)*COS(RADIANS(theta_L)))/((((MxMy_FixedP!$DJ$8:$DJ$43)*SIN(RADIANS(theta_L))-(MxMy_FixedP!$EK$8:$EK$43)*COS(RADIANS(theta_L))))-(((MxMy_FixedP!$DJ$9:$DJ$44)*SIN(RADIANS(theta_L))-(MxMy_FixedP!$EK$9:$EK$44)*COS(RADIANS(theta_L))))+((((MxMy_FixedP!$DJ$8:$DJ$43)*SIN(RADIANS(theta_L))-(MxMy_FixedP!$EK$8:$EK$43)*COS(RADIANS(theta_L))))=(((MxMy_FixedP!$DJ$9:$DJ$44)*SIN(RADIANS(theta_L))-(MxMy_FixedP!$EK$9:$EK$44)*COS(RADIANS(theta_L)))))))*((MxMy_FixedP!$DJ$9:$DJ$44)-(MxMy_FixedP!$DJ$8:$DJ$43)))*COS(RADIANS(theta_L))+((MxMy_FixedP!$EK$8:$EK$43)+(((MxMy_FixedP!$DJ$8:$DJ$43)*SIN(RADIANS(theta_L))-(MxMy_FixedP!$EK$8:$EK$43)*COS(RADIANS(theta_L)))/((((MxMy_FixedP!$DJ$8:$DJ$43)*SIN(RADIANS(theta_L))-(MxMy_FixedP!$EK$8:$EK$43)*COS(RADIANS(theta_L))))-(((MxMy_FixedP!$DJ$9:$DJ$44)*SIN(RADIANS(theta_L))-(MxMy_FixedP!$EK$9:$EK$44)*COS(RADIANS(theta_L))))+((((MxMy_FixedP!$DJ$8:$DJ$43)*SIN(RADIANS(theta_L))-(MxMy_FixedP!$EK$8:$EK$43)*COS(RADIANS(theta_L))))=(((MxMy_FixedP!$DJ$9:$DJ$44)*SIN(RADIANS(theta_L))-(MxMy_FixedP!$EK$9:$EK$44)*COS(RADIANS(theta_L)))))))*((MxMy_FixedP!$EK$9:$EK$44)-(MxMy_FixedP!$EK$8:$EK$43)))*SIN(RADIANS(theta_L)))&lt;0),((MxMy_FixedP!$CI$8:$CI$43)+(((MxMy_FixedP!$DJ$8:$DJ$43)*SIN(RADIANS(theta_L))-(MxMy_FixedP!$EK$8:$EK$43)*COS(RADIANS(theta_L)))/((((MxMy_FixedP!$DJ$8:$DJ$43)*SIN(RADIANS(theta_L))-(MxMy_FixedP!$EK$8:$EK$43)*COS(RADIANS(theta_L))))-(((MxMy_FixedP!$DJ$9:$DJ$44)*SIN(RADIANS(theta_L))-(MxMy_FixedP!$EK$9:$EK$44)*COS(RADIANS(theta_L))))+((((MxMy_FixedP!$DJ$8:$DJ$43)*SIN(RADIANS(theta_L))-(MxMy_FixedP!$EK$8:$EK$43)*COS(RADIANS(theta_L))))=(((MxMy_FixedP!$DJ$9:$DJ$44)*SIN(RADIANS(theta_L))-(MxMy_FixedP!$EK$9:$EK$44)*COS(RADIANS(theta_L)))))))*((MxMy_FixedP!$CI$9:$CI$44)-(MxMy_FixedP!$CI$8:$CI$43))))/G10))</f>
      </c>
      <c r="I10" s="10">
        <f>IF($K10&lt;=Mtol,0,IF(G10=0,"",SUMPRODUCT(((((MxMy_FixedP!$DJ$8:$DJ$43)*SIN(RADIANS(theta_L))-(MxMy_FixedP!$EK$8:$EK$43)*COS(RADIANS(theta_L))))*(((MxMy_FixedP!$DJ$9:$DJ$44)*SIN(RADIANS(theta_L))-(MxMy_FixedP!$EK$9:$EK$44)*COS(RADIANS(theta_L))))&lt;=0)*((((MxMy_FixedP!$DJ$8:$DJ$43)*SIN(RADIANS(theta_L))-(MxMy_FixedP!$EK$8:$EK$43)*COS(RADIANS(theta_L))))&lt;&gt;(((MxMy_FixedP!$DJ$9:$DJ$44)*SIN(RADIANS(theta_L))-(MxMy_FixedP!$EK$9:$EK$44)*COS(RADIANS(theta_L)))))*((((MxMy_FixedP!$DJ$8:$DJ$43)+(((MxMy_FixedP!$DJ$8:$DJ$43)*SIN(RADIANS(theta_L))-(MxMy_FixedP!$EK$8:$EK$43)*COS(RADIANS(theta_L)))/((((MxMy_FixedP!$DJ$8:$DJ$43)*SIN(RADIANS(theta_L))-(MxMy_FixedP!$EK$8:$EK$43)*COS(RADIANS(theta_L))))-(((MxMy_FixedP!$DJ$9:$DJ$44)*SIN(RADIANS(theta_L))-(MxMy_FixedP!$EK$9:$EK$44)*COS(RADIANS(theta_L))))+((((MxMy_FixedP!$DJ$8:$DJ$43)*SIN(RADIANS(theta_L))-(MxMy_FixedP!$EK$8:$EK$43)*COS(RADIANS(theta_L))))=(((MxMy_FixedP!$DJ$9:$DJ$44)*SIN(RADIANS(theta_L))-(MxMy_FixedP!$EK$9:$EK$44)*COS(RADIANS(theta_L)))))))*((MxMy_FixedP!$DJ$9:$DJ$44)-(MxMy_FixedP!$DJ$8:$DJ$43)))*COS(RADIANS(theta_L))+((MxMy_FixedP!$EK$8:$EK$43)+(((MxMy_FixedP!$DJ$8:$DJ$43)*SIN(RADIANS(theta_L))-(MxMy_FixedP!$EK$8:$EK$43)*COS(RADIANS(theta_L)))/((((MxMy_FixedP!$DJ$8:$DJ$43)*SIN(RADIANS(theta_L))-(MxMy_FixedP!$EK$8:$EK$43)*COS(RADIANS(theta_L))))-(((MxMy_FixedP!$DJ$9:$DJ$44)*SIN(RADIANS(theta_L))-(MxMy_FixedP!$EK$9:$EK$44)*COS(RADIANS(theta_L))))+((((MxMy_FixedP!$DJ$8:$DJ$43)*SIN(RADIANS(theta_L))-(MxMy_FixedP!$EK$8:$EK$43)*COS(RADIANS(theta_L))))=(((MxMy_FixedP!$DJ$9:$DJ$44)*SIN(RADIANS(theta_L))-(MxMy_FixedP!$EK$9:$EK$44)*COS(RADIANS(theta_L)))))))*((MxMy_FixedP!$EK$9:$EK$44)-(MxMy_FixedP!$EK$8:$EK$43)))*SIN(RADIANS(theta_L)))&lt;0),(((MxMy_FixedP!$DJ$8:$DJ$43)+(((MxMy_FixedP!$DJ$8:$DJ$43)*SIN(RADIANS(theta_L))-(MxMy_FixedP!$EK$8:$EK$43)*COS(RADIANS(theta_L)))/((((MxMy_FixedP!$DJ$8:$DJ$43)*SIN(RADIANS(theta_L))-(MxMy_FixedP!$EK$8:$EK$43)*COS(RADIANS(theta_L))))-(((MxMy_FixedP!$DJ$9:$DJ$44)*SIN(RADIANS(theta_L))-(MxMy_FixedP!$EK$9:$EK$44)*COS(RADIANS(theta_L))))+((((MxMy_FixedP!$DJ$8:$DJ$43)*SIN(RADIANS(theta_L))-(MxMy_FixedP!$EK$8:$EK$43)*COS(RADIANS(theta_L))))=(((MxMy_FixedP!$DJ$9:$DJ$44)*SIN(RADIANS(theta_L))-(MxMy_FixedP!$EK$9:$EK$44)*COS(RADIANS(theta_L)))))))*((MxMy_FixedP!$DJ$9:$DJ$44)-(MxMy_FixedP!$DJ$8:$DJ$43)))*COS(RADIANS(theta_L))+((MxMy_FixedP!$EK$8:$EK$43)+(((MxMy_FixedP!$DJ$8:$DJ$43)*SIN(RADIANS(theta_L))-(MxMy_FixedP!$EK$8:$EK$43)*COS(RADIANS(theta_L)))/((((MxMy_FixedP!$DJ$8:$DJ$43)*SIN(RADIANS(theta_L))-(MxMy_FixedP!$EK$8:$EK$43)*COS(RADIANS(theta_L))))-(((MxMy_FixedP!$DJ$9:$DJ$44)*SIN(RADIANS(theta_L))-(MxMy_FixedP!$EK$9:$EK$44)*COS(RADIANS(theta_L))))+((((MxMy_FixedP!$DJ$8:$DJ$43)*SIN(RADIANS(theta_L))-(MxMy_FixedP!$EK$8:$EK$43)*COS(RADIANS(theta_L))))=(((MxMy_FixedP!$DJ$9:$DJ$44)*SIN(RADIANS(theta_L))-(MxMy_FixedP!$EK$9:$EK$44)*COS(RADIANS(theta_L)))))))*((MxMy_FixedP!$EK$9:$EK$44)-(MxMy_FixedP!$EK$8:$EK$43)))*SIN(RADIANS(theta_L))))/G10))</f>
      </c>
      <c r="J10">
        <f>IF($K10&lt;=Mtol,"pole",IF(AND(D10&gt;=1,G10&gt;=1),"ok","CHECK: "&amp;D10&amp;"/"&amp;G10&amp;" cuts"))</f>
      </c>
      <c r="K10" s="18">
        <v>5.261048483211339e-12</v>
      </c>
    </row>
    <row r="11" spans="2:11" x14ac:dyDescent="0.25">
      <c r="B11" s="35" t="s">
        <v>218</v>
      </c>
      <c r="C11" s="54" t="s">
        <v>343</v>
      </c>
      <c r="D11" s="46">
        <f>IF($K11&lt;=Mtol,0,SUMPRODUCT(((((MxMy_FixedP!$DK$8:$DK$43)*SIN(RADIANS(theta_L))-(MxMy_FixedP!$EL$8:$EL$43)*COS(RADIANS(theta_L))))*(((MxMy_FixedP!$DK$9:$DK$44)*SIN(RADIANS(theta_L))-(MxMy_FixedP!$EL$9:$EL$44)*COS(RADIANS(theta_L))))&lt;=0)*((((MxMy_FixedP!$DK$8:$DK$43)*SIN(RADIANS(theta_L))-(MxMy_FixedP!$EL$8:$EL$43)*COS(RADIANS(theta_L))))&lt;&gt;(((MxMy_FixedP!$DK$9:$DK$44)*SIN(RADIANS(theta_L))-(MxMy_FixedP!$EL$9:$EL$44)*COS(RADIANS(theta_L)))))*((((MxMy_FixedP!$DK$8:$DK$43)+(((MxMy_FixedP!$DK$8:$DK$43)*SIN(RADIANS(theta_L))-(MxMy_FixedP!$EL$8:$EL$43)*COS(RADIANS(theta_L)))/((((MxMy_FixedP!$DK$8:$DK$43)*SIN(RADIANS(theta_L))-(MxMy_FixedP!$EL$8:$EL$43)*COS(RADIANS(theta_L))))-(((MxMy_FixedP!$DK$9:$DK$44)*SIN(RADIANS(theta_L))-(MxMy_FixedP!$EL$9:$EL$44)*COS(RADIANS(theta_L))))+((((MxMy_FixedP!$DK$8:$DK$43)*SIN(RADIANS(theta_L))-(MxMy_FixedP!$EL$8:$EL$43)*COS(RADIANS(theta_L))))=(((MxMy_FixedP!$DK$9:$DK$44)*SIN(RADIANS(theta_L))-(MxMy_FixedP!$EL$9:$EL$44)*COS(RADIANS(theta_L)))))))*((MxMy_FixedP!$DK$9:$DK$44)-(MxMy_FixedP!$DK$8:$DK$43)))*COS(RADIANS(theta_L))+((MxMy_FixedP!$EL$8:$EL$43)+(((MxMy_FixedP!$DK$8:$DK$43)*SIN(RADIANS(theta_L))-(MxMy_FixedP!$EL$8:$EL$43)*COS(RADIANS(theta_L)))/((((MxMy_FixedP!$DK$8:$DK$43)*SIN(RADIANS(theta_L))-(MxMy_FixedP!$EL$8:$EL$43)*COS(RADIANS(theta_L))))-(((MxMy_FixedP!$DK$9:$DK$44)*SIN(RADIANS(theta_L))-(MxMy_FixedP!$EL$9:$EL$44)*COS(RADIANS(theta_L))))+((((MxMy_FixedP!$DK$8:$DK$43)*SIN(RADIANS(theta_L))-(MxMy_FixedP!$EL$8:$EL$43)*COS(RADIANS(theta_L))))=(((MxMy_FixedP!$DK$9:$DK$44)*SIN(RADIANS(theta_L))-(MxMy_FixedP!$EL$9:$EL$44)*COS(RADIANS(theta_L)))))))*((MxMy_FixedP!$EL$9:$EL$44)-(MxMy_FixedP!$EL$8:$EL$43)))*SIN(RADIANS(theta_L)))&gt;0)))</f>
      </c>
      <c r="E11" s="10">
        <f>IF($K11&lt;=Mtol,MxMy_FixedP!$CJ$8,IF(D11=0,"",SUMPRODUCT(((((MxMy_FixedP!$DK$8:$DK$43)*SIN(RADIANS(theta_L))-(MxMy_FixedP!$EL$8:$EL$43)*COS(RADIANS(theta_L))))*(((MxMy_FixedP!$DK$9:$DK$44)*SIN(RADIANS(theta_L))-(MxMy_FixedP!$EL$9:$EL$44)*COS(RADIANS(theta_L))))&lt;=0)*((((MxMy_FixedP!$DK$8:$DK$43)*SIN(RADIANS(theta_L))-(MxMy_FixedP!$EL$8:$EL$43)*COS(RADIANS(theta_L))))&lt;&gt;(((MxMy_FixedP!$DK$9:$DK$44)*SIN(RADIANS(theta_L))-(MxMy_FixedP!$EL$9:$EL$44)*COS(RADIANS(theta_L)))))*((((MxMy_FixedP!$DK$8:$DK$43)+(((MxMy_FixedP!$DK$8:$DK$43)*SIN(RADIANS(theta_L))-(MxMy_FixedP!$EL$8:$EL$43)*COS(RADIANS(theta_L)))/((((MxMy_FixedP!$DK$8:$DK$43)*SIN(RADIANS(theta_L))-(MxMy_FixedP!$EL$8:$EL$43)*COS(RADIANS(theta_L))))-(((MxMy_FixedP!$DK$9:$DK$44)*SIN(RADIANS(theta_L))-(MxMy_FixedP!$EL$9:$EL$44)*COS(RADIANS(theta_L))))+((((MxMy_FixedP!$DK$8:$DK$43)*SIN(RADIANS(theta_L))-(MxMy_FixedP!$EL$8:$EL$43)*COS(RADIANS(theta_L))))=(((MxMy_FixedP!$DK$9:$DK$44)*SIN(RADIANS(theta_L))-(MxMy_FixedP!$EL$9:$EL$44)*COS(RADIANS(theta_L)))))))*((MxMy_FixedP!$DK$9:$DK$44)-(MxMy_FixedP!$DK$8:$DK$43)))*COS(RADIANS(theta_L))+((MxMy_FixedP!$EL$8:$EL$43)+(((MxMy_FixedP!$DK$8:$DK$43)*SIN(RADIANS(theta_L))-(MxMy_FixedP!$EL$8:$EL$43)*COS(RADIANS(theta_L)))/((((MxMy_FixedP!$DK$8:$DK$43)*SIN(RADIANS(theta_L))-(MxMy_FixedP!$EL$8:$EL$43)*COS(RADIANS(theta_L))))-(((MxMy_FixedP!$DK$9:$DK$44)*SIN(RADIANS(theta_L))-(MxMy_FixedP!$EL$9:$EL$44)*COS(RADIANS(theta_L))))+((((MxMy_FixedP!$DK$8:$DK$43)*SIN(RADIANS(theta_L))-(MxMy_FixedP!$EL$8:$EL$43)*COS(RADIANS(theta_L))))=(((MxMy_FixedP!$DK$9:$DK$44)*SIN(RADIANS(theta_L))-(MxMy_FixedP!$EL$9:$EL$44)*COS(RADIANS(theta_L)))))))*((MxMy_FixedP!$EL$9:$EL$44)-(MxMy_FixedP!$EL$8:$EL$43)))*SIN(RADIANS(theta_L)))&gt;0),((MxMy_FixedP!$CJ$8:$CJ$43)+(((MxMy_FixedP!$DK$8:$DK$43)*SIN(RADIANS(theta_L))-(MxMy_FixedP!$EL$8:$EL$43)*COS(RADIANS(theta_L)))/((((MxMy_FixedP!$DK$8:$DK$43)*SIN(RADIANS(theta_L))-(MxMy_FixedP!$EL$8:$EL$43)*COS(RADIANS(theta_L))))-(((MxMy_FixedP!$DK$9:$DK$44)*SIN(RADIANS(theta_L))-(MxMy_FixedP!$EL$9:$EL$44)*COS(RADIANS(theta_L))))+((((MxMy_FixedP!$DK$8:$DK$43)*SIN(RADIANS(theta_L))-(MxMy_FixedP!$EL$8:$EL$43)*COS(RADIANS(theta_L))))=(((MxMy_FixedP!$DK$9:$DK$44)*SIN(RADIANS(theta_L))-(MxMy_FixedP!$EL$9:$EL$44)*COS(RADIANS(theta_L)))))))*((MxMy_FixedP!$CJ$9:$CJ$44)-(MxMy_FixedP!$CJ$8:$CJ$43))))/D11))</f>
      </c>
      <c r="F11" s="10">
        <f>IF($K11&lt;=Mtol,0,IF(D11=0,"",SUMPRODUCT(((((MxMy_FixedP!$DK$8:$DK$43)*SIN(RADIANS(theta_L))-(MxMy_FixedP!$EL$8:$EL$43)*COS(RADIANS(theta_L))))*(((MxMy_FixedP!$DK$9:$DK$44)*SIN(RADIANS(theta_L))-(MxMy_FixedP!$EL$9:$EL$44)*COS(RADIANS(theta_L))))&lt;=0)*((((MxMy_FixedP!$DK$8:$DK$43)*SIN(RADIANS(theta_L))-(MxMy_FixedP!$EL$8:$EL$43)*COS(RADIANS(theta_L))))&lt;&gt;(((MxMy_FixedP!$DK$9:$DK$44)*SIN(RADIANS(theta_L))-(MxMy_FixedP!$EL$9:$EL$44)*COS(RADIANS(theta_L)))))*((((MxMy_FixedP!$DK$8:$DK$43)+(((MxMy_FixedP!$DK$8:$DK$43)*SIN(RADIANS(theta_L))-(MxMy_FixedP!$EL$8:$EL$43)*COS(RADIANS(theta_L)))/((((MxMy_FixedP!$DK$8:$DK$43)*SIN(RADIANS(theta_L))-(MxMy_FixedP!$EL$8:$EL$43)*COS(RADIANS(theta_L))))-(((MxMy_FixedP!$DK$9:$DK$44)*SIN(RADIANS(theta_L))-(MxMy_FixedP!$EL$9:$EL$44)*COS(RADIANS(theta_L))))+((((MxMy_FixedP!$DK$8:$DK$43)*SIN(RADIANS(theta_L))-(MxMy_FixedP!$EL$8:$EL$43)*COS(RADIANS(theta_L))))=(((MxMy_FixedP!$DK$9:$DK$44)*SIN(RADIANS(theta_L))-(MxMy_FixedP!$EL$9:$EL$44)*COS(RADIANS(theta_L)))))))*((MxMy_FixedP!$DK$9:$DK$44)-(MxMy_FixedP!$DK$8:$DK$43)))*COS(RADIANS(theta_L))+((MxMy_FixedP!$EL$8:$EL$43)+(((MxMy_FixedP!$DK$8:$DK$43)*SIN(RADIANS(theta_L))-(MxMy_FixedP!$EL$8:$EL$43)*COS(RADIANS(theta_L)))/((((MxMy_FixedP!$DK$8:$DK$43)*SIN(RADIANS(theta_L))-(MxMy_FixedP!$EL$8:$EL$43)*COS(RADIANS(theta_L))))-(((MxMy_FixedP!$DK$9:$DK$44)*SIN(RADIANS(theta_L))-(MxMy_FixedP!$EL$9:$EL$44)*COS(RADIANS(theta_L))))+((((MxMy_FixedP!$DK$8:$DK$43)*SIN(RADIANS(theta_L))-(MxMy_FixedP!$EL$8:$EL$43)*COS(RADIANS(theta_L))))=(((MxMy_FixedP!$DK$9:$DK$44)*SIN(RADIANS(theta_L))-(MxMy_FixedP!$EL$9:$EL$44)*COS(RADIANS(theta_L)))))))*((MxMy_FixedP!$EL$9:$EL$44)-(MxMy_FixedP!$EL$8:$EL$43)))*SIN(RADIANS(theta_L)))&gt;0),(((MxMy_FixedP!$DK$8:$DK$43)+(((MxMy_FixedP!$DK$8:$DK$43)*SIN(RADIANS(theta_L))-(MxMy_FixedP!$EL$8:$EL$43)*COS(RADIANS(theta_L)))/((((MxMy_FixedP!$DK$8:$DK$43)*SIN(RADIANS(theta_L))-(MxMy_FixedP!$EL$8:$EL$43)*COS(RADIANS(theta_L))))-(((MxMy_FixedP!$DK$9:$DK$44)*SIN(RADIANS(theta_L))-(MxMy_FixedP!$EL$9:$EL$44)*COS(RADIANS(theta_L))))+((((MxMy_FixedP!$DK$8:$DK$43)*SIN(RADIANS(theta_L))-(MxMy_FixedP!$EL$8:$EL$43)*COS(RADIANS(theta_L))))=(((MxMy_FixedP!$DK$9:$DK$44)*SIN(RADIANS(theta_L))-(MxMy_FixedP!$EL$9:$EL$44)*COS(RADIANS(theta_L)))))))*((MxMy_FixedP!$DK$9:$DK$44)-(MxMy_FixedP!$DK$8:$DK$43)))*COS(RADIANS(theta_L))+((MxMy_FixedP!$EL$8:$EL$43)+(((MxMy_FixedP!$DK$8:$DK$43)*SIN(RADIANS(theta_L))-(MxMy_FixedP!$EL$8:$EL$43)*COS(RADIANS(theta_L)))/((((MxMy_FixedP!$DK$8:$DK$43)*SIN(RADIANS(theta_L))-(MxMy_FixedP!$EL$8:$EL$43)*COS(RADIANS(theta_L))))-(((MxMy_FixedP!$DK$9:$DK$44)*SIN(RADIANS(theta_L))-(MxMy_FixedP!$EL$9:$EL$44)*COS(RADIANS(theta_L))))+((((MxMy_FixedP!$DK$8:$DK$43)*SIN(RADIANS(theta_L))-(MxMy_FixedP!$EL$8:$EL$43)*COS(RADIANS(theta_L))))=(((MxMy_FixedP!$DK$9:$DK$44)*SIN(RADIANS(theta_L))-(MxMy_FixedP!$EL$9:$EL$44)*COS(RADIANS(theta_L)))))))*((MxMy_FixedP!$EL$9:$EL$44)-(MxMy_FixedP!$EL$8:$EL$43)))*SIN(RADIANS(theta_L))))/D11))</f>
      </c>
      <c r="G11" s="46">
        <f>IF($K11&lt;=Mtol,0,SUMPRODUCT(((((MxMy_FixedP!$DK$8:$DK$43)*SIN(RADIANS(theta_L))-(MxMy_FixedP!$EL$8:$EL$43)*COS(RADIANS(theta_L))))*(((MxMy_FixedP!$DK$9:$DK$44)*SIN(RADIANS(theta_L))-(MxMy_FixedP!$EL$9:$EL$44)*COS(RADIANS(theta_L))))&lt;=0)*((((MxMy_FixedP!$DK$8:$DK$43)*SIN(RADIANS(theta_L))-(MxMy_FixedP!$EL$8:$EL$43)*COS(RADIANS(theta_L))))&lt;&gt;(((MxMy_FixedP!$DK$9:$DK$44)*SIN(RADIANS(theta_L))-(MxMy_FixedP!$EL$9:$EL$44)*COS(RADIANS(theta_L)))))*((((MxMy_FixedP!$DK$8:$DK$43)+(((MxMy_FixedP!$DK$8:$DK$43)*SIN(RADIANS(theta_L))-(MxMy_FixedP!$EL$8:$EL$43)*COS(RADIANS(theta_L)))/((((MxMy_FixedP!$DK$8:$DK$43)*SIN(RADIANS(theta_L))-(MxMy_FixedP!$EL$8:$EL$43)*COS(RADIANS(theta_L))))-(((MxMy_FixedP!$DK$9:$DK$44)*SIN(RADIANS(theta_L))-(MxMy_FixedP!$EL$9:$EL$44)*COS(RADIANS(theta_L))))+((((MxMy_FixedP!$DK$8:$DK$43)*SIN(RADIANS(theta_L))-(MxMy_FixedP!$EL$8:$EL$43)*COS(RADIANS(theta_L))))=(((MxMy_FixedP!$DK$9:$DK$44)*SIN(RADIANS(theta_L))-(MxMy_FixedP!$EL$9:$EL$44)*COS(RADIANS(theta_L)))))))*((MxMy_FixedP!$DK$9:$DK$44)-(MxMy_FixedP!$DK$8:$DK$43)))*COS(RADIANS(theta_L))+((MxMy_FixedP!$EL$8:$EL$43)+(((MxMy_FixedP!$DK$8:$DK$43)*SIN(RADIANS(theta_L))-(MxMy_FixedP!$EL$8:$EL$43)*COS(RADIANS(theta_L)))/((((MxMy_FixedP!$DK$8:$DK$43)*SIN(RADIANS(theta_L))-(MxMy_FixedP!$EL$8:$EL$43)*COS(RADIANS(theta_L))))-(((MxMy_FixedP!$DK$9:$DK$44)*SIN(RADIANS(theta_L))-(MxMy_FixedP!$EL$9:$EL$44)*COS(RADIANS(theta_L))))+((((MxMy_FixedP!$DK$8:$DK$43)*SIN(RADIANS(theta_L))-(MxMy_FixedP!$EL$8:$EL$43)*COS(RADIANS(theta_L))))=(((MxMy_FixedP!$DK$9:$DK$44)*SIN(RADIANS(theta_L))-(MxMy_FixedP!$EL$9:$EL$44)*COS(RADIANS(theta_L)))))))*((MxMy_FixedP!$EL$9:$EL$44)-(MxMy_FixedP!$EL$8:$EL$43)))*SIN(RADIANS(theta_L)))&lt;0)))</f>
      </c>
      <c r="H11" s="10">
        <f>IF($K11&lt;=Mtol,MxMy_FixedP!$CJ$8,IF(G11=0,"",SUMPRODUCT(((((MxMy_FixedP!$DK$8:$DK$43)*SIN(RADIANS(theta_L))-(MxMy_FixedP!$EL$8:$EL$43)*COS(RADIANS(theta_L))))*(((MxMy_FixedP!$DK$9:$DK$44)*SIN(RADIANS(theta_L))-(MxMy_FixedP!$EL$9:$EL$44)*COS(RADIANS(theta_L))))&lt;=0)*((((MxMy_FixedP!$DK$8:$DK$43)*SIN(RADIANS(theta_L))-(MxMy_FixedP!$EL$8:$EL$43)*COS(RADIANS(theta_L))))&lt;&gt;(((MxMy_FixedP!$DK$9:$DK$44)*SIN(RADIANS(theta_L))-(MxMy_FixedP!$EL$9:$EL$44)*COS(RADIANS(theta_L)))))*((((MxMy_FixedP!$DK$8:$DK$43)+(((MxMy_FixedP!$DK$8:$DK$43)*SIN(RADIANS(theta_L))-(MxMy_FixedP!$EL$8:$EL$43)*COS(RADIANS(theta_L)))/((((MxMy_FixedP!$DK$8:$DK$43)*SIN(RADIANS(theta_L))-(MxMy_FixedP!$EL$8:$EL$43)*COS(RADIANS(theta_L))))-(((MxMy_FixedP!$DK$9:$DK$44)*SIN(RADIANS(theta_L))-(MxMy_FixedP!$EL$9:$EL$44)*COS(RADIANS(theta_L))))+((((MxMy_FixedP!$DK$8:$DK$43)*SIN(RADIANS(theta_L))-(MxMy_FixedP!$EL$8:$EL$43)*COS(RADIANS(theta_L))))=(((MxMy_FixedP!$DK$9:$DK$44)*SIN(RADIANS(theta_L))-(MxMy_FixedP!$EL$9:$EL$44)*COS(RADIANS(theta_L)))))))*((MxMy_FixedP!$DK$9:$DK$44)-(MxMy_FixedP!$DK$8:$DK$43)))*COS(RADIANS(theta_L))+((MxMy_FixedP!$EL$8:$EL$43)+(((MxMy_FixedP!$DK$8:$DK$43)*SIN(RADIANS(theta_L))-(MxMy_FixedP!$EL$8:$EL$43)*COS(RADIANS(theta_L)))/((((MxMy_FixedP!$DK$8:$DK$43)*SIN(RADIANS(theta_L))-(MxMy_FixedP!$EL$8:$EL$43)*COS(RADIANS(theta_L))))-(((MxMy_FixedP!$DK$9:$DK$44)*SIN(RADIANS(theta_L))-(MxMy_FixedP!$EL$9:$EL$44)*COS(RADIANS(theta_L))))+((((MxMy_FixedP!$DK$8:$DK$43)*SIN(RADIANS(theta_L))-(MxMy_FixedP!$EL$8:$EL$43)*COS(RADIANS(theta_L))))=(((MxMy_FixedP!$DK$9:$DK$44)*SIN(RADIANS(theta_L))-(MxMy_FixedP!$EL$9:$EL$44)*COS(RADIANS(theta_L)))))))*((MxMy_FixedP!$EL$9:$EL$44)-(MxMy_FixedP!$EL$8:$EL$43)))*SIN(RADIANS(theta_L)))&lt;0),((MxMy_FixedP!$CJ$8:$CJ$43)+(((MxMy_FixedP!$DK$8:$DK$43)*SIN(RADIANS(theta_L))-(MxMy_FixedP!$EL$8:$EL$43)*COS(RADIANS(theta_L)))/((((MxMy_FixedP!$DK$8:$DK$43)*SIN(RADIANS(theta_L))-(MxMy_FixedP!$EL$8:$EL$43)*COS(RADIANS(theta_L))))-(((MxMy_FixedP!$DK$9:$DK$44)*SIN(RADIANS(theta_L))-(MxMy_FixedP!$EL$9:$EL$44)*COS(RADIANS(theta_L))))+((((MxMy_FixedP!$DK$8:$DK$43)*SIN(RADIANS(theta_L))-(MxMy_FixedP!$EL$8:$EL$43)*COS(RADIANS(theta_L))))=(((MxMy_FixedP!$DK$9:$DK$44)*SIN(RADIANS(theta_L))-(MxMy_FixedP!$EL$9:$EL$44)*COS(RADIANS(theta_L)))))))*((MxMy_FixedP!$CJ$9:$CJ$44)-(MxMy_FixedP!$CJ$8:$CJ$43))))/G11))</f>
      </c>
      <c r="I11" s="10">
        <f>IF($K11&lt;=Mtol,0,IF(G11=0,"",SUMPRODUCT(((((MxMy_FixedP!$DK$8:$DK$43)*SIN(RADIANS(theta_L))-(MxMy_FixedP!$EL$8:$EL$43)*COS(RADIANS(theta_L))))*(((MxMy_FixedP!$DK$9:$DK$44)*SIN(RADIANS(theta_L))-(MxMy_FixedP!$EL$9:$EL$44)*COS(RADIANS(theta_L))))&lt;=0)*((((MxMy_FixedP!$DK$8:$DK$43)*SIN(RADIANS(theta_L))-(MxMy_FixedP!$EL$8:$EL$43)*COS(RADIANS(theta_L))))&lt;&gt;(((MxMy_FixedP!$DK$9:$DK$44)*SIN(RADIANS(theta_L))-(MxMy_FixedP!$EL$9:$EL$44)*COS(RADIANS(theta_L)))))*((((MxMy_FixedP!$DK$8:$DK$43)+(((MxMy_FixedP!$DK$8:$DK$43)*SIN(RADIANS(theta_L))-(MxMy_FixedP!$EL$8:$EL$43)*COS(RADIANS(theta_L)))/((((MxMy_FixedP!$DK$8:$DK$43)*SIN(RADIANS(theta_L))-(MxMy_FixedP!$EL$8:$EL$43)*COS(RADIANS(theta_L))))-(((MxMy_FixedP!$DK$9:$DK$44)*SIN(RADIANS(theta_L))-(MxMy_FixedP!$EL$9:$EL$44)*COS(RADIANS(theta_L))))+((((MxMy_FixedP!$DK$8:$DK$43)*SIN(RADIANS(theta_L))-(MxMy_FixedP!$EL$8:$EL$43)*COS(RADIANS(theta_L))))=(((MxMy_FixedP!$DK$9:$DK$44)*SIN(RADIANS(theta_L))-(MxMy_FixedP!$EL$9:$EL$44)*COS(RADIANS(theta_L)))))))*((MxMy_FixedP!$DK$9:$DK$44)-(MxMy_FixedP!$DK$8:$DK$43)))*COS(RADIANS(theta_L))+((MxMy_FixedP!$EL$8:$EL$43)+(((MxMy_FixedP!$DK$8:$DK$43)*SIN(RADIANS(theta_L))-(MxMy_FixedP!$EL$8:$EL$43)*COS(RADIANS(theta_L)))/((((MxMy_FixedP!$DK$8:$DK$43)*SIN(RADIANS(theta_L))-(MxMy_FixedP!$EL$8:$EL$43)*COS(RADIANS(theta_L))))-(((MxMy_FixedP!$DK$9:$DK$44)*SIN(RADIANS(theta_L))-(MxMy_FixedP!$EL$9:$EL$44)*COS(RADIANS(theta_L))))+((((MxMy_FixedP!$DK$8:$DK$43)*SIN(RADIANS(theta_L))-(MxMy_FixedP!$EL$8:$EL$43)*COS(RADIANS(theta_L))))=(((MxMy_FixedP!$DK$9:$DK$44)*SIN(RADIANS(theta_L))-(MxMy_FixedP!$EL$9:$EL$44)*COS(RADIANS(theta_L)))))))*((MxMy_FixedP!$EL$9:$EL$44)-(MxMy_FixedP!$EL$8:$EL$43)))*SIN(RADIANS(theta_L)))&lt;0),(((MxMy_FixedP!$DK$8:$DK$43)+(((MxMy_FixedP!$DK$8:$DK$43)*SIN(RADIANS(theta_L))-(MxMy_FixedP!$EL$8:$EL$43)*COS(RADIANS(theta_L)))/((((MxMy_FixedP!$DK$8:$DK$43)*SIN(RADIANS(theta_L))-(MxMy_FixedP!$EL$8:$EL$43)*COS(RADIANS(theta_L))))-(((MxMy_FixedP!$DK$9:$DK$44)*SIN(RADIANS(theta_L))-(MxMy_FixedP!$EL$9:$EL$44)*COS(RADIANS(theta_L))))+((((MxMy_FixedP!$DK$8:$DK$43)*SIN(RADIANS(theta_L))-(MxMy_FixedP!$EL$8:$EL$43)*COS(RADIANS(theta_L))))=(((MxMy_FixedP!$DK$9:$DK$44)*SIN(RADIANS(theta_L))-(MxMy_FixedP!$EL$9:$EL$44)*COS(RADIANS(theta_L)))))))*((MxMy_FixedP!$DK$9:$DK$44)-(MxMy_FixedP!$DK$8:$DK$43)))*COS(RADIANS(theta_L))+((MxMy_FixedP!$EL$8:$EL$43)+(((MxMy_FixedP!$DK$8:$DK$43)*SIN(RADIANS(theta_L))-(MxMy_FixedP!$EL$8:$EL$43)*COS(RADIANS(theta_L)))/((((MxMy_FixedP!$DK$8:$DK$43)*SIN(RADIANS(theta_L))-(MxMy_FixedP!$EL$8:$EL$43)*COS(RADIANS(theta_L))))-(((MxMy_FixedP!$DK$9:$DK$44)*SIN(RADIANS(theta_L))-(MxMy_FixedP!$EL$9:$EL$44)*COS(RADIANS(theta_L))))+((((MxMy_FixedP!$DK$8:$DK$43)*SIN(RADIANS(theta_L))-(MxMy_FixedP!$EL$8:$EL$43)*COS(RADIANS(theta_L))))=(((MxMy_FixedP!$DK$9:$DK$44)*SIN(RADIANS(theta_L))-(MxMy_FixedP!$EL$9:$EL$44)*COS(RADIANS(theta_L)))))))*((MxMy_FixedP!$EL$9:$EL$44)-(MxMy_FixedP!$EL$8:$EL$43)))*SIN(RADIANS(theta_L))))/G11))</f>
      </c>
      <c r="J11">
        <f>IF($K11&lt;=Mtol,"pole",IF(AND(D11&gt;=1,G11&gt;=1),"ok","CHECK: "&amp;D11&amp;"/"&amp;G11&amp;" cuts"))</f>
      </c>
      <c r="K11" s="18">
        <v>5.261048483211339e-12</v>
      </c>
    </row>
    <row r="12" spans="2:11" x14ac:dyDescent="0.25">
      <c r="B12" s="35" t="s">
        <v>219</v>
      </c>
      <c r="C12" s="54" t="s">
        <v>344</v>
      </c>
      <c r="D12" s="46">
        <f>IF($K12&lt;=Mtol,0,SUMPRODUCT(((((MxMy_FixedP!$DL$8:$DL$43)*SIN(RADIANS(theta_L))-(MxMy_FixedP!$EM$8:$EM$43)*COS(RADIANS(theta_L))))*(((MxMy_FixedP!$DL$9:$DL$44)*SIN(RADIANS(theta_L))-(MxMy_FixedP!$EM$9:$EM$44)*COS(RADIANS(theta_L))))&lt;=0)*((((MxMy_FixedP!$DL$8:$DL$43)*SIN(RADIANS(theta_L))-(MxMy_FixedP!$EM$8:$EM$43)*COS(RADIANS(theta_L))))&lt;&gt;(((MxMy_FixedP!$DL$9:$DL$44)*SIN(RADIANS(theta_L))-(MxMy_FixedP!$EM$9:$EM$44)*COS(RADIANS(theta_L)))))*((((MxMy_FixedP!$DL$8:$DL$43)+(((MxMy_FixedP!$DL$8:$DL$43)*SIN(RADIANS(theta_L))-(MxMy_FixedP!$EM$8:$EM$43)*COS(RADIANS(theta_L)))/((((MxMy_FixedP!$DL$8:$DL$43)*SIN(RADIANS(theta_L))-(MxMy_FixedP!$EM$8:$EM$43)*COS(RADIANS(theta_L))))-(((MxMy_FixedP!$DL$9:$DL$44)*SIN(RADIANS(theta_L))-(MxMy_FixedP!$EM$9:$EM$44)*COS(RADIANS(theta_L))))+((((MxMy_FixedP!$DL$8:$DL$43)*SIN(RADIANS(theta_L))-(MxMy_FixedP!$EM$8:$EM$43)*COS(RADIANS(theta_L))))=(((MxMy_FixedP!$DL$9:$DL$44)*SIN(RADIANS(theta_L))-(MxMy_FixedP!$EM$9:$EM$44)*COS(RADIANS(theta_L)))))))*((MxMy_FixedP!$DL$9:$DL$44)-(MxMy_FixedP!$DL$8:$DL$43)))*COS(RADIANS(theta_L))+((MxMy_FixedP!$EM$8:$EM$43)+(((MxMy_FixedP!$DL$8:$DL$43)*SIN(RADIANS(theta_L))-(MxMy_FixedP!$EM$8:$EM$43)*COS(RADIANS(theta_L)))/((((MxMy_FixedP!$DL$8:$DL$43)*SIN(RADIANS(theta_L))-(MxMy_FixedP!$EM$8:$EM$43)*COS(RADIANS(theta_L))))-(((MxMy_FixedP!$DL$9:$DL$44)*SIN(RADIANS(theta_L))-(MxMy_FixedP!$EM$9:$EM$44)*COS(RADIANS(theta_L))))+((((MxMy_FixedP!$DL$8:$DL$43)*SIN(RADIANS(theta_L))-(MxMy_FixedP!$EM$8:$EM$43)*COS(RADIANS(theta_L))))=(((MxMy_FixedP!$DL$9:$DL$44)*SIN(RADIANS(theta_L))-(MxMy_FixedP!$EM$9:$EM$44)*COS(RADIANS(theta_L)))))))*((MxMy_FixedP!$EM$9:$EM$44)-(MxMy_FixedP!$EM$8:$EM$43)))*SIN(RADIANS(theta_L)))&gt;0)))</f>
      </c>
      <c r="E12" s="10">
        <f>IF($K12&lt;=Mtol,MxMy_FixedP!$CK$8,IF(D12=0,"",SUMPRODUCT(((((MxMy_FixedP!$DL$8:$DL$43)*SIN(RADIANS(theta_L))-(MxMy_FixedP!$EM$8:$EM$43)*COS(RADIANS(theta_L))))*(((MxMy_FixedP!$DL$9:$DL$44)*SIN(RADIANS(theta_L))-(MxMy_FixedP!$EM$9:$EM$44)*COS(RADIANS(theta_L))))&lt;=0)*((((MxMy_FixedP!$DL$8:$DL$43)*SIN(RADIANS(theta_L))-(MxMy_FixedP!$EM$8:$EM$43)*COS(RADIANS(theta_L))))&lt;&gt;(((MxMy_FixedP!$DL$9:$DL$44)*SIN(RADIANS(theta_L))-(MxMy_FixedP!$EM$9:$EM$44)*COS(RADIANS(theta_L)))))*((((MxMy_FixedP!$DL$8:$DL$43)+(((MxMy_FixedP!$DL$8:$DL$43)*SIN(RADIANS(theta_L))-(MxMy_FixedP!$EM$8:$EM$43)*COS(RADIANS(theta_L)))/((((MxMy_FixedP!$DL$8:$DL$43)*SIN(RADIANS(theta_L))-(MxMy_FixedP!$EM$8:$EM$43)*COS(RADIANS(theta_L))))-(((MxMy_FixedP!$DL$9:$DL$44)*SIN(RADIANS(theta_L))-(MxMy_FixedP!$EM$9:$EM$44)*COS(RADIANS(theta_L))))+((((MxMy_FixedP!$DL$8:$DL$43)*SIN(RADIANS(theta_L))-(MxMy_FixedP!$EM$8:$EM$43)*COS(RADIANS(theta_L))))=(((MxMy_FixedP!$DL$9:$DL$44)*SIN(RADIANS(theta_L))-(MxMy_FixedP!$EM$9:$EM$44)*COS(RADIANS(theta_L)))))))*((MxMy_FixedP!$DL$9:$DL$44)-(MxMy_FixedP!$DL$8:$DL$43)))*COS(RADIANS(theta_L))+((MxMy_FixedP!$EM$8:$EM$43)+(((MxMy_FixedP!$DL$8:$DL$43)*SIN(RADIANS(theta_L))-(MxMy_FixedP!$EM$8:$EM$43)*COS(RADIANS(theta_L)))/((((MxMy_FixedP!$DL$8:$DL$43)*SIN(RADIANS(theta_L))-(MxMy_FixedP!$EM$8:$EM$43)*COS(RADIANS(theta_L))))-(((MxMy_FixedP!$DL$9:$DL$44)*SIN(RADIANS(theta_L))-(MxMy_FixedP!$EM$9:$EM$44)*COS(RADIANS(theta_L))))+((((MxMy_FixedP!$DL$8:$DL$43)*SIN(RADIANS(theta_L))-(MxMy_FixedP!$EM$8:$EM$43)*COS(RADIANS(theta_L))))=(((MxMy_FixedP!$DL$9:$DL$44)*SIN(RADIANS(theta_L))-(MxMy_FixedP!$EM$9:$EM$44)*COS(RADIANS(theta_L)))))))*((MxMy_FixedP!$EM$9:$EM$44)-(MxMy_FixedP!$EM$8:$EM$43)))*SIN(RADIANS(theta_L)))&gt;0),((MxMy_FixedP!$CK$8:$CK$43)+(((MxMy_FixedP!$DL$8:$DL$43)*SIN(RADIANS(theta_L))-(MxMy_FixedP!$EM$8:$EM$43)*COS(RADIANS(theta_L)))/((((MxMy_FixedP!$DL$8:$DL$43)*SIN(RADIANS(theta_L))-(MxMy_FixedP!$EM$8:$EM$43)*COS(RADIANS(theta_L))))-(((MxMy_FixedP!$DL$9:$DL$44)*SIN(RADIANS(theta_L))-(MxMy_FixedP!$EM$9:$EM$44)*COS(RADIANS(theta_L))))+((((MxMy_FixedP!$DL$8:$DL$43)*SIN(RADIANS(theta_L))-(MxMy_FixedP!$EM$8:$EM$43)*COS(RADIANS(theta_L))))=(((MxMy_FixedP!$DL$9:$DL$44)*SIN(RADIANS(theta_L))-(MxMy_FixedP!$EM$9:$EM$44)*COS(RADIANS(theta_L)))))))*((MxMy_FixedP!$CK$9:$CK$44)-(MxMy_FixedP!$CK$8:$CK$43))))/D12))</f>
      </c>
      <c r="F12" s="10">
        <f>IF($K12&lt;=Mtol,0,IF(D12=0,"",SUMPRODUCT(((((MxMy_FixedP!$DL$8:$DL$43)*SIN(RADIANS(theta_L))-(MxMy_FixedP!$EM$8:$EM$43)*COS(RADIANS(theta_L))))*(((MxMy_FixedP!$DL$9:$DL$44)*SIN(RADIANS(theta_L))-(MxMy_FixedP!$EM$9:$EM$44)*COS(RADIANS(theta_L))))&lt;=0)*((((MxMy_FixedP!$DL$8:$DL$43)*SIN(RADIANS(theta_L))-(MxMy_FixedP!$EM$8:$EM$43)*COS(RADIANS(theta_L))))&lt;&gt;(((MxMy_FixedP!$DL$9:$DL$44)*SIN(RADIANS(theta_L))-(MxMy_FixedP!$EM$9:$EM$44)*COS(RADIANS(theta_L)))))*((((MxMy_FixedP!$DL$8:$DL$43)+(((MxMy_FixedP!$DL$8:$DL$43)*SIN(RADIANS(theta_L))-(MxMy_FixedP!$EM$8:$EM$43)*COS(RADIANS(theta_L)))/((((MxMy_FixedP!$DL$8:$DL$43)*SIN(RADIANS(theta_L))-(MxMy_FixedP!$EM$8:$EM$43)*COS(RADIANS(theta_L))))-(((MxMy_FixedP!$DL$9:$DL$44)*SIN(RADIANS(theta_L))-(MxMy_FixedP!$EM$9:$EM$44)*COS(RADIANS(theta_L))))+((((MxMy_FixedP!$DL$8:$DL$43)*SIN(RADIANS(theta_L))-(MxMy_FixedP!$EM$8:$EM$43)*COS(RADIANS(theta_L))))=(((MxMy_FixedP!$DL$9:$DL$44)*SIN(RADIANS(theta_L))-(MxMy_FixedP!$EM$9:$EM$44)*COS(RADIANS(theta_L)))))))*((MxMy_FixedP!$DL$9:$DL$44)-(MxMy_FixedP!$DL$8:$DL$43)))*COS(RADIANS(theta_L))+((MxMy_FixedP!$EM$8:$EM$43)+(((MxMy_FixedP!$DL$8:$DL$43)*SIN(RADIANS(theta_L))-(MxMy_FixedP!$EM$8:$EM$43)*COS(RADIANS(theta_L)))/((((MxMy_FixedP!$DL$8:$DL$43)*SIN(RADIANS(theta_L))-(MxMy_FixedP!$EM$8:$EM$43)*COS(RADIANS(theta_L))))-(((MxMy_FixedP!$DL$9:$DL$44)*SIN(RADIANS(theta_L))-(MxMy_FixedP!$EM$9:$EM$44)*COS(RADIANS(theta_L))))+((((MxMy_FixedP!$DL$8:$DL$43)*SIN(RADIANS(theta_L))-(MxMy_FixedP!$EM$8:$EM$43)*COS(RADIANS(theta_L))))=(((MxMy_FixedP!$DL$9:$DL$44)*SIN(RADIANS(theta_L))-(MxMy_FixedP!$EM$9:$EM$44)*COS(RADIANS(theta_L)))))))*((MxMy_FixedP!$EM$9:$EM$44)-(MxMy_FixedP!$EM$8:$EM$43)))*SIN(RADIANS(theta_L)))&gt;0),(((MxMy_FixedP!$DL$8:$DL$43)+(((MxMy_FixedP!$DL$8:$DL$43)*SIN(RADIANS(theta_L))-(MxMy_FixedP!$EM$8:$EM$43)*COS(RADIANS(theta_L)))/((((MxMy_FixedP!$DL$8:$DL$43)*SIN(RADIANS(theta_L))-(MxMy_FixedP!$EM$8:$EM$43)*COS(RADIANS(theta_L))))-(((MxMy_FixedP!$DL$9:$DL$44)*SIN(RADIANS(theta_L))-(MxMy_FixedP!$EM$9:$EM$44)*COS(RADIANS(theta_L))))+((((MxMy_FixedP!$DL$8:$DL$43)*SIN(RADIANS(theta_L))-(MxMy_FixedP!$EM$8:$EM$43)*COS(RADIANS(theta_L))))=(((MxMy_FixedP!$DL$9:$DL$44)*SIN(RADIANS(theta_L))-(MxMy_FixedP!$EM$9:$EM$44)*COS(RADIANS(theta_L)))))))*((MxMy_FixedP!$DL$9:$DL$44)-(MxMy_FixedP!$DL$8:$DL$43)))*COS(RADIANS(theta_L))+((MxMy_FixedP!$EM$8:$EM$43)+(((MxMy_FixedP!$DL$8:$DL$43)*SIN(RADIANS(theta_L))-(MxMy_FixedP!$EM$8:$EM$43)*COS(RADIANS(theta_L)))/((((MxMy_FixedP!$DL$8:$DL$43)*SIN(RADIANS(theta_L))-(MxMy_FixedP!$EM$8:$EM$43)*COS(RADIANS(theta_L))))-(((MxMy_FixedP!$DL$9:$DL$44)*SIN(RADIANS(theta_L))-(MxMy_FixedP!$EM$9:$EM$44)*COS(RADIANS(theta_L))))+((((MxMy_FixedP!$DL$8:$DL$43)*SIN(RADIANS(theta_L))-(MxMy_FixedP!$EM$8:$EM$43)*COS(RADIANS(theta_L))))=(((MxMy_FixedP!$DL$9:$DL$44)*SIN(RADIANS(theta_L))-(MxMy_FixedP!$EM$9:$EM$44)*COS(RADIANS(theta_L)))))))*((MxMy_FixedP!$EM$9:$EM$44)-(MxMy_FixedP!$EM$8:$EM$43)))*SIN(RADIANS(theta_L))))/D12))</f>
      </c>
      <c r="G12" s="46">
        <f>IF($K12&lt;=Mtol,0,SUMPRODUCT(((((MxMy_FixedP!$DL$8:$DL$43)*SIN(RADIANS(theta_L))-(MxMy_FixedP!$EM$8:$EM$43)*COS(RADIANS(theta_L))))*(((MxMy_FixedP!$DL$9:$DL$44)*SIN(RADIANS(theta_L))-(MxMy_FixedP!$EM$9:$EM$44)*COS(RADIANS(theta_L))))&lt;=0)*((((MxMy_FixedP!$DL$8:$DL$43)*SIN(RADIANS(theta_L))-(MxMy_FixedP!$EM$8:$EM$43)*COS(RADIANS(theta_L))))&lt;&gt;(((MxMy_FixedP!$DL$9:$DL$44)*SIN(RADIANS(theta_L))-(MxMy_FixedP!$EM$9:$EM$44)*COS(RADIANS(theta_L)))))*((((MxMy_FixedP!$DL$8:$DL$43)+(((MxMy_FixedP!$DL$8:$DL$43)*SIN(RADIANS(theta_L))-(MxMy_FixedP!$EM$8:$EM$43)*COS(RADIANS(theta_L)))/((((MxMy_FixedP!$DL$8:$DL$43)*SIN(RADIANS(theta_L))-(MxMy_FixedP!$EM$8:$EM$43)*COS(RADIANS(theta_L))))-(((MxMy_FixedP!$DL$9:$DL$44)*SIN(RADIANS(theta_L))-(MxMy_FixedP!$EM$9:$EM$44)*COS(RADIANS(theta_L))))+((((MxMy_FixedP!$DL$8:$DL$43)*SIN(RADIANS(theta_L))-(MxMy_FixedP!$EM$8:$EM$43)*COS(RADIANS(theta_L))))=(((MxMy_FixedP!$DL$9:$DL$44)*SIN(RADIANS(theta_L))-(MxMy_FixedP!$EM$9:$EM$44)*COS(RADIANS(theta_L)))))))*((MxMy_FixedP!$DL$9:$DL$44)-(MxMy_FixedP!$DL$8:$DL$43)))*COS(RADIANS(theta_L))+((MxMy_FixedP!$EM$8:$EM$43)+(((MxMy_FixedP!$DL$8:$DL$43)*SIN(RADIANS(theta_L))-(MxMy_FixedP!$EM$8:$EM$43)*COS(RADIANS(theta_L)))/((((MxMy_FixedP!$DL$8:$DL$43)*SIN(RADIANS(theta_L))-(MxMy_FixedP!$EM$8:$EM$43)*COS(RADIANS(theta_L))))-(((MxMy_FixedP!$DL$9:$DL$44)*SIN(RADIANS(theta_L))-(MxMy_FixedP!$EM$9:$EM$44)*COS(RADIANS(theta_L))))+((((MxMy_FixedP!$DL$8:$DL$43)*SIN(RADIANS(theta_L))-(MxMy_FixedP!$EM$8:$EM$43)*COS(RADIANS(theta_L))))=(((MxMy_FixedP!$DL$9:$DL$44)*SIN(RADIANS(theta_L))-(MxMy_FixedP!$EM$9:$EM$44)*COS(RADIANS(theta_L)))))))*((MxMy_FixedP!$EM$9:$EM$44)-(MxMy_FixedP!$EM$8:$EM$43)))*SIN(RADIANS(theta_L)))&lt;0)))</f>
      </c>
      <c r="H12" s="10">
        <f>IF($K12&lt;=Mtol,MxMy_FixedP!$CK$8,IF(G12=0,"",SUMPRODUCT(((((MxMy_FixedP!$DL$8:$DL$43)*SIN(RADIANS(theta_L))-(MxMy_FixedP!$EM$8:$EM$43)*COS(RADIANS(theta_L))))*(((MxMy_FixedP!$DL$9:$DL$44)*SIN(RADIANS(theta_L))-(MxMy_FixedP!$EM$9:$EM$44)*COS(RADIANS(theta_L))))&lt;=0)*((((MxMy_FixedP!$DL$8:$DL$43)*SIN(RADIANS(theta_L))-(MxMy_FixedP!$EM$8:$EM$43)*COS(RADIANS(theta_L))))&lt;&gt;(((MxMy_FixedP!$DL$9:$DL$44)*SIN(RADIANS(theta_L))-(MxMy_FixedP!$EM$9:$EM$44)*COS(RADIANS(theta_L)))))*((((MxMy_FixedP!$DL$8:$DL$43)+(((MxMy_FixedP!$DL$8:$DL$43)*SIN(RADIANS(theta_L))-(MxMy_FixedP!$EM$8:$EM$43)*COS(RADIANS(theta_L)))/((((MxMy_FixedP!$DL$8:$DL$43)*SIN(RADIANS(theta_L))-(MxMy_FixedP!$EM$8:$EM$43)*COS(RADIANS(theta_L))))-(((MxMy_FixedP!$DL$9:$DL$44)*SIN(RADIANS(theta_L))-(MxMy_FixedP!$EM$9:$EM$44)*COS(RADIANS(theta_L))))+((((MxMy_FixedP!$DL$8:$DL$43)*SIN(RADIANS(theta_L))-(MxMy_FixedP!$EM$8:$EM$43)*COS(RADIANS(theta_L))))=(((MxMy_FixedP!$DL$9:$DL$44)*SIN(RADIANS(theta_L))-(MxMy_FixedP!$EM$9:$EM$44)*COS(RADIANS(theta_L)))))))*((MxMy_FixedP!$DL$9:$DL$44)-(MxMy_FixedP!$DL$8:$DL$43)))*COS(RADIANS(theta_L))+((MxMy_FixedP!$EM$8:$EM$43)+(((MxMy_FixedP!$DL$8:$DL$43)*SIN(RADIANS(theta_L))-(MxMy_FixedP!$EM$8:$EM$43)*COS(RADIANS(theta_L)))/((((MxMy_FixedP!$DL$8:$DL$43)*SIN(RADIANS(theta_L))-(MxMy_FixedP!$EM$8:$EM$43)*COS(RADIANS(theta_L))))-(((MxMy_FixedP!$DL$9:$DL$44)*SIN(RADIANS(theta_L))-(MxMy_FixedP!$EM$9:$EM$44)*COS(RADIANS(theta_L))))+((((MxMy_FixedP!$DL$8:$DL$43)*SIN(RADIANS(theta_L))-(MxMy_FixedP!$EM$8:$EM$43)*COS(RADIANS(theta_L))))=(((MxMy_FixedP!$DL$9:$DL$44)*SIN(RADIANS(theta_L))-(MxMy_FixedP!$EM$9:$EM$44)*COS(RADIANS(theta_L)))))))*((MxMy_FixedP!$EM$9:$EM$44)-(MxMy_FixedP!$EM$8:$EM$43)))*SIN(RADIANS(theta_L)))&lt;0),((MxMy_FixedP!$CK$8:$CK$43)+(((MxMy_FixedP!$DL$8:$DL$43)*SIN(RADIANS(theta_L))-(MxMy_FixedP!$EM$8:$EM$43)*COS(RADIANS(theta_L)))/((((MxMy_FixedP!$DL$8:$DL$43)*SIN(RADIANS(theta_L))-(MxMy_FixedP!$EM$8:$EM$43)*COS(RADIANS(theta_L))))-(((MxMy_FixedP!$DL$9:$DL$44)*SIN(RADIANS(theta_L))-(MxMy_FixedP!$EM$9:$EM$44)*COS(RADIANS(theta_L))))+((((MxMy_FixedP!$DL$8:$DL$43)*SIN(RADIANS(theta_L))-(MxMy_FixedP!$EM$8:$EM$43)*COS(RADIANS(theta_L))))=(((MxMy_FixedP!$DL$9:$DL$44)*SIN(RADIANS(theta_L))-(MxMy_FixedP!$EM$9:$EM$44)*COS(RADIANS(theta_L)))))))*((MxMy_FixedP!$CK$9:$CK$44)-(MxMy_FixedP!$CK$8:$CK$43))))/G12))</f>
      </c>
      <c r="I12" s="10">
        <f>IF($K12&lt;=Mtol,0,IF(G12=0,"",SUMPRODUCT(((((MxMy_FixedP!$DL$8:$DL$43)*SIN(RADIANS(theta_L))-(MxMy_FixedP!$EM$8:$EM$43)*COS(RADIANS(theta_L))))*(((MxMy_FixedP!$DL$9:$DL$44)*SIN(RADIANS(theta_L))-(MxMy_FixedP!$EM$9:$EM$44)*COS(RADIANS(theta_L))))&lt;=0)*((((MxMy_FixedP!$DL$8:$DL$43)*SIN(RADIANS(theta_L))-(MxMy_FixedP!$EM$8:$EM$43)*COS(RADIANS(theta_L))))&lt;&gt;(((MxMy_FixedP!$DL$9:$DL$44)*SIN(RADIANS(theta_L))-(MxMy_FixedP!$EM$9:$EM$44)*COS(RADIANS(theta_L)))))*((((MxMy_FixedP!$DL$8:$DL$43)+(((MxMy_FixedP!$DL$8:$DL$43)*SIN(RADIANS(theta_L))-(MxMy_FixedP!$EM$8:$EM$43)*COS(RADIANS(theta_L)))/((((MxMy_FixedP!$DL$8:$DL$43)*SIN(RADIANS(theta_L))-(MxMy_FixedP!$EM$8:$EM$43)*COS(RADIANS(theta_L))))-(((MxMy_FixedP!$DL$9:$DL$44)*SIN(RADIANS(theta_L))-(MxMy_FixedP!$EM$9:$EM$44)*COS(RADIANS(theta_L))))+((((MxMy_FixedP!$DL$8:$DL$43)*SIN(RADIANS(theta_L))-(MxMy_FixedP!$EM$8:$EM$43)*COS(RADIANS(theta_L))))=(((MxMy_FixedP!$DL$9:$DL$44)*SIN(RADIANS(theta_L))-(MxMy_FixedP!$EM$9:$EM$44)*COS(RADIANS(theta_L)))))))*((MxMy_FixedP!$DL$9:$DL$44)-(MxMy_FixedP!$DL$8:$DL$43)))*COS(RADIANS(theta_L))+((MxMy_FixedP!$EM$8:$EM$43)+(((MxMy_FixedP!$DL$8:$DL$43)*SIN(RADIANS(theta_L))-(MxMy_FixedP!$EM$8:$EM$43)*COS(RADIANS(theta_L)))/((((MxMy_FixedP!$DL$8:$DL$43)*SIN(RADIANS(theta_L))-(MxMy_FixedP!$EM$8:$EM$43)*COS(RADIANS(theta_L))))-(((MxMy_FixedP!$DL$9:$DL$44)*SIN(RADIANS(theta_L))-(MxMy_FixedP!$EM$9:$EM$44)*COS(RADIANS(theta_L))))+((((MxMy_FixedP!$DL$8:$DL$43)*SIN(RADIANS(theta_L))-(MxMy_FixedP!$EM$8:$EM$43)*COS(RADIANS(theta_L))))=(((MxMy_FixedP!$DL$9:$DL$44)*SIN(RADIANS(theta_L))-(MxMy_FixedP!$EM$9:$EM$44)*COS(RADIANS(theta_L)))))))*((MxMy_FixedP!$EM$9:$EM$44)-(MxMy_FixedP!$EM$8:$EM$43)))*SIN(RADIANS(theta_L)))&lt;0),(((MxMy_FixedP!$DL$8:$DL$43)+(((MxMy_FixedP!$DL$8:$DL$43)*SIN(RADIANS(theta_L))-(MxMy_FixedP!$EM$8:$EM$43)*COS(RADIANS(theta_L)))/((((MxMy_FixedP!$DL$8:$DL$43)*SIN(RADIANS(theta_L))-(MxMy_FixedP!$EM$8:$EM$43)*COS(RADIANS(theta_L))))-(((MxMy_FixedP!$DL$9:$DL$44)*SIN(RADIANS(theta_L))-(MxMy_FixedP!$EM$9:$EM$44)*COS(RADIANS(theta_L))))+((((MxMy_FixedP!$DL$8:$DL$43)*SIN(RADIANS(theta_L))-(MxMy_FixedP!$EM$8:$EM$43)*COS(RADIANS(theta_L))))=(((MxMy_FixedP!$DL$9:$DL$44)*SIN(RADIANS(theta_L))-(MxMy_FixedP!$EM$9:$EM$44)*COS(RADIANS(theta_L)))))))*((MxMy_FixedP!$DL$9:$DL$44)-(MxMy_FixedP!$DL$8:$DL$43)))*COS(RADIANS(theta_L))+((MxMy_FixedP!$EM$8:$EM$43)+(((MxMy_FixedP!$DL$8:$DL$43)*SIN(RADIANS(theta_L))-(MxMy_FixedP!$EM$8:$EM$43)*COS(RADIANS(theta_L)))/((((MxMy_FixedP!$DL$8:$DL$43)*SIN(RADIANS(theta_L))-(MxMy_FixedP!$EM$8:$EM$43)*COS(RADIANS(theta_L))))-(((MxMy_FixedP!$DL$9:$DL$44)*SIN(RADIANS(theta_L))-(MxMy_FixedP!$EM$9:$EM$44)*COS(RADIANS(theta_L))))+((((MxMy_FixedP!$DL$8:$DL$43)*SIN(RADIANS(theta_L))-(MxMy_FixedP!$EM$8:$EM$43)*COS(RADIANS(theta_L))))=(((MxMy_FixedP!$DL$9:$DL$44)*SIN(RADIANS(theta_L))-(MxMy_FixedP!$EM$9:$EM$44)*COS(RADIANS(theta_L)))))))*((MxMy_FixedP!$EM$9:$EM$44)-(MxMy_FixedP!$EM$8:$EM$43)))*SIN(RADIANS(theta_L))))/G12))</f>
      </c>
      <c r="J12">
        <f>IF($K12&lt;=Mtol,"pole",IF(AND(D12&gt;=1,G12&gt;=1),"ok","CHECK: "&amp;D12&amp;"/"&amp;G12&amp;" cuts"))</f>
      </c>
      <c r="K12" s="18">
        <v>169.4569257436916</v>
      </c>
    </row>
    <row r="13" spans="2:11" x14ac:dyDescent="0.25">
      <c r="B13" s="35" t="s">
        <v>220</v>
      </c>
      <c r="C13" s="54" t="s">
        <v>345</v>
      </c>
      <c r="D13" s="46">
        <f>IF($K13&lt;=Mtol,0,SUMPRODUCT(((((MxMy_FixedP!$DM$8:$DM$43)*SIN(RADIANS(theta_L))-(MxMy_FixedP!$EN$8:$EN$43)*COS(RADIANS(theta_L))))*(((MxMy_FixedP!$DM$9:$DM$44)*SIN(RADIANS(theta_L))-(MxMy_FixedP!$EN$9:$EN$44)*COS(RADIANS(theta_L))))&lt;=0)*((((MxMy_FixedP!$DM$8:$DM$43)*SIN(RADIANS(theta_L))-(MxMy_FixedP!$EN$8:$EN$43)*COS(RADIANS(theta_L))))&lt;&gt;(((MxMy_FixedP!$DM$9:$DM$44)*SIN(RADIANS(theta_L))-(MxMy_FixedP!$EN$9:$EN$44)*COS(RADIANS(theta_L)))))*((((MxMy_FixedP!$DM$8:$DM$43)+(((MxMy_FixedP!$DM$8:$DM$43)*SIN(RADIANS(theta_L))-(MxMy_FixedP!$EN$8:$EN$43)*COS(RADIANS(theta_L)))/((((MxMy_FixedP!$DM$8:$DM$43)*SIN(RADIANS(theta_L))-(MxMy_FixedP!$EN$8:$EN$43)*COS(RADIANS(theta_L))))-(((MxMy_FixedP!$DM$9:$DM$44)*SIN(RADIANS(theta_L))-(MxMy_FixedP!$EN$9:$EN$44)*COS(RADIANS(theta_L))))+((((MxMy_FixedP!$DM$8:$DM$43)*SIN(RADIANS(theta_L))-(MxMy_FixedP!$EN$8:$EN$43)*COS(RADIANS(theta_L))))=(((MxMy_FixedP!$DM$9:$DM$44)*SIN(RADIANS(theta_L))-(MxMy_FixedP!$EN$9:$EN$44)*COS(RADIANS(theta_L)))))))*((MxMy_FixedP!$DM$9:$DM$44)-(MxMy_FixedP!$DM$8:$DM$43)))*COS(RADIANS(theta_L))+((MxMy_FixedP!$EN$8:$EN$43)+(((MxMy_FixedP!$DM$8:$DM$43)*SIN(RADIANS(theta_L))-(MxMy_FixedP!$EN$8:$EN$43)*COS(RADIANS(theta_L)))/((((MxMy_FixedP!$DM$8:$DM$43)*SIN(RADIANS(theta_L))-(MxMy_FixedP!$EN$8:$EN$43)*COS(RADIANS(theta_L))))-(((MxMy_FixedP!$DM$9:$DM$44)*SIN(RADIANS(theta_L))-(MxMy_FixedP!$EN$9:$EN$44)*COS(RADIANS(theta_L))))+((((MxMy_FixedP!$DM$8:$DM$43)*SIN(RADIANS(theta_L))-(MxMy_FixedP!$EN$8:$EN$43)*COS(RADIANS(theta_L))))=(((MxMy_FixedP!$DM$9:$DM$44)*SIN(RADIANS(theta_L))-(MxMy_FixedP!$EN$9:$EN$44)*COS(RADIANS(theta_L)))))))*((MxMy_FixedP!$EN$9:$EN$44)-(MxMy_FixedP!$EN$8:$EN$43)))*SIN(RADIANS(theta_L)))&gt;0)))</f>
      </c>
      <c r="E13" s="10">
        <f>IF($K13&lt;=Mtol,MxMy_FixedP!$CL$8,IF(D13=0,"",SUMPRODUCT(((((MxMy_FixedP!$DM$8:$DM$43)*SIN(RADIANS(theta_L))-(MxMy_FixedP!$EN$8:$EN$43)*COS(RADIANS(theta_L))))*(((MxMy_FixedP!$DM$9:$DM$44)*SIN(RADIANS(theta_L))-(MxMy_FixedP!$EN$9:$EN$44)*COS(RADIANS(theta_L))))&lt;=0)*((((MxMy_FixedP!$DM$8:$DM$43)*SIN(RADIANS(theta_L))-(MxMy_FixedP!$EN$8:$EN$43)*COS(RADIANS(theta_L))))&lt;&gt;(((MxMy_FixedP!$DM$9:$DM$44)*SIN(RADIANS(theta_L))-(MxMy_FixedP!$EN$9:$EN$44)*COS(RADIANS(theta_L)))))*((((MxMy_FixedP!$DM$8:$DM$43)+(((MxMy_FixedP!$DM$8:$DM$43)*SIN(RADIANS(theta_L))-(MxMy_FixedP!$EN$8:$EN$43)*COS(RADIANS(theta_L)))/((((MxMy_FixedP!$DM$8:$DM$43)*SIN(RADIANS(theta_L))-(MxMy_FixedP!$EN$8:$EN$43)*COS(RADIANS(theta_L))))-(((MxMy_FixedP!$DM$9:$DM$44)*SIN(RADIANS(theta_L))-(MxMy_FixedP!$EN$9:$EN$44)*COS(RADIANS(theta_L))))+((((MxMy_FixedP!$DM$8:$DM$43)*SIN(RADIANS(theta_L))-(MxMy_FixedP!$EN$8:$EN$43)*COS(RADIANS(theta_L))))=(((MxMy_FixedP!$DM$9:$DM$44)*SIN(RADIANS(theta_L))-(MxMy_FixedP!$EN$9:$EN$44)*COS(RADIANS(theta_L)))))))*((MxMy_FixedP!$DM$9:$DM$44)-(MxMy_FixedP!$DM$8:$DM$43)))*COS(RADIANS(theta_L))+((MxMy_FixedP!$EN$8:$EN$43)+(((MxMy_FixedP!$DM$8:$DM$43)*SIN(RADIANS(theta_L))-(MxMy_FixedP!$EN$8:$EN$43)*COS(RADIANS(theta_L)))/((((MxMy_FixedP!$DM$8:$DM$43)*SIN(RADIANS(theta_L))-(MxMy_FixedP!$EN$8:$EN$43)*COS(RADIANS(theta_L))))-(((MxMy_FixedP!$DM$9:$DM$44)*SIN(RADIANS(theta_L))-(MxMy_FixedP!$EN$9:$EN$44)*COS(RADIANS(theta_L))))+((((MxMy_FixedP!$DM$8:$DM$43)*SIN(RADIANS(theta_L))-(MxMy_FixedP!$EN$8:$EN$43)*COS(RADIANS(theta_L))))=(((MxMy_FixedP!$DM$9:$DM$44)*SIN(RADIANS(theta_L))-(MxMy_FixedP!$EN$9:$EN$44)*COS(RADIANS(theta_L)))))))*((MxMy_FixedP!$EN$9:$EN$44)-(MxMy_FixedP!$EN$8:$EN$43)))*SIN(RADIANS(theta_L)))&gt;0),((MxMy_FixedP!$CL$8:$CL$43)+(((MxMy_FixedP!$DM$8:$DM$43)*SIN(RADIANS(theta_L))-(MxMy_FixedP!$EN$8:$EN$43)*COS(RADIANS(theta_L)))/((((MxMy_FixedP!$DM$8:$DM$43)*SIN(RADIANS(theta_L))-(MxMy_FixedP!$EN$8:$EN$43)*COS(RADIANS(theta_L))))-(((MxMy_FixedP!$DM$9:$DM$44)*SIN(RADIANS(theta_L))-(MxMy_FixedP!$EN$9:$EN$44)*COS(RADIANS(theta_L))))+((((MxMy_FixedP!$DM$8:$DM$43)*SIN(RADIANS(theta_L))-(MxMy_FixedP!$EN$8:$EN$43)*COS(RADIANS(theta_L))))=(((MxMy_FixedP!$DM$9:$DM$44)*SIN(RADIANS(theta_L))-(MxMy_FixedP!$EN$9:$EN$44)*COS(RADIANS(theta_L)))))))*((MxMy_FixedP!$CL$9:$CL$44)-(MxMy_FixedP!$CL$8:$CL$43))))/D13))</f>
      </c>
      <c r="F13" s="10">
        <f>IF($K13&lt;=Mtol,0,IF(D13=0,"",SUMPRODUCT(((((MxMy_FixedP!$DM$8:$DM$43)*SIN(RADIANS(theta_L))-(MxMy_FixedP!$EN$8:$EN$43)*COS(RADIANS(theta_L))))*(((MxMy_FixedP!$DM$9:$DM$44)*SIN(RADIANS(theta_L))-(MxMy_FixedP!$EN$9:$EN$44)*COS(RADIANS(theta_L))))&lt;=0)*((((MxMy_FixedP!$DM$8:$DM$43)*SIN(RADIANS(theta_L))-(MxMy_FixedP!$EN$8:$EN$43)*COS(RADIANS(theta_L))))&lt;&gt;(((MxMy_FixedP!$DM$9:$DM$44)*SIN(RADIANS(theta_L))-(MxMy_FixedP!$EN$9:$EN$44)*COS(RADIANS(theta_L)))))*((((MxMy_FixedP!$DM$8:$DM$43)+(((MxMy_FixedP!$DM$8:$DM$43)*SIN(RADIANS(theta_L))-(MxMy_FixedP!$EN$8:$EN$43)*COS(RADIANS(theta_L)))/((((MxMy_FixedP!$DM$8:$DM$43)*SIN(RADIANS(theta_L))-(MxMy_FixedP!$EN$8:$EN$43)*COS(RADIANS(theta_L))))-(((MxMy_FixedP!$DM$9:$DM$44)*SIN(RADIANS(theta_L))-(MxMy_FixedP!$EN$9:$EN$44)*COS(RADIANS(theta_L))))+((((MxMy_FixedP!$DM$8:$DM$43)*SIN(RADIANS(theta_L))-(MxMy_FixedP!$EN$8:$EN$43)*COS(RADIANS(theta_L))))=(((MxMy_FixedP!$DM$9:$DM$44)*SIN(RADIANS(theta_L))-(MxMy_FixedP!$EN$9:$EN$44)*COS(RADIANS(theta_L)))))))*((MxMy_FixedP!$DM$9:$DM$44)-(MxMy_FixedP!$DM$8:$DM$43)))*COS(RADIANS(theta_L))+((MxMy_FixedP!$EN$8:$EN$43)+(((MxMy_FixedP!$DM$8:$DM$43)*SIN(RADIANS(theta_L))-(MxMy_FixedP!$EN$8:$EN$43)*COS(RADIANS(theta_L)))/((((MxMy_FixedP!$DM$8:$DM$43)*SIN(RADIANS(theta_L))-(MxMy_FixedP!$EN$8:$EN$43)*COS(RADIANS(theta_L))))-(((MxMy_FixedP!$DM$9:$DM$44)*SIN(RADIANS(theta_L))-(MxMy_FixedP!$EN$9:$EN$44)*COS(RADIANS(theta_L))))+((((MxMy_FixedP!$DM$8:$DM$43)*SIN(RADIANS(theta_L))-(MxMy_FixedP!$EN$8:$EN$43)*COS(RADIANS(theta_L))))=(((MxMy_FixedP!$DM$9:$DM$44)*SIN(RADIANS(theta_L))-(MxMy_FixedP!$EN$9:$EN$44)*COS(RADIANS(theta_L)))))))*((MxMy_FixedP!$EN$9:$EN$44)-(MxMy_FixedP!$EN$8:$EN$43)))*SIN(RADIANS(theta_L)))&gt;0),(((MxMy_FixedP!$DM$8:$DM$43)+(((MxMy_FixedP!$DM$8:$DM$43)*SIN(RADIANS(theta_L))-(MxMy_FixedP!$EN$8:$EN$43)*COS(RADIANS(theta_L)))/((((MxMy_FixedP!$DM$8:$DM$43)*SIN(RADIANS(theta_L))-(MxMy_FixedP!$EN$8:$EN$43)*COS(RADIANS(theta_L))))-(((MxMy_FixedP!$DM$9:$DM$44)*SIN(RADIANS(theta_L))-(MxMy_FixedP!$EN$9:$EN$44)*COS(RADIANS(theta_L))))+((((MxMy_FixedP!$DM$8:$DM$43)*SIN(RADIANS(theta_L))-(MxMy_FixedP!$EN$8:$EN$43)*COS(RADIANS(theta_L))))=(((MxMy_FixedP!$DM$9:$DM$44)*SIN(RADIANS(theta_L))-(MxMy_FixedP!$EN$9:$EN$44)*COS(RADIANS(theta_L)))))))*((MxMy_FixedP!$DM$9:$DM$44)-(MxMy_FixedP!$DM$8:$DM$43)))*COS(RADIANS(theta_L))+((MxMy_FixedP!$EN$8:$EN$43)+(((MxMy_FixedP!$DM$8:$DM$43)*SIN(RADIANS(theta_L))-(MxMy_FixedP!$EN$8:$EN$43)*COS(RADIANS(theta_L)))/((((MxMy_FixedP!$DM$8:$DM$43)*SIN(RADIANS(theta_L))-(MxMy_FixedP!$EN$8:$EN$43)*COS(RADIANS(theta_L))))-(((MxMy_FixedP!$DM$9:$DM$44)*SIN(RADIANS(theta_L))-(MxMy_FixedP!$EN$9:$EN$44)*COS(RADIANS(theta_L))))+((((MxMy_FixedP!$DM$8:$DM$43)*SIN(RADIANS(theta_L))-(MxMy_FixedP!$EN$8:$EN$43)*COS(RADIANS(theta_L))))=(((MxMy_FixedP!$DM$9:$DM$44)*SIN(RADIANS(theta_L))-(MxMy_FixedP!$EN$9:$EN$44)*COS(RADIANS(theta_L)))))))*((MxMy_FixedP!$EN$9:$EN$44)-(MxMy_FixedP!$EN$8:$EN$43)))*SIN(RADIANS(theta_L))))/D13))</f>
      </c>
      <c r="G13" s="46">
        <f>IF($K13&lt;=Mtol,0,SUMPRODUCT(((((MxMy_FixedP!$DM$8:$DM$43)*SIN(RADIANS(theta_L))-(MxMy_FixedP!$EN$8:$EN$43)*COS(RADIANS(theta_L))))*(((MxMy_FixedP!$DM$9:$DM$44)*SIN(RADIANS(theta_L))-(MxMy_FixedP!$EN$9:$EN$44)*COS(RADIANS(theta_L))))&lt;=0)*((((MxMy_FixedP!$DM$8:$DM$43)*SIN(RADIANS(theta_L))-(MxMy_FixedP!$EN$8:$EN$43)*COS(RADIANS(theta_L))))&lt;&gt;(((MxMy_FixedP!$DM$9:$DM$44)*SIN(RADIANS(theta_L))-(MxMy_FixedP!$EN$9:$EN$44)*COS(RADIANS(theta_L)))))*((((MxMy_FixedP!$DM$8:$DM$43)+(((MxMy_FixedP!$DM$8:$DM$43)*SIN(RADIANS(theta_L))-(MxMy_FixedP!$EN$8:$EN$43)*COS(RADIANS(theta_L)))/((((MxMy_FixedP!$DM$8:$DM$43)*SIN(RADIANS(theta_L))-(MxMy_FixedP!$EN$8:$EN$43)*COS(RADIANS(theta_L))))-(((MxMy_FixedP!$DM$9:$DM$44)*SIN(RADIANS(theta_L))-(MxMy_FixedP!$EN$9:$EN$44)*COS(RADIANS(theta_L))))+((((MxMy_FixedP!$DM$8:$DM$43)*SIN(RADIANS(theta_L))-(MxMy_FixedP!$EN$8:$EN$43)*COS(RADIANS(theta_L))))=(((MxMy_FixedP!$DM$9:$DM$44)*SIN(RADIANS(theta_L))-(MxMy_FixedP!$EN$9:$EN$44)*COS(RADIANS(theta_L)))))))*((MxMy_FixedP!$DM$9:$DM$44)-(MxMy_FixedP!$DM$8:$DM$43)))*COS(RADIANS(theta_L))+((MxMy_FixedP!$EN$8:$EN$43)+(((MxMy_FixedP!$DM$8:$DM$43)*SIN(RADIANS(theta_L))-(MxMy_FixedP!$EN$8:$EN$43)*COS(RADIANS(theta_L)))/((((MxMy_FixedP!$DM$8:$DM$43)*SIN(RADIANS(theta_L))-(MxMy_FixedP!$EN$8:$EN$43)*COS(RADIANS(theta_L))))-(((MxMy_FixedP!$DM$9:$DM$44)*SIN(RADIANS(theta_L))-(MxMy_FixedP!$EN$9:$EN$44)*COS(RADIANS(theta_L))))+((((MxMy_FixedP!$DM$8:$DM$43)*SIN(RADIANS(theta_L))-(MxMy_FixedP!$EN$8:$EN$43)*COS(RADIANS(theta_L))))=(((MxMy_FixedP!$DM$9:$DM$44)*SIN(RADIANS(theta_L))-(MxMy_FixedP!$EN$9:$EN$44)*COS(RADIANS(theta_L)))))))*((MxMy_FixedP!$EN$9:$EN$44)-(MxMy_FixedP!$EN$8:$EN$43)))*SIN(RADIANS(theta_L)))&lt;0)))</f>
      </c>
      <c r="H13" s="10">
        <f>IF($K13&lt;=Mtol,MxMy_FixedP!$CL$8,IF(G13=0,"",SUMPRODUCT(((((MxMy_FixedP!$DM$8:$DM$43)*SIN(RADIANS(theta_L))-(MxMy_FixedP!$EN$8:$EN$43)*COS(RADIANS(theta_L))))*(((MxMy_FixedP!$DM$9:$DM$44)*SIN(RADIANS(theta_L))-(MxMy_FixedP!$EN$9:$EN$44)*COS(RADIANS(theta_L))))&lt;=0)*((((MxMy_FixedP!$DM$8:$DM$43)*SIN(RADIANS(theta_L))-(MxMy_FixedP!$EN$8:$EN$43)*COS(RADIANS(theta_L))))&lt;&gt;(((MxMy_FixedP!$DM$9:$DM$44)*SIN(RADIANS(theta_L))-(MxMy_FixedP!$EN$9:$EN$44)*COS(RADIANS(theta_L)))))*((((MxMy_FixedP!$DM$8:$DM$43)+(((MxMy_FixedP!$DM$8:$DM$43)*SIN(RADIANS(theta_L))-(MxMy_FixedP!$EN$8:$EN$43)*COS(RADIANS(theta_L)))/((((MxMy_FixedP!$DM$8:$DM$43)*SIN(RADIANS(theta_L))-(MxMy_FixedP!$EN$8:$EN$43)*COS(RADIANS(theta_L))))-(((MxMy_FixedP!$DM$9:$DM$44)*SIN(RADIANS(theta_L))-(MxMy_FixedP!$EN$9:$EN$44)*COS(RADIANS(theta_L))))+((((MxMy_FixedP!$DM$8:$DM$43)*SIN(RADIANS(theta_L))-(MxMy_FixedP!$EN$8:$EN$43)*COS(RADIANS(theta_L))))=(((MxMy_FixedP!$DM$9:$DM$44)*SIN(RADIANS(theta_L))-(MxMy_FixedP!$EN$9:$EN$44)*COS(RADIANS(theta_L)))))))*((MxMy_FixedP!$DM$9:$DM$44)-(MxMy_FixedP!$DM$8:$DM$43)))*COS(RADIANS(theta_L))+((MxMy_FixedP!$EN$8:$EN$43)+(((MxMy_FixedP!$DM$8:$DM$43)*SIN(RADIANS(theta_L))-(MxMy_FixedP!$EN$8:$EN$43)*COS(RADIANS(theta_L)))/((((MxMy_FixedP!$DM$8:$DM$43)*SIN(RADIANS(theta_L))-(MxMy_FixedP!$EN$8:$EN$43)*COS(RADIANS(theta_L))))-(((MxMy_FixedP!$DM$9:$DM$44)*SIN(RADIANS(theta_L))-(MxMy_FixedP!$EN$9:$EN$44)*COS(RADIANS(theta_L))))+((((MxMy_FixedP!$DM$8:$DM$43)*SIN(RADIANS(theta_L))-(MxMy_FixedP!$EN$8:$EN$43)*COS(RADIANS(theta_L))))=(((MxMy_FixedP!$DM$9:$DM$44)*SIN(RADIANS(theta_L))-(MxMy_FixedP!$EN$9:$EN$44)*COS(RADIANS(theta_L)))))))*((MxMy_FixedP!$EN$9:$EN$44)-(MxMy_FixedP!$EN$8:$EN$43)))*SIN(RADIANS(theta_L)))&lt;0),((MxMy_FixedP!$CL$8:$CL$43)+(((MxMy_FixedP!$DM$8:$DM$43)*SIN(RADIANS(theta_L))-(MxMy_FixedP!$EN$8:$EN$43)*COS(RADIANS(theta_L)))/((((MxMy_FixedP!$DM$8:$DM$43)*SIN(RADIANS(theta_L))-(MxMy_FixedP!$EN$8:$EN$43)*COS(RADIANS(theta_L))))-(((MxMy_FixedP!$DM$9:$DM$44)*SIN(RADIANS(theta_L))-(MxMy_FixedP!$EN$9:$EN$44)*COS(RADIANS(theta_L))))+((((MxMy_FixedP!$DM$8:$DM$43)*SIN(RADIANS(theta_L))-(MxMy_FixedP!$EN$8:$EN$43)*COS(RADIANS(theta_L))))=(((MxMy_FixedP!$DM$9:$DM$44)*SIN(RADIANS(theta_L))-(MxMy_FixedP!$EN$9:$EN$44)*COS(RADIANS(theta_L)))))))*((MxMy_FixedP!$CL$9:$CL$44)-(MxMy_FixedP!$CL$8:$CL$43))))/G13))</f>
      </c>
      <c r="I13" s="10">
        <f>IF($K13&lt;=Mtol,0,IF(G13=0,"",SUMPRODUCT(((((MxMy_FixedP!$DM$8:$DM$43)*SIN(RADIANS(theta_L))-(MxMy_FixedP!$EN$8:$EN$43)*COS(RADIANS(theta_L))))*(((MxMy_FixedP!$DM$9:$DM$44)*SIN(RADIANS(theta_L))-(MxMy_FixedP!$EN$9:$EN$44)*COS(RADIANS(theta_L))))&lt;=0)*((((MxMy_FixedP!$DM$8:$DM$43)*SIN(RADIANS(theta_L))-(MxMy_FixedP!$EN$8:$EN$43)*COS(RADIANS(theta_L))))&lt;&gt;(((MxMy_FixedP!$DM$9:$DM$44)*SIN(RADIANS(theta_L))-(MxMy_FixedP!$EN$9:$EN$44)*COS(RADIANS(theta_L)))))*((((MxMy_FixedP!$DM$8:$DM$43)+(((MxMy_FixedP!$DM$8:$DM$43)*SIN(RADIANS(theta_L))-(MxMy_FixedP!$EN$8:$EN$43)*COS(RADIANS(theta_L)))/((((MxMy_FixedP!$DM$8:$DM$43)*SIN(RADIANS(theta_L))-(MxMy_FixedP!$EN$8:$EN$43)*COS(RADIANS(theta_L))))-(((MxMy_FixedP!$DM$9:$DM$44)*SIN(RADIANS(theta_L))-(MxMy_FixedP!$EN$9:$EN$44)*COS(RADIANS(theta_L))))+((((MxMy_FixedP!$DM$8:$DM$43)*SIN(RADIANS(theta_L))-(MxMy_FixedP!$EN$8:$EN$43)*COS(RADIANS(theta_L))))=(((MxMy_FixedP!$DM$9:$DM$44)*SIN(RADIANS(theta_L))-(MxMy_FixedP!$EN$9:$EN$44)*COS(RADIANS(theta_L)))))))*((MxMy_FixedP!$DM$9:$DM$44)-(MxMy_FixedP!$DM$8:$DM$43)))*COS(RADIANS(theta_L))+((MxMy_FixedP!$EN$8:$EN$43)+(((MxMy_FixedP!$DM$8:$DM$43)*SIN(RADIANS(theta_L))-(MxMy_FixedP!$EN$8:$EN$43)*COS(RADIANS(theta_L)))/((((MxMy_FixedP!$DM$8:$DM$43)*SIN(RADIANS(theta_L))-(MxMy_FixedP!$EN$8:$EN$43)*COS(RADIANS(theta_L))))-(((MxMy_FixedP!$DM$9:$DM$44)*SIN(RADIANS(theta_L))-(MxMy_FixedP!$EN$9:$EN$44)*COS(RADIANS(theta_L))))+((((MxMy_FixedP!$DM$8:$DM$43)*SIN(RADIANS(theta_L))-(MxMy_FixedP!$EN$8:$EN$43)*COS(RADIANS(theta_L))))=(((MxMy_FixedP!$DM$9:$DM$44)*SIN(RADIANS(theta_L))-(MxMy_FixedP!$EN$9:$EN$44)*COS(RADIANS(theta_L)))))))*((MxMy_FixedP!$EN$9:$EN$44)-(MxMy_FixedP!$EN$8:$EN$43)))*SIN(RADIANS(theta_L)))&lt;0),(((MxMy_FixedP!$DM$8:$DM$43)+(((MxMy_FixedP!$DM$8:$DM$43)*SIN(RADIANS(theta_L))-(MxMy_FixedP!$EN$8:$EN$43)*COS(RADIANS(theta_L)))/((((MxMy_FixedP!$DM$8:$DM$43)*SIN(RADIANS(theta_L))-(MxMy_FixedP!$EN$8:$EN$43)*COS(RADIANS(theta_L))))-(((MxMy_FixedP!$DM$9:$DM$44)*SIN(RADIANS(theta_L))-(MxMy_FixedP!$EN$9:$EN$44)*COS(RADIANS(theta_L))))+((((MxMy_FixedP!$DM$8:$DM$43)*SIN(RADIANS(theta_L))-(MxMy_FixedP!$EN$8:$EN$43)*COS(RADIANS(theta_L))))=(((MxMy_FixedP!$DM$9:$DM$44)*SIN(RADIANS(theta_L))-(MxMy_FixedP!$EN$9:$EN$44)*COS(RADIANS(theta_L)))))))*((MxMy_FixedP!$DM$9:$DM$44)-(MxMy_FixedP!$DM$8:$DM$43)))*COS(RADIANS(theta_L))+((MxMy_FixedP!$EN$8:$EN$43)+(((MxMy_FixedP!$DM$8:$DM$43)*SIN(RADIANS(theta_L))-(MxMy_FixedP!$EN$8:$EN$43)*COS(RADIANS(theta_L)))/((((MxMy_FixedP!$DM$8:$DM$43)*SIN(RADIANS(theta_L))-(MxMy_FixedP!$EN$8:$EN$43)*COS(RADIANS(theta_L))))-(((MxMy_FixedP!$DM$9:$DM$44)*SIN(RADIANS(theta_L))-(MxMy_FixedP!$EN$9:$EN$44)*COS(RADIANS(theta_L))))+((((MxMy_FixedP!$DM$8:$DM$43)*SIN(RADIANS(theta_L))-(MxMy_FixedP!$EN$8:$EN$43)*COS(RADIANS(theta_L))))=(((MxMy_FixedP!$DM$9:$DM$44)*SIN(RADIANS(theta_L))-(MxMy_FixedP!$EN$9:$EN$44)*COS(RADIANS(theta_L)))))))*((MxMy_FixedP!$EN$9:$EN$44)-(MxMy_FixedP!$EN$8:$EN$43)))*SIN(RADIANS(theta_L))))/G13))</f>
      </c>
      <c r="J13">
        <f>IF($K13&lt;=Mtol,"pole",IF(AND(D13&gt;=1,G13&gt;=1),"ok","CHECK: "&amp;D13&amp;"/"&amp;G13&amp;" cuts"))</f>
      </c>
      <c r="K13" s="18">
        <v>931.8351525567574</v>
      </c>
    </row>
    <row r="14" spans="2:11" x14ac:dyDescent="0.25">
      <c r="B14" s="35" t="s">
        <v>221</v>
      </c>
      <c r="C14" s="54" t="s">
        <v>346</v>
      </c>
      <c r="D14" s="46">
        <f>IF($K14&lt;=Mtol,0,SUMPRODUCT(((((MxMy_FixedP!$DN$8:$DN$43)*SIN(RADIANS(theta_L))-(MxMy_FixedP!$EO$8:$EO$43)*COS(RADIANS(theta_L))))*(((MxMy_FixedP!$DN$9:$DN$44)*SIN(RADIANS(theta_L))-(MxMy_FixedP!$EO$9:$EO$44)*COS(RADIANS(theta_L))))&lt;=0)*((((MxMy_FixedP!$DN$8:$DN$43)*SIN(RADIANS(theta_L))-(MxMy_FixedP!$EO$8:$EO$43)*COS(RADIANS(theta_L))))&lt;&gt;(((MxMy_FixedP!$DN$9:$DN$44)*SIN(RADIANS(theta_L))-(MxMy_FixedP!$EO$9:$EO$44)*COS(RADIANS(theta_L)))))*((((MxMy_FixedP!$DN$8:$DN$43)+(((MxMy_FixedP!$DN$8:$DN$43)*SIN(RADIANS(theta_L))-(MxMy_FixedP!$EO$8:$EO$43)*COS(RADIANS(theta_L)))/((((MxMy_FixedP!$DN$8:$DN$43)*SIN(RADIANS(theta_L))-(MxMy_FixedP!$EO$8:$EO$43)*COS(RADIANS(theta_L))))-(((MxMy_FixedP!$DN$9:$DN$44)*SIN(RADIANS(theta_L))-(MxMy_FixedP!$EO$9:$EO$44)*COS(RADIANS(theta_L))))+((((MxMy_FixedP!$DN$8:$DN$43)*SIN(RADIANS(theta_L))-(MxMy_FixedP!$EO$8:$EO$43)*COS(RADIANS(theta_L))))=(((MxMy_FixedP!$DN$9:$DN$44)*SIN(RADIANS(theta_L))-(MxMy_FixedP!$EO$9:$EO$44)*COS(RADIANS(theta_L)))))))*((MxMy_FixedP!$DN$9:$DN$44)-(MxMy_FixedP!$DN$8:$DN$43)))*COS(RADIANS(theta_L))+((MxMy_FixedP!$EO$8:$EO$43)+(((MxMy_FixedP!$DN$8:$DN$43)*SIN(RADIANS(theta_L))-(MxMy_FixedP!$EO$8:$EO$43)*COS(RADIANS(theta_L)))/((((MxMy_FixedP!$DN$8:$DN$43)*SIN(RADIANS(theta_L))-(MxMy_FixedP!$EO$8:$EO$43)*COS(RADIANS(theta_L))))-(((MxMy_FixedP!$DN$9:$DN$44)*SIN(RADIANS(theta_L))-(MxMy_FixedP!$EO$9:$EO$44)*COS(RADIANS(theta_L))))+((((MxMy_FixedP!$DN$8:$DN$43)*SIN(RADIANS(theta_L))-(MxMy_FixedP!$EO$8:$EO$43)*COS(RADIANS(theta_L))))=(((MxMy_FixedP!$DN$9:$DN$44)*SIN(RADIANS(theta_L))-(MxMy_FixedP!$EO$9:$EO$44)*COS(RADIANS(theta_L)))))))*((MxMy_FixedP!$EO$9:$EO$44)-(MxMy_FixedP!$EO$8:$EO$43)))*SIN(RADIANS(theta_L)))&gt;0)))</f>
      </c>
      <c r="E14" s="10">
        <f>IF($K14&lt;=Mtol,MxMy_FixedP!$CM$8,IF(D14=0,"",SUMPRODUCT(((((MxMy_FixedP!$DN$8:$DN$43)*SIN(RADIANS(theta_L))-(MxMy_FixedP!$EO$8:$EO$43)*COS(RADIANS(theta_L))))*(((MxMy_FixedP!$DN$9:$DN$44)*SIN(RADIANS(theta_L))-(MxMy_FixedP!$EO$9:$EO$44)*COS(RADIANS(theta_L))))&lt;=0)*((((MxMy_FixedP!$DN$8:$DN$43)*SIN(RADIANS(theta_L))-(MxMy_FixedP!$EO$8:$EO$43)*COS(RADIANS(theta_L))))&lt;&gt;(((MxMy_FixedP!$DN$9:$DN$44)*SIN(RADIANS(theta_L))-(MxMy_FixedP!$EO$9:$EO$44)*COS(RADIANS(theta_L)))))*((((MxMy_FixedP!$DN$8:$DN$43)+(((MxMy_FixedP!$DN$8:$DN$43)*SIN(RADIANS(theta_L))-(MxMy_FixedP!$EO$8:$EO$43)*COS(RADIANS(theta_L)))/((((MxMy_FixedP!$DN$8:$DN$43)*SIN(RADIANS(theta_L))-(MxMy_FixedP!$EO$8:$EO$43)*COS(RADIANS(theta_L))))-(((MxMy_FixedP!$DN$9:$DN$44)*SIN(RADIANS(theta_L))-(MxMy_FixedP!$EO$9:$EO$44)*COS(RADIANS(theta_L))))+((((MxMy_FixedP!$DN$8:$DN$43)*SIN(RADIANS(theta_L))-(MxMy_FixedP!$EO$8:$EO$43)*COS(RADIANS(theta_L))))=(((MxMy_FixedP!$DN$9:$DN$44)*SIN(RADIANS(theta_L))-(MxMy_FixedP!$EO$9:$EO$44)*COS(RADIANS(theta_L)))))))*((MxMy_FixedP!$DN$9:$DN$44)-(MxMy_FixedP!$DN$8:$DN$43)))*COS(RADIANS(theta_L))+((MxMy_FixedP!$EO$8:$EO$43)+(((MxMy_FixedP!$DN$8:$DN$43)*SIN(RADIANS(theta_L))-(MxMy_FixedP!$EO$8:$EO$43)*COS(RADIANS(theta_L)))/((((MxMy_FixedP!$DN$8:$DN$43)*SIN(RADIANS(theta_L))-(MxMy_FixedP!$EO$8:$EO$43)*COS(RADIANS(theta_L))))-(((MxMy_FixedP!$DN$9:$DN$44)*SIN(RADIANS(theta_L))-(MxMy_FixedP!$EO$9:$EO$44)*COS(RADIANS(theta_L))))+((((MxMy_FixedP!$DN$8:$DN$43)*SIN(RADIANS(theta_L))-(MxMy_FixedP!$EO$8:$EO$43)*COS(RADIANS(theta_L))))=(((MxMy_FixedP!$DN$9:$DN$44)*SIN(RADIANS(theta_L))-(MxMy_FixedP!$EO$9:$EO$44)*COS(RADIANS(theta_L)))))))*((MxMy_FixedP!$EO$9:$EO$44)-(MxMy_FixedP!$EO$8:$EO$43)))*SIN(RADIANS(theta_L)))&gt;0),((MxMy_FixedP!$CM$8:$CM$43)+(((MxMy_FixedP!$DN$8:$DN$43)*SIN(RADIANS(theta_L))-(MxMy_FixedP!$EO$8:$EO$43)*COS(RADIANS(theta_L)))/((((MxMy_FixedP!$DN$8:$DN$43)*SIN(RADIANS(theta_L))-(MxMy_FixedP!$EO$8:$EO$43)*COS(RADIANS(theta_L))))-(((MxMy_FixedP!$DN$9:$DN$44)*SIN(RADIANS(theta_L))-(MxMy_FixedP!$EO$9:$EO$44)*COS(RADIANS(theta_L))))+((((MxMy_FixedP!$DN$8:$DN$43)*SIN(RADIANS(theta_L))-(MxMy_FixedP!$EO$8:$EO$43)*COS(RADIANS(theta_L))))=(((MxMy_FixedP!$DN$9:$DN$44)*SIN(RADIANS(theta_L))-(MxMy_FixedP!$EO$9:$EO$44)*COS(RADIANS(theta_L)))))))*((MxMy_FixedP!$CM$9:$CM$44)-(MxMy_FixedP!$CM$8:$CM$43))))/D14))</f>
      </c>
      <c r="F14" s="10">
        <f>IF($K14&lt;=Mtol,0,IF(D14=0,"",SUMPRODUCT(((((MxMy_FixedP!$DN$8:$DN$43)*SIN(RADIANS(theta_L))-(MxMy_FixedP!$EO$8:$EO$43)*COS(RADIANS(theta_L))))*(((MxMy_FixedP!$DN$9:$DN$44)*SIN(RADIANS(theta_L))-(MxMy_FixedP!$EO$9:$EO$44)*COS(RADIANS(theta_L))))&lt;=0)*((((MxMy_FixedP!$DN$8:$DN$43)*SIN(RADIANS(theta_L))-(MxMy_FixedP!$EO$8:$EO$43)*COS(RADIANS(theta_L))))&lt;&gt;(((MxMy_FixedP!$DN$9:$DN$44)*SIN(RADIANS(theta_L))-(MxMy_FixedP!$EO$9:$EO$44)*COS(RADIANS(theta_L)))))*((((MxMy_FixedP!$DN$8:$DN$43)+(((MxMy_FixedP!$DN$8:$DN$43)*SIN(RADIANS(theta_L))-(MxMy_FixedP!$EO$8:$EO$43)*COS(RADIANS(theta_L)))/((((MxMy_FixedP!$DN$8:$DN$43)*SIN(RADIANS(theta_L))-(MxMy_FixedP!$EO$8:$EO$43)*COS(RADIANS(theta_L))))-(((MxMy_FixedP!$DN$9:$DN$44)*SIN(RADIANS(theta_L))-(MxMy_FixedP!$EO$9:$EO$44)*COS(RADIANS(theta_L))))+((((MxMy_FixedP!$DN$8:$DN$43)*SIN(RADIANS(theta_L))-(MxMy_FixedP!$EO$8:$EO$43)*COS(RADIANS(theta_L))))=(((MxMy_FixedP!$DN$9:$DN$44)*SIN(RADIANS(theta_L))-(MxMy_FixedP!$EO$9:$EO$44)*COS(RADIANS(theta_L)))))))*((MxMy_FixedP!$DN$9:$DN$44)-(MxMy_FixedP!$DN$8:$DN$43)))*COS(RADIANS(theta_L))+((MxMy_FixedP!$EO$8:$EO$43)+(((MxMy_FixedP!$DN$8:$DN$43)*SIN(RADIANS(theta_L))-(MxMy_FixedP!$EO$8:$EO$43)*COS(RADIANS(theta_L)))/((((MxMy_FixedP!$DN$8:$DN$43)*SIN(RADIANS(theta_L))-(MxMy_FixedP!$EO$8:$EO$43)*COS(RADIANS(theta_L))))-(((MxMy_FixedP!$DN$9:$DN$44)*SIN(RADIANS(theta_L))-(MxMy_FixedP!$EO$9:$EO$44)*COS(RADIANS(theta_L))))+((((MxMy_FixedP!$DN$8:$DN$43)*SIN(RADIANS(theta_L))-(MxMy_FixedP!$EO$8:$EO$43)*COS(RADIANS(theta_L))))=(((MxMy_FixedP!$DN$9:$DN$44)*SIN(RADIANS(theta_L))-(MxMy_FixedP!$EO$9:$EO$44)*COS(RADIANS(theta_L)))))))*((MxMy_FixedP!$EO$9:$EO$44)-(MxMy_FixedP!$EO$8:$EO$43)))*SIN(RADIANS(theta_L)))&gt;0),(((MxMy_FixedP!$DN$8:$DN$43)+(((MxMy_FixedP!$DN$8:$DN$43)*SIN(RADIANS(theta_L))-(MxMy_FixedP!$EO$8:$EO$43)*COS(RADIANS(theta_L)))/((((MxMy_FixedP!$DN$8:$DN$43)*SIN(RADIANS(theta_L))-(MxMy_FixedP!$EO$8:$EO$43)*COS(RADIANS(theta_L))))-(((MxMy_FixedP!$DN$9:$DN$44)*SIN(RADIANS(theta_L))-(MxMy_FixedP!$EO$9:$EO$44)*COS(RADIANS(theta_L))))+((((MxMy_FixedP!$DN$8:$DN$43)*SIN(RADIANS(theta_L))-(MxMy_FixedP!$EO$8:$EO$43)*COS(RADIANS(theta_L))))=(((MxMy_FixedP!$DN$9:$DN$44)*SIN(RADIANS(theta_L))-(MxMy_FixedP!$EO$9:$EO$44)*COS(RADIANS(theta_L)))))))*((MxMy_FixedP!$DN$9:$DN$44)-(MxMy_FixedP!$DN$8:$DN$43)))*COS(RADIANS(theta_L))+((MxMy_FixedP!$EO$8:$EO$43)+(((MxMy_FixedP!$DN$8:$DN$43)*SIN(RADIANS(theta_L))-(MxMy_FixedP!$EO$8:$EO$43)*COS(RADIANS(theta_L)))/((((MxMy_FixedP!$DN$8:$DN$43)*SIN(RADIANS(theta_L))-(MxMy_FixedP!$EO$8:$EO$43)*COS(RADIANS(theta_L))))-(((MxMy_FixedP!$DN$9:$DN$44)*SIN(RADIANS(theta_L))-(MxMy_FixedP!$EO$9:$EO$44)*COS(RADIANS(theta_L))))+((((MxMy_FixedP!$DN$8:$DN$43)*SIN(RADIANS(theta_L))-(MxMy_FixedP!$EO$8:$EO$43)*COS(RADIANS(theta_L))))=(((MxMy_FixedP!$DN$9:$DN$44)*SIN(RADIANS(theta_L))-(MxMy_FixedP!$EO$9:$EO$44)*COS(RADIANS(theta_L)))))))*((MxMy_FixedP!$EO$9:$EO$44)-(MxMy_FixedP!$EO$8:$EO$43)))*SIN(RADIANS(theta_L))))/D14))</f>
      </c>
      <c r="G14" s="46">
        <f>IF($K14&lt;=Mtol,0,SUMPRODUCT(((((MxMy_FixedP!$DN$8:$DN$43)*SIN(RADIANS(theta_L))-(MxMy_FixedP!$EO$8:$EO$43)*COS(RADIANS(theta_L))))*(((MxMy_FixedP!$DN$9:$DN$44)*SIN(RADIANS(theta_L))-(MxMy_FixedP!$EO$9:$EO$44)*COS(RADIANS(theta_L))))&lt;=0)*((((MxMy_FixedP!$DN$8:$DN$43)*SIN(RADIANS(theta_L))-(MxMy_FixedP!$EO$8:$EO$43)*COS(RADIANS(theta_L))))&lt;&gt;(((MxMy_FixedP!$DN$9:$DN$44)*SIN(RADIANS(theta_L))-(MxMy_FixedP!$EO$9:$EO$44)*COS(RADIANS(theta_L)))))*((((MxMy_FixedP!$DN$8:$DN$43)+(((MxMy_FixedP!$DN$8:$DN$43)*SIN(RADIANS(theta_L))-(MxMy_FixedP!$EO$8:$EO$43)*COS(RADIANS(theta_L)))/((((MxMy_FixedP!$DN$8:$DN$43)*SIN(RADIANS(theta_L))-(MxMy_FixedP!$EO$8:$EO$43)*COS(RADIANS(theta_L))))-(((MxMy_FixedP!$DN$9:$DN$44)*SIN(RADIANS(theta_L))-(MxMy_FixedP!$EO$9:$EO$44)*COS(RADIANS(theta_L))))+((((MxMy_FixedP!$DN$8:$DN$43)*SIN(RADIANS(theta_L))-(MxMy_FixedP!$EO$8:$EO$43)*COS(RADIANS(theta_L))))=(((MxMy_FixedP!$DN$9:$DN$44)*SIN(RADIANS(theta_L))-(MxMy_FixedP!$EO$9:$EO$44)*COS(RADIANS(theta_L)))))))*((MxMy_FixedP!$DN$9:$DN$44)-(MxMy_FixedP!$DN$8:$DN$43)))*COS(RADIANS(theta_L))+((MxMy_FixedP!$EO$8:$EO$43)+(((MxMy_FixedP!$DN$8:$DN$43)*SIN(RADIANS(theta_L))-(MxMy_FixedP!$EO$8:$EO$43)*COS(RADIANS(theta_L)))/((((MxMy_FixedP!$DN$8:$DN$43)*SIN(RADIANS(theta_L))-(MxMy_FixedP!$EO$8:$EO$43)*COS(RADIANS(theta_L))))-(((MxMy_FixedP!$DN$9:$DN$44)*SIN(RADIANS(theta_L))-(MxMy_FixedP!$EO$9:$EO$44)*COS(RADIANS(theta_L))))+((((MxMy_FixedP!$DN$8:$DN$43)*SIN(RADIANS(theta_L))-(MxMy_FixedP!$EO$8:$EO$43)*COS(RADIANS(theta_L))))=(((MxMy_FixedP!$DN$9:$DN$44)*SIN(RADIANS(theta_L))-(MxMy_FixedP!$EO$9:$EO$44)*COS(RADIANS(theta_L)))))))*((MxMy_FixedP!$EO$9:$EO$44)-(MxMy_FixedP!$EO$8:$EO$43)))*SIN(RADIANS(theta_L)))&lt;0)))</f>
      </c>
      <c r="H14" s="10">
        <f>IF($K14&lt;=Mtol,MxMy_FixedP!$CM$8,IF(G14=0,"",SUMPRODUCT(((((MxMy_FixedP!$DN$8:$DN$43)*SIN(RADIANS(theta_L))-(MxMy_FixedP!$EO$8:$EO$43)*COS(RADIANS(theta_L))))*(((MxMy_FixedP!$DN$9:$DN$44)*SIN(RADIANS(theta_L))-(MxMy_FixedP!$EO$9:$EO$44)*COS(RADIANS(theta_L))))&lt;=0)*((((MxMy_FixedP!$DN$8:$DN$43)*SIN(RADIANS(theta_L))-(MxMy_FixedP!$EO$8:$EO$43)*COS(RADIANS(theta_L))))&lt;&gt;(((MxMy_FixedP!$DN$9:$DN$44)*SIN(RADIANS(theta_L))-(MxMy_FixedP!$EO$9:$EO$44)*COS(RADIANS(theta_L)))))*((((MxMy_FixedP!$DN$8:$DN$43)+(((MxMy_FixedP!$DN$8:$DN$43)*SIN(RADIANS(theta_L))-(MxMy_FixedP!$EO$8:$EO$43)*COS(RADIANS(theta_L)))/((((MxMy_FixedP!$DN$8:$DN$43)*SIN(RADIANS(theta_L))-(MxMy_FixedP!$EO$8:$EO$43)*COS(RADIANS(theta_L))))-(((MxMy_FixedP!$DN$9:$DN$44)*SIN(RADIANS(theta_L))-(MxMy_FixedP!$EO$9:$EO$44)*COS(RADIANS(theta_L))))+((((MxMy_FixedP!$DN$8:$DN$43)*SIN(RADIANS(theta_L))-(MxMy_FixedP!$EO$8:$EO$43)*COS(RADIANS(theta_L))))=(((MxMy_FixedP!$DN$9:$DN$44)*SIN(RADIANS(theta_L))-(MxMy_FixedP!$EO$9:$EO$44)*COS(RADIANS(theta_L)))))))*((MxMy_FixedP!$DN$9:$DN$44)-(MxMy_FixedP!$DN$8:$DN$43)))*COS(RADIANS(theta_L))+((MxMy_FixedP!$EO$8:$EO$43)+(((MxMy_FixedP!$DN$8:$DN$43)*SIN(RADIANS(theta_L))-(MxMy_FixedP!$EO$8:$EO$43)*COS(RADIANS(theta_L)))/((((MxMy_FixedP!$DN$8:$DN$43)*SIN(RADIANS(theta_L))-(MxMy_FixedP!$EO$8:$EO$43)*COS(RADIANS(theta_L))))-(((MxMy_FixedP!$DN$9:$DN$44)*SIN(RADIANS(theta_L))-(MxMy_FixedP!$EO$9:$EO$44)*COS(RADIANS(theta_L))))+((((MxMy_FixedP!$DN$8:$DN$43)*SIN(RADIANS(theta_L))-(MxMy_FixedP!$EO$8:$EO$43)*COS(RADIANS(theta_L))))=(((MxMy_FixedP!$DN$9:$DN$44)*SIN(RADIANS(theta_L))-(MxMy_FixedP!$EO$9:$EO$44)*COS(RADIANS(theta_L)))))))*((MxMy_FixedP!$EO$9:$EO$44)-(MxMy_FixedP!$EO$8:$EO$43)))*SIN(RADIANS(theta_L)))&lt;0),((MxMy_FixedP!$CM$8:$CM$43)+(((MxMy_FixedP!$DN$8:$DN$43)*SIN(RADIANS(theta_L))-(MxMy_FixedP!$EO$8:$EO$43)*COS(RADIANS(theta_L)))/((((MxMy_FixedP!$DN$8:$DN$43)*SIN(RADIANS(theta_L))-(MxMy_FixedP!$EO$8:$EO$43)*COS(RADIANS(theta_L))))-(((MxMy_FixedP!$DN$9:$DN$44)*SIN(RADIANS(theta_L))-(MxMy_FixedP!$EO$9:$EO$44)*COS(RADIANS(theta_L))))+((((MxMy_FixedP!$DN$8:$DN$43)*SIN(RADIANS(theta_L))-(MxMy_FixedP!$EO$8:$EO$43)*COS(RADIANS(theta_L))))=(((MxMy_FixedP!$DN$9:$DN$44)*SIN(RADIANS(theta_L))-(MxMy_FixedP!$EO$9:$EO$44)*COS(RADIANS(theta_L)))))))*((MxMy_FixedP!$CM$9:$CM$44)-(MxMy_FixedP!$CM$8:$CM$43))))/G14))</f>
      </c>
      <c r="I14" s="10">
        <f>IF($K14&lt;=Mtol,0,IF(G14=0,"",SUMPRODUCT(((((MxMy_FixedP!$DN$8:$DN$43)*SIN(RADIANS(theta_L))-(MxMy_FixedP!$EO$8:$EO$43)*COS(RADIANS(theta_L))))*(((MxMy_FixedP!$DN$9:$DN$44)*SIN(RADIANS(theta_L))-(MxMy_FixedP!$EO$9:$EO$44)*COS(RADIANS(theta_L))))&lt;=0)*((((MxMy_FixedP!$DN$8:$DN$43)*SIN(RADIANS(theta_L))-(MxMy_FixedP!$EO$8:$EO$43)*COS(RADIANS(theta_L))))&lt;&gt;(((MxMy_FixedP!$DN$9:$DN$44)*SIN(RADIANS(theta_L))-(MxMy_FixedP!$EO$9:$EO$44)*COS(RADIANS(theta_L)))))*((((MxMy_FixedP!$DN$8:$DN$43)+(((MxMy_FixedP!$DN$8:$DN$43)*SIN(RADIANS(theta_L))-(MxMy_FixedP!$EO$8:$EO$43)*COS(RADIANS(theta_L)))/((((MxMy_FixedP!$DN$8:$DN$43)*SIN(RADIANS(theta_L))-(MxMy_FixedP!$EO$8:$EO$43)*COS(RADIANS(theta_L))))-(((MxMy_FixedP!$DN$9:$DN$44)*SIN(RADIANS(theta_L))-(MxMy_FixedP!$EO$9:$EO$44)*COS(RADIANS(theta_L))))+((((MxMy_FixedP!$DN$8:$DN$43)*SIN(RADIANS(theta_L))-(MxMy_FixedP!$EO$8:$EO$43)*COS(RADIANS(theta_L))))=(((MxMy_FixedP!$DN$9:$DN$44)*SIN(RADIANS(theta_L))-(MxMy_FixedP!$EO$9:$EO$44)*COS(RADIANS(theta_L)))))))*((MxMy_FixedP!$DN$9:$DN$44)-(MxMy_FixedP!$DN$8:$DN$43)))*COS(RADIANS(theta_L))+((MxMy_FixedP!$EO$8:$EO$43)+(((MxMy_FixedP!$DN$8:$DN$43)*SIN(RADIANS(theta_L))-(MxMy_FixedP!$EO$8:$EO$43)*COS(RADIANS(theta_L)))/((((MxMy_FixedP!$DN$8:$DN$43)*SIN(RADIANS(theta_L))-(MxMy_FixedP!$EO$8:$EO$43)*COS(RADIANS(theta_L))))-(((MxMy_FixedP!$DN$9:$DN$44)*SIN(RADIANS(theta_L))-(MxMy_FixedP!$EO$9:$EO$44)*COS(RADIANS(theta_L))))+((((MxMy_FixedP!$DN$8:$DN$43)*SIN(RADIANS(theta_L))-(MxMy_FixedP!$EO$8:$EO$43)*COS(RADIANS(theta_L))))=(((MxMy_FixedP!$DN$9:$DN$44)*SIN(RADIANS(theta_L))-(MxMy_FixedP!$EO$9:$EO$44)*COS(RADIANS(theta_L)))))))*((MxMy_FixedP!$EO$9:$EO$44)-(MxMy_FixedP!$EO$8:$EO$43)))*SIN(RADIANS(theta_L)))&lt;0),(((MxMy_FixedP!$DN$8:$DN$43)+(((MxMy_FixedP!$DN$8:$DN$43)*SIN(RADIANS(theta_L))-(MxMy_FixedP!$EO$8:$EO$43)*COS(RADIANS(theta_L)))/((((MxMy_FixedP!$DN$8:$DN$43)*SIN(RADIANS(theta_L))-(MxMy_FixedP!$EO$8:$EO$43)*COS(RADIANS(theta_L))))-(((MxMy_FixedP!$DN$9:$DN$44)*SIN(RADIANS(theta_L))-(MxMy_FixedP!$EO$9:$EO$44)*COS(RADIANS(theta_L))))+((((MxMy_FixedP!$DN$8:$DN$43)*SIN(RADIANS(theta_L))-(MxMy_FixedP!$EO$8:$EO$43)*COS(RADIANS(theta_L))))=(((MxMy_FixedP!$DN$9:$DN$44)*SIN(RADIANS(theta_L))-(MxMy_FixedP!$EO$9:$EO$44)*COS(RADIANS(theta_L)))))))*((MxMy_FixedP!$DN$9:$DN$44)-(MxMy_FixedP!$DN$8:$DN$43)))*COS(RADIANS(theta_L))+((MxMy_FixedP!$EO$8:$EO$43)+(((MxMy_FixedP!$DN$8:$DN$43)*SIN(RADIANS(theta_L))-(MxMy_FixedP!$EO$8:$EO$43)*COS(RADIANS(theta_L)))/((((MxMy_FixedP!$DN$8:$DN$43)*SIN(RADIANS(theta_L))-(MxMy_FixedP!$EO$8:$EO$43)*COS(RADIANS(theta_L))))-(((MxMy_FixedP!$DN$9:$DN$44)*SIN(RADIANS(theta_L))-(MxMy_FixedP!$EO$9:$EO$44)*COS(RADIANS(theta_L))))+((((MxMy_FixedP!$DN$8:$DN$43)*SIN(RADIANS(theta_L))-(MxMy_FixedP!$EO$8:$EO$43)*COS(RADIANS(theta_L))))=(((MxMy_FixedP!$DN$9:$DN$44)*SIN(RADIANS(theta_L))-(MxMy_FixedP!$EO$9:$EO$44)*COS(RADIANS(theta_L)))))))*((MxMy_FixedP!$EO$9:$EO$44)-(MxMy_FixedP!$EO$8:$EO$43)))*SIN(RADIANS(theta_L))))/G14))</f>
      </c>
      <c r="J14">
        <f>IF($K14&lt;=Mtol,"pole",IF(AND(D14&gt;=1,G14&gt;=1),"ok","CHECK: "&amp;D14&amp;"/"&amp;G14&amp;" cuts"))</f>
      </c>
      <c r="K14" s="18">
        <v>2280.331227265789</v>
      </c>
    </row>
    <row r="15" spans="2:11" x14ac:dyDescent="0.25">
      <c r="B15" s="35" t="s">
        <v>222</v>
      </c>
      <c r="C15" s="54" t="s">
        <v>347</v>
      </c>
      <c r="D15" s="46">
        <f>IF($K15&lt;=Mtol,0,SUMPRODUCT(((((MxMy_FixedP!$DO$8:$DO$43)*SIN(RADIANS(theta_L))-(MxMy_FixedP!$EP$8:$EP$43)*COS(RADIANS(theta_L))))*(((MxMy_FixedP!$DO$9:$DO$44)*SIN(RADIANS(theta_L))-(MxMy_FixedP!$EP$9:$EP$44)*COS(RADIANS(theta_L))))&lt;=0)*((((MxMy_FixedP!$DO$8:$DO$43)*SIN(RADIANS(theta_L))-(MxMy_FixedP!$EP$8:$EP$43)*COS(RADIANS(theta_L))))&lt;&gt;(((MxMy_FixedP!$DO$9:$DO$44)*SIN(RADIANS(theta_L))-(MxMy_FixedP!$EP$9:$EP$44)*COS(RADIANS(theta_L)))))*((((MxMy_FixedP!$DO$8:$DO$43)+(((MxMy_FixedP!$DO$8:$DO$43)*SIN(RADIANS(theta_L))-(MxMy_FixedP!$EP$8:$EP$43)*COS(RADIANS(theta_L)))/((((MxMy_FixedP!$DO$8:$DO$43)*SIN(RADIANS(theta_L))-(MxMy_FixedP!$EP$8:$EP$43)*COS(RADIANS(theta_L))))-(((MxMy_FixedP!$DO$9:$DO$44)*SIN(RADIANS(theta_L))-(MxMy_FixedP!$EP$9:$EP$44)*COS(RADIANS(theta_L))))+((((MxMy_FixedP!$DO$8:$DO$43)*SIN(RADIANS(theta_L))-(MxMy_FixedP!$EP$8:$EP$43)*COS(RADIANS(theta_L))))=(((MxMy_FixedP!$DO$9:$DO$44)*SIN(RADIANS(theta_L))-(MxMy_FixedP!$EP$9:$EP$44)*COS(RADIANS(theta_L)))))))*((MxMy_FixedP!$DO$9:$DO$44)-(MxMy_FixedP!$DO$8:$DO$43)))*COS(RADIANS(theta_L))+((MxMy_FixedP!$EP$8:$EP$43)+(((MxMy_FixedP!$DO$8:$DO$43)*SIN(RADIANS(theta_L))-(MxMy_FixedP!$EP$8:$EP$43)*COS(RADIANS(theta_L)))/((((MxMy_FixedP!$DO$8:$DO$43)*SIN(RADIANS(theta_L))-(MxMy_FixedP!$EP$8:$EP$43)*COS(RADIANS(theta_L))))-(((MxMy_FixedP!$DO$9:$DO$44)*SIN(RADIANS(theta_L))-(MxMy_FixedP!$EP$9:$EP$44)*COS(RADIANS(theta_L))))+((((MxMy_FixedP!$DO$8:$DO$43)*SIN(RADIANS(theta_L))-(MxMy_FixedP!$EP$8:$EP$43)*COS(RADIANS(theta_L))))=(((MxMy_FixedP!$DO$9:$DO$44)*SIN(RADIANS(theta_L))-(MxMy_FixedP!$EP$9:$EP$44)*COS(RADIANS(theta_L)))))))*((MxMy_FixedP!$EP$9:$EP$44)-(MxMy_FixedP!$EP$8:$EP$43)))*SIN(RADIANS(theta_L)))&gt;0)))</f>
      </c>
      <c r="E15" s="10">
        <f>IF($K15&lt;=Mtol,MxMy_FixedP!$CN$8,IF(D15=0,"",SUMPRODUCT(((((MxMy_FixedP!$DO$8:$DO$43)*SIN(RADIANS(theta_L))-(MxMy_FixedP!$EP$8:$EP$43)*COS(RADIANS(theta_L))))*(((MxMy_FixedP!$DO$9:$DO$44)*SIN(RADIANS(theta_L))-(MxMy_FixedP!$EP$9:$EP$44)*COS(RADIANS(theta_L))))&lt;=0)*((((MxMy_FixedP!$DO$8:$DO$43)*SIN(RADIANS(theta_L))-(MxMy_FixedP!$EP$8:$EP$43)*COS(RADIANS(theta_L))))&lt;&gt;(((MxMy_FixedP!$DO$9:$DO$44)*SIN(RADIANS(theta_L))-(MxMy_FixedP!$EP$9:$EP$44)*COS(RADIANS(theta_L)))))*((((MxMy_FixedP!$DO$8:$DO$43)+(((MxMy_FixedP!$DO$8:$DO$43)*SIN(RADIANS(theta_L))-(MxMy_FixedP!$EP$8:$EP$43)*COS(RADIANS(theta_L)))/((((MxMy_FixedP!$DO$8:$DO$43)*SIN(RADIANS(theta_L))-(MxMy_FixedP!$EP$8:$EP$43)*COS(RADIANS(theta_L))))-(((MxMy_FixedP!$DO$9:$DO$44)*SIN(RADIANS(theta_L))-(MxMy_FixedP!$EP$9:$EP$44)*COS(RADIANS(theta_L))))+((((MxMy_FixedP!$DO$8:$DO$43)*SIN(RADIANS(theta_L))-(MxMy_FixedP!$EP$8:$EP$43)*COS(RADIANS(theta_L))))=(((MxMy_FixedP!$DO$9:$DO$44)*SIN(RADIANS(theta_L))-(MxMy_FixedP!$EP$9:$EP$44)*COS(RADIANS(theta_L)))))))*((MxMy_FixedP!$DO$9:$DO$44)-(MxMy_FixedP!$DO$8:$DO$43)))*COS(RADIANS(theta_L))+((MxMy_FixedP!$EP$8:$EP$43)+(((MxMy_FixedP!$DO$8:$DO$43)*SIN(RADIANS(theta_L))-(MxMy_FixedP!$EP$8:$EP$43)*COS(RADIANS(theta_L)))/((((MxMy_FixedP!$DO$8:$DO$43)*SIN(RADIANS(theta_L))-(MxMy_FixedP!$EP$8:$EP$43)*COS(RADIANS(theta_L))))-(((MxMy_FixedP!$DO$9:$DO$44)*SIN(RADIANS(theta_L))-(MxMy_FixedP!$EP$9:$EP$44)*COS(RADIANS(theta_L))))+((((MxMy_FixedP!$DO$8:$DO$43)*SIN(RADIANS(theta_L))-(MxMy_FixedP!$EP$8:$EP$43)*COS(RADIANS(theta_L))))=(((MxMy_FixedP!$DO$9:$DO$44)*SIN(RADIANS(theta_L))-(MxMy_FixedP!$EP$9:$EP$44)*COS(RADIANS(theta_L)))))))*((MxMy_FixedP!$EP$9:$EP$44)-(MxMy_FixedP!$EP$8:$EP$43)))*SIN(RADIANS(theta_L)))&gt;0),((MxMy_FixedP!$CN$8:$CN$43)+(((MxMy_FixedP!$DO$8:$DO$43)*SIN(RADIANS(theta_L))-(MxMy_FixedP!$EP$8:$EP$43)*COS(RADIANS(theta_L)))/((((MxMy_FixedP!$DO$8:$DO$43)*SIN(RADIANS(theta_L))-(MxMy_FixedP!$EP$8:$EP$43)*COS(RADIANS(theta_L))))-(((MxMy_FixedP!$DO$9:$DO$44)*SIN(RADIANS(theta_L))-(MxMy_FixedP!$EP$9:$EP$44)*COS(RADIANS(theta_L))))+((((MxMy_FixedP!$DO$8:$DO$43)*SIN(RADIANS(theta_L))-(MxMy_FixedP!$EP$8:$EP$43)*COS(RADIANS(theta_L))))=(((MxMy_FixedP!$DO$9:$DO$44)*SIN(RADIANS(theta_L))-(MxMy_FixedP!$EP$9:$EP$44)*COS(RADIANS(theta_L)))))))*((MxMy_FixedP!$CN$9:$CN$44)-(MxMy_FixedP!$CN$8:$CN$43))))/D15))</f>
      </c>
      <c r="F15" s="10">
        <f>IF($K15&lt;=Mtol,0,IF(D15=0,"",SUMPRODUCT(((((MxMy_FixedP!$DO$8:$DO$43)*SIN(RADIANS(theta_L))-(MxMy_FixedP!$EP$8:$EP$43)*COS(RADIANS(theta_L))))*(((MxMy_FixedP!$DO$9:$DO$44)*SIN(RADIANS(theta_L))-(MxMy_FixedP!$EP$9:$EP$44)*COS(RADIANS(theta_L))))&lt;=0)*((((MxMy_FixedP!$DO$8:$DO$43)*SIN(RADIANS(theta_L))-(MxMy_FixedP!$EP$8:$EP$43)*COS(RADIANS(theta_L))))&lt;&gt;(((MxMy_FixedP!$DO$9:$DO$44)*SIN(RADIANS(theta_L))-(MxMy_FixedP!$EP$9:$EP$44)*COS(RADIANS(theta_L)))))*((((MxMy_FixedP!$DO$8:$DO$43)+(((MxMy_FixedP!$DO$8:$DO$43)*SIN(RADIANS(theta_L))-(MxMy_FixedP!$EP$8:$EP$43)*COS(RADIANS(theta_L)))/((((MxMy_FixedP!$DO$8:$DO$43)*SIN(RADIANS(theta_L))-(MxMy_FixedP!$EP$8:$EP$43)*COS(RADIANS(theta_L))))-(((MxMy_FixedP!$DO$9:$DO$44)*SIN(RADIANS(theta_L))-(MxMy_FixedP!$EP$9:$EP$44)*COS(RADIANS(theta_L))))+((((MxMy_FixedP!$DO$8:$DO$43)*SIN(RADIANS(theta_L))-(MxMy_FixedP!$EP$8:$EP$43)*COS(RADIANS(theta_L))))=(((MxMy_FixedP!$DO$9:$DO$44)*SIN(RADIANS(theta_L))-(MxMy_FixedP!$EP$9:$EP$44)*COS(RADIANS(theta_L)))))))*((MxMy_FixedP!$DO$9:$DO$44)-(MxMy_FixedP!$DO$8:$DO$43)))*COS(RADIANS(theta_L))+((MxMy_FixedP!$EP$8:$EP$43)+(((MxMy_FixedP!$DO$8:$DO$43)*SIN(RADIANS(theta_L))-(MxMy_FixedP!$EP$8:$EP$43)*COS(RADIANS(theta_L)))/((((MxMy_FixedP!$DO$8:$DO$43)*SIN(RADIANS(theta_L))-(MxMy_FixedP!$EP$8:$EP$43)*COS(RADIANS(theta_L))))-(((MxMy_FixedP!$DO$9:$DO$44)*SIN(RADIANS(theta_L))-(MxMy_FixedP!$EP$9:$EP$44)*COS(RADIANS(theta_L))))+((((MxMy_FixedP!$DO$8:$DO$43)*SIN(RADIANS(theta_L))-(MxMy_FixedP!$EP$8:$EP$43)*COS(RADIANS(theta_L))))=(((MxMy_FixedP!$DO$9:$DO$44)*SIN(RADIANS(theta_L))-(MxMy_FixedP!$EP$9:$EP$44)*COS(RADIANS(theta_L)))))))*((MxMy_FixedP!$EP$9:$EP$44)-(MxMy_FixedP!$EP$8:$EP$43)))*SIN(RADIANS(theta_L)))&gt;0),(((MxMy_FixedP!$DO$8:$DO$43)+(((MxMy_FixedP!$DO$8:$DO$43)*SIN(RADIANS(theta_L))-(MxMy_FixedP!$EP$8:$EP$43)*COS(RADIANS(theta_L)))/((((MxMy_FixedP!$DO$8:$DO$43)*SIN(RADIANS(theta_L))-(MxMy_FixedP!$EP$8:$EP$43)*COS(RADIANS(theta_L))))-(((MxMy_FixedP!$DO$9:$DO$44)*SIN(RADIANS(theta_L))-(MxMy_FixedP!$EP$9:$EP$44)*COS(RADIANS(theta_L))))+((((MxMy_FixedP!$DO$8:$DO$43)*SIN(RADIANS(theta_L))-(MxMy_FixedP!$EP$8:$EP$43)*COS(RADIANS(theta_L))))=(((MxMy_FixedP!$DO$9:$DO$44)*SIN(RADIANS(theta_L))-(MxMy_FixedP!$EP$9:$EP$44)*COS(RADIANS(theta_L)))))))*((MxMy_FixedP!$DO$9:$DO$44)-(MxMy_FixedP!$DO$8:$DO$43)))*COS(RADIANS(theta_L))+((MxMy_FixedP!$EP$8:$EP$43)+(((MxMy_FixedP!$DO$8:$DO$43)*SIN(RADIANS(theta_L))-(MxMy_FixedP!$EP$8:$EP$43)*COS(RADIANS(theta_L)))/((((MxMy_FixedP!$DO$8:$DO$43)*SIN(RADIANS(theta_L))-(MxMy_FixedP!$EP$8:$EP$43)*COS(RADIANS(theta_L))))-(((MxMy_FixedP!$DO$9:$DO$44)*SIN(RADIANS(theta_L))-(MxMy_FixedP!$EP$9:$EP$44)*COS(RADIANS(theta_L))))+((((MxMy_FixedP!$DO$8:$DO$43)*SIN(RADIANS(theta_L))-(MxMy_FixedP!$EP$8:$EP$43)*COS(RADIANS(theta_L))))=(((MxMy_FixedP!$DO$9:$DO$44)*SIN(RADIANS(theta_L))-(MxMy_FixedP!$EP$9:$EP$44)*COS(RADIANS(theta_L)))))))*((MxMy_FixedP!$EP$9:$EP$44)-(MxMy_FixedP!$EP$8:$EP$43)))*SIN(RADIANS(theta_L))))/D15))</f>
      </c>
      <c r="G15" s="46">
        <f>IF($K15&lt;=Mtol,0,SUMPRODUCT(((((MxMy_FixedP!$DO$8:$DO$43)*SIN(RADIANS(theta_L))-(MxMy_FixedP!$EP$8:$EP$43)*COS(RADIANS(theta_L))))*(((MxMy_FixedP!$DO$9:$DO$44)*SIN(RADIANS(theta_L))-(MxMy_FixedP!$EP$9:$EP$44)*COS(RADIANS(theta_L))))&lt;=0)*((((MxMy_FixedP!$DO$8:$DO$43)*SIN(RADIANS(theta_L))-(MxMy_FixedP!$EP$8:$EP$43)*COS(RADIANS(theta_L))))&lt;&gt;(((MxMy_FixedP!$DO$9:$DO$44)*SIN(RADIANS(theta_L))-(MxMy_FixedP!$EP$9:$EP$44)*COS(RADIANS(theta_L)))))*((((MxMy_FixedP!$DO$8:$DO$43)+(((MxMy_FixedP!$DO$8:$DO$43)*SIN(RADIANS(theta_L))-(MxMy_FixedP!$EP$8:$EP$43)*COS(RADIANS(theta_L)))/((((MxMy_FixedP!$DO$8:$DO$43)*SIN(RADIANS(theta_L))-(MxMy_FixedP!$EP$8:$EP$43)*COS(RADIANS(theta_L))))-(((MxMy_FixedP!$DO$9:$DO$44)*SIN(RADIANS(theta_L))-(MxMy_FixedP!$EP$9:$EP$44)*COS(RADIANS(theta_L))))+((((MxMy_FixedP!$DO$8:$DO$43)*SIN(RADIANS(theta_L))-(MxMy_FixedP!$EP$8:$EP$43)*COS(RADIANS(theta_L))))=(((MxMy_FixedP!$DO$9:$DO$44)*SIN(RADIANS(theta_L))-(MxMy_FixedP!$EP$9:$EP$44)*COS(RADIANS(theta_L)))))))*((MxMy_FixedP!$DO$9:$DO$44)-(MxMy_FixedP!$DO$8:$DO$43)))*COS(RADIANS(theta_L))+((MxMy_FixedP!$EP$8:$EP$43)+(((MxMy_FixedP!$DO$8:$DO$43)*SIN(RADIANS(theta_L))-(MxMy_FixedP!$EP$8:$EP$43)*COS(RADIANS(theta_L)))/((((MxMy_FixedP!$DO$8:$DO$43)*SIN(RADIANS(theta_L))-(MxMy_FixedP!$EP$8:$EP$43)*COS(RADIANS(theta_L))))-(((MxMy_FixedP!$DO$9:$DO$44)*SIN(RADIANS(theta_L))-(MxMy_FixedP!$EP$9:$EP$44)*COS(RADIANS(theta_L))))+((((MxMy_FixedP!$DO$8:$DO$43)*SIN(RADIANS(theta_L))-(MxMy_FixedP!$EP$8:$EP$43)*COS(RADIANS(theta_L))))=(((MxMy_FixedP!$DO$9:$DO$44)*SIN(RADIANS(theta_L))-(MxMy_FixedP!$EP$9:$EP$44)*COS(RADIANS(theta_L)))))))*((MxMy_FixedP!$EP$9:$EP$44)-(MxMy_FixedP!$EP$8:$EP$43)))*SIN(RADIANS(theta_L)))&lt;0)))</f>
      </c>
      <c r="H15" s="10">
        <f>IF($K15&lt;=Mtol,MxMy_FixedP!$CN$8,IF(G15=0,"",SUMPRODUCT(((((MxMy_FixedP!$DO$8:$DO$43)*SIN(RADIANS(theta_L))-(MxMy_FixedP!$EP$8:$EP$43)*COS(RADIANS(theta_L))))*(((MxMy_FixedP!$DO$9:$DO$44)*SIN(RADIANS(theta_L))-(MxMy_FixedP!$EP$9:$EP$44)*COS(RADIANS(theta_L))))&lt;=0)*((((MxMy_FixedP!$DO$8:$DO$43)*SIN(RADIANS(theta_L))-(MxMy_FixedP!$EP$8:$EP$43)*COS(RADIANS(theta_L))))&lt;&gt;(((MxMy_FixedP!$DO$9:$DO$44)*SIN(RADIANS(theta_L))-(MxMy_FixedP!$EP$9:$EP$44)*COS(RADIANS(theta_L)))))*((((MxMy_FixedP!$DO$8:$DO$43)+(((MxMy_FixedP!$DO$8:$DO$43)*SIN(RADIANS(theta_L))-(MxMy_FixedP!$EP$8:$EP$43)*COS(RADIANS(theta_L)))/((((MxMy_FixedP!$DO$8:$DO$43)*SIN(RADIANS(theta_L))-(MxMy_FixedP!$EP$8:$EP$43)*COS(RADIANS(theta_L))))-(((MxMy_FixedP!$DO$9:$DO$44)*SIN(RADIANS(theta_L))-(MxMy_FixedP!$EP$9:$EP$44)*COS(RADIANS(theta_L))))+((((MxMy_FixedP!$DO$8:$DO$43)*SIN(RADIANS(theta_L))-(MxMy_FixedP!$EP$8:$EP$43)*COS(RADIANS(theta_L))))=(((MxMy_FixedP!$DO$9:$DO$44)*SIN(RADIANS(theta_L))-(MxMy_FixedP!$EP$9:$EP$44)*COS(RADIANS(theta_L)))))))*((MxMy_FixedP!$DO$9:$DO$44)-(MxMy_FixedP!$DO$8:$DO$43)))*COS(RADIANS(theta_L))+((MxMy_FixedP!$EP$8:$EP$43)+(((MxMy_FixedP!$DO$8:$DO$43)*SIN(RADIANS(theta_L))-(MxMy_FixedP!$EP$8:$EP$43)*COS(RADIANS(theta_L)))/((((MxMy_FixedP!$DO$8:$DO$43)*SIN(RADIANS(theta_L))-(MxMy_FixedP!$EP$8:$EP$43)*COS(RADIANS(theta_L))))-(((MxMy_FixedP!$DO$9:$DO$44)*SIN(RADIANS(theta_L))-(MxMy_FixedP!$EP$9:$EP$44)*COS(RADIANS(theta_L))))+((((MxMy_FixedP!$DO$8:$DO$43)*SIN(RADIANS(theta_L))-(MxMy_FixedP!$EP$8:$EP$43)*COS(RADIANS(theta_L))))=(((MxMy_FixedP!$DO$9:$DO$44)*SIN(RADIANS(theta_L))-(MxMy_FixedP!$EP$9:$EP$44)*COS(RADIANS(theta_L)))))))*((MxMy_FixedP!$EP$9:$EP$44)-(MxMy_FixedP!$EP$8:$EP$43)))*SIN(RADIANS(theta_L)))&lt;0),((MxMy_FixedP!$CN$8:$CN$43)+(((MxMy_FixedP!$DO$8:$DO$43)*SIN(RADIANS(theta_L))-(MxMy_FixedP!$EP$8:$EP$43)*COS(RADIANS(theta_L)))/((((MxMy_FixedP!$DO$8:$DO$43)*SIN(RADIANS(theta_L))-(MxMy_FixedP!$EP$8:$EP$43)*COS(RADIANS(theta_L))))-(((MxMy_FixedP!$DO$9:$DO$44)*SIN(RADIANS(theta_L))-(MxMy_FixedP!$EP$9:$EP$44)*COS(RADIANS(theta_L))))+((((MxMy_FixedP!$DO$8:$DO$43)*SIN(RADIANS(theta_L))-(MxMy_FixedP!$EP$8:$EP$43)*COS(RADIANS(theta_L))))=(((MxMy_FixedP!$DO$9:$DO$44)*SIN(RADIANS(theta_L))-(MxMy_FixedP!$EP$9:$EP$44)*COS(RADIANS(theta_L)))))))*((MxMy_FixedP!$CN$9:$CN$44)-(MxMy_FixedP!$CN$8:$CN$43))))/G15))</f>
      </c>
      <c r="I15" s="10">
        <f>IF($K15&lt;=Mtol,0,IF(G15=0,"",SUMPRODUCT(((((MxMy_FixedP!$DO$8:$DO$43)*SIN(RADIANS(theta_L))-(MxMy_FixedP!$EP$8:$EP$43)*COS(RADIANS(theta_L))))*(((MxMy_FixedP!$DO$9:$DO$44)*SIN(RADIANS(theta_L))-(MxMy_FixedP!$EP$9:$EP$44)*COS(RADIANS(theta_L))))&lt;=0)*((((MxMy_FixedP!$DO$8:$DO$43)*SIN(RADIANS(theta_L))-(MxMy_FixedP!$EP$8:$EP$43)*COS(RADIANS(theta_L))))&lt;&gt;(((MxMy_FixedP!$DO$9:$DO$44)*SIN(RADIANS(theta_L))-(MxMy_FixedP!$EP$9:$EP$44)*COS(RADIANS(theta_L)))))*((((MxMy_FixedP!$DO$8:$DO$43)+(((MxMy_FixedP!$DO$8:$DO$43)*SIN(RADIANS(theta_L))-(MxMy_FixedP!$EP$8:$EP$43)*COS(RADIANS(theta_L)))/((((MxMy_FixedP!$DO$8:$DO$43)*SIN(RADIANS(theta_L))-(MxMy_FixedP!$EP$8:$EP$43)*COS(RADIANS(theta_L))))-(((MxMy_FixedP!$DO$9:$DO$44)*SIN(RADIANS(theta_L))-(MxMy_FixedP!$EP$9:$EP$44)*COS(RADIANS(theta_L))))+((((MxMy_FixedP!$DO$8:$DO$43)*SIN(RADIANS(theta_L))-(MxMy_FixedP!$EP$8:$EP$43)*COS(RADIANS(theta_L))))=(((MxMy_FixedP!$DO$9:$DO$44)*SIN(RADIANS(theta_L))-(MxMy_FixedP!$EP$9:$EP$44)*COS(RADIANS(theta_L)))))))*((MxMy_FixedP!$DO$9:$DO$44)-(MxMy_FixedP!$DO$8:$DO$43)))*COS(RADIANS(theta_L))+((MxMy_FixedP!$EP$8:$EP$43)+(((MxMy_FixedP!$DO$8:$DO$43)*SIN(RADIANS(theta_L))-(MxMy_FixedP!$EP$8:$EP$43)*COS(RADIANS(theta_L)))/((((MxMy_FixedP!$DO$8:$DO$43)*SIN(RADIANS(theta_L))-(MxMy_FixedP!$EP$8:$EP$43)*COS(RADIANS(theta_L))))-(((MxMy_FixedP!$DO$9:$DO$44)*SIN(RADIANS(theta_L))-(MxMy_FixedP!$EP$9:$EP$44)*COS(RADIANS(theta_L))))+((((MxMy_FixedP!$DO$8:$DO$43)*SIN(RADIANS(theta_L))-(MxMy_FixedP!$EP$8:$EP$43)*COS(RADIANS(theta_L))))=(((MxMy_FixedP!$DO$9:$DO$44)*SIN(RADIANS(theta_L))-(MxMy_FixedP!$EP$9:$EP$44)*COS(RADIANS(theta_L)))))))*((MxMy_FixedP!$EP$9:$EP$44)-(MxMy_FixedP!$EP$8:$EP$43)))*SIN(RADIANS(theta_L)))&lt;0),(((MxMy_FixedP!$DO$8:$DO$43)+(((MxMy_FixedP!$DO$8:$DO$43)*SIN(RADIANS(theta_L))-(MxMy_FixedP!$EP$8:$EP$43)*COS(RADIANS(theta_L)))/((((MxMy_FixedP!$DO$8:$DO$43)*SIN(RADIANS(theta_L))-(MxMy_FixedP!$EP$8:$EP$43)*COS(RADIANS(theta_L))))-(((MxMy_FixedP!$DO$9:$DO$44)*SIN(RADIANS(theta_L))-(MxMy_FixedP!$EP$9:$EP$44)*COS(RADIANS(theta_L))))+((((MxMy_FixedP!$DO$8:$DO$43)*SIN(RADIANS(theta_L))-(MxMy_FixedP!$EP$8:$EP$43)*COS(RADIANS(theta_L))))=(((MxMy_FixedP!$DO$9:$DO$44)*SIN(RADIANS(theta_L))-(MxMy_FixedP!$EP$9:$EP$44)*COS(RADIANS(theta_L)))))))*((MxMy_FixedP!$DO$9:$DO$44)-(MxMy_FixedP!$DO$8:$DO$43)))*COS(RADIANS(theta_L))+((MxMy_FixedP!$EP$8:$EP$43)+(((MxMy_FixedP!$DO$8:$DO$43)*SIN(RADIANS(theta_L))-(MxMy_FixedP!$EP$8:$EP$43)*COS(RADIANS(theta_L)))/((((MxMy_FixedP!$DO$8:$DO$43)*SIN(RADIANS(theta_L))-(MxMy_FixedP!$EP$8:$EP$43)*COS(RADIANS(theta_L))))-(((MxMy_FixedP!$DO$9:$DO$44)*SIN(RADIANS(theta_L))-(MxMy_FixedP!$EP$9:$EP$44)*COS(RADIANS(theta_L))))+((((MxMy_FixedP!$DO$8:$DO$43)*SIN(RADIANS(theta_L))-(MxMy_FixedP!$EP$8:$EP$43)*COS(RADIANS(theta_L))))=(((MxMy_FixedP!$DO$9:$DO$44)*SIN(RADIANS(theta_L))-(MxMy_FixedP!$EP$9:$EP$44)*COS(RADIANS(theta_L)))))))*((MxMy_FixedP!$EP$9:$EP$44)-(MxMy_FixedP!$EP$8:$EP$43)))*SIN(RADIANS(theta_L))))/G15))</f>
      </c>
      <c r="J15">
        <f>IF($K15&lt;=Mtol,"pole",IF(AND(D15&gt;=1,G15&gt;=1),"ok","CHECK: "&amp;D15&amp;"/"&amp;G15&amp;" cuts"))</f>
      </c>
      <c r="K15" s="18">
        <v>3085.097902487554</v>
      </c>
    </row>
    <row r="16" spans="2:11" x14ac:dyDescent="0.25">
      <c r="B16" s="35" t="s">
        <v>223</v>
      </c>
      <c r="C16" s="54" t="s">
        <v>348</v>
      </c>
      <c r="D16" s="46">
        <f>IF($K16&lt;=Mtol,0,SUMPRODUCT(((((MxMy_FixedP!$DP$8:$DP$43)*SIN(RADIANS(theta_L))-(MxMy_FixedP!$EQ$8:$EQ$43)*COS(RADIANS(theta_L))))*(((MxMy_FixedP!$DP$9:$DP$44)*SIN(RADIANS(theta_L))-(MxMy_FixedP!$EQ$9:$EQ$44)*COS(RADIANS(theta_L))))&lt;=0)*((((MxMy_FixedP!$DP$8:$DP$43)*SIN(RADIANS(theta_L))-(MxMy_FixedP!$EQ$8:$EQ$43)*COS(RADIANS(theta_L))))&lt;&gt;(((MxMy_FixedP!$DP$9:$DP$44)*SIN(RADIANS(theta_L))-(MxMy_FixedP!$EQ$9:$EQ$44)*COS(RADIANS(theta_L)))))*((((MxMy_FixedP!$DP$8:$DP$43)+(((MxMy_FixedP!$DP$8:$DP$43)*SIN(RADIANS(theta_L))-(MxMy_FixedP!$EQ$8:$EQ$43)*COS(RADIANS(theta_L)))/((((MxMy_FixedP!$DP$8:$DP$43)*SIN(RADIANS(theta_L))-(MxMy_FixedP!$EQ$8:$EQ$43)*COS(RADIANS(theta_L))))-(((MxMy_FixedP!$DP$9:$DP$44)*SIN(RADIANS(theta_L))-(MxMy_FixedP!$EQ$9:$EQ$44)*COS(RADIANS(theta_L))))+((((MxMy_FixedP!$DP$8:$DP$43)*SIN(RADIANS(theta_L))-(MxMy_FixedP!$EQ$8:$EQ$43)*COS(RADIANS(theta_L))))=(((MxMy_FixedP!$DP$9:$DP$44)*SIN(RADIANS(theta_L))-(MxMy_FixedP!$EQ$9:$EQ$44)*COS(RADIANS(theta_L)))))))*((MxMy_FixedP!$DP$9:$DP$44)-(MxMy_FixedP!$DP$8:$DP$43)))*COS(RADIANS(theta_L))+((MxMy_FixedP!$EQ$8:$EQ$43)+(((MxMy_FixedP!$DP$8:$DP$43)*SIN(RADIANS(theta_L))-(MxMy_FixedP!$EQ$8:$EQ$43)*COS(RADIANS(theta_L)))/((((MxMy_FixedP!$DP$8:$DP$43)*SIN(RADIANS(theta_L))-(MxMy_FixedP!$EQ$8:$EQ$43)*COS(RADIANS(theta_L))))-(((MxMy_FixedP!$DP$9:$DP$44)*SIN(RADIANS(theta_L))-(MxMy_FixedP!$EQ$9:$EQ$44)*COS(RADIANS(theta_L))))+((((MxMy_FixedP!$DP$8:$DP$43)*SIN(RADIANS(theta_L))-(MxMy_FixedP!$EQ$8:$EQ$43)*COS(RADIANS(theta_L))))=(((MxMy_FixedP!$DP$9:$DP$44)*SIN(RADIANS(theta_L))-(MxMy_FixedP!$EQ$9:$EQ$44)*COS(RADIANS(theta_L)))))))*((MxMy_FixedP!$EQ$9:$EQ$44)-(MxMy_FixedP!$EQ$8:$EQ$43)))*SIN(RADIANS(theta_L)))&gt;0)))</f>
      </c>
      <c r="E16" s="10">
        <f>IF($K16&lt;=Mtol,MxMy_FixedP!$CO$8,IF(D16=0,"",SUMPRODUCT(((((MxMy_FixedP!$DP$8:$DP$43)*SIN(RADIANS(theta_L))-(MxMy_FixedP!$EQ$8:$EQ$43)*COS(RADIANS(theta_L))))*(((MxMy_FixedP!$DP$9:$DP$44)*SIN(RADIANS(theta_L))-(MxMy_FixedP!$EQ$9:$EQ$44)*COS(RADIANS(theta_L))))&lt;=0)*((((MxMy_FixedP!$DP$8:$DP$43)*SIN(RADIANS(theta_L))-(MxMy_FixedP!$EQ$8:$EQ$43)*COS(RADIANS(theta_L))))&lt;&gt;(((MxMy_FixedP!$DP$9:$DP$44)*SIN(RADIANS(theta_L))-(MxMy_FixedP!$EQ$9:$EQ$44)*COS(RADIANS(theta_L)))))*((((MxMy_FixedP!$DP$8:$DP$43)+(((MxMy_FixedP!$DP$8:$DP$43)*SIN(RADIANS(theta_L))-(MxMy_FixedP!$EQ$8:$EQ$43)*COS(RADIANS(theta_L)))/((((MxMy_FixedP!$DP$8:$DP$43)*SIN(RADIANS(theta_L))-(MxMy_FixedP!$EQ$8:$EQ$43)*COS(RADIANS(theta_L))))-(((MxMy_FixedP!$DP$9:$DP$44)*SIN(RADIANS(theta_L))-(MxMy_FixedP!$EQ$9:$EQ$44)*COS(RADIANS(theta_L))))+((((MxMy_FixedP!$DP$8:$DP$43)*SIN(RADIANS(theta_L))-(MxMy_FixedP!$EQ$8:$EQ$43)*COS(RADIANS(theta_L))))=(((MxMy_FixedP!$DP$9:$DP$44)*SIN(RADIANS(theta_L))-(MxMy_FixedP!$EQ$9:$EQ$44)*COS(RADIANS(theta_L)))))))*((MxMy_FixedP!$DP$9:$DP$44)-(MxMy_FixedP!$DP$8:$DP$43)))*COS(RADIANS(theta_L))+((MxMy_FixedP!$EQ$8:$EQ$43)+(((MxMy_FixedP!$DP$8:$DP$43)*SIN(RADIANS(theta_L))-(MxMy_FixedP!$EQ$8:$EQ$43)*COS(RADIANS(theta_L)))/((((MxMy_FixedP!$DP$8:$DP$43)*SIN(RADIANS(theta_L))-(MxMy_FixedP!$EQ$8:$EQ$43)*COS(RADIANS(theta_L))))-(((MxMy_FixedP!$DP$9:$DP$44)*SIN(RADIANS(theta_L))-(MxMy_FixedP!$EQ$9:$EQ$44)*COS(RADIANS(theta_L))))+((((MxMy_FixedP!$DP$8:$DP$43)*SIN(RADIANS(theta_L))-(MxMy_FixedP!$EQ$8:$EQ$43)*COS(RADIANS(theta_L))))=(((MxMy_FixedP!$DP$9:$DP$44)*SIN(RADIANS(theta_L))-(MxMy_FixedP!$EQ$9:$EQ$44)*COS(RADIANS(theta_L)))))))*((MxMy_FixedP!$EQ$9:$EQ$44)-(MxMy_FixedP!$EQ$8:$EQ$43)))*SIN(RADIANS(theta_L)))&gt;0),((MxMy_FixedP!$CO$8:$CO$43)+(((MxMy_FixedP!$DP$8:$DP$43)*SIN(RADIANS(theta_L))-(MxMy_FixedP!$EQ$8:$EQ$43)*COS(RADIANS(theta_L)))/((((MxMy_FixedP!$DP$8:$DP$43)*SIN(RADIANS(theta_L))-(MxMy_FixedP!$EQ$8:$EQ$43)*COS(RADIANS(theta_L))))-(((MxMy_FixedP!$DP$9:$DP$44)*SIN(RADIANS(theta_L))-(MxMy_FixedP!$EQ$9:$EQ$44)*COS(RADIANS(theta_L))))+((((MxMy_FixedP!$DP$8:$DP$43)*SIN(RADIANS(theta_L))-(MxMy_FixedP!$EQ$8:$EQ$43)*COS(RADIANS(theta_L))))=(((MxMy_FixedP!$DP$9:$DP$44)*SIN(RADIANS(theta_L))-(MxMy_FixedP!$EQ$9:$EQ$44)*COS(RADIANS(theta_L)))))))*((MxMy_FixedP!$CO$9:$CO$44)-(MxMy_FixedP!$CO$8:$CO$43))))/D16))</f>
      </c>
      <c r="F16" s="10">
        <f>IF($K16&lt;=Mtol,0,IF(D16=0,"",SUMPRODUCT(((((MxMy_FixedP!$DP$8:$DP$43)*SIN(RADIANS(theta_L))-(MxMy_FixedP!$EQ$8:$EQ$43)*COS(RADIANS(theta_L))))*(((MxMy_FixedP!$DP$9:$DP$44)*SIN(RADIANS(theta_L))-(MxMy_FixedP!$EQ$9:$EQ$44)*COS(RADIANS(theta_L))))&lt;=0)*((((MxMy_FixedP!$DP$8:$DP$43)*SIN(RADIANS(theta_L))-(MxMy_FixedP!$EQ$8:$EQ$43)*COS(RADIANS(theta_L))))&lt;&gt;(((MxMy_FixedP!$DP$9:$DP$44)*SIN(RADIANS(theta_L))-(MxMy_FixedP!$EQ$9:$EQ$44)*COS(RADIANS(theta_L)))))*((((MxMy_FixedP!$DP$8:$DP$43)+(((MxMy_FixedP!$DP$8:$DP$43)*SIN(RADIANS(theta_L))-(MxMy_FixedP!$EQ$8:$EQ$43)*COS(RADIANS(theta_L)))/((((MxMy_FixedP!$DP$8:$DP$43)*SIN(RADIANS(theta_L))-(MxMy_FixedP!$EQ$8:$EQ$43)*COS(RADIANS(theta_L))))-(((MxMy_FixedP!$DP$9:$DP$44)*SIN(RADIANS(theta_L))-(MxMy_FixedP!$EQ$9:$EQ$44)*COS(RADIANS(theta_L))))+((((MxMy_FixedP!$DP$8:$DP$43)*SIN(RADIANS(theta_L))-(MxMy_FixedP!$EQ$8:$EQ$43)*COS(RADIANS(theta_L))))=(((MxMy_FixedP!$DP$9:$DP$44)*SIN(RADIANS(theta_L))-(MxMy_FixedP!$EQ$9:$EQ$44)*COS(RADIANS(theta_L)))))))*((MxMy_FixedP!$DP$9:$DP$44)-(MxMy_FixedP!$DP$8:$DP$43)))*COS(RADIANS(theta_L))+((MxMy_FixedP!$EQ$8:$EQ$43)+(((MxMy_FixedP!$DP$8:$DP$43)*SIN(RADIANS(theta_L))-(MxMy_FixedP!$EQ$8:$EQ$43)*COS(RADIANS(theta_L)))/((((MxMy_FixedP!$DP$8:$DP$43)*SIN(RADIANS(theta_L))-(MxMy_FixedP!$EQ$8:$EQ$43)*COS(RADIANS(theta_L))))-(((MxMy_FixedP!$DP$9:$DP$44)*SIN(RADIANS(theta_L))-(MxMy_FixedP!$EQ$9:$EQ$44)*COS(RADIANS(theta_L))))+((((MxMy_FixedP!$DP$8:$DP$43)*SIN(RADIANS(theta_L))-(MxMy_FixedP!$EQ$8:$EQ$43)*COS(RADIANS(theta_L))))=(((MxMy_FixedP!$DP$9:$DP$44)*SIN(RADIANS(theta_L))-(MxMy_FixedP!$EQ$9:$EQ$44)*COS(RADIANS(theta_L)))))))*((MxMy_FixedP!$EQ$9:$EQ$44)-(MxMy_FixedP!$EQ$8:$EQ$43)))*SIN(RADIANS(theta_L)))&gt;0),(((MxMy_FixedP!$DP$8:$DP$43)+(((MxMy_FixedP!$DP$8:$DP$43)*SIN(RADIANS(theta_L))-(MxMy_FixedP!$EQ$8:$EQ$43)*COS(RADIANS(theta_L)))/((((MxMy_FixedP!$DP$8:$DP$43)*SIN(RADIANS(theta_L))-(MxMy_FixedP!$EQ$8:$EQ$43)*COS(RADIANS(theta_L))))-(((MxMy_FixedP!$DP$9:$DP$44)*SIN(RADIANS(theta_L))-(MxMy_FixedP!$EQ$9:$EQ$44)*COS(RADIANS(theta_L))))+((((MxMy_FixedP!$DP$8:$DP$43)*SIN(RADIANS(theta_L))-(MxMy_FixedP!$EQ$8:$EQ$43)*COS(RADIANS(theta_L))))=(((MxMy_FixedP!$DP$9:$DP$44)*SIN(RADIANS(theta_L))-(MxMy_FixedP!$EQ$9:$EQ$44)*COS(RADIANS(theta_L)))))))*((MxMy_FixedP!$DP$9:$DP$44)-(MxMy_FixedP!$DP$8:$DP$43)))*COS(RADIANS(theta_L))+((MxMy_FixedP!$EQ$8:$EQ$43)+(((MxMy_FixedP!$DP$8:$DP$43)*SIN(RADIANS(theta_L))-(MxMy_FixedP!$EQ$8:$EQ$43)*COS(RADIANS(theta_L)))/((((MxMy_FixedP!$DP$8:$DP$43)*SIN(RADIANS(theta_L))-(MxMy_FixedP!$EQ$8:$EQ$43)*COS(RADIANS(theta_L))))-(((MxMy_FixedP!$DP$9:$DP$44)*SIN(RADIANS(theta_L))-(MxMy_FixedP!$EQ$9:$EQ$44)*COS(RADIANS(theta_L))))+((((MxMy_FixedP!$DP$8:$DP$43)*SIN(RADIANS(theta_L))-(MxMy_FixedP!$EQ$8:$EQ$43)*COS(RADIANS(theta_L))))=(((MxMy_FixedP!$DP$9:$DP$44)*SIN(RADIANS(theta_L))-(MxMy_FixedP!$EQ$9:$EQ$44)*COS(RADIANS(theta_L)))))))*((MxMy_FixedP!$EQ$9:$EQ$44)-(MxMy_FixedP!$EQ$8:$EQ$43)))*SIN(RADIANS(theta_L))))/D16))</f>
      </c>
      <c r="G16" s="46">
        <f>IF($K16&lt;=Mtol,0,SUMPRODUCT(((((MxMy_FixedP!$DP$8:$DP$43)*SIN(RADIANS(theta_L))-(MxMy_FixedP!$EQ$8:$EQ$43)*COS(RADIANS(theta_L))))*(((MxMy_FixedP!$DP$9:$DP$44)*SIN(RADIANS(theta_L))-(MxMy_FixedP!$EQ$9:$EQ$44)*COS(RADIANS(theta_L))))&lt;=0)*((((MxMy_FixedP!$DP$8:$DP$43)*SIN(RADIANS(theta_L))-(MxMy_FixedP!$EQ$8:$EQ$43)*COS(RADIANS(theta_L))))&lt;&gt;(((MxMy_FixedP!$DP$9:$DP$44)*SIN(RADIANS(theta_L))-(MxMy_FixedP!$EQ$9:$EQ$44)*COS(RADIANS(theta_L)))))*((((MxMy_FixedP!$DP$8:$DP$43)+(((MxMy_FixedP!$DP$8:$DP$43)*SIN(RADIANS(theta_L))-(MxMy_FixedP!$EQ$8:$EQ$43)*COS(RADIANS(theta_L)))/((((MxMy_FixedP!$DP$8:$DP$43)*SIN(RADIANS(theta_L))-(MxMy_FixedP!$EQ$8:$EQ$43)*COS(RADIANS(theta_L))))-(((MxMy_FixedP!$DP$9:$DP$44)*SIN(RADIANS(theta_L))-(MxMy_FixedP!$EQ$9:$EQ$44)*COS(RADIANS(theta_L))))+((((MxMy_FixedP!$DP$8:$DP$43)*SIN(RADIANS(theta_L))-(MxMy_FixedP!$EQ$8:$EQ$43)*COS(RADIANS(theta_L))))=(((MxMy_FixedP!$DP$9:$DP$44)*SIN(RADIANS(theta_L))-(MxMy_FixedP!$EQ$9:$EQ$44)*COS(RADIANS(theta_L)))))))*((MxMy_FixedP!$DP$9:$DP$44)-(MxMy_FixedP!$DP$8:$DP$43)))*COS(RADIANS(theta_L))+((MxMy_FixedP!$EQ$8:$EQ$43)+(((MxMy_FixedP!$DP$8:$DP$43)*SIN(RADIANS(theta_L))-(MxMy_FixedP!$EQ$8:$EQ$43)*COS(RADIANS(theta_L)))/((((MxMy_FixedP!$DP$8:$DP$43)*SIN(RADIANS(theta_L))-(MxMy_FixedP!$EQ$8:$EQ$43)*COS(RADIANS(theta_L))))-(((MxMy_FixedP!$DP$9:$DP$44)*SIN(RADIANS(theta_L))-(MxMy_FixedP!$EQ$9:$EQ$44)*COS(RADIANS(theta_L))))+((((MxMy_FixedP!$DP$8:$DP$43)*SIN(RADIANS(theta_L))-(MxMy_FixedP!$EQ$8:$EQ$43)*COS(RADIANS(theta_L))))=(((MxMy_FixedP!$DP$9:$DP$44)*SIN(RADIANS(theta_L))-(MxMy_FixedP!$EQ$9:$EQ$44)*COS(RADIANS(theta_L)))))))*((MxMy_FixedP!$EQ$9:$EQ$44)-(MxMy_FixedP!$EQ$8:$EQ$43)))*SIN(RADIANS(theta_L)))&lt;0)))</f>
      </c>
      <c r="H16" s="10">
        <f>IF($K16&lt;=Mtol,MxMy_FixedP!$CO$8,IF(G16=0,"",SUMPRODUCT(((((MxMy_FixedP!$DP$8:$DP$43)*SIN(RADIANS(theta_L))-(MxMy_FixedP!$EQ$8:$EQ$43)*COS(RADIANS(theta_L))))*(((MxMy_FixedP!$DP$9:$DP$44)*SIN(RADIANS(theta_L))-(MxMy_FixedP!$EQ$9:$EQ$44)*COS(RADIANS(theta_L))))&lt;=0)*((((MxMy_FixedP!$DP$8:$DP$43)*SIN(RADIANS(theta_L))-(MxMy_FixedP!$EQ$8:$EQ$43)*COS(RADIANS(theta_L))))&lt;&gt;(((MxMy_FixedP!$DP$9:$DP$44)*SIN(RADIANS(theta_L))-(MxMy_FixedP!$EQ$9:$EQ$44)*COS(RADIANS(theta_L)))))*((((MxMy_FixedP!$DP$8:$DP$43)+(((MxMy_FixedP!$DP$8:$DP$43)*SIN(RADIANS(theta_L))-(MxMy_FixedP!$EQ$8:$EQ$43)*COS(RADIANS(theta_L)))/((((MxMy_FixedP!$DP$8:$DP$43)*SIN(RADIANS(theta_L))-(MxMy_FixedP!$EQ$8:$EQ$43)*COS(RADIANS(theta_L))))-(((MxMy_FixedP!$DP$9:$DP$44)*SIN(RADIANS(theta_L))-(MxMy_FixedP!$EQ$9:$EQ$44)*COS(RADIANS(theta_L))))+((((MxMy_FixedP!$DP$8:$DP$43)*SIN(RADIANS(theta_L))-(MxMy_FixedP!$EQ$8:$EQ$43)*COS(RADIANS(theta_L))))=(((MxMy_FixedP!$DP$9:$DP$44)*SIN(RADIANS(theta_L))-(MxMy_FixedP!$EQ$9:$EQ$44)*COS(RADIANS(theta_L)))))))*((MxMy_FixedP!$DP$9:$DP$44)-(MxMy_FixedP!$DP$8:$DP$43)))*COS(RADIANS(theta_L))+((MxMy_FixedP!$EQ$8:$EQ$43)+(((MxMy_FixedP!$DP$8:$DP$43)*SIN(RADIANS(theta_L))-(MxMy_FixedP!$EQ$8:$EQ$43)*COS(RADIANS(theta_L)))/((((MxMy_FixedP!$DP$8:$DP$43)*SIN(RADIANS(theta_L))-(MxMy_FixedP!$EQ$8:$EQ$43)*COS(RADIANS(theta_L))))-(((MxMy_FixedP!$DP$9:$DP$44)*SIN(RADIANS(theta_L))-(MxMy_FixedP!$EQ$9:$EQ$44)*COS(RADIANS(theta_L))))+((((MxMy_FixedP!$DP$8:$DP$43)*SIN(RADIANS(theta_L))-(MxMy_FixedP!$EQ$8:$EQ$43)*COS(RADIANS(theta_L))))=(((MxMy_FixedP!$DP$9:$DP$44)*SIN(RADIANS(theta_L))-(MxMy_FixedP!$EQ$9:$EQ$44)*COS(RADIANS(theta_L)))))))*((MxMy_FixedP!$EQ$9:$EQ$44)-(MxMy_FixedP!$EQ$8:$EQ$43)))*SIN(RADIANS(theta_L)))&lt;0),((MxMy_FixedP!$CO$8:$CO$43)+(((MxMy_FixedP!$DP$8:$DP$43)*SIN(RADIANS(theta_L))-(MxMy_FixedP!$EQ$8:$EQ$43)*COS(RADIANS(theta_L)))/((((MxMy_FixedP!$DP$8:$DP$43)*SIN(RADIANS(theta_L))-(MxMy_FixedP!$EQ$8:$EQ$43)*COS(RADIANS(theta_L))))-(((MxMy_FixedP!$DP$9:$DP$44)*SIN(RADIANS(theta_L))-(MxMy_FixedP!$EQ$9:$EQ$44)*COS(RADIANS(theta_L))))+((((MxMy_FixedP!$DP$8:$DP$43)*SIN(RADIANS(theta_L))-(MxMy_FixedP!$EQ$8:$EQ$43)*COS(RADIANS(theta_L))))=(((MxMy_FixedP!$DP$9:$DP$44)*SIN(RADIANS(theta_L))-(MxMy_FixedP!$EQ$9:$EQ$44)*COS(RADIANS(theta_L)))))))*((MxMy_FixedP!$CO$9:$CO$44)-(MxMy_FixedP!$CO$8:$CO$43))))/G16))</f>
      </c>
      <c r="I16" s="10">
        <f>IF($K16&lt;=Mtol,0,IF(G16=0,"",SUMPRODUCT(((((MxMy_FixedP!$DP$8:$DP$43)*SIN(RADIANS(theta_L))-(MxMy_FixedP!$EQ$8:$EQ$43)*COS(RADIANS(theta_L))))*(((MxMy_FixedP!$DP$9:$DP$44)*SIN(RADIANS(theta_L))-(MxMy_FixedP!$EQ$9:$EQ$44)*COS(RADIANS(theta_L))))&lt;=0)*((((MxMy_FixedP!$DP$8:$DP$43)*SIN(RADIANS(theta_L))-(MxMy_FixedP!$EQ$8:$EQ$43)*COS(RADIANS(theta_L))))&lt;&gt;(((MxMy_FixedP!$DP$9:$DP$44)*SIN(RADIANS(theta_L))-(MxMy_FixedP!$EQ$9:$EQ$44)*COS(RADIANS(theta_L)))))*((((MxMy_FixedP!$DP$8:$DP$43)+(((MxMy_FixedP!$DP$8:$DP$43)*SIN(RADIANS(theta_L))-(MxMy_FixedP!$EQ$8:$EQ$43)*COS(RADIANS(theta_L)))/((((MxMy_FixedP!$DP$8:$DP$43)*SIN(RADIANS(theta_L))-(MxMy_FixedP!$EQ$8:$EQ$43)*COS(RADIANS(theta_L))))-(((MxMy_FixedP!$DP$9:$DP$44)*SIN(RADIANS(theta_L))-(MxMy_FixedP!$EQ$9:$EQ$44)*COS(RADIANS(theta_L))))+((((MxMy_FixedP!$DP$8:$DP$43)*SIN(RADIANS(theta_L))-(MxMy_FixedP!$EQ$8:$EQ$43)*COS(RADIANS(theta_L))))=(((MxMy_FixedP!$DP$9:$DP$44)*SIN(RADIANS(theta_L))-(MxMy_FixedP!$EQ$9:$EQ$44)*COS(RADIANS(theta_L)))))))*((MxMy_FixedP!$DP$9:$DP$44)-(MxMy_FixedP!$DP$8:$DP$43)))*COS(RADIANS(theta_L))+((MxMy_FixedP!$EQ$8:$EQ$43)+(((MxMy_FixedP!$DP$8:$DP$43)*SIN(RADIANS(theta_L))-(MxMy_FixedP!$EQ$8:$EQ$43)*COS(RADIANS(theta_L)))/((((MxMy_FixedP!$DP$8:$DP$43)*SIN(RADIANS(theta_L))-(MxMy_FixedP!$EQ$8:$EQ$43)*COS(RADIANS(theta_L))))-(((MxMy_FixedP!$DP$9:$DP$44)*SIN(RADIANS(theta_L))-(MxMy_FixedP!$EQ$9:$EQ$44)*COS(RADIANS(theta_L))))+((((MxMy_FixedP!$DP$8:$DP$43)*SIN(RADIANS(theta_L))-(MxMy_FixedP!$EQ$8:$EQ$43)*COS(RADIANS(theta_L))))=(((MxMy_FixedP!$DP$9:$DP$44)*SIN(RADIANS(theta_L))-(MxMy_FixedP!$EQ$9:$EQ$44)*COS(RADIANS(theta_L)))))))*((MxMy_FixedP!$EQ$9:$EQ$44)-(MxMy_FixedP!$EQ$8:$EQ$43)))*SIN(RADIANS(theta_L)))&lt;0),(((MxMy_FixedP!$DP$8:$DP$43)+(((MxMy_FixedP!$DP$8:$DP$43)*SIN(RADIANS(theta_L))-(MxMy_FixedP!$EQ$8:$EQ$43)*COS(RADIANS(theta_L)))/((((MxMy_FixedP!$DP$8:$DP$43)*SIN(RADIANS(theta_L))-(MxMy_FixedP!$EQ$8:$EQ$43)*COS(RADIANS(theta_L))))-(((MxMy_FixedP!$DP$9:$DP$44)*SIN(RADIANS(theta_L))-(MxMy_FixedP!$EQ$9:$EQ$44)*COS(RADIANS(theta_L))))+((((MxMy_FixedP!$DP$8:$DP$43)*SIN(RADIANS(theta_L))-(MxMy_FixedP!$EQ$8:$EQ$43)*COS(RADIANS(theta_L))))=(((MxMy_FixedP!$DP$9:$DP$44)*SIN(RADIANS(theta_L))-(MxMy_FixedP!$EQ$9:$EQ$44)*COS(RADIANS(theta_L)))))))*((MxMy_FixedP!$DP$9:$DP$44)-(MxMy_FixedP!$DP$8:$DP$43)))*COS(RADIANS(theta_L))+((MxMy_FixedP!$EQ$8:$EQ$43)+(((MxMy_FixedP!$DP$8:$DP$43)*SIN(RADIANS(theta_L))-(MxMy_FixedP!$EQ$8:$EQ$43)*COS(RADIANS(theta_L)))/((((MxMy_FixedP!$DP$8:$DP$43)*SIN(RADIANS(theta_L))-(MxMy_FixedP!$EQ$8:$EQ$43)*COS(RADIANS(theta_L))))-(((MxMy_FixedP!$DP$9:$DP$44)*SIN(RADIANS(theta_L))-(MxMy_FixedP!$EQ$9:$EQ$44)*COS(RADIANS(theta_L))))+((((MxMy_FixedP!$DP$8:$DP$43)*SIN(RADIANS(theta_L))-(MxMy_FixedP!$EQ$8:$EQ$43)*COS(RADIANS(theta_L))))=(((MxMy_FixedP!$DP$9:$DP$44)*SIN(RADIANS(theta_L))-(MxMy_FixedP!$EQ$9:$EQ$44)*COS(RADIANS(theta_L)))))))*((MxMy_FixedP!$EQ$9:$EQ$44)-(MxMy_FixedP!$EQ$8:$EQ$43)))*SIN(RADIANS(theta_L))))/G16))</f>
      </c>
      <c r="J16">
        <f>IF($K16&lt;=Mtol,"pole",IF(AND(D16&gt;=1,G16&gt;=1),"ok","CHECK: "&amp;D16&amp;"/"&amp;G16&amp;" cuts"))</f>
      </c>
      <c r="K16" s="18">
        <v>4208.049163002413</v>
      </c>
    </row>
    <row r="17" spans="2:11" x14ac:dyDescent="0.25">
      <c r="B17" s="35" t="s">
        <v>224</v>
      </c>
      <c r="C17" s="54" t="s">
        <v>349</v>
      </c>
      <c r="D17" s="46">
        <f>IF($K17&lt;=Mtol,0,SUMPRODUCT(((((MxMy_FixedP!$DQ$8:$DQ$43)*SIN(RADIANS(theta_L))-(MxMy_FixedP!$ER$8:$ER$43)*COS(RADIANS(theta_L))))*(((MxMy_FixedP!$DQ$9:$DQ$44)*SIN(RADIANS(theta_L))-(MxMy_FixedP!$ER$9:$ER$44)*COS(RADIANS(theta_L))))&lt;=0)*((((MxMy_FixedP!$DQ$8:$DQ$43)*SIN(RADIANS(theta_L))-(MxMy_FixedP!$ER$8:$ER$43)*COS(RADIANS(theta_L))))&lt;&gt;(((MxMy_FixedP!$DQ$9:$DQ$44)*SIN(RADIANS(theta_L))-(MxMy_FixedP!$ER$9:$ER$44)*COS(RADIANS(theta_L)))))*((((MxMy_FixedP!$DQ$8:$DQ$43)+(((MxMy_FixedP!$DQ$8:$DQ$43)*SIN(RADIANS(theta_L))-(MxMy_FixedP!$ER$8:$ER$43)*COS(RADIANS(theta_L)))/((((MxMy_FixedP!$DQ$8:$DQ$43)*SIN(RADIANS(theta_L))-(MxMy_FixedP!$ER$8:$ER$43)*COS(RADIANS(theta_L))))-(((MxMy_FixedP!$DQ$9:$DQ$44)*SIN(RADIANS(theta_L))-(MxMy_FixedP!$ER$9:$ER$44)*COS(RADIANS(theta_L))))+((((MxMy_FixedP!$DQ$8:$DQ$43)*SIN(RADIANS(theta_L))-(MxMy_FixedP!$ER$8:$ER$43)*COS(RADIANS(theta_L))))=(((MxMy_FixedP!$DQ$9:$DQ$44)*SIN(RADIANS(theta_L))-(MxMy_FixedP!$ER$9:$ER$44)*COS(RADIANS(theta_L)))))))*((MxMy_FixedP!$DQ$9:$DQ$44)-(MxMy_FixedP!$DQ$8:$DQ$43)))*COS(RADIANS(theta_L))+((MxMy_FixedP!$ER$8:$ER$43)+(((MxMy_FixedP!$DQ$8:$DQ$43)*SIN(RADIANS(theta_L))-(MxMy_FixedP!$ER$8:$ER$43)*COS(RADIANS(theta_L)))/((((MxMy_FixedP!$DQ$8:$DQ$43)*SIN(RADIANS(theta_L))-(MxMy_FixedP!$ER$8:$ER$43)*COS(RADIANS(theta_L))))-(((MxMy_FixedP!$DQ$9:$DQ$44)*SIN(RADIANS(theta_L))-(MxMy_FixedP!$ER$9:$ER$44)*COS(RADIANS(theta_L))))+((((MxMy_FixedP!$DQ$8:$DQ$43)*SIN(RADIANS(theta_L))-(MxMy_FixedP!$ER$8:$ER$43)*COS(RADIANS(theta_L))))=(((MxMy_FixedP!$DQ$9:$DQ$44)*SIN(RADIANS(theta_L))-(MxMy_FixedP!$ER$9:$ER$44)*COS(RADIANS(theta_L)))))))*((MxMy_FixedP!$ER$9:$ER$44)-(MxMy_FixedP!$ER$8:$ER$43)))*SIN(RADIANS(theta_L)))&gt;0)))</f>
      </c>
      <c r="E17" s="10">
        <f>IF($K17&lt;=Mtol,MxMy_FixedP!$CP$8,IF(D17=0,"",SUMPRODUCT(((((MxMy_FixedP!$DQ$8:$DQ$43)*SIN(RADIANS(theta_L))-(MxMy_FixedP!$ER$8:$ER$43)*COS(RADIANS(theta_L))))*(((MxMy_FixedP!$DQ$9:$DQ$44)*SIN(RADIANS(theta_L))-(MxMy_FixedP!$ER$9:$ER$44)*COS(RADIANS(theta_L))))&lt;=0)*((((MxMy_FixedP!$DQ$8:$DQ$43)*SIN(RADIANS(theta_L))-(MxMy_FixedP!$ER$8:$ER$43)*COS(RADIANS(theta_L))))&lt;&gt;(((MxMy_FixedP!$DQ$9:$DQ$44)*SIN(RADIANS(theta_L))-(MxMy_FixedP!$ER$9:$ER$44)*COS(RADIANS(theta_L)))))*((((MxMy_FixedP!$DQ$8:$DQ$43)+(((MxMy_FixedP!$DQ$8:$DQ$43)*SIN(RADIANS(theta_L))-(MxMy_FixedP!$ER$8:$ER$43)*COS(RADIANS(theta_L)))/((((MxMy_FixedP!$DQ$8:$DQ$43)*SIN(RADIANS(theta_L))-(MxMy_FixedP!$ER$8:$ER$43)*COS(RADIANS(theta_L))))-(((MxMy_FixedP!$DQ$9:$DQ$44)*SIN(RADIANS(theta_L))-(MxMy_FixedP!$ER$9:$ER$44)*COS(RADIANS(theta_L))))+((((MxMy_FixedP!$DQ$8:$DQ$43)*SIN(RADIANS(theta_L))-(MxMy_FixedP!$ER$8:$ER$43)*COS(RADIANS(theta_L))))=(((MxMy_FixedP!$DQ$9:$DQ$44)*SIN(RADIANS(theta_L))-(MxMy_FixedP!$ER$9:$ER$44)*COS(RADIANS(theta_L)))))))*((MxMy_FixedP!$DQ$9:$DQ$44)-(MxMy_FixedP!$DQ$8:$DQ$43)))*COS(RADIANS(theta_L))+((MxMy_FixedP!$ER$8:$ER$43)+(((MxMy_FixedP!$DQ$8:$DQ$43)*SIN(RADIANS(theta_L))-(MxMy_FixedP!$ER$8:$ER$43)*COS(RADIANS(theta_L)))/((((MxMy_FixedP!$DQ$8:$DQ$43)*SIN(RADIANS(theta_L))-(MxMy_FixedP!$ER$8:$ER$43)*COS(RADIANS(theta_L))))-(((MxMy_FixedP!$DQ$9:$DQ$44)*SIN(RADIANS(theta_L))-(MxMy_FixedP!$ER$9:$ER$44)*COS(RADIANS(theta_L))))+((((MxMy_FixedP!$DQ$8:$DQ$43)*SIN(RADIANS(theta_L))-(MxMy_FixedP!$ER$8:$ER$43)*COS(RADIANS(theta_L))))=(((MxMy_FixedP!$DQ$9:$DQ$44)*SIN(RADIANS(theta_L))-(MxMy_FixedP!$ER$9:$ER$44)*COS(RADIANS(theta_L)))))))*((MxMy_FixedP!$ER$9:$ER$44)-(MxMy_FixedP!$ER$8:$ER$43)))*SIN(RADIANS(theta_L)))&gt;0),((MxMy_FixedP!$CP$8:$CP$43)+(((MxMy_FixedP!$DQ$8:$DQ$43)*SIN(RADIANS(theta_L))-(MxMy_FixedP!$ER$8:$ER$43)*COS(RADIANS(theta_L)))/((((MxMy_FixedP!$DQ$8:$DQ$43)*SIN(RADIANS(theta_L))-(MxMy_FixedP!$ER$8:$ER$43)*COS(RADIANS(theta_L))))-(((MxMy_FixedP!$DQ$9:$DQ$44)*SIN(RADIANS(theta_L))-(MxMy_FixedP!$ER$9:$ER$44)*COS(RADIANS(theta_L))))+((((MxMy_FixedP!$DQ$8:$DQ$43)*SIN(RADIANS(theta_L))-(MxMy_FixedP!$ER$8:$ER$43)*COS(RADIANS(theta_L))))=(((MxMy_FixedP!$DQ$9:$DQ$44)*SIN(RADIANS(theta_L))-(MxMy_FixedP!$ER$9:$ER$44)*COS(RADIANS(theta_L)))))))*((MxMy_FixedP!$CP$9:$CP$44)-(MxMy_FixedP!$CP$8:$CP$43))))/D17))</f>
      </c>
      <c r="F17" s="10">
        <f>IF($K17&lt;=Mtol,0,IF(D17=0,"",SUMPRODUCT(((((MxMy_FixedP!$DQ$8:$DQ$43)*SIN(RADIANS(theta_L))-(MxMy_FixedP!$ER$8:$ER$43)*COS(RADIANS(theta_L))))*(((MxMy_FixedP!$DQ$9:$DQ$44)*SIN(RADIANS(theta_L))-(MxMy_FixedP!$ER$9:$ER$44)*COS(RADIANS(theta_L))))&lt;=0)*((((MxMy_FixedP!$DQ$8:$DQ$43)*SIN(RADIANS(theta_L))-(MxMy_FixedP!$ER$8:$ER$43)*COS(RADIANS(theta_L))))&lt;&gt;(((MxMy_FixedP!$DQ$9:$DQ$44)*SIN(RADIANS(theta_L))-(MxMy_FixedP!$ER$9:$ER$44)*COS(RADIANS(theta_L)))))*((((MxMy_FixedP!$DQ$8:$DQ$43)+(((MxMy_FixedP!$DQ$8:$DQ$43)*SIN(RADIANS(theta_L))-(MxMy_FixedP!$ER$8:$ER$43)*COS(RADIANS(theta_L)))/((((MxMy_FixedP!$DQ$8:$DQ$43)*SIN(RADIANS(theta_L))-(MxMy_FixedP!$ER$8:$ER$43)*COS(RADIANS(theta_L))))-(((MxMy_FixedP!$DQ$9:$DQ$44)*SIN(RADIANS(theta_L))-(MxMy_FixedP!$ER$9:$ER$44)*COS(RADIANS(theta_L))))+((((MxMy_FixedP!$DQ$8:$DQ$43)*SIN(RADIANS(theta_L))-(MxMy_FixedP!$ER$8:$ER$43)*COS(RADIANS(theta_L))))=(((MxMy_FixedP!$DQ$9:$DQ$44)*SIN(RADIANS(theta_L))-(MxMy_FixedP!$ER$9:$ER$44)*COS(RADIANS(theta_L)))))))*((MxMy_FixedP!$DQ$9:$DQ$44)-(MxMy_FixedP!$DQ$8:$DQ$43)))*COS(RADIANS(theta_L))+((MxMy_FixedP!$ER$8:$ER$43)+(((MxMy_FixedP!$DQ$8:$DQ$43)*SIN(RADIANS(theta_L))-(MxMy_FixedP!$ER$8:$ER$43)*COS(RADIANS(theta_L)))/((((MxMy_FixedP!$DQ$8:$DQ$43)*SIN(RADIANS(theta_L))-(MxMy_FixedP!$ER$8:$ER$43)*COS(RADIANS(theta_L))))-(((MxMy_FixedP!$DQ$9:$DQ$44)*SIN(RADIANS(theta_L))-(MxMy_FixedP!$ER$9:$ER$44)*COS(RADIANS(theta_L))))+((((MxMy_FixedP!$DQ$8:$DQ$43)*SIN(RADIANS(theta_L))-(MxMy_FixedP!$ER$8:$ER$43)*COS(RADIANS(theta_L))))=(((MxMy_FixedP!$DQ$9:$DQ$44)*SIN(RADIANS(theta_L))-(MxMy_FixedP!$ER$9:$ER$44)*COS(RADIANS(theta_L)))))))*((MxMy_FixedP!$ER$9:$ER$44)-(MxMy_FixedP!$ER$8:$ER$43)))*SIN(RADIANS(theta_L)))&gt;0),(((MxMy_FixedP!$DQ$8:$DQ$43)+(((MxMy_FixedP!$DQ$8:$DQ$43)*SIN(RADIANS(theta_L))-(MxMy_FixedP!$ER$8:$ER$43)*COS(RADIANS(theta_L)))/((((MxMy_FixedP!$DQ$8:$DQ$43)*SIN(RADIANS(theta_L))-(MxMy_FixedP!$ER$8:$ER$43)*COS(RADIANS(theta_L))))-(((MxMy_FixedP!$DQ$9:$DQ$44)*SIN(RADIANS(theta_L))-(MxMy_FixedP!$ER$9:$ER$44)*COS(RADIANS(theta_L))))+((((MxMy_FixedP!$DQ$8:$DQ$43)*SIN(RADIANS(theta_L))-(MxMy_FixedP!$ER$8:$ER$43)*COS(RADIANS(theta_L))))=(((MxMy_FixedP!$DQ$9:$DQ$44)*SIN(RADIANS(theta_L))-(MxMy_FixedP!$ER$9:$ER$44)*COS(RADIANS(theta_L)))))))*((MxMy_FixedP!$DQ$9:$DQ$44)-(MxMy_FixedP!$DQ$8:$DQ$43)))*COS(RADIANS(theta_L))+((MxMy_FixedP!$ER$8:$ER$43)+(((MxMy_FixedP!$DQ$8:$DQ$43)*SIN(RADIANS(theta_L))-(MxMy_FixedP!$ER$8:$ER$43)*COS(RADIANS(theta_L)))/((((MxMy_FixedP!$DQ$8:$DQ$43)*SIN(RADIANS(theta_L))-(MxMy_FixedP!$ER$8:$ER$43)*COS(RADIANS(theta_L))))-(((MxMy_FixedP!$DQ$9:$DQ$44)*SIN(RADIANS(theta_L))-(MxMy_FixedP!$ER$9:$ER$44)*COS(RADIANS(theta_L))))+((((MxMy_FixedP!$DQ$8:$DQ$43)*SIN(RADIANS(theta_L))-(MxMy_FixedP!$ER$8:$ER$43)*COS(RADIANS(theta_L))))=(((MxMy_FixedP!$DQ$9:$DQ$44)*SIN(RADIANS(theta_L))-(MxMy_FixedP!$ER$9:$ER$44)*COS(RADIANS(theta_L)))))))*((MxMy_FixedP!$ER$9:$ER$44)-(MxMy_FixedP!$ER$8:$ER$43)))*SIN(RADIANS(theta_L))))/D17))</f>
      </c>
      <c r="G17" s="46">
        <f>IF($K17&lt;=Mtol,0,SUMPRODUCT(((((MxMy_FixedP!$DQ$8:$DQ$43)*SIN(RADIANS(theta_L))-(MxMy_FixedP!$ER$8:$ER$43)*COS(RADIANS(theta_L))))*(((MxMy_FixedP!$DQ$9:$DQ$44)*SIN(RADIANS(theta_L))-(MxMy_FixedP!$ER$9:$ER$44)*COS(RADIANS(theta_L))))&lt;=0)*((((MxMy_FixedP!$DQ$8:$DQ$43)*SIN(RADIANS(theta_L))-(MxMy_FixedP!$ER$8:$ER$43)*COS(RADIANS(theta_L))))&lt;&gt;(((MxMy_FixedP!$DQ$9:$DQ$44)*SIN(RADIANS(theta_L))-(MxMy_FixedP!$ER$9:$ER$44)*COS(RADIANS(theta_L)))))*((((MxMy_FixedP!$DQ$8:$DQ$43)+(((MxMy_FixedP!$DQ$8:$DQ$43)*SIN(RADIANS(theta_L))-(MxMy_FixedP!$ER$8:$ER$43)*COS(RADIANS(theta_L)))/((((MxMy_FixedP!$DQ$8:$DQ$43)*SIN(RADIANS(theta_L))-(MxMy_FixedP!$ER$8:$ER$43)*COS(RADIANS(theta_L))))-(((MxMy_FixedP!$DQ$9:$DQ$44)*SIN(RADIANS(theta_L))-(MxMy_FixedP!$ER$9:$ER$44)*COS(RADIANS(theta_L))))+((((MxMy_FixedP!$DQ$8:$DQ$43)*SIN(RADIANS(theta_L))-(MxMy_FixedP!$ER$8:$ER$43)*COS(RADIANS(theta_L))))=(((MxMy_FixedP!$DQ$9:$DQ$44)*SIN(RADIANS(theta_L))-(MxMy_FixedP!$ER$9:$ER$44)*COS(RADIANS(theta_L)))))))*((MxMy_FixedP!$DQ$9:$DQ$44)-(MxMy_FixedP!$DQ$8:$DQ$43)))*COS(RADIANS(theta_L))+((MxMy_FixedP!$ER$8:$ER$43)+(((MxMy_FixedP!$DQ$8:$DQ$43)*SIN(RADIANS(theta_L))-(MxMy_FixedP!$ER$8:$ER$43)*COS(RADIANS(theta_L)))/((((MxMy_FixedP!$DQ$8:$DQ$43)*SIN(RADIANS(theta_L))-(MxMy_FixedP!$ER$8:$ER$43)*COS(RADIANS(theta_L))))-(((MxMy_FixedP!$DQ$9:$DQ$44)*SIN(RADIANS(theta_L))-(MxMy_FixedP!$ER$9:$ER$44)*COS(RADIANS(theta_L))))+((((MxMy_FixedP!$DQ$8:$DQ$43)*SIN(RADIANS(theta_L))-(MxMy_FixedP!$ER$8:$ER$43)*COS(RADIANS(theta_L))))=(((MxMy_FixedP!$DQ$9:$DQ$44)*SIN(RADIANS(theta_L))-(MxMy_FixedP!$ER$9:$ER$44)*COS(RADIANS(theta_L)))))))*((MxMy_FixedP!$ER$9:$ER$44)-(MxMy_FixedP!$ER$8:$ER$43)))*SIN(RADIANS(theta_L)))&lt;0)))</f>
      </c>
      <c r="H17" s="10">
        <f>IF($K17&lt;=Mtol,MxMy_FixedP!$CP$8,IF(G17=0,"",SUMPRODUCT(((((MxMy_FixedP!$DQ$8:$DQ$43)*SIN(RADIANS(theta_L))-(MxMy_FixedP!$ER$8:$ER$43)*COS(RADIANS(theta_L))))*(((MxMy_FixedP!$DQ$9:$DQ$44)*SIN(RADIANS(theta_L))-(MxMy_FixedP!$ER$9:$ER$44)*COS(RADIANS(theta_L))))&lt;=0)*((((MxMy_FixedP!$DQ$8:$DQ$43)*SIN(RADIANS(theta_L))-(MxMy_FixedP!$ER$8:$ER$43)*COS(RADIANS(theta_L))))&lt;&gt;(((MxMy_FixedP!$DQ$9:$DQ$44)*SIN(RADIANS(theta_L))-(MxMy_FixedP!$ER$9:$ER$44)*COS(RADIANS(theta_L)))))*((((MxMy_FixedP!$DQ$8:$DQ$43)+(((MxMy_FixedP!$DQ$8:$DQ$43)*SIN(RADIANS(theta_L))-(MxMy_FixedP!$ER$8:$ER$43)*COS(RADIANS(theta_L)))/((((MxMy_FixedP!$DQ$8:$DQ$43)*SIN(RADIANS(theta_L))-(MxMy_FixedP!$ER$8:$ER$43)*COS(RADIANS(theta_L))))-(((MxMy_FixedP!$DQ$9:$DQ$44)*SIN(RADIANS(theta_L))-(MxMy_FixedP!$ER$9:$ER$44)*COS(RADIANS(theta_L))))+((((MxMy_FixedP!$DQ$8:$DQ$43)*SIN(RADIANS(theta_L))-(MxMy_FixedP!$ER$8:$ER$43)*COS(RADIANS(theta_L))))=(((MxMy_FixedP!$DQ$9:$DQ$44)*SIN(RADIANS(theta_L))-(MxMy_FixedP!$ER$9:$ER$44)*COS(RADIANS(theta_L)))))))*((MxMy_FixedP!$DQ$9:$DQ$44)-(MxMy_FixedP!$DQ$8:$DQ$43)))*COS(RADIANS(theta_L))+((MxMy_FixedP!$ER$8:$ER$43)+(((MxMy_FixedP!$DQ$8:$DQ$43)*SIN(RADIANS(theta_L))-(MxMy_FixedP!$ER$8:$ER$43)*COS(RADIANS(theta_L)))/((((MxMy_FixedP!$DQ$8:$DQ$43)*SIN(RADIANS(theta_L))-(MxMy_FixedP!$ER$8:$ER$43)*COS(RADIANS(theta_L))))-(((MxMy_FixedP!$DQ$9:$DQ$44)*SIN(RADIANS(theta_L))-(MxMy_FixedP!$ER$9:$ER$44)*COS(RADIANS(theta_L))))+((((MxMy_FixedP!$DQ$8:$DQ$43)*SIN(RADIANS(theta_L))-(MxMy_FixedP!$ER$8:$ER$43)*COS(RADIANS(theta_L))))=(((MxMy_FixedP!$DQ$9:$DQ$44)*SIN(RADIANS(theta_L))-(MxMy_FixedP!$ER$9:$ER$44)*COS(RADIANS(theta_L)))))))*((MxMy_FixedP!$ER$9:$ER$44)-(MxMy_FixedP!$ER$8:$ER$43)))*SIN(RADIANS(theta_L)))&lt;0),((MxMy_FixedP!$CP$8:$CP$43)+(((MxMy_FixedP!$DQ$8:$DQ$43)*SIN(RADIANS(theta_L))-(MxMy_FixedP!$ER$8:$ER$43)*COS(RADIANS(theta_L)))/((((MxMy_FixedP!$DQ$8:$DQ$43)*SIN(RADIANS(theta_L))-(MxMy_FixedP!$ER$8:$ER$43)*COS(RADIANS(theta_L))))-(((MxMy_FixedP!$DQ$9:$DQ$44)*SIN(RADIANS(theta_L))-(MxMy_FixedP!$ER$9:$ER$44)*COS(RADIANS(theta_L))))+((((MxMy_FixedP!$DQ$8:$DQ$43)*SIN(RADIANS(theta_L))-(MxMy_FixedP!$ER$8:$ER$43)*COS(RADIANS(theta_L))))=(((MxMy_FixedP!$DQ$9:$DQ$44)*SIN(RADIANS(theta_L))-(MxMy_FixedP!$ER$9:$ER$44)*COS(RADIANS(theta_L)))))))*((MxMy_FixedP!$CP$9:$CP$44)-(MxMy_FixedP!$CP$8:$CP$43))))/G17))</f>
      </c>
      <c r="I17" s="10">
        <f>IF($K17&lt;=Mtol,0,IF(G17=0,"",SUMPRODUCT(((((MxMy_FixedP!$DQ$8:$DQ$43)*SIN(RADIANS(theta_L))-(MxMy_FixedP!$ER$8:$ER$43)*COS(RADIANS(theta_L))))*(((MxMy_FixedP!$DQ$9:$DQ$44)*SIN(RADIANS(theta_L))-(MxMy_FixedP!$ER$9:$ER$44)*COS(RADIANS(theta_L))))&lt;=0)*((((MxMy_FixedP!$DQ$8:$DQ$43)*SIN(RADIANS(theta_L))-(MxMy_FixedP!$ER$8:$ER$43)*COS(RADIANS(theta_L))))&lt;&gt;(((MxMy_FixedP!$DQ$9:$DQ$44)*SIN(RADIANS(theta_L))-(MxMy_FixedP!$ER$9:$ER$44)*COS(RADIANS(theta_L)))))*((((MxMy_FixedP!$DQ$8:$DQ$43)+(((MxMy_FixedP!$DQ$8:$DQ$43)*SIN(RADIANS(theta_L))-(MxMy_FixedP!$ER$8:$ER$43)*COS(RADIANS(theta_L)))/((((MxMy_FixedP!$DQ$8:$DQ$43)*SIN(RADIANS(theta_L))-(MxMy_FixedP!$ER$8:$ER$43)*COS(RADIANS(theta_L))))-(((MxMy_FixedP!$DQ$9:$DQ$44)*SIN(RADIANS(theta_L))-(MxMy_FixedP!$ER$9:$ER$44)*COS(RADIANS(theta_L))))+((((MxMy_FixedP!$DQ$8:$DQ$43)*SIN(RADIANS(theta_L))-(MxMy_FixedP!$ER$8:$ER$43)*COS(RADIANS(theta_L))))=(((MxMy_FixedP!$DQ$9:$DQ$44)*SIN(RADIANS(theta_L))-(MxMy_FixedP!$ER$9:$ER$44)*COS(RADIANS(theta_L)))))))*((MxMy_FixedP!$DQ$9:$DQ$44)-(MxMy_FixedP!$DQ$8:$DQ$43)))*COS(RADIANS(theta_L))+((MxMy_FixedP!$ER$8:$ER$43)+(((MxMy_FixedP!$DQ$8:$DQ$43)*SIN(RADIANS(theta_L))-(MxMy_FixedP!$ER$8:$ER$43)*COS(RADIANS(theta_L)))/((((MxMy_FixedP!$DQ$8:$DQ$43)*SIN(RADIANS(theta_L))-(MxMy_FixedP!$ER$8:$ER$43)*COS(RADIANS(theta_L))))-(((MxMy_FixedP!$DQ$9:$DQ$44)*SIN(RADIANS(theta_L))-(MxMy_FixedP!$ER$9:$ER$44)*COS(RADIANS(theta_L))))+((((MxMy_FixedP!$DQ$8:$DQ$43)*SIN(RADIANS(theta_L))-(MxMy_FixedP!$ER$8:$ER$43)*COS(RADIANS(theta_L))))=(((MxMy_FixedP!$DQ$9:$DQ$44)*SIN(RADIANS(theta_L))-(MxMy_FixedP!$ER$9:$ER$44)*COS(RADIANS(theta_L)))))))*((MxMy_FixedP!$ER$9:$ER$44)-(MxMy_FixedP!$ER$8:$ER$43)))*SIN(RADIANS(theta_L)))&lt;0),(((MxMy_FixedP!$DQ$8:$DQ$43)+(((MxMy_FixedP!$DQ$8:$DQ$43)*SIN(RADIANS(theta_L))-(MxMy_FixedP!$ER$8:$ER$43)*COS(RADIANS(theta_L)))/((((MxMy_FixedP!$DQ$8:$DQ$43)*SIN(RADIANS(theta_L))-(MxMy_FixedP!$ER$8:$ER$43)*COS(RADIANS(theta_L))))-(((MxMy_FixedP!$DQ$9:$DQ$44)*SIN(RADIANS(theta_L))-(MxMy_FixedP!$ER$9:$ER$44)*COS(RADIANS(theta_L))))+((((MxMy_FixedP!$DQ$8:$DQ$43)*SIN(RADIANS(theta_L))-(MxMy_FixedP!$ER$8:$ER$43)*COS(RADIANS(theta_L))))=(((MxMy_FixedP!$DQ$9:$DQ$44)*SIN(RADIANS(theta_L))-(MxMy_FixedP!$ER$9:$ER$44)*COS(RADIANS(theta_L)))))))*((MxMy_FixedP!$DQ$9:$DQ$44)-(MxMy_FixedP!$DQ$8:$DQ$43)))*COS(RADIANS(theta_L))+((MxMy_FixedP!$ER$8:$ER$43)+(((MxMy_FixedP!$DQ$8:$DQ$43)*SIN(RADIANS(theta_L))-(MxMy_FixedP!$ER$8:$ER$43)*COS(RADIANS(theta_L)))/((((MxMy_FixedP!$DQ$8:$DQ$43)*SIN(RADIANS(theta_L))-(MxMy_FixedP!$ER$8:$ER$43)*COS(RADIANS(theta_L))))-(((MxMy_FixedP!$DQ$9:$DQ$44)*SIN(RADIANS(theta_L))-(MxMy_FixedP!$ER$9:$ER$44)*COS(RADIANS(theta_L))))+((((MxMy_FixedP!$DQ$8:$DQ$43)*SIN(RADIANS(theta_L))-(MxMy_FixedP!$ER$8:$ER$43)*COS(RADIANS(theta_L))))=(((MxMy_FixedP!$DQ$9:$DQ$44)*SIN(RADIANS(theta_L))-(MxMy_FixedP!$ER$9:$ER$44)*COS(RADIANS(theta_L)))))))*((MxMy_FixedP!$ER$9:$ER$44)-(MxMy_FixedP!$ER$8:$ER$43)))*SIN(RADIANS(theta_L))))/G17))</f>
      </c>
      <c r="J17">
        <f>IF($K17&lt;=Mtol,"pole",IF(AND(D17&gt;=1,G17&gt;=1),"ok","CHECK: "&amp;D17&amp;"/"&amp;G17&amp;" cuts"))</f>
      </c>
      <c r="K17" s="18">
        <v>4794.511570393252</v>
      </c>
    </row>
    <row r="18" spans="2:11" x14ac:dyDescent="0.25">
      <c r="B18" s="35" t="s">
        <v>225</v>
      </c>
      <c r="C18" s="54" t="s">
        <v>350</v>
      </c>
      <c r="D18" s="46">
        <f>IF($K18&lt;=Mtol,0,SUMPRODUCT(((((MxMy_FixedP!$DR$8:$DR$43)*SIN(RADIANS(theta_L))-(MxMy_FixedP!$ES$8:$ES$43)*COS(RADIANS(theta_L))))*(((MxMy_FixedP!$DR$9:$DR$44)*SIN(RADIANS(theta_L))-(MxMy_FixedP!$ES$9:$ES$44)*COS(RADIANS(theta_L))))&lt;=0)*((((MxMy_FixedP!$DR$8:$DR$43)*SIN(RADIANS(theta_L))-(MxMy_FixedP!$ES$8:$ES$43)*COS(RADIANS(theta_L))))&lt;&gt;(((MxMy_FixedP!$DR$9:$DR$44)*SIN(RADIANS(theta_L))-(MxMy_FixedP!$ES$9:$ES$44)*COS(RADIANS(theta_L)))))*((((MxMy_FixedP!$DR$8:$DR$43)+(((MxMy_FixedP!$DR$8:$DR$43)*SIN(RADIANS(theta_L))-(MxMy_FixedP!$ES$8:$ES$43)*COS(RADIANS(theta_L)))/((((MxMy_FixedP!$DR$8:$DR$43)*SIN(RADIANS(theta_L))-(MxMy_FixedP!$ES$8:$ES$43)*COS(RADIANS(theta_L))))-(((MxMy_FixedP!$DR$9:$DR$44)*SIN(RADIANS(theta_L))-(MxMy_FixedP!$ES$9:$ES$44)*COS(RADIANS(theta_L))))+((((MxMy_FixedP!$DR$8:$DR$43)*SIN(RADIANS(theta_L))-(MxMy_FixedP!$ES$8:$ES$43)*COS(RADIANS(theta_L))))=(((MxMy_FixedP!$DR$9:$DR$44)*SIN(RADIANS(theta_L))-(MxMy_FixedP!$ES$9:$ES$44)*COS(RADIANS(theta_L)))))))*((MxMy_FixedP!$DR$9:$DR$44)-(MxMy_FixedP!$DR$8:$DR$43)))*COS(RADIANS(theta_L))+((MxMy_FixedP!$ES$8:$ES$43)+(((MxMy_FixedP!$DR$8:$DR$43)*SIN(RADIANS(theta_L))-(MxMy_FixedP!$ES$8:$ES$43)*COS(RADIANS(theta_L)))/((((MxMy_FixedP!$DR$8:$DR$43)*SIN(RADIANS(theta_L))-(MxMy_FixedP!$ES$8:$ES$43)*COS(RADIANS(theta_L))))-(((MxMy_FixedP!$DR$9:$DR$44)*SIN(RADIANS(theta_L))-(MxMy_FixedP!$ES$9:$ES$44)*COS(RADIANS(theta_L))))+((((MxMy_FixedP!$DR$8:$DR$43)*SIN(RADIANS(theta_L))-(MxMy_FixedP!$ES$8:$ES$43)*COS(RADIANS(theta_L))))=(((MxMy_FixedP!$DR$9:$DR$44)*SIN(RADIANS(theta_L))-(MxMy_FixedP!$ES$9:$ES$44)*COS(RADIANS(theta_L)))))))*((MxMy_FixedP!$ES$9:$ES$44)-(MxMy_FixedP!$ES$8:$ES$43)))*SIN(RADIANS(theta_L)))&gt;0)))</f>
      </c>
      <c r="E18" s="10">
        <f>IF($K18&lt;=Mtol,MxMy_FixedP!$CQ$8,IF(D18=0,"",SUMPRODUCT(((((MxMy_FixedP!$DR$8:$DR$43)*SIN(RADIANS(theta_L))-(MxMy_FixedP!$ES$8:$ES$43)*COS(RADIANS(theta_L))))*(((MxMy_FixedP!$DR$9:$DR$44)*SIN(RADIANS(theta_L))-(MxMy_FixedP!$ES$9:$ES$44)*COS(RADIANS(theta_L))))&lt;=0)*((((MxMy_FixedP!$DR$8:$DR$43)*SIN(RADIANS(theta_L))-(MxMy_FixedP!$ES$8:$ES$43)*COS(RADIANS(theta_L))))&lt;&gt;(((MxMy_FixedP!$DR$9:$DR$44)*SIN(RADIANS(theta_L))-(MxMy_FixedP!$ES$9:$ES$44)*COS(RADIANS(theta_L)))))*((((MxMy_FixedP!$DR$8:$DR$43)+(((MxMy_FixedP!$DR$8:$DR$43)*SIN(RADIANS(theta_L))-(MxMy_FixedP!$ES$8:$ES$43)*COS(RADIANS(theta_L)))/((((MxMy_FixedP!$DR$8:$DR$43)*SIN(RADIANS(theta_L))-(MxMy_FixedP!$ES$8:$ES$43)*COS(RADIANS(theta_L))))-(((MxMy_FixedP!$DR$9:$DR$44)*SIN(RADIANS(theta_L))-(MxMy_FixedP!$ES$9:$ES$44)*COS(RADIANS(theta_L))))+((((MxMy_FixedP!$DR$8:$DR$43)*SIN(RADIANS(theta_L))-(MxMy_FixedP!$ES$8:$ES$43)*COS(RADIANS(theta_L))))=(((MxMy_FixedP!$DR$9:$DR$44)*SIN(RADIANS(theta_L))-(MxMy_FixedP!$ES$9:$ES$44)*COS(RADIANS(theta_L)))))))*((MxMy_FixedP!$DR$9:$DR$44)-(MxMy_FixedP!$DR$8:$DR$43)))*COS(RADIANS(theta_L))+((MxMy_FixedP!$ES$8:$ES$43)+(((MxMy_FixedP!$DR$8:$DR$43)*SIN(RADIANS(theta_L))-(MxMy_FixedP!$ES$8:$ES$43)*COS(RADIANS(theta_L)))/((((MxMy_FixedP!$DR$8:$DR$43)*SIN(RADIANS(theta_L))-(MxMy_FixedP!$ES$8:$ES$43)*COS(RADIANS(theta_L))))-(((MxMy_FixedP!$DR$9:$DR$44)*SIN(RADIANS(theta_L))-(MxMy_FixedP!$ES$9:$ES$44)*COS(RADIANS(theta_L))))+((((MxMy_FixedP!$DR$8:$DR$43)*SIN(RADIANS(theta_L))-(MxMy_FixedP!$ES$8:$ES$43)*COS(RADIANS(theta_L))))=(((MxMy_FixedP!$DR$9:$DR$44)*SIN(RADIANS(theta_L))-(MxMy_FixedP!$ES$9:$ES$44)*COS(RADIANS(theta_L)))))))*((MxMy_FixedP!$ES$9:$ES$44)-(MxMy_FixedP!$ES$8:$ES$43)))*SIN(RADIANS(theta_L)))&gt;0),((MxMy_FixedP!$CQ$8:$CQ$43)+(((MxMy_FixedP!$DR$8:$DR$43)*SIN(RADIANS(theta_L))-(MxMy_FixedP!$ES$8:$ES$43)*COS(RADIANS(theta_L)))/((((MxMy_FixedP!$DR$8:$DR$43)*SIN(RADIANS(theta_L))-(MxMy_FixedP!$ES$8:$ES$43)*COS(RADIANS(theta_L))))-(((MxMy_FixedP!$DR$9:$DR$44)*SIN(RADIANS(theta_L))-(MxMy_FixedP!$ES$9:$ES$44)*COS(RADIANS(theta_L))))+((((MxMy_FixedP!$DR$8:$DR$43)*SIN(RADIANS(theta_L))-(MxMy_FixedP!$ES$8:$ES$43)*COS(RADIANS(theta_L))))=(((MxMy_FixedP!$DR$9:$DR$44)*SIN(RADIANS(theta_L))-(MxMy_FixedP!$ES$9:$ES$44)*COS(RADIANS(theta_L)))))))*((MxMy_FixedP!$CQ$9:$CQ$44)-(MxMy_FixedP!$CQ$8:$CQ$43))))/D18))</f>
      </c>
      <c r="F18" s="10">
        <f>IF($K18&lt;=Mtol,0,IF(D18=0,"",SUMPRODUCT(((((MxMy_FixedP!$DR$8:$DR$43)*SIN(RADIANS(theta_L))-(MxMy_FixedP!$ES$8:$ES$43)*COS(RADIANS(theta_L))))*(((MxMy_FixedP!$DR$9:$DR$44)*SIN(RADIANS(theta_L))-(MxMy_FixedP!$ES$9:$ES$44)*COS(RADIANS(theta_L))))&lt;=0)*((((MxMy_FixedP!$DR$8:$DR$43)*SIN(RADIANS(theta_L))-(MxMy_FixedP!$ES$8:$ES$43)*COS(RADIANS(theta_L))))&lt;&gt;(((MxMy_FixedP!$DR$9:$DR$44)*SIN(RADIANS(theta_L))-(MxMy_FixedP!$ES$9:$ES$44)*COS(RADIANS(theta_L)))))*((((MxMy_FixedP!$DR$8:$DR$43)+(((MxMy_FixedP!$DR$8:$DR$43)*SIN(RADIANS(theta_L))-(MxMy_FixedP!$ES$8:$ES$43)*COS(RADIANS(theta_L)))/((((MxMy_FixedP!$DR$8:$DR$43)*SIN(RADIANS(theta_L))-(MxMy_FixedP!$ES$8:$ES$43)*COS(RADIANS(theta_L))))-(((MxMy_FixedP!$DR$9:$DR$44)*SIN(RADIANS(theta_L))-(MxMy_FixedP!$ES$9:$ES$44)*COS(RADIANS(theta_L))))+((((MxMy_FixedP!$DR$8:$DR$43)*SIN(RADIANS(theta_L))-(MxMy_FixedP!$ES$8:$ES$43)*COS(RADIANS(theta_L))))=(((MxMy_FixedP!$DR$9:$DR$44)*SIN(RADIANS(theta_L))-(MxMy_FixedP!$ES$9:$ES$44)*COS(RADIANS(theta_L)))))))*((MxMy_FixedP!$DR$9:$DR$44)-(MxMy_FixedP!$DR$8:$DR$43)))*COS(RADIANS(theta_L))+((MxMy_FixedP!$ES$8:$ES$43)+(((MxMy_FixedP!$DR$8:$DR$43)*SIN(RADIANS(theta_L))-(MxMy_FixedP!$ES$8:$ES$43)*COS(RADIANS(theta_L)))/((((MxMy_FixedP!$DR$8:$DR$43)*SIN(RADIANS(theta_L))-(MxMy_FixedP!$ES$8:$ES$43)*COS(RADIANS(theta_L))))-(((MxMy_FixedP!$DR$9:$DR$44)*SIN(RADIANS(theta_L))-(MxMy_FixedP!$ES$9:$ES$44)*COS(RADIANS(theta_L))))+((((MxMy_FixedP!$DR$8:$DR$43)*SIN(RADIANS(theta_L))-(MxMy_FixedP!$ES$8:$ES$43)*COS(RADIANS(theta_L))))=(((MxMy_FixedP!$DR$9:$DR$44)*SIN(RADIANS(theta_L))-(MxMy_FixedP!$ES$9:$ES$44)*COS(RADIANS(theta_L)))))))*((MxMy_FixedP!$ES$9:$ES$44)-(MxMy_FixedP!$ES$8:$ES$43)))*SIN(RADIANS(theta_L)))&gt;0),(((MxMy_FixedP!$DR$8:$DR$43)+(((MxMy_FixedP!$DR$8:$DR$43)*SIN(RADIANS(theta_L))-(MxMy_FixedP!$ES$8:$ES$43)*COS(RADIANS(theta_L)))/((((MxMy_FixedP!$DR$8:$DR$43)*SIN(RADIANS(theta_L))-(MxMy_FixedP!$ES$8:$ES$43)*COS(RADIANS(theta_L))))-(((MxMy_FixedP!$DR$9:$DR$44)*SIN(RADIANS(theta_L))-(MxMy_FixedP!$ES$9:$ES$44)*COS(RADIANS(theta_L))))+((((MxMy_FixedP!$DR$8:$DR$43)*SIN(RADIANS(theta_L))-(MxMy_FixedP!$ES$8:$ES$43)*COS(RADIANS(theta_L))))=(((MxMy_FixedP!$DR$9:$DR$44)*SIN(RADIANS(theta_L))-(MxMy_FixedP!$ES$9:$ES$44)*COS(RADIANS(theta_L)))))))*((MxMy_FixedP!$DR$9:$DR$44)-(MxMy_FixedP!$DR$8:$DR$43)))*COS(RADIANS(theta_L))+((MxMy_FixedP!$ES$8:$ES$43)+(((MxMy_FixedP!$DR$8:$DR$43)*SIN(RADIANS(theta_L))-(MxMy_FixedP!$ES$8:$ES$43)*COS(RADIANS(theta_L)))/((((MxMy_FixedP!$DR$8:$DR$43)*SIN(RADIANS(theta_L))-(MxMy_FixedP!$ES$8:$ES$43)*COS(RADIANS(theta_L))))-(((MxMy_FixedP!$DR$9:$DR$44)*SIN(RADIANS(theta_L))-(MxMy_FixedP!$ES$9:$ES$44)*COS(RADIANS(theta_L))))+((((MxMy_FixedP!$DR$8:$DR$43)*SIN(RADIANS(theta_L))-(MxMy_FixedP!$ES$8:$ES$43)*COS(RADIANS(theta_L))))=(((MxMy_FixedP!$DR$9:$DR$44)*SIN(RADIANS(theta_L))-(MxMy_FixedP!$ES$9:$ES$44)*COS(RADIANS(theta_L)))))))*((MxMy_FixedP!$ES$9:$ES$44)-(MxMy_FixedP!$ES$8:$ES$43)))*SIN(RADIANS(theta_L))))/D18))</f>
      </c>
      <c r="G18" s="46">
        <f>IF($K18&lt;=Mtol,0,SUMPRODUCT(((((MxMy_FixedP!$DR$8:$DR$43)*SIN(RADIANS(theta_L))-(MxMy_FixedP!$ES$8:$ES$43)*COS(RADIANS(theta_L))))*(((MxMy_FixedP!$DR$9:$DR$44)*SIN(RADIANS(theta_L))-(MxMy_FixedP!$ES$9:$ES$44)*COS(RADIANS(theta_L))))&lt;=0)*((((MxMy_FixedP!$DR$8:$DR$43)*SIN(RADIANS(theta_L))-(MxMy_FixedP!$ES$8:$ES$43)*COS(RADIANS(theta_L))))&lt;&gt;(((MxMy_FixedP!$DR$9:$DR$44)*SIN(RADIANS(theta_L))-(MxMy_FixedP!$ES$9:$ES$44)*COS(RADIANS(theta_L)))))*((((MxMy_FixedP!$DR$8:$DR$43)+(((MxMy_FixedP!$DR$8:$DR$43)*SIN(RADIANS(theta_L))-(MxMy_FixedP!$ES$8:$ES$43)*COS(RADIANS(theta_L)))/((((MxMy_FixedP!$DR$8:$DR$43)*SIN(RADIANS(theta_L))-(MxMy_FixedP!$ES$8:$ES$43)*COS(RADIANS(theta_L))))-(((MxMy_FixedP!$DR$9:$DR$44)*SIN(RADIANS(theta_L))-(MxMy_FixedP!$ES$9:$ES$44)*COS(RADIANS(theta_L))))+((((MxMy_FixedP!$DR$8:$DR$43)*SIN(RADIANS(theta_L))-(MxMy_FixedP!$ES$8:$ES$43)*COS(RADIANS(theta_L))))=(((MxMy_FixedP!$DR$9:$DR$44)*SIN(RADIANS(theta_L))-(MxMy_FixedP!$ES$9:$ES$44)*COS(RADIANS(theta_L)))))))*((MxMy_FixedP!$DR$9:$DR$44)-(MxMy_FixedP!$DR$8:$DR$43)))*COS(RADIANS(theta_L))+((MxMy_FixedP!$ES$8:$ES$43)+(((MxMy_FixedP!$DR$8:$DR$43)*SIN(RADIANS(theta_L))-(MxMy_FixedP!$ES$8:$ES$43)*COS(RADIANS(theta_L)))/((((MxMy_FixedP!$DR$8:$DR$43)*SIN(RADIANS(theta_L))-(MxMy_FixedP!$ES$8:$ES$43)*COS(RADIANS(theta_L))))-(((MxMy_FixedP!$DR$9:$DR$44)*SIN(RADIANS(theta_L))-(MxMy_FixedP!$ES$9:$ES$44)*COS(RADIANS(theta_L))))+((((MxMy_FixedP!$DR$8:$DR$43)*SIN(RADIANS(theta_L))-(MxMy_FixedP!$ES$8:$ES$43)*COS(RADIANS(theta_L))))=(((MxMy_FixedP!$DR$9:$DR$44)*SIN(RADIANS(theta_L))-(MxMy_FixedP!$ES$9:$ES$44)*COS(RADIANS(theta_L)))))))*((MxMy_FixedP!$ES$9:$ES$44)-(MxMy_FixedP!$ES$8:$ES$43)))*SIN(RADIANS(theta_L)))&lt;0)))</f>
      </c>
      <c r="H18" s="10">
        <f>IF($K18&lt;=Mtol,MxMy_FixedP!$CQ$8,IF(G18=0,"",SUMPRODUCT(((((MxMy_FixedP!$DR$8:$DR$43)*SIN(RADIANS(theta_L))-(MxMy_FixedP!$ES$8:$ES$43)*COS(RADIANS(theta_L))))*(((MxMy_FixedP!$DR$9:$DR$44)*SIN(RADIANS(theta_L))-(MxMy_FixedP!$ES$9:$ES$44)*COS(RADIANS(theta_L))))&lt;=0)*((((MxMy_FixedP!$DR$8:$DR$43)*SIN(RADIANS(theta_L))-(MxMy_FixedP!$ES$8:$ES$43)*COS(RADIANS(theta_L))))&lt;&gt;(((MxMy_FixedP!$DR$9:$DR$44)*SIN(RADIANS(theta_L))-(MxMy_FixedP!$ES$9:$ES$44)*COS(RADIANS(theta_L)))))*((((MxMy_FixedP!$DR$8:$DR$43)+(((MxMy_FixedP!$DR$8:$DR$43)*SIN(RADIANS(theta_L))-(MxMy_FixedP!$ES$8:$ES$43)*COS(RADIANS(theta_L)))/((((MxMy_FixedP!$DR$8:$DR$43)*SIN(RADIANS(theta_L))-(MxMy_FixedP!$ES$8:$ES$43)*COS(RADIANS(theta_L))))-(((MxMy_FixedP!$DR$9:$DR$44)*SIN(RADIANS(theta_L))-(MxMy_FixedP!$ES$9:$ES$44)*COS(RADIANS(theta_L))))+((((MxMy_FixedP!$DR$8:$DR$43)*SIN(RADIANS(theta_L))-(MxMy_FixedP!$ES$8:$ES$43)*COS(RADIANS(theta_L))))=(((MxMy_FixedP!$DR$9:$DR$44)*SIN(RADIANS(theta_L))-(MxMy_FixedP!$ES$9:$ES$44)*COS(RADIANS(theta_L)))))))*((MxMy_FixedP!$DR$9:$DR$44)-(MxMy_FixedP!$DR$8:$DR$43)))*COS(RADIANS(theta_L))+((MxMy_FixedP!$ES$8:$ES$43)+(((MxMy_FixedP!$DR$8:$DR$43)*SIN(RADIANS(theta_L))-(MxMy_FixedP!$ES$8:$ES$43)*COS(RADIANS(theta_L)))/((((MxMy_FixedP!$DR$8:$DR$43)*SIN(RADIANS(theta_L))-(MxMy_FixedP!$ES$8:$ES$43)*COS(RADIANS(theta_L))))-(((MxMy_FixedP!$DR$9:$DR$44)*SIN(RADIANS(theta_L))-(MxMy_FixedP!$ES$9:$ES$44)*COS(RADIANS(theta_L))))+((((MxMy_FixedP!$DR$8:$DR$43)*SIN(RADIANS(theta_L))-(MxMy_FixedP!$ES$8:$ES$43)*COS(RADIANS(theta_L))))=(((MxMy_FixedP!$DR$9:$DR$44)*SIN(RADIANS(theta_L))-(MxMy_FixedP!$ES$9:$ES$44)*COS(RADIANS(theta_L)))))))*((MxMy_FixedP!$ES$9:$ES$44)-(MxMy_FixedP!$ES$8:$ES$43)))*SIN(RADIANS(theta_L)))&lt;0),((MxMy_FixedP!$CQ$8:$CQ$43)+(((MxMy_FixedP!$DR$8:$DR$43)*SIN(RADIANS(theta_L))-(MxMy_FixedP!$ES$8:$ES$43)*COS(RADIANS(theta_L)))/((((MxMy_FixedP!$DR$8:$DR$43)*SIN(RADIANS(theta_L))-(MxMy_FixedP!$ES$8:$ES$43)*COS(RADIANS(theta_L))))-(((MxMy_FixedP!$DR$9:$DR$44)*SIN(RADIANS(theta_L))-(MxMy_FixedP!$ES$9:$ES$44)*COS(RADIANS(theta_L))))+((((MxMy_FixedP!$DR$8:$DR$43)*SIN(RADIANS(theta_L))-(MxMy_FixedP!$ES$8:$ES$43)*COS(RADIANS(theta_L))))=(((MxMy_FixedP!$DR$9:$DR$44)*SIN(RADIANS(theta_L))-(MxMy_FixedP!$ES$9:$ES$44)*COS(RADIANS(theta_L)))))))*((MxMy_FixedP!$CQ$9:$CQ$44)-(MxMy_FixedP!$CQ$8:$CQ$43))))/G18))</f>
      </c>
      <c r="I18" s="10">
        <f>IF($K18&lt;=Mtol,0,IF(G18=0,"",SUMPRODUCT(((((MxMy_FixedP!$DR$8:$DR$43)*SIN(RADIANS(theta_L))-(MxMy_FixedP!$ES$8:$ES$43)*COS(RADIANS(theta_L))))*(((MxMy_FixedP!$DR$9:$DR$44)*SIN(RADIANS(theta_L))-(MxMy_FixedP!$ES$9:$ES$44)*COS(RADIANS(theta_L))))&lt;=0)*((((MxMy_FixedP!$DR$8:$DR$43)*SIN(RADIANS(theta_L))-(MxMy_FixedP!$ES$8:$ES$43)*COS(RADIANS(theta_L))))&lt;&gt;(((MxMy_FixedP!$DR$9:$DR$44)*SIN(RADIANS(theta_L))-(MxMy_FixedP!$ES$9:$ES$44)*COS(RADIANS(theta_L)))))*((((MxMy_FixedP!$DR$8:$DR$43)+(((MxMy_FixedP!$DR$8:$DR$43)*SIN(RADIANS(theta_L))-(MxMy_FixedP!$ES$8:$ES$43)*COS(RADIANS(theta_L)))/((((MxMy_FixedP!$DR$8:$DR$43)*SIN(RADIANS(theta_L))-(MxMy_FixedP!$ES$8:$ES$43)*COS(RADIANS(theta_L))))-(((MxMy_FixedP!$DR$9:$DR$44)*SIN(RADIANS(theta_L))-(MxMy_FixedP!$ES$9:$ES$44)*COS(RADIANS(theta_L))))+((((MxMy_FixedP!$DR$8:$DR$43)*SIN(RADIANS(theta_L))-(MxMy_FixedP!$ES$8:$ES$43)*COS(RADIANS(theta_L))))=(((MxMy_FixedP!$DR$9:$DR$44)*SIN(RADIANS(theta_L))-(MxMy_FixedP!$ES$9:$ES$44)*COS(RADIANS(theta_L)))))))*((MxMy_FixedP!$DR$9:$DR$44)-(MxMy_FixedP!$DR$8:$DR$43)))*COS(RADIANS(theta_L))+((MxMy_FixedP!$ES$8:$ES$43)+(((MxMy_FixedP!$DR$8:$DR$43)*SIN(RADIANS(theta_L))-(MxMy_FixedP!$ES$8:$ES$43)*COS(RADIANS(theta_L)))/((((MxMy_FixedP!$DR$8:$DR$43)*SIN(RADIANS(theta_L))-(MxMy_FixedP!$ES$8:$ES$43)*COS(RADIANS(theta_L))))-(((MxMy_FixedP!$DR$9:$DR$44)*SIN(RADIANS(theta_L))-(MxMy_FixedP!$ES$9:$ES$44)*COS(RADIANS(theta_L))))+((((MxMy_FixedP!$DR$8:$DR$43)*SIN(RADIANS(theta_L))-(MxMy_FixedP!$ES$8:$ES$43)*COS(RADIANS(theta_L))))=(((MxMy_FixedP!$DR$9:$DR$44)*SIN(RADIANS(theta_L))-(MxMy_FixedP!$ES$9:$ES$44)*COS(RADIANS(theta_L)))))))*((MxMy_FixedP!$ES$9:$ES$44)-(MxMy_FixedP!$ES$8:$ES$43)))*SIN(RADIANS(theta_L)))&lt;0),(((MxMy_FixedP!$DR$8:$DR$43)+(((MxMy_FixedP!$DR$8:$DR$43)*SIN(RADIANS(theta_L))-(MxMy_FixedP!$ES$8:$ES$43)*COS(RADIANS(theta_L)))/((((MxMy_FixedP!$DR$8:$DR$43)*SIN(RADIANS(theta_L))-(MxMy_FixedP!$ES$8:$ES$43)*COS(RADIANS(theta_L))))-(((MxMy_FixedP!$DR$9:$DR$44)*SIN(RADIANS(theta_L))-(MxMy_FixedP!$ES$9:$ES$44)*COS(RADIANS(theta_L))))+((((MxMy_FixedP!$DR$8:$DR$43)*SIN(RADIANS(theta_L))-(MxMy_FixedP!$ES$8:$ES$43)*COS(RADIANS(theta_L))))=(((MxMy_FixedP!$DR$9:$DR$44)*SIN(RADIANS(theta_L))-(MxMy_FixedP!$ES$9:$ES$44)*COS(RADIANS(theta_L)))))))*((MxMy_FixedP!$DR$9:$DR$44)-(MxMy_FixedP!$DR$8:$DR$43)))*COS(RADIANS(theta_L))+((MxMy_FixedP!$ES$8:$ES$43)+(((MxMy_FixedP!$DR$8:$DR$43)*SIN(RADIANS(theta_L))-(MxMy_FixedP!$ES$8:$ES$43)*COS(RADIANS(theta_L)))/((((MxMy_FixedP!$DR$8:$DR$43)*SIN(RADIANS(theta_L))-(MxMy_FixedP!$ES$8:$ES$43)*COS(RADIANS(theta_L))))-(((MxMy_FixedP!$DR$9:$DR$44)*SIN(RADIANS(theta_L))-(MxMy_FixedP!$ES$9:$ES$44)*COS(RADIANS(theta_L))))+((((MxMy_FixedP!$DR$8:$DR$43)*SIN(RADIANS(theta_L))-(MxMy_FixedP!$ES$8:$ES$43)*COS(RADIANS(theta_L))))=(((MxMy_FixedP!$DR$9:$DR$44)*SIN(RADIANS(theta_L))-(MxMy_FixedP!$ES$9:$ES$44)*COS(RADIANS(theta_L)))))))*((MxMy_FixedP!$ES$9:$ES$44)-(MxMy_FixedP!$ES$8:$ES$43)))*SIN(RADIANS(theta_L))))/G18))</f>
      </c>
      <c r="J18">
        <f>IF($K18&lt;=Mtol,"pole",IF(AND(D18&gt;=1,G18&gt;=1),"ok","CHECK: "&amp;D18&amp;"/"&amp;G18&amp;" cuts"))</f>
      </c>
      <c r="K18" s="18">
        <v>5873.608508385497</v>
      </c>
    </row>
    <row r="19" spans="2:11" x14ac:dyDescent="0.25">
      <c r="B19" s="35" t="s">
        <v>226</v>
      </c>
      <c r="C19" s="54" t="s">
        <v>351</v>
      </c>
      <c r="D19" s="46">
        <f>IF($K19&lt;=Mtol,0,SUMPRODUCT(((((MxMy_FixedP!$DS$8:$DS$43)*SIN(RADIANS(theta_L))-(MxMy_FixedP!$ET$8:$ET$43)*COS(RADIANS(theta_L))))*(((MxMy_FixedP!$DS$9:$DS$44)*SIN(RADIANS(theta_L))-(MxMy_FixedP!$ET$9:$ET$44)*COS(RADIANS(theta_L))))&lt;=0)*((((MxMy_FixedP!$DS$8:$DS$43)*SIN(RADIANS(theta_L))-(MxMy_FixedP!$ET$8:$ET$43)*COS(RADIANS(theta_L))))&lt;&gt;(((MxMy_FixedP!$DS$9:$DS$44)*SIN(RADIANS(theta_L))-(MxMy_FixedP!$ET$9:$ET$44)*COS(RADIANS(theta_L)))))*((((MxMy_FixedP!$DS$8:$DS$43)+(((MxMy_FixedP!$DS$8:$DS$43)*SIN(RADIANS(theta_L))-(MxMy_FixedP!$ET$8:$ET$43)*COS(RADIANS(theta_L)))/((((MxMy_FixedP!$DS$8:$DS$43)*SIN(RADIANS(theta_L))-(MxMy_FixedP!$ET$8:$ET$43)*COS(RADIANS(theta_L))))-(((MxMy_FixedP!$DS$9:$DS$44)*SIN(RADIANS(theta_L))-(MxMy_FixedP!$ET$9:$ET$44)*COS(RADIANS(theta_L))))+((((MxMy_FixedP!$DS$8:$DS$43)*SIN(RADIANS(theta_L))-(MxMy_FixedP!$ET$8:$ET$43)*COS(RADIANS(theta_L))))=(((MxMy_FixedP!$DS$9:$DS$44)*SIN(RADIANS(theta_L))-(MxMy_FixedP!$ET$9:$ET$44)*COS(RADIANS(theta_L)))))))*((MxMy_FixedP!$DS$9:$DS$44)-(MxMy_FixedP!$DS$8:$DS$43)))*COS(RADIANS(theta_L))+((MxMy_FixedP!$ET$8:$ET$43)+(((MxMy_FixedP!$DS$8:$DS$43)*SIN(RADIANS(theta_L))-(MxMy_FixedP!$ET$8:$ET$43)*COS(RADIANS(theta_L)))/((((MxMy_FixedP!$DS$8:$DS$43)*SIN(RADIANS(theta_L))-(MxMy_FixedP!$ET$8:$ET$43)*COS(RADIANS(theta_L))))-(((MxMy_FixedP!$DS$9:$DS$44)*SIN(RADIANS(theta_L))-(MxMy_FixedP!$ET$9:$ET$44)*COS(RADIANS(theta_L))))+((((MxMy_FixedP!$DS$8:$DS$43)*SIN(RADIANS(theta_L))-(MxMy_FixedP!$ET$8:$ET$43)*COS(RADIANS(theta_L))))=(((MxMy_FixedP!$DS$9:$DS$44)*SIN(RADIANS(theta_L))-(MxMy_FixedP!$ET$9:$ET$44)*COS(RADIANS(theta_L)))))))*((MxMy_FixedP!$ET$9:$ET$44)-(MxMy_FixedP!$ET$8:$ET$43)))*SIN(RADIANS(theta_L)))&gt;0)))</f>
      </c>
      <c r="E19" s="10">
        <f>IF($K19&lt;=Mtol,MxMy_FixedP!$CR$8,IF(D19=0,"",SUMPRODUCT(((((MxMy_FixedP!$DS$8:$DS$43)*SIN(RADIANS(theta_L))-(MxMy_FixedP!$ET$8:$ET$43)*COS(RADIANS(theta_L))))*(((MxMy_FixedP!$DS$9:$DS$44)*SIN(RADIANS(theta_L))-(MxMy_FixedP!$ET$9:$ET$44)*COS(RADIANS(theta_L))))&lt;=0)*((((MxMy_FixedP!$DS$8:$DS$43)*SIN(RADIANS(theta_L))-(MxMy_FixedP!$ET$8:$ET$43)*COS(RADIANS(theta_L))))&lt;&gt;(((MxMy_FixedP!$DS$9:$DS$44)*SIN(RADIANS(theta_L))-(MxMy_FixedP!$ET$9:$ET$44)*COS(RADIANS(theta_L)))))*((((MxMy_FixedP!$DS$8:$DS$43)+(((MxMy_FixedP!$DS$8:$DS$43)*SIN(RADIANS(theta_L))-(MxMy_FixedP!$ET$8:$ET$43)*COS(RADIANS(theta_L)))/((((MxMy_FixedP!$DS$8:$DS$43)*SIN(RADIANS(theta_L))-(MxMy_FixedP!$ET$8:$ET$43)*COS(RADIANS(theta_L))))-(((MxMy_FixedP!$DS$9:$DS$44)*SIN(RADIANS(theta_L))-(MxMy_FixedP!$ET$9:$ET$44)*COS(RADIANS(theta_L))))+((((MxMy_FixedP!$DS$8:$DS$43)*SIN(RADIANS(theta_L))-(MxMy_FixedP!$ET$8:$ET$43)*COS(RADIANS(theta_L))))=(((MxMy_FixedP!$DS$9:$DS$44)*SIN(RADIANS(theta_L))-(MxMy_FixedP!$ET$9:$ET$44)*COS(RADIANS(theta_L)))))))*((MxMy_FixedP!$DS$9:$DS$44)-(MxMy_FixedP!$DS$8:$DS$43)))*COS(RADIANS(theta_L))+((MxMy_FixedP!$ET$8:$ET$43)+(((MxMy_FixedP!$DS$8:$DS$43)*SIN(RADIANS(theta_L))-(MxMy_FixedP!$ET$8:$ET$43)*COS(RADIANS(theta_L)))/((((MxMy_FixedP!$DS$8:$DS$43)*SIN(RADIANS(theta_L))-(MxMy_FixedP!$ET$8:$ET$43)*COS(RADIANS(theta_L))))-(((MxMy_FixedP!$DS$9:$DS$44)*SIN(RADIANS(theta_L))-(MxMy_FixedP!$ET$9:$ET$44)*COS(RADIANS(theta_L))))+((((MxMy_FixedP!$DS$8:$DS$43)*SIN(RADIANS(theta_L))-(MxMy_FixedP!$ET$8:$ET$43)*COS(RADIANS(theta_L))))=(((MxMy_FixedP!$DS$9:$DS$44)*SIN(RADIANS(theta_L))-(MxMy_FixedP!$ET$9:$ET$44)*COS(RADIANS(theta_L)))))))*((MxMy_FixedP!$ET$9:$ET$44)-(MxMy_FixedP!$ET$8:$ET$43)))*SIN(RADIANS(theta_L)))&gt;0),((MxMy_FixedP!$CR$8:$CR$43)+(((MxMy_FixedP!$DS$8:$DS$43)*SIN(RADIANS(theta_L))-(MxMy_FixedP!$ET$8:$ET$43)*COS(RADIANS(theta_L)))/((((MxMy_FixedP!$DS$8:$DS$43)*SIN(RADIANS(theta_L))-(MxMy_FixedP!$ET$8:$ET$43)*COS(RADIANS(theta_L))))-(((MxMy_FixedP!$DS$9:$DS$44)*SIN(RADIANS(theta_L))-(MxMy_FixedP!$ET$9:$ET$44)*COS(RADIANS(theta_L))))+((((MxMy_FixedP!$DS$8:$DS$43)*SIN(RADIANS(theta_L))-(MxMy_FixedP!$ET$8:$ET$43)*COS(RADIANS(theta_L))))=(((MxMy_FixedP!$DS$9:$DS$44)*SIN(RADIANS(theta_L))-(MxMy_FixedP!$ET$9:$ET$44)*COS(RADIANS(theta_L)))))))*((MxMy_FixedP!$CR$9:$CR$44)-(MxMy_FixedP!$CR$8:$CR$43))))/D19))</f>
      </c>
      <c r="F19" s="10">
        <f>IF($K19&lt;=Mtol,0,IF(D19=0,"",SUMPRODUCT(((((MxMy_FixedP!$DS$8:$DS$43)*SIN(RADIANS(theta_L))-(MxMy_FixedP!$ET$8:$ET$43)*COS(RADIANS(theta_L))))*(((MxMy_FixedP!$DS$9:$DS$44)*SIN(RADIANS(theta_L))-(MxMy_FixedP!$ET$9:$ET$44)*COS(RADIANS(theta_L))))&lt;=0)*((((MxMy_FixedP!$DS$8:$DS$43)*SIN(RADIANS(theta_L))-(MxMy_FixedP!$ET$8:$ET$43)*COS(RADIANS(theta_L))))&lt;&gt;(((MxMy_FixedP!$DS$9:$DS$44)*SIN(RADIANS(theta_L))-(MxMy_FixedP!$ET$9:$ET$44)*COS(RADIANS(theta_L)))))*((((MxMy_FixedP!$DS$8:$DS$43)+(((MxMy_FixedP!$DS$8:$DS$43)*SIN(RADIANS(theta_L))-(MxMy_FixedP!$ET$8:$ET$43)*COS(RADIANS(theta_L)))/((((MxMy_FixedP!$DS$8:$DS$43)*SIN(RADIANS(theta_L))-(MxMy_FixedP!$ET$8:$ET$43)*COS(RADIANS(theta_L))))-(((MxMy_FixedP!$DS$9:$DS$44)*SIN(RADIANS(theta_L))-(MxMy_FixedP!$ET$9:$ET$44)*COS(RADIANS(theta_L))))+((((MxMy_FixedP!$DS$8:$DS$43)*SIN(RADIANS(theta_L))-(MxMy_FixedP!$ET$8:$ET$43)*COS(RADIANS(theta_L))))=(((MxMy_FixedP!$DS$9:$DS$44)*SIN(RADIANS(theta_L))-(MxMy_FixedP!$ET$9:$ET$44)*COS(RADIANS(theta_L)))))))*((MxMy_FixedP!$DS$9:$DS$44)-(MxMy_FixedP!$DS$8:$DS$43)))*COS(RADIANS(theta_L))+((MxMy_FixedP!$ET$8:$ET$43)+(((MxMy_FixedP!$DS$8:$DS$43)*SIN(RADIANS(theta_L))-(MxMy_FixedP!$ET$8:$ET$43)*COS(RADIANS(theta_L)))/((((MxMy_FixedP!$DS$8:$DS$43)*SIN(RADIANS(theta_L))-(MxMy_FixedP!$ET$8:$ET$43)*COS(RADIANS(theta_L))))-(((MxMy_FixedP!$DS$9:$DS$44)*SIN(RADIANS(theta_L))-(MxMy_FixedP!$ET$9:$ET$44)*COS(RADIANS(theta_L))))+((((MxMy_FixedP!$DS$8:$DS$43)*SIN(RADIANS(theta_L))-(MxMy_FixedP!$ET$8:$ET$43)*COS(RADIANS(theta_L))))=(((MxMy_FixedP!$DS$9:$DS$44)*SIN(RADIANS(theta_L))-(MxMy_FixedP!$ET$9:$ET$44)*COS(RADIANS(theta_L)))))))*((MxMy_FixedP!$ET$9:$ET$44)-(MxMy_FixedP!$ET$8:$ET$43)))*SIN(RADIANS(theta_L)))&gt;0),(((MxMy_FixedP!$DS$8:$DS$43)+(((MxMy_FixedP!$DS$8:$DS$43)*SIN(RADIANS(theta_L))-(MxMy_FixedP!$ET$8:$ET$43)*COS(RADIANS(theta_L)))/((((MxMy_FixedP!$DS$8:$DS$43)*SIN(RADIANS(theta_L))-(MxMy_FixedP!$ET$8:$ET$43)*COS(RADIANS(theta_L))))-(((MxMy_FixedP!$DS$9:$DS$44)*SIN(RADIANS(theta_L))-(MxMy_FixedP!$ET$9:$ET$44)*COS(RADIANS(theta_L))))+((((MxMy_FixedP!$DS$8:$DS$43)*SIN(RADIANS(theta_L))-(MxMy_FixedP!$ET$8:$ET$43)*COS(RADIANS(theta_L))))=(((MxMy_FixedP!$DS$9:$DS$44)*SIN(RADIANS(theta_L))-(MxMy_FixedP!$ET$9:$ET$44)*COS(RADIANS(theta_L)))))))*((MxMy_FixedP!$DS$9:$DS$44)-(MxMy_FixedP!$DS$8:$DS$43)))*COS(RADIANS(theta_L))+((MxMy_FixedP!$ET$8:$ET$43)+(((MxMy_FixedP!$DS$8:$DS$43)*SIN(RADIANS(theta_L))-(MxMy_FixedP!$ET$8:$ET$43)*COS(RADIANS(theta_L)))/((((MxMy_FixedP!$DS$8:$DS$43)*SIN(RADIANS(theta_L))-(MxMy_FixedP!$ET$8:$ET$43)*COS(RADIANS(theta_L))))-(((MxMy_FixedP!$DS$9:$DS$44)*SIN(RADIANS(theta_L))-(MxMy_FixedP!$ET$9:$ET$44)*COS(RADIANS(theta_L))))+((((MxMy_FixedP!$DS$8:$DS$43)*SIN(RADIANS(theta_L))-(MxMy_FixedP!$ET$8:$ET$43)*COS(RADIANS(theta_L))))=(((MxMy_FixedP!$DS$9:$DS$44)*SIN(RADIANS(theta_L))-(MxMy_FixedP!$ET$9:$ET$44)*COS(RADIANS(theta_L)))))))*((MxMy_FixedP!$ET$9:$ET$44)-(MxMy_FixedP!$ET$8:$ET$43)))*SIN(RADIANS(theta_L))))/D19))</f>
      </c>
      <c r="G19" s="46">
        <f>IF($K19&lt;=Mtol,0,SUMPRODUCT(((((MxMy_FixedP!$DS$8:$DS$43)*SIN(RADIANS(theta_L))-(MxMy_FixedP!$ET$8:$ET$43)*COS(RADIANS(theta_L))))*(((MxMy_FixedP!$DS$9:$DS$44)*SIN(RADIANS(theta_L))-(MxMy_FixedP!$ET$9:$ET$44)*COS(RADIANS(theta_L))))&lt;=0)*((((MxMy_FixedP!$DS$8:$DS$43)*SIN(RADIANS(theta_L))-(MxMy_FixedP!$ET$8:$ET$43)*COS(RADIANS(theta_L))))&lt;&gt;(((MxMy_FixedP!$DS$9:$DS$44)*SIN(RADIANS(theta_L))-(MxMy_FixedP!$ET$9:$ET$44)*COS(RADIANS(theta_L)))))*((((MxMy_FixedP!$DS$8:$DS$43)+(((MxMy_FixedP!$DS$8:$DS$43)*SIN(RADIANS(theta_L))-(MxMy_FixedP!$ET$8:$ET$43)*COS(RADIANS(theta_L)))/((((MxMy_FixedP!$DS$8:$DS$43)*SIN(RADIANS(theta_L))-(MxMy_FixedP!$ET$8:$ET$43)*COS(RADIANS(theta_L))))-(((MxMy_FixedP!$DS$9:$DS$44)*SIN(RADIANS(theta_L))-(MxMy_FixedP!$ET$9:$ET$44)*COS(RADIANS(theta_L))))+((((MxMy_FixedP!$DS$8:$DS$43)*SIN(RADIANS(theta_L))-(MxMy_FixedP!$ET$8:$ET$43)*COS(RADIANS(theta_L))))=(((MxMy_FixedP!$DS$9:$DS$44)*SIN(RADIANS(theta_L))-(MxMy_FixedP!$ET$9:$ET$44)*COS(RADIANS(theta_L)))))))*((MxMy_FixedP!$DS$9:$DS$44)-(MxMy_FixedP!$DS$8:$DS$43)))*COS(RADIANS(theta_L))+((MxMy_FixedP!$ET$8:$ET$43)+(((MxMy_FixedP!$DS$8:$DS$43)*SIN(RADIANS(theta_L))-(MxMy_FixedP!$ET$8:$ET$43)*COS(RADIANS(theta_L)))/((((MxMy_FixedP!$DS$8:$DS$43)*SIN(RADIANS(theta_L))-(MxMy_FixedP!$ET$8:$ET$43)*COS(RADIANS(theta_L))))-(((MxMy_FixedP!$DS$9:$DS$44)*SIN(RADIANS(theta_L))-(MxMy_FixedP!$ET$9:$ET$44)*COS(RADIANS(theta_L))))+((((MxMy_FixedP!$DS$8:$DS$43)*SIN(RADIANS(theta_L))-(MxMy_FixedP!$ET$8:$ET$43)*COS(RADIANS(theta_L))))=(((MxMy_FixedP!$DS$9:$DS$44)*SIN(RADIANS(theta_L))-(MxMy_FixedP!$ET$9:$ET$44)*COS(RADIANS(theta_L)))))))*((MxMy_FixedP!$ET$9:$ET$44)-(MxMy_FixedP!$ET$8:$ET$43)))*SIN(RADIANS(theta_L)))&lt;0)))</f>
      </c>
      <c r="H19" s="10">
        <f>IF($K19&lt;=Mtol,MxMy_FixedP!$CR$8,IF(G19=0,"",SUMPRODUCT(((((MxMy_FixedP!$DS$8:$DS$43)*SIN(RADIANS(theta_L))-(MxMy_FixedP!$ET$8:$ET$43)*COS(RADIANS(theta_L))))*(((MxMy_FixedP!$DS$9:$DS$44)*SIN(RADIANS(theta_L))-(MxMy_FixedP!$ET$9:$ET$44)*COS(RADIANS(theta_L))))&lt;=0)*((((MxMy_FixedP!$DS$8:$DS$43)*SIN(RADIANS(theta_L))-(MxMy_FixedP!$ET$8:$ET$43)*COS(RADIANS(theta_L))))&lt;&gt;(((MxMy_FixedP!$DS$9:$DS$44)*SIN(RADIANS(theta_L))-(MxMy_FixedP!$ET$9:$ET$44)*COS(RADIANS(theta_L)))))*((((MxMy_FixedP!$DS$8:$DS$43)+(((MxMy_FixedP!$DS$8:$DS$43)*SIN(RADIANS(theta_L))-(MxMy_FixedP!$ET$8:$ET$43)*COS(RADIANS(theta_L)))/((((MxMy_FixedP!$DS$8:$DS$43)*SIN(RADIANS(theta_L))-(MxMy_FixedP!$ET$8:$ET$43)*COS(RADIANS(theta_L))))-(((MxMy_FixedP!$DS$9:$DS$44)*SIN(RADIANS(theta_L))-(MxMy_FixedP!$ET$9:$ET$44)*COS(RADIANS(theta_L))))+((((MxMy_FixedP!$DS$8:$DS$43)*SIN(RADIANS(theta_L))-(MxMy_FixedP!$ET$8:$ET$43)*COS(RADIANS(theta_L))))=(((MxMy_FixedP!$DS$9:$DS$44)*SIN(RADIANS(theta_L))-(MxMy_FixedP!$ET$9:$ET$44)*COS(RADIANS(theta_L)))))))*((MxMy_FixedP!$DS$9:$DS$44)-(MxMy_FixedP!$DS$8:$DS$43)))*COS(RADIANS(theta_L))+((MxMy_FixedP!$ET$8:$ET$43)+(((MxMy_FixedP!$DS$8:$DS$43)*SIN(RADIANS(theta_L))-(MxMy_FixedP!$ET$8:$ET$43)*COS(RADIANS(theta_L)))/((((MxMy_FixedP!$DS$8:$DS$43)*SIN(RADIANS(theta_L))-(MxMy_FixedP!$ET$8:$ET$43)*COS(RADIANS(theta_L))))-(((MxMy_FixedP!$DS$9:$DS$44)*SIN(RADIANS(theta_L))-(MxMy_FixedP!$ET$9:$ET$44)*COS(RADIANS(theta_L))))+((((MxMy_FixedP!$DS$8:$DS$43)*SIN(RADIANS(theta_L))-(MxMy_FixedP!$ET$8:$ET$43)*COS(RADIANS(theta_L))))=(((MxMy_FixedP!$DS$9:$DS$44)*SIN(RADIANS(theta_L))-(MxMy_FixedP!$ET$9:$ET$44)*COS(RADIANS(theta_L)))))))*((MxMy_FixedP!$ET$9:$ET$44)-(MxMy_FixedP!$ET$8:$ET$43)))*SIN(RADIANS(theta_L)))&lt;0),((MxMy_FixedP!$CR$8:$CR$43)+(((MxMy_FixedP!$DS$8:$DS$43)*SIN(RADIANS(theta_L))-(MxMy_FixedP!$ET$8:$ET$43)*COS(RADIANS(theta_L)))/((((MxMy_FixedP!$DS$8:$DS$43)*SIN(RADIANS(theta_L))-(MxMy_FixedP!$ET$8:$ET$43)*COS(RADIANS(theta_L))))-(((MxMy_FixedP!$DS$9:$DS$44)*SIN(RADIANS(theta_L))-(MxMy_FixedP!$ET$9:$ET$44)*COS(RADIANS(theta_L))))+((((MxMy_FixedP!$DS$8:$DS$43)*SIN(RADIANS(theta_L))-(MxMy_FixedP!$ET$8:$ET$43)*COS(RADIANS(theta_L))))=(((MxMy_FixedP!$DS$9:$DS$44)*SIN(RADIANS(theta_L))-(MxMy_FixedP!$ET$9:$ET$44)*COS(RADIANS(theta_L)))))))*((MxMy_FixedP!$CR$9:$CR$44)-(MxMy_FixedP!$CR$8:$CR$43))))/G19))</f>
      </c>
      <c r="I19" s="10">
        <f>IF($K19&lt;=Mtol,0,IF(G19=0,"",SUMPRODUCT(((((MxMy_FixedP!$DS$8:$DS$43)*SIN(RADIANS(theta_L))-(MxMy_FixedP!$ET$8:$ET$43)*COS(RADIANS(theta_L))))*(((MxMy_FixedP!$DS$9:$DS$44)*SIN(RADIANS(theta_L))-(MxMy_FixedP!$ET$9:$ET$44)*COS(RADIANS(theta_L))))&lt;=0)*((((MxMy_FixedP!$DS$8:$DS$43)*SIN(RADIANS(theta_L))-(MxMy_FixedP!$ET$8:$ET$43)*COS(RADIANS(theta_L))))&lt;&gt;(((MxMy_FixedP!$DS$9:$DS$44)*SIN(RADIANS(theta_L))-(MxMy_FixedP!$ET$9:$ET$44)*COS(RADIANS(theta_L)))))*((((MxMy_FixedP!$DS$8:$DS$43)+(((MxMy_FixedP!$DS$8:$DS$43)*SIN(RADIANS(theta_L))-(MxMy_FixedP!$ET$8:$ET$43)*COS(RADIANS(theta_L)))/((((MxMy_FixedP!$DS$8:$DS$43)*SIN(RADIANS(theta_L))-(MxMy_FixedP!$ET$8:$ET$43)*COS(RADIANS(theta_L))))-(((MxMy_FixedP!$DS$9:$DS$44)*SIN(RADIANS(theta_L))-(MxMy_FixedP!$ET$9:$ET$44)*COS(RADIANS(theta_L))))+((((MxMy_FixedP!$DS$8:$DS$43)*SIN(RADIANS(theta_L))-(MxMy_FixedP!$ET$8:$ET$43)*COS(RADIANS(theta_L))))=(((MxMy_FixedP!$DS$9:$DS$44)*SIN(RADIANS(theta_L))-(MxMy_FixedP!$ET$9:$ET$44)*COS(RADIANS(theta_L)))))))*((MxMy_FixedP!$DS$9:$DS$44)-(MxMy_FixedP!$DS$8:$DS$43)))*COS(RADIANS(theta_L))+((MxMy_FixedP!$ET$8:$ET$43)+(((MxMy_FixedP!$DS$8:$DS$43)*SIN(RADIANS(theta_L))-(MxMy_FixedP!$ET$8:$ET$43)*COS(RADIANS(theta_L)))/((((MxMy_FixedP!$DS$8:$DS$43)*SIN(RADIANS(theta_L))-(MxMy_FixedP!$ET$8:$ET$43)*COS(RADIANS(theta_L))))-(((MxMy_FixedP!$DS$9:$DS$44)*SIN(RADIANS(theta_L))-(MxMy_FixedP!$ET$9:$ET$44)*COS(RADIANS(theta_L))))+((((MxMy_FixedP!$DS$8:$DS$43)*SIN(RADIANS(theta_L))-(MxMy_FixedP!$ET$8:$ET$43)*COS(RADIANS(theta_L))))=(((MxMy_FixedP!$DS$9:$DS$44)*SIN(RADIANS(theta_L))-(MxMy_FixedP!$ET$9:$ET$44)*COS(RADIANS(theta_L)))))))*((MxMy_FixedP!$ET$9:$ET$44)-(MxMy_FixedP!$ET$8:$ET$43)))*SIN(RADIANS(theta_L)))&lt;0),(((MxMy_FixedP!$DS$8:$DS$43)+(((MxMy_FixedP!$DS$8:$DS$43)*SIN(RADIANS(theta_L))-(MxMy_FixedP!$ET$8:$ET$43)*COS(RADIANS(theta_L)))/((((MxMy_FixedP!$DS$8:$DS$43)*SIN(RADIANS(theta_L))-(MxMy_FixedP!$ET$8:$ET$43)*COS(RADIANS(theta_L))))-(((MxMy_FixedP!$DS$9:$DS$44)*SIN(RADIANS(theta_L))-(MxMy_FixedP!$ET$9:$ET$44)*COS(RADIANS(theta_L))))+((((MxMy_FixedP!$DS$8:$DS$43)*SIN(RADIANS(theta_L))-(MxMy_FixedP!$ET$8:$ET$43)*COS(RADIANS(theta_L))))=(((MxMy_FixedP!$DS$9:$DS$44)*SIN(RADIANS(theta_L))-(MxMy_FixedP!$ET$9:$ET$44)*COS(RADIANS(theta_L)))))))*((MxMy_FixedP!$DS$9:$DS$44)-(MxMy_FixedP!$DS$8:$DS$43)))*COS(RADIANS(theta_L))+((MxMy_FixedP!$ET$8:$ET$43)+(((MxMy_FixedP!$DS$8:$DS$43)*SIN(RADIANS(theta_L))-(MxMy_FixedP!$ET$8:$ET$43)*COS(RADIANS(theta_L)))/((((MxMy_FixedP!$DS$8:$DS$43)*SIN(RADIANS(theta_L))-(MxMy_FixedP!$ET$8:$ET$43)*COS(RADIANS(theta_L))))-(((MxMy_FixedP!$DS$9:$DS$44)*SIN(RADIANS(theta_L))-(MxMy_FixedP!$ET$9:$ET$44)*COS(RADIANS(theta_L))))+((((MxMy_FixedP!$DS$8:$DS$43)*SIN(RADIANS(theta_L))-(MxMy_FixedP!$ET$8:$ET$43)*COS(RADIANS(theta_L))))=(((MxMy_FixedP!$DS$9:$DS$44)*SIN(RADIANS(theta_L))-(MxMy_FixedP!$ET$9:$ET$44)*COS(RADIANS(theta_L)))))))*((MxMy_FixedP!$ET$9:$ET$44)-(MxMy_FixedP!$ET$8:$ET$43)))*SIN(RADIANS(theta_L))))/G19))</f>
      </c>
      <c r="J19">
        <f>IF($K19&lt;=Mtol,"pole",IF(AND(D19&gt;=1,G19&gt;=1),"ok","CHECK: "&amp;D19&amp;"/"&amp;G19&amp;" cuts"))</f>
      </c>
      <c r="K19" s="18">
        <v>6176.961299171685</v>
      </c>
    </row>
    <row r="20" spans="2:11" x14ac:dyDescent="0.25">
      <c r="B20" s="35" t="s">
        <v>227</v>
      </c>
      <c r="C20" s="54" t="s">
        <v>352</v>
      </c>
      <c r="D20" s="46">
        <f>IF($K20&lt;=Mtol,0,SUMPRODUCT(((((MxMy_FixedP!$DT$8:$DT$43)*SIN(RADIANS(theta_L))-(MxMy_FixedP!$EU$8:$EU$43)*COS(RADIANS(theta_L))))*(((MxMy_FixedP!$DT$9:$DT$44)*SIN(RADIANS(theta_L))-(MxMy_FixedP!$EU$9:$EU$44)*COS(RADIANS(theta_L))))&lt;=0)*((((MxMy_FixedP!$DT$8:$DT$43)*SIN(RADIANS(theta_L))-(MxMy_FixedP!$EU$8:$EU$43)*COS(RADIANS(theta_L))))&lt;&gt;(((MxMy_FixedP!$DT$9:$DT$44)*SIN(RADIANS(theta_L))-(MxMy_FixedP!$EU$9:$EU$44)*COS(RADIANS(theta_L)))))*((((MxMy_FixedP!$DT$8:$DT$43)+(((MxMy_FixedP!$DT$8:$DT$43)*SIN(RADIANS(theta_L))-(MxMy_FixedP!$EU$8:$EU$43)*COS(RADIANS(theta_L)))/((((MxMy_FixedP!$DT$8:$DT$43)*SIN(RADIANS(theta_L))-(MxMy_FixedP!$EU$8:$EU$43)*COS(RADIANS(theta_L))))-(((MxMy_FixedP!$DT$9:$DT$44)*SIN(RADIANS(theta_L))-(MxMy_FixedP!$EU$9:$EU$44)*COS(RADIANS(theta_L))))+((((MxMy_FixedP!$DT$8:$DT$43)*SIN(RADIANS(theta_L))-(MxMy_FixedP!$EU$8:$EU$43)*COS(RADIANS(theta_L))))=(((MxMy_FixedP!$DT$9:$DT$44)*SIN(RADIANS(theta_L))-(MxMy_FixedP!$EU$9:$EU$44)*COS(RADIANS(theta_L)))))))*((MxMy_FixedP!$DT$9:$DT$44)-(MxMy_FixedP!$DT$8:$DT$43)))*COS(RADIANS(theta_L))+((MxMy_FixedP!$EU$8:$EU$43)+(((MxMy_FixedP!$DT$8:$DT$43)*SIN(RADIANS(theta_L))-(MxMy_FixedP!$EU$8:$EU$43)*COS(RADIANS(theta_L)))/((((MxMy_FixedP!$DT$8:$DT$43)*SIN(RADIANS(theta_L))-(MxMy_FixedP!$EU$8:$EU$43)*COS(RADIANS(theta_L))))-(((MxMy_FixedP!$DT$9:$DT$44)*SIN(RADIANS(theta_L))-(MxMy_FixedP!$EU$9:$EU$44)*COS(RADIANS(theta_L))))+((((MxMy_FixedP!$DT$8:$DT$43)*SIN(RADIANS(theta_L))-(MxMy_FixedP!$EU$8:$EU$43)*COS(RADIANS(theta_L))))=(((MxMy_FixedP!$DT$9:$DT$44)*SIN(RADIANS(theta_L))-(MxMy_FixedP!$EU$9:$EU$44)*COS(RADIANS(theta_L)))))))*((MxMy_FixedP!$EU$9:$EU$44)-(MxMy_FixedP!$EU$8:$EU$43)))*SIN(RADIANS(theta_L)))&gt;0)))</f>
      </c>
      <c r="E20" s="10">
        <f>IF($K20&lt;=Mtol,MxMy_FixedP!$CS$8,IF(D20=0,"",SUMPRODUCT(((((MxMy_FixedP!$DT$8:$DT$43)*SIN(RADIANS(theta_L))-(MxMy_FixedP!$EU$8:$EU$43)*COS(RADIANS(theta_L))))*(((MxMy_FixedP!$DT$9:$DT$44)*SIN(RADIANS(theta_L))-(MxMy_FixedP!$EU$9:$EU$44)*COS(RADIANS(theta_L))))&lt;=0)*((((MxMy_FixedP!$DT$8:$DT$43)*SIN(RADIANS(theta_L))-(MxMy_FixedP!$EU$8:$EU$43)*COS(RADIANS(theta_L))))&lt;&gt;(((MxMy_FixedP!$DT$9:$DT$44)*SIN(RADIANS(theta_L))-(MxMy_FixedP!$EU$9:$EU$44)*COS(RADIANS(theta_L)))))*((((MxMy_FixedP!$DT$8:$DT$43)+(((MxMy_FixedP!$DT$8:$DT$43)*SIN(RADIANS(theta_L))-(MxMy_FixedP!$EU$8:$EU$43)*COS(RADIANS(theta_L)))/((((MxMy_FixedP!$DT$8:$DT$43)*SIN(RADIANS(theta_L))-(MxMy_FixedP!$EU$8:$EU$43)*COS(RADIANS(theta_L))))-(((MxMy_FixedP!$DT$9:$DT$44)*SIN(RADIANS(theta_L))-(MxMy_FixedP!$EU$9:$EU$44)*COS(RADIANS(theta_L))))+((((MxMy_FixedP!$DT$8:$DT$43)*SIN(RADIANS(theta_L))-(MxMy_FixedP!$EU$8:$EU$43)*COS(RADIANS(theta_L))))=(((MxMy_FixedP!$DT$9:$DT$44)*SIN(RADIANS(theta_L))-(MxMy_FixedP!$EU$9:$EU$44)*COS(RADIANS(theta_L)))))))*((MxMy_FixedP!$DT$9:$DT$44)-(MxMy_FixedP!$DT$8:$DT$43)))*COS(RADIANS(theta_L))+((MxMy_FixedP!$EU$8:$EU$43)+(((MxMy_FixedP!$DT$8:$DT$43)*SIN(RADIANS(theta_L))-(MxMy_FixedP!$EU$8:$EU$43)*COS(RADIANS(theta_L)))/((((MxMy_FixedP!$DT$8:$DT$43)*SIN(RADIANS(theta_L))-(MxMy_FixedP!$EU$8:$EU$43)*COS(RADIANS(theta_L))))-(((MxMy_FixedP!$DT$9:$DT$44)*SIN(RADIANS(theta_L))-(MxMy_FixedP!$EU$9:$EU$44)*COS(RADIANS(theta_L))))+((((MxMy_FixedP!$DT$8:$DT$43)*SIN(RADIANS(theta_L))-(MxMy_FixedP!$EU$8:$EU$43)*COS(RADIANS(theta_L))))=(((MxMy_FixedP!$DT$9:$DT$44)*SIN(RADIANS(theta_L))-(MxMy_FixedP!$EU$9:$EU$44)*COS(RADIANS(theta_L)))))))*((MxMy_FixedP!$EU$9:$EU$44)-(MxMy_FixedP!$EU$8:$EU$43)))*SIN(RADIANS(theta_L)))&gt;0),((MxMy_FixedP!$CS$8:$CS$43)+(((MxMy_FixedP!$DT$8:$DT$43)*SIN(RADIANS(theta_L))-(MxMy_FixedP!$EU$8:$EU$43)*COS(RADIANS(theta_L)))/((((MxMy_FixedP!$DT$8:$DT$43)*SIN(RADIANS(theta_L))-(MxMy_FixedP!$EU$8:$EU$43)*COS(RADIANS(theta_L))))-(((MxMy_FixedP!$DT$9:$DT$44)*SIN(RADIANS(theta_L))-(MxMy_FixedP!$EU$9:$EU$44)*COS(RADIANS(theta_L))))+((((MxMy_FixedP!$DT$8:$DT$43)*SIN(RADIANS(theta_L))-(MxMy_FixedP!$EU$8:$EU$43)*COS(RADIANS(theta_L))))=(((MxMy_FixedP!$DT$9:$DT$44)*SIN(RADIANS(theta_L))-(MxMy_FixedP!$EU$9:$EU$44)*COS(RADIANS(theta_L)))))))*((MxMy_FixedP!$CS$9:$CS$44)-(MxMy_FixedP!$CS$8:$CS$43))))/D20))</f>
      </c>
      <c r="F20" s="10">
        <f>IF($K20&lt;=Mtol,0,IF(D20=0,"",SUMPRODUCT(((((MxMy_FixedP!$DT$8:$DT$43)*SIN(RADIANS(theta_L))-(MxMy_FixedP!$EU$8:$EU$43)*COS(RADIANS(theta_L))))*(((MxMy_FixedP!$DT$9:$DT$44)*SIN(RADIANS(theta_L))-(MxMy_FixedP!$EU$9:$EU$44)*COS(RADIANS(theta_L))))&lt;=0)*((((MxMy_FixedP!$DT$8:$DT$43)*SIN(RADIANS(theta_L))-(MxMy_FixedP!$EU$8:$EU$43)*COS(RADIANS(theta_L))))&lt;&gt;(((MxMy_FixedP!$DT$9:$DT$44)*SIN(RADIANS(theta_L))-(MxMy_FixedP!$EU$9:$EU$44)*COS(RADIANS(theta_L)))))*((((MxMy_FixedP!$DT$8:$DT$43)+(((MxMy_FixedP!$DT$8:$DT$43)*SIN(RADIANS(theta_L))-(MxMy_FixedP!$EU$8:$EU$43)*COS(RADIANS(theta_L)))/((((MxMy_FixedP!$DT$8:$DT$43)*SIN(RADIANS(theta_L))-(MxMy_FixedP!$EU$8:$EU$43)*COS(RADIANS(theta_L))))-(((MxMy_FixedP!$DT$9:$DT$44)*SIN(RADIANS(theta_L))-(MxMy_FixedP!$EU$9:$EU$44)*COS(RADIANS(theta_L))))+((((MxMy_FixedP!$DT$8:$DT$43)*SIN(RADIANS(theta_L))-(MxMy_FixedP!$EU$8:$EU$43)*COS(RADIANS(theta_L))))=(((MxMy_FixedP!$DT$9:$DT$44)*SIN(RADIANS(theta_L))-(MxMy_FixedP!$EU$9:$EU$44)*COS(RADIANS(theta_L)))))))*((MxMy_FixedP!$DT$9:$DT$44)-(MxMy_FixedP!$DT$8:$DT$43)))*COS(RADIANS(theta_L))+((MxMy_FixedP!$EU$8:$EU$43)+(((MxMy_FixedP!$DT$8:$DT$43)*SIN(RADIANS(theta_L))-(MxMy_FixedP!$EU$8:$EU$43)*COS(RADIANS(theta_L)))/((((MxMy_FixedP!$DT$8:$DT$43)*SIN(RADIANS(theta_L))-(MxMy_FixedP!$EU$8:$EU$43)*COS(RADIANS(theta_L))))-(((MxMy_FixedP!$DT$9:$DT$44)*SIN(RADIANS(theta_L))-(MxMy_FixedP!$EU$9:$EU$44)*COS(RADIANS(theta_L))))+((((MxMy_FixedP!$DT$8:$DT$43)*SIN(RADIANS(theta_L))-(MxMy_FixedP!$EU$8:$EU$43)*COS(RADIANS(theta_L))))=(((MxMy_FixedP!$DT$9:$DT$44)*SIN(RADIANS(theta_L))-(MxMy_FixedP!$EU$9:$EU$44)*COS(RADIANS(theta_L)))))))*((MxMy_FixedP!$EU$9:$EU$44)-(MxMy_FixedP!$EU$8:$EU$43)))*SIN(RADIANS(theta_L)))&gt;0),(((MxMy_FixedP!$DT$8:$DT$43)+(((MxMy_FixedP!$DT$8:$DT$43)*SIN(RADIANS(theta_L))-(MxMy_FixedP!$EU$8:$EU$43)*COS(RADIANS(theta_L)))/((((MxMy_FixedP!$DT$8:$DT$43)*SIN(RADIANS(theta_L))-(MxMy_FixedP!$EU$8:$EU$43)*COS(RADIANS(theta_L))))-(((MxMy_FixedP!$DT$9:$DT$44)*SIN(RADIANS(theta_L))-(MxMy_FixedP!$EU$9:$EU$44)*COS(RADIANS(theta_L))))+((((MxMy_FixedP!$DT$8:$DT$43)*SIN(RADIANS(theta_L))-(MxMy_FixedP!$EU$8:$EU$43)*COS(RADIANS(theta_L))))=(((MxMy_FixedP!$DT$9:$DT$44)*SIN(RADIANS(theta_L))-(MxMy_FixedP!$EU$9:$EU$44)*COS(RADIANS(theta_L)))))))*((MxMy_FixedP!$DT$9:$DT$44)-(MxMy_FixedP!$DT$8:$DT$43)))*COS(RADIANS(theta_L))+((MxMy_FixedP!$EU$8:$EU$43)+(((MxMy_FixedP!$DT$8:$DT$43)*SIN(RADIANS(theta_L))-(MxMy_FixedP!$EU$8:$EU$43)*COS(RADIANS(theta_L)))/((((MxMy_FixedP!$DT$8:$DT$43)*SIN(RADIANS(theta_L))-(MxMy_FixedP!$EU$8:$EU$43)*COS(RADIANS(theta_L))))-(((MxMy_FixedP!$DT$9:$DT$44)*SIN(RADIANS(theta_L))-(MxMy_FixedP!$EU$9:$EU$44)*COS(RADIANS(theta_L))))+((((MxMy_FixedP!$DT$8:$DT$43)*SIN(RADIANS(theta_L))-(MxMy_FixedP!$EU$8:$EU$43)*COS(RADIANS(theta_L))))=(((MxMy_FixedP!$DT$9:$DT$44)*SIN(RADIANS(theta_L))-(MxMy_FixedP!$EU$9:$EU$44)*COS(RADIANS(theta_L)))))))*((MxMy_FixedP!$EU$9:$EU$44)-(MxMy_FixedP!$EU$8:$EU$43)))*SIN(RADIANS(theta_L))))/D20))</f>
      </c>
      <c r="G20" s="46">
        <f>IF($K20&lt;=Mtol,0,SUMPRODUCT(((((MxMy_FixedP!$DT$8:$DT$43)*SIN(RADIANS(theta_L))-(MxMy_FixedP!$EU$8:$EU$43)*COS(RADIANS(theta_L))))*(((MxMy_FixedP!$DT$9:$DT$44)*SIN(RADIANS(theta_L))-(MxMy_FixedP!$EU$9:$EU$44)*COS(RADIANS(theta_L))))&lt;=0)*((((MxMy_FixedP!$DT$8:$DT$43)*SIN(RADIANS(theta_L))-(MxMy_FixedP!$EU$8:$EU$43)*COS(RADIANS(theta_L))))&lt;&gt;(((MxMy_FixedP!$DT$9:$DT$44)*SIN(RADIANS(theta_L))-(MxMy_FixedP!$EU$9:$EU$44)*COS(RADIANS(theta_L)))))*((((MxMy_FixedP!$DT$8:$DT$43)+(((MxMy_FixedP!$DT$8:$DT$43)*SIN(RADIANS(theta_L))-(MxMy_FixedP!$EU$8:$EU$43)*COS(RADIANS(theta_L)))/((((MxMy_FixedP!$DT$8:$DT$43)*SIN(RADIANS(theta_L))-(MxMy_FixedP!$EU$8:$EU$43)*COS(RADIANS(theta_L))))-(((MxMy_FixedP!$DT$9:$DT$44)*SIN(RADIANS(theta_L))-(MxMy_FixedP!$EU$9:$EU$44)*COS(RADIANS(theta_L))))+((((MxMy_FixedP!$DT$8:$DT$43)*SIN(RADIANS(theta_L))-(MxMy_FixedP!$EU$8:$EU$43)*COS(RADIANS(theta_L))))=(((MxMy_FixedP!$DT$9:$DT$44)*SIN(RADIANS(theta_L))-(MxMy_FixedP!$EU$9:$EU$44)*COS(RADIANS(theta_L)))))))*((MxMy_FixedP!$DT$9:$DT$44)-(MxMy_FixedP!$DT$8:$DT$43)))*COS(RADIANS(theta_L))+((MxMy_FixedP!$EU$8:$EU$43)+(((MxMy_FixedP!$DT$8:$DT$43)*SIN(RADIANS(theta_L))-(MxMy_FixedP!$EU$8:$EU$43)*COS(RADIANS(theta_L)))/((((MxMy_FixedP!$DT$8:$DT$43)*SIN(RADIANS(theta_L))-(MxMy_FixedP!$EU$8:$EU$43)*COS(RADIANS(theta_L))))-(((MxMy_FixedP!$DT$9:$DT$44)*SIN(RADIANS(theta_L))-(MxMy_FixedP!$EU$9:$EU$44)*COS(RADIANS(theta_L))))+((((MxMy_FixedP!$DT$8:$DT$43)*SIN(RADIANS(theta_L))-(MxMy_FixedP!$EU$8:$EU$43)*COS(RADIANS(theta_L))))=(((MxMy_FixedP!$DT$9:$DT$44)*SIN(RADIANS(theta_L))-(MxMy_FixedP!$EU$9:$EU$44)*COS(RADIANS(theta_L)))))))*((MxMy_FixedP!$EU$9:$EU$44)-(MxMy_FixedP!$EU$8:$EU$43)))*SIN(RADIANS(theta_L)))&lt;0)))</f>
      </c>
      <c r="H20" s="10">
        <f>IF($K20&lt;=Mtol,MxMy_FixedP!$CS$8,IF(G20=0,"",SUMPRODUCT(((((MxMy_FixedP!$DT$8:$DT$43)*SIN(RADIANS(theta_L))-(MxMy_FixedP!$EU$8:$EU$43)*COS(RADIANS(theta_L))))*(((MxMy_FixedP!$DT$9:$DT$44)*SIN(RADIANS(theta_L))-(MxMy_FixedP!$EU$9:$EU$44)*COS(RADIANS(theta_L))))&lt;=0)*((((MxMy_FixedP!$DT$8:$DT$43)*SIN(RADIANS(theta_L))-(MxMy_FixedP!$EU$8:$EU$43)*COS(RADIANS(theta_L))))&lt;&gt;(((MxMy_FixedP!$DT$9:$DT$44)*SIN(RADIANS(theta_L))-(MxMy_FixedP!$EU$9:$EU$44)*COS(RADIANS(theta_L)))))*((((MxMy_FixedP!$DT$8:$DT$43)+(((MxMy_FixedP!$DT$8:$DT$43)*SIN(RADIANS(theta_L))-(MxMy_FixedP!$EU$8:$EU$43)*COS(RADIANS(theta_L)))/((((MxMy_FixedP!$DT$8:$DT$43)*SIN(RADIANS(theta_L))-(MxMy_FixedP!$EU$8:$EU$43)*COS(RADIANS(theta_L))))-(((MxMy_FixedP!$DT$9:$DT$44)*SIN(RADIANS(theta_L))-(MxMy_FixedP!$EU$9:$EU$44)*COS(RADIANS(theta_L))))+((((MxMy_FixedP!$DT$8:$DT$43)*SIN(RADIANS(theta_L))-(MxMy_FixedP!$EU$8:$EU$43)*COS(RADIANS(theta_L))))=(((MxMy_FixedP!$DT$9:$DT$44)*SIN(RADIANS(theta_L))-(MxMy_FixedP!$EU$9:$EU$44)*COS(RADIANS(theta_L)))))))*((MxMy_FixedP!$DT$9:$DT$44)-(MxMy_FixedP!$DT$8:$DT$43)))*COS(RADIANS(theta_L))+((MxMy_FixedP!$EU$8:$EU$43)+(((MxMy_FixedP!$DT$8:$DT$43)*SIN(RADIANS(theta_L))-(MxMy_FixedP!$EU$8:$EU$43)*COS(RADIANS(theta_L)))/((((MxMy_FixedP!$DT$8:$DT$43)*SIN(RADIANS(theta_L))-(MxMy_FixedP!$EU$8:$EU$43)*COS(RADIANS(theta_L))))-(((MxMy_FixedP!$DT$9:$DT$44)*SIN(RADIANS(theta_L))-(MxMy_FixedP!$EU$9:$EU$44)*COS(RADIANS(theta_L))))+((((MxMy_FixedP!$DT$8:$DT$43)*SIN(RADIANS(theta_L))-(MxMy_FixedP!$EU$8:$EU$43)*COS(RADIANS(theta_L))))=(((MxMy_FixedP!$DT$9:$DT$44)*SIN(RADIANS(theta_L))-(MxMy_FixedP!$EU$9:$EU$44)*COS(RADIANS(theta_L)))))))*((MxMy_FixedP!$EU$9:$EU$44)-(MxMy_FixedP!$EU$8:$EU$43)))*SIN(RADIANS(theta_L)))&lt;0),((MxMy_FixedP!$CS$8:$CS$43)+(((MxMy_FixedP!$DT$8:$DT$43)*SIN(RADIANS(theta_L))-(MxMy_FixedP!$EU$8:$EU$43)*COS(RADIANS(theta_L)))/((((MxMy_FixedP!$DT$8:$DT$43)*SIN(RADIANS(theta_L))-(MxMy_FixedP!$EU$8:$EU$43)*COS(RADIANS(theta_L))))-(((MxMy_FixedP!$DT$9:$DT$44)*SIN(RADIANS(theta_L))-(MxMy_FixedP!$EU$9:$EU$44)*COS(RADIANS(theta_L))))+((((MxMy_FixedP!$DT$8:$DT$43)*SIN(RADIANS(theta_L))-(MxMy_FixedP!$EU$8:$EU$43)*COS(RADIANS(theta_L))))=(((MxMy_FixedP!$DT$9:$DT$44)*SIN(RADIANS(theta_L))-(MxMy_FixedP!$EU$9:$EU$44)*COS(RADIANS(theta_L)))))))*((MxMy_FixedP!$CS$9:$CS$44)-(MxMy_FixedP!$CS$8:$CS$43))))/G20))</f>
      </c>
      <c r="I20" s="10">
        <f>IF($K20&lt;=Mtol,0,IF(G20=0,"",SUMPRODUCT(((((MxMy_FixedP!$DT$8:$DT$43)*SIN(RADIANS(theta_L))-(MxMy_FixedP!$EU$8:$EU$43)*COS(RADIANS(theta_L))))*(((MxMy_FixedP!$DT$9:$DT$44)*SIN(RADIANS(theta_L))-(MxMy_FixedP!$EU$9:$EU$44)*COS(RADIANS(theta_L))))&lt;=0)*((((MxMy_FixedP!$DT$8:$DT$43)*SIN(RADIANS(theta_L))-(MxMy_FixedP!$EU$8:$EU$43)*COS(RADIANS(theta_L))))&lt;&gt;(((MxMy_FixedP!$DT$9:$DT$44)*SIN(RADIANS(theta_L))-(MxMy_FixedP!$EU$9:$EU$44)*COS(RADIANS(theta_L)))))*((((MxMy_FixedP!$DT$8:$DT$43)+(((MxMy_FixedP!$DT$8:$DT$43)*SIN(RADIANS(theta_L))-(MxMy_FixedP!$EU$8:$EU$43)*COS(RADIANS(theta_L)))/((((MxMy_FixedP!$DT$8:$DT$43)*SIN(RADIANS(theta_L))-(MxMy_FixedP!$EU$8:$EU$43)*COS(RADIANS(theta_L))))-(((MxMy_FixedP!$DT$9:$DT$44)*SIN(RADIANS(theta_L))-(MxMy_FixedP!$EU$9:$EU$44)*COS(RADIANS(theta_L))))+((((MxMy_FixedP!$DT$8:$DT$43)*SIN(RADIANS(theta_L))-(MxMy_FixedP!$EU$8:$EU$43)*COS(RADIANS(theta_L))))=(((MxMy_FixedP!$DT$9:$DT$44)*SIN(RADIANS(theta_L))-(MxMy_FixedP!$EU$9:$EU$44)*COS(RADIANS(theta_L)))))))*((MxMy_FixedP!$DT$9:$DT$44)-(MxMy_FixedP!$DT$8:$DT$43)))*COS(RADIANS(theta_L))+((MxMy_FixedP!$EU$8:$EU$43)+(((MxMy_FixedP!$DT$8:$DT$43)*SIN(RADIANS(theta_L))-(MxMy_FixedP!$EU$8:$EU$43)*COS(RADIANS(theta_L)))/((((MxMy_FixedP!$DT$8:$DT$43)*SIN(RADIANS(theta_L))-(MxMy_FixedP!$EU$8:$EU$43)*COS(RADIANS(theta_L))))-(((MxMy_FixedP!$DT$9:$DT$44)*SIN(RADIANS(theta_L))-(MxMy_FixedP!$EU$9:$EU$44)*COS(RADIANS(theta_L))))+((((MxMy_FixedP!$DT$8:$DT$43)*SIN(RADIANS(theta_L))-(MxMy_FixedP!$EU$8:$EU$43)*COS(RADIANS(theta_L))))=(((MxMy_FixedP!$DT$9:$DT$44)*SIN(RADIANS(theta_L))-(MxMy_FixedP!$EU$9:$EU$44)*COS(RADIANS(theta_L)))))))*((MxMy_FixedP!$EU$9:$EU$44)-(MxMy_FixedP!$EU$8:$EU$43)))*SIN(RADIANS(theta_L)))&lt;0),(((MxMy_FixedP!$DT$8:$DT$43)+(((MxMy_FixedP!$DT$8:$DT$43)*SIN(RADIANS(theta_L))-(MxMy_FixedP!$EU$8:$EU$43)*COS(RADIANS(theta_L)))/((((MxMy_FixedP!$DT$8:$DT$43)*SIN(RADIANS(theta_L))-(MxMy_FixedP!$EU$8:$EU$43)*COS(RADIANS(theta_L))))-(((MxMy_FixedP!$DT$9:$DT$44)*SIN(RADIANS(theta_L))-(MxMy_FixedP!$EU$9:$EU$44)*COS(RADIANS(theta_L))))+((((MxMy_FixedP!$DT$8:$DT$43)*SIN(RADIANS(theta_L))-(MxMy_FixedP!$EU$8:$EU$43)*COS(RADIANS(theta_L))))=(((MxMy_FixedP!$DT$9:$DT$44)*SIN(RADIANS(theta_L))-(MxMy_FixedP!$EU$9:$EU$44)*COS(RADIANS(theta_L)))))))*((MxMy_FixedP!$DT$9:$DT$44)-(MxMy_FixedP!$DT$8:$DT$43)))*COS(RADIANS(theta_L))+((MxMy_FixedP!$EU$8:$EU$43)+(((MxMy_FixedP!$DT$8:$DT$43)*SIN(RADIANS(theta_L))-(MxMy_FixedP!$EU$8:$EU$43)*COS(RADIANS(theta_L)))/((((MxMy_FixedP!$DT$8:$DT$43)*SIN(RADIANS(theta_L))-(MxMy_FixedP!$EU$8:$EU$43)*COS(RADIANS(theta_L))))-(((MxMy_FixedP!$DT$9:$DT$44)*SIN(RADIANS(theta_L))-(MxMy_FixedP!$EU$9:$EU$44)*COS(RADIANS(theta_L))))+((((MxMy_FixedP!$DT$8:$DT$43)*SIN(RADIANS(theta_L))-(MxMy_FixedP!$EU$8:$EU$43)*COS(RADIANS(theta_L))))=(((MxMy_FixedP!$DT$9:$DT$44)*SIN(RADIANS(theta_L))-(MxMy_FixedP!$EU$9:$EU$44)*COS(RADIANS(theta_L)))))))*((MxMy_FixedP!$EU$9:$EU$44)-(MxMy_FixedP!$EU$8:$EU$43)))*SIN(RADIANS(theta_L))))/G20))</f>
      </c>
      <c r="J20">
        <f>IF($K20&lt;=Mtol,"pole",IF(AND(D20&gt;=1,G20&gt;=1),"ok","CHECK: "&amp;D20&amp;"/"&amp;G20&amp;" cuts"))</f>
      </c>
      <c r="K20" s="18">
        <v>6430.541389096731</v>
      </c>
    </row>
    <row r="21" spans="2:11" x14ac:dyDescent="0.25">
      <c r="B21" s="35" t="s">
        <v>228</v>
      </c>
      <c r="C21" s="54" t="s">
        <v>353</v>
      </c>
      <c r="D21" s="46">
        <f>IF($K21&lt;=Mtol,0,SUMPRODUCT(((((MxMy_FixedP!$DU$8:$DU$43)*SIN(RADIANS(theta_L))-(MxMy_FixedP!$EV$8:$EV$43)*COS(RADIANS(theta_L))))*(((MxMy_FixedP!$DU$9:$DU$44)*SIN(RADIANS(theta_L))-(MxMy_FixedP!$EV$9:$EV$44)*COS(RADIANS(theta_L))))&lt;=0)*((((MxMy_FixedP!$DU$8:$DU$43)*SIN(RADIANS(theta_L))-(MxMy_FixedP!$EV$8:$EV$43)*COS(RADIANS(theta_L))))&lt;&gt;(((MxMy_FixedP!$DU$9:$DU$44)*SIN(RADIANS(theta_L))-(MxMy_FixedP!$EV$9:$EV$44)*COS(RADIANS(theta_L)))))*((((MxMy_FixedP!$DU$8:$DU$43)+(((MxMy_FixedP!$DU$8:$DU$43)*SIN(RADIANS(theta_L))-(MxMy_FixedP!$EV$8:$EV$43)*COS(RADIANS(theta_L)))/((((MxMy_FixedP!$DU$8:$DU$43)*SIN(RADIANS(theta_L))-(MxMy_FixedP!$EV$8:$EV$43)*COS(RADIANS(theta_L))))-(((MxMy_FixedP!$DU$9:$DU$44)*SIN(RADIANS(theta_L))-(MxMy_FixedP!$EV$9:$EV$44)*COS(RADIANS(theta_L))))+((((MxMy_FixedP!$DU$8:$DU$43)*SIN(RADIANS(theta_L))-(MxMy_FixedP!$EV$8:$EV$43)*COS(RADIANS(theta_L))))=(((MxMy_FixedP!$DU$9:$DU$44)*SIN(RADIANS(theta_L))-(MxMy_FixedP!$EV$9:$EV$44)*COS(RADIANS(theta_L)))))))*((MxMy_FixedP!$DU$9:$DU$44)-(MxMy_FixedP!$DU$8:$DU$43)))*COS(RADIANS(theta_L))+((MxMy_FixedP!$EV$8:$EV$43)+(((MxMy_FixedP!$DU$8:$DU$43)*SIN(RADIANS(theta_L))-(MxMy_FixedP!$EV$8:$EV$43)*COS(RADIANS(theta_L)))/((((MxMy_FixedP!$DU$8:$DU$43)*SIN(RADIANS(theta_L))-(MxMy_FixedP!$EV$8:$EV$43)*COS(RADIANS(theta_L))))-(((MxMy_FixedP!$DU$9:$DU$44)*SIN(RADIANS(theta_L))-(MxMy_FixedP!$EV$9:$EV$44)*COS(RADIANS(theta_L))))+((((MxMy_FixedP!$DU$8:$DU$43)*SIN(RADIANS(theta_L))-(MxMy_FixedP!$EV$8:$EV$43)*COS(RADIANS(theta_L))))=(((MxMy_FixedP!$DU$9:$DU$44)*SIN(RADIANS(theta_L))-(MxMy_FixedP!$EV$9:$EV$44)*COS(RADIANS(theta_L)))))))*((MxMy_FixedP!$EV$9:$EV$44)-(MxMy_FixedP!$EV$8:$EV$43)))*SIN(RADIANS(theta_L)))&gt;0)))</f>
      </c>
      <c r="E21" s="10">
        <f>IF($K21&lt;=Mtol,MxMy_FixedP!$CT$8,IF(D21=0,"",SUMPRODUCT(((((MxMy_FixedP!$DU$8:$DU$43)*SIN(RADIANS(theta_L))-(MxMy_FixedP!$EV$8:$EV$43)*COS(RADIANS(theta_L))))*(((MxMy_FixedP!$DU$9:$DU$44)*SIN(RADIANS(theta_L))-(MxMy_FixedP!$EV$9:$EV$44)*COS(RADIANS(theta_L))))&lt;=0)*((((MxMy_FixedP!$DU$8:$DU$43)*SIN(RADIANS(theta_L))-(MxMy_FixedP!$EV$8:$EV$43)*COS(RADIANS(theta_L))))&lt;&gt;(((MxMy_FixedP!$DU$9:$DU$44)*SIN(RADIANS(theta_L))-(MxMy_FixedP!$EV$9:$EV$44)*COS(RADIANS(theta_L)))))*((((MxMy_FixedP!$DU$8:$DU$43)+(((MxMy_FixedP!$DU$8:$DU$43)*SIN(RADIANS(theta_L))-(MxMy_FixedP!$EV$8:$EV$43)*COS(RADIANS(theta_L)))/((((MxMy_FixedP!$DU$8:$DU$43)*SIN(RADIANS(theta_L))-(MxMy_FixedP!$EV$8:$EV$43)*COS(RADIANS(theta_L))))-(((MxMy_FixedP!$DU$9:$DU$44)*SIN(RADIANS(theta_L))-(MxMy_FixedP!$EV$9:$EV$44)*COS(RADIANS(theta_L))))+((((MxMy_FixedP!$DU$8:$DU$43)*SIN(RADIANS(theta_L))-(MxMy_FixedP!$EV$8:$EV$43)*COS(RADIANS(theta_L))))=(((MxMy_FixedP!$DU$9:$DU$44)*SIN(RADIANS(theta_L))-(MxMy_FixedP!$EV$9:$EV$44)*COS(RADIANS(theta_L)))))))*((MxMy_FixedP!$DU$9:$DU$44)-(MxMy_FixedP!$DU$8:$DU$43)))*COS(RADIANS(theta_L))+((MxMy_FixedP!$EV$8:$EV$43)+(((MxMy_FixedP!$DU$8:$DU$43)*SIN(RADIANS(theta_L))-(MxMy_FixedP!$EV$8:$EV$43)*COS(RADIANS(theta_L)))/((((MxMy_FixedP!$DU$8:$DU$43)*SIN(RADIANS(theta_L))-(MxMy_FixedP!$EV$8:$EV$43)*COS(RADIANS(theta_L))))-(((MxMy_FixedP!$DU$9:$DU$44)*SIN(RADIANS(theta_L))-(MxMy_FixedP!$EV$9:$EV$44)*COS(RADIANS(theta_L))))+((((MxMy_FixedP!$DU$8:$DU$43)*SIN(RADIANS(theta_L))-(MxMy_FixedP!$EV$8:$EV$43)*COS(RADIANS(theta_L))))=(((MxMy_FixedP!$DU$9:$DU$44)*SIN(RADIANS(theta_L))-(MxMy_FixedP!$EV$9:$EV$44)*COS(RADIANS(theta_L)))))))*((MxMy_FixedP!$EV$9:$EV$44)-(MxMy_FixedP!$EV$8:$EV$43)))*SIN(RADIANS(theta_L)))&gt;0),((MxMy_FixedP!$CT$8:$CT$43)+(((MxMy_FixedP!$DU$8:$DU$43)*SIN(RADIANS(theta_L))-(MxMy_FixedP!$EV$8:$EV$43)*COS(RADIANS(theta_L)))/((((MxMy_FixedP!$DU$8:$DU$43)*SIN(RADIANS(theta_L))-(MxMy_FixedP!$EV$8:$EV$43)*COS(RADIANS(theta_L))))-(((MxMy_FixedP!$DU$9:$DU$44)*SIN(RADIANS(theta_L))-(MxMy_FixedP!$EV$9:$EV$44)*COS(RADIANS(theta_L))))+((((MxMy_FixedP!$DU$8:$DU$43)*SIN(RADIANS(theta_L))-(MxMy_FixedP!$EV$8:$EV$43)*COS(RADIANS(theta_L))))=(((MxMy_FixedP!$DU$9:$DU$44)*SIN(RADIANS(theta_L))-(MxMy_FixedP!$EV$9:$EV$44)*COS(RADIANS(theta_L)))))))*((MxMy_FixedP!$CT$9:$CT$44)-(MxMy_FixedP!$CT$8:$CT$43))))/D21))</f>
      </c>
      <c r="F21" s="10">
        <f>IF($K21&lt;=Mtol,0,IF(D21=0,"",SUMPRODUCT(((((MxMy_FixedP!$DU$8:$DU$43)*SIN(RADIANS(theta_L))-(MxMy_FixedP!$EV$8:$EV$43)*COS(RADIANS(theta_L))))*(((MxMy_FixedP!$DU$9:$DU$44)*SIN(RADIANS(theta_L))-(MxMy_FixedP!$EV$9:$EV$44)*COS(RADIANS(theta_L))))&lt;=0)*((((MxMy_FixedP!$DU$8:$DU$43)*SIN(RADIANS(theta_L))-(MxMy_FixedP!$EV$8:$EV$43)*COS(RADIANS(theta_L))))&lt;&gt;(((MxMy_FixedP!$DU$9:$DU$44)*SIN(RADIANS(theta_L))-(MxMy_FixedP!$EV$9:$EV$44)*COS(RADIANS(theta_L)))))*((((MxMy_FixedP!$DU$8:$DU$43)+(((MxMy_FixedP!$DU$8:$DU$43)*SIN(RADIANS(theta_L))-(MxMy_FixedP!$EV$8:$EV$43)*COS(RADIANS(theta_L)))/((((MxMy_FixedP!$DU$8:$DU$43)*SIN(RADIANS(theta_L))-(MxMy_FixedP!$EV$8:$EV$43)*COS(RADIANS(theta_L))))-(((MxMy_FixedP!$DU$9:$DU$44)*SIN(RADIANS(theta_L))-(MxMy_FixedP!$EV$9:$EV$44)*COS(RADIANS(theta_L))))+((((MxMy_FixedP!$DU$8:$DU$43)*SIN(RADIANS(theta_L))-(MxMy_FixedP!$EV$8:$EV$43)*COS(RADIANS(theta_L))))=(((MxMy_FixedP!$DU$9:$DU$44)*SIN(RADIANS(theta_L))-(MxMy_FixedP!$EV$9:$EV$44)*COS(RADIANS(theta_L)))))))*((MxMy_FixedP!$DU$9:$DU$44)-(MxMy_FixedP!$DU$8:$DU$43)))*COS(RADIANS(theta_L))+((MxMy_FixedP!$EV$8:$EV$43)+(((MxMy_FixedP!$DU$8:$DU$43)*SIN(RADIANS(theta_L))-(MxMy_FixedP!$EV$8:$EV$43)*COS(RADIANS(theta_L)))/((((MxMy_FixedP!$DU$8:$DU$43)*SIN(RADIANS(theta_L))-(MxMy_FixedP!$EV$8:$EV$43)*COS(RADIANS(theta_L))))-(((MxMy_FixedP!$DU$9:$DU$44)*SIN(RADIANS(theta_L))-(MxMy_FixedP!$EV$9:$EV$44)*COS(RADIANS(theta_L))))+((((MxMy_FixedP!$DU$8:$DU$43)*SIN(RADIANS(theta_L))-(MxMy_FixedP!$EV$8:$EV$43)*COS(RADIANS(theta_L))))=(((MxMy_FixedP!$DU$9:$DU$44)*SIN(RADIANS(theta_L))-(MxMy_FixedP!$EV$9:$EV$44)*COS(RADIANS(theta_L)))))))*((MxMy_FixedP!$EV$9:$EV$44)-(MxMy_FixedP!$EV$8:$EV$43)))*SIN(RADIANS(theta_L)))&gt;0),(((MxMy_FixedP!$DU$8:$DU$43)+(((MxMy_FixedP!$DU$8:$DU$43)*SIN(RADIANS(theta_L))-(MxMy_FixedP!$EV$8:$EV$43)*COS(RADIANS(theta_L)))/((((MxMy_FixedP!$DU$8:$DU$43)*SIN(RADIANS(theta_L))-(MxMy_FixedP!$EV$8:$EV$43)*COS(RADIANS(theta_L))))-(((MxMy_FixedP!$DU$9:$DU$44)*SIN(RADIANS(theta_L))-(MxMy_FixedP!$EV$9:$EV$44)*COS(RADIANS(theta_L))))+((((MxMy_FixedP!$DU$8:$DU$43)*SIN(RADIANS(theta_L))-(MxMy_FixedP!$EV$8:$EV$43)*COS(RADIANS(theta_L))))=(((MxMy_FixedP!$DU$9:$DU$44)*SIN(RADIANS(theta_L))-(MxMy_FixedP!$EV$9:$EV$44)*COS(RADIANS(theta_L)))))))*((MxMy_FixedP!$DU$9:$DU$44)-(MxMy_FixedP!$DU$8:$DU$43)))*COS(RADIANS(theta_L))+((MxMy_FixedP!$EV$8:$EV$43)+(((MxMy_FixedP!$DU$8:$DU$43)*SIN(RADIANS(theta_L))-(MxMy_FixedP!$EV$8:$EV$43)*COS(RADIANS(theta_L)))/((((MxMy_FixedP!$DU$8:$DU$43)*SIN(RADIANS(theta_L))-(MxMy_FixedP!$EV$8:$EV$43)*COS(RADIANS(theta_L))))-(((MxMy_FixedP!$DU$9:$DU$44)*SIN(RADIANS(theta_L))-(MxMy_FixedP!$EV$9:$EV$44)*COS(RADIANS(theta_L))))+((((MxMy_FixedP!$DU$8:$DU$43)*SIN(RADIANS(theta_L))-(MxMy_FixedP!$EV$8:$EV$43)*COS(RADIANS(theta_L))))=(((MxMy_FixedP!$DU$9:$DU$44)*SIN(RADIANS(theta_L))-(MxMy_FixedP!$EV$9:$EV$44)*COS(RADIANS(theta_L)))))))*((MxMy_FixedP!$EV$9:$EV$44)-(MxMy_FixedP!$EV$8:$EV$43)))*SIN(RADIANS(theta_L))))/D21))</f>
      </c>
      <c r="G21" s="46">
        <f>IF($K21&lt;=Mtol,0,SUMPRODUCT(((((MxMy_FixedP!$DU$8:$DU$43)*SIN(RADIANS(theta_L))-(MxMy_FixedP!$EV$8:$EV$43)*COS(RADIANS(theta_L))))*(((MxMy_FixedP!$DU$9:$DU$44)*SIN(RADIANS(theta_L))-(MxMy_FixedP!$EV$9:$EV$44)*COS(RADIANS(theta_L))))&lt;=0)*((((MxMy_FixedP!$DU$8:$DU$43)*SIN(RADIANS(theta_L))-(MxMy_FixedP!$EV$8:$EV$43)*COS(RADIANS(theta_L))))&lt;&gt;(((MxMy_FixedP!$DU$9:$DU$44)*SIN(RADIANS(theta_L))-(MxMy_FixedP!$EV$9:$EV$44)*COS(RADIANS(theta_L)))))*((((MxMy_FixedP!$DU$8:$DU$43)+(((MxMy_FixedP!$DU$8:$DU$43)*SIN(RADIANS(theta_L))-(MxMy_FixedP!$EV$8:$EV$43)*COS(RADIANS(theta_L)))/((((MxMy_FixedP!$DU$8:$DU$43)*SIN(RADIANS(theta_L))-(MxMy_FixedP!$EV$8:$EV$43)*COS(RADIANS(theta_L))))-(((MxMy_FixedP!$DU$9:$DU$44)*SIN(RADIANS(theta_L))-(MxMy_FixedP!$EV$9:$EV$44)*COS(RADIANS(theta_L))))+((((MxMy_FixedP!$DU$8:$DU$43)*SIN(RADIANS(theta_L))-(MxMy_FixedP!$EV$8:$EV$43)*COS(RADIANS(theta_L))))=(((MxMy_FixedP!$DU$9:$DU$44)*SIN(RADIANS(theta_L))-(MxMy_FixedP!$EV$9:$EV$44)*COS(RADIANS(theta_L)))))))*((MxMy_FixedP!$DU$9:$DU$44)-(MxMy_FixedP!$DU$8:$DU$43)))*COS(RADIANS(theta_L))+((MxMy_FixedP!$EV$8:$EV$43)+(((MxMy_FixedP!$DU$8:$DU$43)*SIN(RADIANS(theta_L))-(MxMy_FixedP!$EV$8:$EV$43)*COS(RADIANS(theta_L)))/((((MxMy_FixedP!$DU$8:$DU$43)*SIN(RADIANS(theta_L))-(MxMy_FixedP!$EV$8:$EV$43)*COS(RADIANS(theta_L))))-(((MxMy_FixedP!$DU$9:$DU$44)*SIN(RADIANS(theta_L))-(MxMy_FixedP!$EV$9:$EV$44)*COS(RADIANS(theta_L))))+((((MxMy_FixedP!$DU$8:$DU$43)*SIN(RADIANS(theta_L))-(MxMy_FixedP!$EV$8:$EV$43)*COS(RADIANS(theta_L))))=(((MxMy_FixedP!$DU$9:$DU$44)*SIN(RADIANS(theta_L))-(MxMy_FixedP!$EV$9:$EV$44)*COS(RADIANS(theta_L)))))))*((MxMy_FixedP!$EV$9:$EV$44)-(MxMy_FixedP!$EV$8:$EV$43)))*SIN(RADIANS(theta_L)))&lt;0)))</f>
      </c>
      <c r="H21" s="10">
        <f>IF($K21&lt;=Mtol,MxMy_FixedP!$CT$8,IF(G21=0,"",SUMPRODUCT(((((MxMy_FixedP!$DU$8:$DU$43)*SIN(RADIANS(theta_L))-(MxMy_FixedP!$EV$8:$EV$43)*COS(RADIANS(theta_L))))*(((MxMy_FixedP!$DU$9:$DU$44)*SIN(RADIANS(theta_L))-(MxMy_FixedP!$EV$9:$EV$44)*COS(RADIANS(theta_L))))&lt;=0)*((((MxMy_FixedP!$DU$8:$DU$43)*SIN(RADIANS(theta_L))-(MxMy_FixedP!$EV$8:$EV$43)*COS(RADIANS(theta_L))))&lt;&gt;(((MxMy_FixedP!$DU$9:$DU$44)*SIN(RADIANS(theta_L))-(MxMy_FixedP!$EV$9:$EV$44)*COS(RADIANS(theta_L)))))*((((MxMy_FixedP!$DU$8:$DU$43)+(((MxMy_FixedP!$DU$8:$DU$43)*SIN(RADIANS(theta_L))-(MxMy_FixedP!$EV$8:$EV$43)*COS(RADIANS(theta_L)))/((((MxMy_FixedP!$DU$8:$DU$43)*SIN(RADIANS(theta_L))-(MxMy_FixedP!$EV$8:$EV$43)*COS(RADIANS(theta_L))))-(((MxMy_FixedP!$DU$9:$DU$44)*SIN(RADIANS(theta_L))-(MxMy_FixedP!$EV$9:$EV$44)*COS(RADIANS(theta_L))))+((((MxMy_FixedP!$DU$8:$DU$43)*SIN(RADIANS(theta_L))-(MxMy_FixedP!$EV$8:$EV$43)*COS(RADIANS(theta_L))))=(((MxMy_FixedP!$DU$9:$DU$44)*SIN(RADIANS(theta_L))-(MxMy_FixedP!$EV$9:$EV$44)*COS(RADIANS(theta_L)))))))*((MxMy_FixedP!$DU$9:$DU$44)-(MxMy_FixedP!$DU$8:$DU$43)))*COS(RADIANS(theta_L))+((MxMy_FixedP!$EV$8:$EV$43)+(((MxMy_FixedP!$DU$8:$DU$43)*SIN(RADIANS(theta_L))-(MxMy_FixedP!$EV$8:$EV$43)*COS(RADIANS(theta_L)))/((((MxMy_FixedP!$DU$8:$DU$43)*SIN(RADIANS(theta_L))-(MxMy_FixedP!$EV$8:$EV$43)*COS(RADIANS(theta_L))))-(((MxMy_FixedP!$DU$9:$DU$44)*SIN(RADIANS(theta_L))-(MxMy_FixedP!$EV$9:$EV$44)*COS(RADIANS(theta_L))))+((((MxMy_FixedP!$DU$8:$DU$43)*SIN(RADIANS(theta_L))-(MxMy_FixedP!$EV$8:$EV$43)*COS(RADIANS(theta_L))))=(((MxMy_FixedP!$DU$9:$DU$44)*SIN(RADIANS(theta_L))-(MxMy_FixedP!$EV$9:$EV$44)*COS(RADIANS(theta_L)))))))*((MxMy_FixedP!$EV$9:$EV$44)-(MxMy_FixedP!$EV$8:$EV$43)))*SIN(RADIANS(theta_L)))&lt;0),((MxMy_FixedP!$CT$8:$CT$43)+(((MxMy_FixedP!$DU$8:$DU$43)*SIN(RADIANS(theta_L))-(MxMy_FixedP!$EV$8:$EV$43)*COS(RADIANS(theta_L)))/((((MxMy_FixedP!$DU$8:$DU$43)*SIN(RADIANS(theta_L))-(MxMy_FixedP!$EV$8:$EV$43)*COS(RADIANS(theta_L))))-(((MxMy_FixedP!$DU$9:$DU$44)*SIN(RADIANS(theta_L))-(MxMy_FixedP!$EV$9:$EV$44)*COS(RADIANS(theta_L))))+((((MxMy_FixedP!$DU$8:$DU$43)*SIN(RADIANS(theta_L))-(MxMy_FixedP!$EV$8:$EV$43)*COS(RADIANS(theta_L))))=(((MxMy_FixedP!$DU$9:$DU$44)*SIN(RADIANS(theta_L))-(MxMy_FixedP!$EV$9:$EV$44)*COS(RADIANS(theta_L)))))))*((MxMy_FixedP!$CT$9:$CT$44)-(MxMy_FixedP!$CT$8:$CT$43))))/G21))</f>
      </c>
      <c r="I21" s="10">
        <f>IF($K21&lt;=Mtol,0,IF(G21=0,"",SUMPRODUCT(((((MxMy_FixedP!$DU$8:$DU$43)*SIN(RADIANS(theta_L))-(MxMy_FixedP!$EV$8:$EV$43)*COS(RADIANS(theta_L))))*(((MxMy_FixedP!$DU$9:$DU$44)*SIN(RADIANS(theta_L))-(MxMy_FixedP!$EV$9:$EV$44)*COS(RADIANS(theta_L))))&lt;=0)*((((MxMy_FixedP!$DU$8:$DU$43)*SIN(RADIANS(theta_L))-(MxMy_FixedP!$EV$8:$EV$43)*COS(RADIANS(theta_L))))&lt;&gt;(((MxMy_FixedP!$DU$9:$DU$44)*SIN(RADIANS(theta_L))-(MxMy_FixedP!$EV$9:$EV$44)*COS(RADIANS(theta_L)))))*((((MxMy_FixedP!$DU$8:$DU$43)+(((MxMy_FixedP!$DU$8:$DU$43)*SIN(RADIANS(theta_L))-(MxMy_FixedP!$EV$8:$EV$43)*COS(RADIANS(theta_L)))/((((MxMy_FixedP!$DU$8:$DU$43)*SIN(RADIANS(theta_L))-(MxMy_FixedP!$EV$8:$EV$43)*COS(RADIANS(theta_L))))-(((MxMy_FixedP!$DU$9:$DU$44)*SIN(RADIANS(theta_L))-(MxMy_FixedP!$EV$9:$EV$44)*COS(RADIANS(theta_L))))+((((MxMy_FixedP!$DU$8:$DU$43)*SIN(RADIANS(theta_L))-(MxMy_FixedP!$EV$8:$EV$43)*COS(RADIANS(theta_L))))=(((MxMy_FixedP!$DU$9:$DU$44)*SIN(RADIANS(theta_L))-(MxMy_FixedP!$EV$9:$EV$44)*COS(RADIANS(theta_L)))))))*((MxMy_FixedP!$DU$9:$DU$44)-(MxMy_FixedP!$DU$8:$DU$43)))*COS(RADIANS(theta_L))+((MxMy_FixedP!$EV$8:$EV$43)+(((MxMy_FixedP!$DU$8:$DU$43)*SIN(RADIANS(theta_L))-(MxMy_FixedP!$EV$8:$EV$43)*COS(RADIANS(theta_L)))/((((MxMy_FixedP!$DU$8:$DU$43)*SIN(RADIANS(theta_L))-(MxMy_FixedP!$EV$8:$EV$43)*COS(RADIANS(theta_L))))-(((MxMy_FixedP!$DU$9:$DU$44)*SIN(RADIANS(theta_L))-(MxMy_FixedP!$EV$9:$EV$44)*COS(RADIANS(theta_L))))+((((MxMy_FixedP!$DU$8:$DU$43)*SIN(RADIANS(theta_L))-(MxMy_FixedP!$EV$8:$EV$43)*COS(RADIANS(theta_L))))=(((MxMy_FixedP!$DU$9:$DU$44)*SIN(RADIANS(theta_L))-(MxMy_FixedP!$EV$9:$EV$44)*COS(RADIANS(theta_L)))))))*((MxMy_FixedP!$EV$9:$EV$44)-(MxMy_FixedP!$EV$8:$EV$43)))*SIN(RADIANS(theta_L)))&lt;0),(((MxMy_FixedP!$DU$8:$DU$43)+(((MxMy_FixedP!$DU$8:$DU$43)*SIN(RADIANS(theta_L))-(MxMy_FixedP!$EV$8:$EV$43)*COS(RADIANS(theta_L)))/((((MxMy_FixedP!$DU$8:$DU$43)*SIN(RADIANS(theta_L))-(MxMy_FixedP!$EV$8:$EV$43)*COS(RADIANS(theta_L))))-(((MxMy_FixedP!$DU$9:$DU$44)*SIN(RADIANS(theta_L))-(MxMy_FixedP!$EV$9:$EV$44)*COS(RADIANS(theta_L))))+((((MxMy_FixedP!$DU$8:$DU$43)*SIN(RADIANS(theta_L))-(MxMy_FixedP!$EV$8:$EV$43)*COS(RADIANS(theta_L))))=(((MxMy_FixedP!$DU$9:$DU$44)*SIN(RADIANS(theta_L))-(MxMy_FixedP!$EV$9:$EV$44)*COS(RADIANS(theta_L)))))))*((MxMy_FixedP!$DU$9:$DU$44)-(MxMy_FixedP!$DU$8:$DU$43)))*COS(RADIANS(theta_L))+((MxMy_FixedP!$EV$8:$EV$43)+(((MxMy_FixedP!$DU$8:$DU$43)*SIN(RADIANS(theta_L))-(MxMy_FixedP!$EV$8:$EV$43)*COS(RADIANS(theta_L)))/((((MxMy_FixedP!$DU$8:$DU$43)*SIN(RADIANS(theta_L))-(MxMy_FixedP!$EV$8:$EV$43)*COS(RADIANS(theta_L))))-(((MxMy_FixedP!$DU$9:$DU$44)*SIN(RADIANS(theta_L))-(MxMy_FixedP!$EV$9:$EV$44)*COS(RADIANS(theta_L))))+((((MxMy_FixedP!$DU$8:$DU$43)*SIN(RADIANS(theta_L))-(MxMy_FixedP!$EV$8:$EV$43)*COS(RADIANS(theta_L))))=(((MxMy_FixedP!$DU$9:$DU$44)*SIN(RADIANS(theta_L))-(MxMy_FixedP!$EV$9:$EV$44)*COS(RADIANS(theta_L)))))))*((MxMy_FixedP!$EV$9:$EV$44)-(MxMy_FixedP!$EV$8:$EV$43)))*SIN(RADIANS(theta_L))))/G21))</f>
      </c>
      <c r="J21">
        <f>IF($K21&lt;=Mtol,"pole",IF(AND(D21&gt;=1,G21&gt;=1),"ok","CHECK: "&amp;D21&amp;"/"&amp;G21&amp;" cuts"))</f>
      </c>
      <c r="K21" s="18">
        <v>6652.2498928698415</v>
      </c>
    </row>
    <row r="22" spans="2:11" x14ac:dyDescent="0.25">
      <c r="B22" s="35" t="s">
        <v>229</v>
      </c>
      <c r="C22" s="54" t="s">
        <v>354</v>
      </c>
      <c r="D22" s="46">
        <f>IF($K22&lt;=Mtol,0,SUMPRODUCT(((((MxMy_FixedP!$DV$8:$DV$43)*SIN(RADIANS(theta_L))-(MxMy_FixedP!$EW$8:$EW$43)*COS(RADIANS(theta_L))))*(((MxMy_FixedP!$DV$9:$DV$44)*SIN(RADIANS(theta_L))-(MxMy_FixedP!$EW$9:$EW$44)*COS(RADIANS(theta_L))))&lt;=0)*((((MxMy_FixedP!$DV$8:$DV$43)*SIN(RADIANS(theta_L))-(MxMy_FixedP!$EW$8:$EW$43)*COS(RADIANS(theta_L))))&lt;&gt;(((MxMy_FixedP!$DV$9:$DV$44)*SIN(RADIANS(theta_L))-(MxMy_FixedP!$EW$9:$EW$44)*COS(RADIANS(theta_L)))))*((((MxMy_FixedP!$DV$8:$DV$43)+(((MxMy_FixedP!$DV$8:$DV$43)*SIN(RADIANS(theta_L))-(MxMy_FixedP!$EW$8:$EW$43)*COS(RADIANS(theta_L)))/((((MxMy_FixedP!$DV$8:$DV$43)*SIN(RADIANS(theta_L))-(MxMy_FixedP!$EW$8:$EW$43)*COS(RADIANS(theta_L))))-(((MxMy_FixedP!$DV$9:$DV$44)*SIN(RADIANS(theta_L))-(MxMy_FixedP!$EW$9:$EW$44)*COS(RADIANS(theta_L))))+((((MxMy_FixedP!$DV$8:$DV$43)*SIN(RADIANS(theta_L))-(MxMy_FixedP!$EW$8:$EW$43)*COS(RADIANS(theta_L))))=(((MxMy_FixedP!$DV$9:$DV$44)*SIN(RADIANS(theta_L))-(MxMy_FixedP!$EW$9:$EW$44)*COS(RADIANS(theta_L)))))))*((MxMy_FixedP!$DV$9:$DV$44)-(MxMy_FixedP!$DV$8:$DV$43)))*COS(RADIANS(theta_L))+((MxMy_FixedP!$EW$8:$EW$43)+(((MxMy_FixedP!$DV$8:$DV$43)*SIN(RADIANS(theta_L))-(MxMy_FixedP!$EW$8:$EW$43)*COS(RADIANS(theta_L)))/((((MxMy_FixedP!$DV$8:$DV$43)*SIN(RADIANS(theta_L))-(MxMy_FixedP!$EW$8:$EW$43)*COS(RADIANS(theta_L))))-(((MxMy_FixedP!$DV$9:$DV$44)*SIN(RADIANS(theta_L))-(MxMy_FixedP!$EW$9:$EW$44)*COS(RADIANS(theta_L))))+((((MxMy_FixedP!$DV$8:$DV$43)*SIN(RADIANS(theta_L))-(MxMy_FixedP!$EW$8:$EW$43)*COS(RADIANS(theta_L))))=(((MxMy_FixedP!$DV$9:$DV$44)*SIN(RADIANS(theta_L))-(MxMy_FixedP!$EW$9:$EW$44)*COS(RADIANS(theta_L)))))))*((MxMy_FixedP!$EW$9:$EW$44)-(MxMy_FixedP!$EW$8:$EW$43)))*SIN(RADIANS(theta_L)))&gt;0)))</f>
      </c>
      <c r="E22" s="10">
        <f>IF($K22&lt;=Mtol,MxMy_FixedP!$CU$8,IF(D22=0,"",SUMPRODUCT(((((MxMy_FixedP!$DV$8:$DV$43)*SIN(RADIANS(theta_L))-(MxMy_FixedP!$EW$8:$EW$43)*COS(RADIANS(theta_L))))*(((MxMy_FixedP!$DV$9:$DV$44)*SIN(RADIANS(theta_L))-(MxMy_FixedP!$EW$9:$EW$44)*COS(RADIANS(theta_L))))&lt;=0)*((((MxMy_FixedP!$DV$8:$DV$43)*SIN(RADIANS(theta_L))-(MxMy_FixedP!$EW$8:$EW$43)*COS(RADIANS(theta_L))))&lt;&gt;(((MxMy_FixedP!$DV$9:$DV$44)*SIN(RADIANS(theta_L))-(MxMy_FixedP!$EW$9:$EW$44)*COS(RADIANS(theta_L)))))*((((MxMy_FixedP!$DV$8:$DV$43)+(((MxMy_FixedP!$DV$8:$DV$43)*SIN(RADIANS(theta_L))-(MxMy_FixedP!$EW$8:$EW$43)*COS(RADIANS(theta_L)))/((((MxMy_FixedP!$DV$8:$DV$43)*SIN(RADIANS(theta_L))-(MxMy_FixedP!$EW$8:$EW$43)*COS(RADIANS(theta_L))))-(((MxMy_FixedP!$DV$9:$DV$44)*SIN(RADIANS(theta_L))-(MxMy_FixedP!$EW$9:$EW$44)*COS(RADIANS(theta_L))))+((((MxMy_FixedP!$DV$8:$DV$43)*SIN(RADIANS(theta_L))-(MxMy_FixedP!$EW$8:$EW$43)*COS(RADIANS(theta_L))))=(((MxMy_FixedP!$DV$9:$DV$44)*SIN(RADIANS(theta_L))-(MxMy_FixedP!$EW$9:$EW$44)*COS(RADIANS(theta_L)))))))*((MxMy_FixedP!$DV$9:$DV$44)-(MxMy_FixedP!$DV$8:$DV$43)))*COS(RADIANS(theta_L))+((MxMy_FixedP!$EW$8:$EW$43)+(((MxMy_FixedP!$DV$8:$DV$43)*SIN(RADIANS(theta_L))-(MxMy_FixedP!$EW$8:$EW$43)*COS(RADIANS(theta_L)))/((((MxMy_FixedP!$DV$8:$DV$43)*SIN(RADIANS(theta_L))-(MxMy_FixedP!$EW$8:$EW$43)*COS(RADIANS(theta_L))))-(((MxMy_FixedP!$DV$9:$DV$44)*SIN(RADIANS(theta_L))-(MxMy_FixedP!$EW$9:$EW$44)*COS(RADIANS(theta_L))))+((((MxMy_FixedP!$DV$8:$DV$43)*SIN(RADIANS(theta_L))-(MxMy_FixedP!$EW$8:$EW$43)*COS(RADIANS(theta_L))))=(((MxMy_FixedP!$DV$9:$DV$44)*SIN(RADIANS(theta_L))-(MxMy_FixedP!$EW$9:$EW$44)*COS(RADIANS(theta_L)))))))*((MxMy_FixedP!$EW$9:$EW$44)-(MxMy_FixedP!$EW$8:$EW$43)))*SIN(RADIANS(theta_L)))&gt;0),((MxMy_FixedP!$CU$8:$CU$43)+(((MxMy_FixedP!$DV$8:$DV$43)*SIN(RADIANS(theta_L))-(MxMy_FixedP!$EW$8:$EW$43)*COS(RADIANS(theta_L)))/((((MxMy_FixedP!$DV$8:$DV$43)*SIN(RADIANS(theta_L))-(MxMy_FixedP!$EW$8:$EW$43)*COS(RADIANS(theta_L))))-(((MxMy_FixedP!$DV$9:$DV$44)*SIN(RADIANS(theta_L))-(MxMy_FixedP!$EW$9:$EW$44)*COS(RADIANS(theta_L))))+((((MxMy_FixedP!$DV$8:$DV$43)*SIN(RADIANS(theta_L))-(MxMy_FixedP!$EW$8:$EW$43)*COS(RADIANS(theta_L))))=(((MxMy_FixedP!$DV$9:$DV$44)*SIN(RADIANS(theta_L))-(MxMy_FixedP!$EW$9:$EW$44)*COS(RADIANS(theta_L)))))))*((MxMy_FixedP!$CU$9:$CU$44)-(MxMy_FixedP!$CU$8:$CU$43))))/D22))</f>
      </c>
      <c r="F22" s="10">
        <f>IF($K22&lt;=Mtol,0,IF(D22=0,"",SUMPRODUCT(((((MxMy_FixedP!$DV$8:$DV$43)*SIN(RADIANS(theta_L))-(MxMy_FixedP!$EW$8:$EW$43)*COS(RADIANS(theta_L))))*(((MxMy_FixedP!$DV$9:$DV$44)*SIN(RADIANS(theta_L))-(MxMy_FixedP!$EW$9:$EW$44)*COS(RADIANS(theta_L))))&lt;=0)*((((MxMy_FixedP!$DV$8:$DV$43)*SIN(RADIANS(theta_L))-(MxMy_FixedP!$EW$8:$EW$43)*COS(RADIANS(theta_L))))&lt;&gt;(((MxMy_FixedP!$DV$9:$DV$44)*SIN(RADIANS(theta_L))-(MxMy_FixedP!$EW$9:$EW$44)*COS(RADIANS(theta_L)))))*((((MxMy_FixedP!$DV$8:$DV$43)+(((MxMy_FixedP!$DV$8:$DV$43)*SIN(RADIANS(theta_L))-(MxMy_FixedP!$EW$8:$EW$43)*COS(RADIANS(theta_L)))/((((MxMy_FixedP!$DV$8:$DV$43)*SIN(RADIANS(theta_L))-(MxMy_FixedP!$EW$8:$EW$43)*COS(RADIANS(theta_L))))-(((MxMy_FixedP!$DV$9:$DV$44)*SIN(RADIANS(theta_L))-(MxMy_FixedP!$EW$9:$EW$44)*COS(RADIANS(theta_L))))+((((MxMy_FixedP!$DV$8:$DV$43)*SIN(RADIANS(theta_L))-(MxMy_FixedP!$EW$8:$EW$43)*COS(RADIANS(theta_L))))=(((MxMy_FixedP!$DV$9:$DV$44)*SIN(RADIANS(theta_L))-(MxMy_FixedP!$EW$9:$EW$44)*COS(RADIANS(theta_L)))))))*((MxMy_FixedP!$DV$9:$DV$44)-(MxMy_FixedP!$DV$8:$DV$43)))*COS(RADIANS(theta_L))+((MxMy_FixedP!$EW$8:$EW$43)+(((MxMy_FixedP!$DV$8:$DV$43)*SIN(RADIANS(theta_L))-(MxMy_FixedP!$EW$8:$EW$43)*COS(RADIANS(theta_L)))/((((MxMy_FixedP!$DV$8:$DV$43)*SIN(RADIANS(theta_L))-(MxMy_FixedP!$EW$8:$EW$43)*COS(RADIANS(theta_L))))-(((MxMy_FixedP!$DV$9:$DV$44)*SIN(RADIANS(theta_L))-(MxMy_FixedP!$EW$9:$EW$44)*COS(RADIANS(theta_L))))+((((MxMy_FixedP!$DV$8:$DV$43)*SIN(RADIANS(theta_L))-(MxMy_FixedP!$EW$8:$EW$43)*COS(RADIANS(theta_L))))=(((MxMy_FixedP!$DV$9:$DV$44)*SIN(RADIANS(theta_L))-(MxMy_FixedP!$EW$9:$EW$44)*COS(RADIANS(theta_L)))))))*((MxMy_FixedP!$EW$9:$EW$44)-(MxMy_FixedP!$EW$8:$EW$43)))*SIN(RADIANS(theta_L)))&gt;0),(((MxMy_FixedP!$DV$8:$DV$43)+(((MxMy_FixedP!$DV$8:$DV$43)*SIN(RADIANS(theta_L))-(MxMy_FixedP!$EW$8:$EW$43)*COS(RADIANS(theta_L)))/((((MxMy_FixedP!$DV$8:$DV$43)*SIN(RADIANS(theta_L))-(MxMy_FixedP!$EW$8:$EW$43)*COS(RADIANS(theta_L))))-(((MxMy_FixedP!$DV$9:$DV$44)*SIN(RADIANS(theta_L))-(MxMy_FixedP!$EW$9:$EW$44)*COS(RADIANS(theta_L))))+((((MxMy_FixedP!$DV$8:$DV$43)*SIN(RADIANS(theta_L))-(MxMy_FixedP!$EW$8:$EW$43)*COS(RADIANS(theta_L))))=(((MxMy_FixedP!$DV$9:$DV$44)*SIN(RADIANS(theta_L))-(MxMy_FixedP!$EW$9:$EW$44)*COS(RADIANS(theta_L)))))))*((MxMy_FixedP!$DV$9:$DV$44)-(MxMy_FixedP!$DV$8:$DV$43)))*COS(RADIANS(theta_L))+((MxMy_FixedP!$EW$8:$EW$43)+(((MxMy_FixedP!$DV$8:$DV$43)*SIN(RADIANS(theta_L))-(MxMy_FixedP!$EW$8:$EW$43)*COS(RADIANS(theta_L)))/((((MxMy_FixedP!$DV$8:$DV$43)*SIN(RADIANS(theta_L))-(MxMy_FixedP!$EW$8:$EW$43)*COS(RADIANS(theta_L))))-(((MxMy_FixedP!$DV$9:$DV$44)*SIN(RADIANS(theta_L))-(MxMy_FixedP!$EW$9:$EW$44)*COS(RADIANS(theta_L))))+((((MxMy_FixedP!$DV$8:$DV$43)*SIN(RADIANS(theta_L))-(MxMy_FixedP!$EW$8:$EW$43)*COS(RADIANS(theta_L))))=(((MxMy_FixedP!$DV$9:$DV$44)*SIN(RADIANS(theta_L))-(MxMy_FixedP!$EW$9:$EW$44)*COS(RADIANS(theta_L)))))))*((MxMy_FixedP!$EW$9:$EW$44)-(MxMy_FixedP!$EW$8:$EW$43)))*SIN(RADIANS(theta_L))))/D22))</f>
      </c>
      <c r="G22" s="46">
        <f>IF($K22&lt;=Mtol,0,SUMPRODUCT(((((MxMy_FixedP!$DV$8:$DV$43)*SIN(RADIANS(theta_L))-(MxMy_FixedP!$EW$8:$EW$43)*COS(RADIANS(theta_L))))*(((MxMy_FixedP!$DV$9:$DV$44)*SIN(RADIANS(theta_L))-(MxMy_FixedP!$EW$9:$EW$44)*COS(RADIANS(theta_L))))&lt;=0)*((((MxMy_FixedP!$DV$8:$DV$43)*SIN(RADIANS(theta_L))-(MxMy_FixedP!$EW$8:$EW$43)*COS(RADIANS(theta_L))))&lt;&gt;(((MxMy_FixedP!$DV$9:$DV$44)*SIN(RADIANS(theta_L))-(MxMy_FixedP!$EW$9:$EW$44)*COS(RADIANS(theta_L)))))*((((MxMy_FixedP!$DV$8:$DV$43)+(((MxMy_FixedP!$DV$8:$DV$43)*SIN(RADIANS(theta_L))-(MxMy_FixedP!$EW$8:$EW$43)*COS(RADIANS(theta_L)))/((((MxMy_FixedP!$DV$8:$DV$43)*SIN(RADIANS(theta_L))-(MxMy_FixedP!$EW$8:$EW$43)*COS(RADIANS(theta_L))))-(((MxMy_FixedP!$DV$9:$DV$44)*SIN(RADIANS(theta_L))-(MxMy_FixedP!$EW$9:$EW$44)*COS(RADIANS(theta_L))))+((((MxMy_FixedP!$DV$8:$DV$43)*SIN(RADIANS(theta_L))-(MxMy_FixedP!$EW$8:$EW$43)*COS(RADIANS(theta_L))))=(((MxMy_FixedP!$DV$9:$DV$44)*SIN(RADIANS(theta_L))-(MxMy_FixedP!$EW$9:$EW$44)*COS(RADIANS(theta_L)))))))*((MxMy_FixedP!$DV$9:$DV$44)-(MxMy_FixedP!$DV$8:$DV$43)))*COS(RADIANS(theta_L))+((MxMy_FixedP!$EW$8:$EW$43)+(((MxMy_FixedP!$DV$8:$DV$43)*SIN(RADIANS(theta_L))-(MxMy_FixedP!$EW$8:$EW$43)*COS(RADIANS(theta_L)))/((((MxMy_FixedP!$DV$8:$DV$43)*SIN(RADIANS(theta_L))-(MxMy_FixedP!$EW$8:$EW$43)*COS(RADIANS(theta_L))))-(((MxMy_FixedP!$DV$9:$DV$44)*SIN(RADIANS(theta_L))-(MxMy_FixedP!$EW$9:$EW$44)*COS(RADIANS(theta_L))))+((((MxMy_FixedP!$DV$8:$DV$43)*SIN(RADIANS(theta_L))-(MxMy_FixedP!$EW$8:$EW$43)*COS(RADIANS(theta_L))))=(((MxMy_FixedP!$DV$9:$DV$44)*SIN(RADIANS(theta_L))-(MxMy_FixedP!$EW$9:$EW$44)*COS(RADIANS(theta_L)))))))*((MxMy_FixedP!$EW$9:$EW$44)-(MxMy_FixedP!$EW$8:$EW$43)))*SIN(RADIANS(theta_L)))&lt;0)))</f>
      </c>
      <c r="H22" s="10">
        <f>IF($K22&lt;=Mtol,MxMy_FixedP!$CU$8,IF(G22=0,"",SUMPRODUCT(((((MxMy_FixedP!$DV$8:$DV$43)*SIN(RADIANS(theta_L))-(MxMy_FixedP!$EW$8:$EW$43)*COS(RADIANS(theta_L))))*(((MxMy_FixedP!$DV$9:$DV$44)*SIN(RADIANS(theta_L))-(MxMy_FixedP!$EW$9:$EW$44)*COS(RADIANS(theta_L))))&lt;=0)*((((MxMy_FixedP!$DV$8:$DV$43)*SIN(RADIANS(theta_L))-(MxMy_FixedP!$EW$8:$EW$43)*COS(RADIANS(theta_L))))&lt;&gt;(((MxMy_FixedP!$DV$9:$DV$44)*SIN(RADIANS(theta_L))-(MxMy_FixedP!$EW$9:$EW$44)*COS(RADIANS(theta_L)))))*((((MxMy_FixedP!$DV$8:$DV$43)+(((MxMy_FixedP!$DV$8:$DV$43)*SIN(RADIANS(theta_L))-(MxMy_FixedP!$EW$8:$EW$43)*COS(RADIANS(theta_L)))/((((MxMy_FixedP!$DV$8:$DV$43)*SIN(RADIANS(theta_L))-(MxMy_FixedP!$EW$8:$EW$43)*COS(RADIANS(theta_L))))-(((MxMy_FixedP!$DV$9:$DV$44)*SIN(RADIANS(theta_L))-(MxMy_FixedP!$EW$9:$EW$44)*COS(RADIANS(theta_L))))+((((MxMy_FixedP!$DV$8:$DV$43)*SIN(RADIANS(theta_L))-(MxMy_FixedP!$EW$8:$EW$43)*COS(RADIANS(theta_L))))=(((MxMy_FixedP!$DV$9:$DV$44)*SIN(RADIANS(theta_L))-(MxMy_FixedP!$EW$9:$EW$44)*COS(RADIANS(theta_L)))))))*((MxMy_FixedP!$DV$9:$DV$44)-(MxMy_FixedP!$DV$8:$DV$43)))*COS(RADIANS(theta_L))+((MxMy_FixedP!$EW$8:$EW$43)+(((MxMy_FixedP!$DV$8:$DV$43)*SIN(RADIANS(theta_L))-(MxMy_FixedP!$EW$8:$EW$43)*COS(RADIANS(theta_L)))/((((MxMy_FixedP!$DV$8:$DV$43)*SIN(RADIANS(theta_L))-(MxMy_FixedP!$EW$8:$EW$43)*COS(RADIANS(theta_L))))-(((MxMy_FixedP!$DV$9:$DV$44)*SIN(RADIANS(theta_L))-(MxMy_FixedP!$EW$9:$EW$44)*COS(RADIANS(theta_L))))+((((MxMy_FixedP!$DV$8:$DV$43)*SIN(RADIANS(theta_L))-(MxMy_FixedP!$EW$8:$EW$43)*COS(RADIANS(theta_L))))=(((MxMy_FixedP!$DV$9:$DV$44)*SIN(RADIANS(theta_L))-(MxMy_FixedP!$EW$9:$EW$44)*COS(RADIANS(theta_L)))))))*((MxMy_FixedP!$EW$9:$EW$44)-(MxMy_FixedP!$EW$8:$EW$43)))*SIN(RADIANS(theta_L)))&lt;0),((MxMy_FixedP!$CU$8:$CU$43)+(((MxMy_FixedP!$DV$8:$DV$43)*SIN(RADIANS(theta_L))-(MxMy_FixedP!$EW$8:$EW$43)*COS(RADIANS(theta_L)))/((((MxMy_FixedP!$DV$8:$DV$43)*SIN(RADIANS(theta_L))-(MxMy_FixedP!$EW$8:$EW$43)*COS(RADIANS(theta_L))))-(((MxMy_FixedP!$DV$9:$DV$44)*SIN(RADIANS(theta_L))-(MxMy_FixedP!$EW$9:$EW$44)*COS(RADIANS(theta_L))))+((((MxMy_FixedP!$DV$8:$DV$43)*SIN(RADIANS(theta_L))-(MxMy_FixedP!$EW$8:$EW$43)*COS(RADIANS(theta_L))))=(((MxMy_FixedP!$DV$9:$DV$44)*SIN(RADIANS(theta_L))-(MxMy_FixedP!$EW$9:$EW$44)*COS(RADIANS(theta_L)))))))*((MxMy_FixedP!$CU$9:$CU$44)-(MxMy_FixedP!$CU$8:$CU$43))))/G22))</f>
      </c>
      <c r="I22" s="10">
        <f>IF($K22&lt;=Mtol,0,IF(G22=0,"",SUMPRODUCT(((((MxMy_FixedP!$DV$8:$DV$43)*SIN(RADIANS(theta_L))-(MxMy_FixedP!$EW$8:$EW$43)*COS(RADIANS(theta_L))))*(((MxMy_FixedP!$DV$9:$DV$44)*SIN(RADIANS(theta_L))-(MxMy_FixedP!$EW$9:$EW$44)*COS(RADIANS(theta_L))))&lt;=0)*((((MxMy_FixedP!$DV$8:$DV$43)*SIN(RADIANS(theta_L))-(MxMy_FixedP!$EW$8:$EW$43)*COS(RADIANS(theta_L))))&lt;&gt;(((MxMy_FixedP!$DV$9:$DV$44)*SIN(RADIANS(theta_L))-(MxMy_FixedP!$EW$9:$EW$44)*COS(RADIANS(theta_L)))))*((((MxMy_FixedP!$DV$8:$DV$43)+(((MxMy_FixedP!$DV$8:$DV$43)*SIN(RADIANS(theta_L))-(MxMy_FixedP!$EW$8:$EW$43)*COS(RADIANS(theta_L)))/((((MxMy_FixedP!$DV$8:$DV$43)*SIN(RADIANS(theta_L))-(MxMy_FixedP!$EW$8:$EW$43)*COS(RADIANS(theta_L))))-(((MxMy_FixedP!$DV$9:$DV$44)*SIN(RADIANS(theta_L))-(MxMy_FixedP!$EW$9:$EW$44)*COS(RADIANS(theta_L))))+((((MxMy_FixedP!$DV$8:$DV$43)*SIN(RADIANS(theta_L))-(MxMy_FixedP!$EW$8:$EW$43)*COS(RADIANS(theta_L))))=(((MxMy_FixedP!$DV$9:$DV$44)*SIN(RADIANS(theta_L))-(MxMy_FixedP!$EW$9:$EW$44)*COS(RADIANS(theta_L)))))))*((MxMy_FixedP!$DV$9:$DV$44)-(MxMy_FixedP!$DV$8:$DV$43)))*COS(RADIANS(theta_L))+((MxMy_FixedP!$EW$8:$EW$43)+(((MxMy_FixedP!$DV$8:$DV$43)*SIN(RADIANS(theta_L))-(MxMy_FixedP!$EW$8:$EW$43)*COS(RADIANS(theta_L)))/((((MxMy_FixedP!$DV$8:$DV$43)*SIN(RADIANS(theta_L))-(MxMy_FixedP!$EW$8:$EW$43)*COS(RADIANS(theta_L))))-(((MxMy_FixedP!$DV$9:$DV$44)*SIN(RADIANS(theta_L))-(MxMy_FixedP!$EW$9:$EW$44)*COS(RADIANS(theta_L))))+((((MxMy_FixedP!$DV$8:$DV$43)*SIN(RADIANS(theta_L))-(MxMy_FixedP!$EW$8:$EW$43)*COS(RADIANS(theta_L))))=(((MxMy_FixedP!$DV$9:$DV$44)*SIN(RADIANS(theta_L))-(MxMy_FixedP!$EW$9:$EW$44)*COS(RADIANS(theta_L)))))))*((MxMy_FixedP!$EW$9:$EW$44)-(MxMy_FixedP!$EW$8:$EW$43)))*SIN(RADIANS(theta_L)))&lt;0),(((MxMy_FixedP!$DV$8:$DV$43)+(((MxMy_FixedP!$DV$8:$DV$43)*SIN(RADIANS(theta_L))-(MxMy_FixedP!$EW$8:$EW$43)*COS(RADIANS(theta_L)))/((((MxMy_FixedP!$DV$8:$DV$43)*SIN(RADIANS(theta_L))-(MxMy_FixedP!$EW$8:$EW$43)*COS(RADIANS(theta_L))))-(((MxMy_FixedP!$DV$9:$DV$44)*SIN(RADIANS(theta_L))-(MxMy_FixedP!$EW$9:$EW$44)*COS(RADIANS(theta_L))))+((((MxMy_FixedP!$DV$8:$DV$43)*SIN(RADIANS(theta_L))-(MxMy_FixedP!$EW$8:$EW$43)*COS(RADIANS(theta_L))))=(((MxMy_FixedP!$DV$9:$DV$44)*SIN(RADIANS(theta_L))-(MxMy_FixedP!$EW$9:$EW$44)*COS(RADIANS(theta_L)))))))*((MxMy_FixedP!$DV$9:$DV$44)-(MxMy_FixedP!$DV$8:$DV$43)))*COS(RADIANS(theta_L))+((MxMy_FixedP!$EW$8:$EW$43)+(((MxMy_FixedP!$DV$8:$DV$43)*SIN(RADIANS(theta_L))-(MxMy_FixedP!$EW$8:$EW$43)*COS(RADIANS(theta_L)))/((((MxMy_FixedP!$DV$8:$DV$43)*SIN(RADIANS(theta_L))-(MxMy_FixedP!$EW$8:$EW$43)*COS(RADIANS(theta_L))))-(((MxMy_FixedP!$DV$9:$DV$44)*SIN(RADIANS(theta_L))-(MxMy_FixedP!$EW$9:$EW$44)*COS(RADIANS(theta_L))))+((((MxMy_FixedP!$DV$8:$DV$43)*SIN(RADIANS(theta_L))-(MxMy_FixedP!$EW$8:$EW$43)*COS(RADIANS(theta_L))))=(((MxMy_FixedP!$DV$9:$DV$44)*SIN(RADIANS(theta_L))-(MxMy_FixedP!$EW$9:$EW$44)*COS(RADIANS(theta_L)))))))*((MxMy_FixedP!$EW$9:$EW$44)-(MxMy_FixedP!$EW$8:$EW$43)))*SIN(RADIANS(theta_L))))/G22))</f>
      </c>
      <c r="J22">
        <f>IF($K22&lt;=Mtol,"pole",IF(AND(D22&gt;=1,G22&gt;=1),"ok","CHECK: "&amp;D22&amp;"/"&amp;G22&amp;" cuts"))</f>
      </c>
      <c r="K22" s="18">
        <v>6846.531986160265</v>
      </c>
    </row>
    <row r="23" spans="2:11" x14ac:dyDescent="0.25">
      <c r="B23" s="35" t="s">
        <v>230</v>
      </c>
      <c r="C23" s="54" t="s">
        <v>355</v>
      </c>
      <c r="D23" s="46">
        <f>IF($K23&lt;=Mtol,0,SUMPRODUCT(((((MxMy_FixedP!$DW$8:$DW$43)*SIN(RADIANS(theta_L))-(MxMy_FixedP!$EX$8:$EX$43)*COS(RADIANS(theta_L))))*(((MxMy_FixedP!$DW$9:$DW$44)*SIN(RADIANS(theta_L))-(MxMy_FixedP!$EX$9:$EX$44)*COS(RADIANS(theta_L))))&lt;=0)*((((MxMy_FixedP!$DW$8:$DW$43)*SIN(RADIANS(theta_L))-(MxMy_FixedP!$EX$8:$EX$43)*COS(RADIANS(theta_L))))&lt;&gt;(((MxMy_FixedP!$DW$9:$DW$44)*SIN(RADIANS(theta_L))-(MxMy_FixedP!$EX$9:$EX$44)*COS(RADIANS(theta_L)))))*((((MxMy_FixedP!$DW$8:$DW$43)+(((MxMy_FixedP!$DW$8:$DW$43)*SIN(RADIANS(theta_L))-(MxMy_FixedP!$EX$8:$EX$43)*COS(RADIANS(theta_L)))/((((MxMy_FixedP!$DW$8:$DW$43)*SIN(RADIANS(theta_L))-(MxMy_FixedP!$EX$8:$EX$43)*COS(RADIANS(theta_L))))-(((MxMy_FixedP!$DW$9:$DW$44)*SIN(RADIANS(theta_L))-(MxMy_FixedP!$EX$9:$EX$44)*COS(RADIANS(theta_L))))+((((MxMy_FixedP!$DW$8:$DW$43)*SIN(RADIANS(theta_L))-(MxMy_FixedP!$EX$8:$EX$43)*COS(RADIANS(theta_L))))=(((MxMy_FixedP!$DW$9:$DW$44)*SIN(RADIANS(theta_L))-(MxMy_FixedP!$EX$9:$EX$44)*COS(RADIANS(theta_L)))))))*((MxMy_FixedP!$DW$9:$DW$44)-(MxMy_FixedP!$DW$8:$DW$43)))*COS(RADIANS(theta_L))+((MxMy_FixedP!$EX$8:$EX$43)+(((MxMy_FixedP!$DW$8:$DW$43)*SIN(RADIANS(theta_L))-(MxMy_FixedP!$EX$8:$EX$43)*COS(RADIANS(theta_L)))/((((MxMy_FixedP!$DW$8:$DW$43)*SIN(RADIANS(theta_L))-(MxMy_FixedP!$EX$8:$EX$43)*COS(RADIANS(theta_L))))-(((MxMy_FixedP!$DW$9:$DW$44)*SIN(RADIANS(theta_L))-(MxMy_FixedP!$EX$9:$EX$44)*COS(RADIANS(theta_L))))+((((MxMy_FixedP!$DW$8:$DW$43)*SIN(RADIANS(theta_L))-(MxMy_FixedP!$EX$8:$EX$43)*COS(RADIANS(theta_L))))=(((MxMy_FixedP!$DW$9:$DW$44)*SIN(RADIANS(theta_L))-(MxMy_FixedP!$EX$9:$EX$44)*COS(RADIANS(theta_L)))))))*((MxMy_FixedP!$EX$9:$EX$44)-(MxMy_FixedP!$EX$8:$EX$43)))*SIN(RADIANS(theta_L)))&gt;0)))</f>
      </c>
      <c r="E23" s="10">
        <f>IF($K23&lt;=Mtol,MxMy_FixedP!$CV$8,IF(D23=0,"",SUMPRODUCT(((((MxMy_FixedP!$DW$8:$DW$43)*SIN(RADIANS(theta_L))-(MxMy_FixedP!$EX$8:$EX$43)*COS(RADIANS(theta_L))))*(((MxMy_FixedP!$DW$9:$DW$44)*SIN(RADIANS(theta_L))-(MxMy_FixedP!$EX$9:$EX$44)*COS(RADIANS(theta_L))))&lt;=0)*((((MxMy_FixedP!$DW$8:$DW$43)*SIN(RADIANS(theta_L))-(MxMy_FixedP!$EX$8:$EX$43)*COS(RADIANS(theta_L))))&lt;&gt;(((MxMy_FixedP!$DW$9:$DW$44)*SIN(RADIANS(theta_L))-(MxMy_FixedP!$EX$9:$EX$44)*COS(RADIANS(theta_L)))))*((((MxMy_FixedP!$DW$8:$DW$43)+(((MxMy_FixedP!$DW$8:$DW$43)*SIN(RADIANS(theta_L))-(MxMy_FixedP!$EX$8:$EX$43)*COS(RADIANS(theta_L)))/((((MxMy_FixedP!$DW$8:$DW$43)*SIN(RADIANS(theta_L))-(MxMy_FixedP!$EX$8:$EX$43)*COS(RADIANS(theta_L))))-(((MxMy_FixedP!$DW$9:$DW$44)*SIN(RADIANS(theta_L))-(MxMy_FixedP!$EX$9:$EX$44)*COS(RADIANS(theta_L))))+((((MxMy_FixedP!$DW$8:$DW$43)*SIN(RADIANS(theta_L))-(MxMy_FixedP!$EX$8:$EX$43)*COS(RADIANS(theta_L))))=(((MxMy_FixedP!$DW$9:$DW$44)*SIN(RADIANS(theta_L))-(MxMy_FixedP!$EX$9:$EX$44)*COS(RADIANS(theta_L)))))))*((MxMy_FixedP!$DW$9:$DW$44)-(MxMy_FixedP!$DW$8:$DW$43)))*COS(RADIANS(theta_L))+((MxMy_FixedP!$EX$8:$EX$43)+(((MxMy_FixedP!$DW$8:$DW$43)*SIN(RADIANS(theta_L))-(MxMy_FixedP!$EX$8:$EX$43)*COS(RADIANS(theta_L)))/((((MxMy_FixedP!$DW$8:$DW$43)*SIN(RADIANS(theta_L))-(MxMy_FixedP!$EX$8:$EX$43)*COS(RADIANS(theta_L))))-(((MxMy_FixedP!$DW$9:$DW$44)*SIN(RADIANS(theta_L))-(MxMy_FixedP!$EX$9:$EX$44)*COS(RADIANS(theta_L))))+((((MxMy_FixedP!$DW$8:$DW$43)*SIN(RADIANS(theta_L))-(MxMy_FixedP!$EX$8:$EX$43)*COS(RADIANS(theta_L))))=(((MxMy_FixedP!$DW$9:$DW$44)*SIN(RADIANS(theta_L))-(MxMy_FixedP!$EX$9:$EX$44)*COS(RADIANS(theta_L)))))))*((MxMy_FixedP!$EX$9:$EX$44)-(MxMy_FixedP!$EX$8:$EX$43)))*SIN(RADIANS(theta_L)))&gt;0),((MxMy_FixedP!$CV$8:$CV$43)+(((MxMy_FixedP!$DW$8:$DW$43)*SIN(RADIANS(theta_L))-(MxMy_FixedP!$EX$8:$EX$43)*COS(RADIANS(theta_L)))/((((MxMy_FixedP!$DW$8:$DW$43)*SIN(RADIANS(theta_L))-(MxMy_FixedP!$EX$8:$EX$43)*COS(RADIANS(theta_L))))-(((MxMy_FixedP!$DW$9:$DW$44)*SIN(RADIANS(theta_L))-(MxMy_FixedP!$EX$9:$EX$44)*COS(RADIANS(theta_L))))+((((MxMy_FixedP!$DW$8:$DW$43)*SIN(RADIANS(theta_L))-(MxMy_FixedP!$EX$8:$EX$43)*COS(RADIANS(theta_L))))=(((MxMy_FixedP!$DW$9:$DW$44)*SIN(RADIANS(theta_L))-(MxMy_FixedP!$EX$9:$EX$44)*COS(RADIANS(theta_L)))))))*((MxMy_FixedP!$CV$9:$CV$44)-(MxMy_FixedP!$CV$8:$CV$43))))/D23))</f>
      </c>
      <c r="F23" s="10">
        <f>IF($K23&lt;=Mtol,0,IF(D23=0,"",SUMPRODUCT(((((MxMy_FixedP!$DW$8:$DW$43)*SIN(RADIANS(theta_L))-(MxMy_FixedP!$EX$8:$EX$43)*COS(RADIANS(theta_L))))*(((MxMy_FixedP!$DW$9:$DW$44)*SIN(RADIANS(theta_L))-(MxMy_FixedP!$EX$9:$EX$44)*COS(RADIANS(theta_L))))&lt;=0)*((((MxMy_FixedP!$DW$8:$DW$43)*SIN(RADIANS(theta_L))-(MxMy_FixedP!$EX$8:$EX$43)*COS(RADIANS(theta_L))))&lt;&gt;(((MxMy_FixedP!$DW$9:$DW$44)*SIN(RADIANS(theta_L))-(MxMy_FixedP!$EX$9:$EX$44)*COS(RADIANS(theta_L)))))*((((MxMy_FixedP!$DW$8:$DW$43)+(((MxMy_FixedP!$DW$8:$DW$43)*SIN(RADIANS(theta_L))-(MxMy_FixedP!$EX$8:$EX$43)*COS(RADIANS(theta_L)))/((((MxMy_FixedP!$DW$8:$DW$43)*SIN(RADIANS(theta_L))-(MxMy_FixedP!$EX$8:$EX$43)*COS(RADIANS(theta_L))))-(((MxMy_FixedP!$DW$9:$DW$44)*SIN(RADIANS(theta_L))-(MxMy_FixedP!$EX$9:$EX$44)*COS(RADIANS(theta_L))))+((((MxMy_FixedP!$DW$8:$DW$43)*SIN(RADIANS(theta_L))-(MxMy_FixedP!$EX$8:$EX$43)*COS(RADIANS(theta_L))))=(((MxMy_FixedP!$DW$9:$DW$44)*SIN(RADIANS(theta_L))-(MxMy_FixedP!$EX$9:$EX$44)*COS(RADIANS(theta_L)))))))*((MxMy_FixedP!$DW$9:$DW$44)-(MxMy_FixedP!$DW$8:$DW$43)))*COS(RADIANS(theta_L))+((MxMy_FixedP!$EX$8:$EX$43)+(((MxMy_FixedP!$DW$8:$DW$43)*SIN(RADIANS(theta_L))-(MxMy_FixedP!$EX$8:$EX$43)*COS(RADIANS(theta_L)))/((((MxMy_FixedP!$DW$8:$DW$43)*SIN(RADIANS(theta_L))-(MxMy_FixedP!$EX$8:$EX$43)*COS(RADIANS(theta_L))))-(((MxMy_FixedP!$DW$9:$DW$44)*SIN(RADIANS(theta_L))-(MxMy_FixedP!$EX$9:$EX$44)*COS(RADIANS(theta_L))))+((((MxMy_FixedP!$DW$8:$DW$43)*SIN(RADIANS(theta_L))-(MxMy_FixedP!$EX$8:$EX$43)*COS(RADIANS(theta_L))))=(((MxMy_FixedP!$DW$9:$DW$44)*SIN(RADIANS(theta_L))-(MxMy_FixedP!$EX$9:$EX$44)*COS(RADIANS(theta_L)))))))*((MxMy_FixedP!$EX$9:$EX$44)-(MxMy_FixedP!$EX$8:$EX$43)))*SIN(RADIANS(theta_L)))&gt;0),(((MxMy_FixedP!$DW$8:$DW$43)+(((MxMy_FixedP!$DW$8:$DW$43)*SIN(RADIANS(theta_L))-(MxMy_FixedP!$EX$8:$EX$43)*COS(RADIANS(theta_L)))/((((MxMy_FixedP!$DW$8:$DW$43)*SIN(RADIANS(theta_L))-(MxMy_FixedP!$EX$8:$EX$43)*COS(RADIANS(theta_L))))-(((MxMy_FixedP!$DW$9:$DW$44)*SIN(RADIANS(theta_L))-(MxMy_FixedP!$EX$9:$EX$44)*COS(RADIANS(theta_L))))+((((MxMy_FixedP!$DW$8:$DW$43)*SIN(RADIANS(theta_L))-(MxMy_FixedP!$EX$8:$EX$43)*COS(RADIANS(theta_L))))=(((MxMy_FixedP!$DW$9:$DW$44)*SIN(RADIANS(theta_L))-(MxMy_FixedP!$EX$9:$EX$44)*COS(RADIANS(theta_L)))))))*((MxMy_FixedP!$DW$9:$DW$44)-(MxMy_FixedP!$DW$8:$DW$43)))*COS(RADIANS(theta_L))+((MxMy_FixedP!$EX$8:$EX$43)+(((MxMy_FixedP!$DW$8:$DW$43)*SIN(RADIANS(theta_L))-(MxMy_FixedP!$EX$8:$EX$43)*COS(RADIANS(theta_L)))/((((MxMy_FixedP!$DW$8:$DW$43)*SIN(RADIANS(theta_L))-(MxMy_FixedP!$EX$8:$EX$43)*COS(RADIANS(theta_L))))-(((MxMy_FixedP!$DW$9:$DW$44)*SIN(RADIANS(theta_L))-(MxMy_FixedP!$EX$9:$EX$44)*COS(RADIANS(theta_L))))+((((MxMy_FixedP!$DW$8:$DW$43)*SIN(RADIANS(theta_L))-(MxMy_FixedP!$EX$8:$EX$43)*COS(RADIANS(theta_L))))=(((MxMy_FixedP!$DW$9:$DW$44)*SIN(RADIANS(theta_L))-(MxMy_FixedP!$EX$9:$EX$44)*COS(RADIANS(theta_L)))))))*((MxMy_FixedP!$EX$9:$EX$44)-(MxMy_FixedP!$EX$8:$EX$43)))*SIN(RADIANS(theta_L))))/D23))</f>
      </c>
      <c r="G23" s="46">
        <f>IF($K23&lt;=Mtol,0,SUMPRODUCT(((((MxMy_FixedP!$DW$8:$DW$43)*SIN(RADIANS(theta_L))-(MxMy_FixedP!$EX$8:$EX$43)*COS(RADIANS(theta_L))))*(((MxMy_FixedP!$DW$9:$DW$44)*SIN(RADIANS(theta_L))-(MxMy_FixedP!$EX$9:$EX$44)*COS(RADIANS(theta_L))))&lt;=0)*((((MxMy_FixedP!$DW$8:$DW$43)*SIN(RADIANS(theta_L))-(MxMy_FixedP!$EX$8:$EX$43)*COS(RADIANS(theta_L))))&lt;&gt;(((MxMy_FixedP!$DW$9:$DW$44)*SIN(RADIANS(theta_L))-(MxMy_FixedP!$EX$9:$EX$44)*COS(RADIANS(theta_L)))))*((((MxMy_FixedP!$DW$8:$DW$43)+(((MxMy_FixedP!$DW$8:$DW$43)*SIN(RADIANS(theta_L))-(MxMy_FixedP!$EX$8:$EX$43)*COS(RADIANS(theta_L)))/((((MxMy_FixedP!$DW$8:$DW$43)*SIN(RADIANS(theta_L))-(MxMy_FixedP!$EX$8:$EX$43)*COS(RADIANS(theta_L))))-(((MxMy_FixedP!$DW$9:$DW$44)*SIN(RADIANS(theta_L))-(MxMy_FixedP!$EX$9:$EX$44)*COS(RADIANS(theta_L))))+((((MxMy_FixedP!$DW$8:$DW$43)*SIN(RADIANS(theta_L))-(MxMy_FixedP!$EX$8:$EX$43)*COS(RADIANS(theta_L))))=(((MxMy_FixedP!$DW$9:$DW$44)*SIN(RADIANS(theta_L))-(MxMy_FixedP!$EX$9:$EX$44)*COS(RADIANS(theta_L)))))))*((MxMy_FixedP!$DW$9:$DW$44)-(MxMy_FixedP!$DW$8:$DW$43)))*COS(RADIANS(theta_L))+((MxMy_FixedP!$EX$8:$EX$43)+(((MxMy_FixedP!$DW$8:$DW$43)*SIN(RADIANS(theta_L))-(MxMy_FixedP!$EX$8:$EX$43)*COS(RADIANS(theta_L)))/((((MxMy_FixedP!$DW$8:$DW$43)*SIN(RADIANS(theta_L))-(MxMy_FixedP!$EX$8:$EX$43)*COS(RADIANS(theta_L))))-(((MxMy_FixedP!$DW$9:$DW$44)*SIN(RADIANS(theta_L))-(MxMy_FixedP!$EX$9:$EX$44)*COS(RADIANS(theta_L))))+((((MxMy_FixedP!$DW$8:$DW$43)*SIN(RADIANS(theta_L))-(MxMy_FixedP!$EX$8:$EX$43)*COS(RADIANS(theta_L))))=(((MxMy_FixedP!$DW$9:$DW$44)*SIN(RADIANS(theta_L))-(MxMy_FixedP!$EX$9:$EX$44)*COS(RADIANS(theta_L)))))))*((MxMy_FixedP!$EX$9:$EX$44)-(MxMy_FixedP!$EX$8:$EX$43)))*SIN(RADIANS(theta_L)))&lt;0)))</f>
      </c>
      <c r="H23" s="10">
        <f>IF($K23&lt;=Mtol,MxMy_FixedP!$CV$8,IF(G23=0,"",SUMPRODUCT(((((MxMy_FixedP!$DW$8:$DW$43)*SIN(RADIANS(theta_L))-(MxMy_FixedP!$EX$8:$EX$43)*COS(RADIANS(theta_L))))*(((MxMy_FixedP!$DW$9:$DW$44)*SIN(RADIANS(theta_L))-(MxMy_FixedP!$EX$9:$EX$44)*COS(RADIANS(theta_L))))&lt;=0)*((((MxMy_FixedP!$DW$8:$DW$43)*SIN(RADIANS(theta_L))-(MxMy_FixedP!$EX$8:$EX$43)*COS(RADIANS(theta_L))))&lt;&gt;(((MxMy_FixedP!$DW$9:$DW$44)*SIN(RADIANS(theta_L))-(MxMy_FixedP!$EX$9:$EX$44)*COS(RADIANS(theta_L)))))*((((MxMy_FixedP!$DW$8:$DW$43)+(((MxMy_FixedP!$DW$8:$DW$43)*SIN(RADIANS(theta_L))-(MxMy_FixedP!$EX$8:$EX$43)*COS(RADIANS(theta_L)))/((((MxMy_FixedP!$DW$8:$DW$43)*SIN(RADIANS(theta_L))-(MxMy_FixedP!$EX$8:$EX$43)*COS(RADIANS(theta_L))))-(((MxMy_FixedP!$DW$9:$DW$44)*SIN(RADIANS(theta_L))-(MxMy_FixedP!$EX$9:$EX$44)*COS(RADIANS(theta_L))))+((((MxMy_FixedP!$DW$8:$DW$43)*SIN(RADIANS(theta_L))-(MxMy_FixedP!$EX$8:$EX$43)*COS(RADIANS(theta_L))))=(((MxMy_FixedP!$DW$9:$DW$44)*SIN(RADIANS(theta_L))-(MxMy_FixedP!$EX$9:$EX$44)*COS(RADIANS(theta_L)))))))*((MxMy_FixedP!$DW$9:$DW$44)-(MxMy_FixedP!$DW$8:$DW$43)))*COS(RADIANS(theta_L))+((MxMy_FixedP!$EX$8:$EX$43)+(((MxMy_FixedP!$DW$8:$DW$43)*SIN(RADIANS(theta_L))-(MxMy_FixedP!$EX$8:$EX$43)*COS(RADIANS(theta_L)))/((((MxMy_FixedP!$DW$8:$DW$43)*SIN(RADIANS(theta_L))-(MxMy_FixedP!$EX$8:$EX$43)*COS(RADIANS(theta_L))))-(((MxMy_FixedP!$DW$9:$DW$44)*SIN(RADIANS(theta_L))-(MxMy_FixedP!$EX$9:$EX$44)*COS(RADIANS(theta_L))))+((((MxMy_FixedP!$DW$8:$DW$43)*SIN(RADIANS(theta_L))-(MxMy_FixedP!$EX$8:$EX$43)*COS(RADIANS(theta_L))))=(((MxMy_FixedP!$DW$9:$DW$44)*SIN(RADIANS(theta_L))-(MxMy_FixedP!$EX$9:$EX$44)*COS(RADIANS(theta_L)))))))*((MxMy_FixedP!$EX$9:$EX$44)-(MxMy_FixedP!$EX$8:$EX$43)))*SIN(RADIANS(theta_L)))&lt;0),((MxMy_FixedP!$CV$8:$CV$43)+(((MxMy_FixedP!$DW$8:$DW$43)*SIN(RADIANS(theta_L))-(MxMy_FixedP!$EX$8:$EX$43)*COS(RADIANS(theta_L)))/((((MxMy_FixedP!$DW$8:$DW$43)*SIN(RADIANS(theta_L))-(MxMy_FixedP!$EX$8:$EX$43)*COS(RADIANS(theta_L))))-(((MxMy_FixedP!$DW$9:$DW$44)*SIN(RADIANS(theta_L))-(MxMy_FixedP!$EX$9:$EX$44)*COS(RADIANS(theta_L))))+((((MxMy_FixedP!$DW$8:$DW$43)*SIN(RADIANS(theta_L))-(MxMy_FixedP!$EX$8:$EX$43)*COS(RADIANS(theta_L))))=(((MxMy_FixedP!$DW$9:$DW$44)*SIN(RADIANS(theta_L))-(MxMy_FixedP!$EX$9:$EX$44)*COS(RADIANS(theta_L)))))))*((MxMy_FixedP!$CV$9:$CV$44)-(MxMy_FixedP!$CV$8:$CV$43))))/G23))</f>
      </c>
      <c r="I23" s="10">
        <f>IF($K23&lt;=Mtol,0,IF(G23=0,"",SUMPRODUCT(((((MxMy_FixedP!$DW$8:$DW$43)*SIN(RADIANS(theta_L))-(MxMy_FixedP!$EX$8:$EX$43)*COS(RADIANS(theta_L))))*(((MxMy_FixedP!$DW$9:$DW$44)*SIN(RADIANS(theta_L))-(MxMy_FixedP!$EX$9:$EX$44)*COS(RADIANS(theta_L))))&lt;=0)*((((MxMy_FixedP!$DW$8:$DW$43)*SIN(RADIANS(theta_L))-(MxMy_FixedP!$EX$8:$EX$43)*COS(RADIANS(theta_L))))&lt;&gt;(((MxMy_FixedP!$DW$9:$DW$44)*SIN(RADIANS(theta_L))-(MxMy_FixedP!$EX$9:$EX$44)*COS(RADIANS(theta_L)))))*((((MxMy_FixedP!$DW$8:$DW$43)+(((MxMy_FixedP!$DW$8:$DW$43)*SIN(RADIANS(theta_L))-(MxMy_FixedP!$EX$8:$EX$43)*COS(RADIANS(theta_L)))/((((MxMy_FixedP!$DW$8:$DW$43)*SIN(RADIANS(theta_L))-(MxMy_FixedP!$EX$8:$EX$43)*COS(RADIANS(theta_L))))-(((MxMy_FixedP!$DW$9:$DW$44)*SIN(RADIANS(theta_L))-(MxMy_FixedP!$EX$9:$EX$44)*COS(RADIANS(theta_L))))+((((MxMy_FixedP!$DW$8:$DW$43)*SIN(RADIANS(theta_L))-(MxMy_FixedP!$EX$8:$EX$43)*COS(RADIANS(theta_L))))=(((MxMy_FixedP!$DW$9:$DW$44)*SIN(RADIANS(theta_L))-(MxMy_FixedP!$EX$9:$EX$44)*COS(RADIANS(theta_L)))))))*((MxMy_FixedP!$DW$9:$DW$44)-(MxMy_FixedP!$DW$8:$DW$43)))*COS(RADIANS(theta_L))+((MxMy_FixedP!$EX$8:$EX$43)+(((MxMy_FixedP!$DW$8:$DW$43)*SIN(RADIANS(theta_L))-(MxMy_FixedP!$EX$8:$EX$43)*COS(RADIANS(theta_L)))/((((MxMy_FixedP!$DW$8:$DW$43)*SIN(RADIANS(theta_L))-(MxMy_FixedP!$EX$8:$EX$43)*COS(RADIANS(theta_L))))-(((MxMy_FixedP!$DW$9:$DW$44)*SIN(RADIANS(theta_L))-(MxMy_FixedP!$EX$9:$EX$44)*COS(RADIANS(theta_L))))+((((MxMy_FixedP!$DW$8:$DW$43)*SIN(RADIANS(theta_L))-(MxMy_FixedP!$EX$8:$EX$43)*COS(RADIANS(theta_L))))=(((MxMy_FixedP!$DW$9:$DW$44)*SIN(RADIANS(theta_L))-(MxMy_FixedP!$EX$9:$EX$44)*COS(RADIANS(theta_L)))))))*((MxMy_FixedP!$EX$9:$EX$44)-(MxMy_FixedP!$EX$8:$EX$43)))*SIN(RADIANS(theta_L)))&lt;0),(((MxMy_FixedP!$DW$8:$DW$43)+(((MxMy_FixedP!$DW$8:$DW$43)*SIN(RADIANS(theta_L))-(MxMy_FixedP!$EX$8:$EX$43)*COS(RADIANS(theta_L)))/((((MxMy_FixedP!$DW$8:$DW$43)*SIN(RADIANS(theta_L))-(MxMy_FixedP!$EX$8:$EX$43)*COS(RADIANS(theta_L))))-(((MxMy_FixedP!$DW$9:$DW$44)*SIN(RADIANS(theta_L))-(MxMy_FixedP!$EX$9:$EX$44)*COS(RADIANS(theta_L))))+((((MxMy_FixedP!$DW$8:$DW$43)*SIN(RADIANS(theta_L))-(MxMy_FixedP!$EX$8:$EX$43)*COS(RADIANS(theta_L))))=(((MxMy_FixedP!$DW$9:$DW$44)*SIN(RADIANS(theta_L))-(MxMy_FixedP!$EX$9:$EX$44)*COS(RADIANS(theta_L)))))))*((MxMy_FixedP!$DW$9:$DW$44)-(MxMy_FixedP!$DW$8:$DW$43)))*COS(RADIANS(theta_L))+((MxMy_FixedP!$EX$8:$EX$43)+(((MxMy_FixedP!$DW$8:$DW$43)*SIN(RADIANS(theta_L))-(MxMy_FixedP!$EX$8:$EX$43)*COS(RADIANS(theta_L)))/((((MxMy_FixedP!$DW$8:$DW$43)*SIN(RADIANS(theta_L))-(MxMy_FixedP!$EX$8:$EX$43)*COS(RADIANS(theta_L))))-(((MxMy_FixedP!$DW$9:$DW$44)*SIN(RADIANS(theta_L))-(MxMy_FixedP!$EX$9:$EX$44)*COS(RADIANS(theta_L))))+((((MxMy_FixedP!$DW$8:$DW$43)*SIN(RADIANS(theta_L))-(MxMy_FixedP!$EX$8:$EX$43)*COS(RADIANS(theta_L))))=(((MxMy_FixedP!$DW$9:$DW$44)*SIN(RADIANS(theta_L))-(MxMy_FixedP!$EX$9:$EX$44)*COS(RADIANS(theta_L)))))))*((MxMy_FixedP!$EX$9:$EX$44)-(MxMy_FixedP!$EX$8:$EX$43)))*SIN(RADIANS(theta_L))))/G23))</f>
      </c>
      <c r="J23">
        <f>IF($K23&lt;=Mtol,"pole",IF(AND(D23&gt;=1,G23&gt;=1),"ok","CHECK: "&amp;D23&amp;"/"&amp;G23&amp;" cuts"))</f>
      </c>
      <c r="K23" s="18">
        <v>7020.944088635027</v>
      </c>
    </row>
    <row r="24" spans="2:11" x14ac:dyDescent="0.25">
      <c r="B24" s="35" t="s">
        <v>231</v>
      </c>
      <c r="C24" s="54" t="s">
        <v>356</v>
      </c>
      <c r="D24" s="46">
        <f>IF($K24&lt;=Mtol,0,SUMPRODUCT(((((MxMy_FixedP!$DX$8:$DX$43)*SIN(RADIANS(theta_L))-(MxMy_FixedP!$EY$8:$EY$43)*COS(RADIANS(theta_L))))*(((MxMy_FixedP!$DX$9:$DX$44)*SIN(RADIANS(theta_L))-(MxMy_FixedP!$EY$9:$EY$44)*COS(RADIANS(theta_L))))&lt;=0)*((((MxMy_FixedP!$DX$8:$DX$43)*SIN(RADIANS(theta_L))-(MxMy_FixedP!$EY$8:$EY$43)*COS(RADIANS(theta_L))))&lt;&gt;(((MxMy_FixedP!$DX$9:$DX$44)*SIN(RADIANS(theta_L))-(MxMy_FixedP!$EY$9:$EY$44)*COS(RADIANS(theta_L)))))*((((MxMy_FixedP!$DX$8:$DX$43)+(((MxMy_FixedP!$DX$8:$DX$43)*SIN(RADIANS(theta_L))-(MxMy_FixedP!$EY$8:$EY$43)*COS(RADIANS(theta_L)))/((((MxMy_FixedP!$DX$8:$DX$43)*SIN(RADIANS(theta_L))-(MxMy_FixedP!$EY$8:$EY$43)*COS(RADIANS(theta_L))))-(((MxMy_FixedP!$DX$9:$DX$44)*SIN(RADIANS(theta_L))-(MxMy_FixedP!$EY$9:$EY$44)*COS(RADIANS(theta_L))))+((((MxMy_FixedP!$DX$8:$DX$43)*SIN(RADIANS(theta_L))-(MxMy_FixedP!$EY$8:$EY$43)*COS(RADIANS(theta_L))))=(((MxMy_FixedP!$DX$9:$DX$44)*SIN(RADIANS(theta_L))-(MxMy_FixedP!$EY$9:$EY$44)*COS(RADIANS(theta_L)))))))*((MxMy_FixedP!$DX$9:$DX$44)-(MxMy_FixedP!$DX$8:$DX$43)))*COS(RADIANS(theta_L))+((MxMy_FixedP!$EY$8:$EY$43)+(((MxMy_FixedP!$DX$8:$DX$43)*SIN(RADIANS(theta_L))-(MxMy_FixedP!$EY$8:$EY$43)*COS(RADIANS(theta_L)))/((((MxMy_FixedP!$DX$8:$DX$43)*SIN(RADIANS(theta_L))-(MxMy_FixedP!$EY$8:$EY$43)*COS(RADIANS(theta_L))))-(((MxMy_FixedP!$DX$9:$DX$44)*SIN(RADIANS(theta_L))-(MxMy_FixedP!$EY$9:$EY$44)*COS(RADIANS(theta_L))))+((((MxMy_FixedP!$DX$8:$DX$43)*SIN(RADIANS(theta_L))-(MxMy_FixedP!$EY$8:$EY$43)*COS(RADIANS(theta_L))))=(((MxMy_FixedP!$DX$9:$DX$44)*SIN(RADIANS(theta_L))-(MxMy_FixedP!$EY$9:$EY$44)*COS(RADIANS(theta_L)))))))*((MxMy_FixedP!$EY$9:$EY$44)-(MxMy_FixedP!$EY$8:$EY$43)))*SIN(RADIANS(theta_L)))&gt;0)))</f>
      </c>
      <c r="E24" s="10">
        <f>IF($K24&lt;=Mtol,MxMy_FixedP!$CW$8,IF(D24=0,"",SUMPRODUCT(((((MxMy_FixedP!$DX$8:$DX$43)*SIN(RADIANS(theta_L))-(MxMy_FixedP!$EY$8:$EY$43)*COS(RADIANS(theta_L))))*(((MxMy_FixedP!$DX$9:$DX$44)*SIN(RADIANS(theta_L))-(MxMy_FixedP!$EY$9:$EY$44)*COS(RADIANS(theta_L))))&lt;=0)*((((MxMy_FixedP!$DX$8:$DX$43)*SIN(RADIANS(theta_L))-(MxMy_FixedP!$EY$8:$EY$43)*COS(RADIANS(theta_L))))&lt;&gt;(((MxMy_FixedP!$DX$9:$DX$44)*SIN(RADIANS(theta_L))-(MxMy_FixedP!$EY$9:$EY$44)*COS(RADIANS(theta_L)))))*((((MxMy_FixedP!$DX$8:$DX$43)+(((MxMy_FixedP!$DX$8:$DX$43)*SIN(RADIANS(theta_L))-(MxMy_FixedP!$EY$8:$EY$43)*COS(RADIANS(theta_L)))/((((MxMy_FixedP!$DX$8:$DX$43)*SIN(RADIANS(theta_L))-(MxMy_FixedP!$EY$8:$EY$43)*COS(RADIANS(theta_L))))-(((MxMy_FixedP!$DX$9:$DX$44)*SIN(RADIANS(theta_L))-(MxMy_FixedP!$EY$9:$EY$44)*COS(RADIANS(theta_L))))+((((MxMy_FixedP!$DX$8:$DX$43)*SIN(RADIANS(theta_L))-(MxMy_FixedP!$EY$8:$EY$43)*COS(RADIANS(theta_L))))=(((MxMy_FixedP!$DX$9:$DX$44)*SIN(RADIANS(theta_L))-(MxMy_FixedP!$EY$9:$EY$44)*COS(RADIANS(theta_L)))))))*((MxMy_FixedP!$DX$9:$DX$44)-(MxMy_FixedP!$DX$8:$DX$43)))*COS(RADIANS(theta_L))+((MxMy_FixedP!$EY$8:$EY$43)+(((MxMy_FixedP!$DX$8:$DX$43)*SIN(RADIANS(theta_L))-(MxMy_FixedP!$EY$8:$EY$43)*COS(RADIANS(theta_L)))/((((MxMy_FixedP!$DX$8:$DX$43)*SIN(RADIANS(theta_L))-(MxMy_FixedP!$EY$8:$EY$43)*COS(RADIANS(theta_L))))-(((MxMy_FixedP!$DX$9:$DX$44)*SIN(RADIANS(theta_L))-(MxMy_FixedP!$EY$9:$EY$44)*COS(RADIANS(theta_L))))+((((MxMy_FixedP!$DX$8:$DX$43)*SIN(RADIANS(theta_L))-(MxMy_FixedP!$EY$8:$EY$43)*COS(RADIANS(theta_L))))=(((MxMy_FixedP!$DX$9:$DX$44)*SIN(RADIANS(theta_L))-(MxMy_FixedP!$EY$9:$EY$44)*COS(RADIANS(theta_L)))))))*((MxMy_FixedP!$EY$9:$EY$44)-(MxMy_FixedP!$EY$8:$EY$43)))*SIN(RADIANS(theta_L)))&gt;0),((MxMy_FixedP!$CW$8:$CW$43)+(((MxMy_FixedP!$DX$8:$DX$43)*SIN(RADIANS(theta_L))-(MxMy_FixedP!$EY$8:$EY$43)*COS(RADIANS(theta_L)))/((((MxMy_FixedP!$DX$8:$DX$43)*SIN(RADIANS(theta_L))-(MxMy_FixedP!$EY$8:$EY$43)*COS(RADIANS(theta_L))))-(((MxMy_FixedP!$DX$9:$DX$44)*SIN(RADIANS(theta_L))-(MxMy_FixedP!$EY$9:$EY$44)*COS(RADIANS(theta_L))))+((((MxMy_FixedP!$DX$8:$DX$43)*SIN(RADIANS(theta_L))-(MxMy_FixedP!$EY$8:$EY$43)*COS(RADIANS(theta_L))))=(((MxMy_FixedP!$DX$9:$DX$44)*SIN(RADIANS(theta_L))-(MxMy_FixedP!$EY$9:$EY$44)*COS(RADIANS(theta_L)))))))*((MxMy_FixedP!$CW$9:$CW$44)-(MxMy_FixedP!$CW$8:$CW$43))))/D24))</f>
      </c>
      <c r="F24" s="10">
        <f>IF($K24&lt;=Mtol,0,IF(D24=0,"",SUMPRODUCT(((((MxMy_FixedP!$DX$8:$DX$43)*SIN(RADIANS(theta_L))-(MxMy_FixedP!$EY$8:$EY$43)*COS(RADIANS(theta_L))))*(((MxMy_FixedP!$DX$9:$DX$44)*SIN(RADIANS(theta_L))-(MxMy_FixedP!$EY$9:$EY$44)*COS(RADIANS(theta_L))))&lt;=0)*((((MxMy_FixedP!$DX$8:$DX$43)*SIN(RADIANS(theta_L))-(MxMy_FixedP!$EY$8:$EY$43)*COS(RADIANS(theta_L))))&lt;&gt;(((MxMy_FixedP!$DX$9:$DX$44)*SIN(RADIANS(theta_L))-(MxMy_FixedP!$EY$9:$EY$44)*COS(RADIANS(theta_L)))))*((((MxMy_FixedP!$DX$8:$DX$43)+(((MxMy_FixedP!$DX$8:$DX$43)*SIN(RADIANS(theta_L))-(MxMy_FixedP!$EY$8:$EY$43)*COS(RADIANS(theta_L)))/((((MxMy_FixedP!$DX$8:$DX$43)*SIN(RADIANS(theta_L))-(MxMy_FixedP!$EY$8:$EY$43)*COS(RADIANS(theta_L))))-(((MxMy_FixedP!$DX$9:$DX$44)*SIN(RADIANS(theta_L))-(MxMy_FixedP!$EY$9:$EY$44)*COS(RADIANS(theta_L))))+((((MxMy_FixedP!$DX$8:$DX$43)*SIN(RADIANS(theta_L))-(MxMy_FixedP!$EY$8:$EY$43)*COS(RADIANS(theta_L))))=(((MxMy_FixedP!$DX$9:$DX$44)*SIN(RADIANS(theta_L))-(MxMy_FixedP!$EY$9:$EY$44)*COS(RADIANS(theta_L)))))))*((MxMy_FixedP!$DX$9:$DX$44)-(MxMy_FixedP!$DX$8:$DX$43)))*COS(RADIANS(theta_L))+((MxMy_FixedP!$EY$8:$EY$43)+(((MxMy_FixedP!$DX$8:$DX$43)*SIN(RADIANS(theta_L))-(MxMy_FixedP!$EY$8:$EY$43)*COS(RADIANS(theta_L)))/((((MxMy_FixedP!$DX$8:$DX$43)*SIN(RADIANS(theta_L))-(MxMy_FixedP!$EY$8:$EY$43)*COS(RADIANS(theta_L))))-(((MxMy_FixedP!$DX$9:$DX$44)*SIN(RADIANS(theta_L))-(MxMy_FixedP!$EY$9:$EY$44)*COS(RADIANS(theta_L))))+((((MxMy_FixedP!$DX$8:$DX$43)*SIN(RADIANS(theta_L))-(MxMy_FixedP!$EY$8:$EY$43)*COS(RADIANS(theta_L))))=(((MxMy_FixedP!$DX$9:$DX$44)*SIN(RADIANS(theta_L))-(MxMy_FixedP!$EY$9:$EY$44)*COS(RADIANS(theta_L)))))))*((MxMy_FixedP!$EY$9:$EY$44)-(MxMy_FixedP!$EY$8:$EY$43)))*SIN(RADIANS(theta_L)))&gt;0),(((MxMy_FixedP!$DX$8:$DX$43)+(((MxMy_FixedP!$DX$8:$DX$43)*SIN(RADIANS(theta_L))-(MxMy_FixedP!$EY$8:$EY$43)*COS(RADIANS(theta_L)))/((((MxMy_FixedP!$DX$8:$DX$43)*SIN(RADIANS(theta_L))-(MxMy_FixedP!$EY$8:$EY$43)*COS(RADIANS(theta_L))))-(((MxMy_FixedP!$DX$9:$DX$44)*SIN(RADIANS(theta_L))-(MxMy_FixedP!$EY$9:$EY$44)*COS(RADIANS(theta_L))))+((((MxMy_FixedP!$DX$8:$DX$43)*SIN(RADIANS(theta_L))-(MxMy_FixedP!$EY$8:$EY$43)*COS(RADIANS(theta_L))))=(((MxMy_FixedP!$DX$9:$DX$44)*SIN(RADIANS(theta_L))-(MxMy_FixedP!$EY$9:$EY$44)*COS(RADIANS(theta_L)))))))*((MxMy_FixedP!$DX$9:$DX$44)-(MxMy_FixedP!$DX$8:$DX$43)))*COS(RADIANS(theta_L))+((MxMy_FixedP!$EY$8:$EY$43)+(((MxMy_FixedP!$DX$8:$DX$43)*SIN(RADIANS(theta_L))-(MxMy_FixedP!$EY$8:$EY$43)*COS(RADIANS(theta_L)))/((((MxMy_FixedP!$DX$8:$DX$43)*SIN(RADIANS(theta_L))-(MxMy_FixedP!$EY$8:$EY$43)*COS(RADIANS(theta_L))))-(((MxMy_FixedP!$DX$9:$DX$44)*SIN(RADIANS(theta_L))-(MxMy_FixedP!$EY$9:$EY$44)*COS(RADIANS(theta_L))))+((((MxMy_FixedP!$DX$8:$DX$43)*SIN(RADIANS(theta_L))-(MxMy_FixedP!$EY$8:$EY$43)*COS(RADIANS(theta_L))))=(((MxMy_FixedP!$DX$9:$DX$44)*SIN(RADIANS(theta_L))-(MxMy_FixedP!$EY$9:$EY$44)*COS(RADIANS(theta_L)))))))*((MxMy_FixedP!$EY$9:$EY$44)-(MxMy_FixedP!$EY$8:$EY$43)))*SIN(RADIANS(theta_L))))/D24))</f>
      </c>
      <c r="G24" s="46">
        <f>IF($K24&lt;=Mtol,0,SUMPRODUCT(((((MxMy_FixedP!$DX$8:$DX$43)*SIN(RADIANS(theta_L))-(MxMy_FixedP!$EY$8:$EY$43)*COS(RADIANS(theta_L))))*(((MxMy_FixedP!$DX$9:$DX$44)*SIN(RADIANS(theta_L))-(MxMy_FixedP!$EY$9:$EY$44)*COS(RADIANS(theta_L))))&lt;=0)*((((MxMy_FixedP!$DX$8:$DX$43)*SIN(RADIANS(theta_L))-(MxMy_FixedP!$EY$8:$EY$43)*COS(RADIANS(theta_L))))&lt;&gt;(((MxMy_FixedP!$DX$9:$DX$44)*SIN(RADIANS(theta_L))-(MxMy_FixedP!$EY$9:$EY$44)*COS(RADIANS(theta_L)))))*((((MxMy_FixedP!$DX$8:$DX$43)+(((MxMy_FixedP!$DX$8:$DX$43)*SIN(RADIANS(theta_L))-(MxMy_FixedP!$EY$8:$EY$43)*COS(RADIANS(theta_L)))/((((MxMy_FixedP!$DX$8:$DX$43)*SIN(RADIANS(theta_L))-(MxMy_FixedP!$EY$8:$EY$43)*COS(RADIANS(theta_L))))-(((MxMy_FixedP!$DX$9:$DX$44)*SIN(RADIANS(theta_L))-(MxMy_FixedP!$EY$9:$EY$44)*COS(RADIANS(theta_L))))+((((MxMy_FixedP!$DX$8:$DX$43)*SIN(RADIANS(theta_L))-(MxMy_FixedP!$EY$8:$EY$43)*COS(RADIANS(theta_L))))=(((MxMy_FixedP!$DX$9:$DX$44)*SIN(RADIANS(theta_L))-(MxMy_FixedP!$EY$9:$EY$44)*COS(RADIANS(theta_L)))))))*((MxMy_FixedP!$DX$9:$DX$44)-(MxMy_FixedP!$DX$8:$DX$43)))*COS(RADIANS(theta_L))+((MxMy_FixedP!$EY$8:$EY$43)+(((MxMy_FixedP!$DX$8:$DX$43)*SIN(RADIANS(theta_L))-(MxMy_FixedP!$EY$8:$EY$43)*COS(RADIANS(theta_L)))/((((MxMy_FixedP!$DX$8:$DX$43)*SIN(RADIANS(theta_L))-(MxMy_FixedP!$EY$8:$EY$43)*COS(RADIANS(theta_L))))-(((MxMy_FixedP!$DX$9:$DX$44)*SIN(RADIANS(theta_L))-(MxMy_FixedP!$EY$9:$EY$44)*COS(RADIANS(theta_L))))+((((MxMy_FixedP!$DX$8:$DX$43)*SIN(RADIANS(theta_L))-(MxMy_FixedP!$EY$8:$EY$43)*COS(RADIANS(theta_L))))=(((MxMy_FixedP!$DX$9:$DX$44)*SIN(RADIANS(theta_L))-(MxMy_FixedP!$EY$9:$EY$44)*COS(RADIANS(theta_L)))))))*((MxMy_FixedP!$EY$9:$EY$44)-(MxMy_FixedP!$EY$8:$EY$43)))*SIN(RADIANS(theta_L)))&lt;0)))</f>
      </c>
      <c r="H24" s="10">
        <f>IF($K24&lt;=Mtol,MxMy_FixedP!$CW$8,IF(G24=0,"",SUMPRODUCT(((((MxMy_FixedP!$DX$8:$DX$43)*SIN(RADIANS(theta_L))-(MxMy_FixedP!$EY$8:$EY$43)*COS(RADIANS(theta_L))))*(((MxMy_FixedP!$DX$9:$DX$44)*SIN(RADIANS(theta_L))-(MxMy_FixedP!$EY$9:$EY$44)*COS(RADIANS(theta_L))))&lt;=0)*((((MxMy_FixedP!$DX$8:$DX$43)*SIN(RADIANS(theta_L))-(MxMy_FixedP!$EY$8:$EY$43)*COS(RADIANS(theta_L))))&lt;&gt;(((MxMy_FixedP!$DX$9:$DX$44)*SIN(RADIANS(theta_L))-(MxMy_FixedP!$EY$9:$EY$44)*COS(RADIANS(theta_L)))))*((((MxMy_FixedP!$DX$8:$DX$43)+(((MxMy_FixedP!$DX$8:$DX$43)*SIN(RADIANS(theta_L))-(MxMy_FixedP!$EY$8:$EY$43)*COS(RADIANS(theta_L)))/((((MxMy_FixedP!$DX$8:$DX$43)*SIN(RADIANS(theta_L))-(MxMy_FixedP!$EY$8:$EY$43)*COS(RADIANS(theta_L))))-(((MxMy_FixedP!$DX$9:$DX$44)*SIN(RADIANS(theta_L))-(MxMy_FixedP!$EY$9:$EY$44)*COS(RADIANS(theta_L))))+((((MxMy_FixedP!$DX$8:$DX$43)*SIN(RADIANS(theta_L))-(MxMy_FixedP!$EY$8:$EY$43)*COS(RADIANS(theta_L))))=(((MxMy_FixedP!$DX$9:$DX$44)*SIN(RADIANS(theta_L))-(MxMy_FixedP!$EY$9:$EY$44)*COS(RADIANS(theta_L)))))))*((MxMy_FixedP!$DX$9:$DX$44)-(MxMy_FixedP!$DX$8:$DX$43)))*COS(RADIANS(theta_L))+((MxMy_FixedP!$EY$8:$EY$43)+(((MxMy_FixedP!$DX$8:$DX$43)*SIN(RADIANS(theta_L))-(MxMy_FixedP!$EY$8:$EY$43)*COS(RADIANS(theta_L)))/((((MxMy_FixedP!$DX$8:$DX$43)*SIN(RADIANS(theta_L))-(MxMy_FixedP!$EY$8:$EY$43)*COS(RADIANS(theta_L))))-(((MxMy_FixedP!$DX$9:$DX$44)*SIN(RADIANS(theta_L))-(MxMy_FixedP!$EY$9:$EY$44)*COS(RADIANS(theta_L))))+((((MxMy_FixedP!$DX$8:$DX$43)*SIN(RADIANS(theta_L))-(MxMy_FixedP!$EY$8:$EY$43)*COS(RADIANS(theta_L))))=(((MxMy_FixedP!$DX$9:$DX$44)*SIN(RADIANS(theta_L))-(MxMy_FixedP!$EY$9:$EY$44)*COS(RADIANS(theta_L)))))))*((MxMy_FixedP!$EY$9:$EY$44)-(MxMy_FixedP!$EY$8:$EY$43)))*SIN(RADIANS(theta_L)))&lt;0),((MxMy_FixedP!$CW$8:$CW$43)+(((MxMy_FixedP!$DX$8:$DX$43)*SIN(RADIANS(theta_L))-(MxMy_FixedP!$EY$8:$EY$43)*COS(RADIANS(theta_L)))/((((MxMy_FixedP!$DX$8:$DX$43)*SIN(RADIANS(theta_L))-(MxMy_FixedP!$EY$8:$EY$43)*COS(RADIANS(theta_L))))-(((MxMy_FixedP!$DX$9:$DX$44)*SIN(RADIANS(theta_L))-(MxMy_FixedP!$EY$9:$EY$44)*COS(RADIANS(theta_L))))+((((MxMy_FixedP!$DX$8:$DX$43)*SIN(RADIANS(theta_L))-(MxMy_FixedP!$EY$8:$EY$43)*COS(RADIANS(theta_L))))=(((MxMy_FixedP!$DX$9:$DX$44)*SIN(RADIANS(theta_L))-(MxMy_FixedP!$EY$9:$EY$44)*COS(RADIANS(theta_L)))))))*((MxMy_FixedP!$CW$9:$CW$44)-(MxMy_FixedP!$CW$8:$CW$43))))/G24))</f>
      </c>
      <c r="I24" s="10">
        <f>IF($K24&lt;=Mtol,0,IF(G24=0,"",SUMPRODUCT(((((MxMy_FixedP!$DX$8:$DX$43)*SIN(RADIANS(theta_L))-(MxMy_FixedP!$EY$8:$EY$43)*COS(RADIANS(theta_L))))*(((MxMy_FixedP!$DX$9:$DX$44)*SIN(RADIANS(theta_L))-(MxMy_FixedP!$EY$9:$EY$44)*COS(RADIANS(theta_L))))&lt;=0)*((((MxMy_FixedP!$DX$8:$DX$43)*SIN(RADIANS(theta_L))-(MxMy_FixedP!$EY$8:$EY$43)*COS(RADIANS(theta_L))))&lt;&gt;(((MxMy_FixedP!$DX$9:$DX$44)*SIN(RADIANS(theta_L))-(MxMy_FixedP!$EY$9:$EY$44)*COS(RADIANS(theta_L)))))*((((MxMy_FixedP!$DX$8:$DX$43)+(((MxMy_FixedP!$DX$8:$DX$43)*SIN(RADIANS(theta_L))-(MxMy_FixedP!$EY$8:$EY$43)*COS(RADIANS(theta_L)))/((((MxMy_FixedP!$DX$8:$DX$43)*SIN(RADIANS(theta_L))-(MxMy_FixedP!$EY$8:$EY$43)*COS(RADIANS(theta_L))))-(((MxMy_FixedP!$DX$9:$DX$44)*SIN(RADIANS(theta_L))-(MxMy_FixedP!$EY$9:$EY$44)*COS(RADIANS(theta_L))))+((((MxMy_FixedP!$DX$8:$DX$43)*SIN(RADIANS(theta_L))-(MxMy_FixedP!$EY$8:$EY$43)*COS(RADIANS(theta_L))))=(((MxMy_FixedP!$DX$9:$DX$44)*SIN(RADIANS(theta_L))-(MxMy_FixedP!$EY$9:$EY$44)*COS(RADIANS(theta_L)))))))*((MxMy_FixedP!$DX$9:$DX$44)-(MxMy_FixedP!$DX$8:$DX$43)))*COS(RADIANS(theta_L))+((MxMy_FixedP!$EY$8:$EY$43)+(((MxMy_FixedP!$DX$8:$DX$43)*SIN(RADIANS(theta_L))-(MxMy_FixedP!$EY$8:$EY$43)*COS(RADIANS(theta_L)))/((((MxMy_FixedP!$DX$8:$DX$43)*SIN(RADIANS(theta_L))-(MxMy_FixedP!$EY$8:$EY$43)*COS(RADIANS(theta_L))))-(((MxMy_FixedP!$DX$9:$DX$44)*SIN(RADIANS(theta_L))-(MxMy_FixedP!$EY$9:$EY$44)*COS(RADIANS(theta_L))))+((((MxMy_FixedP!$DX$8:$DX$43)*SIN(RADIANS(theta_L))-(MxMy_FixedP!$EY$8:$EY$43)*COS(RADIANS(theta_L))))=(((MxMy_FixedP!$DX$9:$DX$44)*SIN(RADIANS(theta_L))-(MxMy_FixedP!$EY$9:$EY$44)*COS(RADIANS(theta_L)))))))*((MxMy_FixedP!$EY$9:$EY$44)-(MxMy_FixedP!$EY$8:$EY$43)))*SIN(RADIANS(theta_L)))&lt;0),(((MxMy_FixedP!$DX$8:$DX$43)+(((MxMy_FixedP!$DX$8:$DX$43)*SIN(RADIANS(theta_L))-(MxMy_FixedP!$EY$8:$EY$43)*COS(RADIANS(theta_L)))/((((MxMy_FixedP!$DX$8:$DX$43)*SIN(RADIANS(theta_L))-(MxMy_FixedP!$EY$8:$EY$43)*COS(RADIANS(theta_L))))-(((MxMy_FixedP!$DX$9:$DX$44)*SIN(RADIANS(theta_L))-(MxMy_FixedP!$EY$9:$EY$44)*COS(RADIANS(theta_L))))+((((MxMy_FixedP!$DX$8:$DX$43)*SIN(RADIANS(theta_L))-(MxMy_FixedP!$EY$8:$EY$43)*COS(RADIANS(theta_L))))=(((MxMy_FixedP!$DX$9:$DX$44)*SIN(RADIANS(theta_L))-(MxMy_FixedP!$EY$9:$EY$44)*COS(RADIANS(theta_L)))))))*((MxMy_FixedP!$DX$9:$DX$44)-(MxMy_FixedP!$DX$8:$DX$43)))*COS(RADIANS(theta_L))+((MxMy_FixedP!$EY$8:$EY$43)+(((MxMy_FixedP!$DX$8:$DX$43)*SIN(RADIANS(theta_L))-(MxMy_FixedP!$EY$8:$EY$43)*COS(RADIANS(theta_L)))/((((MxMy_FixedP!$DX$8:$DX$43)*SIN(RADIANS(theta_L))-(MxMy_FixedP!$EY$8:$EY$43)*COS(RADIANS(theta_L))))-(((MxMy_FixedP!$DX$9:$DX$44)*SIN(RADIANS(theta_L))-(MxMy_FixedP!$EY$9:$EY$44)*COS(RADIANS(theta_L))))+((((MxMy_FixedP!$DX$8:$DX$43)*SIN(RADIANS(theta_L))-(MxMy_FixedP!$EY$8:$EY$43)*COS(RADIANS(theta_L))))=(((MxMy_FixedP!$DX$9:$DX$44)*SIN(RADIANS(theta_L))-(MxMy_FixedP!$EY$9:$EY$44)*COS(RADIANS(theta_L)))))))*((MxMy_FixedP!$EY$9:$EY$44)-(MxMy_FixedP!$EY$8:$EY$43)))*SIN(RADIANS(theta_L))))/G24))</f>
      </c>
      <c r="J24">
        <f>IF($K24&lt;=Mtol,"pole",IF(AND(D24&gt;=1,G24&gt;=1),"ok","CHECK: "&amp;D24&amp;"/"&amp;G24&amp;" cuts"))</f>
      </c>
      <c r="K24" s="18">
        <v>7177.451206070804</v>
      </c>
    </row>
    <row r="25" spans="2:11" x14ac:dyDescent="0.25">
      <c r="B25" s="35" t="s">
        <v>232</v>
      </c>
      <c r="C25" s="54" t="s">
        <v>357</v>
      </c>
      <c r="D25" s="46">
        <f>IF($K25&lt;=Mtol,0,SUMPRODUCT(((((MxMy_FixedP!$DY$8:$DY$43)*SIN(RADIANS(theta_L))-(MxMy_FixedP!$EZ$8:$EZ$43)*COS(RADIANS(theta_L))))*(((MxMy_FixedP!$DY$9:$DY$44)*SIN(RADIANS(theta_L))-(MxMy_FixedP!$EZ$9:$EZ$44)*COS(RADIANS(theta_L))))&lt;=0)*((((MxMy_FixedP!$DY$8:$DY$43)*SIN(RADIANS(theta_L))-(MxMy_FixedP!$EZ$8:$EZ$43)*COS(RADIANS(theta_L))))&lt;&gt;(((MxMy_FixedP!$DY$9:$DY$44)*SIN(RADIANS(theta_L))-(MxMy_FixedP!$EZ$9:$EZ$44)*COS(RADIANS(theta_L)))))*((((MxMy_FixedP!$DY$8:$DY$43)+(((MxMy_FixedP!$DY$8:$DY$43)*SIN(RADIANS(theta_L))-(MxMy_FixedP!$EZ$8:$EZ$43)*COS(RADIANS(theta_L)))/((((MxMy_FixedP!$DY$8:$DY$43)*SIN(RADIANS(theta_L))-(MxMy_FixedP!$EZ$8:$EZ$43)*COS(RADIANS(theta_L))))-(((MxMy_FixedP!$DY$9:$DY$44)*SIN(RADIANS(theta_L))-(MxMy_FixedP!$EZ$9:$EZ$44)*COS(RADIANS(theta_L))))+((((MxMy_FixedP!$DY$8:$DY$43)*SIN(RADIANS(theta_L))-(MxMy_FixedP!$EZ$8:$EZ$43)*COS(RADIANS(theta_L))))=(((MxMy_FixedP!$DY$9:$DY$44)*SIN(RADIANS(theta_L))-(MxMy_FixedP!$EZ$9:$EZ$44)*COS(RADIANS(theta_L)))))))*((MxMy_FixedP!$DY$9:$DY$44)-(MxMy_FixedP!$DY$8:$DY$43)))*COS(RADIANS(theta_L))+((MxMy_FixedP!$EZ$8:$EZ$43)+(((MxMy_FixedP!$DY$8:$DY$43)*SIN(RADIANS(theta_L))-(MxMy_FixedP!$EZ$8:$EZ$43)*COS(RADIANS(theta_L)))/((((MxMy_FixedP!$DY$8:$DY$43)*SIN(RADIANS(theta_L))-(MxMy_FixedP!$EZ$8:$EZ$43)*COS(RADIANS(theta_L))))-(((MxMy_FixedP!$DY$9:$DY$44)*SIN(RADIANS(theta_L))-(MxMy_FixedP!$EZ$9:$EZ$44)*COS(RADIANS(theta_L))))+((((MxMy_FixedP!$DY$8:$DY$43)*SIN(RADIANS(theta_L))-(MxMy_FixedP!$EZ$8:$EZ$43)*COS(RADIANS(theta_L))))=(((MxMy_FixedP!$DY$9:$DY$44)*SIN(RADIANS(theta_L))-(MxMy_FixedP!$EZ$9:$EZ$44)*COS(RADIANS(theta_L)))))))*((MxMy_FixedP!$EZ$9:$EZ$44)-(MxMy_FixedP!$EZ$8:$EZ$43)))*SIN(RADIANS(theta_L)))&gt;0)))</f>
      </c>
      <c r="E25" s="10">
        <f>IF($K25&lt;=Mtol,MxMy_FixedP!$CX$8,IF(D25=0,"",SUMPRODUCT(((((MxMy_FixedP!$DY$8:$DY$43)*SIN(RADIANS(theta_L))-(MxMy_FixedP!$EZ$8:$EZ$43)*COS(RADIANS(theta_L))))*(((MxMy_FixedP!$DY$9:$DY$44)*SIN(RADIANS(theta_L))-(MxMy_FixedP!$EZ$9:$EZ$44)*COS(RADIANS(theta_L))))&lt;=0)*((((MxMy_FixedP!$DY$8:$DY$43)*SIN(RADIANS(theta_L))-(MxMy_FixedP!$EZ$8:$EZ$43)*COS(RADIANS(theta_L))))&lt;&gt;(((MxMy_FixedP!$DY$9:$DY$44)*SIN(RADIANS(theta_L))-(MxMy_FixedP!$EZ$9:$EZ$44)*COS(RADIANS(theta_L)))))*((((MxMy_FixedP!$DY$8:$DY$43)+(((MxMy_FixedP!$DY$8:$DY$43)*SIN(RADIANS(theta_L))-(MxMy_FixedP!$EZ$8:$EZ$43)*COS(RADIANS(theta_L)))/((((MxMy_FixedP!$DY$8:$DY$43)*SIN(RADIANS(theta_L))-(MxMy_FixedP!$EZ$8:$EZ$43)*COS(RADIANS(theta_L))))-(((MxMy_FixedP!$DY$9:$DY$44)*SIN(RADIANS(theta_L))-(MxMy_FixedP!$EZ$9:$EZ$44)*COS(RADIANS(theta_L))))+((((MxMy_FixedP!$DY$8:$DY$43)*SIN(RADIANS(theta_L))-(MxMy_FixedP!$EZ$8:$EZ$43)*COS(RADIANS(theta_L))))=(((MxMy_FixedP!$DY$9:$DY$44)*SIN(RADIANS(theta_L))-(MxMy_FixedP!$EZ$9:$EZ$44)*COS(RADIANS(theta_L)))))))*((MxMy_FixedP!$DY$9:$DY$44)-(MxMy_FixedP!$DY$8:$DY$43)))*COS(RADIANS(theta_L))+((MxMy_FixedP!$EZ$8:$EZ$43)+(((MxMy_FixedP!$DY$8:$DY$43)*SIN(RADIANS(theta_L))-(MxMy_FixedP!$EZ$8:$EZ$43)*COS(RADIANS(theta_L)))/((((MxMy_FixedP!$DY$8:$DY$43)*SIN(RADIANS(theta_L))-(MxMy_FixedP!$EZ$8:$EZ$43)*COS(RADIANS(theta_L))))-(((MxMy_FixedP!$DY$9:$DY$44)*SIN(RADIANS(theta_L))-(MxMy_FixedP!$EZ$9:$EZ$44)*COS(RADIANS(theta_L))))+((((MxMy_FixedP!$DY$8:$DY$43)*SIN(RADIANS(theta_L))-(MxMy_FixedP!$EZ$8:$EZ$43)*COS(RADIANS(theta_L))))=(((MxMy_FixedP!$DY$9:$DY$44)*SIN(RADIANS(theta_L))-(MxMy_FixedP!$EZ$9:$EZ$44)*COS(RADIANS(theta_L)))))))*((MxMy_FixedP!$EZ$9:$EZ$44)-(MxMy_FixedP!$EZ$8:$EZ$43)))*SIN(RADIANS(theta_L)))&gt;0),((MxMy_FixedP!$CX$8:$CX$43)+(((MxMy_FixedP!$DY$8:$DY$43)*SIN(RADIANS(theta_L))-(MxMy_FixedP!$EZ$8:$EZ$43)*COS(RADIANS(theta_L)))/((((MxMy_FixedP!$DY$8:$DY$43)*SIN(RADIANS(theta_L))-(MxMy_FixedP!$EZ$8:$EZ$43)*COS(RADIANS(theta_L))))-(((MxMy_FixedP!$DY$9:$DY$44)*SIN(RADIANS(theta_L))-(MxMy_FixedP!$EZ$9:$EZ$44)*COS(RADIANS(theta_L))))+((((MxMy_FixedP!$DY$8:$DY$43)*SIN(RADIANS(theta_L))-(MxMy_FixedP!$EZ$8:$EZ$43)*COS(RADIANS(theta_L))))=(((MxMy_FixedP!$DY$9:$DY$44)*SIN(RADIANS(theta_L))-(MxMy_FixedP!$EZ$9:$EZ$44)*COS(RADIANS(theta_L)))))))*((MxMy_FixedP!$CX$9:$CX$44)-(MxMy_FixedP!$CX$8:$CX$43))))/D25))</f>
      </c>
      <c r="F25" s="10">
        <f>IF($K25&lt;=Mtol,0,IF(D25=0,"",SUMPRODUCT(((((MxMy_FixedP!$DY$8:$DY$43)*SIN(RADIANS(theta_L))-(MxMy_FixedP!$EZ$8:$EZ$43)*COS(RADIANS(theta_L))))*(((MxMy_FixedP!$DY$9:$DY$44)*SIN(RADIANS(theta_L))-(MxMy_FixedP!$EZ$9:$EZ$44)*COS(RADIANS(theta_L))))&lt;=0)*((((MxMy_FixedP!$DY$8:$DY$43)*SIN(RADIANS(theta_L))-(MxMy_FixedP!$EZ$8:$EZ$43)*COS(RADIANS(theta_L))))&lt;&gt;(((MxMy_FixedP!$DY$9:$DY$44)*SIN(RADIANS(theta_L))-(MxMy_FixedP!$EZ$9:$EZ$44)*COS(RADIANS(theta_L)))))*((((MxMy_FixedP!$DY$8:$DY$43)+(((MxMy_FixedP!$DY$8:$DY$43)*SIN(RADIANS(theta_L))-(MxMy_FixedP!$EZ$8:$EZ$43)*COS(RADIANS(theta_L)))/((((MxMy_FixedP!$DY$8:$DY$43)*SIN(RADIANS(theta_L))-(MxMy_FixedP!$EZ$8:$EZ$43)*COS(RADIANS(theta_L))))-(((MxMy_FixedP!$DY$9:$DY$44)*SIN(RADIANS(theta_L))-(MxMy_FixedP!$EZ$9:$EZ$44)*COS(RADIANS(theta_L))))+((((MxMy_FixedP!$DY$8:$DY$43)*SIN(RADIANS(theta_L))-(MxMy_FixedP!$EZ$8:$EZ$43)*COS(RADIANS(theta_L))))=(((MxMy_FixedP!$DY$9:$DY$44)*SIN(RADIANS(theta_L))-(MxMy_FixedP!$EZ$9:$EZ$44)*COS(RADIANS(theta_L)))))))*((MxMy_FixedP!$DY$9:$DY$44)-(MxMy_FixedP!$DY$8:$DY$43)))*COS(RADIANS(theta_L))+((MxMy_FixedP!$EZ$8:$EZ$43)+(((MxMy_FixedP!$DY$8:$DY$43)*SIN(RADIANS(theta_L))-(MxMy_FixedP!$EZ$8:$EZ$43)*COS(RADIANS(theta_L)))/((((MxMy_FixedP!$DY$8:$DY$43)*SIN(RADIANS(theta_L))-(MxMy_FixedP!$EZ$8:$EZ$43)*COS(RADIANS(theta_L))))-(((MxMy_FixedP!$DY$9:$DY$44)*SIN(RADIANS(theta_L))-(MxMy_FixedP!$EZ$9:$EZ$44)*COS(RADIANS(theta_L))))+((((MxMy_FixedP!$DY$8:$DY$43)*SIN(RADIANS(theta_L))-(MxMy_FixedP!$EZ$8:$EZ$43)*COS(RADIANS(theta_L))))=(((MxMy_FixedP!$DY$9:$DY$44)*SIN(RADIANS(theta_L))-(MxMy_FixedP!$EZ$9:$EZ$44)*COS(RADIANS(theta_L)))))))*((MxMy_FixedP!$EZ$9:$EZ$44)-(MxMy_FixedP!$EZ$8:$EZ$43)))*SIN(RADIANS(theta_L)))&gt;0),(((MxMy_FixedP!$DY$8:$DY$43)+(((MxMy_FixedP!$DY$8:$DY$43)*SIN(RADIANS(theta_L))-(MxMy_FixedP!$EZ$8:$EZ$43)*COS(RADIANS(theta_L)))/((((MxMy_FixedP!$DY$8:$DY$43)*SIN(RADIANS(theta_L))-(MxMy_FixedP!$EZ$8:$EZ$43)*COS(RADIANS(theta_L))))-(((MxMy_FixedP!$DY$9:$DY$44)*SIN(RADIANS(theta_L))-(MxMy_FixedP!$EZ$9:$EZ$44)*COS(RADIANS(theta_L))))+((((MxMy_FixedP!$DY$8:$DY$43)*SIN(RADIANS(theta_L))-(MxMy_FixedP!$EZ$8:$EZ$43)*COS(RADIANS(theta_L))))=(((MxMy_FixedP!$DY$9:$DY$44)*SIN(RADIANS(theta_L))-(MxMy_FixedP!$EZ$9:$EZ$44)*COS(RADIANS(theta_L)))))))*((MxMy_FixedP!$DY$9:$DY$44)-(MxMy_FixedP!$DY$8:$DY$43)))*COS(RADIANS(theta_L))+((MxMy_FixedP!$EZ$8:$EZ$43)+(((MxMy_FixedP!$DY$8:$DY$43)*SIN(RADIANS(theta_L))-(MxMy_FixedP!$EZ$8:$EZ$43)*COS(RADIANS(theta_L)))/((((MxMy_FixedP!$DY$8:$DY$43)*SIN(RADIANS(theta_L))-(MxMy_FixedP!$EZ$8:$EZ$43)*COS(RADIANS(theta_L))))-(((MxMy_FixedP!$DY$9:$DY$44)*SIN(RADIANS(theta_L))-(MxMy_FixedP!$EZ$9:$EZ$44)*COS(RADIANS(theta_L))))+((((MxMy_FixedP!$DY$8:$DY$43)*SIN(RADIANS(theta_L))-(MxMy_FixedP!$EZ$8:$EZ$43)*COS(RADIANS(theta_L))))=(((MxMy_FixedP!$DY$9:$DY$44)*SIN(RADIANS(theta_L))-(MxMy_FixedP!$EZ$9:$EZ$44)*COS(RADIANS(theta_L)))))))*((MxMy_FixedP!$EZ$9:$EZ$44)-(MxMy_FixedP!$EZ$8:$EZ$43)))*SIN(RADIANS(theta_L))))/D25))</f>
      </c>
      <c r="G25" s="46">
        <f>IF($K25&lt;=Mtol,0,SUMPRODUCT(((((MxMy_FixedP!$DY$8:$DY$43)*SIN(RADIANS(theta_L))-(MxMy_FixedP!$EZ$8:$EZ$43)*COS(RADIANS(theta_L))))*(((MxMy_FixedP!$DY$9:$DY$44)*SIN(RADIANS(theta_L))-(MxMy_FixedP!$EZ$9:$EZ$44)*COS(RADIANS(theta_L))))&lt;=0)*((((MxMy_FixedP!$DY$8:$DY$43)*SIN(RADIANS(theta_L))-(MxMy_FixedP!$EZ$8:$EZ$43)*COS(RADIANS(theta_L))))&lt;&gt;(((MxMy_FixedP!$DY$9:$DY$44)*SIN(RADIANS(theta_L))-(MxMy_FixedP!$EZ$9:$EZ$44)*COS(RADIANS(theta_L)))))*((((MxMy_FixedP!$DY$8:$DY$43)+(((MxMy_FixedP!$DY$8:$DY$43)*SIN(RADIANS(theta_L))-(MxMy_FixedP!$EZ$8:$EZ$43)*COS(RADIANS(theta_L)))/((((MxMy_FixedP!$DY$8:$DY$43)*SIN(RADIANS(theta_L))-(MxMy_FixedP!$EZ$8:$EZ$43)*COS(RADIANS(theta_L))))-(((MxMy_FixedP!$DY$9:$DY$44)*SIN(RADIANS(theta_L))-(MxMy_FixedP!$EZ$9:$EZ$44)*COS(RADIANS(theta_L))))+((((MxMy_FixedP!$DY$8:$DY$43)*SIN(RADIANS(theta_L))-(MxMy_FixedP!$EZ$8:$EZ$43)*COS(RADIANS(theta_L))))=(((MxMy_FixedP!$DY$9:$DY$44)*SIN(RADIANS(theta_L))-(MxMy_FixedP!$EZ$9:$EZ$44)*COS(RADIANS(theta_L)))))))*((MxMy_FixedP!$DY$9:$DY$44)-(MxMy_FixedP!$DY$8:$DY$43)))*COS(RADIANS(theta_L))+((MxMy_FixedP!$EZ$8:$EZ$43)+(((MxMy_FixedP!$DY$8:$DY$43)*SIN(RADIANS(theta_L))-(MxMy_FixedP!$EZ$8:$EZ$43)*COS(RADIANS(theta_L)))/((((MxMy_FixedP!$DY$8:$DY$43)*SIN(RADIANS(theta_L))-(MxMy_FixedP!$EZ$8:$EZ$43)*COS(RADIANS(theta_L))))-(((MxMy_FixedP!$DY$9:$DY$44)*SIN(RADIANS(theta_L))-(MxMy_FixedP!$EZ$9:$EZ$44)*COS(RADIANS(theta_L))))+((((MxMy_FixedP!$DY$8:$DY$43)*SIN(RADIANS(theta_L))-(MxMy_FixedP!$EZ$8:$EZ$43)*COS(RADIANS(theta_L))))=(((MxMy_FixedP!$DY$9:$DY$44)*SIN(RADIANS(theta_L))-(MxMy_FixedP!$EZ$9:$EZ$44)*COS(RADIANS(theta_L)))))))*((MxMy_FixedP!$EZ$9:$EZ$44)-(MxMy_FixedP!$EZ$8:$EZ$43)))*SIN(RADIANS(theta_L)))&lt;0)))</f>
      </c>
      <c r="H25" s="10">
        <f>IF($K25&lt;=Mtol,MxMy_FixedP!$CX$8,IF(G25=0,"",SUMPRODUCT(((((MxMy_FixedP!$DY$8:$DY$43)*SIN(RADIANS(theta_L))-(MxMy_FixedP!$EZ$8:$EZ$43)*COS(RADIANS(theta_L))))*(((MxMy_FixedP!$DY$9:$DY$44)*SIN(RADIANS(theta_L))-(MxMy_FixedP!$EZ$9:$EZ$44)*COS(RADIANS(theta_L))))&lt;=0)*((((MxMy_FixedP!$DY$8:$DY$43)*SIN(RADIANS(theta_L))-(MxMy_FixedP!$EZ$8:$EZ$43)*COS(RADIANS(theta_L))))&lt;&gt;(((MxMy_FixedP!$DY$9:$DY$44)*SIN(RADIANS(theta_L))-(MxMy_FixedP!$EZ$9:$EZ$44)*COS(RADIANS(theta_L)))))*((((MxMy_FixedP!$DY$8:$DY$43)+(((MxMy_FixedP!$DY$8:$DY$43)*SIN(RADIANS(theta_L))-(MxMy_FixedP!$EZ$8:$EZ$43)*COS(RADIANS(theta_L)))/((((MxMy_FixedP!$DY$8:$DY$43)*SIN(RADIANS(theta_L))-(MxMy_FixedP!$EZ$8:$EZ$43)*COS(RADIANS(theta_L))))-(((MxMy_FixedP!$DY$9:$DY$44)*SIN(RADIANS(theta_L))-(MxMy_FixedP!$EZ$9:$EZ$44)*COS(RADIANS(theta_L))))+((((MxMy_FixedP!$DY$8:$DY$43)*SIN(RADIANS(theta_L))-(MxMy_FixedP!$EZ$8:$EZ$43)*COS(RADIANS(theta_L))))=(((MxMy_FixedP!$DY$9:$DY$44)*SIN(RADIANS(theta_L))-(MxMy_FixedP!$EZ$9:$EZ$44)*COS(RADIANS(theta_L)))))))*((MxMy_FixedP!$DY$9:$DY$44)-(MxMy_FixedP!$DY$8:$DY$43)))*COS(RADIANS(theta_L))+((MxMy_FixedP!$EZ$8:$EZ$43)+(((MxMy_FixedP!$DY$8:$DY$43)*SIN(RADIANS(theta_L))-(MxMy_FixedP!$EZ$8:$EZ$43)*COS(RADIANS(theta_L)))/((((MxMy_FixedP!$DY$8:$DY$43)*SIN(RADIANS(theta_L))-(MxMy_FixedP!$EZ$8:$EZ$43)*COS(RADIANS(theta_L))))-(((MxMy_FixedP!$DY$9:$DY$44)*SIN(RADIANS(theta_L))-(MxMy_FixedP!$EZ$9:$EZ$44)*COS(RADIANS(theta_L))))+((((MxMy_FixedP!$DY$8:$DY$43)*SIN(RADIANS(theta_L))-(MxMy_FixedP!$EZ$8:$EZ$43)*COS(RADIANS(theta_L))))=(((MxMy_FixedP!$DY$9:$DY$44)*SIN(RADIANS(theta_L))-(MxMy_FixedP!$EZ$9:$EZ$44)*COS(RADIANS(theta_L)))))))*((MxMy_FixedP!$EZ$9:$EZ$44)-(MxMy_FixedP!$EZ$8:$EZ$43)))*SIN(RADIANS(theta_L)))&lt;0),((MxMy_FixedP!$CX$8:$CX$43)+(((MxMy_FixedP!$DY$8:$DY$43)*SIN(RADIANS(theta_L))-(MxMy_FixedP!$EZ$8:$EZ$43)*COS(RADIANS(theta_L)))/((((MxMy_FixedP!$DY$8:$DY$43)*SIN(RADIANS(theta_L))-(MxMy_FixedP!$EZ$8:$EZ$43)*COS(RADIANS(theta_L))))-(((MxMy_FixedP!$DY$9:$DY$44)*SIN(RADIANS(theta_L))-(MxMy_FixedP!$EZ$9:$EZ$44)*COS(RADIANS(theta_L))))+((((MxMy_FixedP!$DY$8:$DY$43)*SIN(RADIANS(theta_L))-(MxMy_FixedP!$EZ$8:$EZ$43)*COS(RADIANS(theta_L))))=(((MxMy_FixedP!$DY$9:$DY$44)*SIN(RADIANS(theta_L))-(MxMy_FixedP!$EZ$9:$EZ$44)*COS(RADIANS(theta_L)))))))*((MxMy_FixedP!$CX$9:$CX$44)-(MxMy_FixedP!$CX$8:$CX$43))))/G25))</f>
      </c>
      <c r="I25" s="10">
        <f>IF($K25&lt;=Mtol,0,IF(G25=0,"",SUMPRODUCT(((((MxMy_FixedP!$DY$8:$DY$43)*SIN(RADIANS(theta_L))-(MxMy_FixedP!$EZ$8:$EZ$43)*COS(RADIANS(theta_L))))*(((MxMy_FixedP!$DY$9:$DY$44)*SIN(RADIANS(theta_L))-(MxMy_FixedP!$EZ$9:$EZ$44)*COS(RADIANS(theta_L))))&lt;=0)*((((MxMy_FixedP!$DY$8:$DY$43)*SIN(RADIANS(theta_L))-(MxMy_FixedP!$EZ$8:$EZ$43)*COS(RADIANS(theta_L))))&lt;&gt;(((MxMy_FixedP!$DY$9:$DY$44)*SIN(RADIANS(theta_L))-(MxMy_FixedP!$EZ$9:$EZ$44)*COS(RADIANS(theta_L)))))*((((MxMy_FixedP!$DY$8:$DY$43)+(((MxMy_FixedP!$DY$8:$DY$43)*SIN(RADIANS(theta_L))-(MxMy_FixedP!$EZ$8:$EZ$43)*COS(RADIANS(theta_L)))/((((MxMy_FixedP!$DY$8:$DY$43)*SIN(RADIANS(theta_L))-(MxMy_FixedP!$EZ$8:$EZ$43)*COS(RADIANS(theta_L))))-(((MxMy_FixedP!$DY$9:$DY$44)*SIN(RADIANS(theta_L))-(MxMy_FixedP!$EZ$9:$EZ$44)*COS(RADIANS(theta_L))))+((((MxMy_FixedP!$DY$8:$DY$43)*SIN(RADIANS(theta_L))-(MxMy_FixedP!$EZ$8:$EZ$43)*COS(RADIANS(theta_L))))=(((MxMy_FixedP!$DY$9:$DY$44)*SIN(RADIANS(theta_L))-(MxMy_FixedP!$EZ$9:$EZ$44)*COS(RADIANS(theta_L)))))))*((MxMy_FixedP!$DY$9:$DY$44)-(MxMy_FixedP!$DY$8:$DY$43)))*COS(RADIANS(theta_L))+((MxMy_FixedP!$EZ$8:$EZ$43)+(((MxMy_FixedP!$DY$8:$DY$43)*SIN(RADIANS(theta_L))-(MxMy_FixedP!$EZ$8:$EZ$43)*COS(RADIANS(theta_L)))/((((MxMy_FixedP!$DY$8:$DY$43)*SIN(RADIANS(theta_L))-(MxMy_FixedP!$EZ$8:$EZ$43)*COS(RADIANS(theta_L))))-(((MxMy_FixedP!$DY$9:$DY$44)*SIN(RADIANS(theta_L))-(MxMy_FixedP!$EZ$9:$EZ$44)*COS(RADIANS(theta_L))))+((((MxMy_FixedP!$DY$8:$DY$43)*SIN(RADIANS(theta_L))-(MxMy_FixedP!$EZ$8:$EZ$43)*COS(RADIANS(theta_L))))=(((MxMy_FixedP!$DY$9:$DY$44)*SIN(RADIANS(theta_L))-(MxMy_FixedP!$EZ$9:$EZ$44)*COS(RADIANS(theta_L)))))))*((MxMy_FixedP!$EZ$9:$EZ$44)-(MxMy_FixedP!$EZ$8:$EZ$43)))*SIN(RADIANS(theta_L)))&lt;0),(((MxMy_FixedP!$DY$8:$DY$43)+(((MxMy_FixedP!$DY$8:$DY$43)*SIN(RADIANS(theta_L))-(MxMy_FixedP!$EZ$8:$EZ$43)*COS(RADIANS(theta_L)))/((((MxMy_FixedP!$DY$8:$DY$43)*SIN(RADIANS(theta_L))-(MxMy_FixedP!$EZ$8:$EZ$43)*COS(RADIANS(theta_L))))-(((MxMy_FixedP!$DY$9:$DY$44)*SIN(RADIANS(theta_L))-(MxMy_FixedP!$EZ$9:$EZ$44)*COS(RADIANS(theta_L))))+((((MxMy_FixedP!$DY$8:$DY$43)*SIN(RADIANS(theta_L))-(MxMy_FixedP!$EZ$8:$EZ$43)*COS(RADIANS(theta_L))))=(((MxMy_FixedP!$DY$9:$DY$44)*SIN(RADIANS(theta_L))-(MxMy_FixedP!$EZ$9:$EZ$44)*COS(RADIANS(theta_L)))))))*((MxMy_FixedP!$DY$9:$DY$44)-(MxMy_FixedP!$DY$8:$DY$43)))*COS(RADIANS(theta_L))+((MxMy_FixedP!$EZ$8:$EZ$43)+(((MxMy_FixedP!$DY$8:$DY$43)*SIN(RADIANS(theta_L))-(MxMy_FixedP!$EZ$8:$EZ$43)*COS(RADIANS(theta_L)))/((((MxMy_FixedP!$DY$8:$DY$43)*SIN(RADIANS(theta_L))-(MxMy_FixedP!$EZ$8:$EZ$43)*COS(RADIANS(theta_L))))-(((MxMy_FixedP!$DY$9:$DY$44)*SIN(RADIANS(theta_L))-(MxMy_FixedP!$EZ$9:$EZ$44)*COS(RADIANS(theta_L))))+((((MxMy_FixedP!$DY$8:$DY$43)*SIN(RADIANS(theta_L))-(MxMy_FixedP!$EZ$8:$EZ$43)*COS(RADIANS(theta_L))))=(((MxMy_FixedP!$DY$9:$DY$44)*SIN(RADIANS(theta_L))-(MxMy_FixedP!$EZ$9:$EZ$44)*COS(RADIANS(theta_L)))))))*((MxMy_FixedP!$EZ$9:$EZ$44)-(MxMy_FixedP!$EZ$8:$EZ$43)))*SIN(RADIANS(theta_L))))/G25))</f>
      </c>
      <c r="J25">
        <f>IF($K25&lt;=Mtol,"pole",IF(AND(D25&gt;=1,G25&gt;=1),"ok","CHECK: "&amp;D25&amp;"/"&amp;G25&amp;" cuts"))</f>
      </c>
      <c r="K25" s="18">
        <v>7186.385290245859</v>
      </c>
    </row>
    <row r="26" spans="2:11" x14ac:dyDescent="0.25">
      <c r="B26" s="35" t="s">
        <v>233</v>
      </c>
      <c r="C26" s="54" t="s">
        <v>358</v>
      </c>
      <c r="D26" s="46">
        <f>IF($K26&lt;=Mtol,0,SUMPRODUCT(((((MxMy_FixedP!$DZ$8:$DZ$43)*SIN(RADIANS(theta_L))-(MxMy_FixedP!$FA$8:$FA$43)*COS(RADIANS(theta_L))))*(((MxMy_FixedP!$DZ$9:$DZ$44)*SIN(RADIANS(theta_L))-(MxMy_FixedP!$FA$9:$FA$44)*COS(RADIANS(theta_L))))&lt;=0)*((((MxMy_FixedP!$DZ$8:$DZ$43)*SIN(RADIANS(theta_L))-(MxMy_FixedP!$FA$8:$FA$43)*COS(RADIANS(theta_L))))&lt;&gt;(((MxMy_FixedP!$DZ$9:$DZ$44)*SIN(RADIANS(theta_L))-(MxMy_FixedP!$FA$9:$FA$44)*COS(RADIANS(theta_L)))))*((((MxMy_FixedP!$DZ$8:$DZ$43)+(((MxMy_FixedP!$DZ$8:$DZ$43)*SIN(RADIANS(theta_L))-(MxMy_FixedP!$FA$8:$FA$43)*COS(RADIANS(theta_L)))/((((MxMy_FixedP!$DZ$8:$DZ$43)*SIN(RADIANS(theta_L))-(MxMy_FixedP!$FA$8:$FA$43)*COS(RADIANS(theta_L))))-(((MxMy_FixedP!$DZ$9:$DZ$44)*SIN(RADIANS(theta_L))-(MxMy_FixedP!$FA$9:$FA$44)*COS(RADIANS(theta_L))))+((((MxMy_FixedP!$DZ$8:$DZ$43)*SIN(RADIANS(theta_L))-(MxMy_FixedP!$FA$8:$FA$43)*COS(RADIANS(theta_L))))=(((MxMy_FixedP!$DZ$9:$DZ$44)*SIN(RADIANS(theta_L))-(MxMy_FixedP!$FA$9:$FA$44)*COS(RADIANS(theta_L)))))))*((MxMy_FixedP!$DZ$9:$DZ$44)-(MxMy_FixedP!$DZ$8:$DZ$43)))*COS(RADIANS(theta_L))+((MxMy_FixedP!$FA$8:$FA$43)+(((MxMy_FixedP!$DZ$8:$DZ$43)*SIN(RADIANS(theta_L))-(MxMy_FixedP!$FA$8:$FA$43)*COS(RADIANS(theta_L)))/((((MxMy_FixedP!$DZ$8:$DZ$43)*SIN(RADIANS(theta_L))-(MxMy_FixedP!$FA$8:$FA$43)*COS(RADIANS(theta_L))))-(((MxMy_FixedP!$DZ$9:$DZ$44)*SIN(RADIANS(theta_L))-(MxMy_FixedP!$FA$9:$FA$44)*COS(RADIANS(theta_L))))+((((MxMy_FixedP!$DZ$8:$DZ$43)*SIN(RADIANS(theta_L))-(MxMy_FixedP!$FA$8:$FA$43)*COS(RADIANS(theta_L))))=(((MxMy_FixedP!$DZ$9:$DZ$44)*SIN(RADIANS(theta_L))-(MxMy_FixedP!$FA$9:$FA$44)*COS(RADIANS(theta_L)))))))*((MxMy_FixedP!$FA$9:$FA$44)-(MxMy_FixedP!$FA$8:$FA$43)))*SIN(RADIANS(theta_L)))&gt;0)))</f>
      </c>
      <c r="E26" s="10">
        <f>IF($K26&lt;=Mtol,MxMy_FixedP!$CY$8,IF(D26=0,"",SUMPRODUCT(((((MxMy_FixedP!$DZ$8:$DZ$43)*SIN(RADIANS(theta_L))-(MxMy_FixedP!$FA$8:$FA$43)*COS(RADIANS(theta_L))))*(((MxMy_FixedP!$DZ$9:$DZ$44)*SIN(RADIANS(theta_L))-(MxMy_FixedP!$FA$9:$FA$44)*COS(RADIANS(theta_L))))&lt;=0)*((((MxMy_FixedP!$DZ$8:$DZ$43)*SIN(RADIANS(theta_L))-(MxMy_FixedP!$FA$8:$FA$43)*COS(RADIANS(theta_L))))&lt;&gt;(((MxMy_FixedP!$DZ$9:$DZ$44)*SIN(RADIANS(theta_L))-(MxMy_FixedP!$FA$9:$FA$44)*COS(RADIANS(theta_L)))))*((((MxMy_FixedP!$DZ$8:$DZ$43)+(((MxMy_FixedP!$DZ$8:$DZ$43)*SIN(RADIANS(theta_L))-(MxMy_FixedP!$FA$8:$FA$43)*COS(RADIANS(theta_L)))/((((MxMy_FixedP!$DZ$8:$DZ$43)*SIN(RADIANS(theta_L))-(MxMy_FixedP!$FA$8:$FA$43)*COS(RADIANS(theta_L))))-(((MxMy_FixedP!$DZ$9:$DZ$44)*SIN(RADIANS(theta_L))-(MxMy_FixedP!$FA$9:$FA$44)*COS(RADIANS(theta_L))))+((((MxMy_FixedP!$DZ$8:$DZ$43)*SIN(RADIANS(theta_L))-(MxMy_FixedP!$FA$8:$FA$43)*COS(RADIANS(theta_L))))=(((MxMy_FixedP!$DZ$9:$DZ$44)*SIN(RADIANS(theta_L))-(MxMy_FixedP!$FA$9:$FA$44)*COS(RADIANS(theta_L)))))))*((MxMy_FixedP!$DZ$9:$DZ$44)-(MxMy_FixedP!$DZ$8:$DZ$43)))*COS(RADIANS(theta_L))+((MxMy_FixedP!$FA$8:$FA$43)+(((MxMy_FixedP!$DZ$8:$DZ$43)*SIN(RADIANS(theta_L))-(MxMy_FixedP!$FA$8:$FA$43)*COS(RADIANS(theta_L)))/((((MxMy_FixedP!$DZ$8:$DZ$43)*SIN(RADIANS(theta_L))-(MxMy_FixedP!$FA$8:$FA$43)*COS(RADIANS(theta_L))))-(((MxMy_FixedP!$DZ$9:$DZ$44)*SIN(RADIANS(theta_L))-(MxMy_FixedP!$FA$9:$FA$44)*COS(RADIANS(theta_L))))+((((MxMy_FixedP!$DZ$8:$DZ$43)*SIN(RADIANS(theta_L))-(MxMy_FixedP!$FA$8:$FA$43)*COS(RADIANS(theta_L))))=(((MxMy_FixedP!$DZ$9:$DZ$44)*SIN(RADIANS(theta_L))-(MxMy_FixedP!$FA$9:$FA$44)*COS(RADIANS(theta_L)))))))*((MxMy_FixedP!$FA$9:$FA$44)-(MxMy_FixedP!$FA$8:$FA$43)))*SIN(RADIANS(theta_L)))&gt;0),((MxMy_FixedP!$CY$8:$CY$43)+(((MxMy_FixedP!$DZ$8:$DZ$43)*SIN(RADIANS(theta_L))-(MxMy_FixedP!$FA$8:$FA$43)*COS(RADIANS(theta_L)))/((((MxMy_FixedP!$DZ$8:$DZ$43)*SIN(RADIANS(theta_L))-(MxMy_FixedP!$FA$8:$FA$43)*COS(RADIANS(theta_L))))-(((MxMy_FixedP!$DZ$9:$DZ$44)*SIN(RADIANS(theta_L))-(MxMy_FixedP!$FA$9:$FA$44)*COS(RADIANS(theta_L))))+((((MxMy_FixedP!$DZ$8:$DZ$43)*SIN(RADIANS(theta_L))-(MxMy_FixedP!$FA$8:$FA$43)*COS(RADIANS(theta_L))))=(((MxMy_FixedP!$DZ$9:$DZ$44)*SIN(RADIANS(theta_L))-(MxMy_FixedP!$FA$9:$FA$44)*COS(RADIANS(theta_L)))))))*((MxMy_FixedP!$CY$9:$CY$44)-(MxMy_FixedP!$CY$8:$CY$43))))/D26))</f>
      </c>
      <c r="F26" s="10">
        <f>IF($K26&lt;=Mtol,0,IF(D26=0,"",SUMPRODUCT(((((MxMy_FixedP!$DZ$8:$DZ$43)*SIN(RADIANS(theta_L))-(MxMy_FixedP!$FA$8:$FA$43)*COS(RADIANS(theta_L))))*(((MxMy_FixedP!$DZ$9:$DZ$44)*SIN(RADIANS(theta_L))-(MxMy_FixedP!$FA$9:$FA$44)*COS(RADIANS(theta_L))))&lt;=0)*((((MxMy_FixedP!$DZ$8:$DZ$43)*SIN(RADIANS(theta_L))-(MxMy_FixedP!$FA$8:$FA$43)*COS(RADIANS(theta_L))))&lt;&gt;(((MxMy_FixedP!$DZ$9:$DZ$44)*SIN(RADIANS(theta_L))-(MxMy_FixedP!$FA$9:$FA$44)*COS(RADIANS(theta_L)))))*((((MxMy_FixedP!$DZ$8:$DZ$43)+(((MxMy_FixedP!$DZ$8:$DZ$43)*SIN(RADIANS(theta_L))-(MxMy_FixedP!$FA$8:$FA$43)*COS(RADIANS(theta_L)))/((((MxMy_FixedP!$DZ$8:$DZ$43)*SIN(RADIANS(theta_L))-(MxMy_FixedP!$FA$8:$FA$43)*COS(RADIANS(theta_L))))-(((MxMy_FixedP!$DZ$9:$DZ$44)*SIN(RADIANS(theta_L))-(MxMy_FixedP!$FA$9:$FA$44)*COS(RADIANS(theta_L))))+((((MxMy_FixedP!$DZ$8:$DZ$43)*SIN(RADIANS(theta_L))-(MxMy_FixedP!$FA$8:$FA$43)*COS(RADIANS(theta_L))))=(((MxMy_FixedP!$DZ$9:$DZ$44)*SIN(RADIANS(theta_L))-(MxMy_FixedP!$FA$9:$FA$44)*COS(RADIANS(theta_L)))))))*((MxMy_FixedP!$DZ$9:$DZ$44)-(MxMy_FixedP!$DZ$8:$DZ$43)))*COS(RADIANS(theta_L))+((MxMy_FixedP!$FA$8:$FA$43)+(((MxMy_FixedP!$DZ$8:$DZ$43)*SIN(RADIANS(theta_L))-(MxMy_FixedP!$FA$8:$FA$43)*COS(RADIANS(theta_L)))/((((MxMy_FixedP!$DZ$8:$DZ$43)*SIN(RADIANS(theta_L))-(MxMy_FixedP!$FA$8:$FA$43)*COS(RADIANS(theta_L))))-(((MxMy_FixedP!$DZ$9:$DZ$44)*SIN(RADIANS(theta_L))-(MxMy_FixedP!$FA$9:$FA$44)*COS(RADIANS(theta_L))))+((((MxMy_FixedP!$DZ$8:$DZ$43)*SIN(RADIANS(theta_L))-(MxMy_FixedP!$FA$8:$FA$43)*COS(RADIANS(theta_L))))=(((MxMy_FixedP!$DZ$9:$DZ$44)*SIN(RADIANS(theta_L))-(MxMy_FixedP!$FA$9:$FA$44)*COS(RADIANS(theta_L)))))))*((MxMy_FixedP!$FA$9:$FA$44)-(MxMy_FixedP!$FA$8:$FA$43)))*SIN(RADIANS(theta_L)))&gt;0),(((MxMy_FixedP!$DZ$8:$DZ$43)+(((MxMy_FixedP!$DZ$8:$DZ$43)*SIN(RADIANS(theta_L))-(MxMy_FixedP!$FA$8:$FA$43)*COS(RADIANS(theta_L)))/((((MxMy_FixedP!$DZ$8:$DZ$43)*SIN(RADIANS(theta_L))-(MxMy_FixedP!$FA$8:$FA$43)*COS(RADIANS(theta_L))))-(((MxMy_FixedP!$DZ$9:$DZ$44)*SIN(RADIANS(theta_L))-(MxMy_FixedP!$FA$9:$FA$44)*COS(RADIANS(theta_L))))+((((MxMy_FixedP!$DZ$8:$DZ$43)*SIN(RADIANS(theta_L))-(MxMy_FixedP!$FA$8:$FA$43)*COS(RADIANS(theta_L))))=(((MxMy_FixedP!$DZ$9:$DZ$44)*SIN(RADIANS(theta_L))-(MxMy_FixedP!$FA$9:$FA$44)*COS(RADIANS(theta_L)))))))*((MxMy_FixedP!$DZ$9:$DZ$44)-(MxMy_FixedP!$DZ$8:$DZ$43)))*COS(RADIANS(theta_L))+((MxMy_FixedP!$FA$8:$FA$43)+(((MxMy_FixedP!$DZ$8:$DZ$43)*SIN(RADIANS(theta_L))-(MxMy_FixedP!$FA$8:$FA$43)*COS(RADIANS(theta_L)))/((((MxMy_FixedP!$DZ$8:$DZ$43)*SIN(RADIANS(theta_L))-(MxMy_FixedP!$FA$8:$FA$43)*COS(RADIANS(theta_L))))-(((MxMy_FixedP!$DZ$9:$DZ$44)*SIN(RADIANS(theta_L))-(MxMy_FixedP!$FA$9:$FA$44)*COS(RADIANS(theta_L))))+((((MxMy_FixedP!$DZ$8:$DZ$43)*SIN(RADIANS(theta_L))-(MxMy_FixedP!$FA$8:$FA$43)*COS(RADIANS(theta_L))))=(((MxMy_FixedP!$DZ$9:$DZ$44)*SIN(RADIANS(theta_L))-(MxMy_FixedP!$FA$9:$FA$44)*COS(RADIANS(theta_L)))))))*((MxMy_FixedP!$FA$9:$FA$44)-(MxMy_FixedP!$FA$8:$FA$43)))*SIN(RADIANS(theta_L))))/D26))</f>
      </c>
      <c r="G26" s="46">
        <f>IF($K26&lt;=Mtol,0,SUMPRODUCT(((((MxMy_FixedP!$DZ$8:$DZ$43)*SIN(RADIANS(theta_L))-(MxMy_FixedP!$FA$8:$FA$43)*COS(RADIANS(theta_L))))*(((MxMy_FixedP!$DZ$9:$DZ$44)*SIN(RADIANS(theta_L))-(MxMy_FixedP!$FA$9:$FA$44)*COS(RADIANS(theta_L))))&lt;=0)*((((MxMy_FixedP!$DZ$8:$DZ$43)*SIN(RADIANS(theta_L))-(MxMy_FixedP!$FA$8:$FA$43)*COS(RADIANS(theta_L))))&lt;&gt;(((MxMy_FixedP!$DZ$9:$DZ$44)*SIN(RADIANS(theta_L))-(MxMy_FixedP!$FA$9:$FA$44)*COS(RADIANS(theta_L)))))*((((MxMy_FixedP!$DZ$8:$DZ$43)+(((MxMy_FixedP!$DZ$8:$DZ$43)*SIN(RADIANS(theta_L))-(MxMy_FixedP!$FA$8:$FA$43)*COS(RADIANS(theta_L)))/((((MxMy_FixedP!$DZ$8:$DZ$43)*SIN(RADIANS(theta_L))-(MxMy_FixedP!$FA$8:$FA$43)*COS(RADIANS(theta_L))))-(((MxMy_FixedP!$DZ$9:$DZ$44)*SIN(RADIANS(theta_L))-(MxMy_FixedP!$FA$9:$FA$44)*COS(RADIANS(theta_L))))+((((MxMy_FixedP!$DZ$8:$DZ$43)*SIN(RADIANS(theta_L))-(MxMy_FixedP!$FA$8:$FA$43)*COS(RADIANS(theta_L))))=(((MxMy_FixedP!$DZ$9:$DZ$44)*SIN(RADIANS(theta_L))-(MxMy_FixedP!$FA$9:$FA$44)*COS(RADIANS(theta_L)))))))*((MxMy_FixedP!$DZ$9:$DZ$44)-(MxMy_FixedP!$DZ$8:$DZ$43)))*COS(RADIANS(theta_L))+((MxMy_FixedP!$FA$8:$FA$43)+(((MxMy_FixedP!$DZ$8:$DZ$43)*SIN(RADIANS(theta_L))-(MxMy_FixedP!$FA$8:$FA$43)*COS(RADIANS(theta_L)))/((((MxMy_FixedP!$DZ$8:$DZ$43)*SIN(RADIANS(theta_L))-(MxMy_FixedP!$FA$8:$FA$43)*COS(RADIANS(theta_L))))-(((MxMy_FixedP!$DZ$9:$DZ$44)*SIN(RADIANS(theta_L))-(MxMy_FixedP!$FA$9:$FA$44)*COS(RADIANS(theta_L))))+((((MxMy_FixedP!$DZ$8:$DZ$43)*SIN(RADIANS(theta_L))-(MxMy_FixedP!$FA$8:$FA$43)*COS(RADIANS(theta_L))))=(((MxMy_FixedP!$DZ$9:$DZ$44)*SIN(RADIANS(theta_L))-(MxMy_FixedP!$FA$9:$FA$44)*COS(RADIANS(theta_L)))))))*((MxMy_FixedP!$FA$9:$FA$44)-(MxMy_FixedP!$FA$8:$FA$43)))*SIN(RADIANS(theta_L)))&lt;0)))</f>
      </c>
      <c r="H26" s="10">
        <f>IF($K26&lt;=Mtol,MxMy_FixedP!$CY$8,IF(G26=0,"",SUMPRODUCT(((((MxMy_FixedP!$DZ$8:$DZ$43)*SIN(RADIANS(theta_L))-(MxMy_FixedP!$FA$8:$FA$43)*COS(RADIANS(theta_L))))*(((MxMy_FixedP!$DZ$9:$DZ$44)*SIN(RADIANS(theta_L))-(MxMy_FixedP!$FA$9:$FA$44)*COS(RADIANS(theta_L))))&lt;=0)*((((MxMy_FixedP!$DZ$8:$DZ$43)*SIN(RADIANS(theta_L))-(MxMy_FixedP!$FA$8:$FA$43)*COS(RADIANS(theta_L))))&lt;&gt;(((MxMy_FixedP!$DZ$9:$DZ$44)*SIN(RADIANS(theta_L))-(MxMy_FixedP!$FA$9:$FA$44)*COS(RADIANS(theta_L)))))*((((MxMy_FixedP!$DZ$8:$DZ$43)+(((MxMy_FixedP!$DZ$8:$DZ$43)*SIN(RADIANS(theta_L))-(MxMy_FixedP!$FA$8:$FA$43)*COS(RADIANS(theta_L)))/((((MxMy_FixedP!$DZ$8:$DZ$43)*SIN(RADIANS(theta_L))-(MxMy_FixedP!$FA$8:$FA$43)*COS(RADIANS(theta_L))))-(((MxMy_FixedP!$DZ$9:$DZ$44)*SIN(RADIANS(theta_L))-(MxMy_FixedP!$FA$9:$FA$44)*COS(RADIANS(theta_L))))+((((MxMy_FixedP!$DZ$8:$DZ$43)*SIN(RADIANS(theta_L))-(MxMy_FixedP!$FA$8:$FA$43)*COS(RADIANS(theta_L))))=(((MxMy_FixedP!$DZ$9:$DZ$44)*SIN(RADIANS(theta_L))-(MxMy_FixedP!$FA$9:$FA$44)*COS(RADIANS(theta_L)))))))*((MxMy_FixedP!$DZ$9:$DZ$44)-(MxMy_FixedP!$DZ$8:$DZ$43)))*COS(RADIANS(theta_L))+((MxMy_FixedP!$FA$8:$FA$43)+(((MxMy_FixedP!$DZ$8:$DZ$43)*SIN(RADIANS(theta_L))-(MxMy_FixedP!$FA$8:$FA$43)*COS(RADIANS(theta_L)))/((((MxMy_FixedP!$DZ$8:$DZ$43)*SIN(RADIANS(theta_L))-(MxMy_FixedP!$FA$8:$FA$43)*COS(RADIANS(theta_L))))-(((MxMy_FixedP!$DZ$9:$DZ$44)*SIN(RADIANS(theta_L))-(MxMy_FixedP!$FA$9:$FA$44)*COS(RADIANS(theta_L))))+((((MxMy_FixedP!$DZ$8:$DZ$43)*SIN(RADIANS(theta_L))-(MxMy_FixedP!$FA$8:$FA$43)*COS(RADIANS(theta_L))))=(((MxMy_FixedP!$DZ$9:$DZ$44)*SIN(RADIANS(theta_L))-(MxMy_FixedP!$FA$9:$FA$44)*COS(RADIANS(theta_L)))))))*((MxMy_FixedP!$FA$9:$FA$44)-(MxMy_FixedP!$FA$8:$FA$43)))*SIN(RADIANS(theta_L)))&lt;0),((MxMy_FixedP!$CY$8:$CY$43)+(((MxMy_FixedP!$DZ$8:$DZ$43)*SIN(RADIANS(theta_L))-(MxMy_FixedP!$FA$8:$FA$43)*COS(RADIANS(theta_L)))/((((MxMy_FixedP!$DZ$8:$DZ$43)*SIN(RADIANS(theta_L))-(MxMy_FixedP!$FA$8:$FA$43)*COS(RADIANS(theta_L))))-(((MxMy_FixedP!$DZ$9:$DZ$44)*SIN(RADIANS(theta_L))-(MxMy_FixedP!$FA$9:$FA$44)*COS(RADIANS(theta_L))))+((((MxMy_FixedP!$DZ$8:$DZ$43)*SIN(RADIANS(theta_L))-(MxMy_FixedP!$FA$8:$FA$43)*COS(RADIANS(theta_L))))=(((MxMy_FixedP!$DZ$9:$DZ$44)*SIN(RADIANS(theta_L))-(MxMy_FixedP!$FA$9:$FA$44)*COS(RADIANS(theta_L)))))))*((MxMy_FixedP!$CY$9:$CY$44)-(MxMy_FixedP!$CY$8:$CY$43))))/G26))</f>
      </c>
      <c r="I26" s="10">
        <f>IF($K26&lt;=Mtol,0,IF(G26=0,"",SUMPRODUCT(((((MxMy_FixedP!$DZ$8:$DZ$43)*SIN(RADIANS(theta_L))-(MxMy_FixedP!$FA$8:$FA$43)*COS(RADIANS(theta_L))))*(((MxMy_FixedP!$DZ$9:$DZ$44)*SIN(RADIANS(theta_L))-(MxMy_FixedP!$FA$9:$FA$44)*COS(RADIANS(theta_L))))&lt;=0)*((((MxMy_FixedP!$DZ$8:$DZ$43)*SIN(RADIANS(theta_L))-(MxMy_FixedP!$FA$8:$FA$43)*COS(RADIANS(theta_L))))&lt;&gt;(((MxMy_FixedP!$DZ$9:$DZ$44)*SIN(RADIANS(theta_L))-(MxMy_FixedP!$FA$9:$FA$44)*COS(RADIANS(theta_L)))))*((((MxMy_FixedP!$DZ$8:$DZ$43)+(((MxMy_FixedP!$DZ$8:$DZ$43)*SIN(RADIANS(theta_L))-(MxMy_FixedP!$FA$8:$FA$43)*COS(RADIANS(theta_L)))/((((MxMy_FixedP!$DZ$8:$DZ$43)*SIN(RADIANS(theta_L))-(MxMy_FixedP!$FA$8:$FA$43)*COS(RADIANS(theta_L))))-(((MxMy_FixedP!$DZ$9:$DZ$44)*SIN(RADIANS(theta_L))-(MxMy_FixedP!$FA$9:$FA$44)*COS(RADIANS(theta_L))))+((((MxMy_FixedP!$DZ$8:$DZ$43)*SIN(RADIANS(theta_L))-(MxMy_FixedP!$FA$8:$FA$43)*COS(RADIANS(theta_L))))=(((MxMy_FixedP!$DZ$9:$DZ$44)*SIN(RADIANS(theta_L))-(MxMy_FixedP!$FA$9:$FA$44)*COS(RADIANS(theta_L)))))))*((MxMy_FixedP!$DZ$9:$DZ$44)-(MxMy_FixedP!$DZ$8:$DZ$43)))*COS(RADIANS(theta_L))+((MxMy_FixedP!$FA$8:$FA$43)+(((MxMy_FixedP!$DZ$8:$DZ$43)*SIN(RADIANS(theta_L))-(MxMy_FixedP!$FA$8:$FA$43)*COS(RADIANS(theta_L)))/((((MxMy_FixedP!$DZ$8:$DZ$43)*SIN(RADIANS(theta_L))-(MxMy_FixedP!$FA$8:$FA$43)*COS(RADIANS(theta_L))))-(((MxMy_FixedP!$DZ$9:$DZ$44)*SIN(RADIANS(theta_L))-(MxMy_FixedP!$FA$9:$FA$44)*COS(RADIANS(theta_L))))+((((MxMy_FixedP!$DZ$8:$DZ$43)*SIN(RADIANS(theta_L))-(MxMy_FixedP!$FA$8:$FA$43)*COS(RADIANS(theta_L))))=(((MxMy_FixedP!$DZ$9:$DZ$44)*SIN(RADIANS(theta_L))-(MxMy_FixedP!$FA$9:$FA$44)*COS(RADIANS(theta_L)))))))*((MxMy_FixedP!$FA$9:$FA$44)-(MxMy_FixedP!$FA$8:$FA$43)))*SIN(RADIANS(theta_L)))&lt;0),(((MxMy_FixedP!$DZ$8:$DZ$43)+(((MxMy_FixedP!$DZ$8:$DZ$43)*SIN(RADIANS(theta_L))-(MxMy_FixedP!$FA$8:$FA$43)*COS(RADIANS(theta_L)))/((((MxMy_FixedP!$DZ$8:$DZ$43)*SIN(RADIANS(theta_L))-(MxMy_FixedP!$FA$8:$FA$43)*COS(RADIANS(theta_L))))-(((MxMy_FixedP!$DZ$9:$DZ$44)*SIN(RADIANS(theta_L))-(MxMy_FixedP!$FA$9:$FA$44)*COS(RADIANS(theta_L))))+((((MxMy_FixedP!$DZ$8:$DZ$43)*SIN(RADIANS(theta_L))-(MxMy_FixedP!$FA$8:$FA$43)*COS(RADIANS(theta_L))))=(((MxMy_FixedP!$DZ$9:$DZ$44)*SIN(RADIANS(theta_L))-(MxMy_FixedP!$FA$9:$FA$44)*COS(RADIANS(theta_L)))))))*((MxMy_FixedP!$DZ$9:$DZ$44)-(MxMy_FixedP!$DZ$8:$DZ$43)))*COS(RADIANS(theta_L))+((MxMy_FixedP!$FA$8:$FA$43)+(((MxMy_FixedP!$DZ$8:$DZ$43)*SIN(RADIANS(theta_L))-(MxMy_FixedP!$FA$8:$FA$43)*COS(RADIANS(theta_L)))/((((MxMy_FixedP!$DZ$8:$DZ$43)*SIN(RADIANS(theta_L))-(MxMy_FixedP!$FA$8:$FA$43)*COS(RADIANS(theta_L))))-(((MxMy_FixedP!$DZ$9:$DZ$44)*SIN(RADIANS(theta_L))-(MxMy_FixedP!$FA$9:$FA$44)*COS(RADIANS(theta_L))))+((((MxMy_FixedP!$DZ$8:$DZ$43)*SIN(RADIANS(theta_L))-(MxMy_FixedP!$FA$8:$FA$43)*COS(RADIANS(theta_L))))=(((MxMy_FixedP!$DZ$9:$DZ$44)*SIN(RADIANS(theta_L))-(MxMy_FixedP!$FA$9:$FA$44)*COS(RADIANS(theta_L)))))))*((MxMy_FixedP!$FA$9:$FA$44)-(MxMy_FixedP!$FA$8:$FA$43)))*SIN(RADIANS(theta_L))))/G26))</f>
      </c>
      <c r="J26">
        <f>IF($K26&lt;=Mtol,"pole",IF(AND(D26&gt;=1,G26&gt;=1),"ok","CHECK: "&amp;D26&amp;"/"&amp;G26&amp;" cuts"))</f>
      </c>
      <c r="K26" s="18">
        <v>7136.5025828493735</v>
      </c>
    </row>
    <row r="27" spans="2:11" x14ac:dyDescent="0.25">
      <c r="B27" s="35" t="s">
        <v>234</v>
      </c>
      <c r="C27" s="54" t="s">
        <v>359</v>
      </c>
      <c r="D27" s="46">
        <f>IF($K27&lt;=Mtol,0,SUMPRODUCT(((((MxMy_FixedP!$EA$8:$EA$43)*SIN(RADIANS(theta_L))-(MxMy_FixedP!$FB$8:$FB$43)*COS(RADIANS(theta_L))))*(((MxMy_FixedP!$EA$9:$EA$44)*SIN(RADIANS(theta_L))-(MxMy_FixedP!$FB$9:$FB$44)*COS(RADIANS(theta_L))))&lt;=0)*((((MxMy_FixedP!$EA$8:$EA$43)*SIN(RADIANS(theta_L))-(MxMy_FixedP!$FB$8:$FB$43)*COS(RADIANS(theta_L))))&lt;&gt;(((MxMy_FixedP!$EA$9:$EA$44)*SIN(RADIANS(theta_L))-(MxMy_FixedP!$FB$9:$FB$44)*COS(RADIANS(theta_L)))))*((((MxMy_FixedP!$EA$8:$EA$43)+(((MxMy_FixedP!$EA$8:$EA$43)*SIN(RADIANS(theta_L))-(MxMy_FixedP!$FB$8:$FB$43)*COS(RADIANS(theta_L)))/((((MxMy_FixedP!$EA$8:$EA$43)*SIN(RADIANS(theta_L))-(MxMy_FixedP!$FB$8:$FB$43)*COS(RADIANS(theta_L))))-(((MxMy_FixedP!$EA$9:$EA$44)*SIN(RADIANS(theta_L))-(MxMy_FixedP!$FB$9:$FB$44)*COS(RADIANS(theta_L))))+((((MxMy_FixedP!$EA$8:$EA$43)*SIN(RADIANS(theta_L))-(MxMy_FixedP!$FB$8:$FB$43)*COS(RADIANS(theta_L))))=(((MxMy_FixedP!$EA$9:$EA$44)*SIN(RADIANS(theta_L))-(MxMy_FixedP!$FB$9:$FB$44)*COS(RADIANS(theta_L)))))))*((MxMy_FixedP!$EA$9:$EA$44)-(MxMy_FixedP!$EA$8:$EA$43)))*COS(RADIANS(theta_L))+((MxMy_FixedP!$FB$8:$FB$43)+(((MxMy_FixedP!$EA$8:$EA$43)*SIN(RADIANS(theta_L))-(MxMy_FixedP!$FB$8:$FB$43)*COS(RADIANS(theta_L)))/((((MxMy_FixedP!$EA$8:$EA$43)*SIN(RADIANS(theta_L))-(MxMy_FixedP!$FB$8:$FB$43)*COS(RADIANS(theta_L))))-(((MxMy_FixedP!$EA$9:$EA$44)*SIN(RADIANS(theta_L))-(MxMy_FixedP!$FB$9:$FB$44)*COS(RADIANS(theta_L))))+((((MxMy_FixedP!$EA$8:$EA$43)*SIN(RADIANS(theta_L))-(MxMy_FixedP!$FB$8:$FB$43)*COS(RADIANS(theta_L))))=(((MxMy_FixedP!$EA$9:$EA$44)*SIN(RADIANS(theta_L))-(MxMy_FixedP!$FB$9:$FB$44)*COS(RADIANS(theta_L)))))))*((MxMy_FixedP!$FB$9:$FB$44)-(MxMy_FixedP!$FB$8:$FB$43)))*SIN(RADIANS(theta_L)))&gt;0)))</f>
      </c>
      <c r="E27" s="10">
        <f>IF($K27&lt;=Mtol,MxMy_FixedP!$CZ$8,IF(D27=0,"",SUMPRODUCT(((((MxMy_FixedP!$EA$8:$EA$43)*SIN(RADIANS(theta_L))-(MxMy_FixedP!$FB$8:$FB$43)*COS(RADIANS(theta_L))))*(((MxMy_FixedP!$EA$9:$EA$44)*SIN(RADIANS(theta_L))-(MxMy_FixedP!$FB$9:$FB$44)*COS(RADIANS(theta_L))))&lt;=0)*((((MxMy_FixedP!$EA$8:$EA$43)*SIN(RADIANS(theta_L))-(MxMy_FixedP!$FB$8:$FB$43)*COS(RADIANS(theta_L))))&lt;&gt;(((MxMy_FixedP!$EA$9:$EA$44)*SIN(RADIANS(theta_L))-(MxMy_FixedP!$FB$9:$FB$44)*COS(RADIANS(theta_L)))))*((((MxMy_FixedP!$EA$8:$EA$43)+(((MxMy_FixedP!$EA$8:$EA$43)*SIN(RADIANS(theta_L))-(MxMy_FixedP!$FB$8:$FB$43)*COS(RADIANS(theta_L)))/((((MxMy_FixedP!$EA$8:$EA$43)*SIN(RADIANS(theta_L))-(MxMy_FixedP!$FB$8:$FB$43)*COS(RADIANS(theta_L))))-(((MxMy_FixedP!$EA$9:$EA$44)*SIN(RADIANS(theta_L))-(MxMy_FixedP!$FB$9:$FB$44)*COS(RADIANS(theta_L))))+((((MxMy_FixedP!$EA$8:$EA$43)*SIN(RADIANS(theta_L))-(MxMy_FixedP!$FB$8:$FB$43)*COS(RADIANS(theta_L))))=(((MxMy_FixedP!$EA$9:$EA$44)*SIN(RADIANS(theta_L))-(MxMy_FixedP!$FB$9:$FB$44)*COS(RADIANS(theta_L)))))))*((MxMy_FixedP!$EA$9:$EA$44)-(MxMy_FixedP!$EA$8:$EA$43)))*COS(RADIANS(theta_L))+((MxMy_FixedP!$FB$8:$FB$43)+(((MxMy_FixedP!$EA$8:$EA$43)*SIN(RADIANS(theta_L))-(MxMy_FixedP!$FB$8:$FB$43)*COS(RADIANS(theta_L)))/((((MxMy_FixedP!$EA$8:$EA$43)*SIN(RADIANS(theta_L))-(MxMy_FixedP!$FB$8:$FB$43)*COS(RADIANS(theta_L))))-(((MxMy_FixedP!$EA$9:$EA$44)*SIN(RADIANS(theta_L))-(MxMy_FixedP!$FB$9:$FB$44)*COS(RADIANS(theta_L))))+((((MxMy_FixedP!$EA$8:$EA$43)*SIN(RADIANS(theta_L))-(MxMy_FixedP!$FB$8:$FB$43)*COS(RADIANS(theta_L))))=(((MxMy_FixedP!$EA$9:$EA$44)*SIN(RADIANS(theta_L))-(MxMy_FixedP!$FB$9:$FB$44)*COS(RADIANS(theta_L)))))))*((MxMy_FixedP!$FB$9:$FB$44)-(MxMy_FixedP!$FB$8:$FB$43)))*SIN(RADIANS(theta_L)))&gt;0),((MxMy_FixedP!$CZ$8:$CZ$43)+(((MxMy_FixedP!$EA$8:$EA$43)*SIN(RADIANS(theta_L))-(MxMy_FixedP!$FB$8:$FB$43)*COS(RADIANS(theta_L)))/((((MxMy_FixedP!$EA$8:$EA$43)*SIN(RADIANS(theta_L))-(MxMy_FixedP!$FB$8:$FB$43)*COS(RADIANS(theta_L))))-(((MxMy_FixedP!$EA$9:$EA$44)*SIN(RADIANS(theta_L))-(MxMy_FixedP!$FB$9:$FB$44)*COS(RADIANS(theta_L))))+((((MxMy_FixedP!$EA$8:$EA$43)*SIN(RADIANS(theta_L))-(MxMy_FixedP!$FB$8:$FB$43)*COS(RADIANS(theta_L))))=(((MxMy_FixedP!$EA$9:$EA$44)*SIN(RADIANS(theta_L))-(MxMy_FixedP!$FB$9:$FB$44)*COS(RADIANS(theta_L)))))))*((MxMy_FixedP!$CZ$9:$CZ$44)-(MxMy_FixedP!$CZ$8:$CZ$43))))/D27))</f>
      </c>
      <c r="F27" s="10">
        <f>IF($K27&lt;=Mtol,0,IF(D27=0,"",SUMPRODUCT(((((MxMy_FixedP!$EA$8:$EA$43)*SIN(RADIANS(theta_L))-(MxMy_FixedP!$FB$8:$FB$43)*COS(RADIANS(theta_L))))*(((MxMy_FixedP!$EA$9:$EA$44)*SIN(RADIANS(theta_L))-(MxMy_FixedP!$FB$9:$FB$44)*COS(RADIANS(theta_L))))&lt;=0)*((((MxMy_FixedP!$EA$8:$EA$43)*SIN(RADIANS(theta_L))-(MxMy_FixedP!$FB$8:$FB$43)*COS(RADIANS(theta_L))))&lt;&gt;(((MxMy_FixedP!$EA$9:$EA$44)*SIN(RADIANS(theta_L))-(MxMy_FixedP!$FB$9:$FB$44)*COS(RADIANS(theta_L)))))*((((MxMy_FixedP!$EA$8:$EA$43)+(((MxMy_FixedP!$EA$8:$EA$43)*SIN(RADIANS(theta_L))-(MxMy_FixedP!$FB$8:$FB$43)*COS(RADIANS(theta_L)))/((((MxMy_FixedP!$EA$8:$EA$43)*SIN(RADIANS(theta_L))-(MxMy_FixedP!$FB$8:$FB$43)*COS(RADIANS(theta_L))))-(((MxMy_FixedP!$EA$9:$EA$44)*SIN(RADIANS(theta_L))-(MxMy_FixedP!$FB$9:$FB$44)*COS(RADIANS(theta_L))))+((((MxMy_FixedP!$EA$8:$EA$43)*SIN(RADIANS(theta_L))-(MxMy_FixedP!$FB$8:$FB$43)*COS(RADIANS(theta_L))))=(((MxMy_FixedP!$EA$9:$EA$44)*SIN(RADIANS(theta_L))-(MxMy_FixedP!$FB$9:$FB$44)*COS(RADIANS(theta_L)))))))*((MxMy_FixedP!$EA$9:$EA$44)-(MxMy_FixedP!$EA$8:$EA$43)))*COS(RADIANS(theta_L))+((MxMy_FixedP!$FB$8:$FB$43)+(((MxMy_FixedP!$EA$8:$EA$43)*SIN(RADIANS(theta_L))-(MxMy_FixedP!$FB$8:$FB$43)*COS(RADIANS(theta_L)))/((((MxMy_FixedP!$EA$8:$EA$43)*SIN(RADIANS(theta_L))-(MxMy_FixedP!$FB$8:$FB$43)*COS(RADIANS(theta_L))))-(((MxMy_FixedP!$EA$9:$EA$44)*SIN(RADIANS(theta_L))-(MxMy_FixedP!$FB$9:$FB$44)*COS(RADIANS(theta_L))))+((((MxMy_FixedP!$EA$8:$EA$43)*SIN(RADIANS(theta_L))-(MxMy_FixedP!$FB$8:$FB$43)*COS(RADIANS(theta_L))))=(((MxMy_FixedP!$EA$9:$EA$44)*SIN(RADIANS(theta_L))-(MxMy_FixedP!$FB$9:$FB$44)*COS(RADIANS(theta_L)))))))*((MxMy_FixedP!$FB$9:$FB$44)-(MxMy_FixedP!$FB$8:$FB$43)))*SIN(RADIANS(theta_L)))&gt;0),(((MxMy_FixedP!$EA$8:$EA$43)+(((MxMy_FixedP!$EA$8:$EA$43)*SIN(RADIANS(theta_L))-(MxMy_FixedP!$FB$8:$FB$43)*COS(RADIANS(theta_L)))/((((MxMy_FixedP!$EA$8:$EA$43)*SIN(RADIANS(theta_L))-(MxMy_FixedP!$FB$8:$FB$43)*COS(RADIANS(theta_L))))-(((MxMy_FixedP!$EA$9:$EA$44)*SIN(RADIANS(theta_L))-(MxMy_FixedP!$FB$9:$FB$44)*COS(RADIANS(theta_L))))+((((MxMy_FixedP!$EA$8:$EA$43)*SIN(RADIANS(theta_L))-(MxMy_FixedP!$FB$8:$FB$43)*COS(RADIANS(theta_L))))=(((MxMy_FixedP!$EA$9:$EA$44)*SIN(RADIANS(theta_L))-(MxMy_FixedP!$FB$9:$FB$44)*COS(RADIANS(theta_L)))))))*((MxMy_FixedP!$EA$9:$EA$44)-(MxMy_FixedP!$EA$8:$EA$43)))*COS(RADIANS(theta_L))+((MxMy_FixedP!$FB$8:$FB$43)+(((MxMy_FixedP!$EA$8:$EA$43)*SIN(RADIANS(theta_L))-(MxMy_FixedP!$FB$8:$FB$43)*COS(RADIANS(theta_L)))/((((MxMy_FixedP!$EA$8:$EA$43)*SIN(RADIANS(theta_L))-(MxMy_FixedP!$FB$8:$FB$43)*COS(RADIANS(theta_L))))-(((MxMy_FixedP!$EA$9:$EA$44)*SIN(RADIANS(theta_L))-(MxMy_FixedP!$FB$9:$FB$44)*COS(RADIANS(theta_L))))+((((MxMy_FixedP!$EA$8:$EA$43)*SIN(RADIANS(theta_L))-(MxMy_FixedP!$FB$8:$FB$43)*COS(RADIANS(theta_L))))=(((MxMy_FixedP!$EA$9:$EA$44)*SIN(RADIANS(theta_L))-(MxMy_FixedP!$FB$9:$FB$44)*COS(RADIANS(theta_L)))))))*((MxMy_FixedP!$FB$9:$FB$44)-(MxMy_FixedP!$FB$8:$FB$43)))*SIN(RADIANS(theta_L))))/D27))</f>
      </c>
      <c r="G27" s="46">
        <f>IF($K27&lt;=Mtol,0,SUMPRODUCT(((((MxMy_FixedP!$EA$8:$EA$43)*SIN(RADIANS(theta_L))-(MxMy_FixedP!$FB$8:$FB$43)*COS(RADIANS(theta_L))))*(((MxMy_FixedP!$EA$9:$EA$44)*SIN(RADIANS(theta_L))-(MxMy_FixedP!$FB$9:$FB$44)*COS(RADIANS(theta_L))))&lt;=0)*((((MxMy_FixedP!$EA$8:$EA$43)*SIN(RADIANS(theta_L))-(MxMy_FixedP!$FB$8:$FB$43)*COS(RADIANS(theta_L))))&lt;&gt;(((MxMy_FixedP!$EA$9:$EA$44)*SIN(RADIANS(theta_L))-(MxMy_FixedP!$FB$9:$FB$44)*COS(RADIANS(theta_L)))))*((((MxMy_FixedP!$EA$8:$EA$43)+(((MxMy_FixedP!$EA$8:$EA$43)*SIN(RADIANS(theta_L))-(MxMy_FixedP!$FB$8:$FB$43)*COS(RADIANS(theta_L)))/((((MxMy_FixedP!$EA$8:$EA$43)*SIN(RADIANS(theta_L))-(MxMy_FixedP!$FB$8:$FB$43)*COS(RADIANS(theta_L))))-(((MxMy_FixedP!$EA$9:$EA$44)*SIN(RADIANS(theta_L))-(MxMy_FixedP!$FB$9:$FB$44)*COS(RADIANS(theta_L))))+((((MxMy_FixedP!$EA$8:$EA$43)*SIN(RADIANS(theta_L))-(MxMy_FixedP!$FB$8:$FB$43)*COS(RADIANS(theta_L))))=(((MxMy_FixedP!$EA$9:$EA$44)*SIN(RADIANS(theta_L))-(MxMy_FixedP!$FB$9:$FB$44)*COS(RADIANS(theta_L)))))))*((MxMy_FixedP!$EA$9:$EA$44)-(MxMy_FixedP!$EA$8:$EA$43)))*COS(RADIANS(theta_L))+((MxMy_FixedP!$FB$8:$FB$43)+(((MxMy_FixedP!$EA$8:$EA$43)*SIN(RADIANS(theta_L))-(MxMy_FixedP!$FB$8:$FB$43)*COS(RADIANS(theta_L)))/((((MxMy_FixedP!$EA$8:$EA$43)*SIN(RADIANS(theta_L))-(MxMy_FixedP!$FB$8:$FB$43)*COS(RADIANS(theta_L))))-(((MxMy_FixedP!$EA$9:$EA$44)*SIN(RADIANS(theta_L))-(MxMy_FixedP!$FB$9:$FB$44)*COS(RADIANS(theta_L))))+((((MxMy_FixedP!$EA$8:$EA$43)*SIN(RADIANS(theta_L))-(MxMy_FixedP!$FB$8:$FB$43)*COS(RADIANS(theta_L))))=(((MxMy_FixedP!$EA$9:$EA$44)*SIN(RADIANS(theta_L))-(MxMy_FixedP!$FB$9:$FB$44)*COS(RADIANS(theta_L)))))))*((MxMy_FixedP!$FB$9:$FB$44)-(MxMy_FixedP!$FB$8:$FB$43)))*SIN(RADIANS(theta_L)))&lt;0)))</f>
      </c>
      <c r="H27" s="10">
        <f>IF($K27&lt;=Mtol,MxMy_FixedP!$CZ$8,IF(G27=0,"",SUMPRODUCT(((((MxMy_FixedP!$EA$8:$EA$43)*SIN(RADIANS(theta_L))-(MxMy_FixedP!$FB$8:$FB$43)*COS(RADIANS(theta_L))))*(((MxMy_FixedP!$EA$9:$EA$44)*SIN(RADIANS(theta_L))-(MxMy_FixedP!$FB$9:$FB$44)*COS(RADIANS(theta_L))))&lt;=0)*((((MxMy_FixedP!$EA$8:$EA$43)*SIN(RADIANS(theta_L))-(MxMy_FixedP!$FB$8:$FB$43)*COS(RADIANS(theta_L))))&lt;&gt;(((MxMy_FixedP!$EA$9:$EA$44)*SIN(RADIANS(theta_L))-(MxMy_FixedP!$FB$9:$FB$44)*COS(RADIANS(theta_L)))))*((((MxMy_FixedP!$EA$8:$EA$43)+(((MxMy_FixedP!$EA$8:$EA$43)*SIN(RADIANS(theta_L))-(MxMy_FixedP!$FB$8:$FB$43)*COS(RADIANS(theta_L)))/((((MxMy_FixedP!$EA$8:$EA$43)*SIN(RADIANS(theta_L))-(MxMy_FixedP!$FB$8:$FB$43)*COS(RADIANS(theta_L))))-(((MxMy_FixedP!$EA$9:$EA$44)*SIN(RADIANS(theta_L))-(MxMy_FixedP!$FB$9:$FB$44)*COS(RADIANS(theta_L))))+((((MxMy_FixedP!$EA$8:$EA$43)*SIN(RADIANS(theta_L))-(MxMy_FixedP!$FB$8:$FB$43)*COS(RADIANS(theta_L))))=(((MxMy_FixedP!$EA$9:$EA$44)*SIN(RADIANS(theta_L))-(MxMy_FixedP!$FB$9:$FB$44)*COS(RADIANS(theta_L)))))))*((MxMy_FixedP!$EA$9:$EA$44)-(MxMy_FixedP!$EA$8:$EA$43)))*COS(RADIANS(theta_L))+((MxMy_FixedP!$FB$8:$FB$43)+(((MxMy_FixedP!$EA$8:$EA$43)*SIN(RADIANS(theta_L))-(MxMy_FixedP!$FB$8:$FB$43)*COS(RADIANS(theta_L)))/((((MxMy_FixedP!$EA$8:$EA$43)*SIN(RADIANS(theta_L))-(MxMy_FixedP!$FB$8:$FB$43)*COS(RADIANS(theta_L))))-(((MxMy_FixedP!$EA$9:$EA$44)*SIN(RADIANS(theta_L))-(MxMy_FixedP!$FB$9:$FB$44)*COS(RADIANS(theta_L))))+((((MxMy_FixedP!$EA$8:$EA$43)*SIN(RADIANS(theta_L))-(MxMy_FixedP!$FB$8:$FB$43)*COS(RADIANS(theta_L))))=(((MxMy_FixedP!$EA$9:$EA$44)*SIN(RADIANS(theta_L))-(MxMy_FixedP!$FB$9:$FB$44)*COS(RADIANS(theta_L)))))))*((MxMy_FixedP!$FB$9:$FB$44)-(MxMy_FixedP!$FB$8:$FB$43)))*SIN(RADIANS(theta_L)))&lt;0),((MxMy_FixedP!$CZ$8:$CZ$43)+(((MxMy_FixedP!$EA$8:$EA$43)*SIN(RADIANS(theta_L))-(MxMy_FixedP!$FB$8:$FB$43)*COS(RADIANS(theta_L)))/((((MxMy_FixedP!$EA$8:$EA$43)*SIN(RADIANS(theta_L))-(MxMy_FixedP!$FB$8:$FB$43)*COS(RADIANS(theta_L))))-(((MxMy_FixedP!$EA$9:$EA$44)*SIN(RADIANS(theta_L))-(MxMy_FixedP!$FB$9:$FB$44)*COS(RADIANS(theta_L))))+((((MxMy_FixedP!$EA$8:$EA$43)*SIN(RADIANS(theta_L))-(MxMy_FixedP!$FB$8:$FB$43)*COS(RADIANS(theta_L))))=(((MxMy_FixedP!$EA$9:$EA$44)*SIN(RADIANS(theta_L))-(MxMy_FixedP!$FB$9:$FB$44)*COS(RADIANS(theta_L)))))))*((MxMy_FixedP!$CZ$9:$CZ$44)-(MxMy_FixedP!$CZ$8:$CZ$43))))/G27))</f>
      </c>
      <c r="I27" s="10">
        <f>IF($K27&lt;=Mtol,0,IF(G27=0,"",SUMPRODUCT(((((MxMy_FixedP!$EA$8:$EA$43)*SIN(RADIANS(theta_L))-(MxMy_FixedP!$FB$8:$FB$43)*COS(RADIANS(theta_L))))*(((MxMy_FixedP!$EA$9:$EA$44)*SIN(RADIANS(theta_L))-(MxMy_FixedP!$FB$9:$FB$44)*COS(RADIANS(theta_L))))&lt;=0)*((((MxMy_FixedP!$EA$8:$EA$43)*SIN(RADIANS(theta_L))-(MxMy_FixedP!$FB$8:$FB$43)*COS(RADIANS(theta_L))))&lt;&gt;(((MxMy_FixedP!$EA$9:$EA$44)*SIN(RADIANS(theta_L))-(MxMy_FixedP!$FB$9:$FB$44)*COS(RADIANS(theta_L)))))*((((MxMy_FixedP!$EA$8:$EA$43)+(((MxMy_FixedP!$EA$8:$EA$43)*SIN(RADIANS(theta_L))-(MxMy_FixedP!$FB$8:$FB$43)*COS(RADIANS(theta_L)))/((((MxMy_FixedP!$EA$8:$EA$43)*SIN(RADIANS(theta_L))-(MxMy_FixedP!$FB$8:$FB$43)*COS(RADIANS(theta_L))))-(((MxMy_FixedP!$EA$9:$EA$44)*SIN(RADIANS(theta_L))-(MxMy_FixedP!$FB$9:$FB$44)*COS(RADIANS(theta_L))))+((((MxMy_FixedP!$EA$8:$EA$43)*SIN(RADIANS(theta_L))-(MxMy_FixedP!$FB$8:$FB$43)*COS(RADIANS(theta_L))))=(((MxMy_FixedP!$EA$9:$EA$44)*SIN(RADIANS(theta_L))-(MxMy_FixedP!$FB$9:$FB$44)*COS(RADIANS(theta_L)))))))*((MxMy_FixedP!$EA$9:$EA$44)-(MxMy_FixedP!$EA$8:$EA$43)))*COS(RADIANS(theta_L))+((MxMy_FixedP!$FB$8:$FB$43)+(((MxMy_FixedP!$EA$8:$EA$43)*SIN(RADIANS(theta_L))-(MxMy_FixedP!$FB$8:$FB$43)*COS(RADIANS(theta_L)))/((((MxMy_FixedP!$EA$8:$EA$43)*SIN(RADIANS(theta_L))-(MxMy_FixedP!$FB$8:$FB$43)*COS(RADIANS(theta_L))))-(((MxMy_FixedP!$EA$9:$EA$44)*SIN(RADIANS(theta_L))-(MxMy_FixedP!$FB$9:$FB$44)*COS(RADIANS(theta_L))))+((((MxMy_FixedP!$EA$8:$EA$43)*SIN(RADIANS(theta_L))-(MxMy_FixedP!$FB$8:$FB$43)*COS(RADIANS(theta_L))))=(((MxMy_FixedP!$EA$9:$EA$44)*SIN(RADIANS(theta_L))-(MxMy_FixedP!$FB$9:$FB$44)*COS(RADIANS(theta_L)))))))*((MxMy_FixedP!$FB$9:$FB$44)-(MxMy_FixedP!$FB$8:$FB$43)))*SIN(RADIANS(theta_L)))&lt;0),(((MxMy_FixedP!$EA$8:$EA$43)+(((MxMy_FixedP!$EA$8:$EA$43)*SIN(RADIANS(theta_L))-(MxMy_FixedP!$FB$8:$FB$43)*COS(RADIANS(theta_L)))/((((MxMy_FixedP!$EA$8:$EA$43)*SIN(RADIANS(theta_L))-(MxMy_FixedP!$FB$8:$FB$43)*COS(RADIANS(theta_L))))-(((MxMy_FixedP!$EA$9:$EA$44)*SIN(RADIANS(theta_L))-(MxMy_FixedP!$FB$9:$FB$44)*COS(RADIANS(theta_L))))+((((MxMy_FixedP!$EA$8:$EA$43)*SIN(RADIANS(theta_L))-(MxMy_FixedP!$FB$8:$FB$43)*COS(RADIANS(theta_L))))=(((MxMy_FixedP!$EA$9:$EA$44)*SIN(RADIANS(theta_L))-(MxMy_FixedP!$FB$9:$FB$44)*COS(RADIANS(theta_L)))))))*((MxMy_FixedP!$EA$9:$EA$44)-(MxMy_FixedP!$EA$8:$EA$43)))*COS(RADIANS(theta_L))+((MxMy_FixedP!$FB$8:$FB$43)+(((MxMy_FixedP!$EA$8:$EA$43)*SIN(RADIANS(theta_L))-(MxMy_FixedP!$FB$8:$FB$43)*COS(RADIANS(theta_L)))/((((MxMy_FixedP!$EA$8:$EA$43)*SIN(RADIANS(theta_L))-(MxMy_FixedP!$FB$8:$FB$43)*COS(RADIANS(theta_L))))-(((MxMy_FixedP!$EA$9:$EA$44)*SIN(RADIANS(theta_L))-(MxMy_FixedP!$FB$9:$FB$44)*COS(RADIANS(theta_L))))+((((MxMy_FixedP!$EA$8:$EA$43)*SIN(RADIANS(theta_L))-(MxMy_FixedP!$FB$8:$FB$43)*COS(RADIANS(theta_L))))=(((MxMy_FixedP!$EA$9:$EA$44)*SIN(RADIANS(theta_L))-(MxMy_FixedP!$FB$9:$FB$44)*COS(RADIANS(theta_L)))))))*((MxMy_FixedP!$FB$9:$FB$44)-(MxMy_FixedP!$FB$8:$FB$43)))*SIN(RADIANS(theta_L))))/G27))</f>
      </c>
      <c r="J27">
        <f>IF($K27&lt;=Mtol,"pole",IF(AND(D27&gt;=1,G27&gt;=1),"ok","CHECK: "&amp;D27&amp;"/"&amp;G27&amp;" cuts"))</f>
      </c>
      <c r="K27" s="18">
        <v>7044.071005428653</v>
      </c>
    </row>
    <row r="28" spans="2:11" x14ac:dyDescent="0.25">
      <c r="B28" s="35" t="s">
        <v>235</v>
      </c>
      <c r="C28" s="54" t="s">
        <v>360</v>
      </c>
      <c r="D28" s="46">
        <f>IF($K28&lt;=Mtol,0,SUMPRODUCT(((((MxMy_FixedP!$EB$8:$EB$43)*SIN(RADIANS(theta_L))-(MxMy_FixedP!$FC$8:$FC$43)*COS(RADIANS(theta_L))))*(((MxMy_FixedP!$EB$9:$EB$44)*SIN(RADIANS(theta_L))-(MxMy_FixedP!$FC$9:$FC$44)*COS(RADIANS(theta_L))))&lt;=0)*((((MxMy_FixedP!$EB$8:$EB$43)*SIN(RADIANS(theta_L))-(MxMy_FixedP!$FC$8:$FC$43)*COS(RADIANS(theta_L))))&lt;&gt;(((MxMy_FixedP!$EB$9:$EB$44)*SIN(RADIANS(theta_L))-(MxMy_FixedP!$FC$9:$FC$44)*COS(RADIANS(theta_L)))))*((((MxMy_FixedP!$EB$8:$EB$43)+(((MxMy_FixedP!$EB$8:$EB$43)*SIN(RADIANS(theta_L))-(MxMy_FixedP!$FC$8:$FC$43)*COS(RADIANS(theta_L)))/((((MxMy_FixedP!$EB$8:$EB$43)*SIN(RADIANS(theta_L))-(MxMy_FixedP!$FC$8:$FC$43)*COS(RADIANS(theta_L))))-(((MxMy_FixedP!$EB$9:$EB$44)*SIN(RADIANS(theta_L))-(MxMy_FixedP!$FC$9:$FC$44)*COS(RADIANS(theta_L))))+((((MxMy_FixedP!$EB$8:$EB$43)*SIN(RADIANS(theta_L))-(MxMy_FixedP!$FC$8:$FC$43)*COS(RADIANS(theta_L))))=(((MxMy_FixedP!$EB$9:$EB$44)*SIN(RADIANS(theta_L))-(MxMy_FixedP!$FC$9:$FC$44)*COS(RADIANS(theta_L)))))))*((MxMy_FixedP!$EB$9:$EB$44)-(MxMy_FixedP!$EB$8:$EB$43)))*COS(RADIANS(theta_L))+((MxMy_FixedP!$FC$8:$FC$43)+(((MxMy_FixedP!$EB$8:$EB$43)*SIN(RADIANS(theta_L))-(MxMy_FixedP!$FC$8:$FC$43)*COS(RADIANS(theta_L)))/((((MxMy_FixedP!$EB$8:$EB$43)*SIN(RADIANS(theta_L))-(MxMy_FixedP!$FC$8:$FC$43)*COS(RADIANS(theta_L))))-(((MxMy_FixedP!$EB$9:$EB$44)*SIN(RADIANS(theta_L))-(MxMy_FixedP!$FC$9:$FC$44)*COS(RADIANS(theta_L))))+((((MxMy_FixedP!$EB$8:$EB$43)*SIN(RADIANS(theta_L))-(MxMy_FixedP!$FC$8:$FC$43)*COS(RADIANS(theta_L))))=(((MxMy_FixedP!$EB$9:$EB$44)*SIN(RADIANS(theta_L))-(MxMy_FixedP!$FC$9:$FC$44)*COS(RADIANS(theta_L)))))))*((MxMy_FixedP!$FC$9:$FC$44)-(MxMy_FixedP!$FC$8:$FC$43)))*SIN(RADIANS(theta_L)))&gt;0)))</f>
      </c>
      <c r="E28" s="10">
        <f>IF($K28&lt;=Mtol,MxMy_FixedP!$DA$8,IF(D28=0,"",SUMPRODUCT(((((MxMy_FixedP!$EB$8:$EB$43)*SIN(RADIANS(theta_L))-(MxMy_FixedP!$FC$8:$FC$43)*COS(RADIANS(theta_L))))*(((MxMy_FixedP!$EB$9:$EB$44)*SIN(RADIANS(theta_L))-(MxMy_FixedP!$FC$9:$FC$44)*COS(RADIANS(theta_L))))&lt;=0)*((((MxMy_FixedP!$EB$8:$EB$43)*SIN(RADIANS(theta_L))-(MxMy_FixedP!$FC$8:$FC$43)*COS(RADIANS(theta_L))))&lt;&gt;(((MxMy_FixedP!$EB$9:$EB$44)*SIN(RADIANS(theta_L))-(MxMy_FixedP!$FC$9:$FC$44)*COS(RADIANS(theta_L)))))*((((MxMy_FixedP!$EB$8:$EB$43)+(((MxMy_FixedP!$EB$8:$EB$43)*SIN(RADIANS(theta_L))-(MxMy_FixedP!$FC$8:$FC$43)*COS(RADIANS(theta_L)))/((((MxMy_FixedP!$EB$8:$EB$43)*SIN(RADIANS(theta_L))-(MxMy_FixedP!$FC$8:$FC$43)*COS(RADIANS(theta_L))))-(((MxMy_FixedP!$EB$9:$EB$44)*SIN(RADIANS(theta_L))-(MxMy_FixedP!$FC$9:$FC$44)*COS(RADIANS(theta_L))))+((((MxMy_FixedP!$EB$8:$EB$43)*SIN(RADIANS(theta_L))-(MxMy_FixedP!$FC$8:$FC$43)*COS(RADIANS(theta_L))))=(((MxMy_FixedP!$EB$9:$EB$44)*SIN(RADIANS(theta_L))-(MxMy_FixedP!$FC$9:$FC$44)*COS(RADIANS(theta_L)))))))*((MxMy_FixedP!$EB$9:$EB$44)-(MxMy_FixedP!$EB$8:$EB$43)))*COS(RADIANS(theta_L))+((MxMy_FixedP!$FC$8:$FC$43)+(((MxMy_FixedP!$EB$8:$EB$43)*SIN(RADIANS(theta_L))-(MxMy_FixedP!$FC$8:$FC$43)*COS(RADIANS(theta_L)))/((((MxMy_FixedP!$EB$8:$EB$43)*SIN(RADIANS(theta_L))-(MxMy_FixedP!$FC$8:$FC$43)*COS(RADIANS(theta_L))))-(((MxMy_FixedP!$EB$9:$EB$44)*SIN(RADIANS(theta_L))-(MxMy_FixedP!$FC$9:$FC$44)*COS(RADIANS(theta_L))))+((((MxMy_FixedP!$EB$8:$EB$43)*SIN(RADIANS(theta_L))-(MxMy_FixedP!$FC$8:$FC$43)*COS(RADIANS(theta_L))))=(((MxMy_FixedP!$EB$9:$EB$44)*SIN(RADIANS(theta_L))-(MxMy_FixedP!$FC$9:$FC$44)*COS(RADIANS(theta_L)))))))*((MxMy_FixedP!$FC$9:$FC$44)-(MxMy_FixedP!$FC$8:$FC$43)))*SIN(RADIANS(theta_L)))&gt;0),((MxMy_FixedP!$DA$8:$DA$43)+(((MxMy_FixedP!$EB$8:$EB$43)*SIN(RADIANS(theta_L))-(MxMy_FixedP!$FC$8:$FC$43)*COS(RADIANS(theta_L)))/((((MxMy_FixedP!$EB$8:$EB$43)*SIN(RADIANS(theta_L))-(MxMy_FixedP!$FC$8:$FC$43)*COS(RADIANS(theta_L))))-(((MxMy_FixedP!$EB$9:$EB$44)*SIN(RADIANS(theta_L))-(MxMy_FixedP!$FC$9:$FC$44)*COS(RADIANS(theta_L))))+((((MxMy_FixedP!$EB$8:$EB$43)*SIN(RADIANS(theta_L))-(MxMy_FixedP!$FC$8:$FC$43)*COS(RADIANS(theta_L))))=(((MxMy_FixedP!$EB$9:$EB$44)*SIN(RADIANS(theta_L))-(MxMy_FixedP!$FC$9:$FC$44)*COS(RADIANS(theta_L)))))))*((MxMy_FixedP!$DA$9:$DA$44)-(MxMy_FixedP!$DA$8:$DA$43))))/D28))</f>
      </c>
      <c r="F28" s="10">
        <f>IF($K28&lt;=Mtol,0,IF(D28=0,"",SUMPRODUCT(((((MxMy_FixedP!$EB$8:$EB$43)*SIN(RADIANS(theta_L))-(MxMy_FixedP!$FC$8:$FC$43)*COS(RADIANS(theta_L))))*(((MxMy_FixedP!$EB$9:$EB$44)*SIN(RADIANS(theta_L))-(MxMy_FixedP!$FC$9:$FC$44)*COS(RADIANS(theta_L))))&lt;=0)*((((MxMy_FixedP!$EB$8:$EB$43)*SIN(RADIANS(theta_L))-(MxMy_FixedP!$FC$8:$FC$43)*COS(RADIANS(theta_L))))&lt;&gt;(((MxMy_FixedP!$EB$9:$EB$44)*SIN(RADIANS(theta_L))-(MxMy_FixedP!$FC$9:$FC$44)*COS(RADIANS(theta_L)))))*((((MxMy_FixedP!$EB$8:$EB$43)+(((MxMy_FixedP!$EB$8:$EB$43)*SIN(RADIANS(theta_L))-(MxMy_FixedP!$FC$8:$FC$43)*COS(RADIANS(theta_L)))/((((MxMy_FixedP!$EB$8:$EB$43)*SIN(RADIANS(theta_L))-(MxMy_FixedP!$FC$8:$FC$43)*COS(RADIANS(theta_L))))-(((MxMy_FixedP!$EB$9:$EB$44)*SIN(RADIANS(theta_L))-(MxMy_FixedP!$FC$9:$FC$44)*COS(RADIANS(theta_L))))+((((MxMy_FixedP!$EB$8:$EB$43)*SIN(RADIANS(theta_L))-(MxMy_FixedP!$FC$8:$FC$43)*COS(RADIANS(theta_L))))=(((MxMy_FixedP!$EB$9:$EB$44)*SIN(RADIANS(theta_L))-(MxMy_FixedP!$FC$9:$FC$44)*COS(RADIANS(theta_L)))))))*((MxMy_FixedP!$EB$9:$EB$44)-(MxMy_FixedP!$EB$8:$EB$43)))*COS(RADIANS(theta_L))+((MxMy_FixedP!$FC$8:$FC$43)+(((MxMy_FixedP!$EB$8:$EB$43)*SIN(RADIANS(theta_L))-(MxMy_FixedP!$FC$8:$FC$43)*COS(RADIANS(theta_L)))/((((MxMy_FixedP!$EB$8:$EB$43)*SIN(RADIANS(theta_L))-(MxMy_FixedP!$FC$8:$FC$43)*COS(RADIANS(theta_L))))-(((MxMy_FixedP!$EB$9:$EB$44)*SIN(RADIANS(theta_L))-(MxMy_FixedP!$FC$9:$FC$44)*COS(RADIANS(theta_L))))+((((MxMy_FixedP!$EB$8:$EB$43)*SIN(RADIANS(theta_L))-(MxMy_FixedP!$FC$8:$FC$43)*COS(RADIANS(theta_L))))=(((MxMy_FixedP!$EB$9:$EB$44)*SIN(RADIANS(theta_L))-(MxMy_FixedP!$FC$9:$FC$44)*COS(RADIANS(theta_L)))))))*((MxMy_FixedP!$FC$9:$FC$44)-(MxMy_FixedP!$FC$8:$FC$43)))*SIN(RADIANS(theta_L)))&gt;0),(((MxMy_FixedP!$EB$8:$EB$43)+(((MxMy_FixedP!$EB$8:$EB$43)*SIN(RADIANS(theta_L))-(MxMy_FixedP!$FC$8:$FC$43)*COS(RADIANS(theta_L)))/((((MxMy_FixedP!$EB$8:$EB$43)*SIN(RADIANS(theta_L))-(MxMy_FixedP!$FC$8:$FC$43)*COS(RADIANS(theta_L))))-(((MxMy_FixedP!$EB$9:$EB$44)*SIN(RADIANS(theta_L))-(MxMy_FixedP!$FC$9:$FC$44)*COS(RADIANS(theta_L))))+((((MxMy_FixedP!$EB$8:$EB$43)*SIN(RADIANS(theta_L))-(MxMy_FixedP!$FC$8:$FC$43)*COS(RADIANS(theta_L))))=(((MxMy_FixedP!$EB$9:$EB$44)*SIN(RADIANS(theta_L))-(MxMy_FixedP!$FC$9:$FC$44)*COS(RADIANS(theta_L)))))))*((MxMy_FixedP!$EB$9:$EB$44)-(MxMy_FixedP!$EB$8:$EB$43)))*COS(RADIANS(theta_L))+((MxMy_FixedP!$FC$8:$FC$43)+(((MxMy_FixedP!$EB$8:$EB$43)*SIN(RADIANS(theta_L))-(MxMy_FixedP!$FC$8:$FC$43)*COS(RADIANS(theta_L)))/((((MxMy_FixedP!$EB$8:$EB$43)*SIN(RADIANS(theta_L))-(MxMy_FixedP!$FC$8:$FC$43)*COS(RADIANS(theta_L))))-(((MxMy_FixedP!$EB$9:$EB$44)*SIN(RADIANS(theta_L))-(MxMy_FixedP!$FC$9:$FC$44)*COS(RADIANS(theta_L))))+((((MxMy_FixedP!$EB$8:$EB$43)*SIN(RADIANS(theta_L))-(MxMy_FixedP!$FC$8:$FC$43)*COS(RADIANS(theta_L))))=(((MxMy_FixedP!$EB$9:$EB$44)*SIN(RADIANS(theta_L))-(MxMy_FixedP!$FC$9:$FC$44)*COS(RADIANS(theta_L)))))))*((MxMy_FixedP!$FC$9:$FC$44)-(MxMy_FixedP!$FC$8:$FC$43)))*SIN(RADIANS(theta_L))))/D28))</f>
      </c>
      <c r="G28" s="46">
        <f>IF($K28&lt;=Mtol,0,SUMPRODUCT(((((MxMy_FixedP!$EB$8:$EB$43)*SIN(RADIANS(theta_L))-(MxMy_FixedP!$FC$8:$FC$43)*COS(RADIANS(theta_L))))*(((MxMy_FixedP!$EB$9:$EB$44)*SIN(RADIANS(theta_L))-(MxMy_FixedP!$FC$9:$FC$44)*COS(RADIANS(theta_L))))&lt;=0)*((((MxMy_FixedP!$EB$8:$EB$43)*SIN(RADIANS(theta_L))-(MxMy_FixedP!$FC$8:$FC$43)*COS(RADIANS(theta_L))))&lt;&gt;(((MxMy_FixedP!$EB$9:$EB$44)*SIN(RADIANS(theta_L))-(MxMy_FixedP!$FC$9:$FC$44)*COS(RADIANS(theta_L)))))*((((MxMy_FixedP!$EB$8:$EB$43)+(((MxMy_FixedP!$EB$8:$EB$43)*SIN(RADIANS(theta_L))-(MxMy_FixedP!$FC$8:$FC$43)*COS(RADIANS(theta_L)))/((((MxMy_FixedP!$EB$8:$EB$43)*SIN(RADIANS(theta_L))-(MxMy_FixedP!$FC$8:$FC$43)*COS(RADIANS(theta_L))))-(((MxMy_FixedP!$EB$9:$EB$44)*SIN(RADIANS(theta_L))-(MxMy_FixedP!$FC$9:$FC$44)*COS(RADIANS(theta_L))))+((((MxMy_FixedP!$EB$8:$EB$43)*SIN(RADIANS(theta_L))-(MxMy_FixedP!$FC$8:$FC$43)*COS(RADIANS(theta_L))))=(((MxMy_FixedP!$EB$9:$EB$44)*SIN(RADIANS(theta_L))-(MxMy_FixedP!$FC$9:$FC$44)*COS(RADIANS(theta_L)))))))*((MxMy_FixedP!$EB$9:$EB$44)-(MxMy_FixedP!$EB$8:$EB$43)))*COS(RADIANS(theta_L))+((MxMy_FixedP!$FC$8:$FC$43)+(((MxMy_FixedP!$EB$8:$EB$43)*SIN(RADIANS(theta_L))-(MxMy_FixedP!$FC$8:$FC$43)*COS(RADIANS(theta_L)))/((((MxMy_FixedP!$EB$8:$EB$43)*SIN(RADIANS(theta_L))-(MxMy_FixedP!$FC$8:$FC$43)*COS(RADIANS(theta_L))))-(((MxMy_FixedP!$EB$9:$EB$44)*SIN(RADIANS(theta_L))-(MxMy_FixedP!$FC$9:$FC$44)*COS(RADIANS(theta_L))))+((((MxMy_FixedP!$EB$8:$EB$43)*SIN(RADIANS(theta_L))-(MxMy_FixedP!$FC$8:$FC$43)*COS(RADIANS(theta_L))))=(((MxMy_FixedP!$EB$9:$EB$44)*SIN(RADIANS(theta_L))-(MxMy_FixedP!$FC$9:$FC$44)*COS(RADIANS(theta_L)))))))*((MxMy_FixedP!$FC$9:$FC$44)-(MxMy_FixedP!$FC$8:$FC$43)))*SIN(RADIANS(theta_L)))&lt;0)))</f>
      </c>
      <c r="H28" s="10">
        <f>IF($K28&lt;=Mtol,MxMy_FixedP!$DA$8,IF(G28=0,"",SUMPRODUCT(((((MxMy_FixedP!$EB$8:$EB$43)*SIN(RADIANS(theta_L))-(MxMy_FixedP!$FC$8:$FC$43)*COS(RADIANS(theta_L))))*(((MxMy_FixedP!$EB$9:$EB$44)*SIN(RADIANS(theta_L))-(MxMy_FixedP!$FC$9:$FC$44)*COS(RADIANS(theta_L))))&lt;=0)*((((MxMy_FixedP!$EB$8:$EB$43)*SIN(RADIANS(theta_L))-(MxMy_FixedP!$FC$8:$FC$43)*COS(RADIANS(theta_L))))&lt;&gt;(((MxMy_FixedP!$EB$9:$EB$44)*SIN(RADIANS(theta_L))-(MxMy_FixedP!$FC$9:$FC$44)*COS(RADIANS(theta_L)))))*((((MxMy_FixedP!$EB$8:$EB$43)+(((MxMy_FixedP!$EB$8:$EB$43)*SIN(RADIANS(theta_L))-(MxMy_FixedP!$FC$8:$FC$43)*COS(RADIANS(theta_L)))/((((MxMy_FixedP!$EB$8:$EB$43)*SIN(RADIANS(theta_L))-(MxMy_FixedP!$FC$8:$FC$43)*COS(RADIANS(theta_L))))-(((MxMy_FixedP!$EB$9:$EB$44)*SIN(RADIANS(theta_L))-(MxMy_FixedP!$FC$9:$FC$44)*COS(RADIANS(theta_L))))+((((MxMy_FixedP!$EB$8:$EB$43)*SIN(RADIANS(theta_L))-(MxMy_FixedP!$FC$8:$FC$43)*COS(RADIANS(theta_L))))=(((MxMy_FixedP!$EB$9:$EB$44)*SIN(RADIANS(theta_L))-(MxMy_FixedP!$FC$9:$FC$44)*COS(RADIANS(theta_L)))))))*((MxMy_FixedP!$EB$9:$EB$44)-(MxMy_FixedP!$EB$8:$EB$43)))*COS(RADIANS(theta_L))+((MxMy_FixedP!$FC$8:$FC$43)+(((MxMy_FixedP!$EB$8:$EB$43)*SIN(RADIANS(theta_L))-(MxMy_FixedP!$FC$8:$FC$43)*COS(RADIANS(theta_L)))/((((MxMy_FixedP!$EB$8:$EB$43)*SIN(RADIANS(theta_L))-(MxMy_FixedP!$FC$8:$FC$43)*COS(RADIANS(theta_L))))-(((MxMy_FixedP!$EB$9:$EB$44)*SIN(RADIANS(theta_L))-(MxMy_FixedP!$FC$9:$FC$44)*COS(RADIANS(theta_L))))+((((MxMy_FixedP!$EB$8:$EB$43)*SIN(RADIANS(theta_L))-(MxMy_FixedP!$FC$8:$FC$43)*COS(RADIANS(theta_L))))=(((MxMy_FixedP!$EB$9:$EB$44)*SIN(RADIANS(theta_L))-(MxMy_FixedP!$FC$9:$FC$44)*COS(RADIANS(theta_L)))))))*((MxMy_FixedP!$FC$9:$FC$44)-(MxMy_FixedP!$FC$8:$FC$43)))*SIN(RADIANS(theta_L)))&lt;0),((MxMy_FixedP!$DA$8:$DA$43)+(((MxMy_FixedP!$EB$8:$EB$43)*SIN(RADIANS(theta_L))-(MxMy_FixedP!$FC$8:$FC$43)*COS(RADIANS(theta_L)))/((((MxMy_FixedP!$EB$8:$EB$43)*SIN(RADIANS(theta_L))-(MxMy_FixedP!$FC$8:$FC$43)*COS(RADIANS(theta_L))))-(((MxMy_FixedP!$EB$9:$EB$44)*SIN(RADIANS(theta_L))-(MxMy_FixedP!$FC$9:$FC$44)*COS(RADIANS(theta_L))))+((((MxMy_FixedP!$EB$8:$EB$43)*SIN(RADIANS(theta_L))-(MxMy_FixedP!$FC$8:$FC$43)*COS(RADIANS(theta_L))))=(((MxMy_FixedP!$EB$9:$EB$44)*SIN(RADIANS(theta_L))-(MxMy_FixedP!$FC$9:$FC$44)*COS(RADIANS(theta_L)))))))*((MxMy_FixedP!$DA$9:$DA$44)-(MxMy_FixedP!$DA$8:$DA$43))))/G28))</f>
      </c>
      <c r="I28" s="10">
        <f>IF($K28&lt;=Mtol,0,IF(G28=0,"",SUMPRODUCT(((((MxMy_FixedP!$EB$8:$EB$43)*SIN(RADIANS(theta_L))-(MxMy_FixedP!$FC$8:$FC$43)*COS(RADIANS(theta_L))))*(((MxMy_FixedP!$EB$9:$EB$44)*SIN(RADIANS(theta_L))-(MxMy_FixedP!$FC$9:$FC$44)*COS(RADIANS(theta_L))))&lt;=0)*((((MxMy_FixedP!$EB$8:$EB$43)*SIN(RADIANS(theta_L))-(MxMy_FixedP!$FC$8:$FC$43)*COS(RADIANS(theta_L))))&lt;&gt;(((MxMy_FixedP!$EB$9:$EB$44)*SIN(RADIANS(theta_L))-(MxMy_FixedP!$FC$9:$FC$44)*COS(RADIANS(theta_L)))))*((((MxMy_FixedP!$EB$8:$EB$43)+(((MxMy_FixedP!$EB$8:$EB$43)*SIN(RADIANS(theta_L))-(MxMy_FixedP!$FC$8:$FC$43)*COS(RADIANS(theta_L)))/((((MxMy_FixedP!$EB$8:$EB$43)*SIN(RADIANS(theta_L))-(MxMy_FixedP!$FC$8:$FC$43)*COS(RADIANS(theta_L))))-(((MxMy_FixedP!$EB$9:$EB$44)*SIN(RADIANS(theta_L))-(MxMy_FixedP!$FC$9:$FC$44)*COS(RADIANS(theta_L))))+((((MxMy_FixedP!$EB$8:$EB$43)*SIN(RADIANS(theta_L))-(MxMy_FixedP!$FC$8:$FC$43)*COS(RADIANS(theta_L))))=(((MxMy_FixedP!$EB$9:$EB$44)*SIN(RADIANS(theta_L))-(MxMy_FixedP!$FC$9:$FC$44)*COS(RADIANS(theta_L)))))))*((MxMy_FixedP!$EB$9:$EB$44)-(MxMy_FixedP!$EB$8:$EB$43)))*COS(RADIANS(theta_L))+((MxMy_FixedP!$FC$8:$FC$43)+(((MxMy_FixedP!$EB$8:$EB$43)*SIN(RADIANS(theta_L))-(MxMy_FixedP!$FC$8:$FC$43)*COS(RADIANS(theta_L)))/((((MxMy_FixedP!$EB$8:$EB$43)*SIN(RADIANS(theta_L))-(MxMy_FixedP!$FC$8:$FC$43)*COS(RADIANS(theta_L))))-(((MxMy_FixedP!$EB$9:$EB$44)*SIN(RADIANS(theta_L))-(MxMy_FixedP!$FC$9:$FC$44)*COS(RADIANS(theta_L))))+((((MxMy_FixedP!$EB$8:$EB$43)*SIN(RADIANS(theta_L))-(MxMy_FixedP!$FC$8:$FC$43)*COS(RADIANS(theta_L))))=(((MxMy_FixedP!$EB$9:$EB$44)*SIN(RADIANS(theta_L))-(MxMy_FixedP!$FC$9:$FC$44)*COS(RADIANS(theta_L)))))))*((MxMy_FixedP!$FC$9:$FC$44)-(MxMy_FixedP!$FC$8:$FC$43)))*SIN(RADIANS(theta_L)))&lt;0),(((MxMy_FixedP!$EB$8:$EB$43)+(((MxMy_FixedP!$EB$8:$EB$43)*SIN(RADIANS(theta_L))-(MxMy_FixedP!$FC$8:$FC$43)*COS(RADIANS(theta_L)))/((((MxMy_FixedP!$EB$8:$EB$43)*SIN(RADIANS(theta_L))-(MxMy_FixedP!$FC$8:$FC$43)*COS(RADIANS(theta_L))))-(((MxMy_FixedP!$EB$9:$EB$44)*SIN(RADIANS(theta_L))-(MxMy_FixedP!$FC$9:$FC$44)*COS(RADIANS(theta_L))))+((((MxMy_FixedP!$EB$8:$EB$43)*SIN(RADIANS(theta_L))-(MxMy_FixedP!$FC$8:$FC$43)*COS(RADIANS(theta_L))))=(((MxMy_FixedP!$EB$9:$EB$44)*SIN(RADIANS(theta_L))-(MxMy_FixedP!$FC$9:$FC$44)*COS(RADIANS(theta_L)))))))*((MxMy_FixedP!$EB$9:$EB$44)-(MxMy_FixedP!$EB$8:$EB$43)))*COS(RADIANS(theta_L))+((MxMy_FixedP!$FC$8:$FC$43)+(((MxMy_FixedP!$EB$8:$EB$43)*SIN(RADIANS(theta_L))-(MxMy_FixedP!$FC$8:$FC$43)*COS(RADIANS(theta_L)))/((((MxMy_FixedP!$EB$8:$EB$43)*SIN(RADIANS(theta_L))-(MxMy_FixedP!$FC$8:$FC$43)*COS(RADIANS(theta_L))))-(((MxMy_FixedP!$EB$9:$EB$44)*SIN(RADIANS(theta_L))-(MxMy_FixedP!$FC$9:$FC$44)*COS(RADIANS(theta_L))))+((((MxMy_FixedP!$EB$8:$EB$43)*SIN(RADIANS(theta_L))-(MxMy_FixedP!$FC$8:$FC$43)*COS(RADIANS(theta_L))))=(((MxMy_FixedP!$EB$9:$EB$44)*SIN(RADIANS(theta_L))-(MxMy_FixedP!$FC$9:$FC$44)*COS(RADIANS(theta_L)))))))*((MxMy_FixedP!$FC$9:$FC$44)-(MxMy_FixedP!$FC$8:$FC$43)))*SIN(RADIANS(theta_L))))/G28))</f>
      </c>
      <c r="J28">
        <f>IF($K28&lt;=Mtol,"pole",IF(AND(D28&gt;=1,G28&gt;=1),"ok","CHECK: "&amp;D28&amp;"/"&amp;G28&amp;" cuts"))</f>
      </c>
      <c r="K28" s="18">
        <v>6924.0985044101135</v>
      </c>
    </row>
    <row r="29" spans="2:11" x14ac:dyDescent="0.25">
      <c r="B29" s="35" t="s">
        <v>236</v>
      </c>
      <c r="C29" s="54" t="s">
        <v>361</v>
      </c>
      <c r="D29" s="46">
        <f>IF($K29&lt;=Mtol,0,SUMPRODUCT(((((MxMy_FixedP!$EC$8:$EC$43)*SIN(RADIANS(theta_L))-(MxMy_FixedP!$FD$8:$FD$43)*COS(RADIANS(theta_L))))*(((MxMy_FixedP!$EC$9:$EC$44)*SIN(RADIANS(theta_L))-(MxMy_FixedP!$FD$9:$FD$44)*COS(RADIANS(theta_L))))&lt;=0)*((((MxMy_FixedP!$EC$8:$EC$43)*SIN(RADIANS(theta_L))-(MxMy_FixedP!$FD$8:$FD$43)*COS(RADIANS(theta_L))))&lt;&gt;(((MxMy_FixedP!$EC$9:$EC$44)*SIN(RADIANS(theta_L))-(MxMy_FixedP!$FD$9:$FD$44)*COS(RADIANS(theta_L)))))*((((MxMy_FixedP!$EC$8:$EC$43)+(((MxMy_FixedP!$EC$8:$EC$43)*SIN(RADIANS(theta_L))-(MxMy_FixedP!$FD$8:$FD$43)*COS(RADIANS(theta_L)))/((((MxMy_FixedP!$EC$8:$EC$43)*SIN(RADIANS(theta_L))-(MxMy_FixedP!$FD$8:$FD$43)*COS(RADIANS(theta_L))))-(((MxMy_FixedP!$EC$9:$EC$44)*SIN(RADIANS(theta_L))-(MxMy_FixedP!$FD$9:$FD$44)*COS(RADIANS(theta_L))))+((((MxMy_FixedP!$EC$8:$EC$43)*SIN(RADIANS(theta_L))-(MxMy_FixedP!$FD$8:$FD$43)*COS(RADIANS(theta_L))))=(((MxMy_FixedP!$EC$9:$EC$44)*SIN(RADIANS(theta_L))-(MxMy_FixedP!$FD$9:$FD$44)*COS(RADIANS(theta_L)))))))*((MxMy_FixedP!$EC$9:$EC$44)-(MxMy_FixedP!$EC$8:$EC$43)))*COS(RADIANS(theta_L))+((MxMy_FixedP!$FD$8:$FD$43)+(((MxMy_FixedP!$EC$8:$EC$43)*SIN(RADIANS(theta_L))-(MxMy_FixedP!$FD$8:$FD$43)*COS(RADIANS(theta_L)))/((((MxMy_FixedP!$EC$8:$EC$43)*SIN(RADIANS(theta_L))-(MxMy_FixedP!$FD$8:$FD$43)*COS(RADIANS(theta_L))))-(((MxMy_FixedP!$EC$9:$EC$44)*SIN(RADIANS(theta_L))-(MxMy_FixedP!$FD$9:$FD$44)*COS(RADIANS(theta_L))))+((((MxMy_FixedP!$EC$8:$EC$43)*SIN(RADIANS(theta_L))-(MxMy_FixedP!$FD$8:$FD$43)*COS(RADIANS(theta_L))))=(((MxMy_FixedP!$EC$9:$EC$44)*SIN(RADIANS(theta_L))-(MxMy_FixedP!$FD$9:$FD$44)*COS(RADIANS(theta_L)))))))*((MxMy_FixedP!$FD$9:$FD$44)-(MxMy_FixedP!$FD$8:$FD$43)))*SIN(RADIANS(theta_L)))&gt;0)))</f>
      </c>
      <c r="E29" s="10">
        <f>IF($K29&lt;=Mtol,MxMy_FixedP!$DB$8,IF(D29=0,"",SUMPRODUCT(((((MxMy_FixedP!$EC$8:$EC$43)*SIN(RADIANS(theta_L))-(MxMy_FixedP!$FD$8:$FD$43)*COS(RADIANS(theta_L))))*(((MxMy_FixedP!$EC$9:$EC$44)*SIN(RADIANS(theta_L))-(MxMy_FixedP!$FD$9:$FD$44)*COS(RADIANS(theta_L))))&lt;=0)*((((MxMy_FixedP!$EC$8:$EC$43)*SIN(RADIANS(theta_L))-(MxMy_FixedP!$FD$8:$FD$43)*COS(RADIANS(theta_L))))&lt;&gt;(((MxMy_FixedP!$EC$9:$EC$44)*SIN(RADIANS(theta_L))-(MxMy_FixedP!$FD$9:$FD$44)*COS(RADIANS(theta_L)))))*((((MxMy_FixedP!$EC$8:$EC$43)+(((MxMy_FixedP!$EC$8:$EC$43)*SIN(RADIANS(theta_L))-(MxMy_FixedP!$FD$8:$FD$43)*COS(RADIANS(theta_L)))/((((MxMy_FixedP!$EC$8:$EC$43)*SIN(RADIANS(theta_L))-(MxMy_FixedP!$FD$8:$FD$43)*COS(RADIANS(theta_L))))-(((MxMy_FixedP!$EC$9:$EC$44)*SIN(RADIANS(theta_L))-(MxMy_FixedP!$FD$9:$FD$44)*COS(RADIANS(theta_L))))+((((MxMy_FixedP!$EC$8:$EC$43)*SIN(RADIANS(theta_L))-(MxMy_FixedP!$FD$8:$FD$43)*COS(RADIANS(theta_L))))=(((MxMy_FixedP!$EC$9:$EC$44)*SIN(RADIANS(theta_L))-(MxMy_FixedP!$FD$9:$FD$44)*COS(RADIANS(theta_L)))))))*((MxMy_FixedP!$EC$9:$EC$44)-(MxMy_FixedP!$EC$8:$EC$43)))*COS(RADIANS(theta_L))+((MxMy_FixedP!$FD$8:$FD$43)+(((MxMy_FixedP!$EC$8:$EC$43)*SIN(RADIANS(theta_L))-(MxMy_FixedP!$FD$8:$FD$43)*COS(RADIANS(theta_L)))/((((MxMy_FixedP!$EC$8:$EC$43)*SIN(RADIANS(theta_L))-(MxMy_FixedP!$FD$8:$FD$43)*COS(RADIANS(theta_L))))-(((MxMy_FixedP!$EC$9:$EC$44)*SIN(RADIANS(theta_L))-(MxMy_FixedP!$FD$9:$FD$44)*COS(RADIANS(theta_L))))+((((MxMy_FixedP!$EC$8:$EC$43)*SIN(RADIANS(theta_L))-(MxMy_FixedP!$FD$8:$FD$43)*COS(RADIANS(theta_L))))=(((MxMy_FixedP!$EC$9:$EC$44)*SIN(RADIANS(theta_L))-(MxMy_FixedP!$FD$9:$FD$44)*COS(RADIANS(theta_L)))))))*((MxMy_FixedP!$FD$9:$FD$44)-(MxMy_FixedP!$FD$8:$FD$43)))*SIN(RADIANS(theta_L)))&gt;0),((MxMy_FixedP!$DB$8:$DB$43)+(((MxMy_FixedP!$EC$8:$EC$43)*SIN(RADIANS(theta_L))-(MxMy_FixedP!$FD$8:$FD$43)*COS(RADIANS(theta_L)))/((((MxMy_FixedP!$EC$8:$EC$43)*SIN(RADIANS(theta_L))-(MxMy_FixedP!$FD$8:$FD$43)*COS(RADIANS(theta_L))))-(((MxMy_FixedP!$EC$9:$EC$44)*SIN(RADIANS(theta_L))-(MxMy_FixedP!$FD$9:$FD$44)*COS(RADIANS(theta_L))))+((((MxMy_FixedP!$EC$8:$EC$43)*SIN(RADIANS(theta_L))-(MxMy_FixedP!$FD$8:$FD$43)*COS(RADIANS(theta_L))))=(((MxMy_FixedP!$EC$9:$EC$44)*SIN(RADIANS(theta_L))-(MxMy_FixedP!$FD$9:$FD$44)*COS(RADIANS(theta_L)))))))*((MxMy_FixedP!$DB$9:$DB$44)-(MxMy_FixedP!$DB$8:$DB$43))))/D29))</f>
      </c>
      <c r="F29" s="10">
        <f>IF($K29&lt;=Mtol,0,IF(D29=0,"",SUMPRODUCT(((((MxMy_FixedP!$EC$8:$EC$43)*SIN(RADIANS(theta_L))-(MxMy_FixedP!$FD$8:$FD$43)*COS(RADIANS(theta_L))))*(((MxMy_FixedP!$EC$9:$EC$44)*SIN(RADIANS(theta_L))-(MxMy_FixedP!$FD$9:$FD$44)*COS(RADIANS(theta_L))))&lt;=0)*((((MxMy_FixedP!$EC$8:$EC$43)*SIN(RADIANS(theta_L))-(MxMy_FixedP!$FD$8:$FD$43)*COS(RADIANS(theta_L))))&lt;&gt;(((MxMy_FixedP!$EC$9:$EC$44)*SIN(RADIANS(theta_L))-(MxMy_FixedP!$FD$9:$FD$44)*COS(RADIANS(theta_L)))))*((((MxMy_FixedP!$EC$8:$EC$43)+(((MxMy_FixedP!$EC$8:$EC$43)*SIN(RADIANS(theta_L))-(MxMy_FixedP!$FD$8:$FD$43)*COS(RADIANS(theta_L)))/((((MxMy_FixedP!$EC$8:$EC$43)*SIN(RADIANS(theta_L))-(MxMy_FixedP!$FD$8:$FD$43)*COS(RADIANS(theta_L))))-(((MxMy_FixedP!$EC$9:$EC$44)*SIN(RADIANS(theta_L))-(MxMy_FixedP!$FD$9:$FD$44)*COS(RADIANS(theta_L))))+((((MxMy_FixedP!$EC$8:$EC$43)*SIN(RADIANS(theta_L))-(MxMy_FixedP!$FD$8:$FD$43)*COS(RADIANS(theta_L))))=(((MxMy_FixedP!$EC$9:$EC$44)*SIN(RADIANS(theta_L))-(MxMy_FixedP!$FD$9:$FD$44)*COS(RADIANS(theta_L)))))))*((MxMy_FixedP!$EC$9:$EC$44)-(MxMy_FixedP!$EC$8:$EC$43)))*COS(RADIANS(theta_L))+((MxMy_FixedP!$FD$8:$FD$43)+(((MxMy_FixedP!$EC$8:$EC$43)*SIN(RADIANS(theta_L))-(MxMy_FixedP!$FD$8:$FD$43)*COS(RADIANS(theta_L)))/((((MxMy_FixedP!$EC$8:$EC$43)*SIN(RADIANS(theta_L))-(MxMy_FixedP!$FD$8:$FD$43)*COS(RADIANS(theta_L))))-(((MxMy_FixedP!$EC$9:$EC$44)*SIN(RADIANS(theta_L))-(MxMy_FixedP!$FD$9:$FD$44)*COS(RADIANS(theta_L))))+((((MxMy_FixedP!$EC$8:$EC$43)*SIN(RADIANS(theta_L))-(MxMy_FixedP!$FD$8:$FD$43)*COS(RADIANS(theta_L))))=(((MxMy_FixedP!$EC$9:$EC$44)*SIN(RADIANS(theta_L))-(MxMy_FixedP!$FD$9:$FD$44)*COS(RADIANS(theta_L)))))))*((MxMy_FixedP!$FD$9:$FD$44)-(MxMy_FixedP!$FD$8:$FD$43)))*SIN(RADIANS(theta_L)))&gt;0),(((MxMy_FixedP!$EC$8:$EC$43)+(((MxMy_FixedP!$EC$8:$EC$43)*SIN(RADIANS(theta_L))-(MxMy_FixedP!$FD$8:$FD$43)*COS(RADIANS(theta_L)))/((((MxMy_FixedP!$EC$8:$EC$43)*SIN(RADIANS(theta_L))-(MxMy_FixedP!$FD$8:$FD$43)*COS(RADIANS(theta_L))))-(((MxMy_FixedP!$EC$9:$EC$44)*SIN(RADIANS(theta_L))-(MxMy_FixedP!$FD$9:$FD$44)*COS(RADIANS(theta_L))))+((((MxMy_FixedP!$EC$8:$EC$43)*SIN(RADIANS(theta_L))-(MxMy_FixedP!$FD$8:$FD$43)*COS(RADIANS(theta_L))))=(((MxMy_FixedP!$EC$9:$EC$44)*SIN(RADIANS(theta_L))-(MxMy_FixedP!$FD$9:$FD$44)*COS(RADIANS(theta_L)))))))*((MxMy_FixedP!$EC$9:$EC$44)-(MxMy_FixedP!$EC$8:$EC$43)))*COS(RADIANS(theta_L))+((MxMy_FixedP!$FD$8:$FD$43)+(((MxMy_FixedP!$EC$8:$EC$43)*SIN(RADIANS(theta_L))-(MxMy_FixedP!$FD$8:$FD$43)*COS(RADIANS(theta_L)))/((((MxMy_FixedP!$EC$8:$EC$43)*SIN(RADIANS(theta_L))-(MxMy_FixedP!$FD$8:$FD$43)*COS(RADIANS(theta_L))))-(((MxMy_FixedP!$EC$9:$EC$44)*SIN(RADIANS(theta_L))-(MxMy_FixedP!$FD$9:$FD$44)*COS(RADIANS(theta_L))))+((((MxMy_FixedP!$EC$8:$EC$43)*SIN(RADIANS(theta_L))-(MxMy_FixedP!$FD$8:$FD$43)*COS(RADIANS(theta_L))))=(((MxMy_FixedP!$EC$9:$EC$44)*SIN(RADIANS(theta_L))-(MxMy_FixedP!$FD$9:$FD$44)*COS(RADIANS(theta_L)))))))*((MxMy_FixedP!$FD$9:$FD$44)-(MxMy_FixedP!$FD$8:$FD$43)))*SIN(RADIANS(theta_L))))/D29))</f>
      </c>
      <c r="G29" s="46">
        <f>IF($K29&lt;=Mtol,0,SUMPRODUCT(((((MxMy_FixedP!$EC$8:$EC$43)*SIN(RADIANS(theta_L))-(MxMy_FixedP!$FD$8:$FD$43)*COS(RADIANS(theta_L))))*(((MxMy_FixedP!$EC$9:$EC$44)*SIN(RADIANS(theta_L))-(MxMy_FixedP!$FD$9:$FD$44)*COS(RADIANS(theta_L))))&lt;=0)*((((MxMy_FixedP!$EC$8:$EC$43)*SIN(RADIANS(theta_L))-(MxMy_FixedP!$FD$8:$FD$43)*COS(RADIANS(theta_L))))&lt;&gt;(((MxMy_FixedP!$EC$9:$EC$44)*SIN(RADIANS(theta_L))-(MxMy_FixedP!$FD$9:$FD$44)*COS(RADIANS(theta_L)))))*((((MxMy_FixedP!$EC$8:$EC$43)+(((MxMy_FixedP!$EC$8:$EC$43)*SIN(RADIANS(theta_L))-(MxMy_FixedP!$FD$8:$FD$43)*COS(RADIANS(theta_L)))/((((MxMy_FixedP!$EC$8:$EC$43)*SIN(RADIANS(theta_L))-(MxMy_FixedP!$FD$8:$FD$43)*COS(RADIANS(theta_L))))-(((MxMy_FixedP!$EC$9:$EC$44)*SIN(RADIANS(theta_L))-(MxMy_FixedP!$FD$9:$FD$44)*COS(RADIANS(theta_L))))+((((MxMy_FixedP!$EC$8:$EC$43)*SIN(RADIANS(theta_L))-(MxMy_FixedP!$FD$8:$FD$43)*COS(RADIANS(theta_L))))=(((MxMy_FixedP!$EC$9:$EC$44)*SIN(RADIANS(theta_L))-(MxMy_FixedP!$FD$9:$FD$44)*COS(RADIANS(theta_L)))))))*((MxMy_FixedP!$EC$9:$EC$44)-(MxMy_FixedP!$EC$8:$EC$43)))*COS(RADIANS(theta_L))+((MxMy_FixedP!$FD$8:$FD$43)+(((MxMy_FixedP!$EC$8:$EC$43)*SIN(RADIANS(theta_L))-(MxMy_FixedP!$FD$8:$FD$43)*COS(RADIANS(theta_L)))/((((MxMy_FixedP!$EC$8:$EC$43)*SIN(RADIANS(theta_L))-(MxMy_FixedP!$FD$8:$FD$43)*COS(RADIANS(theta_L))))-(((MxMy_FixedP!$EC$9:$EC$44)*SIN(RADIANS(theta_L))-(MxMy_FixedP!$FD$9:$FD$44)*COS(RADIANS(theta_L))))+((((MxMy_FixedP!$EC$8:$EC$43)*SIN(RADIANS(theta_L))-(MxMy_FixedP!$FD$8:$FD$43)*COS(RADIANS(theta_L))))=(((MxMy_FixedP!$EC$9:$EC$44)*SIN(RADIANS(theta_L))-(MxMy_FixedP!$FD$9:$FD$44)*COS(RADIANS(theta_L)))))))*((MxMy_FixedP!$FD$9:$FD$44)-(MxMy_FixedP!$FD$8:$FD$43)))*SIN(RADIANS(theta_L)))&lt;0)))</f>
      </c>
      <c r="H29" s="10">
        <f>IF($K29&lt;=Mtol,MxMy_FixedP!$DB$8,IF(G29=0,"",SUMPRODUCT(((((MxMy_FixedP!$EC$8:$EC$43)*SIN(RADIANS(theta_L))-(MxMy_FixedP!$FD$8:$FD$43)*COS(RADIANS(theta_L))))*(((MxMy_FixedP!$EC$9:$EC$44)*SIN(RADIANS(theta_L))-(MxMy_FixedP!$FD$9:$FD$44)*COS(RADIANS(theta_L))))&lt;=0)*((((MxMy_FixedP!$EC$8:$EC$43)*SIN(RADIANS(theta_L))-(MxMy_FixedP!$FD$8:$FD$43)*COS(RADIANS(theta_L))))&lt;&gt;(((MxMy_FixedP!$EC$9:$EC$44)*SIN(RADIANS(theta_L))-(MxMy_FixedP!$FD$9:$FD$44)*COS(RADIANS(theta_L)))))*((((MxMy_FixedP!$EC$8:$EC$43)+(((MxMy_FixedP!$EC$8:$EC$43)*SIN(RADIANS(theta_L))-(MxMy_FixedP!$FD$8:$FD$43)*COS(RADIANS(theta_L)))/((((MxMy_FixedP!$EC$8:$EC$43)*SIN(RADIANS(theta_L))-(MxMy_FixedP!$FD$8:$FD$43)*COS(RADIANS(theta_L))))-(((MxMy_FixedP!$EC$9:$EC$44)*SIN(RADIANS(theta_L))-(MxMy_FixedP!$FD$9:$FD$44)*COS(RADIANS(theta_L))))+((((MxMy_FixedP!$EC$8:$EC$43)*SIN(RADIANS(theta_L))-(MxMy_FixedP!$FD$8:$FD$43)*COS(RADIANS(theta_L))))=(((MxMy_FixedP!$EC$9:$EC$44)*SIN(RADIANS(theta_L))-(MxMy_FixedP!$FD$9:$FD$44)*COS(RADIANS(theta_L)))))))*((MxMy_FixedP!$EC$9:$EC$44)-(MxMy_FixedP!$EC$8:$EC$43)))*COS(RADIANS(theta_L))+((MxMy_FixedP!$FD$8:$FD$43)+(((MxMy_FixedP!$EC$8:$EC$43)*SIN(RADIANS(theta_L))-(MxMy_FixedP!$FD$8:$FD$43)*COS(RADIANS(theta_L)))/((((MxMy_FixedP!$EC$8:$EC$43)*SIN(RADIANS(theta_L))-(MxMy_FixedP!$FD$8:$FD$43)*COS(RADIANS(theta_L))))-(((MxMy_FixedP!$EC$9:$EC$44)*SIN(RADIANS(theta_L))-(MxMy_FixedP!$FD$9:$FD$44)*COS(RADIANS(theta_L))))+((((MxMy_FixedP!$EC$8:$EC$43)*SIN(RADIANS(theta_L))-(MxMy_FixedP!$FD$8:$FD$43)*COS(RADIANS(theta_L))))=(((MxMy_FixedP!$EC$9:$EC$44)*SIN(RADIANS(theta_L))-(MxMy_FixedP!$FD$9:$FD$44)*COS(RADIANS(theta_L)))))))*((MxMy_FixedP!$FD$9:$FD$44)-(MxMy_FixedP!$FD$8:$FD$43)))*SIN(RADIANS(theta_L)))&lt;0),((MxMy_FixedP!$DB$8:$DB$43)+(((MxMy_FixedP!$EC$8:$EC$43)*SIN(RADIANS(theta_L))-(MxMy_FixedP!$FD$8:$FD$43)*COS(RADIANS(theta_L)))/((((MxMy_FixedP!$EC$8:$EC$43)*SIN(RADIANS(theta_L))-(MxMy_FixedP!$FD$8:$FD$43)*COS(RADIANS(theta_L))))-(((MxMy_FixedP!$EC$9:$EC$44)*SIN(RADIANS(theta_L))-(MxMy_FixedP!$FD$9:$FD$44)*COS(RADIANS(theta_L))))+((((MxMy_FixedP!$EC$8:$EC$43)*SIN(RADIANS(theta_L))-(MxMy_FixedP!$FD$8:$FD$43)*COS(RADIANS(theta_L))))=(((MxMy_FixedP!$EC$9:$EC$44)*SIN(RADIANS(theta_L))-(MxMy_FixedP!$FD$9:$FD$44)*COS(RADIANS(theta_L)))))))*((MxMy_FixedP!$DB$9:$DB$44)-(MxMy_FixedP!$DB$8:$DB$43))))/G29))</f>
      </c>
      <c r="I29" s="10">
        <f>IF($K29&lt;=Mtol,0,IF(G29=0,"",SUMPRODUCT(((((MxMy_FixedP!$EC$8:$EC$43)*SIN(RADIANS(theta_L))-(MxMy_FixedP!$FD$8:$FD$43)*COS(RADIANS(theta_L))))*(((MxMy_FixedP!$EC$9:$EC$44)*SIN(RADIANS(theta_L))-(MxMy_FixedP!$FD$9:$FD$44)*COS(RADIANS(theta_L))))&lt;=0)*((((MxMy_FixedP!$EC$8:$EC$43)*SIN(RADIANS(theta_L))-(MxMy_FixedP!$FD$8:$FD$43)*COS(RADIANS(theta_L))))&lt;&gt;(((MxMy_FixedP!$EC$9:$EC$44)*SIN(RADIANS(theta_L))-(MxMy_FixedP!$FD$9:$FD$44)*COS(RADIANS(theta_L)))))*((((MxMy_FixedP!$EC$8:$EC$43)+(((MxMy_FixedP!$EC$8:$EC$43)*SIN(RADIANS(theta_L))-(MxMy_FixedP!$FD$8:$FD$43)*COS(RADIANS(theta_L)))/((((MxMy_FixedP!$EC$8:$EC$43)*SIN(RADIANS(theta_L))-(MxMy_FixedP!$FD$8:$FD$43)*COS(RADIANS(theta_L))))-(((MxMy_FixedP!$EC$9:$EC$44)*SIN(RADIANS(theta_L))-(MxMy_FixedP!$FD$9:$FD$44)*COS(RADIANS(theta_L))))+((((MxMy_FixedP!$EC$8:$EC$43)*SIN(RADIANS(theta_L))-(MxMy_FixedP!$FD$8:$FD$43)*COS(RADIANS(theta_L))))=(((MxMy_FixedP!$EC$9:$EC$44)*SIN(RADIANS(theta_L))-(MxMy_FixedP!$FD$9:$FD$44)*COS(RADIANS(theta_L)))))))*((MxMy_FixedP!$EC$9:$EC$44)-(MxMy_FixedP!$EC$8:$EC$43)))*COS(RADIANS(theta_L))+((MxMy_FixedP!$FD$8:$FD$43)+(((MxMy_FixedP!$EC$8:$EC$43)*SIN(RADIANS(theta_L))-(MxMy_FixedP!$FD$8:$FD$43)*COS(RADIANS(theta_L)))/((((MxMy_FixedP!$EC$8:$EC$43)*SIN(RADIANS(theta_L))-(MxMy_FixedP!$FD$8:$FD$43)*COS(RADIANS(theta_L))))-(((MxMy_FixedP!$EC$9:$EC$44)*SIN(RADIANS(theta_L))-(MxMy_FixedP!$FD$9:$FD$44)*COS(RADIANS(theta_L))))+((((MxMy_FixedP!$EC$8:$EC$43)*SIN(RADIANS(theta_L))-(MxMy_FixedP!$FD$8:$FD$43)*COS(RADIANS(theta_L))))=(((MxMy_FixedP!$EC$9:$EC$44)*SIN(RADIANS(theta_L))-(MxMy_FixedP!$FD$9:$FD$44)*COS(RADIANS(theta_L)))))))*((MxMy_FixedP!$FD$9:$FD$44)-(MxMy_FixedP!$FD$8:$FD$43)))*SIN(RADIANS(theta_L)))&lt;0),(((MxMy_FixedP!$EC$8:$EC$43)+(((MxMy_FixedP!$EC$8:$EC$43)*SIN(RADIANS(theta_L))-(MxMy_FixedP!$FD$8:$FD$43)*COS(RADIANS(theta_L)))/((((MxMy_FixedP!$EC$8:$EC$43)*SIN(RADIANS(theta_L))-(MxMy_FixedP!$FD$8:$FD$43)*COS(RADIANS(theta_L))))-(((MxMy_FixedP!$EC$9:$EC$44)*SIN(RADIANS(theta_L))-(MxMy_FixedP!$FD$9:$FD$44)*COS(RADIANS(theta_L))))+((((MxMy_FixedP!$EC$8:$EC$43)*SIN(RADIANS(theta_L))-(MxMy_FixedP!$FD$8:$FD$43)*COS(RADIANS(theta_L))))=(((MxMy_FixedP!$EC$9:$EC$44)*SIN(RADIANS(theta_L))-(MxMy_FixedP!$FD$9:$FD$44)*COS(RADIANS(theta_L)))))))*((MxMy_FixedP!$EC$9:$EC$44)-(MxMy_FixedP!$EC$8:$EC$43)))*COS(RADIANS(theta_L))+((MxMy_FixedP!$FD$8:$FD$43)+(((MxMy_FixedP!$EC$8:$EC$43)*SIN(RADIANS(theta_L))-(MxMy_FixedP!$FD$8:$FD$43)*COS(RADIANS(theta_L)))/((((MxMy_FixedP!$EC$8:$EC$43)*SIN(RADIANS(theta_L))-(MxMy_FixedP!$FD$8:$FD$43)*COS(RADIANS(theta_L))))-(((MxMy_FixedP!$EC$9:$EC$44)*SIN(RADIANS(theta_L))-(MxMy_FixedP!$FD$9:$FD$44)*COS(RADIANS(theta_L))))+((((MxMy_FixedP!$EC$8:$EC$43)*SIN(RADIANS(theta_L))-(MxMy_FixedP!$FD$8:$FD$43)*COS(RADIANS(theta_L))))=(((MxMy_FixedP!$EC$9:$EC$44)*SIN(RADIANS(theta_L))-(MxMy_FixedP!$FD$9:$FD$44)*COS(RADIANS(theta_L)))))))*((MxMy_FixedP!$FD$9:$FD$44)-(MxMy_FixedP!$FD$8:$FD$43)))*SIN(RADIANS(theta_L))))/G29))</f>
      </c>
      <c r="J29">
        <f>IF($K29&lt;=Mtol,"pole",IF(AND(D29&gt;=1,G29&gt;=1),"ok","CHECK: "&amp;D29&amp;"/"&amp;G29&amp;" cuts"))</f>
      </c>
      <c r="K29" s="18">
        <v>6713.62410261475</v>
      </c>
    </row>
    <row r="30" spans="2:11" x14ac:dyDescent="0.25">
      <c r="B30" s="35" t="s">
        <v>237</v>
      </c>
      <c r="C30" s="54" t="s">
        <v>362</v>
      </c>
      <c r="D30" s="46">
        <f>IF($K30&lt;=Mtol,0,SUMPRODUCT(((((MxMy_FixedP!$ED$8:$ED$43)*SIN(RADIANS(theta_L))-(MxMy_FixedP!$FE$8:$FE$43)*COS(RADIANS(theta_L))))*(((MxMy_FixedP!$ED$9:$ED$44)*SIN(RADIANS(theta_L))-(MxMy_FixedP!$FE$9:$FE$44)*COS(RADIANS(theta_L))))&lt;=0)*((((MxMy_FixedP!$ED$8:$ED$43)*SIN(RADIANS(theta_L))-(MxMy_FixedP!$FE$8:$FE$43)*COS(RADIANS(theta_L))))&lt;&gt;(((MxMy_FixedP!$ED$9:$ED$44)*SIN(RADIANS(theta_L))-(MxMy_FixedP!$FE$9:$FE$44)*COS(RADIANS(theta_L)))))*((((MxMy_FixedP!$ED$8:$ED$43)+(((MxMy_FixedP!$ED$8:$ED$43)*SIN(RADIANS(theta_L))-(MxMy_FixedP!$FE$8:$FE$43)*COS(RADIANS(theta_L)))/((((MxMy_FixedP!$ED$8:$ED$43)*SIN(RADIANS(theta_L))-(MxMy_FixedP!$FE$8:$FE$43)*COS(RADIANS(theta_L))))-(((MxMy_FixedP!$ED$9:$ED$44)*SIN(RADIANS(theta_L))-(MxMy_FixedP!$FE$9:$FE$44)*COS(RADIANS(theta_L))))+((((MxMy_FixedP!$ED$8:$ED$43)*SIN(RADIANS(theta_L))-(MxMy_FixedP!$FE$8:$FE$43)*COS(RADIANS(theta_L))))=(((MxMy_FixedP!$ED$9:$ED$44)*SIN(RADIANS(theta_L))-(MxMy_FixedP!$FE$9:$FE$44)*COS(RADIANS(theta_L)))))))*((MxMy_FixedP!$ED$9:$ED$44)-(MxMy_FixedP!$ED$8:$ED$43)))*COS(RADIANS(theta_L))+((MxMy_FixedP!$FE$8:$FE$43)+(((MxMy_FixedP!$ED$8:$ED$43)*SIN(RADIANS(theta_L))-(MxMy_FixedP!$FE$8:$FE$43)*COS(RADIANS(theta_L)))/((((MxMy_FixedP!$ED$8:$ED$43)*SIN(RADIANS(theta_L))-(MxMy_FixedP!$FE$8:$FE$43)*COS(RADIANS(theta_L))))-(((MxMy_FixedP!$ED$9:$ED$44)*SIN(RADIANS(theta_L))-(MxMy_FixedP!$FE$9:$FE$44)*COS(RADIANS(theta_L))))+((((MxMy_FixedP!$ED$8:$ED$43)*SIN(RADIANS(theta_L))-(MxMy_FixedP!$FE$8:$FE$43)*COS(RADIANS(theta_L))))=(((MxMy_FixedP!$ED$9:$ED$44)*SIN(RADIANS(theta_L))-(MxMy_FixedP!$FE$9:$FE$44)*COS(RADIANS(theta_L)))))))*((MxMy_FixedP!$FE$9:$FE$44)-(MxMy_FixedP!$FE$8:$FE$43)))*SIN(RADIANS(theta_L)))&gt;0)))</f>
      </c>
      <c r="E30" s="10">
        <f>IF($K30&lt;=Mtol,MxMy_FixedP!$DC$8,IF(D30=0,"",SUMPRODUCT(((((MxMy_FixedP!$ED$8:$ED$43)*SIN(RADIANS(theta_L))-(MxMy_FixedP!$FE$8:$FE$43)*COS(RADIANS(theta_L))))*(((MxMy_FixedP!$ED$9:$ED$44)*SIN(RADIANS(theta_L))-(MxMy_FixedP!$FE$9:$FE$44)*COS(RADIANS(theta_L))))&lt;=0)*((((MxMy_FixedP!$ED$8:$ED$43)*SIN(RADIANS(theta_L))-(MxMy_FixedP!$FE$8:$FE$43)*COS(RADIANS(theta_L))))&lt;&gt;(((MxMy_FixedP!$ED$9:$ED$44)*SIN(RADIANS(theta_L))-(MxMy_FixedP!$FE$9:$FE$44)*COS(RADIANS(theta_L)))))*((((MxMy_FixedP!$ED$8:$ED$43)+(((MxMy_FixedP!$ED$8:$ED$43)*SIN(RADIANS(theta_L))-(MxMy_FixedP!$FE$8:$FE$43)*COS(RADIANS(theta_L)))/((((MxMy_FixedP!$ED$8:$ED$43)*SIN(RADIANS(theta_L))-(MxMy_FixedP!$FE$8:$FE$43)*COS(RADIANS(theta_L))))-(((MxMy_FixedP!$ED$9:$ED$44)*SIN(RADIANS(theta_L))-(MxMy_FixedP!$FE$9:$FE$44)*COS(RADIANS(theta_L))))+((((MxMy_FixedP!$ED$8:$ED$43)*SIN(RADIANS(theta_L))-(MxMy_FixedP!$FE$8:$FE$43)*COS(RADIANS(theta_L))))=(((MxMy_FixedP!$ED$9:$ED$44)*SIN(RADIANS(theta_L))-(MxMy_FixedP!$FE$9:$FE$44)*COS(RADIANS(theta_L)))))))*((MxMy_FixedP!$ED$9:$ED$44)-(MxMy_FixedP!$ED$8:$ED$43)))*COS(RADIANS(theta_L))+((MxMy_FixedP!$FE$8:$FE$43)+(((MxMy_FixedP!$ED$8:$ED$43)*SIN(RADIANS(theta_L))-(MxMy_FixedP!$FE$8:$FE$43)*COS(RADIANS(theta_L)))/((((MxMy_FixedP!$ED$8:$ED$43)*SIN(RADIANS(theta_L))-(MxMy_FixedP!$FE$8:$FE$43)*COS(RADIANS(theta_L))))-(((MxMy_FixedP!$ED$9:$ED$44)*SIN(RADIANS(theta_L))-(MxMy_FixedP!$FE$9:$FE$44)*COS(RADIANS(theta_L))))+((((MxMy_FixedP!$ED$8:$ED$43)*SIN(RADIANS(theta_L))-(MxMy_FixedP!$FE$8:$FE$43)*COS(RADIANS(theta_L))))=(((MxMy_FixedP!$ED$9:$ED$44)*SIN(RADIANS(theta_L))-(MxMy_FixedP!$FE$9:$FE$44)*COS(RADIANS(theta_L)))))))*((MxMy_FixedP!$FE$9:$FE$44)-(MxMy_FixedP!$FE$8:$FE$43)))*SIN(RADIANS(theta_L)))&gt;0),((MxMy_FixedP!$DC$8:$DC$43)+(((MxMy_FixedP!$ED$8:$ED$43)*SIN(RADIANS(theta_L))-(MxMy_FixedP!$FE$8:$FE$43)*COS(RADIANS(theta_L)))/((((MxMy_FixedP!$ED$8:$ED$43)*SIN(RADIANS(theta_L))-(MxMy_FixedP!$FE$8:$FE$43)*COS(RADIANS(theta_L))))-(((MxMy_FixedP!$ED$9:$ED$44)*SIN(RADIANS(theta_L))-(MxMy_FixedP!$FE$9:$FE$44)*COS(RADIANS(theta_L))))+((((MxMy_FixedP!$ED$8:$ED$43)*SIN(RADIANS(theta_L))-(MxMy_FixedP!$FE$8:$FE$43)*COS(RADIANS(theta_L))))=(((MxMy_FixedP!$ED$9:$ED$44)*SIN(RADIANS(theta_L))-(MxMy_FixedP!$FE$9:$FE$44)*COS(RADIANS(theta_L)))))))*((MxMy_FixedP!$DC$9:$DC$44)-(MxMy_FixedP!$DC$8:$DC$43))))/D30))</f>
      </c>
      <c r="F30" s="10">
        <f>IF($K30&lt;=Mtol,0,IF(D30=0,"",SUMPRODUCT(((((MxMy_FixedP!$ED$8:$ED$43)*SIN(RADIANS(theta_L))-(MxMy_FixedP!$FE$8:$FE$43)*COS(RADIANS(theta_L))))*(((MxMy_FixedP!$ED$9:$ED$44)*SIN(RADIANS(theta_L))-(MxMy_FixedP!$FE$9:$FE$44)*COS(RADIANS(theta_L))))&lt;=0)*((((MxMy_FixedP!$ED$8:$ED$43)*SIN(RADIANS(theta_L))-(MxMy_FixedP!$FE$8:$FE$43)*COS(RADIANS(theta_L))))&lt;&gt;(((MxMy_FixedP!$ED$9:$ED$44)*SIN(RADIANS(theta_L))-(MxMy_FixedP!$FE$9:$FE$44)*COS(RADIANS(theta_L)))))*((((MxMy_FixedP!$ED$8:$ED$43)+(((MxMy_FixedP!$ED$8:$ED$43)*SIN(RADIANS(theta_L))-(MxMy_FixedP!$FE$8:$FE$43)*COS(RADIANS(theta_L)))/((((MxMy_FixedP!$ED$8:$ED$43)*SIN(RADIANS(theta_L))-(MxMy_FixedP!$FE$8:$FE$43)*COS(RADIANS(theta_L))))-(((MxMy_FixedP!$ED$9:$ED$44)*SIN(RADIANS(theta_L))-(MxMy_FixedP!$FE$9:$FE$44)*COS(RADIANS(theta_L))))+((((MxMy_FixedP!$ED$8:$ED$43)*SIN(RADIANS(theta_L))-(MxMy_FixedP!$FE$8:$FE$43)*COS(RADIANS(theta_L))))=(((MxMy_FixedP!$ED$9:$ED$44)*SIN(RADIANS(theta_L))-(MxMy_FixedP!$FE$9:$FE$44)*COS(RADIANS(theta_L)))))))*((MxMy_FixedP!$ED$9:$ED$44)-(MxMy_FixedP!$ED$8:$ED$43)))*COS(RADIANS(theta_L))+((MxMy_FixedP!$FE$8:$FE$43)+(((MxMy_FixedP!$ED$8:$ED$43)*SIN(RADIANS(theta_L))-(MxMy_FixedP!$FE$8:$FE$43)*COS(RADIANS(theta_L)))/((((MxMy_FixedP!$ED$8:$ED$43)*SIN(RADIANS(theta_L))-(MxMy_FixedP!$FE$8:$FE$43)*COS(RADIANS(theta_L))))-(((MxMy_FixedP!$ED$9:$ED$44)*SIN(RADIANS(theta_L))-(MxMy_FixedP!$FE$9:$FE$44)*COS(RADIANS(theta_L))))+((((MxMy_FixedP!$ED$8:$ED$43)*SIN(RADIANS(theta_L))-(MxMy_FixedP!$FE$8:$FE$43)*COS(RADIANS(theta_L))))=(((MxMy_FixedP!$ED$9:$ED$44)*SIN(RADIANS(theta_L))-(MxMy_FixedP!$FE$9:$FE$44)*COS(RADIANS(theta_L)))))))*((MxMy_FixedP!$FE$9:$FE$44)-(MxMy_FixedP!$FE$8:$FE$43)))*SIN(RADIANS(theta_L)))&gt;0),(((MxMy_FixedP!$ED$8:$ED$43)+(((MxMy_FixedP!$ED$8:$ED$43)*SIN(RADIANS(theta_L))-(MxMy_FixedP!$FE$8:$FE$43)*COS(RADIANS(theta_L)))/((((MxMy_FixedP!$ED$8:$ED$43)*SIN(RADIANS(theta_L))-(MxMy_FixedP!$FE$8:$FE$43)*COS(RADIANS(theta_L))))-(((MxMy_FixedP!$ED$9:$ED$44)*SIN(RADIANS(theta_L))-(MxMy_FixedP!$FE$9:$FE$44)*COS(RADIANS(theta_L))))+((((MxMy_FixedP!$ED$8:$ED$43)*SIN(RADIANS(theta_L))-(MxMy_FixedP!$FE$8:$FE$43)*COS(RADIANS(theta_L))))=(((MxMy_FixedP!$ED$9:$ED$44)*SIN(RADIANS(theta_L))-(MxMy_FixedP!$FE$9:$FE$44)*COS(RADIANS(theta_L)))))))*((MxMy_FixedP!$ED$9:$ED$44)-(MxMy_FixedP!$ED$8:$ED$43)))*COS(RADIANS(theta_L))+((MxMy_FixedP!$FE$8:$FE$43)+(((MxMy_FixedP!$ED$8:$ED$43)*SIN(RADIANS(theta_L))-(MxMy_FixedP!$FE$8:$FE$43)*COS(RADIANS(theta_L)))/((((MxMy_FixedP!$ED$8:$ED$43)*SIN(RADIANS(theta_L))-(MxMy_FixedP!$FE$8:$FE$43)*COS(RADIANS(theta_L))))-(((MxMy_FixedP!$ED$9:$ED$44)*SIN(RADIANS(theta_L))-(MxMy_FixedP!$FE$9:$FE$44)*COS(RADIANS(theta_L))))+((((MxMy_FixedP!$ED$8:$ED$43)*SIN(RADIANS(theta_L))-(MxMy_FixedP!$FE$8:$FE$43)*COS(RADIANS(theta_L))))=(((MxMy_FixedP!$ED$9:$ED$44)*SIN(RADIANS(theta_L))-(MxMy_FixedP!$FE$9:$FE$44)*COS(RADIANS(theta_L)))))))*((MxMy_FixedP!$FE$9:$FE$44)-(MxMy_FixedP!$FE$8:$FE$43)))*SIN(RADIANS(theta_L))))/D30))</f>
      </c>
      <c r="G30" s="46">
        <f>IF($K30&lt;=Mtol,0,SUMPRODUCT(((((MxMy_FixedP!$ED$8:$ED$43)*SIN(RADIANS(theta_L))-(MxMy_FixedP!$FE$8:$FE$43)*COS(RADIANS(theta_L))))*(((MxMy_FixedP!$ED$9:$ED$44)*SIN(RADIANS(theta_L))-(MxMy_FixedP!$FE$9:$FE$44)*COS(RADIANS(theta_L))))&lt;=0)*((((MxMy_FixedP!$ED$8:$ED$43)*SIN(RADIANS(theta_L))-(MxMy_FixedP!$FE$8:$FE$43)*COS(RADIANS(theta_L))))&lt;&gt;(((MxMy_FixedP!$ED$9:$ED$44)*SIN(RADIANS(theta_L))-(MxMy_FixedP!$FE$9:$FE$44)*COS(RADIANS(theta_L)))))*((((MxMy_FixedP!$ED$8:$ED$43)+(((MxMy_FixedP!$ED$8:$ED$43)*SIN(RADIANS(theta_L))-(MxMy_FixedP!$FE$8:$FE$43)*COS(RADIANS(theta_L)))/((((MxMy_FixedP!$ED$8:$ED$43)*SIN(RADIANS(theta_L))-(MxMy_FixedP!$FE$8:$FE$43)*COS(RADIANS(theta_L))))-(((MxMy_FixedP!$ED$9:$ED$44)*SIN(RADIANS(theta_L))-(MxMy_FixedP!$FE$9:$FE$44)*COS(RADIANS(theta_L))))+((((MxMy_FixedP!$ED$8:$ED$43)*SIN(RADIANS(theta_L))-(MxMy_FixedP!$FE$8:$FE$43)*COS(RADIANS(theta_L))))=(((MxMy_FixedP!$ED$9:$ED$44)*SIN(RADIANS(theta_L))-(MxMy_FixedP!$FE$9:$FE$44)*COS(RADIANS(theta_L)))))))*((MxMy_FixedP!$ED$9:$ED$44)-(MxMy_FixedP!$ED$8:$ED$43)))*COS(RADIANS(theta_L))+((MxMy_FixedP!$FE$8:$FE$43)+(((MxMy_FixedP!$ED$8:$ED$43)*SIN(RADIANS(theta_L))-(MxMy_FixedP!$FE$8:$FE$43)*COS(RADIANS(theta_L)))/((((MxMy_FixedP!$ED$8:$ED$43)*SIN(RADIANS(theta_L))-(MxMy_FixedP!$FE$8:$FE$43)*COS(RADIANS(theta_L))))-(((MxMy_FixedP!$ED$9:$ED$44)*SIN(RADIANS(theta_L))-(MxMy_FixedP!$FE$9:$FE$44)*COS(RADIANS(theta_L))))+((((MxMy_FixedP!$ED$8:$ED$43)*SIN(RADIANS(theta_L))-(MxMy_FixedP!$FE$8:$FE$43)*COS(RADIANS(theta_L))))=(((MxMy_FixedP!$ED$9:$ED$44)*SIN(RADIANS(theta_L))-(MxMy_FixedP!$FE$9:$FE$44)*COS(RADIANS(theta_L)))))))*((MxMy_FixedP!$FE$9:$FE$44)-(MxMy_FixedP!$FE$8:$FE$43)))*SIN(RADIANS(theta_L)))&lt;0)))</f>
      </c>
      <c r="H30" s="10">
        <f>IF($K30&lt;=Mtol,MxMy_FixedP!$DC$8,IF(G30=0,"",SUMPRODUCT(((((MxMy_FixedP!$ED$8:$ED$43)*SIN(RADIANS(theta_L))-(MxMy_FixedP!$FE$8:$FE$43)*COS(RADIANS(theta_L))))*(((MxMy_FixedP!$ED$9:$ED$44)*SIN(RADIANS(theta_L))-(MxMy_FixedP!$FE$9:$FE$44)*COS(RADIANS(theta_L))))&lt;=0)*((((MxMy_FixedP!$ED$8:$ED$43)*SIN(RADIANS(theta_L))-(MxMy_FixedP!$FE$8:$FE$43)*COS(RADIANS(theta_L))))&lt;&gt;(((MxMy_FixedP!$ED$9:$ED$44)*SIN(RADIANS(theta_L))-(MxMy_FixedP!$FE$9:$FE$44)*COS(RADIANS(theta_L)))))*((((MxMy_FixedP!$ED$8:$ED$43)+(((MxMy_FixedP!$ED$8:$ED$43)*SIN(RADIANS(theta_L))-(MxMy_FixedP!$FE$8:$FE$43)*COS(RADIANS(theta_L)))/((((MxMy_FixedP!$ED$8:$ED$43)*SIN(RADIANS(theta_L))-(MxMy_FixedP!$FE$8:$FE$43)*COS(RADIANS(theta_L))))-(((MxMy_FixedP!$ED$9:$ED$44)*SIN(RADIANS(theta_L))-(MxMy_FixedP!$FE$9:$FE$44)*COS(RADIANS(theta_L))))+((((MxMy_FixedP!$ED$8:$ED$43)*SIN(RADIANS(theta_L))-(MxMy_FixedP!$FE$8:$FE$43)*COS(RADIANS(theta_L))))=(((MxMy_FixedP!$ED$9:$ED$44)*SIN(RADIANS(theta_L))-(MxMy_FixedP!$FE$9:$FE$44)*COS(RADIANS(theta_L)))))))*((MxMy_FixedP!$ED$9:$ED$44)-(MxMy_FixedP!$ED$8:$ED$43)))*COS(RADIANS(theta_L))+((MxMy_FixedP!$FE$8:$FE$43)+(((MxMy_FixedP!$ED$8:$ED$43)*SIN(RADIANS(theta_L))-(MxMy_FixedP!$FE$8:$FE$43)*COS(RADIANS(theta_L)))/((((MxMy_FixedP!$ED$8:$ED$43)*SIN(RADIANS(theta_L))-(MxMy_FixedP!$FE$8:$FE$43)*COS(RADIANS(theta_L))))-(((MxMy_FixedP!$ED$9:$ED$44)*SIN(RADIANS(theta_L))-(MxMy_FixedP!$FE$9:$FE$44)*COS(RADIANS(theta_L))))+((((MxMy_FixedP!$ED$8:$ED$43)*SIN(RADIANS(theta_L))-(MxMy_FixedP!$FE$8:$FE$43)*COS(RADIANS(theta_L))))=(((MxMy_FixedP!$ED$9:$ED$44)*SIN(RADIANS(theta_L))-(MxMy_FixedP!$FE$9:$FE$44)*COS(RADIANS(theta_L)))))))*((MxMy_FixedP!$FE$9:$FE$44)-(MxMy_FixedP!$FE$8:$FE$43)))*SIN(RADIANS(theta_L)))&lt;0),((MxMy_FixedP!$DC$8:$DC$43)+(((MxMy_FixedP!$ED$8:$ED$43)*SIN(RADIANS(theta_L))-(MxMy_FixedP!$FE$8:$FE$43)*COS(RADIANS(theta_L)))/((((MxMy_FixedP!$ED$8:$ED$43)*SIN(RADIANS(theta_L))-(MxMy_FixedP!$FE$8:$FE$43)*COS(RADIANS(theta_L))))-(((MxMy_FixedP!$ED$9:$ED$44)*SIN(RADIANS(theta_L))-(MxMy_FixedP!$FE$9:$FE$44)*COS(RADIANS(theta_L))))+((((MxMy_FixedP!$ED$8:$ED$43)*SIN(RADIANS(theta_L))-(MxMy_FixedP!$FE$8:$FE$43)*COS(RADIANS(theta_L))))=(((MxMy_FixedP!$ED$9:$ED$44)*SIN(RADIANS(theta_L))-(MxMy_FixedP!$FE$9:$FE$44)*COS(RADIANS(theta_L)))))))*((MxMy_FixedP!$DC$9:$DC$44)-(MxMy_FixedP!$DC$8:$DC$43))))/G30))</f>
      </c>
      <c r="I30" s="10">
        <f>IF($K30&lt;=Mtol,0,IF(G30=0,"",SUMPRODUCT(((((MxMy_FixedP!$ED$8:$ED$43)*SIN(RADIANS(theta_L))-(MxMy_FixedP!$FE$8:$FE$43)*COS(RADIANS(theta_L))))*(((MxMy_FixedP!$ED$9:$ED$44)*SIN(RADIANS(theta_L))-(MxMy_FixedP!$FE$9:$FE$44)*COS(RADIANS(theta_L))))&lt;=0)*((((MxMy_FixedP!$ED$8:$ED$43)*SIN(RADIANS(theta_L))-(MxMy_FixedP!$FE$8:$FE$43)*COS(RADIANS(theta_L))))&lt;&gt;(((MxMy_FixedP!$ED$9:$ED$44)*SIN(RADIANS(theta_L))-(MxMy_FixedP!$FE$9:$FE$44)*COS(RADIANS(theta_L)))))*((((MxMy_FixedP!$ED$8:$ED$43)+(((MxMy_FixedP!$ED$8:$ED$43)*SIN(RADIANS(theta_L))-(MxMy_FixedP!$FE$8:$FE$43)*COS(RADIANS(theta_L)))/((((MxMy_FixedP!$ED$8:$ED$43)*SIN(RADIANS(theta_L))-(MxMy_FixedP!$FE$8:$FE$43)*COS(RADIANS(theta_L))))-(((MxMy_FixedP!$ED$9:$ED$44)*SIN(RADIANS(theta_L))-(MxMy_FixedP!$FE$9:$FE$44)*COS(RADIANS(theta_L))))+((((MxMy_FixedP!$ED$8:$ED$43)*SIN(RADIANS(theta_L))-(MxMy_FixedP!$FE$8:$FE$43)*COS(RADIANS(theta_L))))=(((MxMy_FixedP!$ED$9:$ED$44)*SIN(RADIANS(theta_L))-(MxMy_FixedP!$FE$9:$FE$44)*COS(RADIANS(theta_L)))))))*((MxMy_FixedP!$ED$9:$ED$44)-(MxMy_FixedP!$ED$8:$ED$43)))*COS(RADIANS(theta_L))+((MxMy_FixedP!$FE$8:$FE$43)+(((MxMy_FixedP!$ED$8:$ED$43)*SIN(RADIANS(theta_L))-(MxMy_FixedP!$FE$8:$FE$43)*COS(RADIANS(theta_L)))/((((MxMy_FixedP!$ED$8:$ED$43)*SIN(RADIANS(theta_L))-(MxMy_FixedP!$FE$8:$FE$43)*COS(RADIANS(theta_L))))-(((MxMy_FixedP!$ED$9:$ED$44)*SIN(RADIANS(theta_L))-(MxMy_FixedP!$FE$9:$FE$44)*COS(RADIANS(theta_L))))+((((MxMy_FixedP!$ED$8:$ED$43)*SIN(RADIANS(theta_L))-(MxMy_FixedP!$FE$8:$FE$43)*COS(RADIANS(theta_L))))=(((MxMy_FixedP!$ED$9:$ED$44)*SIN(RADIANS(theta_L))-(MxMy_FixedP!$FE$9:$FE$44)*COS(RADIANS(theta_L)))))))*((MxMy_FixedP!$FE$9:$FE$44)-(MxMy_FixedP!$FE$8:$FE$43)))*SIN(RADIANS(theta_L)))&lt;0),(((MxMy_FixedP!$ED$8:$ED$43)+(((MxMy_FixedP!$ED$8:$ED$43)*SIN(RADIANS(theta_L))-(MxMy_FixedP!$FE$8:$FE$43)*COS(RADIANS(theta_L)))/((((MxMy_FixedP!$ED$8:$ED$43)*SIN(RADIANS(theta_L))-(MxMy_FixedP!$FE$8:$FE$43)*COS(RADIANS(theta_L))))-(((MxMy_FixedP!$ED$9:$ED$44)*SIN(RADIANS(theta_L))-(MxMy_FixedP!$FE$9:$FE$44)*COS(RADIANS(theta_L))))+((((MxMy_FixedP!$ED$8:$ED$43)*SIN(RADIANS(theta_L))-(MxMy_FixedP!$FE$8:$FE$43)*COS(RADIANS(theta_L))))=(((MxMy_FixedP!$ED$9:$ED$44)*SIN(RADIANS(theta_L))-(MxMy_FixedP!$FE$9:$FE$44)*COS(RADIANS(theta_L)))))))*((MxMy_FixedP!$ED$9:$ED$44)-(MxMy_FixedP!$ED$8:$ED$43)))*COS(RADIANS(theta_L))+((MxMy_FixedP!$FE$8:$FE$43)+(((MxMy_FixedP!$ED$8:$ED$43)*SIN(RADIANS(theta_L))-(MxMy_FixedP!$FE$8:$FE$43)*COS(RADIANS(theta_L)))/((((MxMy_FixedP!$ED$8:$ED$43)*SIN(RADIANS(theta_L))-(MxMy_FixedP!$FE$8:$FE$43)*COS(RADIANS(theta_L))))-(((MxMy_FixedP!$ED$9:$ED$44)*SIN(RADIANS(theta_L))-(MxMy_FixedP!$FE$9:$FE$44)*COS(RADIANS(theta_L))))+((((MxMy_FixedP!$ED$8:$ED$43)*SIN(RADIANS(theta_L))-(MxMy_FixedP!$FE$8:$FE$43)*COS(RADIANS(theta_L))))=(((MxMy_FixedP!$ED$9:$ED$44)*SIN(RADIANS(theta_L))-(MxMy_FixedP!$FE$9:$FE$44)*COS(RADIANS(theta_L)))))))*((MxMy_FixedP!$FE$9:$FE$44)-(MxMy_FixedP!$FE$8:$FE$43)))*SIN(RADIANS(theta_L))))/G30))</f>
      </c>
      <c r="J30">
        <f>IF($K30&lt;=Mtol,"pole",IF(AND(D30&gt;=1,G30&gt;=1),"ok","CHECK: "&amp;D30&amp;"/"&amp;G30&amp;" cuts"))</f>
      </c>
      <c r="K30" s="18">
        <v>6501.570599436843</v>
      </c>
    </row>
    <row r="31" spans="2:11" x14ac:dyDescent="0.25">
      <c r="B31" s="35" t="s">
        <v>238</v>
      </c>
      <c r="C31" s="54" t="s">
        <v>363</v>
      </c>
      <c r="D31" s="46">
        <f>IF($K31&lt;=Mtol,0,SUMPRODUCT(((((MxMy_FixedP!$EE$8:$EE$43)*SIN(RADIANS(theta_L))-(MxMy_FixedP!$FF$8:$FF$43)*COS(RADIANS(theta_L))))*(((MxMy_FixedP!$EE$9:$EE$44)*SIN(RADIANS(theta_L))-(MxMy_FixedP!$FF$9:$FF$44)*COS(RADIANS(theta_L))))&lt;=0)*((((MxMy_FixedP!$EE$8:$EE$43)*SIN(RADIANS(theta_L))-(MxMy_FixedP!$FF$8:$FF$43)*COS(RADIANS(theta_L))))&lt;&gt;(((MxMy_FixedP!$EE$9:$EE$44)*SIN(RADIANS(theta_L))-(MxMy_FixedP!$FF$9:$FF$44)*COS(RADIANS(theta_L)))))*((((MxMy_FixedP!$EE$8:$EE$43)+(((MxMy_FixedP!$EE$8:$EE$43)*SIN(RADIANS(theta_L))-(MxMy_FixedP!$FF$8:$FF$43)*COS(RADIANS(theta_L)))/((((MxMy_FixedP!$EE$8:$EE$43)*SIN(RADIANS(theta_L))-(MxMy_FixedP!$FF$8:$FF$43)*COS(RADIANS(theta_L))))-(((MxMy_FixedP!$EE$9:$EE$44)*SIN(RADIANS(theta_L))-(MxMy_FixedP!$FF$9:$FF$44)*COS(RADIANS(theta_L))))+((((MxMy_FixedP!$EE$8:$EE$43)*SIN(RADIANS(theta_L))-(MxMy_FixedP!$FF$8:$FF$43)*COS(RADIANS(theta_L))))=(((MxMy_FixedP!$EE$9:$EE$44)*SIN(RADIANS(theta_L))-(MxMy_FixedP!$FF$9:$FF$44)*COS(RADIANS(theta_L)))))))*((MxMy_FixedP!$EE$9:$EE$44)-(MxMy_FixedP!$EE$8:$EE$43)))*COS(RADIANS(theta_L))+((MxMy_FixedP!$FF$8:$FF$43)+(((MxMy_FixedP!$EE$8:$EE$43)*SIN(RADIANS(theta_L))-(MxMy_FixedP!$FF$8:$FF$43)*COS(RADIANS(theta_L)))/((((MxMy_FixedP!$EE$8:$EE$43)*SIN(RADIANS(theta_L))-(MxMy_FixedP!$FF$8:$FF$43)*COS(RADIANS(theta_L))))-(((MxMy_FixedP!$EE$9:$EE$44)*SIN(RADIANS(theta_L))-(MxMy_FixedP!$FF$9:$FF$44)*COS(RADIANS(theta_L))))+((((MxMy_FixedP!$EE$8:$EE$43)*SIN(RADIANS(theta_L))-(MxMy_FixedP!$FF$8:$FF$43)*COS(RADIANS(theta_L))))=(((MxMy_FixedP!$EE$9:$EE$44)*SIN(RADIANS(theta_L))-(MxMy_FixedP!$FF$9:$FF$44)*COS(RADIANS(theta_L)))))))*((MxMy_FixedP!$FF$9:$FF$44)-(MxMy_FixedP!$FF$8:$FF$43)))*SIN(RADIANS(theta_L)))&gt;0)))</f>
      </c>
      <c r="E31" s="10">
        <f>IF($K31&lt;=Mtol,MxMy_FixedP!$DD$8,IF(D31=0,"",SUMPRODUCT(((((MxMy_FixedP!$EE$8:$EE$43)*SIN(RADIANS(theta_L))-(MxMy_FixedP!$FF$8:$FF$43)*COS(RADIANS(theta_L))))*(((MxMy_FixedP!$EE$9:$EE$44)*SIN(RADIANS(theta_L))-(MxMy_FixedP!$FF$9:$FF$44)*COS(RADIANS(theta_L))))&lt;=0)*((((MxMy_FixedP!$EE$8:$EE$43)*SIN(RADIANS(theta_L))-(MxMy_FixedP!$FF$8:$FF$43)*COS(RADIANS(theta_L))))&lt;&gt;(((MxMy_FixedP!$EE$9:$EE$44)*SIN(RADIANS(theta_L))-(MxMy_FixedP!$FF$9:$FF$44)*COS(RADIANS(theta_L)))))*((((MxMy_FixedP!$EE$8:$EE$43)+(((MxMy_FixedP!$EE$8:$EE$43)*SIN(RADIANS(theta_L))-(MxMy_FixedP!$FF$8:$FF$43)*COS(RADIANS(theta_L)))/((((MxMy_FixedP!$EE$8:$EE$43)*SIN(RADIANS(theta_L))-(MxMy_FixedP!$FF$8:$FF$43)*COS(RADIANS(theta_L))))-(((MxMy_FixedP!$EE$9:$EE$44)*SIN(RADIANS(theta_L))-(MxMy_FixedP!$FF$9:$FF$44)*COS(RADIANS(theta_L))))+((((MxMy_FixedP!$EE$8:$EE$43)*SIN(RADIANS(theta_L))-(MxMy_FixedP!$FF$8:$FF$43)*COS(RADIANS(theta_L))))=(((MxMy_FixedP!$EE$9:$EE$44)*SIN(RADIANS(theta_L))-(MxMy_FixedP!$FF$9:$FF$44)*COS(RADIANS(theta_L)))))))*((MxMy_FixedP!$EE$9:$EE$44)-(MxMy_FixedP!$EE$8:$EE$43)))*COS(RADIANS(theta_L))+((MxMy_FixedP!$FF$8:$FF$43)+(((MxMy_FixedP!$EE$8:$EE$43)*SIN(RADIANS(theta_L))-(MxMy_FixedP!$FF$8:$FF$43)*COS(RADIANS(theta_L)))/((((MxMy_FixedP!$EE$8:$EE$43)*SIN(RADIANS(theta_L))-(MxMy_FixedP!$FF$8:$FF$43)*COS(RADIANS(theta_L))))-(((MxMy_FixedP!$EE$9:$EE$44)*SIN(RADIANS(theta_L))-(MxMy_FixedP!$FF$9:$FF$44)*COS(RADIANS(theta_L))))+((((MxMy_FixedP!$EE$8:$EE$43)*SIN(RADIANS(theta_L))-(MxMy_FixedP!$FF$8:$FF$43)*COS(RADIANS(theta_L))))=(((MxMy_FixedP!$EE$9:$EE$44)*SIN(RADIANS(theta_L))-(MxMy_FixedP!$FF$9:$FF$44)*COS(RADIANS(theta_L)))))))*((MxMy_FixedP!$FF$9:$FF$44)-(MxMy_FixedP!$FF$8:$FF$43)))*SIN(RADIANS(theta_L)))&gt;0),((MxMy_FixedP!$DD$8:$DD$43)+(((MxMy_FixedP!$EE$8:$EE$43)*SIN(RADIANS(theta_L))-(MxMy_FixedP!$FF$8:$FF$43)*COS(RADIANS(theta_L)))/((((MxMy_FixedP!$EE$8:$EE$43)*SIN(RADIANS(theta_L))-(MxMy_FixedP!$FF$8:$FF$43)*COS(RADIANS(theta_L))))-(((MxMy_FixedP!$EE$9:$EE$44)*SIN(RADIANS(theta_L))-(MxMy_FixedP!$FF$9:$FF$44)*COS(RADIANS(theta_L))))+((((MxMy_FixedP!$EE$8:$EE$43)*SIN(RADIANS(theta_L))-(MxMy_FixedP!$FF$8:$FF$43)*COS(RADIANS(theta_L))))=(((MxMy_FixedP!$EE$9:$EE$44)*SIN(RADIANS(theta_L))-(MxMy_FixedP!$FF$9:$FF$44)*COS(RADIANS(theta_L)))))))*((MxMy_FixedP!$DD$9:$DD$44)-(MxMy_FixedP!$DD$8:$DD$43))))/D31))</f>
      </c>
      <c r="F31" s="10">
        <f>IF($K31&lt;=Mtol,0,IF(D31=0,"",SUMPRODUCT(((((MxMy_FixedP!$EE$8:$EE$43)*SIN(RADIANS(theta_L))-(MxMy_FixedP!$FF$8:$FF$43)*COS(RADIANS(theta_L))))*(((MxMy_FixedP!$EE$9:$EE$44)*SIN(RADIANS(theta_L))-(MxMy_FixedP!$FF$9:$FF$44)*COS(RADIANS(theta_L))))&lt;=0)*((((MxMy_FixedP!$EE$8:$EE$43)*SIN(RADIANS(theta_L))-(MxMy_FixedP!$FF$8:$FF$43)*COS(RADIANS(theta_L))))&lt;&gt;(((MxMy_FixedP!$EE$9:$EE$44)*SIN(RADIANS(theta_L))-(MxMy_FixedP!$FF$9:$FF$44)*COS(RADIANS(theta_L)))))*((((MxMy_FixedP!$EE$8:$EE$43)+(((MxMy_FixedP!$EE$8:$EE$43)*SIN(RADIANS(theta_L))-(MxMy_FixedP!$FF$8:$FF$43)*COS(RADIANS(theta_L)))/((((MxMy_FixedP!$EE$8:$EE$43)*SIN(RADIANS(theta_L))-(MxMy_FixedP!$FF$8:$FF$43)*COS(RADIANS(theta_L))))-(((MxMy_FixedP!$EE$9:$EE$44)*SIN(RADIANS(theta_L))-(MxMy_FixedP!$FF$9:$FF$44)*COS(RADIANS(theta_L))))+((((MxMy_FixedP!$EE$8:$EE$43)*SIN(RADIANS(theta_L))-(MxMy_FixedP!$FF$8:$FF$43)*COS(RADIANS(theta_L))))=(((MxMy_FixedP!$EE$9:$EE$44)*SIN(RADIANS(theta_L))-(MxMy_FixedP!$FF$9:$FF$44)*COS(RADIANS(theta_L)))))))*((MxMy_FixedP!$EE$9:$EE$44)-(MxMy_FixedP!$EE$8:$EE$43)))*COS(RADIANS(theta_L))+((MxMy_FixedP!$FF$8:$FF$43)+(((MxMy_FixedP!$EE$8:$EE$43)*SIN(RADIANS(theta_L))-(MxMy_FixedP!$FF$8:$FF$43)*COS(RADIANS(theta_L)))/((((MxMy_FixedP!$EE$8:$EE$43)*SIN(RADIANS(theta_L))-(MxMy_FixedP!$FF$8:$FF$43)*COS(RADIANS(theta_L))))-(((MxMy_FixedP!$EE$9:$EE$44)*SIN(RADIANS(theta_L))-(MxMy_FixedP!$FF$9:$FF$44)*COS(RADIANS(theta_L))))+((((MxMy_FixedP!$EE$8:$EE$43)*SIN(RADIANS(theta_L))-(MxMy_FixedP!$FF$8:$FF$43)*COS(RADIANS(theta_L))))=(((MxMy_FixedP!$EE$9:$EE$44)*SIN(RADIANS(theta_L))-(MxMy_FixedP!$FF$9:$FF$44)*COS(RADIANS(theta_L)))))))*((MxMy_FixedP!$FF$9:$FF$44)-(MxMy_FixedP!$FF$8:$FF$43)))*SIN(RADIANS(theta_L)))&gt;0),(((MxMy_FixedP!$EE$8:$EE$43)+(((MxMy_FixedP!$EE$8:$EE$43)*SIN(RADIANS(theta_L))-(MxMy_FixedP!$FF$8:$FF$43)*COS(RADIANS(theta_L)))/((((MxMy_FixedP!$EE$8:$EE$43)*SIN(RADIANS(theta_L))-(MxMy_FixedP!$FF$8:$FF$43)*COS(RADIANS(theta_L))))-(((MxMy_FixedP!$EE$9:$EE$44)*SIN(RADIANS(theta_L))-(MxMy_FixedP!$FF$9:$FF$44)*COS(RADIANS(theta_L))))+((((MxMy_FixedP!$EE$8:$EE$43)*SIN(RADIANS(theta_L))-(MxMy_FixedP!$FF$8:$FF$43)*COS(RADIANS(theta_L))))=(((MxMy_FixedP!$EE$9:$EE$44)*SIN(RADIANS(theta_L))-(MxMy_FixedP!$FF$9:$FF$44)*COS(RADIANS(theta_L)))))))*((MxMy_FixedP!$EE$9:$EE$44)-(MxMy_FixedP!$EE$8:$EE$43)))*COS(RADIANS(theta_L))+((MxMy_FixedP!$FF$8:$FF$43)+(((MxMy_FixedP!$EE$8:$EE$43)*SIN(RADIANS(theta_L))-(MxMy_FixedP!$FF$8:$FF$43)*COS(RADIANS(theta_L)))/((((MxMy_FixedP!$EE$8:$EE$43)*SIN(RADIANS(theta_L))-(MxMy_FixedP!$FF$8:$FF$43)*COS(RADIANS(theta_L))))-(((MxMy_FixedP!$EE$9:$EE$44)*SIN(RADIANS(theta_L))-(MxMy_FixedP!$FF$9:$FF$44)*COS(RADIANS(theta_L))))+((((MxMy_FixedP!$EE$8:$EE$43)*SIN(RADIANS(theta_L))-(MxMy_FixedP!$FF$8:$FF$43)*COS(RADIANS(theta_L))))=(((MxMy_FixedP!$EE$9:$EE$44)*SIN(RADIANS(theta_L))-(MxMy_FixedP!$FF$9:$FF$44)*COS(RADIANS(theta_L)))))))*((MxMy_FixedP!$FF$9:$FF$44)-(MxMy_FixedP!$FF$8:$FF$43)))*SIN(RADIANS(theta_L))))/D31))</f>
      </c>
      <c r="G31" s="46">
        <f>IF($K31&lt;=Mtol,0,SUMPRODUCT(((((MxMy_FixedP!$EE$8:$EE$43)*SIN(RADIANS(theta_L))-(MxMy_FixedP!$FF$8:$FF$43)*COS(RADIANS(theta_L))))*(((MxMy_FixedP!$EE$9:$EE$44)*SIN(RADIANS(theta_L))-(MxMy_FixedP!$FF$9:$FF$44)*COS(RADIANS(theta_L))))&lt;=0)*((((MxMy_FixedP!$EE$8:$EE$43)*SIN(RADIANS(theta_L))-(MxMy_FixedP!$FF$8:$FF$43)*COS(RADIANS(theta_L))))&lt;&gt;(((MxMy_FixedP!$EE$9:$EE$44)*SIN(RADIANS(theta_L))-(MxMy_FixedP!$FF$9:$FF$44)*COS(RADIANS(theta_L)))))*((((MxMy_FixedP!$EE$8:$EE$43)+(((MxMy_FixedP!$EE$8:$EE$43)*SIN(RADIANS(theta_L))-(MxMy_FixedP!$FF$8:$FF$43)*COS(RADIANS(theta_L)))/((((MxMy_FixedP!$EE$8:$EE$43)*SIN(RADIANS(theta_L))-(MxMy_FixedP!$FF$8:$FF$43)*COS(RADIANS(theta_L))))-(((MxMy_FixedP!$EE$9:$EE$44)*SIN(RADIANS(theta_L))-(MxMy_FixedP!$FF$9:$FF$44)*COS(RADIANS(theta_L))))+((((MxMy_FixedP!$EE$8:$EE$43)*SIN(RADIANS(theta_L))-(MxMy_FixedP!$FF$8:$FF$43)*COS(RADIANS(theta_L))))=(((MxMy_FixedP!$EE$9:$EE$44)*SIN(RADIANS(theta_L))-(MxMy_FixedP!$FF$9:$FF$44)*COS(RADIANS(theta_L)))))))*((MxMy_FixedP!$EE$9:$EE$44)-(MxMy_FixedP!$EE$8:$EE$43)))*COS(RADIANS(theta_L))+((MxMy_FixedP!$FF$8:$FF$43)+(((MxMy_FixedP!$EE$8:$EE$43)*SIN(RADIANS(theta_L))-(MxMy_FixedP!$FF$8:$FF$43)*COS(RADIANS(theta_L)))/((((MxMy_FixedP!$EE$8:$EE$43)*SIN(RADIANS(theta_L))-(MxMy_FixedP!$FF$8:$FF$43)*COS(RADIANS(theta_L))))-(((MxMy_FixedP!$EE$9:$EE$44)*SIN(RADIANS(theta_L))-(MxMy_FixedP!$FF$9:$FF$44)*COS(RADIANS(theta_L))))+((((MxMy_FixedP!$EE$8:$EE$43)*SIN(RADIANS(theta_L))-(MxMy_FixedP!$FF$8:$FF$43)*COS(RADIANS(theta_L))))=(((MxMy_FixedP!$EE$9:$EE$44)*SIN(RADIANS(theta_L))-(MxMy_FixedP!$FF$9:$FF$44)*COS(RADIANS(theta_L)))))))*((MxMy_FixedP!$FF$9:$FF$44)-(MxMy_FixedP!$FF$8:$FF$43)))*SIN(RADIANS(theta_L)))&lt;0)))</f>
      </c>
      <c r="H31" s="10">
        <f>IF($K31&lt;=Mtol,MxMy_FixedP!$DD$8,IF(G31=0,"",SUMPRODUCT(((((MxMy_FixedP!$EE$8:$EE$43)*SIN(RADIANS(theta_L))-(MxMy_FixedP!$FF$8:$FF$43)*COS(RADIANS(theta_L))))*(((MxMy_FixedP!$EE$9:$EE$44)*SIN(RADIANS(theta_L))-(MxMy_FixedP!$FF$9:$FF$44)*COS(RADIANS(theta_L))))&lt;=0)*((((MxMy_FixedP!$EE$8:$EE$43)*SIN(RADIANS(theta_L))-(MxMy_FixedP!$FF$8:$FF$43)*COS(RADIANS(theta_L))))&lt;&gt;(((MxMy_FixedP!$EE$9:$EE$44)*SIN(RADIANS(theta_L))-(MxMy_FixedP!$FF$9:$FF$44)*COS(RADIANS(theta_L)))))*((((MxMy_FixedP!$EE$8:$EE$43)+(((MxMy_FixedP!$EE$8:$EE$43)*SIN(RADIANS(theta_L))-(MxMy_FixedP!$FF$8:$FF$43)*COS(RADIANS(theta_L)))/((((MxMy_FixedP!$EE$8:$EE$43)*SIN(RADIANS(theta_L))-(MxMy_FixedP!$FF$8:$FF$43)*COS(RADIANS(theta_L))))-(((MxMy_FixedP!$EE$9:$EE$44)*SIN(RADIANS(theta_L))-(MxMy_FixedP!$FF$9:$FF$44)*COS(RADIANS(theta_L))))+((((MxMy_FixedP!$EE$8:$EE$43)*SIN(RADIANS(theta_L))-(MxMy_FixedP!$FF$8:$FF$43)*COS(RADIANS(theta_L))))=(((MxMy_FixedP!$EE$9:$EE$44)*SIN(RADIANS(theta_L))-(MxMy_FixedP!$FF$9:$FF$44)*COS(RADIANS(theta_L)))))))*((MxMy_FixedP!$EE$9:$EE$44)-(MxMy_FixedP!$EE$8:$EE$43)))*COS(RADIANS(theta_L))+((MxMy_FixedP!$FF$8:$FF$43)+(((MxMy_FixedP!$EE$8:$EE$43)*SIN(RADIANS(theta_L))-(MxMy_FixedP!$FF$8:$FF$43)*COS(RADIANS(theta_L)))/((((MxMy_FixedP!$EE$8:$EE$43)*SIN(RADIANS(theta_L))-(MxMy_FixedP!$FF$8:$FF$43)*COS(RADIANS(theta_L))))-(((MxMy_FixedP!$EE$9:$EE$44)*SIN(RADIANS(theta_L))-(MxMy_FixedP!$FF$9:$FF$44)*COS(RADIANS(theta_L))))+((((MxMy_FixedP!$EE$8:$EE$43)*SIN(RADIANS(theta_L))-(MxMy_FixedP!$FF$8:$FF$43)*COS(RADIANS(theta_L))))=(((MxMy_FixedP!$EE$9:$EE$44)*SIN(RADIANS(theta_L))-(MxMy_FixedP!$FF$9:$FF$44)*COS(RADIANS(theta_L)))))))*((MxMy_FixedP!$FF$9:$FF$44)-(MxMy_FixedP!$FF$8:$FF$43)))*SIN(RADIANS(theta_L)))&lt;0),((MxMy_FixedP!$DD$8:$DD$43)+(((MxMy_FixedP!$EE$8:$EE$43)*SIN(RADIANS(theta_L))-(MxMy_FixedP!$FF$8:$FF$43)*COS(RADIANS(theta_L)))/((((MxMy_FixedP!$EE$8:$EE$43)*SIN(RADIANS(theta_L))-(MxMy_FixedP!$FF$8:$FF$43)*COS(RADIANS(theta_L))))-(((MxMy_FixedP!$EE$9:$EE$44)*SIN(RADIANS(theta_L))-(MxMy_FixedP!$FF$9:$FF$44)*COS(RADIANS(theta_L))))+((((MxMy_FixedP!$EE$8:$EE$43)*SIN(RADIANS(theta_L))-(MxMy_FixedP!$FF$8:$FF$43)*COS(RADIANS(theta_L))))=(((MxMy_FixedP!$EE$9:$EE$44)*SIN(RADIANS(theta_L))-(MxMy_FixedP!$FF$9:$FF$44)*COS(RADIANS(theta_L)))))))*((MxMy_FixedP!$DD$9:$DD$44)-(MxMy_FixedP!$DD$8:$DD$43))))/G31))</f>
      </c>
      <c r="I31" s="10">
        <f>IF($K31&lt;=Mtol,0,IF(G31=0,"",SUMPRODUCT(((((MxMy_FixedP!$EE$8:$EE$43)*SIN(RADIANS(theta_L))-(MxMy_FixedP!$FF$8:$FF$43)*COS(RADIANS(theta_L))))*(((MxMy_FixedP!$EE$9:$EE$44)*SIN(RADIANS(theta_L))-(MxMy_FixedP!$FF$9:$FF$44)*COS(RADIANS(theta_L))))&lt;=0)*((((MxMy_FixedP!$EE$8:$EE$43)*SIN(RADIANS(theta_L))-(MxMy_FixedP!$FF$8:$FF$43)*COS(RADIANS(theta_L))))&lt;&gt;(((MxMy_FixedP!$EE$9:$EE$44)*SIN(RADIANS(theta_L))-(MxMy_FixedP!$FF$9:$FF$44)*COS(RADIANS(theta_L)))))*((((MxMy_FixedP!$EE$8:$EE$43)+(((MxMy_FixedP!$EE$8:$EE$43)*SIN(RADIANS(theta_L))-(MxMy_FixedP!$FF$8:$FF$43)*COS(RADIANS(theta_L)))/((((MxMy_FixedP!$EE$8:$EE$43)*SIN(RADIANS(theta_L))-(MxMy_FixedP!$FF$8:$FF$43)*COS(RADIANS(theta_L))))-(((MxMy_FixedP!$EE$9:$EE$44)*SIN(RADIANS(theta_L))-(MxMy_FixedP!$FF$9:$FF$44)*COS(RADIANS(theta_L))))+((((MxMy_FixedP!$EE$8:$EE$43)*SIN(RADIANS(theta_L))-(MxMy_FixedP!$FF$8:$FF$43)*COS(RADIANS(theta_L))))=(((MxMy_FixedP!$EE$9:$EE$44)*SIN(RADIANS(theta_L))-(MxMy_FixedP!$FF$9:$FF$44)*COS(RADIANS(theta_L)))))))*((MxMy_FixedP!$EE$9:$EE$44)-(MxMy_FixedP!$EE$8:$EE$43)))*COS(RADIANS(theta_L))+((MxMy_FixedP!$FF$8:$FF$43)+(((MxMy_FixedP!$EE$8:$EE$43)*SIN(RADIANS(theta_L))-(MxMy_FixedP!$FF$8:$FF$43)*COS(RADIANS(theta_L)))/((((MxMy_FixedP!$EE$8:$EE$43)*SIN(RADIANS(theta_L))-(MxMy_FixedP!$FF$8:$FF$43)*COS(RADIANS(theta_L))))-(((MxMy_FixedP!$EE$9:$EE$44)*SIN(RADIANS(theta_L))-(MxMy_FixedP!$FF$9:$FF$44)*COS(RADIANS(theta_L))))+((((MxMy_FixedP!$EE$8:$EE$43)*SIN(RADIANS(theta_L))-(MxMy_FixedP!$FF$8:$FF$43)*COS(RADIANS(theta_L))))=(((MxMy_FixedP!$EE$9:$EE$44)*SIN(RADIANS(theta_L))-(MxMy_FixedP!$FF$9:$FF$44)*COS(RADIANS(theta_L)))))))*((MxMy_FixedP!$FF$9:$FF$44)-(MxMy_FixedP!$FF$8:$FF$43)))*SIN(RADIANS(theta_L)))&lt;0),(((MxMy_FixedP!$EE$8:$EE$43)+(((MxMy_FixedP!$EE$8:$EE$43)*SIN(RADIANS(theta_L))-(MxMy_FixedP!$FF$8:$FF$43)*COS(RADIANS(theta_L)))/((((MxMy_FixedP!$EE$8:$EE$43)*SIN(RADIANS(theta_L))-(MxMy_FixedP!$FF$8:$FF$43)*COS(RADIANS(theta_L))))-(((MxMy_FixedP!$EE$9:$EE$44)*SIN(RADIANS(theta_L))-(MxMy_FixedP!$FF$9:$FF$44)*COS(RADIANS(theta_L))))+((((MxMy_FixedP!$EE$8:$EE$43)*SIN(RADIANS(theta_L))-(MxMy_FixedP!$FF$8:$FF$43)*COS(RADIANS(theta_L))))=(((MxMy_FixedP!$EE$9:$EE$44)*SIN(RADIANS(theta_L))-(MxMy_FixedP!$FF$9:$FF$44)*COS(RADIANS(theta_L)))))))*((MxMy_FixedP!$EE$9:$EE$44)-(MxMy_FixedP!$EE$8:$EE$43)))*COS(RADIANS(theta_L))+((MxMy_FixedP!$FF$8:$FF$43)+(((MxMy_FixedP!$EE$8:$EE$43)*SIN(RADIANS(theta_L))-(MxMy_FixedP!$FF$8:$FF$43)*COS(RADIANS(theta_L)))/((((MxMy_FixedP!$EE$8:$EE$43)*SIN(RADIANS(theta_L))-(MxMy_FixedP!$FF$8:$FF$43)*COS(RADIANS(theta_L))))-(((MxMy_FixedP!$EE$9:$EE$44)*SIN(RADIANS(theta_L))-(MxMy_FixedP!$FF$9:$FF$44)*COS(RADIANS(theta_L))))+((((MxMy_FixedP!$EE$8:$EE$43)*SIN(RADIANS(theta_L))-(MxMy_FixedP!$FF$8:$FF$43)*COS(RADIANS(theta_L))))=(((MxMy_FixedP!$EE$9:$EE$44)*SIN(RADIANS(theta_L))-(MxMy_FixedP!$FF$9:$FF$44)*COS(RADIANS(theta_L)))))))*((MxMy_FixedP!$FF$9:$FF$44)-(MxMy_FixedP!$FF$8:$FF$43)))*SIN(RADIANS(theta_L))))/G31))</f>
      </c>
      <c r="J31">
        <f>IF($K31&lt;=Mtol,"pole",IF(AND(D31&gt;=1,G31&gt;=1),"ok","CHECK: "&amp;D31&amp;"/"&amp;G31&amp;" cuts"))</f>
      </c>
      <c r="K31" s="18">
        <v>6115.04004208596</v>
      </c>
    </row>
    <row r="32" spans="2:11" x14ac:dyDescent="0.25">
      <c r="B32" s="35" t="s">
        <v>239</v>
      </c>
      <c r="C32" s="54" t="s">
        <v>364</v>
      </c>
      <c r="D32" s="46">
        <f>IF($K32&lt;=Mtol,0,SUMPRODUCT(((((MxMy_FixedP!$EF$8:$EF$43)*SIN(RADIANS(theta_L))-(MxMy_FixedP!$FG$8:$FG$43)*COS(RADIANS(theta_L))))*(((MxMy_FixedP!$EF$9:$EF$44)*SIN(RADIANS(theta_L))-(MxMy_FixedP!$FG$9:$FG$44)*COS(RADIANS(theta_L))))&lt;=0)*((((MxMy_FixedP!$EF$8:$EF$43)*SIN(RADIANS(theta_L))-(MxMy_FixedP!$FG$8:$FG$43)*COS(RADIANS(theta_L))))&lt;&gt;(((MxMy_FixedP!$EF$9:$EF$44)*SIN(RADIANS(theta_L))-(MxMy_FixedP!$FG$9:$FG$44)*COS(RADIANS(theta_L)))))*((((MxMy_FixedP!$EF$8:$EF$43)+(((MxMy_FixedP!$EF$8:$EF$43)*SIN(RADIANS(theta_L))-(MxMy_FixedP!$FG$8:$FG$43)*COS(RADIANS(theta_L)))/((((MxMy_FixedP!$EF$8:$EF$43)*SIN(RADIANS(theta_L))-(MxMy_FixedP!$FG$8:$FG$43)*COS(RADIANS(theta_L))))-(((MxMy_FixedP!$EF$9:$EF$44)*SIN(RADIANS(theta_L))-(MxMy_FixedP!$FG$9:$FG$44)*COS(RADIANS(theta_L))))+((((MxMy_FixedP!$EF$8:$EF$43)*SIN(RADIANS(theta_L))-(MxMy_FixedP!$FG$8:$FG$43)*COS(RADIANS(theta_L))))=(((MxMy_FixedP!$EF$9:$EF$44)*SIN(RADIANS(theta_L))-(MxMy_FixedP!$FG$9:$FG$44)*COS(RADIANS(theta_L)))))))*((MxMy_FixedP!$EF$9:$EF$44)-(MxMy_FixedP!$EF$8:$EF$43)))*COS(RADIANS(theta_L))+((MxMy_FixedP!$FG$8:$FG$43)+(((MxMy_FixedP!$EF$8:$EF$43)*SIN(RADIANS(theta_L))-(MxMy_FixedP!$FG$8:$FG$43)*COS(RADIANS(theta_L)))/((((MxMy_FixedP!$EF$8:$EF$43)*SIN(RADIANS(theta_L))-(MxMy_FixedP!$FG$8:$FG$43)*COS(RADIANS(theta_L))))-(((MxMy_FixedP!$EF$9:$EF$44)*SIN(RADIANS(theta_L))-(MxMy_FixedP!$FG$9:$FG$44)*COS(RADIANS(theta_L))))+((((MxMy_FixedP!$EF$8:$EF$43)*SIN(RADIANS(theta_L))-(MxMy_FixedP!$FG$8:$FG$43)*COS(RADIANS(theta_L))))=(((MxMy_FixedP!$EF$9:$EF$44)*SIN(RADIANS(theta_L))-(MxMy_FixedP!$FG$9:$FG$44)*COS(RADIANS(theta_L)))))))*((MxMy_FixedP!$FG$9:$FG$44)-(MxMy_FixedP!$FG$8:$FG$43)))*SIN(RADIANS(theta_L)))&gt;0)))</f>
      </c>
      <c r="E32" s="10">
        <f>IF($K32&lt;=Mtol,MxMy_FixedP!$DE$8,IF(D32=0,"",SUMPRODUCT(((((MxMy_FixedP!$EF$8:$EF$43)*SIN(RADIANS(theta_L))-(MxMy_FixedP!$FG$8:$FG$43)*COS(RADIANS(theta_L))))*(((MxMy_FixedP!$EF$9:$EF$44)*SIN(RADIANS(theta_L))-(MxMy_FixedP!$FG$9:$FG$44)*COS(RADIANS(theta_L))))&lt;=0)*((((MxMy_FixedP!$EF$8:$EF$43)*SIN(RADIANS(theta_L))-(MxMy_FixedP!$FG$8:$FG$43)*COS(RADIANS(theta_L))))&lt;&gt;(((MxMy_FixedP!$EF$9:$EF$44)*SIN(RADIANS(theta_L))-(MxMy_FixedP!$FG$9:$FG$44)*COS(RADIANS(theta_L)))))*((((MxMy_FixedP!$EF$8:$EF$43)+(((MxMy_FixedP!$EF$8:$EF$43)*SIN(RADIANS(theta_L))-(MxMy_FixedP!$FG$8:$FG$43)*COS(RADIANS(theta_L)))/((((MxMy_FixedP!$EF$8:$EF$43)*SIN(RADIANS(theta_L))-(MxMy_FixedP!$FG$8:$FG$43)*COS(RADIANS(theta_L))))-(((MxMy_FixedP!$EF$9:$EF$44)*SIN(RADIANS(theta_L))-(MxMy_FixedP!$FG$9:$FG$44)*COS(RADIANS(theta_L))))+((((MxMy_FixedP!$EF$8:$EF$43)*SIN(RADIANS(theta_L))-(MxMy_FixedP!$FG$8:$FG$43)*COS(RADIANS(theta_L))))=(((MxMy_FixedP!$EF$9:$EF$44)*SIN(RADIANS(theta_L))-(MxMy_FixedP!$FG$9:$FG$44)*COS(RADIANS(theta_L)))))))*((MxMy_FixedP!$EF$9:$EF$44)-(MxMy_FixedP!$EF$8:$EF$43)))*COS(RADIANS(theta_L))+((MxMy_FixedP!$FG$8:$FG$43)+(((MxMy_FixedP!$EF$8:$EF$43)*SIN(RADIANS(theta_L))-(MxMy_FixedP!$FG$8:$FG$43)*COS(RADIANS(theta_L)))/((((MxMy_FixedP!$EF$8:$EF$43)*SIN(RADIANS(theta_L))-(MxMy_FixedP!$FG$8:$FG$43)*COS(RADIANS(theta_L))))-(((MxMy_FixedP!$EF$9:$EF$44)*SIN(RADIANS(theta_L))-(MxMy_FixedP!$FG$9:$FG$44)*COS(RADIANS(theta_L))))+((((MxMy_FixedP!$EF$8:$EF$43)*SIN(RADIANS(theta_L))-(MxMy_FixedP!$FG$8:$FG$43)*COS(RADIANS(theta_L))))=(((MxMy_FixedP!$EF$9:$EF$44)*SIN(RADIANS(theta_L))-(MxMy_FixedP!$FG$9:$FG$44)*COS(RADIANS(theta_L)))))))*((MxMy_FixedP!$FG$9:$FG$44)-(MxMy_FixedP!$FG$8:$FG$43)))*SIN(RADIANS(theta_L)))&gt;0),((MxMy_FixedP!$DE$8:$DE$43)+(((MxMy_FixedP!$EF$8:$EF$43)*SIN(RADIANS(theta_L))-(MxMy_FixedP!$FG$8:$FG$43)*COS(RADIANS(theta_L)))/((((MxMy_FixedP!$EF$8:$EF$43)*SIN(RADIANS(theta_L))-(MxMy_FixedP!$FG$8:$FG$43)*COS(RADIANS(theta_L))))-(((MxMy_FixedP!$EF$9:$EF$44)*SIN(RADIANS(theta_L))-(MxMy_FixedP!$FG$9:$FG$44)*COS(RADIANS(theta_L))))+((((MxMy_FixedP!$EF$8:$EF$43)*SIN(RADIANS(theta_L))-(MxMy_FixedP!$FG$8:$FG$43)*COS(RADIANS(theta_L))))=(((MxMy_FixedP!$EF$9:$EF$44)*SIN(RADIANS(theta_L))-(MxMy_FixedP!$FG$9:$FG$44)*COS(RADIANS(theta_L)))))))*((MxMy_FixedP!$DE$9:$DE$44)-(MxMy_FixedP!$DE$8:$DE$43))))/D32))</f>
      </c>
      <c r="F32" s="10">
        <f>IF($K32&lt;=Mtol,0,IF(D32=0,"",SUMPRODUCT(((((MxMy_FixedP!$EF$8:$EF$43)*SIN(RADIANS(theta_L))-(MxMy_FixedP!$FG$8:$FG$43)*COS(RADIANS(theta_L))))*(((MxMy_FixedP!$EF$9:$EF$44)*SIN(RADIANS(theta_L))-(MxMy_FixedP!$FG$9:$FG$44)*COS(RADIANS(theta_L))))&lt;=0)*((((MxMy_FixedP!$EF$8:$EF$43)*SIN(RADIANS(theta_L))-(MxMy_FixedP!$FG$8:$FG$43)*COS(RADIANS(theta_L))))&lt;&gt;(((MxMy_FixedP!$EF$9:$EF$44)*SIN(RADIANS(theta_L))-(MxMy_FixedP!$FG$9:$FG$44)*COS(RADIANS(theta_L)))))*((((MxMy_FixedP!$EF$8:$EF$43)+(((MxMy_FixedP!$EF$8:$EF$43)*SIN(RADIANS(theta_L))-(MxMy_FixedP!$FG$8:$FG$43)*COS(RADIANS(theta_L)))/((((MxMy_FixedP!$EF$8:$EF$43)*SIN(RADIANS(theta_L))-(MxMy_FixedP!$FG$8:$FG$43)*COS(RADIANS(theta_L))))-(((MxMy_FixedP!$EF$9:$EF$44)*SIN(RADIANS(theta_L))-(MxMy_FixedP!$FG$9:$FG$44)*COS(RADIANS(theta_L))))+((((MxMy_FixedP!$EF$8:$EF$43)*SIN(RADIANS(theta_L))-(MxMy_FixedP!$FG$8:$FG$43)*COS(RADIANS(theta_L))))=(((MxMy_FixedP!$EF$9:$EF$44)*SIN(RADIANS(theta_L))-(MxMy_FixedP!$FG$9:$FG$44)*COS(RADIANS(theta_L)))))))*((MxMy_FixedP!$EF$9:$EF$44)-(MxMy_FixedP!$EF$8:$EF$43)))*COS(RADIANS(theta_L))+((MxMy_FixedP!$FG$8:$FG$43)+(((MxMy_FixedP!$EF$8:$EF$43)*SIN(RADIANS(theta_L))-(MxMy_FixedP!$FG$8:$FG$43)*COS(RADIANS(theta_L)))/((((MxMy_FixedP!$EF$8:$EF$43)*SIN(RADIANS(theta_L))-(MxMy_FixedP!$FG$8:$FG$43)*COS(RADIANS(theta_L))))-(((MxMy_FixedP!$EF$9:$EF$44)*SIN(RADIANS(theta_L))-(MxMy_FixedP!$FG$9:$FG$44)*COS(RADIANS(theta_L))))+((((MxMy_FixedP!$EF$8:$EF$43)*SIN(RADIANS(theta_L))-(MxMy_FixedP!$FG$8:$FG$43)*COS(RADIANS(theta_L))))=(((MxMy_FixedP!$EF$9:$EF$44)*SIN(RADIANS(theta_L))-(MxMy_FixedP!$FG$9:$FG$44)*COS(RADIANS(theta_L)))))))*((MxMy_FixedP!$FG$9:$FG$44)-(MxMy_FixedP!$FG$8:$FG$43)))*SIN(RADIANS(theta_L)))&gt;0),(((MxMy_FixedP!$EF$8:$EF$43)+(((MxMy_FixedP!$EF$8:$EF$43)*SIN(RADIANS(theta_L))-(MxMy_FixedP!$FG$8:$FG$43)*COS(RADIANS(theta_L)))/((((MxMy_FixedP!$EF$8:$EF$43)*SIN(RADIANS(theta_L))-(MxMy_FixedP!$FG$8:$FG$43)*COS(RADIANS(theta_L))))-(((MxMy_FixedP!$EF$9:$EF$44)*SIN(RADIANS(theta_L))-(MxMy_FixedP!$FG$9:$FG$44)*COS(RADIANS(theta_L))))+((((MxMy_FixedP!$EF$8:$EF$43)*SIN(RADIANS(theta_L))-(MxMy_FixedP!$FG$8:$FG$43)*COS(RADIANS(theta_L))))=(((MxMy_FixedP!$EF$9:$EF$44)*SIN(RADIANS(theta_L))-(MxMy_FixedP!$FG$9:$FG$44)*COS(RADIANS(theta_L)))))))*((MxMy_FixedP!$EF$9:$EF$44)-(MxMy_FixedP!$EF$8:$EF$43)))*COS(RADIANS(theta_L))+((MxMy_FixedP!$FG$8:$FG$43)+(((MxMy_FixedP!$EF$8:$EF$43)*SIN(RADIANS(theta_L))-(MxMy_FixedP!$FG$8:$FG$43)*COS(RADIANS(theta_L)))/((((MxMy_FixedP!$EF$8:$EF$43)*SIN(RADIANS(theta_L))-(MxMy_FixedP!$FG$8:$FG$43)*COS(RADIANS(theta_L))))-(((MxMy_FixedP!$EF$9:$EF$44)*SIN(RADIANS(theta_L))-(MxMy_FixedP!$FG$9:$FG$44)*COS(RADIANS(theta_L))))+((((MxMy_FixedP!$EF$8:$EF$43)*SIN(RADIANS(theta_L))-(MxMy_FixedP!$FG$8:$FG$43)*COS(RADIANS(theta_L))))=(((MxMy_FixedP!$EF$9:$EF$44)*SIN(RADIANS(theta_L))-(MxMy_FixedP!$FG$9:$FG$44)*COS(RADIANS(theta_L)))))))*((MxMy_FixedP!$FG$9:$FG$44)-(MxMy_FixedP!$FG$8:$FG$43)))*SIN(RADIANS(theta_L))))/D32))</f>
      </c>
      <c r="G32" s="46">
        <f>IF($K32&lt;=Mtol,0,SUMPRODUCT(((((MxMy_FixedP!$EF$8:$EF$43)*SIN(RADIANS(theta_L))-(MxMy_FixedP!$FG$8:$FG$43)*COS(RADIANS(theta_L))))*(((MxMy_FixedP!$EF$9:$EF$44)*SIN(RADIANS(theta_L))-(MxMy_FixedP!$FG$9:$FG$44)*COS(RADIANS(theta_L))))&lt;=0)*((((MxMy_FixedP!$EF$8:$EF$43)*SIN(RADIANS(theta_L))-(MxMy_FixedP!$FG$8:$FG$43)*COS(RADIANS(theta_L))))&lt;&gt;(((MxMy_FixedP!$EF$9:$EF$44)*SIN(RADIANS(theta_L))-(MxMy_FixedP!$FG$9:$FG$44)*COS(RADIANS(theta_L)))))*((((MxMy_FixedP!$EF$8:$EF$43)+(((MxMy_FixedP!$EF$8:$EF$43)*SIN(RADIANS(theta_L))-(MxMy_FixedP!$FG$8:$FG$43)*COS(RADIANS(theta_L)))/((((MxMy_FixedP!$EF$8:$EF$43)*SIN(RADIANS(theta_L))-(MxMy_FixedP!$FG$8:$FG$43)*COS(RADIANS(theta_L))))-(((MxMy_FixedP!$EF$9:$EF$44)*SIN(RADIANS(theta_L))-(MxMy_FixedP!$FG$9:$FG$44)*COS(RADIANS(theta_L))))+((((MxMy_FixedP!$EF$8:$EF$43)*SIN(RADIANS(theta_L))-(MxMy_FixedP!$FG$8:$FG$43)*COS(RADIANS(theta_L))))=(((MxMy_FixedP!$EF$9:$EF$44)*SIN(RADIANS(theta_L))-(MxMy_FixedP!$FG$9:$FG$44)*COS(RADIANS(theta_L)))))))*((MxMy_FixedP!$EF$9:$EF$44)-(MxMy_FixedP!$EF$8:$EF$43)))*COS(RADIANS(theta_L))+((MxMy_FixedP!$FG$8:$FG$43)+(((MxMy_FixedP!$EF$8:$EF$43)*SIN(RADIANS(theta_L))-(MxMy_FixedP!$FG$8:$FG$43)*COS(RADIANS(theta_L)))/((((MxMy_FixedP!$EF$8:$EF$43)*SIN(RADIANS(theta_L))-(MxMy_FixedP!$FG$8:$FG$43)*COS(RADIANS(theta_L))))-(((MxMy_FixedP!$EF$9:$EF$44)*SIN(RADIANS(theta_L))-(MxMy_FixedP!$FG$9:$FG$44)*COS(RADIANS(theta_L))))+((((MxMy_FixedP!$EF$8:$EF$43)*SIN(RADIANS(theta_L))-(MxMy_FixedP!$FG$8:$FG$43)*COS(RADIANS(theta_L))))=(((MxMy_FixedP!$EF$9:$EF$44)*SIN(RADIANS(theta_L))-(MxMy_FixedP!$FG$9:$FG$44)*COS(RADIANS(theta_L)))))))*((MxMy_FixedP!$FG$9:$FG$44)-(MxMy_FixedP!$FG$8:$FG$43)))*SIN(RADIANS(theta_L)))&lt;0)))</f>
      </c>
      <c r="H32" s="10">
        <f>IF($K32&lt;=Mtol,MxMy_FixedP!$DE$8,IF(G32=0,"",SUMPRODUCT(((((MxMy_FixedP!$EF$8:$EF$43)*SIN(RADIANS(theta_L))-(MxMy_FixedP!$FG$8:$FG$43)*COS(RADIANS(theta_L))))*(((MxMy_FixedP!$EF$9:$EF$44)*SIN(RADIANS(theta_L))-(MxMy_FixedP!$FG$9:$FG$44)*COS(RADIANS(theta_L))))&lt;=0)*((((MxMy_FixedP!$EF$8:$EF$43)*SIN(RADIANS(theta_L))-(MxMy_FixedP!$FG$8:$FG$43)*COS(RADIANS(theta_L))))&lt;&gt;(((MxMy_FixedP!$EF$9:$EF$44)*SIN(RADIANS(theta_L))-(MxMy_FixedP!$FG$9:$FG$44)*COS(RADIANS(theta_L)))))*((((MxMy_FixedP!$EF$8:$EF$43)+(((MxMy_FixedP!$EF$8:$EF$43)*SIN(RADIANS(theta_L))-(MxMy_FixedP!$FG$8:$FG$43)*COS(RADIANS(theta_L)))/((((MxMy_FixedP!$EF$8:$EF$43)*SIN(RADIANS(theta_L))-(MxMy_FixedP!$FG$8:$FG$43)*COS(RADIANS(theta_L))))-(((MxMy_FixedP!$EF$9:$EF$44)*SIN(RADIANS(theta_L))-(MxMy_FixedP!$FG$9:$FG$44)*COS(RADIANS(theta_L))))+((((MxMy_FixedP!$EF$8:$EF$43)*SIN(RADIANS(theta_L))-(MxMy_FixedP!$FG$8:$FG$43)*COS(RADIANS(theta_L))))=(((MxMy_FixedP!$EF$9:$EF$44)*SIN(RADIANS(theta_L))-(MxMy_FixedP!$FG$9:$FG$44)*COS(RADIANS(theta_L)))))))*((MxMy_FixedP!$EF$9:$EF$44)-(MxMy_FixedP!$EF$8:$EF$43)))*COS(RADIANS(theta_L))+((MxMy_FixedP!$FG$8:$FG$43)+(((MxMy_FixedP!$EF$8:$EF$43)*SIN(RADIANS(theta_L))-(MxMy_FixedP!$FG$8:$FG$43)*COS(RADIANS(theta_L)))/((((MxMy_FixedP!$EF$8:$EF$43)*SIN(RADIANS(theta_L))-(MxMy_FixedP!$FG$8:$FG$43)*COS(RADIANS(theta_L))))-(((MxMy_FixedP!$EF$9:$EF$44)*SIN(RADIANS(theta_L))-(MxMy_FixedP!$FG$9:$FG$44)*COS(RADIANS(theta_L))))+((((MxMy_FixedP!$EF$8:$EF$43)*SIN(RADIANS(theta_L))-(MxMy_FixedP!$FG$8:$FG$43)*COS(RADIANS(theta_L))))=(((MxMy_FixedP!$EF$9:$EF$44)*SIN(RADIANS(theta_L))-(MxMy_FixedP!$FG$9:$FG$44)*COS(RADIANS(theta_L)))))))*((MxMy_FixedP!$FG$9:$FG$44)-(MxMy_FixedP!$FG$8:$FG$43)))*SIN(RADIANS(theta_L)))&lt;0),((MxMy_FixedP!$DE$8:$DE$43)+(((MxMy_FixedP!$EF$8:$EF$43)*SIN(RADIANS(theta_L))-(MxMy_FixedP!$FG$8:$FG$43)*COS(RADIANS(theta_L)))/((((MxMy_FixedP!$EF$8:$EF$43)*SIN(RADIANS(theta_L))-(MxMy_FixedP!$FG$8:$FG$43)*COS(RADIANS(theta_L))))-(((MxMy_FixedP!$EF$9:$EF$44)*SIN(RADIANS(theta_L))-(MxMy_FixedP!$FG$9:$FG$44)*COS(RADIANS(theta_L))))+((((MxMy_FixedP!$EF$8:$EF$43)*SIN(RADIANS(theta_L))-(MxMy_FixedP!$FG$8:$FG$43)*COS(RADIANS(theta_L))))=(((MxMy_FixedP!$EF$9:$EF$44)*SIN(RADIANS(theta_L))-(MxMy_FixedP!$FG$9:$FG$44)*COS(RADIANS(theta_L)))))))*((MxMy_FixedP!$DE$9:$DE$44)-(MxMy_FixedP!$DE$8:$DE$43))))/G32))</f>
      </c>
      <c r="I32" s="10">
        <f>IF($K32&lt;=Mtol,0,IF(G32=0,"",SUMPRODUCT(((((MxMy_FixedP!$EF$8:$EF$43)*SIN(RADIANS(theta_L))-(MxMy_FixedP!$FG$8:$FG$43)*COS(RADIANS(theta_L))))*(((MxMy_FixedP!$EF$9:$EF$44)*SIN(RADIANS(theta_L))-(MxMy_FixedP!$FG$9:$FG$44)*COS(RADIANS(theta_L))))&lt;=0)*((((MxMy_FixedP!$EF$8:$EF$43)*SIN(RADIANS(theta_L))-(MxMy_FixedP!$FG$8:$FG$43)*COS(RADIANS(theta_L))))&lt;&gt;(((MxMy_FixedP!$EF$9:$EF$44)*SIN(RADIANS(theta_L))-(MxMy_FixedP!$FG$9:$FG$44)*COS(RADIANS(theta_L)))))*((((MxMy_FixedP!$EF$8:$EF$43)+(((MxMy_FixedP!$EF$8:$EF$43)*SIN(RADIANS(theta_L))-(MxMy_FixedP!$FG$8:$FG$43)*COS(RADIANS(theta_L)))/((((MxMy_FixedP!$EF$8:$EF$43)*SIN(RADIANS(theta_L))-(MxMy_FixedP!$FG$8:$FG$43)*COS(RADIANS(theta_L))))-(((MxMy_FixedP!$EF$9:$EF$44)*SIN(RADIANS(theta_L))-(MxMy_FixedP!$FG$9:$FG$44)*COS(RADIANS(theta_L))))+((((MxMy_FixedP!$EF$8:$EF$43)*SIN(RADIANS(theta_L))-(MxMy_FixedP!$FG$8:$FG$43)*COS(RADIANS(theta_L))))=(((MxMy_FixedP!$EF$9:$EF$44)*SIN(RADIANS(theta_L))-(MxMy_FixedP!$FG$9:$FG$44)*COS(RADIANS(theta_L)))))))*((MxMy_FixedP!$EF$9:$EF$44)-(MxMy_FixedP!$EF$8:$EF$43)))*COS(RADIANS(theta_L))+((MxMy_FixedP!$FG$8:$FG$43)+(((MxMy_FixedP!$EF$8:$EF$43)*SIN(RADIANS(theta_L))-(MxMy_FixedP!$FG$8:$FG$43)*COS(RADIANS(theta_L)))/((((MxMy_FixedP!$EF$8:$EF$43)*SIN(RADIANS(theta_L))-(MxMy_FixedP!$FG$8:$FG$43)*COS(RADIANS(theta_L))))-(((MxMy_FixedP!$EF$9:$EF$44)*SIN(RADIANS(theta_L))-(MxMy_FixedP!$FG$9:$FG$44)*COS(RADIANS(theta_L))))+((((MxMy_FixedP!$EF$8:$EF$43)*SIN(RADIANS(theta_L))-(MxMy_FixedP!$FG$8:$FG$43)*COS(RADIANS(theta_L))))=(((MxMy_FixedP!$EF$9:$EF$44)*SIN(RADIANS(theta_L))-(MxMy_FixedP!$FG$9:$FG$44)*COS(RADIANS(theta_L)))))))*((MxMy_FixedP!$FG$9:$FG$44)-(MxMy_FixedP!$FG$8:$FG$43)))*SIN(RADIANS(theta_L)))&lt;0),(((MxMy_FixedP!$EF$8:$EF$43)+(((MxMy_FixedP!$EF$8:$EF$43)*SIN(RADIANS(theta_L))-(MxMy_FixedP!$FG$8:$FG$43)*COS(RADIANS(theta_L)))/((((MxMy_FixedP!$EF$8:$EF$43)*SIN(RADIANS(theta_L))-(MxMy_FixedP!$FG$8:$FG$43)*COS(RADIANS(theta_L))))-(((MxMy_FixedP!$EF$9:$EF$44)*SIN(RADIANS(theta_L))-(MxMy_FixedP!$FG$9:$FG$44)*COS(RADIANS(theta_L))))+((((MxMy_FixedP!$EF$8:$EF$43)*SIN(RADIANS(theta_L))-(MxMy_FixedP!$FG$8:$FG$43)*COS(RADIANS(theta_L))))=(((MxMy_FixedP!$EF$9:$EF$44)*SIN(RADIANS(theta_L))-(MxMy_FixedP!$FG$9:$FG$44)*COS(RADIANS(theta_L)))))))*((MxMy_FixedP!$EF$9:$EF$44)-(MxMy_FixedP!$EF$8:$EF$43)))*COS(RADIANS(theta_L))+((MxMy_FixedP!$FG$8:$FG$43)+(((MxMy_FixedP!$EF$8:$EF$43)*SIN(RADIANS(theta_L))-(MxMy_FixedP!$FG$8:$FG$43)*COS(RADIANS(theta_L)))/((((MxMy_FixedP!$EF$8:$EF$43)*SIN(RADIANS(theta_L))-(MxMy_FixedP!$FG$8:$FG$43)*COS(RADIANS(theta_L))))-(((MxMy_FixedP!$EF$9:$EF$44)*SIN(RADIANS(theta_L))-(MxMy_FixedP!$FG$9:$FG$44)*COS(RADIANS(theta_L))))+((((MxMy_FixedP!$EF$8:$EF$43)*SIN(RADIANS(theta_L))-(MxMy_FixedP!$FG$8:$FG$43)*COS(RADIANS(theta_L))))=(((MxMy_FixedP!$EF$9:$EF$44)*SIN(RADIANS(theta_L))-(MxMy_FixedP!$FG$9:$FG$44)*COS(RADIANS(theta_L)))))))*((MxMy_FixedP!$FG$9:$FG$44)-(MxMy_FixedP!$FG$8:$FG$43)))*SIN(RADIANS(theta_L))))/G32))</f>
      </c>
      <c r="J32">
        <f>IF($K32&lt;=Mtol,"pole",IF(AND(D32&gt;=1,G32&gt;=1),"ok","CHECK: "&amp;D32&amp;"/"&amp;G32&amp;" cuts"))</f>
      </c>
      <c r="K32" s="18">
        <v>5755.775289101642</v>
      </c>
    </row>
    <row r="33" spans="2:11" x14ac:dyDescent="0.25">
      <c r="B33" s="35" t="s">
        <v>240</v>
      </c>
      <c r="C33" s="54" t="s">
        <v>365</v>
      </c>
      <c r="D33" s="46">
        <f>IF($K33&lt;=Mtol,0,SUMPRODUCT(((((MxMy_FixedP!$EG$8:$EG$43)*SIN(RADIANS(theta_L))-(MxMy_FixedP!$FH$8:$FH$43)*COS(RADIANS(theta_L))))*(((MxMy_FixedP!$EG$9:$EG$44)*SIN(RADIANS(theta_L))-(MxMy_FixedP!$FH$9:$FH$44)*COS(RADIANS(theta_L))))&lt;=0)*((((MxMy_FixedP!$EG$8:$EG$43)*SIN(RADIANS(theta_L))-(MxMy_FixedP!$FH$8:$FH$43)*COS(RADIANS(theta_L))))&lt;&gt;(((MxMy_FixedP!$EG$9:$EG$44)*SIN(RADIANS(theta_L))-(MxMy_FixedP!$FH$9:$FH$44)*COS(RADIANS(theta_L)))))*((((MxMy_FixedP!$EG$8:$EG$43)+(((MxMy_FixedP!$EG$8:$EG$43)*SIN(RADIANS(theta_L))-(MxMy_FixedP!$FH$8:$FH$43)*COS(RADIANS(theta_L)))/((((MxMy_FixedP!$EG$8:$EG$43)*SIN(RADIANS(theta_L))-(MxMy_FixedP!$FH$8:$FH$43)*COS(RADIANS(theta_L))))-(((MxMy_FixedP!$EG$9:$EG$44)*SIN(RADIANS(theta_L))-(MxMy_FixedP!$FH$9:$FH$44)*COS(RADIANS(theta_L))))+((((MxMy_FixedP!$EG$8:$EG$43)*SIN(RADIANS(theta_L))-(MxMy_FixedP!$FH$8:$FH$43)*COS(RADIANS(theta_L))))=(((MxMy_FixedP!$EG$9:$EG$44)*SIN(RADIANS(theta_L))-(MxMy_FixedP!$FH$9:$FH$44)*COS(RADIANS(theta_L)))))))*((MxMy_FixedP!$EG$9:$EG$44)-(MxMy_FixedP!$EG$8:$EG$43)))*COS(RADIANS(theta_L))+((MxMy_FixedP!$FH$8:$FH$43)+(((MxMy_FixedP!$EG$8:$EG$43)*SIN(RADIANS(theta_L))-(MxMy_FixedP!$FH$8:$FH$43)*COS(RADIANS(theta_L)))/((((MxMy_FixedP!$EG$8:$EG$43)*SIN(RADIANS(theta_L))-(MxMy_FixedP!$FH$8:$FH$43)*COS(RADIANS(theta_L))))-(((MxMy_FixedP!$EG$9:$EG$44)*SIN(RADIANS(theta_L))-(MxMy_FixedP!$FH$9:$FH$44)*COS(RADIANS(theta_L))))+((((MxMy_FixedP!$EG$8:$EG$43)*SIN(RADIANS(theta_L))-(MxMy_FixedP!$FH$8:$FH$43)*COS(RADIANS(theta_L))))=(((MxMy_FixedP!$EG$9:$EG$44)*SIN(RADIANS(theta_L))-(MxMy_FixedP!$FH$9:$FH$44)*COS(RADIANS(theta_L)))))))*((MxMy_FixedP!$FH$9:$FH$44)-(MxMy_FixedP!$FH$8:$FH$43)))*SIN(RADIANS(theta_L)))&gt;0)))</f>
      </c>
      <c r="E33" s="10">
        <f>IF($K33&lt;=Mtol,MxMy_FixedP!$DF$8,IF(D33=0,"",SUMPRODUCT(((((MxMy_FixedP!$EG$8:$EG$43)*SIN(RADIANS(theta_L))-(MxMy_FixedP!$FH$8:$FH$43)*COS(RADIANS(theta_L))))*(((MxMy_FixedP!$EG$9:$EG$44)*SIN(RADIANS(theta_L))-(MxMy_FixedP!$FH$9:$FH$44)*COS(RADIANS(theta_L))))&lt;=0)*((((MxMy_FixedP!$EG$8:$EG$43)*SIN(RADIANS(theta_L))-(MxMy_FixedP!$FH$8:$FH$43)*COS(RADIANS(theta_L))))&lt;&gt;(((MxMy_FixedP!$EG$9:$EG$44)*SIN(RADIANS(theta_L))-(MxMy_FixedP!$FH$9:$FH$44)*COS(RADIANS(theta_L)))))*((((MxMy_FixedP!$EG$8:$EG$43)+(((MxMy_FixedP!$EG$8:$EG$43)*SIN(RADIANS(theta_L))-(MxMy_FixedP!$FH$8:$FH$43)*COS(RADIANS(theta_L)))/((((MxMy_FixedP!$EG$8:$EG$43)*SIN(RADIANS(theta_L))-(MxMy_FixedP!$FH$8:$FH$43)*COS(RADIANS(theta_L))))-(((MxMy_FixedP!$EG$9:$EG$44)*SIN(RADIANS(theta_L))-(MxMy_FixedP!$FH$9:$FH$44)*COS(RADIANS(theta_L))))+((((MxMy_FixedP!$EG$8:$EG$43)*SIN(RADIANS(theta_L))-(MxMy_FixedP!$FH$8:$FH$43)*COS(RADIANS(theta_L))))=(((MxMy_FixedP!$EG$9:$EG$44)*SIN(RADIANS(theta_L))-(MxMy_FixedP!$FH$9:$FH$44)*COS(RADIANS(theta_L)))))))*((MxMy_FixedP!$EG$9:$EG$44)-(MxMy_FixedP!$EG$8:$EG$43)))*COS(RADIANS(theta_L))+((MxMy_FixedP!$FH$8:$FH$43)+(((MxMy_FixedP!$EG$8:$EG$43)*SIN(RADIANS(theta_L))-(MxMy_FixedP!$FH$8:$FH$43)*COS(RADIANS(theta_L)))/((((MxMy_FixedP!$EG$8:$EG$43)*SIN(RADIANS(theta_L))-(MxMy_FixedP!$FH$8:$FH$43)*COS(RADIANS(theta_L))))-(((MxMy_FixedP!$EG$9:$EG$44)*SIN(RADIANS(theta_L))-(MxMy_FixedP!$FH$9:$FH$44)*COS(RADIANS(theta_L))))+((((MxMy_FixedP!$EG$8:$EG$43)*SIN(RADIANS(theta_L))-(MxMy_FixedP!$FH$8:$FH$43)*COS(RADIANS(theta_L))))=(((MxMy_FixedP!$EG$9:$EG$44)*SIN(RADIANS(theta_L))-(MxMy_FixedP!$FH$9:$FH$44)*COS(RADIANS(theta_L)))))))*((MxMy_FixedP!$FH$9:$FH$44)-(MxMy_FixedP!$FH$8:$FH$43)))*SIN(RADIANS(theta_L)))&gt;0),((MxMy_FixedP!$DF$8:$DF$43)+(((MxMy_FixedP!$EG$8:$EG$43)*SIN(RADIANS(theta_L))-(MxMy_FixedP!$FH$8:$FH$43)*COS(RADIANS(theta_L)))/((((MxMy_FixedP!$EG$8:$EG$43)*SIN(RADIANS(theta_L))-(MxMy_FixedP!$FH$8:$FH$43)*COS(RADIANS(theta_L))))-(((MxMy_FixedP!$EG$9:$EG$44)*SIN(RADIANS(theta_L))-(MxMy_FixedP!$FH$9:$FH$44)*COS(RADIANS(theta_L))))+((((MxMy_FixedP!$EG$8:$EG$43)*SIN(RADIANS(theta_L))-(MxMy_FixedP!$FH$8:$FH$43)*COS(RADIANS(theta_L))))=(((MxMy_FixedP!$EG$9:$EG$44)*SIN(RADIANS(theta_L))-(MxMy_FixedP!$FH$9:$FH$44)*COS(RADIANS(theta_L)))))))*((MxMy_FixedP!$DF$9:$DF$44)-(MxMy_FixedP!$DF$8:$DF$43))))/D33))</f>
      </c>
      <c r="F33" s="10">
        <f>IF($K33&lt;=Mtol,0,IF(D33=0,"",SUMPRODUCT(((((MxMy_FixedP!$EG$8:$EG$43)*SIN(RADIANS(theta_L))-(MxMy_FixedP!$FH$8:$FH$43)*COS(RADIANS(theta_L))))*(((MxMy_FixedP!$EG$9:$EG$44)*SIN(RADIANS(theta_L))-(MxMy_FixedP!$FH$9:$FH$44)*COS(RADIANS(theta_L))))&lt;=0)*((((MxMy_FixedP!$EG$8:$EG$43)*SIN(RADIANS(theta_L))-(MxMy_FixedP!$FH$8:$FH$43)*COS(RADIANS(theta_L))))&lt;&gt;(((MxMy_FixedP!$EG$9:$EG$44)*SIN(RADIANS(theta_L))-(MxMy_FixedP!$FH$9:$FH$44)*COS(RADIANS(theta_L)))))*((((MxMy_FixedP!$EG$8:$EG$43)+(((MxMy_FixedP!$EG$8:$EG$43)*SIN(RADIANS(theta_L))-(MxMy_FixedP!$FH$8:$FH$43)*COS(RADIANS(theta_L)))/((((MxMy_FixedP!$EG$8:$EG$43)*SIN(RADIANS(theta_L))-(MxMy_FixedP!$FH$8:$FH$43)*COS(RADIANS(theta_L))))-(((MxMy_FixedP!$EG$9:$EG$44)*SIN(RADIANS(theta_L))-(MxMy_FixedP!$FH$9:$FH$44)*COS(RADIANS(theta_L))))+((((MxMy_FixedP!$EG$8:$EG$43)*SIN(RADIANS(theta_L))-(MxMy_FixedP!$FH$8:$FH$43)*COS(RADIANS(theta_L))))=(((MxMy_FixedP!$EG$9:$EG$44)*SIN(RADIANS(theta_L))-(MxMy_FixedP!$FH$9:$FH$44)*COS(RADIANS(theta_L)))))))*((MxMy_FixedP!$EG$9:$EG$44)-(MxMy_FixedP!$EG$8:$EG$43)))*COS(RADIANS(theta_L))+((MxMy_FixedP!$FH$8:$FH$43)+(((MxMy_FixedP!$EG$8:$EG$43)*SIN(RADIANS(theta_L))-(MxMy_FixedP!$FH$8:$FH$43)*COS(RADIANS(theta_L)))/((((MxMy_FixedP!$EG$8:$EG$43)*SIN(RADIANS(theta_L))-(MxMy_FixedP!$FH$8:$FH$43)*COS(RADIANS(theta_L))))-(((MxMy_FixedP!$EG$9:$EG$44)*SIN(RADIANS(theta_L))-(MxMy_FixedP!$FH$9:$FH$44)*COS(RADIANS(theta_L))))+((((MxMy_FixedP!$EG$8:$EG$43)*SIN(RADIANS(theta_L))-(MxMy_FixedP!$FH$8:$FH$43)*COS(RADIANS(theta_L))))=(((MxMy_FixedP!$EG$9:$EG$44)*SIN(RADIANS(theta_L))-(MxMy_FixedP!$FH$9:$FH$44)*COS(RADIANS(theta_L)))))))*((MxMy_FixedP!$FH$9:$FH$44)-(MxMy_FixedP!$FH$8:$FH$43)))*SIN(RADIANS(theta_L)))&gt;0),(((MxMy_FixedP!$EG$8:$EG$43)+(((MxMy_FixedP!$EG$8:$EG$43)*SIN(RADIANS(theta_L))-(MxMy_FixedP!$FH$8:$FH$43)*COS(RADIANS(theta_L)))/((((MxMy_FixedP!$EG$8:$EG$43)*SIN(RADIANS(theta_L))-(MxMy_FixedP!$FH$8:$FH$43)*COS(RADIANS(theta_L))))-(((MxMy_FixedP!$EG$9:$EG$44)*SIN(RADIANS(theta_L))-(MxMy_FixedP!$FH$9:$FH$44)*COS(RADIANS(theta_L))))+((((MxMy_FixedP!$EG$8:$EG$43)*SIN(RADIANS(theta_L))-(MxMy_FixedP!$FH$8:$FH$43)*COS(RADIANS(theta_L))))=(((MxMy_FixedP!$EG$9:$EG$44)*SIN(RADIANS(theta_L))-(MxMy_FixedP!$FH$9:$FH$44)*COS(RADIANS(theta_L)))))))*((MxMy_FixedP!$EG$9:$EG$44)-(MxMy_FixedP!$EG$8:$EG$43)))*COS(RADIANS(theta_L))+((MxMy_FixedP!$FH$8:$FH$43)+(((MxMy_FixedP!$EG$8:$EG$43)*SIN(RADIANS(theta_L))-(MxMy_FixedP!$FH$8:$FH$43)*COS(RADIANS(theta_L)))/((((MxMy_FixedP!$EG$8:$EG$43)*SIN(RADIANS(theta_L))-(MxMy_FixedP!$FH$8:$FH$43)*COS(RADIANS(theta_L))))-(((MxMy_FixedP!$EG$9:$EG$44)*SIN(RADIANS(theta_L))-(MxMy_FixedP!$FH$9:$FH$44)*COS(RADIANS(theta_L))))+((((MxMy_FixedP!$EG$8:$EG$43)*SIN(RADIANS(theta_L))-(MxMy_FixedP!$FH$8:$FH$43)*COS(RADIANS(theta_L))))=(((MxMy_FixedP!$EG$9:$EG$44)*SIN(RADIANS(theta_L))-(MxMy_FixedP!$FH$9:$FH$44)*COS(RADIANS(theta_L)))))))*((MxMy_FixedP!$FH$9:$FH$44)-(MxMy_FixedP!$FH$8:$FH$43)))*SIN(RADIANS(theta_L))))/D33))</f>
      </c>
      <c r="G33" s="46">
        <f>IF($K33&lt;=Mtol,0,SUMPRODUCT(((((MxMy_FixedP!$EG$8:$EG$43)*SIN(RADIANS(theta_L))-(MxMy_FixedP!$FH$8:$FH$43)*COS(RADIANS(theta_L))))*(((MxMy_FixedP!$EG$9:$EG$44)*SIN(RADIANS(theta_L))-(MxMy_FixedP!$FH$9:$FH$44)*COS(RADIANS(theta_L))))&lt;=0)*((((MxMy_FixedP!$EG$8:$EG$43)*SIN(RADIANS(theta_L))-(MxMy_FixedP!$FH$8:$FH$43)*COS(RADIANS(theta_L))))&lt;&gt;(((MxMy_FixedP!$EG$9:$EG$44)*SIN(RADIANS(theta_L))-(MxMy_FixedP!$FH$9:$FH$44)*COS(RADIANS(theta_L)))))*((((MxMy_FixedP!$EG$8:$EG$43)+(((MxMy_FixedP!$EG$8:$EG$43)*SIN(RADIANS(theta_L))-(MxMy_FixedP!$FH$8:$FH$43)*COS(RADIANS(theta_L)))/((((MxMy_FixedP!$EG$8:$EG$43)*SIN(RADIANS(theta_L))-(MxMy_FixedP!$FH$8:$FH$43)*COS(RADIANS(theta_L))))-(((MxMy_FixedP!$EG$9:$EG$44)*SIN(RADIANS(theta_L))-(MxMy_FixedP!$FH$9:$FH$44)*COS(RADIANS(theta_L))))+((((MxMy_FixedP!$EG$8:$EG$43)*SIN(RADIANS(theta_L))-(MxMy_FixedP!$FH$8:$FH$43)*COS(RADIANS(theta_L))))=(((MxMy_FixedP!$EG$9:$EG$44)*SIN(RADIANS(theta_L))-(MxMy_FixedP!$FH$9:$FH$44)*COS(RADIANS(theta_L)))))))*((MxMy_FixedP!$EG$9:$EG$44)-(MxMy_FixedP!$EG$8:$EG$43)))*COS(RADIANS(theta_L))+((MxMy_FixedP!$FH$8:$FH$43)+(((MxMy_FixedP!$EG$8:$EG$43)*SIN(RADIANS(theta_L))-(MxMy_FixedP!$FH$8:$FH$43)*COS(RADIANS(theta_L)))/((((MxMy_FixedP!$EG$8:$EG$43)*SIN(RADIANS(theta_L))-(MxMy_FixedP!$FH$8:$FH$43)*COS(RADIANS(theta_L))))-(((MxMy_FixedP!$EG$9:$EG$44)*SIN(RADIANS(theta_L))-(MxMy_FixedP!$FH$9:$FH$44)*COS(RADIANS(theta_L))))+((((MxMy_FixedP!$EG$8:$EG$43)*SIN(RADIANS(theta_L))-(MxMy_FixedP!$FH$8:$FH$43)*COS(RADIANS(theta_L))))=(((MxMy_FixedP!$EG$9:$EG$44)*SIN(RADIANS(theta_L))-(MxMy_FixedP!$FH$9:$FH$44)*COS(RADIANS(theta_L)))))))*((MxMy_FixedP!$FH$9:$FH$44)-(MxMy_FixedP!$FH$8:$FH$43)))*SIN(RADIANS(theta_L)))&lt;0)))</f>
      </c>
      <c r="H33" s="10">
        <f>IF($K33&lt;=Mtol,MxMy_FixedP!$DF$8,IF(G33=0,"",SUMPRODUCT(((((MxMy_FixedP!$EG$8:$EG$43)*SIN(RADIANS(theta_L))-(MxMy_FixedP!$FH$8:$FH$43)*COS(RADIANS(theta_L))))*(((MxMy_FixedP!$EG$9:$EG$44)*SIN(RADIANS(theta_L))-(MxMy_FixedP!$FH$9:$FH$44)*COS(RADIANS(theta_L))))&lt;=0)*((((MxMy_FixedP!$EG$8:$EG$43)*SIN(RADIANS(theta_L))-(MxMy_FixedP!$FH$8:$FH$43)*COS(RADIANS(theta_L))))&lt;&gt;(((MxMy_FixedP!$EG$9:$EG$44)*SIN(RADIANS(theta_L))-(MxMy_FixedP!$FH$9:$FH$44)*COS(RADIANS(theta_L)))))*((((MxMy_FixedP!$EG$8:$EG$43)+(((MxMy_FixedP!$EG$8:$EG$43)*SIN(RADIANS(theta_L))-(MxMy_FixedP!$FH$8:$FH$43)*COS(RADIANS(theta_L)))/((((MxMy_FixedP!$EG$8:$EG$43)*SIN(RADIANS(theta_L))-(MxMy_FixedP!$FH$8:$FH$43)*COS(RADIANS(theta_L))))-(((MxMy_FixedP!$EG$9:$EG$44)*SIN(RADIANS(theta_L))-(MxMy_FixedP!$FH$9:$FH$44)*COS(RADIANS(theta_L))))+((((MxMy_FixedP!$EG$8:$EG$43)*SIN(RADIANS(theta_L))-(MxMy_FixedP!$FH$8:$FH$43)*COS(RADIANS(theta_L))))=(((MxMy_FixedP!$EG$9:$EG$44)*SIN(RADIANS(theta_L))-(MxMy_FixedP!$FH$9:$FH$44)*COS(RADIANS(theta_L)))))))*((MxMy_FixedP!$EG$9:$EG$44)-(MxMy_FixedP!$EG$8:$EG$43)))*COS(RADIANS(theta_L))+((MxMy_FixedP!$FH$8:$FH$43)+(((MxMy_FixedP!$EG$8:$EG$43)*SIN(RADIANS(theta_L))-(MxMy_FixedP!$FH$8:$FH$43)*COS(RADIANS(theta_L)))/((((MxMy_FixedP!$EG$8:$EG$43)*SIN(RADIANS(theta_L))-(MxMy_FixedP!$FH$8:$FH$43)*COS(RADIANS(theta_L))))-(((MxMy_FixedP!$EG$9:$EG$44)*SIN(RADIANS(theta_L))-(MxMy_FixedP!$FH$9:$FH$44)*COS(RADIANS(theta_L))))+((((MxMy_FixedP!$EG$8:$EG$43)*SIN(RADIANS(theta_L))-(MxMy_FixedP!$FH$8:$FH$43)*COS(RADIANS(theta_L))))=(((MxMy_FixedP!$EG$9:$EG$44)*SIN(RADIANS(theta_L))-(MxMy_FixedP!$FH$9:$FH$44)*COS(RADIANS(theta_L)))))))*((MxMy_FixedP!$FH$9:$FH$44)-(MxMy_FixedP!$FH$8:$FH$43)))*SIN(RADIANS(theta_L)))&lt;0),((MxMy_FixedP!$DF$8:$DF$43)+(((MxMy_FixedP!$EG$8:$EG$43)*SIN(RADIANS(theta_L))-(MxMy_FixedP!$FH$8:$FH$43)*COS(RADIANS(theta_L)))/((((MxMy_FixedP!$EG$8:$EG$43)*SIN(RADIANS(theta_L))-(MxMy_FixedP!$FH$8:$FH$43)*COS(RADIANS(theta_L))))-(((MxMy_FixedP!$EG$9:$EG$44)*SIN(RADIANS(theta_L))-(MxMy_FixedP!$FH$9:$FH$44)*COS(RADIANS(theta_L))))+((((MxMy_FixedP!$EG$8:$EG$43)*SIN(RADIANS(theta_L))-(MxMy_FixedP!$FH$8:$FH$43)*COS(RADIANS(theta_L))))=(((MxMy_FixedP!$EG$9:$EG$44)*SIN(RADIANS(theta_L))-(MxMy_FixedP!$FH$9:$FH$44)*COS(RADIANS(theta_L)))))))*((MxMy_FixedP!$DF$9:$DF$44)-(MxMy_FixedP!$DF$8:$DF$43))))/G33))</f>
      </c>
      <c r="I33" s="10">
        <f>IF($K33&lt;=Mtol,0,IF(G33=0,"",SUMPRODUCT(((((MxMy_FixedP!$EG$8:$EG$43)*SIN(RADIANS(theta_L))-(MxMy_FixedP!$FH$8:$FH$43)*COS(RADIANS(theta_L))))*(((MxMy_FixedP!$EG$9:$EG$44)*SIN(RADIANS(theta_L))-(MxMy_FixedP!$FH$9:$FH$44)*COS(RADIANS(theta_L))))&lt;=0)*((((MxMy_FixedP!$EG$8:$EG$43)*SIN(RADIANS(theta_L))-(MxMy_FixedP!$FH$8:$FH$43)*COS(RADIANS(theta_L))))&lt;&gt;(((MxMy_FixedP!$EG$9:$EG$44)*SIN(RADIANS(theta_L))-(MxMy_FixedP!$FH$9:$FH$44)*COS(RADIANS(theta_L)))))*((((MxMy_FixedP!$EG$8:$EG$43)+(((MxMy_FixedP!$EG$8:$EG$43)*SIN(RADIANS(theta_L))-(MxMy_FixedP!$FH$8:$FH$43)*COS(RADIANS(theta_L)))/((((MxMy_FixedP!$EG$8:$EG$43)*SIN(RADIANS(theta_L))-(MxMy_FixedP!$FH$8:$FH$43)*COS(RADIANS(theta_L))))-(((MxMy_FixedP!$EG$9:$EG$44)*SIN(RADIANS(theta_L))-(MxMy_FixedP!$FH$9:$FH$44)*COS(RADIANS(theta_L))))+((((MxMy_FixedP!$EG$8:$EG$43)*SIN(RADIANS(theta_L))-(MxMy_FixedP!$FH$8:$FH$43)*COS(RADIANS(theta_L))))=(((MxMy_FixedP!$EG$9:$EG$44)*SIN(RADIANS(theta_L))-(MxMy_FixedP!$FH$9:$FH$44)*COS(RADIANS(theta_L)))))))*((MxMy_FixedP!$EG$9:$EG$44)-(MxMy_FixedP!$EG$8:$EG$43)))*COS(RADIANS(theta_L))+((MxMy_FixedP!$FH$8:$FH$43)+(((MxMy_FixedP!$EG$8:$EG$43)*SIN(RADIANS(theta_L))-(MxMy_FixedP!$FH$8:$FH$43)*COS(RADIANS(theta_L)))/((((MxMy_FixedP!$EG$8:$EG$43)*SIN(RADIANS(theta_L))-(MxMy_FixedP!$FH$8:$FH$43)*COS(RADIANS(theta_L))))-(((MxMy_FixedP!$EG$9:$EG$44)*SIN(RADIANS(theta_L))-(MxMy_FixedP!$FH$9:$FH$44)*COS(RADIANS(theta_L))))+((((MxMy_FixedP!$EG$8:$EG$43)*SIN(RADIANS(theta_L))-(MxMy_FixedP!$FH$8:$FH$43)*COS(RADIANS(theta_L))))=(((MxMy_FixedP!$EG$9:$EG$44)*SIN(RADIANS(theta_L))-(MxMy_FixedP!$FH$9:$FH$44)*COS(RADIANS(theta_L)))))))*((MxMy_FixedP!$FH$9:$FH$44)-(MxMy_FixedP!$FH$8:$FH$43)))*SIN(RADIANS(theta_L)))&lt;0),(((MxMy_FixedP!$EG$8:$EG$43)+(((MxMy_FixedP!$EG$8:$EG$43)*SIN(RADIANS(theta_L))-(MxMy_FixedP!$FH$8:$FH$43)*COS(RADIANS(theta_L)))/((((MxMy_FixedP!$EG$8:$EG$43)*SIN(RADIANS(theta_L))-(MxMy_FixedP!$FH$8:$FH$43)*COS(RADIANS(theta_L))))-(((MxMy_FixedP!$EG$9:$EG$44)*SIN(RADIANS(theta_L))-(MxMy_FixedP!$FH$9:$FH$44)*COS(RADIANS(theta_L))))+((((MxMy_FixedP!$EG$8:$EG$43)*SIN(RADIANS(theta_L))-(MxMy_FixedP!$FH$8:$FH$43)*COS(RADIANS(theta_L))))=(((MxMy_FixedP!$EG$9:$EG$44)*SIN(RADIANS(theta_L))-(MxMy_FixedP!$FH$9:$FH$44)*COS(RADIANS(theta_L)))))))*((MxMy_FixedP!$EG$9:$EG$44)-(MxMy_FixedP!$EG$8:$EG$43)))*COS(RADIANS(theta_L))+((MxMy_FixedP!$FH$8:$FH$43)+(((MxMy_FixedP!$EG$8:$EG$43)*SIN(RADIANS(theta_L))-(MxMy_FixedP!$FH$8:$FH$43)*COS(RADIANS(theta_L)))/((((MxMy_FixedP!$EG$8:$EG$43)*SIN(RADIANS(theta_L))-(MxMy_FixedP!$FH$8:$FH$43)*COS(RADIANS(theta_L))))-(((MxMy_FixedP!$EG$9:$EG$44)*SIN(RADIANS(theta_L))-(MxMy_FixedP!$FH$9:$FH$44)*COS(RADIANS(theta_L))))+((((MxMy_FixedP!$EG$8:$EG$43)*SIN(RADIANS(theta_L))-(MxMy_FixedP!$FH$8:$FH$43)*COS(RADIANS(theta_L))))=(((MxMy_FixedP!$EG$9:$EG$44)*SIN(RADIANS(theta_L))-(MxMy_FixedP!$FH$9:$FH$44)*COS(RADIANS(theta_L)))))))*((MxMy_FixedP!$FH$9:$FH$44)-(MxMy_FixedP!$FH$8:$FH$43)))*SIN(RADIANS(theta_L))))/G33))</f>
      </c>
      <c r="J33">
        <f>IF($K33&lt;=Mtol,"pole",IF(AND(D33&gt;=1,G33&gt;=1),"ok","CHECK: "&amp;D33&amp;"/"&amp;G33&amp;" cuts"))</f>
      </c>
      <c r="K33" s="18">
        <v>5002.944206054378</v>
      </c>
    </row>
    <row r="34" spans="2:11" x14ac:dyDescent="0.25">
      <c r="B34" s="35" t="s">
        <v>241</v>
      </c>
      <c r="C34" s="54" t="s">
        <v>366</v>
      </c>
      <c r="D34" s="46">
        <f>IF($K34&lt;=Mtol,0,SUMPRODUCT(((((MxMy_FixedP!$EH$8:$EH$43)*SIN(RADIANS(theta_L))-(MxMy_FixedP!$FI$8:$FI$43)*COS(RADIANS(theta_L))))*(((MxMy_FixedP!$EH$9:$EH$44)*SIN(RADIANS(theta_L))-(MxMy_FixedP!$FI$9:$FI$44)*COS(RADIANS(theta_L))))&lt;=0)*((((MxMy_FixedP!$EH$8:$EH$43)*SIN(RADIANS(theta_L))-(MxMy_FixedP!$FI$8:$FI$43)*COS(RADIANS(theta_L))))&lt;&gt;(((MxMy_FixedP!$EH$9:$EH$44)*SIN(RADIANS(theta_L))-(MxMy_FixedP!$FI$9:$FI$44)*COS(RADIANS(theta_L)))))*((((MxMy_FixedP!$EH$8:$EH$43)+(((MxMy_FixedP!$EH$8:$EH$43)*SIN(RADIANS(theta_L))-(MxMy_FixedP!$FI$8:$FI$43)*COS(RADIANS(theta_L)))/((((MxMy_FixedP!$EH$8:$EH$43)*SIN(RADIANS(theta_L))-(MxMy_FixedP!$FI$8:$FI$43)*COS(RADIANS(theta_L))))-(((MxMy_FixedP!$EH$9:$EH$44)*SIN(RADIANS(theta_L))-(MxMy_FixedP!$FI$9:$FI$44)*COS(RADIANS(theta_L))))+((((MxMy_FixedP!$EH$8:$EH$43)*SIN(RADIANS(theta_L))-(MxMy_FixedP!$FI$8:$FI$43)*COS(RADIANS(theta_L))))=(((MxMy_FixedP!$EH$9:$EH$44)*SIN(RADIANS(theta_L))-(MxMy_FixedP!$FI$9:$FI$44)*COS(RADIANS(theta_L)))))))*((MxMy_FixedP!$EH$9:$EH$44)-(MxMy_FixedP!$EH$8:$EH$43)))*COS(RADIANS(theta_L))+((MxMy_FixedP!$FI$8:$FI$43)+(((MxMy_FixedP!$EH$8:$EH$43)*SIN(RADIANS(theta_L))-(MxMy_FixedP!$FI$8:$FI$43)*COS(RADIANS(theta_L)))/((((MxMy_FixedP!$EH$8:$EH$43)*SIN(RADIANS(theta_L))-(MxMy_FixedP!$FI$8:$FI$43)*COS(RADIANS(theta_L))))-(((MxMy_FixedP!$EH$9:$EH$44)*SIN(RADIANS(theta_L))-(MxMy_FixedP!$FI$9:$FI$44)*COS(RADIANS(theta_L))))+((((MxMy_FixedP!$EH$8:$EH$43)*SIN(RADIANS(theta_L))-(MxMy_FixedP!$FI$8:$FI$43)*COS(RADIANS(theta_L))))=(((MxMy_FixedP!$EH$9:$EH$44)*SIN(RADIANS(theta_L))-(MxMy_FixedP!$FI$9:$FI$44)*COS(RADIANS(theta_L)))))))*((MxMy_FixedP!$FI$9:$FI$44)-(MxMy_FixedP!$FI$8:$FI$43)))*SIN(RADIANS(theta_L)))&gt;0)))</f>
      </c>
      <c r="E34" s="10">
        <f>IF($K34&lt;=Mtol,MxMy_FixedP!$DG$8,IF(D34=0,"",SUMPRODUCT(((((MxMy_FixedP!$EH$8:$EH$43)*SIN(RADIANS(theta_L))-(MxMy_FixedP!$FI$8:$FI$43)*COS(RADIANS(theta_L))))*(((MxMy_FixedP!$EH$9:$EH$44)*SIN(RADIANS(theta_L))-(MxMy_FixedP!$FI$9:$FI$44)*COS(RADIANS(theta_L))))&lt;=0)*((((MxMy_FixedP!$EH$8:$EH$43)*SIN(RADIANS(theta_L))-(MxMy_FixedP!$FI$8:$FI$43)*COS(RADIANS(theta_L))))&lt;&gt;(((MxMy_FixedP!$EH$9:$EH$44)*SIN(RADIANS(theta_L))-(MxMy_FixedP!$FI$9:$FI$44)*COS(RADIANS(theta_L)))))*((((MxMy_FixedP!$EH$8:$EH$43)+(((MxMy_FixedP!$EH$8:$EH$43)*SIN(RADIANS(theta_L))-(MxMy_FixedP!$FI$8:$FI$43)*COS(RADIANS(theta_L)))/((((MxMy_FixedP!$EH$8:$EH$43)*SIN(RADIANS(theta_L))-(MxMy_FixedP!$FI$8:$FI$43)*COS(RADIANS(theta_L))))-(((MxMy_FixedP!$EH$9:$EH$44)*SIN(RADIANS(theta_L))-(MxMy_FixedP!$FI$9:$FI$44)*COS(RADIANS(theta_L))))+((((MxMy_FixedP!$EH$8:$EH$43)*SIN(RADIANS(theta_L))-(MxMy_FixedP!$FI$8:$FI$43)*COS(RADIANS(theta_L))))=(((MxMy_FixedP!$EH$9:$EH$44)*SIN(RADIANS(theta_L))-(MxMy_FixedP!$FI$9:$FI$44)*COS(RADIANS(theta_L)))))))*((MxMy_FixedP!$EH$9:$EH$44)-(MxMy_FixedP!$EH$8:$EH$43)))*COS(RADIANS(theta_L))+((MxMy_FixedP!$FI$8:$FI$43)+(((MxMy_FixedP!$EH$8:$EH$43)*SIN(RADIANS(theta_L))-(MxMy_FixedP!$FI$8:$FI$43)*COS(RADIANS(theta_L)))/((((MxMy_FixedP!$EH$8:$EH$43)*SIN(RADIANS(theta_L))-(MxMy_FixedP!$FI$8:$FI$43)*COS(RADIANS(theta_L))))-(((MxMy_FixedP!$EH$9:$EH$44)*SIN(RADIANS(theta_L))-(MxMy_FixedP!$FI$9:$FI$44)*COS(RADIANS(theta_L))))+((((MxMy_FixedP!$EH$8:$EH$43)*SIN(RADIANS(theta_L))-(MxMy_FixedP!$FI$8:$FI$43)*COS(RADIANS(theta_L))))=(((MxMy_FixedP!$EH$9:$EH$44)*SIN(RADIANS(theta_L))-(MxMy_FixedP!$FI$9:$FI$44)*COS(RADIANS(theta_L)))))))*((MxMy_FixedP!$FI$9:$FI$44)-(MxMy_FixedP!$FI$8:$FI$43)))*SIN(RADIANS(theta_L)))&gt;0),((MxMy_FixedP!$DG$8:$DG$43)+(((MxMy_FixedP!$EH$8:$EH$43)*SIN(RADIANS(theta_L))-(MxMy_FixedP!$FI$8:$FI$43)*COS(RADIANS(theta_L)))/((((MxMy_FixedP!$EH$8:$EH$43)*SIN(RADIANS(theta_L))-(MxMy_FixedP!$FI$8:$FI$43)*COS(RADIANS(theta_L))))-(((MxMy_FixedP!$EH$9:$EH$44)*SIN(RADIANS(theta_L))-(MxMy_FixedP!$FI$9:$FI$44)*COS(RADIANS(theta_L))))+((((MxMy_FixedP!$EH$8:$EH$43)*SIN(RADIANS(theta_L))-(MxMy_FixedP!$FI$8:$FI$43)*COS(RADIANS(theta_L))))=(((MxMy_FixedP!$EH$9:$EH$44)*SIN(RADIANS(theta_L))-(MxMy_FixedP!$FI$9:$FI$44)*COS(RADIANS(theta_L)))))))*((MxMy_FixedP!$DG$9:$DG$44)-(MxMy_FixedP!$DG$8:$DG$43))))/D34))</f>
      </c>
      <c r="F34" s="10">
        <f>IF($K34&lt;=Mtol,0,IF(D34=0,"",SUMPRODUCT(((((MxMy_FixedP!$EH$8:$EH$43)*SIN(RADIANS(theta_L))-(MxMy_FixedP!$FI$8:$FI$43)*COS(RADIANS(theta_L))))*(((MxMy_FixedP!$EH$9:$EH$44)*SIN(RADIANS(theta_L))-(MxMy_FixedP!$FI$9:$FI$44)*COS(RADIANS(theta_L))))&lt;=0)*((((MxMy_FixedP!$EH$8:$EH$43)*SIN(RADIANS(theta_L))-(MxMy_FixedP!$FI$8:$FI$43)*COS(RADIANS(theta_L))))&lt;&gt;(((MxMy_FixedP!$EH$9:$EH$44)*SIN(RADIANS(theta_L))-(MxMy_FixedP!$FI$9:$FI$44)*COS(RADIANS(theta_L)))))*((((MxMy_FixedP!$EH$8:$EH$43)+(((MxMy_FixedP!$EH$8:$EH$43)*SIN(RADIANS(theta_L))-(MxMy_FixedP!$FI$8:$FI$43)*COS(RADIANS(theta_L)))/((((MxMy_FixedP!$EH$8:$EH$43)*SIN(RADIANS(theta_L))-(MxMy_FixedP!$FI$8:$FI$43)*COS(RADIANS(theta_L))))-(((MxMy_FixedP!$EH$9:$EH$44)*SIN(RADIANS(theta_L))-(MxMy_FixedP!$FI$9:$FI$44)*COS(RADIANS(theta_L))))+((((MxMy_FixedP!$EH$8:$EH$43)*SIN(RADIANS(theta_L))-(MxMy_FixedP!$FI$8:$FI$43)*COS(RADIANS(theta_L))))=(((MxMy_FixedP!$EH$9:$EH$44)*SIN(RADIANS(theta_L))-(MxMy_FixedP!$FI$9:$FI$44)*COS(RADIANS(theta_L)))))))*((MxMy_FixedP!$EH$9:$EH$44)-(MxMy_FixedP!$EH$8:$EH$43)))*COS(RADIANS(theta_L))+((MxMy_FixedP!$FI$8:$FI$43)+(((MxMy_FixedP!$EH$8:$EH$43)*SIN(RADIANS(theta_L))-(MxMy_FixedP!$FI$8:$FI$43)*COS(RADIANS(theta_L)))/((((MxMy_FixedP!$EH$8:$EH$43)*SIN(RADIANS(theta_L))-(MxMy_FixedP!$FI$8:$FI$43)*COS(RADIANS(theta_L))))-(((MxMy_FixedP!$EH$9:$EH$44)*SIN(RADIANS(theta_L))-(MxMy_FixedP!$FI$9:$FI$44)*COS(RADIANS(theta_L))))+((((MxMy_FixedP!$EH$8:$EH$43)*SIN(RADIANS(theta_L))-(MxMy_FixedP!$FI$8:$FI$43)*COS(RADIANS(theta_L))))=(((MxMy_FixedP!$EH$9:$EH$44)*SIN(RADIANS(theta_L))-(MxMy_FixedP!$FI$9:$FI$44)*COS(RADIANS(theta_L)))))))*((MxMy_FixedP!$FI$9:$FI$44)-(MxMy_FixedP!$FI$8:$FI$43)))*SIN(RADIANS(theta_L)))&gt;0),(((MxMy_FixedP!$EH$8:$EH$43)+(((MxMy_FixedP!$EH$8:$EH$43)*SIN(RADIANS(theta_L))-(MxMy_FixedP!$FI$8:$FI$43)*COS(RADIANS(theta_L)))/((((MxMy_FixedP!$EH$8:$EH$43)*SIN(RADIANS(theta_L))-(MxMy_FixedP!$FI$8:$FI$43)*COS(RADIANS(theta_L))))-(((MxMy_FixedP!$EH$9:$EH$44)*SIN(RADIANS(theta_L))-(MxMy_FixedP!$FI$9:$FI$44)*COS(RADIANS(theta_L))))+((((MxMy_FixedP!$EH$8:$EH$43)*SIN(RADIANS(theta_L))-(MxMy_FixedP!$FI$8:$FI$43)*COS(RADIANS(theta_L))))=(((MxMy_FixedP!$EH$9:$EH$44)*SIN(RADIANS(theta_L))-(MxMy_FixedP!$FI$9:$FI$44)*COS(RADIANS(theta_L)))))))*((MxMy_FixedP!$EH$9:$EH$44)-(MxMy_FixedP!$EH$8:$EH$43)))*COS(RADIANS(theta_L))+((MxMy_FixedP!$FI$8:$FI$43)+(((MxMy_FixedP!$EH$8:$EH$43)*SIN(RADIANS(theta_L))-(MxMy_FixedP!$FI$8:$FI$43)*COS(RADIANS(theta_L)))/((((MxMy_FixedP!$EH$8:$EH$43)*SIN(RADIANS(theta_L))-(MxMy_FixedP!$FI$8:$FI$43)*COS(RADIANS(theta_L))))-(((MxMy_FixedP!$EH$9:$EH$44)*SIN(RADIANS(theta_L))-(MxMy_FixedP!$FI$9:$FI$44)*COS(RADIANS(theta_L))))+((((MxMy_FixedP!$EH$8:$EH$43)*SIN(RADIANS(theta_L))-(MxMy_FixedP!$FI$8:$FI$43)*COS(RADIANS(theta_L))))=(((MxMy_FixedP!$EH$9:$EH$44)*SIN(RADIANS(theta_L))-(MxMy_FixedP!$FI$9:$FI$44)*COS(RADIANS(theta_L)))))))*((MxMy_FixedP!$FI$9:$FI$44)-(MxMy_FixedP!$FI$8:$FI$43)))*SIN(RADIANS(theta_L))))/D34))</f>
      </c>
      <c r="G34" s="46">
        <f>IF($K34&lt;=Mtol,0,SUMPRODUCT(((((MxMy_FixedP!$EH$8:$EH$43)*SIN(RADIANS(theta_L))-(MxMy_FixedP!$FI$8:$FI$43)*COS(RADIANS(theta_L))))*(((MxMy_FixedP!$EH$9:$EH$44)*SIN(RADIANS(theta_L))-(MxMy_FixedP!$FI$9:$FI$44)*COS(RADIANS(theta_L))))&lt;=0)*((((MxMy_FixedP!$EH$8:$EH$43)*SIN(RADIANS(theta_L))-(MxMy_FixedP!$FI$8:$FI$43)*COS(RADIANS(theta_L))))&lt;&gt;(((MxMy_FixedP!$EH$9:$EH$44)*SIN(RADIANS(theta_L))-(MxMy_FixedP!$FI$9:$FI$44)*COS(RADIANS(theta_L)))))*((((MxMy_FixedP!$EH$8:$EH$43)+(((MxMy_FixedP!$EH$8:$EH$43)*SIN(RADIANS(theta_L))-(MxMy_FixedP!$FI$8:$FI$43)*COS(RADIANS(theta_L)))/((((MxMy_FixedP!$EH$8:$EH$43)*SIN(RADIANS(theta_L))-(MxMy_FixedP!$FI$8:$FI$43)*COS(RADIANS(theta_L))))-(((MxMy_FixedP!$EH$9:$EH$44)*SIN(RADIANS(theta_L))-(MxMy_FixedP!$FI$9:$FI$44)*COS(RADIANS(theta_L))))+((((MxMy_FixedP!$EH$8:$EH$43)*SIN(RADIANS(theta_L))-(MxMy_FixedP!$FI$8:$FI$43)*COS(RADIANS(theta_L))))=(((MxMy_FixedP!$EH$9:$EH$44)*SIN(RADIANS(theta_L))-(MxMy_FixedP!$FI$9:$FI$44)*COS(RADIANS(theta_L)))))))*((MxMy_FixedP!$EH$9:$EH$44)-(MxMy_FixedP!$EH$8:$EH$43)))*COS(RADIANS(theta_L))+((MxMy_FixedP!$FI$8:$FI$43)+(((MxMy_FixedP!$EH$8:$EH$43)*SIN(RADIANS(theta_L))-(MxMy_FixedP!$FI$8:$FI$43)*COS(RADIANS(theta_L)))/((((MxMy_FixedP!$EH$8:$EH$43)*SIN(RADIANS(theta_L))-(MxMy_FixedP!$FI$8:$FI$43)*COS(RADIANS(theta_L))))-(((MxMy_FixedP!$EH$9:$EH$44)*SIN(RADIANS(theta_L))-(MxMy_FixedP!$FI$9:$FI$44)*COS(RADIANS(theta_L))))+((((MxMy_FixedP!$EH$8:$EH$43)*SIN(RADIANS(theta_L))-(MxMy_FixedP!$FI$8:$FI$43)*COS(RADIANS(theta_L))))=(((MxMy_FixedP!$EH$9:$EH$44)*SIN(RADIANS(theta_L))-(MxMy_FixedP!$FI$9:$FI$44)*COS(RADIANS(theta_L)))))))*((MxMy_FixedP!$FI$9:$FI$44)-(MxMy_FixedP!$FI$8:$FI$43)))*SIN(RADIANS(theta_L)))&lt;0)))</f>
      </c>
      <c r="H34" s="10">
        <f>IF($K34&lt;=Mtol,MxMy_FixedP!$DG$8,IF(G34=0,"",SUMPRODUCT(((((MxMy_FixedP!$EH$8:$EH$43)*SIN(RADIANS(theta_L))-(MxMy_FixedP!$FI$8:$FI$43)*COS(RADIANS(theta_L))))*(((MxMy_FixedP!$EH$9:$EH$44)*SIN(RADIANS(theta_L))-(MxMy_FixedP!$FI$9:$FI$44)*COS(RADIANS(theta_L))))&lt;=0)*((((MxMy_FixedP!$EH$8:$EH$43)*SIN(RADIANS(theta_L))-(MxMy_FixedP!$FI$8:$FI$43)*COS(RADIANS(theta_L))))&lt;&gt;(((MxMy_FixedP!$EH$9:$EH$44)*SIN(RADIANS(theta_L))-(MxMy_FixedP!$FI$9:$FI$44)*COS(RADIANS(theta_L)))))*((((MxMy_FixedP!$EH$8:$EH$43)+(((MxMy_FixedP!$EH$8:$EH$43)*SIN(RADIANS(theta_L))-(MxMy_FixedP!$FI$8:$FI$43)*COS(RADIANS(theta_L)))/((((MxMy_FixedP!$EH$8:$EH$43)*SIN(RADIANS(theta_L))-(MxMy_FixedP!$FI$8:$FI$43)*COS(RADIANS(theta_L))))-(((MxMy_FixedP!$EH$9:$EH$44)*SIN(RADIANS(theta_L))-(MxMy_FixedP!$FI$9:$FI$44)*COS(RADIANS(theta_L))))+((((MxMy_FixedP!$EH$8:$EH$43)*SIN(RADIANS(theta_L))-(MxMy_FixedP!$FI$8:$FI$43)*COS(RADIANS(theta_L))))=(((MxMy_FixedP!$EH$9:$EH$44)*SIN(RADIANS(theta_L))-(MxMy_FixedP!$FI$9:$FI$44)*COS(RADIANS(theta_L)))))))*((MxMy_FixedP!$EH$9:$EH$44)-(MxMy_FixedP!$EH$8:$EH$43)))*COS(RADIANS(theta_L))+((MxMy_FixedP!$FI$8:$FI$43)+(((MxMy_FixedP!$EH$8:$EH$43)*SIN(RADIANS(theta_L))-(MxMy_FixedP!$FI$8:$FI$43)*COS(RADIANS(theta_L)))/((((MxMy_FixedP!$EH$8:$EH$43)*SIN(RADIANS(theta_L))-(MxMy_FixedP!$FI$8:$FI$43)*COS(RADIANS(theta_L))))-(((MxMy_FixedP!$EH$9:$EH$44)*SIN(RADIANS(theta_L))-(MxMy_FixedP!$FI$9:$FI$44)*COS(RADIANS(theta_L))))+((((MxMy_FixedP!$EH$8:$EH$43)*SIN(RADIANS(theta_L))-(MxMy_FixedP!$FI$8:$FI$43)*COS(RADIANS(theta_L))))=(((MxMy_FixedP!$EH$9:$EH$44)*SIN(RADIANS(theta_L))-(MxMy_FixedP!$FI$9:$FI$44)*COS(RADIANS(theta_L)))))))*((MxMy_FixedP!$FI$9:$FI$44)-(MxMy_FixedP!$FI$8:$FI$43)))*SIN(RADIANS(theta_L)))&lt;0),((MxMy_FixedP!$DG$8:$DG$43)+(((MxMy_FixedP!$EH$8:$EH$43)*SIN(RADIANS(theta_L))-(MxMy_FixedP!$FI$8:$FI$43)*COS(RADIANS(theta_L)))/((((MxMy_FixedP!$EH$8:$EH$43)*SIN(RADIANS(theta_L))-(MxMy_FixedP!$FI$8:$FI$43)*COS(RADIANS(theta_L))))-(((MxMy_FixedP!$EH$9:$EH$44)*SIN(RADIANS(theta_L))-(MxMy_FixedP!$FI$9:$FI$44)*COS(RADIANS(theta_L))))+((((MxMy_FixedP!$EH$8:$EH$43)*SIN(RADIANS(theta_L))-(MxMy_FixedP!$FI$8:$FI$43)*COS(RADIANS(theta_L))))=(((MxMy_FixedP!$EH$9:$EH$44)*SIN(RADIANS(theta_L))-(MxMy_FixedP!$FI$9:$FI$44)*COS(RADIANS(theta_L)))))))*((MxMy_FixedP!$DG$9:$DG$44)-(MxMy_FixedP!$DG$8:$DG$43))))/G34))</f>
      </c>
      <c r="I34" s="10">
        <f>IF($K34&lt;=Mtol,0,IF(G34=0,"",SUMPRODUCT(((((MxMy_FixedP!$EH$8:$EH$43)*SIN(RADIANS(theta_L))-(MxMy_FixedP!$FI$8:$FI$43)*COS(RADIANS(theta_L))))*(((MxMy_FixedP!$EH$9:$EH$44)*SIN(RADIANS(theta_L))-(MxMy_FixedP!$FI$9:$FI$44)*COS(RADIANS(theta_L))))&lt;=0)*((((MxMy_FixedP!$EH$8:$EH$43)*SIN(RADIANS(theta_L))-(MxMy_FixedP!$FI$8:$FI$43)*COS(RADIANS(theta_L))))&lt;&gt;(((MxMy_FixedP!$EH$9:$EH$44)*SIN(RADIANS(theta_L))-(MxMy_FixedP!$FI$9:$FI$44)*COS(RADIANS(theta_L)))))*((((MxMy_FixedP!$EH$8:$EH$43)+(((MxMy_FixedP!$EH$8:$EH$43)*SIN(RADIANS(theta_L))-(MxMy_FixedP!$FI$8:$FI$43)*COS(RADIANS(theta_L)))/((((MxMy_FixedP!$EH$8:$EH$43)*SIN(RADIANS(theta_L))-(MxMy_FixedP!$FI$8:$FI$43)*COS(RADIANS(theta_L))))-(((MxMy_FixedP!$EH$9:$EH$44)*SIN(RADIANS(theta_L))-(MxMy_FixedP!$FI$9:$FI$44)*COS(RADIANS(theta_L))))+((((MxMy_FixedP!$EH$8:$EH$43)*SIN(RADIANS(theta_L))-(MxMy_FixedP!$FI$8:$FI$43)*COS(RADIANS(theta_L))))=(((MxMy_FixedP!$EH$9:$EH$44)*SIN(RADIANS(theta_L))-(MxMy_FixedP!$FI$9:$FI$44)*COS(RADIANS(theta_L)))))))*((MxMy_FixedP!$EH$9:$EH$44)-(MxMy_FixedP!$EH$8:$EH$43)))*COS(RADIANS(theta_L))+((MxMy_FixedP!$FI$8:$FI$43)+(((MxMy_FixedP!$EH$8:$EH$43)*SIN(RADIANS(theta_L))-(MxMy_FixedP!$FI$8:$FI$43)*COS(RADIANS(theta_L)))/((((MxMy_FixedP!$EH$8:$EH$43)*SIN(RADIANS(theta_L))-(MxMy_FixedP!$FI$8:$FI$43)*COS(RADIANS(theta_L))))-(((MxMy_FixedP!$EH$9:$EH$44)*SIN(RADIANS(theta_L))-(MxMy_FixedP!$FI$9:$FI$44)*COS(RADIANS(theta_L))))+((((MxMy_FixedP!$EH$8:$EH$43)*SIN(RADIANS(theta_L))-(MxMy_FixedP!$FI$8:$FI$43)*COS(RADIANS(theta_L))))=(((MxMy_FixedP!$EH$9:$EH$44)*SIN(RADIANS(theta_L))-(MxMy_FixedP!$FI$9:$FI$44)*COS(RADIANS(theta_L)))))))*((MxMy_FixedP!$FI$9:$FI$44)-(MxMy_FixedP!$FI$8:$FI$43)))*SIN(RADIANS(theta_L)))&lt;0),(((MxMy_FixedP!$EH$8:$EH$43)+(((MxMy_FixedP!$EH$8:$EH$43)*SIN(RADIANS(theta_L))-(MxMy_FixedP!$FI$8:$FI$43)*COS(RADIANS(theta_L)))/((((MxMy_FixedP!$EH$8:$EH$43)*SIN(RADIANS(theta_L))-(MxMy_FixedP!$FI$8:$FI$43)*COS(RADIANS(theta_L))))-(((MxMy_FixedP!$EH$9:$EH$44)*SIN(RADIANS(theta_L))-(MxMy_FixedP!$FI$9:$FI$44)*COS(RADIANS(theta_L))))+((((MxMy_FixedP!$EH$8:$EH$43)*SIN(RADIANS(theta_L))-(MxMy_FixedP!$FI$8:$FI$43)*COS(RADIANS(theta_L))))=(((MxMy_FixedP!$EH$9:$EH$44)*SIN(RADIANS(theta_L))-(MxMy_FixedP!$FI$9:$FI$44)*COS(RADIANS(theta_L)))))))*((MxMy_FixedP!$EH$9:$EH$44)-(MxMy_FixedP!$EH$8:$EH$43)))*COS(RADIANS(theta_L))+((MxMy_FixedP!$FI$8:$FI$43)+(((MxMy_FixedP!$EH$8:$EH$43)*SIN(RADIANS(theta_L))-(MxMy_FixedP!$FI$8:$FI$43)*COS(RADIANS(theta_L)))/((((MxMy_FixedP!$EH$8:$EH$43)*SIN(RADIANS(theta_L))-(MxMy_FixedP!$FI$8:$FI$43)*COS(RADIANS(theta_L))))-(((MxMy_FixedP!$EH$9:$EH$44)*SIN(RADIANS(theta_L))-(MxMy_FixedP!$FI$9:$FI$44)*COS(RADIANS(theta_L))))+((((MxMy_FixedP!$EH$8:$EH$43)*SIN(RADIANS(theta_L))-(MxMy_FixedP!$FI$8:$FI$43)*COS(RADIANS(theta_L))))=(((MxMy_FixedP!$EH$9:$EH$44)*SIN(RADIANS(theta_L))-(MxMy_FixedP!$FI$9:$FI$44)*COS(RADIANS(theta_L)))))))*((MxMy_FixedP!$FI$9:$FI$44)-(MxMy_FixedP!$FI$8:$FI$43)))*SIN(RADIANS(theta_L))))/G34))</f>
      </c>
      <c r="J34">
        <f>IF($K34&lt;=Mtol,"pole",IF(AND(D34&gt;=1,G34&gt;=1),"ok","CHECK: "&amp;D34&amp;"/"&amp;G34&amp;" cuts"))</f>
      </c>
      <c r="K34" s="18">
        <v>4328.180460907183</v>
      </c>
    </row>
    <row r="35" spans="2:11" x14ac:dyDescent="0.25">
      <c r="B35" s="35" t="s">
        <v>242</v>
      </c>
      <c r="C35" s="54" t="s">
        <v>367</v>
      </c>
      <c r="D35" s="46">
        <f>IF($K35&lt;=Mtol,0,SUMPRODUCT(((((MxMy_FixedP!$EI$8:$EI$43)*SIN(RADIANS(theta_L))-(MxMy_FixedP!$FJ$8:$FJ$43)*COS(RADIANS(theta_L))))*(((MxMy_FixedP!$EI$9:$EI$44)*SIN(RADIANS(theta_L))-(MxMy_FixedP!$FJ$9:$FJ$44)*COS(RADIANS(theta_L))))&lt;=0)*((((MxMy_FixedP!$EI$8:$EI$43)*SIN(RADIANS(theta_L))-(MxMy_FixedP!$FJ$8:$FJ$43)*COS(RADIANS(theta_L))))&lt;&gt;(((MxMy_FixedP!$EI$9:$EI$44)*SIN(RADIANS(theta_L))-(MxMy_FixedP!$FJ$9:$FJ$44)*COS(RADIANS(theta_L)))))*((((MxMy_FixedP!$EI$8:$EI$43)+(((MxMy_FixedP!$EI$8:$EI$43)*SIN(RADIANS(theta_L))-(MxMy_FixedP!$FJ$8:$FJ$43)*COS(RADIANS(theta_L)))/((((MxMy_FixedP!$EI$8:$EI$43)*SIN(RADIANS(theta_L))-(MxMy_FixedP!$FJ$8:$FJ$43)*COS(RADIANS(theta_L))))-(((MxMy_FixedP!$EI$9:$EI$44)*SIN(RADIANS(theta_L))-(MxMy_FixedP!$FJ$9:$FJ$44)*COS(RADIANS(theta_L))))+((((MxMy_FixedP!$EI$8:$EI$43)*SIN(RADIANS(theta_L))-(MxMy_FixedP!$FJ$8:$FJ$43)*COS(RADIANS(theta_L))))=(((MxMy_FixedP!$EI$9:$EI$44)*SIN(RADIANS(theta_L))-(MxMy_FixedP!$FJ$9:$FJ$44)*COS(RADIANS(theta_L)))))))*((MxMy_FixedP!$EI$9:$EI$44)-(MxMy_FixedP!$EI$8:$EI$43)))*COS(RADIANS(theta_L))+((MxMy_FixedP!$FJ$8:$FJ$43)+(((MxMy_FixedP!$EI$8:$EI$43)*SIN(RADIANS(theta_L))-(MxMy_FixedP!$FJ$8:$FJ$43)*COS(RADIANS(theta_L)))/((((MxMy_FixedP!$EI$8:$EI$43)*SIN(RADIANS(theta_L))-(MxMy_FixedP!$FJ$8:$FJ$43)*COS(RADIANS(theta_L))))-(((MxMy_FixedP!$EI$9:$EI$44)*SIN(RADIANS(theta_L))-(MxMy_FixedP!$FJ$9:$FJ$44)*COS(RADIANS(theta_L))))+((((MxMy_FixedP!$EI$8:$EI$43)*SIN(RADIANS(theta_L))-(MxMy_FixedP!$FJ$8:$FJ$43)*COS(RADIANS(theta_L))))=(((MxMy_FixedP!$EI$9:$EI$44)*SIN(RADIANS(theta_L))-(MxMy_FixedP!$FJ$9:$FJ$44)*COS(RADIANS(theta_L)))))))*((MxMy_FixedP!$FJ$9:$FJ$44)-(MxMy_FixedP!$FJ$8:$FJ$43)))*SIN(RADIANS(theta_L)))&gt;0)))</f>
      </c>
      <c r="E35" s="10">
        <f>IF($K35&lt;=Mtol,MxMy_FixedP!$DH$8,IF(D35=0,"",SUMPRODUCT(((((MxMy_FixedP!$EI$8:$EI$43)*SIN(RADIANS(theta_L))-(MxMy_FixedP!$FJ$8:$FJ$43)*COS(RADIANS(theta_L))))*(((MxMy_FixedP!$EI$9:$EI$44)*SIN(RADIANS(theta_L))-(MxMy_FixedP!$FJ$9:$FJ$44)*COS(RADIANS(theta_L))))&lt;=0)*((((MxMy_FixedP!$EI$8:$EI$43)*SIN(RADIANS(theta_L))-(MxMy_FixedP!$FJ$8:$FJ$43)*COS(RADIANS(theta_L))))&lt;&gt;(((MxMy_FixedP!$EI$9:$EI$44)*SIN(RADIANS(theta_L))-(MxMy_FixedP!$FJ$9:$FJ$44)*COS(RADIANS(theta_L)))))*((((MxMy_FixedP!$EI$8:$EI$43)+(((MxMy_FixedP!$EI$8:$EI$43)*SIN(RADIANS(theta_L))-(MxMy_FixedP!$FJ$8:$FJ$43)*COS(RADIANS(theta_L)))/((((MxMy_FixedP!$EI$8:$EI$43)*SIN(RADIANS(theta_L))-(MxMy_FixedP!$FJ$8:$FJ$43)*COS(RADIANS(theta_L))))-(((MxMy_FixedP!$EI$9:$EI$44)*SIN(RADIANS(theta_L))-(MxMy_FixedP!$FJ$9:$FJ$44)*COS(RADIANS(theta_L))))+((((MxMy_FixedP!$EI$8:$EI$43)*SIN(RADIANS(theta_L))-(MxMy_FixedP!$FJ$8:$FJ$43)*COS(RADIANS(theta_L))))=(((MxMy_FixedP!$EI$9:$EI$44)*SIN(RADIANS(theta_L))-(MxMy_FixedP!$FJ$9:$FJ$44)*COS(RADIANS(theta_L)))))))*((MxMy_FixedP!$EI$9:$EI$44)-(MxMy_FixedP!$EI$8:$EI$43)))*COS(RADIANS(theta_L))+((MxMy_FixedP!$FJ$8:$FJ$43)+(((MxMy_FixedP!$EI$8:$EI$43)*SIN(RADIANS(theta_L))-(MxMy_FixedP!$FJ$8:$FJ$43)*COS(RADIANS(theta_L)))/((((MxMy_FixedP!$EI$8:$EI$43)*SIN(RADIANS(theta_L))-(MxMy_FixedP!$FJ$8:$FJ$43)*COS(RADIANS(theta_L))))-(((MxMy_FixedP!$EI$9:$EI$44)*SIN(RADIANS(theta_L))-(MxMy_FixedP!$FJ$9:$FJ$44)*COS(RADIANS(theta_L))))+((((MxMy_FixedP!$EI$8:$EI$43)*SIN(RADIANS(theta_L))-(MxMy_FixedP!$FJ$8:$FJ$43)*COS(RADIANS(theta_L))))=(((MxMy_FixedP!$EI$9:$EI$44)*SIN(RADIANS(theta_L))-(MxMy_FixedP!$FJ$9:$FJ$44)*COS(RADIANS(theta_L)))))))*((MxMy_FixedP!$FJ$9:$FJ$44)-(MxMy_FixedP!$FJ$8:$FJ$43)))*SIN(RADIANS(theta_L)))&gt;0),((MxMy_FixedP!$DH$8:$DH$43)+(((MxMy_FixedP!$EI$8:$EI$43)*SIN(RADIANS(theta_L))-(MxMy_FixedP!$FJ$8:$FJ$43)*COS(RADIANS(theta_L)))/((((MxMy_FixedP!$EI$8:$EI$43)*SIN(RADIANS(theta_L))-(MxMy_FixedP!$FJ$8:$FJ$43)*COS(RADIANS(theta_L))))-(((MxMy_FixedP!$EI$9:$EI$44)*SIN(RADIANS(theta_L))-(MxMy_FixedP!$FJ$9:$FJ$44)*COS(RADIANS(theta_L))))+((((MxMy_FixedP!$EI$8:$EI$43)*SIN(RADIANS(theta_L))-(MxMy_FixedP!$FJ$8:$FJ$43)*COS(RADIANS(theta_L))))=(((MxMy_FixedP!$EI$9:$EI$44)*SIN(RADIANS(theta_L))-(MxMy_FixedP!$FJ$9:$FJ$44)*COS(RADIANS(theta_L)))))))*((MxMy_FixedP!$DH$9:$DH$44)-(MxMy_FixedP!$DH$8:$DH$43))))/D35))</f>
      </c>
      <c r="F35" s="10">
        <f>IF($K35&lt;=Mtol,0,IF(D35=0,"",SUMPRODUCT(((((MxMy_FixedP!$EI$8:$EI$43)*SIN(RADIANS(theta_L))-(MxMy_FixedP!$FJ$8:$FJ$43)*COS(RADIANS(theta_L))))*(((MxMy_FixedP!$EI$9:$EI$44)*SIN(RADIANS(theta_L))-(MxMy_FixedP!$FJ$9:$FJ$44)*COS(RADIANS(theta_L))))&lt;=0)*((((MxMy_FixedP!$EI$8:$EI$43)*SIN(RADIANS(theta_L))-(MxMy_FixedP!$FJ$8:$FJ$43)*COS(RADIANS(theta_L))))&lt;&gt;(((MxMy_FixedP!$EI$9:$EI$44)*SIN(RADIANS(theta_L))-(MxMy_FixedP!$FJ$9:$FJ$44)*COS(RADIANS(theta_L)))))*((((MxMy_FixedP!$EI$8:$EI$43)+(((MxMy_FixedP!$EI$8:$EI$43)*SIN(RADIANS(theta_L))-(MxMy_FixedP!$FJ$8:$FJ$43)*COS(RADIANS(theta_L)))/((((MxMy_FixedP!$EI$8:$EI$43)*SIN(RADIANS(theta_L))-(MxMy_FixedP!$FJ$8:$FJ$43)*COS(RADIANS(theta_L))))-(((MxMy_FixedP!$EI$9:$EI$44)*SIN(RADIANS(theta_L))-(MxMy_FixedP!$FJ$9:$FJ$44)*COS(RADIANS(theta_L))))+((((MxMy_FixedP!$EI$8:$EI$43)*SIN(RADIANS(theta_L))-(MxMy_FixedP!$FJ$8:$FJ$43)*COS(RADIANS(theta_L))))=(((MxMy_FixedP!$EI$9:$EI$44)*SIN(RADIANS(theta_L))-(MxMy_FixedP!$FJ$9:$FJ$44)*COS(RADIANS(theta_L)))))))*((MxMy_FixedP!$EI$9:$EI$44)-(MxMy_FixedP!$EI$8:$EI$43)))*COS(RADIANS(theta_L))+((MxMy_FixedP!$FJ$8:$FJ$43)+(((MxMy_FixedP!$EI$8:$EI$43)*SIN(RADIANS(theta_L))-(MxMy_FixedP!$FJ$8:$FJ$43)*COS(RADIANS(theta_L)))/((((MxMy_FixedP!$EI$8:$EI$43)*SIN(RADIANS(theta_L))-(MxMy_FixedP!$FJ$8:$FJ$43)*COS(RADIANS(theta_L))))-(((MxMy_FixedP!$EI$9:$EI$44)*SIN(RADIANS(theta_L))-(MxMy_FixedP!$FJ$9:$FJ$44)*COS(RADIANS(theta_L))))+((((MxMy_FixedP!$EI$8:$EI$43)*SIN(RADIANS(theta_L))-(MxMy_FixedP!$FJ$8:$FJ$43)*COS(RADIANS(theta_L))))=(((MxMy_FixedP!$EI$9:$EI$44)*SIN(RADIANS(theta_L))-(MxMy_FixedP!$FJ$9:$FJ$44)*COS(RADIANS(theta_L)))))))*((MxMy_FixedP!$FJ$9:$FJ$44)-(MxMy_FixedP!$FJ$8:$FJ$43)))*SIN(RADIANS(theta_L)))&gt;0),(((MxMy_FixedP!$EI$8:$EI$43)+(((MxMy_FixedP!$EI$8:$EI$43)*SIN(RADIANS(theta_L))-(MxMy_FixedP!$FJ$8:$FJ$43)*COS(RADIANS(theta_L)))/((((MxMy_FixedP!$EI$8:$EI$43)*SIN(RADIANS(theta_L))-(MxMy_FixedP!$FJ$8:$FJ$43)*COS(RADIANS(theta_L))))-(((MxMy_FixedP!$EI$9:$EI$44)*SIN(RADIANS(theta_L))-(MxMy_FixedP!$FJ$9:$FJ$44)*COS(RADIANS(theta_L))))+((((MxMy_FixedP!$EI$8:$EI$43)*SIN(RADIANS(theta_L))-(MxMy_FixedP!$FJ$8:$FJ$43)*COS(RADIANS(theta_L))))=(((MxMy_FixedP!$EI$9:$EI$44)*SIN(RADIANS(theta_L))-(MxMy_FixedP!$FJ$9:$FJ$44)*COS(RADIANS(theta_L)))))))*((MxMy_FixedP!$EI$9:$EI$44)-(MxMy_FixedP!$EI$8:$EI$43)))*COS(RADIANS(theta_L))+((MxMy_FixedP!$FJ$8:$FJ$43)+(((MxMy_FixedP!$EI$8:$EI$43)*SIN(RADIANS(theta_L))-(MxMy_FixedP!$FJ$8:$FJ$43)*COS(RADIANS(theta_L)))/((((MxMy_FixedP!$EI$8:$EI$43)*SIN(RADIANS(theta_L))-(MxMy_FixedP!$FJ$8:$FJ$43)*COS(RADIANS(theta_L))))-(((MxMy_FixedP!$EI$9:$EI$44)*SIN(RADIANS(theta_L))-(MxMy_FixedP!$FJ$9:$FJ$44)*COS(RADIANS(theta_L))))+((((MxMy_FixedP!$EI$8:$EI$43)*SIN(RADIANS(theta_L))-(MxMy_FixedP!$FJ$8:$FJ$43)*COS(RADIANS(theta_L))))=(((MxMy_FixedP!$EI$9:$EI$44)*SIN(RADIANS(theta_L))-(MxMy_FixedP!$FJ$9:$FJ$44)*COS(RADIANS(theta_L)))))))*((MxMy_FixedP!$FJ$9:$FJ$44)-(MxMy_FixedP!$FJ$8:$FJ$43)))*SIN(RADIANS(theta_L))))/D35))</f>
      </c>
      <c r="G35" s="46">
        <f>IF($K35&lt;=Mtol,0,SUMPRODUCT(((((MxMy_FixedP!$EI$8:$EI$43)*SIN(RADIANS(theta_L))-(MxMy_FixedP!$FJ$8:$FJ$43)*COS(RADIANS(theta_L))))*(((MxMy_FixedP!$EI$9:$EI$44)*SIN(RADIANS(theta_L))-(MxMy_FixedP!$FJ$9:$FJ$44)*COS(RADIANS(theta_L))))&lt;=0)*((((MxMy_FixedP!$EI$8:$EI$43)*SIN(RADIANS(theta_L))-(MxMy_FixedP!$FJ$8:$FJ$43)*COS(RADIANS(theta_L))))&lt;&gt;(((MxMy_FixedP!$EI$9:$EI$44)*SIN(RADIANS(theta_L))-(MxMy_FixedP!$FJ$9:$FJ$44)*COS(RADIANS(theta_L)))))*((((MxMy_FixedP!$EI$8:$EI$43)+(((MxMy_FixedP!$EI$8:$EI$43)*SIN(RADIANS(theta_L))-(MxMy_FixedP!$FJ$8:$FJ$43)*COS(RADIANS(theta_L)))/((((MxMy_FixedP!$EI$8:$EI$43)*SIN(RADIANS(theta_L))-(MxMy_FixedP!$FJ$8:$FJ$43)*COS(RADIANS(theta_L))))-(((MxMy_FixedP!$EI$9:$EI$44)*SIN(RADIANS(theta_L))-(MxMy_FixedP!$FJ$9:$FJ$44)*COS(RADIANS(theta_L))))+((((MxMy_FixedP!$EI$8:$EI$43)*SIN(RADIANS(theta_L))-(MxMy_FixedP!$FJ$8:$FJ$43)*COS(RADIANS(theta_L))))=(((MxMy_FixedP!$EI$9:$EI$44)*SIN(RADIANS(theta_L))-(MxMy_FixedP!$FJ$9:$FJ$44)*COS(RADIANS(theta_L)))))))*((MxMy_FixedP!$EI$9:$EI$44)-(MxMy_FixedP!$EI$8:$EI$43)))*COS(RADIANS(theta_L))+((MxMy_FixedP!$FJ$8:$FJ$43)+(((MxMy_FixedP!$EI$8:$EI$43)*SIN(RADIANS(theta_L))-(MxMy_FixedP!$FJ$8:$FJ$43)*COS(RADIANS(theta_L)))/((((MxMy_FixedP!$EI$8:$EI$43)*SIN(RADIANS(theta_L))-(MxMy_FixedP!$FJ$8:$FJ$43)*COS(RADIANS(theta_L))))-(((MxMy_FixedP!$EI$9:$EI$44)*SIN(RADIANS(theta_L))-(MxMy_FixedP!$FJ$9:$FJ$44)*COS(RADIANS(theta_L))))+((((MxMy_FixedP!$EI$8:$EI$43)*SIN(RADIANS(theta_L))-(MxMy_FixedP!$FJ$8:$FJ$43)*COS(RADIANS(theta_L))))=(((MxMy_FixedP!$EI$9:$EI$44)*SIN(RADIANS(theta_L))-(MxMy_FixedP!$FJ$9:$FJ$44)*COS(RADIANS(theta_L)))))))*((MxMy_FixedP!$FJ$9:$FJ$44)-(MxMy_FixedP!$FJ$8:$FJ$43)))*SIN(RADIANS(theta_L)))&lt;0)))</f>
      </c>
      <c r="H35" s="10">
        <f>IF($K35&lt;=Mtol,MxMy_FixedP!$DH$8,IF(G35=0,"",SUMPRODUCT(((((MxMy_FixedP!$EI$8:$EI$43)*SIN(RADIANS(theta_L))-(MxMy_FixedP!$FJ$8:$FJ$43)*COS(RADIANS(theta_L))))*(((MxMy_FixedP!$EI$9:$EI$44)*SIN(RADIANS(theta_L))-(MxMy_FixedP!$FJ$9:$FJ$44)*COS(RADIANS(theta_L))))&lt;=0)*((((MxMy_FixedP!$EI$8:$EI$43)*SIN(RADIANS(theta_L))-(MxMy_FixedP!$FJ$8:$FJ$43)*COS(RADIANS(theta_L))))&lt;&gt;(((MxMy_FixedP!$EI$9:$EI$44)*SIN(RADIANS(theta_L))-(MxMy_FixedP!$FJ$9:$FJ$44)*COS(RADIANS(theta_L)))))*((((MxMy_FixedP!$EI$8:$EI$43)+(((MxMy_FixedP!$EI$8:$EI$43)*SIN(RADIANS(theta_L))-(MxMy_FixedP!$FJ$8:$FJ$43)*COS(RADIANS(theta_L)))/((((MxMy_FixedP!$EI$8:$EI$43)*SIN(RADIANS(theta_L))-(MxMy_FixedP!$FJ$8:$FJ$43)*COS(RADIANS(theta_L))))-(((MxMy_FixedP!$EI$9:$EI$44)*SIN(RADIANS(theta_L))-(MxMy_FixedP!$FJ$9:$FJ$44)*COS(RADIANS(theta_L))))+((((MxMy_FixedP!$EI$8:$EI$43)*SIN(RADIANS(theta_L))-(MxMy_FixedP!$FJ$8:$FJ$43)*COS(RADIANS(theta_L))))=(((MxMy_FixedP!$EI$9:$EI$44)*SIN(RADIANS(theta_L))-(MxMy_FixedP!$FJ$9:$FJ$44)*COS(RADIANS(theta_L)))))))*((MxMy_FixedP!$EI$9:$EI$44)-(MxMy_FixedP!$EI$8:$EI$43)))*COS(RADIANS(theta_L))+((MxMy_FixedP!$FJ$8:$FJ$43)+(((MxMy_FixedP!$EI$8:$EI$43)*SIN(RADIANS(theta_L))-(MxMy_FixedP!$FJ$8:$FJ$43)*COS(RADIANS(theta_L)))/((((MxMy_FixedP!$EI$8:$EI$43)*SIN(RADIANS(theta_L))-(MxMy_FixedP!$FJ$8:$FJ$43)*COS(RADIANS(theta_L))))-(((MxMy_FixedP!$EI$9:$EI$44)*SIN(RADIANS(theta_L))-(MxMy_FixedP!$FJ$9:$FJ$44)*COS(RADIANS(theta_L))))+((((MxMy_FixedP!$EI$8:$EI$43)*SIN(RADIANS(theta_L))-(MxMy_FixedP!$FJ$8:$FJ$43)*COS(RADIANS(theta_L))))=(((MxMy_FixedP!$EI$9:$EI$44)*SIN(RADIANS(theta_L))-(MxMy_FixedP!$FJ$9:$FJ$44)*COS(RADIANS(theta_L)))))))*((MxMy_FixedP!$FJ$9:$FJ$44)-(MxMy_FixedP!$FJ$8:$FJ$43)))*SIN(RADIANS(theta_L)))&lt;0),((MxMy_FixedP!$DH$8:$DH$43)+(((MxMy_FixedP!$EI$8:$EI$43)*SIN(RADIANS(theta_L))-(MxMy_FixedP!$FJ$8:$FJ$43)*COS(RADIANS(theta_L)))/((((MxMy_FixedP!$EI$8:$EI$43)*SIN(RADIANS(theta_L))-(MxMy_FixedP!$FJ$8:$FJ$43)*COS(RADIANS(theta_L))))-(((MxMy_FixedP!$EI$9:$EI$44)*SIN(RADIANS(theta_L))-(MxMy_FixedP!$FJ$9:$FJ$44)*COS(RADIANS(theta_L))))+((((MxMy_FixedP!$EI$8:$EI$43)*SIN(RADIANS(theta_L))-(MxMy_FixedP!$FJ$8:$FJ$43)*COS(RADIANS(theta_L))))=(((MxMy_FixedP!$EI$9:$EI$44)*SIN(RADIANS(theta_L))-(MxMy_FixedP!$FJ$9:$FJ$44)*COS(RADIANS(theta_L)))))))*((MxMy_FixedP!$DH$9:$DH$44)-(MxMy_FixedP!$DH$8:$DH$43))))/G35))</f>
      </c>
      <c r="I35" s="10">
        <f>IF($K35&lt;=Mtol,0,IF(G35=0,"",SUMPRODUCT(((((MxMy_FixedP!$EI$8:$EI$43)*SIN(RADIANS(theta_L))-(MxMy_FixedP!$FJ$8:$FJ$43)*COS(RADIANS(theta_L))))*(((MxMy_FixedP!$EI$9:$EI$44)*SIN(RADIANS(theta_L))-(MxMy_FixedP!$FJ$9:$FJ$44)*COS(RADIANS(theta_L))))&lt;=0)*((((MxMy_FixedP!$EI$8:$EI$43)*SIN(RADIANS(theta_L))-(MxMy_FixedP!$FJ$8:$FJ$43)*COS(RADIANS(theta_L))))&lt;&gt;(((MxMy_FixedP!$EI$9:$EI$44)*SIN(RADIANS(theta_L))-(MxMy_FixedP!$FJ$9:$FJ$44)*COS(RADIANS(theta_L)))))*((((MxMy_FixedP!$EI$8:$EI$43)+(((MxMy_FixedP!$EI$8:$EI$43)*SIN(RADIANS(theta_L))-(MxMy_FixedP!$FJ$8:$FJ$43)*COS(RADIANS(theta_L)))/((((MxMy_FixedP!$EI$8:$EI$43)*SIN(RADIANS(theta_L))-(MxMy_FixedP!$FJ$8:$FJ$43)*COS(RADIANS(theta_L))))-(((MxMy_FixedP!$EI$9:$EI$44)*SIN(RADIANS(theta_L))-(MxMy_FixedP!$FJ$9:$FJ$44)*COS(RADIANS(theta_L))))+((((MxMy_FixedP!$EI$8:$EI$43)*SIN(RADIANS(theta_L))-(MxMy_FixedP!$FJ$8:$FJ$43)*COS(RADIANS(theta_L))))=(((MxMy_FixedP!$EI$9:$EI$44)*SIN(RADIANS(theta_L))-(MxMy_FixedP!$FJ$9:$FJ$44)*COS(RADIANS(theta_L)))))))*((MxMy_FixedP!$EI$9:$EI$44)-(MxMy_FixedP!$EI$8:$EI$43)))*COS(RADIANS(theta_L))+((MxMy_FixedP!$FJ$8:$FJ$43)+(((MxMy_FixedP!$EI$8:$EI$43)*SIN(RADIANS(theta_L))-(MxMy_FixedP!$FJ$8:$FJ$43)*COS(RADIANS(theta_L)))/((((MxMy_FixedP!$EI$8:$EI$43)*SIN(RADIANS(theta_L))-(MxMy_FixedP!$FJ$8:$FJ$43)*COS(RADIANS(theta_L))))-(((MxMy_FixedP!$EI$9:$EI$44)*SIN(RADIANS(theta_L))-(MxMy_FixedP!$FJ$9:$FJ$44)*COS(RADIANS(theta_L))))+((((MxMy_FixedP!$EI$8:$EI$43)*SIN(RADIANS(theta_L))-(MxMy_FixedP!$FJ$8:$FJ$43)*COS(RADIANS(theta_L))))=(((MxMy_FixedP!$EI$9:$EI$44)*SIN(RADIANS(theta_L))-(MxMy_FixedP!$FJ$9:$FJ$44)*COS(RADIANS(theta_L)))))))*((MxMy_FixedP!$FJ$9:$FJ$44)-(MxMy_FixedP!$FJ$8:$FJ$43)))*SIN(RADIANS(theta_L)))&lt;0),(((MxMy_FixedP!$EI$8:$EI$43)+(((MxMy_FixedP!$EI$8:$EI$43)*SIN(RADIANS(theta_L))-(MxMy_FixedP!$FJ$8:$FJ$43)*COS(RADIANS(theta_L)))/((((MxMy_FixedP!$EI$8:$EI$43)*SIN(RADIANS(theta_L))-(MxMy_FixedP!$FJ$8:$FJ$43)*COS(RADIANS(theta_L))))-(((MxMy_FixedP!$EI$9:$EI$44)*SIN(RADIANS(theta_L))-(MxMy_FixedP!$FJ$9:$FJ$44)*COS(RADIANS(theta_L))))+((((MxMy_FixedP!$EI$8:$EI$43)*SIN(RADIANS(theta_L))-(MxMy_FixedP!$FJ$8:$FJ$43)*COS(RADIANS(theta_L))))=(((MxMy_FixedP!$EI$9:$EI$44)*SIN(RADIANS(theta_L))-(MxMy_FixedP!$FJ$9:$FJ$44)*COS(RADIANS(theta_L)))))))*((MxMy_FixedP!$EI$9:$EI$44)-(MxMy_FixedP!$EI$8:$EI$43)))*COS(RADIANS(theta_L))+((MxMy_FixedP!$FJ$8:$FJ$43)+(((MxMy_FixedP!$EI$8:$EI$43)*SIN(RADIANS(theta_L))-(MxMy_FixedP!$FJ$8:$FJ$43)*COS(RADIANS(theta_L)))/((((MxMy_FixedP!$EI$8:$EI$43)*SIN(RADIANS(theta_L))-(MxMy_FixedP!$FJ$8:$FJ$43)*COS(RADIANS(theta_L))))-(((MxMy_FixedP!$EI$9:$EI$44)*SIN(RADIANS(theta_L))-(MxMy_FixedP!$FJ$9:$FJ$44)*COS(RADIANS(theta_L))))+((((MxMy_FixedP!$EI$8:$EI$43)*SIN(RADIANS(theta_L))-(MxMy_FixedP!$FJ$8:$FJ$43)*COS(RADIANS(theta_L))))=(((MxMy_FixedP!$EI$9:$EI$44)*SIN(RADIANS(theta_L))-(MxMy_FixedP!$FJ$9:$FJ$44)*COS(RADIANS(theta_L)))))))*((MxMy_FixedP!$FJ$9:$FJ$44)-(MxMy_FixedP!$FJ$8:$FJ$43)))*SIN(RADIANS(theta_L))))/G35))</f>
      </c>
      <c r="J35">
        <f>IF($K35&lt;=Mtol,"pole",IF(AND(D35&gt;=1,G35&gt;=1),"ok","CHECK: "&amp;D35&amp;"/"&amp;G35&amp;" cuts"))</f>
      </c>
      <c r="K35" s="18">
        <v>2722.625979221912</v>
      </c>
    </row>
    <row r="36" spans="2:11" x14ac:dyDescent="0.25">
      <c r="B36" s="35" t="s">
        <v>243</v>
      </c>
      <c r="C36" s="54" t="s">
        <v>368</v>
      </c>
      <c r="D36" s="46">
        <f>IF($K36&lt;=Mtol,0,SUMPRODUCT(((((MxMy_FixedP!$EJ$8:$EJ$43)*SIN(RADIANS(theta_L))-(MxMy_FixedP!$FK$8:$FK$43)*COS(RADIANS(theta_L))))*(((MxMy_FixedP!$EJ$9:$EJ$44)*SIN(RADIANS(theta_L))-(MxMy_FixedP!$FK$9:$FK$44)*COS(RADIANS(theta_L))))&lt;=0)*((((MxMy_FixedP!$EJ$8:$EJ$43)*SIN(RADIANS(theta_L))-(MxMy_FixedP!$FK$8:$FK$43)*COS(RADIANS(theta_L))))&lt;&gt;(((MxMy_FixedP!$EJ$9:$EJ$44)*SIN(RADIANS(theta_L))-(MxMy_FixedP!$FK$9:$FK$44)*COS(RADIANS(theta_L)))))*((((MxMy_FixedP!$EJ$8:$EJ$43)+(((MxMy_FixedP!$EJ$8:$EJ$43)*SIN(RADIANS(theta_L))-(MxMy_FixedP!$FK$8:$FK$43)*COS(RADIANS(theta_L)))/((((MxMy_FixedP!$EJ$8:$EJ$43)*SIN(RADIANS(theta_L))-(MxMy_FixedP!$FK$8:$FK$43)*COS(RADIANS(theta_L))))-(((MxMy_FixedP!$EJ$9:$EJ$44)*SIN(RADIANS(theta_L))-(MxMy_FixedP!$FK$9:$FK$44)*COS(RADIANS(theta_L))))+((((MxMy_FixedP!$EJ$8:$EJ$43)*SIN(RADIANS(theta_L))-(MxMy_FixedP!$FK$8:$FK$43)*COS(RADIANS(theta_L))))=(((MxMy_FixedP!$EJ$9:$EJ$44)*SIN(RADIANS(theta_L))-(MxMy_FixedP!$FK$9:$FK$44)*COS(RADIANS(theta_L)))))))*((MxMy_FixedP!$EJ$9:$EJ$44)-(MxMy_FixedP!$EJ$8:$EJ$43)))*COS(RADIANS(theta_L))+((MxMy_FixedP!$FK$8:$FK$43)+(((MxMy_FixedP!$EJ$8:$EJ$43)*SIN(RADIANS(theta_L))-(MxMy_FixedP!$FK$8:$FK$43)*COS(RADIANS(theta_L)))/((((MxMy_FixedP!$EJ$8:$EJ$43)*SIN(RADIANS(theta_L))-(MxMy_FixedP!$FK$8:$FK$43)*COS(RADIANS(theta_L))))-(((MxMy_FixedP!$EJ$9:$EJ$44)*SIN(RADIANS(theta_L))-(MxMy_FixedP!$FK$9:$FK$44)*COS(RADIANS(theta_L))))+((((MxMy_FixedP!$EJ$8:$EJ$43)*SIN(RADIANS(theta_L))-(MxMy_FixedP!$FK$8:$FK$43)*COS(RADIANS(theta_L))))=(((MxMy_FixedP!$EJ$9:$EJ$44)*SIN(RADIANS(theta_L))-(MxMy_FixedP!$FK$9:$FK$44)*COS(RADIANS(theta_L)))))))*((MxMy_FixedP!$FK$9:$FK$44)-(MxMy_FixedP!$FK$8:$FK$43)))*SIN(RADIANS(theta_L)))&gt;0)))</f>
      </c>
      <c r="E36" s="10">
        <f>IF($K36&lt;=Mtol,MxMy_FixedP!$DI$8,IF(D36=0,"",SUMPRODUCT(((((MxMy_FixedP!$EJ$8:$EJ$43)*SIN(RADIANS(theta_L))-(MxMy_FixedP!$FK$8:$FK$43)*COS(RADIANS(theta_L))))*(((MxMy_FixedP!$EJ$9:$EJ$44)*SIN(RADIANS(theta_L))-(MxMy_FixedP!$FK$9:$FK$44)*COS(RADIANS(theta_L))))&lt;=0)*((((MxMy_FixedP!$EJ$8:$EJ$43)*SIN(RADIANS(theta_L))-(MxMy_FixedP!$FK$8:$FK$43)*COS(RADIANS(theta_L))))&lt;&gt;(((MxMy_FixedP!$EJ$9:$EJ$44)*SIN(RADIANS(theta_L))-(MxMy_FixedP!$FK$9:$FK$44)*COS(RADIANS(theta_L)))))*((((MxMy_FixedP!$EJ$8:$EJ$43)+(((MxMy_FixedP!$EJ$8:$EJ$43)*SIN(RADIANS(theta_L))-(MxMy_FixedP!$FK$8:$FK$43)*COS(RADIANS(theta_L)))/((((MxMy_FixedP!$EJ$8:$EJ$43)*SIN(RADIANS(theta_L))-(MxMy_FixedP!$FK$8:$FK$43)*COS(RADIANS(theta_L))))-(((MxMy_FixedP!$EJ$9:$EJ$44)*SIN(RADIANS(theta_L))-(MxMy_FixedP!$FK$9:$FK$44)*COS(RADIANS(theta_L))))+((((MxMy_FixedP!$EJ$8:$EJ$43)*SIN(RADIANS(theta_L))-(MxMy_FixedP!$FK$8:$FK$43)*COS(RADIANS(theta_L))))=(((MxMy_FixedP!$EJ$9:$EJ$44)*SIN(RADIANS(theta_L))-(MxMy_FixedP!$FK$9:$FK$44)*COS(RADIANS(theta_L)))))))*((MxMy_FixedP!$EJ$9:$EJ$44)-(MxMy_FixedP!$EJ$8:$EJ$43)))*COS(RADIANS(theta_L))+((MxMy_FixedP!$FK$8:$FK$43)+(((MxMy_FixedP!$EJ$8:$EJ$43)*SIN(RADIANS(theta_L))-(MxMy_FixedP!$FK$8:$FK$43)*COS(RADIANS(theta_L)))/((((MxMy_FixedP!$EJ$8:$EJ$43)*SIN(RADIANS(theta_L))-(MxMy_FixedP!$FK$8:$FK$43)*COS(RADIANS(theta_L))))-(((MxMy_FixedP!$EJ$9:$EJ$44)*SIN(RADIANS(theta_L))-(MxMy_FixedP!$FK$9:$FK$44)*COS(RADIANS(theta_L))))+((((MxMy_FixedP!$EJ$8:$EJ$43)*SIN(RADIANS(theta_L))-(MxMy_FixedP!$FK$8:$FK$43)*COS(RADIANS(theta_L))))=(((MxMy_FixedP!$EJ$9:$EJ$44)*SIN(RADIANS(theta_L))-(MxMy_FixedP!$FK$9:$FK$44)*COS(RADIANS(theta_L)))))))*((MxMy_FixedP!$FK$9:$FK$44)-(MxMy_FixedP!$FK$8:$FK$43)))*SIN(RADIANS(theta_L)))&gt;0),((MxMy_FixedP!$DI$8:$DI$43)+(((MxMy_FixedP!$EJ$8:$EJ$43)*SIN(RADIANS(theta_L))-(MxMy_FixedP!$FK$8:$FK$43)*COS(RADIANS(theta_L)))/((((MxMy_FixedP!$EJ$8:$EJ$43)*SIN(RADIANS(theta_L))-(MxMy_FixedP!$FK$8:$FK$43)*COS(RADIANS(theta_L))))-(((MxMy_FixedP!$EJ$9:$EJ$44)*SIN(RADIANS(theta_L))-(MxMy_FixedP!$FK$9:$FK$44)*COS(RADIANS(theta_L))))+((((MxMy_FixedP!$EJ$8:$EJ$43)*SIN(RADIANS(theta_L))-(MxMy_FixedP!$FK$8:$FK$43)*COS(RADIANS(theta_L))))=(((MxMy_FixedP!$EJ$9:$EJ$44)*SIN(RADIANS(theta_L))-(MxMy_FixedP!$FK$9:$FK$44)*COS(RADIANS(theta_L)))))))*((MxMy_FixedP!$DI$9:$DI$44)-(MxMy_FixedP!$DI$8:$DI$43))))/D36))</f>
      </c>
      <c r="F36" s="10">
        <f>IF($K36&lt;=Mtol,0,IF(D36=0,"",SUMPRODUCT(((((MxMy_FixedP!$EJ$8:$EJ$43)*SIN(RADIANS(theta_L))-(MxMy_FixedP!$FK$8:$FK$43)*COS(RADIANS(theta_L))))*(((MxMy_FixedP!$EJ$9:$EJ$44)*SIN(RADIANS(theta_L))-(MxMy_FixedP!$FK$9:$FK$44)*COS(RADIANS(theta_L))))&lt;=0)*((((MxMy_FixedP!$EJ$8:$EJ$43)*SIN(RADIANS(theta_L))-(MxMy_FixedP!$FK$8:$FK$43)*COS(RADIANS(theta_L))))&lt;&gt;(((MxMy_FixedP!$EJ$9:$EJ$44)*SIN(RADIANS(theta_L))-(MxMy_FixedP!$FK$9:$FK$44)*COS(RADIANS(theta_L)))))*((((MxMy_FixedP!$EJ$8:$EJ$43)+(((MxMy_FixedP!$EJ$8:$EJ$43)*SIN(RADIANS(theta_L))-(MxMy_FixedP!$FK$8:$FK$43)*COS(RADIANS(theta_L)))/((((MxMy_FixedP!$EJ$8:$EJ$43)*SIN(RADIANS(theta_L))-(MxMy_FixedP!$FK$8:$FK$43)*COS(RADIANS(theta_L))))-(((MxMy_FixedP!$EJ$9:$EJ$44)*SIN(RADIANS(theta_L))-(MxMy_FixedP!$FK$9:$FK$44)*COS(RADIANS(theta_L))))+((((MxMy_FixedP!$EJ$8:$EJ$43)*SIN(RADIANS(theta_L))-(MxMy_FixedP!$FK$8:$FK$43)*COS(RADIANS(theta_L))))=(((MxMy_FixedP!$EJ$9:$EJ$44)*SIN(RADIANS(theta_L))-(MxMy_FixedP!$FK$9:$FK$44)*COS(RADIANS(theta_L)))))))*((MxMy_FixedP!$EJ$9:$EJ$44)-(MxMy_FixedP!$EJ$8:$EJ$43)))*COS(RADIANS(theta_L))+((MxMy_FixedP!$FK$8:$FK$43)+(((MxMy_FixedP!$EJ$8:$EJ$43)*SIN(RADIANS(theta_L))-(MxMy_FixedP!$FK$8:$FK$43)*COS(RADIANS(theta_L)))/((((MxMy_FixedP!$EJ$8:$EJ$43)*SIN(RADIANS(theta_L))-(MxMy_FixedP!$FK$8:$FK$43)*COS(RADIANS(theta_L))))-(((MxMy_FixedP!$EJ$9:$EJ$44)*SIN(RADIANS(theta_L))-(MxMy_FixedP!$FK$9:$FK$44)*COS(RADIANS(theta_L))))+((((MxMy_FixedP!$EJ$8:$EJ$43)*SIN(RADIANS(theta_L))-(MxMy_FixedP!$FK$8:$FK$43)*COS(RADIANS(theta_L))))=(((MxMy_FixedP!$EJ$9:$EJ$44)*SIN(RADIANS(theta_L))-(MxMy_FixedP!$FK$9:$FK$44)*COS(RADIANS(theta_L)))))))*((MxMy_FixedP!$FK$9:$FK$44)-(MxMy_FixedP!$FK$8:$FK$43)))*SIN(RADIANS(theta_L)))&gt;0),(((MxMy_FixedP!$EJ$8:$EJ$43)+(((MxMy_FixedP!$EJ$8:$EJ$43)*SIN(RADIANS(theta_L))-(MxMy_FixedP!$FK$8:$FK$43)*COS(RADIANS(theta_L)))/((((MxMy_FixedP!$EJ$8:$EJ$43)*SIN(RADIANS(theta_L))-(MxMy_FixedP!$FK$8:$FK$43)*COS(RADIANS(theta_L))))-(((MxMy_FixedP!$EJ$9:$EJ$44)*SIN(RADIANS(theta_L))-(MxMy_FixedP!$FK$9:$FK$44)*COS(RADIANS(theta_L))))+((((MxMy_FixedP!$EJ$8:$EJ$43)*SIN(RADIANS(theta_L))-(MxMy_FixedP!$FK$8:$FK$43)*COS(RADIANS(theta_L))))=(((MxMy_FixedP!$EJ$9:$EJ$44)*SIN(RADIANS(theta_L))-(MxMy_FixedP!$FK$9:$FK$44)*COS(RADIANS(theta_L)))))))*((MxMy_FixedP!$EJ$9:$EJ$44)-(MxMy_FixedP!$EJ$8:$EJ$43)))*COS(RADIANS(theta_L))+((MxMy_FixedP!$FK$8:$FK$43)+(((MxMy_FixedP!$EJ$8:$EJ$43)*SIN(RADIANS(theta_L))-(MxMy_FixedP!$FK$8:$FK$43)*COS(RADIANS(theta_L)))/((((MxMy_FixedP!$EJ$8:$EJ$43)*SIN(RADIANS(theta_L))-(MxMy_FixedP!$FK$8:$FK$43)*COS(RADIANS(theta_L))))-(((MxMy_FixedP!$EJ$9:$EJ$44)*SIN(RADIANS(theta_L))-(MxMy_FixedP!$FK$9:$FK$44)*COS(RADIANS(theta_L))))+((((MxMy_FixedP!$EJ$8:$EJ$43)*SIN(RADIANS(theta_L))-(MxMy_FixedP!$FK$8:$FK$43)*COS(RADIANS(theta_L))))=(((MxMy_FixedP!$EJ$9:$EJ$44)*SIN(RADIANS(theta_L))-(MxMy_FixedP!$FK$9:$FK$44)*COS(RADIANS(theta_L)))))))*((MxMy_FixedP!$FK$9:$FK$44)-(MxMy_FixedP!$FK$8:$FK$43)))*SIN(RADIANS(theta_L))))/D36))</f>
      </c>
      <c r="G36" s="46">
        <f>IF($K36&lt;=Mtol,0,SUMPRODUCT(((((MxMy_FixedP!$EJ$8:$EJ$43)*SIN(RADIANS(theta_L))-(MxMy_FixedP!$FK$8:$FK$43)*COS(RADIANS(theta_L))))*(((MxMy_FixedP!$EJ$9:$EJ$44)*SIN(RADIANS(theta_L))-(MxMy_FixedP!$FK$9:$FK$44)*COS(RADIANS(theta_L))))&lt;=0)*((((MxMy_FixedP!$EJ$8:$EJ$43)*SIN(RADIANS(theta_L))-(MxMy_FixedP!$FK$8:$FK$43)*COS(RADIANS(theta_L))))&lt;&gt;(((MxMy_FixedP!$EJ$9:$EJ$44)*SIN(RADIANS(theta_L))-(MxMy_FixedP!$FK$9:$FK$44)*COS(RADIANS(theta_L)))))*((((MxMy_FixedP!$EJ$8:$EJ$43)+(((MxMy_FixedP!$EJ$8:$EJ$43)*SIN(RADIANS(theta_L))-(MxMy_FixedP!$FK$8:$FK$43)*COS(RADIANS(theta_L)))/((((MxMy_FixedP!$EJ$8:$EJ$43)*SIN(RADIANS(theta_L))-(MxMy_FixedP!$FK$8:$FK$43)*COS(RADIANS(theta_L))))-(((MxMy_FixedP!$EJ$9:$EJ$44)*SIN(RADIANS(theta_L))-(MxMy_FixedP!$FK$9:$FK$44)*COS(RADIANS(theta_L))))+((((MxMy_FixedP!$EJ$8:$EJ$43)*SIN(RADIANS(theta_L))-(MxMy_FixedP!$FK$8:$FK$43)*COS(RADIANS(theta_L))))=(((MxMy_FixedP!$EJ$9:$EJ$44)*SIN(RADIANS(theta_L))-(MxMy_FixedP!$FK$9:$FK$44)*COS(RADIANS(theta_L)))))))*((MxMy_FixedP!$EJ$9:$EJ$44)-(MxMy_FixedP!$EJ$8:$EJ$43)))*COS(RADIANS(theta_L))+((MxMy_FixedP!$FK$8:$FK$43)+(((MxMy_FixedP!$EJ$8:$EJ$43)*SIN(RADIANS(theta_L))-(MxMy_FixedP!$FK$8:$FK$43)*COS(RADIANS(theta_L)))/((((MxMy_FixedP!$EJ$8:$EJ$43)*SIN(RADIANS(theta_L))-(MxMy_FixedP!$FK$8:$FK$43)*COS(RADIANS(theta_L))))-(((MxMy_FixedP!$EJ$9:$EJ$44)*SIN(RADIANS(theta_L))-(MxMy_FixedP!$FK$9:$FK$44)*COS(RADIANS(theta_L))))+((((MxMy_FixedP!$EJ$8:$EJ$43)*SIN(RADIANS(theta_L))-(MxMy_FixedP!$FK$8:$FK$43)*COS(RADIANS(theta_L))))=(((MxMy_FixedP!$EJ$9:$EJ$44)*SIN(RADIANS(theta_L))-(MxMy_FixedP!$FK$9:$FK$44)*COS(RADIANS(theta_L)))))))*((MxMy_FixedP!$FK$9:$FK$44)-(MxMy_FixedP!$FK$8:$FK$43)))*SIN(RADIANS(theta_L)))&lt;0)))</f>
      </c>
      <c r="H36" s="10">
        <f>IF($K36&lt;=Mtol,MxMy_FixedP!$DI$8,IF(G36=0,"",SUMPRODUCT(((((MxMy_FixedP!$EJ$8:$EJ$43)*SIN(RADIANS(theta_L))-(MxMy_FixedP!$FK$8:$FK$43)*COS(RADIANS(theta_L))))*(((MxMy_FixedP!$EJ$9:$EJ$44)*SIN(RADIANS(theta_L))-(MxMy_FixedP!$FK$9:$FK$44)*COS(RADIANS(theta_L))))&lt;=0)*((((MxMy_FixedP!$EJ$8:$EJ$43)*SIN(RADIANS(theta_L))-(MxMy_FixedP!$FK$8:$FK$43)*COS(RADIANS(theta_L))))&lt;&gt;(((MxMy_FixedP!$EJ$9:$EJ$44)*SIN(RADIANS(theta_L))-(MxMy_FixedP!$FK$9:$FK$44)*COS(RADIANS(theta_L)))))*((((MxMy_FixedP!$EJ$8:$EJ$43)+(((MxMy_FixedP!$EJ$8:$EJ$43)*SIN(RADIANS(theta_L))-(MxMy_FixedP!$FK$8:$FK$43)*COS(RADIANS(theta_L)))/((((MxMy_FixedP!$EJ$8:$EJ$43)*SIN(RADIANS(theta_L))-(MxMy_FixedP!$FK$8:$FK$43)*COS(RADIANS(theta_L))))-(((MxMy_FixedP!$EJ$9:$EJ$44)*SIN(RADIANS(theta_L))-(MxMy_FixedP!$FK$9:$FK$44)*COS(RADIANS(theta_L))))+((((MxMy_FixedP!$EJ$8:$EJ$43)*SIN(RADIANS(theta_L))-(MxMy_FixedP!$FK$8:$FK$43)*COS(RADIANS(theta_L))))=(((MxMy_FixedP!$EJ$9:$EJ$44)*SIN(RADIANS(theta_L))-(MxMy_FixedP!$FK$9:$FK$44)*COS(RADIANS(theta_L)))))))*((MxMy_FixedP!$EJ$9:$EJ$44)-(MxMy_FixedP!$EJ$8:$EJ$43)))*COS(RADIANS(theta_L))+((MxMy_FixedP!$FK$8:$FK$43)+(((MxMy_FixedP!$EJ$8:$EJ$43)*SIN(RADIANS(theta_L))-(MxMy_FixedP!$FK$8:$FK$43)*COS(RADIANS(theta_L)))/((((MxMy_FixedP!$EJ$8:$EJ$43)*SIN(RADIANS(theta_L))-(MxMy_FixedP!$FK$8:$FK$43)*COS(RADIANS(theta_L))))-(((MxMy_FixedP!$EJ$9:$EJ$44)*SIN(RADIANS(theta_L))-(MxMy_FixedP!$FK$9:$FK$44)*COS(RADIANS(theta_L))))+((((MxMy_FixedP!$EJ$8:$EJ$43)*SIN(RADIANS(theta_L))-(MxMy_FixedP!$FK$8:$FK$43)*COS(RADIANS(theta_L))))=(((MxMy_FixedP!$EJ$9:$EJ$44)*SIN(RADIANS(theta_L))-(MxMy_FixedP!$FK$9:$FK$44)*COS(RADIANS(theta_L)))))))*((MxMy_FixedP!$FK$9:$FK$44)-(MxMy_FixedP!$FK$8:$FK$43)))*SIN(RADIANS(theta_L)))&lt;0),((MxMy_FixedP!$DI$8:$DI$43)+(((MxMy_FixedP!$EJ$8:$EJ$43)*SIN(RADIANS(theta_L))-(MxMy_FixedP!$FK$8:$FK$43)*COS(RADIANS(theta_L)))/((((MxMy_FixedP!$EJ$8:$EJ$43)*SIN(RADIANS(theta_L))-(MxMy_FixedP!$FK$8:$FK$43)*COS(RADIANS(theta_L))))-(((MxMy_FixedP!$EJ$9:$EJ$44)*SIN(RADIANS(theta_L))-(MxMy_FixedP!$FK$9:$FK$44)*COS(RADIANS(theta_L))))+((((MxMy_FixedP!$EJ$8:$EJ$43)*SIN(RADIANS(theta_L))-(MxMy_FixedP!$FK$8:$FK$43)*COS(RADIANS(theta_L))))=(((MxMy_FixedP!$EJ$9:$EJ$44)*SIN(RADIANS(theta_L))-(MxMy_FixedP!$FK$9:$FK$44)*COS(RADIANS(theta_L)))))))*((MxMy_FixedP!$DI$9:$DI$44)-(MxMy_FixedP!$DI$8:$DI$43))))/G36))</f>
      </c>
      <c r="I36" s="10">
        <f>IF($K36&lt;=Mtol,0,IF(G36=0,"",SUMPRODUCT(((((MxMy_FixedP!$EJ$8:$EJ$43)*SIN(RADIANS(theta_L))-(MxMy_FixedP!$FK$8:$FK$43)*COS(RADIANS(theta_L))))*(((MxMy_FixedP!$EJ$9:$EJ$44)*SIN(RADIANS(theta_L))-(MxMy_FixedP!$FK$9:$FK$44)*COS(RADIANS(theta_L))))&lt;=0)*((((MxMy_FixedP!$EJ$8:$EJ$43)*SIN(RADIANS(theta_L))-(MxMy_FixedP!$FK$8:$FK$43)*COS(RADIANS(theta_L))))&lt;&gt;(((MxMy_FixedP!$EJ$9:$EJ$44)*SIN(RADIANS(theta_L))-(MxMy_FixedP!$FK$9:$FK$44)*COS(RADIANS(theta_L)))))*((((MxMy_FixedP!$EJ$8:$EJ$43)+(((MxMy_FixedP!$EJ$8:$EJ$43)*SIN(RADIANS(theta_L))-(MxMy_FixedP!$FK$8:$FK$43)*COS(RADIANS(theta_L)))/((((MxMy_FixedP!$EJ$8:$EJ$43)*SIN(RADIANS(theta_L))-(MxMy_FixedP!$FK$8:$FK$43)*COS(RADIANS(theta_L))))-(((MxMy_FixedP!$EJ$9:$EJ$44)*SIN(RADIANS(theta_L))-(MxMy_FixedP!$FK$9:$FK$44)*COS(RADIANS(theta_L))))+((((MxMy_FixedP!$EJ$8:$EJ$43)*SIN(RADIANS(theta_L))-(MxMy_FixedP!$FK$8:$FK$43)*COS(RADIANS(theta_L))))=(((MxMy_FixedP!$EJ$9:$EJ$44)*SIN(RADIANS(theta_L))-(MxMy_FixedP!$FK$9:$FK$44)*COS(RADIANS(theta_L)))))))*((MxMy_FixedP!$EJ$9:$EJ$44)-(MxMy_FixedP!$EJ$8:$EJ$43)))*COS(RADIANS(theta_L))+((MxMy_FixedP!$FK$8:$FK$43)+(((MxMy_FixedP!$EJ$8:$EJ$43)*SIN(RADIANS(theta_L))-(MxMy_FixedP!$FK$8:$FK$43)*COS(RADIANS(theta_L)))/((((MxMy_FixedP!$EJ$8:$EJ$43)*SIN(RADIANS(theta_L))-(MxMy_FixedP!$FK$8:$FK$43)*COS(RADIANS(theta_L))))-(((MxMy_FixedP!$EJ$9:$EJ$44)*SIN(RADIANS(theta_L))-(MxMy_FixedP!$FK$9:$FK$44)*COS(RADIANS(theta_L))))+((((MxMy_FixedP!$EJ$8:$EJ$43)*SIN(RADIANS(theta_L))-(MxMy_FixedP!$FK$8:$FK$43)*COS(RADIANS(theta_L))))=(((MxMy_FixedP!$EJ$9:$EJ$44)*SIN(RADIANS(theta_L))-(MxMy_FixedP!$FK$9:$FK$44)*COS(RADIANS(theta_L)))))))*((MxMy_FixedP!$FK$9:$FK$44)-(MxMy_FixedP!$FK$8:$FK$43)))*SIN(RADIANS(theta_L)))&lt;0),(((MxMy_FixedP!$EJ$8:$EJ$43)+(((MxMy_FixedP!$EJ$8:$EJ$43)*SIN(RADIANS(theta_L))-(MxMy_FixedP!$FK$8:$FK$43)*COS(RADIANS(theta_L)))/((((MxMy_FixedP!$EJ$8:$EJ$43)*SIN(RADIANS(theta_L))-(MxMy_FixedP!$FK$8:$FK$43)*COS(RADIANS(theta_L))))-(((MxMy_FixedP!$EJ$9:$EJ$44)*SIN(RADIANS(theta_L))-(MxMy_FixedP!$FK$9:$FK$44)*COS(RADIANS(theta_L))))+((((MxMy_FixedP!$EJ$8:$EJ$43)*SIN(RADIANS(theta_L))-(MxMy_FixedP!$FK$8:$FK$43)*COS(RADIANS(theta_L))))=(((MxMy_FixedP!$EJ$9:$EJ$44)*SIN(RADIANS(theta_L))-(MxMy_FixedP!$FK$9:$FK$44)*COS(RADIANS(theta_L)))))))*((MxMy_FixedP!$EJ$9:$EJ$44)-(MxMy_FixedP!$EJ$8:$EJ$43)))*COS(RADIANS(theta_L))+((MxMy_FixedP!$FK$8:$FK$43)+(((MxMy_FixedP!$EJ$8:$EJ$43)*SIN(RADIANS(theta_L))-(MxMy_FixedP!$FK$8:$FK$43)*COS(RADIANS(theta_L)))/((((MxMy_FixedP!$EJ$8:$EJ$43)*SIN(RADIANS(theta_L))-(MxMy_FixedP!$FK$8:$FK$43)*COS(RADIANS(theta_L))))-(((MxMy_FixedP!$EJ$9:$EJ$44)*SIN(RADIANS(theta_L))-(MxMy_FixedP!$FK$9:$FK$44)*COS(RADIANS(theta_L))))+((((MxMy_FixedP!$EJ$8:$EJ$43)*SIN(RADIANS(theta_L))-(MxMy_FixedP!$FK$8:$FK$43)*COS(RADIANS(theta_L))))=(((MxMy_FixedP!$EJ$9:$EJ$44)*SIN(RADIANS(theta_L))-(MxMy_FixedP!$FK$9:$FK$44)*COS(RADIANS(theta_L)))))))*((MxMy_FixedP!$FK$9:$FK$44)-(MxMy_FixedP!$FK$8:$FK$43)))*SIN(RADIANS(theta_L))))/G36))</f>
      </c>
      <c r="J36">
        <f>IF($K36&lt;=Mtol,"pole",IF(AND(D36&gt;=1,G36&gt;=1),"ok","CHECK: "&amp;D36&amp;"/"&amp;G36&amp;" cuts"))</f>
      </c>
      <c r="K36" s="18">
        <v>5.960464477539062e-14</v>
      </c>
    </row>
    <row r="38" spans="2:9" x14ac:dyDescent="0.25">
      <c r="B38" s="3" t="s">
        <v>369</v>
      </c>
      <c r="C38" s="3"/>
      <c r="D38" s="3"/>
      <c r="E38" s="3"/>
      <c r="F38" s="3"/>
      <c r="G38" s="3"/>
      <c r="H38" s="3"/>
      <c r="I38" s="3"/>
    </row>
    <row r="39" spans="2:3" x14ac:dyDescent="0.25">
      <c r="B39" t="s">
        <v>370</v>
      </c>
      <c r="C39" s="51">
        <f>Pu</f>
      </c>
    </row>
    <row r="40" spans="2:3" x14ac:dyDescent="0.25">
      <c r="B40" t="s">
        <v>371</v>
      </c>
      <c r="C40" s="51">
        <f>Mu</f>
      </c>
    </row>
    <row r="41" spans="2:3" x14ac:dyDescent="0.25">
      <c r="B41" t="s">
        <v>372</v>
      </c>
      <c r="C41" s="50">
        <f>MAX(1,MIN(26,SUMPRODUCT(--($E$10:$E$36&gt;=Pu))))</f>
      </c>
    </row>
    <row r="42" spans="2:3" x14ac:dyDescent="0.25">
      <c r="B42" t="s">
        <v>308</v>
      </c>
      <c r="C42" s="55">
        <f>IF((INDEX($E$10:$E$36,C41+1,1)-INDEX($E$10:$E$36,C41,1))=0,0,(Pu-INDEX($E$10:$E$36,C41,1))/(INDEX($E$10:$E$36,C41+1,1)-INDEX($E$10:$E$36,C41,1)))</f>
      </c>
    </row>
    <row r="43" spans="2:3" x14ac:dyDescent="0.25">
      <c r="B43" t="s">
        <v>373</v>
      </c>
      <c r="C43" s="51">
        <f>INDEX($F$10:$F$36,C41,1)+C42*(INDEX($F$10:$F$36,C41+1,1)-INDEX($F$10:$F$36,C41,1))</f>
      </c>
    </row>
    <row r="44" spans="2:3" x14ac:dyDescent="0.25">
      <c r="B44" t="s">
        <v>374</v>
      </c>
      <c r="C44" s="51">
        <f>Mb</f>
      </c>
    </row>
    <row r="45" spans="2:3" x14ac:dyDescent="0.25">
      <c r="B45" t="s">
        <v>375</v>
      </c>
      <c r="C45" s="51">
        <f>3972.3688973434664</f>
      </c>
    </row>
    <row r="46" spans="2:3" x14ac:dyDescent="0.25">
      <c r="B46" t="s">
        <v>376</v>
      </c>
      <c r="C46" s="55">
        <f>IF(NOT(ISNUMBER(Mb)),"n/a",(MAX(C43,Mb,C45)-MIN(C43,Mb,C45))/MAX(C43,Mb,C45)*100)</f>
      </c>
    </row>
    <row r="47" spans="2:3" x14ac:dyDescent="0.25">
      <c r="B47" t="s">
        <v>377</v>
      </c>
      <c r="C47" s="56">
        <f>IF(NOT(ISNUMBER(C46)),"n/a",IF(C46&lt;=0.5,"ok - within the configured direction-grid spread","CHECK - routes disagree beyond the sampling spread"))</f>
      </c>
    </row>
    <row r="48" spans="2:3" x14ac:dyDescent="0.25">
      <c r="B48" t="s">
        <v>326</v>
      </c>
      <c r="C48" s="52">
        <f>IF(C43&lt;=0,"n/a",Mu/C43)</f>
      </c>
    </row>
    <row r="50" spans="2:10" x14ac:dyDescent="0.25">
      <c r="B50" s="5" t="s">
        <v>378</v>
      </c>
      <c r="C50" s="5"/>
      <c r="D50" s="5"/>
      <c r="E50" s="5"/>
      <c r="F50" s="5"/>
      <c r="G50" s="5"/>
      <c r="H50" s="5"/>
      <c r="I50" s="5"/>
      <c r="J50" s="5"/>
    </row>
  </sheetData>
  <mergeCells count="7">
    <mergeCell ref="B1:M1"/>
    <mergeCell ref="B2:M3"/>
    <mergeCell ref="B8:C8"/>
    <mergeCell ref="D8:F8"/>
    <mergeCell ref="G8:I8"/>
    <mergeCell ref="B38:I38"/>
    <mergeCell ref="B50:J5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6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34" customWidth="1"/>
    <col min="3" max="3" width="18" customWidth="1"/>
    <col min="4" max="4" width="12" customWidth="1"/>
    <col min="5" max="5" width="66" customWidth="1"/>
  </cols>
  <sheetData>
    <row r="1" ht="22" customHeight="1" spans="2:5" x14ac:dyDescent="0.25">
      <c r="B1" s="1" t="s">
        <v>379</v>
      </c>
      <c r="C1" s="1"/>
      <c r="D1" s="1"/>
      <c r="E1" s="1"/>
    </row>
    <row r="2" ht="16" customHeight="1" spans="2:5" x14ac:dyDescent="0.25">
      <c r="B2" s="2" t="s">
        <v>380</v>
      </c>
      <c r="C2" s="2"/>
      <c r="D2" s="2"/>
      <c r="E2" s="2"/>
    </row>
    <row r="3" spans="2:5" x14ac:dyDescent="0.25">
      <c r="B3" s="2"/>
      <c r="C3" s="2"/>
      <c r="D3" s="2"/>
      <c r="E3" s="2"/>
    </row>
    <row r="4" spans="2:5" x14ac:dyDescent="0.25">
      <c r="B4" s="2"/>
      <c r="C4" s="2"/>
      <c r="D4" s="2"/>
      <c r="E4" s="2"/>
    </row>
    <row r="6" spans="2:5" x14ac:dyDescent="0.25">
      <c r="B6" s="3" t="s">
        <v>381</v>
      </c>
      <c r="C6" s="3"/>
      <c r="D6" s="3"/>
      <c r="E6" s="3"/>
    </row>
    <row r="7" spans="2:5" x14ac:dyDescent="0.25">
      <c r="B7" t="s">
        <v>207</v>
      </c>
      <c r="C7" s="57">
        <v>0.001516186005200579</v>
      </c>
      <c r="D7" t="s">
        <v>17</v>
      </c>
      <c r="E7" s="5" t="s">
        <v>382</v>
      </c>
    </row>
    <row r="8" spans="2:5" x14ac:dyDescent="0.25">
      <c r="B8" t="s">
        <v>305</v>
      </c>
      <c r="C8" s="57">
        <v>0.000002375892659229933</v>
      </c>
      <c r="D8" t="s">
        <v>383</v>
      </c>
      <c r="E8" s="5" t="s">
        <v>384</v>
      </c>
    </row>
    <row r="9" spans="2:5" x14ac:dyDescent="0.25">
      <c r="B9" t="s">
        <v>306</v>
      </c>
      <c r="C9" s="57">
        <v>6.374808514492822e-7</v>
      </c>
      <c r="D9" t="s">
        <v>383</v>
      </c>
      <c r="E9" s="5" t="s">
        <v>385</v>
      </c>
    </row>
    <row r="11" spans="2:5" x14ac:dyDescent="0.25">
      <c r="B11" t="s">
        <v>386</v>
      </c>
      <c r="C11" s="11">
        <f>MOD(DEGREES(ATAN2(Eq_kx,Eq_ky)),360)</f>
      </c>
      <c r="D11" t="s">
        <v>41</v>
      </c>
      <c r="E11" s="5">
        <f>"β on Input is "&amp;TEXT(beta,"0.0000")&amp;" deg — the detail sheets audit this strain direction"</f>
      </c>
    </row>
    <row r="12" spans="2:5" x14ac:dyDescent="0.25">
      <c r="B12" t="s">
        <v>387</v>
      </c>
      <c r="C12" s="11">
        <f>MOD(DEGREES(ATAN2(-Eq_kx,Eq_ky)),180)</f>
      </c>
      <c r="D12" t="s">
        <v>41</v>
      </c>
      <c r="E12" s="5" t="s">
        <v>388</v>
      </c>
    </row>
    <row r="13" spans="2:5" x14ac:dyDescent="0.25">
      <c r="B13" t="s">
        <v>389</v>
      </c>
      <c r="C13" s="11">
        <f>IF(AND(Mux=0,Muy=0),0,MOD(DEGREES(ATAN2(-Mux,Muy)),180))</f>
      </c>
      <c r="D13" t="s">
        <v>41</v>
      </c>
      <c r="E13" s="5" t="s">
        <v>390</v>
      </c>
    </row>
    <row r="14" spans="2:5" x14ac:dyDescent="0.25">
      <c r="B14" t="s">
        <v>391</v>
      </c>
      <c r="C14" s="11">
        <f>MIN(ABS(C12-C13),180-ABS(C12-C13))</f>
      </c>
      <c r="D14" t="s">
        <v>41</v>
      </c>
      <c r="E14" s="5" t="s">
        <v>392</v>
      </c>
    </row>
    <row r="16" spans="2:5" x14ac:dyDescent="0.25">
      <c r="B16" s="3" t="s">
        <v>393</v>
      </c>
      <c r="C16" s="3"/>
      <c r="D16" s="3"/>
      <c r="E16" s="3"/>
    </row>
    <row r="17" spans="2:3" x14ac:dyDescent="0.25">
      <c r="B17" t="s">
        <v>394</v>
      </c>
      <c r="C17" s="10">
        <f>SUMPRODUCT(Concrete!$L$8:$L$1264,Mesh_A)/1000</f>
      </c>
    </row>
    <row r="18" spans="2:3" x14ac:dyDescent="0.25">
      <c r="B18" t="s">
        <v>395</v>
      </c>
      <c r="C18" s="10">
        <f>SUMPRODUCT(Concrete!$L$8:$L$1264,Mesh_A,Mesh_Y)/1000000</f>
      </c>
    </row>
    <row r="19" spans="2:3" x14ac:dyDescent="0.25">
      <c r="B19" t="s">
        <v>396</v>
      </c>
      <c r="C19" s="10">
        <f>SUMPRODUCT(Concrete!$L$8:$L$1264,Mesh_A,Mesh_X)/1000000</f>
      </c>
    </row>
    <row r="20" spans="2:3" x14ac:dyDescent="0.25">
      <c r="B20" t="s">
        <v>397</v>
      </c>
      <c r="C20" s="10">
        <f>Steel!GQ6/1000</f>
      </c>
    </row>
    <row r="21" spans="2:3" x14ac:dyDescent="0.25">
      <c r="B21" t="s">
        <v>398</v>
      </c>
      <c r="C21" s="10">
        <f>Steel!GR6/1000000</f>
      </c>
    </row>
    <row r="22" spans="2:3" x14ac:dyDescent="0.25">
      <c r="B22" t="s">
        <v>399</v>
      </c>
      <c r="C22" s="10">
        <f>Steel!GS6/1000000</f>
      </c>
    </row>
    <row r="24" spans="2:5" x14ac:dyDescent="0.25">
      <c r="B24" s="3" t="s">
        <v>400</v>
      </c>
      <c r="C24" s="3"/>
      <c r="D24" s="3"/>
      <c r="E24" s="3"/>
    </row>
    <row r="25" spans="2:3" x14ac:dyDescent="0.25">
      <c r="B25" t="s">
        <v>401</v>
      </c>
      <c r="C25" s="39">
        <f>C17+C20</f>
      </c>
    </row>
    <row r="26" spans="2:3" x14ac:dyDescent="0.25">
      <c r="B26" t="s">
        <v>402</v>
      </c>
      <c r="C26" s="39">
        <f>C18+C21</f>
      </c>
    </row>
    <row r="27" spans="2:3" x14ac:dyDescent="0.25">
      <c r="B27" t="s">
        <v>403</v>
      </c>
      <c r="C27" s="39">
        <f>C19+C22</f>
      </c>
    </row>
    <row r="28" spans="2:3" x14ac:dyDescent="0.25">
      <c r="B28" t="s">
        <v>404</v>
      </c>
      <c r="C28" s="51">
        <f>Pu</f>
      </c>
    </row>
    <row r="29" spans="2:3" x14ac:dyDescent="0.25">
      <c r="B29" t="s">
        <v>405</v>
      </c>
      <c r="C29" s="51">
        <f>Mux</f>
      </c>
    </row>
    <row r="30" spans="2:3" x14ac:dyDescent="0.25">
      <c r="B30" t="s">
        <v>406</v>
      </c>
      <c r="C30" s="51">
        <f>Muy</f>
      </c>
    </row>
    <row r="32" spans="2:3" x14ac:dyDescent="0.25">
      <c r="B32" t="s">
        <v>407</v>
      </c>
      <c r="C32" s="11">
        <f>C25-C28</f>
      </c>
    </row>
    <row r="33" spans="2:3" x14ac:dyDescent="0.25">
      <c r="B33" t="s">
        <v>408</v>
      </c>
      <c r="C33" s="11">
        <f>C26-C29</f>
      </c>
    </row>
    <row r="34" spans="2:3" x14ac:dyDescent="0.25">
      <c r="B34" t="s">
        <v>409</v>
      </c>
      <c r="C34" s="11">
        <f>C27-C30</f>
      </c>
    </row>
    <row r="35" spans="2:3" x14ac:dyDescent="0.25">
      <c r="B35" t="s">
        <v>410</v>
      </c>
      <c r="C35" s="53">
        <f>MAX(ABS(C32)/MAX(ABS(Pu),1),ABS(C33)/MAX(ABS(Mux),1),ABS(C34)/MAX(ABS(Muy),1))</f>
      </c>
    </row>
    <row r="36" spans="2:5" x14ac:dyDescent="0.25">
      <c r="B36" t="s">
        <v>377</v>
      </c>
      <c r="C36" s="35">
        <f>IF(C35&lt;=0.0001,"in equilibrium","CHECK - the stored plane does not balance the demand")</f>
      </c>
      <c r="E36" s="5" t="s">
        <v>411</v>
      </c>
    </row>
  </sheetData>
  <mergeCells count="5">
    <mergeCell ref="B1:E1"/>
    <mergeCell ref="B2:E4"/>
    <mergeCell ref="B6:E6"/>
    <mergeCell ref="B16:E16"/>
    <mergeCell ref="B24:E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Input</vt:lpstr>
      <vt:lpstr>Design_Check</vt:lpstr>
      <vt:lpstr>Geometry</vt:lpstr>
      <vt:lpstr>Mesh</vt:lpstr>
      <vt:lpstr>PM_Angle</vt:lpstr>
      <vt:lpstr>Concrete</vt:lpstr>
      <vt:lpstr>Steel</vt:lpstr>
      <vt:lpstr>MxMy_FixedP</vt:lpstr>
      <vt:lpstr>PM_Theta</vt:lpstr>
      <vt:lpstr>Equilibrium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P-M Column Designer</dc:creator>
  <dc:title/>
  <dc:subject/>
  <dc:description/>
  <cp:keywords/>
  <cp:category/>
  <cp:lastModifiedBy>Unknown</cp:lastModifiedBy>
  <dcterms:created xsi:type="dcterms:W3CDTF">2026-08-11T08:16:25Z</dcterms:created>
  <dcterms:modified xsi:type="dcterms:W3CDTF">2026-08-11T08:16:25Z</dcterms:modified>
</cp:coreProperties>
</file>