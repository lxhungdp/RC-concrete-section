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'PM_Angle'!$J$7:$J$28</definedName>
    <definedName name="St_kx">'PM_Angle'!$K$7:$K$28</definedName>
    <definedName name="St_ky">'PM_Angle'!$L$7:$L$28</definedName>
    <definedName name="Det">Concrete!$C$4</definedName>
    <definedName name="St_P">'PM_Angle'!$S$7:$S$28</definedName>
    <definedName name="St_Mx">'PM_Angle'!$T$7:$T$28</definedName>
    <definedName name="St_My">'PM_Angle'!$U$7:$U$28</definedName>
    <definedName name="Mb">'MxMy_FixedP'!$E$108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c/D = 3</t>
        </r>
      </text>
    </comment>
    <comment ref="B9" authorId="0">
      <text>
        <r>
          <t>c/D = 2</t>
        </r>
      </text>
    </comment>
    <comment ref="B10" authorId="0">
      <text>
        <r>
          <t>c/D = 1.5</t>
        </r>
      </text>
    </comment>
    <comment ref="B11" authorId="0">
      <text>
        <r>
          <t>c/D = 1.2</t>
        </r>
      </text>
    </comment>
    <comment ref="B12" authorId="0">
      <text>
        <r>
          <t>c/D = 1.1</t>
        </r>
      </text>
    </comment>
    <comment ref="B13" authorId="0">
      <text>
        <r>
          <t>c/D = 1</t>
        </r>
      </text>
    </comment>
    <comment ref="B14" authorId="0">
      <text>
        <r>
          <t>εₛ/εy = 0</t>
        </r>
      </text>
    </comment>
    <comment ref="G14" authorId="0">
      <text>
        <r>
          <t>Engine-resolved controlling-bar tensile strain at the requested εₛ/εy.</t>
        </r>
      </text>
    </comment>
    <comment ref="B15" authorId="0">
      <text>
        <r>
          <t>εₛ/εy = 0.25</t>
        </r>
      </text>
    </comment>
    <comment ref="G15" authorId="0">
      <text>
        <r>
          <t>Engine-resolved controlling-bar tensile strain at the requested εₛ/εy.</t>
        </r>
      </text>
    </comment>
    <comment ref="B16" authorId="0">
      <text>
        <r>
          <t>εₛ/εy = 0.5</t>
        </r>
      </text>
    </comment>
    <comment ref="G16" authorId="0">
      <text>
        <r>
          <t>Engine-resolved controlling-bar tensile strain at the requested εₛ/εy.</t>
        </r>
      </text>
    </comment>
    <comment ref="B17" authorId="0">
      <text>
        <r>
          <t>εₛ/εy = 0.75</t>
        </r>
      </text>
    </comment>
    <comment ref="G17" authorId="0">
      <text>
        <r>
          <t>Engine-resolved controlling-bar tensile strain at the requested εₛ/εy.</t>
        </r>
      </text>
    </comment>
    <comment ref="B18" authorId="0">
      <text>
        <r>
          <t>εₛ/εy = 1</t>
        </r>
      </text>
    </comment>
    <comment ref="G18" authorId="0">
      <text>
        <r>
          <t>Engine-resolved controlling-bar tensile strain at the requested εₛ/εy.</t>
        </r>
      </text>
    </comment>
    <comment ref="B19" authorId="0">
      <text>
        <r>
          <t>εₛ/εy = 1.5</t>
        </r>
      </text>
    </comment>
    <comment ref="G19" authorId="0">
      <text>
        <r>
          <t>Engine-resolved controlling-bar tensile strain at the requested εₛ/εy.</t>
        </r>
      </text>
    </comment>
    <comment ref="B20" authorId="0">
      <text>
        <r>
          <t>εₛ/εy = 2</t>
        </r>
      </text>
    </comment>
    <comment ref="G20" authorId="0">
      <text>
        <r>
          <t>Engine-resolved controlling-bar tensile strain at the requested εₛ/εy.</t>
        </r>
      </text>
    </comment>
    <comment ref="B21" authorId="0">
      <text>
        <r>
          <t>εₛ/εy = 2.5</t>
        </r>
      </text>
    </comment>
    <comment ref="G21" authorId="0">
      <text>
        <r>
          <t>Engine-resolved controlling-bar tensile strain at the requested εₛ/εy.</t>
        </r>
      </text>
    </comment>
    <comment ref="B22" authorId="0">
      <text>
        <r>
          <t>εₛ/εy = 3</t>
        </r>
      </text>
    </comment>
    <comment ref="G22" authorId="0">
      <text>
        <r>
          <t>Engine-resolved controlling-bar tensile strain at the requested εₛ/εy.</t>
        </r>
      </text>
    </comment>
    <comment ref="B23" authorId="0">
      <text>
        <r>
          <t>εₛ/εy = 4</t>
        </r>
      </text>
    </comment>
    <comment ref="G23" authorId="0">
      <text>
        <r>
          <t>Engine-resolved controlling-bar tensile strain at the requested εₛ/εy.</t>
        </r>
      </text>
    </comment>
    <comment ref="B24" authorId="0">
      <text>
        <r>
          <t>εₛ/εy = 5</t>
        </r>
      </text>
    </comment>
    <comment ref="G24" authorId="0">
      <text>
        <r>
          <t>Engine-resolved controlling-bar tensile strain at the requested εₛ/εy.</t>
        </r>
      </text>
    </comment>
    <comment ref="B25" authorId="0">
      <text>
        <r>
          <t>εₛ/εy = 7.5</t>
        </r>
      </text>
    </comment>
    <comment ref="G25" authorId="0">
      <text>
        <r>
          <t>Engine-resolved controlling-bar tensile strain at the requested εₛ/εy.</t>
        </r>
      </text>
    </comment>
    <comment ref="B26" authorId="0">
      <text>
        <r>
          <t>εₛ/εy = 10</t>
        </r>
      </text>
    </comment>
    <comment ref="G26" authorId="0">
      <text>
        <r>
          <t>Engine-resolved controlling-bar tensile strain at the requested εₛ/εy.</t>
        </r>
      </text>
    </comment>
    <comment ref="B27" authorId="0">
      <text>
        <r>
          <t>εₛ/εy = 20</t>
        </r>
      </text>
    </comment>
    <comment ref="G27" authorId="0">
      <text>
        <r>
          <t>Engine-resolved controlling-bar tensile strain at the requested εₛ/εy.</t>
        </r>
      </text>
    </comment>
    <comment ref="B28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99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<sst xmlns="http://schemas.openxmlformats.org/spreadsheetml/2006/main" count="889" uniqueCount="394">
  <si>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</si>
  <si>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</si>
  <si>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</si>
  <si>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</si>
  <si>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</si>
  <si>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</si>
  <si>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</si>
  <si>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2026-08-06 11:43:12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</si>
  <si>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</si>
  <si>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</si>
  <si>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</si>
  <si>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</si>
  <si>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</si>
  <si>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</si>
  <si>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</si>
  <si>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</si>
  <si>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</si>
  <si>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</si>
  <si>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</si>
  <si>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</si>
  <si>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</si>
  <si>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</si>
  <si>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</si>
  <si>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</si>
  <si>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</si>
  <si>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</si>
  <si>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</si>
  <si>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</si>
  <si>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</si>
  <si>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</si>
  <si>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</si>
  <si>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</si>
  <si>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</si>
  <si>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</si>
  <si>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</si>
  <si>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</si>
  <si>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</si>
  <si>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</si>
  <si>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</si>
  <si>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</si>
  <si>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</si>
  <si>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</si>
  <si>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</si>
  <si>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</si>
  <si>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</si>
  <si>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</si>
  <si>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</si>
  <si>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</si>
  <si>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</si>
  <si>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</si>
  <si>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</si>
  <si>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</si>
  <si>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</si>
  <si>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</si>
  <si>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</si>
  <si>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</si>
  <si>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</si>
  <si>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</si>
  <si>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</si>
  <si>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</si>
  <si>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</si>
  <si>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</si>
  <si>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</si>
  <si>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</si>
  <si>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</si>
  <si>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</si>
  <si>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</si>
  <si>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</si>
  <si>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</si>
  <si>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</si>
  <si>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</si>
  <si>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</si>
  <si>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</si>
  <si>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</si>
  <si>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</si>
  <si>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</si>
  <si>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</si>
  <si>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</si>
  <si>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</si>
  <si>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</si>
  <si>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</si>
  <si>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</si>
  <si>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</si>
  <si>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</si>
  <si>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</si>
  <si>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</si>
  <si>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</si>
  <si>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</si>
  <si>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91 x 22 surface integrals (MxMy_FixedP)</t>
  </si>
  <si>
    <t>6006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</si>
  <si>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</si>
  <si>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</si>
  <si>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</si>
  <si>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</si>
  <si>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</si>
  <si>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</si>
  <si>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</si>
  <si>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</si>
  <si>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</si>
  <si>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</si>
  <si>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</si>
  <si>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</si>
  <si>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</si>
  <si>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</si>
  <si>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</si>
  <si>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</si>
  <si>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</si>
  <si>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</si>
  <si>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</si>
  <si>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</si>
  <si>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</si>
  <si>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</si>
  <si>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</si>
  <si>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</si>
  <si>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</si>
  <si>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</si>
  <si>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</si>
  <si>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Concrete model basis</t>
  </si>
  <si>
    <t>Code-default</t>
  </si>
  <si>
    <t>Resolved by the calculation profile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</si>
  <si>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</si>
  <si>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</si>
  <si>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</si>
  <si>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</si>
  <si>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</si>
  <si>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</si>
  <si>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</si>
  <si>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</si>
  <si>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</si>
  <si>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</si>
  <si>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</si>
  <si>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</si>
  <si>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</si>
  <si>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</si>
  <si>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</si>
  <si>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</si>
  <si>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</si>
  <si>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</si>
  <si>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</si>
  <si>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</si>
  <si>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</si>
  <si>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</si>
  <si>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</si>
  <si>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</si>
  <si>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</si>
  <si>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</si>
  <si>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</si>
  <si>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</si>
  <si>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</si>
  <si>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</si>
  <si>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</si>
  <si>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NOT ADEQUATE</t>
  </si>
  <si>
    <t>ADEQUATE requires 3D UR ≤ 1.0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</si>
  <si>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</si>
  <si>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</si>
  <si>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</si>
  <si>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</si>
  <si>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</si>
  <si>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</si>
  <si>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</si>
  <si>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</si>
  <si>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</si>
  <si>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</si>
  <si>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</si>
  <si>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</si>
  <si>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</si>
  <si>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</si>
  <si>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</si>
  <si>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</si>
  <si>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</si>
  <si>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</si>
  <si>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</si>
  <si>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</si>
  <si>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</si>
  <si>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</si>
  <si>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</si>
  <si>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</si>
  <si>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</si>
  <si>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</si>
  <si>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</si>
  <si>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</si>
  <si>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</si>
  <si>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</si>
  <si>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</si>
  <si>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</si>
  <si>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</si>
  <si>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</si>
  <si>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</si>
  <si>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</si>
  <si>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22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</si>
  <si>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</si>
  <si>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</si>
  <si>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</si>
  <si>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</si>
  <si>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</si>
  <si>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</si>
  <si>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</si>
  <si>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c/D or c/c₁</t>
  </si>
  <si>
    <t>εₛ/εy or 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</si>
  <si>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</si>
  <si>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</si>
  <si>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</si>
  <si>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</si>
  <si>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</si>
  <si>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</si>
  <si>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</si>
  <si>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</si>
  <si>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</si>
  <si>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</si>
  <si>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</si>
  <si>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</si>
  <si>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</si>
  <si>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</si>
  <si>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</si>
  <si>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</si>
  <si>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</si>
  <si>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</si>
  <si>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</si>
  <si>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</si>
  <si>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</si>
  <si>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</si>
  <si>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</si>
  <si>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</si>
  <si>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</si>
  <si>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</si>
  <si>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</si>
  <si>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</si>
  <si>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</si>
  <si>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</si>
  <si>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</si>
  <si>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</si>
  <si>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</si>
  <si>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</si>
  <si>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</si>
  <si>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</si>
  <si>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</si>
  <si>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</si>
  <si>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</si>
  <si>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</si>
  <si>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</si>
  <si>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</si>
  <si>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</si>
  <si>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22 station totals on PM_Angle integrate the same law over the same mesh without materialising 22 more column blocks.</t>
  </si>
  <si>
    <t>Detail station (0…21)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</si>
  <si>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</si>
  <si>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</si>
  <si>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</si>
  <si>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</si>
  <si>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</si>
  <si>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</si>
  <si>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</si>
  <si>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22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</si>
  <si>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</si>
  <si>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</si>
  <si>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</si>
  <si>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</si>
  <si>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</si>
  <si>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</si>
  <si>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</si>
  <si>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91 directions repeats the 22-station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</si>
  <si>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</si>
  <si>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</si>
  <si>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</si>
  <si>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</si>
  <si>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</si>
  <si>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</si>
  <si>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</si>
  <si>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</si>
  <si>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</si>
  <si>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</si>
  <si>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</si>
  <si>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</si>
  <si>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</si>
  <si>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</si>
  <si>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</si>
  <si>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</si>
  <si>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</si>
  <si>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</si>
  <si>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</si>
  <si>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</si>
  <si>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P19 plane</t>
  </si>
  <si>
    <t>P20 plane</t>
  </si>
  <si>
    <t>P21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</si>
  <si>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</si>
  <si>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</si>
  <si>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</si>
  <si>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</si>
  <si>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</si>
  <si>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</si>
  <si>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</si>
  <si>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</si>
  <si>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</si>
  <si>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</si>
  <si>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</si>
  <si>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</si>
  <si>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</si>
  <si>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</si>
  <si>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</si>
  <si>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</si>
  <si>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</si>
  <si>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</si>
  <si>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</si>
  <si>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</si>
  <si>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</si>
  <si>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</si>
  <si>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P21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</si>
  <si>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</si>
  <si>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</si>
  <si>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</si>
  <si>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</si>
  <si>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</si>
  <si>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</si>
  <si>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</si>
  <si>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</si>
  <si>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</si>
  <si>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</si>
  <si>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</si>
  <si>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</si>
  <si>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</si>
  <si>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</si>
  <si>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</si>
  <si>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</si>
  <si>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</si>
  <si>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</si>
  <si>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</si>
  <si>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</si>
  <si>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</si>
  <si>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</si>
  <si>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</si>
  <si>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</si>
  <si>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c/D = 3</t>
  </si>
  <si>
    <t>c/D = 2</t>
  </si>
  <si>
    <t>c/D = 1.5</t>
  </si>
  <si>
    <t>c/D = 1.2</t>
  </si>
  <si>
    <t>c/D = 1.1</t>
  </si>
  <si>
    <t>c/D = 1</t>
  </si>
  <si>
    <t>εₛ/εy = 0</t>
  </si>
  <si>
    <t>εₛ/εy = 0.25</t>
  </si>
  <si>
    <t>εₛ/εy = 0.5</t>
  </si>
  <si>
    <t>εₛ/εy = 0.75</t>
  </si>
  <si>
    <t>εₛ/εy = 1</t>
  </si>
  <si>
    <t>εₛ/εy = 1.5</t>
  </si>
  <si>
    <t>εₛ/εy = 2</t>
  </si>
  <si>
    <t>εₛ/εy = 2.5</t>
  </si>
  <si>
    <t>εₛ/εy = 3</t>
  </si>
  <si>
    <t>εₛ/εy = 4</t>
  </si>
  <si>
    <t>εₛ/εy = 5</t>
  </si>
  <si>
    <t>εₛ/εy = 7.5</t>
  </si>
  <si>
    <t>εₛ/εy = 10</t>
  </si>
  <si>
    <t>εₛ/εy = 20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</si>
  <si>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</si>
  <si>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</si>
  <si>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</si>
  <si>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</si>
  <si>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</si>
  <si>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</si>
  <si>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</si>
  <si>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</si>
  <si>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</si>
  <si>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</si>
  <si>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91x22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</si>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</sst>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119</v>
      </c>
    </row>
    <row r="13" spans="2:5" x14ac:dyDescent="0.25">
      <c r="B13" t="s">
        <v>120</v>
      </c>
      <c r="C13" t="s">
        <v>121</v>
      </c>
      <c r="D13" t="s">
        <v>11</v>
      </c>
      <c r="E13" t="s">
        <v>11</v>
      </c>
    </row>
    <row r="15" spans="2:5" x14ac:dyDescent="0.25">
      <c r="B15" s="3" t="s">
        <v>122</v>
      </c>
      <c r="C15" s="3"/>
      <c r="D15" s="3"/>
      <c r="E15" s="3"/>
    </row>
    <row r="16" spans="2:5" x14ac:dyDescent="0.25">
      <c r="B16" t="s">
        <v>123</v>
      </c>
      <c r="C16" s="15">
        <v>0.65</v>
      </c>
      <c r="D16" t="s">
        <v>17</v>
      </c>
      <c r="E16" t="s">
        <v>124</v>
      </c>
    </row>
    <row r="17" spans="2:5" x14ac:dyDescent="0.25">
      <c r="B17" t="s">
        <v>125</v>
      </c>
      <c r="C17" s="15">
        <v>0.7</v>
      </c>
      <c r="D17" t="s">
        <v>17</v>
      </c>
      <c r="E17" t="s">
        <v>126</v>
      </c>
    </row>
    <row r="18" spans="2:5" x14ac:dyDescent="0.25">
      <c r="B18" t="s">
        <v>127</v>
      </c>
      <c r="C18" s="15">
        <v>0.85</v>
      </c>
      <c r="D18" t="s">
        <v>17</v>
      </c>
      <c r="E18" t="s">
        <v>128</v>
      </c>
    </row>
    <row r="19" spans="2:5" x14ac:dyDescent="0.25">
      <c r="B19" t="s">
        <v>129</v>
      </c>
      <c r="C19" s="15">
        <v>0.005</v>
      </c>
      <c r="D19" t="s">
        <v>17</v>
      </c>
      <c r="E19" t="s">
        <v>130</v>
      </c>
    </row>
    <row r="20" spans="2:5" x14ac:dyDescent="0.25">
      <c r="B20" t="s">
        <v>131</v>
      </c>
      <c r="C20" s="15">
        <v>0.8</v>
      </c>
      <c r="D20" t="s">
        <v>17</v>
      </c>
      <c r="E20" t="s">
        <v>132</v>
      </c>
    </row>
    <row r="21" spans="2:5" x14ac:dyDescent="0.25">
      <c r="B21" t="s">
        <v>133</v>
      </c>
      <c r="C21" s="15">
        <v>0.85</v>
      </c>
      <c r="D21" t="s">
        <v>17</v>
      </c>
      <c r="E21" t="s">
        <v>132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3" spans="2:5" x14ac:dyDescent="0.25">
      <c r="B23" t="s">
        <v>137</v>
      </c>
      <c r="C23" s="16" t="s">
        <v>138</v>
      </c>
      <c r="D23" t="s">
        <v>11</v>
      </c>
      <c r="E23" t="s">
        <v>139</v>
      </c>
    </row>
    <row r="25" spans="2:5" x14ac:dyDescent="0.25">
      <c r="B25" s="3" t="s">
        <v>140</v>
      </c>
      <c r="C25" s="3"/>
      <c r="D25" s="3"/>
      <c r="E25" s="3"/>
    </row>
    <row r="26" spans="2:5" x14ac:dyDescent="0.25">
      <c r="B26" t="s">
        <v>141</v>
      </c>
      <c r="C26" s="16" t="s">
        <v>142</v>
      </c>
      <c r="D26" t="s">
        <v>11</v>
      </c>
      <c r="E26" t="s">
        <v>143</v>
      </c>
    </row>
    <row r="27" spans="2:5" x14ac:dyDescent="0.25">
      <c r="B27" t="s">
        <v>144</v>
      </c>
      <c r="C27" s="16" t="s">
        <v>57</v>
      </c>
      <c r="D27" t="s">
        <v>11</v>
      </c>
      <c r="E27" t="s">
        <v>11</v>
      </c>
    </row>
    <row r="28" spans="2:5" x14ac:dyDescent="0.25">
      <c r="B28" t="s">
        <v>145</v>
      </c>
      <c r="C28" s="15">
        <v>1.5381497361444856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17</v>
      </c>
      <c r="E29" t="s">
        <v>149</v>
      </c>
    </row>
    <row r="30" spans="2:5" x14ac:dyDescent="0.25">
      <c r="B30" t="s">
        <v>150</v>
      </c>
      <c r="C30" s="16" t="s">
        <v>151</v>
      </c>
      <c r="D30" t="s">
        <v>11</v>
      </c>
      <c r="E30" t="s">
        <v>152</v>
      </c>
    </row>
    <row r="31" spans="2:5" x14ac:dyDescent="0.25">
      <c r="B31" t="s">
        <v>153</v>
      </c>
      <c r="C31" s="15">
        <v>16216.185925418366</v>
      </c>
      <c r="D31" t="s">
        <v>56</v>
      </c>
      <c r="E31" t="s">
        <v>154</v>
      </c>
    </row>
    <row r="32" spans="2:5" x14ac:dyDescent="0.25">
      <c r="B32" t="s">
        <v>155</v>
      </c>
      <c r="C32" s="15">
        <v>2414.697253826925</v>
      </c>
      <c r="D32" t="s">
        <v>59</v>
      </c>
      <c r="E32" t="s">
        <v>154</v>
      </c>
    </row>
    <row r="33" spans="2:5" x14ac:dyDescent="0.25">
      <c r="B33" t="s">
        <v>156</v>
      </c>
      <c r="C33" s="15">
        <v>930.846128988693</v>
      </c>
      <c r="D33" t="s">
        <v>59</v>
      </c>
      <c r="E33" t="s">
        <v>154</v>
      </c>
    </row>
    <row r="34" spans="2:5" x14ac:dyDescent="0.25">
      <c r="B34" t="s">
        <v>157</v>
      </c>
      <c r="C34" s="15">
        <v>0.65</v>
      </c>
      <c r="D34" t="s">
        <v>17</v>
      </c>
      <c r="E34" t="s">
        <v>158</v>
      </c>
    </row>
    <row r="35" spans="2:5" x14ac:dyDescent="0.25">
      <c r="B35" t="s">
        <v>159</v>
      </c>
      <c r="C35" s="15">
        <v>0</v>
      </c>
      <c r="D35" t="s">
        <v>17</v>
      </c>
      <c r="E35" t="s">
        <v>160</v>
      </c>
    </row>
  </sheetData>
  <mergeCells count="5">
    <mergeCell ref="B1:E1"/>
    <mergeCell ref="B2:E3"/>
    <mergeCell ref="B5:E5"/>
    <mergeCell ref="B15:E15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161</v>
      </c>
      <c r="C1" s="1"/>
      <c r="D1" s="1"/>
      <c r="E1" s="1"/>
      <c r="F1" s="1"/>
      <c r="G1" s="1"/>
      <c r="H1" s="1"/>
    </row>
    <row r="2" spans="2:2" x14ac:dyDescent="0.25">
      <c r="B2" s="5" t="s">
        <v>162</v>
      </c>
    </row>
    <row r="4" spans="2:8" x14ac:dyDescent="0.25">
      <c r="B4" s="3" t="s">
        <v>163</v>
      </c>
      <c r="C4" s="3"/>
      <c r="D4" s="3"/>
      <c r="E4" s="3"/>
      <c r="F4" s="3"/>
      <c r="G4" s="3"/>
      <c r="H4" s="3"/>
    </row>
    <row r="5" spans="2:7" x14ac:dyDescent="0.25">
      <c r="B5" s="17" t="s">
        <v>164</v>
      </c>
      <c r="C5" s="17" t="s">
        <v>165</v>
      </c>
      <c r="D5" s="17" t="s">
        <v>166</v>
      </c>
      <c r="E5" s="17" t="s">
        <v>167</v>
      </c>
      <c r="F5" s="17" t="s">
        <v>168</v>
      </c>
      <c r="G5" s="17" t="s">
        <v>169</v>
      </c>
    </row>
    <row r="6" spans="2:7" x14ac:dyDescent="0.25">
      <c r="B6">
        <v>1</v>
      </c>
      <c r="C6" t="s">
        <v>163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163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163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163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163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163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163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163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170</v>
      </c>
      <c r="F14" s="21">
        <f>SUM(F6:F13)/2</f>
      </c>
    </row>
    <row r="16" spans="2:8" x14ac:dyDescent="0.25">
      <c r="B16" s="3" t="s">
        <v>171</v>
      </c>
      <c r="C16" s="3"/>
      <c r="D16" s="3"/>
      <c r="E16" s="3"/>
      <c r="F16" s="3"/>
      <c r="G16" s="3"/>
      <c r="H16" s="3"/>
    </row>
    <row r="17" spans="2:7" x14ac:dyDescent="0.25">
      <c r="B17" s="17" t="s">
        <v>164</v>
      </c>
      <c r="C17" s="17" t="s">
        <v>165</v>
      </c>
      <c r="D17" s="17" t="s">
        <v>166</v>
      </c>
      <c r="E17" s="17" t="s">
        <v>167</v>
      </c>
      <c r="F17" s="17" t="s">
        <v>168</v>
      </c>
      <c r="G17" s="17" t="s">
        <v>169</v>
      </c>
    </row>
    <row r="18" spans="2:7" x14ac:dyDescent="0.25">
      <c r="B18">
        <v>1</v>
      </c>
      <c r="C18" t="s">
        <v>171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171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171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171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171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171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171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171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170</v>
      </c>
      <c r="F26" s="21">
        <f>SUM(F18:F25)/2</f>
      </c>
    </row>
    <row r="28" spans="2:8" x14ac:dyDescent="0.25">
      <c r="B28" s="3" t="s">
        <v>172</v>
      </c>
      <c r="C28" s="3"/>
      <c r="D28" s="3"/>
      <c r="E28" s="3"/>
      <c r="F28" s="3"/>
      <c r="G28" s="3"/>
      <c r="H28" s="3"/>
    </row>
    <row r="29" spans="2:7" x14ac:dyDescent="0.25">
      <c r="B29" s="17" t="s">
        <v>164</v>
      </c>
      <c r="C29" s="17" t="s">
        <v>165</v>
      </c>
      <c r="D29" s="17" t="s">
        <v>166</v>
      </c>
      <c r="E29" s="17" t="s">
        <v>167</v>
      </c>
      <c r="F29" s="17" t="s">
        <v>168</v>
      </c>
      <c r="G29" s="17" t="s">
        <v>169</v>
      </c>
    </row>
    <row r="30" spans="2:7" x14ac:dyDescent="0.25">
      <c r="B30">
        <v>1</v>
      </c>
      <c r="C30" t="s">
        <v>172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172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172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172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172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172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172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172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170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164</v>
      </c>
      <c r="C41" s="17" t="s">
        <v>173</v>
      </c>
      <c r="D41" s="17" t="s">
        <v>166</v>
      </c>
      <c r="E41" s="17" t="s">
        <v>167</v>
      </c>
      <c r="F41" s="17" t="s">
        <v>174</v>
      </c>
      <c r="G41" s="17" t="s">
        <v>169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175</v>
      </c>
      <c r="C61" s="3"/>
      <c r="D61" s="3"/>
      <c r="E61" s="3"/>
      <c r="F61" s="3"/>
      <c r="G61" s="3"/>
      <c r="H61" s="3"/>
    </row>
    <row r="62" spans="2:7" x14ac:dyDescent="0.25">
      <c r="B62" t="s">
        <v>176</v>
      </c>
      <c r="D62" s="21">
        <f>ABS(SUM(F6:F13)/2)+-ABS(SUM(F18:F25)/2)+-ABS(SUM(F30:F37)/2)</f>
      </c>
      <c r="E62" t="s">
        <v>71</v>
      </c>
      <c r="G62" s="5" t="s">
        <v>177</v>
      </c>
    </row>
    <row r="63" spans="2:7" x14ac:dyDescent="0.25">
      <c r="B63" t="s">
        <v>178</v>
      </c>
      <c r="D63" s="22">
        <f>MAX(G6:G13)</f>
      </c>
      <c r="E63" t="s">
        <v>46</v>
      </c>
      <c r="G63" s="5" t="s">
        <v>179</v>
      </c>
    </row>
    <row r="64" spans="2:5" x14ac:dyDescent="0.25">
      <c r="B64" t="s">
        <v>180</v>
      </c>
      <c r="D64" s="22">
        <f>MIN(G6:G13)</f>
      </c>
      <c r="E64" t="s">
        <v>46</v>
      </c>
    </row>
    <row r="65" spans="2:7" x14ac:dyDescent="0.25">
      <c r="B65" t="s">
        <v>181</v>
      </c>
      <c r="D65" s="22">
        <f>MIN(G42:G59)</f>
      </c>
      <c r="E65" t="s">
        <v>46</v>
      </c>
      <c r="G65" s="5" t="s">
        <v>182</v>
      </c>
    </row>
    <row r="66" spans="2:5" x14ac:dyDescent="0.25">
      <c r="B66" t="s">
        <v>183</v>
      </c>
      <c r="D66" s="22">
        <f>u_max-u_bar</f>
      </c>
      <c r="E66" t="s">
        <v>46</v>
      </c>
    </row>
    <row r="67" spans="2:5" x14ac:dyDescent="0.25">
      <c r="B67" t="s">
        <v>184</v>
      </c>
      <c r="D67" s="22">
        <f>u_max-u_min</f>
      </c>
      <c r="E67" t="s">
        <v>46</v>
      </c>
    </row>
    <row r="68" spans="2:5" x14ac:dyDescent="0.25">
      <c r="B68" t="s">
        <v>185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186</v>
      </c>
      <c r="B1" s="23"/>
      <c r="C1" s="23"/>
      <c r="D1" s="23"/>
    </row>
    <row r="2" ht="30" customHeight="1" spans="1:4" x14ac:dyDescent="0.25">
      <c r="A2" s="2" t="s">
        <v>187</v>
      </c>
      <c r="B2" s="2"/>
      <c r="C2" s="2"/>
      <c r="D2" s="2"/>
    </row>
    <row r="4" spans="1:4" x14ac:dyDescent="0.25">
      <c r="A4" s="24" t="s">
        <v>164</v>
      </c>
      <c r="B4" s="24" t="s">
        <v>166</v>
      </c>
      <c r="C4" s="24" t="s">
        <v>167</v>
      </c>
      <c r="D4" s="24" t="s">
        <v>188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3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189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190</v>
      </c>
    </row>
    <row r="4" spans="2:24" x14ac:dyDescent="0.25">
      <c r="B4" s="25" t="s">
        <v>191</v>
      </c>
      <c r="C4" s="25"/>
      <c r="D4" s="25"/>
      <c r="E4" s="25"/>
      <c r="F4" s="25" t="s">
        <v>192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193</v>
      </c>
      <c r="Q4" s="25"/>
      <c r="R4" s="25"/>
      <c r="S4" s="25" t="s">
        <v>194</v>
      </c>
      <c r="T4" s="25"/>
      <c r="U4" s="25"/>
      <c r="V4" s="25"/>
      <c r="W4" s="25" t="s">
        <v>195</v>
      </c>
      <c r="X4" s="25"/>
    </row>
    <row r="5" ht="30" customHeight="1" spans="2:24" x14ac:dyDescent="0.25">
      <c r="B5" s="17" t="s">
        <v>196</v>
      </c>
      <c r="C5" s="17" t="s">
        <v>197</v>
      </c>
      <c r="D5" s="17" t="s">
        <v>198</v>
      </c>
      <c r="E5" s="17" t="s">
        <v>199</v>
      </c>
      <c r="F5" s="17" t="s">
        <v>200</v>
      </c>
      <c r="G5" s="17" t="s">
        <v>201</v>
      </c>
      <c r="H5" s="17" t="s">
        <v>202</v>
      </c>
      <c r="I5" s="17" t="s">
        <v>203</v>
      </c>
      <c r="J5" s="17" t="s">
        <v>204</v>
      </c>
      <c r="K5" s="17" t="s">
        <v>205</v>
      </c>
      <c r="L5" s="17" t="s">
        <v>206</v>
      </c>
      <c r="M5" s="17" t="s">
        <v>207</v>
      </c>
      <c r="N5" s="17" t="s">
        <v>208</v>
      </c>
      <c r="O5" s="17" t="s">
        <v>209</v>
      </c>
      <c r="P5" s="17" t="s">
        <v>207</v>
      </c>
      <c r="Q5" s="17" t="s">
        <v>208</v>
      </c>
      <c r="R5" s="17" t="s">
        <v>209</v>
      </c>
      <c r="S5" s="17" t="s">
        <v>207</v>
      </c>
      <c r="T5" s="17" t="s">
        <v>208</v>
      </c>
      <c r="U5" s="17" t="s">
        <v>209</v>
      </c>
      <c r="V5" s="17" t="s">
        <v>210</v>
      </c>
      <c r="W5" s="17" t="s">
        <v>211</v>
      </c>
      <c r="X5" s="17" t="s">
        <v>212</v>
      </c>
    </row>
    <row r="7" spans="2:24" x14ac:dyDescent="0.25">
      <c r="B7" s="26" t="s">
        <v>213</v>
      </c>
      <c r="C7" s="27"/>
      <c r="D7" s="27"/>
      <c r="E7" s="27"/>
      <c r="F7" s="28" t="s">
        <v>214</v>
      </c>
      <c r="G7" s="29">
        <f>ecu</f>
      </c>
      <c r="H7" s="30" t="s">
        <v>148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215</v>
      </c>
      <c r="C8" s="36">
        <v>3</v>
      </c>
      <c r="D8" s="36"/>
      <c r="E8" s="36"/>
      <c r="F8" s="20">
        <f>u_max-C8*(u_max-u_min)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216</v>
      </c>
      <c r="C9" s="36">
        <v>2</v>
      </c>
      <c r="D9" s="36"/>
      <c r="E9" s="36"/>
      <c r="F9" s="20">
        <f>u_max-C9*(u_max-u_min)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33850.50181793656</v>
      </c>
      <c r="X9" s="40">
        <f>IF(ABS(W9)&lt;0.000000001,0,(S9-W9)/W9*100)</f>
      </c>
    </row>
    <row r="10" spans="2:24" x14ac:dyDescent="0.25">
      <c r="B10" s="35" t="s">
        <v>217</v>
      </c>
      <c r="C10" s="36">
        <v>1.5</v>
      </c>
      <c r="D10" s="36"/>
      <c r="E10" s="36"/>
      <c r="F10" s="20">
        <f>u_max-C10*(u_max-u_min)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32774.62802725625</v>
      </c>
      <c r="X10" s="40">
        <f>IF(ABS(W10)&lt;0.000000001,0,(S10-W10)/W10*100)</f>
      </c>
    </row>
    <row r="11" spans="2:24" x14ac:dyDescent="0.25">
      <c r="B11" s="35" t="s">
        <v>218</v>
      </c>
      <c r="C11" s="36">
        <v>1.2</v>
      </c>
      <c r="D11" s="36"/>
      <c r="E11" s="36"/>
      <c r="F11" s="20">
        <f>u_max-C11*(u_max-u_min)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30527.487770543754</v>
      </c>
      <c r="X11" s="40">
        <f>IF(ABS(W11)&lt;0.000000001,0,(S11-W11)/W11*100)</f>
      </c>
    </row>
    <row r="12" spans="2:24" x14ac:dyDescent="0.25">
      <c r="B12" s="35" t="s">
        <v>219</v>
      </c>
      <c r="C12" s="36">
        <v>1.1</v>
      </c>
      <c r="D12" s="36"/>
      <c r="E12" s="36"/>
      <c r="F12" s="20">
        <f>u_max-C12*(u_max-u_min)</f>
      </c>
      <c r="G12" s="37">
        <f>ROUND(0,0)</f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29097.594418450528</v>
      </c>
      <c r="X12" s="40">
        <f>IF(ABS(W12)&lt;0.000000001,0,(S12-W12)/W12*100)</f>
      </c>
    </row>
    <row r="13" spans="2:24" x14ac:dyDescent="0.25">
      <c r="B13" s="35" t="s">
        <v>220</v>
      </c>
      <c r="C13" s="36">
        <v>1</v>
      </c>
      <c r="D13" s="36"/>
      <c r="E13" s="36"/>
      <c r="F13" s="20">
        <f>u_max-C13*(u_max-u_min)</f>
      </c>
      <c r="G13" s="37">
        <f>ROUND(0,0)</f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27011.95729301388</v>
      </c>
      <c r="X13" s="40">
        <f>IF(ABS(W13)&lt;0.000000001,0,(S13-W13)/W13*100)</f>
      </c>
    </row>
    <row r="14" spans="2:24" x14ac:dyDescent="0.25">
      <c r="B14" s="35" t="s">
        <v>221</v>
      </c>
      <c r="C14" s="36"/>
      <c r="D14" s="36">
        <v>0</v>
      </c>
      <c r="E14" s="36"/>
      <c r="F14" s="20">
        <f>u_bar</f>
      </c>
      <c r="G14" s="15">
        <v>2.168404344971009e-19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24941.453505539637</v>
      </c>
      <c r="X14" s="40">
        <f>IF(ABS(W14)&lt;0.000000001,0,(S14-W14)/W14*100)</f>
      </c>
    </row>
    <row r="15" spans="2:24" x14ac:dyDescent="0.25">
      <c r="B15" s="35" t="s">
        <v>222</v>
      </c>
      <c r="C15" s="36"/>
      <c r="D15" s="36">
        <v>0.25</v>
      </c>
      <c r="E15" s="36"/>
      <c r="F15" s="20">
        <f>u_bar</f>
      </c>
      <c r="G15" s="15">
        <v>-0.0005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21079.019157045306</v>
      </c>
      <c r="X15" s="40">
        <f>IF(ABS(W15)&lt;0.000000001,0,(S15-W15)/W15*100)</f>
      </c>
    </row>
    <row r="16" spans="2:24" x14ac:dyDescent="0.25">
      <c r="B16" s="35" t="s">
        <v>223</v>
      </c>
      <c r="C16" s="36"/>
      <c r="D16" s="36">
        <v>0.5</v>
      </c>
      <c r="E16" s="36"/>
      <c r="F16" s="20">
        <f>u_bar</f>
      </c>
      <c r="G16" s="15">
        <v>-0.0009999999999999996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18153.31005527712</v>
      </c>
      <c r="X16" s="40">
        <f>IF(ABS(W16)&lt;0.000000001,0,(S16-W16)/W16*100)</f>
      </c>
    </row>
    <row r="17" spans="2:24" x14ac:dyDescent="0.25">
      <c r="B17" s="35" t="s">
        <v>224</v>
      </c>
      <c r="C17" s="36"/>
      <c r="D17" s="36">
        <v>0.75</v>
      </c>
      <c r="E17" s="36"/>
      <c r="F17" s="20">
        <f>u_bar</f>
      </c>
      <c r="G17" s="15">
        <v>-0.0015000000000000005</v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15853.978475694379</v>
      </c>
      <c r="X17" s="40">
        <f>IF(ABS(W17)&lt;0.000000001,0,(S17-W17)/W17*100)</f>
      </c>
    </row>
    <row r="18" spans="2:24" x14ac:dyDescent="0.25">
      <c r="B18" s="35" t="s">
        <v>225</v>
      </c>
      <c r="C18" s="36"/>
      <c r="D18" s="36">
        <v>1</v>
      </c>
      <c r="E18" s="36"/>
      <c r="F18" s="20">
        <f>u_bar</f>
      </c>
      <c r="G18" s="15">
        <v>-0.002</v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13872.542689247419</v>
      </c>
      <c r="X18" s="40">
        <f>IF(ABS(W18)&lt;0.000000001,0,(S18-W18)/W18*100)</f>
      </c>
    </row>
    <row r="19" spans="2:24" x14ac:dyDescent="0.25">
      <c r="B19" s="35" t="s">
        <v>226</v>
      </c>
      <c r="C19" s="36"/>
      <c r="D19" s="36">
        <v>1.5</v>
      </c>
      <c r="E19" s="36"/>
      <c r="F19" s="20">
        <f>u_bar</f>
      </c>
      <c r="G19" s="15">
        <v>-0.003</v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10905.321204451915</v>
      </c>
      <c r="X19" s="40">
        <f>IF(ABS(W19)&lt;0.000000001,0,(S19-W19)/W19*100)</f>
      </c>
    </row>
    <row r="20" spans="2:24" x14ac:dyDescent="0.25">
      <c r="B20" s="35" t="s">
        <v>227</v>
      </c>
      <c r="C20" s="36"/>
      <c r="D20" s="36">
        <v>2</v>
      </c>
      <c r="E20" s="36"/>
      <c r="F20" s="20">
        <f>u_bar</f>
      </c>
      <c r="G20" s="15">
        <v>-0.004</v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8823.417547821995</v>
      </c>
      <c r="X20" s="40">
        <f>IF(ABS(W20)&lt;0.000000001,0,(S20-W20)/W20*100)</f>
      </c>
    </row>
    <row r="21" spans="2:24" x14ac:dyDescent="0.25">
      <c r="B21" s="35" t="s">
        <v>228</v>
      </c>
      <c r="C21" s="36"/>
      <c r="D21" s="36">
        <v>2.5</v>
      </c>
      <c r="E21" s="36"/>
      <c r="F21" s="20">
        <f>u_bar</f>
      </c>
      <c r="G21" s="15">
        <v>-0.005</v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7089.749963110848</v>
      </c>
      <c r="X21" s="40">
        <f>IF(ABS(W21)&lt;0.000000001,0,(S21-W21)/W21*100)</f>
      </c>
    </row>
    <row r="22" spans="2:24" x14ac:dyDescent="0.25">
      <c r="B22" s="35" t="s">
        <v>229</v>
      </c>
      <c r="C22" s="36"/>
      <c r="D22" s="36">
        <v>3</v>
      </c>
      <c r="E22" s="36"/>
      <c r="F22" s="20">
        <f>u_bar</f>
      </c>
      <c r="G22" s="15">
        <v>-0.005999999999999998</v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5653.327167182719</v>
      </c>
      <c r="X22" s="40">
        <f>IF(ABS(W22)&lt;0.000000001,0,(S22-W22)/W22*100)</f>
      </c>
    </row>
    <row r="23" spans="2:24" x14ac:dyDescent="0.25">
      <c r="B23" s="35" t="s">
        <v>230</v>
      </c>
      <c r="C23" s="36"/>
      <c r="D23" s="36">
        <v>4</v>
      </c>
      <c r="E23" s="36"/>
      <c r="F23" s="20">
        <f>u_bar</f>
      </c>
      <c r="G23" s="15">
        <v>-0.008</v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3322.757244273447</v>
      </c>
      <c r="X23" s="40">
        <f>IF(ABS(W23)&lt;0.000000001,0,(S23-W23)/W23*100)</f>
      </c>
    </row>
    <row r="24" spans="2:24" x14ac:dyDescent="0.25">
      <c r="B24" s="35" t="s">
        <v>231</v>
      </c>
      <c r="C24" s="36"/>
      <c r="D24" s="36">
        <v>5</v>
      </c>
      <c r="E24" s="36"/>
      <c r="F24" s="20">
        <f>u_bar</f>
      </c>
      <c r="G24" s="15">
        <v>-0.009999999999999997</v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1694.8502135948982</v>
      </c>
      <c r="X24" s="40">
        <f>IF(ABS(W24)&lt;0.000000001,0,(S24-W24)/W24*100)</f>
      </c>
    </row>
    <row r="25" spans="2:24" x14ac:dyDescent="0.25">
      <c r="B25" s="35" t="s">
        <v>232</v>
      </c>
      <c r="C25" s="36"/>
      <c r="D25" s="36">
        <v>7.5</v>
      </c>
      <c r="E25" s="36"/>
      <c r="F25" s="20">
        <f>u_bar</f>
      </c>
      <c r="G25" s="15">
        <v>-0.015</v>
      </c>
      <c r="H25" s="12">
        <f>ecu/I25</f>
      </c>
      <c r="I25" s="38">
        <f>(ecu-G25)/(u_max-F25)</f>
      </c>
      <c r="J25" s="37">
        <f>ecu-I25*u_max</f>
      </c>
      <c r="K25" s="38">
        <f>I25*COS(RADIANS(beta))</f>
      </c>
      <c r="L25" s="38">
        <f>I25*SIN(RADIANS(beta))</f>
      </c>
      <c r="M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10">
        <f>Steel!EF6/1000</f>
      </c>
      <c r="Q25" s="10">
        <f>Steel!EG6/1000000</f>
      </c>
      <c r="R25" s="10">
        <f>Steel!EH6/1000000</f>
      </c>
      <c r="S25" s="39">
        <f>M25+P25</f>
      </c>
      <c r="T25" s="39">
        <f>N25+Q25</f>
      </c>
      <c r="U25" s="39">
        <f>O25+R25</f>
      </c>
      <c r="V25" s="10">
        <f>SQRT(T25^2+U25^2)</f>
      </c>
      <c r="W25" s="10">
        <v>-1005.0490032452154</v>
      </c>
      <c r="X25" s="40">
        <f>IF(ABS(W25)&lt;0.000000001,0,(S25-W25)/W25*100)</f>
      </c>
    </row>
    <row r="26" spans="2:24" x14ac:dyDescent="0.25">
      <c r="B26" s="35" t="s">
        <v>233</v>
      </c>
      <c r="C26" s="36"/>
      <c r="D26" s="36">
        <v>10</v>
      </c>
      <c r="E26" s="36"/>
      <c r="F26" s="20">
        <f>u_bar</f>
      </c>
      <c r="G26" s="15">
        <v>-0.020000000000000004</v>
      </c>
      <c r="H26" s="12">
        <f>ecu/I26</f>
      </c>
      <c r="I26" s="38">
        <f>(ecu-G26)/(u_max-F26)</f>
      </c>
      <c r="J26" s="37">
        <f>ecu-I26*u_max</f>
      </c>
      <c r="K26" s="38">
        <f>I26*COS(RADIANS(beta))</f>
      </c>
      <c r="L26" s="38">
        <f>I26*SIN(RADIANS(beta))</f>
      </c>
      <c r="M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)/1000</f>
      </c>
      <c r="N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Y)/1000000</f>
      </c>
      <c r="O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X)/1000000</f>
      </c>
      <c r="P26" s="10">
        <f>Steel!EM6/1000</f>
      </c>
      <c r="Q26" s="10">
        <f>Steel!EN6/1000000</f>
      </c>
      <c r="R26" s="10">
        <f>Steel!EO6/1000000</f>
      </c>
      <c r="S26" s="39">
        <f>M26+P26</f>
      </c>
      <c r="T26" s="39">
        <f>N26+Q26</f>
      </c>
      <c r="U26" s="39">
        <f>O26+R26</f>
      </c>
      <c r="V26" s="10">
        <f>SQRT(T26^2+U26^2)</f>
      </c>
      <c r="W26" s="10">
        <v>-2705.1851104091907</v>
      </c>
      <c r="X26" s="40">
        <f>IF(ABS(W26)&lt;0.000000001,0,(S26-W26)/W26*100)</f>
      </c>
    </row>
    <row r="27" spans="2:24" x14ac:dyDescent="0.25">
      <c r="B27" s="35" t="s">
        <v>234</v>
      </c>
      <c r="C27" s="36"/>
      <c r="D27" s="36">
        <v>20</v>
      </c>
      <c r="E27" s="36"/>
      <c r="F27" s="20">
        <f>u_bar</f>
      </c>
      <c r="G27" s="15">
        <v>-0.04</v>
      </c>
      <c r="H27" s="12">
        <f>ecu/I27</f>
      </c>
      <c r="I27" s="38">
        <f>(ecu-G27)/(u_max-F27)</f>
      </c>
      <c r="J27" s="37">
        <f>ecu-I27*u_max</f>
      </c>
      <c r="K27" s="38">
        <f>I27*COS(RADIANS(beta))</f>
      </c>
      <c r="L27" s="38">
        <f>I27*SIN(RADIANS(beta))</f>
      </c>
      <c r="M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)/1000</f>
      </c>
      <c r="N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Y)/1000000</f>
      </c>
      <c r="O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X)/1000000</f>
      </c>
      <c r="P27" s="10">
        <f>Steel!ET6/1000</f>
      </c>
      <c r="Q27" s="10">
        <f>Steel!EU6/1000000</f>
      </c>
      <c r="R27" s="10">
        <f>Steel!EV6/1000000</f>
      </c>
      <c r="S27" s="39">
        <f>M27+P27</f>
      </c>
      <c r="T27" s="39">
        <f>N27+Q27</f>
      </c>
      <c r="U27" s="39">
        <f>O27+R27</f>
      </c>
      <c r="V27" s="10">
        <f>SQRT(T27^2+U27^2)</f>
      </c>
      <c r="W27" s="10">
        <v>-4986.1897604569185</v>
      </c>
      <c r="X27" s="40">
        <f>IF(ABS(W27)&lt;0.000000001,0,(S27-W27)/W27*100)</f>
      </c>
    </row>
    <row r="28" spans="2:24" x14ac:dyDescent="0.25">
      <c r="B28" s="26" t="s">
        <v>235</v>
      </c>
      <c r="C28" s="27"/>
      <c r="D28" s="27"/>
      <c r="E28" s="27"/>
      <c r="F28" s="28" t="s">
        <v>214</v>
      </c>
      <c r="G28" s="29">
        <f>etu</f>
      </c>
      <c r="H28" s="30" t="s">
        <v>148</v>
      </c>
      <c r="I28" s="31">
        <v>0</v>
      </c>
      <c r="J28" s="29">
        <f>etu</f>
      </c>
      <c r="K28" s="31">
        <f>I28*COS(RADIANS(beta))</f>
      </c>
      <c r="L28" s="31">
        <f>I28*SIN(RADIANS(beta))</f>
      </c>
      <c r="M28" s="32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)/1000</f>
      </c>
      <c r="N28" s="32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Y)/1000000</f>
      </c>
      <c r="O28" s="32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X)/1000000</f>
      </c>
      <c r="P28" s="32">
        <f>Steel!FA6/1000</f>
      </c>
      <c r="Q28" s="32">
        <f>Steel!FB6/1000000</f>
      </c>
      <c r="R28" s="32">
        <f>Steel!FC6/1000000</f>
      </c>
      <c r="S28" s="33">
        <f>M28+P28</f>
      </c>
      <c r="T28" s="33">
        <f>N28+Q28</f>
      </c>
      <c r="U28" s="33">
        <f>O28+R28</f>
      </c>
      <c r="V28" s="32">
        <f>SQRT(T28^2+U28^2)</f>
      </c>
      <c r="W28" s="32">
        <v>-5790.583579096708</v>
      </c>
      <c r="X28" s="34">
        <f>IF(ABS(W28)&lt;0.000000001,0,(S28-W28)/W28*100)</f>
      </c>
    </row>
    <row r="30" spans="2:11" x14ac:dyDescent="0.25">
      <c r="B30" s="3" t="s">
        <v>236</v>
      </c>
      <c r="C30" s="3"/>
      <c r="D30" s="3"/>
      <c r="E30" s="3"/>
      <c r="F30" s="3"/>
      <c r="G30" s="3"/>
      <c r="H30" s="3"/>
      <c r="I30" s="3"/>
      <c r="J30" s="3"/>
      <c r="K30" s="3"/>
    </row>
    <row r="31" spans="3:3" x14ac:dyDescent="0.25">
      <c r="C31" s="5" t="s">
        <v>237</v>
      </c>
    </row>
    <row r="32" spans="3:3" x14ac:dyDescent="0.25">
      <c r="C32" s="5" t="s">
        <v>238</v>
      </c>
    </row>
    <row r="33" spans="2:4" x14ac:dyDescent="0.25">
      <c r="B33" s="11">
        <f>beta</f>
      </c>
      <c r="C33" t="s">
        <v>239</v>
      </c>
      <c r="D33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30:K30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240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241</v>
      </c>
    </row>
    <row r="3" ht="28" customHeight="1" spans="1:9" x14ac:dyDescent="0.25">
      <c r="A3" s="2" t="s">
        <v>242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243</v>
      </c>
      <c r="C4" s="41">
        <v>5</v>
      </c>
      <c r="D4" s="5">
        <f>"detail shown for station P"&amp;C4</f>
      </c>
    </row>
    <row r="5" spans="11:12" x14ac:dyDescent="0.25">
      <c r="K5" s="25" t="s">
        <v>244</v>
      </c>
      <c r="L5" s="25"/>
    </row>
    <row r="6" spans="1:12" x14ac:dyDescent="0.25">
      <c r="A6" s="17" t="s">
        <v>164</v>
      </c>
      <c r="B6" s="17" t="s">
        <v>166</v>
      </c>
      <c r="C6" s="17" t="s">
        <v>167</v>
      </c>
      <c r="D6" s="17" t="s">
        <v>188</v>
      </c>
      <c r="E6" s="17" t="s">
        <v>245</v>
      </c>
      <c r="F6" s="17" t="s">
        <v>246</v>
      </c>
      <c r="G6" s="17" t="s">
        <v>247</v>
      </c>
      <c r="H6" s="17" t="s">
        <v>248</v>
      </c>
      <c r="I6" s="17" t="s">
        <v>249</v>
      </c>
      <c r="K6" s="24" t="s">
        <v>245</v>
      </c>
      <c r="L6" s="24" t="s">
        <v>246</v>
      </c>
    </row>
    <row r="7" spans="1:9" x14ac:dyDescent="0.25">
      <c r="A7" s="35" t="s">
        <v>250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J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66" width="13" customWidth="1"/>
  </cols>
  <sheetData>
    <row r="1" spans="1:12" x14ac:dyDescent="0.25">
      <c r="A1" s="23" t="s">
        <v>251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252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66" x14ac:dyDescent="0.25">
      <c r="F4" s="25" t="s">
        <v>213</v>
      </c>
      <c r="G4" s="25"/>
      <c r="H4" s="25"/>
      <c r="I4" s="25"/>
      <c r="J4" s="25"/>
      <c r="K4" s="25"/>
      <c r="L4" s="25"/>
      <c r="M4" s="25" t="s">
        <v>215</v>
      </c>
      <c r="N4" s="25"/>
      <c r="O4" s="25"/>
      <c r="P4" s="25"/>
      <c r="Q4" s="25"/>
      <c r="R4" s="25"/>
      <c r="S4" s="25"/>
      <c r="T4" s="25" t="s">
        <v>216</v>
      </c>
      <c r="U4" s="25"/>
      <c r="V4" s="25"/>
      <c r="W4" s="25"/>
      <c r="X4" s="25"/>
      <c r="Y4" s="25"/>
      <c r="Z4" s="25"/>
      <c r="AA4" s="25" t="s">
        <v>217</v>
      </c>
      <c r="AB4" s="25"/>
      <c r="AC4" s="25"/>
      <c r="AD4" s="25"/>
      <c r="AE4" s="25"/>
      <c r="AF4" s="25"/>
      <c r="AG4" s="25"/>
      <c r="AH4" s="25" t="s">
        <v>218</v>
      </c>
      <c r="AI4" s="25"/>
      <c r="AJ4" s="25"/>
      <c r="AK4" s="25"/>
      <c r="AL4" s="25"/>
      <c r="AM4" s="25"/>
      <c r="AN4" s="25"/>
      <c r="AO4" s="25" t="s">
        <v>219</v>
      </c>
      <c r="AP4" s="25"/>
      <c r="AQ4" s="25"/>
      <c r="AR4" s="25"/>
      <c r="AS4" s="25"/>
      <c r="AT4" s="25"/>
      <c r="AU4" s="25"/>
      <c r="AV4" s="25" t="s">
        <v>220</v>
      </c>
      <c r="AW4" s="25"/>
      <c r="AX4" s="25"/>
      <c r="AY4" s="25"/>
      <c r="AZ4" s="25"/>
      <c r="BA4" s="25"/>
      <c r="BB4" s="25"/>
      <c r="BC4" s="25" t="s">
        <v>221</v>
      </c>
      <c r="BD4" s="25"/>
      <c r="BE4" s="25"/>
      <c r="BF4" s="25"/>
      <c r="BG4" s="25"/>
      <c r="BH4" s="25"/>
      <c r="BI4" s="25"/>
      <c r="BJ4" s="25" t="s">
        <v>222</v>
      </c>
      <c r="BK4" s="25"/>
      <c r="BL4" s="25"/>
      <c r="BM4" s="25"/>
      <c r="BN4" s="25"/>
      <c r="BO4" s="25"/>
      <c r="BP4" s="25"/>
      <c r="BQ4" s="25" t="s">
        <v>223</v>
      </c>
      <c r="BR4" s="25"/>
      <c r="BS4" s="25"/>
      <c r="BT4" s="25"/>
      <c r="BU4" s="25"/>
      <c r="BV4" s="25"/>
      <c r="BW4" s="25"/>
      <c r="BX4" s="25" t="s">
        <v>224</v>
      </c>
      <c r="BY4" s="25"/>
      <c r="BZ4" s="25"/>
      <c r="CA4" s="25"/>
      <c r="CB4" s="25"/>
      <c r="CC4" s="25"/>
      <c r="CD4" s="25"/>
      <c r="CE4" s="25" t="s">
        <v>225</v>
      </c>
      <c r="CF4" s="25"/>
      <c r="CG4" s="25"/>
      <c r="CH4" s="25"/>
      <c r="CI4" s="25"/>
      <c r="CJ4" s="25"/>
      <c r="CK4" s="25"/>
      <c r="CL4" s="25" t="s">
        <v>226</v>
      </c>
      <c r="CM4" s="25"/>
      <c r="CN4" s="25"/>
      <c r="CO4" s="25"/>
      <c r="CP4" s="25"/>
      <c r="CQ4" s="25"/>
      <c r="CR4" s="25"/>
      <c r="CS4" s="25" t="s">
        <v>227</v>
      </c>
      <c r="CT4" s="25"/>
      <c r="CU4" s="25"/>
      <c r="CV4" s="25"/>
      <c r="CW4" s="25"/>
      <c r="CX4" s="25"/>
      <c r="CY4" s="25"/>
      <c r="CZ4" s="25" t="s">
        <v>228</v>
      </c>
      <c r="DA4" s="25"/>
      <c r="DB4" s="25"/>
      <c r="DC4" s="25"/>
      <c r="DD4" s="25"/>
      <c r="DE4" s="25"/>
      <c r="DF4" s="25"/>
      <c r="DG4" s="25" t="s">
        <v>229</v>
      </c>
      <c r="DH4" s="25"/>
      <c r="DI4" s="25"/>
      <c r="DJ4" s="25"/>
      <c r="DK4" s="25"/>
      <c r="DL4" s="25"/>
      <c r="DM4" s="25"/>
      <c r="DN4" s="25" t="s">
        <v>230</v>
      </c>
      <c r="DO4" s="25"/>
      <c r="DP4" s="25"/>
      <c r="DQ4" s="25"/>
      <c r="DR4" s="25"/>
      <c r="DS4" s="25"/>
      <c r="DT4" s="25"/>
      <c r="DU4" s="25" t="s">
        <v>231</v>
      </c>
      <c r="DV4" s="25"/>
      <c r="DW4" s="25"/>
      <c r="DX4" s="25"/>
      <c r="DY4" s="25"/>
      <c r="DZ4" s="25"/>
      <c r="EA4" s="25"/>
      <c r="EB4" s="25" t="s">
        <v>232</v>
      </c>
      <c r="EC4" s="25"/>
      <c r="ED4" s="25"/>
      <c r="EE4" s="25"/>
      <c r="EF4" s="25"/>
      <c r="EG4" s="25"/>
      <c r="EH4" s="25"/>
      <c r="EI4" s="25" t="s">
        <v>233</v>
      </c>
      <c r="EJ4" s="25"/>
      <c r="EK4" s="25"/>
      <c r="EL4" s="25"/>
      <c r="EM4" s="25"/>
      <c r="EN4" s="25"/>
      <c r="EO4" s="25"/>
      <c r="EP4" s="25" t="s">
        <v>234</v>
      </c>
      <c r="EQ4" s="25"/>
      <c r="ER4" s="25"/>
      <c r="ES4" s="25"/>
      <c r="ET4" s="25"/>
      <c r="EU4" s="25"/>
      <c r="EV4" s="25"/>
      <c r="EW4" s="25" t="s">
        <v>235</v>
      </c>
      <c r="EX4" s="25"/>
      <c r="EY4" s="25"/>
      <c r="EZ4" s="25"/>
      <c r="FA4" s="25"/>
      <c r="FB4" s="25"/>
      <c r="FC4" s="25"/>
      <c r="FD4" s="25" t="s">
        <v>244</v>
      </c>
      <c r="FE4" s="25"/>
      <c r="FF4" s="25"/>
      <c r="FG4" s="25"/>
      <c r="FH4" s="25"/>
      <c r="FI4" s="25"/>
      <c r="FJ4" s="25"/>
    </row>
    <row r="5" ht="28" customHeight="1" spans="1:166" x14ac:dyDescent="0.25">
      <c r="A5" s="17" t="s">
        <v>164</v>
      </c>
      <c r="B5" s="17" t="s">
        <v>173</v>
      </c>
      <c r="C5" s="17" t="s">
        <v>166</v>
      </c>
      <c r="D5" s="17" t="s">
        <v>167</v>
      </c>
      <c r="E5" s="17" t="s">
        <v>174</v>
      </c>
      <c r="F5" s="17" t="s">
        <v>199</v>
      </c>
      <c r="G5" s="17" t="s">
        <v>253</v>
      </c>
      <c r="H5" s="17" t="s">
        <v>246</v>
      </c>
      <c r="I5" s="17" t="s">
        <v>254</v>
      </c>
      <c r="J5" s="17" t="s">
        <v>255</v>
      </c>
      <c r="K5" s="17" t="s">
        <v>256</v>
      </c>
      <c r="L5" s="17" t="s">
        <v>257</v>
      </c>
      <c r="M5" s="17" t="s">
        <v>199</v>
      </c>
      <c r="N5" s="17" t="s">
        <v>253</v>
      </c>
      <c r="O5" s="17" t="s">
        <v>246</v>
      </c>
      <c r="P5" s="17" t="s">
        <v>254</v>
      </c>
      <c r="Q5" s="17" t="s">
        <v>255</v>
      </c>
      <c r="R5" s="17" t="s">
        <v>256</v>
      </c>
      <c r="S5" s="17" t="s">
        <v>257</v>
      </c>
      <c r="T5" s="17" t="s">
        <v>199</v>
      </c>
      <c r="U5" s="17" t="s">
        <v>253</v>
      </c>
      <c r="V5" s="17" t="s">
        <v>246</v>
      </c>
      <c r="W5" s="17" t="s">
        <v>254</v>
      </c>
      <c r="X5" s="17" t="s">
        <v>255</v>
      </c>
      <c r="Y5" s="17" t="s">
        <v>256</v>
      </c>
      <c r="Z5" s="17" t="s">
        <v>257</v>
      </c>
      <c r="AA5" s="17" t="s">
        <v>199</v>
      </c>
      <c r="AB5" s="17" t="s">
        <v>253</v>
      </c>
      <c r="AC5" s="17" t="s">
        <v>246</v>
      </c>
      <c r="AD5" s="17" t="s">
        <v>254</v>
      </c>
      <c r="AE5" s="17" t="s">
        <v>255</v>
      </c>
      <c r="AF5" s="17" t="s">
        <v>256</v>
      </c>
      <c r="AG5" s="17" t="s">
        <v>257</v>
      </c>
      <c r="AH5" s="17" t="s">
        <v>199</v>
      </c>
      <c r="AI5" s="17" t="s">
        <v>253</v>
      </c>
      <c r="AJ5" s="17" t="s">
        <v>246</v>
      </c>
      <c r="AK5" s="17" t="s">
        <v>254</v>
      </c>
      <c r="AL5" s="17" t="s">
        <v>255</v>
      </c>
      <c r="AM5" s="17" t="s">
        <v>256</v>
      </c>
      <c r="AN5" s="17" t="s">
        <v>257</v>
      </c>
      <c r="AO5" s="17" t="s">
        <v>199</v>
      </c>
      <c r="AP5" s="17" t="s">
        <v>253</v>
      </c>
      <c r="AQ5" s="17" t="s">
        <v>246</v>
      </c>
      <c r="AR5" s="17" t="s">
        <v>254</v>
      </c>
      <c r="AS5" s="17" t="s">
        <v>255</v>
      </c>
      <c r="AT5" s="17" t="s">
        <v>256</v>
      </c>
      <c r="AU5" s="17" t="s">
        <v>257</v>
      </c>
      <c r="AV5" s="17" t="s">
        <v>199</v>
      </c>
      <c r="AW5" s="17" t="s">
        <v>253</v>
      </c>
      <c r="AX5" s="17" t="s">
        <v>246</v>
      </c>
      <c r="AY5" s="17" t="s">
        <v>254</v>
      </c>
      <c r="AZ5" s="17" t="s">
        <v>255</v>
      </c>
      <c r="BA5" s="17" t="s">
        <v>256</v>
      </c>
      <c r="BB5" s="17" t="s">
        <v>257</v>
      </c>
      <c r="BC5" s="17" t="s">
        <v>199</v>
      </c>
      <c r="BD5" s="17" t="s">
        <v>253</v>
      </c>
      <c r="BE5" s="17" t="s">
        <v>246</v>
      </c>
      <c r="BF5" s="17" t="s">
        <v>254</v>
      </c>
      <c r="BG5" s="17" t="s">
        <v>255</v>
      </c>
      <c r="BH5" s="17" t="s">
        <v>256</v>
      </c>
      <c r="BI5" s="17" t="s">
        <v>257</v>
      </c>
      <c r="BJ5" s="17" t="s">
        <v>199</v>
      </c>
      <c r="BK5" s="17" t="s">
        <v>253</v>
      </c>
      <c r="BL5" s="17" t="s">
        <v>246</v>
      </c>
      <c r="BM5" s="17" t="s">
        <v>254</v>
      </c>
      <c r="BN5" s="17" t="s">
        <v>255</v>
      </c>
      <c r="BO5" s="17" t="s">
        <v>256</v>
      </c>
      <c r="BP5" s="17" t="s">
        <v>257</v>
      </c>
      <c r="BQ5" s="17" t="s">
        <v>199</v>
      </c>
      <c r="BR5" s="17" t="s">
        <v>253</v>
      </c>
      <c r="BS5" s="17" t="s">
        <v>246</v>
      </c>
      <c r="BT5" s="17" t="s">
        <v>254</v>
      </c>
      <c r="BU5" s="17" t="s">
        <v>255</v>
      </c>
      <c r="BV5" s="17" t="s">
        <v>256</v>
      </c>
      <c r="BW5" s="17" t="s">
        <v>257</v>
      </c>
      <c r="BX5" s="17" t="s">
        <v>199</v>
      </c>
      <c r="BY5" s="17" t="s">
        <v>253</v>
      </c>
      <c r="BZ5" s="17" t="s">
        <v>246</v>
      </c>
      <c r="CA5" s="17" t="s">
        <v>254</v>
      </c>
      <c r="CB5" s="17" t="s">
        <v>255</v>
      </c>
      <c r="CC5" s="17" t="s">
        <v>256</v>
      </c>
      <c r="CD5" s="17" t="s">
        <v>257</v>
      </c>
      <c r="CE5" s="17" t="s">
        <v>199</v>
      </c>
      <c r="CF5" s="17" t="s">
        <v>253</v>
      </c>
      <c r="CG5" s="17" t="s">
        <v>246</v>
      </c>
      <c r="CH5" s="17" t="s">
        <v>254</v>
      </c>
      <c r="CI5" s="17" t="s">
        <v>255</v>
      </c>
      <c r="CJ5" s="17" t="s">
        <v>256</v>
      </c>
      <c r="CK5" s="17" t="s">
        <v>257</v>
      </c>
      <c r="CL5" s="17" t="s">
        <v>199</v>
      </c>
      <c r="CM5" s="17" t="s">
        <v>253</v>
      </c>
      <c r="CN5" s="17" t="s">
        <v>246</v>
      </c>
      <c r="CO5" s="17" t="s">
        <v>254</v>
      </c>
      <c r="CP5" s="17" t="s">
        <v>255</v>
      </c>
      <c r="CQ5" s="17" t="s">
        <v>256</v>
      </c>
      <c r="CR5" s="17" t="s">
        <v>257</v>
      </c>
      <c r="CS5" s="17" t="s">
        <v>199</v>
      </c>
      <c r="CT5" s="17" t="s">
        <v>253</v>
      </c>
      <c r="CU5" s="17" t="s">
        <v>246</v>
      </c>
      <c r="CV5" s="17" t="s">
        <v>254</v>
      </c>
      <c r="CW5" s="17" t="s">
        <v>255</v>
      </c>
      <c r="CX5" s="17" t="s">
        <v>256</v>
      </c>
      <c r="CY5" s="17" t="s">
        <v>257</v>
      </c>
      <c r="CZ5" s="17" t="s">
        <v>199</v>
      </c>
      <c r="DA5" s="17" t="s">
        <v>253</v>
      </c>
      <c r="DB5" s="17" t="s">
        <v>246</v>
      </c>
      <c r="DC5" s="17" t="s">
        <v>254</v>
      </c>
      <c r="DD5" s="17" t="s">
        <v>255</v>
      </c>
      <c r="DE5" s="17" t="s">
        <v>256</v>
      </c>
      <c r="DF5" s="17" t="s">
        <v>257</v>
      </c>
      <c r="DG5" s="17" t="s">
        <v>199</v>
      </c>
      <c r="DH5" s="17" t="s">
        <v>253</v>
      </c>
      <c r="DI5" s="17" t="s">
        <v>246</v>
      </c>
      <c r="DJ5" s="17" t="s">
        <v>254</v>
      </c>
      <c r="DK5" s="17" t="s">
        <v>255</v>
      </c>
      <c r="DL5" s="17" t="s">
        <v>256</v>
      </c>
      <c r="DM5" s="17" t="s">
        <v>257</v>
      </c>
      <c r="DN5" s="17" t="s">
        <v>199</v>
      </c>
      <c r="DO5" s="17" t="s">
        <v>253</v>
      </c>
      <c r="DP5" s="17" t="s">
        <v>246</v>
      </c>
      <c r="DQ5" s="17" t="s">
        <v>254</v>
      </c>
      <c r="DR5" s="17" t="s">
        <v>255</v>
      </c>
      <c r="DS5" s="17" t="s">
        <v>256</v>
      </c>
      <c r="DT5" s="17" t="s">
        <v>257</v>
      </c>
      <c r="DU5" s="17" t="s">
        <v>199</v>
      </c>
      <c r="DV5" s="17" t="s">
        <v>253</v>
      </c>
      <c r="DW5" s="17" t="s">
        <v>246</v>
      </c>
      <c r="DX5" s="17" t="s">
        <v>254</v>
      </c>
      <c r="DY5" s="17" t="s">
        <v>255</v>
      </c>
      <c r="DZ5" s="17" t="s">
        <v>256</v>
      </c>
      <c r="EA5" s="17" t="s">
        <v>257</v>
      </c>
      <c r="EB5" s="17" t="s">
        <v>199</v>
      </c>
      <c r="EC5" s="17" t="s">
        <v>253</v>
      </c>
      <c r="ED5" s="17" t="s">
        <v>246</v>
      </c>
      <c r="EE5" s="17" t="s">
        <v>254</v>
      </c>
      <c r="EF5" s="17" t="s">
        <v>255</v>
      </c>
      <c r="EG5" s="17" t="s">
        <v>256</v>
      </c>
      <c r="EH5" s="17" t="s">
        <v>257</v>
      </c>
      <c r="EI5" s="17" t="s">
        <v>199</v>
      </c>
      <c r="EJ5" s="17" t="s">
        <v>253</v>
      </c>
      <c r="EK5" s="17" t="s">
        <v>246</v>
      </c>
      <c r="EL5" s="17" t="s">
        <v>254</v>
      </c>
      <c r="EM5" s="17" t="s">
        <v>255</v>
      </c>
      <c r="EN5" s="17" t="s">
        <v>256</v>
      </c>
      <c r="EO5" s="17" t="s">
        <v>257</v>
      </c>
      <c r="EP5" s="17" t="s">
        <v>199</v>
      </c>
      <c r="EQ5" s="17" t="s">
        <v>253</v>
      </c>
      <c r="ER5" s="17" t="s">
        <v>246</v>
      </c>
      <c r="ES5" s="17" t="s">
        <v>254</v>
      </c>
      <c r="ET5" s="17" t="s">
        <v>255</v>
      </c>
      <c r="EU5" s="17" t="s">
        <v>256</v>
      </c>
      <c r="EV5" s="17" t="s">
        <v>257</v>
      </c>
      <c r="EW5" s="17" t="s">
        <v>199</v>
      </c>
      <c r="EX5" s="17" t="s">
        <v>253</v>
      </c>
      <c r="EY5" s="17" t="s">
        <v>246</v>
      </c>
      <c r="EZ5" s="17" t="s">
        <v>254</v>
      </c>
      <c r="FA5" s="17" t="s">
        <v>255</v>
      </c>
      <c r="FB5" s="17" t="s">
        <v>256</v>
      </c>
      <c r="FC5" s="17" t="s">
        <v>257</v>
      </c>
      <c r="FD5" s="17" t="s">
        <v>199</v>
      </c>
      <c r="FE5" s="17" t="s">
        <v>253</v>
      </c>
      <c r="FF5" s="17" t="s">
        <v>246</v>
      </c>
      <c r="FG5" s="17" t="s">
        <v>254</v>
      </c>
      <c r="FH5" s="17" t="s">
        <v>255</v>
      </c>
      <c r="FI5" s="17" t="s">
        <v>256</v>
      </c>
      <c r="FJ5" s="17" t="s">
        <v>257</v>
      </c>
    </row>
    <row r="6" spans="1:166" x14ac:dyDescent="0.25">
      <c r="A6" s="35" t="s">
        <v>250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  <c r="ET6" s="42">
        <f>SUM(ET7:ET24)</f>
      </c>
      <c r="EU6" s="42">
        <f>SUM(EU7:EU24)</f>
      </c>
      <c r="EV6" s="42">
        <f>SUM(EV7:EV24)</f>
      </c>
      <c r="FA6" s="42">
        <f>SUM(FA7:FA24)</f>
      </c>
      <c r="FB6" s="42">
        <f>SUM(FB7:FB24)</f>
      </c>
      <c r="FC6" s="42">
        <f>SUM(FC7:FC24)</f>
      </c>
      <c r="FH6" s="42">
        <f>SUM(FH7:FH24)</f>
      </c>
      <c r="FI6" s="42">
        <f>SUM(FI7:FI24)</f>
      </c>
      <c r="FJ6" s="42">
        <f>SUM(FJ7:FJ24)</f>
      </c>
    </row>
    <row r="7" spans="1:166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PM_Angle!$J$26+PM_Angle!$K$26*$D7+PM_Angle!$L$26*$C7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  <c r="EP7" s="37">
        <f>PM_Angle!$J$27+PM_Angle!$K$27*$D7+PM_Angle!$L$27*$C7</f>
      </c>
      <c r="EQ7" s="20">
        <f>MAX(MIN(Es*EP7,fy),-fy)</f>
      </c>
      <c r="ER7" s="20">
        <f>IF(EP7&gt;0,IF(EP7&lt;=eco,alpha*fck*(1-(1-EP7/eco)^n),alpha*fck),0)</f>
      </c>
      <c r="ES7" s="20">
        <f>EQ7-ER7</f>
      </c>
      <c r="ET7" s="19">
        <f>ES7*$E7</f>
      </c>
      <c r="EU7" s="19">
        <f>ET7*$D7</f>
      </c>
      <c r="EV7" s="19">
        <f>ET7*$C7</f>
      </c>
      <c r="EW7" s="37">
        <f>PM_Angle!$J$28+PM_Angle!$K$28*$D7+PM_Angle!$L$28*$C7</f>
      </c>
      <c r="EX7" s="20">
        <f>MAX(MIN(Es*EW7,fy),-fy)</f>
      </c>
      <c r="EY7" s="20">
        <f>IF(EW7&gt;0,IF(EW7&lt;=eco,alpha*fck*(1-(1-EW7/eco)^n),alpha*fck),0)</f>
      </c>
      <c r="EZ7" s="20">
        <f>EX7-EY7</f>
      </c>
      <c r="FA7" s="19">
        <f>EZ7*$E7</f>
      </c>
      <c r="FB7" s="19">
        <f>FA7*$D7</f>
      </c>
      <c r="FC7" s="19">
        <f>FA7*$C7</f>
      </c>
      <c r="FD7" s="37">
        <f>Eq_e0+Eq_kx*$D7+Eq_ky*$C7</f>
      </c>
      <c r="FE7" s="20">
        <f>MAX(MIN(Es*FD7,fy),-fy)</f>
      </c>
      <c r="FF7" s="20">
        <f>IF(FD7&gt;0,IF(FD7&lt;=eco,alpha*fck*(1-(1-FD7/eco)^n),alpha*fck),0)</f>
      </c>
      <c r="FG7" s="20">
        <f>FE7-FF7</f>
      </c>
      <c r="FH7" s="19">
        <f>FG7*$E7</f>
      </c>
      <c r="FI7" s="19">
        <f>FH7*$D7</f>
      </c>
      <c r="FJ7" s="19">
        <f>FH7*$C7</f>
      </c>
    </row>
    <row r="8" spans="1:166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PM_Angle!$J$26+PM_Angle!$K$26*$D8+PM_Angle!$L$26*$C8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  <c r="EP8" s="37">
        <f>PM_Angle!$J$27+PM_Angle!$K$27*$D8+PM_Angle!$L$27*$C8</f>
      </c>
      <c r="EQ8" s="20">
        <f>MAX(MIN(Es*EP8,fy),-fy)</f>
      </c>
      <c r="ER8" s="20">
        <f>IF(EP8&gt;0,IF(EP8&lt;=eco,alpha*fck*(1-(1-EP8/eco)^n),alpha*fck),0)</f>
      </c>
      <c r="ES8" s="20">
        <f>EQ8-ER8</f>
      </c>
      <c r="ET8" s="19">
        <f>ES8*$E8</f>
      </c>
      <c r="EU8" s="19">
        <f>ET8*$D8</f>
      </c>
      <c r="EV8" s="19">
        <f>ET8*$C8</f>
      </c>
      <c r="EW8" s="37">
        <f>PM_Angle!$J$28+PM_Angle!$K$28*$D8+PM_Angle!$L$28*$C8</f>
      </c>
      <c r="EX8" s="20">
        <f>MAX(MIN(Es*EW8,fy),-fy)</f>
      </c>
      <c r="EY8" s="20">
        <f>IF(EW8&gt;0,IF(EW8&lt;=eco,alpha*fck*(1-(1-EW8/eco)^n),alpha*fck),0)</f>
      </c>
      <c r="EZ8" s="20">
        <f>EX8-EY8</f>
      </c>
      <c r="FA8" s="19">
        <f>EZ8*$E8</f>
      </c>
      <c r="FB8" s="19">
        <f>FA8*$D8</f>
      </c>
      <c r="FC8" s="19">
        <f>FA8*$C8</f>
      </c>
      <c r="FD8" s="37">
        <f>Eq_e0+Eq_kx*$D8+Eq_ky*$C8</f>
      </c>
      <c r="FE8" s="20">
        <f>MAX(MIN(Es*FD8,fy),-fy)</f>
      </c>
      <c r="FF8" s="20">
        <f>IF(FD8&gt;0,IF(FD8&lt;=eco,alpha*fck*(1-(1-FD8/eco)^n),alpha*fck),0)</f>
      </c>
      <c r="FG8" s="20">
        <f>FE8-FF8</f>
      </c>
      <c r="FH8" s="19">
        <f>FG8*$E8</f>
      </c>
      <c r="FI8" s="19">
        <f>FH8*$D8</f>
      </c>
      <c r="FJ8" s="19">
        <f>FH8*$C8</f>
      </c>
    </row>
    <row r="9" spans="1:166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PM_Angle!$J$26+PM_Angle!$K$26*$D9+PM_Angle!$L$26*$C9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  <c r="EP9" s="37">
        <f>PM_Angle!$J$27+PM_Angle!$K$27*$D9+PM_Angle!$L$27*$C9</f>
      </c>
      <c r="EQ9" s="20">
        <f>MAX(MIN(Es*EP9,fy),-fy)</f>
      </c>
      <c r="ER9" s="20">
        <f>IF(EP9&gt;0,IF(EP9&lt;=eco,alpha*fck*(1-(1-EP9/eco)^n),alpha*fck),0)</f>
      </c>
      <c r="ES9" s="20">
        <f>EQ9-ER9</f>
      </c>
      <c r="ET9" s="19">
        <f>ES9*$E9</f>
      </c>
      <c r="EU9" s="19">
        <f>ET9*$D9</f>
      </c>
      <c r="EV9" s="19">
        <f>ET9*$C9</f>
      </c>
      <c r="EW9" s="37">
        <f>PM_Angle!$J$28+PM_Angle!$K$28*$D9+PM_Angle!$L$28*$C9</f>
      </c>
      <c r="EX9" s="20">
        <f>MAX(MIN(Es*EW9,fy),-fy)</f>
      </c>
      <c r="EY9" s="20">
        <f>IF(EW9&gt;0,IF(EW9&lt;=eco,alpha*fck*(1-(1-EW9/eco)^n),alpha*fck),0)</f>
      </c>
      <c r="EZ9" s="20">
        <f>EX9-EY9</f>
      </c>
      <c r="FA9" s="19">
        <f>EZ9*$E9</f>
      </c>
      <c r="FB9" s="19">
        <f>FA9*$D9</f>
      </c>
      <c r="FC9" s="19">
        <f>FA9*$C9</f>
      </c>
      <c r="FD9" s="37">
        <f>Eq_e0+Eq_kx*$D9+Eq_ky*$C9</f>
      </c>
      <c r="FE9" s="20">
        <f>MAX(MIN(Es*FD9,fy),-fy)</f>
      </c>
      <c r="FF9" s="20">
        <f>IF(FD9&gt;0,IF(FD9&lt;=eco,alpha*fck*(1-(1-FD9/eco)^n),alpha*fck),0)</f>
      </c>
      <c r="FG9" s="20">
        <f>FE9-FF9</f>
      </c>
      <c r="FH9" s="19">
        <f>FG9*$E9</f>
      </c>
      <c r="FI9" s="19">
        <f>FH9*$D9</f>
      </c>
      <c r="FJ9" s="19">
        <f>FH9*$C9</f>
      </c>
    </row>
    <row r="10" spans="1:166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PM_Angle!$J$26+PM_Angle!$K$26*$D10+PM_Angle!$L$26*$C10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  <c r="EP10" s="37">
        <f>PM_Angle!$J$27+PM_Angle!$K$27*$D10+PM_Angle!$L$27*$C10</f>
      </c>
      <c r="EQ10" s="20">
        <f>MAX(MIN(Es*EP10,fy),-fy)</f>
      </c>
      <c r="ER10" s="20">
        <f>IF(EP10&gt;0,IF(EP10&lt;=eco,alpha*fck*(1-(1-EP10/eco)^n),alpha*fck),0)</f>
      </c>
      <c r="ES10" s="20">
        <f>EQ10-ER10</f>
      </c>
      <c r="ET10" s="19">
        <f>ES10*$E10</f>
      </c>
      <c r="EU10" s="19">
        <f>ET10*$D10</f>
      </c>
      <c r="EV10" s="19">
        <f>ET10*$C10</f>
      </c>
      <c r="EW10" s="37">
        <f>PM_Angle!$J$28+PM_Angle!$K$28*$D10+PM_Angle!$L$28*$C10</f>
      </c>
      <c r="EX10" s="20">
        <f>MAX(MIN(Es*EW10,fy),-fy)</f>
      </c>
      <c r="EY10" s="20">
        <f>IF(EW10&gt;0,IF(EW10&lt;=eco,alpha*fck*(1-(1-EW10/eco)^n),alpha*fck),0)</f>
      </c>
      <c r="EZ10" s="20">
        <f>EX10-EY10</f>
      </c>
      <c r="FA10" s="19">
        <f>EZ10*$E10</f>
      </c>
      <c r="FB10" s="19">
        <f>FA10*$D10</f>
      </c>
      <c r="FC10" s="19">
        <f>FA10*$C10</f>
      </c>
      <c r="FD10" s="37">
        <f>Eq_e0+Eq_kx*$D10+Eq_ky*$C10</f>
      </c>
      <c r="FE10" s="20">
        <f>MAX(MIN(Es*FD10,fy),-fy)</f>
      </c>
      <c r="FF10" s="20">
        <f>IF(FD10&gt;0,IF(FD10&lt;=eco,alpha*fck*(1-(1-FD10/eco)^n),alpha*fck),0)</f>
      </c>
      <c r="FG10" s="20">
        <f>FE10-FF10</f>
      </c>
      <c r="FH10" s="19">
        <f>FG10*$E10</f>
      </c>
      <c r="FI10" s="19">
        <f>FH10*$D10</f>
      </c>
      <c r="FJ10" s="19">
        <f>FH10*$C10</f>
      </c>
    </row>
    <row r="11" spans="1:166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PM_Angle!$J$26+PM_Angle!$K$26*$D11+PM_Angle!$L$26*$C11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  <c r="EP11" s="37">
        <f>PM_Angle!$J$27+PM_Angle!$K$27*$D11+PM_Angle!$L$27*$C11</f>
      </c>
      <c r="EQ11" s="20">
        <f>MAX(MIN(Es*EP11,fy),-fy)</f>
      </c>
      <c r="ER11" s="20">
        <f>IF(EP11&gt;0,IF(EP11&lt;=eco,alpha*fck*(1-(1-EP11/eco)^n),alpha*fck),0)</f>
      </c>
      <c r="ES11" s="20">
        <f>EQ11-ER11</f>
      </c>
      <c r="ET11" s="19">
        <f>ES11*$E11</f>
      </c>
      <c r="EU11" s="19">
        <f>ET11*$D11</f>
      </c>
      <c r="EV11" s="19">
        <f>ET11*$C11</f>
      </c>
      <c r="EW11" s="37">
        <f>PM_Angle!$J$28+PM_Angle!$K$28*$D11+PM_Angle!$L$28*$C11</f>
      </c>
      <c r="EX11" s="20">
        <f>MAX(MIN(Es*EW11,fy),-fy)</f>
      </c>
      <c r="EY11" s="20">
        <f>IF(EW11&gt;0,IF(EW11&lt;=eco,alpha*fck*(1-(1-EW11/eco)^n),alpha*fck),0)</f>
      </c>
      <c r="EZ11" s="20">
        <f>EX11-EY11</f>
      </c>
      <c r="FA11" s="19">
        <f>EZ11*$E11</f>
      </c>
      <c r="FB11" s="19">
        <f>FA11*$D11</f>
      </c>
      <c r="FC11" s="19">
        <f>FA11*$C11</f>
      </c>
      <c r="FD11" s="37">
        <f>Eq_e0+Eq_kx*$D11+Eq_ky*$C11</f>
      </c>
      <c r="FE11" s="20">
        <f>MAX(MIN(Es*FD11,fy),-fy)</f>
      </c>
      <c r="FF11" s="20">
        <f>IF(FD11&gt;0,IF(FD11&lt;=eco,alpha*fck*(1-(1-FD11/eco)^n),alpha*fck),0)</f>
      </c>
      <c r="FG11" s="20">
        <f>FE11-FF11</f>
      </c>
      <c r="FH11" s="19">
        <f>FG11*$E11</f>
      </c>
      <c r="FI11" s="19">
        <f>FH11*$D11</f>
      </c>
      <c r="FJ11" s="19">
        <f>FH11*$C11</f>
      </c>
    </row>
    <row r="12" spans="1:166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PM_Angle!$J$26+PM_Angle!$K$26*$D12+PM_Angle!$L$26*$C12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  <c r="EP12" s="37">
        <f>PM_Angle!$J$27+PM_Angle!$K$27*$D12+PM_Angle!$L$27*$C12</f>
      </c>
      <c r="EQ12" s="20">
        <f>MAX(MIN(Es*EP12,fy),-fy)</f>
      </c>
      <c r="ER12" s="20">
        <f>IF(EP12&gt;0,IF(EP12&lt;=eco,alpha*fck*(1-(1-EP12/eco)^n),alpha*fck),0)</f>
      </c>
      <c r="ES12" s="20">
        <f>EQ12-ER12</f>
      </c>
      <c r="ET12" s="19">
        <f>ES12*$E12</f>
      </c>
      <c r="EU12" s="19">
        <f>ET12*$D12</f>
      </c>
      <c r="EV12" s="19">
        <f>ET12*$C12</f>
      </c>
      <c r="EW12" s="37">
        <f>PM_Angle!$J$28+PM_Angle!$K$28*$D12+PM_Angle!$L$28*$C12</f>
      </c>
      <c r="EX12" s="20">
        <f>MAX(MIN(Es*EW12,fy),-fy)</f>
      </c>
      <c r="EY12" s="20">
        <f>IF(EW12&gt;0,IF(EW12&lt;=eco,alpha*fck*(1-(1-EW12/eco)^n),alpha*fck),0)</f>
      </c>
      <c r="EZ12" s="20">
        <f>EX12-EY12</f>
      </c>
      <c r="FA12" s="19">
        <f>EZ12*$E12</f>
      </c>
      <c r="FB12" s="19">
        <f>FA12*$D12</f>
      </c>
      <c r="FC12" s="19">
        <f>FA12*$C12</f>
      </c>
      <c r="FD12" s="37">
        <f>Eq_e0+Eq_kx*$D12+Eq_ky*$C12</f>
      </c>
      <c r="FE12" s="20">
        <f>MAX(MIN(Es*FD12,fy),-fy)</f>
      </c>
      <c r="FF12" s="20">
        <f>IF(FD12&gt;0,IF(FD12&lt;=eco,alpha*fck*(1-(1-FD12/eco)^n),alpha*fck),0)</f>
      </c>
      <c r="FG12" s="20">
        <f>FE12-FF12</f>
      </c>
      <c r="FH12" s="19">
        <f>FG12*$E12</f>
      </c>
      <c r="FI12" s="19">
        <f>FH12*$D12</f>
      </c>
      <c r="FJ12" s="19">
        <f>FH12*$C12</f>
      </c>
    </row>
    <row r="13" spans="1:166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PM_Angle!$J$26+PM_Angle!$K$26*$D13+PM_Angle!$L$26*$C13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  <c r="EP13" s="37">
        <f>PM_Angle!$J$27+PM_Angle!$K$27*$D13+PM_Angle!$L$27*$C13</f>
      </c>
      <c r="EQ13" s="20">
        <f>MAX(MIN(Es*EP13,fy),-fy)</f>
      </c>
      <c r="ER13" s="20">
        <f>IF(EP13&gt;0,IF(EP13&lt;=eco,alpha*fck*(1-(1-EP13/eco)^n),alpha*fck),0)</f>
      </c>
      <c r="ES13" s="20">
        <f>EQ13-ER13</f>
      </c>
      <c r="ET13" s="19">
        <f>ES13*$E13</f>
      </c>
      <c r="EU13" s="19">
        <f>ET13*$D13</f>
      </c>
      <c r="EV13" s="19">
        <f>ET13*$C13</f>
      </c>
      <c r="EW13" s="37">
        <f>PM_Angle!$J$28+PM_Angle!$K$28*$D13+PM_Angle!$L$28*$C13</f>
      </c>
      <c r="EX13" s="20">
        <f>MAX(MIN(Es*EW13,fy),-fy)</f>
      </c>
      <c r="EY13" s="20">
        <f>IF(EW13&gt;0,IF(EW13&lt;=eco,alpha*fck*(1-(1-EW13/eco)^n),alpha*fck),0)</f>
      </c>
      <c r="EZ13" s="20">
        <f>EX13-EY13</f>
      </c>
      <c r="FA13" s="19">
        <f>EZ13*$E13</f>
      </c>
      <c r="FB13" s="19">
        <f>FA13*$D13</f>
      </c>
      <c r="FC13" s="19">
        <f>FA13*$C13</f>
      </c>
      <c r="FD13" s="37">
        <f>Eq_e0+Eq_kx*$D13+Eq_ky*$C13</f>
      </c>
      <c r="FE13" s="20">
        <f>MAX(MIN(Es*FD13,fy),-fy)</f>
      </c>
      <c r="FF13" s="20">
        <f>IF(FD13&gt;0,IF(FD13&lt;=eco,alpha*fck*(1-(1-FD13/eco)^n),alpha*fck),0)</f>
      </c>
      <c r="FG13" s="20">
        <f>FE13-FF13</f>
      </c>
      <c r="FH13" s="19">
        <f>FG13*$E13</f>
      </c>
      <c r="FI13" s="19">
        <f>FH13*$D13</f>
      </c>
      <c r="FJ13" s="19">
        <f>FH13*$C13</f>
      </c>
    </row>
    <row r="14" spans="1:166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PM_Angle!$J$26+PM_Angle!$K$26*$D14+PM_Angle!$L$26*$C14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  <c r="EP14" s="37">
        <f>PM_Angle!$J$27+PM_Angle!$K$27*$D14+PM_Angle!$L$27*$C14</f>
      </c>
      <c r="EQ14" s="20">
        <f>MAX(MIN(Es*EP14,fy),-fy)</f>
      </c>
      <c r="ER14" s="20">
        <f>IF(EP14&gt;0,IF(EP14&lt;=eco,alpha*fck*(1-(1-EP14/eco)^n),alpha*fck),0)</f>
      </c>
      <c r="ES14" s="20">
        <f>EQ14-ER14</f>
      </c>
      <c r="ET14" s="19">
        <f>ES14*$E14</f>
      </c>
      <c r="EU14" s="19">
        <f>ET14*$D14</f>
      </c>
      <c r="EV14" s="19">
        <f>ET14*$C14</f>
      </c>
      <c r="EW14" s="37">
        <f>PM_Angle!$J$28+PM_Angle!$K$28*$D14+PM_Angle!$L$28*$C14</f>
      </c>
      <c r="EX14" s="20">
        <f>MAX(MIN(Es*EW14,fy),-fy)</f>
      </c>
      <c r="EY14" s="20">
        <f>IF(EW14&gt;0,IF(EW14&lt;=eco,alpha*fck*(1-(1-EW14/eco)^n),alpha*fck),0)</f>
      </c>
      <c r="EZ14" s="20">
        <f>EX14-EY14</f>
      </c>
      <c r="FA14" s="19">
        <f>EZ14*$E14</f>
      </c>
      <c r="FB14" s="19">
        <f>FA14*$D14</f>
      </c>
      <c r="FC14" s="19">
        <f>FA14*$C14</f>
      </c>
      <c r="FD14" s="37">
        <f>Eq_e0+Eq_kx*$D14+Eq_ky*$C14</f>
      </c>
      <c r="FE14" s="20">
        <f>MAX(MIN(Es*FD14,fy),-fy)</f>
      </c>
      <c r="FF14" s="20">
        <f>IF(FD14&gt;0,IF(FD14&lt;=eco,alpha*fck*(1-(1-FD14/eco)^n),alpha*fck),0)</f>
      </c>
      <c r="FG14" s="20">
        <f>FE14-FF14</f>
      </c>
      <c r="FH14" s="19">
        <f>FG14*$E14</f>
      </c>
      <c r="FI14" s="19">
        <f>FH14*$D14</f>
      </c>
      <c r="FJ14" s="19">
        <f>FH14*$C14</f>
      </c>
    </row>
    <row r="15" spans="1:166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PM_Angle!$J$26+PM_Angle!$K$26*$D15+PM_Angle!$L$26*$C15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  <c r="EP15" s="37">
        <f>PM_Angle!$J$27+PM_Angle!$K$27*$D15+PM_Angle!$L$27*$C15</f>
      </c>
      <c r="EQ15" s="20">
        <f>MAX(MIN(Es*EP15,fy),-fy)</f>
      </c>
      <c r="ER15" s="20">
        <f>IF(EP15&gt;0,IF(EP15&lt;=eco,alpha*fck*(1-(1-EP15/eco)^n),alpha*fck),0)</f>
      </c>
      <c r="ES15" s="20">
        <f>EQ15-ER15</f>
      </c>
      <c r="ET15" s="19">
        <f>ES15*$E15</f>
      </c>
      <c r="EU15" s="19">
        <f>ET15*$D15</f>
      </c>
      <c r="EV15" s="19">
        <f>ET15*$C15</f>
      </c>
      <c r="EW15" s="37">
        <f>PM_Angle!$J$28+PM_Angle!$K$28*$D15+PM_Angle!$L$28*$C15</f>
      </c>
      <c r="EX15" s="20">
        <f>MAX(MIN(Es*EW15,fy),-fy)</f>
      </c>
      <c r="EY15" s="20">
        <f>IF(EW15&gt;0,IF(EW15&lt;=eco,alpha*fck*(1-(1-EW15/eco)^n),alpha*fck),0)</f>
      </c>
      <c r="EZ15" s="20">
        <f>EX15-EY15</f>
      </c>
      <c r="FA15" s="19">
        <f>EZ15*$E15</f>
      </c>
      <c r="FB15" s="19">
        <f>FA15*$D15</f>
      </c>
      <c r="FC15" s="19">
        <f>FA15*$C15</f>
      </c>
      <c r="FD15" s="37">
        <f>Eq_e0+Eq_kx*$D15+Eq_ky*$C15</f>
      </c>
      <c r="FE15" s="20">
        <f>MAX(MIN(Es*FD15,fy),-fy)</f>
      </c>
      <c r="FF15" s="20">
        <f>IF(FD15&gt;0,IF(FD15&lt;=eco,alpha*fck*(1-(1-FD15/eco)^n),alpha*fck),0)</f>
      </c>
      <c r="FG15" s="20">
        <f>FE15-FF15</f>
      </c>
      <c r="FH15" s="19">
        <f>FG15*$E15</f>
      </c>
      <c r="FI15" s="19">
        <f>FH15*$D15</f>
      </c>
      <c r="FJ15" s="19">
        <f>FH15*$C15</f>
      </c>
    </row>
    <row r="16" spans="1:166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PM_Angle!$J$26+PM_Angle!$K$26*$D16+PM_Angle!$L$26*$C16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  <c r="EP16" s="37">
        <f>PM_Angle!$J$27+PM_Angle!$K$27*$D16+PM_Angle!$L$27*$C16</f>
      </c>
      <c r="EQ16" s="20">
        <f>MAX(MIN(Es*EP16,fy),-fy)</f>
      </c>
      <c r="ER16" s="20">
        <f>IF(EP16&gt;0,IF(EP16&lt;=eco,alpha*fck*(1-(1-EP16/eco)^n),alpha*fck),0)</f>
      </c>
      <c r="ES16" s="20">
        <f>EQ16-ER16</f>
      </c>
      <c r="ET16" s="19">
        <f>ES16*$E16</f>
      </c>
      <c r="EU16" s="19">
        <f>ET16*$D16</f>
      </c>
      <c r="EV16" s="19">
        <f>ET16*$C16</f>
      </c>
      <c r="EW16" s="37">
        <f>PM_Angle!$J$28+PM_Angle!$K$28*$D16+PM_Angle!$L$28*$C16</f>
      </c>
      <c r="EX16" s="20">
        <f>MAX(MIN(Es*EW16,fy),-fy)</f>
      </c>
      <c r="EY16" s="20">
        <f>IF(EW16&gt;0,IF(EW16&lt;=eco,alpha*fck*(1-(1-EW16/eco)^n),alpha*fck),0)</f>
      </c>
      <c r="EZ16" s="20">
        <f>EX16-EY16</f>
      </c>
      <c r="FA16" s="19">
        <f>EZ16*$E16</f>
      </c>
      <c r="FB16" s="19">
        <f>FA16*$D16</f>
      </c>
      <c r="FC16" s="19">
        <f>FA16*$C16</f>
      </c>
      <c r="FD16" s="37">
        <f>Eq_e0+Eq_kx*$D16+Eq_ky*$C16</f>
      </c>
      <c r="FE16" s="20">
        <f>MAX(MIN(Es*FD16,fy),-fy)</f>
      </c>
      <c r="FF16" s="20">
        <f>IF(FD16&gt;0,IF(FD16&lt;=eco,alpha*fck*(1-(1-FD16/eco)^n),alpha*fck),0)</f>
      </c>
      <c r="FG16" s="20">
        <f>FE16-FF16</f>
      </c>
      <c r="FH16" s="19">
        <f>FG16*$E16</f>
      </c>
      <c r="FI16" s="19">
        <f>FH16*$D16</f>
      </c>
      <c r="FJ16" s="19">
        <f>FH16*$C16</f>
      </c>
    </row>
    <row r="17" spans="1:166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PM_Angle!$J$26+PM_Angle!$K$26*$D17+PM_Angle!$L$26*$C17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  <c r="EP17" s="37">
        <f>PM_Angle!$J$27+PM_Angle!$K$27*$D17+PM_Angle!$L$27*$C17</f>
      </c>
      <c r="EQ17" s="20">
        <f>MAX(MIN(Es*EP17,fy),-fy)</f>
      </c>
      <c r="ER17" s="20">
        <f>IF(EP17&gt;0,IF(EP17&lt;=eco,alpha*fck*(1-(1-EP17/eco)^n),alpha*fck),0)</f>
      </c>
      <c r="ES17" s="20">
        <f>EQ17-ER17</f>
      </c>
      <c r="ET17" s="19">
        <f>ES17*$E17</f>
      </c>
      <c r="EU17" s="19">
        <f>ET17*$D17</f>
      </c>
      <c r="EV17" s="19">
        <f>ET17*$C17</f>
      </c>
      <c r="EW17" s="37">
        <f>PM_Angle!$J$28+PM_Angle!$K$28*$D17+PM_Angle!$L$28*$C17</f>
      </c>
      <c r="EX17" s="20">
        <f>MAX(MIN(Es*EW17,fy),-fy)</f>
      </c>
      <c r="EY17" s="20">
        <f>IF(EW17&gt;0,IF(EW17&lt;=eco,alpha*fck*(1-(1-EW17/eco)^n),alpha*fck),0)</f>
      </c>
      <c r="EZ17" s="20">
        <f>EX17-EY17</f>
      </c>
      <c r="FA17" s="19">
        <f>EZ17*$E17</f>
      </c>
      <c r="FB17" s="19">
        <f>FA17*$D17</f>
      </c>
      <c r="FC17" s="19">
        <f>FA17*$C17</f>
      </c>
      <c r="FD17" s="37">
        <f>Eq_e0+Eq_kx*$D17+Eq_ky*$C17</f>
      </c>
      <c r="FE17" s="20">
        <f>MAX(MIN(Es*FD17,fy),-fy)</f>
      </c>
      <c r="FF17" s="20">
        <f>IF(FD17&gt;0,IF(FD17&lt;=eco,alpha*fck*(1-(1-FD17/eco)^n),alpha*fck),0)</f>
      </c>
      <c r="FG17" s="20">
        <f>FE17-FF17</f>
      </c>
      <c r="FH17" s="19">
        <f>FG17*$E17</f>
      </c>
      <c r="FI17" s="19">
        <f>FH17*$D17</f>
      </c>
      <c r="FJ17" s="19">
        <f>FH17*$C17</f>
      </c>
    </row>
    <row r="18" spans="1:166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PM_Angle!$J$26+PM_Angle!$K$26*$D18+PM_Angle!$L$26*$C18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  <c r="EP18" s="37">
        <f>PM_Angle!$J$27+PM_Angle!$K$27*$D18+PM_Angle!$L$27*$C18</f>
      </c>
      <c r="EQ18" s="20">
        <f>MAX(MIN(Es*EP18,fy),-fy)</f>
      </c>
      <c r="ER18" s="20">
        <f>IF(EP18&gt;0,IF(EP18&lt;=eco,alpha*fck*(1-(1-EP18/eco)^n),alpha*fck),0)</f>
      </c>
      <c r="ES18" s="20">
        <f>EQ18-ER18</f>
      </c>
      <c r="ET18" s="19">
        <f>ES18*$E18</f>
      </c>
      <c r="EU18" s="19">
        <f>ET18*$D18</f>
      </c>
      <c r="EV18" s="19">
        <f>ET18*$C18</f>
      </c>
      <c r="EW18" s="37">
        <f>PM_Angle!$J$28+PM_Angle!$K$28*$D18+PM_Angle!$L$28*$C18</f>
      </c>
      <c r="EX18" s="20">
        <f>MAX(MIN(Es*EW18,fy),-fy)</f>
      </c>
      <c r="EY18" s="20">
        <f>IF(EW18&gt;0,IF(EW18&lt;=eco,alpha*fck*(1-(1-EW18/eco)^n),alpha*fck),0)</f>
      </c>
      <c r="EZ18" s="20">
        <f>EX18-EY18</f>
      </c>
      <c r="FA18" s="19">
        <f>EZ18*$E18</f>
      </c>
      <c r="FB18" s="19">
        <f>FA18*$D18</f>
      </c>
      <c r="FC18" s="19">
        <f>FA18*$C18</f>
      </c>
      <c r="FD18" s="37">
        <f>Eq_e0+Eq_kx*$D18+Eq_ky*$C18</f>
      </c>
      <c r="FE18" s="20">
        <f>MAX(MIN(Es*FD18,fy),-fy)</f>
      </c>
      <c r="FF18" s="20">
        <f>IF(FD18&gt;0,IF(FD18&lt;=eco,alpha*fck*(1-(1-FD18/eco)^n),alpha*fck),0)</f>
      </c>
      <c r="FG18" s="20">
        <f>FE18-FF18</f>
      </c>
      <c r="FH18" s="19">
        <f>FG18*$E18</f>
      </c>
      <c r="FI18" s="19">
        <f>FH18*$D18</f>
      </c>
      <c r="FJ18" s="19">
        <f>FH18*$C18</f>
      </c>
    </row>
    <row r="19" spans="1:166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PM_Angle!$J$26+PM_Angle!$K$26*$D19+PM_Angle!$L$26*$C19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  <c r="EP19" s="37">
        <f>PM_Angle!$J$27+PM_Angle!$K$27*$D19+PM_Angle!$L$27*$C19</f>
      </c>
      <c r="EQ19" s="20">
        <f>MAX(MIN(Es*EP19,fy),-fy)</f>
      </c>
      <c r="ER19" s="20">
        <f>IF(EP19&gt;0,IF(EP19&lt;=eco,alpha*fck*(1-(1-EP19/eco)^n),alpha*fck),0)</f>
      </c>
      <c r="ES19" s="20">
        <f>EQ19-ER19</f>
      </c>
      <c r="ET19" s="19">
        <f>ES19*$E19</f>
      </c>
      <c r="EU19" s="19">
        <f>ET19*$D19</f>
      </c>
      <c r="EV19" s="19">
        <f>ET19*$C19</f>
      </c>
      <c r="EW19" s="37">
        <f>PM_Angle!$J$28+PM_Angle!$K$28*$D19+PM_Angle!$L$28*$C19</f>
      </c>
      <c r="EX19" s="20">
        <f>MAX(MIN(Es*EW19,fy),-fy)</f>
      </c>
      <c r="EY19" s="20">
        <f>IF(EW19&gt;0,IF(EW19&lt;=eco,alpha*fck*(1-(1-EW19/eco)^n),alpha*fck),0)</f>
      </c>
      <c r="EZ19" s="20">
        <f>EX19-EY19</f>
      </c>
      <c r="FA19" s="19">
        <f>EZ19*$E19</f>
      </c>
      <c r="FB19" s="19">
        <f>FA19*$D19</f>
      </c>
      <c r="FC19" s="19">
        <f>FA19*$C19</f>
      </c>
      <c r="FD19" s="37">
        <f>Eq_e0+Eq_kx*$D19+Eq_ky*$C19</f>
      </c>
      <c r="FE19" s="20">
        <f>MAX(MIN(Es*FD19,fy),-fy)</f>
      </c>
      <c r="FF19" s="20">
        <f>IF(FD19&gt;0,IF(FD19&lt;=eco,alpha*fck*(1-(1-FD19/eco)^n),alpha*fck),0)</f>
      </c>
      <c r="FG19" s="20">
        <f>FE19-FF19</f>
      </c>
      <c r="FH19" s="19">
        <f>FG19*$E19</f>
      </c>
      <c r="FI19" s="19">
        <f>FH19*$D19</f>
      </c>
      <c r="FJ19" s="19">
        <f>FH19*$C19</f>
      </c>
    </row>
    <row r="20" spans="1:166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PM_Angle!$J$26+PM_Angle!$K$26*$D20+PM_Angle!$L$26*$C20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  <c r="EP20" s="37">
        <f>PM_Angle!$J$27+PM_Angle!$K$27*$D20+PM_Angle!$L$27*$C20</f>
      </c>
      <c r="EQ20" s="20">
        <f>MAX(MIN(Es*EP20,fy),-fy)</f>
      </c>
      <c r="ER20" s="20">
        <f>IF(EP20&gt;0,IF(EP20&lt;=eco,alpha*fck*(1-(1-EP20/eco)^n),alpha*fck),0)</f>
      </c>
      <c r="ES20" s="20">
        <f>EQ20-ER20</f>
      </c>
      <c r="ET20" s="19">
        <f>ES20*$E20</f>
      </c>
      <c r="EU20" s="19">
        <f>ET20*$D20</f>
      </c>
      <c r="EV20" s="19">
        <f>ET20*$C20</f>
      </c>
      <c r="EW20" s="37">
        <f>PM_Angle!$J$28+PM_Angle!$K$28*$D20+PM_Angle!$L$28*$C20</f>
      </c>
      <c r="EX20" s="20">
        <f>MAX(MIN(Es*EW20,fy),-fy)</f>
      </c>
      <c r="EY20" s="20">
        <f>IF(EW20&gt;0,IF(EW20&lt;=eco,alpha*fck*(1-(1-EW20/eco)^n),alpha*fck),0)</f>
      </c>
      <c r="EZ20" s="20">
        <f>EX20-EY20</f>
      </c>
      <c r="FA20" s="19">
        <f>EZ20*$E20</f>
      </c>
      <c r="FB20" s="19">
        <f>FA20*$D20</f>
      </c>
      <c r="FC20" s="19">
        <f>FA20*$C20</f>
      </c>
      <c r="FD20" s="37">
        <f>Eq_e0+Eq_kx*$D20+Eq_ky*$C20</f>
      </c>
      <c r="FE20" s="20">
        <f>MAX(MIN(Es*FD20,fy),-fy)</f>
      </c>
      <c r="FF20" s="20">
        <f>IF(FD20&gt;0,IF(FD20&lt;=eco,alpha*fck*(1-(1-FD20/eco)^n),alpha*fck),0)</f>
      </c>
      <c r="FG20" s="20">
        <f>FE20-FF20</f>
      </c>
      <c r="FH20" s="19">
        <f>FG20*$E20</f>
      </c>
      <c r="FI20" s="19">
        <f>FH20*$D20</f>
      </c>
      <c r="FJ20" s="19">
        <f>FH20*$C20</f>
      </c>
    </row>
    <row r="21" spans="1:166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PM_Angle!$J$26+PM_Angle!$K$26*$D21+PM_Angle!$L$26*$C21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  <c r="EP21" s="37">
        <f>PM_Angle!$J$27+PM_Angle!$K$27*$D21+PM_Angle!$L$27*$C21</f>
      </c>
      <c r="EQ21" s="20">
        <f>MAX(MIN(Es*EP21,fy),-fy)</f>
      </c>
      <c r="ER21" s="20">
        <f>IF(EP21&gt;0,IF(EP21&lt;=eco,alpha*fck*(1-(1-EP21/eco)^n),alpha*fck),0)</f>
      </c>
      <c r="ES21" s="20">
        <f>EQ21-ER21</f>
      </c>
      <c r="ET21" s="19">
        <f>ES21*$E21</f>
      </c>
      <c r="EU21" s="19">
        <f>ET21*$D21</f>
      </c>
      <c r="EV21" s="19">
        <f>ET21*$C21</f>
      </c>
      <c r="EW21" s="37">
        <f>PM_Angle!$J$28+PM_Angle!$K$28*$D21+PM_Angle!$L$28*$C21</f>
      </c>
      <c r="EX21" s="20">
        <f>MAX(MIN(Es*EW21,fy),-fy)</f>
      </c>
      <c r="EY21" s="20">
        <f>IF(EW21&gt;0,IF(EW21&lt;=eco,alpha*fck*(1-(1-EW21/eco)^n),alpha*fck),0)</f>
      </c>
      <c r="EZ21" s="20">
        <f>EX21-EY21</f>
      </c>
      <c r="FA21" s="19">
        <f>EZ21*$E21</f>
      </c>
      <c r="FB21" s="19">
        <f>FA21*$D21</f>
      </c>
      <c r="FC21" s="19">
        <f>FA21*$C21</f>
      </c>
      <c r="FD21" s="37">
        <f>Eq_e0+Eq_kx*$D21+Eq_ky*$C21</f>
      </c>
      <c r="FE21" s="20">
        <f>MAX(MIN(Es*FD21,fy),-fy)</f>
      </c>
      <c r="FF21" s="20">
        <f>IF(FD21&gt;0,IF(FD21&lt;=eco,alpha*fck*(1-(1-FD21/eco)^n),alpha*fck),0)</f>
      </c>
      <c r="FG21" s="20">
        <f>FE21-FF21</f>
      </c>
      <c r="FH21" s="19">
        <f>FG21*$E21</f>
      </c>
      <c r="FI21" s="19">
        <f>FH21*$D21</f>
      </c>
      <c r="FJ21" s="19">
        <f>FH21*$C21</f>
      </c>
    </row>
    <row r="22" spans="1:166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PM_Angle!$J$26+PM_Angle!$K$26*$D22+PM_Angle!$L$26*$C22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  <c r="EP22" s="37">
        <f>PM_Angle!$J$27+PM_Angle!$K$27*$D22+PM_Angle!$L$27*$C22</f>
      </c>
      <c r="EQ22" s="20">
        <f>MAX(MIN(Es*EP22,fy),-fy)</f>
      </c>
      <c r="ER22" s="20">
        <f>IF(EP22&gt;0,IF(EP22&lt;=eco,alpha*fck*(1-(1-EP22/eco)^n),alpha*fck),0)</f>
      </c>
      <c r="ES22" s="20">
        <f>EQ22-ER22</f>
      </c>
      <c r="ET22" s="19">
        <f>ES22*$E22</f>
      </c>
      <c r="EU22" s="19">
        <f>ET22*$D22</f>
      </c>
      <c r="EV22" s="19">
        <f>ET22*$C22</f>
      </c>
      <c r="EW22" s="37">
        <f>PM_Angle!$J$28+PM_Angle!$K$28*$D22+PM_Angle!$L$28*$C22</f>
      </c>
      <c r="EX22" s="20">
        <f>MAX(MIN(Es*EW22,fy),-fy)</f>
      </c>
      <c r="EY22" s="20">
        <f>IF(EW22&gt;0,IF(EW22&lt;=eco,alpha*fck*(1-(1-EW22/eco)^n),alpha*fck),0)</f>
      </c>
      <c r="EZ22" s="20">
        <f>EX22-EY22</f>
      </c>
      <c r="FA22" s="19">
        <f>EZ22*$E22</f>
      </c>
      <c r="FB22" s="19">
        <f>FA22*$D22</f>
      </c>
      <c r="FC22" s="19">
        <f>FA22*$C22</f>
      </c>
      <c r="FD22" s="37">
        <f>Eq_e0+Eq_kx*$D22+Eq_ky*$C22</f>
      </c>
      <c r="FE22" s="20">
        <f>MAX(MIN(Es*FD22,fy),-fy)</f>
      </c>
      <c r="FF22" s="20">
        <f>IF(FD22&gt;0,IF(FD22&lt;=eco,alpha*fck*(1-(1-FD22/eco)^n),alpha*fck),0)</f>
      </c>
      <c r="FG22" s="20">
        <f>FE22-FF22</f>
      </c>
      <c r="FH22" s="19">
        <f>FG22*$E22</f>
      </c>
      <c r="FI22" s="19">
        <f>FH22*$D22</f>
      </c>
      <c r="FJ22" s="19">
        <f>FH22*$C22</f>
      </c>
    </row>
    <row r="23" spans="1:166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PM_Angle!$J$26+PM_Angle!$K$26*$D23+PM_Angle!$L$26*$C23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  <c r="EP23" s="37">
        <f>PM_Angle!$J$27+PM_Angle!$K$27*$D23+PM_Angle!$L$27*$C23</f>
      </c>
      <c r="EQ23" s="20">
        <f>MAX(MIN(Es*EP23,fy),-fy)</f>
      </c>
      <c r="ER23" s="20">
        <f>IF(EP23&gt;0,IF(EP23&lt;=eco,alpha*fck*(1-(1-EP23/eco)^n),alpha*fck),0)</f>
      </c>
      <c r="ES23" s="20">
        <f>EQ23-ER23</f>
      </c>
      <c r="ET23" s="19">
        <f>ES23*$E23</f>
      </c>
      <c r="EU23" s="19">
        <f>ET23*$D23</f>
      </c>
      <c r="EV23" s="19">
        <f>ET23*$C23</f>
      </c>
      <c r="EW23" s="37">
        <f>PM_Angle!$J$28+PM_Angle!$K$28*$D23+PM_Angle!$L$28*$C23</f>
      </c>
      <c r="EX23" s="20">
        <f>MAX(MIN(Es*EW23,fy),-fy)</f>
      </c>
      <c r="EY23" s="20">
        <f>IF(EW23&gt;0,IF(EW23&lt;=eco,alpha*fck*(1-(1-EW23/eco)^n),alpha*fck),0)</f>
      </c>
      <c r="EZ23" s="20">
        <f>EX23-EY23</f>
      </c>
      <c r="FA23" s="19">
        <f>EZ23*$E23</f>
      </c>
      <c r="FB23" s="19">
        <f>FA23*$D23</f>
      </c>
      <c r="FC23" s="19">
        <f>FA23*$C23</f>
      </c>
      <c r="FD23" s="37">
        <f>Eq_e0+Eq_kx*$D23+Eq_ky*$C23</f>
      </c>
      <c r="FE23" s="20">
        <f>MAX(MIN(Es*FD23,fy),-fy)</f>
      </c>
      <c r="FF23" s="20">
        <f>IF(FD23&gt;0,IF(FD23&lt;=eco,alpha*fck*(1-(1-FD23/eco)^n),alpha*fck),0)</f>
      </c>
      <c r="FG23" s="20">
        <f>FE23-FF23</f>
      </c>
      <c r="FH23" s="19">
        <f>FG23*$E23</f>
      </c>
      <c r="FI23" s="19">
        <f>FH23*$D23</f>
      </c>
      <c r="FJ23" s="19">
        <f>FH23*$C23</f>
      </c>
    </row>
    <row r="24" spans="1:166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PM_Angle!$J$26+PM_Angle!$K$26*$D24+PM_Angle!$L$26*$C24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  <c r="EP24" s="37">
        <f>PM_Angle!$J$27+PM_Angle!$K$27*$D24+PM_Angle!$L$27*$C24</f>
      </c>
      <c r="EQ24" s="20">
        <f>MAX(MIN(Es*EP24,fy),-fy)</f>
      </c>
      <c r="ER24" s="20">
        <f>IF(EP24&gt;0,IF(EP24&lt;=eco,alpha*fck*(1-(1-EP24/eco)^n),alpha*fck),0)</f>
      </c>
      <c r="ES24" s="20">
        <f>EQ24-ER24</f>
      </c>
      <c r="ET24" s="19">
        <f>ES24*$E24</f>
      </c>
      <c r="EU24" s="19">
        <f>ET24*$D24</f>
      </c>
      <c r="EV24" s="19">
        <f>ET24*$C24</f>
      </c>
      <c r="EW24" s="37">
        <f>PM_Angle!$J$28+PM_Angle!$K$28*$D24+PM_Angle!$L$28*$C24</f>
      </c>
      <c r="EX24" s="20">
        <f>MAX(MIN(Es*EW24,fy),-fy)</f>
      </c>
      <c r="EY24" s="20">
        <f>IF(EW24&gt;0,IF(EW24&lt;=eco,alpha*fck*(1-(1-EW24/eco)^n),alpha*fck),0)</f>
      </c>
      <c r="EZ24" s="20">
        <f>EX24-EY24</f>
      </c>
      <c r="FA24" s="19">
        <f>EZ24*$E24</f>
      </c>
      <c r="FB24" s="19">
        <f>FA24*$D24</f>
      </c>
      <c r="FC24" s="19">
        <f>FA24*$C24</f>
      </c>
      <c r="FD24" s="37">
        <f>Eq_e0+Eq_kx*$D24+Eq_ky*$C24</f>
      </c>
      <c r="FE24" s="20">
        <f>MAX(MIN(Es*FD24,fy),-fy)</f>
      </c>
      <c r="FF24" s="20">
        <f>IF(FD24&gt;0,IF(FD24&lt;=eco,alpha*fck*(1-(1-FD24/eco)^n),alpha*fck),0)</f>
      </c>
      <c r="FG24" s="20">
        <f>FE24-FF24</f>
      </c>
      <c r="FH24" s="19">
        <f>FG24*$E24</f>
      </c>
      <c r="FI24" s="19">
        <f>FH24*$D24</f>
      </c>
      <c r="FJ24" s="19">
        <f>FH24*$C24</f>
      </c>
    </row>
  </sheetData>
  <mergeCells count="25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  <mergeCell ref="EP4:EV4"/>
    <mergeCell ref="EW4:FC4"/>
    <mergeCell ref="FD4:FJ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R113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48" width="12" customWidth="1"/>
  </cols>
  <sheetData>
    <row r="1" ht="22" customHeight="1" spans="2:13" x14ac:dyDescent="0.25">
      <c r="B1" s="1" t="s">
        <v>258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259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8" x14ac:dyDescent="0.25">
      <c r="B6" s="25" t="s">
        <v>260</v>
      </c>
      <c r="C6" s="25"/>
      <c r="D6" s="25"/>
      <c r="E6" s="25"/>
      <c r="F6" s="25" t="s">
        <v>261</v>
      </c>
      <c r="G6" s="25"/>
      <c r="H6" s="25"/>
      <c r="I6" s="25" t="s">
        <v>262</v>
      </c>
      <c r="J6" s="25"/>
      <c r="K6" s="25"/>
      <c r="L6" s="25" t="s">
        <v>263</v>
      </c>
      <c r="M6" s="25"/>
      <c r="N6" s="25"/>
      <c r="O6" s="25" t="s">
        <v>264</v>
      </c>
      <c r="P6" s="25"/>
      <c r="Q6" s="25"/>
      <c r="R6" s="25" t="s">
        <v>265</v>
      </c>
      <c r="S6" s="25"/>
      <c r="T6" s="25"/>
      <c r="U6" s="25" t="s">
        <v>266</v>
      </c>
      <c r="V6" s="25"/>
      <c r="W6" s="25"/>
      <c r="X6" s="25" t="s">
        <v>267</v>
      </c>
      <c r="Y6" s="25"/>
      <c r="Z6" s="25"/>
      <c r="AA6" s="25" t="s">
        <v>268</v>
      </c>
      <c r="AB6" s="25"/>
      <c r="AC6" s="25"/>
      <c r="AD6" s="25" t="s">
        <v>269</v>
      </c>
      <c r="AE6" s="25"/>
      <c r="AF6" s="25"/>
      <c r="AG6" s="25" t="s">
        <v>270</v>
      </c>
      <c r="AH6" s="25"/>
      <c r="AI6" s="25"/>
      <c r="AJ6" s="25" t="s">
        <v>271</v>
      </c>
      <c r="AK6" s="25"/>
      <c r="AL6" s="25"/>
      <c r="AM6" s="25" t="s">
        <v>272</v>
      </c>
      <c r="AN6" s="25"/>
      <c r="AO6" s="25"/>
      <c r="AP6" s="25" t="s">
        <v>273</v>
      </c>
      <c r="AQ6" s="25"/>
      <c r="AR6" s="25"/>
      <c r="AS6" s="25" t="s">
        <v>274</v>
      </c>
      <c r="AT6" s="25"/>
      <c r="AU6" s="25"/>
      <c r="AV6" s="25" t="s">
        <v>275</v>
      </c>
      <c r="AW6" s="25"/>
      <c r="AX6" s="25"/>
      <c r="AY6" s="25" t="s">
        <v>276</v>
      </c>
      <c r="AZ6" s="25"/>
      <c r="BA6" s="25"/>
      <c r="BB6" s="25" t="s">
        <v>277</v>
      </c>
      <c r="BC6" s="25"/>
      <c r="BD6" s="25"/>
      <c r="BE6" s="25" t="s">
        <v>278</v>
      </c>
      <c r="BF6" s="25"/>
      <c r="BG6" s="25"/>
      <c r="BH6" s="25" t="s">
        <v>279</v>
      </c>
      <c r="BI6" s="25"/>
      <c r="BJ6" s="25"/>
      <c r="BK6" s="25" t="s">
        <v>280</v>
      </c>
      <c r="BL6" s="25"/>
      <c r="BM6" s="25"/>
      <c r="BN6" s="25" t="s">
        <v>281</v>
      </c>
      <c r="BO6" s="25"/>
      <c r="BP6" s="25"/>
      <c r="BQ6" s="25" t="s">
        <v>282</v>
      </c>
      <c r="BR6" s="25"/>
      <c r="BS6" s="25"/>
      <c r="BT6" s="25" t="s">
        <v>283</v>
      </c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 t="s">
        <v>284</v>
      </c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 t="s">
        <v>285</v>
      </c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 t="s">
        <v>286</v>
      </c>
      <c r="EI6" s="25"/>
      <c r="EJ6" s="25"/>
      <c r="EK6" s="25"/>
      <c r="EL6" s="25"/>
      <c r="EM6" s="25" t="s">
        <v>287</v>
      </c>
      <c r="EN6" s="25"/>
      <c r="EO6" s="25"/>
      <c r="EP6" s="25"/>
      <c r="EQ6" s="25"/>
      <c r="ER6" s="25"/>
    </row>
    <row r="7" ht="26" customHeight="1" spans="2:148" x14ac:dyDescent="0.25">
      <c r="B7" s="17" t="s">
        <v>288</v>
      </c>
      <c r="C7" s="17" t="s">
        <v>289</v>
      </c>
      <c r="D7" s="17" t="s">
        <v>290</v>
      </c>
      <c r="E7" s="17" t="s">
        <v>291</v>
      </c>
      <c r="F7" s="17" t="s">
        <v>204</v>
      </c>
      <c r="G7" s="17" t="s">
        <v>292</v>
      </c>
      <c r="H7" s="17" t="s">
        <v>293</v>
      </c>
      <c r="I7" s="17" t="s">
        <v>204</v>
      </c>
      <c r="J7" s="17" t="s">
        <v>292</v>
      </c>
      <c r="K7" s="17" t="s">
        <v>293</v>
      </c>
      <c r="L7" s="17" t="s">
        <v>204</v>
      </c>
      <c r="M7" s="17" t="s">
        <v>292</v>
      </c>
      <c r="N7" s="17" t="s">
        <v>293</v>
      </c>
      <c r="O7" s="17" t="s">
        <v>204</v>
      </c>
      <c r="P7" s="17" t="s">
        <v>292</v>
      </c>
      <c r="Q7" s="17" t="s">
        <v>293</v>
      </c>
      <c r="R7" s="17" t="s">
        <v>204</v>
      </c>
      <c r="S7" s="17" t="s">
        <v>292</v>
      </c>
      <c r="T7" s="17" t="s">
        <v>293</v>
      </c>
      <c r="U7" s="17" t="s">
        <v>204</v>
      </c>
      <c r="V7" s="17" t="s">
        <v>292</v>
      </c>
      <c r="W7" s="17" t="s">
        <v>293</v>
      </c>
      <c r="X7" s="17" t="s">
        <v>204</v>
      </c>
      <c r="Y7" s="17" t="s">
        <v>292</v>
      </c>
      <c r="Z7" s="17" t="s">
        <v>293</v>
      </c>
      <c r="AA7" s="17" t="s">
        <v>204</v>
      </c>
      <c r="AB7" s="17" t="s">
        <v>292</v>
      </c>
      <c r="AC7" s="17" t="s">
        <v>293</v>
      </c>
      <c r="AD7" s="17" t="s">
        <v>204</v>
      </c>
      <c r="AE7" s="17" t="s">
        <v>292</v>
      </c>
      <c r="AF7" s="17" t="s">
        <v>293</v>
      </c>
      <c r="AG7" s="17" t="s">
        <v>204</v>
      </c>
      <c r="AH7" s="17" t="s">
        <v>292</v>
      </c>
      <c r="AI7" s="17" t="s">
        <v>293</v>
      </c>
      <c r="AJ7" s="17" t="s">
        <v>204</v>
      </c>
      <c r="AK7" s="17" t="s">
        <v>292</v>
      </c>
      <c r="AL7" s="17" t="s">
        <v>293</v>
      </c>
      <c r="AM7" s="17" t="s">
        <v>204</v>
      </c>
      <c r="AN7" s="17" t="s">
        <v>292</v>
      </c>
      <c r="AO7" s="17" t="s">
        <v>293</v>
      </c>
      <c r="AP7" s="17" t="s">
        <v>204</v>
      </c>
      <c r="AQ7" s="17" t="s">
        <v>292</v>
      </c>
      <c r="AR7" s="17" t="s">
        <v>293</v>
      </c>
      <c r="AS7" s="17" t="s">
        <v>204</v>
      </c>
      <c r="AT7" s="17" t="s">
        <v>292</v>
      </c>
      <c r="AU7" s="17" t="s">
        <v>293</v>
      </c>
      <c r="AV7" s="17" t="s">
        <v>204</v>
      </c>
      <c r="AW7" s="17" t="s">
        <v>292</v>
      </c>
      <c r="AX7" s="17" t="s">
        <v>293</v>
      </c>
      <c r="AY7" s="17" t="s">
        <v>204</v>
      </c>
      <c r="AZ7" s="17" t="s">
        <v>292</v>
      </c>
      <c r="BA7" s="17" t="s">
        <v>293</v>
      </c>
      <c r="BB7" s="17" t="s">
        <v>204</v>
      </c>
      <c r="BC7" s="17" t="s">
        <v>292</v>
      </c>
      <c r="BD7" s="17" t="s">
        <v>293</v>
      </c>
      <c r="BE7" s="17" t="s">
        <v>204</v>
      </c>
      <c r="BF7" s="17" t="s">
        <v>292</v>
      </c>
      <c r="BG7" s="17" t="s">
        <v>293</v>
      </c>
      <c r="BH7" s="17" t="s">
        <v>204</v>
      </c>
      <c r="BI7" s="17" t="s">
        <v>292</v>
      </c>
      <c r="BJ7" s="17" t="s">
        <v>293</v>
      </c>
      <c r="BK7" s="17" t="s">
        <v>204</v>
      </c>
      <c r="BL7" s="17" t="s">
        <v>292</v>
      </c>
      <c r="BM7" s="17" t="s">
        <v>293</v>
      </c>
      <c r="BN7" s="17" t="s">
        <v>204</v>
      </c>
      <c r="BO7" s="17" t="s">
        <v>292</v>
      </c>
      <c r="BP7" s="17" t="s">
        <v>293</v>
      </c>
      <c r="BQ7" s="17" t="s">
        <v>204</v>
      </c>
      <c r="BR7" s="17" t="s">
        <v>292</v>
      </c>
      <c r="BS7" s="17" t="s">
        <v>293</v>
      </c>
      <c r="BT7" s="17" t="s">
        <v>213</v>
      </c>
      <c r="BU7" s="17" t="s">
        <v>215</v>
      </c>
      <c r="BV7" s="17" t="s">
        <v>216</v>
      </c>
      <c r="BW7" s="17" t="s">
        <v>217</v>
      </c>
      <c r="BX7" s="17" t="s">
        <v>218</v>
      </c>
      <c r="BY7" s="17" t="s">
        <v>219</v>
      </c>
      <c r="BZ7" s="17" t="s">
        <v>220</v>
      </c>
      <c r="CA7" s="17" t="s">
        <v>221</v>
      </c>
      <c r="CB7" s="17" t="s">
        <v>222</v>
      </c>
      <c r="CC7" s="17" t="s">
        <v>223</v>
      </c>
      <c r="CD7" s="17" t="s">
        <v>224</v>
      </c>
      <c r="CE7" s="17" t="s">
        <v>225</v>
      </c>
      <c r="CF7" s="17" t="s">
        <v>226</v>
      </c>
      <c r="CG7" s="17" t="s">
        <v>227</v>
      </c>
      <c r="CH7" s="17" t="s">
        <v>228</v>
      </c>
      <c r="CI7" s="17" t="s">
        <v>229</v>
      </c>
      <c r="CJ7" s="17" t="s">
        <v>230</v>
      </c>
      <c r="CK7" s="17" t="s">
        <v>231</v>
      </c>
      <c r="CL7" s="17" t="s">
        <v>232</v>
      </c>
      <c r="CM7" s="17" t="s">
        <v>233</v>
      </c>
      <c r="CN7" s="17" t="s">
        <v>234</v>
      </c>
      <c r="CO7" s="17" t="s">
        <v>235</v>
      </c>
      <c r="CP7" s="17" t="s">
        <v>213</v>
      </c>
      <c r="CQ7" s="17" t="s">
        <v>215</v>
      </c>
      <c r="CR7" s="17" t="s">
        <v>216</v>
      </c>
      <c r="CS7" s="17" t="s">
        <v>217</v>
      </c>
      <c r="CT7" s="17" t="s">
        <v>218</v>
      </c>
      <c r="CU7" s="17" t="s">
        <v>219</v>
      </c>
      <c r="CV7" s="17" t="s">
        <v>220</v>
      </c>
      <c r="CW7" s="17" t="s">
        <v>221</v>
      </c>
      <c r="CX7" s="17" t="s">
        <v>222</v>
      </c>
      <c r="CY7" s="17" t="s">
        <v>223</v>
      </c>
      <c r="CZ7" s="17" t="s">
        <v>224</v>
      </c>
      <c r="DA7" s="17" t="s">
        <v>225</v>
      </c>
      <c r="DB7" s="17" t="s">
        <v>226</v>
      </c>
      <c r="DC7" s="17" t="s">
        <v>227</v>
      </c>
      <c r="DD7" s="17" t="s">
        <v>228</v>
      </c>
      <c r="DE7" s="17" t="s">
        <v>229</v>
      </c>
      <c r="DF7" s="17" t="s">
        <v>230</v>
      </c>
      <c r="DG7" s="17" t="s">
        <v>231</v>
      </c>
      <c r="DH7" s="17" t="s">
        <v>232</v>
      </c>
      <c r="DI7" s="17" t="s">
        <v>233</v>
      </c>
      <c r="DJ7" s="17" t="s">
        <v>234</v>
      </c>
      <c r="DK7" s="17" t="s">
        <v>235</v>
      </c>
      <c r="DL7" s="17" t="s">
        <v>213</v>
      </c>
      <c r="DM7" s="17" t="s">
        <v>215</v>
      </c>
      <c r="DN7" s="17" t="s">
        <v>216</v>
      </c>
      <c r="DO7" s="17" t="s">
        <v>217</v>
      </c>
      <c r="DP7" s="17" t="s">
        <v>218</v>
      </c>
      <c r="DQ7" s="17" t="s">
        <v>219</v>
      </c>
      <c r="DR7" s="17" t="s">
        <v>220</v>
      </c>
      <c r="DS7" s="17" t="s">
        <v>221</v>
      </c>
      <c r="DT7" s="17" t="s">
        <v>222</v>
      </c>
      <c r="DU7" s="17" t="s">
        <v>223</v>
      </c>
      <c r="DV7" s="17" t="s">
        <v>224</v>
      </c>
      <c r="DW7" s="17" t="s">
        <v>225</v>
      </c>
      <c r="DX7" s="17" t="s">
        <v>226</v>
      </c>
      <c r="DY7" s="17" t="s">
        <v>227</v>
      </c>
      <c r="DZ7" s="17" t="s">
        <v>228</v>
      </c>
      <c r="EA7" s="17" t="s">
        <v>229</v>
      </c>
      <c r="EB7" s="17" t="s">
        <v>230</v>
      </c>
      <c r="EC7" s="17" t="s">
        <v>231</v>
      </c>
      <c r="ED7" s="17" t="s">
        <v>232</v>
      </c>
      <c r="EE7" s="17" t="s">
        <v>233</v>
      </c>
      <c r="EF7" s="17" t="s">
        <v>234</v>
      </c>
      <c r="EG7" s="17" t="s">
        <v>235</v>
      </c>
      <c r="EH7" s="43" t="s">
        <v>294</v>
      </c>
      <c r="EI7" s="43" t="s">
        <v>295</v>
      </c>
      <c r="EJ7" s="43" t="s">
        <v>208</v>
      </c>
      <c r="EK7" s="43" t="s">
        <v>209</v>
      </c>
      <c r="EL7" s="43" t="s">
        <v>210</v>
      </c>
      <c r="EM7" s="43" t="s">
        <v>296</v>
      </c>
      <c r="EN7" s="43" t="s">
        <v>297</v>
      </c>
      <c r="EO7" s="43" t="s">
        <v>298</v>
      </c>
      <c r="EP7" s="43" t="s">
        <v>299</v>
      </c>
      <c r="EQ7" s="43" t="s">
        <v>300</v>
      </c>
      <c r="ER7" s="43" t="s">
        <v>301</v>
      </c>
    </row>
    <row r="8" spans="1:148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0.00275</v>
      </c>
      <c r="J8" s="16">
        <v>9.166666666666666e-7</v>
      </c>
      <c r="K8" s="16">
        <v>0</v>
      </c>
      <c r="L8" s="16">
        <v>0.0024749999999999998</v>
      </c>
      <c r="M8" s="16">
        <v>0.000001375</v>
      </c>
      <c r="N8" s="16">
        <v>0</v>
      </c>
      <c r="O8" s="16">
        <v>0.0021999999999999997</v>
      </c>
      <c r="P8" s="16">
        <v>0.0000018333333333333333</v>
      </c>
      <c r="Q8" s="16">
        <v>0</v>
      </c>
      <c r="R8" s="16">
        <v>0.001925</v>
      </c>
      <c r="S8" s="16">
        <v>0.0000022916666666666666</v>
      </c>
      <c r="T8" s="16">
        <v>0</v>
      </c>
      <c r="U8" s="16">
        <v>0.0018000000000000002</v>
      </c>
      <c r="V8" s="16">
        <v>0.0000024999999999999998</v>
      </c>
      <c r="W8" s="16">
        <v>0</v>
      </c>
      <c r="X8" s="16">
        <v>0.00165</v>
      </c>
      <c r="Y8" s="16">
        <v>0.00000275</v>
      </c>
      <c r="Z8" s="16">
        <v>0</v>
      </c>
      <c r="AA8" s="16">
        <v>0.001547787610619469</v>
      </c>
      <c r="AB8" s="16">
        <v>0.000002920353982300885</v>
      </c>
      <c r="AC8" s="16">
        <v>0</v>
      </c>
      <c r="AD8" s="16">
        <v>0.001282300884955752</v>
      </c>
      <c r="AE8" s="16">
        <v>0.0000033628318584070798</v>
      </c>
      <c r="AF8" s="16">
        <v>0</v>
      </c>
      <c r="AG8" s="16">
        <v>0.0010168141592920353</v>
      </c>
      <c r="AH8" s="16">
        <v>0.000003805309734513274</v>
      </c>
      <c r="AI8" s="16">
        <v>0</v>
      </c>
      <c r="AJ8" s="16">
        <v>0.0007513274336283186</v>
      </c>
      <c r="AK8" s="16">
        <v>0.000004247787610619469</v>
      </c>
      <c r="AL8" s="16">
        <v>0</v>
      </c>
      <c r="AM8" s="16">
        <v>0.00048584070796460184</v>
      </c>
      <c r="AN8" s="16">
        <v>0.0000046902654867256635</v>
      </c>
      <c r="AO8" s="16">
        <v>0</v>
      </c>
      <c r="AP8" s="16">
        <v>-0.00004513274336283204</v>
      </c>
      <c r="AQ8" s="16">
        <v>0.000005575221238938053</v>
      </c>
      <c r="AR8" s="16">
        <v>0</v>
      </c>
      <c r="AS8" s="16">
        <v>-0.0005761061946902659</v>
      </c>
      <c r="AT8" s="16">
        <v>0.000006460176991150443</v>
      </c>
      <c r="AU8" s="16">
        <v>0</v>
      </c>
      <c r="AV8" s="16">
        <v>-0.001107079646017699</v>
      </c>
      <c r="AW8" s="16">
        <v>0.000007345132743362832</v>
      </c>
      <c r="AX8" s="16">
        <v>0</v>
      </c>
      <c r="AY8" s="16">
        <v>-0.0016380530973451315</v>
      </c>
      <c r="AZ8" s="16">
        <v>0.00000823008849557522</v>
      </c>
      <c r="BA8" s="16">
        <v>0</v>
      </c>
      <c r="BB8" s="16">
        <v>-0.0027</v>
      </c>
      <c r="BC8" s="16">
        <v>0.00001</v>
      </c>
      <c r="BD8" s="16">
        <v>0</v>
      </c>
      <c r="BE8" s="16">
        <v>-0.003761946902654867</v>
      </c>
      <c r="BF8" s="16">
        <v>0.000011769911504424779</v>
      </c>
      <c r="BG8" s="16">
        <v>0</v>
      </c>
      <c r="BH8" s="16">
        <v>-0.006416814159292035</v>
      </c>
      <c r="BI8" s="16">
        <v>0.000016194690265486724</v>
      </c>
      <c r="BJ8" s="16">
        <v>0</v>
      </c>
      <c r="BK8" s="16">
        <v>-0.009071681415929202</v>
      </c>
      <c r="BL8" s="16">
        <v>0.000020619469026548672</v>
      </c>
      <c r="BM8" s="16">
        <v>0</v>
      </c>
      <c r="BN8" s="16">
        <v>-0.01969115044247787</v>
      </c>
      <c r="BO8" s="16">
        <v>0.000038318584070796456</v>
      </c>
      <c r="BP8" s="16">
        <v>0</v>
      </c>
      <c r="BQ8" s="16">
        <v>-0.05</v>
      </c>
      <c r="BR8" s="16">
        <v>0</v>
      </c>
      <c r="BS8" s="16">
        <v>0</v>
      </c>
      <c r="BT8" s="45">
        <v>33981.43387592912</v>
      </c>
      <c r="BU8" s="45">
        <v>33981.43387592912</v>
      </c>
      <c r="BV8" s="45">
        <v>33697.99889567864</v>
      </c>
      <c r="BW8" s="45">
        <v>32265.41983671862</v>
      </c>
      <c r="BX8" s="45">
        <v>29458.701738526564</v>
      </c>
      <c r="BY8" s="45">
        <v>27730.09410184366</v>
      </c>
      <c r="BZ8" s="45">
        <v>25248.563599258836</v>
      </c>
      <c r="CA8" s="45">
        <v>23514.322248754543</v>
      </c>
      <c r="CB8" s="45">
        <v>20124.121038215144</v>
      </c>
      <c r="CC8" s="45">
        <v>17776.353375143117</v>
      </c>
      <c r="CD8" s="45">
        <v>15800.236623069633</v>
      </c>
      <c r="CE8" s="45">
        <v>14042.955356745177</v>
      </c>
      <c r="CF8" s="45">
        <v>11780.888412913204</v>
      </c>
      <c r="CG8" s="45">
        <v>10115.37601589935</v>
      </c>
      <c r="CH8" s="45">
        <v>8812.745574290735</v>
      </c>
      <c r="CI8" s="45">
        <v>7793.573662012833</v>
      </c>
      <c r="CJ8" s="45">
        <v>6221.462349919355</v>
      </c>
      <c r="CK8" s="45">
        <v>5040.452657994034</v>
      </c>
      <c r="CL8" s="45">
        <v>2747.5191908344864</v>
      </c>
      <c r="CM8" s="45">
        <v>1203.7013416344244</v>
      </c>
      <c r="CN8" s="45">
        <v>-1714.4396393656968</v>
      </c>
      <c r="CO8" s="45">
        <v>-5790.583579096708</v>
      </c>
      <c r="CP8" s="45">
        <v>6.55418261885643e-13</v>
      </c>
      <c r="CQ8" s="45">
        <v>6.55418261885643e-13</v>
      </c>
      <c r="CR8" s="45">
        <v>150.46136414826947</v>
      </c>
      <c r="CS8" s="45">
        <v>838.9046608751036</v>
      </c>
      <c r="CT8" s="45">
        <v>2076.7979535082554</v>
      </c>
      <c r="CU8" s="45">
        <v>2819.1055487374533</v>
      </c>
      <c r="CV8" s="45">
        <v>3855.0903161670462</v>
      </c>
      <c r="CW8" s="45">
        <v>4530.118037670052</v>
      </c>
      <c r="CX8" s="45">
        <v>5598.135049837574</v>
      </c>
      <c r="CY8" s="45">
        <v>6124.812619238588</v>
      </c>
      <c r="CZ8" s="45">
        <v>6477.537136847315</v>
      </c>
      <c r="DA8" s="45">
        <v>6729.602944736926</v>
      </c>
      <c r="DB8" s="45">
        <v>6681.944730043465</v>
      </c>
      <c r="DC8" s="45">
        <v>6520.300492379301</v>
      </c>
      <c r="DD8" s="45">
        <v>6317.221588401691</v>
      </c>
      <c r="DE8" s="45">
        <v>6095.595406911573</v>
      </c>
      <c r="DF8" s="45">
        <v>5669.773965842053</v>
      </c>
      <c r="DG8" s="45">
        <v>5279.5486588665335</v>
      </c>
      <c r="DH8" s="45">
        <v>4395.024835253348</v>
      </c>
      <c r="DI8" s="45">
        <v>3714.4317841181155</v>
      </c>
      <c r="DJ8" s="45">
        <v>2227.93189961245</v>
      </c>
      <c r="DK8" s="45">
        <v>0</v>
      </c>
      <c r="DL8" s="45">
        <v>-5.220063030719757e-12</v>
      </c>
      <c r="DM8" s="45">
        <v>-5.220063030719757e-12</v>
      </c>
      <c r="DN8" s="45">
        <v>0.000017494509751908482</v>
      </c>
      <c r="DO8" s="45">
        <v>0.0009406118215573952</v>
      </c>
      <c r="DP8" s="45">
        <v>0.00037674127167556436</v>
      </c>
      <c r="DQ8" s="45">
        <v>0.0002115091088814661</v>
      </c>
      <c r="DR8" s="45">
        <v>0.0015901064639454708</v>
      </c>
      <c r="DS8" s="45">
        <v>0.07635615567926224</v>
      </c>
      <c r="DT8" s="45">
        <v>-0.298929788221614</v>
      </c>
      <c r="DU8" s="45">
        <v>-0.036833113046715035</v>
      </c>
      <c r="DV8" s="45">
        <v>0.000766949239820242</v>
      </c>
      <c r="DW8" s="45">
        <v>0.2033703180078668</v>
      </c>
      <c r="DX8" s="45">
        <v>0.00011138413645233958</v>
      </c>
      <c r="DY8" s="45">
        <v>0.017060437182207358</v>
      </c>
      <c r="DZ8" s="45">
        <v>0.22085739108868455</v>
      </c>
      <c r="EA8" s="45">
        <v>0.0005276283492443618</v>
      </c>
      <c r="EB8" s="45">
        <v>0.058994860705671136</v>
      </c>
      <c r="EC8" s="45">
        <v>0.3035026830671234</v>
      </c>
      <c r="ED8" s="45">
        <v>0.8146481828627189</v>
      </c>
      <c r="EE8" s="45">
        <v>0.3976159518024968</v>
      </c>
      <c r="EF8" s="45">
        <v>0.7652766825170573</v>
      </c>
      <c r="EG8" s="45">
        <v>5.960464477539062e-14</v>
      </c>
      <c r="EH8" s="46">
        <f>MAX(1,MIN(21,SUMPRODUCT(--($BT8:$CO8&gt;=Pu))))</f>
      </c>
      <c r="EI8" s="47">
        <f>(Pu-INDEX($BT8:$CO8,1,$EH8))/(INDEX($BT8:$CO8,1,$EH8+1)-INDEX($BT8:$CO8,1,$EH8))</f>
      </c>
      <c r="EJ8" s="39">
        <f>INDEX($CP8:$DK8,1,$EH8)+$EI8*(INDEX($CP8:$DK8,1,$EH8+1)-INDEX($CP8:$DK8,1,$EH8))</f>
      </c>
      <c r="EK8" s="39">
        <f>INDEX($DL8:$EG8,1,$EH8)+$EI8*(INDEX($DL8:$EG8,1,$EH8+1)-INDEX($DL8:$EG8,1,$EH8))</f>
      </c>
      <c r="EL8" s="39">
        <f>SQRT(EJ8^2+EK8^2)</f>
      </c>
      <c r="EM8" s="20">
        <f>EJ9-EJ8</f>
      </c>
      <c r="EN8" s="20">
        <f>EK9-EK8</f>
      </c>
      <c r="EO8" s="20">
        <f>EM8*SIN(RADIANS(theta_L))-EN8*COS(RADIANS(theta_L))</f>
      </c>
      <c r="EP8" s="47">
        <f>IF(EO8=0,"",-(EJ8*SIN(RADIANS(theta_L))-EK8*COS(RADIANS(theta_L)))/EO8)</f>
      </c>
      <c r="EQ8" s="20">
        <f>IF(EP8="","",(EJ8+EP8*EM8)*COS(RADIANS(theta_L))+(EK8+EP8*EN8)*SIN(RADIANS(theta_L)))</f>
      </c>
      <c r="ER8" s="20">
        <f>IF(OR(EP8="",EP8&lt;0,EP8&gt;1,EQ8&lt;0),"",EQ8)</f>
      </c>
    </row>
    <row r="9" spans="1:148" x14ac:dyDescent="0.25">
      <c r="A9">
        <v>2</v>
      </c>
      <c r="B9" s="44">
        <v>2.5</v>
      </c>
      <c r="C9" s="18">
        <v>623.4195960000495</v>
      </c>
      <c r="D9" s="18">
        <v>-546.943312384519</v>
      </c>
      <c r="E9" s="18">
        <v>1170.3629083845685</v>
      </c>
      <c r="F9" s="16">
        <v>0.0033</v>
      </c>
      <c r="G9" s="16">
        <v>0</v>
      </c>
      <c r="H9" s="16">
        <v>0</v>
      </c>
      <c r="I9" s="16">
        <v>0.00275</v>
      </c>
      <c r="J9" s="16">
        <v>8.813911615796853e-7</v>
      </c>
      <c r="K9" s="16">
        <v>3.8482369185797764e-8</v>
      </c>
      <c r="L9" s="16">
        <v>0.0024749999999999998</v>
      </c>
      <c r="M9" s="16">
        <v>0.0000013220867423695279</v>
      </c>
      <c r="N9" s="16">
        <v>5.772355377869665e-8</v>
      </c>
      <c r="O9" s="16">
        <v>0.0021999999999999997</v>
      </c>
      <c r="P9" s="16">
        <v>0.0000017627823231593708</v>
      </c>
      <c r="Q9" s="16">
        <v>7.696473837159554e-8</v>
      </c>
      <c r="R9" s="16">
        <v>0.001925</v>
      </c>
      <c r="S9" s="16">
        <v>0.0000022034779039492132</v>
      </c>
      <c r="T9" s="16">
        <v>9.620592296449442e-8</v>
      </c>
      <c r="U9" s="16">
        <v>0.0018</v>
      </c>
      <c r="V9" s="16">
        <v>0.0000024037940770355053</v>
      </c>
      <c r="W9" s="16">
        <v>1.0495191596126664e-7</v>
      </c>
      <c r="X9" s="16">
        <v>0.00165</v>
      </c>
      <c r="Y9" s="16">
        <v>0.0000026441734847390557</v>
      </c>
      <c r="Z9" s="16">
        <v>1.154471075573933e-7</v>
      </c>
      <c r="AA9" s="16">
        <v>0.0015421822734968615</v>
      </c>
      <c r="AB9" s="16">
        <v>0.000002816954559650842</v>
      </c>
      <c r="AC9" s="16">
        <v>1.2299089220478813e-7</v>
      </c>
      <c r="AD9" s="16">
        <v>0.001275846254329719</v>
      </c>
      <c r="AE9" s="16">
        <v>0.000003243765856567636</v>
      </c>
      <c r="AF9" s="16">
        <v>1.416258758721803e-7</v>
      </c>
      <c r="AG9" s="16">
        <v>0.0010095102351625768</v>
      </c>
      <c r="AH9" s="16">
        <v>0.00000367057715348443</v>
      </c>
      <c r="AI9" s="16">
        <v>1.6026085953957243e-7</v>
      </c>
      <c r="AJ9" s="16">
        <v>0.0007431742159954343</v>
      </c>
      <c r="AK9" s="16">
        <v>0.0000040973884504012244</v>
      </c>
      <c r="AL9" s="16">
        <v>1.7889584320696456e-7</v>
      </c>
      <c r="AM9" s="16">
        <v>0.0004768381968282922</v>
      </c>
      <c r="AN9" s="16">
        <v>0.000004524199747318018</v>
      </c>
      <c r="AO9" s="16">
        <v>1.9753082687435672e-7</v>
      </c>
      <c r="AP9" s="16">
        <v>-0.00005583384150599198</v>
      </c>
      <c r="AQ9" s="16">
        <v>0.000005377822341151607</v>
      </c>
      <c r="AR9" s="16">
        <v>2.34800794209141e-7</v>
      </c>
      <c r="AS9" s="16">
        <v>-0.0005885058798402766</v>
      </c>
      <c r="AT9" s="16">
        <v>0.000006231444934985196</v>
      </c>
      <c r="AU9" s="16">
        <v>2.720707615439253e-7</v>
      </c>
      <c r="AV9" s="16">
        <v>-0.0011211779181745608</v>
      </c>
      <c r="AW9" s="16">
        <v>0.000007085067528818784</v>
      </c>
      <c r="AX9" s="16">
        <v>3.093407288787096e-7</v>
      </c>
      <c r="AY9" s="16">
        <v>-0.001653849956508845</v>
      </c>
      <c r="AZ9" s="16">
        <v>0.000007938690122652372</v>
      </c>
      <c r="BA9" s="16">
        <v>3.4661069621349385e-7</v>
      </c>
      <c r="BB9" s="16">
        <v>-0.002719194033177415</v>
      </c>
      <c r="BC9" s="16">
        <v>0.00000964593531031955</v>
      </c>
      <c r="BD9" s="16">
        <v>4.2115063088306244e-7</v>
      </c>
      <c r="BE9" s="16">
        <v>-0.0037845381098459826</v>
      </c>
      <c r="BF9" s="16">
        <v>0.000011353180497986725</v>
      </c>
      <c r="BG9" s="16">
        <v>4.956905655526309e-7</v>
      </c>
      <c r="BH9" s="16">
        <v>-0.0064478983015174044</v>
      </c>
      <c r="BI9" s="16">
        <v>0.000015621293467154666</v>
      </c>
      <c r="BJ9" s="16">
        <v>6.820404022265523e-7</v>
      </c>
      <c r="BK9" s="16">
        <v>-0.00911125849318883</v>
      </c>
      <c r="BL9" s="16">
        <v>0.000019889406436322612</v>
      </c>
      <c r="BM9" s="16">
        <v>8.683902389004739e-7</v>
      </c>
      <c r="BN9" s="16">
        <v>-0.019764699259874514</v>
      </c>
      <c r="BO9" s="16">
        <v>0.000036961858312994376</v>
      </c>
      <c r="BP9" s="16">
        <v>0.0000016137895855961593</v>
      </c>
      <c r="BQ9" s="16">
        <v>-0.05</v>
      </c>
      <c r="BR9" s="16">
        <v>0</v>
      </c>
      <c r="BS9" s="16">
        <v>0</v>
      </c>
      <c r="BT9" s="45">
        <v>33981.43387592912</v>
      </c>
      <c r="BU9" s="45">
        <v>33981.43387592912</v>
      </c>
      <c r="BV9" s="45">
        <v>33737.12210060275</v>
      </c>
      <c r="BW9" s="45">
        <v>32391.397247558423</v>
      </c>
      <c r="BX9" s="45">
        <v>29721.23568719147</v>
      </c>
      <c r="BY9" s="45">
        <v>28059.43966368451</v>
      </c>
      <c r="BZ9" s="45">
        <v>25675.560819659135</v>
      </c>
      <c r="CA9" s="45">
        <v>23821.664273987008</v>
      </c>
      <c r="CB9" s="45">
        <v>20270.01991973529</v>
      </c>
      <c r="CC9" s="45">
        <v>17864.159890950443</v>
      </c>
      <c r="CD9" s="45">
        <v>15823.791880418468</v>
      </c>
      <c r="CE9" s="45">
        <v>14033.62056696143</v>
      </c>
      <c r="CF9" s="45">
        <v>11648.304935778735</v>
      </c>
      <c r="CG9" s="45">
        <v>9915.693926548642</v>
      </c>
      <c r="CH9" s="45">
        <v>8560.659690342602</v>
      </c>
      <c r="CI9" s="45">
        <v>7504.572079668456</v>
      </c>
      <c r="CJ9" s="45">
        <v>5812.40149304569</v>
      </c>
      <c r="CK9" s="45">
        <v>4515.976358831716</v>
      </c>
      <c r="CL9" s="45">
        <v>1926.4031460413844</v>
      </c>
      <c r="CM9" s="45">
        <v>232.28260807736822</v>
      </c>
      <c r="CN9" s="45">
        <v>-2961.3825108508236</v>
      </c>
      <c r="CO9" s="45">
        <v>-5790.583579096708</v>
      </c>
      <c r="CP9" s="45">
        <v>6.55418261885643e-13</v>
      </c>
      <c r="CQ9" s="45">
        <v>6.55418261885643e-13</v>
      </c>
      <c r="CR9" s="45">
        <v>129.8315021745338</v>
      </c>
      <c r="CS9" s="45">
        <v>776.2522859186151</v>
      </c>
      <c r="CT9" s="45">
        <v>1954.0452590022471</v>
      </c>
      <c r="CU9" s="45">
        <v>2663.0168840595934</v>
      </c>
      <c r="CV9" s="45">
        <v>3654.8983832526155</v>
      </c>
      <c r="CW9" s="45">
        <v>4388.428395814396</v>
      </c>
      <c r="CX9" s="45">
        <v>5533.587494380153</v>
      </c>
      <c r="CY9" s="45">
        <v>6075.421374383328</v>
      </c>
      <c r="CZ9" s="45">
        <v>6422.361290566807</v>
      </c>
      <c r="DA9" s="45">
        <v>6672.29243108272</v>
      </c>
      <c r="DB9" s="45">
        <v>6644.298567889593</v>
      </c>
      <c r="DC9" s="45">
        <v>6469.011705289647</v>
      </c>
      <c r="DD9" s="45">
        <v>6243.140477242723</v>
      </c>
      <c r="DE9" s="45">
        <v>6003.447026272306</v>
      </c>
      <c r="DF9" s="45">
        <v>5522.204027463812</v>
      </c>
      <c r="DG9" s="45">
        <v>5072.832503412109</v>
      </c>
      <c r="DH9" s="45">
        <v>4015.1221302866784</v>
      </c>
      <c r="DI9" s="45">
        <v>3226.148564501633</v>
      </c>
      <c r="DJ9" s="45">
        <v>1557.3045847399273</v>
      </c>
      <c r="DK9" s="45">
        <v>0</v>
      </c>
      <c r="DL9" s="45">
        <v>-5.220063030719757e-12</v>
      </c>
      <c r="DM9" s="45">
        <v>-5.220063030719757e-12</v>
      </c>
      <c r="DN9" s="45">
        <v>8.449304181442386</v>
      </c>
      <c r="DO9" s="45">
        <v>56.761215818851404</v>
      </c>
      <c r="DP9" s="45">
        <v>133.22539110493716</v>
      </c>
      <c r="DQ9" s="45">
        <v>177.10735385575134</v>
      </c>
      <c r="DR9" s="45">
        <v>247.29586511350558</v>
      </c>
      <c r="DS9" s="45">
        <v>273.4004689865919</v>
      </c>
      <c r="DT9" s="45">
        <v>269.3018188549927</v>
      </c>
      <c r="DU9" s="45">
        <v>271.5049899566667</v>
      </c>
      <c r="DV9" s="45">
        <v>297.68956881578686</v>
      </c>
      <c r="DW9" s="45">
        <v>318.41125478910635</v>
      </c>
      <c r="DX9" s="45">
        <v>328.6399065580111</v>
      </c>
      <c r="DY9" s="45">
        <v>313.23349515485273</v>
      </c>
      <c r="DZ9" s="45">
        <v>331.9394628160391</v>
      </c>
      <c r="EA9" s="45">
        <v>304.01955021891365</v>
      </c>
      <c r="EB9" s="45">
        <v>338.86123021586917</v>
      </c>
      <c r="EC9" s="45">
        <v>322.49907429492606</v>
      </c>
      <c r="ED9" s="45">
        <v>365.16254868800877</v>
      </c>
      <c r="EE9" s="45">
        <v>261.6377892789732</v>
      </c>
      <c r="EF9" s="45">
        <v>254.19622405560122</v>
      </c>
      <c r="EG9" s="45">
        <v>5.960464477539062e-14</v>
      </c>
      <c r="EH9" s="46">
        <f>MAX(1,MIN(21,SUMPRODUCT(--($BT9:$CO9&gt;=Pu))))</f>
      </c>
      <c r="EI9" s="47">
        <f>(Pu-INDEX($BT9:$CO9,1,$EH9))/(INDEX($BT9:$CO9,1,$EH9+1)-INDEX($BT9:$CO9,1,$EH9))</f>
      </c>
      <c r="EJ9" s="39">
        <f>INDEX($CP9:$DK9,1,$EH9)+$EI9*(INDEX($CP9:$DK9,1,$EH9+1)-INDEX($CP9:$DK9,1,$EH9))</f>
      </c>
      <c r="EK9" s="39">
        <f>INDEX($DL9:$EG9,1,$EH9)+$EI9*(INDEX($DL9:$EG9,1,$EH9+1)-INDEX($DL9:$EG9,1,$EH9))</f>
      </c>
      <c r="EL9" s="39">
        <f>SQRT(EJ9^2+EK9^2)</f>
      </c>
      <c r="EM9" s="20">
        <f>EJ10-EJ9</f>
      </c>
      <c r="EN9" s="20">
        <f>EK10-EK9</f>
      </c>
      <c r="EO9" s="20">
        <f>EM9*SIN(RADIANS(theta_L))-EN9*COS(RADIANS(theta_L))</f>
      </c>
      <c r="EP9" s="47">
        <f>IF(EO9=0,"",-(EJ9*SIN(RADIANS(theta_L))-EK9*COS(RADIANS(theta_L)))/EO9)</f>
      </c>
      <c r="EQ9" s="20">
        <f>IF(EP9="","",(EJ9+EP9*EM9)*COS(RADIANS(theta_L))+(EK9+EP9*EN9)*SIN(RADIANS(theta_L)))</f>
      </c>
      <c r="ER9" s="20">
        <f>IF(OR(EP9="",EP9&lt;0,EP9&gt;1,EQ9&lt;0),"",EQ9)</f>
      </c>
    </row>
    <row r="10" spans="1:148" x14ac:dyDescent="0.25">
      <c r="A10">
        <v>3</v>
      </c>
      <c r="B10" s="44">
        <v>5</v>
      </c>
      <c r="C10" s="18">
        <v>645.6524773662593</v>
      </c>
      <c r="D10" s="18">
        <v>-562.8454870876884</v>
      </c>
      <c r="E10" s="18">
        <v>1208.4979644539476</v>
      </c>
      <c r="F10" s="16">
        <v>0.0033</v>
      </c>
      <c r="G10" s="16">
        <v>0</v>
      </c>
      <c r="H10" s="16">
        <v>0</v>
      </c>
      <c r="I10" s="16">
        <v>0.00275</v>
      </c>
      <c r="J10" s="16">
        <v>8.486098995321421e-7</v>
      </c>
      <c r="K10" s="16">
        <v>7.424374596493575e-8</v>
      </c>
      <c r="L10" s="16">
        <v>0.0024749999999999998</v>
      </c>
      <c r="M10" s="16">
        <v>0.0000012729148492982133</v>
      </c>
      <c r="N10" s="16">
        <v>1.1136561894740364e-7</v>
      </c>
      <c r="O10" s="16">
        <v>0.0022</v>
      </c>
      <c r="P10" s="16">
        <v>0.0000016972197990642845</v>
      </c>
      <c r="Q10" s="16">
        <v>1.484874919298715e-7</v>
      </c>
      <c r="R10" s="16">
        <v>0.0019249999999999998</v>
      </c>
      <c r="S10" s="16">
        <v>0.000002121524748830356</v>
      </c>
      <c r="T10" s="16">
        <v>1.8560936491233943e-7</v>
      </c>
      <c r="U10" s="16">
        <v>0.0018000000000000002</v>
      </c>
      <c r="V10" s="16">
        <v>0.00000231439063508766</v>
      </c>
      <c r="W10" s="16">
        <v>2.0248294354073385e-7</v>
      </c>
      <c r="X10" s="16">
        <v>0.00165</v>
      </c>
      <c r="Y10" s="16">
        <v>0.0000025458296985964266</v>
      </c>
      <c r="Z10" s="16">
        <v>2.2273123789480727e-7</v>
      </c>
      <c r="AA10" s="16">
        <v>0.0015369410309504505</v>
      </c>
      <c r="AB10" s="16">
        <v>0.000002720271444717055</v>
      </c>
      <c r="AC10" s="16">
        <v>2.3799291312602962e-7</v>
      </c>
      <c r="AD10" s="16">
        <v>0.0012698108841247614</v>
      </c>
      <c r="AE10" s="16">
        <v>0.0000031324337848256996</v>
      </c>
      <c r="AF10" s="16">
        <v>2.7405244541785223e-7</v>
      </c>
      <c r="AG10" s="16">
        <v>0.0010026807372990722</v>
      </c>
      <c r="AH10" s="16">
        <v>0.0000035445961249343445</v>
      </c>
      <c r="AI10" s="16">
        <v>3.101119777096749e-7</v>
      </c>
      <c r="AJ10" s="16">
        <v>0.0007355505904733826</v>
      </c>
      <c r="AK10" s="16">
        <v>0.00000395675846504299</v>
      </c>
      <c r="AL10" s="16">
        <v>3.461715100014976e-7</v>
      </c>
      <c r="AM10" s="16">
        <v>0.0004684204436476939</v>
      </c>
      <c r="AN10" s="16">
        <v>0.000004368920805151634</v>
      </c>
      <c r="AO10" s="16">
        <v>3.8223104229332023e-7</v>
      </c>
      <c r="AP10" s="16">
        <v>-0.00006583985000368489</v>
      </c>
      <c r="AQ10" s="16">
        <v>0.000005193245485368923</v>
      </c>
      <c r="AR10" s="16">
        <v>4.5435010687696556e-7</v>
      </c>
      <c r="AS10" s="16">
        <v>-0.0006001001436550637</v>
      </c>
      <c r="AT10" s="16">
        <v>0.000006017570165586213</v>
      </c>
      <c r="AU10" s="16">
        <v>5.264691714606109e-7</v>
      </c>
      <c r="AV10" s="16">
        <v>-0.001134360437306442</v>
      </c>
      <c r="AW10" s="16">
        <v>0.0000068418948458035026</v>
      </c>
      <c r="AX10" s="16">
        <v>5.985882360442563e-7</v>
      </c>
      <c r="AY10" s="16">
        <v>-0.0016686207309578194</v>
      </c>
      <c r="AZ10" s="16">
        <v>0.00000766621952602079</v>
      </c>
      <c r="BA10" s="16">
        <v>6.707073006279015e-7</v>
      </c>
      <c r="BB10" s="16">
        <v>-0.0027371413182605787</v>
      </c>
      <c r="BC10" s="16">
        <v>0.000009314868886455372</v>
      </c>
      <c r="BD10" s="16">
        <v>8.149454297951923e-7</v>
      </c>
      <c r="BE10" s="16">
        <v>-0.0038056619055633345</v>
      </c>
      <c r="BF10" s="16">
        <v>0.000010963518246889948</v>
      </c>
      <c r="BG10" s="16">
        <v>9.591835589624828e-7</v>
      </c>
      <c r="BH10" s="16">
        <v>-0.006476963373820228</v>
      </c>
      <c r="BI10" s="16">
        <v>0.000015085141647976398</v>
      </c>
      <c r="BJ10" s="16">
        <v>0.0000013197788818807097</v>
      </c>
      <c r="BK10" s="16">
        <v>-0.00914826484207712</v>
      </c>
      <c r="BL10" s="16">
        <v>0.000019206765049062843</v>
      </c>
      <c r="BM10" s="16">
        <v>0.0000016803742047989361</v>
      </c>
      <c r="BN10" s="16">
        <v>-0.01983347071510469</v>
      </c>
      <c r="BO10" s="16">
        <v>0.000035693258653408626</v>
      </c>
      <c r="BP10" s="16">
        <v>0.0000031227554964718426</v>
      </c>
      <c r="BQ10" s="16">
        <v>-0.05</v>
      </c>
      <c r="BR10" s="16">
        <v>0</v>
      </c>
      <c r="BS10" s="16">
        <v>0</v>
      </c>
      <c r="BT10" s="45">
        <v>33981.43387592912</v>
      </c>
      <c r="BU10" s="45">
        <v>33981.43387592912</v>
      </c>
      <c r="BV10" s="45">
        <v>33769.74437956349</v>
      </c>
      <c r="BW10" s="45">
        <v>32495.47403922331</v>
      </c>
      <c r="BX10" s="45">
        <v>29945.980077907858</v>
      </c>
      <c r="BY10" s="45">
        <v>28333.957401118765</v>
      </c>
      <c r="BZ10" s="45">
        <v>26032.918023012004</v>
      </c>
      <c r="CA10" s="45">
        <v>24112.5701996044</v>
      </c>
      <c r="CB10" s="45">
        <v>20433.815297490866</v>
      </c>
      <c r="CC10" s="45">
        <v>17918.056025454913</v>
      </c>
      <c r="CD10" s="45">
        <v>15836.70926258701</v>
      </c>
      <c r="CE10" s="45">
        <v>14013.156968664302</v>
      </c>
      <c r="CF10" s="45">
        <v>11513.072855380213</v>
      </c>
      <c r="CG10" s="45">
        <v>9704.152978205706</v>
      </c>
      <c r="CH10" s="45">
        <v>8324.124596624388</v>
      </c>
      <c r="CI10" s="45">
        <v>7183.9358485215125</v>
      </c>
      <c r="CJ10" s="45">
        <v>5393.654475949457</v>
      </c>
      <c r="CK10" s="45">
        <v>3888.175574942787</v>
      </c>
      <c r="CL10" s="45">
        <v>1146.303591378042</v>
      </c>
      <c r="CM10" s="45">
        <v>-635.2509004438049</v>
      </c>
      <c r="CN10" s="45">
        <v>-4011.9315628977815</v>
      </c>
      <c r="CO10" s="45">
        <v>-5790.583579096708</v>
      </c>
      <c r="CP10" s="45">
        <v>6.55418261885643e-13</v>
      </c>
      <c r="CQ10" s="45">
        <v>6.55418261885643e-13</v>
      </c>
      <c r="CR10" s="45">
        <v>112.48688038999155</v>
      </c>
      <c r="CS10" s="45">
        <v>722.5393907090634</v>
      </c>
      <c r="CT10" s="45">
        <v>1846.7480058844649</v>
      </c>
      <c r="CU10" s="45">
        <v>2525.2071595496195</v>
      </c>
      <c r="CV10" s="45">
        <v>3477.4756625847117</v>
      </c>
      <c r="CW10" s="45">
        <v>4244.644730498109</v>
      </c>
      <c r="CX10" s="45">
        <v>5453.122831225967</v>
      </c>
      <c r="CY10" s="45">
        <v>6014.255460573424</v>
      </c>
      <c r="CZ10" s="45">
        <v>6361.135223195893</v>
      </c>
      <c r="DA10" s="45">
        <v>6606.942370648049</v>
      </c>
      <c r="DB10" s="45">
        <v>6596.817698830632</v>
      </c>
      <c r="DC10" s="45">
        <v>6404.491715785698</v>
      </c>
      <c r="DD10" s="45">
        <v>6151.182009198318</v>
      </c>
      <c r="DE10" s="45">
        <v>5887.5828808385095</v>
      </c>
      <c r="DF10" s="45">
        <v>5340.590920668364</v>
      </c>
      <c r="DG10" s="45">
        <v>4796.360512593801</v>
      </c>
      <c r="DH10" s="45">
        <v>3617.4934030836366</v>
      </c>
      <c r="DI10" s="45">
        <v>2769.64619572882</v>
      </c>
      <c r="DJ10" s="45">
        <v>979.7534522066586</v>
      </c>
      <c r="DK10" s="45">
        <v>0</v>
      </c>
      <c r="DL10" s="45">
        <v>-5.220063030719757e-12</v>
      </c>
      <c r="DM10" s="45">
        <v>-5.220063030719757e-12</v>
      </c>
      <c r="DN10" s="45">
        <v>14.985219473885339</v>
      </c>
      <c r="DO10" s="45">
        <v>107.48897566350232</v>
      </c>
      <c r="DP10" s="45">
        <v>251.06516795968463</v>
      </c>
      <c r="DQ10" s="45">
        <v>339.7941765239955</v>
      </c>
      <c r="DR10" s="45">
        <v>462.75310124079795</v>
      </c>
      <c r="DS10" s="45">
        <v>534.3457809014651</v>
      </c>
      <c r="DT10" s="45">
        <v>540.0178874239571</v>
      </c>
      <c r="DU10" s="45">
        <v>551.4243938437254</v>
      </c>
      <c r="DV10" s="45">
        <v>586.4583061138042</v>
      </c>
      <c r="DW10" s="45">
        <v>624.6936092619857</v>
      </c>
      <c r="DX10" s="45">
        <v>650.1629361662373</v>
      </c>
      <c r="DY10" s="45">
        <v>621.9420626007642</v>
      </c>
      <c r="DZ10" s="45">
        <v>640.6406279338456</v>
      </c>
      <c r="EA10" s="45">
        <v>615.3081449517485</v>
      </c>
      <c r="EB10" s="45">
        <v>667.9753102339837</v>
      </c>
      <c r="EC10" s="45">
        <v>660.1602621992117</v>
      </c>
      <c r="ED10" s="45">
        <v>649.3112463758689</v>
      </c>
      <c r="EE10" s="45">
        <v>493.3239123755592</v>
      </c>
      <c r="EF10" s="45">
        <v>434.6675426702975</v>
      </c>
      <c r="EG10" s="45">
        <v>5.960464477539062e-14</v>
      </c>
      <c r="EH10" s="46">
        <f>MAX(1,MIN(21,SUMPRODUCT(--($BT10:$CO10&gt;=Pu))))</f>
      </c>
      <c r="EI10" s="47">
        <f>(Pu-INDEX($BT10:$CO10,1,$EH10))/(INDEX($BT10:$CO10,1,$EH10+1)-INDEX($BT10:$CO10,1,$EH10))</f>
      </c>
      <c r="EJ10" s="39">
        <f>INDEX($CP10:$DK10,1,$EH10)+$EI10*(INDEX($CP10:$DK10,1,$EH10+1)-INDEX($CP10:$DK10,1,$EH10))</f>
      </c>
      <c r="EK10" s="39">
        <f>INDEX($DL10:$EG10,1,$EH10)+$EI10*(INDEX($DL10:$EG10,1,$EH10+1)-INDEX($DL10:$EG10,1,$EH10))</f>
      </c>
      <c r="EL10" s="39">
        <f>SQRT(EJ10^2+EK10^2)</f>
      </c>
      <c r="EM10" s="20">
        <f>EJ11-EJ10</f>
      </c>
      <c r="EN10" s="20">
        <f>EK11-EK10</f>
      </c>
      <c r="EO10" s="20">
        <f>EM10*SIN(RADIANS(theta_L))-EN10*COS(RADIANS(theta_L))</f>
      </c>
      <c r="EP10" s="47">
        <f>IF(EO10=0,"",-(EJ10*SIN(RADIANS(theta_L))-EK10*COS(RADIANS(theta_L)))/EO10)</f>
      </c>
      <c r="EQ10" s="20">
        <f>IF(EP10="","",(EJ10+EP10*EM10)*COS(RADIANS(theta_L))+(EK10+EP10*EN10)*SIN(RADIANS(theta_L)))</f>
      </c>
      <c r="ER10" s="20">
        <f>IF(OR(EP10="",EP10&lt;0,EP10&gt;1,EQ10&lt;0),"",EQ10)</f>
      </c>
    </row>
    <row r="11" spans="1:148" x14ac:dyDescent="0.25">
      <c r="A11">
        <v>4</v>
      </c>
      <c r="B11" s="44">
        <v>6.249999999999999</v>
      </c>
      <c r="C11" s="18">
        <v>656.3105841019723</v>
      </c>
      <c r="D11" s="18">
        <v>-570.3966091986152</v>
      </c>
      <c r="E11" s="18">
        <v>1226.7071933005875</v>
      </c>
      <c r="F11" s="16">
        <v>0.0033</v>
      </c>
      <c r="G11" s="16">
        <v>0</v>
      </c>
      <c r="H11" s="16">
        <v>0</v>
      </c>
      <c r="I11" s="16">
        <v>0.00275</v>
      </c>
      <c r="J11" s="16">
        <v>8.330369786285957e-7</v>
      </c>
      <c r="K11" s="16">
        <v>9.123238695062296e-8</v>
      </c>
      <c r="L11" s="16">
        <v>0.0024749999999999998</v>
      </c>
      <c r="M11" s="16">
        <v>0.0000012495554679428936</v>
      </c>
      <c r="N11" s="16">
        <v>1.3684858042593446e-7</v>
      </c>
      <c r="O11" s="16">
        <v>0.0021999999999999997</v>
      </c>
      <c r="P11" s="16">
        <v>0.0000016660739572571915</v>
      </c>
      <c r="Q11" s="16">
        <v>1.8246477390124592e-7</v>
      </c>
      <c r="R11" s="16">
        <v>0.0019249999999999998</v>
      </c>
      <c r="S11" s="16">
        <v>0.0000020825924465714894</v>
      </c>
      <c r="T11" s="16">
        <v>2.2808096737655742e-7</v>
      </c>
      <c r="U11" s="16">
        <v>0.0018000000000000002</v>
      </c>
      <c r="V11" s="16">
        <v>0.0000022719190326234423</v>
      </c>
      <c r="W11" s="16">
        <v>2.4881560077442624e-7</v>
      </c>
      <c r="X11" s="16">
        <v>0.0016499999999999998</v>
      </c>
      <c r="Y11" s="16">
        <v>0.000002499110935885787</v>
      </c>
      <c r="Z11" s="16">
        <v>2.736971608518689e-7</v>
      </c>
      <c r="AA11" s="16">
        <v>0.0015344401831466205</v>
      </c>
      <c r="AB11" s="16">
        <v>0.000002674139300762902</v>
      </c>
      <c r="AC11" s="16">
        <v>2.928658843557064e-7</v>
      </c>
      <c r="AD11" s="16">
        <v>0.0012669311199870175</v>
      </c>
      <c r="AE11" s="16">
        <v>0.000003079311922090614</v>
      </c>
      <c r="AF11" s="16">
        <v>3.372395031974801e-7</v>
      </c>
      <c r="AG11" s="16">
        <v>0.0009994220568274145</v>
      </c>
      <c r="AH11" s="16">
        <v>0.0000034844845434183265</v>
      </c>
      <c r="AI11" s="16">
        <v>3.816131220392538e-7</v>
      </c>
      <c r="AJ11" s="16">
        <v>0.0007319129936678112</v>
      </c>
      <c r="AK11" s="16">
        <v>0.00000388965716474604</v>
      </c>
      <c r="AL11" s="16">
        <v>4.2598674088102755e-7</v>
      </c>
      <c r="AM11" s="16">
        <v>0.0004644039305082082</v>
      </c>
      <c r="AN11" s="16">
        <v>0.000004294829786073751</v>
      </c>
      <c r="AO11" s="16">
        <v>4.7036035972280124e-7</v>
      </c>
      <c r="AP11" s="16">
        <v>-0.00007061419581099728</v>
      </c>
      <c r="AQ11" s="16">
        <v>0.000005105175028729176</v>
      </c>
      <c r="AR11" s="16">
        <v>5.591075974063486e-7</v>
      </c>
      <c r="AS11" s="16">
        <v>-0.0006056323221302032</v>
      </c>
      <c r="AT11" s="16">
        <v>0.000005915520271384601</v>
      </c>
      <c r="AU11" s="16">
        <v>6.47854835089896e-7</v>
      </c>
      <c r="AV11" s="16">
        <v>-0.0011406504484494087</v>
      </c>
      <c r="AW11" s="16">
        <v>0.000006725865514040025</v>
      </c>
      <c r="AX11" s="16">
        <v>7.366020727734433e-7</v>
      </c>
      <c r="AY11" s="16">
        <v>-0.0016756685747686146</v>
      </c>
      <c r="AZ11" s="16">
        <v>0.00000753621075669545</v>
      </c>
      <c r="BA11" s="16">
        <v>8.253493104569907e-7</v>
      </c>
      <c r="BB11" s="16">
        <v>-0.0027457048274070273</v>
      </c>
      <c r="BC11" s="16">
        <v>0.000009156901242006302</v>
      </c>
      <c r="BD11" s="16">
        <v>0.0000010028437858240856</v>
      </c>
      <c r="BE11" s="16">
        <v>-0.0038157410800454383</v>
      </c>
      <c r="BF11" s="16">
        <v>0.00001077759172731715</v>
      </c>
      <c r="BG11" s="16">
        <v>0.0000011803382611911804</v>
      </c>
      <c r="BH11" s="16">
        <v>-0.006490831711641468</v>
      </c>
      <c r="BI11" s="16">
        <v>0.000014829317940594274</v>
      </c>
      <c r="BJ11" s="16">
        <v>0.0000016240744496089174</v>
      </c>
      <c r="BK11" s="16">
        <v>-0.009165922343237497</v>
      </c>
      <c r="BL11" s="16">
        <v>0.000018881044153871397</v>
      </c>
      <c r="BM11" s="16">
        <v>0.000002067810638026654</v>
      </c>
      <c r="BN11" s="16">
        <v>-0.019866284869621616</v>
      </c>
      <c r="BO11" s="16">
        <v>0.00003508794900697989</v>
      </c>
      <c r="BP11" s="16">
        <v>0.000003842755391697602</v>
      </c>
      <c r="BQ11" s="16">
        <v>-0.05</v>
      </c>
      <c r="BR11" s="16">
        <v>0</v>
      </c>
      <c r="BS11" s="16">
        <v>0</v>
      </c>
      <c r="BT11" s="45">
        <v>33981.43387592912</v>
      </c>
      <c r="BU11" s="45">
        <v>33981.43387592912</v>
      </c>
      <c r="BV11" s="45">
        <v>33784.104448215345</v>
      </c>
      <c r="BW11" s="45">
        <v>32541.429320248033</v>
      </c>
      <c r="BX11" s="45">
        <v>30042.72699717186</v>
      </c>
      <c r="BY11" s="45">
        <v>28456.17650984861</v>
      </c>
      <c r="BZ11" s="45">
        <v>26191.715784286764</v>
      </c>
      <c r="CA11" s="45">
        <v>24251.86738571764</v>
      </c>
      <c r="CB11" s="45">
        <v>20515.94316738234</v>
      </c>
      <c r="CC11" s="45">
        <v>17946.37314978099</v>
      </c>
      <c r="CD11" s="45">
        <v>15843.017306678443</v>
      </c>
      <c r="CE11" s="45">
        <v>14000.01543681768</v>
      </c>
      <c r="CF11" s="45">
        <v>11440.506307417805</v>
      </c>
      <c r="CG11" s="45">
        <v>9600.997349042496</v>
      </c>
      <c r="CH11" s="45">
        <v>8200.670300647933</v>
      </c>
      <c r="CI11" s="45">
        <v>7032.523744924408</v>
      </c>
      <c r="CJ11" s="45">
        <v>5145.956600730699</v>
      </c>
      <c r="CK11" s="45">
        <v>3552.3861074171878</v>
      </c>
      <c r="CL11" s="45">
        <v>798.0918715909714</v>
      </c>
      <c r="CM11" s="45">
        <v>-1032.6179452177155</v>
      </c>
      <c r="CN11" s="45">
        <v>-4318.429919075857</v>
      </c>
      <c r="CO11" s="45">
        <v>-5790.583579096708</v>
      </c>
      <c r="CP11" s="45">
        <v>6.55418261885643e-13</v>
      </c>
      <c r="CQ11" s="45">
        <v>6.55418261885643e-13</v>
      </c>
      <c r="CR11" s="45">
        <v>104.813897019382</v>
      </c>
      <c r="CS11" s="45">
        <v>698.4492169451298</v>
      </c>
      <c r="CT11" s="45">
        <v>1797.7034872565016</v>
      </c>
      <c r="CU11" s="45">
        <v>2462.423552681137</v>
      </c>
      <c r="CV11" s="45">
        <v>3396.315904784743</v>
      </c>
      <c r="CW11" s="45">
        <v>4172.11218408055</v>
      </c>
      <c r="CX11" s="45">
        <v>5405.013293738387</v>
      </c>
      <c r="CY11" s="45">
        <v>5980.516193365176</v>
      </c>
      <c r="CZ11" s="45">
        <v>6327.825021991362</v>
      </c>
      <c r="DA11" s="45">
        <v>6570.91170674111</v>
      </c>
      <c r="DB11" s="45">
        <v>6569.048062743348</v>
      </c>
      <c r="DC11" s="45">
        <v>6363.722186012954</v>
      </c>
      <c r="DD11" s="45">
        <v>6098.82722602714</v>
      </c>
      <c r="DE11" s="45">
        <v>5820.01304198248</v>
      </c>
      <c r="DF11" s="45">
        <v>5225.3125982239435</v>
      </c>
      <c r="DG11" s="45">
        <v>4636.419590126197</v>
      </c>
      <c r="DH11" s="45">
        <v>3432.2814141179115</v>
      </c>
      <c r="DI11" s="45">
        <v>2554.9750628118964</v>
      </c>
      <c r="DJ11" s="45">
        <v>810.6160429260168</v>
      </c>
      <c r="DK11" s="45">
        <v>0</v>
      </c>
      <c r="DL11" s="45">
        <v>-5.220063030719757e-12</v>
      </c>
      <c r="DM11" s="45">
        <v>-5.220063030719757e-12</v>
      </c>
      <c r="DN11" s="45">
        <v>17.724984014946656</v>
      </c>
      <c r="DO11" s="45">
        <v>130.41588531404625</v>
      </c>
      <c r="DP11" s="45">
        <v>307.5421900961273</v>
      </c>
      <c r="DQ11" s="45">
        <v>414.8452008698255</v>
      </c>
      <c r="DR11" s="45">
        <v>562.1466580670683</v>
      </c>
      <c r="DS11" s="45">
        <v>660.2726985014469</v>
      </c>
      <c r="DT11" s="45">
        <v>678.9284325372394</v>
      </c>
      <c r="DU11" s="45">
        <v>690.2130482242933</v>
      </c>
      <c r="DV11" s="45">
        <v>730.5674874802268</v>
      </c>
      <c r="DW11" s="45">
        <v>773.4157389137094</v>
      </c>
      <c r="DX11" s="45">
        <v>808.7597897769473</v>
      </c>
      <c r="DY11" s="45">
        <v>781.9316832586964</v>
      </c>
      <c r="DZ11" s="45">
        <v>796.4042486402013</v>
      </c>
      <c r="EA11" s="45">
        <v>782.3055797373164</v>
      </c>
      <c r="EB11" s="45">
        <v>837.1945099807742</v>
      </c>
      <c r="EC11" s="45">
        <v>836.9321611016095</v>
      </c>
      <c r="ED11" s="45">
        <v>776.1858622210536</v>
      </c>
      <c r="EE11" s="45">
        <v>595.5054869563593</v>
      </c>
      <c r="EF11" s="45">
        <v>446.34680916065474</v>
      </c>
      <c r="EG11" s="45">
        <v>5.960464477539062e-14</v>
      </c>
      <c r="EH11" s="46">
        <f>MAX(1,MIN(21,SUMPRODUCT(--($BT11:$CO11&gt;=Pu))))</f>
      </c>
      <c r="EI11" s="47">
        <f>(Pu-INDEX($BT11:$CO11,1,$EH11))/(INDEX($BT11:$CO11,1,$EH11+1)-INDEX($BT11:$CO11,1,$EH11))</f>
      </c>
      <c r="EJ11" s="39">
        <f>INDEX($CP11:$DK11,1,$EH11)+$EI11*(INDEX($CP11:$DK11,1,$EH11+1)-INDEX($CP11:$DK11,1,$EH11))</f>
      </c>
      <c r="EK11" s="39">
        <f>INDEX($DL11:$EG11,1,$EH11)+$EI11*(INDEX($DL11:$EG11,1,$EH11+1)-INDEX($DL11:$EG11,1,$EH11))</f>
      </c>
      <c r="EL11" s="39">
        <f>SQRT(EJ11^2+EK11^2)</f>
      </c>
      <c r="EM11" s="20">
        <f>EJ12-EJ11</f>
      </c>
      <c r="EN11" s="20">
        <f>EK12-EK11</f>
      </c>
      <c r="EO11" s="20">
        <f>EM11*SIN(RADIANS(theta_L))-EN11*COS(RADIANS(theta_L))</f>
      </c>
      <c r="EP11" s="47">
        <f>IF(EO11=0,"",-(EJ11*SIN(RADIANS(theta_L))-EK11*COS(RADIANS(theta_L)))/EO11)</f>
      </c>
      <c r="EQ11" s="20">
        <f>IF(EP11="","",(EJ11+EP11*EM11)*COS(RADIANS(theta_L))+(EK11+EP11*EN11)*SIN(RADIANS(theta_L)))</f>
      </c>
      <c r="ER11" s="20">
        <f>IF(OR(EP11="",EP11&lt;0,EP11&gt;1,EQ11&lt;0),"",EQ11)</f>
      </c>
    </row>
    <row r="12" spans="1:148" x14ac:dyDescent="0.25">
      <c r="A12">
        <v>5</v>
      </c>
      <c r="B12" s="44">
        <v>7.499999999999999</v>
      </c>
      <c r="C12" s="18">
        <v>666.6563225453147</v>
      </c>
      <c r="D12" s="18">
        <v>-577.6762534161401</v>
      </c>
      <c r="E12" s="18">
        <v>1244.3325759614547</v>
      </c>
      <c r="F12" s="16">
        <v>0.0033</v>
      </c>
      <c r="G12" s="16">
        <v>0</v>
      </c>
      <c r="H12" s="16">
        <v>0</v>
      </c>
      <c r="I12" s="16">
        <v>0.00275</v>
      </c>
      <c r="J12" s="16">
        <v>8.17954702167443e-7</v>
      </c>
      <c r="K12" s="16">
        <v>1.0768577945369838e-7</v>
      </c>
      <c r="L12" s="16">
        <v>0.0024749999999999998</v>
      </c>
      <c r="M12" s="16">
        <v>0.0000012269320532511645</v>
      </c>
      <c r="N12" s="16">
        <v>1.6152866918054757e-7</v>
      </c>
      <c r="O12" s="16">
        <v>0.0021999999999999997</v>
      </c>
      <c r="P12" s="16">
        <v>0.000001635909404334886</v>
      </c>
      <c r="Q12" s="16">
        <v>2.1537155890739677e-7</v>
      </c>
      <c r="R12" s="16">
        <v>0.0019249999999999998</v>
      </c>
      <c r="S12" s="16">
        <v>0.000002044886755418608</v>
      </c>
      <c r="T12" s="16">
        <v>2.69214448634246e-7</v>
      </c>
      <c r="U12" s="16">
        <v>0.0018000000000000002</v>
      </c>
      <c r="V12" s="16">
        <v>0.0000022307855513657536</v>
      </c>
      <c r="W12" s="16">
        <v>2.936884894191774e-7</v>
      </c>
      <c r="X12" s="16">
        <v>0.00165</v>
      </c>
      <c r="Y12" s="16">
        <v>0.000002453864106502329</v>
      </c>
      <c r="Z12" s="16">
        <v>3.2305733836109514e-7</v>
      </c>
      <c r="AA12" s="16">
        <v>0.001532011355404967</v>
      </c>
      <c r="AB12" s="16">
        <v>0.0000026293356822275482</v>
      </c>
      <c r="AC12" s="16">
        <v>3.4615860956091613e-7</v>
      </c>
      <c r="AD12" s="16">
        <v>0.001264134288042083</v>
      </c>
      <c r="AE12" s="16">
        <v>0.00000302771987650445</v>
      </c>
      <c r="AF12" s="16">
        <v>3.986068837368125e-7</v>
      </c>
      <c r="AG12" s="16">
        <v>0.0009962572206791993</v>
      </c>
      <c r="AH12" s="16">
        <v>0.000003426104070781351</v>
      </c>
      <c r="AI12" s="16">
        <v>4.5105515791270884e-7</v>
      </c>
      <c r="AJ12" s="16">
        <v>0.0007283801533163152</v>
      </c>
      <c r="AK12" s="16">
        <v>0.000003824488265058253</v>
      </c>
      <c r="AL12" s="16">
        <v>5.035034320886053e-7</v>
      </c>
      <c r="AM12" s="16">
        <v>0.00046050308595343157</v>
      </c>
      <c r="AN12" s="16">
        <v>0.000004222872459335154</v>
      </c>
      <c r="AO12" s="16">
        <v>5.559517062645017e-7</v>
      </c>
      <c r="AP12" s="16">
        <v>-0.00007525104877233613</v>
      </c>
      <c r="AQ12" s="16">
        <v>0.000005019640847888957</v>
      </c>
      <c r="AR12" s="16">
        <v>6.608482546162944e-7</v>
      </c>
      <c r="AS12" s="16">
        <v>-0.0006110051834981034</v>
      </c>
      <c r="AT12" s="16">
        <v>0.0000058164092364427585</v>
      </c>
      <c r="AU12" s="16">
        <v>7.657448029680871e-7</v>
      </c>
      <c r="AV12" s="16">
        <v>-0.0011467593182238715</v>
      </c>
      <c r="AW12" s="16">
        <v>0.000006613177624996561</v>
      </c>
      <c r="AX12" s="16">
        <v>8.706413513198799e-7</v>
      </c>
      <c r="AY12" s="16">
        <v>-0.0016825134529496388</v>
      </c>
      <c r="AZ12" s="16">
        <v>0.000007409946013550363</v>
      </c>
      <c r="BA12" s="16">
        <v>9.755378996716725e-7</v>
      </c>
      <c r="BB12" s="16">
        <v>-0.002754021722401174</v>
      </c>
      <c r="BC12" s="16">
        <v>0.000009003482790657968</v>
      </c>
      <c r="BD12" s="16">
        <v>0.0000011853309963752581</v>
      </c>
      <c r="BE12" s="16">
        <v>-0.0038255299918527087</v>
      </c>
      <c r="BF12" s="16">
        <v>0.000010597019567765574</v>
      </c>
      <c r="BG12" s="16">
        <v>0.0000013951240930788436</v>
      </c>
      <c r="BH12" s="16">
        <v>-0.006504300665481547</v>
      </c>
      <c r="BI12" s="16">
        <v>0.000014580861510534587</v>
      </c>
      <c r="BJ12" s="16">
        <v>0.0000019196068348378073</v>
      </c>
      <c r="BK12" s="16">
        <v>-0.009183071339110387</v>
      </c>
      <c r="BL12" s="16">
        <v>0.0000185647034533036</v>
      </c>
      <c r="BM12" s="16">
        <v>0.0000024440895765967715</v>
      </c>
      <c r="BN12" s="16">
        <v>-0.019898154033625735</v>
      </c>
      <c r="BO12" s="16">
        <v>0.00003450007122437965</v>
      </c>
      <c r="BP12" s="16">
        <v>0.0000045420205436326264</v>
      </c>
      <c r="BQ12" s="16">
        <v>-0.05</v>
      </c>
      <c r="BR12" s="16">
        <v>0</v>
      </c>
      <c r="BS12" s="16">
        <v>0</v>
      </c>
      <c r="BT12" s="45">
        <v>33981.43387592912</v>
      </c>
      <c r="BU12" s="45">
        <v>33981.43387592912</v>
      </c>
      <c r="BV12" s="45">
        <v>33796.91493968995</v>
      </c>
      <c r="BW12" s="45">
        <v>32583.824184102283</v>
      </c>
      <c r="BX12" s="45">
        <v>30130.710668810032</v>
      </c>
      <c r="BY12" s="45">
        <v>28569.505673549873</v>
      </c>
      <c r="BZ12" s="45">
        <v>26339.0324118892</v>
      </c>
      <c r="CA12" s="45">
        <v>24378.74866071002</v>
      </c>
      <c r="CB12" s="45">
        <v>20594.8814402852</v>
      </c>
      <c r="CC12" s="45">
        <v>17975.304968232977</v>
      </c>
      <c r="CD12" s="45">
        <v>15848.17280373863</v>
      </c>
      <c r="CE12" s="45">
        <v>13986.340227616778</v>
      </c>
      <c r="CF12" s="45">
        <v>11374.507302554963</v>
      </c>
      <c r="CG12" s="45">
        <v>9506.839952135959</v>
      </c>
      <c r="CH12" s="45">
        <v>8069.290553196908</v>
      </c>
      <c r="CI12" s="45">
        <v>6853.995475640736</v>
      </c>
      <c r="CJ12" s="45">
        <v>4887.785465649896</v>
      </c>
      <c r="CK12" s="45">
        <v>3230.128160192618</v>
      </c>
      <c r="CL12" s="45">
        <v>458.3461294823745</v>
      </c>
      <c r="CM12" s="45">
        <v>-1396.449263690053</v>
      </c>
      <c r="CN12" s="45">
        <v>-4499.6133511314665</v>
      </c>
      <c r="CO12" s="45">
        <v>-5790.583579096708</v>
      </c>
      <c r="CP12" s="45">
        <v>6.55418261885643e-13</v>
      </c>
      <c r="CQ12" s="45">
        <v>6.55418261885643e-13</v>
      </c>
      <c r="CR12" s="45">
        <v>97.84121824855926</v>
      </c>
      <c r="CS12" s="45">
        <v>675.9862664446325</v>
      </c>
      <c r="CT12" s="45">
        <v>1751.428425680934</v>
      </c>
      <c r="CU12" s="45">
        <v>2403.2586147673783</v>
      </c>
      <c r="CV12" s="45">
        <v>3319.6454367030897</v>
      </c>
      <c r="CW12" s="45">
        <v>4101.191641471489</v>
      </c>
      <c r="CX12" s="45">
        <v>5353.478988292166</v>
      </c>
      <c r="CY12" s="45">
        <v>5944.517661704649</v>
      </c>
      <c r="CZ12" s="45">
        <v>6292.651522768692</v>
      </c>
      <c r="DA12" s="45">
        <v>6532.767189757184</v>
      </c>
      <c r="DB12" s="45">
        <v>6536.9414217636195</v>
      </c>
      <c r="DC12" s="45">
        <v>6317.670246897572</v>
      </c>
      <c r="DD12" s="45">
        <v>6041.716150337409</v>
      </c>
      <c r="DE12" s="45">
        <v>5736.821042318987</v>
      </c>
      <c r="DF12" s="45">
        <v>5102.396140049001</v>
      </c>
      <c r="DG12" s="45">
        <v>4475.993112735893</v>
      </c>
      <c r="DH12" s="45">
        <v>3248.1651360971277</v>
      </c>
      <c r="DI12" s="45">
        <v>2354.1848198469065</v>
      </c>
      <c r="DJ12" s="45">
        <v>710.1028762487525</v>
      </c>
      <c r="DK12" s="45">
        <v>0</v>
      </c>
      <c r="DL12" s="45">
        <v>-5.220063030719757e-12</v>
      </c>
      <c r="DM12" s="45">
        <v>-5.220063030719757e-12</v>
      </c>
      <c r="DN12" s="45">
        <v>20.51400066643857</v>
      </c>
      <c r="DO12" s="45">
        <v>151.9469131164653</v>
      </c>
      <c r="DP12" s="45">
        <v>362.2810042842375</v>
      </c>
      <c r="DQ12" s="45">
        <v>486.22680169936666</v>
      </c>
      <c r="DR12" s="45">
        <v>656.9214032518217</v>
      </c>
      <c r="DS12" s="45">
        <v>778.6364273599191</v>
      </c>
      <c r="DT12" s="45">
        <v>819.521062358118</v>
      </c>
      <c r="DU12" s="45">
        <v>829.7402068414528</v>
      </c>
      <c r="DV12" s="45">
        <v>875.1971371997913</v>
      </c>
      <c r="DW12" s="45">
        <v>923.4825668417187</v>
      </c>
      <c r="DX12" s="45">
        <v>963.5184106393955</v>
      </c>
      <c r="DY12" s="45">
        <v>946.2798141538603</v>
      </c>
      <c r="DZ12" s="45">
        <v>950.9580216427397</v>
      </c>
      <c r="EA12" s="45">
        <v>955.0603557262738</v>
      </c>
      <c r="EB12" s="45">
        <v>1003.2603734879552</v>
      </c>
      <c r="EC12" s="45">
        <v>1013.2476179263471</v>
      </c>
      <c r="ED12" s="45">
        <v>897.9162914598887</v>
      </c>
      <c r="EE12" s="45">
        <v>691.3822949512887</v>
      </c>
      <c r="EF12" s="45">
        <v>434.13818487267946</v>
      </c>
      <c r="EG12" s="45">
        <v>5.960464477539062e-14</v>
      </c>
      <c r="EH12" s="46">
        <f>MAX(1,MIN(21,SUMPRODUCT(--($BT12:$CO12&gt;=Pu))))</f>
      </c>
      <c r="EI12" s="47">
        <f>(Pu-INDEX($BT12:$CO12,1,$EH12))/(INDEX($BT12:$CO12,1,$EH12+1)-INDEX($BT12:$CO12,1,$EH12))</f>
      </c>
      <c r="EJ12" s="39">
        <f>INDEX($CP12:$DK12,1,$EH12)+$EI12*(INDEX($CP12:$DK12,1,$EH12+1)-INDEX($CP12:$DK12,1,$EH12))</f>
      </c>
      <c r="EK12" s="39">
        <f>INDEX($DL12:$EG12,1,$EH12)+$EI12*(INDEX($DL12:$EG12,1,$EH12+1)-INDEX($DL12:$EG12,1,$EH12))</f>
      </c>
      <c r="EL12" s="39">
        <f>SQRT(EJ12^2+EK12^2)</f>
      </c>
      <c r="EM12" s="20">
        <f>EJ13-EJ12</f>
      </c>
      <c r="EN12" s="20">
        <f>EK13-EK12</f>
      </c>
      <c r="EO12" s="20">
        <f>EM12*SIN(RADIANS(theta_L))-EN12*COS(RADIANS(theta_L))</f>
      </c>
      <c r="EP12" s="47">
        <f>IF(EO12=0,"",-(EJ12*SIN(RADIANS(theta_L))-EK12*COS(RADIANS(theta_L)))/EO12)</f>
      </c>
      <c r="EQ12" s="20">
        <f>IF(EP12="","",(EJ12+EP12*EM12)*COS(RADIANS(theta_L))+(EK12+EP12*EN12)*SIN(RADIANS(theta_L)))</f>
      </c>
      <c r="ER12" s="20">
        <f>IF(OR(EP12="",EP12&lt;0,EP12&gt;1,EQ12&lt;0),"",EQ12)</f>
      </c>
    </row>
    <row r="13" spans="1:148" x14ac:dyDescent="0.25">
      <c r="A13">
        <v>6</v>
      </c>
      <c r="B13" s="44">
        <v>10</v>
      </c>
      <c r="C13" s="18">
        <v>686.3911495241364</v>
      </c>
      <c r="D13" s="18">
        <v>-591.4073801632424</v>
      </c>
      <c r="E13" s="18">
        <v>1277.7985296873787</v>
      </c>
      <c r="F13" s="16">
        <v>0.0033</v>
      </c>
      <c r="G13" s="16">
        <v>0</v>
      </c>
      <c r="H13" s="16">
        <v>0</v>
      </c>
      <c r="I13" s="16">
        <v>0.00275</v>
      </c>
      <c r="J13" s="16">
        <v>7.891189513912401e-7</v>
      </c>
      <c r="K13" s="16">
        <v>1.391429621186473e-7</v>
      </c>
      <c r="L13" s="16">
        <v>0.0024749999999999998</v>
      </c>
      <c r="M13" s="16">
        <v>0.0000011836784270868602</v>
      </c>
      <c r="N13" s="16">
        <v>2.0871444317797096e-7</v>
      </c>
      <c r="O13" s="16">
        <v>0.0021999999999999997</v>
      </c>
      <c r="P13" s="16">
        <v>0.0000015782379027824802</v>
      </c>
      <c r="Q13" s="16">
        <v>2.782859242372946e-7</v>
      </c>
      <c r="R13" s="16">
        <v>0.001925</v>
      </c>
      <c r="S13" s="16">
        <v>0.0000019727973784781</v>
      </c>
      <c r="T13" s="16">
        <v>3.4785740529661824e-7</v>
      </c>
      <c r="U13" s="16">
        <v>0.0018000000000000002</v>
      </c>
      <c r="V13" s="16">
        <v>0.000002152142594703382</v>
      </c>
      <c r="W13" s="16">
        <v>3.7948080577812895e-7</v>
      </c>
      <c r="X13" s="16">
        <v>0.00165</v>
      </c>
      <c r="Y13" s="16">
        <v>0.0000023673568541737205</v>
      </c>
      <c r="Z13" s="16">
        <v>4.174288863559419e-7</v>
      </c>
      <c r="AA13" s="16">
        <v>0.0015273490375796422</v>
      </c>
      <c r="AB13" s="16">
        <v>0.0000025433317611778644</v>
      </c>
      <c r="AC13" s="16">
        <v>4.4845801038843545e-7</v>
      </c>
      <c r="AD13" s="16">
        <v>0.0012587655584250425</v>
      </c>
      <c r="AE13" s="16">
        <v>0.0000029286850583260253</v>
      </c>
      <c r="AF13" s="16">
        <v>5.164061937806227e-7</v>
      </c>
      <c r="AG13" s="16">
        <v>0.0009901820792704427</v>
      </c>
      <c r="AH13" s="16">
        <v>0.0000033140383554741867</v>
      </c>
      <c r="AI13" s="16">
        <v>5.843543771728099e-7</v>
      </c>
      <c r="AJ13" s="16">
        <v>0.0007215986001158428</v>
      </c>
      <c r="AK13" s="16">
        <v>0.0000036993916526223485</v>
      </c>
      <c r="AL13" s="16">
        <v>6.523025605649972e-7</v>
      </c>
      <c r="AM13" s="16">
        <v>0.0004530151209612434</v>
      </c>
      <c r="AN13" s="16">
        <v>0.00000408474494977051</v>
      </c>
      <c r="AO13" s="16">
        <v>7.202507439571843e-7</v>
      </c>
      <c r="AP13" s="16">
        <v>-0.00008415183734795592</v>
      </c>
      <c r="AQ13" s="16">
        <v>0.000004855451544066832</v>
      </c>
      <c r="AR13" s="16">
        <v>8.561471107415587e-7</v>
      </c>
      <c r="AS13" s="16">
        <v>-0.0006213187956571557</v>
      </c>
      <c r="AT13" s="16">
        <v>0.000005626158138363154</v>
      </c>
      <c r="AU13" s="16">
        <v>9.920434775259332e-7</v>
      </c>
      <c r="AV13" s="16">
        <v>-0.0011584857539663545</v>
      </c>
      <c r="AW13" s="16">
        <v>0.000006396864732659477</v>
      </c>
      <c r="AX13" s="16">
        <v>0.0000011279398443103075</v>
      </c>
      <c r="AY13" s="16">
        <v>-0.0016956527122755534</v>
      </c>
      <c r="AZ13" s="16">
        <v>0.000007167571326955799</v>
      </c>
      <c r="BA13" s="16">
        <v>0.0000012638362110946818</v>
      </c>
      <c r="BB13" s="16">
        <v>-0.0027699866288939537</v>
      </c>
      <c r="BC13" s="16">
        <v>0.000008708984515548445</v>
      </c>
      <c r="BD13" s="16">
        <v>0.0000015356289446634309</v>
      </c>
      <c r="BE13" s="16">
        <v>-0.0038443205455123515</v>
      </c>
      <c r="BF13" s="16">
        <v>0.000010250397704141089</v>
      </c>
      <c r="BG13" s="16">
        <v>0.0000018074216782321795</v>
      </c>
      <c r="BH13" s="16">
        <v>-0.006530155337058348</v>
      </c>
      <c r="BI13" s="16">
        <v>0.000014103930675622702</v>
      </c>
      <c r="BJ13" s="16">
        <v>0.0000024869035121540515</v>
      </c>
      <c r="BK13" s="16">
        <v>-0.009215990128604346</v>
      </c>
      <c r="BL13" s="16">
        <v>0.000017957463647104316</v>
      </c>
      <c r="BM13" s="16">
        <v>0.0000031663853460759237</v>
      </c>
      <c r="BN13" s="16">
        <v>-0.019959329294788327</v>
      </c>
      <c r="BO13" s="16">
        <v>0.00003337159553303076</v>
      </c>
      <c r="BP13" s="16">
        <v>0.000005884312681763411</v>
      </c>
      <c r="BQ13" s="16">
        <v>-0.05</v>
      </c>
      <c r="BR13" s="16">
        <v>0</v>
      </c>
      <c r="BS13" s="16">
        <v>0</v>
      </c>
      <c r="BT13" s="45">
        <v>33981.43387592912</v>
      </c>
      <c r="BU13" s="45">
        <v>33981.43387592912</v>
      </c>
      <c r="BV13" s="45">
        <v>33817.70229793882</v>
      </c>
      <c r="BW13" s="45">
        <v>32659.15227582878</v>
      </c>
      <c r="BX13" s="45">
        <v>30287.885774757073</v>
      </c>
      <c r="BY13" s="45">
        <v>28772.242328926623</v>
      </c>
      <c r="BZ13" s="45">
        <v>26602.77332718322</v>
      </c>
      <c r="CA13" s="45">
        <v>24605.694925875352</v>
      </c>
      <c r="CB13" s="45">
        <v>20756.860759489846</v>
      </c>
      <c r="CC13" s="45">
        <v>18031.85531842189</v>
      </c>
      <c r="CD13" s="45">
        <v>15852.238104788283</v>
      </c>
      <c r="CE13" s="45">
        <v>13950.734450522887</v>
      </c>
      <c r="CF13" s="45">
        <v>11242.929729050154</v>
      </c>
      <c r="CG13" s="45">
        <v>9306.558897226829</v>
      </c>
      <c r="CH13" s="45">
        <v>7768.054582530266</v>
      </c>
      <c r="CI13" s="45">
        <v>6450.509280520864</v>
      </c>
      <c r="CJ13" s="45">
        <v>4346.027660578646</v>
      </c>
      <c r="CK13" s="45">
        <v>2621.2595382002214</v>
      </c>
      <c r="CL13" s="45">
        <v>-149.6918872167412</v>
      </c>
      <c r="CM13" s="45">
        <v>-1975.4894876477308</v>
      </c>
      <c r="CN13" s="45">
        <v>-4743.388239756604</v>
      </c>
      <c r="CO13" s="45">
        <v>-5790.583579096708</v>
      </c>
      <c r="CP13" s="45">
        <v>6.55418261885643e-13</v>
      </c>
      <c r="CQ13" s="45">
        <v>6.55418261885643e-13</v>
      </c>
      <c r="CR13" s="45">
        <v>85.94863994576858</v>
      </c>
      <c r="CS13" s="45">
        <v>635.3999294732182</v>
      </c>
      <c r="CT13" s="45">
        <v>1666.7516846922656</v>
      </c>
      <c r="CU13" s="45">
        <v>2294.594182795671</v>
      </c>
      <c r="CV13" s="45">
        <v>3178.3038294731846</v>
      </c>
      <c r="CW13" s="45">
        <v>3966.1187487697935</v>
      </c>
      <c r="CX13" s="45">
        <v>5242.333438696812</v>
      </c>
      <c r="CY13" s="45">
        <v>5866.584398792459</v>
      </c>
      <c r="CZ13" s="45">
        <v>6217.649088725267</v>
      </c>
      <c r="DA13" s="45">
        <v>6451.20121461931</v>
      </c>
      <c r="DB13" s="45">
        <v>6462.170385549775</v>
      </c>
      <c r="DC13" s="45">
        <v>6212.486002589654</v>
      </c>
      <c r="DD13" s="45">
        <v>5898.101182529763</v>
      </c>
      <c r="DE13" s="45">
        <v>5542.26458873892</v>
      </c>
      <c r="DF13" s="45">
        <v>4834.426688912027</v>
      </c>
      <c r="DG13" s="45">
        <v>4161.046889884811</v>
      </c>
      <c r="DH13" s="45">
        <v>2909.979336255783</v>
      </c>
      <c r="DI13" s="45">
        <v>2023.4448033094009</v>
      </c>
      <c r="DJ13" s="45">
        <v>575.1013934478117</v>
      </c>
      <c r="DK13" s="45">
        <v>0</v>
      </c>
      <c r="DL13" s="45">
        <v>-5.220063030719757e-12</v>
      </c>
      <c r="DM13" s="45">
        <v>-5.220063030719757e-12</v>
      </c>
      <c r="DN13" s="45">
        <v>26.912752098990065</v>
      </c>
      <c r="DO13" s="45">
        <v>191.34828260522957</v>
      </c>
      <c r="DP13" s="45">
        <v>464.04737650584104</v>
      </c>
      <c r="DQ13" s="45">
        <v>619.3559050249659</v>
      </c>
      <c r="DR13" s="45">
        <v>834.2371502851801</v>
      </c>
      <c r="DS13" s="45">
        <v>1004.2477006600777</v>
      </c>
      <c r="DT13" s="45">
        <v>1097.3172805828272</v>
      </c>
      <c r="DU13" s="45">
        <v>1108.1301429528146</v>
      </c>
      <c r="DV13" s="45">
        <v>1161.297481402388</v>
      </c>
      <c r="DW13" s="45">
        <v>1219.542265375773</v>
      </c>
      <c r="DX13" s="45">
        <v>1268.4115242690955</v>
      </c>
      <c r="DY13" s="45">
        <v>1274.0359303159098</v>
      </c>
      <c r="DZ13" s="45">
        <v>1270.7531542999632</v>
      </c>
      <c r="EA13" s="45">
        <v>1304.5254438976897</v>
      </c>
      <c r="EB13" s="45">
        <v>1322.0346356462587</v>
      </c>
      <c r="EC13" s="45">
        <v>1334.930749221124</v>
      </c>
      <c r="ED13" s="45">
        <v>1103.3040717625886</v>
      </c>
      <c r="EE13" s="45">
        <v>853.1630492279968</v>
      </c>
      <c r="EF13" s="45">
        <v>405.27515551443014</v>
      </c>
      <c r="EG13" s="45">
        <v>5.960464477539062e-14</v>
      </c>
      <c r="EH13" s="46">
        <f>MAX(1,MIN(21,SUMPRODUCT(--($BT13:$CO13&gt;=Pu))))</f>
      </c>
      <c r="EI13" s="47">
        <f>(Pu-INDEX($BT13:$CO13,1,$EH13))/(INDEX($BT13:$CO13,1,$EH13+1)-INDEX($BT13:$CO13,1,$EH13))</f>
      </c>
      <c r="EJ13" s="39">
        <f>INDEX($CP13:$DK13,1,$EH13)+$EI13*(INDEX($CP13:$DK13,1,$EH13+1)-INDEX($CP13:$DK13,1,$EH13))</f>
      </c>
      <c r="EK13" s="39">
        <f>INDEX($DL13:$EG13,1,$EH13)+$EI13*(INDEX($DL13:$EG13,1,$EH13+1)-INDEX($DL13:$EG13,1,$EH13))</f>
      </c>
      <c r="EL13" s="39">
        <f>SQRT(EJ13^2+EK13^2)</f>
      </c>
      <c r="EM13" s="20">
        <f>EJ14-EJ13</f>
      </c>
      <c r="EN13" s="20">
        <f>EK14-EK13</f>
      </c>
      <c r="EO13" s="20">
        <f>EM13*SIN(RADIANS(theta_L))-EN13*COS(RADIANS(theta_L))</f>
      </c>
      <c r="EP13" s="47">
        <f>IF(EO13=0,"",-(EJ13*SIN(RADIANS(theta_L))-EK13*COS(RADIANS(theta_L)))/EO13)</f>
      </c>
      <c r="EQ13" s="20">
        <f>IF(EP13="","",(EJ13+EP13*EM13)*COS(RADIANS(theta_L))+(EK13+EP13*EN13)*SIN(RADIANS(theta_L)))</f>
      </c>
      <c r="ER13" s="20">
        <f>IF(OR(EP13="",EP13&lt;0,EP13&gt;1,EQ13&lt;0),"",EQ13)</f>
      </c>
    </row>
    <row r="14" spans="1:148" x14ac:dyDescent="0.25">
      <c r="A14">
        <v>7</v>
      </c>
      <c r="B14" s="44">
        <v>12.499999999999998</v>
      </c>
      <c r="C14" s="18">
        <v>704.8193919379166</v>
      </c>
      <c r="D14" s="18">
        <v>-604.0127293488058</v>
      </c>
      <c r="E14" s="18">
        <v>1308.8321212867224</v>
      </c>
      <c r="F14" s="16">
        <v>0.0033</v>
      </c>
      <c r="G14" s="16">
        <v>0</v>
      </c>
      <c r="H14" s="16">
        <v>0</v>
      </c>
      <c r="I14" s="16">
        <v>0.00275</v>
      </c>
      <c r="J14" s="16">
        <v>7.618445378461738e-7</v>
      </c>
      <c r="K14" s="16">
        <v>1.6889686780417393e-7</v>
      </c>
      <c r="L14" s="16">
        <v>0.0024749999999999998</v>
      </c>
      <c r="M14" s="16">
        <v>0.0000011427668067692607</v>
      </c>
      <c r="N14" s="16">
        <v>2.533453017062609e-7</v>
      </c>
      <c r="O14" s="16">
        <v>0.0022</v>
      </c>
      <c r="P14" s="16">
        <v>0.0000015236890756923476</v>
      </c>
      <c r="Q14" s="16">
        <v>3.3779373560834786e-7</v>
      </c>
      <c r="R14" s="16">
        <v>0.001925</v>
      </c>
      <c r="S14" s="16">
        <v>0.0000019046113446154345</v>
      </c>
      <c r="T14" s="16">
        <v>4.2224216951043485e-7</v>
      </c>
      <c r="U14" s="16">
        <v>0.0018000000000000002</v>
      </c>
      <c r="V14" s="16">
        <v>0.0000020777578304895647</v>
      </c>
      <c r="W14" s="16">
        <v>4.6062782128411073e-7</v>
      </c>
      <c r="X14" s="16">
        <v>0.00165</v>
      </c>
      <c r="Y14" s="16">
        <v>0.0000022855336135385213</v>
      </c>
      <c r="Z14" s="16">
        <v>5.066906034125218e-7</v>
      </c>
      <c r="AA14" s="16">
        <v>0.0015229164798396667</v>
      </c>
      <c r="AB14" s="16">
        <v>0.000002461566132964729</v>
      </c>
      <c r="AC14" s="16">
        <v>5.457160734209017e-7</v>
      </c>
      <c r="AD14" s="16">
        <v>0.0012536614010274952</v>
      </c>
      <c r="AE14" s="16">
        <v>0.000002834530698565445</v>
      </c>
      <c r="AF14" s="16">
        <v>6.28400326969523e-7</v>
      </c>
      <c r="AG14" s="16">
        <v>0.0009844063222153232</v>
      </c>
      <c r="AH14" s="16">
        <v>0.0000032074952641661616</v>
      </c>
      <c r="AI14" s="16">
        <v>7.110845805181445e-7</v>
      </c>
      <c r="AJ14" s="16">
        <v>0.0007151512434031516</v>
      </c>
      <c r="AK14" s="16">
        <v>0.0000035804598297668784</v>
      </c>
      <c r="AL14" s="16">
        <v>7.93768834066766e-7</v>
      </c>
      <c r="AM14" s="16">
        <v>0.00044589616459098005</v>
      </c>
      <c r="AN14" s="16">
        <v>0.000003953424395367594</v>
      </c>
      <c r="AO14" s="16">
        <v>8.764530876153874e-7</v>
      </c>
      <c r="AP14" s="16">
        <v>-0.00009261399303336394</v>
      </c>
      <c r="AQ14" s="16">
        <v>0.000004699353526569028</v>
      </c>
      <c r="AR14" s="16">
        <v>0.0000010418215947126303</v>
      </c>
      <c r="AS14" s="16">
        <v>-0.0006311241506577071</v>
      </c>
      <c r="AT14" s="16">
        <v>0.000005445282657770461</v>
      </c>
      <c r="AU14" s="16">
        <v>0.0000012071901018098732</v>
      </c>
      <c r="AV14" s="16">
        <v>-0.0011696343082820502</v>
      </c>
      <c r="AW14" s="16">
        <v>0.000006191211788971893</v>
      </c>
      <c r="AX14" s="16">
        <v>0.0000013725586089071162</v>
      </c>
      <c r="AY14" s="16">
        <v>-0.0017081444659063933</v>
      </c>
      <c r="AZ14" s="16">
        <v>0.000006937140920173325</v>
      </c>
      <c r="BA14" s="16">
        <v>0.0000015379271160043589</v>
      </c>
      <c r="BB14" s="16">
        <v>-0.0027851647811550813</v>
      </c>
      <c r="BC14" s="16">
        <v>0.000008428999182576194</v>
      </c>
      <c r="BD14" s="16">
        <v>0.0000018686641301988451</v>
      </c>
      <c r="BE14" s="16">
        <v>-0.0038621850964037667</v>
      </c>
      <c r="BF14" s="16">
        <v>0.000009920857444979056</v>
      </c>
      <c r="BG14" s="16">
        <v>0.0000021994011443933303</v>
      </c>
      <c r="BH14" s="16">
        <v>-0.006554735884525484</v>
      </c>
      <c r="BI14" s="16">
        <v>0.000013650503100986223</v>
      </c>
      <c r="BJ14" s="16">
        <v>0.000003026243679879545</v>
      </c>
      <c r="BK14" s="16">
        <v>-0.009247286672647202</v>
      </c>
      <c r="BL14" s="16">
        <v>0.000017380148756993387</v>
      </c>
      <c r="BM14" s="16">
        <v>0.00000385308621536576</v>
      </c>
      <c r="BN14" s="16">
        <v>-0.020017489825134065</v>
      </c>
      <c r="BO14" s="16">
        <v>0.000032298731381022045</v>
      </c>
      <c r="BP14" s="16">
        <v>0.0000071604563573106174</v>
      </c>
      <c r="BQ14" s="16">
        <v>-0.05</v>
      </c>
      <c r="BR14" s="16">
        <v>0</v>
      </c>
      <c r="BS14" s="16">
        <v>0</v>
      </c>
      <c r="BT14" s="45">
        <v>33981.43387592912</v>
      </c>
      <c r="BU14" s="45">
        <v>33981.43387592912</v>
      </c>
      <c r="BV14" s="45">
        <v>33835.78491700288</v>
      </c>
      <c r="BW14" s="45">
        <v>32723.609402017963</v>
      </c>
      <c r="BX14" s="45">
        <v>30419.72475461418</v>
      </c>
      <c r="BY14" s="45">
        <v>28946.98131202827</v>
      </c>
      <c r="BZ14" s="45">
        <v>26828.837599787905</v>
      </c>
      <c r="CA14" s="45">
        <v>24787.945914428452</v>
      </c>
      <c r="CB14" s="45">
        <v>20921.673641699326</v>
      </c>
      <c r="CC14" s="45">
        <v>18091.434266446144</v>
      </c>
      <c r="CD14" s="45">
        <v>15853.12346497315</v>
      </c>
      <c r="CE14" s="45">
        <v>13913.213666590695</v>
      </c>
      <c r="CF14" s="45">
        <v>11092.242829992545</v>
      </c>
      <c r="CG14" s="45">
        <v>9068.876972776094</v>
      </c>
      <c r="CH14" s="45">
        <v>7423.257071590929</v>
      </c>
      <c r="CI14" s="45">
        <v>6045.145470867198</v>
      </c>
      <c r="CJ14" s="45">
        <v>3812.982214021703</v>
      </c>
      <c r="CK14" s="45">
        <v>2122.935494361753</v>
      </c>
      <c r="CL14" s="45">
        <v>-635.8713281275793</v>
      </c>
      <c r="CM14" s="45">
        <v>-2399.2402983793218</v>
      </c>
      <c r="CN14" s="45">
        <v>-4876.1327364016925</v>
      </c>
      <c r="CO14" s="45">
        <v>-5790.583579096708</v>
      </c>
      <c r="CP14" s="45">
        <v>6.55418261885643e-13</v>
      </c>
      <c r="CQ14" s="45">
        <v>6.55418261885643e-13</v>
      </c>
      <c r="CR14" s="45">
        <v>75.52230011536163</v>
      </c>
      <c r="CS14" s="45">
        <v>599.8178520840482</v>
      </c>
      <c r="CT14" s="45">
        <v>1591.5548342501622</v>
      </c>
      <c r="CU14" s="45">
        <v>2197.1252954605056</v>
      </c>
      <c r="CV14" s="45">
        <v>3050.4086290839514</v>
      </c>
      <c r="CW14" s="45">
        <v>3837.2266261341033</v>
      </c>
      <c r="CX14" s="45">
        <v>5121.021303205736</v>
      </c>
      <c r="CY14" s="45">
        <v>5778.599741842237</v>
      </c>
      <c r="CZ14" s="45">
        <v>6134.486448883263</v>
      </c>
      <c r="DA14" s="45">
        <v>6360.386355431227</v>
      </c>
      <c r="DB14" s="45">
        <v>6372.579009346504</v>
      </c>
      <c r="DC14" s="45">
        <v>6079.918542475266</v>
      </c>
      <c r="DD14" s="45">
        <v>5724.187155567336</v>
      </c>
      <c r="DE14" s="45">
        <v>5331.604391961016</v>
      </c>
      <c r="DF14" s="45">
        <v>4560.450998697855</v>
      </c>
      <c r="DG14" s="45">
        <v>3877.5888059287277</v>
      </c>
      <c r="DH14" s="45">
        <v>2630.9492304485243</v>
      </c>
      <c r="DI14" s="45">
        <v>1778.4197955878144</v>
      </c>
      <c r="DJ14" s="45">
        <v>501.05515374567193</v>
      </c>
      <c r="DK14" s="45">
        <v>0</v>
      </c>
      <c r="DL14" s="45">
        <v>-5.220063030719757e-12</v>
      </c>
      <c r="DM14" s="45">
        <v>-5.220063030719757e-12</v>
      </c>
      <c r="DN14" s="45">
        <v>32.59735487775751</v>
      </c>
      <c r="DO14" s="45">
        <v>226.66878712132322</v>
      </c>
      <c r="DP14" s="45">
        <v>554.7005545259832</v>
      </c>
      <c r="DQ14" s="45">
        <v>741.5684825430696</v>
      </c>
      <c r="DR14" s="45">
        <v>998.653226929843</v>
      </c>
      <c r="DS14" s="45">
        <v>1224.1404765449367</v>
      </c>
      <c r="DT14" s="45">
        <v>1371.0247775130754</v>
      </c>
      <c r="DU14" s="45">
        <v>1386.6784303539298</v>
      </c>
      <c r="DV14" s="45">
        <v>1444.2169370601775</v>
      </c>
      <c r="DW14" s="45">
        <v>1513.4115178456248</v>
      </c>
      <c r="DX14" s="45">
        <v>1569.4482288033473</v>
      </c>
      <c r="DY14" s="45">
        <v>1610.0756670915202</v>
      </c>
      <c r="DZ14" s="45">
        <v>1593.0855437276869</v>
      </c>
      <c r="EA14" s="45">
        <v>1635.1382083484887</v>
      </c>
      <c r="EB14" s="45">
        <v>1621.7313831682343</v>
      </c>
      <c r="EC14" s="45">
        <v>1576.8592622909553</v>
      </c>
      <c r="ED14" s="45">
        <v>1262.75690232789</v>
      </c>
      <c r="EE14" s="45">
        <v>960.660104613963</v>
      </c>
      <c r="EF14" s="45">
        <v>378.9670830538769</v>
      </c>
      <c r="EG14" s="45">
        <v>5.960464477539062e-14</v>
      </c>
      <c r="EH14" s="46">
        <f>MAX(1,MIN(21,SUMPRODUCT(--($BT14:$CO14&gt;=Pu))))</f>
      </c>
      <c r="EI14" s="47">
        <f>(Pu-INDEX($BT14:$CO14,1,$EH14))/(INDEX($BT14:$CO14,1,$EH14+1)-INDEX($BT14:$CO14,1,$EH14))</f>
      </c>
      <c r="EJ14" s="39">
        <f>INDEX($CP14:$DK14,1,$EH14)+$EI14*(INDEX($CP14:$DK14,1,$EH14+1)-INDEX($CP14:$DK14,1,$EH14))</f>
      </c>
      <c r="EK14" s="39">
        <f>INDEX($DL14:$EG14,1,$EH14)+$EI14*(INDEX($DL14:$EG14,1,$EH14+1)-INDEX($DL14:$EG14,1,$EH14))</f>
      </c>
      <c r="EL14" s="39">
        <f>SQRT(EJ14^2+EK14^2)</f>
      </c>
      <c r="EM14" s="20">
        <f>EJ15-EJ14</f>
      </c>
      <c r="EN14" s="20">
        <f>EK15-EK14</f>
      </c>
      <c r="EO14" s="20">
        <f>EM14*SIN(RADIANS(theta_L))-EN14*COS(RADIANS(theta_L))</f>
      </c>
      <c r="EP14" s="47">
        <f>IF(EO14=0,"",-(EJ14*SIN(RADIANS(theta_L))-EK14*COS(RADIANS(theta_L)))/EO14)</f>
      </c>
      <c r="EQ14" s="20">
        <f>IF(EP14="","",(EJ14+EP14*EM14)*COS(RADIANS(theta_L))+(EK14+EP14*EN14)*SIN(RADIANS(theta_L)))</f>
      </c>
      <c r="ER14" s="20">
        <f>IF(OR(EP14="",EP14&lt;0,EP14&gt;1,EQ14&lt;0),"",EQ14)</f>
      </c>
    </row>
    <row r="15" spans="1:148" x14ac:dyDescent="0.25">
      <c r="A15">
        <v>8</v>
      </c>
      <c r="B15" s="44">
        <v>14.999999999999998</v>
      </c>
      <c r="C15" s="18">
        <v>721.9059705798273</v>
      </c>
      <c r="D15" s="18">
        <v>-615.4683059742146</v>
      </c>
      <c r="E15" s="18">
        <v>1337.374276554042</v>
      </c>
      <c r="F15" s="16">
        <v>0.0033</v>
      </c>
      <c r="G15" s="16">
        <v>0</v>
      </c>
      <c r="H15" s="16">
        <v>0</v>
      </c>
      <c r="I15" s="16">
        <v>0.00275</v>
      </c>
      <c r="J15" s="16">
        <v>7.35911913891342e-7</v>
      </c>
      <c r="K15" s="16">
        <v>1.9718700302762697e-7</v>
      </c>
      <c r="L15" s="16">
        <v>0.0024749999999999998</v>
      </c>
      <c r="M15" s="16">
        <v>0.000001103867870837013</v>
      </c>
      <c r="N15" s="16">
        <v>2.957805045414405e-7</v>
      </c>
      <c r="O15" s="16">
        <v>0.0022</v>
      </c>
      <c r="P15" s="16">
        <v>0.000001471823827782684</v>
      </c>
      <c r="Q15" s="16">
        <v>3.9437400605525395e-7</v>
      </c>
      <c r="R15" s="16">
        <v>0.0019249999999999998</v>
      </c>
      <c r="S15" s="16">
        <v>0.0000018397797847283553</v>
      </c>
      <c r="T15" s="16">
        <v>4.929675075690675e-7</v>
      </c>
      <c r="U15" s="16">
        <v>0.0018000000000000002</v>
      </c>
      <c r="V15" s="16">
        <v>0.0000020070324924309324</v>
      </c>
      <c r="W15" s="16">
        <v>5.377827355298918e-7</v>
      </c>
      <c r="X15" s="16">
        <v>0.00165</v>
      </c>
      <c r="Y15" s="16">
        <v>0.000002207735741674026</v>
      </c>
      <c r="Z15" s="16">
        <v>5.91561009082881e-7</v>
      </c>
      <c r="AA15" s="16">
        <v>0.001518681378370923</v>
      </c>
      <c r="AB15" s="16">
        <v>0.0000023834429019878937</v>
      </c>
      <c r="AC15" s="16">
        <v>6.386416007933475e-7</v>
      </c>
      <c r="AD15" s="16">
        <v>0.0012487846175180321</v>
      </c>
      <c r="AE15" s="16">
        <v>0.0000027445706144103018</v>
      </c>
      <c r="AF15" s="16">
        <v>7.354054797014306e-7</v>
      </c>
      <c r="AG15" s="16">
        <v>0.000978887856665142</v>
      </c>
      <c r="AH15" s="16">
        <v>0.00000310569832683271</v>
      </c>
      <c r="AI15" s="16">
        <v>8.321693586095135e-7</v>
      </c>
      <c r="AJ15" s="16">
        <v>0.0007089910958122509</v>
      </c>
      <c r="AK15" s="16">
        <v>0.0000034668260392551184</v>
      </c>
      <c r="AL15" s="16">
        <v>9.289332375175965e-7</v>
      </c>
      <c r="AM15" s="16">
        <v>0.0004390943349593607</v>
      </c>
      <c r="AN15" s="16">
        <v>0.0000038279537516775265</v>
      </c>
      <c r="AO15" s="16">
        <v>0.0000010256971164256795</v>
      </c>
      <c r="AP15" s="16">
        <v>-0.00010069918674642008</v>
      </c>
      <c r="AQ15" s="16">
        <v>0.000004550209176522343</v>
      </c>
      <c r="AR15" s="16">
        <v>0.0000012192248742418454</v>
      </c>
      <c r="AS15" s="16">
        <v>-0.0006404927084522017</v>
      </c>
      <c r="AT15" s="16">
        <v>0.000005272464601367159</v>
      </c>
      <c r="AU15" s="16">
        <v>0.0000014127526320580113</v>
      </c>
      <c r="AV15" s="16">
        <v>-0.001180286230157982</v>
      </c>
      <c r="AW15" s="16">
        <v>0.000005994720026211975</v>
      </c>
      <c r="AX15" s="16">
        <v>0.0000016062803898741773</v>
      </c>
      <c r="AY15" s="16">
        <v>-0.0017200797518637624</v>
      </c>
      <c r="AZ15" s="16">
        <v>0.00000671697545105679</v>
      </c>
      <c r="BA15" s="16">
        <v>0.000001799808147690343</v>
      </c>
      <c r="BB15" s="16">
        <v>-0.0027996667952753258</v>
      </c>
      <c r="BC15" s="16">
        <v>0.000008161486300746425</v>
      </c>
      <c r="BD15" s="16">
        <v>0.0000021868636633226753</v>
      </c>
      <c r="BE15" s="16">
        <v>-0.0038792538386868856</v>
      </c>
      <c r="BF15" s="16">
        <v>0.000009605997150436054</v>
      </c>
      <c r="BG15" s="16">
        <v>0.0000025739191789550067</v>
      </c>
      <c r="BH15" s="16">
        <v>-0.006578221447215792</v>
      </c>
      <c r="BI15" s="16">
        <v>0.000013217274274660139</v>
      </c>
      <c r="BJ15" s="16">
        <v>0.000003541557968035837</v>
      </c>
      <c r="BK15" s="16">
        <v>-0.009277189055744699</v>
      </c>
      <c r="BL15" s="16">
        <v>0.00001682855139888422</v>
      </c>
      <c r="BM15" s="16">
        <v>0.000004509196757116666</v>
      </c>
      <c r="BN15" s="16">
        <v>-0.020073059489860316</v>
      </c>
      <c r="BO15" s="16">
        <v>0.00003127365989578055</v>
      </c>
      <c r="BP15" s="16">
        <v>0.000008379751913439985</v>
      </c>
      <c r="BQ15" s="16">
        <v>-0.05</v>
      </c>
      <c r="BR15" s="16">
        <v>0</v>
      </c>
      <c r="BS15" s="16">
        <v>0</v>
      </c>
      <c r="BT15" s="45">
        <v>33981.43387592912</v>
      </c>
      <c r="BU15" s="45">
        <v>33981.43387592912</v>
      </c>
      <c r="BV15" s="45">
        <v>33850.50181793656</v>
      </c>
      <c r="BW15" s="45">
        <v>32774.62802725625</v>
      </c>
      <c r="BX15" s="45">
        <v>30527.487770543754</v>
      </c>
      <c r="BY15" s="45">
        <v>29097.594418450528</v>
      </c>
      <c r="BZ15" s="45">
        <v>27011.95729301388</v>
      </c>
      <c r="CA15" s="45">
        <v>24941.453505539637</v>
      </c>
      <c r="CB15" s="45">
        <v>21079.019157045306</v>
      </c>
      <c r="CC15" s="45">
        <v>18153.31005527712</v>
      </c>
      <c r="CD15" s="45">
        <v>15853.978475694379</v>
      </c>
      <c r="CE15" s="45">
        <v>13872.542689247419</v>
      </c>
      <c r="CF15" s="45">
        <v>10905.321204451915</v>
      </c>
      <c r="CG15" s="45">
        <v>8823.417547821995</v>
      </c>
      <c r="CH15" s="45">
        <v>7089.749963110848</v>
      </c>
      <c r="CI15" s="45">
        <v>5653.327167182719</v>
      </c>
      <c r="CJ15" s="45">
        <v>3322.757244273447</v>
      </c>
      <c r="CK15" s="45">
        <v>1694.8502135948982</v>
      </c>
      <c r="CL15" s="45">
        <v>-1005.0490032452154</v>
      </c>
      <c r="CM15" s="45">
        <v>-2705.1851104091907</v>
      </c>
      <c r="CN15" s="45">
        <v>-4986.1897604569185</v>
      </c>
      <c r="CO15" s="45">
        <v>-5790.583579096708</v>
      </c>
      <c r="CP15" s="45">
        <v>6.55418261885643e-13</v>
      </c>
      <c r="CQ15" s="45">
        <v>6.55418261885643e-13</v>
      </c>
      <c r="CR15" s="45">
        <v>66.91515915832036</v>
      </c>
      <c r="CS15" s="45">
        <v>569.7396157592806</v>
      </c>
      <c r="CT15" s="45">
        <v>1524.6380102049045</v>
      </c>
      <c r="CU15" s="45">
        <v>2109.1525188846113</v>
      </c>
      <c r="CV15" s="45">
        <v>2930.76390363958</v>
      </c>
      <c r="CW15" s="45">
        <v>3717.817740767128</v>
      </c>
      <c r="CX15" s="45">
        <v>4991.688802120821</v>
      </c>
      <c r="CY15" s="45">
        <v>5680.500632404483</v>
      </c>
      <c r="CZ15" s="45">
        <v>6040.781104324074</v>
      </c>
      <c r="DA15" s="45">
        <v>6259.34268071864</v>
      </c>
      <c r="DB15" s="45">
        <v>6257.14251436693</v>
      </c>
      <c r="DC15" s="45">
        <v>5922.554518305763</v>
      </c>
      <c r="DD15" s="45">
        <v>5532.796178961822</v>
      </c>
      <c r="DE15" s="45">
        <v>5108.336556806481</v>
      </c>
      <c r="DF15" s="45">
        <v>4296.357054104887</v>
      </c>
      <c r="DG15" s="45">
        <v>3622.670894359037</v>
      </c>
      <c r="DH15" s="45">
        <v>2414.300505273631</v>
      </c>
      <c r="DI15" s="45">
        <v>1597.1692493342189</v>
      </c>
      <c r="DJ15" s="45">
        <v>440.13877306631827</v>
      </c>
      <c r="DK15" s="45">
        <v>0</v>
      </c>
      <c r="DL15" s="45">
        <v>-5.220063030719757e-12</v>
      </c>
      <c r="DM15" s="45">
        <v>-5.220063030719757e-12</v>
      </c>
      <c r="DN15" s="45">
        <v>37.274621548238756</v>
      </c>
      <c r="DO15" s="45">
        <v>255.80679526661282</v>
      </c>
      <c r="DP15" s="45">
        <v>634.570316919396</v>
      </c>
      <c r="DQ15" s="45">
        <v>854.7792409104551</v>
      </c>
      <c r="DR15" s="45">
        <v>1159.563486747677</v>
      </c>
      <c r="DS15" s="45">
        <v>1431.5670973691053</v>
      </c>
      <c r="DT15" s="45">
        <v>1637.5475314208286</v>
      </c>
      <c r="DU15" s="45">
        <v>1663.835874467933</v>
      </c>
      <c r="DV15" s="45">
        <v>1729.1726063479675</v>
      </c>
      <c r="DW15" s="45">
        <v>1807.7254003269525</v>
      </c>
      <c r="DX15" s="45">
        <v>1872.1924485206312</v>
      </c>
      <c r="DY15" s="45">
        <v>1929.1357326563907</v>
      </c>
      <c r="DZ15" s="45">
        <v>1919.6896580092746</v>
      </c>
      <c r="EA15" s="45">
        <v>1932.3900207948427</v>
      </c>
      <c r="EB15" s="45">
        <v>1892.9204651062885</v>
      </c>
      <c r="EC15" s="45">
        <v>1783.9736600341982</v>
      </c>
      <c r="ED15" s="45">
        <v>1378.3547816058403</v>
      </c>
      <c r="EE15" s="45">
        <v>1042.10781707144</v>
      </c>
      <c r="EF15" s="45">
        <v>354.74385312399767</v>
      </c>
      <c r="EG15" s="45">
        <v>5.960464477539062e-14</v>
      </c>
      <c r="EH15" s="46">
        <f>MAX(1,MIN(21,SUMPRODUCT(--($BT15:$CO15&gt;=Pu))))</f>
      </c>
      <c r="EI15" s="47">
        <f>(Pu-INDEX($BT15:$CO15,1,$EH15))/(INDEX($BT15:$CO15,1,$EH15+1)-INDEX($BT15:$CO15,1,$EH15))</f>
      </c>
      <c r="EJ15" s="39">
        <f>INDEX($CP15:$DK15,1,$EH15)+$EI15*(INDEX($CP15:$DK15,1,$EH15+1)-INDEX($CP15:$DK15,1,$EH15))</f>
      </c>
      <c r="EK15" s="39">
        <f>INDEX($DL15:$EG15,1,$EH15)+$EI15*(INDEX($DL15:$EG15,1,$EH15+1)-INDEX($DL15:$EG15,1,$EH15))</f>
      </c>
      <c r="EL15" s="39">
        <f>SQRT(EJ15^2+EK15^2)</f>
      </c>
      <c r="EM15" s="20">
        <f>EJ16-EJ15</f>
      </c>
      <c r="EN15" s="20">
        <f>EK16-EK15</f>
      </c>
      <c r="EO15" s="20">
        <f>EM15*SIN(RADIANS(theta_L))-EN15*COS(RADIANS(theta_L))</f>
      </c>
      <c r="EP15" s="47">
        <f>IF(EO15=0,"",-(EJ15*SIN(RADIANS(theta_L))-EK15*COS(RADIANS(theta_L)))/EO15)</f>
      </c>
      <c r="EQ15" s="20">
        <f>IF(EP15="","",(EJ15+EP15*EM15)*COS(RADIANS(theta_L))+(EK15+EP15*EN15)*SIN(RADIANS(theta_L)))</f>
      </c>
      <c r="ER15" s="20">
        <f>IF(OR(EP15="",EP15&lt;0,EP15&gt;1,EQ15&lt;0),"",EQ15)</f>
      </c>
    </row>
    <row r="16" spans="1:148" x14ac:dyDescent="0.25">
      <c r="A16">
        <v>9</v>
      </c>
      <c r="B16" s="44">
        <v>20</v>
      </c>
      <c r="C16" s="18">
        <v>751.9266513006628</v>
      </c>
      <c r="D16" s="18">
        <v>-634.845146346799</v>
      </c>
      <c r="E16" s="18">
        <v>1386.7717976474619</v>
      </c>
      <c r="F16" s="16">
        <v>0.0033</v>
      </c>
      <c r="G16" s="16">
        <v>0</v>
      </c>
      <c r="H16" s="16">
        <v>0</v>
      </c>
      <c r="I16" s="16">
        <v>0.00275</v>
      </c>
      <c r="J16" s="16">
        <v>6.873422301739792e-7</v>
      </c>
      <c r="K16" s="16">
        <v>2.501721125374772e-7</v>
      </c>
      <c r="L16" s="16">
        <v>0.0024749999999999998</v>
      </c>
      <c r="M16" s="16">
        <v>0.000001031013345260969</v>
      </c>
      <c r="N16" s="16">
        <v>3.752581688062158e-7</v>
      </c>
      <c r="O16" s="16">
        <v>0.0021999999999999997</v>
      </c>
      <c r="P16" s="16">
        <v>0.0000013746844603479585</v>
      </c>
      <c r="Q16" s="16">
        <v>5.003442250749544e-7</v>
      </c>
      <c r="R16" s="16">
        <v>0.0019249999999999998</v>
      </c>
      <c r="S16" s="16">
        <v>0.0000017183555754349485</v>
      </c>
      <c r="T16" s="16">
        <v>6.254302813436931e-7</v>
      </c>
      <c r="U16" s="16">
        <v>0.0018000000000000002</v>
      </c>
      <c r="V16" s="16">
        <v>0.000001874569718656307</v>
      </c>
      <c r="W16" s="16">
        <v>6.822875796476651e-7</v>
      </c>
      <c r="X16" s="16">
        <v>0.00165</v>
      </c>
      <c r="Y16" s="16">
        <v>0.000002062026690521938</v>
      </c>
      <c r="Z16" s="16">
        <v>7.505163376124316e-7</v>
      </c>
      <c r="AA16" s="16">
        <v>0.0015106948284486347</v>
      </c>
      <c r="AB16" s="16">
        <v>0.0000022361181946835456</v>
      </c>
      <c r="AC16" s="16">
        <v>8.138804631658875e-7</v>
      </c>
      <c r="AD16" s="16">
        <v>0.001239587984274185</v>
      </c>
      <c r="AE16" s="16">
        <v>0.00000257492398175681</v>
      </c>
      <c r="AF16" s="16">
        <v>9.371956848576887e-7</v>
      </c>
      <c r="AG16" s="16">
        <v>0.0009684811400997358</v>
      </c>
      <c r="AH16" s="16">
        <v>0.0000029137297688300746</v>
      </c>
      <c r="AI16" s="16">
        <v>0.0000010605109065494898</v>
      </c>
      <c r="AJ16" s="16">
        <v>0.0006973742959252866</v>
      </c>
      <c r="AK16" s="16">
        <v>0.0000032525355559033396</v>
      </c>
      <c r="AL16" s="16">
        <v>0.000001183826128241291</v>
      </c>
      <c r="AM16" s="16">
        <v>0.0004262674517508374</v>
      </c>
      <c r="AN16" s="16">
        <v>0.0000035913413429766037</v>
      </c>
      <c r="AO16" s="16">
        <v>0.0000013071413499330922</v>
      </c>
      <c r="AP16" s="16">
        <v>-0.00011594623659806104</v>
      </c>
      <c r="AQ16" s="16">
        <v>0.000004268952917123133</v>
      </c>
      <c r="AR16" s="16">
        <v>0.0000015537717933166943</v>
      </c>
      <c r="AS16" s="16">
        <v>-0.0006581599249469603</v>
      </c>
      <c r="AT16" s="16">
        <v>0.000004946564491269662</v>
      </c>
      <c r="AU16" s="16">
        <v>0.0000018004022367002968</v>
      </c>
      <c r="AV16" s="16">
        <v>-0.0012003736132958588</v>
      </c>
      <c r="AW16" s="16">
        <v>0.000005624176065416191</v>
      </c>
      <c r="AX16" s="16">
        <v>0.000002047032680083899</v>
      </c>
      <c r="AY16" s="16">
        <v>-0.0017425873016447572</v>
      </c>
      <c r="AZ16" s="16">
        <v>0.00000630178763956272</v>
      </c>
      <c r="BA16" s="16">
        <v>0.000002293663123467501</v>
      </c>
      <c r="BB16" s="16">
        <v>-0.002827014678342554</v>
      </c>
      <c r="BC16" s="16">
        <v>0.000007657010787855779</v>
      </c>
      <c r="BD16" s="16">
        <v>0.000002786924010234706</v>
      </c>
      <c r="BE16" s="16">
        <v>-0.003911442055040351</v>
      </c>
      <c r="BF16" s="16">
        <v>0.000009012233936148835</v>
      </c>
      <c r="BG16" s="16">
        <v>0.00000328018489700191</v>
      </c>
      <c r="BH16" s="16">
        <v>-0.006622510496784845</v>
      </c>
      <c r="BI16" s="16">
        <v>0.00001240029180688148</v>
      </c>
      <c r="BJ16" s="16">
        <v>0.000004513337113919922</v>
      </c>
      <c r="BK16" s="16">
        <v>-0.00933357893852934</v>
      </c>
      <c r="BL16" s="16">
        <v>0.000015788349677614127</v>
      </c>
      <c r="BM16" s="16">
        <v>0.000005746489330837933</v>
      </c>
      <c r="BN16" s="16">
        <v>-0.020177852705507312</v>
      </c>
      <c r="BO16" s="16">
        <v>0.000029340581160544707</v>
      </c>
      <c r="BP16" s="16">
        <v>0.00001067909819850998</v>
      </c>
      <c r="BQ16" s="16">
        <v>-0.05</v>
      </c>
      <c r="BR16" s="16">
        <v>0</v>
      </c>
      <c r="BS16" s="16">
        <v>0</v>
      </c>
      <c r="BT16" s="45">
        <v>33981.43387592912</v>
      </c>
      <c r="BU16" s="45">
        <v>33981.43387592912</v>
      </c>
      <c r="BV16" s="45">
        <v>33866.46115926956</v>
      </c>
      <c r="BW16" s="45">
        <v>32846.243392726465</v>
      </c>
      <c r="BX16" s="45">
        <v>30697.218104554984</v>
      </c>
      <c r="BY16" s="45">
        <v>29309.608441659388</v>
      </c>
      <c r="BZ16" s="45">
        <v>27300.75380776754</v>
      </c>
      <c r="CA16" s="45">
        <v>25173.070023499105</v>
      </c>
      <c r="CB16" s="45">
        <v>21360.538222376872</v>
      </c>
      <c r="CC16" s="45">
        <v>18286.15307895993</v>
      </c>
      <c r="CD16" s="45">
        <v>15841.22870035382</v>
      </c>
      <c r="CE16" s="45">
        <v>13737.506806493247</v>
      </c>
      <c r="CF16" s="45">
        <v>10539.574187577791</v>
      </c>
      <c r="CG16" s="45">
        <v>8303.819816445108</v>
      </c>
      <c r="CH16" s="45">
        <v>6450.666424255945</v>
      </c>
      <c r="CI16" s="45">
        <v>4912.473218237895</v>
      </c>
      <c r="CJ16" s="45">
        <v>2611.7963047008457</v>
      </c>
      <c r="CK16" s="45">
        <v>1066.5351454072556</v>
      </c>
      <c r="CL16" s="45">
        <v>-1528.0088222185475</v>
      </c>
      <c r="CM16" s="45">
        <v>-3015.7821499045026</v>
      </c>
      <c r="CN16" s="45">
        <v>-5070.125862798883</v>
      </c>
      <c r="CO16" s="45">
        <v>-5790.583579096708</v>
      </c>
      <c r="CP16" s="45">
        <v>6.55418261885643e-13</v>
      </c>
      <c r="CQ16" s="45">
        <v>6.55418261885643e-13</v>
      </c>
      <c r="CR16" s="45">
        <v>56.91932962290377</v>
      </c>
      <c r="CS16" s="45">
        <v>522.0524115494659</v>
      </c>
      <c r="CT16" s="45">
        <v>1409.5705451258646</v>
      </c>
      <c r="CU16" s="45">
        <v>1952.5956977239046</v>
      </c>
      <c r="CV16" s="45">
        <v>2720.320068058655</v>
      </c>
      <c r="CW16" s="45">
        <v>3501.6011220569285</v>
      </c>
      <c r="CX16" s="45">
        <v>4715.239522321556</v>
      </c>
      <c r="CY16" s="45">
        <v>5448.689927340278</v>
      </c>
      <c r="CZ16" s="45">
        <v>5816.135134743739</v>
      </c>
      <c r="DA16" s="45">
        <v>6010.03583450326</v>
      </c>
      <c r="DB16" s="45">
        <v>5958.154498155275</v>
      </c>
      <c r="DC16" s="45">
        <v>5570.648550219881</v>
      </c>
      <c r="DD16" s="45">
        <v>5111.873628892475</v>
      </c>
      <c r="DE16" s="45">
        <v>4662.133602370184</v>
      </c>
      <c r="DF16" s="45">
        <v>3839.201768525085</v>
      </c>
      <c r="DG16" s="45">
        <v>3221.718264693535</v>
      </c>
      <c r="DH16" s="45">
        <v>2096.9735275721464</v>
      </c>
      <c r="DI16" s="45">
        <v>1395.3286237833101</v>
      </c>
      <c r="DJ16" s="45">
        <v>391.09172695750755</v>
      </c>
      <c r="DK16" s="45">
        <v>0</v>
      </c>
      <c r="DL16" s="45">
        <v>-5.220063030719757e-12</v>
      </c>
      <c r="DM16" s="45">
        <v>-5.220063030719757e-12</v>
      </c>
      <c r="DN16" s="45">
        <v>42.247982437666295</v>
      </c>
      <c r="DO16" s="45">
        <v>301.8109180484808</v>
      </c>
      <c r="DP16" s="45">
        <v>778.5047817438386</v>
      </c>
      <c r="DQ16" s="45">
        <v>1063.1972554083263</v>
      </c>
      <c r="DR16" s="45">
        <v>1453.9449850019532</v>
      </c>
      <c r="DS16" s="45">
        <v>1817.8613637785795</v>
      </c>
      <c r="DT16" s="45">
        <v>2144.0905912075846</v>
      </c>
      <c r="DU16" s="45">
        <v>2220.543868075521</v>
      </c>
      <c r="DV16" s="45">
        <v>2307.222284637683</v>
      </c>
      <c r="DW16" s="45">
        <v>2407.892176054269</v>
      </c>
      <c r="DX16" s="45">
        <v>2492.7451336041827</v>
      </c>
      <c r="DY16" s="45">
        <v>2546.117483206379</v>
      </c>
      <c r="DZ16" s="45">
        <v>2545.716512078066</v>
      </c>
      <c r="EA16" s="45">
        <v>2475.0876354913917</v>
      </c>
      <c r="EB16" s="45">
        <v>2329.4832128374946</v>
      </c>
      <c r="EC16" s="45">
        <v>2097.0482137373856</v>
      </c>
      <c r="ED16" s="45">
        <v>1555.1543124943107</v>
      </c>
      <c r="EE16" s="45">
        <v>1142.4853831035773</v>
      </c>
      <c r="EF16" s="45">
        <v>339.8580570824619</v>
      </c>
      <c r="EG16" s="45">
        <v>5.960464477539062e-14</v>
      </c>
      <c r="EH16" s="46">
        <f>MAX(1,MIN(21,SUMPRODUCT(--($BT16:$CO16&gt;=Pu))))</f>
      </c>
      <c r="EI16" s="47">
        <f>(Pu-INDEX($BT16:$CO16,1,$EH16))/(INDEX($BT16:$CO16,1,$EH16+1)-INDEX($BT16:$CO16,1,$EH16))</f>
      </c>
      <c r="EJ16" s="39">
        <f>INDEX($CP16:$DK16,1,$EH16)+$EI16*(INDEX($CP16:$DK16,1,$EH16+1)-INDEX($CP16:$DK16,1,$EH16))</f>
      </c>
      <c r="EK16" s="39">
        <f>INDEX($DL16:$EG16,1,$EH16)+$EI16*(INDEX($DL16:$EG16,1,$EH16+1)-INDEX($DL16:$EG16,1,$EH16))</f>
      </c>
      <c r="EL16" s="39">
        <f>SQRT(EJ16^2+EK16^2)</f>
      </c>
      <c r="EM16" s="20">
        <f>EJ17-EJ16</f>
      </c>
      <c r="EN16" s="20">
        <f>EK17-EK16</f>
      </c>
      <c r="EO16" s="20">
        <f>EM16*SIN(RADIANS(theta_L))-EN16*COS(RADIANS(theta_L))</f>
      </c>
      <c r="EP16" s="47">
        <f>IF(EO16=0,"",-(EJ16*SIN(RADIANS(theta_L))-EK16*COS(RADIANS(theta_L)))/EO16)</f>
      </c>
      <c r="EQ16" s="20">
        <f>IF(EP16="","",(EJ16+EP16*EM16)*COS(RADIANS(theta_L))+(EK16+EP16*EN16)*SIN(RADIANS(theta_L)))</f>
      </c>
      <c r="ER16" s="20">
        <f>IF(OR(EP16="",EP16&lt;0,EP16&gt;1,EQ16&lt;0),"",EQ16)</f>
      </c>
    </row>
    <row r="17" spans="1:148" x14ac:dyDescent="0.25">
      <c r="A17">
        <v>10</v>
      </c>
      <c r="B17" s="44">
        <v>24.999999999999996</v>
      </c>
      <c r="C17" s="18">
        <v>776.2247161793746</v>
      </c>
      <c r="D17" s="18">
        <v>-649.3904318257042</v>
      </c>
      <c r="E17" s="18">
        <v>1425.615148005079</v>
      </c>
      <c r="F17" s="16">
        <v>0.0033</v>
      </c>
      <c r="G17" s="16">
        <v>0</v>
      </c>
      <c r="H17" s="16">
        <v>0</v>
      </c>
      <c r="I17" s="16">
        <v>0.00275</v>
      </c>
      <c r="J17" s="16">
        <v>6.421713615660858e-7</v>
      </c>
      <c r="K17" s="16">
        <v>2.994494237460883e-7</v>
      </c>
      <c r="L17" s="16">
        <v>0.0024749999999999998</v>
      </c>
      <c r="M17" s="16">
        <v>9.632570423491285e-7</v>
      </c>
      <c r="N17" s="16">
        <v>4.4917413561913244e-7</v>
      </c>
      <c r="O17" s="16">
        <v>0.0021999999999999997</v>
      </c>
      <c r="P17" s="16">
        <v>0.0000012843427231321717</v>
      </c>
      <c r="Q17" s="16">
        <v>5.988988474921766e-7</v>
      </c>
      <c r="R17" s="16">
        <v>0.001925</v>
      </c>
      <c r="S17" s="16">
        <v>0.0000016054284039152144</v>
      </c>
      <c r="T17" s="16">
        <v>7.486235593652207e-7</v>
      </c>
      <c r="U17" s="16">
        <v>0.0018000000000000002</v>
      </c>
      <c r="V17" s="16">
        <v>0.0000017513764406347791</v>
      </c>
      <c r="W17" s="16">
        <v>8.166802465802406e-7</v>
      </c>
      <c r="X17" s="16">
        <v>0.00165</v>
      </c>
      <c r="Y17" s="16">
        <v>0.000001926514084698257</v>
      </c>
      <c r="Z17" s="16">
        <v>8.983482712382649e-7</v>
      </c>
      <c r="AA17" s="16">
        <v>0.0015032026196015067</v>
      </c>
      <c r="AB17" s="16">
        <v>0.000002097912400416139</v>
      </c>
      <c r="AC17" s="16">
        <v>9.782726184523815e-7</v>
      </c>
      <c r="AD17" s="16">
        <v>0.0012309605922684016</v>
      </c>
      <c r="AE17" s="16">
        <v>0.0000024157779156307057</v>
      </c>
      <c r="AF17" s="16">
        <v>0.000001126495742460318</v>
      </c>
      <c r="AG17" s="16">
        <v>0.0009587185649352964</v>
      </c>
      <c r="AH17" s="16">
        <v>0.0000027336434308452726</v>
      </c>
      <c r="AI17" s="16">
        <v>0.0000012747188664682547</v>
      </c>
      <c r="AJ17" s="16">
        <v>0.0006864765376021912</v>
      </c>
      <c r="AK17" s="16">
        <v>0.000003051508946059839</v>
      </c>
      <c r="AL17" s="16">
        <v>0.0000014229419904761914</v>
      </c>
      <c r="AM17" s="16">
        <v>0.0004142345102690864</v>
      </c>
      <c r="AN17" s="16">
        <v>0.0000033693744612744055</v>
      </c>
      <c r="AO17" s="16">
        <v>0.000001571165114484128</v>
      </c>
      <c r="AP17" s="16">
        <v>-0.00013024954439712398</v>
      </c>
      <c r="AQ17" s="16">
        <v>0.000004005105491703539</v>
      </c>
      <c r="AR17" s="16">
        <v>0.0000018676113625000013</v>
      </c>
      <c r="AS17" s="16">
        <v>-0.0006747335990633339</v>
      </c>
      <c r="AT17" s="16">
        <v>0.0000046408365221326714</v>
      </c>
      <c r="AU17" s="16">
        <v>0.0000021640576105158743</v>
      </c>
      <c r="AV17" s="16">
        <v>-0.0012192176537295435</v>
      </c>
      <c r="AW17" s="16">
        <v>0.000005276567552561805</v>
      </c>
      <c r="AX17" s="16">
        <v>0.0000024605038585317476</v>
      </c>
      <c r="AY17" s="16">
        <v>-0.0017637017083957538</v>
      </c>
      <c r="AZ17" s="16">
        <v>0.000005912298582990937</v>
      </c>
      <c r="BA17" s="16">
        <v>0.0000027569501065476204</v>
      </c>
      <c r="BB17" s="16">
        <v>-0.0028526698177281746</v>
      </c>
      <c r="BC17" s="16">
        <v>0.000007183760643849204</v>
      </c>
      <c r="BD17" s="16">
        <v>0.000003349842602579367</v>
      </c>
      <c r="BE17" s="16">
        <v>-0.003941637927060594</v>
      </c>
      <c r="BF17" s="16">
        <v>0.00000845522270470747</v>
      </c>
      <c r="BG17" s="16">
        <v>0.000003942735098611113</v>
      </c>
      <c r="BH17" s="16">
        <v>-0.006664058200391646</v>
      </c>
      <c r="BI17" s="16">
        <v>0.000011633877856853137</v>
      </c>
      <c r="BJ17" s="16">
        <v>0.0000054249663386904795</v>
      </c>
      <c r="BK17" s="16">
        <v>-0.009386478473722697</v>
      </c>
      <c r="BL17" s="16">
        <v>0.000014812533008998803</v>
      </c>
      <c r="BM17" s="16">
        <v>0.000006907197578769845</v>
      </c>
      <c r="BN17" s="16">
        <v>-0.020276159567046894</v>
      </c>
      <c r="BO17" s="16">
        <v>0.00002752715361758146</v>
      </c>
      <c r="BP17" s="16">
        <v>0.000012836122539087308</v>
      </c>
      <c r="BQ17" s="16">
        <v>-0.05</v>
      </c>
      <c r="BR17" s="16">
        <v>0</v>
      </c>
      <c r="BS17" s="16">
        <v>0</v>
      </c>
      <c r="BT17" s="45">
        <v>33981.43387592912</v>
      </c>
      <c r="BU17" s="45">
        <v>33981.43387592912</v>
      </c>
      <c r="BV17" s="45">
        <v>33871.96416773786</v>
      </c>
      <c r="BW17" s="45">
        <v>32884.16347281602</v>
      </c>
      <c r="BX17" s="45">
        <v>30800.68913830838</v>
      </c>
      <c r="BY17" s="45">
        <v>29446.407807231204</v>
      </c>
      <c r="BZ17" s="45">
        <v>27492.537299849235</v>
      </c>
      <c r="CA17" s="45">
        <v>25318.557201437445</v>
      </c>
      <c r="CB17" s="45">
        <v>21579.383495293874</v>
      </c>
      <c r="CC17" s="45">
        <v>18387.322937663746</v>
      </c>
      <c r="CD17" s="45">
        <v>15791.097839791842</v>
      </c>
      <c r="CE17" s="45">
        <v>13571.61155765363</v>
      </c>
      <c r="CF17" s="45">
        <v>10188.157007420197</v>
      </c>
      <c r="CG17" s="45">
        <v>7781.701499437058</v>
      </c>
      <c r="CH17" s="45">
        <v>5912.888609536501</v>
      </c>
      <c r="CI17" s="45">
        <v>4341.35001600954</v>
      </c>
      <c r="CJ17" s="45">
        <v>2187.7934422189405</v>
      </c>
      <c r="CK17" s="45">
        <v>690.1301013222849</v>
      </c>
      <c r="CL17" s="45">
        <v>-1762.1178643086423</v>
      </c>
      <c r="CM17" s="45">
        <v>-3107.239247534357</v>
      </c>
      <c r="CN17" s="45">
        <v>-5074.353865677487</v>
      </c>
      <c r="CO17" s="45">
        <v>-5790.583579096708</v>
      </c>
      <c r="CP17" s="45">
        <v>6.55418261885643e-13</v>
      </c>
      <c r="CQ17" s="45">
        <v>6.55418261885643e-13</v>
      </c>
      <c r="CR17" s="45">
        <v>52.50485723957457</v>
      </c>
      <c r="CS17" s="45">
        <v>483.20784327482556</v>
      </c>
      <c r="CT17" s="45">
        <v>1308.9429422401156</v>
      </c>
      <c r="CU17" s="45">
        <v>1818.8718561694475</v>
      </c>
      <c r="CV17" s="45">
        <v>2540.242270808246</v>
      </c>
      <c r="CW17" s="45">
        <v>3307.3971274281744</v>
      </c>
      <c r="CX17" s="45">
        <v>4434.488031225651</v>
      </c>
      <c r="CY17" s="45">
        <v>5160.201095518869</v>
      </c>
      <c r="CZ17" s="45">
        <v>5534.057338638267</v>
      </c>
      <c r="DA17" s="45">
        <v>5700.333766581988</v>
      </c>
      <c r="DB17" s="45">
        <v>5605.030848054788</v>
      </c>
      <c r="DC17" s="45">
        <v>5186.555633032358</v>
      </c>
      <c r="DD17" s="45">
        <v>4695.664380495245</v>
      </c>
      <c r="DE17" s="45">
        <v>4229.985482681426</v>
      </c>
      <c r="DF17" s="45">
        <v>3498.862233144803</v>
      </c>
      <c r="DG17" s="45">
        <v>2947.13530739134</v>
      </c>
      <c r="DH17" s="45">
        <v>1917.8658066896362</v>
      </c>
      <c r="DI17" s="45">
        <v>1309.4323699504353</v>
      </c>
      <c r="DJ17" s="45">
        <v>382.88273698203693</v>
      </c>
      <c r="DK17" s="45">
        <v>0</v>
      </c>
      <c r="DL17" s="45">
        <v>-5.220063030719757e-12</v>
      </c>
      <c r="DM17" s="45">
        <v>-5.220063030719757e-12</v>
      </c>
      <c r="DN17" s="45">
        <v>45.54451010841091</v>
      </c>
      <c r="DO17" s="45">
        <v>350.1832522562641</v>
      </c>
      <c r="DP17" s="45">
        <v>918.9688222790755</v>
      </c>
      <c r="DQ17" s="45">
        <v>1252.1047217959801</v>
      </c>
      <c r="DR17" s="45">
        <v>1715.1977201291563</v>
      </c>
      <c r="DS17" s="45">
        <v>2176.4677542427557</v>
      </c>
      <c r="DT17" s="45">
        <v>2618.429088684501</v>
      </c>
      <c r="DU17" s="45">
        <v>2771.979281236046</v>
      </c>
      <c r="DV17" s="45">
        <v>2894.8817411952587</v>
      </c>
      <c r="DW17" s="45">
        <v>3019.5874890333184</v>
      </c>
      <c r="DX17" s="45">
        <v>3105.582034867732</v>
      </c>
      <c r="DY17" s="45">
        <v>3107.420510996196</v>
      </c>
      <c r="DZ17" s="45">
        <v>3078.6670298901654</v>
      </c>
      <c r="EA17" s="45">
        <v>2978.346572030428</v>
      </c>
      <c r="EB17" s="45">
        <v>2656.614689702113</v>
      </c>
      <c r="EC17" s="45">
        <v>2327.3649595149323</v>
      </c>
      <c r="ED17" s="45">
        <v>1693.1428111965558</v>
      </c>
      <c r="EE17" s="45">
        <v>1225.7405212004528</v>
      </c>
      <c r="EF17" s="45">
        <v>354.76339955783993</v>
      </c>
      <c r="EG17" s="45">
        <v>5.960464477539062e-14</v>
      </c>
      <c r="EH17" s="46">
        <f>MAX(1,MIN(21,SUMPRODUCT(--($BT17:$CO17&gt;=Pu))))</f>
      </c>
      <c r="EI17" s="47">
        <f>(Pu-INDEX($BT17:$CO17,1,$EH17))/(INDEX($BT17:$CO17,1,$EH17+1)-INDEX($BT17:$CO17,1,$EH17))</f>
      </c>
      <c r="EJ17" s="39">
        <f>INDEX($CP17:$DK17,1,$EH17)+$EI17*(INDEX($CP17:$DK17,1,$EH17+1)-INDEX($CP17:$DK17,1,$EH17))</f>
      </c>
      <c r="EK17" s="39">
        <f>INDEX($DL17:$EG17,1,$EH17)+$EI17*(INDEX($DL17:$EG17,1,$EH17+1)-INDEX($DL17:$EG17,1,$EH17))</f>
      </c>
      <c r="EL17" s="39">
        <f>SQRT(EJ17^2+EK17^2)</f>
      </c>
      <c r="EM17" s="20">
        <f>EJ18-EJ17</f>
      </c>
      <c r="EN17" s="20">
        <f>EK18-EK17</f>
      </c>
      <c r="EO17" s="20">
        <f>EM17*SIN(RADIANS(theta_L))-EN17*COS(RADIANS(theta_L))</f>
      </c>
      <c r="EP17" s="47">
        <f>IF(EO17=0,"",-(EJ17*SIN(RADIANS(theta_L))-EK17*COS(RADIANS(theta_L)))/EO17)</f>
      </c>
      <c r="EQ17" s="20">
        <f>IF(EP17="","",(EJ17+EP17*EM17)*COS(RADIANS(theta_L))+(EK17+EP17*EN17)*SIN(RADIANS(theta_L)))</f>
      </c>
      <c r="ER17" s="20">
        <f>IF(OR(EP17="",EP17&lt;0,EP17&gt;1,EQ17&lt;0),"",EQ17)</f>
      </c>
    </row>
    <row r="18" spans="1:148" x14ac:dyDescent="0.25">
      <c r="A18">
        <v>11</v>
      </c>
      <c r="B18" s="44">
        <v>29.999999999999996</v>
      </c>
      <c r="C18" s="18">
        <v>794.6152422706632</v>
      </c>
      <c r="D18" s="18">
        <v>-658.9934640057525</v>
      </c>
      <c r="E18" s="18">
        <v>1453.6087062764157</v>
      </c>
      <c r="F18" s="16">
        <v>0.0033</v>
      </c>
      <c r="G18" s="16">
        <v>0</v>
      </c>
      <c r="H18" s="16">
        <v>0</v>
      </c>
      <c r="I18" s="16">
        <v>0.00275</v>
      </c>
      <c r="J18" s="16">
        <v>5.994271777625911e-7</v>
      </c>
      <c r="K18" s="16">
        <v>3.460794424408096e-7</v>
      </c>
      <c r="L18" s="16">
        <v>0.0024749999999999998</v>
      </c>
      <c r="M18" s="16">
        <v>8.991407666438868e-7</v>
      </c>
      <c r="N18" s="16">
        <v>5.191191636612143e-7</v>
      </c>
      <c r="O18" s="16">
        <v>0.0022</v>
      </c>
      <c r="P18" s="16">
        <v>0.0000011988543555251822</v>
      </c>
      <c r="Q18" s="16">
        <v>6.921588848816192e-7</v>
      </c>
      <c r="R18" s="16">
        <v>0.001925</v>
      </c>
      <c r="S18" s="16">
        <v>0.0000014985679444064779</v>
      </c>
      <c r="T18" s="16">
        <v>8.65198606102024e-7</v>
      </c>
      <c r="U18" s="16">
        <v>0.0018000000000000002</v>
      </c>
      <c r="V18" s="16">
        <v>0.0000016348013938979757</v>
      </c>
      <c r="W18" s="16">
        <v>9.438530248385715e-7</v>
      </c>
      <c r="X18" s="16">
        <v>0.00165</v>
      </c>
      <c r="Y18" s="16">
        <v>0.0000017982815332877735</v>
      </c>
      <c r="Z18" s="16">
        <v>0.0000010382383273224287</v>
      </c>
      <c r="AA18" s="16">
        <v>0.0014960549024157057</v>
      </c>
      <c r="AB18" s="16">
        <v>0.000001966061306697483</v>
      </c>
      <c r="AC18" s="16">
        <v>0.000001135106024665099</v>
      </c>
      <c r="AD18" s="16">
        <v>0.0012227298876302064</v>
      </c>
      <c r="AE18" s="16">
        <v>0.000002263949383469829</v>
      </c>
      <c r="AF18" s="16">
        <v>0.0000013070917859779928</v>
      </c>
      <c r="AG18" s="16">
        <v>0.0009494048728447071</v>
      </c>
      <c r="AH18" s="16">
        <v>0.0000025618374602421753</v>
      </c>
      <c r="AI18" s="16">
        <v>0.0000014790775472908867</v>
      </c>
      <c r="AJ18" s="16">
        <v>0.0006760798580592079</v>
      </c>
      <c r="AK18" s="16">
        <v>0.0000028597255370145212</v>
      </c>
      <c r="AL18" s="16">
        <v>0.0000016510633086037806</v>
      </c>
      <c r="AM18" s="16">
        <v>0.00040275484327370907</v>
      </c>
      <c r="AN18" s="16">
        <v>0.0000031576136137868667</v>
      </c>
      <c r="AO18" s="16">
        <v>0.0000018230490699166743</v>
      </c>
      <c r="AP18" s="16">
        <v>-0.00014389518629728945</v>
      </c>
      <c r="AQ18" s="16">
        <v>0.000003753389767331559</v>
      </c>
      <c r="AR18" s="16">
        <v>0.000002167020592542462</v>
      </c>
      <c r="AS18" s="16">
        <v>-0.0006905452158682875</v>
      </c>
      <c r="AT18" s="16">
        <v>0.00000434916592087625</v>
      </c>
      <c r="AU18" s="16">
        <v>0.000002510992115168249</v>
      </c>
      <c r="AV18" s="16">
        <v>-0.001237195245439286</v>
      </c>
      <c r="AW18" s="16">
        <v>0.000004944942074420942</v>
      </c>
      <c r="AX18" s="16">
        <v>0.000002854963637794037</v>
      </c>
      <c r="AY18" s="16">
        <v>-0.0017838452750102837</v>
      </c>
      <c r="AZ18" s="16">
        <v>0.000005540718227965634</v>
      </c>
      <c r="BA18" s="16">
        <v>0.0000031989351604198243</v>
      </c>
      <c r="BB18" s="16">
        <v>-0.0028771453341522807</v>
      </c>
      <c r="BC18" s="16">
        <v>0.0000067322705350550184</v>
      </c>
      <c r="BD18" s="16">
        <v>0.0000038868782056713994</v>
      </c>
      <c r="BE18" s="16">
        <v>-0.003970445393294277</v>
      </c>
      <c r="BF18" s="16">
        <v>0.0000079238228421444</v>
      </c>
      <c r="BG18" s="16">
        <v>0.000004574821250922974</v>
      </c>
      <c r="BH18" s="16">
        <v>-0.006703695541149268</v>
      </c>
      <c r="BI18" s="16">
        <v>0.00001090270360986786</v>
      </c>
      <c r="BJ18" s="16">
        <v>0.0000062946788640519126</v>
      </c>
      <c r="BK18" s="16">
        <v>-0.009436945689004262</v>
      </c>
      <c r="BL18" s="16">
        <v>0.00001388158437759132</v>
      </c>
      <c r="BM18" s="16">
        <v>0.00000801453647718085</v>
      </c>
      <c r="BN18" s="16">
        <v>-0.020369946280424225</v>
      </c>
      <c r="BO18" s="16">
        <v>0.000025797107448485158</v>
      </c>
      <c r="BP18" s="16">
        <v>0.000014893966929696602</v>
      </c>
      <c r="BQ18" s="16">
        <v>-0.05</v>
      </c>
      <c r="BR18" s="16">
        <v>0</v>
      </c>
      <c r="BS18" s="16">
        <v>0</v>
      </c>
      <c r="BT18" s="45">
        <v>33981.43387592912</v>
      </c>
      <c r="BU18" s="45">
        <v>33981.43387592912</v>
      </c>
      <c r="BV18" s="45">
        <v>33876.03056615473</v>
      </c>
      <c r="BW18" s="45">
        <v>32906.01178851932</v>
      </c>
      <c r="BX18" s="45">
        <v>30851.920509876694</v>
      </c>
      <c r="BY18" s="45">
        <v>29530.371489867903</v>
      </c>
      <c r="BZ18" s="45">
        <v>27606.296201041132</v>
      </c>
      <c r="CA18" s="45">
        <v>25380.86323540859</v>
      </c>
      <c r="CB18" s="45">
        <v>21708.388171722734</v>
      </c>
      <c r="CC18" s="45">
        <v>18459.098358075855</v>
      </c>
      <c r="CD18" s="45">
        <v>15698.064949720847</v>
      </c>
      <c r="CE18" s="45">
        <v>13398.558181464363</v>
      </c>
      <c r="CF18" s="45">
        <v>9856.426280410444</v>
      </c>
      <c r="CG18" s="45">
        <v>7316.387390805251</v>
      </c>
      <c r="CH18" s="45">
        <v>5445.897484036579</v>
      </c>
      <c r="CI18" s="45">
        <v>3997.7266310209325</v>
      </c>
      <c r="CJ18" s="45">
        <v>1950.9838840341615</v>
      </c>
      <c r="CK18" s="45">
        <v>508.677244907836</v>
      </c>
      <c r="CL18" s="45">
        <v>-1808.7552903519556</v>
      </c>
      <c r="CM18" s="45">
        <v>-3139.05732773258</v>
      </c>
      <c r="CN18" s="45">
        <v>-5044.668022560147</v>
      </c>
      <c r="CO18" s="45">
        <v>-5790.583579096708</v>
      </c>
      <c r="CP18" s="45">
        <v>6.55418261885643e-13</v>
      </c>
      <c r="CQ18" s="45">
        <v>6.55418261885643e-13</v>
      </c>
      <c r="CR18" s="45">
        <v>48.82791381012355</v>
      </c>
      <c r="CS18" s="45">
        <v>451.61667014415667</v>
      </c>
      <c r="CT18" s="45">
        <v>1225.072932055232</v>
      </c>
      <c r="CU18" s="45">
        <v>1702.4506196215966</v>
      </c>
      <c r="CV18" s="45">
        <v>2381.6932871152885</v>
      </c>
      <c r="CW18" s="45">
        <v>3127.116699800583</v>
      </c>
      <c r="CX18" s="45">
        <v>4144.952822607358</v>
      </c>
      <c r="CY18" s="45">
        <v>4824.02175288371</v>
      </c>
      <c r="CZ18" s="45">
        <v>5194.520925566539</v>
      </c>
      <c r="DA18" s="45">
        <v>5345.367703847265</v>
      </c>
      <c r="DB18" s="45">
        <v>5211.010266921576</v>
      </c>
      <c r="DC18" s="45">
        <v>4796.654940796912</v>
      </c>
      <c r="DD18" s="45">
        <v>4296.04868560701</v>
      </c>
      <c r="DE18" s="45">
        <v>3875.03318506901</v>
      </c>
      <c r="DF18" s="45">
        <v>3246.4322241358614</v>
      </c>
      <c r="DG18" s="45">
        <v>2731.3046332448416</v>
      </c>
      <c r="DH18" s="45">
        <v>1813.4055011192856</v>
      </c>
      <c r="DI18" s="45">
        <v>1252.5262117187629</v>
      </c>
      <c r="DJ18" s="45">
        <v>390.01149467631905</v>
      </c>
      <c r="DK18" s="45">
        <v>0</v>
      </c>
      <c r="DL18" s="45">
        <v>-5.220063030719757e-12</v>
      </c>
      <c r="DM18" s="45">
        <v>-5.220063030719757e-12</v>
      </c>
      <c r="DN18" s="45">
        <v>49.00906050673975</v>
      </c>
      <c r="DO18" s="45">
        <v>395.30343166716597</v>
      </c>
      <c r="DP18" s="45">
        <v>1044.9473847494498</v>
      </c>
      <c r="DQ18" s="45">
        <v>1429.3883928366295</v>
      </c>
      <c r="DR18" s="45">
        <v>1956.4268193190899</v>
      </c>
      <c r="DS18" s="45">
        <v>2508.5541519539247</v>
      </c>
      <c r="DT18" s="45">
        <v>3072.3243988693134</v>
      </c>
      <c r="DU18" s="45">
        <v>3317.9870544614937</v>
      </c>
      <c r="DV18" s="45">
        <v>3475.181445882785</v>
      </c>
      <c r="DW18" s="45">
        <v>3624.778026789106</v>
      </c>
      <c r="DX18" s="45">
        <v>3694.632587230479</v>
      </c>
      <c r="DY18" s="45">
        <v>3632.3766178319847</v>
      </c>
      <c r="DZ18" s="45">
        <v>3539.2938275018173</v>
      </c>
      <c r="EA18" s="45">
        <v>3370.1544662181723</v>
      </c>
      <c r="EB18" s="45">
        <v>2927.21160435815</v>
      </c>
      <c r="EC18" s="45">
        <v>2575.5968664263683</v>
      </c>
      <c r="ED18" s="45">
        <v>1853.2097743702893</v>
      </c>
      <c r="EE18" s="45">
        <v>1317.6610707113998</v>
      </c>
      <c r="EF18" s="45">
        <v>388.2413941258377</v>
      </c>
      <c r="EG18" s="45">
        <v>5.960464477539062e-14</v>
      </c>
      <c r="EH18" s="46">
        <f>MAX(1,MIN(21,SUMPRODUCT(--($BT18:$CO18&gt;=Pu))))</f>
      </c>
      <c r="EI18" s="47">
        <f>(Pu-INDEX($BT18:$CO18,1,$EH18))/(INDEX($BT18:$CO18,1,$EH18+1)-INDEX($BT18:$CO18,1,$EH18))</f>
      </c>
      <c r="EJ18" s="39">
        <f>INDEX($CP18:$DK18,1,$EH18)+$EI18*(INDEX($CP18:$DK18,1,$EH18+1)-INDEX($CP18:$DK18,1,$EH18))</f>
      </c>
      <c r="EK18" s="39">
        <f>INDEX($DL18:$EG18,1,$EH18)+$EI18*(INDEX($DL18:$EG18,1,$EH18+1)-INDEX($DL18:$EG18,1,$EH18))</f>
      </c>
      <c r="EL18" s="39">
        <f>SQRT(EJ18^2+EK18^2)</f>
      </c>
      <c r="EM18" s="20">
        <f>EJ19-EJ18</f>
      </c>
      <c r="EN18" s="20">
        <f>EK19-EK18</f>
      </c>
      <c r="EO18" s="20">
        <f>EM18*SIN(RADIANS(theta_L))-EN18*COS(RADIANS(theta_L))</f>
      </c>
      <c r="EP18" s="47">
        <f>IF(EO18=0,"",-(EJ18*SIN(RADIANS(theta_L))-EK18*COS(RADIANS(theta_L)))/EO18)</f>
      </c>
      <c r="EQ18" s="20">
        <f>IF(EP18="","",(EJ18+EP18*EM18)*COS(RADIANS(theta_L))+(EK18+EP18*EN18)*SIN(RADIANS(theta_L)))</f>
      </c>
      <c r="ER18" s="20">
        <f>IF(OR(EP18="",EP18&lt;0,EP18&gt;1,EQ18&lt;0),"",EQ18)</f>
      </c>
    </row>
    <row r="19" spans="1:148" x14ac:dyDescent="0.25">
      <c r="A19">
        <v>12</v>
      </c>
      <c r="B19" s="44">
        <v>35</v>
      </c>
      <c r="C19" s="18">
        <v>806.9582665664705</v>
      </c>
      <c r="D19" s="18">
        <v>-663.5811580135841</v>
      </c>
      <c r="E19" s="18">
        <v>1470.5394245800544</v>
      </c>
      <c r="F19" s="16">
        <v>0.0033</v>
      </c>
      <c r="G19" s="16">
        <v>0</v>
      </c>
      <c r="H19" s="16">
        <v>0</v>
      </c>
      <c r="I19" s="16">
        <v>0.00275</v>
      </c>
      <c r="J19" s="16">
        <v>5.583109350573018e-7</v>
      </c>
      <c r="K19" s="16">
        <v>3.9093352539203437e-7</v>
      </c>
      <c r="L19" s="16">
        <v>0.0024749999999999998</v>
      </c>
      <c r="M19" s="16">
        <v>8.374664025859526e-7</v>
      </c>
      <c r="N19" s="16">
        <v>5.864002880880515e-7</v>
      </c>
      <c r="O19" s="16">
        <v>0.0021999999999999997</v>
      </c>
      <c r="P19" s="16">
        <v>0.0000011166218701146035</v>
      </c>
      <c r="Q19" s="16">
        <v>7.818670507840687e-7</v>
      </c>
      <c r="R19" s="16">
        <v>0.0019249999999999998</v>
      </c>
      <c r="S19" s="16">
        <v>0.0000013957773376432545</v>
      </c>
      <c r="T19" s="16">
        <v>9.77333813480086e-7</v>
      </c>
      <c r="U19" s="16">
        <v>0.0018000000000000002</v>
      </c>
      <c r="V19" s="16">
        <v>0.0000015226661865199137</v>
      </c>
      <c r="W19" s="16">
        <v>0.0000010661823419782755</v>
      </c>
      <c r="X19" s="16">
        <v>0.00165</v>
      </c>
      <c r="Y19" s="16">
        <v>0.0000016749328051719053</v>
      </c>
      <c r="Z19" s="16">
        <v>0.000001172800576176103</v>
      </c>
      <c r="AA19" s="16">
        <v>0.0014891255445736715</v>
      </c>
      <c r="AB19" s="16">
        <v>0.0000018382382008735554</v>
      </c>
      <c r="AC19" s="16">
        <v>0.0000012871482452767182</v>
      </c>
      <c r="AD19" s="16">
        <v>0.0012147506270848338</v>
      </c>
      <c r="AE19" s="16">
        <v>0.000002116759140399852</v>
      </c>
      <c r="AF19" s="16">
        <v>0.0000014821707066822817</v>
      </c>
      <c r="AG19" s="16">
        <v>0.0009403757095959959</v>
      </c>
      <c r="AH19" s="16">
        <v>0.0000023952800799261484</v>
      </c>
      <c r="AI19" s="16">
        <v>0.000001677193168087845</v>
      </c>
      <c r="AJ19" s="16">
        <v>0.0006660007921071584</v>
      </c>
      <c r="AK19" s="16">
        <v>0.000002673801019452445</v>
      </c>
      <c r="AL19" s="16">
        <v>0.0000018722156294934084</v>
      </c>
      <c r="AM19" s="16">
        <v>0.00039162587461832096</v>
      </c>
      <c r="AN19" s="16">
        <v>0.000002952321958978741</v>
      </c>
      <c r="AO19" s="16">
        <v>0.000002067238090898972</v>
      </c>
      <c r="AP19" s="16">
        <v>-0.00015712396035935444</v>
      </c>
      <c r="AQ19" s="16">
        <v>0.0000035093638380313336</v>
      </c>
      <c r="AR19" s="16">
        <v>0.0000024572830137100985</v>
      </c>
      <c r="AS19" s="16">
        <v>-0.0007058737953370298</v>
      </c>
      <c r="AT19" s="16">
        <v>0.000004066405717083927</v>
      </c>
      <c r="AU19" s="16">
        <v>0.0000028473279365212255</v>
      </c>
      <c r="AV19" s="16">
        <v>-0.0012546236303147048</v>
      </c>
      <c r="AW19" s="16">
        <v>0.000004623447596136519</v>
      </c>
      <c r="AX19" s="16">
        <v>0.0000032373728593323516</v>
      </c>
      <c r="AY19" s="16">
        <v>-0.0018033734652923798</v>
      </c>
      <c r="AZ19" s="16">
        <v>0.000005180489475189111</v>
      </c>
      <c r="BA19" s="16">
        <v>0.000003627417782143478</v>
      </c>
      <c r="BB19" s="16">
        <v>-0.0029008731352477305</v>
      </c>
      <c r="BC19" s="16">
        <v>0.000006294573233294296</v>
      </c>
      <c r="BD19" s="16">
        <v>0.000004407507627765732</v>
      </c>
      <c r="BE19" s="16">
        <v>-0.0039983728052030805</v>
      </c>
      <c r="BF19" s="16">
        <v>0.0000074086569913994805</v>
      </c>
      <c r="BG19" s="16">
        <v>0.000005187597473387985</v>
      </c>
      <c r="BH19" s="16">
        <v>-0.006742121980091457</v>
      </c>
      <c r="BI19" s="16">
        <v>0.000010193866386662444</v>
      </c>
      <c r="BJ19" s="16">
        <v>0.000007137822087443619</v>
      </c>
      <c r="BK19" s="16">
        <v>-0.009485871154979838</v>
      </c>
      <c r="BL19" s="16">
        <v>0.00001297907578192541</v>
      </c>
      <c r="BM19" s="16">
        <v>0.000009088046701499254</v>
      </c>
      <c r="BN19" s="16">
        <v>-0.020460867854533337</v>
      </c>
      <c r="BO19" s="16">
        <v>0.00002411991336297726</v>
      </c>
      <c r="BP19" s="16">
        <v>0.000016888945157721787</v>
      </c>
      <c r="BQ19" s="16">
        <v>-0.05</v>
      </c>
      <c r="BR19" s="16">
        <v>0</v>
      </c>
      <c r="BS19" s="16">
        <v>0</v>
      </c>
      <c r="BT19" s="45">
        <v>33981.43387592912</v>
      </c>
      <c r="BU19" s="45">
        <v>33981.43387592912</v>
      </c>
      <c r="BV19" s="45">
        <v>33872.780547523515</v>
      </c>
      <c r="BW19" s="45">
        <v>32914.76348050846</v>
      </c>
      <c r="BX19" s="45">
        <v>30862.159933626845</v>
      </c>
      <c r="BY19" s="45">
        <v>29557.58497515303</v>
      </c>
      <c r="BZ19" s="45">
        <v>27658.259139865226</v>
      </c>
      <c r="CA19" s="45">
        <v>25361.78766343586</v>
      </c>
      <c r="CB19" s="45">
        <v>21751.964496450524</v>
      </c>
      <c r="CC19" s="45">
        <v>18475.293927484865</v>
      </c>
      <c r="CD19" s="45">
        <v>15608.632388544687</v>
      </c>
      <c r="CE19" s="45">
        <v>13216.214705807211</v>
      </c>
      <c r="CF19" s="45">
        <v>9602.549510084942</v>
      </c>
      <c r="CG19" s="45">
        <v>7008.1556999512795</v>
      </c>
      <c r="CH19" s="45">
        <v>5133.485375126515</v>
      </c>
      <c r="CI19" s="45">
        <v>3819.171887525219</v>
      </c>
      <c r="CJ19" s="45">
        <v>1859.760416111615</v>
      </c>
      <c r="CK19" s="45">
        <v>453.58125671353565</v>
      </c>
      <c r="CL19" s="45">
        <v>-1739.4024494738235</v>
      </c>
      <c r="CM19" s="45">
        <v>-3066.3757739754574</v>
      </c>
      <c r="CN19" s="45">
        <v>-4949.272884413926</v>
      </c>
      <c r="CO19" s="45">
        <v>-5790.583579096708</v>
      </c>
      <c r="CP19" s="45">
        <v>6.55418261885643e-13</v>
      </c>
      <c r="CQ19" s="45">
        <v>6.55418261885643e-13</v>
      </c>
      <c r="CR19" s="45">
        <v>48.42490924448505</v>
      </c>
      <c r="CS19" s="45">
        <v>425.13059018195213</v>
      </c>
      <c r="CT19" s="45">
        <v>1153.4279893525147</v>
      </c>
      <c r="CU19" s="45">
        <v>1601.4633911402718</v>
      </c>
      <c r="CV19" s="45">
        <v>2237.4943363133207</v>
      </c>
      <c r="CW19" s="45">
        <v>2949.6859479857835</v>
      </c>
      <c r="CX19" s="45">
        <v>3849.6311079090565</v>
      </c>
      <c r="CY19" s="45">
        <v>4451.932468220038</v>
      </c>
      <c r="CZ19" s="45">
        <v>4808.973179234569</v>
      </c>
      <c r="DA19" s="45">
        <v>4953.246120640626</v>
      </c>
      <c r="DB19" s="45">
        <v>4796.148648424891</v>
      </c>
      <c r="DC19" s="45">
        <v>4391.092117843265</v>
      </c>
      <c r="DD19" s="45">
        <v>3943.477073591546</v>
      </c>
      <c r="DE19" s="45">
        <v>3583.491365487159</v>
      </c>
      <c r="DF19" s="45">
        <v>3028.5949077268097</v>
      </c>
      <c r="DG19" s="45">
        <v>2564.4655749657936</v>
      </c>
      <c r="DH19" s="45">
        <v>1764.6779622129436</v>
      </c>
      <c r="DI19" s="45">
        <v>1247.8000962721155</v>
      </c>
      <c r="DJ19" s="45">
        <v>418.5119827425358</v>
      </c>
      <c r="DK19" s="45">
        <v>0</v>
      </c>
      <c r="DL19" s="45">
        <v>-5.220063030719757e-12</v>
      </c>
      <c r="DM19" s="45">
        <v>-5.220063030719757e-12</v>
      </c>
      <c r="DN19" s="45">
        <v>53.576940638169226</v>
      </c>
      <c r="DO19" s="45">
        <v>439.5249489241321</v>
      </c>
      <c r="DP19" s="45">
        <v>1162.3692940227406</v>
      </c>
      <c r="DQ19" s="45">
        <v>1593.9429839039883</v>
      </c>
      <c r="DR19" s="45">
        <v>2190.3942233773614</v>
      </c>
      <c r="DS19" s="45">
        <v>2830.8561041647167</v>
      </c>
      <c r="DT19" s="45">
        <v>3508.57254277855</v>
      </c>
      <c r="DU19" s="45">
        <v>3846.8955803155272</v>
      </c>
      <c r="DV19" s="45">
        <v>4041.9803676861134</v>
      </c>
      <c r="DW19" s="45">
        <v>4198.8655426438</v>
      </c>
      <c r="DX19" s="45">
        <v>4239.990898387595</v>
      </c>
      <c r="DY19" s="45">
        <v>4118.524114158282</v>
      </c>
      <c r="DZ19" s="45">
        <v>3936.4621763897094</v>
      </c>
      <c r="EA19" s="45">
        <v>3689.605633936779</v>
      </c>
      <c r="EB19" s="45">
        <v>3207.3085199508846</v>
      </c>
      <c r="EC19" s="45">
        <v>2819.3945076506225</v>
      </c>
      <c r="ED19" s="45">
        <v>2009.1717121816978</v>
      </c>
      <c r="EE19" s="45">
        <v>1416.6417876519688</v>
      </c>
      <c r="EF19" s="45">
        <v>465.3677781382616</v>
      </c>
      <c r="EG19" s="45">
        <v>5.960464477539062e-14</v>
      </c>
      <c r="EH19" s="46">
        <f>MAX(1,MIN(21,SUMPRODUCT(--($BT19:$CO19&gt;=Pu))))</f>
      </c>
      <c r="EI19" s="47">
        <f>(Pu-INDEX($BT19:$CO19,1,$EH19))/(INDEX($BT19:$CO19,1,$EH19+1)-INDEX($BT19:$CO19,1,$EH19))</f>
      </c>
      <c r="EJ19" s="39">
        <f>INDEX($CP19:$DK19,1,$EH19)+$EI19*(INDEX($CP19:$DK19,1,$EH19+1)-INDEX($CP19:$DK19,1,$EH19))</f>
      </c>
      <c r="EK19" s="39">
        <f>INDEX($DL19:$EG19,1,$EH19)+$EI19*(INDEX($DL19:$EG19,1,$EH19+1)-INDEX($DL19:$EG19,1,$EH19))</f>
      </c>
      <c r="EL19" s="39">
        <f>SQRT(EJ19^2+EK19^2)</f>
      </c>
      <c r="EM19" s="20">
        <f>EJ20-EJ19</f>
      </c>
      <c r="EN19" s="20">
        <f>EK20-EK19</f>
      </c>
      <c r="EO19" s="20">
        <f>EM19*SIN(RADIANS(theta_L))-EN19*COS(RADIANS(theta_L))</f>
      </c>
      <c r="EP19" s="47">
        <f>IF(EO19=0,"",-(EJ19*SIN(RADIANS(theta_L))-EK19*COS(RADIANS(theta_L)))/EO19)</f>
      </c>
      <c r="EQ19" s="20">
        <f>IF(EP19="","",(EJ19+EP19*EM19)*COS(RADIANS(theta_L))+(EK19+EP19*EN19)*SIN(RADIANS(theta_L)))</f>
      </c>
      <c r="ER19" s="20">
        <f>IF(OR(EP19="",EP19&lt;0,EP19&gt;1,EQ19&lt;0),"",EQ19)</f>
      </c>
    </row>
    <row r="20" spans="1:148" x14ac:dyDescent="0.25">
      <c r="A20">
        <v>13</v>
      </c>
      <c r="B20" s="44">
        <v>40</v>
      </c>
      <c r="C20" s="18">
        <v>813.1598511989835</v>
      </c>
      <c r="D20" s="18">
        <v>-666.9089075225401</v>
      </c>
      <c r="E20" s="18">
        <v>1480.0687587215234</v>
      </c>
      <c r="F20" s="16">
        <v>0.0033</v>
      </c>
      <c r="G20" s="16">
        <v>0</v>
      </c>
      <c r="H20" s="16">
        <v>0</v>
      </c>
      <c r="I20" s="16">
        <v>0.00275</v>
      </c>
      <c r="J20" s="16">
        <v>5.18132373473931e-7</v>
      </c>
      <c r="K20" s="16">
        <v>4.3476468348298417e-7</v>
      </c>
      <c r="L20" s="16">
        <v>0.002475</v>
      </c>
      <c r="M20" s="16">
        <v>7.771985602108965e-7</v>
      </c>
      <c r="N20" s="16">
        <v>6.521470252244763e-7</v>
      </c>
      <c r="O20" s="16">
        <v>0.0022</v>
      </c>
      <c r="P20" s="16">
        <v>0.000001036264746947862</v>
      </c>
      <c r="Q20" s="16">
        <v>8.695293669659683e-7</v>
      </c>
      <c r="R20" s="16">
        <v>0.0019249999999999998</v>
      </c>
      <c r="S20" s="16">
        <v>0.0000012953309336848276</v>
      </c>
      <c r="T20" s="16">
        <v>0.0000010869117087074606</v>
      </c>
      <c r="U20" s="16">
        <v>0.0018</v>
      </c>
      <c r="V20" s="16">
        <v>0.0000014130882912925392</v>
      </c>
      <c r="W20" s="16">
        <v>0.0000011857218640445023</v>
      </c>
      <c r="X20" s="16">
        <v>0.0016500000000000002</v>
      </c>
      <c r="Y20" s="16">
        <v>0.000001554397120421793</v>
      </c>
      <c r="Z20" s="16">
        <v>0.0000013042940504489526</v>
      </c>
      <c r="AA20" s="16">
        <v>0.0014869575361656999</v>
      </c>
      <c r="AB20" s="16">
        <v>0.0000017079927181736179</v>
      </c>
      <c r="AC20" s="16">
        <v>0.0000014331760598729625</v>
      </c>
      <c r="AD20" s="16">
        <v>0.001212254132554442</v>
      </c>
      <c r="AE20" s="16">
        <v>0.000001966779493654469</v>
      </c>
      <c r="AF20" s="16">
        <v>0.0000016503239477325025</v>
      </c>
      <c r="AG20" s="16">
        <v>0.0009375507289431841</v>
      </c>
      <c r="AH20" s="16">
        <v>0.0000022255662691353206</v>
      </c>
      <c r="AI20" s="16">
        <v>0.0000018674718355920423</v>
      </c>
      <c r="AJ20" s="16">
        <v>0.0006628473253319266</v>
      </c>
      <c r="AK20" s="16">
        <v>0.000002484353044616172</v>
      </c>
      <c r="AL20" s="16">
        <v>0.000002084619723451582</v>
      </c>
      <c r="AM20" s="16">
        <v>0.00038814392172066906</v>
      </c>
      <c r="AN20" s="16">
        <v>0.0000027431398200970226</v>
      </c>
      <c r="AO20" s="16">
        <v>0.0000023017676113111216</v>
      </c>
      <c r="AP20" s="16">
        <v>-0.00016126288550184645</v>
      </c>
      <c r="AQ20" s="16">
        <v>0.000003260713371058725</v>
      </c>
      <c r="AR20" s="16">
        <v>0.0000027360633870302016</v>
      </c>
      <c r="AS20" s="16">
        <v>-0.000710669692724362</v>
      </c>
      <c r="AT20" s="16">
        <v>0.000003778286922020428</v>
      </c>
      <c r="AU20" s="16">
        <v>0.000003170359162749281</v>
      </c>
      <c r="AV20" s="16">
        <v>-0.0012600764999468762</v>
      </c>
      <c r="AW20" s="16">
        <v>0.00000429586047298213</v>
      </c>
      <c r="AX20" s="16">
        <v>0.0000036046549384683603</v>
      </c>
      <c r="AY20" s="16">
        <v>-0.0018094833071693912</v>
      </c>
      <c r="AZ20" s="16">
        <v>0.000004813434023943832</v>
      </c>
      <c r="BA20" s="16">
        <v>0.0000040389507141874394</v>
      </c>
      <c r="BB20" s="16">
        <v>-0.002908296921614424</v>
      </c>
      <c r="BC20" s="16">
        <v>0.000005848581125867238</v>
      </c>
      <c r="BD20" s="16">
        <v>0.0000049075422656256</v>
      </c>
      <c r="BE20" s="16">
        <v>-0.004007110536059453</v>
      </c>
      <c r="BF20" s="16">
        <v>0.0000068837282277906424</v>
      </c>
      <c r="BG20" s="16">
        <v>0.0000057761338170637585</v>
      </c>
      <c r="BH20" s="16">
        <v>-0.0067541445721720295</v>
      </c>
      <c r="BI20" s="16">
        <v>0.000009471595982599155</v>
      </c>
      <c r="BJ20" s="16">
        <v>0.000007947612695659157</v>
      </c>
      <c r="BK20" s="16">
        <v>-0.009501178608284606</v>
      </c>
      <c r="BL20" s="16">
        <v>0.000012059463737407667</v>
      </c>
      <c r="BM20" s="16">
        <v>0.000010119091574254555</v>
      </c>
      <c r="BN20" s="16">
        <v>-0.02048931475273491</v>
      </c>
      <c r="BO20" s="16">
        <v>0.000022410934756641713</v>
      </c>
      <c r="BP20" s="16">
        <v>0.000018805007088636146</v>
      </c>
      <c r="BQ20" s="16">
        <v>-0.05</v>
      </c>
      <c r="BR20" s="16">
        <v>0</v>
      </c>
      <c r="BS20" s="16">
        <v>0</v>
      </c>
      <c r="BT20" s="45">
        <v>33981.43387592912</v>
      </c>
      <c r="BU20" s="45">
        <v>33981.43387592912</v>
      </c>
      <c r="BV20" s="45">
        <v>33863.4019278609</v>
      </c>
      <c r="BW20" s="45">
        <v>32899.22926191779</v>
      </c>
      <c r="BX20" s="45">
        <v>30842.141157638685</v>
      </c>
      <c r="BY20" s="45">
        <v>29535.78122262831</v>
      </c>
      <c r="BZ20" s="45">
        <v>27634.203654828656</v>
      </c>
      <c r="CA20" s="45">
        <v>25331.98561091937</v>
      </c>
      <c r="CB20" s="45">
        <v>21761.49832435747</v>
      </c>
      <c r="CC20" s="45">
        <v>18512.965438943043</v>
      </c>
      <c r="CD20" s="45">
        <v>15596.041271232392</v>
      </c>
      <c r="CE20" s="45">
        <v>13105.429237884797</v>
      </c>
      <c r="CF20" s="45">
        <v>9458.564835327312</v>
      </c>
      <c r="CG20" s="45">
        <v>6845.7055909640585</v>
      </c>
      <c r="CH20" s="45">
        <v>5045.352005767924</v>
      </c>
      <c r="CI20" s="45">
        <v>3785.1692362146955</v>
      </c>
      <c r="CJ20" s="45">
        <v>1892.8787054045847</v>
      </c>
      <c r="CK20" s="45">
        <v>539.2842817507508</v>
      </c>
      <c r="CL20" s="45">
        <v>-1617.030559325174</v>
      </c>
      <c r="CM20" s="45">
        <v>-2848.8840854358505</v>
      </c>
      <c r="CN20" s="45">
        <v>-4753.272036817409</v>
      </c>
      <c r="CO20" s="45">
        <v>-5790.583579096708</v>
      </c>
      <c r="CP20" s="45">
        <v>6.55418261885643e-13</v>
      </c>
      <c r="CQ20" s="45">
        <v>6.55418261885643e-13</v>
      </c>
      <c r="CR20" s="45">
        <v>48.95821174686092</v>
      </c>
      <c r="CS20" s="45">
        <v>398.07614815868817</v>
      </c>
      <c r="CT20" s="45">
        <v>1088.2677593914796</v>
      </c>
      <c r="CU20" s="45">
        <v>1510.5394062163482</v>
      </c>
      <c r="CV20" s="45">
        <v>2101.5490608098685</v>
      </c>
      <c r="CW20" s="45">
        <v>2749.17244630961</v>
      </c>
      <c r="CX20" s="45">
        <v>3532.4595008386927</v>
      </c>
      <c r="CY20" s="45">
        <v>4054.012628913973</v>
      </c>
      <c r="CZ20" s="45">
        <v>4383.050984922743</v>
      </c>
      <c r="DA20" s="45">
        <v>4527.252028689051</v>
      </c>
      <c r="DB20" s="45">
        <v>4364.299420136142</v>
      </c>
      <c r="DC20" s="45">
        <v>4004.450322337828</v>
      </c>
      <c r="DD20" s="45">
        <v>3650.144863259121</v>
      </c>
      <c r="DE20" s="45">
        <v>3332.9834706241627</v>
      </c>
      <c r="DF20" s="45">
        <v>2821.363259907644</v>
      </c>
      <c r="DG20" s="45">
        <v>2452.2456179077435</v>
      </c>
      <c r="DH20" s="45">
        <v>1732.8119981166421</v>
      </c>
      <c r="DI20" s="45">
        <v>1269.4998932099595</v>
      </c>
      <c r="DJ20" s="45">
        <v>478.2994270238235</v>
      </c>
      <c r="DK20" s="45">
        <v>0</v>
      </c>
      <c r="DL20" s="45">
        <v>-5.220063030719757e-12</v>
      </c>
      <c r="DM20" s="45">
        <v>-5.220063030719757e-12</v>
      </c>
      <c r="DN20" s="45">
        <v>61.95277245291322</v>
      </c>
      <c r="DO20" s="45">
        <v>493.73002813324047</v>
      </c>
      <c r="DP20" s="45">
        <v>1280.8287853018498</v>
      </c>
      <c r="DQ20" s="45">
        <v>1753.7364955417304</v>
      </c>
      <c r="DR20" s="45">
        <v>2419.2840497207385</v>
      </c>
      <c r="DS20" s="45">
        <v>3138.3267249623345</v>
      </c>
      <c r="DT20" s="45">
        <v>3910.0948671110946</v>
      </c>
      <c r="DU20" s="45">
        <v>4343.443561540246</v>
      </c>
      <c r="DV20" s="45">
        <v>4579.698006938624</v>
      </c>
      <c r="DW20" s="45">
        <v>4734.757205790492</v>
      </c>
      <c r="DX20" s="45">
        <v>4758.5854572323415</v>
      </c>
      <c r="DY20" s="45">
        <v>4570.485374880952</v>
      </c>
      <c r="DZ20" s="45">
        <v>4282.198490446652</v>
      </c>
      <c r="EA20" s="45">
        <v>4003.380286508313</v>
      </c>
      <c r="EB20" s="45">
        <v>3509.6294181023322</v>
      </c>
      <c r="EC20" s="45">
        <v>3053.453364898382</v>
      </c>
      <c r="ED20" s="45">
        <v>2184.1011427265976</v>
      </c>
      <c r="EE20" s="45">
        <v>1603.0135655680524</v>
      </c>
      <c r="EF20" s="45">
        <v>608.3293457977202</v>
      </c>
      <c r="EG20" s="45">
        <v>5.960464477539062e-14</v>
      </c>
      <c r="EH20" s="46">
        <f>MAX(1,MIN(21,SUMPRODUCT(--($BT20:$CO20&gt;=Pu))))</f>
      </c>
      <c r="EI20" s="47">
        <f>(Pu-INDEX($BT20:$CO20,1,$EH20))/(INDEX($BT20:$CO20,1,$EH20+1)-INDEX($BT20:$CO20,1,$EH20))</f>
      </c>
      <c r="EJ20" s="39">
        <f>INDEX($CP20:$DK20,1,$EH20)+$EI20*(INDEX($CP20:$DK20,1,$EH20+1)-INDEX($CP20:$DK20,1,$EH20))</f>
      </c>
      <c r="EK20" s="39">
        <f>INDEX($DL20:$EG20,1,$EH20)+$EI20*(INDEX($DL20:$EG20,1,$EH20+1)-INDEX($DL20:$EG20,1,$EH20))</f>
      </c>
      <c r="EL20" s="39">
        <f>SQRT(EJ20^2+EK20^2)</f>
      </c>
      <c r="EM20" s="20">
        <f>EJ21-EJ20</f>
      </c>
      <c r="EN20" s="20">
        <f>EK21-EK20</f>
      </c>
      <c r="EO20" s="20">
        <f>EM20*SIN(RADIANS(theta_L))-EN20*COS(RADIANS(theta_L))</f>
      </c>
      <c r="EP20" s="47">
        <f>IF(EO20=0,"",-(EJ20*SIN(RADIANS(theta_L))-EK20*COS(RADIANS(theta_L)))/EO20)</f>
      </c>
      <c r="EQ20" s="20">
        <f>IF(EP20="","",(EJ20+EP20*EM20)*COS(RADIANS(theta_L))+(EK20+EP20*EN20)*SIN(RADIANS(theta_L)))</f>
      </c>
      <c r="ER20" s="20">
        <f>IF(OR(EP20="",EP20&lt;0,EP20&gt;1,EQ20&lt;0),"",EQ20)</f>
      </c>
    </row>
    <row r="21" spans="1:148" x14ac:dyDescent="0.25">
      <c r="A21">
        <v>14</v>
      </c>
      <c r="B21" s="44">
        <v>45</v>
      </c>
      <c r="C21" s="18">
        <v>813.1727983645296</v>
      </c>
      <c r="D21" s="18">
        <v>-692.9646455628165</v>
      </c>
      <c r="E21" s="18">
        <v>1506.137443927346</v>
      </c>
      <c r="F21" s="16">
        <v>0.0033</v>
      </c>
      <c r="G21" s="16">
        <v>0</v>
      </c>
      <c r="H21" s="16">
        <v>0</v>
      </c>
      <c r="I21" s="16">
        <v>0.00275</v>
      </c>
      <c r="J21" s="16">
        <v>4.782608695652174e-7</v>
      </c>
      <c r="K21" s="16">
        <v>4.782608695652173e-7</v>
      </c>
      <c r="L21" s="16">
        <v>0.0024749999999999998</v>
      </c>
      <c r="M21" s="16">
        <v>7.173913043478263e-7</v>
      </c>
      <c r="N21" s="16">
        <v>7.173913043478262e-7</v>
      </c>
      <c r="O21" s="16">
        <v>0.0021999999999999997</v>
      </c>
      <c r="P21" s="16">
        <v>9.565217391304349e-7</v>
      </c>
      <c r="Q21" s="16">
        <v>9.565217391304347e-7</v>
      </c>
      <c r="R21" s="16">
        <v>0.0019249999999999998</v>
      </c>
      <c r="S21" s="16">
        <v>0.0000011956521739130436</v>
      </c>
      <c r="T21" s="16">
        <v>0.0000011956521739130434</v>
      </c>
      <c r="U21" s="16">
        <v>0.0018000000000000002</v>
      </c>
      <c r="V21" s="16">
        <v>0.0000013043478260869564</v>
      </c>
      <c r="W21" s="16">
        <v>0.0000013043478260869562</v>
      </c>
      <c r="X21" s="16">
        <v>0.0016499999999999998</v>
      </c>
      <c r="Y21" s="16">
        <v>0.0000014347826086956525</v>
      </c>
      <c r="Z21" s="16">
        <v>0.0000014347826086956523</v>
      </c>
      <c r="AA21" s="16">
        <v>0.0015183098591549295</v>
      </c>
      <c r="AB21" s="16">
        <v>0.0000015492957746478875</v>
      </c>
      <c r="AC21" s="16">
        <v>0.0000015492957746478873</v>
      </c>
      <c r="AD21" s="16">
        <v>0.0012483568075117371</v>
      </c>
      <c r="AE21" s="16">
        <v>0.0000017840375586854462</v>
      </c>
      <c r="AF21" s="16">
        <v>0.000001784037558685446</v>
      </c>
      <c r="AG21" s="16">
        <v>0.0009784037558685445</v>
      </c>
      <c r="AH21" s="16">
        <v>0.000002018779342723005</v>
      </c>
      <c r="AI21" s="16">
        <v>0.0000020187793427230047</v>
      </c>
      <c r="AJ21" s="16">
        <v>0.0007084507042253519</v>
      </c>
      <c r="AK21" s="16">
        <v>0.000002253521126760564</v>
      </c>
      <c r="AL21" s="16">
        <v>0.0000022535211267605635</v>
      </c>
      <c r="AM21" s="16">
        <v>0.0004384976525821597</v>
      </c>
      <c r="AN21" s="16">
        <v>0.000002488262910798122</v>
      </c>
      <c r="AO21" s="16">
        <v>0.0000024882629107981218</v>
      </c>
      <c r="AP21" s="16">
        <v>-0.00010140845070422512</v>
      </c>
      <c r="AQ21" s="16">
        <v>0.0000029577464788732396</v>
      </c>
      <c r="AR21" s="16">
        <v>0.000002957746478873239</v>
      </c>
      <c r="AS21" s="16">
        <v>-0.0006413145539906099</v>
      </c>
      <c r="AT21" s="16">
        <v>0.000003427230046948357</v>
      </c>
      <c r="AU21" s="16">
        <v>0.0000034272300469483566</v>
      </c>
      <c r="AV21" s="16">
        <v>-0.0011812206572769952</v>
      </c>
      <c r="AW21" s="16">
        <v>0.000003896713615023475</v>
      </c>
      <c r="AX21" s="16">
        <v>0.000003896713615023474</v>
      </c>
      <c r="AY21" s="16">
        <v>-0.0017211267605633795</v>
      </c>
      <c r="AZ21" s="16">
        <v>0.0000043661971830985915</v>
      </c>
      <c r="BA21" s="16">
        <v>0.000004366197183098591</v>
      </c>
      <c r="BB21" s="16">
        <v>-0.002800938967136151</v>
      </c>
      <c r="BC21" s="16">
        <v>0.000005305164319248827</v>
      </c>
      <c r="BD21" s="16">
        <v>0.000005305164319248826</v>
      </c>
      <c r="BE21" s="16">
        <v>-0.0038807511737089205</v>
      </c>
      <c r="BF21" s="16">
        <v>0.000006244131455399062</v>
      </c>
      <c r="BG21" s="16">
        <v>0.000006244131455399061</v>
      </c>
      <c r="BH21" s="16">
        <v>-0.006580281690140845</v>
      </c>
      <c r="BI21" s="16">
        <v>0.000008591549295774648</v>
      </c>
      <c r="BJ21" s="16">
        <v>0.000008591549295774648</v>
      </c>
      <c r="BK21" s="16">
        <v>-0.009279812206572771</v>
      </c>
      <c r="BL21" s="16">
        <v>0.000010938967136150236</v>
      </c>
      <c r="BM21" s="16">
        <v>0.000010938967136150234</v>
      </c>
      <c r="BN21" s="16">
        <v>-0.02007793427230047</v>
      </c>
      <c r="BO21" s="16">
        <v>0.000020328638497652586</v>
      </c>
      <c r="BP21" s="16">
        <v>0.000020328638497652583</v>
      </c>
      <c r="BQ21" s="16">
        <v>-0.05</v>
      </c>
      <c r="BR21" s="16">
        <v>0</v>
      </c>
      <c r="BS21" s="16">
        <v>0</v>
      </c>
      <c r="BT21" s="45">
        <v>33981.43387592912</v>
      </c>
      <c r="BU21" s="45">
        <v>33981.43387592912</v>
      </c>
      <c r="BV21" s="45">
        <v>33853.086931215585</v>
      </c>
      <c r="BW21" s="45">
        <v>32860.36981559514</v>
      </c>
      <c r="BX21" s="45">
        <v>30792.89349717648</v>
      </c>
      <c r="BY21" s="45">
        <v>29469.183928187973</v>
      </c>
      <c r="BZ21" s="45">
        <v>27535.738846605276</v>
      </c>
      <c r="CA21" s="45">
        <v>25684.929585636346</v>
      </c>
      <c r="CB21" s="45">
        <v>22177.723029219564</v>
      </c>
      <c r="CC21" s="45">
        <v>18979.270554131403</v>
      </c>
      <c r="CD21" s="45">
        <v>16067.259929616906</v>
      </c>
      <c r="CE21" s="45">
        <v>13499.863076045342</v>
      </c>
      <c r="CF21" s="45">
        <v>9710.243938255044</v>
      </c>
      <c r="CG21" s="45">
        <v>7109.362933687932</v>
      </c>
      <c r="CH21" s="45">
        <v>5338.031056097862</v>
      </c>
      <c r="CI21" s="45">
        <v>4040.777971514849</v>
      </c>
      <c r="CJ21" s="45">
        <v>2187.753144384953</v>
      </c>
      <c r="CK21" s="45">
        <v>864.5322933090008</v>
      </c>
      <c r="CL21" s="45">
        <v>-1278.5766170011843</v>
      </c>
      <c r="CM21" s="45">
        <v>-2505.0918038485956</v>
      </c>
      <c r="CN21" s="45">
        <v>-4488.502635722932</v>
      </c>
      <c r="CO21" s="45">
        <v>-5790.583579096708</v>
      </c>
      <c r="CP21" s="45">
        <v>6.55418261885643e-13</v>
      </c>
      <c r="CQ21" s="45">
        <v>6.55418261885643e-13</v>
      </c>
      <c r="CR21" s="45">
        <v>49.74979363071262</v>
      </c>
      <c r="CS21" s="45">
        <v>379.0585995194951</v>
      </c>
      <c r="CT21" s="45">
        <v>1026.617835788663</v>
      </c>
      <c r="CU21" s="45">
        <v>1420.893972614112</v>
      </c>
      <c r="CV21" s="45">
        <v>1966.7003354806081</v>
      </c>
      <c r="CW21" s="45">
        <v>2445.851549210543</v>
      </c>
      <c r="CX21" s="45">
        <v>3130.963072793861</v>
      </c>
      <c r="CY21" s="45">
        <v>3588.988519535208</v>
      </c>
      <c r="CZ21" s="45">
        <v>3894.3636690515546</v>
      </c>
      <c r="DA21" s="45">
        <v>4061.77825197449</v>
      </c>
      <c r="DB21" s="45">
        <v>3955.4069913013877</v>
      </c>
      <c r="DC21" s="45">
        <v>3656.2361542444814</v>
      </c>
      <c r="DD21" s="45">
        <v>3386.0006801384716</v>
      </c>
      <c r="DE21" s="45">
        <v>3133.3021458647727</v>
      </c>
      <c r="DF21" s="45">
        <v>2679.4372222130764</v>
      </c>
      <c r="DG21" s="45">
        <v>2355.4275154055426</v>
      </c>
      <c r="DH21" s="45">
        <v>1744.1074390688634</v>
      </c>
      <c r="DI21" s="45">
        <v>1332.4849792614416</v>
      </c>
      <c r="DJ21" s="45">
        <v>564.117973805127</v>
      </c>
      <c r="DK21" s="45">
        <v>0</v>
      </c>
      <c r="DL21" s="45">
        <v>-5.220063030719757e-12</v>
      </c>
      <c r="DM21" s="45">
        <v>-5.220063030719757e-12</v>
      </c>
      <c r="DN21" s="45">
        <v>70.85436509974156</v>
      </c>
      <c r="DO21" s="45">
        <v>546.5690125189266</v>
      </c>
      <c r="DP21" s="45">
        <v>1404.2650533368226</v>
      </c>
      <c r="DQ21" s="45">
        <v>1921.14318722861</v>
      </c>
      <c r="DR21" s="45">
        <v>2652.50911438784</v>
      </c>
      <c r="DS21" s="45">
        <v>3294.5068781674822</v>
      </c>
      <c r="DT21" s="45">
        <v>4203.795456845137</v>
      </c>
      <c r="DU21" s="45">
        <v>4733.1110542519455</v>
      </c>
      <c r="DV21" s="45">
        <v>5038.6928116182735</v>
      </c>
      <c r="DW21" s="45">
        <v>5211.059738835251</v>
      </c>
      <c r="DX21" s="45">
        <v>5242.9350645420645</v>
      </c>
      <c r="DY21" s="45">
        <v>5042.919624369961</v>
      </c>
      <c r="DZ21" s="45">
        <v>4701.123898081748</v>
      </c>
      <c r="EA21" s="45">
        <v>4383.704567627166</v>
      </c>
      <c r="EB21" s="45">
        <v>3867.7598304107105</v>
      </c>
      <c r="EC21" s="45">
        <v>3385.5099366994486</v>
      </c>
      <c r="ED21" s="45">
        <v>2465.457656913543</v>
      </c>
      <c r="EE21" s="45">
        <v>1853.2190614159322</v>
      </c>
      <c r="EF21" s="45">
        <v>790.4458581860085</v>
      </c>
      <c r="EG21" s="45">
        <v>5.960464477539062e-14</v>
      </c>
      <c r="EH21" s="46">
        <f>MAX(1,MIN(21,SUMPRODUCT(--($BT21:$CO21&gt;=Pu))))</f>
      </c>
      <c r="EI21" s="47">
        <f>(Pu-INDEX($BT21:$CO21,1,$EH21))/(INDEX($BT21:$CO21,1,$EH21+1)-INDEX($BT21:$CO21,1,$EH21))</f>
      </c>
      <c r="EJ21" s="39">
        <f>INDEX($CP21:$DK21,1,$EH21)+$EI21*(INDEX($CP21:$DK21,1,$EH21+1)-INDEX($CP21:$DK21,1,$EH21))</f>
      </c>
      <c r="EK21" s="39">
        <f>INDEX($DL21:$EG21,1,$EH21)+$EI21*(INDEX($DL21:$EG21,1,$EH21+1)-INDEX($DL21:$EG21,1,$EH21))</f>
      </c>
      <c r="EL21" s="39">
        <f>SQRT(EJ21^2+EK21^2)</f>
      </c>
      <c r="EM21" s="20">
        <f>EJ22-EJ21</f>
      </c>
      <c r="EN21" s="20">
        <f>EK22-EK21</f>
      </c>
      <c r="EO21" s="20">
        <f>EM21*SIN(RADIANS(theta_L))-EN21*COS(RADIANS(theta_L))</f>
      </c>
      <c r="EP21" s="47">
        <f>IF(EO21=0,"",-(EJ21*SIN(RADIANS(theta_L))-EK21*COS(RADIANS(theta_L)))/EO21)</f>
      </c>
      <c r="EQ21" s="20">
        <f>IF(EP21="","",(EJ21+EP21*EM21)*COS(RADIANS(theta_L))+(EK21+EP21*EN21)*SIN(RADIANS(theta_L)))</f>
      </c>
      <c r="ER21" s="20">
        <f>IF(OR(EP21="",EP21&lt;0,EP21&gt;1,EQ21&lt;0),"",EQ21)</f>
      </c>
    </row>
    <row r="22" spans="1:148" x14ac:dyDescent="0.25">
      <c r="A22">
        <v>15</v>
      </c>
      <c r="B22" s="44">
        <v>50</v>
      </c>
      <c r="C22" s="18">
        <v>831.6483762138494</v>
      </c>
      <c r="D22" s="18">
        <v>-713.7465042268668</v>
      </c>
      <c r="E22" s="18">
        <v>1545.3948804407162</v>
      </c>
      <c r="F22" s="16">
        <v>0.0033</v>
      </c>
      <c r="G22" s="16">
        <v>0</v>
      </c>
      <c r="H22" s="16">
        <v>0</v>
      </c>
      <c r="I22" s="16">
        <v>0.00275</v>
      </c>
      <c r="J22" s="16">
        <v>4.250993514074865e-7</v>
      </c>
      <c r="K22" s="16">
        <v>5.066136792493406e-7</v>
      </c>
      <c r="L22" s="16">
        <v>0.0024749999999999998</v>
      </c>
      <c r="M22" s="16">
        <v>6.376490271112297e-7</v>
      </c>
      <c r="N22" s="16">
        <v>7.599205188740108e-7</v>
      </c>
      <c r="O22" s="16">
        <v>0.0021999999999999997</v>
      </c>
      <c r="P22" s="16">
        <v>8.50198702814973e-7</v>
      </c>
      <c r="Q22" s="16">
        <v>0.0000010132273584986811</v>
      </c>
      <c r="R22" s="16">
        <v>0.0019249999999999998</v>
      </c>
      <c r="S22" s="16">
        <v>0.0000010627483785187162</v>
      </c>
      <c r="T22" s="16">
        <v>0.0000012665341981233513</v>
      </c>
      <c r="U22" s="16">
        <v>0.0018000000000000002</v>
      </c>
      <c r="V22" s="16">
        <v>0.0000011593618674749628</v>
      </c>
      <c r="W22" s="16">
        <v>0.0000013816736706800193</v>
      </c>
      <c r="X22" s="16">
        <v>0.00165</v>
      </c>
      <c r="Y22" s="16">
        <v>0.0000012752980542224595</v>
      </c>
      <c r="Z22" s="16">
        <v>0.0000015198410377480215</v>
      </c>
      <c r="AA22" s="16">
        <v>0.0015241175532281802</v>
      </c>
      <c r="AB22" s="16">
        <v>0.0000013725935932702558</v>
      </c>
      <c r="AC22" s="16">
        <v>0.0000016357933459516229</v>
      </c>
      <c r="AD22" s="16">
        <v>0.0012550444552324501</v>
      </c>
      <c r="AE22" s="16">
        <v>0.0000015805623195233249</v>
      </c>
      <c r="AF22" s="16">
        <v>0.00000188364082261096</v>
      </c>
      <c r="AG22" s="16">
        <v>0.0009859713572367198</v>
      </c>
      <c r="AH22" s="16">
        <v>0.0000017885310457763938</v>
      </c>
      <c r="AI22" s="16">
        <v>0.0000021314882992702965</v>
      </c>
      <c r="AJ22" s="16">
        <v>0.000716898259240989</v>
      </c>
      <c r="AK22" s="16">
        <v>0.000001996499772029463</v>
      </c>
      <c r="AL22" s="16">
        <v>0.0000023793357759296336</v>
      </c>
      <c r="AM22" s="16">
        <v>0.0004478251612452591</v>
      </c>
      <c r="AN22" s="16">
        <v>0.000002204468498282532</v>
      </c>
      <c r="AO22" s="16">
        <v>0.0000026271832525889702</v>
      </c>
      <c r="AP22" s="16">
        <v>-0.00009032103474620155</v>
      </c>
      <c r="AQ22" s="16">
        <v>0.00000262040595078867</v>
      </c>
      <c r="AR22" s="16">
        <v>0.000003122878205907644</v>
      </c>
      <c r="AS22" s="16">
        <v>-0.0006284672307376622</v>
      </c>
      <c r="AT22" s="16">
        <v>0.000003036343403294808</v>
      </c>
      <c r="AU22" s="16">
        <v>0.0000036185731592263176</v>
      </c>
      <c r="AV22" s="16">
        <v>-0.001166613426729122</v>
      </c>
      <c r="AW22" s="16">
        <v>0.000003452280855800946</v>
      </c>
      <c r="AX22" s="16">
        <v>0.000004114268112544991</v>
      </c>
      <c r="AY22" s="16">
        <v>-0.0017047596227205827</v>
      </c>
      <c r="AZ22" s="16">
        <v>0.000003868218308307084</v>
      </c>
      <c r="BA22" s="16">
        <v>0.0000046099630658636645</v>
      </c>
      <c r="BB22" s="16">
        <v>-0.002781052014703505</v>
      </c>
      <c r="BC22" s="16">
        <v>0.000004700093213319361</v>
      </c>
      <c r="BD22" s="16">
        <v>0.000005601352972501013</v>
      </c>
      <c r="BE22" s="16">
        <v>-0.0038573444066864245</v>
      </c>
      <c r="BF22" s="16">
        <v>0.000005531968118331637</v>
      </c>
      <c r="BG22" s="16">
        <v>0.000006592742879138359</v>
      </c>
      <c r="BH22" s="16">
        <v>-0.006548075386643729</v>
      </c>
      <c r="BI22" s="16">
        <v>0.000007611655380862328</v>
      </c>
      <c r="BJ22" s="16">
        <v>0.000009071217645731727</v>
      </c>
      <c r="BK22" s="16">
        <v>-0.00923880636660103</v>
      </c>
      <c r="BL22" s="16">
        <v>0.000009691342643393018</v>
      </c>
      <c r="BM22" s="16">
        <v>0.000011549692412325097</v>
      </c>
      <c r="BN22" s="16">
        <v>-0.02000173028643024</v>
      </c>
      <c r="BO22" s="16">
        <v>0.00001801009169351578</v>
      </c>
      <c r="BP22" s="16">
        <v>0.000021463591478698567</v>
      </c>
      <c r="BQ22" s="16">
        <v>-0.05</v>
      </c>
      <c r="BR22" s="16">
        <v>0</v>
      </c>
      <c r="BS22" s="16">
        <v>0</v>
      </c>
      <c r="BT22" s="45">
        <v>33981.43387592912</v>
      </c>
      <c r="BU22" s="45">
        <v>33981.43387592912</v>
      </c>
      <c r="BV22" s="45">
        <v>33861.11987355758</v>
      </c>
      <c r="BW22" s="45">
        <v>32881.80530550579</v>
      </c>
      <c r="BX22" s="45">
        <v>30855.015523442326</v>
      </c>
      <c r="BY22" s="45">
        <v>29533.92295661245</v>
      </c>
      <c r="BZ22" s="45">
        <v>27619.545603007748</v>
      </c>
      <c r="CA22" s="45">
        <v>25828.732590736738</v>
      </c>
      <c r="CB22" s="45">
        <v>22308.650651053966</v>
      </c>
      <c r="CC22" s="45">
        <v>19128.94112824127</v>
      </c>
      <c r="CD22" s="45">
        <v>16201.95377751613</v>
      </c>
      <c r="CE22" s="45">
        <v>13572.613813574288</v>
      </c>
      <c r="CF22" s="45">
        <v>9623.714727508263</v>
      </c>
      <c r="CG22" s="45">
        <v>7046.6806064266575</v>
      </c>
      <c r="CH22" s="45">
        <v>5322.575503546272</v>
      </c>
      <c r="CI22" s="45">
        <v>4001.047488836841</v>
      </c>
      <c r="CJ22" s="45">
        <v>2162.5299859065553</v>
      </c>
      <c r="CK22" s="45">
        <v>836.105408563802</v>
      </c>
      <c r="CL22" s="45">
        <v>-1331.0195891740643</v>
      </c>
      <c r="CM22" s="45">
        <v>-2663.8787007552955</v>
      </c>
      <c r="CN22" s="45">
        <v>-4670.644880305006</v>
      </c>
      <c r="CO22" s="45">
        <v>-5790.583579096708</v>
      </c>
      <c r="CP22" s="45">
        <v>6.55418261885643e-13</v>
      </c>
      <c r="CQ22" s="45">
        <v>6.55418261885643e-13</v>
      </c>
      <c r="CR22" s="45">
        <v>43.470385618144384</v>
      </c>
      <c r="CS22" s="45">
        <v>338.26049379112754</v>
      </c>
      <c r="CT22" s="45">
        <v>920.3014575978341</v>
      </c>
      <c r="CU22" s="45">
        <v>1269.558884673265</v>
      </c>
      <c r="CV22" s="45">
        <v>1760.1984683471119</v>
      </c>
      <c r="CW22" s="45">
        <v>2172.9750267083946</v>
      </c>
      <c r="CX22" s="45">
        <v>2766.6055127465497</v>
      </c>
      <c r="CY22" s="45">
        <v>3141.1591661033676</v>
      </c>
      <c r="CZ22" s="45">
        <v>3409.1802013741685</v>
      </c>
      <c r="DA22" s="45">
        <v>3568.005718388447</v>
      </c>
      <c r="DB22" s="45">
        <v>3491.330025144508</v>
      </c>
      <c r="DC22" s="45">
        <v>3239.1330678446425</v>
      </c>
      <c r="DD22" s="45">
        <v>3028.6831705245486</v>
      </c>
      <c r="DE22" s="45">
        <v>2830.132233021573</v>
      </c>
      <c r="DF22" s="45">
        <v>2449.7161085146686</v>
      </c>
      <c r="DG22" s="45">
        <v>2145.9229954756315</v>
      </c>
      <c r="DH22" s="45">
        <v>1613.0539465387396</v>
      </c>
      <c r="DI22" s="45">
        <v>1203.0074617618</v>
      </c>
      <c r="DJ22" s="45">
        <v>458.03500999883084</v>
      </c>
      <c r="DK22" s="45">
        <v>0</v>
      </c>
      <c r="DL22" s="45">
        <v>-5.220063030719757e-12</v>
      </c>
      <c r="DM22" s="45">
        <v>-5.220063030719757e-12</v>
      </c>
      <c r="DN22" s="45">
        <v>70.03734147386379</v>
      </c>
      <c r="DO22" s="45">
        <v>568.3569397542186</v>
      </c>
      <c r="DP22" s="45">
        <v>1467.8047555854366</v>
      </c>
      <c r="DQ22" s="45">
        <v>2015.1913813636484</v>
      </c>
      <c r="DR22" s="45">
        <v>2783.8130733790076</v>
      </c>
      <c r="DS22" s="45">
        <v>3452.385222558172</v>
      </c>
      <c r="DT22" s="45">
        <v>4479.465630782855</v>
      </c>
      <c r="DU22" s="45">
        <v>5080.669509422898</v>
      </c>
      <c r="DV22" s="45">
        <v>5417.822551830352</v>
      </c>
      <c r="DW22" s="45">
        <v>5621.660873287397</v>
      </c>
      <c r="DX22" s="45">
        <v>5644.053931677196</v>
      </c>
      <c r="DY22" s="45">
        <v>5383.16224653089</v>
      </c>
      <c r="DZ22" s="45">
        <v>5021.170969469249</v>
      </c>
      <c r="EA22" s="45">
        <v>4664.7684282958935</v>
      </c>
      <c r="EB22" s="45">
        <v>4071.123604989439</v>
      </c>
      <c r="EC22" s="45">
        <v>3547.968301729883</v>
      </c>
      <c r="ED22" s="45">
        <v>2529.294747544302</v>
      </c>
      <c r="EE22" s="45">
        <v>1841.732380371836</v>
      </c>
      <c r="EF22" s="45">
        <v>718.0661238671553</v>
      </c>
      <c r="EG22" s="45">
        <v>5.960464477539062e-14</v>
      </c>
      <c r="EH22" s="46">
        <f>MAX(1,MIN(21,SUMPRODUCT(--($BT22:$CO22&gt;=Pu))))</f>
      </c>
      <c r="EI22" s="47">
        <f>(Pu-INDEX($BT22:$CO22,1,$EH22))/(INDEX($BT22:$CO22,1,$EH22+1)-INDEX($BT22:$CO22,1,$EH22))</f>
      </c>
      <c r="EJ22" s="39">
        <f>INDEX($CP22:$DK22,1,$EH22)+$EI22*(INDEX($CP22:$DK22,1,$EH22+1)-INDEX($CP22:$DK22,1,$EH22))</f>
      </c>
      <c r="EK22" s="39">
        <f>INDEX($DL22:$EG22,1,$EH22)+$EI22*(INDEX($DL22:$EG22,1,$EH22+1)-INDEX($DL22:$EG22,1,$EH22))</f>
      </c>
      <c r="EL22" s="39">
        <f>SQRT(EJ22^2+EK22^2)</f>
      </c>
      <c r="EM22" s="20">
        <f>EJ23-EJ22</f>
      </c>
      <c r="EN22" s="20">
        <f>EK23-EK22</f>
      </c>
      <c r="EO22" s="20">
        <f>EM22*SIN(RADIANS(theta_L))-EN22*COS(RADIANS(theta_L))</f>
      </c>
      <c r="EP22" s="47">
        <f>IF(EO22=0,"",-(EJ22*SIN(RADIANS(theta_L))-EK22*COS(RADIANS(theta_L)))/EO22)</f>
      </c>
      <c r="EQ22" s="20">
        <f>IF(EP22="","",(EJ22+EP22*EM22)*COS(RADIANS(theta_L))+(EK22+EP22*EN22)*SIN(RADIANS(theta_L)))</f>
      </c>
      <c r="ER22" s="20">
        <f>IF(OR(EP22="",EP22&lt;0,EP22&gt;1,EQ22&lt;0),"",EQ22)</f>
      </c>
    </row>
    <row r="23" spans="1:148" x14ac:dyDescent="0.25">
      <c r="A23">
        <v>16</v>
      </c>
      <c r="B23" s="44">
        <v>55</v>
      </c>
      <c r="C23" s="18">
        <v>843.7946077571623</v>
      </c>
      <c r="D23" s="18">
        <v>-729.0963210218282</v>
      </c>
      <c r="E23" s="18">
        <v>1572.8909287789907</v>
      </c>
      <c r="F23" s="16">
        <v>0.0033</v>
      </c>
      <c r="G23" s="16">
        <v>0</v>
      </c>
      <c r="H23" s="16">
        <v>0</v>
      </c>
      <c r="I23" s="16">
        <v>0.00275</v>
      </c>
      <c r="J23" s="16">
        <v>3.738670964390239e-7</v>
      </c>
      <c r="K23" s="16">
        <v>5.339375485658539e-7</v>
      </c>
      <c r="L23" s="16">
        <v>0.0024749999999999998</v>
      </c>
      <c r="M23" s="16">
        <v>5.608006446585358e-7</v>
      </c>
      <c r="N23" s="16">
        <v>8.009063228487808e-7</v>
      </c>
      <c r="O23" s="16">
        <v>0.0021999999999999997</v>
      </c>
      <c r="P23" s="16">
        <v>7.477341928780478e-7</v>
      </c>
      <c r="Q23" s="16">
        <v>0.0000010678750971317079</v>
      </c>
      <c r="R23" s="16">
        <v>0.0019249999999999998</v>
      </c>
      <c r="S23" s="16">
        <v>9.346677410975598e-7</v>
      </c>
      <c r="T23" s="16">
        <v>0.0000013348438714146348</v>
      </c>
      <c r="U23" s="16">
        <v>0.0018000000000000002</v>
      </c>
      <c r="V23" s="16">
        <v>0.0000010196375357427923</v>
      </c>
      <c r="W23" s="16">
        <v>0.0000014561933142705104</v>
      </c>
      <c r="X23" s="16">
        <v>0.00165</v>
      </c>
      <c r="Y23" s="16">
        <v>0.0000011216012893170716</v>
      </c>
      <c r="Z23" s="16">
        <v>0.0000016018126456975616</v>
      </c>
      <c r="AA23" s="16">
        <v>0.0015296787687877286</v>
      </c>
      <c r="AB23" s="16">
        <v>0.0000012033906517776176</v>
      </c>
      <c r="AC23" s="16">
        <v>0.0000017186199606682988</v>
      </c>
      <c r="AD23" s="16">
        <v>0.0012614482792101117</v>
      </c>
      <c r="AE23" s="16">
        <v>0.0000013857225687136202</v>
      </c>
      <c r="AF23" s="16">
        <v>0.00000197901692440592</v>
      </c>
      <c r="AG23" s="16">
        <v>0.000993217789632495</v>
      </c>
      <c r="AH23" s="16">
        <v>0.0000015680544856496228</v>
      </c>
      <c r="AI23" s="16">
        <v>0.000002239413888143541</v>
      </c>
      <c r="AJ23" s="16">
        <v>0.0007249873000548779</v>
      </c>
      <c r="AK23" s="16">
        <v>0.0000017503864025856259</v>
      </c>
      <c r="AL23" s="16">
        <v>0.0000024998108518811623</v>
      </c>
      <c r="AM23" s="16">
        <v>0.00045675681047726083</v>
      </c>
      <c r="AN23" s="16">
        <v>0.0000019327183195216285</v>
      </c>
      <c r="AO23" s="16">
        <v>0.0000027602078156187833</v>
      </c>
      <c r="AP23" s="16">
        <v>-0.00007970416867797252</v>
      </c>
      <c r="AQ23" s="16">
        <v>0.0000022973821533936338</v>
      </c>
      <c r="AR23" s="16">
        <v>0.000003281001743094025</v>
      </c>
      <c r="AS23" s="16">
        <v>-0.0006161651478332059</v>
      </c>
      <c r="AT23" s="16">
        <v>0.000002662045987265639</v>
      </c>
      <c r="AU23" s="16">
        <v>0.0000038017956705692666</v>
      </c>
      <c r="AV23" s="16">
        <v>-0.00115262612698844</v>
      </c>
      <c r="AW23" s="16">
        <v>0.0000030267098211376447</v>
      </c>
      <c r="AX23" s="16">
        <v>0.0000043225895980445096</v>
      </c>
      <c r="AY23" s="16">
        <v>-0.0016890871061436734</v>
      </c>
      <c r="AZ23" s="16">
        <v>0.0000033913736550096495</v>
      </c>
      <c r="BA23" s="16">
        <v>0.000004843383525519751</v>
      </c>
      <c r="BB23" s="16">
        <v>-0.002762009064454142</v>
      </c>
      <c r="BC23" s="16">
        <v>0.000004120701322753661</v>
      </c>
      <c r="BD23" s="16">
        <v>0.000005884971380470236</v>
      </c>
      <c r="BE23" s="16">
        <v>-0.0038349310227646085</v>
      </c>
      <c r="BF23" s="16">
        <v>0.000004850028990497671</v>
      </c>
      <c r="BG23" s="16">
        <v>0.000006926559235420719</v>
      </c>
      <c r="BH23" s="16">
        <v>-0.006517235918540777</v>
      </c>
      <c r="BI23" s="16">
        <v>0.000006673348159857698</v>
      </c>
      <c r="BJ23" s="16">
        <v>0.00000953052887279693</v>
      </c>
      <c r="BK23" s="16">
        <v>-0.009199540814316946</v>
      </c>
      <c r="BL23" s="16">
        <v>0.000008496667329217725</v>
      </c>
      <c r="BM23" s="16">
        <v>0.000012134498510173142</v>
      </c>
      <c r="BN23" s="16">
        <v>-0.01992876039742162</v>
      </c>
      <c r="BO23" s="16">
        <v>0.00001578994400665783</v>
      </c>
      <c r="BP23" s="16">
        <v>0.00002255037705967798</v>
      </c>
      <c r="BQ23" s="16">
        <v>-0.05</v>
      </c>
      <c r="BR23" s="16">
        <v>0</v>
      </c>
      <c r="BS23" s="16">
        <v>0</v>
      </c>
      <c r="BT23" s="45">
        <v>33981.43387592912</v>
      </c>
      <c r="BU23" s="45">
        <v>33981.43387592912</v>
      </c>
      <c r="BV23" s="45">
        <v>33862.95001961346</v>
      </c>
      <c r="BW23" s="45">
        <v>32890.09554246929</v>
      </c>
      <c r="BX23" s="45">
        <v>30875.963768253056</v>
      </c>
      <c r="BY23" s="45">
        <v>29560.25023515789</v>
      </c>
      <c r="BZ23" s="45">
        <v>27639.377245437063</v>
      </c>
      <c r="CA23" s="45">
        <v>25910.518602496595</v>
      </c>
      <c r="CB23" s="45">
        <v>22369.244914544113</v>
      </c>
      <c r="CC23" s="45">
        <v>19224.96481825995</v>
      </c>
      <c r="CD23" s="45">
        <v>16321.332203832282</v>
      </c>
      <c r="CE23" s="45">
        <v>13649.906316358685</v>
      </c>
      <c r="CF23" s="45">
        <v>9606.388201539778</v>
      </c>
      <c r="CG23" s="45">
        <v>7067.2424679480955</v>
      </c>
      <c r="CH23" s="45">
        <v>5377.363273767171</v>
      </c>
      <c r="CI23" s="45">
        <v>4095.3908036032058</v>
      </c>
      <c r="CJ23" s="45">
        <v>2214.2430708822485</v>
      </c>
      <c r="CK23" s="45">
        <v>908.947724712342</v>
      </c>
      <c r="CL23" s="45">
        <v>-1336.526776769936</v>
      </c>
      <c r="CM23" s="45">
        <v>-2709.660734229424</v>
      </c>
      <c r="CN23" s="45">
        <v>-4745.080818975113</v>
      </c>
      <c r="CO23" s="45">
        <v>-5790.583579096708</v>
      </c>
      <c r="CP23" s="45">
        <v>6.55418261885643e-13</v>
      </c>
      <c r="CQ23" s="45">
        <v>6.55418261885643e-13</v>
      </c>
      <c r="CR23" s="45">
        <v>39.0151293787706</v>
      </c>
      <c r="CS23" s="45">
        <v>301.3964596759995</v>
      </c>
      <c r="CT23" s="45">
        <v>812.9376774774934</v>
      </c>
      <c r="CU23" s="45">
        <v>1125.6575556961734</v>
      </c>
      <c r="CV23" s="45">
        <v>1556.861408286398</v>
      </c>
      <c r="CW23" s="45">
        <v>1910.193742369917</v>
      </c>
      <c r="CX23" s="45">
        <v>2416.650357829903</v>
      </c>
      <c r="CY23" s="45">
        <v>2707.2334563011914</v>
      </c>
      <c r="CZ23" s="45">
        <v>2938.9986658512134</v>
      </c>
      <c r="DA23" s="45">
        <v>3084.7193656061413</v>
      </c>
      <c r="DB23" s="45">
        <v>3026.6776887750407</v>
      </c>
      <c r="DC23" s="45">
        <v>2838.829128836389</v>
      </c>
      <c r="DD23" s="45">
        <v>2667.7334713572827</v>
      </c>
      <c r="DE23" s="45">
        <v>2502.190470558572</v>
      </c>
      <c r="DF23" s="45">
        <v>2212.761717063274</v>
      </c>
      <c r="DG23" s="45">
        <v>1962.3931715321846</v>
      </c>
      <c r="DH23" s="45">
        <v>1494.998598149046</v>
      </c>
      <c r="DI23" s="45">
        <v>1106.1497969597508</v>
      </c>
      <c r="DJ23" s="45">
        <v>407.8789566445682</v>
      </c>
      <c r="DK23" s="45">
        <v>0</v>
      </c>
      <c r="DL23" s="45">
        <v>-5.220063030719757e-12</v>
      </c>
      <c r="DM23" s="45">
        <v>-5.220063030719757e-12</v>
      </c>
      <c r="DN23" s="45">
        <v>71.72254647983132</v>
      </c>
      <c r="DO23" s="45">
        <v>592.2130689149355</v>
      </c>
      <c r="DP23" s="45">
        <v>1539.9845505639814</v>
      </c>
      <c r="DQ23" s="45">
        <v>2112.5272161454063</v>
      </c>
      <c r="DR23" s="45">
        <v>2920.137393550567</v>
      </c>
      <c r="DS23" s="45">
        <v>3605.0144212033165</v>
      </c>
      <c r="DT23" s="45">
        <v>4725.508106457116</v>
      </c>
      <c r="DU23" s="45">
        <v>5378.80151139166</v>
      </c>
      <c r="DV23" s="45">
        <v>5743.987517590812</v>
      </c>
      <c r="DW23" s="45">
        <v>5968.32991392334</v>
      </c>
      <c r="DX23" s="45">
        <v>5996.2480291020465</v>
      </c>
      <c r="DY23" s="45">
        <v>5692.555615630821</v>
      </c>
      <c r="DZ23" s="45">
        <v>5326.5999143755225</v>
      </c>
      <c r="EA23" s="45">
        <v>4979.538272447849</v>
      </c>
      <c r="EB23" s="45">
        <v>4299.151409245172</v>
      </c>
      <c r="EC23" s="45">
        <v>3729.602985174388</v>
      </c>
      <c r="ED23" s="45">
        <v>2611.4120949388143</v>
      </c>
      <c r="EE23" s="45">
        <v>1875.7834089331213</v>
      </c>
      <c r="EF23" s="45">
        <v>688.8690482358493</v>
      </c>
      <c r="EG23" s="45">
        <v>5.960464477539062e-14</v>
      </c>
      <c r="EH23" s="46">
        <f>MAX(1,MIN(21,SUMPRODUCT(--($BT23:$CO23&gt;=Pu))))</f>
      </c>
      <c r="EI23" s="47">
        <f>(Pu-INDEX($BT23:$CO23,1,$EH23))/(INDEX($BT23:$CO23,1,$EH23+1)-INDEX($BT23:$CO23,1,$EH23))</f>
      </c>
      <c r="EJ23" s="39">
        <f>INDEX($CP23:$DK23,1,$EH23)+$EI23*(INDEX($CP23:$DK23,1,$EH23+1)-INDEX($CP23:$DK23,1,$EH23))</f>
      </c>
      <c r="EK23" s="39">
        <f>INDEX($DL23:$EG23,1,$EH23)+$EI23*(INDEX($DL23:$EG23,1,$EH23+1)-INDEX($DL23:$EG23,1,$EH23))</f>
      </c>
      <c r="EL23" s="39">
        <f>SQRT(EJ23^2+EK23^2)</f>
      </c>
      <c r="EM23" s="20">
        <f>EJ24-EJ23</f>
      </c>
      <c r="EN23" s="20">
        <f>EK24-EK23</f>
      </c>
      <c r="EO23" s="20">
        <f>EM23*SIN(RADIANS(theta_L))-EN23*COS(RADIANS(theta_L))</f>
      </c>
      <c r="EP23" s="47">
        <f>IF(EO23=0,"",-(EJ23*SIN(RADIANS(theta_L))-EK23*COS(RADIANS(theta_L)))/EO23)</f>
      </c>
      <c r="EQ23" s="20">
        <f>IF(EP23="","",(EJ23+EP23*EM23)*COS(RADIANS(theta_L))+(EK23+EP23*EN23)*SIN(RADIANS(theta_L)))</f>
      </c>
      <c r="ER23" s="20">
        <f>IF(OR(EP23="",EP23&lt;0,EP23&gt;1,EQ23&lt;0),"",EQ23)</f>
      </c>
    </row>
    <row r="24" spans="1:148" x14ac:dyDescent="0.25">
      <c r="A24">
        <v>17</v>
      </c>
      <c r="B24" s="44">
        <v>59.99999999999999</v>
      </c>
      <c r="C24" s="18">
        <v>849.5190528383291</v>
      </c>
      <c r="D24" s="18">
        <v>-738.8972745734183</v>
      </c>
      <c r="E24" s="18">
        <v>1588.4163274117473</v>
      </c>
      <c r="F24" s="16">
        <v>0.0033</v>
      </c>
      <c r="G24" s="16">
        <v>0</v>
      </c>
      <c r="H24" s="16">
        <v>0</v>
      </c>
      <c r="I24" s="16">
        <v>0.00275</v>
      </c>
      <c r="J24" s="16">
        <v>3.237125748753924e-7</v>
      </c>
      <c r="K24" s="16">
        <v>5.606866267331239e-7</v>
      </c>
      <c r="L24" s="16">
        <v>0.0024749999999999998</v>
      </c>
      <c r="M24" s="16">
        <v>4.855688623130887e-7</v>
      </c>
      <c r="N24" s="16">
        <v>8.41029940099686e-7</v>
      </c>
      <c r="O24" s="16">
        <v>0.0021999999999999997</v>
      </c>
      <c r="P24" s="16">
        <v>6.474251497507848e-7</v>
      </c>
      <c r="Q24" s="16">
        <v>0.0000011213732534662478</v>
      </c>
      <c r="R24" s="16">
        <v>0.001925</v>
      </c>
      <c r="S24" s="16">
        <v>8.092814371884811e-7</v>
      </c>
      <c r="T24" s="16">
        <v>0.0000014017165668328098</v>
      </c>
      <c r="U24" s="16">
        <v>0.0018000000000000002</v>
      </c>
      <c r="V24" s="16">
        <v>8.828524769328883e-7</v>
      </c>
      <c r="W24" s="16">
        <v>0.0000015291453456357924</v>
      </c>
      <c r="X24" s="16">
        <v>0.0016499999999999998</v>
      </c>
      <c r="Y24" s="16">
        <v>9.711377246261773e-7</v>
      </c>
      <c r="Z24" s="16">
        <v>0.000001682059880199372</v>
      </c>
      <c r="AA24" s="16">
        <v>0.0015350893616571412</v>
      </c>
      <c r="AB24" s="16">
        <v>0.0000010387704857507987</v>
      </c>
      <c r="AC24" s="16">
        <v>0.0000017992032587233852</v>
      </c>
      <c r="AD24" s="16">
        <v>0.0012676786588779205</v>
      </c>
      <c r="AE24" s="16">
        <v>0.0000011961599532887984</v>
      </c>
      <c r="AF24" s="16">
        <v>0.000002071809813075413</v>
      </c>
      <c r="AG24" s="16">
        <v>0.0010002679560986993</v>
      </c>
      <c r="AH24" s="16">
        <v>0.0000013535494208267981</v>
      </c>
      <c r="AI24" s="16">
        <v>0.0000023444163674274413</v>
      </c>
      <c r="AJ24" s="16">
        <v>0.0007328572533194782</v>
      </c>
      <c r="AK24" s="16">
        <v>0.0000015109388883647983</v>
      </c>
      <c r="AL24" s="16">
        <v>0.00000261702292177947</v>
      </c>
      <c r="AM24" s="16">
        <v>0.00046544655054025705</v>
      </c>
      <c r="AN24" s="16">
        <v>0.000001668328355902798</v>
      </c>
      <c r="AO24" s="16">
        <v>0.0000028896294761314977</v>
      </c>
      <c r="AP24" s="16">
        <v>-0.00006937485501818481</v>
      </c>
      <c r="AQ24" s="16">
        <v>0.0000019831072909787975</v>
      </c>
      <c r="AR24" s="16">
        <v>0.000003434842584835554</v>
      </c>
      <c r="AS24" s="16">
        <v>-0.0006041962605766267</v>
      </c>
      <c r="AT24" s="16">
        <v>0.000002297886226054797</v>
      </c>
      <c r="AU24" s="16">
        <v>0.0000039800556935396095</v>
      </c>
      <c r="AV24" s="16">
        <v>-0.001139017666135069</v>
      </c>
      <c r="AW24" s="16">
        <v>0.0000026126651611307964</v>
      </c>
      <c r="AX24" s="16">
        <v>0.000004525268802243666</v>
      </c>
      <c r="AY24" s="16">
        <v>-0.0016738390716935104</v>
      </c>
      <c r="AZ24" s="16">
        <v>0.0000029274440962067963</v>
      </c>
      <c r="BA24" s="16">
        <v>0.000005070481910947722</v>
      </c>
      <c r="BB24" s="16">
        <v>-0.002743481882810395</v>
      </c>
      <c r="BC24" s="16">
        <v>0.0000035570019663587957</v>
      </c>
      <c r="BD24" s="16">
        <v>0.000006160908128355835</v>
      </c>
      <c r="BE24" s="16">
        <v>-0.0038131246939272787</v>
      </c>
      <c r="BF24" s="16">
        <v>0.000004186559836510794</v>
      </c>
      <c r="BG24" s="16">
        <v>0.000007251334345763946</v>
      </c>
      <c r="BH24" s="16">
        <v>-0.00648723172171949</v>
      </c>
      <c r="BI24" s="16">
        <v>0.000005760454511890793</v>
      </c>
      <c r="BJ24" s="16">
        <v>0.000009977399889284227</v>
      </c>
      <c r="BK24" s="16">
        <v>-0.0091613387495117</v>
      </c>
      <c r="BL24" s="16">
        <v>0.000007334349187270791</v>
      </c>
      <c r="BM24" s="16">
        <v>0.000012703465432804509</v>
      </c>
      <c r="BN24" s="16">
        <v>-0.01985776686068054</v>
      </c>
      <c r="BO24" s="16">
        <v>0.000013629927888790782</v>
      </c>
      <c r="BP24" s="16">
        <v>0.00002360772760688563</v>
      </c>
      <c r="BQ24" s="16">
        <v>-0.05</v>
      </c>
      <c r="BR24" s="16">
        <v>0</v>
      </c>
      <c r="BS24" s="16">
        <v>0</v>
      </c>
      <c r="BT24" s="45">
        <v>33981.43387592912</v>
      </c>
      <c r="BU24" s="45">
        <v>33981.43387592912</v>
      </c>
      <c r="BV24" s="45">
        <v>33858.008926913506</v>
      </c>
      <c r="BW24" s="45">
        <v>32881.28527068503</v>
      </c>
      <c r="BX24" s="45">
        <v>30862.420778163585</v>
      </c>
      <c r="BY24" s="45">
        <v>29545.977401892065</v>
      </c>
      <c r="BZ24" s="45">
        <v>27609.648492070977</v>
      </c>
      <c r="CA24" s="45">
        <v>25940.546929557837</v>
      </c>
      <c r="CB24" s="45">
        <v>22365.056293892365</v>
      </c>
      <c r="CC24" s="45">
        <v>19282.099301619695</v>
      </c>
      <c r="CD24" s="45">
        <v>16419.912862858284</v>
      </c>
      <c r="CE24" s="45">
        <v>13726.14402666004</v>
      </c>
      <c r="CF24" s="45">
        <v>9630.539386630138</v>
      </c>
      <c r="CG24" s="45">
        <v>7167.348146760594</v>
      </c>
      <c r="CH24" s="45">
        <v>5508.747972884244</v>
      </c>
      <c r="CI24" s="45">
        <v>4245.448163779906</v>
      </c>
      <c r="CJ24" s="45">
        <v>2368.9259532496335</v>
      </c>
      <c r="CK24" s="45">
        <v>1058.986334659224</v>
      </c>
      <c r="CL24" s="45">
        <v>-1196.8281060371623</v>
      </c>
      <c r="CM24" s="45">
        <v>-2637.701608428711</v>
      </c>
      <c r="CN24" s="45">
        <v>-4794.143648381746</v>
      </c>
      <c r="CO24" s="45">
        <v>-5790.583579096708</v>
      </c>
      <c r="CP24" s="45">
        <v>6.55418261885643e-13</v>
      </c>
      <c r="CQ24" s="45">
        <v>6.55418261885643e-13</v>
      </c>
      <c r="CR24" s="45">
        <v>35.78973637903496</v>
      </c>
      <c r="CS24" s="45">
        <v>269.47170084239775</v>
      </c>
      <c r="CT24" s="45">
        <v>712.7729967400338</v>
      </c>
      <c r="CU24" s="45">
        <v>981.7415451907975</v>
      </c>
      <c r="CV24" s="45">
        <v>1356.4043955543561</v>
      </c>
      <c r="CW24" s="45">
        <v>1654.9809739342713</v>
      </c>
      <c r="CX24" s="45">
        <v>2065.6607176110756</v>
      </c>
      <c r="CY24" s="45">
        <v>2293.7415307423275</v>
      </c>
      <c r="CZ24" s="45">
        <v>2487.291764485568</v>
      </c>
      <c r="DA24" s="45">
        <v>2613.1907890263437</v>
      </c>
      <c r="DB24" s="45">
        <v>2568.336069400564</v>
      </c>
      <c r="DC24" s="45">
        <v>2425.327025164202</v>
      </c>
      <c r="DD24" s="45">
        <v>2293.6033831874665</v>
      </c>
      <c r="DE24" s="45">
        <v>2174.928578914172</v>
      </c>
      <c r="DF24" s="45">
        <v>1970.1160644894323</v>
      </c>
      <c r="DG24" s="45">
        <v>1771.8188658267422</v>
      </c>
      <c r="DH24" s="45">
        <v>1356.7755011088157</v>
      </c>
      <c r="DI24" s="45">
        <v>1030.1210905064202</v>
      </c>
      <c r="DJ24" s="45">
        <v>370.7077571339184</v>
      </c>
      <c r="DK24" s="45">
        <v>0</v>
      </c>
      <c r="DL24" s="45">
        <v>-5.220063030719757e-12</v>
      </c>
      <c r="DM24" s="45">
        <v>-5.220063030719757e-12</v>
      </c>
      <c r="DN24" s="45">
        <v>76.68525933694781</v>
      </c>
      <c r="DO24" s="45">
        <v>617.9471514372192</v>
      </c>
      <c r="DP24" s="45">
        <v>1613.8491636516997</v>
      </c>
      <c r="DQ24" s="45">
        <v>2216.7307548428057</v>
      </c>
      <c r="DR24" s="45">
        <v>3062.6441574832743</v>
      </c>
      <c r="DS24" s="45">
        <v>3756.767842390123</v>
      </c>
      <c r="DT24" s="45">
        <v>4955.668609924965</v>
      </c>
      <c r="DU24" s="45">
        <v>5622.895415514314</v>
      </c>
      <c r="DV24" s="45">
        <v>6015.640819147438</v>
      </c>
      <c r="DW24" s="45">
        <v>6261.0453900840885</v>
      </c>
      <c r="DX24" s="45">
        <v>6292.813226473766</v>
      </c>
      <c r="DY24" s="45">
        <v>5982.638792869891</v>
      </c>
      <c r="DZ24" s="45">
        <v>5625.969198198719</v>
      </c>
      <c r="EA24" s="45">
        <v>5274.7791402349985</v>
      </c>
      <c r="EB24" s="45">
        <v>4562.167788043867</v>
      </c>
      <c r="EC24" s="45">
        <v>3949.8309751312704</v>
      </c>
      <c r="ED24" s="45">
        <v>2781.508261019259</v>
      </c>
      <c r="EE24" s="45">
        <v>1966.7823008591577</v>
      </c>
      <c r="EF24" s="45">
        <v>668.639815825191</v>
      </c>
      <c r="EG24" s="45">
        <v>5.960464477539062e-14</v>
      </c>
      <c r="EH24" s="46">
        <f>MAX(1,MIN(21,SUMPRODUCT(--($BT24:$CO24&gt;=Pu))))</f>
      </c>
      <c r="EI24" s="47">
        <f>(Pu-INDEX($BT24:$CO24,1,$EH24))/(INDEX($BT24:$CO24,1,$EH24+1)-INDEX($BT24:$CO24,1,$EH24))</f>
      </c>
      <c r="EJ24" s="39">
        <f>INDEX($CP24:$DK24,1,$EH24)+$EI24*(INDEX($CP24:$DK24,1,$EH24+1)-INDEX($CP24:$DK24,1,$EH24))</f>
      </c>
      <c r="EK24" s="39">
        <f>INDEX($DL24:$EG24,1,$EH24)+$EI24*(INDEX($DL24:$EG24,1,$EH24+1)-INDEX($DL24:$EG24,1,$EH24))</f>
      </c>
      <c r="EL24" s="39">
        <f>SQRT(EJ24^2+EK24^2)</f>
      </c>
      <c r="EM24" s="20">
        <f>EJ25-EJ24</f>
      </c>
      <c r="EN24" s="20">
        <f>EK25-EK24</f>
      </c>
      <c r="EO24" s="20">
        <f>EM24*SIN(RADIANS(theta_L))-EN24*COS(RADIANS(theta_L))</f>
      </c>
      <c r="EP24" s="47">
        <f>IF(EO24=0,"",-(EJ24*SIN(RADIANS(theta_L))-EK24*COS(RADIANS(theta_L)))/EO24)</f>
      </c>
      <c r="EQ24" s="20">
        <f>IF(EP24="","",(EJ24+EP24*EM24)*COS(RADIANS(theta_L))+(EK24+EP24*EN24)*SIN(RADIANS(theta_L)))</f>
      </c>
      <c r="ER24" s="20">
        <f>IF(OR(EP24="",EP24&lt;0,EP24&gt;1,EQ24&lt;0),"",EQ24)</f>
      </c>
    </row>
    <row r="25" spans="1:148" x14ac:dyDescent="0.25">
      <c r="A25">
        <v>18</v>
      </c>
      <c r="B25" s="44">
        <v>65</v>
      </c>
      <c r="C25" s="18">
        <v>848.7781449737672</v>
      </c>
      <c r="D25" s="18">
        <v>-743.0747737071317</v>
      </c>
      <c r="E25" s="18">
        <v>1591.852918680899</v>
      </c>
      <c r="F25" s="16">
        <v>0.0033</v>
      </c>
      <c r="G25" s="16">
        <v>0</v>
      </c>
      <c r="H25" s="16">
        <v>0</v>
      </c>
      <c r="I25" s="16">
        <v>0.00275</v>
      </c>
      <c r="J25" s="16">
        <v>2.738525318233408e-7</v>
      </c>
      <c r="K25" s="16">
        <v>5.872786496942184e-7</v>
      </c>
      <c r="L25" s="16">
        <v>0.0024749999999999998</v>
      </c>
      <c r="M25" s="16">
        <v>4.1077879773501105e-7</v>
      </c>
      <c r="N25" s="16">
        <v>8.809179745413274e-7</v>
      </c>
      <c r="O25" s="16">
        <v>0.0021999999999999997</v>
      </c>
      <c r="P25" s="16">
        <v>5.477050636466815e-7</v>
      </c>
      <c r="Q25" s="16">
        <v>0.0000011745572993884366</v>
      </c>
      <c r="R25" s="16">
        <v>0.0019249999999999998</v>
      </c>
      <c r="S25" s="16">
        <v>6.846313295583519e-7</v>
      </c>
      <c r="T25" s="16">
        <v>0.000001468196624235546</v>
      </c>
      <c r="U25" s="16">
        <v>0.0018000000000000002</v>
      </c>
      <c r="V25" s="16">
        <v>7.468705413363838e-7</v>
      </c>
      <c r="W25" s="16">
        <v>0.0000016016690446205952</v>
      </c>
      <c r="X25" s="16">
        <v>0.00165</v>
      </c>
      <c r="Y25" s="16">
        <v>8.215575954700221e-7</v>
      </c>
      <c r="Z25" s="16">
        <v>0.0000017618359490826548</v>
      </c>
      <c r="AA25" s="16">
        <v>0.0015404355040951427</v>
      </c>
      <c r="AB25" s="16">
        <v>8.761112583818281e-7</v>
      </c>
      <c r="AC25" s="16">
        <v>0.0000018788266567361682</v>
      </c>
      <c r="AD25" s="16">
        <v>0.001273834822897437</v>
      </c>
      <c r="AE25" s="16">
        <v>0.0000010088553884396808</v>
      </c>
      <c r="AF25" s="16">
        <v>0.000002163497362302254</v>
      </c>
      <c r="AG25" s="16">
        <v>0.001007234141699731</v>
      </c>
      <c r="AH25" s="16">
        <v>0.0000011415995184975336</v>
      </c>
      <c r="AI25" s="16">
        <v>0.0000024481680678683405</v>
      </c>
      <c r="AJ25" s="16">
        <v>0.0007406334605020255</v>
      </c>
      <c r="AK25" s="16">
        <v>0.0000012743436485553863</v>
      </c>
      <c r="AL25" s="16">
        <v>0.000002732838773434427</v>
      </c>
      <c r="AM25" s="16">
        <v>0.00047403277930431996</v>
      </c>
      <c r="AN25" s="16">
        <v>0.000001407087778613239</v>
      </c>
      <c r="AO25" s="16">
        <v>0.0000030175094790005125</v>
      </c>
      <c r="AP25" s="16">
        <v>-0.00005916858309109154</v>
      </c>
      <c r="AQ25" s="16">
        <v>0.0000016725760387289447</v>
      </c>
      <c r="AR25" s="16">
        <v>0.000003586850890132685</v>
      </c>
      <c r="AS25" s="16">
        <v>-0.0005923699454865026</v>
      </c>
      <c r="AT25" s="16">
        <v>0.00000193806429884465</v>
      </c>
      <c r="AU25" s="16">
        <v>0.000004156192301264857</v>
      </c>
      <c r="AV25" s="16">
        <v>-0.001125571307881914</v>
      </c>
      <c r="AW25" s="16">
        <v>0.0000022035525589603554</v>
      </c>
      <c r="AX25" s="16">
        <v>0.000004725533712397029</v>
      </c>
      <c r="AY25" s="16">
        <v>-0.0016587726702773252</v>
      </c>
      <c r="AZ25" s="16">
        <v>0.0000024690408190760605</v>
      </c>
      <c r="BA25" s="16">
        <v>0.000005294875123529201</v>
      </c>
      <c r="BB25" s="16">
        <v>-0.002725175395068148</v>
      </c>
      <c r="BC25" s="16">
        <v>0.000003000017339307472</v>
      </c>
      <c r="BD25" s="16">
        <v>0.000006433557945793546</v>
      </c>
      <c r="BE25" s="16">
        <v>-0.0037915781198589703</v>
      </c>
      <c r="BF25" s="16">
        <v>0.000003530993859538883</v>
      </c>
      <c r="BG25" s="16">
        <v>0.00000757224076805789</v>
      </c>
      <c r="BH25" s="16">
        <v>-0.006457584931836028</v>
      </c>
      <c r="BI25" s="16">
        <v>0.00000485843516011741</v>
      </c>
      <c r="BJ25" s="16">
        <v>0.000010418947823718751</v>
      </c>
      <c r="BK25" s="16">
        <v>-0.009123591743813084</v>
      </c>
      <c r="BL25" s="16">
        <v>0.000006185876460695938</v>
      </c>
      <c r="BM25" s="16">
        <v>0.000013265654879379612</v>
      </c>
      <c r="BN25" s="16">
        <v>-0.01978761899172131</v>
      </c>
      <c r="BO25" s="16">
        <v>0.000011495641663010046</v>
      </c>
      <c r="BP25" s="16">
        <v>0.000024652483102023057</v>
      </c>
      <c r="BQ25" s="16">
        <v>-0.05</v>
      </c>
      <c r="BR25" s="16">
        <v>0</v>
      </c>
      <c r="BS25" s="16">
        <v>0</v>
      </c>
      <c r="BT25" s="45">
        <v>33981.43387592912</v>
      </c>
      <c r="BU25" s="45">
        <v>33981.43387592912</v>
      </c>
      <c r="BV25" s="45">
        <v>33851.890107349245</v>
      </c>
      <c r="BW25" s="45">
        <v>32862.897453778714</v>
      </c>
      <c r="BX25" s="45">
        <v>30817.794198175365</v>
      </c>
      <c r="BY25" s="45">
        <v>29484.091975660336</v>
      </c>
      <c r="BZ25" s="45">
        <v>27536.31332309666</v>
      </c>
      <c r="CA25" s="45">
        <v>25924.06418959719</v>
      </c>
      <c r="CB25" s="45">
        <v>22321.624583035653</v>
      </c>
      <c r="CC25" s="45">
        <v>19321.513065750205</v>
      </c>
      <c r="CD25" s="45">
        <v>16486.768588287403</v>
      </c>
      <c r="CE25" s="45">
        <v>13793.536034395367</v>
      </c>
      <c r="CF25" s="45">
        <v>9675.846948635897</v>
      </c>
      <c r="CG25" s="45">
        <v>7300.267753234673</v>
      </c>
      <c r="CH25" s="45">
        <v>5672.073969627058</v>
      </c>
      <c r="CI25" s="45">
        <v>4457.857120917191</v>
      </c>
      <c r="CJ25" s="45">
        <v>2679.064753984452</v>
      </c>
      <c r="CK25" s="45">
        <v>1309.2851146697244</v>
      </c>
      <c r="CL25" s="45">
        <v>-993.3798637648681</v>
      </c>
      <c r="CM25" s="45">
        <v>-2509.4102857322896</v>
      </c>
      <c r="CN25" s="45">
        <v>-4786.79951628718</v>
      </c>
      <c r="CO25" s="45">
        <v>-5790.583579096708</v>
      </c>
      <c r="CP25" s="45">
        <v>6.55418261885643e-13</v>
      </c>
      <c r="CQ25" s="45">
        <v>6.55418261885643e-13</v>
      </c>
      <c r="CR25" s="45">
        <v>32.692657381335884</v>
      </c>
      <c r="CS25" s="45">
        <v>237.13494723118706</v>
      </c>
      <c r="CT25" s="45">
        <v>614.6484898501238</v>
      </c>
      <c r="CU25" s="45">
        <v>837.0412459240441</v>
      </c>
      <c r="CV25" s="45">
        <v>1155.9336190289146</v>
      </c>
      <c r="CW25" s="45">
        <v>1401.5628212159268</v>
      </c>
      <c r="CX25" s="45">
        <v>1717.5056996258206</v>
      </c>
      <c r="CY25" s="45">
        <v>1893.8684604382652</v>
      </c>
      <c r="CZ25" s="45">
        <v>2054.3154495560484</v>
      </c>
      <c r="DA25" s="45">
        <v>2162.7341330993513</v>
      </c>
      <c r="DB25" s="45">
        <v>2124.6487238515033</v>
      </c>
      <c r="DC25" s="45">
        <v>2009.7891142963965</v>
      </c>
      <c r="DD25" s="45">
        <v>1906.2407332339515</v>
      </c>
      <c r="DE25" s="45">
        <v>1837.5698608659816</v>
      </c>
      <c r="DF25" s="45">
        <v>1706.622557419986</v>
      </c>
      <c r="DG25" s="45">
        <v>1556.5849591674928</v>
      </c>
      <c r="DH25" s="45">
        <v>1212.91133081441</v>
      </c>
      <c r="DI25" s="45">
        <v>955.748170700308</v>
      </c>
      <c r="DJ25" s="45">
        <v>350.70030051746284</v>
      </c>
      <c r="DK25" s="45">
        <v>0</v>
      </c>
      <c r="DL25" s="45">
        <v>-5.220063030719757e-12</v>
      </c>
      <c r="DM25" s="45">
        <v>-5.220063030719757e-12</v>
      </c>
      <c r="DN25" s="45">
        <v>82.33861916322861</v>
      </c>
      <c r="DO25" s="45">
        <v>647.9092866125001</v>
      </c>
      <c r="DP25" s="45">
        <v>1692.6616037578053</v>
      </c>
      <c r="DQ25" s="45">
        <v>2327.5948475904856</v>
      </c>
      <c r="DR25" s="45">
        <v>3213.7606962584828</v>
      </c>
      <c r="DS25" s="45">
        <v>3911.0207372335694</v>
      </c>
      <c r="DT25" s="45">
        <v>5170.794245629489</v>
      </c>
      <c r="DU25" s="45">
        <v>5829.779667889454</v>
      </c>
      <c r="DV25" s="45">
        <v>6232.346392925101</v>
      </c>
      <c r="DW25" s="45">
        <v>6494.002647959533</v>
      </c>
      <c r="DX25" s="45">
        <v>6543.172707811378</v>
      </c>
      <c r="DY25" s="45">
        <v>6247.403052316489</v>
      </c>
      <c r="DZ25" s="45">
        <v>5912.813183691911</v>
      </c>
      <c r="EA25" s="45">
        <v>5552.196806487333</v>
      </c>
      <c r="EB25" s="45">
        <v>4864.648889086681</v>
      </c>
      <c r="EC25" s="45">
        <v>4226.972863683784</v>
      </c>
      <c r="ED25" s="45">
        <v>2989.0210443894216</v>
      </c>
      <c r="EE25" s="45">
        <v>2092.6705227141792</v>
      </c>
      <c r="EF25" s="45">
        <v>682.5151521318304</v>
      </c>
      <c r="EG25" s="45">
        <v>5.960464477539062e-14</v>
      </c>
      <c r="EH25" s="46">
        <f>MAX(1,MIN(21,SUMPRODUCT(--($BT25:$CO25&gt;=Pu))))</f>
      </c>
      <c r="EI25" s="47">
        <f>(Pu-INDEX($BT25:$CO25,1,$EH25))/(INDEX($BT25:$CO25,1,$EH25+1)-INDEX($BT25:$CO25,1,$EH25))</f>
      </c>
      <c r="EJ25" s="39">
        <f>INDEX($CP25:$DK25,1,$EH25)+$EI25*(INDEX($CP25:$DK25,1,$EH25+1)-INDEX($CP25:$DK25,1,$EH25))</f>
      </c>
      <c r="EK25" s="39">
        <f>INDEX($DL25:$EG25,1,$EH25)+$EI25*(INDEX($DL25:$EG25,1,$EH25+1)-INDEX($DL25:$EG25,1,$EH25))</f>
      </c>
      <c r="EL25" s="39">
        <f>SQRT(EJ25^2+EK25^2)</f>
      </c>
      <c r="EM25" s="20">
        <f>EJ26-EJ25</f>
      </c>
      <c r="EN25" s="20">
        <f>EK26-EK25</f>
      </c>
      <c r="EO25" s="20">
        <f>EM25*SIN(RADIANS(theta_L))-EN25*COS(RADIANS(theta_L))</f>
      </c>
      <c r="EP25" s="47">
        <f>IF(EO25=0,"",-(EJ25*SIN(RADIANS(theta_L))-EK25*COS(RADIANS(theta_L)))/EO25)</f>
      </c>
      <c r="EQ25" s="20">
        <f>IF(EP25="","",(EJ25+EP25*EM25)*COS(RADIANS(theta_L))+(EK25+EP25*EN25)*SIN(RADIANS(theta_L)))</f>
      </c>
      <c r="ER25" s="20">
        <f>IF(OR(EP25="",EP25&lt;0,EP25&gt;1,EQ25&lt;0),"",EQ25)</f>
      </c>
    </row>
    <row r="26" spans="1:148" x14ac:dyDescent="0.25">
      <c r="A26">
        <v>19</v>
      </c>
      <c r="B26" s="44">
        <v>70</v>
      </c>
      <c r="C26" s="18">
        <v>841.5775229196987</v>
      </c>
      <c r="D26" s="18">
        <v>-741.5970251321183</v>
      </c>
      <c r="E26" s="18">
        <v>1583.174548051817</v>
      </c>
      <c r="F26" s="16">
        <v>0.0033</v>
      </c>
      <c r="G26" s="16">
        <v>0</v>
      </c>
      <c r="H26" s="16">
        <v>0</v>
      </c>
      <c r="I26" s="16">
        <v>0.00275</v>
      </c>
      <c r="J26" s="16">
        <v>2.2352198544526355e-7</v>
      </c>
      <c r="K26" s="16">
        <v>6.141216077625262e-7</v>
      </c>
      <c r="L26" s="16">
        <v>0.0024749999999999998</v>
      </c>
      <c r="M26" s="16">
        <v>3.352829781678953e-7</v>
      </c>
      <c r="N26" s="16">
        <v>9.211824116437892e-7</v>
      </c>
      <c r="O26" s="16">
        <v>0.0021999999999999997</v>
      </c>
      <c r="P26" s="16">
        <v>4.470439708905271e-7</v>
      </c>
      <c r="Q26" s="16">
        <v>0.0000012282432155250523</v>
      </c>
      <c r="R26" s="16">
        <v>0.001925</v>
      </c>
      <c r="S26" s="16">
        <v>5.58804963613159e-7</v>
      </c>
      <c r="T26" s="16">
        <v>0.0000015353040194063154</v>
      </c>
      <c r="U26" s="16">
        <v>0.0018000000000000002</v>
      </c>
      <c r="V26" s="16">
        <v>6.096054148507187e-7</v>
      </c>
      <c r="W26" s="16">
        <v>0.0000016748771120796167</v>
      </c>
      <c r="X26" s="16">
        <v>0.00165</v>
      </c>
      <c r="Y26" s="16">
        <v>6.705659563357906e-7</v>
      </c>
      <c r="Z26" s="16">
        <v>0.0000018423648232875784</v>
      </c>
      <c r="AA26" s="16">
        <v>0.0015457993472340055</v>
      </c>
      <c r="AB26" s="16">
        <v>7.129134777738772e-7</v>
      </c>
      <c r="AC26" s="16">
        <v>0.0000019587136822085915</v>
      </c>
      <c r="AD26" s="16">
        <v>0.0012800113695421883</v>
      </c>
      <c r="AE26" s="16">
        <v>8.209306713759797e-7</v>
      </c>
      <c r="AF26" s="16">
        <v>0.0000022554884825432266</v>
      </c>
      <c r="AG26" s="16">
        <v>0.0010142233918503706</v>
      </c>
      <c r="AH26" s="16">
        <v>9.289478649780824e-7</v>
      </c>
      <c r="AI26" s="16">
        <v>0.000002552263282877862</v>
      </c>
      <c r="AJ26" s="16">
        <v>0.0007484354141585529</v>
      </c>
      <c r="AK26" s="16">
        <v>0.000001036965058580185</v>
      </c>
      <c r="AL26" s="16">
        <v>0.000002849038083212497</v>
      </c>
      <c r="AM26" s="16">
        <v>0.00048264743646673613</v>
      </c>
      <c r="AN26" s="16">
        <v>0.0000011449822521822875</v>
      </c>
      <c r="AO26" s="16">
        <v>0.000003145812883547132</v>
      </c>
      <c r="AP26" s="16">
        <v>-0.00004892851891689833</v>
      </c>
      <c r="AQ26" s="16">
        <v>0.0000013610166393864927</v>
      </c>
      <c r="AR26" s="16">
        <v>0.000003739362484216402</v>
      </c>
      <c r="AS26" s="16">
        <v>-0.0005805044743005328</v>
      </c>
      <c r="AT26" s="16">
        <v>0.0000015770510265906978</v>
      </c>
      <c r="AU26" s="16">
        <v>0.000004332912084885672</v>
      </c>
      <c r="AV26" s="16">
        <v>-0.0011120804296841681</v>
      </c>
      <c r="AW26" s="16">
        <v>0.0000017930854137949033</v>
      </c>
      <c r="AX26" s="16">
        <v>0.000004926461685554943</v>
      </c>
      <c r="AY26" s="16">
        <v>-0.0016436563850678017</v>
      </c>
      <c r="AZ26" s="16">
        <v>0.000002009119800999108</v>
      </c>
      <c r="BA26" s="16">
        <v>0.000005520011286224212</v>
      </c>
      <c r="BB26" s="16">
        <v>-0.0027068082958350724</v>
      </c>
      <c r="BC26" s="16">
        <v>0.0000024411885754075188</v>
      </c>
      <c r="BD26" s="16">
        <v>0.000006707110487562754</v>
      </c>
      <c r="BE26" s="16">
        <v>-0.0037699602066023413</v>
      </c>
      <c r="BF26" s="16">
        <v>0.0000028732573498159293</v>
      </c>
      <c r="BG26" s="16">
        <v>0.000007894209688901294</v>
      </c>
      <c r="BH26" s="16">
        <v>-0.006427839983520515</v>
      </c>
      <c r="BI26" s="16">
        <v>0.000003953429285836955</v>
      </c>
      <c r="BJ26" s="16">
        <v>0.000010861957692247645</v>
      </c>
      <c r="BK26" s="16">
        <v>-0.009085719760438687</v>
      </c>
      <c r="BL26" s="16">
        <v>0.000005033601221857981</v>
      </c>
      <c r="BM26" s="16">
        <v>0.000013829705695593996</v>
      </c>
      <c r="BN26" s="16">
        <v>-0.01971723886811138</v>
      </c>
      <c r="BO26" s="16">
        <v>0.000009354288965942085</v>
      </c>
      <c r="BP26" s="16">
        <v>0.0000257006977089794</v>
      </c>
      <c r="BQ26" s="16">
        <v>-0.05</v>
      </c>
      <c r="BR26" s="16">
        <v>0</v>
      </c>
      <c r="BS26" s="16">
        <v>0</v>
      </c>
      <c r="BT26" s="45">
        <v>33981.43387592912</v>
      </c>
      <c r="BU26" s="45">
        <v>33981.43387592912</v>
      </c>
      <c r="BV26" s="45">
        <v>33836.34804643079</v>
      </c>
      <c r="BW26" s="45">
        <v>32825.41073445812</v>
      </c>
      <c r="BX26" s="45">
        <v>30736.23781218096</v>
      </c>
      <c r="BY26" s="45">
        <v>29379.98691898861</v>
      </c>
      <c r="BZ26" s="45">
        <v>27414.14035528285</v>
      </c>
      <c r="CA26" s="45">
        <v>25849.92906629291</v>
      </c>
      <c r="CB26" s="45">
        <v>22255.619125350004</v>
      </c>
      <c r="CC26" s="45">
        <v>19344.177995447084</v>
      </c>
      <c r="CD26" s="45">
        <v>16541.518850913104</v>
      </c>
      <c r="CE26" s="45">
        <v>13848.349619090231</v>
      </c>
      <c r="CF26" s="45">
        <v>9770.70396721421</v>
      </c>
      <c r="CG26" s="45">
        <v>7424.225954141329</v>
      </c>
      <c r="CH26" s="45">
        <v>5858.7897272436885</v>
      </c>
      <c r="CI26" s="45">
        <v>4737.414659634635</v>
      </c>
      <c r="CJ26" s="45">
        <v>3042.1507553788774</v>
      </c>
      <c r="CK26" s="45">
        <v>1690.3730062034726</v>
      </c>
      <c r="CL26" s="45">
        <v>-654.457682446253</v>
      </c>
      <c r="CM26" s="45">
        <v>-2196.6426200522883</v>
      </c>
      <c r="CN26" s="45">
        <v>-4678.162413345976</v>
      </c>
      <c r="CO26" s="45">
        <v>-5790.583579096708</v>
      </c>
      <c r="CP26" s="45">
        <v>6.55418261885643e-13</v>
      </c>
      <c r="CQ26" s="45">
        <v>6.55418261885643e-13</v>
      </c>
      <c r="CR26" s="45">
        <v>27.19737474406521</v>
      </c>
      <c r="CS26" s="45">
        <v>198.56493352020783</v>
      </c>
      <c r="CT26" s="45">
        <v>507.06669233175256</v>
      </c>
      <c r="CU26" s="45">
        <v>693.2985261889228</v>
      </c>
      <c r="CV26" s="45">
        <v>953.4930739231036</v>
      </c>
      <c r="CW26" s="45">
        <v>1138.5017574635615</v>
      </c>
      <c r="CX26" s="45">
        <v>1371.395385952342</v>
      </c>
      <c r="CY26" s="45">
        <v>1504.75807543784</v>
      </c>
      <c r="CZ26" s="45">
        <v>1632.5943124053829</v>
      </c>
      <c r="DA26" s="45">
        <v>1726.4785090368864</v>
      </c>
      <c r="DB26" s="45">
        <v>1701.4292899679006</v>
      </c>
      <c r="DC26" s="45">
        <v>1603.7739535741578</v>
      </c>
      <c r="DD26" s="45">
        <v>1516.9745826044277</v>
      </c>
      <c r="DE26" s="45">
        <v>1467.9492960438572</v>
      </c>
      <c r="DF26" s="45">
        <v>1402.6339641960978</v>
      </c>
      <c r="DG26" s="45">
        <v>1328.8119834969286</v>
      </c>
      <c r="DH26" s="45">
        <v>1065.030333228197</v>
      </c>
      <c r="DI26" s="45">
        <v>843.8934420595334</v>
      </c>
      <c r="DJ26" s="45">
        <v>345.9890205099358</v>
      </c>
      <c r="DK26" s="45">
        <v>0</v>
      </c>
      <c r="DL26" s="45">
        <v>-5.220063030719757e-12</v>
      </c>
      <c r="DM26" s="45">
        <v>-5.220063030719757e-12</v>
      </c>
      <c r="DN26" s="45">
        <v>94.3381126276373</v>
      </c>
      <c r="DO26" s="45">
        <v>686.5205954627518</v>
      </c>
      <c r="DP26" s="45">
        <v>1782.7733200694877</v>
      </c>
      <c r="DQ26" s="45">
        <v>2445.2371199646673</v>
      </c>
      <c r="DR26" s="45">
        <v>3374.8920141652175</v>
      </c>
      <c r="DS26" s="45">
        <v>4072.0022276578943</v>
      </c>
      <c r="DT26" s="45">
        <v>5365.227351448006</v>
      </c>
      <c r="DU26" s="45">
        <v>6005.804850623931</v>
      </c>
      <c r="DV26" s="45">
        <v>6408.5008469370705</v>
      </c>
      <c r="DW26" s="45">
        <v>6683.305584915304</v>
      </c>
      <c r="DX26" s="45">
        <v>6731.608852784827</v>
      </c>
      <c r="DY26" s="45">
        <v>6467.808582064206</v>
      </c>
      <c r="DZ26" s="45">
        <v>6165.601153452135</v>
      </c>
      <c r="EA26" s="45">
        <v>5830.997539309641</v>
      </c>
      <c r="EB26" s="45">
        <v>5179.519497675735</v>
      </c>
      <c r="EC26" s="45">
        <v>4552.8161984944</v>
      </c>
      <c r="ED26" s="45">
        <v>3271.1702599225646</v>
      </c>
      <c r="EE26" s="45">
        <v>2341.561199356002</v>
      </c>
      <c r="EF26" s="45">
        <v>764.1509477946122</v>
      </c>
      <c r="EG26" s="45">
        <v>5.960464477539062e-14</v>
      </c>
      <c r="EH26" s="46">
        <f>MAX(1,MIN(21,SUMPRODUCT(--($BT26:$CO26&gt;=Pu))))</f>
      </c>
      <c r="EI26" s="47">
        <f>(Pu-INDEX($BT26:$CO26,1,$EH26))/(INDEX($BT26:$CO26,1,$EH26+1)-INDEX($BT26:$CO26,1,$EH26))</f>
      </c>
      <c r="EJ26" s="39">
        <f>INDEX($CP26:$DK26,1,$EH26)+$EI26*(INDEX($CP26:$DK26,1,$EH26+1)-INDEX($CP26:$DK26,1,$EH26))</f>
      </c>
      <c r="EK26" s="39">
        <f>INDEX($DL26:$EG26,1,$EH26)+$EI26*(INDEX($DL26:$EG26,1,$EH26+1)-INDEX($DL26:$EG26,1,$EH26))</f>
      </c>
      <c r="EL26" s="39">
        <f>SQRT(EJ26^2+EK26^2)</f>
      </c>
      <c r="EM26" s="20">
        <f>EJ27-EJ26</f>
      </c>
      <c r="EN26" s="20">
        <f>EK27-EK26</f>
      </c>
      <c r="EO26" s="20">
        <f>EM26*SIN(RADIANS(theta_L))-EN26*COS(RADIANS(theta_L))</f>
      </c>
      <c r="EP26" s="47">
        <f>IF(EO26=0,"",-(EJ26*SIN(RADIANS(theta_L))-EK26*COS(RADIANS(theta_L)))/EO26)</f>
      </c>
      <c r="EQ26" s="20">
        <f>IF(EP26="","",(EJ26+EP26*EM26)*COS(RADIANS(theta_L))+(EK26+EP26*EN26)*SIN(RADIANS(theta_L)))</f>
      </c>
      <c r="ER26" s="20">
        <f>IF(OR(EP26="",EP26&lt;0,EP26&gt;1,EQ26&lt;0),"",EQ26)</f>
      </c>
    </row>
    <row r="27" spans="1:148" x14ac:dyDescent="0.25">
      <c r="A27">
        <v>20</v>
      </c>
      <c r="B27" s="44">
        <v>74.99999999999999</v>
      </c>
      <c r="C27" s="18">
        <v>827.9719877578095</v>
      </c>
      <c r="D27" s="18">
        <v>-734.4752754073227</v>
      </c>
      <c r="E27" s="18">
        <v>1562.4472631651322</v>
      </c>
      <c r="F27" s="16">
        <v>0.0033</v>
      </c>
      <c r="G27" s="16">
        <v>0</v>
      </c>
      <c r="H27" s="16">
        <v>0</v>
      </c>
      <c r="I27" s="16">
        <v>0.00275</v>
      </c>
      <c r="J27" s="16">
        <v>1.7192667978041005e-7</v>
      </c>
      <c r="K27" s="16">
        <v>6.416391041171145e-7</v>
      </c>
      <c r="L27" s="16">
        <v>0.0024749999999999998</v>
      </c>
      <c r="M27" s="16">
        <v>2.578900196706151e-7</v>
      </c>
      <c r="N27" s="16">
        <v>9.62458656175672e-7</v>
      </c>
      <c r="O27" s="16">
        <v>0.0022</v>
      </c>
      <c r="P27" s="16">
        <v>3.4385335956082015e-7</v>
      </c>
      <c r="Q27" s="16">
        <v>0.0000012832782082342292</v>
      </c>
      <c r="R27" s="16">
        <v>0.001925</v>
      </c>
      <c r="S27" s="16">
        <v>4.298166994510252e-7</v>
      </c>
      <c r="T27" s="16">
        <v>0.0000016040977602927866</v>
      </c>
      <c r="U27" s="16">
        <v>0.0018000000000000002</v>
      </c>
      <c r="V27" s="16">
        <v>4.688909448556638e-7</v>
      </c>
      <c r="W27" s="16">
        <v>0.0000017499248294103124</v>
      </c>
      <c r="X27" s="16">
        <v>0.00165</v>
      </c>
      <c r="Y27" s="16">
        <v>5.157800393412302e-7</v>
      </c>
      <c r="Z27" s="16">
        <v>0.000001924917312351344</v>
      </c>
      <c r="AA27" s="16">
        <v>0.0015512641392671448</v>
      </c>
      <c r="AB27" s="16">
        <v>5.466442733613407e-7</v>
      </c>
      <c r="AC27" s="16">
        <v>0.000002040104201851092</v>
      </c>
      <c r="AD27" s="16">
        <v>0.0012863041603682272</v>
      </c>
      <c r="AE27" s="16">
        <v>6.294691632645741e-7</v>
      </c>
      <c r="AF27" s="16">
        <v>0.0000023492108991012574</v>
      </c>
      <c r="AG27" s="16">
        <v>0.0010213441814693096</v>
      </c>
      <c r="AH27" s="16">
        <v>7.122940531678076e-7</v>
      </c>
      <c r="AI27" s="16">
        <v>0.000002658317596351423</v>
      </c>
      <c r="AJ27" s="16">
        <v>0.000756384202570392</v>
      </c>
      <c r="AK27" s="16">
        <v>7.951189430710411e-7</v>
      </c>
      <c r="AL27" s="16">
        <v>0.0000029674242936015887</v>
      </c>
      <c r="AM27" s="16">
        <v>0.0004914242236714749</v>
      </c>
      <c r="AN27" s="16">
        <v>8.779438329742745e-7</v>
      </c>
      <c r="AO27" s="16">
        <v>0.0000032765309908517537</v>
      </c>
      <c r="AP27" s="16">
        <v>-0.00003849573412636033</v>
      </c>
      <c r="AQ27" s="16">
        <v>0.0000010435936127807414</v>
      </c>
      <c r="AR27" s="16">
        <v>0.000003894744385352085</v>
      </c>
      <c r="AS27" s="16">
        <v>-0.0005684156919241947</v>
      </c>
      <c r="AT27" s="16">
        <v>0.0000012092433925872082</v>
      </c>
      <c r="AU27" s="16">
        <v>0.000004512957779852415</v>
      </c>
      <c r="AV27" s="16">
        <v>-0.0010983356497220303</v>
      </c>
      <c r="AW27" s="16">
        <v>0.0000013748931723936753</v>
      </c>
      <c r="AX27" s="16">
        <v>0.000005131171174352747</v>
      </c>
      <c r="AY27" s="16">
        <v>-0.0016282556075198646</v>
      </c>
      <c r="AZ27" s="16">
        <v>0.0000015405429522001419</v>
      </c>
      <c r="BA27" s="16">
        <v>0.000005749384568853077</v>
      </c>
      <c r="BB27" s="16">
        <v>-0.002688095523115535</v>
      </c>
      <c r="BC27" s="16">
        <v>0.000001871842511813076</v>
      </c>
      <c r="BD27" s="16">
        <v>0.00000698581135785374</v>
      </c>
      <c r="BE27" s="16">
        <v>-0.0037479354387112036</v>
      </c>
      <c r="BF27" s="16">
        <v>0.0000022031420714260093</v>
      </c>
      <c r="BG27" s="16">
        <v>0.0000082222381468544</v>
      </c>
      <c r="BH27" s="16">
        <v>-0.00639753522770038</v>
      </c>
      <c r="BI27" s="16">
        <v>0.0000030313909704583443</v>
      </c>
      <c r="BJ27" s="16">
        <v>0.000011313305119356056</v>
      </c>
      <c r="BK27" s="16">
        <v>-0.009047135016689554</v>
      </c>
      <c r="BL27" s="16">
        <v>0.0000038596398694906785</v>
      </c>
      <c r="BM27" s="16">
        <v>0.00001440437209185771</v>
      </c>
      <c r="BN27" s="16">
        <v>-0.01964553417264625</v>
      </c>
      <c r="BO27" s="16">
        <v>0.000007172635465620015</v>
      </c>
      <c r="BP27" s="16">
        <v>0.000026768639981864326</v>
      </c>
      <c r="BQ27" s="16">
        <v>-0.05</v>
      </c>
      <c r="BR27" s="16">
        <v>0</v>
      </c>
      <c r="BS27" s="16">
        <v>0</v>
      </c>
      <c r="BT27" s="45">
        <v>33981.43387592912</v>
      </c>
      <c r="BU27" s="45">
        <v>33981.43387592912</v>
      </c>
      <c r="BV27" s="45">
        <v>33818.407183330964</v>
      </c>
      <c r="BW27" s="45">
        <v>32769.77922514491</v>
      </c>
      <c r="BX27" s="45">
        <v>30624.34140557184</v>
      </c>
      <c r="BY27" s="45">
        <v>29239.84805927401</v>
      </c>
      <c r="BZ27" s="45">
        <v>27219.376769186496</v>
      </c>
      <c r="CA27" s="45">
        <v>25715.53592304179</v>
      </c>
      <c r="CB27" s="45">
        <v>22178.69567578829</v>
      </c>
      <c r="CC27" s="45">
        <v>19344.445001310334</v>
      </c>
      <c r="CD27" s="45">
        <v>16591.394507266497</v>
      </c>
      <c r="CE27" s="45">
        <v>13902.27678530053</v>
      </c>
      <c r="CF27" s="45">
        <v>9868.130053874122</v>
      </c>
      <c r="CG27" s="45">
        <v>7517.996538712652</v>
      </c>
      <c r="CH27" s="45">
        <v>6081.53841141676</v>
      </c>
      <c r="CI27" s="45">
        <v>5009.943494147347</v>
      </c>
      <c r="CJ27" s="45">
        <v>3415.688431949734</v>
      </c>
      <c r="CK27" s="45">
        <v>2190.562636752962</v>
      </c>
      <c r="CL27" s="45">
        <v>-129.4352612332818</v>
      </c>
      <c r="CM27" s="45">
        <v>-1741.7202197219626</v>
      </c>
      <c r="CN27" s="45">
        <v>-4510.7110629779345</v>
      </c>
      <c r="CO27" s="45">
        <v>-5790.583579096708</v>
      </c>
      <c r="CP27" s="45">
        <v>6.55418261885643e-13</v>
      </c>
      <c r="CQ27" s="45">
        <v>6.55418261885643e-13</v>
      </c>
      <c r="CR27" s="45">
        <v>21.368787890876632</v>
      </c>
      <c r="CS27" s="45">
        <v>156.81623063216742</v>
      </c>
      <c r="CT27" s="45">
        <v>395.0663209022009</v>
      </c>
      <c r="CU27" s="45">
        <v>542.208528917673</v>
      </c>
      <c r="CV27" s="45">
        <v>742.2731559088495</v>
      </c>
      <c r="CW27" s="45">
        <v>873.6733742801331</v>
      </c>
      <c r="CX27" s="45">
        <v>1025.4068104024861</v>
      </c>
      <c r="CY27" s="45">
        <v>1120.2327475234565</v>
      </c>
      <c r="CZ27" s="45">
        <v>1222.5933898034837</v>
      </c>
      <c r="DA27" s="45">
        <v>1297.5633454191297</v>
      </c>
      <c r="DB27" s="45">
        <v>1289.5200939282774</v>
      </c>
      <c r="DC27" s="45">
        <v>1200.6197494335495</v>
      </c>
      <c r="DD27" s="45">
        <v>1127.9695537279474</v>
      </c>
      <c r="DE27" s="45">
        <v>1085.5792056926214</v>
      </c>
      <c r="DF27" s="45">
        <v>1072.5425514524577</v>
      </c>
      <c r="DG27" s="45">
        <v>1042.2648888063243</v>
      </c>
      <c r="DH27" s="45">
        <v>886.2079085439353</v>
      </c>
      <c r="DI27" s="45">
        <v>711.7044912624049</v>
      </c>
      <c r="DJ27" s="45">
        <v>355.2697780564691</v>
      </c>
      <c r="DK27" s="45">
        <v>0</v>
      </c>
      <c r="DL27" s="45">
        <v>-5.220063030719757e-12</v>
      </c>
      <c r="DM27" s="45">
        <v>-5.220063030719757e-12</v>
      </c>
      <c r="DN27" s="45">
        <v>107.9312998552732</v>
      </c>
      <c r="DO27" s="45">
        <v>732.8334109523202</v>
      </c>
      <c r="DP27" s="45">
        <v>1883.4966022565118</v>
      </c>
      <c r="DQ27" s="45">
        <v>2576.1460512487793</v>
      </c>
      <c r="DR27" s="45">
        <v>3546.5819020857916</v>
      </c>
      <c r="DS27" s="45">
        <v>4238.781903175671</v>
      </c>
      <c r="DT27" s="45">
        <v>5536.430944124314</v>
      </c>
      <c r="DU27" s="45">
        <v>6151.0916753733845</v>
      </c>
      <c r="DV27" s="45">
        <v>6552.682756245404</v>
      </c>
      <c r="DW27" s="45">
        <v>6841.756781317871</v>
      </c>
      <c r="DX27" s="45">
        <v>6876.649513681551</v>
      </c>
      <c r="DY27" s="45">
        <v>6638.921445308932</v>
      </c>
      <c r="DZ27" s="45">
        <v>6368.69941853878</v>
      </c>
      <c r="EA27" s="45">
        <v>6080.440256820963</v>
      </c>
      <c r="EB27" s="45">
        <v>5484.125536749857</v>
      </c>
      <c r="EC27" s="45">
        <v>4917.907324307735</v>
      </c>
      <c r="ED27" s="45">
        <v>3659.215107917817</v>
      </c>
      <c r="EE27" s="45">
        <v>2685.3897889052914</v>
      </c>
      <c r="EF27" s="45">
        <v>884.66815360741</v>
      </c>
      <c r="EG27" s="45">
        <v>5.960464477539062e-14</v>
      </c>
      <c r="EH27" s="46">
        <f>MAX(1,MIN(21,SUMPRODUCT(--($BT27:$CO27&gt;=Pu))))</f>
      </c>
      <c r="EI27" s="47">
        <f>(Pu-INDEX($BT27:$CO27,1,$EH27))/(INDEX($BT27:$CO27,1,$EH27+1)-INDEX($BT27:$CO27,1,$EH27))</f>
      </c>
      <c r="EJ27" s="39">
        <f>INDEX($CP27:$DK27,1,$EH27)+$EI27*(INDEX($CP27:$DK27,1,$EH27+1)-INDEX($CP27:$DK27,1,$EH27))</f>
      </c>
      <c r="EK27" s="39">
        <f>INDEX($DL27:$EG27,1,$EH27)+$EI27*(INDEX($DL27:$EG27,1,$EH27+1)-INDEX($DL27:$EG27,1,$EH27))</f>
      </c>
      <c r="EL27" s="39">
        <f>SQRT(EJ27^2+EK27^2)</f>
      </c>
      <c r="EM27" s="20">
        <f>EJ28-EJ27</f>
      </c>
      <c r="EN27" s="20">
        <f>EK28-EK27</f>
      </c>
      <c r="EO27" s="20">
        <f>EM27*SIN(RADIANS(theta_L))-EN27*COS(RADIANS(theta_L))</f>
      </c>
      <c r="EP27" s="47">
        <f>IF(EO27=0,"",-(EJ27*SIN(RADIANS(theta_L))-EK27*COS(RADIANS(theta_L)))/EO27)</f>
      </c>
      <c r="EQ27" s="20">
        <f>IF(EP27="","",(EJ27+EP27*EM27)*COS(RADIANS(theta_L))+(EK27+EP27*EN27)*SIN(RADIANS(theta_L)))</f>
      </c>
      <c r="ER27" s="20">
        <f>IF(OR(EP27="",EP27&lt;0,EP27&gt;1,EQ27&lt;0),"",EQ27)</f>
      </c>
    </row>
    <row r="28" spans="1:148" x14ac:dyDescent="0.25">
      <c r="A28">
        <v>21</v>
      </c>
      <c r="B28" s="44">
        <v>80</v>
      </c>
      <c r="C28" s="18">
        <v>808.0650858259282</v>
      </c>
      <c r="D28" s="18">
        <v>-721.7637253483806</v>
      </c>
      <c r="E28" s="18">
        <v>1529.8288111743088</v>
      </c>
      <c r="F28" s="16">
        <v>0.0033</v>
      </c>
      <c r="G28" s="16">
        <v>0</v>
      </c>
      <c r="H28" s="16">
        <v>0</v>
      </c>
      <c r="I28" s="16">
        <v>0.00275</v>
      </c>
      <c r="J28" s="16">
        <v>1.1819159049446365e-7</v>
      </c>
      <c r="K28" s="16">
        <v>6.702978184029527e-7</v>
      </c>
      <c r="L28" s="16">
        <v>0.0024749999999999998</v>
      </c>
      <c r="M28" s="16">
        <v>1.772873857416955e-7</v>
      </c>
      <c r="N28" s="16">
        <v>0.000001005446727604429</v>
      </c>
      <c r="O28" s="16">
        <v>0.0021999999999999997</v>
      </c>
      <c r="P28" s="16">
        <v>2.363831809889273e-7</v>
      </c>
      <c r="Q28" s="16">
        <v>0.0000013405956368059054</v>
      </c>
      <c r="R28" s="16">
        <v>0.001925</v>
      </c>
      <c r="S28" s="16">
        <v>2.954789762361591e-7</v>
      </c>
      <c r="T28" s="16">
        <v>0.0000016757445460073818</v>
      </c>
      <c r="U28" s="16">
        <v>0.0018</v>
      </c>
      <c r="V28" s="16">
        <v>3.223407013485372e-7</v>
      </c>
      <c r="W28" s="16">
        <v>0.0000018280849592807799</v>
      </c>
      <c r="X28" s="16">
        <v>0.0016499999999999998</v>
      </c>
      <c r="Y28" s="16">
        <v>3.54574771483391e-7</v>
      </c>
      <c r="Z28" s="16">
        <v>0.000002010893455208858</v>
      </c>
      <c r="AA28" s="16">
        <v>0.001556919490764036</v>
      </c>
      <c r="AB28" s="16">
        <v>3.74577195902724e-7</v>
      </c>
      <c r="AC28" s="16">
        <v>0.000002124332841166499</v>
      </c>
      <c r="AD28" s="16">
        <v>0.0012928163833040417</v>
      </c>
      <c r="AE28" s="16">
        <v>4.313313164940458e-7</v>
      </c>
      <c r="AF28" s="16">
        <v>0.0000024462014534644528</v>
      </c>
      <c r="AG28" s="16">
        <v>0.0010287132758440474</v>
      </c>
      <c r="AH28" s="16">
        <v>4.880854370853675e-7</v>
      </c>
      <c r="AI28" s="16">
        <v>0.000002768070065762407</v>
      </c>
      <c r="AJ28" s="16">
        <v>0.0007646101683840526</v>
      </c>
      <c r="AK28" s="16">
        <v>5.448395576766894e-7</v>
      </c>
      <c r="AL28" s="16">
        <v>0.000003089938678060362</v>
      </c>
      <c r="AM28" s="16">
        <v>0.0005005070609240582</v>
      </c>
      <c r="AN28" s="16">
        <v>6.015936782680112e-7</v>
      </c>
      <c r="AO28" s="16">
        <v>0.000003411807290358316</v>
      </c>
      <c r="AP28" s="16">
        <v>-0.000027699153995930977</v>
      </c>
      <c r="AQ28" s="16">
        <v>7.151019194506548e-7</v>
      </c>
      <c r="AR28" s="16">
        <v>0.000004055544514954225</v>
      </c>
      <c r="AS28" s="16">
        <v>-0.0005559053689159197</v>
      </c>
      <c r="AT28" s="16">
        <v>8.286101606332984e-7</v>
      </c>
      <c r="AU28" s="16">
        <v>0.0000046992817395501335</v>
      </c>
      <c r="AV28" s="16">
        <v>-0.0010841115838359089</v>
      </c>
      <c r="AW28" s="16">
        <v>9.421184018159422e-7</v>
      </c>
      <c r="AX28" s="16">
        <v>0.000005343018964146042</v>
      </c>
      <c r="AY28" s="16">
        <v>-0.0016123177987558968</v>
      </c>
      <c r="AZ28" s="16">
        <v>0.0000010556266429985855</v>
      </c>
      <c r="BA28" s="16">
        <v>0.00000598675618874195</v>
      </c>
      <c r="BB28" s="16">
        <v>-0.002668730228595876</v>
      </c>
      <c r="BC28" s="16">
        <v>0.000001282643125363873</v>
      </c>
      <c r="BD28" s="16">
        <v>0.000007274230637933769</v>
      </c>
      <c r="BE28" s="16">
        <v>-0.0037251426584358534</v>
      </c>
      <c r="BF28" s="16">
        <v>0.00000150965960772916</v>
      </c>
      <c r="BG28" s="16">
        <v>0.000008561705087125585</v>
      </c>
      <c r="BH28" s="16">
        <v>-0.006366173733035799</v>
      </c>
      <c r="BI28" s="16">
        <v>0.0000020772008136423784</v>
      </c>
      <c r="BJ28" s="16">
        <v>0.000011780391210105129</v>
      </c>
      <c r="BK28" s="16">
        <v>-0.009007204807635744</v>
      </c>
      <c r="BL28" s="16">
        <v>0.0000026447420195555964</v>
      </c>
      <c r="BM28" s="16">
        <v>0.000014999077333084674</v>
      </c>
      <c r="BN28" s="16">
        <v>-0.019571329106035523</v>
      </c>
      <c r="BO28" s="16">
        <v>0.000004914906843208469</v>
      </c>
      <c r="BP28" s="16">
        <v>0.000027873821825002845</v>
      </c>
      <c r="BQ28" s="16">
        <v>-0.05</v>
      </c>
      <c r="BR28" s="16">
        <v>0</v>
      </c>
      <c r="BS28" s="16">
        <v>0</v>
      </c>
      <c r="BT28" s="45">
        <v>33981.43387592912</v>
      </c>
      <c r="BU28" s="45">
        <v>33981.43387592912</v>
      </c>
      <c r="BV28" s="45">
        <v>33796.94841348857</v>
      </c>
      <c r="BW28" s="45">
        <v>32693.446059030623</v>
      </c>
      <c r="BX28" s="45">
        <v>30469.955567605244</v>
      </c>
      <c r="BY28" s="45">
        <v>29053.730742253072</v>
      </c>
      <c r="BZ28" s="45">
        <v>26969.395504306864</v>
      </c>
      <c r="CA28" s="45">
        <v>25522.242089644693</v>
      </c>
      <c r="CB28" s="45">
        <v>22092.105646373715</v>
      </c>
      <c r="CC28" s="45">
        <v>19337.524218794773</v>
      </c>
      <c r="CD28" s="45">
        <v>16631.63447954474</v>
      </c>
      <c r="CE28" s="45">
        <v>13950.68883106677</v>
      </c>
      <c r="CF28" s="45">
        <v>9986.02331276656</v>
      </c>
      <c r="CG28" s="45">
        <v>7604.876355022803</v>
      </c>
      <c r="CH28" s="45">
        <v>6264.345644254712</v>
      </c>
      <c r="CI28" s="45">
        <v>5275.282130442076</v>
      </c>
      <c r="CJ28" s="45">
        <v>3788.7509768730642</v>
      </c>
      <c r="CK28" s="45">
        <v>2713.39222663151</v>
      </c>
      <c r="CL28" s="45">
        <v>525.622545111389</v>
      </c>
      <c r="CM28" s="45">
        <v>-1078.9294487799518</v>
      </c>
      <c r="CN28" s="45">
        <v>-4093.977491613538</v>
      </c>
      <c r="CO28" s="45">
        <v>-5790.583579096708</v>
      </c>
      <c r="CP28" s="45">
        <v>6.55418261885643e-13</v>
      </c>
      <c r="CQ28" s="45">
        <v>6.55418261885643e-13</v>
      </c>
      <c r="CR28" s="45">
        <v>14.815260913190249</v>
      </c>
      <c r="CS28" s="45">
        <v>113.98118785823569</v>
      </c>
      <c r="CT28" s="45">
        <v>279.71030779939485</v>
      </c>
      <c r="CU28" s="45">
        <v>377.30157084538257</v>
      </c>
      <c r="CV28" s="45">
        <v>516.0379815146194</v>
      </c>
      <c r="CW28" s="45">
        <v>599.5705512431122</v>
      </c>
      <c r="CX28" s="45">
        <v>682.8935642782459</v>
      </c>
      <c r="CY28" s="45">
        <v>741.5958160197497</v>
      </c>
      <c r="CZ28" s="45">
        <v>815.6719088274408</v>
      </c>
      <c r="DA28" s="45">
        <v>871.5291100570875</v>
      </c>
      <c r="DB28" s="45">
        <v>877.0497884445737</v>
      </c>
      <c r="DC28" s="45">
        <v>798.3817596328271</v>
      </c>
      <c r="DD28" s="45">
        <v>746.8695485537944</v>
      </c>
      <c r="DE28" s="45">
        <v>729.9893384063647</v>
      </c>
      <c r="DF28" s="45">
        <v>709.6023256468175</v>
      </c>
      <c r="DG28" s="45">
        <v>710.0980456062168</v>
      </c>
      <c r="DH28" s="45">
        <v>656.3827009082911</v>
      </c>
      <c r="DI28" s="45">
        <v>522.3619276176956</v>
      </c>
      <c r="DJ28" s="45">
        <v>351.8306751035948</v>
      </c>
      <c r="DK28" s="45">
        <v>0</v>
      </c>
      <c r="DL28" s="45">
        <v>-5.220063030719757e-12</v>
      </c>
      <c r="DM28" s="45">
        <v>-5.220063030719757e-12</v>
      </c>
      <c r="DN28" s="45">
        <v>123.87275928823291</v>
      </c>
      <c r="DO28" s="45">
        <v>787.0982084074326</v>
      </c>
      <c r="DP28" s="45">
        <v>1996.1560329055503</v>
      </c>
      <c r="DQ28" s="45">
        <v>2723.9704070145253</v>
      </c>
      <c r="DR28" s="45">
        <v>3738.705969147661</v>
      </c>
      <c r="DS28" s="45">
        <v>4416.604224134835</v>
      </c>
      <c r="DT28" s="45">
        <v>5680.071488093091</v>
      </c>
      <c r="DU28" s="45">
        <v>6269.347736131932</v>
      </c>
      <c r="DV28" s="45">
        <v>6672.446168405426</v>
      </c>
      <c r="DW28" s="45">
        <v>6974.520951136511</v>
      </c>
      <c r="DX28" s="45">
        <v>6993.606911318537</v>
      </c>
      <c r="DY28" s="45">
        <v>6769.088563661113</v>
      </c>
      <c r="DZ28" s="45">
        <v>6513.746159202857</v>
      </c>
      <c r="EA28" s="45">
        <v>6267.446298198744</v>
      </c>
      <c r="EB28" s="45">
        <v>5760.054180607279</v>
      </c>
      <c r="EC28" s="45">
        <v>5273.149844826889</v>
      </c>
      <c r="ED28" s="45">
        <v>4119.673953179303</v>
      </c>
      <c r="EE28" s="45">
        <v>3166.2552001148633</v>
      </c>
      <c r="EF28" s="45">
        <v>1177.579169071515</v>
      </c>
      <c r="EG28" s="45">
        <v>5.960464477539062e-14</v>
      </c>
      <c r="EH28" s="46">
        <f>MAX(1,MIN(21,SUMPRODUCT(--($BT28:$CO28&gt;=Pu))))</f>
      </c>
      <c r="EI28" s="47">
        <f>(Pu-INDEX($BT28:$CO28,1,$EH28))/(INDEX($BT28:$CO28,1,$EH28+1)-INDEX($BT28:$CO28,1,$EH28))</f>
      </c>
      <c r="EJ28" s="39">
        <f>INDEX($CP28:$DK28,1,$EH28)+$EI28*(INDEX($CP28:$DK28,1,$EH28+1)-INDEX($CP28:$DK28,1,$EH28))</f>
      </c>
      <c r="EK28" s="39">
        <f>INDEX($DL28:$EG28,1,$EH28)+$EI28*(INDEX($DL28:$EG28,1,$EH28+1)-INDEX($DL28:$EG28,1,$EH28))</f>
      </c>
      <c r="EL28" s="39">
        <f>SQRT(EJ28^2+EK28^2)</f>
      </c>
      <c r="EM28" s="20">
        <f>EJ29-EJ28</f>
      </c>
      <c r="EN28" s="20">
        <f>EK29-EK28</f>
      </c>
      <c r="EO28" s="20">
        <f>EM28*SIN(RADIANS(theta_L))-EN28*COS(RADIANS(theta_L))</f>
      </c>
      <c r="EP28" s="47">
        <f>IF(EO28=0,"",-(EJ28*SIN(RADIANS(theta_L))-EK28*COS(RADIANS(theta_L)))/EO28)</f>
      </c>
      <c r="EQ28" s="20">
        <f>IF(EP28="","",(EJ28+EP28*EM28)*COS(RADIANS(theta_L))+(EK28+EP28*EN28)*SIN(RADIANS(theta_L)))</f>
      </c>
      <c r="ER28" s="20">
        <f>IF(OR(EP28="",EP28&lt;0,EP28&gt;1,EQ28&lt;0),"",EQ28)</f>
      </c>
    </row>
    <row r="29" spans="1:148" x14ac:dyDescent="0.25">
      <c r="A29">
        <v>22</v>
      </c>
      <c r="B29" s="44">
        <v>82.50000000000001</v>
      </c>
      <c r="C29" s="18">
        <v>795.7941229183784</v>
      </c>
      <c r="D29" s="18">
        <v>-713.3403634002066</v>
      </c>
      <c r="E29" s="18">
        <v>1509.134486318585</v>
      </c>
      <c r="F29" s="16">
        <v>0.0033</v>
      </c>
      <c r="G29" s="16">
        <v>0</v>
      </c>
      <c r="H29" s="16">
        <v>0</v>
      </c>
      <c r="I29" s="16">
        <v>0.00275</v>
      </c>
      <c r="J29" s="16">
        <v>9.021102776903956e-8</v>
      </c>
      <c r="K29" s="16">
        <v>6.852207851898455e-7</v>
      </c>
      <c r="L29" s="16">
        <v>0.0024749999999999998</v>
      </c>
      <c r="M29" s="16">
        <v>1.3531654165355934e-7</v>
      </c>
      <c r="N29" s="16">
        <v>0.0000010278311777847682</v>
      </c>
      <c r="O29" s="16">
        <v>0.0021999999999999997</v>
      </c>
      <c r="P29" s="16">
        <v>1.8042205553807912e-7</v>
      </c>
      <c r="Q29" s="16">
        <v>0.000001370441570379691</v>
      </c>
      <c r="R29" s="16">
        <v>0.0019249999999999998</v>
      </c>
      <c r="S29" s="16">
        <v>2.2552756942259893e-7</v>
      </c>
      <c r="T29" s="16">
        <v>0.0000017130519629746139</v>
      </c>
      <c r="U29" s="16">
        <v>0.0018000000000000002</v>
      </c>
      <c r="V29" s="16">
        <v>2.4603007573374424e-7</v>
      </c>
      <c r="W29" s="16">
        <v>0.0000018687839596086693</v>
      </c>
      <c r="X29" s="16">
        <v>0.0016499999999999998</v>
      </c>
      <c r="Y29" s="16">
        <v>2.706330833071187e-7</v>
      </c>
      <c r="Z29" s="16">
        <v>0.0000020556623555695365</v>
      </c>
      <c r="AA29" s="16">
        <v>0.0015598498480828814</v>
      </c>
      <c r="AB29" s="16">
        <v>2.854195157761702e-7</v>
      </c>
      <c r="AC29" s="16">
        <v>0.0000021679764608088673</v>
      </c>
      <c r="AD29" s="16">
        <v>0.001296190734156045</v>
      </c>
      <c r="AE29" s="16">
        <v>3.286648969543778e-7</v>
      </c>
      <c r="AF29" s="16">
        <v>0.000002496457742749605</v>
      </c>
      <c r="AG29" s="16">
        <v>0.0010325316202292089</v>
      </c>
      <c r="AH29" s="16">
        <v>3.7191027813258543e-7</v>
      </c>
      <c r="AI29" s="16">
        <v>0.0000028249390246903424</v>
      </c>
      <c r="AJ29" s="16">
        <v>0.0007688725063023723</v>
      </c>
      <c r="AK29" s="16">
        <v>4.151556593107931e-7</v>
      </c>
      <c r="AL29" s="16">
        <v>0.0000031534203066310805</v>
      </c>
      <c r="AM29" s="16">
        <v>0.0005052133923755366</v>
      </c>
      <c r="AN29" s="16">
        <v>4.5840104048900063e-7</v>
      </c>
      <c r="AO29" s="16">
        <v>0.0000034819015885718174</v>
      </c>
      <c r="AP29" s="16">
        <v>-0.000022104835478136547</v>
      </c>
      <c r="AQ29" s="16">
        <v>5.448918028454159e-7</v>
      </c>
      <c r="AR29" s="16">
        <v>0.000004138864152453293</v>
      </c>
      <c r="AS29" s="16">
        <v>-0.000549423063331808</v>
      </c>
      <c r="AT29" s="16">
        <v>6.313825652018311e-7</v>
      </c>
      <c r="AU29" s="16">
        <v>0.0000047958267163347676</v>
      </c>
      <c r="AV29" s="16">
        <v>-0.0010767412911854802</v>
      </c>
      <c r="AW29" s="16">
        <v>7.178733275582462e-7</v>
      </c>
      <c r="AX29" s="16">
        <v>0.000005452789280216242</v>
      </c>
      <c r="AY29" s="16">
        <v>-0.0016040595190391534</v>
      </c>
      <c r="AZ29" s="16">
        <v>8.043640899146615e-7</v>
      </c>
      <c r="BA29" s="16">
        <v>0.000006109751844097718</v>
      </c>
      <c r="BB29" s="16">
        <v>-0.0026586959747464988</v>
      </c>
      <c r="BC29" s="16">
        <v>9.77345614627492e-7</v>
      </c>
      <c r="BD29" s="16">
        <v>0.000007423676971860669</v>
      </c>
      <c r="BE29" s="16">
        <v>-0.0037133324304538416</v>
      </c>
      <c r="BF29" s="16">
        <v>0.0000011503271393403223</v>
      </c>
      <c r="BG29" s="16">
        <v>0.000008737602099623617</v>
      </c>
      <c r="BH29" s="16">
        <v>-0.006349923569722205</v>
      </c>
      <c r="BI29" s="16">
        <v>0.0000015827809511223985</v>
      </c>
      <c r="BJ29" s="16">
        <v>0.000012022414919030994</v>
      </c>
      <c r="BK29" s="16">
        <v>-0.008986514708990569</v>
      </c>
      <c r="BL29" s="16">
        <v>0.000002015234762904475</v>
      </c>
      <c r="BM29" s="16">
        <v>0.00001530722773843837</v>
      </c>
      <c r="BN29" s="16">
        <v>-0.019532879266064014</v>
      </c>
      <c r="BO29" s="16">
        <v>0.000003745050010032779</v>
      </c>
      <c r="BP29" s="16">
        <v>0.000028446479016067868</v>
      </c>
      <c r="BQ29" s="16">
        <v>-0.05</v>
      </c>
      <c r="BR29" s="16">
        <v>0</v>
      </c>
      <c r="BS29" s="16">
        <v>0</v>
      </c>
      <c r="BT29" s="45">
        <v>33981.43387592912</v>
      </c>
      <c r="BU29" s="45">
        <v>33981.43387592912</v>
      </c>
      <c r="BV29" s="45">
        <v>33784.4340292514</v>
      </c>
      <c r="BW29" s="45">
        <v>32648.65635308058</v>
      </c>
      <c r="BX29" s="45">
        <v>30378.681733930636</v>
      </c>
      <c r="BY29" s="45">
        <v>28931.654526204813</v>
      </c>
      <c r="BZ29" s="45">
        <v>26820.86712111733</v>
      </c>
      <c r="CA29" s="45">
        <v>25405.614105170243</v>
      </c>
      <c r="CB29" s="45">
        <v>22035.120061922633</v>
      </c>
      <c r="CC29" s="45">
        <v>19331.2195826988</v>
      </c>
      <c r="CD29" s="45">
        <v>16648.866003962008</v>
      </c>
      <c r="CE29" s="45">
        <v>13974.803895753152</v>
      </c>
      <c r="CF29" s="45">
        <v>10052.425709225765</v>
      </c>
      <c r="CG29" s="45">
        <v>7685.426248736951</v>
      </c>
      <c r="CH29" s="45">
        <v>6355.2564981878695</v>
      </c>
      <c r="CI29" s="45">
        <v>5389.325016865418</v>
      </c>
      <c r="CJ29" s="45">
        <v>3991.7320172547784</v>
      </c>
      <c r="CK29" s="45">
        <v>2954.830136039564</v>
      </c>
      <c r="CL29" s="45">
        <v>888.8768533111447</v>
      </c>
      <c r="CM29" s="45">
        <v>-688.3714891616399</v>
      </c>
      <c r="CN29" s="45">
        <v>-3663.92309069019</v>
      </c>
      <c r="CO29" s="45">
        <v>-5790.583579096708</v>
      </c>
      <c r="CP29" s="45">
        <v>6.55418261885643e-13</v>
      </c>
      <c r="CQ29" s="45">
        <v>6.55418261885643e-13</v>
      </c>
      <c r="CR29" s="45">
        <v>11.100391776067905</v>
      </c>
      <c r="CS29" s="45">
        <v>90.44776087886396</v>
      </c>
      <c r="CT29" s="45">
        <v>217.5961610993509</v>
      </c>
      <c r="CU29" s="45">
        <v>290.62265733351217</v>
      </c>
      <c r="CV29" s="45">
        <v>395.511045533111</v>
      </c>
      <c r="CW29" s="45">
        <v>455.7187714139459</v>
      </c>
      <c r="CX29" s="45">
        <v>513.1290382213497</v>
      </c>
      <c r="CY29" s="45">
        <v>553.7948990903927</v>
      </c>
      <c r="CZ29" s="45">
        <v>611.3277551803089</v>
      </c>
      <c r="DA29" s="45">
        <v>657.0805269624925</v>
      </c>
      <c r="DB29" s="45">
        <v>662.7360125521274</v>
      </c>
      <c r="DC29" s="45">
        <v>602.1296658935995</v>
      </c>
      <c r="DD29" s="45">
        <v>556.2876506523254</v>
      </c>
      <c r="DE29" s="45">
        <v>556.5076742523726</v>
      </c>
      <c r="DF29" s="45">
        <v>526.1839855831984</v>
      </c>
      <c r="DG29" s="45">
        <v>533.3484359989848</v>
      </c>
      <c r="DH29" s="45">
        <v>521.5019263541944</v>
      </c>
      <c r="DI29" s="45">
        <v>405.8121588755344</v>
      </c>
      <c r="DJ29" s="45">
        <v>300.53582108769814</v>
      </c>
      <c r="DK29" s="45">
        <v>0</v>
      </c>
      <c r="DL29" s="45">
        <v>-5.220063030719757e-12</v>
      </c>
      <c r="DM29" s="45">
        <v>-5.220063030719757e-12</v>
      </c>
      <c r="DN29" s="45">
        <v>133.0256938543273</v>
      </c>
      <c r="DO29" s="45">
        <v>817.8465871776815</v>
      </c>
      <c r="DP29" s="45">
        <v>2058.8870254246267</v>
      </c>
      <c r="DQ29" s="45">
        <v>2804.284897913125</v>
      </c>
      <c r="DR29" s="45">
        <v>3844.2743253977997</v>
      </c>
      <c r="DS29" s="45">
        <v>4511.206658662906</v>
      </c>
      <c r="DT29" s="45">
        <v>5738.077279980328</v>
      </c>
      <c r="DU29" s="45">
        <v>6320.238179866715</v>
      </c>
      <c r="DV29" s="45">
        <v>6724.4226485966665</v>
      </c>
      <c r="DW29" s="45">
        <v>7032.534347343386</v>
      </c>
      <c r="DX29" s="45">
        <v>7038.833163405882</v>
      </c>
      <c r="DY29" s="45">
        <v>6815.346112695633</v>
      </c>
      <c r="DZ29" s="45">
        <v>6575.124972123742</v>
      </c>
      <c r="EA29" s="45">
        <v>6338.061581743393</v>
      </c>
      <c r="EB29" s="45">
        <v>5874.682149493773</v>
      </c>
      <c r="EC29" s="45">
        <v>5429.735225041833</v>
      </c>
      <c r="ED29" s="45">
        <v>4365.049420621395</v>
      </c>
      <c r="EE29" s="45">
        <v>3440.1728791156665</v>
      </c>
      <c r="EF29" s="45">
        <v>1478.211660775153</v>
      </c>
      <c r="EG29" s="45">
        <v>5.960464477539062e-14</v>
      </c>
      <c r="EH29" s="46">
        <f>MAX(1,MIN(21,SUMPRODUCT(--($BT29:$CO29&gt;=Pu))))</f>
      </c>
      <c r="EI29" s="47">
        <f>(Pu-INDEX($BT29:$CO29,1,$EH29))/(INDEX($BT29:$CO29,1,$EH29+1)-INDEX($BT29:$CO29,1,$EH29))</f>
      </c>
      <c r="EJ29" s="39">
        <f>INDEX($CP29:$DK29,1,$EH29)+$EI29*(INDEX($CP29:$DK29,1,$EH29+1)-INDEX($CP29:$DK29,1,$EH29))</f>
      </c>
      <c r="EK29" s="39">
        <f>INDEX($DL29:$EG29,1,$EH29)+$EI29*(INDEX($DL29:$EG29,1,$EH29+1)-INDEX($DL29:$EG29,1,$EH29))</f>
      </c>
      <c r="EL29" s="39">
        <f>SQRT(EJ29^2+EK29^2)</f>
      </c>
      <c r="EM29" s="20">
        <f>EJ30-EJ29</f>
      </c>
      <c r="EN29" s="20">
        <f>EK30-EK29</f>
      </c>
      <c r="EO29" s="20">
        <f>EM29*SIN(RADIANS(theta_L))-EN29*COS(RADIANS(theta_L))</f>
      </c>
      <c r="EP29" s="47">
        <f>IF(EO29=0,"",-(EJ29*SIN(RADIANS(theta_L))-EK29*COS(RADIANS(theta_L)))/EO29)</f>
      </c>
      <c r="EQ29" s="20">
        <f>IF(EP29="","",(EJ29+EP29*EM29)*COS(RADIANS(theta_L))+(EK29+EP29*EN29)*SIN(RADIANS(theta_L)))</f>
      </c>
      <c r="ER29" s="20">
        <f>IF(OR(EP29="",EP29&lt;0,EP29&gt;1,EQ29&lt;0),"",EQ29)</f>
      </c>
    </row>
    <row r="30" spans="1:148" x14ac:dyDescent="0.25">
      <c r="A30">
        <v>23</v>
      </c>
      <c r="B30" s="44">
        <v>85</v>
      </c>
      <c r="C30" s="18">
        <v>782.0083206678723</v>
      </c>
      <c r="D30" s="18">
        <v>-703.5591175266844</v>
      </c>
      <c r="E30" s="18">
        <v>1485.5674381945569</v>
      </c>
      <c r="F30" s="16">
        <v>0.0033</v>
      </c>
      <c r="G30" s="16">
        <v>0</v>
      </c>
      <c r="H30" s="16">
        <v>0</v>
      </c>
      <c r="I30" s="16">
        <v>0.00275</v>
      </c>
      <c r="J30" s="16">
        <v>6.129814382316627e-8</v>
      </c>
      <c r="K30" s="16">
        <v>7.00640989960978e-7</v>
      </c>
      <c r="L30" s="16">
        <v>0.002475</v>
      </c>
      <c r="M30" s="16">
        <v>9.194721573474942e-8</v>
      </c>
      <c r="N30" s="16">
        <v>0.000001050961484941467</v>
      </c>
      <c r="O30" s="16">
        <v>0.0022</v>
      </c>
      <c r="P30" s="16">
        <v>1.2259628764633254e-7</v>
      </c>
      <c r="Q30" s="16">
        <v>0.000001401281979921956</v>
      </c>
      <c r="R30" s="16">
        <v>0.0019249999999999998</v>
      </c>
      <c r="S30" s="16">
        <v>1.5324535955791572e-7</v>
      </c>
      <c r="T30" s="16">
        <v>0.0000017516024749024452</v>
      </c>
      <c r="U30" s="16">
        <v>0.0018</v>
      </c>
      <c r="V30" s="16">
        <v>1.6717675588136258e-7</v>
      </c>
      <c r="W30" s="16">
        <v>0.00000191083906352994</v>
      </c>
      <c r="X30" s="16">
        <v>0.0016500000000000002</v>
      </c>
      <c r="Y30" s="16">
        <v>1.8389443146949884e-7</v>
      </c>
      <c r="Z30" s="16">
        <v>0.000002101922969882934</v>
      </c>
      <c r="AA30" s="16">
        <v>0.0015628675132107954</v>
      </c>
      <c r="AB30" s="16">
        <v>1.9360544911836211e-7</v>
      </c>
      <c r="AC30" s="16">
        <v>0.00000221292040952248</v>
      </c>
      <c r="AD30" s="16">
        <v>0.0012996656212730367</v>
      </c>
      <c r="AE30" s="16">
        <v>2.2293960807568974e-7</v>
      </c>
      <c r="AF30" s="16">
        <v>0.00000254821138066225</v>
      </c>
      <c r="AG30" s="16">
        <v>0.0010364637293352784</v>
      </c>
      <c r="AH30" s="16">
        <v>2.522737670330173e-7</v>
      </c>
      <c r="AI30" s="16">
        <v>0.0000028835023518020197</v>
      </c>
      <c r="AJ30" s="16">
        <v>0.0007732618373975202</v>
      </c>
      <c r="AK30" s="16">
        <v>2.816079259903449e-7</v>
      </c>
      <c r="AL30" s="16">
        <v>0.0000032187933229417894</v>
      </c>
      <c r="AM30" s="16">
        <v>0.0005100599454597619</v>
      </c>
      <c r="AN30" s="16">
        <v>3.109420849476725e-7</v>
      </c>
      <c r="AO30" s="16">
        <v>0.0000035540842940815587</v>
      </c>
      <c r="AP30" s="16">
        <v>-0.000016343838415754618</v>
      </c>
      <c r="AQ30" s="16">
        <v>3.6961040286232773e-7</v>
      </c>
      <c r="AR30" s="16">
        <v>0.000004224666236361099</v>
      </c>
      <c r="AS30" s="16">
        <v>-0.0005427476222912711</v>
      </c>
      <c r="AT30" s="16">
        <v>4.2827872077698294e-7</v>
      </c>
      <c r="AU30" s="16">
        <v>0.000004895248178640638</v>
      </c>
      <c r="AV30" s="16">
        <v>-0.0010691514061667877</v>
      </c>
      <c r="AW30" s="16">
        <v>4.869470386916381e-7</v>
      </c>
      <c r="AX30" s="16">
        <v>0.000005565830120920177</v>
      </c>
      <c r="AY30" s="16">
        <v>-0.0015955551900423033</v>
      </c>
      <c r="AZ30" s="16">
        <v>5.456153566062932e-7</v>
      </c>
      <c r="BA30" s="16">
        <v>0.0000062364120631997155</v>
      </c>
      <c r="BB30" s="16">
        <v>-0.002648362757793338</v>
      </c>
      <c r="BC30" s="16">
        <v>6.629519924356037e-7</v>
      </c>
      <c r="BD30" s="16">
        <v>0.000007577575947758796</v>
      </c>
      <c r="BE30" s="16">
        <v>-0.0037011703255443694</v>
      </c>
      <c r="BF30" s="16">
        <v>7.802886282649139e-7</v>
      </c>
      <c r="BG30" s="16">
        <v>0.000008918739832317872</v>
      </c>
      <c r="BH30" s="16">
        <v>-0.006333189244921953</v>
      </c>
      <c r="BI30" s="16">
        <v>0.00000107363021783819</v>
      </c>
      <c r="BJ30" s="16">
        <v>0.000012271649543715572</v>
      </c>
      <c r="BK30" s="16">
        <v>-0.008965208164299535</v>
      </c>
      <c r="BL30" s="16">
        <v>0.0000013669718074114658</v>
      </c>
      <c r="BM30" s="16">
        <v>0.000015624559255113266</v>
      </c>
      <c r="BN30" s="16">
        <v>-0.019493283841809865</v>
      </c>
      <c r="BO30" s="16">
        <v>0.0000025403381657045695</v>
      </c>
      <c r="BP30" s="16">
        <v>0.000029036198100704055</v>
      </c>
      <c r="BQ30" s="16">
        <v>-0.05</v>
      </c>
      <c r="BR30" s="16">
        <v>0</v>
      </c>
      <c r="BS30" s="16">
        <v>0</v>
      </c>
      <c r="BT30" s="45">
        <v>33981.43387592912</v>
      </c>
      <c r="BU30" s="45">
        <v>33981.43387592912</v>
      </c>
      <c r="BV30" s="45">
        <v>33769.46327903677</v>
      </c>
      <c r="BW30" s="45">
        <v>32596.21628469297</v>
      </c>
      <c r="BX30" s="45">
        <v>30276.583909394696</v>
      </c>
      <c r="BY30" s="45">
        <v>28794.576937439444</v>
      </c>
      <c r="BZ30" s="45">
        <v>26654.330980148305</v>
      </c>
      <c r="CA30" s="45">
        <v>25277.89655706439</v>
      </c>
      <c r="CB30" s="45">
        <v>21976.6410874377</v>
      </c>
      <c r="CC30" s="45">
        <v>19313.569146264846</v>
      </c>
      <c r="CD30" s="45">
        <v>16663.28677871552</v>
      </c>
      <c r="CE30" s="45">
        <v>14001.994113726674</v>
      </c>
      <c r="CF30" s="45">
        <v>10129.512145424624</v>
      </c>
      <c r="CG30" s="45">
        <v>7771.465184860659</v>
      </c>
      <c r="CH30" s="45">
        <v>6442.987428417714</v>
      </c>
      <c r="CI30" s="45">
        <v>5516.710380202343</v>
      </c>
      <c r="CJ30" s="45">
        <v>4165.395487867812</v>
      </c>
      <c r="CK30" s="45">
        <v>3161.6838821858178</v>
      </c>
      <c r="CL30" s="45">
        <v>1248.3363890438798</v>
      </c>
      <c r="CM30" s="45">
        <v>-262.197048538418</v>
      </c>
      <c r="CN30" s="45">
        <v>-3102.702350033163</v>
      </c>
      <c r="CO30" s="45">
        <v>-5790.583579096708</v>
      </c>
      <c r="CP30" s="45">
        <v>6.55418261885643e-13</v>
      </c>
      <c r="CQ30" s="45">
        <v>6.55418261885643e-13</v>
      </c>
      <c r="CR30" s="45">
        <v>7.47573984071339</v>
      </c>
      <c r="CS30" s="45">
        <v>63.845538832761946</v>
      </c>
      <c r="CT30" s="45">
        <v>151.78549389587508</v>
      </c>
      <c r="CU30" s="45">
        <v>199.65352051250107</v>
      </c>
      <c r="CV30" s="45">
        <v>268.82398491334385</v>
      </c>
      <c r="CW30" s="45">
        <v>306.9285117683059</v>
      </c>
      <c r="CX30" s="45">
        <v>342.75256698804964</v>
      </c>
      <c r="CY30" s="45">
        <v>369.0071027481622</v>
      </c>
      <c r="CZ30" s="45">
        <v>406.38322529323585</v>
      </c>
      <c r="DA30" s="45">
        <v>441.7927972473947</v>
      </c>
      <c r="DB30" s="45">
        <v>446.03088972318244</v>
      </c>
      <c r="DC30" s="45">
        <v>405.7236331980873</v>
      </c>
      <c r="DD30" s="45">
        <v>366.991036399227</v>
      </c>
      <c r="DE30" s="45">
        <v>374.96081224711406</v>
      </c>
      <c r="DF30" s="45">
        <v>351.2861135641116</v>
      </c>
      <c r="DG30" s="45">
        <v>357.3983719235219</v>
      </c>
      <c r="DH30" s="45">
        <v>373.63239639752027</v>
      </c>
      <c r="DI30" s="45">
        <v>269.4245512607671</v>
      </c>
      <c r="DJ30" s="45">
        <v>210.6311850144511</v>
      </c>
      <c r="DK30" s="45">
        <v>0</v>
      </c>
      <c r="DL30" s="45">
        <v>-5.220063030719757e-12</v>
      </c>
      <c r="DM30" s="45">
        <v>-5.220063030719757e-12</v>
      </c>
      <c r="DN30" s="45">
        <v>143.54715783747213</v>
      </c>
      <c r="DO30" s="45">
        <v>851.9306761611956</v>
      </c>
      <c r="DP30" s="45">
        <v>2126.662273720822</v>
      </c>
      <c r="DQ30" s="45">
        <v>2890.547213191721</v>
      </c>
      <c r="DR30" s="45">
        <v>3957.393308962777</v>
      </c>
      <c r="DS30" s="45">
        <v>4607.6551087257985</v>
      </c>
      <c r="DT30" s="45">
        <v>5789.309979620485</v>
      </c>
      <c r="DU30" s="45">
        <v>6362.975653864763</v>
      </c>
      <c r="DV30" s="45">
        <v>6771.7749358082465</v>
      </c>
      <c r="DW30" s="45">
        <v>7084.974841172373</v>
      </c>
      <c r="DX30" s="45">
        <v>7076.341949174455</v>
      </c>
      <c r="DY30" s="45">
        <v>6855.747898286718</v>
      </c>
      <c r="DZ30" s="45">
        <v>6629.168255394726</v>
      </c>
      <c r="EA30" s="45">
        <v>6399.880133309633</v>
      </c>
      <c r="EB30" s="45">
        <v>5964.331891276965</v>
      </c>
      <c r="EC30" s="45">
        <v>5557.403089233258</v>
      </c>
      <c r="ED30" s="45">
        <v>4599.911659648203</v>
      </c>
      <c r="EE30" s="45">
        <v>3731.3239805367325</v>
      </c>
      <c r="EF30" s="45">
        <v>1870.586911773609</v>
      </c>
      <c r="EG30" s="45">
        <v>5.960464477539062e-14</v>
      </c>
      <c r="EH30" s="46">
        <f>MAX(1,MIN(21,SUMPRODUCT(--($BT30:$CO30&gt;=Pu))))</f>
      </c>
      <c r="EI30" s="47">
        <f>(Pu-INDEX($BT30:$CO30,1,$EH30))/(INDEX($BT30:$CO30,1,$EH30+1)-INDEX($BT30:$CO30,1,$EH30))</f>
      </c>
      <c r="EJ30" s="39">
        <f>INDEX($CP30:$DK30,1,$EH30)+$EI30*(INDEX($CP30:$DK30,1,$EH30+1)-INDEX($CP30:$DK30,1,$EH30))</f>
      </c>
      <c r="EK30" s="39">
        <f>INDEX($DL30:$EG30,1,$EH30)+$EI30*(INDEX($DL30:$EG30,1,$EH30+1)-INDEX($DL30:$EG30,1,$EH30))</f>
      </c>
      <c r="EL30" s="39">
        <f>SQRT(EJ30^2+EK30^2)</f>
      </c>
      <c r="EM30" s="20">
        <f>EJ31-EJ30</f>
      </c>
      <c r="EN30" s="20">
        <f>EK31-EK30</f>
      </c>
      <c r="EO30" s="20">
        <f>EM30*SIN(RADIANS(theta_L))-EN30*COS(RADIANS(theta_L))</f>
      </c>
      <c r="EP30" s="47">
        <f>IF(EO30=0,"",-(EJ30*SIN(RADIANS(theta_L))-EK30*COS(RADIANS(theta_L)))/EO30)</f>
      </c>
      <c r="EQ30" s="20">
        <f>IF(EP30="","",(EJ30+EP30*EM30)*COS(RADIANS(theta_L))+(EK30+EP30*EN30)*SIN(RADIANS(theta_L)))</f>
      </c>
      <c r="ER30" s="20">
        <f>IF(OR(EP30="",EP30&lt;0,EP30&gt;1,EQ30&lt;0),"",EQ30)</f>
      </c>
    </row>
    <row r="31" spans="1:148" x14ac:dyDescent="0.25">
      <c r="A31">
        <v>24</v>
      </c>
      <c r="B31" s="44">
        <v>90</v>
      </c>
      <c r="C31" s="18">
        <v>750</v>
      </c>
      <c r="D31" s="18">
        <v>-680</v>
      </c>
      <c r="E31" s="18">
        <v>1430</v>
      </c>
      <c r="F31" s="16">
        <v>0.0033</v>
      </c>
      <c r="G31" s="16">
        <v>0</v>
      </c>
      <c r="H31" s="16">
        <v>0</v>
      </c>
      <c r="I31" s="16">
        <v>0.00275</v>
      </c>
      <c r="J31" s="16">
        <v>4.4903715968736284e-23</v>
      </c>
      <c r="K31" s="16">
        <v>7.333333333333333e-7</v>
      </c>
      <c r="L31" s="16">
        <v>0.0024749999999999998</v>
      </c>
      <c r="M31" s="16">
        <v>6.735557395310443e-23</v>
      </c>
      <c r="N31" s="16">
        <v>0.0000011</v>
      </c>
      <c r="O31" s="16">
        <v>0.0021999999999999997</v>
      </c>
      <c r="P31" s="16">
        <v>8.980743193747257e-23</v>
      </c>
      <c r="Q31" s="16">
        <v>0.0000014666666666666667</v>
      </c>
      <c r="R31" s="16">
        <v>0.001925</v>
      </c>
      <c r="S31" s="16">
        <v>1.122592899218407e-22</v>
      </c>
      <c r="T31" s="16">
        <v>0.0000018333333333333333</v>
      </c>
      <c r="U31" s="16">
        <v>0.0018</v>
      </c>
      <c r="V31" s="16">
        <v>1.2246467991473532e-22</v>
      </c>
      <c r="W31" s="16">
        <v>0.000002</v>
      </c>
      <c r="X31" s="16">
        <v>0.00165</v>
      </c>
      <c r="Y31" s="16">
        <v>1.3471114790620886e-22</v>
      </c>
      <c r="Z31" s="16">
        <v>0.0000022</v>
      </c>
      <c r="AA31" s="16">
        <v>0.0015692307692307692</v>
      </c>
      <c r="AB31" s="16">
        <v>1.4130539990161768e-22</v>
      </c>
      <c r="AC31" s="16">
        <v>0.0000023076923076923077</v>
      </c>
      <c r="AD31" s="16">
        <v>0.001306993006993007</v>
      </c>
      <c r="AE31" s="16">
        <v>1.6271530897762037e-22</v>
      </c>
      <c r="AF31" s="16">
        <v>0.0000026573426573426574</v>
      </c>
      <c r="AG31" s="16">
        <v>0.0010447552447552448</v>
      </c>
      <c r="AH31" s="16">
        <v>1.8412521805362302e-22</v>
      </c>
      <c r="AI31" s="16">
        <v>0.000003006993006993007</v>
      </c>
      <c r="AJ31" s="16">
        <v>0.0007825174825174821</v>
      </c>
      <c r="AK31" s="16">
        <v>2.0553512712962574e-22</v>
      </c>
      <c r="AL31" s="16">
        <v>0.000003356643356643357</v>
      </c>
      <c r="AM31" s="16">
        <v>0.0005202797202797202</v>
      </c>
      <c r="AN31" s="16">
        <v>2.269450362056284e-22</v>
      </c>
      <c r="AO31" s="16">
        <v>0.0000037062937062937064</v>
      </c>
      <c r="AP31" s="16">
        <v>-0.000004195804195804374</v>
      </c>
      <c r="AQ31" s="16">
        <v>2.6976485435763376e-22</v>
      </c>
      <c r="AR31" s="16">
        <v>0.000004405594405594406</v>
      </c>
      <c r="AS31" s="16">
        <v>-0.0005286713286713285</v>
      </c>
      <c r="AT31" s="16">
        <v>3.125846725096391e-22</v>
      </c>
      <c r="AU31" s="16">
        <v>0.000005104895104895105</v>
      </c>
      <c r="AV31" s="16">
        <v>-0.001053146853146853</v>
      </c>
      <c r="AW31" s="16">
        <v>3.5540449066164445e-22</v>
      </c>
      <c r="AX31" s="16">
        <v>0.000005804195804195804</v>
      </c>
      <c r="AY31" s="16">
        <v>-0.0015776223776223768</v>
      </c>
      <c r="AZ31" s="16">
        <v>3.982243088136498e-22</v>
      </c>
      <c r="BA31" s="16">
        <v>0.000006503496503496503</v>
      </c>
      <c r="BB31" s="16">
        <v>-0.002626573426573427</v>
      </c>
      <c r="BC31" s="16">
        <v>4.838639451176606e-22</v>
      </c>
      <c r="BD31" s="16">
        <v>0.000007902097902097902</v>
      </c>
      <c r="BE31" s="16">
        <v>-0.0036755244755244743</v>
      </c>
      <c r="BF31" s="16">
        <v>5.695035814216712e-22</v>
      </c>
      <c r="BG31" s="16">
        <v>0.0000093006993006993</v>
      </c>
      <c r="BH31" s="16">
        <v>-0.006297902097902098</v>
      </c>
      <c r="BI31" s="16">
        <v>7.836026721816981e-22</v>
      </c>
      <c r="BJ31" s="16">
        <v>0.000012797202797202797</v>
      </c>
      <c r="BK31" s="16">
        <v>-0.008920279720279721</v>
      </c>
      <c r="BL31" s="16">
        <v>9.97701762941725e-22</v>
      </c>
      <c r="BM31" s="16">
        <v>0.000016293706293706295</v>
      </c>
      <c r="BN31" s="16">
        <v>-0.01940979020979021</v>
      </c>
      <c r="BO31" s="16">
        <v>1.854098125981832e-21</v>
      </c>
      <c r="BP31" s="16">
        <v>0.00003027972027972028</v>
      </c>
      <c r="BQ31" s="16">
        <v>-0.05</v>
      </c>
      <c r="BR31" s="16">
        <v>0</v>
      </c>
      <c r="BS31" s="16">
        <v>0</v>
      </c>
      <c r="BT31" s="45">
        <v>33981.43387592912</v>
      </c>
      <c r="BU31" s="45">
        <v>33981.43387592912</v>
      </c>
      <c r="BV31" s="45">
        <v>33730.918345783655</v>
      </c>
      <c r="BW31" s="45">
        <v>32465.04135606111</v>
      </c>
      <c r="BX31" s="45">
        <v>30022.0775888111</v>
      </c>
      <c r="BY31" s="45">
        <v>28470.429513529605</v>
      </c>
      <c r="BZ31" s="45">
        <v>26243.4807491744</v>
      </c>
      <c r="CA31" s="45">
        <v>24996.6946488549</v>
      </c>
      <c r="CB31" s="45">
        <v>21859.873675260937</v>
      </c>
      <c r="CC31" s="45">
        <v>19257.34528368032</v>
      </c>
      <c r="CD31" s="45">
        <v>16660.144228338402</v>
      </c>
      <c r="CE31" s="45">
        <v>14050.571202410852</v>
      </c>
      <c r="CF31" s="45">
        <v>10315.097752359867</v>
      </c>
      <c r="CG31" s="45">
        <v>7963.904131310896</v>
      </c>
      <c r="CH31" s="45">
        <v>6651.61059748359</v>
      </c>
      <c r="CI31" s="45">
        <v>5775.624602046034</v>
      </c>
      <c r="CJ31" s="45">
        <v>4498.9668412284345</v>
      </c>
      <c r="CK31" s="45">
        <v>3530.3143006987975</v>
      </c>
      <c r="CL31" s="45">
        <v>1945.3988118058605</v>
      </c>
      <c r="CM31" s="45">
        <v>674.413710760259</v>
      </c>
      <c r="CN31" s="45">
        <v>-1858.5665227544646</v>
      </c>
      <c r="CO31" s="45">
        <v>-5790.583579096708</v>
      </c>
      <c r="CP31" s="45">
        <v>6.55418261885643e-13</v>
      </c>
      <c r="CQ31" s="45">
        <v>6.55418261885643e-13</v>
      </c>
      <c r="CR31" s="45">
        <v>0.00011222892552590929</v>
      </c>
      <c r="CS31" s="45">
        <v>-0.0001381042217577342</v>
      </c>
      <c r="CT31" s="45">
        <v>-0.00021578784555220044</v>
      </c>
      <c r="CU31" s="45">
        <v>0.00014039817786565983</v>
      </c>
      <c r="CV31" s="45">
        <v>0.0011537770876360591</v>
      </c>
      <c r="CW31" s="45">
        <v>-0.009812315038196975</v>
      </c>
      <c r="CX31" s="45">
        <v>0.0012424812019781676</v>
      </c>
      <c r="CY31" s="45">
        <v>0.05416357428831025</v>
      </c>
      <c r="CZ31" s="45">
        <v>0.016425851074659964</v>
      </c>
      <c r="DA31" s="45">
        <v>-0.0007738427507265006</v>
      </c>
      <c r="DB31" s="45">
        <v>0.2546113302428105</v>
      </c>
      <c r="DC31" s="45">
        <v>0.14031428690526984</v>
      </c>
      <c r="DD31" s="45">
        <v>0.24954921305241598</v>
      </c>
      <c r="DE31" s="45">
        <v>-0.2022892272097033</v>
      </c>
      <c r="DF31" s="45">
        <v>-0.11688335950552696</v>
      </c>
      <c r="DG31" s="45">
        <v>0.0446924803431991</v>
      </c>
      <c r="DH31" s="45">
        <v>-0.4905368469607087</v>
      </c>
      <c r="DI31" s="45">
        <v>0.048462490699708226</v>
      </c>
      <c r="DJ31" s="45">
        <v>0.08246456787968404</v>
      </c>
      <c r="DK31" s="45">
        <v>0</v>
      </c>
      <c r="DL31" s="45">
        <v>-5.220063030719757e-12</v>
      </c>
      <c r="DM31" s="45">
        <v>-5.220063030719757e-12</v>
      </c>
      <c r="DN31" s="45">
        <v>169.4569257436545</v>
      </c>
      <c r="DO31" s="45">
        <v>931.8347186772166</v>
      </c>
      <c r="DP31" s="45">
        <v>2280.331227265779</v>
      </c>
      <c r="DQ31" s="45">
        <v>3085.0979024875514</v>
      </c>
      <c r="DR31" s="45">
        <v>4208.047328578062</v>
      </c>
      <c r="DS31" s="45">
        <v>4794.5115703832125</v>
      </c>
      <c r="DT31" s="45">
        <v>5873.180220832167</v>
      </c>
      <c r="DU31" s="45">
        <v>6430.541388868624</v>
      </c>
      <c r="DV31" s="45">
        <v>6846.5319861405615</v>
      </c>
      <c r="DW31" s="45">
        <v>7177.124260039108</v>
      </c>
      <c r="DX31" s="45">
        <v>7136.0916462236155</v>
      </c>
      <c r="DY31" s="45">
        <v>6922.062538064366</v>
      </c>
      <c r="DZ31" s="45">
        <v>6711.896942577079</v>
      </c>
      <c r="EA31" s="45">
        <v>6501.570596289839</v>
      </c>
      <c r="EB31" s="45">
        <v>6115.040040968902</v>
      </c>
      <c r="EC31" s="45">
        <v>5753.063025049909</v>
      </c>
      <c r="ED31" s="45">
        <v>5001.371693863676</v>
      </c>
      <c r="EE31" s="45">
        <v>4323.340680095894</v>
      </c>
      <c r="EF31" s="45">
        <v>2719.738269291223</v>
      </c>
      <c r="EG31" s="45">
        <v>5.960464477539062e-14</v>
      </c>
      <c r="EH31" s="46">
        <f>MAX(1,MIN(21,SUMPRODUCT(--($BT31:$CO31&gt;=Pu))))</f>
      </c>
      <c r="EI31" s="47">
        <f>(Pu-INDEX($BT31:$CO31,1,$EH31))/(INDEX($BT31:$CO31,1,$EH31+1)-INDEX($BT31:$CO31,1,$EH31))</f>
      </c>
      <c r="EJ31" s="39">
        <f>INDEX($CP31:$DK31,1,$EH31)+$EI31*(INDEX($CP31:$DK31,1,$EH31+1)-INDEX($CP31:$DK31,1,$EH31))</f>
      </c>
      <c r="EK31" s="39">
        <f>INDEX($DL31:$EG31,1,$EH31)+$EI31*(INDEX($DL31:$EG31,1,$EH31+1)-INDEX($DL31:$EG31,1,$EH31))</f>
      </c>
      <c r="EL31" s="39">
        <f>SQRT(EJ31^2+EK31^2)</f>
      </c>
      <c r="EM31" s="20">
        <f>EJ32-EJ31</f>
      </c>
      <c r="EN31" s="20">
        <f>EK32-EK31</f>
      </c>
      <c r="EO31" s="20">
        <f>EM31*SIN(RADIANS(theta_L))-EN31*COS(RADIANS(theta_L))</f>
      </c>
      <c r="EP31" s="47">
        <f>IF(EO31=0,"",-(EJ31*SIN(RADIANS(theta_L))-EK31*COS(RADIANS(theta_L)))/EO31)</f>
      </c>
      <c r="EQ31" s="20">
        <f>IF(EP31="","",(EJ31+EP31*EM31)*COS(RADIANS(theta_L))+(EK31+EP31*EN31)*SIN(RADIANS(theta_L)))</f>
      </c>
      <c r="ER31" s="20">
        <f>IF(OR(EP31="",EP31&lt;0,EP31&gt;1,EQ31&lt;0),"",EQ31)</f>
      </c>
    </row>
    <row r="32" spans="1:148" x14ac:dyDescent="0.25">
      <c r="A32">
        <v>25</v>
      </c>
      <c r="B32" s="44">
        <v>95</v>
      </c>
      <c r="C32" s="18">
        <v>782.0083206678723</v>
      </c>
      <c r="D32" s="18">
        <v>-703.5591175266844</v>
      </c>
      <c r="E32" s="18">
        <v>1485.5674381945569</v>
      </c>
      <c r="F32" s="16">
        <v>0.0033</v>
      </c>
      <c r="G32" s="16">
        <v>0</v>
      </c>
      <c r="H32" s="16">
        <v>0</v>
      </c>
      <c r="I32" s="16">
        <v>0.00275</v>
      </c>
      <c r="J32" s="16">
        <v>-6.129814382316619e-8</v>
      </c>
      <c r="K32" s="16">
        <v>7.00640989960978e-7</v>
      </c>
      <c r="L32" s="16">
        <v>0.002475</v>
      </c>
      <c r="M32" s="16">
        <v>-9.194721573474929e-8</v>
      </c>
      <c r="N32" s="16">
        <v>0.000001050961484941467</v>
      </c>
      <c r="O32" s="16">
        <v>0.0022</v>
      </c>
      <c r="P32" s="16">
        <v>-1.2259628764633239e-7</v>
      </c>
      <c r="Q32" s="16">
        <v>0.000001401281979921956</v>
      </c>
      <c r="R32" s="16">
        <v>0.0019249999999999998</v>
      </c>
      <c r="S32" s="16">
        <v>-1.5324535955791548e-7</v>
      </c>
      <c r="T32" s="16">
        <v>0.0000017516024749024452</v>
      </c>
      <c r="U32" s="16">
        <v>0.0018</v>
      </c>
      <c r="V32" s="16">
        <v>-1.6717675588136235e-7</v>
      </c>
      <c r="W32" s="16">
        <v>0.00000191083906352994</v>
      </c>
      <c r="X32" s="16">
        <v>0.0016500000000000002</v>
      </c>
      <c r="Y32" s="16">
        <v>-1.8389443146949858e-7</v>
      </c>
      <c r="Z32" s="16">
        <v>0.000002101922969882934</v>
      </c>
      <c r="AA32" s="16">
        <v>0.0015628675132107954</v>
      </c>
      <c r="AB32" s="16">
        <v>-1.9360544911836182e-7</v>
      </c>
      <c r="AC32" s="16">
        <v>0.00000221292040952248</v>
      </c>
      <c r="AD32" s="16">
        <v>0.0012996656212730367</v>
      </c>
      <c r="AE32" s="16">
        <v>-2.2293960807568943e-7</v>
      </c>
      <c r="AF32" s="16">
        <v>0.00000254821138066225</v>
      </c>
      <c r="AG32" s="16">
        <v>0.0010364637293352784</v>
      </c>
      <c r="AH32" s="16">
        <v>-2.5227376703301695e-7</v>
      </c>
      <c r="AI32" s="16">
        <v>0.0000028835023518020197</v>
      </c>
      <c r="AJ32" s="16">
        <v>0.0007732618373975202</v>
      </c>
      <c r="AK32" s="16">
        <v>-2.816079259903445e-7</v>
      </c>
      <c r="AL32" s="16">
        <v>0.0000032187933229417894</v>
      </c>
      <c r="AM32" s="16">
        <v>0.0005100599454597619</v>
      </c>
      <c r="AN32" s="16">
        <v>-3.1094208494767205e-7</v>
      </c>
      <c r="AO32" s="16">
        <v>0.0000035540842940815587</v>
      </c>
      <c r="AP32" s="16">
        <v>-0.000016343838415754618</v>
      </c>
      <c r="AQ32" s="16">
        <v>-3.696104028623272e-7</v>
      </c>
      <c r="AR32" s="16">
        <v>0.000004224666236361099</v>
      </c>
      <c r="AS32" s="16">
        <v>-0.0005427476222912711</v>
      </c>
      <c r="AT32" s="16">
        <v>-4.282787207769823e-7</v>
      </c>
      <c r="AU32" s="16">
        <v>0.000004895248178640638</v>
      </c>
      <c r="AV32" s="16">
        <v>-0.0010691514061667877</v>
      </c>
      <c r="AW32" s="16">
        <v>-4.869470386916375e-7</v>
      </c>
      <c r="AX32" s="16">
        <v>0.000005565830120920177</v>
      </c>
      <c r="AY32" s="16">
        <v>-0.0015955551900423033</v>
      </c>
      <c r="AZ32" s="16">
        <v>-5.456153566062924e-7</v>
      </c>
      <c r="BA32" s="16">
        <v>0.0000062364120631997155</v>
      </c>
      <c r="BB32" s="16">
        <v>-0.002648362757793338</v>
      </c>
      <c r="BC32" s="16">
        <v>-6.629519924356028e-7</v>
      </c>
      <c r="BD32" s="16">
        <v>0.000007577575947758796</v>
      </c>
      <c r="BE32" s="16">
        <v>-0.0037011703255443694</v>
      </c>
      <c r="BF32" s="16">
        <v>-7.802886282649128e-7</v>
      </c>
      <c r="BG32" s="16">
        <v>0.000008918739832317872</v>
      </c>
      <c r="BH32" s="16">
        <v>-0.006333189244921953</v>
      </c>
      <c r="BI32" s="16">
        <v>-0.0000010736302178381884</v>
      </c>
      <c r="BJ32" s="16">
        <v>0.000012271649543715572</v>
      </c>
      <c r="BK32" s="16">
        <v>-0.008965208164299535</v>
      </c>
      <c r="BL32" s="16">
        <v>-0.000001366971807411464</v>
      </c>
      <c r="BM32" s="16">
        <v>0.000015624559255113266</v>
      </c>
      <c r="BN32" s="16">
        <v>-0.019493283841809865</v>
      </c>
      <c r="BO32" s="16">
        <v>-0.000002540338165704566</v>
      </c>
      <c r="BP32" s="16">
        <v>0.000029036198100704055</v>
      </c>
      <c r="BQ32" s="16">
        <v>-0.05</v>
      </c>
      <c r="BR32" s="16">
        <v>0</v>
      </c>
      <c r="BS32" s="16">
        <v>0</v>
      </c>
      <c r="BT32" s="45">
        <v>33981.43387592912</v>
      </c>
      <c r="BU32" s="45">
        <v>33981.43387592912</v>
      </c>
      <c r="BV32" s="45">
        <v>33769.46327723372</v>
      </c>
      <c r="BW32" s="45">
        <v>32596.21846354794</v>
      </c>
      <c r="BX32" s="45">
        <v>30276.581874203966</v>
      </c>
      <c r="BY32" s="45">
        <v>28794.57984953083</v>
      </c>
      <c r="BZ32" s="45">
        <v>26654.331409839222</v>
      </c>
      <c r="CA32" s="45">
        <v>25278.149490113607</v>
      </c>
      <c r="CB32" s="45">
        <v>21976.423271639396</v>
      </c>
      <c r="CC32" s="45">
        <v>19313.569146086604</v>
      </c>
      <c r="CD32" s="45">
        <v>16663.45243828459</v>
      </c>
      <c r="CE32" s="45">
        <v>14002.706653690233</v>
      </c>
      <c r="CF32" s="45">
        <v>10129.119794243383</v>
      </c>
      <c r="CG32" s="45">
        <v>7772.057509267649</v>
      </c>
      <c r="CH32" s="45">
        <v>6442.790572216784</v>
      </c>
      <c r="CI32" s="45">
        <v>5516.605802276291</v>
      </c>
      <c r="CJ32" s="45">
        <v>4165.047815002982</v>
      </c>
      <c r="CK32" s="45">
        <v>3160.737785070726</v>
      </c>
      <c r="CL32" s="45">
        <v>1247.237214369953</v>
      </c>
      <c r="CM32" s="45">
        <v>-263.20762438113894</v>
      </c>
      <c r="CN32" s="45">
        <v>-3103.733317739554</v>
      </c>
      <c r="CO32" s="45">
        <v>-5790.583579096708</v>
      </c>
      <c r="CP32" s="45">
        <v>6.55418261885643e-13</v>
      </c>
      <c r="CQ32" s="45">
        <v>6.55418261885643e-13</v>
      </c>
      <c r="CR32" s="45">
        <v>-7.475845435681516</v>
      </c>
      <c r="CS32" s="45">
        <v>-63.844227353829815</v>
      </c>
      <c r="CT32" s="45">
        <v>-151.78294660761338</v>
      </c>
      <c r="CU32" s="45">
        <v>-199.65203270721685</v>
      </c>
      <c r="CV32" s="45">
        <v>-268.8247245284499</v>
      </c>
      <c r="CW32" s="45">
        <v>-307.0056671294463</v>
      </c>
      <c r="CX32" s="45">
        <v>-342.9586428321118</v>
      </c>
      <c r="CY32" s="45">
        <v>-369.0075331433885</v>
      </c>
      <c r="CZ32" s="45">
        <v>-406.54166656941356</v>
      </c>
      <c r="DA32" s="45">
        <v>-442.03501782851777</v>
      </c>
      <c r="DB32" s="45">
        <v>-446.19500497292194</v>
      </c>
      <c r="DC32" s="45">
        <v>-406.0938078414103</v>
      </c>
      <c r="DD32" s="45">
        <v>-367.14188720976864</v>
      </c>
      <c r="DE32" s="45">
        <v>-374.90991656025665</v>
      </c>
      <c r="DF32" s="45">
        <v>-351.39065193515006</v>
      </c>
      <c r="DG32" s="45">
        <v>-357.1837569724972</v>
      </c>
      <c r="DH32" s="45">
        <v>-373.3774705592032</v>
      </c>
      <c r="DI32" s="45">
        <v>-267.48505748759146</v>
      </c>
      <c r="DJ32" s="45">
        <v>-209.59266863809492</v>
      </c>
      <c r="DK32" s="45">
        <v>0</v>
      </c>
      <c r="DL32" s="45">
        <v>-5.220063030719757e-12</v>
      </c>
      <c r="DM32" s="45">
        <v>-5.220063030719757e-12</v>
      </c>
      <c r="DN32" s="45">
        <v>143.54718420683975</v>
      </c>
      <c r="DO32" s="45">
        <v>851.9302912860468</v>
      </c>
      <c r="DP32" s="45">
        <v>2126.662066489122</v>
      </c>
      <c r="DQ32" s="45">
        <v>2890.547336140049</v>
      </c>
      <c r="DR32" s="45">
        <v>3957.3934513284103</v>
      </c>
      <c r="DS32" s="45">
        <v>4607.47452852425</v>
      </c>
      <c r="DT32" s="45">
        <v>5789.418006758671</v>
      </c>
      <c r="DU32" s="45">
        <v>6362.975728660308</v>
      </c>
      <c r="DV32" s="45">
        <v>6771.7422647065305</v>
      </c>
      <c r="DW32" s="45">
        <v>7084.870836826376</v>
      </c>
      <c r="DX32" s="45">
        <v>7076.3180592229955</v>
      </c>
      <c r="DY32" s="45">
        <v>6855.8010108829785</v>
      </c>
      <c r="DZ32" s="45">
        <v>6629.163479903481</v>
      </c>
      <c r="EA32" s="45">
        <v>6399.846912986218</v>
      </c>
      <c r="EB32" s="45">
        <v>5964.196358680332</v>
      </c>
      <c r="EC32" s="45">
        <v>5557.020967205696</v>
      </c>
      <c r="ED32" s="45">
        <v>4599.3605055785865</v>
      </c>
      <c r="EE32" s="45">
        <v>3730.8720877914934</v>
      </c>
      <c r="EF32" s="45">
        <v>1870.0473554105624</v>
      </c>
      <c r="EG32" s="45">
        <v>5.960464477539062e-14</v>
      </c>
      <c r="EH32" s="46">
        <f>MAX(1,MIN(21,SUMPRODUCT(--($BT32:$CO32&gt;=Pu))))</f>
      </c>
      <c r="EI32" s="47">
        <f>(Pu-INDEX($BT32:$CO32,1,$EH32))/(INDEX($BT32:$CO32,1,$EH32+1)-INDEX($BT32:$CO32,1,$EH32))</f>
      </c>
      <c r="EJ32" s="39">
        <f>INDEX($CP32:$DK32,1,$EH32)+$EI32*(INDEX($CP32:$DK32,1,$EH32+1)-INDEX($CP32:$DK32,1,$EH32))</f>
      </c>
      <c r="EK32" s="39">
        <f>INDEX($DL32:$EG32,1,$EH32)+$EI32*(INDEX($DL32:$EG32,1,$EH32+1)-INDEX($DL32:$EG32,1,$EH32))</f>
      </c>
      <c r="EL32" s="39">
        <f>SQRT(EJ32^2+EK32^2)</f>
      </c>
      <c r="EM32" s="20">
        <f>EJ33-EJ32</f>
      </c>
      <c r="EN32" s="20">
        <f>EK33-EK32</f>
      </c>
      <c r="EO32" s="20">
        <f>EM32*SIN(RADIANS(theta_L))-EN32*COS(RADIANS(theta_L))</f>
      </c>
      <c r="EP32" s="47">
        <f>IF(EO32=0,"",-(EJ32*SIN(RADIANS(theta_L))-EK32*COS(RADIANS(theta_L)))/EO32)</f>
      </c>
      <c r="EQ32" s="20">
        <f>IF(EP32="","",(EJ32+EP32*EM32)*COS(RADIANS(theta_L))+(EK32+EP32*EN32)*SIN(RADIANS(theta_L)))</f>
      </c>
      <c r="ER32" s="20">
        <f>IF(OR(EP32="",EP32&lt;0,EP32&gt;1,EQ32&lt;0),"",EQ32)</f>
      </c>
    </row>
    <row r="33" spans="1:148" x14ac:dyDescent="0.25">
      <c r="A33">
        <v>26</v>
      </c>
      <c r="B33" s="44">
        <v>97.5</v>
      </c>
      <c r="C33" s="18">
        <v>795.7941229183784</v>
      </c>
      <c r="D33" s="18">
        <v>-713.3403634002066</v>
      </c>
      <c r="E33" s="18">
        <v>1509.134486318585</v>
      </c>
      <c r="F33" s="16">
        <v>0.0033</v>
      </c>
      <c r="G33" s="16">
        <v>0</v>
      </c>
      <c r="H33" s="16">
        <v>0</v>
      </c>
      <c r="I33" s="16">
        <v>0.00275</v>
      </c>
      <c r="J33" s="16">
        <v>-9.02110277690395e-8</v>
      </c>
      <c r="K33" s="16">
        <v>6.852207851898456e-7</v>
      </c>
      <c r="L33" s="16">
        <v>0.0024749999999999998</v>
      </c>
      <c r="M33" s="16">
        <v>-1.3531654165355924e-7</v>
      </c>
      <c r="N33" s="16">
        <v>0.0000010278311777847684</v>
      </c>
      <c r="O33" s="16">
        <v>0.0021999999999999997</v>
      </c>
      <c r="P33" s="16">
        <v>-1.80422055538079e-7</v>
      </c>
      <c r="Q33" s="16">
        <v>0.0000013704415703796913</v>
      </c>
      <c r="R33" s="16">
        <v>0.0019249999999999998</v>
      </c>
      <c r="S33" s="16">
        <v>-2.2552756942259872e-7</v>
      </c>
      <c r="T33" s="16">
        <v>0.000001713051962974614</v>
      </c>
      <c r="U33" s="16">
        <v>0.0018000000000000002</v>
      </c>
      <c r="V33" s="16">
        <v>-2.4603007573374403e-7</v>
      </c>
      <c r="W33" s="16">
        <v>0.0000018687839596086696</v>
      </c>
      <c r="X33" s="16">
        <v>0.0016499999999999998</v>
      </c>
      <c r="Y33" s="16">
        <v>-2.7063308330711847e-7</v>
      </c>
      <c r="Z33" s="16">
        <v>0.000002055662355569537</v>
      </c>
      <c r="AA33" s="16">
        <v>0.0015598498480828814</v>
      </c>
      <c r="AB33" s="16">
        <v>-2.8541951577616997e-7</v>
      </c>
      <c r="AC33" s="16">
        <v>0.0000021679764608088677</v>
      </c>
      <c r="AD33" s="16">
        <v>0.001296190734156045</v>
      </c>
      <c r="AE33" s="16">
        <v>-3.2866489695437754e-7</v>
      </c>
      <c r="AF33" s="16">
        <v>0.000002496457742749605</v>
      </c>
      <c r="AG33" s="16">
        <v>0.0010325316202292089</v>
      </c>
      <c r="AH33" s="16">
        <v>-3.719102781325851e-7</v>
      </c>
      <c r="AI33" s="16">
        <v>0.000002824939024690343</v>
      </c>
      <c r="AJ33" s="16">
        <v>0.0007688725063023723</v>
      </c>
      <c r="AK33" s="16">
        <v>-4.1515565931079274e-7</v>
      </c>
      <c r="AL33" s="16">
        <v>0.000003153420306631081</v>
      </c>
      <c r="AM33" s="16">
        <v>0.0005052133923755366</v>
      </c>
      <c r="AN33" s="16">
        <v>-4.5840104048900026e-7</v>
      </c>
      <c r="AO33" s="16">
        <v>0.000003481901588571818</v>
      </c>
      <c r="AP33" s="16">
        <v>-0.000022104835478136547</v>
      </c>
      <c r="AQ33" s="16">
        <v>-5.448918028454155e-7</v>
      </c>
      <c r="AR33" s="16">
        <v>0.000004138864152453294</v>
      </c>
      <c r="AS33" s="16">
        <v>-0.000549423063331808</v>
      </c>
      <c r="AT33" s="16">
        <v>-6.313825652018306e-7</v>
      </c>
      <c r="AU33" s="16">
        <v>0.0000047958267163347676</v>
      </c>
      <c r="AV33" s="16">
        <v>-0.0010767412911854802</v>
      </c>
      <c r="AW33" s="16">
        <v>-7.178733275582457e-7</v>
      </c>
      <c r="AX33" s="16">
        <v>0.000005452789280216243</v>
      </c>
      <c r="AY33" s="16">
        <v>-0.0016040595190391534</v>
      </c>
      <c r="AZ33" s="16">
        <v>-8.043640899146608e-7</v>
      </c>
      <c r="BA33" s="16">
        <v>0.000006109751844097718</v>
      </c>
      <c r="BB33" s="16">
        <v>-0.0026586959747464988</v>
      </c>
      <c r="BC33" s="16">
        <v>-9.773456146274911e-7</v>
      </c>
      <c r="BD33" s="16">
        <v>0.0000074236769718606695</v>
      </c>
      <c r="BE33" s="16">
        <v>-0.0037133324304538416</v>
      </c>
      <c r="BF33" s="16">
        <v>-0.0000011503271393403212</v>
      </c>
      <c r="BG33" s="16">
        <v>0.000008737602099623617</v>
      </c>
      <c r="BH33" s="16">
        <v>-0.006349923569722205</v>
      </c>
      <c r="BI33" s="16">
        <v>-0.0000015827809511223973</v>
      </c>
      <c r="BJ33" s="16">
        <v>0.000012022414919030994</v>
      </c>
      <c r="BK33" s="16">
        <v>-0.008986514708990569</v>
      </c>
      <c r="BL33" s="16">
        <v>-0.000002015234762904473</v>
      </c>
      <c r="BM33" s="16">
        <v>0.000015307227738438372</v>
      </c>
      <c r="BN33" s="16">
        <v>-0.019532879266064014</v>
      </c>
      <c r="BO33" s="16">
        <v>-0.0000037450500100327756</v>
      </c>
      <c r="BP33" s="16">
        <v>0.00002844647901606787</v>
      </c>
      <c r="BQ33" s="16">
        <v>-0.05</v>
      </c>
      <c r="BR33" s="16">
        <v>0</v>
      </c>
      <c r="BS33" s="16">
        <v>0</v>
      </c>
      <c r="BT33" s="45">
        <v>33981.43387592912</v>
      </c>
      <c r="BU33" s="45">
        <v>33981.43387592912</v>
      </c>
      <c r="BV33" s="45">
        <v>33784.43304753361</v>
      </c>
      <c r="BW33" s="45">
        <v>32648.657875755467</v>
      </c>
      <c r="BX33" s="45">
        <v>30378.681541238362</v>
      </c>
      <c r="BY33" s="45">
        <v>28931.652943927555</v>
      </c>
      <c r="BZ33" s="45">
        <v>26820.86777584929</v>
      </c>
      <c r="CA33" s="45">
        <v>25405.533901752402</v>
      </c>
      <c r="CB33" s="45">
        <v>22035.406148099635</v>
      </c>
      <c r="CC33" s="45">
        <v>19330.929709402342</v>
      </c>
      <c r="CD33" s="45">
        <v>16649.163103100225</v>
      </c>
      <c r="CE33" s="45">
        <v>13974.76362401347</v>
      </c>
      <c r="CF33" s="45">
        <v>10052.2747111541</v>
      </c>
      <c r="CG33" s="45">
        <v>7685.536473133513</v>
      </c>
      <c r="CH33" s="45">
        <v>6355.059359857835</v>
      </c>
      <c r="CI33" s="45">
        <v>5389.016149161614</v>
      </c>
      <c r="CJ33" s="45">
        <v>3993.3181845207755</v>
      </c>
      <c r="CK33" s="45">
        <v>2953.5248889179757</v>
      </c>
      <c r="CL33" s="45">
        <v>886.5268574880557</v>
      </c>
      <c r="CM33" s="45">
        <v>-686.4685772018512</v>
      </c>
      <c r="CN33" s="45">
        <v>-3666.996041723625</v>
      </c>
      <c r="CO33" s="45">
        <v>-5790.583579096708</v>
      </c>
      <c r="CP33" s="45">
        <v>6.55418261885643e-13</v>
      </c>
      <c r="CQ33" s="45">
        <v>6.55418261885643e-13</v>
      </c>
      <c r="CR33" s="45">
        <v>-11.099889383196432</v>
      </c>
      <c r="CS33" s="45">
        <v>-90.44856260588304</v>
      </c>
      <c r="CT33" s="45">
        <v>-217.5964330886717</v>
      </c>
      <c r="CU33" s="45">
        <v>-290.62339772034863</v>
      </c>
      <c r="CV33" s="45">
        <v>-395.5075398426046</v>
      </c>
      <c r="CW33" s="45">
        <v>-455.7437465765271</v>
      </c>
      <c r="CX33" s="45">
        <v>-512.9321094024441</v>
      </c>
      <c r="CY33" s="45">
        <v>-554.0324922269292</v>
      </c>
      <c r="CZ33" s="45">
        <v>-610.9105016214035</v>
      </c>
      <c r="DA33" s="45">
        <v>-656.9783860241478</v>
      </c>
      <c r="DB33" s="45">
        <v>-662.4639035068101</v>
      </c>
      <c r="DC33" s="45">
        <v>-601.8850064147384</v>
      </c>
      <c r="DD33" s="45">
        <v>-556.0594235138378</v>
      </c>
      <c r="DE33" s="45">
        <v>-555.9515896185778</v>
      </c>
      <c r="DF33" s="45">
        <v>-525.0789684772458</v>
      </c>
      <c r="DG33" s="45">
        <v>-533.7406747112711</v>
      </c>
      <c r="DH33" s="45">
        <v>-521.6149109193559</v>
      </c>
      <c r="DI33" s="45">
        <v>-406.5787603640859</v>
      </c>
      <c r="DJ33" s="45">
        <v>-298.9893529132384</v>
      </c>
      <c r="DK33" s="45">
        <v>0</v>
      </c>
      <c r="DL33" s="45">
        <v>-5.220063030719757e-12</v>
      </c>
      <c r="DM33" s="45">
        <v>-5.220063030719757e-12</v>
      </c>
      <c r="DN33" s="45">
        <v>133.0261991312526</v>
      </c>
      <c r="DO33" s="45">
        <v>817.8461154766107</v>
      </c>
      <c r="DP33" s="45">
        <v>2058.886536705593</v>
      </c>
      <c r="DQ33" s="45">
        <v>2804.2841712357913</v>
      </c>
      <c r="DR33" s="45">
        <v>3844.27492738802</v>
      </c>
      <c r="DS33" s="45">
        <v>4511.260255612691</v>
      </c>
      <c r="DT33" s="45">
        <v>5737.956409796806</v>
      </c>
      <c r="DU33" s="45">
        <v>6320.305924595662</v>
      </c>
      <c r="DV33" s="45">
        <v>6724.406398381393</v>
      </c>
      <c r="DW33" s="45">
        <v>7032.56744590521</v>
      </c>
      <c r="DX33" s="45">
        <v>7038.8906558596345</v>
      </c>
      <c r="DY33" s="45">
        <v>6815.3919891978</v>
      </c>
      <c r="DZ33" s="45">
        <v>6575.110444312437</v>
      </c>
      <c r="EA33" s="45">
        <v>6338.052251986371</v>
      </c>
      <c r="EB33" s="45">
        <v>5875.412451690878</v>
      </c>
      <c r="EC33" s="45">
        <v>5429.1090445326645</v>
      </c>
      <c r="ED33" s="45">
        <v>4363.850093950571</v>
      </c>
      <c r="EE33" s="45">
        <v>3441.129993161005</v>
      </c>
      <c r="EF33" s="45">
        <v>1476.3070374044175</v>
      </c>
      <c r="EG33" s="45">
        <v>5.960464477539062e-14</v>
      </c>
      <c r="EH33" s="46">
        <f>MAX(1,MIN(21,SUMPRODUCT(--($BT33:$CO33&gt;=Pu))))</f>
      </c>
      <c r="EI33" s="47">
        <f>(Pu-INDEX($BT33:$CO33,1,$EH33))/(INDEX($BT33:$CO33,1,$EH33+1)-INDEX($BT33:$CO33,1,$EH33))</f>
      </c>
      <c r="EJ33" s="39">
        <f>INDEX($CP33:$DK33,1,$EH33)+$EI33*(INDEX($CP33:$DK33,1,$EH33+1)-INDEX($CP33:$DK33,1,$EH33))</f>
      </c>
      <c r="EK33" s="39">
        <f>INDEX($DL33:$EG33,1,$EH33)+$EI33*(INDEX($DL33:$EG33,1,$EH33+1)-INDEX($DL33:$EG33,1,$EH33))</f>
      </c>
      <c r="EL33" s="39">
        <f>SQRT(EJ33^2+EK33^2)</f>
      </c>
      <c r="EM33" s="20">
        <f>EJ34-EJ33</f>
      </c>
      <c r="EN33" s="20">
        <f>EK34-EK33</f>
      </c>
      <c r="EO33" s="20">
        <f>EM33*SIN(RADIANS(theta_L))-EN33*COS(RADIANS(theta_L))</f>
      </c>
      <c r="EP33" s="47">
        <f>IF(EO33=0,"",-(EJ33*SIN(RADIANS(theta_L))-EK33*COS(RADIANS(theta_L)))/EO33)</f>
      </c>
      <c r="EQ33" s="20">
        <f>IF(EP33="","",(EJ33+EP33*EM33)*COS(RADIANS(theta_L))+(EK33+EP33*EN33)*SIN(RADIANS(theta_L)))</f>
      </c>
      <c r="ER33" s="20">
        <f>IF(OR(EP33="",EP33&lt;0,EP33&gt;1,EQ33&lt;0),"",EQ33)</f>
      </c>
    </row>
    <row r="34" spans="1:148" x14ac:dyDescent="0.25">
      <c r="A34">
        <v>27</v>
      </c>
      <c r="B34" s="44">
        <v>100</v>
      </c>
      <c r="C34" s="18">
        <v>808.0650858259281</v>
      </c>
      <c r="D34" s="18">
        <v>-721.7637253483805</v>
      </c>
      <c r="E34" s="18">
        <v>1529.8288111743086</v>
      </c>
      <c r="F34" s="16">
        <v>0.0033</v>
      </c>
      <c r="G34" s="16">
        <v>0</v>
      </c>
      <c r="H34" s="16">
        <v>0</v>
      </c>
      <c r="I34" s="16">
        <v>0.00275</v>
      </c>
      <c r="J34" s="16">
        <v>-1.181915904944636e-7</v>
      </c>
      <c r="K34" s="16">
        <v>6.702978184029528e-7</v>
      </c>
      <c r="L34" s="16">
        <v>0.0024749999999999998</v>
      </c>
      <c r="M34" s="16">
        <v>-1.7728738574169536e-7</v>
      </c>
      <c r="N34" s="16">
        <v>0.000001005446727604429</v>
      </c>
      <c r="O34" s="16">
        <v>0.0021999999999999997</v>
      </c>
      <c r="P34" s="16">
        <v>-2.363831809889272e-7</v>
      </c>
      <c r="Q34" s="16">
        <v>0.0000013405956368059057</v>
      </c>
      <c r="R34" s="16">
        <v>0.001925</v>
      </c>
      <c r="S34" s="16">
        <v>-2.9547897623615897e-7</v>
      </c>
      <c r="T34" s="16">
        <v>0.000001675744546007382</v>
      </c>
      <c r="U34" s="16">
        <v>0.0018000000000000002</v>
      </c>
      <c r="V34" s="16">
        <v>-3.22340701348537e-7</v>
      </c>
      <c r="W34" s="16">
        <v>0.00000182808495928078</v>
      </c>
      <c r="X34" s="16">
        <v>0.00165</v>
      </c>
      <c r="Y34" s="16">
        <v>-3.545747714833907e-7</v>
      </c>
      <c r="Z34" s="16">
        <v>0.000002010893455208858</v>
      </c>
      <c r="AA34" s="16">
        <v>0.0015569194907640365</v>
      </c>
      <c r="AB34" s="16">
        <v>-3.745771959027237e-7</v>
      </c>
      <c r="AC34" s="16">
        <v>0.000002124332841166499</v>
      </c>
      <c r="AD34" s="16">
        <v>0.0012928163833040417</v>
      </c>
      <c r="AE34" s="16">
        <v>-4.3133131649404557e-7</v>
      </c>
      <c r="AF34" s="16">
        <v>0.000002446201453464453</v>
      </c>
      <c r="AG34" s="16">
        <v>0.0010287132758440474</v>
      </c>
      <c r="AH34" s="16">
        <v>-4.880854370853673e-7</v>
      </c>
      <c r="AI34" s="16">
        <v>0.0000027680700657624075</v>
      </c>
      <c r="AJ34" s="16">
        <v>0.0007646101683840526</v>
      </c>
      <c r="AK34" s="16">
        <v>-5.448395576766891e-7</v>
      </c>
      <c r="AL34" s="16">
        <v>0.0000030899386780603623</v>
      </c>
      <c r="AM34" s="16">
        <v>0.0005005070609240582</v>
      </c>
      <c r="AN34" s="16">
        <v>-6.015936782680109e-7</v>
      </c>
      <c r="AO34" s="16">
        <v>0.0000034118072903583166</v>
      </c>
      <c r="AP34" s="16">
        <v>-0.000027699153995930977</v>
      </c>
      <c r="AQ34" s="16">
        <v>-7.151019194506546e-7</v>
      </c>
      <c r="AR34" s="16">
        <v>0.000004055544514954226</v>
      </c>
      <c r="AS34" s="16">
        <v>-0.0005559053689159197</v>
      </c>
      <c r="AT34" s="16">
        <v>-8.286101606332981e-7</v>
      </c>
      <c r="AU34" s="16">
        <v>0.000004699281739550134</v>
      </c>
      <c r="AV34" s="16">
        <v>-0.001084111583835908</v>
      </c>
      <c r="AW34" s="16">
        <v>-9.421184018159415e-7</v>
      </c>
      <c r="AX34" s="16">
        <v>0.000005343018964146042</v>
      </c>
      <c r="AY34" s="16">
        <v>-0.0016123177987558968</v>
      </c>
      <c r="AZ34" s="16">
        <v>-0.0000010556266429985851</v>
      </c>
      <c r="BA34" s="16">
        <v>0.000005986756188741951</v>
      </c>
      <c r="BB34" s="16">
        <v>-0.002668730228595877</v>
      </c>
      <c r="BC34" s="16">
        <v>-0.0000012826431253638725</v>
      </c>
      <c r="BD34" s="16">
        <v>0.000007274230637933771</v>
      </c>
      <c r="BE34" s="16">
        <v>-0.0037251426584358543</v>
      </c>
      <c r="BF34" s="16">
        <v>-0.0000015096596077291595</v>
      </c>
      <c r="BG34" s="16">
        <v>0.000008561705087125587</v>
      </c>
      <c r="BH34" s="16">
        <v>-0.006366173733035799</v>
      </c>
      <c r="BI34" s="16">
        <v>-0.000002077200813642377</v>
      </c>
      <c r="BJ34" s="16">
        <v>0.00001178039121010513</v>
      </c>
      <c r="BK34" s="16">
        <v>-0.009007204807635744</v>
      </c>
      <c r="BL34" s="16">
        <v>-0.000002644742019555595</v>
      </c>
      <c r="BM34" s="16">
        <v>0.000014999077333084675</v>
      </c>
      <c r="BN34" s="16">
        <v>-0.019571329106035523</v>
      </c>
      <c r="BO34" s="16">
        <v>-0.000004914906843208466</v>
      </c>
      <c r="BP34" s="16">
        <v>0.000027873821825002848</v>
      </c>
      <c r="BQ34" s="16">
        <v>-0.05</v>
      </c>
      <c r="BR34" s="16">
        <v>0</v>
      </c>
      <c r="BS34" s="16">
        <v>0</v>
      </c>
      <c r="BT34" s="45">
        <v>33981.43387592912</v>
      </c>
      <c r="BU34" s="45">
        <v>33981.43387592912</v>
      </c>
      <c r="BV34" s="45">
        <v>33796.950255158394</v>
      </c>
      <c r="BW34" s="45">
        <v>32693.445213509345</v>
      </c>
      <c r="BX34" s="45">
        <v>30469.95667032236</v>
      </c>
      <c r="BY34" s="45">
        <v>29053.72531090656</v>
      </c>
      <c r="BZ34" s="45">
        <v>26969.38768186543</v>
      </c>
      <c r="CA34" s="45">
        <v>25522.097382746873</v>
      </c>
      <c r="CB34" s="45">
        <v>22092.13498116457</v>
      </c>
      <c r="CC34" s="45">
        <v>19337.878913528926</v>
      </c>
      <c r="CD34" s="45">
        <v>16631.372030389823</v>
      </c>
      <c r="CE34" s="45">
        <v>13949.822938290741</v>
      </c>
      <c r="CF34" s="45">
        <v>9986.203602843989</v>
      </c>
      <c r="CG34" s="45">
        <v>7603.77040059274</v>
      </c>
      <c r="CH34" s="45">
        <v>6263.642028119872</v>
      </c>
      <c r="CI34" s="45">
        <v>5275.342145099679</v>
      </c>
      <c r="CJ34" s="45">
        <v>3787.0906344174987</v>
      </c>
      <c r="CK34" s="45">
        <v>2716.1321899574905</v>
      </c>
      <c r="CL34" s="45">
        <v>525.3919800732681</v>
      </c>
      <c r="CM34" s="45">
        <v>-1079.784725437686</v>
      </c>
      <c r="CN34" s="45">
        <v>-4098.208511215942</v>
      </c>
      <c r="CO34" s="45">
        <v>-5790.583579096708</v>
      </c>
      <c r="CP34" s="45">
        <v>6.55418261885643e-13</v>
      </c>
      <c r="CQ34" s="45">
        <v>6.55418261885643e-13</v>
      </c>
      <c r="CR34" s="45">
        <v>-14.815164214181527</v>
      </c>
      <c r="CS34" s="45">
        <v>-113.98095060598013</v>
      </c>
      <c r="CT34" s="45">
        <v>-279.7098814863177</v>
      </c>
      <c r="CU34" s="45">
        <v>-377.30172428004954</v>
      </c>
      <c r="CV34" s="45">
        <v>-516.0380043217509</v>
      </c>
      <c r="CW34" s="45">
        <v>-599.6436883265151</v>
      </c>
      <c r="CX34" s="45">
        <v>-682.5889086427431</v>
      </c>
      <c r="CY34" s="45">
        <v>-741.4668747101939</v>
      </c>
      <c r="CZ34" s="45">
        <v>-815.7274064457195</v>
      </c>
      <c r="DA34" s="45">
        <v>-871.2578860211053</v>
      </c>
      <c r="DB34" s="45">
        <v>-876.903566655197</v>
      </c>
      <c r="DC34" s="45">
        <v>-798.3779707145312</v>
      </c>
      <c r="DD34" s="45">
        <v>-746.6553002754432</v>
      </c>
      <c r="DE34" s="45">
        <v>-729.7764628040306</v>
      </c>
      <c r="DF34" s="45">
        <v>-709.7894179932783</v>
      </c>
      <c r="DG34" s="45">
        <v>-710.8844635103767</v>
      </c>
      <c r="DH34" s="45">
        <v>-655.9480519158317</v>
      </c>
      <c r="DI34" s="45">
        <v>-525.7704431224757</v>
      </c>
      <c r="DJ34" s="45">
        <v>-349.6548678474978</v>
      </c>
      <c r="DK34" s="45">
        <v>0</v>
      </c>
      <c r="DL34" s="45">
        <v>-5.220063030719757e-12</v>
      </c>
      <c r="DM34" s="45">
        <v>-5.220063030719757e-12</v>
      </c>
      <c r="DN34" s="45">
        <v>123.87187777743804</v>
      </c>
      <c r="DO34" s="45">
        <v>787.0983072469969</v>
      </c>
      <c r="DP34" s="45">
        <v>1996.1557587428813</v>
      </c>
      <c r="DQ34" s="45">
        <v>2723.9695174745025</v>
      </c>
      <c r="DR34" s="45">
        <v>3738.7043380804835</v>
      </c>
      <c r="DS34" s="45">
        <v>4416.7008923333005</v>
      </c>
      <c r="DT34" s="45">
        <v>5680.092985913906</v>
      </c>
      <c r="DU34" s="45">
        <v>6269.248784105469</v>
      </c>
      <c r="DV34" s="45">
        <v>6672.489721079426</v>
      </c>
      <c r="DW34" s="45">
        <v>6974.679511506632</v>
      </c>
      <c r="DX34" s="45">
        <v>6993.6386909287685</v>
      </c>
      <c r="DY34" s="45">
        <v>6768.935334399641</v>
      </c>
      <c r="DZ34" s="45">
        <v>6513.642025018983</v>
      </c>
      <c r="EA34" s="45">
        <v>6267.449913659511</v>
      </c>
      <c r="EB34" s="45">
        <v>5759.363645807278</v>
      </c>
      <c r="EC34" s="45">
        <v>5274.144030372774</v>
      </c>
      <c r="ED34" s="45">
        <v>4119.577280472779</v>
      </c>
      <c r="EE34" s="45">
        <v>3165.2013342808027</v>
      </c>
      <c r="EF34" s="45">
        <v>1174.940098979493</v>
      </c>
      <c r="EG34" s="45">
        <v>5.960464477539062e-14</v>
      </c>
      <c r="EH34" s="46">
        <f>MAX(1,MIN(21,SUMPRODUCT(--($BT34:$CO34&gt;=Pu))))</f>
      </c>
      <c r="EI34" s="47">
        <f>(Pu-INDEX($BT34:$CO34,1,$EH34))/(INDEX($BT34:$CO34,1,$EH34+1)-INDEX($BT34:$CO34,1,$EH34))</f>
      </c>
      <c r="EJ34" s="39">
        <f>INDEX($CP34:$DK34,1,$EH34)+$EI34*(INDEX($CP34:$DK34,1,$EH34+1)-INDEX($CP34:$DK34,1,$EH34))</f>
      </c>
      <c r="EK34" s="39">
        <f>INDEX($DL34:$EG34,1,$EH34)+$EI34*(INDEX($DL34:$EG34,1,$EH34+1)-INDEX($DL34:$EG34,1,$EH34))</f>
      </c>
      <c r="EL34" s="39">
        <f>SQRT(EJ34^2+EK34^2)</f>
      </c>
      <c r="EM34" s="20">
        <f>EJ35-EJ34</f>
      </c>
      <c r="EN34" s="20">
        <f>EK35-EK34</f>
      </c>
      <c r="EO34" s="20">
        <f>EM34*SIN(RADIANS(theta_L))-EN34*COS(RADIANS(theta_L))</f>
      </c>
      <c r="EP34" s="47">
        <f>IF(EO34=0,"",-(EJ34*SIN(RADIANS(theta_L))-EK34*COS(RADIANS(theta_L)))/EO34)</f>
      </c>
      <c r="EQ34" s="20">
        <f>IF(EP34="","",(EJ34+EP34*EM34)*COS(RADIANS(theta_L))+(EK34+EP34*EN34)*SIN(RADIANS(theta_L)))</f>
      </c>
      <c r="ER34" s="20">
        <f>IF(OR(EP34="",EP34&lt;0,EP34&gt;1,EQ34&lt;0),"",EQ34)</f>
      </c>
    </row>
    <row r="35" spans="1:148" x14ac:dyDescent="0.25">
      <c r="A35">
        <v>28</v>
      </c>
      <c r="B35" s="44">
        <v>104.99999999999999</v>
      </c>
      <c r="C35" s="18">
        <v>827.9719877578095</v>
      </c>
      <c r="D35" s="18">
        <v>-734.4752754073227</v>
      </c>
      <c r="E35" s="18">
        <v>1562.4472631651322</v>
      </c>
      <c r="F35" s="16">
        <v>0.0033</v>
      </c>
      <c r="G35" s="16">
        <v>0</v>
      </c>
      <c r="H35" s="16">
        <v>0</v>
      </c>
      <c r="I35" s="16">
        <v>0.00275</v>
      </c>
      <c r="J35" s="16">
        <v>-1.719266797804098e-7</v>
      </c>
      <c r="K35" s="16">
        <v>6.416391041171146e-7</v>
      </c>
      <c r="L35" s="16">
        <v>0.0024749999999999998</v>
      </c>
      <c r="M35" s="16">
        <v>-2.578900196706148e-7</v>
      </c>
      <c r="N35" s="16">
        <v>9.624586561756721e-7</v>
      </c>
      <c r="O35" s="16">
        <v>0.0022</v>
      </c>
      <c r="P35" s="16">
        <v>-3.438533595608197e-7</v>
      </c>
      <c r="Q35" s="16">
        <v>0.0000012832782082342294</v>
      </c>
      <c r="R35" s="16">
        <v>0.001925</v>
      </c>
      <c r="S35" s="16">
        <v>-4.298166994510246e-7</v>
      </c>
      <c r="T35" s="16">
        <v>0.0000016040977602927868</v>
      </c>
      <c r="U35" s="16">
        <v>0.0018000000000000002</v>
      </c>
      <c r="V35" s="16">
        <v>-4.688909448556632e-7</v>
      </c>
      <c r="W35" s="16">
        <v>0.0000017499248294103126</v>
      </c>
      <c r="X35" s="16">
        <v>0.00165</v>
      </c>
      <c r="Y35" s="16">
        <v>-5.157800393412296e-7</v>
      </c>
      <c r="Z35" s="16">
        <v>0.0000019249173123513443</v>
      </c>
      <c r="AA35" s="16">
        <v>0.0015512641392671448</v>
      </c>
      <c r="AB35" s="16">
        <v>-5.4664427336134e-7</v>
      </c>
      <c r="AC35" s="16">
        <v>0.0000020401042018510924</v>
      </c>
      <c r="AD35" s="16">
        <v>0.0012863041603682272</v>
      </c>
      <c r="AE35" s="16">
        <v>-6.294691632645733e-7</v>
      </c>
      <c r="AF35" s="16">
        <v>0.0000023492108991012574</v>
      </c>
      <c r="AG35" s="16">
        <v>0.0010213441814693096</v>
      </c>
      <c r="AH35" s="16">
        <v>-7.122940531678067e-7</v>
      </c>
      <c r="AI35" s="16">
        <v>0.0000026583175963514233</v>
      </c>
      <c r="AJ35" s="16">
        <v>0.000756384202570392</v>
      </c>
      <c r="AK35" s="16">
        <v>-7.9511894307104e-7</v>
      </c>
      <c r="AL35" s="16">
        <v>0.000002967424293601589</v>
      </c>
      <c r="AM35" s="16">
        <v>0.0004914242236714749</v>
      </c>
      <c r="AN35" s="16">
        <v>-8.779438329742734e-7</v>
      </c>
      <c r="AO35" s="16">
        <v>0.000003276530990851754</v>
      </c>
      <c r="AP35" s="16">
        <v>-0.00003849573412636033</v>
      </c>
      <c r="AQ35" s="16">
        <v>-0.00000104359361278074</v>
      </c>
      <c r="AR35" s="16">
        <v>0.000003894744385352085</v>
      </c>
      <c r="AS35" s="16">
        <v>-0.0005684156919241947</v>
      </c>
      <c r="AT35" s="16">
        <v>-0.0000012092433925872067</v>
      </c>
      <c r="AU35" s="16">
        <v>0.000004512957779852416</v>
      </c>
      <c r="AV35" s="16">
        <v>-0.0010983356497220303</v>
      </c>
      <c r="AW35" s="16">
        <v>-0.0000013748931723936733</v>
      </c>
      <c r="AX35" s="16">
        <v>0.000005131171174352748</v>
      </c>
      <c r="AY35" s="16">
        <v>-0.0016282556075198646</v>
      </c>
      <c r="AZ35" s="16">
        <v>-0.00000154054295220014</v>
      </c>
      <c r="BA35" s="16">
        <v>0.000005749384568853078</v>
      </c>
      <c r="BB35" s="16">
        <v>-0.002688095523115535</v>
      </c>
      <c r="BC35" s="16">
        <v>-0.0000018718425118130737</v>
      </c>
      <c r="BD35" s="16">
        <v>0.000006985811357853741</v>
      </c>
      <c r="BE35" s="16">
        <v>-0.0037479354387112036</v>
      </c>
      <c r="BF35" s="16">
        <v>-0.0000022031420714260063</v>
      </c>
      <c r="BG35" s="16">
        <v>0.000008222238146854401</v>
      </c>
      <c r="BH35" s="16">
        <v>-0.00639753522770038</v>
      </c>
      <c r="BI35" s="16">
        <v>-0.00000303139097045834</v>
      </c>
      <c r="BJ35" s="16">
        <v>0.000011313305119356057</v>
      </c>
      <c r="BK35" s="16">
        <v>-0.009047135016689554</v>
      </c>
      <c r="BL35" s="16">
        <v>-0.0000038596398694906734</v>
      </c>
      <c r="BM35" s="16">
        <v>0.000014404372091857712</v>
      </c>
      <c r="BN35" s="16">
        <v>-0.01964553417264625</v>
      </c>
      <c r="BO35" s="16">
        <v>-0.000007172635465620006</v>
      </c>
      <c r="BP35" s="16">
        <v>0.00002676863998186433</v>
      </c>
      <c r="BQ35" s="16">
        <v>-0.05</v>
      </c>
      <c r="BR35" s="16">
        <v>0</v>
      </c>
      <c r="BS35" s="16">
        <v>0</v>
      </c>
      <c r="BT35" s="45">
        <v>33981.43387592912</v>
      </c>
      <c r="BU35" s="45">
        <v>33981.43387592912</v>
      </c>
      <c r="BV35" s="45">
        <v>33818.40603922908</v>
      </c>
      <c r="BW35" s="45">
        <v>32769.782435432186</v>
      </c>
      <c r="BX35" s="45">
        <v>30624.33979504141</v>
      </c>
      <c r="BY35" s="45">
        <v>29239.847936471182</v>
      </c>
      <c r="BZ35" s="45">
        <v>27219.380961440165</v>
      </c>
      <c r="CA35" s="45">
        <v>25715.54476915731</v>
      </c>
      <c r="CB35" s="45">
        <v>22178.533488350957</v>
      </c>
      <c r="CC35" s="45">
        <v>19343.971950996613</v>
      </c>
      <c r="CD35" s="45">
        <v>16590.980707414503</v>
      </c>
      <c r="CE35" s="45">
        <v>13903.152056407438</v>
      </c>
      <c r="CF35" s="45">
        <v>9868.47672275745</v>
      </c>
      <c r="CG35" s="45">
        <v>7519.269763156598</v>
      </c>
      <c r="CH35" s="45">
        <v>6082.687415509824</v>
      </c>
      <c r="CI35" s="45">
        <v>5011.823633505948</v>
      </c>
      <c r="CJ35" s="45">
        <v>3416.478873931834</v>
      </c>
      <c r="CK35" s="45">
        <v>2188.792394524472</v>
      </c>
      <c r="CL35" s="45">
        <v>-130.4751633406519</v>
      </c>
      <c r="CM35" s="45">
        <v>-1741.582949289681</v>
      </c>
      <c r="CN35" s="45">
        <v>-4507.374190883023</v>
      </c>
      <c r="CO35" s="45">
        <v>-5790.583579096708</v>
      </c>
      <c r="CP35" s="45">
        <v>6.55418261885643e-13</v>
      </c>
      <c r="CQ35" s="45">
        <v>6.55418261885643e-13</v>
      </c>
      <c r="CR35" s="45">
        <v>-21.368286496742037</v>
      </c>
      <c r="CS35" s="45">
        <v>-156.81635089990698</v>
      </c>
      <c r="CT35" s="45">
        <v>-395.0656042086502</v>
      </c>
      <c r="CU35" s="45">
        <v>-542.2086232544503</v>
      </c>
      <c r="CV35" s="45">
        <v>-742.2710721369159</v>
      </c>
      <c r="CW35" s="45">
        <v>-873.6831478158115</v>
      </c>
      <c r="CX35" s="45">
        <v>-1025.5281109134532</v>
      </c>
      <c r="CY35" s="45">
        <v>-1120.111053332743</v>
      </c>
      <c r="CZ35" s="45">
        <v>-1222.3985019036397</v>
      </c>
      <c r="DA35" s="45">
        <v>-1297.388590833624</v>
      </c>
      <c r="DB35" s="45">
        <v>-1289.28951743428</v>
      </c>
      <c r="DC35" s="45">
        <v>-1200.6382766517872</v>
      </c>
      <c r="DD35" s="45">
        <v>-1127.9486962153396</v>
      </c>
      <c r="DE35" s="45">
        <v>-1085.286117262924</v>
      </c>
      <c r="DF35" s="45">
        <v>-1073.019111593629</v>
      </c>
      <c r="DG35" s="45">
        <v>-1043.1118391608532</v>
      </c>
      <c r="DH35" s="45">
        <v>-888.6228065351205</v>
      </c>
      <c r="DI35" s="45">
        <v>-712.4681983914058</v>
      </c>
      <c r="DJ35" s="45">
        <v>-356.27151386596717</v>
      </c>
      <c r="DK35" s="45">
        <v>0</v>
      </c>
      <c r="DL35" s="45">
        <v>-5.220063030719757e-12</v>
      </c>
      <c r="DM35" s="45">
        <v>-5.220063030719757e-12</v>
      </c>
      <c r="DN35" s="45">
        <v>107.93190686492629</v>
      </c>
      <c r="DO35" s="45">
        <v>732.8326240678284</v>
      </c>
      <c r="DP35" s="45">
        <v>1883.4959077363367</v>
      </c>
      <c r="DQ35" s="45">
        <v>2576.145384085302</v>
      </c>
      <c r="DR35" s="45">
        <v>3546.5830592607326</v>
      </c>
      <c r="DS35" s="45">
        <v>4238.775058798929</v>
      </c>
      <c r="DT35" s="45">
        <v>5536.473641520165</v>
      </c>
      <c r="DU35" s="45">
        <v>6151.286398126937</v>
      </c>
      <c r="DV35" s="45">
        <v>6552.852831846281</v>
      </c>
      <c r="DW35" s="45">
        <v>6841.712816582227</v>
      </c>
      <c r="DX35" s="45">
        <v>6876.743975556113</v>
      </c>
      <c r="DY35" s="45">
        <v>6639.075791207869</v>
      </c>
      <c r="DZ35" s="45">
        <v>6368.942029264384</v>
      </c>
      <c r="EA35" s="45">
        <v>6081.068185215819</v>
      </c>
      <c r="EB35" s="45">
        <v>5484.285666480576</v>
      </c>
      <c r="EC35" s="45">
        <v>4916.9521913493045</v>
      </c>
      <c r="ED35" s="45">
        <v>3658.0237966797604</v>
      </c>
      <c r="EE35" s="45">
        <v>2685.340876245429</v>
      </c>
      <c r="EF35" s="45">
        <v>886.793416407936</v>
      </c>
      <c r="EG35" s="45">
        <v>5.960464477539062e-14</v>
      </c>
      <c r="EH35" s="46">
        <f>MAX(1,MIN(21,SUMPRODUCT(--($BT35:$CO35&gt;=Pu))))</f>
      </c>
      <c r="EI35" s="47">
        <f>(Pu-INDEX($BT35:$CO35,1,$EH35))/(INDEX($BT35:$CO35,1,$EH35+1)-INDEX($BT35:$CO35,1,$EH35))</f>
      </c>
      <c r="EJ35" s="39">
        <f>INDEX($CP35:$DK35,1,$EH35)+$EI35*(INDEX($CP35:$DK35,1,$EH35+1)-INDEX($CP35:$DK35,1,$EH35))</f>
      </c>
      <c r="EK35" s="39">
        <f>INDEX($DL35:$EG35,1,$EH35)+$EI35*(INDEX($DL35:$EG35,1,$EH35+1)-INDEX($DL35:$EG35,1,$EH35))</f>
      </c>
      <c r="EL35" s="39">
        <f>SQRT(EJ35^2+EK35^2)</f>
      </c>
      <c r="EM35" s="20">
        <f>EJ36-EJ35</f>
      </c>
      <c r="EN35" s="20">
        <f>EK36-EK35</f>
      </c>
      <c r="EO35" s="20">
        <f>EM35*SIN(RADIANS(theta_L))-EN35*COS(RADIANS(theta_L))</f>
      </c>
      <c r="EP35" s="47">
        <f>IF(EO35=0,"",-(EJ35*SIN(RADIANS(theta_L))-EK35*COS(RADIANS(theta_L)))/EO35)</f>
      </c>
      <c r="EQ35" s="20">
        <f>IF(EP35="","",(EJ35+EP35*EM35)*COS(RADIANS(theta_L))+(EK35+EP35*EN35)*SIN(RADIANS(theta_L)))</f>
      </c>
      <c r="ER35" s="20">
        <f>IF(OR(EP35="",EP35&lt;0,EP35&gt;1,EQ35&lt;0),"",EQ35)</f>
      </c>
    </row>
    <row r="36" spans="1:148" x14ac:dyDescent="0.25">
      <c r="A36">
        <v>29</v>
      </c>
      <c r="B36" s="44">
        <v>109.99999999999999</v>
      </c>
      <c r="C36" s="18">
        <v>841.5775229196987</v>
      </c>
      <c r="D36" s="18">
        <v>-741.5970251321183</v>
      </c>
      <c r="E36" s="18">
        <v>1583.174548051817</v>
      </c>
      <c r="F36" s="16">
        <v>0.0033</v>
      </c>
      <c r="G36" s="16">
        <v>0</v>
      </c>
      <c r="H36" s="16">
        <v>0</v>
      </c>
      <c r="I36" s="16">
        <v>0.00275</v>
      </c>
      <c r="J36" s="16">
        <v>-2.2352198544526334e-7</v>
      </c>
      <c r="K36" s="16">
        <v>6.141216077625262e-7</v>
      </c>
      <c r="L36" s="16">
        <v>0.0024749999999999998</v>
      </c>
      <c r="M36" s="16">
        <v>-3.35282978167895e-7</v>
      </c>
      <c r="N36" s="16">
        <v>9.211824116437893e-7</v>
      </c>
      <c r="O36" s="16">
        <v>0.0021999999999999997</v>
      </c>
      <c r="P36" s="16">
        <v>-4.4704397089052667e-7</v>
      </c>
      <c r="Q36" s="16">
        <v>0.0000012282432155250523</v>
      </c>
      <c r="R36" s="16">
        <v>0.001925</v>
      </c>
      <c r="S36" s="16">
        <v>-5.588049636131583e-7</v>
      </c>
      <c r="T36" s="16">
        <v>0.0000015353040194063156</v>
      </c>
      <c r="U36" s="16">
        <v>0.0018000000000000002</v>
      </c>
      <c r="V36" s="16">
        <v>-6.096054148507182e-7</v>
      </c>
      <c r="W36" s="16">
        <v>0.0000016748771120796169</v>
      </c>
      <c r="X36" s="16">
        <v>0.00165</v>
      </c>
      <c r="Y36" s="16">
        <v>-6.7056595633579e-7</v>
      </c>
      <c r="Z36" s="16">
        <v>0.0000018423648232875786</v>
      </c>
      <c r="AA36" s="16">
        <v>0.0015457993472340055</v>
      </c>
      <c r="AB36" s="16">
        <v>-7.129134777738765e-7</v>
      </c>
      <c r="AC36" s="16">
        <v>0.000001958713682208592</v>
      </c>
      <c r="AD36" s="16">
        <v>0.0012800113695421883</v>
      </c>
      <c r="AE36" s="16">
        <v>-8.209306713759789e-7</v>
      </c>
      <c r="AF36" s="16">
        <v>0.000002255488482543227</v>
      </c>
      <c r="AG36" s="16">
        <v>0.0010142233918503706</v>
      </c>
      <c r="AH36" s="16">
        <v>-9.289478649780815e-7</v>
      </c>
      <c r="AI36" s="16">
        <v>0.000002552263282877862</v>
      </c>
      <c r="AJ36" s="16">
        <v>0.0007484354141585529</v>
      </c>
      <c r="AK36" s="16">
        <v>-0.0000010369650585801842</v>
      </c>
      <c r="AL36" s="16">
        <v>0.0000028490380832124976</v>
      </c>
      <c r="AM36" s="16">
        <v>0.00048264743646673613</v>
      </c>
      <c r="AN36" s="16">
        <v>-0.0000011449822521822864</v>
      </c>
      <c r="AO36" s="16">
        <v>0.0000031458128835471323</v>
      </c>
      <c r="AP36" s="16">
        <v>-0.00004892851891689833</v>
      </c>
      <c r="AQ36" s="16">
        <v>-0.0000013610166393864915</v>
      </c>
      <c r="AR36" s="16">
        <v>0.0000037393624842164025</v>
      </c>
      <c r="AS36" s="16">
        <v>-0.0005805044743005328</v>
      </c>
      <c r="AT36" s="16">
        <v>-0.0000015770510265906963</v>
      </c>
      <c r="AU36" s="16">
        <v>0.000004332912084885673</v>
      </c>
      <c r="AV36" s="16">
        <v>-0.0011120804296841681</v>
      </c>
      <c r="AW36" s="16">
        <v>-0.0000017930854137949016</v>
      </c>
      <c r="AX36" s="16">
        <v>0.000004926461685554944</v>
      </c>
      <c r="AY36" s="16">
        <v>-0.0016436563850678017</v>
      </c>
      <c r="AZ36" s="16">
        <v>-0.000002009119800999106</v>
      </c>
      <c r="BA36" s="16">
        <v>0.000005520011286224212</v>
      </c>
      <c r="BB36" s="16">
        <v>-0.0027068082958350724</v>
      </c>
      <c r="BC36" s="16">
        <v>-0.0000024411885754075166</v>
      </c>
      <c r="BD36" s="16">
        <v>0.0000067071104875627544</v>
      </c>
      <c r="BE36" s="16">
        <v>-0.0037699602066023413</v>
      </c>
      <c r="BF36" s="16">
        <v>-0.0000028732573498159264</v>
      </c>
      <c r="BG36" s="16">
        <v>0.000007894209688901294</v>
      </c>
      <c r="BH36" s="16">
        <v>-0.006427839983520515</v>
      </c>
      <c r="BI36" s="16">
        <v>-0.000003953429285836952</v>
      </c>
      <c r="BJ36" s="16">
        <v>0.000010861957692247647</v>
      </c>
      <c r="BK36" s="16">
        <v>-0.009085719760438687</v>
      </c>
      <c r="BL36" s="16">
        <v>-0.000005033601221857976</v>
      </c>
      <c r="BM36" s="16">
        <v>0.000013829705695593998</v>
      </c>
      <c r="BN36" s="16">
        <v>-0.01971723886811138</v>
      </c>
      <c r="BO36" s="16">
        <v>-0.000009354288965942075</v>
      </c>
      <c r="BP36" s="16">
        <v>0.0000257006977089794</v>
      </c>
      <c r="BQ36" s="16">
        <v>-0.05</v>
      </c>
      <c r="BR36" s="16">
        <v>0</v>
      </c>
      <c r="BS36" s="16">
        <v>0</v>
      </c>
      <c r="BT36" s="45">
        <v>33981.43387592912</v>
      </c>
      <c r="BU36" s="45">
        <v>33981.43387592912</v>
      </c>
      <c r="BV36" s="45">
        <v>33836.34683483384</v>
      </c>
      <c r="BW36" s="45">
        <v>32825.40991692369</v>
      </c>
      <c r="BX36" s="45">
        <v>30736.23599089433</v>
      </c>
      <c r="BY36" s="45">
        <v>29379.98622408417</v>
      </c>
      <c r="BZ36" s="45">
        <v>27414.136149591624</v>
      </c>
      <c r="CA36" s="45">
        <v>25850.015384867576</v>
      </c>
      <c r="CB36" s="45">
        <v>22255.70394684678</v>
      </c>
      <c r="CC36" s="45">
        <v>19344.455695562647</v>
      </c>
      <c r="CD36" s="45">
        <v>16542.17466366308</v>
      </c>
      <c r="CE36" s="45">
        <v>13847.865258732154</v>
      </c>
      <c r="CF36" s="45">
        <v>9770.62220874658</v>
      </c>
      <c r="CG36" s="45">
        <v>7424.504488016121</v>
      </c>
      <c r="CH36" s="45">
        <v>5858.5095326173905</v>
      </c>
      <c r="CI36" s="45">
        <v>4737.69646944351</v>
      </c>
      <c r="CJ36" s="45">
        <v>3038.482733475703</v>
      </c>
      <c r="CK36" s="45">
        <v>1687.7371041771169</v>
      </c>
      <c r="CL36" s="45">
        <v>-653.0454433987727</v>
      </c>
      <c r="CM36" s="45">
        <v>-2196.679644703563</v>
      </c>
      <c r="CN36" s="45">
        <v>-4679.206242630987</v>
      </c>
      <c r="CO36" s="45">
        <v>-5790.583579096708</v>
      </c>
      <c r="CP36" s="45">
        <v>6.55418261885643e-13</v>
      </c>
      <c r="CQ36" s="45">
        <v>6.55418261885643e-13</v>
      </c>
      <c r="CR36" s="45">
        <v>-27.197853444145174</v>
      </c>
      <c r="CS36" s="45">
        <v>-198.56492753808266</v>
      </c>
      <c r="CT36" s="45">
        <v>-507.06557215701474</v>
      </c>
      <c r="CU36" s="45">
        <v>-693.2947561608717</v>
      </c>
      <c r="CV36" s="45">
        <v>-953.4940600144416</v>
      </c>
      <c r="CW36" s="45">
        <v>-1138.4895333770012</v>
      </c>
      <c r="CX36" s="45">
        <v>-1371.2308207226615</v>
      </c>
      <c r="CY36" s="45">
        <v>-1504.7742468466736</v>
      </c>
      <c r="CZ36" s="45">
        <v>-1632.6491010601376</v>
      </c>
      <c r="DA36" s="45">
        <v>-1726.9872658107029</v>
      </c>
      <c r="DB36" s="45">
        <v>-1701.7554178569394</v>
      </c>
      <c r="DC36" s="45">
        <v>-1603.1410952148817</v>
      </c>
      <c r="DD36" s="45">
        <v>-1516.2443442677984</v>
      </c>
      <c r="DE36" s="45">
        <v>-1467.9049465577511</v>
      </c>
      <c r="DF36" s="45">
        <v>-1402.7974461308804</v>
      </c>
      <c r="DG36" s="45">
        <v>-1328.0282825677607</v>
      </c>
      <c r="DH36" s="45">
        <v>-1065.144384227219</v>
      </c>
      <c r="DI36" s="45">
        <v>-843.1669953420247</v>
      </c>
      <c r="DJ36" s="45">
        <v>-346.0743108155071</v>
      </c>
      <c r="DK36" s="45">
        <v>0</v>
      </c>
      <c r="DL36" s="45">
        <v>-5.220063030719757e-12</v>
      </c>
      <c r="DM36" s="45">
        <v>-5.220063030719757e-12</v>
      </c>
      <c r="DN36" s="45">
        <v>94.33843637037602</v>
      </c>
      <c r="DO36" s="45">
        <v>686.5204544891857</v>
      </c>
      <c r="DP36" s="45">
        <v>1782.7729045974097</v>
      </c>
      <c r="DQ36" s="45">
        <v>2445.237922204549</v>
      </c>
      <c r="DR36" s="45">
        <v>3374.8904879406678</v>
      </c>
      <c r="DS36" s="45">
        <v>4071.946288972635</v>
      </c>
      <c r="DT36" s="45">
        <v>5365.239477580422</v>
      </c>
      <c r="DU36" s="45">
        <v>6005.70318688497</v>
      </c>
      <c r="DV36" s="45">
        <v>6408.304460633652</v>
      </c>
      <c r="DW36" s="45">
        <v>6683.197364866203</v>
      </c>
      <c r="DX36" s="45">
        <v>6731.486218850721</v>
      </c>
      <c r="DY36" s="45">
        <v>6468.085420216953</v>
      </c>
      <c r="DZ36" s="45">
        <v>6165.800537140165</v>
      </c>
      <c r="EA36" s="45">
        <v>5831.121893805829</v>
      </c>
      <c r="EB36" s="45">
        <v>5178.0258454515015</v>
      </c>
      <c r="EC36" s="45">
        <v>4551.79002792473</v>
      </c>
      <c r="ED36" s="45">
        <v>3272.0001815230416</v>
      </c>
      <c r="EE36" s="45">
        <v>2341.8086233153927</v>
      </c>
      <c r="EF36" s="45">
        <v>763.341964116267</v>
      </c>
      <c r="EG36" s="45">
        <v>5.960464477539062e-14</v>
      </c>
      <c r="EH36" s="46">
        <f>MAX(1,MIN(21,SUMPRODUCT(--($BT36:$CO36&gt;=Pu))))</f>
      </c>
      <c r="EI36" s="47">
        <f>(Pu-INDEX($BT36:$CO36,1,$EH36))/(INDEX($BT36:$CO36,1,$EH36+1)-INDEX($BT36:$CO36,1,$EH36))</f>
      </c>
      <c r="EJ36" s="39">
        <f>INDEX($CP36:$DK36,1,$EH36)+$EI36*(INDEX($CP36:$DK36,1,$EH36+1)-INDEX($CP36:$DK36,1,$EH36))</f>
      </c>
      <c r="EK36" s="39">
        <f>INDEX($DL36:$EG36,1,$EH36)+$EI36*(INDEX($DL36:$EG36,1,$EH36+1)-INDEX($DL36:$EG36,1,$EH36))</f>
      </c>
      <c r="EL36" s="39">
        <f>SQRT(EJ36^2+EK36^2)</f>
      </c>
      <c r="EM36" s="20">
        <f>EJ37-EJ36</f>
      </c>
      <c r="EN36" s="20">
        <f>EK37-EK36</f>
      </c>
      <c r="EO36" s="20">
        <f>EM36*SIN(RADIANS(theta_L))-EN36*COS(RADIANS(theta_L))</f>
      </c>
      <c r="EP36" s="47">
        <f>IF(EO36=0,"",-(EJ36*SIN(RADIANS(theta_L))-EK36*COS(RADIANS(theta_L)))/EO36)</f>
      </c>
      <c r="EQ36" s="20">
        <f>IF(EP36="","",(EJ36+EP36*EM36)*COS(RADIANS(theta_L))+(EK36+EP36*EN36)*SIN(RADIANS(theta_L)))</f>
      </c>
      <c r="ER36" s="20">
        <f>IF(OR(EP36="",EP36&lt;0,EP36&gt;1,EQ36&lt;0),"",EQ36)</f>
      </c>
    </row>
    <row r="37" spans="1:148" x14ac:dyDescent="0.25">
      <c r="A37">
        <v>30</v>
      </c>
      <c r="B37" s="44">
        <v>114.99999999999999</v>
      </c>
      <c r="C37" s="18">
        <v>848.7781449737673</v>
      </c>
      <c r="D37" s="18">
        <v>-743.0747737071318</v>
      </c>
      <c r="E37" s="18">
        <v>1591.8529186808992</v>
      </c>
      <c r="F37" s="16">
        <v>0.0033</v>
      </c>
      <c r="G37" s="16">
        <v>0</v>
      </c>
      <c r="H37" s="16">
        <v>0</v>
      </c>
      <c r="I37" s="16">
        <v>0.00275</v>
      </c>
      <c r="J37" s="16">
        <v>-2.7385253182334064e-7</v>
      </c>
      <c r="K37" s="16">
        <v>5.872786496942183e-7</v>
      </c>
      <c r="L37" s="16">
        <v>0.0024749999999999998</v>
      </c>
      <c r="M37" s="16">
        <v>-4.1077879773501094e-7</v>
      </c>
      <c r="N37" s="16">
        <v>8.809179745413275e-7</v>
      </c>
      <c r="O37" s="16">
        <v>0.0021999999999999997</v>
      </c>
      <c r="P37" s="16">
        <v>-5.477050636466813e-7</v>
      </c>
      <c r="Q37" s="16">
        <v>0.0000011745572993884366</v>
      </c>
      <c r="R37" s="16">
        <v>0.001925</v>
      </c>
      <c r="S37" s="16">
        <v>-6.846313295583515e-7</v>
      </c>
      <c r="T37" s="16">
        <v>0.0000014681966242355457</v>
      </c>
      <c r="U37" s="16">
        <v>0.0018000000000000002</v>
      </c>
      <c r="V37" s="16">
        <v>-7.468705413363834e-7</v>
      </c>
      <c r="W37" s="16">
        <v>0.0000016016690446205952</v>
      </c>
      <c r="X37" s="16">
        <v>0.0016499999999999998</v>
      </c>
      <c r="Y37" s="16">
        <v>-8.215575954700219e-7</v>
      </c>
      <c r="Z37" s="16">
        <v>0.000001761835949082655</v>
      </c>
      <c r="AA37" s="16">
        <v>0.0015404355040951427</v>
      </c>
      <c r="AB37" s="16">
        <v>-8.761112583818277e-7</v>
      </c>
      <c r="AC37" s="16">
        <v>0.000001878826656736168</v>
      </c>
      <c r="AD37" s="16">
        <v>0.001273834822897437</v>
      </c>
      <c r="AE37" s="16">
        <v>-0.0000010088553884396806</v>
      </c>
      <c r="AF37" s="16">
        <v>0.0000021634973623022545</v>
      </c>
      <c r="AG37" s="16">
        <v>0.0010072341416997315</v>
      </c>
      <c r="AH37" s="16">
        <v>-0.0000011415995184975331</v>
      </c>
      <c r="AI37" s="16">
        <v>0.0000024481680678683405</v>
      </c>
      <c r="AJ37" s="16">
        <v>0.0007406334605020255</v>
      </c>
      <c r="AK37" s="16">
        <v>-0.000001274343648555386</v>
      </c>
      <c r="AL37" s="16">
        <v>0.000002732838773434427</v>
      </c>
      <c r="AM37" s="16">
        <v>0.00047403277930431996</v>
      </c>
      <c r="AN37" s="16">
        <v>-0.0000014070877786132383</v>
      </c>
      <c r="AO37" s="16">
        <v>0.0000030175094790005125</v>
      </c>
      <c r="AP37" s="16">
        <v>-0.00005916858309109154</v>
      </c>
      <c r="AQ37" s="16">
        <v>-0.0000016725760387289438</v>
      </c>
      <c r="AR37" s="16">
        <v>0.0000035868508901326846</v>
      </c>
      <c r="AS37" s="16">
        <v>-0.0005923699454865026</v>
      </c>
      <c r="AT37" s="16">
        <v>-0.000001938064298844649</v>
      </c>
      <c r="AU37" s="16">
        <v>0.000004156192301264857</v>
      </c>
      <c r="AV37" s="16">
        <v>-0.001125571307881914</v>
      </c>
      <c r="AW37" s="16">
        <v>-0.0000022035525589603545</v>
      </c>
      <c r="AX37" s="16">
        <v>0.000004725533712397029</v>
      </c>
      <c r="AY37" s="16">
        <v>-0.0016587726702773252</v>
      </c>
      <c r="AZ37" s="16">
        <v>-0.0000024690408190760597</v>
      </c>
      <c r="BA37" s="16">
        <v>0.000005294875123529201</v>
      </c>
      <c r="BB37" s="16">
        <v>-0.002725175395068148</v>
      </c>
      <c r="BC37" s="16">
        <v>-0.000003000017339307471</v>
      </c>
      <c r="BD37" s="16">
        <v>0.000006433557945793546</v>
      </c>
      <c r="BE37" s="16">
        <v>-0.0037915781198589703</v>
      </c>
      <c r="BF37" s="16">
        <v>-0.000003530993859538881</v>
      </c>
      <c r="BG37" s="16">
        <v>0.000007572240768057889</v>
      </c>
      <c r="BH37" s="16">
        <v>-0.0064575849318360265</v>
      </c>
      <c r="BI37" s="16">
        <v>-0.0000048584351601174085</v>
      </c>
      <c r="BJ37" s="16">
        <v>0.000010418947823718751</v>
      </c>
      <c r="BK37" s="16">
        <v>-0.009123591743813084</v>
      </c>
      <c r="BL37" s="16">
        <v>-0.000006185876460695935</v>
      </c>
      <c r="BM37" s="16">
        <v>0.000013265654879379612</v>
      </c>
      <c r="BN37" s="16">
        <v>-0.019787618991721306</v>
      </c>
      <c r="BO37" s="16">
        <v>-0.000011495641663010041</v>
      </c>
      <c r="BP37" s="16">
        <v>0.000024652483102023053</v>
      </c>
      <c r="BQ37" s="16">
        <v>-0.05</v>
      </c>
      <c r="BR37" s="16">
        <v>0</v>
      </c>
      <c r="BS37" s="16">
        <v>0</v>
      </c>
      <c r="BT37" s="45">
        <v>33981.43387592912</v>
      </c>
      <c r="BU37" s="45">
        <v>33981.43387592912</v>
      </c>
      <c r="BV37" s="45">
        <v>33851.889724032735</v>
      </c>
      <c r="BW37" s="45">
        <v>32862.89676446571</v>
      </c>
      <c r="BX37" s="45">
        <v>30817.792888485394</v>
      </c>
      <c r="BY37" s="45">
        <v>29484.091730313015</v>
      </c>
      <c r="BZ37" s="45">
        <v>27536.312144737876</v>
      </c>
      <c r="CA37" s="45">
        <v>25923.930981280966</v>
      </c>
      <c r="CB37" s="45">
        <v>22321.47813913488</v>
      </c>
      <c r="CC37" s="45">
        <v>19321.61767691384</v>
      </c>
      <c r="CD37" s="45">
        <v>16487.3699000822</v>
      </c>
      <c r="CE37" s="45">
        <v>13793.190184465471</v>
      </c>
      <c r="CF37" s="45">
        <v>9675.766938655632</v>
      </c>
      <c r="CG37" s="45">
        <v>7300.785134168563</v>
      </c>
      <c r="CH37" s="45">
        <v>5669.983670786448</v>
      </c>
      <c r="CI37" s="45">
        <v>4457.489136164521</v>
      </c>
      <c r="CJ37" s="45">
        <v>2680.952017985967</v>
      </c>
      <c r="CK37" s="45">
        <v>1310.6932346803178</v>
      </c>
      <c r="CL37" s="45">
        <v>-994.9315183727061</v>
      </c>
      <c r="CM37" s="45">
        <v>-2510.358490500235</v>
      </c>
      <c r="CN37" s="45">
        <v>-4792.744426713409</v>
      </c>
      <c r="CO37" s="45">
        <v>-5790.583579096708</v>
      </c>
      <c r="CP37" s="45">
        <v>6.55418261885643e-13</v>
      </c>
      <c r="CQ37" s="45">
        <v>6.55418261885643e-13</v>
      </c>
      <c r="CR37" s="45">
        <v>-32.6920241848922</v>
      </c>
      <c r="CS37" s="45">
        <v>-237.13434181447863</v>
      </c>
      <c r="CT37" s="45">
        <v>-614.6483704577355</v>
      </c>
      <c r="CU37" s="45">
        <v>-837.0430680808772</v>
      </c>
      <c r="CV37" s="45">
        <v>-1155.932247121378</v>
      </c>
      <c r="CW37" s="45">
        <v>-1401.6357982329366</v>
      </c>
      <c r="CX37" s="45">
        <v>-1717.4692136599456</v>
      </c>
      <c r="CY37" s="45">
        <v>-1893.846937355263</v>
      </c>
      <c r="CZ37" s="45">
        <v>-2053.725202150257</v>
      </c>
      <c r="DA37" s="45">
        <v>-2162.412751450454</v>
      </c>
      <c r="DB37" s="45">
        <v>-2124.398296854525</v>
      </c>
      <c r="DC37" s="45">
        <v>-2010.362007359089</v>
      </c>
      <c r="DD37" s="45">
        <v>-1906.1475315766245</v>
      </c>
      <c r="DE37" s="45">
        <v>-1837.5211810760534</v>
      </c>
      <c r="DF37" s="45">
        <v>-1706.3471423563585</v>
      </c>
      <c r="DG37" s="45">
        <v>-1555.1786413371865</v>
      </c>
      <c r="DH37" s="45">
        <v>-1212.7176641300414</v>
      </c>
      <c r="DI37" s="45">
        <v>-956.8686469973645</v>
      </c>
      <c r="DJ37" s="45">
        <v>-347.46531008068035</v>
      </c>
      <c r="DK37" s="45">
        <v>0</v>
      </c>
      <c r="DL37" s="45">
        <v>-5.220063030719757e-12</v>
      </c>
      <c r="DM37" s="45">
        <v>-5.220063030719757e-12</v>
      </c>
      <c r="DN37" s="45">
        <v>82.33890834460793</v>
      </c>
      <c r="DO37" s="45">
        <v>647.9093370586824</v>
      </c>
      <c r="DP37" s="45">
        <v>1692.6607761215378</v>
      </c>
      <c r="DQ37" s="45">
        <v>2327.5932347951025</v>
      </c>
      <c r="DR37" s="45">
        <v>3213.760588519104</v>
      </c>
      <c r="DS37" s="45">
        <v>3911.1112123812236</v>
      </c>
      <c r="DT37" s="45">
        <v>5170.896019596893</v>
      </c>
      <c r="DU37" s="45">
        <v>5829.743136722966</v>
      </c>
      <c r="DV37" s="45">
        <v>6232.460805212224</v>
      </c>
      <c r="DW37" s="45">
        <v>6494.225020833561</v>
      </c>
      <c r="DX37" s="45">
        <v>6543.281151706038</v>
      </c>
      <c r="DY37" s="45">
        <v>6247.203150671166</v>
      </c>
      <c r="DZ37" s="45">
        <v>5912.366485796704</v>
      </c>
      <c r="EA37" s="45">
        <v>5552.079575691769</v>
      </c>
      <c r="EB37" s="45">
        <v>4865.585201852195</v>
      </c>
      <c r="EC37" s="45">
        <v>4228.358044869717</v>
      </c>
      <c r="ED37" s="45">
        <v>2988.1667416419687</v>
      </c>
      <c r="EE37" s="45">
        <v>2091.5146937866666</v>
      </c>
      <c r="EF37" s="45">
        <v>679.1016209018615</v>
      </c>
      <c r="EG37" s="45">
        <v>5.960464477539062e-14</v>
      </c>
      <c r="EH37" s="46">
        <f>MAX(1,MIN(21,SUMPRODUCT(--($BT37:$CO37&gt;=Pu))))</f>
      </c>
      <c r="EI37" s="47">
        <f>(Pu-INDEX($BT37:$CO37,1,$EH37))/(INDEX($BT37:$CO37,1,$EH37+1)-INDEX($BT37:$CO37,1,$EH37))</f>
      </c>
      <c r="EJ37" s="39">
        <f>INDEX($CP37:$DK37,1,$EH37)+$EI37*(INDEX($CP37:$DK37,1,$EH37+1)-INDEX($CP37:$DK37,1,$EH37))</f>
      </c>
      <c r="EK37" s="39">
        <f>INDEX($DL37:$EG37,1,$EH37)+$EI37*(INDEX($DL37:$EG37,1,$EH37+1)-INDEX($DL37:$EG37,1,$EH37))</f>
      </c>
      <c r="EL37" s="39">
        <f>SQRT(EJ37^2+EK37^2)</f>
      </c>
      <c r="EM37" s="20">
        <f>EJ38-EJ37</f>
      </c>
      <c r="EN37" s="20">
        <f>EK38-EK37</f>
      </c>
      <c r="EO37" s="20">
        <f>EM37*SIN(RADIANS(theta_L))-EN37*COS(RADIANS(theta_L))</f>
      </c>
      <c r="EP37" s="47">
        <f>IF(EO37=0,"",-(EJ37*SIN(RADIANS(theta_L))-EK37*COS(RADIANS(theta_L)))/EO37)</f>
      </c>
      <c r="EQ37" s="20">
        <f>IF(EP37="","",(EJ37+EP37*EM37)*COS(RADIANS(theta_L))+(EK37+EP37*EN37)*SIN(RADIANS(theta_L)))</f>
      </c>
      <c r="ER37" s="20">
        <f>IF(OR(EP37="",EP37&lt;0,EP37&gt;1,EQ37&lt;0),"",EQ37)</f>
      </c>
    </row>
    <row r="38" spans="1:148" x14ac:dyDescent="0.25">
      <c r="A38">
        <v>31</v>
      </c>
      <c r="B38" s="44">
        <v>119.99999999999999</v>
      </c>
      <c r="C38" s="18">
        <v>849.5190528383289</v>
      </c>
      <c r="D38" s="18">
        <v>-738.8972745734184</v>
      </c>
      <c r="E38" s="18">
        <v>1588.4163274117473</v>
      </c>
      <c r="F38" s="16">
        <v>0.0033</v>
      </c>
      <c r="G38" s="16">
        <v>0</v>
      </c>
      <c r="H38" s="16">
        <v>0</v>
      </c>
      <c r="I38" s="16">
        <v>0.00275</v>
      </c>
      <c r="J38" s="16">
        <v>-3.237125748753923e-7</v>
      </c>
      <c r="K38" s="16">
        <v>5.606866267331242e-7</v>
      </c>
      <c r="L38" s="16">
        <v>0.0024749999999999998</v>
      </c>
      <c r="M38" s="16">
        <v>-4.855688623130884e-7</v>
      </c>
      <c r="N38" s="16">
        <v>8.410299400996863e-7</v>
      </c>
      <c r="O38" s="16">
        <v>0.0021999999999999997</v>
      </c>
      <c r="P38" s="16">
        <v>-6.474251497507846e-7</v>
      </c>
      <c r="Q38" s="16">
        <v>0.0000011213732534662485</v>
      </c>
      <c r="R38" s="16">
        <v>0.0019249999999999998</v>
      </c>
      <c r="S38" s="16">
        <v>-8.092814371884808e-7</v>
      </c>
      <c r="T38" s="16">
        <v>0.0000014017165668328106</v>
      </c>
      <c r="U38" s="16">
        <v>0.0018000000000000002</v>
      </c>
      <c r="V38" s="16">
        <v>-8.828524769328879e-7</v>
      </c>
      <c r="W38" s="16">
        <v>0.000001529145345635793</v>
      </c>
      <c r="X38" s="16">
        <v>0.00165</v>
      </c>
      <c r="Y38" s="16">
        <v>-9.711377246261769e-7</v>
      </c>
      <c r="Z38" s="16">
        <v>0.0000016820598801993726</v>
      </c>
      <c r="AA38" s="16">
        <v>0.0015350893616571418</v>
      </c>
      <c r="AB38" s="16">
        <v>-0.000001038770485750798</v>
      </c>
      <c r="AC38" s="16">
        <v>0.0000017992032587233854</v>
      </c>
      <c r="AD38" s="16">
        <v>0.001267678658877921</v>
      </c>
      <c r="AE38" s="16">
        <v>-0.0000011961599532887976</v>
      </c>
      <c r="AF38" s="16">
        <v>0.0000020718098130754136</v>
      </c>
      <c r="AG38" s="16">
        <v>0.0010002679560986998</v>
      </c>
      <c r="AH38" s="16">
        <v>-0.0000013535494208267973</v>
      </c>
      <c r="AI38" s="16">
        <v>0.0000023444163674274418</v>
      </c>
      <c r="AJ38" s="16">
        <v>0.0007328572533194786</v>
      </c>
      <c r="AK38" s="16">
        <v>-0.0000015109388883647972</v>
      </c>
      <c r="AL38" s="16">
        <v>0.00000261702292177947</v>
      </c>
      <c r="AM38" s="16">
        <v>0.0004654465505402579</v>
      </c>
      <c r="AN38" s="16">
        <v>-0.000001668328355902797</v>
      </c>
      <c r="AO38" s="16">
        <v>0.000002889629476131498</v>
      </c>
      <c r="AP38" s="16">
        <v>-0.00006937485501818394</v>
      </c>
      <c r="AQ38" s="16">
        <v>-0.0000019831072909787962</v>
      </c>
      <c r="AR38" s="16">
        <v>0.0000034348425848355544</v>
      </c>
      <c r="AS38" s="16">
        <v>-0.0006041962605766258</v>
      </c>
      <c r="AT38" s="16">
        <v>-0.0000022978862260547957</v>
      </c>
      <c r="AU38" s="16">
        <v>0.00000398005569353961</v>
      </c>
      <c r="AV38" s="16">
        <v>-0.0011390176661350672</v>
      </c>
      <c r="AW38" s="16">
        <v>-0.0000026126651611307947</v>
      </c>
      <c r="AX38" s="16">
        <v>0.000004525268802243667</v>
      </c>
      <c r="AY38" s="16">
        <v>-0.0016738390716935095</v>
      </c>
      <c r="AZ38" s="16">
        <v>-0.000002927444096206794</v>
      </c>
      <c r="BA38" s="16">
        <v>0.000005070481910947723</v>
      </c>
      <c r="BB38" s="16">
        <v>-0.0027434818828103932</v>
      </c>
      <c r="BC38" s="16">
        <v>-0.000003557001966358793</v>
      </c>
      <c r="BD38" s="16">
        <v>0.000006160908128355836</v>
      </c>
      <c r="BE38" s="16">
        <v>-0.003813124693927276</v>
      </c>
      <c r="BF38" s="16">
        <v>-0.000004186559836510792</v>
      </c>
      <c r="BG38" s="16">
        <v>0.000007251334345763947</v>
      </c>
      <c r="BH38" s="16">
        <v>-0.006487231721719487</v>
      </c>
      <c r="BI38" s="16">
        <v>-0.000005760454511890789</v>
      </c>
      <c r="BJ38" s="16">
        <v>0.000009977399889284229</v>
      </c>
      <c r="BK38" s="16">
        <v>-0.009161338749511697</v>
      </c>
      <c r="BL38" s="16">
        <v>-0.000007334349187270786</v>
      </c>
      <c r="BM38" s="16">
        <v>0.00001270346543280451</v>
      </c>
      <c r="BN38" s="16">
        <v>-0.019857766860680533</v>
      </c>
      <c r="BO38" s="16">
        <v>-0.000013629927888790772</v>
      </c>
      <c r="BP38" s="16">
        <v>0.000023607727606885634</v>
      </c>
      <c r="BQ38" s="16">
        <v>-0.05</v>
      </c>
      <c r="BR38" s="16">
        <v>0</v>
      </c>
      <c r="BS38" s="16">
        <v>0</v>
      </c>
      <c r="BT38" s="45">
        <v>33981.43387592912</v>
      </c>
      <c r="BU38" s="45">
        <v>33981.43387592912</v>
      </c>
      <c r="BV38" s="45">
        <v>33858.009080359014</v>
      </c>
      <c r="BW38" s="45">
        <v>32881.28661994507</v>
      </c>
      <c r="BX38" s="45">
        <v>30862.424634179613</v>
      </c>
      <c r="BY38" s="45">
        <v>29545.978448688606</v>
      </c>
      <c r="BZ38" s="45">
        <v>27609.650051226738</v>
      </c>
      <c r="CA38" s="45">
        <v>25940.440407992995</v>
      </c>
      <c r="CB38" s="45">
        <v>22364.36905667349</v>
      </c>
      <c r="CC38" s="45">
        <v>19282.325347258426</v>
      </c>
      <c r="CD38" s="45">
        <v>16419.57350466651</v>
      </c>
      <c r="CE38" s="45">
        <v>13726.638239995787</v>
      </c>
      <c r="CF38" s="45">
        <v>9630.756601455381</v>
      </c>
      <c r="CG38" s="45">
        <v>7168.398748811488</v>
      </c>
      <c r="CH38" s="45">
        <v>5508.486912984249</v>
      </c>
      <c r="CI38" s="45">
        <v>4245.278139611561</v>
      </c>
      <c r="CJ38" s="45">
        <v>2370.1576672295405</v>
      </c>
      <c r="CK38" s="45">
        <v>1060.1483470416824</v>
      </c>
      <c r="CL38" s="45">
        <v>-1201.3762587647439</v>
      </c>
      <c r="CM38" s="45">
        <v>-2637.9210003419394</v>
      </c>
      <c r="CN38" s="45">
        <v>-4790.827764753658</v>
      </c>
      <c r="CO38" s="45">
        <v>-5790.583579096708</v>
      </c>
      <c r="CP38" s="45">
        <v>6.55418261885643e-13</v>
      </c>
      <c r="CQ38" s="45">
        <v>6.55418261885643e-13</v>
      </c>
      <c r="CR38" s="45">
        <v>-35.789356700408</v>
      </c>
      <c r="CS38" s="45">
        <v>-269.470761068003</v>
      </c>
      <c r="CT38" s="45">
        <v>-712.7723687199457</v>
      </c>
      <c r="CU38" s="45">
        <v>-981.7414392371213</v>
      </c>
      <c r="CV38" s="45">
        <v>-1356.4047227104268</v>
      </c>
      <c r="CW38" s="45">
        <v>-1654.9559691161162</v>
      </c>
      <c r="CX38" s="45">
        <v>-2065.6212864672393</v>
      </c>
      <c r="CY38" s="45">
        <v>-2293.687313497708</v>
      </c>
      <c r="CZ38" s="45">
        <v>-2487.086200356003</v>
      </c>
      <c r="DA38" s="45">
        <v>-2613.154528296417</v>
      </c>
      <c r="DB38" s="45">
        <v>-2567.9649924945597</v>
      </c>
      <c r="DC38" s="45">
        <v>-2425.18339602054</v>
      </c>
      <c r="DD38" s="45">
        <v>-2293.3910412462815</v>
      </c>
      <c r="DE38" s="45">
        <v>-2174.3647585518015</v>
      </c>
      <c r="DF38" s="45">
        <v>-1970.2553545952192</v>
      </c>
      <c r="DG38" s="45">
        <v>-1771.1022574811402</v>
      </c>
      <c r="DH38" s="45">
        <v>-1355.3945500106072</v>
      </c>
      <c r="DI38" s="45">
        <v>-1029.2470694599467</v>
      </c>
      <c r="DJ38" s="45">
        <v>-373.99048597878874</v>
      </c>
      <c r="DK38" s="45">
        <v>0</v>
      </c>
      <c r="DL38" s="45">
        <v>-5.220063030719757e-12</v>
      </c>
      <c r="DM38" s="45">
        <v>-5.220063030719757e-12</v>
      </c>
      <c r="DN38" s="45">
        <v>76.68514906917204</v>
      </c>
      <c r="DO38" s="45">
        <v>617.9469717822292</v>
      </c>
      <c r="DP38" s="45">
        <v>1613.8486914358846</v>
      </c>
      <c r="DQ38" s="45">
        <v>2216.7300226249563</v>
      </c>
      <c r="DR38" s="45">
        <v>3062.6435499260924</v>
      </c>
      <c r="DS38" s="45">
        <v>3756.8783198188517</v>
      </c>
      <c r="DT38" s="45">
        <v>4956.117540219163</v>
      </c>
      <c r="DU38" s="45">
        <v>5622.832205894558</v>
      </c>
      <c r="DV38" s="45">
        <v>6015.862732350805</v>
      </c>
      <c r="DW38" s="45">
        <v>6260.980502652927</v>
      </c>
      <c r="DX38" s="45">
        <v>6293.026564320863</v>
      </c>
      <c r="DY38" s="45">
        <v>5982.8941973823685</v>
      </c>
      <c r="DZ38" s="45">
        <v>5625.989011011412</v>
      </c>
      <c r="EA38" s="45">
        <v>5275.006114867101</v>
      </c>
      <c r="EB38" s="45">
        <v>4562.646435837371</v>
      </c>
      <c r="EC38" s="45">
        <v>3950.832933135185</v>
      </c>
      <c r="ED38" s="45">
        <v>2779.3840947276203</v>
      </c>
      <c r="EE38" s="45">
        <v>1967.1347677402207</v>
      </c>
      <c r="EF38" s="45">
        <v>669.4742550661371</v>
      </c>
      <c r="EG38" s="45">
        <v>5.960464477539062e-14</v>
      </c>
      <c r="EH38" s="46">
        <f>MAX(1,MIN(21,SUMPRODUCT(--($BT38:$CO38&gt;=Pu))))</f>
      </c>
      <c r="EI38" s="47">
        <f>(Pu-INDEX($BT38:$CO38,1,$EH38))/(INDEX($BT38:$CO38,1,$EH38+1)-INDEX($BT38:$CO38,1,$EH38))</f>
      </c>
      <c r="EJ38" s="39">
        <f>INDEX($CP38:$DK38,1,$EH38)+$EI38*(INDEX($CP38:$DK38,1,$EH38+1)-INDEX($CP38:$DK38,1,$EH38))</f>
      </c>
      <c r="EK38" s="39">
        <f>INDEX($DL38:$EG38,1,$EH38)+$EI38*(INDEX($DL38:$EG38,1,$EH38+1)-INDEX($DL38:$EG38,1,$EH38))</f>
      </c>
      <c r="EL38" s="39">
        <f>SQRT(EJ38^2+EK38^2)</f>
      </c>
      <c r="EM38" s="20">
        <f>EJ39-EJ38</f>
      </c>
      <c r="EN38" s="20">
        <f>EK39-EK38</f>
      </c>
      <c r="EO38" s="20">
        <f>EM38*SIN(RADIANS(theta_L))-EN38*COS(RADIANS(theta_L))</f>
      </c>
      <c r="EP38" s="47">
        <f>IF(EO38=0,"",-(EJ38*SIN(RADIANS(theta_L))-EK38*COS(RADIANS(theta_L)))/EO38)</f>
      </c>
      <c r="EQ38" s="20">
        <f>IF(EP38="","",(EJ38+EP38*EM38)*COS(RADIANS(theta_L))+(EK38+EP38*EN38)*SIN(RADIANS(theta_L)))</f>
      </c>
      <c r="ER38" s="20">
        <f>IF(OR(EP38="",EP38&lt;0,EP38&gt;1,EQ38&lt;0),"",EQ38)</f>
      </c>
    </row>
    <row r="39" spans="1:148" x14ac:dyDescent="0.25">
      <c r="A39">
        <v>32</v>
      </c>
      <c r="B39" s="44">
        <v>125.00000000000001</v>
      </c>
      <c r="C39" s="18">
        <v>843.7946077571622</v>
      </c>
      <c r="D39" s="18">
        <v>-729.0963210218281</v>
      </c>
      <c r="E39" s="18">
        <v>1572.8909287789902</v>
      </c>
      <c r="F39" s="16">
        <v>0.0033</v>
      </c>
      <c r="G39" s="16">
        <v>0</v>
      </c>
      <c r="H39" s="16">
        <v>0</v>
      </c>
      <c r="I39" s="16">
        <v>0.00275</v>
      </c>
      <c r="J39" s="16">
        <v>-3.73867096439024e-7</v>
      </c>
      <c r="K39" s="16">
        <v>5.339375485658539e-7</v>
      </c>
      <c r="L39" s="16">
        <v>0.0024749999999999998</v>
      </c>
      <c r="M39" s="16">
        <v>-5.60800644658536e-7</v>
      </c>
      <c r="N39" s="16">
        <v>8.009063228487809e-7</v>
      </c>
      <c r="O39" s="16">
        <v>0.0021999999999999997</v>
      </c>
      <c r="P39" s="16">
        <v>-7.47734192878048e-7</v>
      </c>
      <c r="Q39" s="16">
        <v>0.0000010678750971317079</v>
      </c>
      <c r="R39" s="16">
        <v>0.001925</v>
      </c>
      <c r="S39" s="16">
        <v>-9.346677410975599e-7</v>
      </c>
      <c r="T39" s="16">
        <v>0.0000013348438714146346</v>
      </c>
      <c r="U39" s="16">
        <v>0.0018000000000000002</v>
      </c>
      <c r="V39" s="16">
        <v>-0.0000010196375357427925</v>
      </c>
      <c r="W39" s="16">
        <v>0.0000014561933142705104</v>
      </c>
      <c r="X39" s="16">
        <v>0.0016499999999999998</v>
      </c>
      <c r="Y39" s="16">
        <v>-0.000001121601289317072</v>
      </c>
      <c r="Z39" s="16">
        <v>0.0000016018126456975618</v>
      </c>
      <c r="AA39" s="16">
        <v>0.0015296787687877286</v>
      </c>
      <c r="AB39" s="16">
        <v>-0.000001203390651777618</v>
      </c>
      <c r="AC39" s="16">
        <v>0.000001718619960668299</v>
      </c>
      <c r="AD39" s="16">
        <v>0.0012614482792101113</v>
      </c>
      <c r="AE39" s="16">
        <v>-0.000001385722568713621</v>
      </c>
      <c r="AF39" s="16">
        <v>0.0000019790169244059202</v>
      </c>
      <c r="AG39" s="16">
        <v>0.0009932177896324946</v>
      </c>
      <c r="AH39" s="16">
        <v>-0.0000015680544856496237</v>
      </c>
      <c r="AI39" s="16">
        <v>0.0000022394138881435413</v>
      </c>
      <c r="AJ39" s="16">
        <v>0.0007249873000548775</v>
      </c>
      <c r="AK39" s="16">
        <v>-0.0000017503864025856267</v>
      </c>
      <c r="AL39" s="16">
        <v>0.0000024998108518811627</v>
      </c>
      <c r="AM39" s="16">
        <v>0.00045675681047726083</v>
      </c>
      <c r="AN39" s="16">
        <v>-0.0000019327183195216294</v>
      </c>
      <c r="AO39" s="16">
        <v>0.0000027602078156187833</v>
      </c>
      <c r="AP39" s="16">
        <v>-0.00007970416867797338</v>
      </c>
      <c r="AQ39" s="16">
        <v>-0.000002297382153393635</v>
      </c>
      <c r="AR39" s="16">
        <v>0.000003281001743094026</v>
      </c>
      <c r="AS39" s="16">
        <v>-0.0006161651478332067</v>
      </c>
      <c r="AT39" s="16">
        <v>-0.0000026620459872656403</v>
      </c>
      <c r="AU39" s="16">
        <v>0.0000038017956705692675</v>
      </c>
      <c r="AV39" s="16">
        <v>-0.00115262612698844</v>
      </c>
      <c r="AW39" s="16">
        <v>-0.0000030267098211376455</v>
      </c>
      <c r="AX39" s="16">
        <v>0.0000043225895980445096</v>
      </c>
      <c r="AY39" s="16">
        <v>-0.0016890871061436743</v>
      </c>
      <c r="AZ39" s="16">
        <v>-0.000003391373655009651</v>
      </c>
      <c r="BA39" s="16">
        <v>0.000004843383525519752</v>
      </c>
      <c r="BB39" s="16">
        <v>-0.0027620090644541427</v>
      </c>
      <c r="BC39" s="16">
        <v>-0.0000041207013227536625</v>
      </c>
      <c r="BD39" s="16">
        <v>0.000005884971380470237</v>
      </c>
      <c r="BE39" s="16">
        <v>-0.0038349310227646094</v>
      </c>
      <c r="BF39" s="16">
        <v>-0.000004850028990497673</v>
      </c>
      <c r="BG39" s="16">
        <v>0.00000692655923542072</v>
      </c>
      <c r="BH39" s="16">
        <v>-0.006517235918540779</v>
      </c>
      <c r="BI39" s="16">
        <v>-0.000006673348159857701</v>
      </c>
      <c r="BJ39" s="16">
        <v>0.000009530528872796931</v>
      </c>
      <c r="BK39" s="16">
        <v>-0.00919954081431695</v>
      </c>
      <c r="BL39" s="16">
        <v>-0.00000849666732921773</v>
      </c>
      <c r="BM39" s="16">
        <v>0.000012134498510173143</v>
      </c>
      <c r="BN39" s="16">
        <v>-0.01992876039742162</v>
      </c>
      <c r="BO39" s="16">
        <v>-0.000015789944006657838</v>
      </c>
      <c r="BP39" s="16">
        <v>0.000022550377059677985</v>
      </c>
      <c r="BQ39" s="16">
        <v>-0.05</v>
      </c>
      <c r="BR39" s="16">
        <v>0</v>
      </c>
      <c r="BS39" s="16">
        <v>0</v>
      </c>
      <c r="BT39" s="45">
        <v>33981.43387592912</v>
      </c>
      <c r="BU39" s="45">
        <v>33981.43387592912</v>
      </c>
      <c r="BV39" s="45">
        <v>33862.94958091449</v>
      </c>
      <c r="BW39" s="45">
        <v>32890.0953377858</v>
      </c>
      <c r="BX39" s="45">
        <v>30875.95939494968</v>
      </c>
      <c r="BY39" s="45">
        <v>29560.2466603609</v>
      </c>
      <c r="BZ39" s="45">
        <v>27639.380382407242</v>
      </c>
      <c r="CA39" s="45">
        <v>25910.105748153615</v>
      </c>
      <c r="CB39" s="45">
        <v>22368.711500841862</v>
      </c>
      <c r="CC39" s="45">
        <v>19225.15451185175</v>
      </c>
      <c r="CD39" s="45">
        <v>16321.913188381708</v>
      </c>
      <c r="CE39" s="45">
        <v>13649.034487226572</v>
      </c>
      <c r="CF39" s="45">
        <v>9605.996798518225</v>
      </c>
      <c r="CG39" s="45">
        <v>7067.064251889984</v>
      </c>
      <c r="CH39" s="45">
        <v>5376.521717326627</v>
      </c>
      <c r="CI39" s="45">
        <v>4095.220711737726</v>
      </c>
      <c r="CJ39" s="45">
        <v>2215.490043144906</v>
      </c>
      <c r="CK39" s="45">
        <v>908.6059777159313</v>
      </c>
      <c r="CL39" s="45">
        <v>-1337.9494849181172</v>
      </c>
      <c r="CM39" s="45">
        <v>-2707.3172676819613</v>
      </c>
      <c r="CN39" s="45">
        <v>-4750.173489058955</v>
      </c>
      <c r="CO39" s="45">
        <v>-5790.583579096708</v>
      </c>
      <c r="CP39" s="45">
        <v>6.55418261885643e-13</v>
      </c>
      <c r="CQ39" s="45">
        <v>6.55418261885643e-13</v>
      </c>
      <c r="CR39" s="45">
        <v>-39.01479974862632</v>
      </c>
      <c r="CS39" s="45">
        <v>-301.39529445332323</v>
      </c>
      <c r="CT39" s="45">
        <v>-812.9365267368482</v>
      </c>
      <c r="CU39" s="45">
        <v>-1125.656778562557</v>
      </c>
      <c r="CV39" s="45">
        <v>-1556.8586492175555</v>
      </c>
      <c r="CW39" s="45">
        <v>-1910.3404580040428</v>
      </c>
      <c r="CX39" s="45">
        <v>-2416.7303276844978</v>
      </c>
      <c r="CY39" s="45">
        <v>-2707.3421719933744</v>
      </c>
      <c r="CZ39" s="45">
        <v>-2939.2073152709227</v>
      </c>
      <c r="DA39" s="45">
        <v>-3084.3876837104353</v>
      </c>
      <c r="DB39" s="45">
        <v>-3026.1279850204382</v>
      </c>
      <c r="DC39" s="45">
        <v>-2838.543420539395</v>
      </c>
      <c r="DD39" s="45">
        <v>-2667.3995863323644</v>
      </c>
      <c r="DE39" s="45">
        <v>-2502.3719480148993</v>
      </c>
      <c r="DF39" s="45">
        <v>-2212.766325760322</v>
      </c>
      <c r="DG39" s="45">
        <v>-1962.9860387851381</v>
      </c>
      <c r="DH39" s="45">
        <v>-1494.2128533405203</v>
      </c>
      <c r="DI39" s="45">
        <v>-1107.3468029225235</v>
      </c>
      <c r="DJ39" s="45">
        <v>-405.64531087333864</v>
      </c>
      <c r="DK39" s="45">
        <v>0</v>
      </c>
      <c r="DL39" s="45">
        <v>-5.220063030719757e-12</v>
      </c>
      <c r="DM39" s="45">
        <v>-5.220063030719757e-12</v>
      </c>
      <c r="DN39" s="45">
        <v>71.72269334059295</v>
      </c>
      <c r="DO39" s="45">
        <v>592.2132981704546</v>
      </c>
      <c r="DP39" s="45">
        <v>1539.9840716212886</v>
      </c>
      <c r="DQ39" s="45">
        <v>2112.526186852131</v>
      </c>
      <c r="DR39" s="45">
        <v>2920.1390655902783</v>
      </c>
      <c r="DS39" s="45">
        <v>3605.279557047811</v>
      </c>
      <c r="DT39" s="45">
        <v>4725.800351924657</v>
      </c>
      <c r="DU39" s="45">
        <v>5378.629161651461</v>
      </c>
      <c r="DV39" s="45">
        <v>5743.673037818632</v>
      </c>
      <c r="DW39" s="45">
        <v>5968.725445647108</v>
      </c>
      <c r="DX39" s="45">
        <v>5996.66943992712</v>
      </c>
      <c r="DY39" s="45">
        <v>5692.741480173237</v>
      </c>
      <c r="DZ39" s="45">
        <v>5326.5928575994585</v>
      </c>
      <c r="EA39" s="45">
        <v>4979.300696255133</v>
      </c>
      <c r="EB39" s="45">
        <v>4299.751639965566</v>
      </c>
      <c r="EC39" s="45">
        <v>3729.0352147102294</v>
      </c>
      <c r="ED39" s="45">
        <v>2610.9607355869225</v>
      </c>
      <c r="EE39" s="45">
        <v>1876.6488541514111</v>
      </c>
      <c r="EF39" s="45">
        <v>686.0560334843001</v>
      </c>
      <c r="EG39" s="45">
        <v>5.960464477539062e-14</v>
      </c>
      <c r="EH39" s="46">
        <f>MAX(1,MIN(21,SUMPRODUCT(--($BT39:$CO39&gt;=Pu))))</f>
      </c>
      <c r="EI39" s="47">
        <f>(Pu-INDEX($BT39:$CO39,1,$EH39))/(INDEX($BT39:$CO39,1,$EH39+1)-INDEX($BT39:$CO39,1,$EH39))</f>
      </c>
      <c r="EJ39" s="39">
        <f>INDEX($CP39:$DK39,1,$EH39)+$EI39*(INDEX($CP39:$DK39,1,$EH39+1)-INDEX($CP39:$DK39,1,$EH39))</f>
      </c>
      <c r="EK39" s="39">
        <f>INDEX($DL39:$EG39,1,$EH39)+$EI39*(INDEX($DL39:$EG39,1,$EH39+1)-INDEX($DL39:$EG39,1,$EH39))</f>
      </c>
      <c r="EL39" s="39">
        <f>SQRT(EJ39^2+EK39^2)</f>
      </c>
      <c r="EM39" s="20">
        <f>EJ40-EJ39</f>
      </c>
      <c r="EN39" s="20">
        <f>EK40-EK39</f>
      </c>
      <c r="EO39" s="20">
        <f>EM39*SIN(RADIANS(theta_L))-EN39*COS(RADIANS(theta_L))</f>
      </c>
      <c r="EP39" s="47">
        <f>IF(EO39=0,"",-(EJ39*SIN(RADIANS(theta_L))-EK39*COS(RADIANS(theta_L)))/EO39)</f>
      </c>
      <c r="EQ39" s="20">
        <f>IF(EP39="","",(EJ39+EP39*EM39)*COS(RADIANS(theta_L))+(EK39+EP39*EN39)*SIN(RADIANS(theta_L)))</f>
      </c>
      <c r="ER39" s="20">
        <f>IF(OR(EP39="",EP39&lt;0,EP39&gt;1,EQ39&lt;0),"",EQ39)</f>
      </c>
    </row>
    <row r="40" spans="1:148" x14ac:dyDescent="0.25">
      <c r="A40">
        <v>33</v>
      </c>
      <c r="B40" s="44">
        <v>130</v>
      </c>
      <c r="C40" s="18">
        <v>831.6483762138494</v>
      </c>
      <c r="D40" s="18">
        <v>-713.7465042268668</v>
      </c>
      <c r="E40" s="18">
        <v>1545.3948804407162</v>
      </c>
      <c r="F40" s="16">
        <v>0.0033</v>
      </c>
      <c r="G40" s="16">
        <v>0</v>
      </c>
      <c r="H40" s="16">
        <v>0</v>
      </c>
      <c r="I40" s="16">
        <v>0.00275</v>
      </c>
      <c r="J40" s="16">
        <v>-4.250993514074865e-7</v>
      </c>
      <c r="K40" s="16">
        <v>5.066136792493406e-7</v>
      </c>
      <c r="L40" s="16">
        <v>0.0024749999999999998</v>
      </c>
      <c r="M40" s="16">
        <v>-6.376490271112297e-7</v>
      </c>
      <c r="N40" s="16">
        <v>7.599205188740108e-7</v>
      </c>
      <c r="O40" s="16">
        <v>0.0021999999999999997</v>
      </c>
      <c r="P40" s="16">
        <v>-8.50198702814973e-7</v>
      </c>
      <c r="Q40" s="16">
        <v>0.0000010132273584986811</v>
      </c>
      <c r="R40" s="16">
        <v>0.0019249999999999998</v>
      </c>
      <c r="S40" s="16">
        <v>-0.0000010627483785187162</v>
      </c>
      <c r="T40" s="16">
        <v>0.0000012665341981233513</v>
      </c>
      <c r="U40" s="16">
        <v>0.0018000000000000002</v>
      </c>
      <c r="V40" s="16">
        <v>-0.0000011593618674749628</v>
      </c>
      <c r="W40" s="16">
        <v>0.0000013816736706800193</v>
      </c>
      <c r="X40" s="16">
        <v>0.00165</v>
      </c>
      <c r="Y40" s="16">
        <v>-0.0000012752980542224595</v>
      </c>
      <c r="Z40" s="16">
        <v>0.0000015198410377480215</v>
      </c>
      <c r="AA40" s="16">
        <v>0.0015241175532281802</v>
      </c>
      <c r="AB40" s="16">
        <v>-0.0000013725935932702558</v>
      </c>
      <c r="AC40" s="16">
        <v>0.0000016357933459516229</v>
      </c>
      <c r="AD40" s="16">
        <v>0.0012550444552324501</v>
      </c>
      <c r="AE40" s="16">
        <v>-0.0000015805623195233249</v>
      </c>
      <c r="AF40" s="16">
        <v>0.00000188364082261096</v>
      </c>
      <c r="AG40" s="16">
        <v>0.0009859713572367198</v>
      </c>
      <c r="AH40" s="16">
        <v>-0.0000017885310457763938</v>
      </c>
      <c r="AI40" s="16">
        <v>0.0000021314882992702965</v>
      </c>
      <c r="AJ40" s="16">
        <v>0.000716898259240989</v>
      </c>
      <c r="AK40" s="16">
        <v>-0.000001996499772029463</v>
      </c>
      <c r="AL40" s="16">
        <v>0.0000023793357759296336</v>
      </c>
      <c r="AM40" s="16">
        <v>0.0004478251612452591</v>
      </c>
      <c r="AN40" s="16">
        <v>-0.000002204468498282532</v>
      </c>
      <c r="AO40" s="16">
        <v>0.0000026271832525889702</v>
      </c>
      <c r="AP40" s="16">
        <v>-0.00009032103474620155</v>
      </c>
      <c r="AQ40" s="16">
        <v>-0.00000262040595078867</v>
      </c>
      <c r="AR40" s="16">
        <v>0.000003122878205907644</v>
      </c>
      <c r="AS40" s="16">
        <v>-0.0006284672307376622</v>
      </c>
      <c r="AT40" s="16">
        <v>-0.000003036343403294808</v>
      </c>
      <c r="AU40" s="16">
        <v>0.0000036185731592263176</v>
      </c>
      <c r="AV40" s="16">
        <v>-0.001166613426729122</v>
      </c>
      <c r="AW40" s="16">
        <v>-0.000003452280855800946</v>
      </c>
      <c r="AX40" s="16">
        <v>0.000004114268112544991</v>
      </c>
      <c r="AY40" s="16">
        <v>-0.0017047596227205827</v>
      </c>
      <c r="AZ40" s="16">
        <v>-0.000003868218308307084</v>
      </c>
      <c r="BA40" s="16">
        <v>0.0000046099630658636645</v>
      </c>
      <c r="BB40" s="16">
        <v>-0.002781052014703505</v>
      </c>
      <c r="BC40" s="16">
        <v>-0.000004700093213319361</v>
      </c>
      <c r="BD40" s="16">
        <v>0.000005601352972501013</v>
      </c>
      <c r="BE40" s="16">
        <v>-0.0038573444066864245</v>
      </c>
      <c r="BF40" s="16">
        <v>-0.000005531968118331637</v>
      </c>
      <c r="BG40" s="16">
        <v>0.000006592742879138359</v>
      </c>
      <c r="BH40" s="16">
        <v>-0.006548075386643729</v>
      </c>
      <c r="BI40" s="16">
        <v>-0.000007611655380862328</v>
      </c>
      <c r="BJ40" s="16">
        <v>0.000009071217645731727</v>
      </c>
      <c r="BK40" s="16">
        <v>-0.00923880636660103</v>
      </c>
      <c r="BL40" s="16">
        <v>-0.000009691342643393018</v>
      </c>
      <c r="BM40" s="16">
        <v>0.000011549692412325097</v>
      </c>
      <c r="BN40" s="16">
        <v>-0.02000173028643024</v>
      </c>
      <c r="BO40" s="16">
        <v>-0.00001801009169351578</v>
      </c>
      <c r="BP40" s="16">
        <v>0.000021463591478698567</v>
      </c>
      <c r="BQ40" s="16">
        <v>-0.05</v>
      </c>
      <c r="BR40" s="16">
        <v>0</v>
      </c>
      <c r="BS40" s="16">
        <v>0</v>
      </c>
      <c r="BT40" s="45">
        <v>33981.43387592912</v>
      </c>
      <c r="BU40" s="45">
        <v>33981.43387592912</v>
      </c>
      <c r="BV40" s="45">
        <v>33861.12011412981</v>
      </c>
      <c r="BW40" s="45">
        <v>32881.80265926324</v>
      </c>
      <c r="BX40" s="45">
        <v>30855.005526209377</v>
      </c>
      <c r="BY40" s="45">
        <v>29533.92349375708</v>
      </c>
      <c r="BZ40" s="45">
        <v>27619.544658542214</v>
      </c>
      <c r="CA40" s="45">
        <v>25828.834090045955</v>
      </c>
      <c r="CB40" s="45">
        <v>22310.378409219877</v>
      </c>
      <c r="CC40" s="45">
        <v>19128.451438865763</v>
      </c>
      <c r="CD40" s="45">
        <v>16201.438440933865</v>
      </c>
      <c r="CE40" s="45">
        <v>13571.021658828146</v>
      </c>
      <c r="CF40" s="45">
        <v>9627.546798389118</v>
      </c>
      <c r="CG40" s="45">
        <v>7049.482802975906</v>
      </c>
      <c r="CH40" s="45">
        <v>5321.774382932601</v>
      </c>
      <c r="CI40" s="45">
        <v>3999.840416724033</v>
      </c>
      <c r="CJ40" s="45">
        <v>2165.2711975185725</v>
      </c>
      <c r="CK40" s="45">
        <v>835.2502338755801</v>
      </c>
      <c r="CL40" s="45">
        <v>-1325.4698372256803</v>
      </c>
      <c r="CM40" s="45">
        <v>-2658.507710420096</v>
      </c>
      <c r="CN40" s="45">
        <v>-4668.297312131807</v>
      </c>
      <c r="CO40" s="45">
        <v>-5790.583579096708</v>
      </c>
      <c r="CP40" s="45">
        <v>6.55418261885643e-13</v>
      </c>
      <c r="CQ40" s="45">
        <v>6.55418261885643e-13</v>
      </c>
      <c r="CR40" s="45">
        <v>-43.470578514860385</v>
      </c>
      <c r="CS40" s="45">
        <v>-338.2578093986828</v>
      </c>
      <c r="CT40" s="45">
        <v>-920.3007501188997</v>
      </c>
      <c r="CU40" s="45">
        <v>-1269.556165375445</v>
      </c>
      <c r="CV40" s="45">
        <v>-1760.1945402314525</v>
      </c>
      <c r="CW40" s="45">
        <v>-2172.796443685329</v>
      </c>
      <c r="CX40" s="45">
        <v>-2766.152262028416</v>
      </c>
      <c r="CY40" s="45">
        <v>-3141.605870781592</v>
      </c>
      <c r="CZ40" s="45">
        <v>-3409.739431741207</v>
      </c>
      <c r="DA40" s="45">
        <v>-3567.6283620251747</v>
      </c>
      <c r="DB40" s="45">
        <v>-3491.155447859436</v>
      </c>
      <c r="DC40" s="45">
        <v>-3238.4153891761152</v>
      </c>
      <c r="DD40" s="45">
        <v>-3028.302212085409</v>
      </c>
      <c r="DE40" s="45">
        <v>-2830.263398761134</v>
      </c>
      <c r="DF40" s="45">
        <v>-2448.942870237528</v>
      </c>
      <c r="DG40" s="45">
        <v>-2144.3326353486245</v>
      </c>
      <c r="DH40" s="45">
        <v>-1614.4882664959716</v>
      </c>
      <c r="DI40" s="45">
        <v>-1204.3610062051935</v>
      </c>
      <c r="DJ40" s="45">
        <v>-457.72422894053</v>
      </c>
      <c r="DK40" s="45">
        <v>0</v>
      </c>
      <c r="DL40" s="45">
        <v>-5.220063030719757e-12</v>
      </c>
      <c r="DM40" s="45">
        <v>-5.220063030719757e-12</v>
      </c>
      <c r="DN40" s="45">
        <v>70.03682558763164</v>
      </c>
      <c r="DO40" s="45">
        <v>568.3588749254336</v>
      </c>
      <c r="DP40" s="45">
        <v>1467.8040444089777</v>
      </c>
      <c r="DQ40" s="45">
        <v>2015.1928831863395</v>
      </c>
      <c r="DR40" s="45">
        <v>2783.8151446957113</v>
      </c>
      <c r="DS40" s="45">
        <v>3452.432810203995</v>
      </c>
      <c r="DT40" s="45">
        <v>4478.699668239828</v>
      </c>
      <c r="DU40" s="45">
        <v>5080.561858085566</v>
      </c>
      <c r="DV40" s="45">
        <v>5417.540724100972</v>
      </c>
      <c r="DW40" s="45">
        <v>5622.239334190098</v>
      </c>
      <c r="DX40" s="45">
        <v>5644.291834759379</v>
      </c>
      <c r="DY40" s="45">
        <v>5384.288030667616</v>
      </c>
      <c r="DZ40" s="45">
        <v>5021.272862451933</v>
      </c>
      <c r="EA40" s="45">
        <v>4664.195319656198</v>
      </c>
      <c r="EB40" s="45">
        <v>4073.0440936493774</v>
      </c>
      <c r="EC40" s="45">
        <v>3548.643645668581</v>
      </c>
      <c r="ED40" s="45">
        <v>2532.081750739266</v>
      </c>
      <c r="EE40" s="45">
        <v>1844.9712769077469</v>
      </c>
      <c r="EF40" s="45">
        <v>720.2796840587451</v>
      </c>
      <c r="EG40" s="45">
        <v>5.960464477539062e-14</v>
      </c>
      <c r="EH40" s="46">
        <f>MAX(1,MIN(21,SUMPRODUCT(--($BT40:$CO40&gt;=Pu))))</f>
      </c>
      <c r="EI40" s="47">
        <f>(Pu-INDEX($BT40:$CO40,1,$EH40))/(INDEX($BT40:$CO40,1,$EH40+1)-INDEX($BT40:$CO40,1,$EH40))</f>
      </c>
      <c r="EJ40" s="39">
        <f>INDEX($CP40:$DK40,1,$EH40)+$EI40*(INDEX($CP40:$DK40,1,$EH40+1)-INDEX($CP40:$DK40,1,$EH40))</f>
      </c>
      <c r="EK40" s="39">
        <f>INDEX($DL40:$EG40,1,$EH40)+$EI40*(INDEX($DL40:$EG40,1,$EH40+1)-INDEX($DL40:$EG40,1,$EH40))</f>
      </c>
      <c r="EL40" s="39">
        <f>SQRT(EJ40^2+EK40^2)</f>
      </c>
      <c r="EM40" s="20">
        <f>EJ41-EJ40</f>
      </c>
      <c r="EN40" s="20">
        <f>EK41-EK40</f>
      </c>
      <c r="EO40" s="20">
        <f>EM40*SIN(RADIANS(theta_L))-EN40*COS(RADIANS(theta_L))</f>
      </c>
      <c r="EP40" s="47">
        <f>IF(EO40=0,"",-(EJ40*SIN(RADIANS(theta_L))-EK40*COS(RADIANS(theta_L)))/EO40)</f>
      </c>
      <c r="EQ40" s="20">
        <f>IF(EP40="","",(EJ40+EP40*EM40)*COS(RADIANS(theta_L))+(EK40+EP40*EN40)*SIN(RADIANS(theta_L)))</f>
      </c>
      <c r="ER40" s="20">
        <f>IF(OR(EP40="",EP40&lt;0,EP40&gt;1,EQ40&lt;0),"",EQ40)</f>
      </c>
    </row>
    <row r="41" spans="1:148" x14ac:dyDescent="0.25">
      <c r="A41">
        <v>34</v>
      </c>
      <c r="B41" s="44">
        <v>135</v>
      </c>
      <c r="C41" s="18">
        <v>813.1727983645296</v>
      </c>
      <c r="D41" s="18">
        <v>-692.9646455628166</v>
      </c>
      <c r="E41" s="18">
        <v>1506.1374439273463</v>
      </c>
      <c r="F41" s="16">
        <v>0.0033</v>
      </c>
      <c r="G41" s="16">
        <v>0</v>
      </c>
      <c r="H41" s="16">
        <v>0</v>
      </c>
      <c r="I41" s="16">
        <v>0.00275</v>
      </c>
      <c r="J41" s="16">
        <v>-4.782608695652173e-7</v>
      </c>
      <c r="K41" s="16">
        <v>4.782608695652174e-7</v>
      </c>
      <c r="L41" s="16">
        <v>0.0024749999999999998</v>
      </c>
      <c r="M41" s="16">
        <v>-7.173913043478262e-7</v>
      </c>
      <c r="N41" s="16">
        <v>7.173913043478263e-7</v>
      </c>
      <c r="O41" s="16">
        <v>0.0021999999999999997</v>
      </c>
      <c r="P41" s="16">
        <v>-9.565217391304347e-7</v>
      </c>
      <c r="Q41" s="16">
        <v>9.565217391304349e-7</v>
      </c>
      <c r="R41" s="16">
        <v>0.0019249999999999998</v>
      </c>
      <c r="S41" s="16">
        <v>-0.0000011956521739130434</v>
      </c>
      <c r="T41" s="16">
        <v>0.0000011956521739130436</v>
      </c>
      <c r="U41" s="16">
        <v>0.0018000000000000002</v>
      </c>
      <c r="V41" s="16">
        <v>-0.0000013043478260869562</v>
      </c>
      <c r="W41" s="16">
        <v>0.0000013043478260869564</v>
      </c>
      <c r="X41" s="16">
        <v>0.0016499999999999998</v>
      </c>
      <c r="Y41" s="16">
        <v>-0.0000014347826086956523</v>
      </c>
      <c r="Z41" s="16">
        <v>0.0000014347826086956525</v>
      </c>
      <c r="AA41" s="16">
        <v>0.00151830985915493</v>
      </c>
      <c r="AB41" s="16">
        <v>-0.0000015492957746478869</v>
      </c>
      <c r="AC41" s="16">
        <v>0.0000015492957746478873</v>
      </c>
      <c r="AD41" s="16">
        <v>0.0012483568075117371</v>
      </c>
      <c r="AE41" s="16">
        <v>-0.0000017840375586854458</v>
      </c>
      <c r="AF41" s="16">
        <v>0.000001784037558685446</v>
      </c>
      <c r="AG41" s="16">
        <v>0.000978403755868545</v>
      </c>
      <c r="AH41" s="16">
        <v>-0.0000020187793427230043</v>
      </c>
      <c r="AI41" s="16">
        <v>0.0000020187793427230047</v>
      </c>
      <c r="AJ41" s="16">
        <v>0.0007084507042253523</v>
      </c>
      <c r="AK41" s="16">
        <v>-0.000002253521126760563</v>
      </c>
      <c r="AL41" s="16">
        <v>0.0000022535211267605635</v>
      </c>
      <c r="AM41" s="16">
        <v>0.0004384976525821601</v>
      </c>
      <c r="AN41" s="16">
        <v>-0.0000024882629107981218</v>
      </c>
      <c r="AO41" s="16">
        <v>0.000002488262910798122</v>
      </c>
      <c r="AP41" s="16">
        <v>-0.00010140845070422512</v>
      </c>
      <c r="AQ41" s="16">
        <v>-0.000002957746478873239</v>
      </c>
      <c r="AR41" s="16">
        <v>0.0000029577464788732396</v>
      </c>
      <c r="AS41" s="16">
        <v>-0.0006413145539906099</v>
      </c>
      <c r="AT41" s="16">
        <v>-0.0000034272300469483562</v>
      </c>
      <c r="AU41" s="16">
        <v>0.0000034272300469483566</v>
      </c>
      <c r="AV41" s="16">
        <v>-0.0011812206572769952</v>
      </c>
      <c r="AW41" s="16">
        <v>-0.000003896713615023473</v>
      </c>
      <c r="AX41" s="16">
        <v>0.000003896713615023474</v>
      </c>
      <c r="AY41" s="16">
        <v>-0.0017211267605633795</v>
      </c>
      <c r="AZ41" s="16">
        <v>-0.000004366197183098591</v>
      </c>
      <c r="BA41" s="16">
        <v>0.000004366197183098591</v>
      </c>
      <c r="BB41" s="16">
        <v>-0.00280093896713615</v>
      </c>
      <c r="BC41" s="16">
        <v>-0.0000053051643192488256</v>
      </c>
      <c r="BD41" s="16">
        <v>0.000005305164319248826</v>
      </c>
      <c r="BE41" s="16">
        <v>-0.0038807511737089188</v>
      </c>
      <c r="BF41" s="16">
        <v>-0.00000624413145539906</v>
      </c>
      <c r="BG41" s="16">
        <v>0.0000062441314553990604</v>
      </c>
      <c r="BH41" s="16">
        <v>-0.006580281690140843</v>
      </c>
      <c r="BI41" s="16">
        <v>-0.000008591549295774647</v>
      </c>
      <c r="BJ41" s="16">
        <v>0.000008591549295774648</v>
      </c>
      <c r="BK41" s="16">
        <v>-0.009279812206572771</v>
      </c>
      <c r="BL41" s="16">
        <v>-0.000010938967136150234</v>
      </c>
      <c r="BM41" s="16">
        <v>0.000010938967136150236</v>
      </c>
      <c r="BN41" s="16">
        <v>-0.020077934272300466</v>
      </c>
      <c r="BO41" s="16">
        <v>-0.000020328638497652576</v>
      </c>
      <c r="BP41" s="16">
        <v>0.00002032863849765258</v>
      </c>
      <c r="BQ41" s="16">
        <v>-0.05</v>
      </c>
      <c r="BR41" s="16">
        <v>0</v>
      </c>
      <c r="BS41" s="16">
        <v>0</v>
      </c>
      <c r="BT41" s="45">
        <v>33981.43387592912</v>
      </c>
      <c r="BU41" s="45">
        <v>33981.43387592912</v>
      </c>
      <c r="BV41" s="45">
        <v>33853.086209977926</v>
      </c>
      <c r="BW41" s="45">
        <v>32860.35580025834</v>
      </c>
      <c r="BX41" s="45">
        <v>30792.877986435382</v>
      </c>
      <c r="BY41" s="45">
        <v>29469.16472777758</v>
      </c>
      <c r="BZ41" s="45">
        <v>27535.73331244912</v>
      </c>
      <c r="CA41" s="45">
        <v>25681.82448140092</v>
      </c>
      <c r="CB41" s="45">
        <v>22176.410358356552</v>
      </c>
      <c r="CC41" s="45">
        <v>18981.906151950418</v>
      </c>
      <c r="CD41" s="45">
        <v>16072.309935337971</v>
      </c>
      <c r="CE41" s="45">
        <v>13497.053077480303</v>
      </c>
      <c r="CF41" s="45">
        <v>9715.489470485369</v>
      </c>
      <c r="CG41" s="45">
        <v>7111.679424727636</v>
      </c>
      <c r="CH41" s="45">
        <v>5344.654511804069</v>
      </c>
      <c r="CI41" s="45">
        <v>4046.1021078502145</v>
      </c>
      <c r="CJ41" s="45">
        <v>2187.427268190228</v>
      </c>
      <c r="CK41" s="45">
        <v>865.9477864834168</v>
      </c>
      <c r="CL41" s="45">
        <v>-1299.8480195269194</v>
      </c>
      <c r="CM41" s="45">
        <v>-2516.2828541415665</v>
      </c>
      <c r="CN41" s="45">
        <v>-4473.534404603513</v>
      </c>
      <c r="CO41" s="45">
        <v>-5790.583579096708</v>
      </c>
      <c r="CP41" s="45">
        <v>6.55418261885643e-13</v>
      </c>
      <c r="CQ41" s="45">
        <v>6.55418261885643e-13</v>
      </c>
      <c r="CR41" s="45">
        <v>-49.74961646723541</v>
      </c>
      <c r="CS41" s="45">
        <v>-379.0607183260488</v>
      </c>
      <c r="CT41" s="45">
        <v>-1026.6149553813307</v>
      </c>
      <c r="CU41" s="45">
        <v>-1420.892627501346</v>
      </c>
      <c r="CV41" s="45">
        <v>-1966.6956190072578</v>
      </c>
      <c r="CW41" s="45">
        <v>-2447.0127315871096</v>
      </c>
      <c r="CX41" s="45">
        <v>-3131.5148125603932</v>
      </c>
      <c r="CY41" s="45">
        <v>-3588.470290724915</v>
      </c>
      <c r="CZ41" s="45">
        <v>-3893.32704461242</v>
      </c>
      <c r="DA41" s="45">
        <v>-4062.692069379836</v>
      </c>
      <c r="DB41" s="45">
        <v>-3955.817692738783</v>
      </c>
      <c r="DC41" s="45">
        <v>-3656.2758602144586</v>
      </c>
      <c r="DD41" s="45">
        <v>-3387.529204656855</v>
      </c>
      <c r="DE41" s="45">
        <v>-3134.4833977869757</v>
      </c>
      <c r="DF41" s="45">
        <v>-2679.7429052359535</v>
      </c>
      <c r="DG41" s="45">
        <v>-2356.1224870033075</v>
      </c>
      <c r="DH41" s="45">
        <v>-1736.9638088532317</v>
      </c>
      <c r="DI41" s="45">
        <v>-1327.8007450273985</v>
      </c>
      <c r="DJ41" s="45">
        <v>-570.6104249322616</v>
      </c>
      <c r="DK41" s="45">
        <v>0</v>
      </c>
      <c r="DL41" s="45">
        <v>-5.220063030719757e-12</v>
      </c>
      <c r="DM41" s="45">
        <v>-5.220063030719757e-12</v>
      </c>
      <c r="DN41" s="45">
        <v>70.85449417816673</v>
      </c>
      <c r="DO41" s="45">
        <v>546.5687289724065</v>
      </c>
      <c r="DP41" s="45">
        <v>1404.266561515379</v>
      </c>
      <c r="DQ41" s="45">
        <v>1921.1414476966513</v>
      </c>
      <c r="DR41" s="45">
        <v>2652.5123532313087</v>
      </c>
      <c r="DS41" s="45">
        <v>3296.3089405184032</v>
      </c>
      <c r="DT41" s="45">
        <v>4204.195947641396</v>
      </c>
      <c r="DU41" s="45">
        <v>4732.310672753636</v>
      </c>
      <c r="DV41" s="45">
        <v>5038.067744047726</v>
      </c>
      <c r="DW41" s="45">
        <v>5210.775792460617</v>
      </c>
      <c r="DX41" s="45">
        <v>5242.715344866334</v>
      </c>
      <c r="DY41" s="45">
        <v>5043.487540805069</v>
      </c>
      <c r="DZ41" s="45">
        <v>4701.466830644312</v>
      </c>
      <c r="EA41" s="45">
        <v>4384.408910598876</v>
      </c>
      <c r="EB41" s="45">
        <v>3867.5019355200266</v>
      </c>
      <c r="EC41" s="45">
        <v>3385.8479241460523</v>
      </c>
      <c r="ED41" s="45">
        <v>2456.0406554639967</v>
      </c>
      <c r="EE41" s="45">
        <v>1848.0127834316554</v>
      </c>
      <c r="EF41" s="45">
        <v>798.9443394123315</v>
      </c>
      <c r="EG41" s="45">
        <v>5.960464477539062e-14</v>
      </c>
      <c r="EH41" s="46">
        <f>MAX(1,MIN(21,SUMPRODUCT(--($BT41:$CO41&gt;=Pu))))</f>
      </c>
      <c r="EI41" s="47">
        <f>(Pu-INDEX($BT41:$CO41,1,$EH41))/(INDEX($BT41:$CO41,1,$EH41+1)-INDEX($BT41:$CO41,1,$EH41))</f>
      </c>
      <c r="EJ41" s="39">
        <f>INDEX($CP41:$DK41,1,$EH41)+$EI41*(INDEX($CP41:$DK41,1,$EH41+1)-INDEX($CP41:$DK41,1,$EH41))</f>
      </c>
      <c r="EK41" s="39">
        <f>INDEX($DL41:$EG41,1,$EH41)+$EI41*(INDEX($DL41:$EG41,1,$EH41+1)-INDEX($DL41:$EG41,1,$EH41))</f>
      </c>
      <c r="EL41" s="39">
        <f>SQRT(EJ41^2+EK41^2)</f>
      </c>
      <c r="EM41" s="20">
        <f>EJ42-EJ41</f>
      </c>
      <c r="EN41" s="20">
        <f>EK42-EK41</f>
      </c>
      <c r="EO41" s="20">
        <f>EM41*SIN(RADIANS(theta_L))-EN41*COS(RADIANS(theta_L))</f>
      </c>
      <c r="EP41" s="47">
        <f>IF(EO41=0,"",-(EJ41*SIN(RADIANS(theta_L))-EK41*COS(RADIANS(theta_L)))/EO41)</f>
      </c>
      <c r="EQ41" s="20">
        <f>IF(EP41="","",(EJ41+EP41*EM41)*COS(RADIANS(theta_L))+(EK41+EP41*EN41)*SIN(RADIANS(theta_L)))</f>
      </c>
      <c r="ER41" s="20">
        <f>IF(OR(EP41="",EP41&lt;0,EP41&gt;1,EQ41&lt;0),"",EQ41)</f>
      </c>
    </row>
    <row r="42" spans="1:148" x14ac:dyDescent="0.25">
      <c r="A42">
        <v>35</v>
      </c>
      <c r="B42" s="44">
        <v>140</v>
      </c>
      <c r="C42" s="18">
        <v>813.1598511989835</v>
      </c>
      <c r="D42" s="18">
        <v>-666.9089075225402</v>
      </c>
      <c r="E42" s="18">
        <v>1480.0687587215236</v>
      </c>
      <c r="F42" s="16">
        <v>0.0033</v>
      </c>
      <c r="G42" s="16">
        <v>0</v>
      </c>
      <c r="H42" s="16">
        <v>0</v>
      </c>
      <c r="I42" s="16">
        <v>0.00275</v>
      </c>
      <c r="J42" s="16">
        <v>-5.181323734739309e-7</v>
      </c>
      <c r="K42" s="16">
        <v>4.3476468348298433e-7</v>
      </c>
      <c r="L42" s="16">
        <v>0.002475</v>
      </c>
      <c r="M42" s="16">
        <v>-7.771985602108964e-7</v>
      </c>
      <c r="N42" s="16">
        <v>6.521470252244765e-7</v>
      </c>
      <c r="O42" s="16">
        <v>0.0022</v>
      </c>
      <c r="P42" s="16">
        <v>-0.0000010362647469478618</v>
      </c>
      <c r="Q42" s="16">
        <v>8.695293669659687e-7</v>
      </c>
      <c r="R42" s="16">
        <v>0.0019249999999999998</v>
      </c>
      <c r="S42" s="16">
        <v>-0.0000012953309336848276</v>
      </c>
      <c r="T42" s="16">
        <v>0.000001086911708707461</v>
      </c>
      <c r="U42" s="16">
        <v>0.0018</v>
      </c>
      <c r="V42" s="16">
        <v>-0.000001413088291292539</v>
      </c>
      <c r="W42" s="16">
        <v>0.0000011857218640445027</v>
      </c>
      <c r="X42" s="16">
        <v>0.0016500000000000002</v>
      </c>
      <c r="Y42" s="16">
        <v>-0.0000015543971204217928</v>
      </c>
      <c r="Z42" s="16">
        <v>0.000001304294050448953</v>
      </c>
      <c r="AA42" s="16">
        <v>0.0014869575361656999</v>
      </c>
      <c r="AB42" s="16">
        <v>-0.0000017079927181736175</v>
      </c>
      <c r="AC42" s="16">
        <v>0.000001433176059872963</v>
      </c>
      <c r="AD42" s="16">
        <v>0.0012122541325544425</v>
      </c>
      <c r="AE42" s="16">
        <v>-0.0000019667794936544685</v>
      </c>
      <c r="AF42" s="16">
        <v>0.0000016503239477325027</v>
      </c>
      <c r="AG42" s="16">
        <v>0.0009375507289431846</v>
      </c>
      <c r="AH42" s="16">
        <v>-0.0000022255662691353197</v>
      </c>
      <c r="AI42" s="16">
        <v>0.0000018674718355920427</v>
      </c>
      <c r="AJ42" s="16">
        <v>0.000662847325331927</v>
      </c>
      <c r="AK42" s="16">
        <v>-0.000002484353044616171</v>
      </c>
      <c r="AL42" s="16">
        <v>0.0000020846197234515825</v>
      </c>
      <c r="AM42" s="16">
        <v>0.0003881439217206695</v>
      </c>
      <c r="AN42" s="16">
        <v>-0.0000027431398200970218</v>
      </c>
      <c r="AO42" s="16">
        <v>0.0000023017676113111225</v>
      </c>
      <c r="AP42" s="16">
        <v>-0.00016126288550184558</v>
      </c>
      <c r="AQ42" s="16">
        <v>-0.0000032607133710587242</v>
      </c>
      <c r="AR42" s="16">
        <v>0.000002736063387030202</v>
      </c>
      <c r="AS42" s="16">
        <v>-0.0007106696927243611</v>
      </c>
      <c r="AT42" s="16">
        <v>-0.0000037782869220204267</v>
      </c>
      <c r="AU42" s="16">
        <v>0.000003170359162749282</v>
      </c>
      <c r="AV42" s="16">
        <v>-0.0012600764999468762</v>
      </c>
      <c r="AW42" s="16">
        <v>-0.000004295860472982128</v>
      </c>
      <c r="AX42" s="16">
        <v>0.000003604654938468361</v>
      </c>
      <c r="AY42" s="16">
        <v>-0.0018094833071693904</v>
      </c>
      <c r="AZ42" s="16">
        <v>-0.00000481343402394383</v>
      </c>
      <c r="BA42" s="16">
        <v>0.00000403895071418744</v>
      </c>
      <c r="BB42" s="16">
        <v>-0.0029082969216144222</v>
      </c>
      <c r="BC42" s="16">
        <v>-0.000005848581125867236</v>
      </c>
      <c r="BD42" s="16">
        <v>0.000004907542265625601</v>
      </c>
      <c r="BE42" s="16">
        <v>-0.0040071105360594515</v>
      </c>
      <c r="BF42" s="16">
        <v>-0.00000688372822779064</v>
      </c>
      <c r="BG42" s="16">
        <v>0.000005776133817063759</v>
      </c>
      <c r="BH42" s="16">
        <v>-0.006754144572172028</v>
      </c>
      <c r="BI42" s="16">
        <v>-0.000009471595982599151</v>
      </c>
      <c r="BJ42" s="16">
        <v>0.000007947612695659158</v>
      </c>
      <c r="BK42" s="16">
        <v>-0.009501178608284602</v>
      </c>
      <c r="BL42" s="16">
        <v>-0.000012059463737407662</v>
      </c>
      <c r="BM42" s="16">
        <v>0.000010119091574254557</v>
      </c>
      <c r="BN42" s="16">
        <v>-0.020489314752734907</v>
      </c>
      <c r="BO42" s="16">
        <v>-0.000022410934756641707</v>
      </c>
      <c r="BP42" s="16">
        <v>0.00001880500708863615</v>
      </c>
      <c r="BQ42" s="16">
        <v>-0.05</v>
      </c>
      <c r="BR42" s="16">
        <v>0</v>
      </c>
      <c r="BS42" s="16">
        <v>0</v>
      </c>
      <c r="BT42" s="45">
        <v>33981.43387592912</v>
      </c>
      <c r="BU42" s="45">
        <v>33981.43387592912</v>
      </c>
      <c r="BV42" s="45">
        <v>33863.399702958624</v>
      </c>
      <c r="BW42" s="45">
        <v>32899.21981623408</v>
      </c>
      <c r="BX42" s="45">
        <v>30842.125818211876</v>
      </c>
      <c r="BY42" s="45">
        <v>29535.772279034274</v>
      </c>
      <c r="BZ42" s="45">
        <v>27634.198706586183</v>
      </c>
      <c r="CA42" s="45">
        <v>25331.45132890057</v>
      </c>
      <c r="CB42" s="45">
        <v>21760.322248916444</v>
      </c>
      <c r="CC42" s="45">
        <v>18513.13731805183</v>
      </c>
      <c r="CD42" s="45">
        <v>15595.283433307739</v>
      </c>
      <c r="CE42" s="45">
        <v>13108.16712629838</v>
      </c>
      <c r="CF42" s="45">
        <v>9459.856233908784</v>
      </c>
      <c r="CG42" s="45">
        <v>6848.925450177883</v>
      </c>
      <c r="CH42" s="45">
        <v>5046.398268532079</v>
      </c>
      <c r="CI42" s="45">
        <v>3788.3229484121825</v>
      </c>
      <c r="CJ42" s="45">
        <v>1887.7959285797729</v>
      </c>
      <c r="CK42" s="45">
        <v>530.255801803785</v>
      </c>
      <c r="CL42" s="45">
        <v>-1612.596664867675</v>
      </c>
      <c r="CM42" s="45">
        <v>-2843.9781608715934</v>
      </c>
      <c r="CN42" s="45">
        <v>-4747.928328036806</v>
      </c>
      <c r="CO42" s="45">
        <v>-5790.583579096708</v>
      </c>
      <c r="CP42" s="45">
        <v>6.55418261885643e-13</v>
      </c>
      <c r="CQ42" s="45">
        <v>6.55418261885643e-13</v>
      </c>
      <c r="CR42" s="45">
        <v>-48.958749949947816</v>
      </c>
      <c r="CS42" s="45">
        <v>-398.07487368961654</v>
      </c>
      <c r="CT42" s="45">
        <v>-1088.2689795255794</v>
      </c>
      <c r="CU42" s="45">
        <v>-1510.5359062884645</v>
      </c>
      <c r="CV42" s="45">
        <v>-2101.5510864134494</v>
      </c>
      <c r="CW42" s="45">
        <v>-2749.2590197014633</v>
      </c>
      <c r="CX42" s="45">
        <v>-3532.7211669010458</v>
      </c>
      <c r="CY42" s="45">
        <v>-4053.4033227156942</v>
      </c>
      <c r="CZ42" s="45">
        <v>-4382.332586994836</v>
      </c>
      <c r="DA42" s="45">
        <v>-4526.954348123551</v>
      </c>
      <c r="DB42" s="45">
        <v>-4364.208251969574</v>
      </c>
      <c r="DC42" s="45">
        <v>-4004.9008574008312</v>
      </c>
      <c r="DD42" s="45">
        <v>-3648.936488645754</v>
      </c>
      <c r="DE42" s="45">
        <v>-3332.614886175481</v>
      </c>
      <c r="DF42" s="45">
        <v>-2820.971901243181</v>
      </c>
      <c r="DG42" s="45">
        <v>-2449.4967885377496</v>
      </c>
      <c r="DH42" s="45">
        <v>-1733.8828488807712</v>
      </c>
      <c r="DI42" s="45">
        <v>-1271.1941975865855</v>
      </c>
      <c r="DJ42" s="45">
        <v>-481.9439440512204</v>
      </c>
      <c r="DK42" s="45">
        <v>0</v>
      </c>
      <c r="DL42" s="45">
        <v>-5.220063030719757e-12</v>
      </c>
      <c r="DM42" s="45">
        <v>-5.220063030719757e-12</v>
      </c>
      <c r="DN42" s="45">
        <v>61.953521070099995</v>
      </c>
      <c r="DO42" s="45">
        <v>493.7327338958014</v>
      </c>
      <c r="DP42" s="45">
        <v>1280.8257430680267</v>
      </c>
      <c r="DQ42" s="45">
        <v>1753.738440878117</v>
      </c>
      <c r="DR42" s="45">
        <v>2419.2792007055427</v>
      </c>
      <c r="DS42" s="45">
        <v>3138.788608692687</v>
      </c>
      <c r="DT42" s="45">
        <v>3910.562698120713</v>
      </c>
      <c r="DU42" s="45">
        <v>4344.114165484369</v>
      </c>
      <c r="DV42" s="45">
        <v>4580.792479568259</v>
      </c>
      <c r="DW42" s="45">
        <v>4734.73162021244</v>
      </c>
      <c r="DX42" s="45">
        <v>4758.621804881603</v>
      </c>
      <c r="DY42" s="45">
        <v>4570.681848285162</v>
      </c>
      <c r="DZ42" s="45">
        <v>4283.99716127675</v>
      </c>
      <c r="EA42" s="45">
        <v>4005.227687459116</v>
      </c>
      <c r="EB42" s="45">
        <v>3507.0550627953053</v>
      </c>
      <c r="EC42" s="45">
        <v>3050.461000333123</v>
      </c>
      <c r="ED42" s="45">
        <v>2186.382614813867</v>
      </c>
      <c r="EE42" s="45">
        <v>1605.6285614258188</v>
      </c>
      <c r="EF42" s="45">
        <v>609.3567258624712</v>
      </c>
      <c r="EG42" s="45">
        <v>5.960464477539062e-14</v>
      </c>
      <c r="EH42" s="46">
        <f>MAX(1,MIN(21,SUMPRODUCT(--($BT42:$CO42&gt;=Pu))))</f>
      </c>
      <c r="EI42" s="47">
        <f>(Pu-INDEX($BT42:$CO42,1,$EH42))/(INDEX($BT42:$CO42,1,$EH42+1)-INDEX($BT42:$CO42,1,$EH42))</f>
      </c>
      <c r="EJ42" s="39">
        <f>INDEX($CP42:$DK42,1,$EH42)+$EI42*(INDEX($CP42:$DK42,1,$EH42+1)-INDEX($CP42:$DK42,1,$EH42))</f>
      </c>
      <c r="EK42" s="39">
        <f>INDEX($DL42:$EG42,1,$EH42)+$EI42*(INDEX($DL42:$EG42,1,$EH42+1)-INDEX($DL42:$EG42,1,$EH42))</f>
      </c>
      <c r="EL42" s="39">
        <f>SQRT(EJ42^2+EK42^2)</f>
      </c>
      <c r="EM42" s="20">
        <f>EJ43-EJ42</f>
      </c>
      <c r="EN42" s="20">
        <f>EK43-EK42</f>
      </c>
      <c r="EO42" s="20">
        <f>EM42*SIN(RADIANS(theta_L))-EN42*COS(RADIANS(theta_L))</f>
      </c>
      <c r="EP42" s="47">
        <f>IF(EO42=0,"",-(EJ42*SIN(RADIANS(theta_L))-EK42*COS(RADIANS(theta_L)))/EO42)</f>
      </c>
      <c r="EQ42" s="20">
        <f>IF(EP42="","",(EJ42+EP42*EM42)*COS(RADIANS(theta_L))+(EK42+EP42*EN42)*SIN(RADIANS(theta_L)))</f>
      </c>
      <c r="ER42" s="20">
        <f>IF(OR(EP42="",EP42&lt;0,EP42&gt;1,EQ42&lt;0),"",EQ42)</f>
      </c>
    </row>
    <row r="43" spans="1:148" x14ac:dyDescent="0.25">
      <c r="A43">
        <v>36</v>
      </c>
      <c r="B43" s="44">
        <v>145</v>
      </c>
      <c r="C43" s="18">
        <v>806.9582665664705</v>
      </c>
      <c r="D43" s="18">
        <v>-663.5811580135841</v>
      </c>
      <c r="E43" s="18">
        <v>1470.5394245800544</v>
      </c>
      <c r="F43" s="16">
        <v>0.0033</v>
      </c>
      <c r="G43" s="16">
        <v>0</v>
      </c>
      <c r="H43" s="16">
        <v>0</v>
      </c>
      <c r="I43" s="16">
        <v>0.00275</v>
      </c>
      <c r="J43" s="16">
        <v>-5.583109350573015e-7</v>
      </c>
      <c r="K43" s="16">
        <v>3.909335253920346e-7</v>
      </c>
      <c r="L43" s="16">
        <v>0.0024749999999999998</v>
      </c>
      <c r="M43" s="16">
        <v>-8.374664025859524e-7</v>
      </c>
      <c r="N43" s="16">
        <v>5.864002880880519e-7</v>
      </c>
      <c r="O43" s="16">
        <v>0.0021999999999999997</v>
      </c>
      <c r="P43" s="16">
        <v>-0.000001116621870114603</v>
      </c>
      <c r="Q43" s="16">
        <v>7.818670507840692e-7</v>
      </c>
      <c r="R43" s="16">
        <v>0.0019249999999999998</v>
      </c>
      <c r="S43" s="16">
        <v>-0.000001395777337643254</v>
      </c>
      <c r="T43" s="16">
        <v>9.773338134800865e-7</v>
      </c>
      <c r="U43" s="16">
        <v>0.0018000000000000002</v>
      </c>
      <c r="V43" s="16">
        <v>-0.0000015226661865199135</v>
      </c>
      <c r="W43" s="16">
        <v>0.000001066182341978276</v>
      </c>
      <c r="X43" s="16">
        <v>0.00165</v>
      </c>
      <c r="Y43" s="16">
        <v>-0.0000016749328051719048</v>
      </c>
      <c r="Z43" s="16">
        <v>0.0000011728005761761039</v>
      </c>
      <c r="AA43" s="16">
        <v>0.0014891255445736715</v>
      </c>
      <c r="AB43" s="16">
        <v>-0.000001838238200873555</v>
      </c>
      <c r="AC43" s="16">
        <v>0.0000012871482452767188</v>
      </c>
      <c r="AD43" s="16">
        <v>0.0012147506270848338</v>
      </c>
      <c r="AE43" s="16">
        <v>-0.0000021167591403998514</v>
      </c>
      <c r="AF43" s="16">
        <v>0.0000014821707066822825</v>
      </c>
      <c r="AG43" s="16">
        <v>0.0009403757095959959</v>
      </c>
      <c r="AH43" s="16">
        <v>-0.0000023952800799261475</v>
      </c>
      <c r="AI43" s="16">
        <v>0.000001677193168087846</v>
      </c>
      <c r="AJ43" s="16">
        <v>0.0006660007921071584</v>
      </c>
      <c r="AK43" s="16">
        <v>-0.000002673801019452444</v>
      </c>
      <c r="AL43" s="16">
        <v>0.0000018722156294934095</v>
      </c>
      <c r="AM43" s="16">
        <v>0.00039162587461832096</v>
      </c>
      <c r="AN43" s="16">
        <v>-0.00000295232195897874</v>
      </c>
      <c r="AO43" s="16">
        <v>0.0000020672380908989728</v>
      </c>
      <c r="AP43" s="16">
        <v>-0.00015712396035935444</v>
      </c>
      <c r="AQ43" s="16">
        <v>-0.0000035093638380313323</v>
      </c>
      <c r="AR43" s="16">
        <v>0.0000024572830137100998</v>
      </c>
      <c r="AS43" s="16">
        <v>-0.0007058737953370298</v>
      </c>
      <c r="AT43" s="16">
        <v>-0.000004066405717083925</v>
      </c>
      <c r="AU43" s="16">
        <v>0.000002847327936521227</v>
      </c>
      <c r="AV43" s="16">
        <v>-0.0012546236303147048</v>
      </c>
      <c r="AW43" s="16">
        <v>-0.000004623447596136517</v>
      </c>
      <c r="AX43" s="16">
        <v>0.0000032373728593323537</v>
      </c>
      <c r="AY43" s="16">
        <v>-0.0018033734652923798</v>
      </c>
      <c r="AZ43" s="16">
        <v>-0.000005180489475189109</v>
      </c>
      <c r="BA43" s="16">
        <v>0.0000036274177821434803</v>
      </c>
      <c r="BB43" s="16">
        <v>-0.0029008731352477305</v>
      </c>
      <c r="BC43" s="16">
        <v>-0.0000062945732332942944</v>
      </c>
      <c r="BD43" s="16">
        <v>0.000004407507627765734</v>
      </c>
      <c r="BE43" s="16">
        <v>-0.0039983728052030805</v>
      </c>
      <c r="BF43" s="16">
        <v>-0.000007408656991399479</v>
      </c>
      <c r="BG43" s="16">
        <v>0.000005187597473387988</v>
      </c>
      <c r="BH43" s="16">
        <v>-0.006742121980091457</v>
      </c>
      <c r="BI43" s="16">
        <v>-0.000010193866386662442</v>
      </c>
      <c r="BJ43" s="16">
        <v>0.000007137822087443623</v>
      </c>
      <c r="BK43" s="16">
        <v>-0.009485871154979838</v>
      </c>
      <c r="BL43" s="16">
        <v>-0.000012979075781925406</v>
      </c>
      <c r="BM43" s="16">
        <v>0.000009088046701499259</v>
      </c>
      <c r="BN43" s="16">
        <v>-0.020460867854533337</v>
      </c>
      <c r="BO43" s="16">
        <v>-0.00002411991336297725</v>
      </c>
      <c r="BP43" s="16">
        <v>0.000016888945157721797</v>
      </c>
      <c r="BQ43" s="16">
        <v>-0.05</v>
      </c>
      <c r="BR43" s="16">
        <v>0</v>
      </c>
      <c r="BS43" s="16">
        <v>0</v>
      </c>
      <c r="BT43" s="45">
        <v>33981.43387592912</v>
      </c>
      <c r="BU43" s="45">
        <v>33981.43387592912</v>
      </c>
      <c r="BV43" s="45">
        <v>33872.78303889721</v>
      </c>
      <c r="BW43" s="45">
        <v>32914.75946358775</v>
      </c>
      <c r="BX43" s="45">
        <v>30862.151015611118</v>
      </c>
      <c r="BY43" s="45">
        <v>29557.578283763156</v>
      </c>
      <c r="BZ43" s="45">
        <v>27658.251512715928</v>
      </c>
      <c r="CA43" s="45">
        <v>25362.257594828196</v>
      </c>
      <c r="CB43" s="45">
        <v>21752.214339455542</v>
      </c>
      <c r="CC43" s="45">
        <v>18476.370383254012</v>
      </c>
      <c r="CD43" s="45">
        <v>15608.045458901195</v>
      </c>
      <c r="CE43" s="45">
        <v>13217.373704922486</v>
      </c>
      <c r="CF43" s="45">
        <v>9603.135486641158</v>
      </c>
      <c r="CG43" s="45">
        <v>7010.331436096814</v>
      </c>
      <c r="CH43" s="45">
        <v>5134.289660869179</v>
      </c>
      <c r="CI43" s="45">
        <v>3820.3816149342338</v>
      </c>
      <c r="CJ43" s="45">
        <v>1858.8552823121138</v>
      </c>
      <c r="CK43" s="45">
        <v>456.1003515193607</v>
      </c>
      <c r="CL43" s="45">
        <v>-1739.8669460351286</v>
      </c>
      <c r="CM43" s="45">
        <v>-3066.949013518348</v>
      </c>
      <c r="CN43" s="45">
        <v>-4947.677661785481</v>
      </c>
      <c r="CO43" s="45">
        <v>-5790.583579096708</v>
      </c>
      <c r="CP43" s="45">
        <v>6.55418261885643e-13</v>
      </c>
      <c r="CQ43" s="45">
        <v>6.55418261885643e-13</v>
      </c>
      <c r="CR43" s="45">
        <v>-48.42392542970213</v>
      </c>
      <c r="CS43" s="45">
        <v>-425.1303039459368</v>
      </c>
      <c r="CT43" s="45">
        <v>-1153.4247546917625</v>
      </c>
      <c r="CU43" s="45">
        <v>-1601.462894411188</v>
      </c>
      <c r="CV43" s="45">
        <v>-2237.495136165159</v>
      </c>
      <c r="CW43" s="45">
        <v>-2949.4904301804945</v>
      </c>
      <c r="CX43" s="45">
        <v>-3849.6685138459193</v>
      </c>
      <c r="CY43" s="45">
        <v>-4451.826057990314</v>
      </c>
      <c r="CZ43" s="45">
        <v>-4808.383748399083</v>
      </c>
      <c r="DA43" s="45">
        <v>-4953.529861179062</v>
      </c>
      <c r="DB43" s="45">
        <v>-4796.624696425607</v>
      </c>
      <c r="DC43" s="45">
        <v>-4391.387331641564</v>
      </c>
      <c r="DD43" s="45">
        <v>-3942.8620528273755</v>
      </c>
      <c r="DE43" s="45">
        <v>-3583.096542484564</v>
      </c>
      <c r="DF43" s="45">
        <v>-3027.728188260603</v>
      </c>
      <c r="DG43" s="45">
        <v>-2564.78373044938</v>
      </c>
      <c r="DH43" s="45">
        <v>-1765.2794459652891</v>
      </c>
      <c r="DI43" s="45">
        <v>-1248.2853713535271</v>
      </c>
      <c r="DJ43" s="45">
        <v>-419.8617481130724</v>
      </c>
      <c r="DK43" s="45">
        <v>0</v>
      </c>
      <c r="DL43" s="45">
        <v>-5.220063030719757e-12</v>
      </c>
      <c r="DM43" s="45">
        <v>-5.220063030719757e-12</v>
      </c>
      <c r="DN43" s="45">
        <v>53.57575212759583</v>
      </c>
      <c r="DO43" s="45">
        <v>439.52526821238456</v>
      </c>
      <c r="DP43" s="45">
        <v>1162.3724594265843</v>
      </c>
      <c r="DQ43" s="45">
        <v>1593.9415673356682</v>
      </c>
      <c r="DR43" s="45">
        <v>2190.3891379528627</v>
      </c>
      <c r="DS43" s="45">
        <v>2830.5987733884754</v>
      </c>
      <c r="DT43" s="45">
        <v>3508.341916721819</v>
      </c>
      <c r="DU43" s="45">
        <v>3846.4803202448747</v>
      </c>
      <c r="DV43" s="45">
        <v>4043.019908214698</v>
      </c>
      <c r="DW43" s="45">
        <v>4198.252121270754</v>
      </c>
      <c r="DX43" s="45">
        <v>4239.249074121431</v>
      </c>
      <c r="DY43" s="45">
        <v>4118.711065738656</v>
      </c>
      <c r="DZ43" s="45">
        <v>3937.7140242646865</v>
      </c>
      <c r="EA43" s="45">
        <v>3690.845216513701</v>
      </c>
      <c r="EB43" s="45">
        <v>3207.8952604066612</v>
      </c>
      <c r="EC43" s="45">
        <v>2820.7472716345023</v>
      </c>
      <c r="ED43" s="45">
        <v>2007.8728792529173</v>
      </c>
      <c r="EE43" s="45">
        <v>1415.1289781097723</v>
      </c>
      <c r="EF43" s="45">
        <v>465.60317955658473</v>
      </c>
      <c r="EG43" s="45">
        <v>5.960464477539062e-14</v>
      </c>
      <c r="EH43" s="46">
        <f>MAX(1,MIN(21,SUMPRODUCT(--($BT43:$CO43&gt;=Pu))))</f>
      </c>
      <c r="EI43" s="47">
        <f>(Pu-INDEX($BT43:$CO43,1,$EH43))/(INDEX($BT43:$CO43,1,$EH43+1)-INDEX($BT43:$CO43,1,$EH43))</f>
      </c>
      <c r="EJ43" s="39">
        <f>INDEX($CP43:$DK43,1,$EH43)+$EI43*(INDEX($CP43:$DK43,1,$EH43+1)-INDEX($CP43:$DK43,1,$EH43))</f>
      </c>
      <c r="EK43" s="39">
        <f>INDEX($DL43:$EG43,1,$EH43)+$EI43*(INDEX($DL43:$EG43,1,$EH43+1)-INDEX($DL43:$EG43,1,$EH43))</f>
      </c>
      <c r="EL43" s="39">
        <f>SQRT(EJ43^2+EK43^2)</f>
      </c>
      <c r="EM43" s="20">
        <f>EJ44-EJ43</f>
      </c>
      <c r="EN43" s="20">
        <f>EK44-EK43</f>
      </c>
      <c r="EO43" s="20">
        <f>EM43*SIN(RADIANS(theta_L))-EN43*COS(RADIANS(theta_L))</f>
      </c>
      <c r="EP43" s="47">
        <f>IF(EO43=0,"",-(EJ43*SIN(RADIANS(theta_L))-EK43*COS(RADIANS(theta_L)))/EO43)</f>
      </c>
      <c r="EQ43" s="20">
        <f>IF(EP43="","",(EJ43+EP43*EM43)*COS(RADIANS(theta_L))+(EK43+EP43*EN43)*SIN(RADIANS(theta_L)))</f>
      </c>
      <c r="ER43" s="20">
        <f>IF(OR(EP43="",EP43&lt;0,EP43&gt;1,EQ43&lt;0),"",EQ43)</f>
      </c>
    </row>
    <row r="44" spans="1:148" x14ac:dyDescent="0.25">
      <c r="A44">
        <v>37</v>
      </c>
      <c r="B44" s="44">
        <v>149.99999999999997</v>
      </c>
      <c r="C44" s="18">
        <v>794.6152422706632</v>
      </c>
      <c r="D44" s="18">
        <v>-658.9934640057526</v>
      </c>
      <c r="E44" s="18">
        <v>1453.608706276416</v>
      </c>
      <c r="F44" s="16">
        <v>0.0033</v>
      </c>
      <c r="G44" s="16">
        <v>0</v>
      </c>
      <c r="H44" s="16">
        <v>0</v>
      </c>
      <c r="I44" s="16">
        <v>0.00275</v>
      </c>
      <c r="J44" s="16">
        <v>-5.99427177762591e-7</v>
      </c>
      <c r="K44" s="16">
        <v>3.4607944244080984e-7</v>
      </c>
      <c r="L44" s="16">
        <v>0.0024749999999999998</v>
      </c>
      <c r="M44" s="16">
        <v>-8.991407666438865e-7</v>
      </c>
      <c r="N44" s="16">
        <v>5.191191636612148e-7</v>
      </c>
      <c r="O44" s="16">
        <v>0.0022</v>
      </c>
      <c r="P44" s="16">
        <v>-0.000001198854355525182</v>
      </c>
      <c r="Q44" s="16">
        <v>6.921588848816197e-7</v>
      </c>
      <c r="R44" s="16">
        <v>0.001925</v>
      </c>
      <c r="S44" s="16">
        <v>-0.0000014985679444064775</v>
      </c>
      <c r="T44" s="16">
        <v>8.651986061020246e-7</v>
      </c>
      <c r="U44" s="16">
        <v>0.0018000000000000002</v>
      </c>
      <c r="V44" s="16">
        <v>-0.0000016348013938979753</v>
      </c>
      <c r="W44" s="16">
        <v>9.438530248385723e-7</v>
      </c>
      <c r="X44" s="16">
        <v>0.00165</v>
      </c>
      <c r="Y44" s="16">
        <v>-0.000001798281533287773</v>
      </c>
      <c r="Z44" s="16">
        <v>0.0000010382383273224295</v>
      </c>
      <c r="AA44" s="16">
        <v>0.001496054902415706</v>
      </c>
      <c r="AB44" s="16">
        <v>-0.0000019660613066974822</v>
      </c>
      <c r="AC44" s="16">
        <v>0.0000011351060246650998</v>
      </c>
      <c r="AD44" s="16">
        <v>0.0012227298876302068</v>
      </c>
      <c r="AE44" s="16">
        <v>-0.000002263949383469828</v>
      </c>
      <c r="AF44" s="16">
        <v>0.0000013070917859779937</v>
      </c>
      <c r="AG44" s="16">
        <v>0.000949404872844708</v>
      </c>
      <c r="AH44" s="16">
        <v>-0.0000025618374602421736</v>
      </c>
      <c r="AI44" s="16">
        <v>0.0000014790775472908876</v>
      </c>
      <c r="AJ44" s="16">
        <v>0.0006760798580592083</v>
      </c>
      <c r="AK44" s="16">
        <v>-0.00000285972553701452</v>
      </c>
      <c r="AL44" s="16">
        <v>0.0000016510633086037817</v>
      </c>
      <c r="AM44" s="16">
        <v>0.0004027548432737095</v>
      </c>
      <c r="AN44" s="16">
        <v>-0.000003157613613786866</v>
      </c>
      <c r="AO44" s="16">
        <v>0.0000018230490699166755</v>
      </c>
      <c r="AP44" s="16">
        <v>-0.00014389518629728901</v>
      </c>
      <c r="AQ44" s="16">
        <v>-0.0000037533897673315573</v>
      </c>
      <c r="AR44" s="16">
        <v>0.000002167020592542463</v>
      </c>
      <c r="AS44" s="16">
        <v>-0.0006905452158682867</v>
      </c>
      <c r="AT44" s="16">
        <v>-0.000004349165920876249</v>
      </c>
      <c r="AU44" s="16">
        <v>0.000002510992115168251</v>
      </c>
      <c r="AV44" s="16">
        <v>-0.0012371952454392852</v>
      </c>
      <c r="AW44" s="16">
        <v>-0.0000049449420744209405</v>
      </c>
      <c r="AX44" s="16">
        <v>0.0000028549636377940386</v>
      </c>
      <c r="AY44" s="16">
        <v>-0.0017838452750102828</v>
      </c>
      <c r="AZ44" s="16">
        <v>-0.0000055407182279656314</v>
      </c>
      <c r="BA44" s="16">
        <v>0.0000031989351604198264</v>
      </c>
      <c r="BB44" s="16">
        <v>-0.0028771453341522807</v>
      </c>
      <c r="BC44" s="16">
        <v>-0.000006732270535055016</v>
      </c>
      <c r="BD44" s="16">
        <v>0.000003886878205671403</v>
      </c>
      <c r="BE44" s="16">
        <v>-0.003970445393294277</v>
      </c>
      <c r="BF44" s="16">
        <v>-0.000007923822842144399</v>
      </c>
      <c r="BG44" s="16">
        <v>0.000004574821250922978</v>
      </c>
      <c r="BH44" s="16">
        <v>-0.006703695541149268</v>
      </c>
      <c r="BI44" s="16">
        <v>-0.000010902703609867857</v>
      </c>
      <c r="BJ44" s="16">
        <v>0.000006294678864051917</v>
      </c>
      <c r="BK44" s="16">
        <v>-0.009436945689004262</v>
      </c>
      <c r="BL44" s="16">
        <v>-0.000013881584377591317</v>
      </c>
      <c r="BM44" s="16">
        <v>0.000008014536477180857</v>
      </c>
      <c r="BN44" s="16">
        <v>-0.020369946280424222</v>
      </c>
      <c r="BO44" s="16">
        <v>-0.000025797107448485148</v>
      </c>
      <c r="BP44" s="16">
        <v>0.000014893966929696612</v>
      </c>
      <c r="BQ44" s="16">
        <v>-0.05</v>
      </c>
      <c r="BR44" s="16">
        <v>0</v>
      </c>
      <c r="BS44" s="16">
        <v>0</v>
      </c>
      <c r="BT44" s="45">
        <v>33981.43387592912</v>
      </c>
      <c r="BU44" s="45">
        <v>33981.43387592912</v>
      </c>
      <c r="BV44" s="45">
        <v>33876.032423720506</v>
      </c>
      <c r="BW44" s="45">
        <v>32906.00896253187</v>
      </c>
      <c r="BX44" s="45">
        <v>30851.92170191501</v>
      </c>
      <c r="BY44" s="45">
        <v>29530.365543009226</v>
      </c>
      <c r="BZ44" s="45">
        <v>27606.287904631015</v>
      </c>
      <c r="CA44" s="45">
        <v>25380.737018622607</v>
      </c>
      <c r="CB44" s="45">
        <v>21707.524511551168</v>
      </c>
      <c r="CC44" s="45">
        <v>18459.700761718</v>
      </c>
      <c r="CD44" s="45">
        <v>15697.191393702924</v>
      </c>
      <c r="CE44" s="45">
        <v>13400.03008413472</v>
      </c>
      <c r="CF44" s="45">
        <v>9855.756716821383</v>
      </c>
      <c r="CG44" s="45">
        <v>7315.769153577812</v>
      </c>
      <c r="CH44" s="45">
        <v>5445.803689066823</v>
      </c>
      <c r="CI44" s="45">
        <v>3997.387410376516</v>
      </c>
      <c r="CJ44" s="45">
        <v>1949.8973719397882</v>
      </c>
      <c r="CK44" s="45">
        <v>509.633182821041</v>
      </c>
      <c r="CL44" s="45">
        <v>-1807.5002700487496</v>
      </c>
      <c r="CM44" s="45">
        <v>-3145.9229606543713</v>
      </c>
      <c r="CN44" s="45">
        <v>-5044.245735349632</v>
      </c>
      <c r="CO44" s="45">
        <v>-5790.583579096708</v>
      </c>
      <c r="CP44" s="45">
        <v>6.55418261885643e-13</v>
      </c>
      <c r="CQ44" s="45">
        <v>6.55418261885643e-13</v>
      </c>
      <c r="CR44" s="45">
        <v>-48.82677273249524</v>
      </c>
      <c r="CS44" s="45">
        <v>-451.61693024945544</v>
      </c>
      <c r="CT44" s="45">
        <v>-1225.0723114306484</v>
      </c>
      <c r="CU44" s="45">
        <v>-1702.4499008397042</v>
      </c>
      <c r="CV44" s="45">
        <v>-2381.6927872113242</v>
      </c>
      <c r="CW44" s="45">
        <v>-3127.08126746846</v>
      </c>
      <c r="CX44" s="45">
        <v>-4145.3008580027235</v>
      </c>
      <c r="CY44" s="45">
        <v>-4823.786066720646</v>
      </c>
      <c r="CZ44" s="45">
        <v>-5194.549653500879</v>
      </c>
      <c r="DA44" s="45">
        <v>-5345.534657736141</v>
      </c>
      <c r="DB44" s="45">
        <v>-5211.147246092593</v>
      </c>
      <c r="DC44" s="45">
        <v>-4796.765707672195</v>
      </c>
      <c r="DD44" s="45">
        <v>-4296.292370197109</v>
      </c>
      <c r="DE44" s="45">
        <v>-3874.8874951089133</v>
      </c>
      <c r="DF44" s="45">
        <v>-3246.0607146233892</v>
      </c>
      <c r="DG44" s="45">
        <v>-2732.1097803069597</v>
      </c>
      <c r="DH44" s="45">
        <v>-1813.692983001575</v>
      </c>
      <c r="DI44" s="45">
        <v>-1249.9554175270023</v>
      </c>
      <c r="DJ44" s="45">
        <v>-389.3207116980091</v>
      </c>
      <c r="DK44" s="45">
        <v>0</v>
      </c>
      <c r="DL44" s="45">
        <v>-5.220063030719757e-12</v>
      </c>
      <c r="DM44" s="45">
        <v>-5.220063030719757e-12</v>
      </c>
      <c r="DN44" s="45">
        <v>49.00876038762486</v>
      </c>
      <c r="DO44" s="45">
        <v>395.3026346468644</v>
      </c>
      <c r="DP44" s="45">
        <v>1044.9474662340915</v>
      </c>
      <c r="DQ44" s="45">
        <v>1429.3873844491482</v>
      </c>
      <c r="DR44" s="45">
        <v>1956.4233746819339</v>
      </c>
      <c r="DS44" s="45">
        <v>2508.7943372891564</v>
      </c>
      <c r="DT44" s="45">
        <v>3072.5485790399744</v>
      </c>
      <c r="DU44" s="45">
        <v>3317.9925711855376</v>
      </c>
      <c r="DV44" s="45">
        <v>3475.4697803282047</v>
      </c>
      <c r="DW44" s="45">
        <v>3624.1906109761353</v>
      </c>
      <c r="DX44" s="45">
        <v>3694.3509130744646</v>
      </c>
      <c r="DY44" s="45">
        <v>3632.0901167991974</v>
      </c>
      <c r="DZ44" s="45">
        <v>3538.8952098945</v>
      </c>
      <c r="EA44" s="45">
        <v>3370.2552296006297</v>
      </c>
      <c r="EB44" s="45">
        <v>2927.05646436924</v>
      </c>
      <c r="EC44" s="45">
        <v>2574.973232754143</v>
      </c>
      <c r="ED44" s="45">
        <v>1854.0928130728937</v>
      </c>
      <c r="EE44" s="45">
        <v>1314.1407121190196</v>
      </c>
      <c r="EF44" s="45">
        <v>390.1156249147635</v>
      </c>
      <c r="EG44" s="45">
        <v>5.960464477539062e-14</v>
      </c>
      <c r="EH44" s="46">
        <f>MAX(1,MIN(21,SUMPRODUCT(--($BT44:$CO44&gt;=Pu))))</f>
      </c>
      <c r="EI44" s="47">
        <f>(Pu-INDEX($BT44:$CO44,1,$EH44))/(INDEX($BT44:$CO44,1,$EH44+1)-INDEX($BT44:$CO44,1,$EH44))</f>
      </c>
      <c r="EJ44" s="39">
        <f>INDEX($CP44:$DK44,1,$EH44)+$EI44*(INDEX($CP44:$DK44,1,$EH44+1)-INDEX($CP44:$DK44,1,$EH44))</f>
      </c>
      <c r="EK44" s="39">
        <f>INDEX($DL44:$EG44,1,$EH44)+$EI44*(INDEX($DL44:$EG44,1,$EH44+1)-INDEX($DL44:$EG44,1,$EH44))</f>
      </c>
      <c r="EL44" s="39">
        <f>SQRT(EJ44^2+EK44^2)</f>
      </c>
      <c r="EM44" s="20">
        <f>EJ45-EJ44</f>
      </c>
      <c r="EN44" s="20">
        <f>EK45-EK44</f>
      </c>
      <c r="EO44" s="20">
        <f>EM44*SIN(RADIANS(theta_L))-EN44*COS(RADIANS(theta_L))</f>
      </c>
      <c r="EP44" s="47">
        <f>IF(EO44=0,"",-(EJ44*SIN(RADIANS(theta_L))-EK44*COS(RADIANS(theta_L)))/EO44)</f>
      </c>
      <c r="EQ44" s="20">
        <f>IF(EP44="","",(EJ44+EP44*EM44)*COS(RADIANS(theta_L))+(EK44+EP44*EN44)*SIN(RADIANS(theta_L)))</f>
      </c>
      <c r="ER44" s="20">
        <f>IF(OR(EP44="",EP44&lt;0,EP44&gt;1,EQ44&lt;0),"",EQ44)</f>
      </c>
    </row>
    <row r="45" spans="1:148" x14ac:dyDescent="0.25">
      <c r="A45">
        <v>38</v>
      </c>
      <c r="B45" s="44">
        <v>154.99999999999997</v>
      </c>
      <c r="C45" s="18">
        <v>776.2247161793748</v>
      </c>
      <c r="D45" s="18">
        <v>-649.3904318257044</v>
      </c>
      <c r="E45" s="18">
        <v>1425.6151480050792</v>
      </c>
      <c r="F45" s="16">
        <v>0.0033</v>
      </c>
      <c r="G45" s="16">
        <v>0</v>
      </c>
      <c r="H45" s="16">
        <v>0</v>
      </c>
      <c r="I45" s="16">
        <v>0.00275</v>
      </c>
      <c r="J45" s="16">
        <v>-6.421713615660855e-7</v>
      </c>
      <c r="K45" s="16">
        <v>2.9944942374608856e-7</v>
      </c>
      <c r="L45" s="16">
        <v>0.0024749999999999998</v>
      </c>
      <c r="M45" s="16">
        <v>-9.632570423491281e-7</v>
      </c>
      <c r="N45" s="16">
        <v>4.4917413561913287e-7</v>
      </c>
      <c r="O45" s="16">
        <v>0.0021999999999999997</v>
      </c>
      <c r="P45" s="16">
        <v>-0.000001284342723132171</v>
      </c>
      <c r="Q45" s="16">
        <v>5.988988474921771e-7</v>
      </c>
      <c r="R45" s="16">
        <v>0.0019249999999999998</v>
      </c>
      <c r="S45" s="16">
        <v>-0.0000016054284039152137</v>
      </c>
      <c r="T45" s="16">
        <v>7.486235593652215e-7</v>
      </c>
      <c r="U45" s="16">
        <v>0.0018000000000000002</v>
      </c>
      <c r="V45" s="16">
        <v>-0.0000017513764406347783</v>
      </c>
      <c r="W45" s="16">
        <v>8.166802465802415e-7</v>
      </c>
      <c r="X45" s="16">
        <v>0.0016499999999999998</v>
      </c>
      <c r="Y45" s="16">
        <v>-0.0000019265140846982562</v>
      </c>
      <c r="Z45" s="16">
        <v>8.983482712382657e-7</v>
      </c>
      <c r="AA45" s="16">
        <v>0.0015032026196015063</v>
      </c>
      <c r="AB45" s="16">
        <v>-0.0000020979124004161388</v>
      </c>
      <c r="AC45" s="16">
        <v>9.782726184523825e-7</v>
      </c>
      <c r="AD45" s="16">
        <v>0.0012309605922684016</v>
      </c>
      <c r="AE45" s="16">
        <v>-0.000002415777915630705</v>
      </c>
      <c r="AF45" s="16">
        <v>0.0000011264957424603192</v>
      </c>
      <c r="AG45" s="16">
        <v>0.0009587185649352959</v>
      </c>
      <c r="AH45" s="16">
        <v>-0.0000027336434308452713</v>
      </c>
      <c r="AI45" s="16">
        <v>0.000001274718866468256</v>
      </c>
      <c r="AJ45" s="16">
        <v>0.0006864765376021907</v>
      </c>
      <c r="AK45" s="16">
        <v>-0.000003051508946059838</v>
      </c>
      <c r="AL45" s="16">
        <v>0.0000014229419904761928</v>
      </c>
      <c r="AM45" s="16">
        <v>0.0004142345102690864</v>
      </c>
      <c r="AN45" s="16">
        <v>-0.000003369374461274404</v>
      </c>
      <c r="AO45" s="16">
        <v>0.0000015711651144841295</v>
      </c>
      <c r="AP45" s="16">
        <v>-0.00013024954439712442</v>
      </c>
      <c r="AQ45" s="16">
        <v>-0.000004005105491703537</v>
      </c>
      <c r="AR45" s="16">
        <v>0.0000018676113625000032</v>
      </c>
      <c r="AS45" s="16">
        <v>-0.0006747335990633339</v>
      </c>
      <c r="AT45" s="16">
        <v>-0.00000464083652213267</v>
      </c>
      <c r="AU45" s="16">
        <v>0.0000021640576105158764</v>
      </c>
      <c r="AV45" s="16">
        <v>-0.0012192176537295443</v>
      </c>
      <c r="AW45" s="16">
        <v>-0.000005276567552561803</v>
      </c>
      <c r="AX45" s="16">
        <v>0.00000246050385853175</v>
      </c>
      <c r="AY45" s="16">
        <v>-0.0017637017083957547</v>
      </c>
      <c r="AZ45" s="16">
        <v>-0.000005912298582990936</v>
      </c>
      <c r="BA45" s="16">
        <v>0.0000027569501065476234</v>
      </c>
      <c r="BB45" s="16">
        <v>-0.0028526698177281746</v>
      </c>
      <c r="BC45" s="16">
        <v>-0.0000071837606438492016</v>
      </c>
      <c r="BD45" s="16">
        <v>0.0000033498426025793704</v>
      </c>
      <c r="BE45" s="16">
        <v>-0.0039416379270605945</v>
      </c>
      <c r="BF45" s="16">
        <v>-0.000008455222704707467</v>
      </c>
      <c r="BG45" s="16">
        <v>0.000003942735098611117</v>
      </c>
      <c r="BH45" s="16">
        <v>-0.006664058200391646</v>
      </c>
      <c r="BI45" s="16">
        <v>-0.000011633877856853131</v>
      </c>
      <c r="BJ45" s="16">
        <v>0.0000054249663386904845</v>
      </c>
      <c r="BK45" s="16">
        <v>-0.009386478473722697</v>
      </c>
      <c r="BL45" s="16">
        <v>-0.000014812533008998796</v>
      </c>
      <c r="BM45" s="16">
        <v>0.000006907197578769852</v>
      </c>
      <c r="BN45" s="16">
        <v>-0.020276159567046897</v>
      </c>
      <c r="BO45" s="16">
        <v>-0.00002752715361758145</v>
      </c>
      <c r="BP45" s="16">
        <v>0.000012836122539087322</v>
      </c>
      <c r="BQ45" s="16">
        <v>-0.05</v>
      </c>
      <c r="BR45" s="16">
        <v>0</v>
      </c>
      <c r="BS45" s="16">
        <v>0</v>
      </c>
      <c r="BT45" s="45">
        <v>33981.43387592912</v>
      </c>
      <c r="BU45" s="45">
        <v>33981.43387592912</v>
      </c>
      <c r="BV45" s="45">
        <v>33871.96503900617</v>
      </c>
      <c r="BW45" s="45">
        <v>32884.16057472012</v>
      </c>
      <c r="BX45" s="45">
        <v>30800.695912838168</v>
      </c>
      <c r="BY45" s="45">
        <v>29446.40580017582</v>
      </c>
      <c r="BZ45" s="45">
        <v>27492.532373232596</v>
      </c>
      <c r="CA45" s="45">
        <v>25319.27247947424</v>
      </c>
      <c r="CB45" s="45">
        <v>21578.951891394026</v>
      </c>
      <c r="CC45" s="45">
        <v>18387.600942784906</v>
      </c>
      <c r="CD45" s="45">
        <v>15790.334485212075</v>
      </c>
      <c r="CE45" s="45">
        <v>13572.560745736293</v>
      </c>
      <c r="CF45" s="45">
        <v>10187.032793532542</v>
      </c>
      <c r="CG45" s="45">
        <v>7780.402844759714</v>
      </c>
      <c r="CH45" s="45">
        <v>5911.594495874586</v>
      </c>
      <c r="CI45" s="45">
        <v>4339.272708902531</v>
      </c>
      <c r="CJ45" s="45">
        <v>2190.187150027523</v>
      </c>
      <c r="CK45" s="45">
        <v>691.9260225456292</v>
      </c>
      <c r="CL45" s="45">
        <v>-1760.272157395808</v>
      </c>
      <c r="CM45" s="45">
        <v>-3107.0379214309955</v>
      </c>
      <c r="CN45" s="45">
        <v>-5080.902275101865</v>
      </c>
      <c r="CO45" s="45">
        <v>-5790.583579096708</v>
      </c>
      <c r="CP45" s="45">
        <v>6.55418261885643e-13</v>
      </c>
      <c r="CQ45" s="45">
        <v>6.55418261885643e-13</v>
      </c>
      <c r="CR45" s="45">
        <v>-52.50418757826704</v>
      </c>
      <c r="CS45" s="45">
        <v>-483.20839328180693</v>
      </c>
      <c r="CT45" s="45">
        <v>-1308.9435097471605</v>
      </c>
      <c r="CU45" s="45">
        <v>-1818.8716489344217</v>
      </c>
      <c r="CV45" s="45">
        <v>-2540.241352709562</v>
      </c>
      <c r="CW45" s="45">
        <v>-3307.1194825080706</v>
      </c>
      <c r="CX45" s="45">
        <v>-4434.661580391176</v>
      </c>
      <c r="CY45" s="45">
        <v>-5159.987900949268</v>
      </c>
      <c r="CZ45" s="45">
        <v>-5534.026523514973</v>
      </c>
      <c r="DA45" s="45">
        <v>-5700.339641748224</v>
      </c>
      <c r="DB45" s="45">
        <v>-5604.887505166346</v>
      </c>
      <c r="DC45" s="45">
        <v>-5186.385801910353</v>
      </c>
      <c r="DD45" s="45">
        <v>-4695.520482022366</v>
      </c>
      <c r="DE45" s="45">
        <v>-4229.807586588297</v>
      </c>
      <c r="DF45" s="45">
        <v>-3499.956085147312</v>
      </c>
      <c r="DG45" s="45">
        <v>-2947.298743885251</v>
      </c>
      <c r="DH45" s="45">
        <v>-1918.663222533863</v>
      </c>
      <c r="DI45" s="45">
        <v>-1309.3290288595847</v>
      </c>
      <c r="DJ45" s="45">
        <v>-380.06221202109106</v>
      </c>
      <c r="DK45" s="45">
        <v>0</v>
      </c>
      <c r="DL45" s="45">
        <v>-5.220063030719757e-12</v>
      </c>
      <c r="DM45" s="45">
        <v>-5.220063030719757e-12</v>
      </c>
      <c r="DN45" s="45">
        <v>45.54417772043426</v>
      </c>
      <c r="DO45" s="45">
        <v>350.1820110217298</v>
      </c>
      <c r="DP45" s="45">
        <v>918.9670045921793</v>
      </c>
      <c r="DQ45" s="45">
        <v>1252.1035105699607</v>
      </c>
      <c r="DR45" s="45">
        <v>1715.1958556106397</v>
      </c>
      <c r="DS45" s="45">
        <v>2176.0089286614834</v>
      </c>
      <c r="DT45" s="45">
        <v>2618.554904161831</v>
      </c>
      <c r="DU45" s="45">
        <v>2772.221739109309</v>
      </c>
      <c r="DV45" s="45">
        <v>2895.3046074034037</v>
      </c>
      <c r="DW45" s="45">
        <v>3019.3644671115458</v>
      </c>
      <c r="DX45" s="45">
        <v>3105.7688481895084</v>
      </c>
      <c r="DY45" s="45">
        <v>3107.4151832704515</v>
      </c>
      <c r="DZ45" s="45">
        <v>3078.4118239216805</v>
      </c>
      <c r="EA45" s="45">
        <v>2977.5329219600844</v>
      </c>
      <c r="EB45" s="45">
        <v>2656.3909333443557</v>
      </c>
      <c r="EC45" s="45">
        <v>2328.7352187247106</v>
      </c>
      <c r="ED45" s="45">
        <v>1693.666820264256</v>
      </c>
      <c r="EE45" s="45">
        <v>1226.3740523431607</v>
      </c>
      <c r="EF45" s="45">
        <v>350.2167796258509</v>
      </c>
      <c r="EG45" s="45">
        <v>5.960464477539062e-14</v>
      </c>
      <c r="EH45" s="46">
        <f>MAX(1,MIN(21,SUMPRODUCT(--($BT45:$CO45&gt;=Pu))))</f>
      </c>
      <c r="EI45" s="47">
        <f>(Pu-INDEX($BT45:$CO45,1,$EH45))/(INDEX($BT45:$CO45,1,$EH45+1)-INDEX($BT45:$CO45,1,$EH45))</f>
      </c>
      <c r="EJ45" s="39">
        <f>INDEX($CP45:$DK45,1,$EH45)+$EI45*(INDEX($CP45:$DK45,1,$EH45+1)-INDEX($CP45:$DK45,1,$EH45))</f>
      </c>
      <c r="EK45" s="39">
        <f>INDEX($DL45:$EG45,1,$EH45)+$EI45*(INDEX($DL45:$EG45,1,$EH45+1)-INDEX($DL45:$EG45,1,$EH45))</f>
      </c>
      <c r="EL45" s="39">
        <f>SQRT(EJ45^2+EK45^2)</f>
      </c>
      <c r="EM45" s="20">
        <f>EJ46-EJ45</f>
      </c>
      <c r="EN45" s="20">
        <f>EK46-EK45</f>
      </c>
      <c r="EO45" s="20">
        <f>EM45*SIN(RADIANS(theta_L))-EN45*COS(RADIANS(theta_L))</f>
      </c>
      <c r="EP45" s="47">
        <f>IF(EO45=0,"",-(EJ45*SIN(RADIANS(theta_L))-EK45*COS(RADIANS(theta_L)))/EO45)</f>
      </c>
      <c r="EQ45" s="20">
        <f>IF(EP45="","",(EJ45+EP45*EM45)*COS(RADIANS(theta_L))+(EK45+EP45*EN45)*SIN(RADIANS(theta_L)))</f>
      </c>
      <c r="ER45" s="20">
        <f>IF(OR(EP45="",EP45&lt;0,EP45&gt;1,EQ45&lt;0),"",EQ45)</f>
      </c>
    </row>
    <row r="46" spans="1:148" x14ac:dyDescent="0.25">
      <c r="A46">
        <v>39</v>
      </c>
      <c r="B46" s="44">
        <v>160</v>
      </c>
      <c r="C46" s="18">
        <v>751.9266513006629</v>
      </c>
      <c r="D46" s="18">
        <v>-634.845146346799</v>
      </c>
      <c r="E46" s="18">
        <v>1386.7717976474619</v>
      </c>
      <c r="F46" s="16">
        <v>0.0033</v>
      </c>
      <c r="G46" s="16">
        <v>0</v>
      </c>
      <c r="H46" s="16">
        <v>0</v>
      </c>
      <c r="I46" s="16">
        <v>0.00275</v>
      </c>
      <c r="J46" s="16">
        <v>-6.873422301739791e-7</v>
      </c>
      <c r="K46" s="16">
        <v>2.501721125374773e-7</v>
      </c>
      <c r="L46" s="16">
        <v>0.0024749999999999998</v>
      </c>
      <c r="M46" s="16">
        <v>-0.0000010310133452609685</v>
      </c>
      <c r="N46" s="16">
        <v>3.752581688062159e-7</v>
      </c>
      <c r="O46" s="16">
        <v>0.0021999999999999997</v>
      </c>
      <c r="P46" s="16">
        <v>-0.0000013746844603479583</v>
      </c>
      <c r="Q46" s="16">
        <v>5.003442250749546e-7</v>
      </c>
      <c r="R46" s="16">
        <v>0.0019249999999999998</v>
      </c>
      <c r="S46" s="16">
        <v>-0.000001718355575434948</v>
      </c>
      <c r="T46" s="16">
        <v>6.254302813436933e-7</v>
      </c>
      <c r="U46" s="16">
        <v>0.0018</v>
      </c>
      <c r="V46" s="16">
        <v>-0.0000018745697186563068</v>
      </c>
      <c r="W46" s="16">
        <v>6.822875796476654e-7</v>
      </c>
      <c r="X46" s="16">
        <v>0.00165</v>
      </c>
      <c r="Y46" s="16">
        <v>-0.000002062026690521937</v>
      </c>
      <c r="Z46" s="16">
        <v>7.505163376124318e-7</v>
      </c>
      <c r="AA46" s="16">
        <v>0.0015106948284486345</v>
      </c>
      <c r="AB46" s="16">
        <v>-0.0000022361181946835452</v>
      </c>
      <c r="AC46" s="16">
        <v>8.138804631658879e-7</v>
      </c>
      <c r="AD46" s="16">
        <v>0.0012395879842741846</v>
      </c>
      <c r="AE46" s="16">
        <v>-0.00000257492398175681</v>
      </c>
      <c r="AF46" s="16">
        <v>9.371956848576892e-7</v>
      </c>
      <c r="AG46" s="16">
        <v>0.0009684811400997354</v>
      </c>
      <c r="AH46" s="16">
        <v>-0.0000029137297688300742</v>
      </c>
      <c r="AI46" s="16">
        <v>0.0000010605109065494904</v>
      </c>
      <c r="AJ46" s="16">
        <v>0.0006973742959252862</v>
      </c>
      <c r="AK46" s="16">
        <v>-0.000003252535555903339</v>
      </c>
      <c r="AL46" s="16">
        <v>0.0000011838261282412916</v>
      </c>
      <c r="AM46" s="16">
        <v>0.00042626745175083696</v>
      </c>
      <c r="AN46" s="16">
        <v>-0.0000035913413429766032</v>
      </c>
      <c r="AO46" s="16">
        <v>0.0000013071413499330929</v>
      </c>
      <c r="AP46" s="16">
        <v>-0.0001159462365980619</v>
      </c>
      <c r="AQ46" s="16">
        <v>-0.000004268952917123132</v>
      </c>
      <c r="AR46" s="16">
        <v>0.0000015537717933166952</v>
      </c>
      <c r="AS46" s="16">
        <v>-0.0006581599249469612</v>
      </c>
      <c r="AT46" s="16">
        <v>-0.000004946564491269662</v>
      </c>
      <c r="AU46" s="16">
        <v>0.0000018004022367002976</v>
      </c>
      <c r="AV46" s="16">
        <v>-0.0012003736132958596</v>
      </c>
      <c r="AW46" s="16">
        <v>-0.00000562417606541619</v>
      </c>
      <c r="AX46" s="16">
        <v>0.0000020470326800839</v>
      </c>
      <c r="AY46" s="16">
        <v>-0.001742587301644758</v>
      </c>
      <c r="AZ46" s="16">
        <v>-0.000006301787639562719</v>
      </c>
      <c r="BA46" s="16">
        <v>0.0000022936631234675024</v>
      </c>
      <c r="BB46" s="16">
        <v>-0.002827014678342556</v>
      </c>
      <c r="BC46" s="16">
        <v>-0.000007657010787855777</v>
      </c>
      <c r="BD46" s="16">
        <v>0.0000027869240102347073</v>
      </c>
      <c r="BE46" s="16">
        <v>-0.003911442055040353</v>
      </c>
      <c r="BF46" s="16">
        <v>-0.000009012233936148835</v>
      </c>
      <c r="BG46" s="16">
        <v>0.000003280184897001912</v>
      </c>
      <c r="BH46" s="16">
        <v>-0.006622510496784847</v>
      </c>
      <c r="BI46" s="16">
        <v>-0.000012400291806881479</v>
      </c>
      <c r="BJ46" s="16">
        <v>0.000004513337113919924</v>
      </c>
      <c r="BK46" s="16">
        <v>-0.00933357893852934</v>
      </c>
      <c r="BL46" s="16">
        <v>-0.000015788349677614123</v>
      </c>
      <c r="BM46" s="16">
        <v>0.000005746489330837936</v>
      </c>
      <c r="BN46" s="16">
        <v>-0.020177852705507315</v>
      </c>
      <c r="BO46" s="16">
        <v>-0.000029340581160544703</v>
      </c>
      <c r="BP46" s="16">
        <v>0.000010679098198509985</v>
      </c>
      <c r="BQ46" s="16">
        <v>-0.05</v>
      </c>
      <c r="BR46" s="16">
        <v>0</v>
      </c>
      <c r="BS46" s="16">
        <v>0</v>
      </c>
      <c r="BT46" s="45">
        <v>33981.43387592912</v>
      </c>
      <c r="BU46" s="45">
        <v>33981.43387592912</v>
      </c>
      <c r="BV46" s="45">
        <v>33866.46043470934</v>
      </c>
      <c r="BW46" s="45">
        <v>32846.244609645684</v>
      </c>
      <c r="BX46" s="45">
        <v>30697.219949188813</v>
      </c>
      <c r="BY46" s="45">
        <v>29309.6097443066</v>
      </c>
      <c r="BZ46" s="45">
        <v>27300.750818011173</v>
      </c>
      <c r="CA46" s="45">
        <v>25172.733490727733</v>
      </c>
      <c r="CB46" s="45">
        <v>21360.98716647161</v>
      </c>
      <c r="CC46" s="45">
        <v>18285.33534803117</v>
      </c>
      <c r="CD46" s="45">
        <v>15841.58145508318</v>
      </c>
      <c r="CE46" s="45">
        <v>13737.084597095234</v>
      </c>
      <c r="CF46" s="45">
        <v>10539.206333801088</v>
      </c>
      <c r="CG46" s="45">
        <v>8304.338217146409</v>
      </c>
      <c r="CH46" s="45">
        <v>6449.765646713419</v>
      </c>
      <c r="CI46" s="45">
        <v>4910.892907757391</v>
      </c>
      <c r="CJ46" s="45">
        <v>2614.200481915442</v>
      </c>
      <c r="CK46" s="45">
        <v>1068.158012931651</v>
      </c>
      <c r="CL46" s="45">
        <v>-1527.4808413953674</v>
      </c>
      <c r="CM46" s="45">
        <v>-3013.774870172399</v>
      </c>
      <c r="CN46" s="45">
        <v>-5064.846896047958</v>
      </c>
      <c r="CO46" s="45">
        <v>-5790.583579096708</v>
      </c>
      <c r="CP46" s="45">
        <v>6.55418261885643e-13</v>
      </c>
      <c r="CQ46" s="45">
        <v>6.55418261885643e-13</v>
      </c>
      <c r="CR46" s="45">
        <v>-56.91913748612648</v>
      </c>
      <c r="CS46" s="45">
        <v>-522.0529703940143</v>
      </c>
      <c r="CT46" s="45">
        <v>-1409.5712960921974</v>
      </c>
      <c r="CU46" s="45">
        <v>-1952.5973421514973</v>
      </c>
      <c r="CV46" s="45">
        <v>-2720.3181651620525</v>
      </c>
      <c r="CW46" s="45">
        <v>-3501.781795613699</v>
      </c>
      <c r="CX46" s="45">
        <v>-4715.179969752153</v>
      </c>
      <c r="CY46" s="45">
        <v>-5448.856768776006</v>
      </c>
      <c r="CZ46" s="45">
        <v>-5816.184773196854</v>
      </c>
      <c r="DA46" s="45">
        <v>-6010.378867388586</v>
      </c>
      <c r="DB46" s="45">
        <v>-5958.179081079269</v>
      </c>
      <c r="DC46" s="45">
        <v>-5571.273697428158</v>
      </c>
      <c r="DD46" s="45">
        <v>-5111.531530264861</v>
      </c>
      <c r="DE46" s="45">
        <v>-4661.28482362186</v>
      </c>
      <c r="DF46" s="45">
        <v>-3840.1740430725195</v>
      </c>
      <c r="DG46" s="45">
        <v>-3222.2946150285284</v>
      </c>
      <c r="DH46" s="45">
        <v>-2097.1878703522852</v>
      </c>
      <c r="DI46" s="45">
        <v>-1396.4195364665704</v>
      </c>
      <c r="DJ46" s="45">
        <v>-393.5871041442493</v>
      </c>
      <c r="DK46" s="45">
        <v>0</v>
      </c>
      <c r="DL46" s="45">
        <v>-5.220063030719757e-12</v>
      </c>
      <c r="DM46" s="45">
        <v>-5.220063030719757e-12</v>
      </c>
      <c r="DN46" s="45">
        <v>42.24822612637365</v>
      </c>
      <c r="DO46" s="45">
        <v>301.8082060193556</v>
      </c>
      <c r="DP46" s="45">
        <v>778.50154163991</v>
      </c>
      <c r="DQ46" s="45">
        <v>1063.1919130931306</v>
      </c>
      <c r="DR46" s="45">
        <v>1453.9460873012738</v>
      </c>
      <c r="DS46" s="45">
        <v>1817.9940195256252</v>
      </c>
      <c r="DT46" s="45">
        <v>2143.7265997812547</v>
      </c>
      <c r="DU46" s="45">
        <v>2220.820369769435</v>
      </c>
      <c r="DV46" s="45">
        <v>2306.9564840841144</v>
      </c>
      <c r="DW46" s="45">
        <v>2407.1256724062887</v>
      </c>
      <c r="DX46" s="45">
        <v>2492.7102488303553</v>
      </c>
      <c r="DY46" s="45">
        <v>2544.5965267164315</v>
      </c>
      <c r="DZ46" s="45">
        <v>2546.068484370609</v>
      </c>
      <c r="EA46" s="45">
        <v>2476.13697414869</v>
      </c>
      <c r="EB46" s="45">
        <v>2329.1979741880114</v>
      </c>
      <c r="EC46" s="45">
        <v>2097.373178438847</v>
      </c>
      <c r="ED46" s="45">
        <v>1555.283866677683</v>
      </c>
      <c r="EE46" s="45">
        <v>1143.0389241118341</v>
      </c>
      <c r="EF46" s="45">
        <v>342.864959626809</v>
      </c>
      <c r="EG46" s="45">
        <v>5.960464477539062e-14</v>
      </c>
      <c r="EH46" s="46">
        <f>MAX(1,MIN(21,SUMPRODUCT(--($BT46:$CO46&gt;=Pu))))</f>
      </c>
      <c r="EI46" s="47">
        <f>(Pu-INDEX($BT46:$CO46,1,$EH46))/(INDEX($BT46:$CO46,1,$EH46+1)-INDEX($BT46:$CO46,1,$EH46))</f>
      </c>
      <c r="EJ46" s="39">
        <f>INDEX($CP46:$DK46,1,$EH46)+$EI46*(INDEX($CP46:$DK46,1,$EH46+1)-INDEX($CP46:$DK46,1,$EH46))</f>
      </c>
      <c r="EK46" s="39">
        <f>INDEX($DL46:$EG46,1,$EH46)+$EI46*(INDEX($DL46:$EG46,1,$EH46+1)-INDEX($DL46:$EG46,1,$EH46))</f>
      </c>
      <c r="EL46" s="39">
        <f>SQRT(EJ46^2+EK46^2)</f>
      </c>
      <c r="EM46" s="20">
        <f>EJ47-EJ46</f>
      </c>
      <c r="EN46" s="20">
        <f>EK47-EK46</f>
      </c>
      <c r="EO46" s="20">
        <f>EM46*SIN(RADIANS(theta_L))-EN46*COS(RADIANS(theta_L))</f>
      </c>
      <c r="EP46" s="47">
        <f>IF(EO46=0,"",-(EJ46*SIN(RADIANS(theta_L))-EK46*COS(RADIANS(theta_L)))/EO46)</f>
      </c>
      <c r="EQ46" s="20">
        <f>IF(EP46="","",(EJ46+EP46*EM46)*COS(RADIANS(theta_L))+(EK46+EP46*EN46)*SIN(RADIANS(theta_L)))</f>
      </c>
      <c r="ER46" s="20">
        <f>IF(OR(EP46="",EP46&lt;0,EP46&gt;1,EQ46&lt;0),"",EQ46)</f>
      </c>
    </row>
    <row r="47" spans="1:148" x14ac:dyDescent="0.25">
      <c r="A47">
        <v>40</v>
      </c>
      <c r="B47" s="44">
        <v>165.00000000000003</v>
      </c>
      <c r="C47" s="18">
        <v>721.9059705798272</v>
      </c>
      <c r="D47" s="18">
        <v>-615.4683059742144</v>
      </c>
      <c r="E47" s="18">
        <v>1337.3742765540417</v>
      </c>
      <c r="F47" s="16">
        <v>0.0033</v>
      </c>
      <c r="G47" s="16">
        <v>0</v>
      </c>
      <c r="H47" s="16">
        <v>0</v>
      </c>
      <c r="I47" s="16">
        <v>0.00275</v>
      </c>
      <c r="J47" s="16">
        <v>-7.359119138913421e-7</v>
      </c>
      <c r="K47" s="16">
        <v>1.9718700302762687e-7</v>
      </c>
      <c r="L47" s="16">
        <v>0.0024749999999999998</v>
      </c>
      <c r="M47" s="16">
        <v>-0.0000011038678708370132</v>
      </c>
      <c r="N47" s="16">
        <v>2.9578050454144034e-7</v>
      </c>
      <c r="O47" s="16">
        <v>0.0022</v>
      </c>
      <c r="P47" s="16">
        <v>-0.0000014718238277826842</v>
      </c>
      <c r="Q47" s="16">
        <v>3.9437400605525374e-7</v>
      </c>
      <c r="R47" s="16">
        <v>0.0019249999999999998</v>
      </c>
      <c r="S47" s="16">
        <v>-0.0000018397797847283555</v>
      </c>
      <c r="T47" s="16">
        <v>4.929675075690673e-7</v>
      </c>
      <c r="U47" s="16">
        <v>0.0018</v>
      </c>
      <c r="V47" s="16">
        <v>-0.000002007032492430933</v>
      </c>
      <c r="W47" s="16">
        <v>5.377827355298914e-7</v>
      </c>
      <c r="X47" s="16">
        <v>0.0016499999999999998</v>
      </c>
      <c r="Y47" s="16">
        <v>-0.0000022077357416740265</v>
      </c>
      <c r="Z47" s="16">
        <v>5.915610090828807e-7</v>
      </c>
      <c r="AA47" s="16">
        <v>0.0015186813783709227</v>
      </c>
      <c r="AB47" s="16">
        <v>-0.000002383442901987894</v>
      </c>
      <c r="AC47" s="16">
        <v>6.386416007933473e-7</v>
      </c>
      <c r="AD47" s="16">
        <v>0.0012487846175180321</v>
      </c>
      <c r="AE47" s="16">
        <v>-0.000002744570614410302</v>
      </c>
      <c r="AF47" s="16">
        <v>7.354054797014303e-7</v>
      </c>
      <c r="AG47" s="16">
        <v>0.000978887856665142</v>
      </c>
      <c r="AH47" s="16">
        <v>-0.0000031056983268327103</v>
      </c>
      <c r="AI47" s="16">
        <v>8.321693586095131e-7</v>
      </c>
      <c r="AJ47" s="16">
        <v>0.0007089910958122513</v>
      </c>
      <c r="AK47" s="16">
        <v>-0.000003466826039255119</v>
      </c>
      <c r="AL47" s="16">
        <v>9.289332375175961e-7</v>
      </c>
      <c r="AM47" s="16">
        <v>0.0004390943349593607</v>
      </c>
      <c r="AN47" s="16">
        <v>-0.000003827953751677527</v>
      </c>
      <c r="AO47" s="16">
        <v>0.000001025697116425679</v>
      </c>
      <c r="AP47" s="16">
        <v>-0.00010069918674642008</v>
      </c>
      <c r="AQ47" s="16">
        <v>-0.000004550209176522343</v>
      </c>
      <c r="AR47" s="16">
        <v>0.0000012192248742418448</v>
      </c>
      <c r="AS47" s="16">
        <v>-0.0006404927084522017</v>
      </c>
      <c r="AT47" s="16">
        <v>-0.00000527246460136716</v>
      </c>
      <c r="AU47" s="16">
        <v>0.0000014127526320580107</v>
      </c>
      <c r="AV47" s="16">
        <v>-0.001180286230157982</v>
      </c>
      <c r="AW47" s="16">
        <v>-0.000005994720026211976</v>
      </c>
      <c r="AX47" s="16">
        <v>0.0000016062803898741764</v>
      </c>
      <c r="AY47" s="16">
        <v>-0.0017200797518637624</v>
      </c>
      <c r="AZ47" s="16">
        <v>-0.000006716975451056792</v>
      </c>
      <c r="BA47" s="16">
        <v>0.0000017998081476903421</v>
      </c>
      <c r="BB47" s="16">
        <v>-0.0027996667952753258</v>
      </c>
      <c r="BC47" s="16">
        <v>-0.000008161486300746427</v>
      </c>
      <c r="BD47" s="16">
        <v>0.0000021868636633226744</v>
      </c>
      <c r="BE47" s="16">
        <v>-0.0038792538386868865</v>
      </c>
      <c r="BF47" s="16">
        <v>-0.000009605997150436056</v>
      </c>
      <c r="BG47" s="16">
        <v>0.0000025739191789550054</v>
      </c>
      <c r="BH47" s="16">
        <v>-0.006578221447215792</v>
      </c>
      <c r="BI47" s="16">
        <v>-0.00001321727427466014</v>
      </c>
      <c r="BJ47" s="16">
        <v>0.0000035415579680358347</v>
      </c>
      <c r="BK47" s="16">
        <v>-0.009277189055744699</v>
      </c>
      <c r="BL47" s="16">
        <v>-0.000016828551398884223</v>
      </c>
      <c r="BM47" s="16">
        <v>0.000004509196757116664</v>
      </c>
      <c r="BN47" s="16">
        <v>-0.020073059489860313</v>
      </c>
      <c r="BO47" s="16">
        <v>-0.00003127365989578055</v>
      </c>
      <c r="BP47" s="16">
        <v>0.00000837975191343998</v>
      </c>
      <c r="BQ47" s="16">
        <v>-0.05</v>
      </c>
      <c r="BR47" s="16">
        <v>0</v>
      </c>
      <c r="BS47" s="16">
        <v>0</v>
      </c>
      <c r="BT47" s="45">
        <v>33981.43387592912</v>
      </c>
      <c r="BU47" s="45">
        <v>33981.43387592912</v>
      </c>
      <c r="BV47" s="45">
        <v>33850.502775346424</v>
      </c>
      <c r="BW47" s="45">
        <v>32774.62200462246</v>
      </c>
      <c r="BX47" s="45">
        <v>30527.477727969967</v>
      </c>
      <c r="BY47" s="45">
        <v>29097.611397732082</v>
      </c>
      <c r="BZ47" s="45">
        <v>27011.95421478768</v>
      </c>
      <c r="CA47" s="45">
        <v>24941.868579438327</v>
      </c>
      <c r="CB47" s="45">
        <v>21078.85572118195</v>
      </c>
      <c r="CC47" s="45">
        <v>18153.92666018757</v>
      </c>
      <c r="CD47" s="45">
        <v>15853.58053224403</v>
      </c>
      <c r="CE47" s="45">
        <v>13871.71485400362</v>
      </c>
      <c r="CF47" s="45">
        <v>10907.459608431665</v>
      </c>
      <c r="CG47" s="45">
        <v>8826.284057762077</v>
      </c>
      <c r="CH47" s="45">
        <v>7092.900276256761</v>
      </c>
      <c r="CI47" s="45">
        <v>5650.455661233742</v>
      </c>
      <c r="CJ47" s="45">
        <v>3319.4572105838374</v>
      </c>
      <c r="CK47" s="45">
        <v>1695.222538164509</v>
      </c>
      <c r="CL47" s="45">
        <v>-1005.3915124970479</v>
      </c>
      <c r="CM47" s="45">
        <v>-2702.3282100307542</v>
      </c>
      <c r="CN47" s="45">
        <v>-4985.7990544299155</v>
      </c>
      <c r="CO47" s="45">
        <v>-5790.583579096708</v>
      </c>
      <c r="CP47" s="45">
        <v>6.55418261885643e-13</v>
      </c>
      <c r="CQ47" s="45">
        <v>6.55418261885643e-13</v>
      </c>
      <c r="CR47" s="45">
        <v>-66.91477571471599</v>
      </c>
      <c r="CS47" s="45">
        <v>-569.7398531996968</v>
      </c>
      <c r="CT47" s="45">
        <v>-1524.6368471870228</v>
      </c>
      <c r="CU47" s="45">
        <v>-2109.15328492618</v>
      </c>
      <c r="CV47" s="45">
        <v>-2930.765158492812</v>
      </c>
      <c r="CW47" s="45">
        <v>-3717.6183834373105</v>
      </c>
      <c r="CX47" s="45">
        <v>-4991.691274454448</v>
      </c>
      <c r="CY47" s="45">
        <v>-5680.423287066189</v>
      </c>
      <c r="CZ47" s="45">
        <v>-6040.821275257038</v>
      </c>
      <c r="DA47" s="45">
        <v>-6259.305674686458</v>
      </c>
      <c r="DB47" s="45">
        <v>-6257.300954612444</v>
      </c>
      <c r="DC47" s="45">
        <v>-5922.808926762659</v>
      </c>
      <c r="DD47" s="45">
        <v>-5533.643413367424</v>
      </c>
      <c r="DE47" s="45">
        <v>-5108.002130781412</v>
      </c>
      <c r="DF47" s="45">
        <v>-4295.765151729288</v>
      </c>
      <c r="DG47" s="45">
        <v>-3622.803565907794</v>
      </c>
      <c r="DH47" s="45">
        <v>-2414.448988158402</v>
      </c>
      <c r="DI47" s="45">
        <v>-1598.0133230619956</v>
      </c>
      <c r="DJ47" s="45">
        <v>-440.20378772442507</v>
      </c>
      <c r="DK47" s="45">
        <v>0</v>
      </c>
      <c r="DL47" s="45">
        <v>-5.220063030719757e-12</v>
      </c>
      <c r="DM47" s="45">
        <v>-5.220063030719757e-12</v>
      </c>
      <c r="DN47" s="45">
        <v>37.2731058756876</v>
      </c>
      <c r="DO47" s="45">
        <v>255.80688055528407</v>
      </c>
      <c r="DP47" s="45">
        <v>634.5701622960775</v>
      </c>
      <c r="DQ47" s="45">
        <v>854.7795156186941</v>
      </c>
      <c r="DR47" s="45">
        <v>1159.5587752776528</v>
      </c>
      <c r="DS47" s="45">
        <v>1431.3415384897794</v>
      </c>
      <c r="DT47" s="45">
        <v>1637.9245392318185</v>
      </c>
      <c r="DU47" s="45">
        <v>1663.258816903153</v>
      </c>
      <c r="DV47" s="45">
        <v>1729.1695782188044</v>
      </c>
      <c r="DW47" s="45">
        <v>1807.9529356592984</v>
      </c>
      <c r="DX47" s="45">
        <v>1871.8973640886131</v>
      </c>
      <c r="DY47" s="45">
        <v>1929.2975479767113</v>
      </c>
      <c r="DZ47" s="45">
        <v>1919.1102229806052</v>
      </c>
      <c r="EA47" s="45">
        <v>1930.9037239162053</v>
      </c>
      <c r="EB47" s="45">
        <v>1891.0859120064733</v>
      </c>
      <c r="EC47" s="45">
        <v>1784.0277858806205</v>
      </c>
      <c r="ED47" s="45">
        <v>1376.8689581276942</v>
      </c>
      <c r="EE47" s="45">
        <v>1044.9834646172708</v>
      </c>
      <c r="EF47" s="45">
        <v>354.5818733985687</v>
      </c>
      <c r="EG47" s="45">
        <v>5.960464477539062e-14</v>
      </c>
      <c r="EH47" s="46">
        <f>MAX(1,MIN(21,SUMPRODUCT(--($BT47:$CO47&gt;=Pu))))</f>
      </c>
      <c r="EI47" s="47">
        <f>(Pu-INDEX($BT47:$CO47,1,$EH47))/(INDEX($BT47:$CO47,1,$EH47+1)-INDEX($BT47:$CO47,1,$EH47))</f>
      </c>
      <c r="EJ47" s="39">
        <f>INDEX($CP47:$DK47,1,$EH47)+$EI47*(INDEX($CP47:$DK47,1,$EH47+1)-INDEX($CP47:$DK47,1,$EH47))</f>
      </c>
      <c r="EK47" s="39">
        <f>INDEX($DL47:$EG47,1,$EH47)+$EI47*(INDEX($DL47:$EG47,1,$EH47+1)-INDEX($DL47:$EG47,1,$EH47))</f>
      </c>
      <c r="EL47" s="39">
        <f>SQRT(EJ47^2+EK47^2)</f>
      </c>
      <c r="EM47" s="20">
        <f>EJ48-EJ47</f>
      </c>
      <c r="EN47" s="20">
        <f>EK48-EK47</f>
      </c>
      <c r="EO47" s="20">
        <f>EM47*SIN(RADIANS(theta_L))-EN47*COS(RADIANS(theta_L))</f>
      </c>
      <c r="EP47" s="47">
        <f>IF(EO47=0,"",-(EJ47*SIN(RADIANS(theta_L))-EK47*COS(RADIANS(theta_L)))/EO47)</f>
      </c>
      <c r="EQ47" s="20">
        <f>IF(EP47="","",(EJ47+EP47*EM47)*COS(RADIANS(theta_L))+(EK47+EP47*EN47)*SIN(RADIANS(theta_L)))</f>
      </c>
      <c r="ER47" s="20">
        <f>IF(OR(EP47="",EP47&lt;0,EP47&gt;1,EQ47&lt;0),"",EQ47)</f>
      </c>
    </row>
    <row r="48" spans="1:148" x14ac:dyDescent="0.25">
      <c r="A48">
        <v>41</v>
      </c>
      <c r="B48" s="44">
        <v>167.50000000000003</v>
      </c>
      <c r="C48" s="18">
        <v>704.8193919379165</v>
      </c>
      <c r="D48" s="18">
        <v>-604.0127293488058</v>
      </c>
      <c r="E48" s="18">
        <v>1308.8321212867222</v>
      </c>
      <c r="F48" s="16">
        <v>0.0033</v>
      </c>
      <c r="G48" s="16">
        <v>0</v>
      </c>
      <c r="H48" s="16">
        <v>0</v>
      </c>
      <c r="I48" s="16">
        <v>0.00275</v>
      </c>
      <c r="J48" s="16">
        <v>-7.618445378461739e-7</v>
      </c>
      <c r="K48" s="16">
        <v>1.6889686780417388e-7</v>
      </c>
      <c r="L48" s="16">
        <v>0.0024749999999999998</v>
      </c>
      <c r="M48" s="16">
        <v>-0.0000011427668067692609</v>
      </c>
      <c r="N48" s="16">
        <v>2.533453017062608e-7</v>
      </c>
      <c r="O48" s="16">
        <v>0.0022</v>
      </c>
      <c r="P48" s="16">
        <v>-0.0000015236890756923478</v>
      </c>
      <c r="Q48" s="16">
        <v>3.3779373560834775e-7</v>
      </c>
      <c r="R48" s="16">
        <v>0.001925</v>
      </c>
      <c r="S48" s="16">
        <v>-0.0000019046113446154349</v>
      </c>
      <c r="T48" s="16">
        <v>4.222421695104347e-7</v>
      </c>
      <c r="U48" s="16">
        <v>0.0018000000000000002</v>
      </c>
      <c r="V48" s="16">
        <v>-0.000002077757830489565</v>
      </c>
      <c r="W48" s="16">
        <v>4.6062782128411057e-7</v>
      </c>
      <c r="X48" s="16">
        <v>0.00165</v>
      </c>
      <c r="Y48" s="16">
        <v>-0.0000022855336135385218</v>
      </c>
      <c r="Z48" s="16">
        <v>5.066906034125216e-7</v>
      </c>
      <c r="AA48" s="16">
        <v>0.0015229164798396667</v>
      </c>
      <c r="AB48" s="16">
        <v>-0.0000024615661329647293</v>
      </c>
      <c r="AC48" s="16">
        <v>5.457160734209015e-7</v>
      </c>
      <c r="AD48" s="16">
        <v>0.0012536614010274952</v>
      </c>
      <c r="AE48" s="16">
        <v>-0.0000028345306985654456</v>
      </c>
      <c r="AF48" s="16">
        <v>6.284003269695228e-7</v>
      </c>
      <c r="AG48" s="16">
        <v>0.0009844063222153232</v>
      </c>
      <c r="AH48" s="16">
        <v>-0.000003207495264166162</v>
      </c>
      <c r="AI48" s="16">
        <v>7.110845805181443e-7</v>
      </c>
      <c r="AJ48" s="16">
        <v>0.0007151512434031512</v>
      </c>
      <c r="AK48" s="16">
        <v>-0.000003580459829766879</v>
      </c>
      <c r="AL48" s="16">
        <v>7.937688340667658e-7</v>
      </c>
      <c r="AM48" s="16">
        <v>0.0004458961645909796</v>
      </c>
      <c r="AN48" s="16">
        <v>-0.000003953424395367595</v>
      </c>
      <c r="AO48" s="16">
        <v>8.764530876153872e-7</v>
      </c>
      <c r="AP48" s="16">
        <v>-0.00009261399303336307</v>
      </c>
      <c r="AQ48" s="16">
        <v>-0.000004699353526569028</v>
      </c>
      <c r="AR48" s="16">
        <v>0.00000104182159471263</v>
      </c>
      <c r="AS48" s="16">
        <v>-0.0006311241506577071</v>
      </c>
      <c r="AT48" s="16">
        <v>-0.0000054452826577704614</v>
      </c>
      <c r="AU48" s="16">
        <v>0.0000012071901018098728</v>
      </c>
      <c r="AV48" s="16">
        <v>-0.0011696343082820502</v>
      </c>
      <c r="AW48" s="16">
        <v>-0.000006191211788971894</v>
      </c>
      <c r="AX48" s="16">
        <v>0.0000013725586089071157</v>
      </c>
      <c r="AY48" s="16">
        <v>-0.0017081444659063933</v>
      </c>
      <c r="AZ48" s="16">
        <v>-0.000006937140920173327</v>
      </c>
      <c r="BA48" s="16">
        <v>0.0000015379271160043584</v>
      </c>
      <c r="BB48" s="16">
        <v>-0.0027851647811550804</v>
      </c>
      <c r="BC48" s="16">
        <v>-0.000008428999182576194</v>
      </c>
      <c r="BD48" s="16">
        <v>0.0000018686641301988443</v>
      </c>
      <c r="BE48" s="16">
        <v>-0.0038621850964037667</v>
      </c>
      <c r="BF48" s="16">
        <v>-0.000009920857444979058</v>
      </c>
      <c r="BG48" s="16">
        <v>0.0000021994011443933295</v>
      </c>
      <c r="BH48" s="16">
        <v>-0.006554735884525486</v>
      </c>
      <c r="BI48" s="16">
        <v>-0.000013650503100986227</v>
      </c>
      <c r="BJ48" s="16">
        <v>0.0000030262436798795443</v>
      </c>
      <c r="BK48" s="16">
        <v>-0.009247286672647202</v>
      </c>
      <c r="BL48" s="16">
        <v>-0.00001738014875699339</v>
      </c>
      <c r="BM48" s="16">
        <v>0.000003853086215365758</v>
      </c>
      <c r="BN48" s="16">
        <v>-0.020017489825134068</v>
      </c>
      <c r="BO48" s="16">
        <v>-0.00003229873138102205</v>
      </c>
      <c r="BP48" s="16">
        <v>0.000007160456357310615</v>
      </c>
      <c r="BQ48" s="16">
        <v>-0.05</v>
      </c>
      <c r="BR48" s="16">
        <v>0</v>
      </c>
      <c r="BS48" s="16">
        <v>0</v>
      </c>
      <c r="BT48" s="45">
        <v>33981.43387592912</v>
      </c>
      <c r="BU48" s="45">
        <v>33981.43387592912</v>
      </c>
      <c r="BV48" s="45">
        <v>33835.78549263233</v>
      </c>
      <c r="BW48" s="45">
        <v>32723.612206818292</v>
      </c>
      <c r="BX48" s="45">
        <v>30419.729870476385</v>
      </c>
      <c r="BY48" s="45">
        <v>28946.977546380833</v>
      </c>
      <c r="BZ48" s="45">
        <v>26828.8330644605</v>
      </c>
      <c r="CA48" s="45">
        <v>24788.327273601426</v>
      </c>
      <c r="CB48" s="45">
        <v>20922.633823888493</v>
      </c>
      <c r="CC48" s="45">
        <v>18092.021567802618</v>
      </c>
      <c r="CD48" s="45">
        <v>15854.089264156713</v>
      </c>
      <c r="CE48" s="45">
        <v>13914.746086262725</v>
      </c>
      <c r="CF48" s="45">
        <v>11092.199264125895</v>
      </c>
      <c r="CG48" s="45">
        <v>9066.809973355643</v>
      </c>
      <c r="CH48" s="45">
        <v>7422.804750616374</v>
      </c>
      <c r="CI48" s="45">
        <v>6044.529868368048</v>
      </c>
      <c r="CJ48" s="45">
        <v>3812.791075171883</v>
      </c>
      <c r="CK48" s="45">
        <v>2121.045921309719</v>
      </c>
      <c r="CL48" s="45">
        <v>-640.3376745979325</v>
      </c>
      <c r="CM48" s="45">
        <v>-2396.4207021534007</v>
      </c>
      <c r="CN48" s="45">
        <v>-4885.992935137929</v>
      </c>
      <c r="CO48" s="45">
        <v>-5790.583579096708</v>
      </c>
      <c r="CP48" s="45">
        <v>6.55418261885643e-13</v>
      </c>
      <c r="CQ48" s="45">
        <v>6.55418261885643e-13</v>
      </c>
      <c r="CR48" s="45">
        <v>-75.52188187133379</v>
      </c>
      <c r="CS48" s="45">
        <v>-599.8178820185753</v>
      </c>
      <c r="CT48" s="45">
        <v>-1591.5561926644489</v>
      </c>
      <c r="CU48" s="45">
        <v>-2197.1255074893093</v>
      </c>
      <c r="CV48" s="45">
        <v>-3050.404770417944</v>
      </c>
      <c r="CW48" s="45">
        <v>-3837.0533385087297</v>
      </c>
      <c r="CX48" s="45">
        <v>-5120.554044829308</v>
      </c>
      <c r="CY48" s="45">
        <v>-5778.654517290741</v>
      </c>
      <c r="CZ48" s="45">
        <v>-6134.490082372332</v>
      </c>
      <c r="DA48" s="45">
        <v>-6360.40611924134</v>
      </c>
      <c r="DB48" s="45">
        <v>-6372.32274115006</v>
      </c>
      <c r="DC48" s="45">
        <v>-6079.641775181524</v>
      </c>
      <c r="DD48" s="45">
        <v>-5723.809158387107</v>
      </c>
      <c r="DE48" s="45">
        <v>-5331.307912975661</v>
      </c>
      <c r="DF48" s="45">
        <v>-4560.4213552351775</v>
      </c>
      <c r="DG48" s="45">
        <v>-3877.0123917854253</v>
      </c>
      <c r="DH48" s="45">
        <v>-2629.528495457648</v>
      </c>
      <c r="DI48" s="45">
        <v>-1779.2415546126529</v>
      </c>
      <c r="DJ48" s="45">
        <v>-496.2141398804873</v>
      </c>
      <c r="DK48" s="45">
        <v>0</v>
      </c>
      <c r="DL48" s="45">
        <v>-5.220063030719757e-12</v>
      </c>
      <c r="DM48" s="45">
        <v>-5.220063030719757e-12</v>
      </c>
      <c r="DN48" s="45">
        <v>32.597068512548645</v>
      </c>
      <c r="DO48" s="45">
        <v>226.66618492008246</v>
      </c>
      <c r="DP48" s="45">
        <v>554.6943222843303</v>
      </c>
      <c r="DQ48" s="45">
        <v>741.5643941014176</v>
      </c>
      <c r="DR48" s="45">
        <v>998.6646332822048</v>
      </c>
      <c r="DS48" s="45">
        <v>1223.9095760582168</v>
      </c>
      <c r="DT48" s="45">
        <v>1371.1607353606632</v>
      </c>
      <c r="DU48" s="45">
        <v>1385.8860319688163</v>
      </c>
      <c r="DV48" s="45">
        <v>1443.2485742640185</v>
      </c>
      <c r="DW48" s="45">
        <v>1512.574016210596</v>
      </c>
      <c r="DX48" s="45">
        <v>1570.4622748919649</v>
      </c>
      <c r="DY48" s="45">
        <v>1610.2692404759268</v>
      </c>
      <c r="DZ48" s="45">
        <v>1594.3501818941695</v>
      </c>
      <c r="EA48" s="45">
        <v>1635.5525431319375</v>
      </c>
      <c r="EB48" s="45">
        <v>1622.0637537119906</v>
      </c>
      <c r="EC48" s="45">
        <v>1576.023795281239</v>
      </c>
      <c r="ED48" s="45">
        <v>1259.7271254112843</v>
      </c>
      <c r="EE48" s="45">
        <v>963.3892956902121</v>
      </c>
      <c r="EF48" s="45">
        <v>372.5713920562501</v>
      </c>
      <c r="EG48" s="45">
        <v>5.960464477539062e-14</v>
      </c>
      <c r="EH48" s="46">
        <f>MAX(1,MIN(21,SUMPRODUCT(--($BT48:$CO48&gt;=Pu))))</f>
      </c>
      <c r="EI48" s="47">
        <f>(Pu-INDEX($BT48:$CO48,1,$EH48))/(INDEX($BT48:$CO48,1,$EH48+1)-INDEX($BT48:$CO48,1,$EH48))</f>
      </c>
      <c r="EJ48" s="39">
        <f>INDEX($CP48:$DK48,1,$EH48)+$EI48*(INDEX($CP48:$DK48,1,$EH48+1)-INDEX($CP48:$DK48,1,$EH48))</f>
      </c>
      <c r="EK48" s="39">
        <f>INDEX($DL48:$EG48,1,$EH48)+$EI48*(INDEX($DL48:$EG48,1,$EH48+1)-INDEX($DL48:$EG48,1,$EH48))</f>
      </c>
      <c r="EL48" s="39">
        <f>SQRT(EJ48^2+EK48^2)</f>
      </c>
      <c r="EM48" s="20">
        <f>EJ49-EJ48</f>
      </c>
      <c r="EN48" s="20">
        <f>EK49-EK48</f>
      </c>
      <c r="EO48" s="20">
        <f>EM48*SIN(RADIANS(theta_L))-EN48*COS(RADIANS(theta_L))</f>
      </c>
      <c r="EP48" s="47">
        <f>IF(EO48=0,"",-(EJ48*SIN(RADIANS(theta_L))-EK48*COS(RADIANS(theta_L)))/EO48)</f>
      </c>
      <c r="EQ48" s="20">
        <f>IF(EP48="","",(EJ48+EP48*EM48)*COS(RADIANS(theta_L))+(EK48+EP48*EN48)*SIN(RADIANS(theta_L)))</f>
      </c>
      <c r="ER48" s="20">
        <f>IF(OR(EP48="",EP48&lt;0,EP48&gt;1,EQ48&lt;0),"",EQ48)</f>
      </c>
    </row>
    <row r="49" spans="1:148" x14ac:dyDescent="0.25">
      <c r="A49">
        <v>42</v>
      </c>
      <c r="B49" s="44">
        <v>170</v>
      </c>
      <c r="C49" s="18">
        <v>686.3911495241364</v>
      </c>
      <c r="D49" s="18">
        <v>-591.4073801632424</v>
      </c>
      <c r="E49" s="18">
        <v>1277.7985296873787</v>
      </c>
      <c r="F49" s="16">
        <v>0.0033</v>
      </c>
      <c r="G49" s="16">
        <v>0</v>
      </c>
      <c r="H49" s="16">
        <v>0</v>
      </c>
      <c r="I49" s="16">
        <v>0.00275</v>
      </c>
      <c r="J49" s="16">
        <v>-7.891189513912401e-7</v>
      </c>
      <c r="K49" s="16">
        <v>1.3914296211864725e-7</v>
      </c>
      <c r="L49" s="16">
        <v>0.0024749999999999998</v>
      </c>
      <c r="M49" s="16">
        <v>-0.0000011836784270868602</v>
      </c>
      <c r="N49" s="16">
        <v>2.087144431779709e-7</v>
      </c>
      <c r="O49" s="16">
        <v>0.0021999999999999997</v>
      </c>
      <c r="P49" s="16">
        <v>-0.0000015782379027824802</v>
      </c>
      <c r="Q49" s="16">
        <v>2.782859242372945e-7</v>
      </c>
      <c r="R49" s="16">
        <v>0.001925</v>
      </c>
      <c r="S49" s="16">
        <v>-0.0000019727973784781</v>
      </c>
      <c r="T49" s="16">
        <v>3.4785740529661813e-7</v>
      </c>
      <c r="U49" s="16">
        <v>0.0018000000000000002</v>
      </c>
      <c r="V49" s="16">
        <v>-0.000002152142594703382</v>
      </c>
      <c r="W49" s="16">
        <v>3.7948080577812884e-7</v>
      </c>
      <c r="X49" s="16">
        <v>0.00165</v>
      </c>
      <c r="Y49" s="16">
        <v>-0.0000023673568541737205</v>
      </c>
      <c r="Z49" s="16">
        <v>4.174288863559418e-7</v>
      </c>
      <c r="AA49" s="16">
        <v>0.0015273490375796422</v>
      </c>
      <c r="AB49" s="16">
        <v>-0.0000025433317611778644</v>
      </c>
      <c r="AC49" s="16">
        <v>4.4845801038843535e-7</v>
      </c>
      <c r="AD49" s="16">
        <v>0.0012587655584250425</v>
      </c>
      <c r="AE49" s="16">
        <v>-0.0000029286850583260253</v>
      </c>
      <c r="AF49" s="16">
        <v>5.164061937806226e-7</v>
      </c>
      <c r="AG49" s="16">
        <v>0.0009901820792704427</v>
      </c>
      <c r="AH49" s="16">
        <v>-0.0000033140383554741867</v>
      </c>
      <c r="AI49" s="16">
        <v>5.843543771728097e-7</v>
      </c>
      <c r="AJ49" s="16">
        <v>0.0007215986001158428</v>
      </c>
      <c r="AK49" s="16">
        <v>-0.0000036993916526223485</v>
      </c>
      <c r="AL49" s="16">
        <v>6.52302560564997e-7</v>
      </c>
      <c r="AM49" s="16">
        <v>0.0004530151209612434</v>
      </c>
      <c r="AN49" s="16">
        <v>-0.00000408474494977051</v>
      </c>
      <c r="AO49" s="16">
        <v>7.20250743957184e-7</v>
      </c>
      <c r="AP49" s="16">
        <v>-0.00008415183734795592</v>
      </c>
      <c r="AQ49" s="16">
        <v>-0.000004855451544066832</v>
      </c>
      <c r="AR49" s="16">
        <v>8.561471107415584e-7</v>
      </c>
      <c r="AS49" s="16">
        <v>-0.0006213187956571557</v>
      </c>
      <c r="AT49" s="16">
        <v>-0.000005626158138363154</v>
      </c>
      <c r="AU49" s="16">
        <v>9.920434775259328e-7</v>
      </c>
      <c r="AV49" s="16">
        <v>-0.0011584857539663545</v>
      </c>
      <c r="AW49" s="16">
        <v>-0.000006396864732659477</v>
      </c>
      <c r="AX49" s="16">
        <v>0.000001127939844310307</v>
      </c>
      <c r="AY49" s="16">
        <v>-0.0016956527122755534</v>
      </c>
      <c r="AZ49" s="16">
        <v>-0.000007167571326955799</v>
      </c>
      <c r="BA49" s="16">
        <v>0.0000012638362110946814</v>
      </c>
      <c r="BB49" s="16">
        <v>-0.0027699866288939537</v>
      </c>
      <c r="BC49" s="16">
        <v>-0.000008708984515548445</v>
      </c>
      <c r="BD49" s="16">
        <v>0.0000015356289446634304</v>
      </c>
      <c r="BE49" s="16">
        <v>-0.0038443205455123515</v>
      </c>
      <c r="BF49" s="16">
        <v>-0.000010250397704141089</v>
      </c>
      <c r="BG49" s="16">
        <v>0.0000018074216782321788</v>
      </c>
      <c r="BH49" s="16">
        <v>-0.006530155337058348</v>
      </c>
      <c r="BI49" s="16">
        <v>-0.000014103930675622702</v>
      </c>
      <c r="BJ49" s="16">
        <v>0.0000024869035121540506</v>
      </c>
      <c r="BK49" s="16">
        <v>-0.009215990128604346</v>
      </c>
      <c r="BL49" s="16">
        <v>-0.000017957463647104316</v>
      </c>
      <c r="BM49" s="16">
        <v>0.000003166385346075923</v>
      </c>
      <c r="BN49" s="16">
        <v>-0.019959329294788327</v>
      </c>
      <c r="BO49" s="16">
        <v>-0.00003337159553303076</v>
      </c>
      <c r="BP49" s="16">
        <v>0.000005884312681763409</v>
      </c>
      <c r="BQ49" s="16">
        <v>-0.05</v>
      </c>
      <c r="BR49" s="16">
        <v>0</v>
      </c>
      <c r="BS49" s="16">
        <v>0</v>
      </c>
      <c r="BT49" s="45">
        <v>33981.43387592912</v>
      </c>
      <c r="BU49" s="45">
        <v>33981.43387592912</v>
      </c>
      <c r="BV49" s="45">
        <v>33817.69819449096</v>
      </c>
      <c r="BW49" s="45">
        <v>32659.152233986217</v>
      </c>
      <c r="BX49" s="45">
        <v>30287.887092940524</v>
      </c>
      <c r="BY49" s="45">
        <v>28772.248196924425</v>
      </c>
      <c r="BZ49" s="45">
        <v>26602.768355528173</v>
      </c>
      <c r="CA49" s="45">
        <v>24605.38698064708</v>
      </c>
      <c r="CB49" s="45">
        <v>20759.985824739164</v>
      </c>
      <c r="CC49" s="45">
        <v>18032.0207927484</v>
      </c>
      <c r="CD49" s="45">
        <v>15852.082122324548</v>
      </c>
      <c r="CE49" s="45">
        <v>13951.279006534854</v>
      </c>
      <c r="CF49" s="45">
        <v>11243.614950790728</v>
      </c>
      <c r="CG49" s="45">
        <v>9306.973481646524</v>
      </c>
      <c r="CH49" s="45">
        <v>7770.13479672648</v>
      </c>
      <c r="CI49" s="45">
        <v>6451.881819179729</v>
      </c>
      <c r="CJ49" s="45">
        <v>4346.7837913852745</v>
      </c>
      <c r="CK49" s="45">
        <v>2623.944914272959</v>
      </c>
      <c r="CL49" s="45">
        <v>-145.2873060250422</v>
      </c>
      <c r="CM49" s="45">
        <v>-1980.7189719030685</v>
      </c>
      <c r="CN49" s="45">
        <v>-4756.490574324481</v>
      </c>
      <c r="CO49" s="45">
        <v>-5790.583579096708</v>
      </c>
      <c r="CP49" s="45">
        <v>6.55418261885643e-13</v>
      </c>
      <c r="CQ49" s="45">
        <v>6.55418261885643e-13</v>
      </c>
      <c r="CR49" s="45">
        <v>-85.95010823306283</v>
      </c>
      <c r="CS49" s="45">
        <v>-635.3997901825403</v>
      </c>
      <c r="CT49" s="45">
        <v>-1666.7504590545386</v>
      </c>
      <c r="CU49" s="45">
        <v>-2294.5939991187543</v>
      </c>
      <c r="CV49" s="45">
        <v>-3178.3055057747165</v>
      </c>
      <c r="CW49" s="45">
        <v>-3966.297069267776</v>
      </c>
      <c r="CX49" s="45">
        <v>-5241.198459287927</v>
      </c>
      <c r="CY49" s="45">
        <v>-5866.23810515942</v>
      </c>
      <c r="CZ49" s="45">
        <v>-6217.554466684792</v>
      </c>
      <c r="DA49" s="45">
        <v>-6450.836730726594</v>
      </c>
      <c r="DB49" s="45">
        <v>-6462.301642714423</v>
      </c>
      <c r="DC49" s="45">
        <v>-6212.608348653811</v>
      </c>
      <c r="DD49" s="45">
        <v>-5899.162620496416</v>
      </c>
      <c r="DE49" s="45">
        <v>-5541.974485727463</v>
      </c>
      <c r="DF49" s="45">
        <v>-4833.924424507916</v>
      </c>
      <c r="DG49" s="45">
        <v>-4162.549504768833</v>
      </c>
      <c r="DH49" s="45">
        <v>-2912.7008173264226</v>
      </c>
      <c r="DI49" s="45">
        <v>-2021.2815479402996</v>
      </c>
      <c r="DJ49" s="45">
        <v>-568.722331014076</v>
      </c>
      <c r="DK49" s="45">
        <v>0</v>
      </c>
      <c r="DL49" s="45">
        <v>-5.220063030719757e-12</v>
      </c>
      <c r="DM49" s="45">
        <v>-5.220063030719757e-12</v>
      </c>
      <c r="DN49" s="45">
        <v>26.91244464190541</v>
      </c>
      <c r="DO49" s="45">
        <v>191.34822684240092</v>
      </c>
      <c r="DP49" s="45">
        <v>464.05338859890537</v>
      </c>
      <c r="DQ49" s="45">
        <v>619.3581875809298</v>
      </c>
      <c r="DR49" s="45">
        <v>834.2219051382043</v>
      </c>
      <c r="DS49" s="45">
        <v>1004.381089015507</v>
      </c>
      <c r="DT49" s="45">
        <v>1096.2082275739056</v>
      </c>
      <c r="DU49" s="45">
        <v>1109.5382325586447</v>
      </c>
      <c r="DV49" s="45">
        <v>1162.0209775449814</v>
      </c>
      <c r="DW49" s="45">
        <v>1221.1764390032351</v>
      </c>
      <c r="DX49" s="45">
        <v>1267.5490814355312</v>
      </c>
      <c r="DY49" s="45">
        <v>1273.7476866057518</v>
      </c>
      <c r="DZ49" s="45">
        <v>1266.834631073773</v>
      </c>
      <c r="EA49" s="45">
        <v>1307.6348851104076</v>
      </c>
      <c r="EB49" s="45">
        <v>1325.8373063211102</v>
      </c>
      <c r="EC49" s="45">
        <v>1332.2791214301164</v>
      </c>
      <c r="ED49" s="45">
        <v>1101.1669373287073</v>
      </c>
      <c r="EE49" s="45">
        <v>849.606233058404</v>
      </c>
      <c r="EF49" s="45">
        <v>397.02604773009176</v>
      </c>
      <c r="EG49" s="45">
        <v>5.960464477539062e-14</v>
      </c>
      <c r="EH49" s="46">
        <f>MAX(1,MIN(21,SUMPRODUCT(--($BT49:$CO49&gt;=Pu))))</f>
      </c>
      <c r="EI49" s="47">
        <f>(Pu-INDEX($BT49:$CO49,1,$EH49))/(INDEX($BT49:$CO49,1,$EH49+1)-INDEX($BT49:$CO49,1,$EH49))</f>
      </c>
      <c r="EJ49" s="39">
        <f>INDEX($CP49:$DK49,1,$EH49)+$EI49*(INDEX($CP49:$DK49,1,$EH49+1)-INDEX($CP49:$DK49,1,$EH49))</f>
      </c>
      <c r="EK49" s="39">
        <f>INDEX($DL49:$EG49,1,$EH49)+$EI49*(INDEX($DL49:$EG49,1,$EH49+1)-INDEX($DL49:$EG49,1,$EH49))</f>
      </c>
      <c r="EL49" s="39">
        <f>SQRT(EJ49^2+EK49^2)</f>
      </c>
      <c r="EM49" s="20">
        <f>EJ50-EJ49</f>
      </c>
      <c r="EN49" s="20">
        <f>EK50-EK49</f>
      </c>
      <c r="EO49" s="20">
        <f>EM49*SIN(RADIANS(theta_L))-EN49*COS(RADIANS(theta_L))</f>
      </c>
      <c r="EP49" s="47">
        <f>IF(EO49=0,"",-(EJ49*SIN(RADIANS(theta_L))-EK49*COS(RADIANS(theta_L)))/EO49)</f>
      </c>
      <c r="EQ49" s="20">
        <f>IF(EP49="","",(EJ49+EP49*EM49)*COS(RADIANS(theta_L))+(EK49+EP49*EN49)*SIN(RADIANS(theta_L)))</f>
      </c>
      <c r="ER49" s="20">
        <f>IF(OR(EP49="",EP49&lt;0,EP49&gt;1,EQ49&lt;0),"",EQ49)</f>
      </c>
    </row>
    <row r="50" spans="1:148" x14ac:dyDescent="0.25">
      <c r="A50">
        <v>43</v>
      </c>
      <c r="B50" s="44">
        <v>172.5</v>
      </c>
      <c r="C50" s="18">
        <v>666.6563225453147</v>
      </c>
      <c r="D50" s="18">
        <v>-577.6762534161401</v>
      </c>
      <c r="E50" s="18">
        <v>1244.3325759614547</v>
      </c>
      <c r="F50" s="16">
        <v>0.0033</v>
      </c>
      <c r="G50" s="16">
        <v>0</v>
      </c>
      <c r="H50" s="16">
        <v>0</v>
      </c>
      <c r="I50" s="16">
        <v>0.00275</v>
      </c>
      <c r="J50" s="16">
        <v>-8.17954702167443e-7</v>
      </c>
      <c r="K50" s="16">
        <v>1.0768577945369838e-7</v>
      </c>
      <c r="L50" s="16">
        <v>0.0024749999999999998</v>
      </c>
      <c r="M50" s="16">
        <v>-0.0000012269320532511645</v>
      </c>
      <c r="N50" s="16">
        <v>1.6152866918054757e-7</v>
      </c>
      <c r="O50" s="16">
        <v>0.0021999999999999997</v>
      </c>
      <c r="P50" s="16">
        <v>-0.000001635909404334886</v>
      </c>
      <c r="Q50" s="16">
        <v>2.1537155890739677e-7</v>
      </c>
      <c r="R50" s="16">
        <v>0.0019249999999999998</v>
      </c>
      <c r="S50" s="16">
        <v>-0.000002044886755418608</v>
      </c>
      <c r="T50" s="16">
        <v>2.69214448634246e-7</v>
      </c>
      <c r="U50" s="16">
        <v>0.0018000000000000002</v>
      </c>
      <c r="V50" s="16">
        <v>-0.0000022307855513657536</v>
      </c>
      <c r="W50" s="16">
        <v>2.936884894191774e-7</v>
      </c>
      <c r="X50" s="16">
        <v>0.00165</v>
      </c>
      <c r="Y50" s="16">
        <v>-0.000002453864106502329</v>
      </c>
      <c r="Z50" s="16">
        <v>3.2305733836109514e-7</v>
      </c>
      <c r="AA50" s="16">
        <v>0.001532011355404967</v>
      </c>
      <c r="AB50" s="16">
        <v>-0.0000026293356822275482</v>
      </c>
      <c r="AC50" s="16">
        <v>3.4615860956091613e-7</v>
      </c>
      <c r="AD50" s="16">
        <v>0.001264134288042083</v>
      </c>
      <c r="AE50" s="16">
        <v>-0.00000302771987650445</v>
      </c>
      <c r="AF50" s="16">
        <v>3.986068837368125e-7</v>
      </c>
      <c r="AG50" s="16">
        <v>0.0009962572206791993</v>
      </c>
      <c r="AH50" s="16">
        <v>-0.000003426104070781351</v>
      </c>
      <c r="AI50" s="16">
        <v>4.5105515791270884e-7</v>
      </c>
      <c r="AJ50" s="16">
        <v>0.0007283801533163152</v>
      </c>
      <c r="AK50" s="16">
        <v>-0.000003824488265058253</v>
      </c>
      <c r="AL50" s="16">
        <v>5.035034320886053e-7</v>
      </c>
      <c r="AM50" s="16">
        <v>0.00046050308595343157</v>
      </c>
      <c r="AN50" s="16">
        <v>-0.000004222872459335154</v>
      </c>
      <c r="AO50" s="16">
        <v>5.559517062645017e-7</v>
      </c>
      <c r="AP50" s="16">
        <v>-0.00007525104877233613</v>
      </c>
      <c r="AQ50" s="16">
        <v>-0.000005019640847888957</v>
      </c>
      <c r="AR50" s="16">
        <v>6.608482546162944e-7</v>
      </c>
      <c r="AS50" s="16">
        <v>-0.0006110051834981034</v>
      </c>
      <c r="AT50" s="16">
        <v>-0.0000058164092364427585</v>
      </c>
      <c r="AU50" s="16">
        <v>7.657448029680871e-7</v>
      </c>
      <c r="AV50" s="16">
        <v>-0.0011467593182238715</v>
      </c>
      <c r="AW50" s="16">
        <v>-0.000006613177624996561</v>
      </c>
      <c r="AX50" s="16">
        <v>8.706413513198799e-7</v>
      </c>
      <c r="AY50" s="16">
        <v>-0.0016825134529496388</v>
      </c>
      <c r="AZ50" s="16">
        <v>-0.000007409946013550363</v>
      </c>
      <c r="BA50" s="16">
        <v>9.755378996716725e-7</v>
      </c>
      <c r="BB50" s="16">
        <v>-0.002754021722401174</v>
      </c>
      <c r="BC50" s="16">
        <v>-0.000009003482790657968</v>
      </c>
      <c r="BD50" s="16">
        <v>0.0000011853309963752581</v>
      </c>
      <c r="BE50" s="16">
        <v>-0.0038255299918527087</v>
      </c>
      <c r="BF50" s="16">
        <v>-0.000010597019567765574</v>
      </c>
      <c r="BG50" s="16">
        <v>0.0000013951240930788436</v>
      </c>
      <c r="BH50" s="16">
        <v>-0.006504300665481547</v>
      </c>
      <c r="BI50" s="16">
        <v>-0.000014580861510534587</v>
      </c>
      <c r="BJ50" s="16">
        <v>0.0000019196068348378073</v>
      </c>
      <c r="BK50" s="16">
        <v>-0.009183071339110387</v>
      </c>
      <c r="BL50" s="16">
        <v>-0.0000185647034533036</v>
      </c>
      <c r="BM50" s="16">
        <v>0.0000024440895765967715</v>
      </c>
      <c r="BN50" s="16">
        <v>-0.019898154033625735</v>
      </c>
      <c r="BO50" s="16">
        <v>-0.00003450007122437965</v>
      </c>
      <c r="BP50" s="16">
        <v>0.0000045420205436326264</v>
      </c>
      <c r="BQ50" s="16">
        <v>-0.05</v>
      </c>
      <c r="BR50" s="16">
        <v>0</v>
      </c>
      <c r="BS50" s="16">
        <v>0</v>
      </c>
      <c r="BT50" s="45">
        <v>33981.43387592912</v>
      </c>
      <c r="BU50" s="45">
        <v>33981.43387592912</v>
      </c>
      <c r="BV50" s="45">
        <v>33796.90585692124</v>
      </c>
      <c r="BW50" s="45">
        <v>32583.799849473507</v>
      </c>
      <c r="BX50" s="45">
        <v>30130.677316165464</v>
      </c>
      <c r="BY50" s="45">
        <v>28569.542785519327</v>
      </c>
      <c r="BZ50" s="45">
        <v>26338.98828976121</v>
      </c>
      <c r="CA50" s="45">
        <v>24378.393597364113</v>
      </c>
      <c r="CB50" s="45">
        <v>20596.859479352155</v>
      </c>
      <c r="CC50" s="45">
        <v>17970.812230997934</v>
      </c>
      <c r="CD50" s="45">
        <v>15844.815953835277</v>
      </c>
      <c r="CE50" s="45">
        <v>13980.832249489164</v>
      </c>
      <c r="CF50" s="45">
        <v>11377.166699768608</v>
      </c>
      <c r="CG50" s="45">
        <v>9511.291862406093</v>
      </c>
      <c r="CH50" s="45">
        <v>8066.917419476318</v>
      </c>
      <c r="CI50" s="45">
        <v>6846.581536427037</v>
      </c>
      <c r="CJ50" s="45">
        <v>4892.4471916756565</v>
      </c>
      <c r="CK50" s="45">
        <v>3232.0344945062425</v>
      </c>
      <c r="CL50" s="45">
        <v>459.2289217324727</v>
      </c>
      <c r="CM50" s="45">
        <v>-1399.8804326062739</v>
      </c>
      <c r="CN50" s="45">
        <v>-4508.610671825005</v>
      </c>
      <c r="CO50" s="45">
        <v>-5790.583579096708</v>
      </c>
      <c r="CP50" s="45">
        <v>6.55418261885643e-13</v>
      </c>
      <c r="CQ50" s="45">
        <v>6.55418261885643e-13</v>
      </c>
      <c r="CR50" s="45">
        <v>-97.84445358810223</v>
      </c>
      <c r="CS50" s="45">
        <v>-675.9898299893493</v>
      </c>
      <c r="CT50" s="45">
        <v>-1751.4261603103464</v>
      </c>
      <c r="CU50" s="45">
        <v>-2403.262042781092</v>
      </c>
      <c r="CV50" s="45">
        <v>-3319.640899453508</v>
      </c>
      <c r="CW50" s="45">
        <v>-4101.433222510999</v>
      </c>
      <c r="CX50" s="45">
        <v>-5352.737018965746</v>
      </c>
      <c r="CY50" s="45">
        <v>-5945.692367023922</v>
      </c>
      <c r="CZ50" s="45">
        <v>-6293.368516090555</v>
      </c>
      <c r="DA50" s="45">
        <v>-6533.421364113182</v>
      </c>
      <c r="DB50" s="45">
        <v>-6537.092478572858</v>
      </c>
      <c r="DC50" s="45">
        <v>-6318.314133411812</v>
      </c>
      <c r="DD50" s="45">
        <v>-6041.475190754197</v>
      </c>
      <c r="DE50" s="45">
        <v>-5734.857419546547</v>
      </c>
      <c r="DF50" s="45">
        <v>-5103.641685985405</v>
      </c>
      <c r="DG50" s="45">
        <v>-4476.958866379182</v>
      </c>
      <c r="DH50" s="45">
        <v>-3248.6353417568516</v>
      </c>
      <c r="DI50" s="45">
        <v>-2353.6447456066035</v>
      </c>
      <c r="DJ50" s="45">
        <v>-705.9193628162644</v>
      </c>
      <c r="DK50" s="45">
        <v>0</v>
      </c>
      <c r="DL50" s="45">
        <v>-5.220063030719757e-12</v>
      </c>
      <c r="DM50" s="45">
        <v>-5.220063030719757e-12</v>
      </c>
      <c r="DN50" s="45">
        <v>20.51623102632781</v>
      </c>
      <c r="DO50" s="45">
        <v>151.94577140735166</v>
      </c>
      <c r="DP50" s="45">
        <v>362.27910151679436</v>
      </c>
      <c r="DQ50" s="45">
        <v>486.2265269285416</v>
      </c>
      <c r="DR50" s="45">
        <v>656.9191315272182</v>
      </c>
      <c r="DS50" s="45">
        <v>778.8087601210411</v>
      </c>
      <c r="DT50" s="45">
        <v>819.0542715787411</v>
      </c>
      <c r="DU50" s="45">
        <v>830.0549730444761</v>
      </c>
      <c r="DV50" s="45">
        <v>875.0612053055103</v>
      </c>
      <c r="DW50" s="45">
        <v>923.3635592487815</v>
      </c>
      <c r="DX50" s="45">
        <v>963.5822122363851</v>
      </c>
      <c r="DY50" s="45">
        <v>946.3655209891048</v>
      </c>
      <c r="DZ50" s="45">
        <v>950.8931912723639</v>
      </c>
      <c r="EA50" s="45">
        <v>955.3232054112995</v>
      </c>
      <c r="EB50" s="45">
        <v>1001.5608683757065</v>
      </c>
      <c r="EC50" s="45">
        <v>1012.7246384399383</v>
      </c>
      <c r="ED50" s="45">
        <v>899.0731310604034</v>
      </c>
      <c r="EE50" s="45">
        <v>683.7120956080387</v>
      </c>
      <c r="EF50" s="45">
        <v>427.81104104758464</v>
      </c>
      <c r="EG50" s="45">
        <v>5.960464477539062e-14</v>
      </c>
      <c r="EH50" s="46">
        <f>MAX(1,MIN(21,SUMPRODUCT(--($BT50:$CO50&gt;=Pu))))</f>
      </c>
      <c r="EI50" s="47">
        <f>(Pu-INDEX($BT50:$CO50,1,$EH50))/(INDEX($BT50:$CO50,1,$EH50+1)-INDEX($BT50:$CO50,1,$EH50))</f>
      </c>
      <c r="EJ50" s="39">
        <f>INDEX($CP50:$DK50,1,$EH50)+$EI50*(INDEX($CP50:$DK50,1,$EH50+1)-INDEX($CP50:$DK50,1,$EH50))</f>
      </c>
      <c r="EK50" s="39">
        <f>INDEX($DL50:$EG50,1,$EH50)+$EI50*(INDEX($DL50:$EG50,1,$EH50+1)-INDEX($DL50:$EG50,1,$EH50))</f>
      </c>
      <c r="EL50" s="39">
        <f>SQRT(EJ50^2+EK50^2)</f>
      </c>
      <c r="EM50" s="20">
        <f>EJ51-EJ50</f>
      </c>
      <c r="EN50" s="20">
        <f>EK51-EK50</f>
      </c>
      <c r="EO50" s="20">
        <f>EM50*SIN(RADIANS(theta_L))-EN50*COS(RADIANS(theta_L))</f>
      </c>
      <c r="EP50" s="47">
        <f>IF(EO50=0,"",-(EJ50*SIN(RADIANS(theta_L))-EK50*COS(RADIANS(theta_L)))/EO50)</f>
      </c>
      <c r="EQ50" s="20">
        <f>IF(EP50="","",(EJ50+EP50*EM50)*COS(RADIANS(theta_L))+(EK50+EP50*EN50)*SIN(RADIANS(theta_L)))</f>
      </c>
      <c r="ER50" s="20">
        <f>IF(OR(EP50="",EP50&lt;0,EP50&gt;1,EQ50&lt;0),"",EQ50)</f>
      </c>
    </row>
    <row r="51" spans="1:148" x14ac:dyDescent="0.25">
      <c r="A51">
        <v>44</v>
      </c>
      <c r="B51" s="44">
        <v>173.75</v>
      </c>
      <c r="C51" s="18">
        <v>656.3105841019723</v>
      </c>
      <c r="D51" s="18">
        <v>-570.3966091986152</v>
      </c>
      <c r="E51" s="18">
        <v>1226.7071933005875</v>
      </c>
      <c r="F51" s="16">
        <v>0.0033</v>
      </c>
      <c r="G51" s="16">
        <v>0</v>
      </c>
      <c r="H51" s="16">
        <v>0</v>
      </c>
      <c r="I51" s="16">
        <v>0.00275</v>
      </c>
      <c r="J51" s="16">
        <v>-8.330369786285957e-7</v>
      </c>
      <c r="K51" s="16">
        <v>9.123238695062298e-8</v>
      </c>
      <c r="L51" s="16">
        <v>0.0024749999999999998</v>
      </c>
      <c r="M51" s="16">
        <v>-0.0000012495554679428936</v>
      </c>
      <c r="N51" s="16">
        <v>1.3684858042593446e-7</v>
      </c>
      <c r="O51" s="16">
        <v>0.0021999999999999997</v>
      </c>
      <c r="P51" s="16">
        <v>-0.0000016660739572571915</v>
      </c>
      <c r="Q51" s="16">
        <v>1.8246477390124595e-7</v>
      </c>
      <c r="R51" s="16">
        <v>0.0019249999999999998</v>
      </c>
      <c r="S51" s="16">
        <v>-0.0000020825924465714894</v>
      </c>
      <c r="T51" s="16">
        <v>2.2808096737655745e-7</v>
      </c>
      <c r="U51" s="16">
        <v>0.0018000000000000002</v>
      </c>
      <c r="V51" s="16">
        <v>-0.0000022719190326234423</v>
      </c>
      <c r="W51" s="16">
        <v>2.4881560077442624e-7</v>
      </c>
      <c r="X51" s="16">
        <v>0.0016499999999999998</v>
      </c>
      <c r="Y51" s="16">
        <v>-0.000002499110935885787</v>
      </c>
      <c r="Z51" s="16">
        <v>2.736971608518689e-7</v>
      </c>
      <c r="AA51" s="16">
        <v>0.0015344401831466205</v>
      </c>
      <c r="AB51" s="16">
        <v>-0.000002674139300762902</v>
      </c>
      <c r="AC51" s="16">
        <v>2.9286588435570646e-7</v>
      </c>
      <c r="AD51" s="16">
        <v>0.0012669311199870175</v>
      </c>
      <c r="AE51" s="16">
        <v>-0.000003079311922090614</v>
      </c>
      <c r="AF51" s="16">
        <v>3.3723950319748014e-7</v>
      </c>
      <c r="AG51" s="16">
        <v>0.0009994220568274145</v>
      </c>
      <c r="AH51" s="16">
        <v>-0.0000034844845434183265</v>
      </c>
      <c r="AI51" s="16">
        <v>3.8161312203925387e-7</v>
      </c>
      <c r="AJ51" s="16">
        <v>0.0007319129936678112</v>
      </c>
      <c r="AK51" s="16">
        <v>-0.00000388965716474604</v>
      </c>
      <c r="AL51" s="16">
        <v>4.259867408810276e-7</v>
      </c>
      <c r="AM51" s="16">
        <v>0.0004644039305082082</v>
      </c>
      <c r="AN51" s="16">
        <v>-0.000004294829786073751</v>
      </c>
      <c r="AO51" s="16">
        <v>4.703603597228013e-7</v>
      </c>
      <c r="AP51" s="16">
        <v>-0.00007061419581099728</v>
      </c>
      <c r="AQ51" s="16">
        <v>-0.000005105175028729176</v>
      </c>
      <c r="AR51" s="16">
        <v>5.591075974063486e-7</v>
      </c>
      <c r="AS51" s="16">
        <v>-0.0006056323221302032</v>
      </c>
      <c r="AT51" s="16">
        <v>-0.000005915520271384601</v>
      </c>
      <c r="AU51" s="16">
        <v>6.478548350898961e-7</v>
      </c>
      <c r="AV51" s="16">
        <v>-0.0011406504484494087</v>
      </c>
      <c r="AW51" s="16">
        <v>-0.000006725865514040025</v>
      </c>
      <c r="AX51" s="16">
        <v>7.366020727734434e-7</v>
      </c>
      <c r="AY51" s="16">
        <v>-0.0016756685747686146</v>
      </c>
      <c r="AZ51" s="16">
        <v>-0.00000753621075669545</v>
      </c>
      <c r="BA51" s="16">
        <v>8.253493104569908e-7</v>
      </c>
      <c r="BB51" s="16">
        <v>-0.0027457048274070273</v>
      </c>
      <c r="BC51" s="16">
        <v>-0.000009156901242006302</v>
      </c>
      <c r="BD51" s="16">
        <v>0.0000010028437858240858</v>
      </c>
      <c r="BE51" s="16">
        <v>-0.0038157410800454383</v>
      </c>
      <c r="BF51" s="16">
        <v>-0.00001077759172731715</v>
      </c>
      <c r="BG51" s="16">
        <v>0.0000011803382611911806</v>
      </c>
      <c r="BH51" s="16">
        <v>-0.006490831711641468</v>
      </c>
      <c r="BI51" s="16">
        <v>-0.000014829317940594274</v>
      </c>
      <c r="BJ51" s="16">
        <v>0.0000016240744496089176</v>
      </c>
      <c r="BK51" s="16">
        <v>-0.009165922343237497</v>
      </c>
      <c r="BL51" s="16">
        <v>-0.000018881044153871397</v>
      </c>
      <c r="BM51" s="16">
        <v>0.0000020678106380266546</v>
      </c>
      <c r="BN51" s="16">
        <v>-0.019866284869621616</v>
      </c>
      <c r="BO51" s="16">
        <v>-0.00003508794900697989</v>
      </c>
      <c r="BP51" s="16">
        <v>0.000003842755391697602</v>
      </c>
      <c r="BQ51" s="16">
        <v>-0.05</v>
      </c>
      <c r="BR51" s="16">
        <v>0</v>
      </c>
      <c r="BS51" s="16">
        <v>0</v>
      </c>
      <c r="BT51" s="45">
        <v>33981.43387592912</v>
      </c>
      <c r="BU51" s="45">
        <v>33981.43387592912</v>
      </c>
      <c r="BV51" s="45">
        <v>33784.095535371656</v>
      </c>
      <c r="BW51" s="45">
        <v>32541.415235901735</v>
      </c>
      <c r="BX51" s="45">
        <v>30042.707944760412</v>
      </c>
      <c r="BY51" s="45">
        <v>28456.213192430518</v>
      </c>
      <c r="BZ51" s="45">
        <v>26191.682878953554</v>
      </c>
      <c r="CA51" s="45">
        <v>24251.039557902164</v>
      </c>
      <c r="CB51" s="45">
        <v>20515.758036287898</v>
      </c>
      <c r="CC51" s="45">
        <v>17944.218695983433</v>
      </c>
      <c r="CD51" s="45">
        <v>15839.09371354162</v>
      </c>
      <c r="CE51" s="45">
        <v>13996.516125010256</v>
      </c>
      <c r="CF51" s="45">
        <v>11444.67464625078</v>
      </c>
      <c r="CG51" s="45">
        <v>9605.905058148996</v>
      </c>
      <c r="CH51" s="45">
        <v>8195.32137816311</v>
      </c>
      <c r="CI51" s="45">
        <v>7032.131992542779</v>
      </c>
      <c r="CJ51" s="45">
        <v>5148.048674250361</v>
      </c>
      <c r="CK51" s="45">
        <v>3551.95509166045</v>
      </c>
      <c r="CL51" s="45">
        <v>800.8244533153852</v>
      </c>
      <c r="CM51" s="45">
        <v>-1042.168833182383</v>
      </c>
      <c r="CN51" s="45">
        <v>-4323.368214800574</v>
      </c>
      <c r="CO51" s="45">
        <v>-5790.583579096708</v>
      </c>
      <c r="CP51" s="45">
        <v>6.55418261885643e-13</v>
      </c>
      <c r="CQ51" s="45">
        <v>6.55418261885643e-13</v>
      </c>
      <c r="CR51" s="45">
        <v>-104.81688940295538</v>
      </c>
      <c r="CS51" s="45">
        <v>-698.4505139219821</v>
      </c>
      <c r="CT51" s="45">
        <v>-1797.7037105485663</v>
      </c>
      <c r="CU51" s="45">
        <v>-2462.4266894694</v>
      </c>
      <c r="CV51" s="45">
        <v>-3396.310506842188</v>
      </c>
      <c r="CW51" s="45">
        <v>-4172.592772638403</v>
      </c>
      <c r="CX51" s="45">
        <v>-5405.125492287773</v>
      </c>
      <c r="CY51" s="45">
        <v>-5981.079247735308</v>
      </c>
      <c r="CZ51" s="45">
        <v>-6328.451127409893</v>
      </c>
      <c r="DA51" s="45">
        <v>-6571.227286508524</v>
      </c>
      <c r="DB51" s="45">
        <v>-6568.958069170614</v>
      </c>
      <c r="DC51" s="45">
        <v>-6364.0171144365995</v>
      </c>
      <c r="DD51" s="45">
        <v>-6097.944171367808</v>
      </c>
      <c r="DE51" s="45">
        <v>-5820.381913224786</v>
      </c>
      <c r="DF51" s="45">
        <v>-5226.239546815073</v>
      </c>
      <c r="DG51" s="45">
        <v>-4635.994009088509</v>
      </c>
      <c r="DH51" s="45">
        <v>-3433.036772367488</v>
      </c>
      <c r="DI51" s="45">
        <v>-2550.7339576964787</v>
      </c>
      <c r="DJ51" s="45">
        <v>-808.5720232417353</v>
      </c>
      <c r="DK51" s="45">
        <v>0</v>
      </c>
      <c r="DL51" s="45">
        <v>-5.220063030719757e-12</v>
      </c>
      <c r="DM51" s="45">
        <v>-5.220063030719757e-12</v>
      </c>
      <c r="DN51" s="45">
        <v>17.728595796134005</v>
      </c>
      <c r="DO51" s="45">
        <v>130.42268830169732</v>
      </c>
      <c r="DP51" s="45">
        <v>307.52716941983397</v>
      </c>
      <c r="DQ51" s="45">
        <v>414.84741557787953</v>
      </c>
      <c r="DR51" s="45">
        <v>562.1596362921417</v>
      </c>
      <c r="DS51" s="45">
        <v>660.6985712473165</v>
      </c>
      <c r="DT51" s="45">
        <v>678.6681995702629</v>
      </c>
      <c r="DU51" s="45">
        <v>690.2181148511492</v>
      </c>
      <c r="DV51" s="45">
        <v>731.6999367354872</v>
      </c>
      <c r="DW51" s="45">
        <v>774.126514044915</v>
      </c>
      <c r="DX51" s="45">
        <v>810.9735801610716</v>
      </c>
      <c r="DY51" s="45">
        <v>784.7211310868985</v>
      </c>
      <c r="DZ51" s="45">
        <v>797.3230991114538</v>
      </c>
      <c r="EA51" s="45">
        <v>777.1156501127718</v>
      </c>
      <c r="EB51" s="45">
        <v>832.8347583430199</v>
      </c>
      <c r="EC51" s="45">
        <v>841.0367905398105</v>
      </c>
      <c r="ED51" s="45">
        <v>781.4107625225412</v>
      </c>
      <c r="EE51" s="45">
        <v>594.2956430854666</v>
      </c>
      <c r="EF51" s="45">
        <v>441.9364516098548</v>
      </c>
      <c r="EG51" s="45">
        <v>5.960464477539062e-14</v>
      </c>
      <c r="EH51" s="46">
        <f>MAX(1,MIN(21,SUMPRODUCT(--($BT51:$CO51&gt;=Pu))))</f>
      </c>
      <c r="EI51" s="47">
        <f>(Pu-INDEX($BT51:$CO51,1,$EH51))/(INDEX($BT51:$CO51,1,$EH51+1)-INDEX($BT51:$CO51,1,$EH51))</f>
      </c>
      <c r="EJ51" s="39">
        <f>INDEX($CP51:$DK51,1,$EH51)+$EI51*(INDEX($CP51:$DK51,1,$EH51+1)-INDEX($CP51:$DK51,1,$EH51))</f>
      </c>
      <c r="EK51" s="39">
        <f>INDEX($DL51:$EG51,1,$EH51)+$EI51*(INDEX($DL51:$EG51,1,$EH51+1)-INDEX($DL51:$EG51,1,$EH51))</f>
      </c>
      <c r="EL51" s="39">
        <f>SQRT(EJ51^2+EK51^2)</f>
      </c>
      <c r="EM51" s="20">
        <f>EJ52-EJ51</f>
      </c>
      <c r="EN51" s="20">
        <f>EK52-EK51</f>
      </c>
      <c r="EO51" s="20">
        <f>EM51*SIN(RADIANS(theta_L))-EN51*COS(RADIANS(theta_L))</f>
      </c>
      <c r="EP51" s="47">
        <f>IF(EO51=0,"",-(EJ51*SIN(RADIANS(theta_L))-EK51*COS(RADIANS(theta_L)))/EO51)</f>
      </c>
      <c r="EQ51" s="20">
        <f>IF(EP51="","",(EJ51+EP51*EM51)*COS(RADIANS(theta_L))+(EK51+EP51*EN51)*SIN(RADIANS(theta_L)))</f>
      </c>
      <c r="ER51" s="20">
        <f>IF(OR(EP51="",EP51&lt;0,EP51&gt;1,EQ51&lt;0),"",EQ51)</f>
      </c>
    </row>
    <row r="52" spans="1:148" x14ac:dyDescent="0.25">
      <c r="A52">
        <v>45</v>
      </c>
      <c r="B52" s="44">
        <v>175.00000000000003</v>
      </c>
      <c r="C52" s="18">
        <v>645.6524773662593</v>
      </c>
      <c r="D52" s="18">
        <v>-562.8454870876884</v>
      </c>
      <c r="E52" s="18">
        <v>1208.4979644539476</v>
      </c>
      <c r="F52" s="16">
        <v>0.0033</v>
      </c>
      <c r="G52" s="16">
        <v>0</v>
      </c>
      <c r="H52" s="16">
        <v>0</v>
      </c>
      <c r="I52" s="16">
        <v>0.00275</v>
      </c>
      <c r="J52" s="16">
        <v>-8.486098995321421e-7</v>
      </c>
      <c r="K52" s="16">
        <v>7.424374596493577e-8</v>
      </c>
      <c r="L52" s="16">
        <v>0.0024749999999999998</v>
      </c>
      <c r="M52" s="16">
        <v>-0.0000012729148492982133</v>
      </c>
      <c r="N52" s="16">
        <v>1.1136561894740367e-7</v>
      </c>
      <c r="O52" s="16">
        <v>0.0022</v>
      </c>
      <c r="P52" s="16">
        <v>-0.0000016972197990642845</v>
      </c>
      <c r="Q52" s="16">
        <v>1.4848749192987156e-7</v>
      </c>
      <c r="R52" s="16">
        <v>0.0019249999999999998</v>
      </c>
      <c r="S52" s="16">
        <v>-0.000002121524748830356</v>
      </c>
      <c r="T52" s="16">
        <v>1.8560936491233948e-7</v>
      </c>
      <c r="U52" s="16">
        <v>0.0018000000000000002</v>
      </c>
      <c r="V52" s="16">
        <v>-0.00000231439063508766</v>
      </c>
      <c r="W52" s="16">
        <v>2.0248294354073393e-7</v>
      </c>
      <c r="X52" s="16">
        <v>0.00165</v>
      </c>
      <c r="Y52" s="16">
        <v>-0.0000025458296985964266</v>
      </c>
      <c r="Z52" s="16">
        <v>2.2273123789480735e-7</v>
      </c>
      <c r="AA52" s="16">
        <v>0.0015369410309504505</v>
      </c>
      <c r="AB52" s="16">
        <v>-0.000002720271444717055</v>
      </c>
      <c r="AC52" s="16">
        <v>2.3799291312602967e-7</v>
      </c>
      <c r="AD52" s="16">
        <v>0.0012698108841247614</v>
      </c>
      <c r="AE52" s="16">
        <v>-0.0000031324337848256996</v>
      </c>
      <c r="AF52" s="16">
        <v>2.7405244541785234e-7</v>
      </c>
      <c r="AG52" s="16">
        <v>0.0010026807372990722</v>
      </c>
      <c r="AH52" s="16">
        <v>-0.0000035445961249343445</v>
      </c>
      <c r="AI52" s="16">
        <v>3.10111977709675e-7</v>
      </c>
      <c r="AJ52" s="16">
        <v>0.0007355505904733826</v>
      </c>
      <c r="AK52" s="16">
        <v>-0.00000395675846504299</v>
      </c>
      <c r="AL52" s="16">
        <v>3.461715100014977e-7</v>
      </c>
      <c r="AM52" s="16">
        <v>0.0004684204436476939</v>
      </c>
      <c r="AN52" s="16">
        <v>-0.000004368920805151634</v>
      </c>
      <c r="AO52" s="16">
        <v>3.8223104229332033e-7</v>
      </c>
      <c r="AP52" s="16">
        <v>-0.00006583985000368489</v>
      </c>
      <c r="AQ52" s="16">
        <v>-0.000005193245485368923</v>
      </c>
      <c r="AR52" s="16">
        <v>4.543501068769657e-7</v>
      </c>
      <c r="AS52" s="16">
        <v>-0.0006001001436550637</v>
      </c>
      <c r="AT52" s="16">
        <v>-0.000006017570165586213</v>
      </c>
      <c r="AU52" s="16">
        <v>5.26469171460611e-7</v>
      </c>
      <c r="AV52" s="16">
        <v>-0.001134360437306442</v>
      </c>
      <c r="AW52" s="16">
        <v>-0.0000068418948458035026</v>
      </c>
      <c r="AX52" s="16">
        <v>5.985882360442565e-7</v>
      </c>
      <c r="AY52" s="16">
        <v>-0.0016686207309578194</v>
      </c>
      <c r="AZ52" s="16">
        <v>-0.00000766621952602079</v>
      </c>
      <c r="BA52" s="16">
        <v>6.707073006279017e-7</v>
      </c>
      <c r="BB52" s="16">
        <v>-0.0027371413182605787</v>
      </c>
      <c r="BC52" s="16">
        <v>-0.000009314868886455372</v>
      </c>
      <c r="BD52" s="16">
        <v>8.149454297951926e-7</v>
      </c>
      <c r="BE52" s="16">
        <v>-0.0038056619055633345</v>
      </c>
      <c r="BF52" s="16">
        <v>-0.000010963518246889948</v>
      </c>
      <c r="BG52" s="16">
        <v>9.591835589624833e-7</v>
      </c>
      <c r="BH52" s="16">
        <v>-0.006476963373820228</v>
      </c>
      <c r="BI52" s="16">
        <v>-0.000015085141647976398</v>
      </c>
      <c r="BJ52" s="16">
        <v>0.0000013197788818807101</v>
      </c>
      <c r="BK52" s="16">
        <v>-0.00914826484207712</v>
      </c>
      <c r="BL52" s="16">
        <v>-0.000019206765049062843</v>
      </c>
      <c r="BM52" s="16">
        <v>0.0000016803742047989368</v>
      </c>
      <c r="BN52" s="16">
        <v>-0.01983347071510469</v>
      </c>
      <c r="BO52" s="16">
        <v>-0.000035693258653408626</v>
      </c>
      <c r="BP52" s="16">
        <v>0.0000031227554964718434</v>
      </c>
      <c r="BQ52" s="16">
        <v>-0.05</v>
      </c>
      <c r="BR52" s="16">
        <v>0</v>
      </c>
      <c r="BS52" s="16">
        <v>0</v>
      </c>
      <c r="BT52" s="45">
        <v>33981.43387592912</v>
      </c>
      <c r="BU52" s="45">
        <v>33981.43387592912</v>
      </c>
      <c r="BV52" s="45">
        <v>33769.743121328946</v>
      </c>
      <c r="BW52" s="45">
        <v>32495.472094494566</v>
      </c>
      <c r="BX52" s="45">
        <v>29945.97643744189</v>
      </c>
      <c r="BY52" s="45">
        <v>28333.95723168556</v>
      </c>
      <c r="BZ52" s="45">
        <v>26032.91276090635</v>
      </c>
      <c r="CA52" s="45">
        <v>24111.591381828606</v>
      </c>
      <c r="CB52" s="45">
        <v>20436.044359972027</v>
      </c>
      <c r="CC52" s="45">
        <v>17917.451216212165</v>
      </c>
      <c r="CD52" s="45">
        <v>15837.470441600814</v>
      </c>
      <c r="CE52" s="45">
        <v>14012.026151900405</v>
      </c>
      <c r="CF52" s="45">
        <v>11512.535511413358</v>
      </c>
      <c r="CG52" s="45">
        <v>9703.529800078866</v>
      </c>
      <c r="CH52" s="45">
        <v>8325.558782984135</v>
      </c>
      <c r="CI52" s="45">
        <v>7184.262099494065</v>
      </c>
      <c r="CJ52" s="45">
        <v>5395.020447365608</v>
      </c>
      <c r="CK52" s="45">
        <v>3889.2438315707755</v>
      </c>
      <c r="CL52" s="45">
        <v>1164.0317930186918</v>
      </c>
      <c r="CM52" s="45">
        <v>-635.2631789621273</v>
      </c>
      <c r="CN52" s="45">
        <v>-4010.585972257103</v>
      </c>
      <c r="CO52" s="45">
        <v>-5790.583579096708</v>
      </c>
      <c r="CP52" s="45">
        <v>6.55418261885643e-13</v>
      </c>
      <c r="CQ52" s="45">
        <v>6.55418261885643e-13</v>
      </c>
      <c r="CR52" s="45">
        <v>-112.48695724014473</v>
      </c>
      <c r="CS52" s="45">
        <v>-722.5396446456531</v>
      </c>
      <c r="CT52" s="45">
        <v>-1846.748115110683</v>
      </c>
      <c r="CU52" s="45">
        <v>-2525.206963534452</v>
      </c>
      <c r="CV52" s="45">
        <v>-3477.4754514157758</v>
      </c>
      <c r="CW52" s="45">
        <v>-4245.162283178336</v>
      </c>
      <c r="CX52" s="45">
        <v>-5452.260178412754</v>
      </c>
      <c r="CY52" s="45">
        <v>-6014.599767573053</v>
      </c>
      <c r="CZ52" s="45">
        <v>-6360.943703127772</v>
      </c>
      <c r="DA52" s="45">
        <v>-6607.262493498148</v>
      </c>
      <c r="DB52" s="45">
        <v>-6596.726944639796</v>
      </c>
      <c r="DC52" s="45">
        <v>-6404.309346600322</v>
      </c>
      <c r="DD52" s="45">
        <v>-6151.134526032253</v>
      </c>
      <c r="DE52" s="45">
        <v>-5887.648380893124</v>
      </c>
      <c r="DF52" s="45">
        <v>-5341.192947341031</v>
      </c>
      <c r="DG52" s="45">
        <v>-4795.919957322645</v>
      </c>
      <c r="DH52" s="45">
        <v>-3625.203698829169</v>
      </c>
      <c r="DI52" s="45">
        <v>-2769.437797580843</v>
      </c>
      <c r="DJ52" s="45">
        <v>-980.9722619488754</v>
      </c>
      <c r="DK52" s="45">
        <v>0</v>
      </c>
      <c r="DL52" s="45">
        <v>-5.220063030719757e-12</v>
      </c>
      <c r="DM52" s="45">
        <v>-5.220063030719757e-12</v>
      </c>
      <c r="DN52" s="45">
        <v>14.988402136915964</v>
      </c>
      <c r="DO52" s="45">
        <v>107.48992815356611</v>
      </c>
      <c r="DP52" s="45">
        <v>251.06180714747393</v>
      </c>
      <c r="DQ52" s="45">
        <v>339.7973344860472</v>
      </c>
      <c r="DR52" s="45">
        <v>462.74889767414464</v>
      </c>
      <c r="DS52" s="45">
        <v>534.8567691168537</v>
      </c>
      <c r="DT52" s="45">
        <v>539.7906038428503</v>
      </c>
      <c r="DU52" s="45">
        <v>549.4745939809623</v>
      </c>
      <c r="DV52" s="45">
        <v>587.2206665118136</v>
      </c>
      <c r="DW52" s="45">
        <v>622.336659225691</v>
      </c>
      <c r="DX52" s="45">
        <v>651.3342986414199</v>
      </c>
      <c r="DY52" s="45">
        <v>623.4843376685958</v>
      </c>
      <c r="DZ52" s="45">
        <v>643.6211834581909</v>
      </c>
      <c r="EA52" s="45">
        <v>615.5472903573859</v>
      </c>
      <c r="EB52" s="45">
        <v>665.619382205266</v>
      </c>
      <c r="EC52" s="45">
        <v>667.8240728323256</v>
      </c>
      <c r="ED52" s="45">
        <v>650.0679888740985</v>
      </c>
      <c r="EE52" s="45">
        <v>496.520533074253</v>
      </c>
      <c r="EF52" s="45">
        <v>433.4935994893557</v>
      </c>
      <c r="EG52" s="45">
        <v>5.960464477539062e-14</v>
      </c>
      <c r="EH52" s="46">
        <f>MAX(1,MIN(21,SUMPRODUCT(--($BT52:$CO52&gt;=Pu))))</f>
      </c>
      <c r="EI52" s="47">
        <f>(Pu-INDEX($BT52:$CO52,1,$EH52))/(INDEX($BT52:$CO52,1,$EH52+1)-INDEX($BT52:$CO52,1,$EH52))</f>
      </c>
      <c r="EJ52" s="39">
        <f>INDEX($CP52:$DK52,1,$EH52)+$EI52*(INDEX($CP52:$DK52,1,$EH52+1)-INDEX($CP52:$DK52,1,$EH52))</f>
      </c>
      <c r="EK52" s="39">
        <f>INDEX($DL52:$EG52,1,$EH52)+$EI52*(INDEX($DL52:$EG52,1,$EH52+1)-INDEX($DL52:$EG52,1,$EH52))</f>
      </c>
      <c r="EL52" s="39">
        <f>SQRT(EJ52^2+EK52^2)</f>
      </c>
      <c r="EM52" s="20">
        <f>EJ53-EJ52</f>
      </c>
      <c r="EN52" s="20">
        <f>EK53-EK52</f>
      </c>
      <c r="EO52" s="20">
        <f>EM52*SIN(RADIANS(theta_L))-EN52*COS(RADIANS(theta_L))</f>
      </c>
      <c r="EP52" s="47">
        <f>IF(EO52=0,"",-(EJ52*SIN(RADIANS(theta_L))-EK52*COS(RADIANS(theta_L)))/EO52)</f>
      </c>
      <c r="EQ52" s="20">
        <f>IF(EP52="","",(EJ52+EP52*EM52)*COS(RADIANS(theta_L))+(EK52+EP52*EN52)*SIN(RADIANS(theta_L)))</f>
      </c>
      <c r="ER52" s="20">
        <f>IF(OR(EP52="",EP52&lt;0,EP52&gt;1,EQ52&lt;0),"",EQ52)</f>
      </c>
    </row>
    <row r="53" spans="1:148" x14ac:dyDescent="0.25">
      <c r="A53">
        <v>46</v>
      </c>
      <c r="B53" s="44">
        <v>177.5</v>
      </c>
      <c r="C53" s="18">
        <v>623.4195960000495</v>
      </c>
      <c r="D53" s="18">
        <v>-546.943312384519</v>
      </c>
      <c r="E53" s="18">
        <v>1170.3629083845685</v>
      </c>
      <c r="F53" s="16">
        <v>0.0033</v>
      </c>
      <c r="G53" s="16">
        <v>0</v>
      </c>
      <c r="H53" s="16">
        <v>0</v>
      </c>
      <c r="I53" s="16">
        <v>0.00275</v>
      </c>
      <c r="J53" s="16">
        <v>-8.813911615796853e-7</v>
      </c>
      <c r="K53" s="16">
        <v>3.8482369185797824e-8</v>
      </c>
      <c r="L53" s="16">
        <v>0.0024749999999999998</v>
      </c>
      <c r="M53" s="16">
        <v>-0.0000013220867423695279</v>
      </c>
      <c r="N53" s="16">
        <v>5.7723553778696745e-8</v>
      </c>
      <c r="O53" s="16">
        <v>0.0021999999999999997</v>
      </c>
      <c r="P53" s="16">
        <v>-0.0000017627823231593708</v>
      </c>
      <c r="Q53" s="16">
        <v>7.696473837159566e-8</v>
      </c>
      <c r="R53" s="16">
        <v>0.001925</v>
      </c>
      <c r="S53" s="16">
        <v>-0.0000022034779039492132</v>
      </c>
      <c r="T53" s="16">
        <v>9.620592296449457e-8</v>
      </c>
      <c r="U53" s="16">
        <v>0.0018</v>
      </c>
      <c r="V53" s="16">
        <v>-0.0000024037940770355053</v>
      </c>
      <c r="W53" s="16">
        <v>1.0495191596126681e-7</v>
      </c>
      <c r="X53" s="16">
        <v>0.00165</v>
      </c>
      <c r="Y53" s="16">
        <v>-0.0000026441734847390557</v>
      </c>
      <c r="Z53" s="16">
        <v>1.1544710755739349e-7</v>
      </c>
      <c r="AA53" s="16">
        <v>0.0015421822734968615</v>
      </c>
      <c r="AB53" s="16">
        <v>-0.000002816954559650842</v>
      </c>
      <c r="AC53" s="16">
        <v>1.2299089220478832e-7</v>
      </c>
      <c r="AD53" s="16">
        <v>0.001275846254329719</v>
      </c>
      <c r="AE53" s="16">
        <v>-0.000003243765856567636</v>
      </c>
      <c r="AF53" s="16">
        <v>1.416258758721805e-7</v>
      </c>
      <c r="AG53" s="16">
        <v>0.0010095102351625768</v>
      </c>
      <c r="AH53" s="16">
        <v>-0.00000367057715348443</v>
      </c>
      <c r="AI53" s="16">
        <v>1.6026085953957267e-7</v>
      </c>
      <c r="AJ53" s="16">
        <v>0.0007431742159954343</v>
      </c>
      <c r="AK53" s="16">
        <v>-0.0000040973884504012244</v>
      </c>
      <c r="AL53" s="16">
        <v>1.7889584320696485e-7</v>
      </c>
      <c r="AM53" s="16">
        <v>0.0004768381968282922</v>
      </c>
      <c r="AN53" s="16">
        <v>-0.000004524199747318018</v>
      </c>
      <c r="AO53" s="16">
        <v>1.9753082687435701e-7</v>
      </c>
      <c r="AP53" s="16">
        <v>-0.00005583384150599198</v>
      </c>
      <c r="AQ53" s="16">
        <v>-0.000005377822341151607</v>
      </c>
      <c r="AR53" s="16">
        <v>2.3480079420914136e-7</v>
      </c>
      <c r="AS53" s="16">
        <v>-0.0005885058798402766</v>
      </c>
      <c r="AT53" s="16">
        <v>-0.000006231444934985196</v>
      </c>
      <c r="AU53" s="16">
        <v>2.7207076154392574e-7</v>
      </c>
      <c r="AV53" s="16">
        <v>-0.0011211779181745608</v>
      </c>
      <c r="AW53" s="16">
        <v>-0.000007085067528818784</v>
      </c>
      <c r="AX53" s="16">
        <v>3.0934072887871006e-7</v>
      </c>
      <c r="AY53" s="16">
        <v>-0.001653849956508845</v>
      </c>
      <c r="AZ53" s="16">
        <v>-0.000007938690122652372</v>
      </c>
      <c r="BA53" s="16">
        <v>3.466106962134944e-7</v>
      </c>
      <c r="BB53" s="16">
        <v>-0.002719194033177415</v>
      </c>
      <c r="BC53" s="16">
        <v>-0.00000964593531031955</v>
      </c>
      <c r="BD53" s="16">
        <v>4.211506308830631e-7</v>
      </c>
      <c r="BE53" s="16">
        <v>-0.0037845381098459826</v>
      </c>
      <c r="BF53" s="16">
        <v>-0.000011353180497986725</v>
      </c>
      <c r="BG53" s="16">
        <v>4.956905655526317e-7</v>
      </c>
      <c r="BH53" s="16">
        <v>-0.0064478983015174044</v>
      </c>
      <c r="BI53" s="16">
        <v>-0.000015621293467154666</v>
      </c>
      <c r="BJ53" s="16">
        <v>6.820404022265534e-7</v>
      </c>
      <c r="BK53" s="16">
        <v>-0.00911125849318883</v>
      </c>
      <c r="BL53" s="16">
        <v>-0.000019889406436322612</v>
      </c>
      <c r="BM53" s="16">
        <v>8.683902389004753e-7</v>
      </c>
      <c r="BN53" s="16">
        <v>-0.019764699259874514</v>
      </c>
      <c r="BO53" s="16">
        <v>-0.000036961858312994376</v>
      </c>
      <c r="BP53" s="16">
        <v>0.0000016137895855961618</v>
      </c>
      <c r="BQ53" s="16">
        <v>-0.05</v>
      </c>
      <c r="BR53" s="16">
        <v>0</v>
      </c>
      <c r="BS53" s="16">
        <v>0</v>
      </c>
      <c r="BT53" s="45">
        <v>33981.43387592912</v>
      </c>
      <c r="BU53" s="45">
        <v>33981.43387592912</v>
      </c>
      <c r="BV53" s="45">
        <v>33737.125138343195</v>
      </c>
      <c r="BW53" s="45">
        <v>32391.394137184114</v>
      </c>
      <c r="BX53" s="45">
        <v>29721.228150866827</v>
      </c>
      <c r="BY53" s="45">
        <v>28059.445156052465</v>
      </c>
      <c r="BZ53" s="45">
        <v>25675.5500742278</v>
      </c>
      <c r="CA53" s="45">
        <v>23819.911182022537</v>
      </c>
      <c r="CB53" s="45">
        <v>20270.400319657154</v>
      </c>
      <c r="CC53" s="45">
        <v>17863.747837188752</v>
      </c>
      <c r="CD53" s="45">
        <v>15824.86693820927</v>
      </c>
      <c r="CE53" s="45">
        <v>14032.314351580833</v>
      </c>
      <c r="CF53" s="45">
        <v>11647.827483929941</v>
      </c>
      <c r="CG53" s="45">
        <v>9913.912745425612</v>
      </c>
      <c r="CH53" s="45">
        <v>8559.91214534585</v>
      </c>
      <c r="CI53" s="45">
        <v>7503.548789405221</v>
      </c>
      <c r="CJ53" s="45">
        <v>5815.67471935452</v>
      </c>
      <c r="CK53" s="45">
        <v>4514.212787507592</v>
      </c>
      <c r="CL53" s="45">
        <v>1914.1302943792125</v>
      </c>
      <c r="CM53" s="45">
        <v>261.2791880298336</v>
      </c>
      <c r="CN53" s="45">
        <v>-2942.9742876636224</v>
      </c>
      <c r="CO53" s="45">
        <v>-5790.583579096708</v>
      </c>
      <c r="CP53" s="45">
        <v>6.55418261885643e-13</v>
      </c>
      <c r="CQ53" s="45">
        <v>6.55418261885643e-13</v>
      </c>
      <c r="CR53" s="45">
        <v>-129.83082798310662</v>
      </c>
      <c r="CS53" s="45">
        <v>-776.2533841035934</v>
      </c>
      <c r="CT53" s="45">
        <v>-1954.0448471661568</v>
      </c>
      <c r="CU53" s="45">
        <v>-2663.0182820674513</v>
      </c>
      <c r="CV53" s="45">
        <v>-3654.8972946536464</v>
      </c>
      <c r="CW53" s="45">
        <v>-4389.445313273115</v>
      </c>
      <c r="CX53" s="45">
        <v>-5533.364495701974</v>
      </c>
      <c r="CY53" s="45">
        <v>-6075.569510187521</v>
      </c>
      <c r="CZ53" s="45">
        <v>-6422.30853748591</v>
      </c>
      <c r="DA53" s="45">
        <v>-6672.404038027804</v>
      </c>
      <c r="DB53" s="45">
        <v>-6644.399718231077</v>
      </c>
      <c r="DC53" s="45">
        <v>-6469.092700083324</v>
      </c>
      <c r="DD53" s="45">
        <v>-6243.104985403297</v>
      </c>
      <c r="DE53" s="45">
        <v>-6003.010993667956</v>
      </c>
      <c r="DF53" s="45">
        <v>-5522.91811727962</v>
      </c>
      <c r="DG53" s="45">
        <v>-5072.325921202133</v>
      </c>
      <c r="DH53" s="45">
        <v>-4009.6855947080544</v>
      </c>
      <c r="DI53" s="45">
        <v>-3239.4503616288766</v>
      </c>
      <c r="DJ53" s="45">
        <v>-1569.10814989685</v>
      </c>
      <c r="DK53" s="45">
        <v>0</v>
      </c>
      <c r="DL53" s="45">
        <v>-5.220063030719757e-12</v>
      </c>
      <c r="DM53" s="45">
        <v>-5.220063030719757e-12</v>
      </c>
      <c r="DN53" s="45">
        <v>8.441577491920748</v>
      </c>
      <c r="DO53" s="45">
        <v>56.75286094403824</v>
      </c>
      <c r="DP53" s="45">
        <v>133.2285906413543</v>
      </c>
      <c r="DQ53" s="45">
        <v>177.09350317499138</v>
      </c>
      <c r="DR53" s="45">
        <v>247.29557028628287</v>
      </c>
      <c r="DS53" s="45">
        <v>272.7606909303154</v>
      </c>
      <c r="DT53" s="45">
        <v>269.7825188220481</v>
      </c>
      <c r="DU53" s="45">
        <v>271.3545847124844</v>
      </c>
      <c r="DV53" s="45">
        <v>294.6682845729399</v>
      </c>
      <c r="DW53" s="45">
        <v>319.80596404377064</v>
      </c>
      <c r="DX53" s="45">
        <v>326.2272946124388</v>
      </c>
      <c r="DY53" s="45">
        <v>308.74771358329036</v>
      </c>
      <c r="DZ53" s="45">
        <v>333.47692035827396</v>
      </c>
      <c r="EA53" s="45">
        <v>306.556789874978</v>
      </c>
      <c r="EB53" s="45">
        <v>341.5356534212606</v>
      </c>
      <c r="EC53" s="45">
        <v>324.5581192571904</v>
      </c>
      <c r="ED53" s="45">
        <v>372.52687196134565</v>
      </c>
      <c r="EE53" s="45">
        <v>256.3783101336847</v>
      </c>
      <c r="EF53" s="45">
        <v>240.5203767578328</v>
      </c>
      <c r="EG53" s="45">
        <v>5.960464477539062e-14</v>
      </c>
      <c r="EH53" s="46">
        <f>MAX(1,MIN(21,SUMPRODUCT(--($BT53:$CO53&gt;=Pu))))</f>
      </c>
      <c r="EI53" s="47">
        <f>(Pu-INDEX($BT53:$CO53,1,$EH53))/(INDEX($BT53:$CO53,1,$EH53+1)-INDEX($BT53:$CO53,1,$EH53))</f>
      </c>
      <c r="EJ53" s="39">
        <f>INDEX($CP53:$DK53,1,$EH53)+$EI53*(INDEX($CP53:$DK53,1,$EH53+1)-INDEX($CP53:$DK53,1,$EH53))</f>
      </c>
      <c r="EK53" s="39">
        <f>INDEX($DL53:$EG53,1,$EH53)+$EI53*(INDEX($DL53:$EG53,1,$EH53+1)-INDEX($DL53:$EG53,1,$EH53))</f>
      </c>
      <c r="EL53" s="39">
        <f>SQRT(EJ53^2+EK53^2)</f>
      </c>
      <c r="EM53" s="20">
        <f>EJ54-EJ53</f>
      </c>
      <c r="EN53" s="20">
        <f>EK54-EK53</f>
      </c>
      <c r="EO53" s="20">
        <f>EM53*SIN(RADIANS(theta_L))-EN53*COS(RADIANS(theta_L))</f>
      </c>
      <c r="EP53" s="47">
        <f>IF(EO53=0,"",-(EJ53*SIN(RADIANS(theta_L))-EK53*COS(RADIANS(theta_L)))/EO53)</f>
      </c>
      <c r="EQ53" s="20">
        <f>IF(EP53="","",(EJ53+EP53*EM53)*COS(RADIANS(theta_L))+(EK53+EP53*EN53)*SIN(RADIANS(theta_L)))</f>
      </c>
      <c r="ER53" s="20">
        <f>IF(OR(EP53="",EP53&lt;0,EP53&gt;1,EQ53&lt;0),"",EQ53)</f>
      </c>
    </row>
    <row r="54" spans="1:148" x14ac:dyDescent="0.25">
      <c r="A54">
        <v>47</v>
      </c>
      <c r="B54" s="44">
        <v>180</v>
      </c>
      <c r="C54" s="18">
        <v>600.0000000000001</v>
      </c>
      <c r="D54" s="18">
        <v>-530</v>
      </c>
      <c r="E54" s="18">
        <v>1130</v>
      </c>
      <c r="F54" s="16">
        <v>0.0033</v>
      </c>
      <c r="G54" s="16">
        <v>0</v>
      </c>
      <c r="H54" s="16">
        <v>0</v>
      </c>
      <c r="I54" s="16">
        <v>0.00275</v>
      </c>
      <c r="J54" s="16">
        <v>-9.166666666666664e-7</v>
      </c>
      <c r="K54" s="16">
        <v>1.1225928992184068e-22</v>
      </c>
      <c r="L54" s="16">
        <v>0.0024749999999999998</v>
      </c>
      <c r="M54" s="16">
        <v>-0.0000013749999999999998</v>
      </c>
      <c r="N54" s="16">
        <v>1.6838893488276103e-22</v>
      </c>
      <c r="O54" s="16">
        <v>0.0022</v>
      </c>
      <c r="P54" s="16">
        <v>-0.0000018333333333333329</v>
      </c>
      <c r="Q54" s="16">
        <v>2.2451857984368136e-22</v>
      </c>
      <c r="R54" s="16">
        <v>0.001925</v>
      </c>
      <c r="S54" s="16">
        <v>-0.000002291666666666666</v>
      </c>
      <c r="T54" s="16">
        <v>2.806482248046017e-22</v>
      </c>
      <c r="U54" s="16">
        <v>0.0018000000000000004</v>
      </c>
      <c r="V54" s="16">
        <v>-0.000002499999999999999</v>
      </c>
      <c r="W54" s="16">
        <v>3.0616169978683817e-22</v>
      </c>
      <c r="X54" s="16">
        <v>0.00165</v>
      </c>
      <c r="Y54" s="16">
        <v>-0.0000027499999999999995</v>
      </c>
      <c r="Z54" s="16">
        <v>3.3677786976552207e-22</v>
      </c>
      <c r="AA54" s="16">
        <v>0.0015477876106194687</v>
      </c>
      <c r="AB54" s="16">
        <v>-0.000002920353982300885</v>
      </c>
      <c r="AC54" s="16">
        <v>3.576402156802005e-22</v>
      </c>
      <c r="AD54" s="16">
        <v>0.0012823008849557516</v>
      </c>
      <c r="AE54" s="16">
        <v>-0.0000033628318584070798</v>
      </c>
      <c r="AF54" s="16">
        <v>4.1182812714689754e-22</v>
      </c>
      <c r="AG54" s="16">
        <v>0.0010168141592920349</v>
      </c>
      <c r="AH54" s="16">
        <v>-0.000003805309734513274</v>
      </c>
      <c r="AI54" s="16">
        <v>4.6601603861359455e-22</v>
      </c>
      <c r="AJ54" s="16">
        <v>0.0007513274336283181</v>
      </c>
      <c r="AK54" s="16">
        <v>-0.000004247787610619469</v>
      </c>
      <c r="AL54" s="16">
        <v>5.2020395008029165e-22</v>
      </c>
      <c r="AM54" s="16">
        <v>0.0004858407079646014</v>
      </c>
      <c r="AN54" s="16">
        <v>-0.0000046902654867256635</v>
      </c>
      <c r="AO54" s="16">
        <v>5.743918615469887e-22</v>
      </c>
      <c r="AP54" s="16">
        <v>-0.00004513274336283247</v>
      </c>
      <c r="AQ54" s="16">
        <v>-0.000005575221238938053</v>
      </c>
      <c r="AR54" s="16">
        <v>6.827676844803828e-22</v>
      </c>
      <c r="AS54" s="16">
        <v>-0.0005761061946902664</v>
      </c>
      <c r="AT54" s="16">
        <v>-0.000006460176991150443</v>
      </c>
      <c r="AU54" s="16">
        <v>7.911435074137769e-22</v>
      </c>
      <c r="AV54" s="16">
        <v>-0.0011070796460176998</v>
      </c>
      <c r="AW54" s="16">
        <v>-0.000007345132743362832</v>
      </c>
      <c r="AX54" s="16">
        <v>8.99519330347171e-22</v>
      </c>
      <c r="AY54" s="16">
        <v>-0.0016380530973451324</v>
      </c>
      <c r="AZ54" s="16">
        <v>-0.00000823008849557522</v>
      </c>
      <c r="BA54" s="16">
        <v>1.0078951532805648e-21</v>
      </c>
      <c r="BB54" s="16">
        <v>-0.002700000000000002</v>
      </c>
      <c r="BC54" s="16">
        <v>-0.00001</v>
      </c>
      <c r="BD54" s="16">
        <v>1.2246467991473532e-21</v>
      </c>
      <c r="BE54" s="16">
        <v>-0.0037619469026548688</v>
      </c>
      <c r="BF54" s="16">
        <v>-0.000011769911504424779</v>
      </c>
      <c r="BG54" s="16">
        <v>1.4413984450141414e-21</v>
      </c>
      <c r="BH54" s="16">
        <v>-0.006416814159292037</v>
      </c>
      <c r="BI54" s="16">
        <v>-0.000016194690265486724</v>
      </c>
      <c r="BJ54" s="16">
        <v>1.9832775596811117e-21</v>
      </c>
      <c r="BK54" s="16">
        <v>-0.009071681415929206</v>
      </c>
      <c r="BL54" s="16">
        <v>-0.000020619469026548672</v>
      </c>
      <c r="BM54" s="16">
        <v>2.5251566743480824e-21</v>
      </c>
      <c r="BN54" s="16">
        <v>-0.01969115044247788</v>
      </c>
      <c r="BO54" s="16">
        <v>-0.000038318584070796456</v>
      </c>
      <c r="BP54" s="16">
        <v>4.6926731330159634e-21</v>
      </c>
      <c r="BQ54" s="16">
        <v>-0.05</v>
      </c>
      <c r="BR54" s="16">
        <v>0</v>
      </c>
      <c r="BS54" s="16">
        <v>0</v>
      </c>
      <c r="BT54" s="45">
        <v>33981.43387592912</v>
      </c>
      <c r="BU54" s="45">
        <v>33981.43387592912</v>
      </c>
      <c r="BV54" s="45">
        <v>33698.00934472476</v>
      </c>
      <c r="BW54" s="45">
        <v>32265.44123729754</v>
      </c>
      <c r="BX54" s="45">
        <v>29458.65740892347</v>
      </c>
      <c r="BY54" s="45">
        <v>27730.13880342822</v>
      </c>
      <c r="BZ54" s="45">
        <v>25248.44778281695</v>
      </c>
      <c r="CA54" s="45">
        <v>23519.3524091918</v>
      </c>
      <c r="CB54" s="45">
        <v>20114.66988381167</v>
      </c>
      <c r="CC54" s="45">
        <v>17780.480514091738</v>
      </c>
      <c r="CD54" s="45">
        <v>15803.893722164325</v>
      </c>
      <c r="CE54" s="45">
        <v>14041.607359925214</v>
      </c>
      <c r="CF54" s="45">
        <v>11776.01047781701</v>
      </c>
      <c r="CG54" s="45">
        <v>10109.776247635666</v>
      </c>
      <c r="CH54" s="45">
        <v>8793.556936127505</v>
      </c>
      <c r="CI54" s="45">
        <v>7818.6810726428985</v>
      </c>
      <c r="CJ54" s="45">
        <v>6211.270387095731</v>
      </c>
      <c r="CK54" s="45">
        <v>5010.559344086973</v>
      </c>
      <c r="CL54" s="45">
        <v>2729.644384331354</v>
      </c>
      <c r="CM54" s="45">
        <v>1150.035950816786</v>
      </c>
      <c r="CN54" s="45">
        <v>-1706.2132372526755</v>
      </c>
      <c r="CO54" s="45">
        <v>-5790.583579096708</v>
      </c>
      <c r="CP54" s="45">
        <v>6.55418261885643e-13</v>
      </c>
      <c r="CQ54" s="45">
        <v>6.55418261885643e-13</v>
      </c>
      <c r="CR54" s="45">
        <v>-150.4577836670172</v>
      </c>
      <c r="CS54" s="45">
        <v>-838.9041821678363</v>
      </c>
      <c r="CT54" s="45">
        <v>-2076.7946003602656</v>
      </c>
      <c r="CU54" s="45">
        <v>-2819.1103012445196</v>
      </c>
      <c r="CV54" s="45">
        <v>-3855.074849757815</v>
      </c>
      <c r="CW54" s="45">
        <v>-4527.638240543402</v>
      </c>
      <c r="CX54" s="45">
        <v>-5601.505222312361</v>
      </c>
      <c r="CY54" s="45">
        <v>-6123.832291339832</v>
      </c>
      <c r="CZ54" s="45">
        <v>-6476.8858918286005</v>
      </c>
      <c r="DA54" s="45">
        <v>-6729.91519519182</v>
      </c>
      <c r="DB54" s="45">
        <v>-6682.167593807906</v>
      </c>
      <c r="DC54" s="45">
        <v>-6519.720477788166</v>
      </c>
      <c r="DD54" s="45">
        <v>-6314.606963418669</v>
      </c>
      <c r="DE54" s="45">
        <v>-6100.9306482478405</v>
      </c>
      <c r="DF54" s="45">
        <v>-5666.888234148671</v>
      </c>
      <c r="DG54" s="45">
        <v>-5269.431072035049</v>
      </c>
      <c r="DH54" s="45">
        <v>-4387.003126167122</v>
      </c>
      <c r="DI54" s="45">
        <v>-3692.1137578220923</v>
      </c>
      <c r="DJ54" s="45">
        <v>-2232.057027574651</v>
      </c>
      <c r="DK54" s="45">
        <v>0</v>
      </c>
      <c r="DL54" s="45">
        <v>-5.220063030719757e-12</v>
      </c>
      <c r="DM54" s="45">
        <v>-5.220063030719757e-12</v>
      </c>
      <c r="DN54" s="45">
        <v>0.00003535303426533938</v>
      </c>
      <c r="DO54" s="45">
        <v>0.000015093681963393465</v>
      </c>
      <c r="DP54" s="45">
        <v>-0.0018688374156416393</v>
      </c>
      <c r="DQ54" s="45">
        <v>0.000028066767512355</v>
      </c>
      <c r="DR54" s="45">
        <v>-0.002365661586874863</v>
      </c>
      <c r="DS54" s="45">
        <v>0.00005955687234038487</v>
      </c>
      <c r="DT54" s="45">
        <v>-0.05904518479251512</v>
      </c>
      <c r="DU54" s="45">
        <v>5.254667485132813e-12</v>
      </c>
      <c r="DV54" s="45">
        <v>-0.006030513816840743</v>
      </c>
      <c r="DW54" s="45">
        <v>-0.0009918963676331914</v>
      </c>
      <c r="DX54" s="45">
        <v>0.06463869971007738</v>
      </c>
      <c r="DY54" s="45">
        <v>0.006006112223848038</v>
      </c>
      <c r="DZ54" s="45">
        <v>0.0001150786182951415</v>
      </c>
      <c r="EA54" s="45">
        <v>0.25871785237228895</v>
      </c>
      <c r="EB54" s="45">
        <v>-0.031107028702247887</v>
      </c>
      <c r="EC54" s="45">
        <v>-0.23759404721924143</v>
      </c>
      <c r="ED54" s="45">
        <v>-0.4655718281849647</v>
      </c>
      <c r="EE54" s="45">
        <v>-0.02207308053882327</v>
      </c>
      <c r="EF54" s="45">
        <v>-0.5958286324448082</v>
      </c>
      <c r="EG54" s="45">
        <v>5.960464477539062e-14</v>
      </c>
      <c r="EH54" s="46">
        <f>MAX(1,MIN(21,SUMPRODUCT(--($BT54:$CO54&gt;=Pu))))</f>
      </c>
      <c r="EI54" s="47">
        <f>(Pu-INDEX($BT54:$CO54,1,$EH54))/(INDEX($BT54:$CO54,1,$EH54+1)-INDEX($BT54:$CO54,1,$EH54))</f>
      </c>
      <c r="EJ54" s="39">
        <f>INDEX($CP54:$DK54,1,$EH54)+$EI54*(INDEX($CP54:$DK54,1,$EH54+1)-INDEX($CP54:$DK54,1,$EH54))</f>
      </c>
      <c r="EK54" s="39">
        <f>INDEX($DL54:$EG54,1,$EH54)+$EI54*(INDEX($DL54:$EG54,1,$EH54+1)-INDEX($DL54:$EG54,1,$EH54))</f>
      </c>
      <c r="EL54" s="39">
        <f>SQRT(EJ54^2+EK54^2)</f>
      </c>
      <c r="EM54" s="20">
        <f>EJ55-EJ54</f>
      </c>
      <c r="EN54" s="20">
        <f>EK55-EK54</f>
      </c>
      <c r="EO54" s="20">
        <f>EM54*SIN(RADIANS(theta_L))-EN54*COS(RADIANS(theta_L))</f>
      </c>
      <c r="EP54" s="47">
        <f>IF(EO54=0,"",-(EJ54*SIN(RADIANS(theta_L))-EK54*COS(RADIANS(theta_L)))/EO54)</f>
      </c>
      <c r="EQ54" s="20">
        <f>IF(EP54="","",(EJ54+EP54*EM54)*COS(RADIANS(theta_L))+(EK54+EP54*EN54)*SIN(RADIANS(theta_L)))</f>
      </c>
      <c r="ER54" s="20">
        <f>IF(OR(EP54="",EP54&lt;0,EP54&gt;1,EQ54&lt;0),"",EQ54)</f>
      </c>
    </row>
    <row r="55" spans="1:148" x14ac:dyDescent="0.25">
      <c r="A55">
        <v>48</v>
      </c>
      <c r="B55" s="44">
        <v>182.5</v>
      </c>
      <c r="C55" s="18">
        <v>623.4195960000494</v>
      </c>
      <c r="D55" s="18">
        <v>-546.9433123845189</v>
      </c>
      <c r="E55" s="18">
        <v>1170.3629083845683</v>
      </c>
      <c r="F55" s="16">
        <v>0.0033</v>
      </c>
      <c r="G55" s="16">
        <v>0</v>
      </c>
      <c r="H55" s="16">
        <v>0</v>
      </c>
      <c r="I55" s="16">
        <v>0.00275</v>
      </c>
      <c r="J55" s="16">
        <v>-8.813911615796855e-7</v>
      </c>
      <c r="K55" s="16">
        <v>-3.848236918579762e-8</v>
      </c>
      <c r="L55" s="16">
        <v>0.002475</v>
      </c>
      <c r="M55" s="16">
        <v>-0.000001322086742369528</v>
      </c>
      <c r="N55" s="16">
        <v>-5.772355377869643e-8</v>
      </c>
      <c r="O55" s="16">
        <v>0.0022</v>
      </c>
      <c r="P55" s="16">
        <v>-0.000001762782323159371</v>
      </c>
      <c r="Q55" s="16">
        <v>-7.696473837159524e-8</v>
      </c>
      <c r="R55" s="16">
        <v>0.001925</v>
      </c>
      <c r="S55" s="16">
        <v>-0.0000022034779039492137</v>
      </c>
      <c r="T55" s="16">
        <v>-9.620592296449405e-8</v>
      </c>
      <c r="U55" s="16">
        <v>0.0018</v>
      </c>
      <c r="V55" s="16">
        <v>-0.0000024037940770355057</v>
      </c>
      <c r="W55" s="16">
        <v>-1.0495191596126624e-7</v>
      </c>
      <c r="X55" s="16">
        <v>0.0016500000000000002</v>
      </c>
      <c r="Y55" s="16">
        <v>-0.000002644173484739056</v>
      </c>
      <c r="Z55" s="16">
        <v>-1.1544710755739286e-7</v>
      </c>
      <c r="AA55" s="16">
        <v>0.0015421822734968612</v>
      </c>
      <c r="AB55" s="16">
        <v>-0.0000028169545596508426</v>
      </c>
      <c r="AC55" s="16">
        <v>-1.2299089220478768e-7</v>
      </c>
      <c r="AD55" s="16">
        <v>0.001275846254329719</v>
      </c>
      <c r="AE55" s="16">
        <v>-0.0000032437658565676366</v>
      </c>
      <c r="AF55" s="16">
        <v>-1.4162587587217974e-7</v>
      </c>
      <c r="AG55" s="16">
        <v>0.0010095102351625768</v>
      </c>
      <c r="AH55" s="16">
        <v>-0.000003670577153484431</v>
      </c>
      <c r="AI55" s="16">
        <v>-1.6026085953957182e-7</v>
      </c>
      <c r="AJ55" s="16">
        <v>0.0007431742159954343</v>
      </c>
      <c r="AK55" s="16">
        <v>-0.000004097388450401225</v>
      </c>
      <c r="AL55" s="16">
        <v>-1.788958432069639e-7</v>
      </c>
      <c r="AM55" s="16">
        <v>0.0004768381968282922</v>
      </c>
      <c r="AN55" s="16">
        <v>-0.000004524199747318019</v>
      </c>
      <c r="AO55" s="16">
        <v>-1.9753082687435595e-7</v>
      </c>
      <c r="AP55" s="16">
        <v>-0.00005583384150599198</v>
      </c>
      <c r="AQ55" s="16">
        <v>-0.000005377822341151608</v>
      </c>
      <c r="AR55" s="16">
        <v>-2.348007942091401e-7</v>
      </c>
      <c r="AS55" s="16">
        <v>-0.0005885058798402766</v>
      </c>
      <c r="AT55" s="16">
        <v>-0.000006231444934985197</v>
      </c>
      <c r="AU55" s="16">
        <v>-2.7207076154392425e-7</v>
      </c>
      <c r="AV55" s="16">
        <v>-0.0011211779181745617</v>
      </c>
      <c r="AW55" s="16">
        <v>-0.000007085067528818785</v>
      </c>
      <c r="AX55" s="16">
        <v>-3.093407288787084e-7</v>
      </c>
      <c r="AY55" s="16">
        <v>-0.0016538499565088459</v>
      </c>
      <c r="AZ55" s="16">
        <v>-0.000007938690122652373</v>
      </c>
      <c r="BA55" s="16">
        <v>-3.466106962134925e-7</v>
      </c>
      <c r="BB55" s="16">
        <v>-0.002719194033177415</v>
      </c>
      <c r="BC55" s="16">
        <v>-0.000009645935310319552</v>
      </c>
      <c r="BD55" s="16">
        <v>-4.2115063088306085e-7</v>
      </c>
      <c r="BE55" s="16">
        <v>-0.0037845381098459835</v>
      </c>
      <c r="BF55" s="16">
        <v>-0.000011353180497986728</v>
      </c>
      <c r="BG55" s="16">
        <v>-4.956905655526291e-7</v>
      </c>
      <c r="BH55" s="16">
        <v>-0.0064478983015174044</v>
      </c>
      <c r="BI55" s="16">
        <v>-0.00001562129346715467</v>
      </c>
      <c r="BJ55" s="16">
        <v>-6.820404022265498e-7</v>
      </c>
      <c r="BK55" s="16">
        <v>-0.00911125849318883</v>
      </c>
      <c r="BL55" s="16">
        <v>-0.000019889406436322615</v>
      </c>
      <c r="BM55" s="16">
        <v>-8.683902389004706e-7</v>
      </c>
      <c r="BN55" s="16">
        <v>-0.019764699259874514</v>
      </c>
      <c r="BO55" s="16">
        <v>-0.00003696185831299438</v>
      </c>
      <c r="BP55" s="16">
        <v>-0.0000016137895855961531</v>
      </c>
      <c r="BQ55" s="16">
        <v>-0.05</v>
      </c>
      <c r="BR55" s="16">
        <v>0</v>
      </c>
      <c r="BS55" s="16">
        <v>0</v>
      </c>
      <c r="BT55" s="45">
        <v>33981.43387592912</v>
      </c>
      <c r="BU55" s="45">
        <v>33981.43387592912</v>
      </c>
      <c r="BV55" s="45">
        <v>33737.1259812079</v>
      </c>
      <c r="BW55" s="45">
        <v>32391.394430973396</v>
      </c>
      <c r="BX55" s="45">
        <v>29721.22822776531</v>
      </c>
      <c r="BY55" s="45">
        <v>28059.444875566747</v>
      </c>
      <c r="BZ55" s="45">
        <v>25675.551409126125</v>
      </c>
      <c r="CA55" s="45">
        <v>23819.809691167153</v>
      </c>
      <c r="CB55" s="45">
        <v>20270.28123682034</v>
      </c>
      <c r="CC55" s="45">
        <v>17863.89734825482</v>
      </c>
      <c r="CD55" s="45">
        <v>15824.904630919955</v>
      </c>
      <c r="CE55" s="45">
        <v>14032.308906476754</v>
      </c>
      <c r="CF55" s="45">
        <v>11648.058300599536</v>
      </c>
      <c r="CG55" s="45">
        <v>9914.028565074792</v>
      </c>
      <c r="CH55" s="45">
        <v>8559.837527646501</v>
      </c>
      <c r="CI55" s="45">
        <v>7503.326573878422</v>
      </c>
      <c r="CJ55" s="45">
        <v>5815.388071342276</v>
      </c>
      <c r="CK55" s="45">
        <v>4514.594057257922</v>
      </c>
      <c r="CL55" s="45">
        <v>1917.3088577676444</v>
      </c>
      <c r="CM55" s="45">
        <v>260.3442513217982</v>
      </c>
      <c r="CN55" s="45">
        <v>-2943.4679196894103</v>
      </c>
      <c r="CO55" s="45">
        <v>-5790.583579096708</v>
      </c>
      <c r="CP55" s="45">
        <v>6.55418261885643e-13</v>
      </c>
      <c r="CQ55" s="45">
        <v>6.55418261885643e-13</v>
      </c>
      <c r="CR55" s="45">
        <v>-129.83053741728997</v>
      </c>
      <c r="CS55" s="45">
        <v>-776.2534045042322</v>
      </c>
      <c r="CT55" s="45">
        <v>-1954.044993481425</v>
      </c>
      <c r="CU55" s="45">
        <v>-2663.018243290021</v>
      </c>
      <c r="CV55" s="45">
        <v>-3654.897739608753</v>
      </c>
      <c r="CW55" s="45">
        <v>-4389.508169988555</v>
      </c>
      <c r="CX55" s="45">
        <v>-5533.410460720312</v>
      </c>
      <c r="CY55" s="45">
        <v>-6075.53943837005</v>
      </c>
      <c r="CZ55" s="45">
        <v>-6422.283945196406</v>
      </c>
      <c r="DA55" s="45">
        <v>-6672.424726461515</v>
      </c>
      <c r="DB55" s="45">
        <v>-6644.386286907237</v>
      </c>
      <c r="DC55" s="45">
        <v>-6469.0938158057415</v>
      </c>
      <c r="DD55" s="45">
        <v>-6243.108687244678</v>
      </c>
      <c r="DE55" s="45">
        <v>-6002.963521533577</v>
      </c>
      <c r="DF55" s="45">
        <v>-5522.856200514743</v>
      </c>
      <c r="DG55" s="45">
        <v>-5072.522209487621</v>
      </c>
      <c r="DH55" s="45">
        <v>-4010.995649192074</v>
      </c>
      <c r="DI55" s="45">
        <v>-3238.9765816962595</v>
      </c>
      <c r="DJ55" s="45">
        <v>-1568.569251854604</v>
      </c>
      <c r="DK55" s="45">
        <v>0</v>
      </c>
      <c r="DL55" s="45">
        <v>-5.220063030719757e-12</v>
      </c>
      <c r="DM55" s="45">
        <v>-5.220063030719757e-12</v>
      </c>
      <c r="DN55" s="45">
        <v>-8.44332434715592</v>
      </c>
      <c r="DO55" s="45">
        <v>-56.75350590061456</v>
      </c>
      <c r="DP55" s="45">
        <v>-133.2296140963914</v>
      </c>
      <c r="DQ55" s="45">
        <v>-177.09711477554882</v>
      </c>
      <c r="DR55" s="45">
        <v>-247.29502181633572</v>
      </c>
      <c r="DS55" s="45">
        <v>-272.62355500707804</v>
      </c>
      <c r="DT55" s="45">
        <v>-269.903630075105</v>
      </c>
      <c r="DU55" s="45">
        <v>-271.08626800758344</v>
      </c>
      <c r="DV55" s="45">
        <v>-295.07662312368274</v>
      </c>
      <c r="DW55" s="45">
        <v>-319.32743191929495</v>
      </c>
      <c r="DX55" s="45">
        <v>-326.4767259448428</v>
      </c>
      <c r="DY55" s="45">
        <v>-309.04169402409974</v>
      </c>
      <c r="DZ55" s="45">
        <v>-332.71945328769453</v>
      </c>
      <c r="EA55" s="45">
        <v>-306.6281200550594</v>
      </c>
      <c r="EB55" s="45">
        <v>-341.41940629532155</v>
      </c>
      <c r="EC55" s="45">
        <v>-322.9262383802533</v>
      </c>
      <c r="ED55" s="45">
        <v>-373.90494198441183</v>
      </c>
      <c r="EE55" s="45">
        <v>-257.14983741437663</v>
      </c>
      <c r="EF55" s="45">
        <v>-242.06321530047225</v>
      </c>
      <c r="EG55" s="45">
        <v>5.960464477539062e-14</v>
      </c>
      <c r="EH55" s="46">
        <f>MAX(1,MIN(21,SUMPRODUCT(--($BT55:$CO55&gt;=Pu))))</f>
      </c>
      <c r="EI55" s="47">
        <f>(Pu-INDEX($BT55:$CO55,1,$EH55))/(INDEX($BT55:$CO55,1,$EH55+1)-INDEX($BT55:$CO55,1,$EH55))</f>
      </c>
      <c r="EJ55" s="39">
        <f>INDEX($CP55:$DK55,1,$EH55)+$EI55*(INDEX($CP55:$DK55,1,$EH55+1)-INDEX($CP55:$DK55,1,$EH55))</f>
      </c>
      <c r="EK55" s="39">
        <f>INDEX($DL55:$EG55,1,$EH55)+$EI55*(INDEX($DL55:$EG55,1,$EH55+1)-INDEX($DL55:$EG55,1,$EH55))</f>
      </c>
      <c r="EL55" s="39">
        <f>SQRT(EJ55^2+EK55^2)</f>
      </c>
      <c r="EM55" s="20">
        <f>EJ56-EJ55</f>
      </c>
      <c r="EN55" s="20">
        <f>EK56-EK55</f>
      </c>
      <c r="EO55" s="20">
        <f>EM55*SIN(RADIANS(theta_L))-EN55*COS(RADIANS(theta_L))</f>
      </c>
      <c r="EP55" s="47">
        <f>IF(EO55=0,"",-(EJ55*SIN(RADIANS(theta_L))-EK55*COS(RADIANS(theta_L)))/EO55)</f>
      </c>
      <c r="EQ55" s="20">
        <f>IF(EP55="","",(EJ55+EP55*EM55)*COS(RADIANS(theta_L))+(EK55+EP55*EN55)*SIN(RADIANS(theta_L)))</f>
      </c>
      <c r="ER55" s="20">
        <f>IF(OR(EP55="",EP55&lt;0,EP55&gt;1,EQ55&lt;0),"",EQ55)</f>
      </c>
    </row>
    <row r="56" spans="1:148" x14ac:dyDescent="0.25">
      <c r="A56">
        <v>49</v>
      </c>
      <c r="B56" s="44">
        <v>185</v>
      </c>
      <c r="C56" s="18">
        <v>645.6524773662592</v>
      </c>
      <c r="D56" s="18">
        <v>-562.8454870876883</v>
      </c>
      <c r="E56" s="18">
        <v>1208.4979644539476</v>
      </c>
      <c r="F56" s="16">
        <v>0.0033</v>
      </c>
      <c r="G56" s="16">
        <v>0</v>
      </c>
      <c r="H56" s="16">
        <v>0</v>
      </c>
      <c r="I56" s="16">
        <v>0.00275</v>
      </c>
      <c r="J56" s="16">
        <v>-8.486098995321423e-7</v>
      </c>
      <c r="K56" s="16">
        <v>-7.424374596493558e-8</v>
      </c>
      <c r="L56" s="16">
        <v>0.0024749999999999998</v>
      </c>
      <c r="M56" s="16">
        <v>-0.0000012729148492982135</v>
      </c>
      <c r="N56" s="16">
        <v>-1.1136561894740337e-7</v>
      </c>
      <c r="O56" s="16">
        <v>0.0022</v>
      </c>
      <c r="P56" s="16">
        <v>-0.0000016972197990642847</v>
      </c>
      <c r="Q56" s="16">
        <v>-1.4848749192987116e-7</v>
      </c>
      <c r="R56" s="16">
        <v>0.001925</v>
      </c>
      <c r="S56" s="16">
        <v>-0.000002121524748830356</v>
      </c>
      <c r="T56" s="16">
        <v>-1.8560936491233895e-7</v>
      </c>
      <c r="U56" s="16">
        <v>0.0018000000000000002</v>
      </c>
      <c r="V56" s="16">
        <v>-0.0000023143906350876605</v>
      </c>
      <c r="W56" s="16">
        <v>-2.0248294354073337e-7</v>
      </c>
      <c r="X56" s="16">
        <v>0.00165</v>
      </c>
      <c r="Y56" s="16">
        <v>-0.000002545829698596427</v>
      </c>
      <c r="Z56" s="16">
        <v>-2.2273123789480674e-7</v>
      </c>
      <c r="AA56" s="16">
        <v>0.001536941030950451</v>
      </c>
      <c r="AB56" s="16">
        <v>-0.000002720271444717055</v>
      </c>
      <c r="AC56" s="16">
        <v>-2.37992913126029e-7</v>
      </c>
      <c r="AD56" s="16">
        <v>0.0012698108841247618</v>
      </c>
      <c r="AE56" s="16">
        <v>-0.0000031324337848256996</v>
      </c>
      <c r="AF56" s="16">
        <v>-2.7405244541785154e-7</v>
      </c>
      <c r="AG56" s="16">
        <v>0.0010026807372990726</v>
      </c>
      <c r="AH56" s="16">
        <v>-0.0000035445961249343445</v>
      </c>
      <c r="AI56" s="16">
        <v>-3.101119777096741e-7</v>
      </c>
      <c r="AJ56" s="16">
        <v>0.000735550590473383</v>
      </c>
      <c r="AK56" s="16">
        <v>-0.00000395675846504299</v>
      </c>
      <c r="AL56" s="16">
        <v>-3.4617151000149677e-7</v>
      </c>
      <c r="AM56" s="16">
        <v>0.0004684204436476943</v>
      </c>
      <c r="AN56" s="16">
        <v>-0.000004368920805151634</v>
      </c>
      <c r="AO56" s="16">
        <v>-3.822310422933193e-7</v>
      </c>
      <c r="AP56" s="16">
        <v>-0.00006583985000368445</v>
      </c>
      <c r="AQ56" s="16">
        <v>-0.000005193245485368923</v>
      </c>
      <c r="AR56" s="16">
        <v>-4.543501068769644e-7</v>
      </c>
      <c r="AS56" s="16">
        <v>-0.0006001001436550628</v>
      </c>
      <c r="AT56" s="16">
        <v>-0.000006017570165586213</v>
      </c>
      <c r="AU56" s="16">
        <v>-5.264691714606096e-7</v>
      </c>
      <c r="AV56" s="16">
        <v>-0.0011343604373064411</v>
      </c>
      <c r="AW56" s="16">
        <v>-0.0000068418948458035026</v>
      </c>
      <c r="AX56" s="16">
        <v>-5.985882360442548e-7</v>
      </c>
      <c r="AY56" s="16">
        <v>-0.0016686207309578186</v>
      </c>
      <c r="AZ56" s="16">
        <v>-0.00000766621952602079</v>
      </c>
      <c r="BA56" s="16">
        <v>-6.707073006278998e-7</v>
      </c>
      <c r="BB56" s="16">
        <v>-0.002737141318260577</v>
      </c>
      <c r="BC56" s="16">
        <v>-0.000009314868886455372</v>
      </c>
      <c r="BD56" s="16">
        <v>-8.149454297951903e-7</v>
      </c>
      <c r="BE56" s="16">
        <v>-0.0038056619055633336</v>
      </c>
      <c r="BF56" s="16">
        <v>-0.000010963518246889948</v>
      </c>
      <c r="BG56" s="16">
        <v>-9.591835589624805e-7</v>
      </c>
      <c r="BH56" s="16">
        <v>-0.006476963373820226</v>
      </c>
      <c r="BI56" s="16">
        <v>-0.000015085141647976398</v>
      </c>
      <c r="BJ56" s="16">
        <v>-0.0000013197788818807063</v>
      </c>
      <c r="BK56" s="16">
        <v>-0.00914826484207712</v>
      </c>
      <c r="BL56" s="16">
        <v>-0.000019206765049062843</v>
      </c>
      <c r="BM56" s="16">
        <v>-0.000001680374204798932</v>
      </c>
      <c r="BN56" s="16">
        <v>-0.019833470715104686</v>
      </c>
      <c r="BO56" s="16">
        <v>-0.000035693258653408626</v>
      </c>
      <c r="BP56" s="16">
        <v>-0.0000031227554964718345</v>
      </c>
      <c r="BQ56" s="16">
        <v>-0.05</v>
      </c>
      <c r="BR56" s="16">
        <v>0</v>
      </c>
      <c r="BS56" s="16">
        <v>0</v>
      </c>
      <c r="BT56" s="45">
        <v>33981.43387592912</v>
      </c>
      <c r="BU56" s="45">
        <v>33981.43387592912</v>
      </c>
      <c r="BV56" s="45">
        <v>33769.743332934966</v>
      </c>
      <c r="BW56" s="45">
        <v>32495.472659070943</v>
      </c>
      <c r="BX56" s="45">
        <v>29945.97701213421</v>
      </c>
      <c r="BY56" s="45">
        <v>28333.957449695972</v>
      </c>
      <c r="BZ56" s="45">
        <v>26032.913855053685</v>
      </c>
      <c r="CA56" s="45">
        <v>24111.692506839892</v>
      </c>
      <c r="CB56" s="45">
        <v>20436.134946244565</v>
      </c>
      <c r="CC56" s="45">
        <v>17917.61417313422</v>
      </c>
      <c r="CD56" s="45">
        <v>15837.409142169106</v>
      </c>
      <c r="CE56" s="45">
        <v>14012.278538439145</v>
      </c>
      <c r="CF56" s="45">
        <v>11512.368103457431</v>
      </c>
      <c r="CG56" s="45">
        <v>9703.292722013079</v>
      </c>
      <c r="CH56" s="45">
        <v>8325.189391359749</v>
      </c>
      <c r="CI56" s="45">
        <v>7184.241023219863</v>
      </c>
      <c r="CJ56" s="45">
        <v>5394.734694117505</v>
      </c>
      <c r="CK56" s="45">
        <v>3887.428142495583</v>
      </c>
      <c r="CL56" s="45">
        <v>1164.9173123143735</v>
      </c>
      <c r="CM56" s="45">
        <v>-636.3570248862663</v>
      </c>
      <c r="CN56" s="45">
        <v>-4008.552849282863</v>
      </c>
      <c r="CO56" s="45">
        <v>-5790.583579096708</v>
      </c>
      <c r="CP56" s="45">
        <v>6.55418261885643e-13</v>
      </c>
      <c r="CQ56" s="45">
        <v>6.55418261885643e-13</v>
      </c>
      <c r="CR56" s="45">
        <v>-112.48703224250964</v>
      </c>
      <c r="CS56" s="45">
        <v>-722.53959604275</v>
      </c>
      <c r="CT56" s="45">
        <v>-1846.7482962144375</v>
      </c>
      <c r="CU56" s="45">
        <v>-2525.2074169312423</v>
      </c>
      <c r="CV56" s="45">
        <v>-3477.475524113767</v>
      </c>
      <c r="CW56" s="45">
        <v>-4245.110294388576</v>
      </c>
      <c r="CX56" s="45">
        <v>-5452.20826217991</v>
      </c>
      <c r="CY56" s="45">
        <v>-6014.486268591409</v>
      </c>
      <c r="CZ56" s="45">
        <v>-6360.946845955975</v>
      </c>
      <c r="DA56" s="45">
        <v>-6607.161393807395</v>
      </c>
      <c r="DB56" s="45">
        <v>-6596.7556927165715</v>
      </c>
      <c r="DC56" s="45">
        <v>-6404.323193907216</v>
      </c>
      <c r="DD56" s="45">
        <v>-6151.102612389227</v>
      </c>
      <c r="DE56" s="45">
        <v>-5887.707227477541</v>
      </c>
      <c r="DF56" s="45">
        <v>-5341.131937539301</v>
      </c>
      <c r="DG56" s="45">
        <v>-4795.465660889062</v>
      </c>
      <c r="DH56" s="45">
        <v>-3625.5172894470056</v>
      </c>
      <c r="DI56" s="45">
        <v>-2768.855755829786</v>
      </c>
      <c r="DJ56" s="45">
        <v>-982.0099029693117</v>
      </c>
      <c r="DK56" s="45">
        <v>0</v>
      </c>
      <c r="DL56" s="45">
        <v>-5.220063030719757e-12</v>
      </c>
      <c r="DM56" s="45">
        <v>-5.220063030719757e-12</v>
      </c>
      <c r="DN56" s="45">
        <v>-14.988374174863342</v>
      </c>
      <c r="DO56" s="45">
        <v>-107.4916270926888</v>
      </c>
      <c r="DP56" s="45">
        <v>-251.06365587196643</v>
      </c>
      <c r="DQ56" s="45">
        <v>-339.79575101883097</v>
      </c>
      <c r="DR56" s="45">
        <v>-462.7543163440817</v>
      </c>
      <c r="DS56" s="45">
        <v>-534.7857464333242</v>
      </c>
      <c r="DT56" s="45">
        <v>-539.9950449641135</v>
      </c>
      <c r="DU56" s="45">
        <v>-550.2095677888359</v>
      </c>
      <c r="DV56" s="45">
        <v>-587.2739165813588</v>
      </c>
      <c r="DW56" s="45">
        <v>-623.2631424405971</v>
      </c>
      <c r="DX56" s="45">
        <v>-650.9408872420261</v>
      </c>
      <c r="DY56" s="45">
        <v>-622.9843716382758</v>
      </c>
      <c r="DZ56" s="45">
        <v>-643.3795793569058</v>
      </c>
      <c r="EA56" s="45">
        <v>-615.004691911846</v>
      </c>
      <c r="EB56" s="45">
        <v>-665.2501303267435</v>
      </c>
      <c r="EC56" s="45">
        <v>-666.3728343539341</v>
      </c>
      <c r="ED56" s="45">
        <v>-650.5329307357083</v>
      </c>
      <c r="EE56" s="45">
        <v>-497.4422590089667</v>
      </c>
      <c r="EF56" s="45">
        <v>-434.18743165320745</v>
      </c>
      <c r="EG56" s="45">
        <v>5.960464477539062e-14</v>
      </c>
      <c r="EH56" s="46">
        <f>MAX(1,MIN(21,SUMPRODUCT(--($BT56:$CO56&gt;=Pu))))</f>
      </c>
      <c r="EI56" s="47">
        <f>(Pu-INDEX($BT56:$CO56,1,$EH56))/(INDEX($BT56:$CO56,1,$EH56+1)-INDEX($BT56:$CO56,1,$EH56))</f>
      </c>
      <c r="EJ56" s="39">
        <f>INDEX($CP56:$DK56,1,$EH56)+$EI56*(INDEX($CP56:$DK56,1,$EH56+1)-INDEX($CP56:$DK56,1,$EH56))</f>
      </c>
      <c r="EK56" s="39">
        <f>INDEX($DL56:$EG56,1,$EH56)+$EI56*(INDEX($DL56:$EG56,1,$EH56+1)-INDEX($DL56:$EG56,1,$EH56))</f>
      </c>
      <c r="EL56" s="39">
        <f>SQRT(EJ56^2+EK56^2)</f>
      </c>
      <c r="EM56" s="20">
        <f>EJ57-EJ56</f>
      </c>
      <c r="EN56" s="20">
        <f>EK57-EK56</f>
      </c>
      <c r="EO56" s="20">
        <f>EM56*SIN(RADIANS(theta_L))-EN56*COS(RADIANS(theta_L))</f>
      </c>
      <c r="EP56" s="47">
        <f>IF(EO56=0,"",-(EJ56*SIN(RADIANS(theta_L))-EK56*COS(RADIANS(theta_L)))/EO56)</f>
      </c>
      <c r="EQ56" s="20">
        <f>IF(EP56="","",(EJ56+EP56*EM56)*COS(RADIANS(theta_L))+(EK56+EP56*EN56)*SIN(RADIANS(theta_L)))</f>
      </c>
      <c r="ER56" s="20">
        <f>IF(OR(EP56="",EP56&lt;0,EP56&gt;1,EQ56&lt;0),"",EQ56)</f>
      </c>
    </row>
    <row r="57" spans="1:148" x14ac:dyDescent="0.25">
      <c r="A57">
        <v>50</v>
      </c>
      <c r="B57" s="44">
        <v>186.25</v>
      </c>
      <c r="C57" s="18">
        <v>656.3105841019722</v>
      </c>
      <c r="D57" s="18">
        <v>-570.3966091986151</v>
      </c>
      <c r="E57" s="18">
        <v>1226.7071933005873</v>
      </c>
      <c r="F57" s="16">
        <v>0.0033</v>
      </c>
      <c r="G57" s="16">
        <v>0</v>
      </c>
      <c r="H57" s="16">
        <v>0</v>
      </c>
      <c r="I57" s="16">
        <v>0.00275</v>
      </c>
      <c r="J57" s="16">
        <v>-8.330369786285957e-7</v>
      </c>
      <c r="K57" s="16">
        <v>-9.123238695062276e-8</v>
      </c>
      <c r="L57" s="16">
        <v>0.0024749999999999998</v>
      </c>
      <c r="M57" s="16">
        <v>-0.0000012495554679428938</v>
      </c>
      <c r="N57" s="16">
        <v>-1.3684858042593417e-7</v>
      </c>
      <c r="O57" s="16">
        <v>0.0021999999999999997</v>
      </c>
      <c r="P57" s="16">
        <v>-0.0000016660739572571917</v>
      </c>
      <c r="Q57" s="16">
        <v>-1.8246477390124555e-7</v>
      </c>
      <c r="R57" s="16">
        <v>0.001925</v>
      </c>
      <c r="S57" s="16">
        <v>-0.0000020825924465714894</v>
      </c>
      <c r="T57" s="16">
        <v>-2.2808096737655692e-7</v>
      </c>
      <c r="U57" s="16">
        <v>0.0018000000000000002</v>
      </c>
      <c r="V57" s="16">
        <v>-0.0000022719190326234427</v>
      </c>
      <c r="W57" s="16">
        <v>-2.488156007744257e-7</v>
      </c>
      <c r="X57" s="16">
        <v>0.0016499999999999998</v>
      </c>
      <c r="Y57" s="16">
        <v>-0.0000024991109358857876</v>
      </c>
      <c r="Z57" s="16">
        <v>-2.7369716085186833e-7</v>
      </c>
      <c r="AA57" s="16">
        <v>0.0015344401831466205</v>
      </c>
      <c r="AB57" s="16">
        <v>-0.0000026741393007629024</v>
      </c>
      <c r="AC57" s="16">
        <v>-2.928658843557058e-7</v>
      </c>
      <c r="AD57" s="16">
        <v>0.0012669311199870175</v>
      </c>
      <c r="AE57" s="16">
        <v>-0.000003079311922090615</v>
      </c>
      <c r="AF57" s="16">
        <v>-3.3723950319747945e-7</v>
      </c>
      <c r="AG57" s="16">
        <v>0.0009994220568274145</v>
      </c>
      <c r="AH57" s="16">
        <v>-0.000003484484543418327</v>
      </c>
      <c r="AI57" s="16">
        <v>-3.81613122039253e-7</v>
      </c>
      <c r="AJ57" s="16">
        <v>0.0007319129936678112</v>
      </c>
      <c r="AK57" s="16">
        <v>-0.000003889657164746041</v>
      </c>
      <c r="AL57" s="16">
        <v>-4.259867408810267e-7</v>
      </c>
      <c r="AM57" s="16">
        <v>0.00046440393050820906</v>
      </c>
      <c r="AN57" s="16">
        <v>-0.000004294829786073751</v>
      </c>
      <c r="AO57" s="16">
        <v>-4.7036035972280023e-7</v>
      </c>
      <c r="AP57" s="16">
        <v>-0.00007061419581099728</v>
      </c>
      <c r="AQ57" s="16">
        <v>-0.000005105175028729177</v>
      </c>
      <c r="AR57" s="16">
        <v>-5.591075974063474e-7</v>
      </c>
      <c r="AS57" s="16">
        <v>-0.0006056323221302032</v>
      </c>
      <c r="AT57" s="16">
        <v>-0.000005915520271384602</v>
      </c>
      <c r="AU57" s="16">
        <v>-6.478548350898947e-7</v>
      </c>
      <c r="AV57" s="16">
        <v>-0.0011406504484494095</v>
      </c>
      <c r="AW57" s="16">
        <v>-0.000006725865514040027</v>
      </c>
      <c r="AX57" s="16">
        <v>-7.36602072773442e-7</v>
      </c>
      <c r="AY57" s="16">
        <v>-0.0016756685747686146</v>
      </c>
      <c r="AZ57" s="16">
        <v>-0.000007536210756695452</v>
      </c>
      <c r="BA57" s="16">
        <v>-8.253493104569891e-7</v>
      </c>
      <c r="BB57" s="16">
        <v>-0.0027457048274070273</v>
      </c>
      <c r="BC57" s="16">
        <v>-0.000009156901242006303</v>
      </c>
      <c r="BD57" s="16">
        <v>-0.0000010028437858240837</v>
      </c>
      <c r="BE57" s="16">
        <v>-0.0038157410800454383</v>
      </c>
      <c r="BF57" s="16">
        <v>-0.000010777591727317151</v>
      </c>
      <c r="BG57" s="16">
        <v>-0.000001180338261191178</v>
      </c>
      <c r="BH57" s="16">
        <v>-0.006490831711641468</v>
      </c>
      <c r="BI57" s="16">
        <v>-0.000014829317940594276</v>
      </c>
      <c r="BJ57" s="16">
        <v>-0.000001624074449608914</v>
      </c>
      <c r="BK57" s="16">
        <v>-0.009165922343237497</v>
      </c>
      <c r="BL57" s="16">
        <v>-0.0000188810441538714</v>
      </c>
      <c r="BM57" s="16">
        <v>-0.00000206781063802665</v>
      </c>
      <c r="BN57" s="16">
        <v>-0.019866284869621616</v>
      </c>
      <c r="BO57" s="16">
        <v>-0.0000350879490069799</v>
      </c>
      <c r="BP57" s="16">
        <v>-0.000003842755391697595</v>
      </c>
      <c r="BQ57" s="16">
        <v>-0.05</v>
      </c>
      <c r="BR57" s="16">
        <v>0</v>
      </c>
      <c r="BS57" s="16">
        <v>0</v>
      </c>
      <c r="BT57" s="45">
        <v>33981.43387592912</v>
      </c>
      <c r="BU57" s="45">
        <v>33981.43387592912</v>
      </c>
      <c r="BV57" s="45">
        <v>33784.09860042927</v>
      </c>
      <c r="BW57" s="45">
        <v>32541.41978850315</v>
      </c>
      <c r="BX57" s="45">
        <v>30042.709724066885</v>
      </c>
      <c r="BY57" s="45">
        <v>28456.205985249697</v>
      </c>
      <c r="BZ57" s="45">
        <v>26191.6924595319</v>
      </c>
      <c r="CA57" s="45">
        <v>24251.243542404834</v>
      </c>
      <c r="CB57" s="45">
        <v>20515.931620738596</v>
      </c>
      <c r="CC57" s="45">
        <v>17944.72904399924</v>
      </c>
      <c r="CD57" s="45">
        <v>15840.21085426822</v>
      </c>
      <c r="CE57" s="45">
        <v>13997.140578626842</v>
      </c>
      <c r="CF57" s="45">
        <v>11444.110939880373</v>
      </c>
      <c r="CG57" s="45">
        <v>9605.314968057513</v>
      </c>
      <c r="CH57" s="45">
        <v>8197.230024054481</v>
      </c>
      <c r="CI57" s="45">
        <v>7031.353630240117</v>
      </c>
      <c r="CJ57" s="45">
        <v>5146.679535532626</v>
      </c>
      <c r="CK57" s="45">
        <v>3555.1541460376184</v>
      </c>
      <c r="CL57" s="45">
        <v>802.4599078751714</v>
      </c>
      <c r="CM57" s="45">
        <v>-1037.4790818954166</v>
      </c>
      <c r="CN57" s="45">
        <v>-4320.77910574325</v>
      </c>
      <c r="CO57" s="45">
        <v>-5790.583579096708</v>
      </c>
      <c r="CP57" s="45">
        <v>6.55418261885643e-13</v>
      </c>
      <c r="CQ57" s="45">
        <v>6.55418261885643e-13</v>
      </c>
      <c r="CR57" s="45">
        <v>-104.81592420899543</v>
      </c>
      <c r="CS57" s="45">
        <v>-698.4502331944108</v>
      </c>
      <c r="CT57" s="45">
        <v>-1797.7036063123219</v>
      </c>
      <c r="CU57" s="45">
        <v>-2462.426505908711</v>
      </c>
      <c r="CV57" s="45">
        <v>-3396.312399307993</v>
      </c>
      <c r="CW57" s="45">
        <v>-4172.478827245325</v>
      </c>
      <c r="CX57" s="45">
        <v>-5405.091596158619</v>
      </c>
      <c r="CY57" s="45">
        <v>-5980.928737357819</v>
      </c>
      <c r="CZ57" s="45">
        <v>-6328.272026612511</v>
      </c>
      <c r="DA57" s="45">
        <v>-6571.169516827619</v>
      </c>
      <c r="DB57" s="45">
        <v>-6569.020340868038</v>
      </c>
      <c r="DC57" s="45">
        <v>-6364.042143004816</v>
      </c>
      <c r="DD57" s="45">
        <v>-6098.227917554331</v>
      </c>
      <c r="DE57" s="45">
        <v>-5820.0670560835115</v>
      </c>
      <c r="DF57" s="45">
        <v>-5225.684452325459</v>
      </c>
      <c r="DG57" s="45">
        <v>-4637.308307753397</v>
      </c>
      <c r="DH57" s="45">
        <v>-3433.724940521553</v>
      </c>
      <c r="DI57" s="45">
        <v>-2553.0460638849077</v>
      </c>
      <c r="DJ57" s="45">
        <v>-809.8547956345726</v>
      </c>
      <c r="DK57" s="45">
        <v>0</v>
      </c>
      <c r="DL57" s="45">
        <v>-5.220063030719757e-12</v>
      </c>
      <c r="DM57" s="45">
        <v>-5.220063030719757e-12</v>
      </c>
      <c r="DN57" s="45">
        <v>-17.7284139503969</v>
      </c>
      <c r="DO57" s="45">
        <v>-130.4223589484317</v>
      </c>
      <c r="DP57" s="45">
        <v>-307.53429842784806</v>
      </c>
      <c r="DQ57" s="45">
        <v>-414.84470775005724</v>
      </c>
      <c r="DR57" s="45">
        <v>-562.1597706174654</v>
      </c>
      <c r="DS57" s="45">
        <v>-660.575725581868</v>
      </c>
      <c r="DT57" s="45">
        <v>-678.358915796974</v>
      </c>
      <c r="DU57" s="45">
        <v>-690.412923891213</v>
      </c>
      <c r="DV57" s="45">
        <v>-731.5381374172008</v>
      </c>
      <c r="DW57" s="45">
        <v>-774.1374191697363</v>
      </c>
      <c r="DX57" s="45">
        <v>-810.0516614277592</v>
      </c>
      <c r="DY57" s="45">
        <v>-783.5682085269012</v>
      </c>
      <c r="DZ57" s="45">
        <v>-797.6493043272591</v>
      </c>
      <c r="EA57" s="45">
        <v>-778.6454982081347</v>
      </c>
      <c r="EB57" s="45">
        <v>-834.4915381324086</v>
      </c>
      <c r="EC57" s="45">
        <v>-839.3039557538817</v>
      </c>
      <c r="ED57" s="45">
        <v>-781.3023233717516</v>
      </c>
      <c r="EE57" s="45">
        <v>-593.2102436456196</v>
      </c>
      <c r="EF57" s="45">
        <v>-443.3786121609063</v>
      </c>
      <c r="EG57" s="45">
        <v>5.960464477539062e-14</v>
      </c>
      <c r="EH57" s="46">
        <f>MAX(1,MIN(21,SUMPRODUCT(--($BT57:$CO57&gt;=Pu))))</f>
      </c>
      <c r="EI57" s="47">
        <f>(Pu-INDEX($BT57:$CO57,1,$EH57))/(INDEX($BT57:$CO57,1,$EH57+1)-INDEX($BT57:$CO57,1,$EH57))</f>
      </c>
      <c r="EJ57" s="39">
        <f>INDEX($CP57:$DK57,1,$EH57)+$EI57*(INDEX($CP57:$DK57,1,$EH57+1)-INDEX($CP57:$DK57,1,$EH57))</f>
      </c>
      <c r="EK57" s="39">
        <f>INDEX($DL57:$EG57,1,$EH57)+$EI57*(INDEX($DL57:$EG57,1,$EH57+1)-INDEX($DL57:$EG57,1,$EH57))</f>
      </c>
      <c r="EL57" s="39">
        <f>SQRT(EJ57^2+EK57^2)</f>
      </c>
      <c r="EM57" s="20">
        <f>EJ58-EJ57</f>
      </c>
      <c r="EN57" s="20">
        <f>EK58-EK57</f>
      </c>
      <c r="EO57" s="20">
        <f>EM57*SIN(RADIANS(theta_L))-EN57*COS(RADIANS(theta_L))</f>
      </c>
      <c r="EP57" s="47">
        <f>IF(EO57=0,"",-(EJ57*SIN(RADIANS(theta_L))-EK57*COS(RADIANS(theta_L)))/EO57)</f>
      </c>
      <c r="EQ57" s="20">
        <f>IF(EP57="","",(EJ57+EP57*EM57)*COS(RADIANS(theta_L))+(EK57+EP57*EN57)*SIN(RADIANS(theta_L)))</f>
      </c>
      <c r="ER57" s="20">
        <f>IF(OR(EP57="",EP57&lt;0,EP57&gt;1,EQ57&lt;0),"",EQ57)</f>
      </c>
    </row>
    <row r="58" spans="1:148" x14ac:dyDescent="0.25">
      <c r="A58">
        <v>51</v>
      </c>
      <c r="B58" s="44">
        <v>187.5</v>
      </c>
      <c r="C58" s="18">
        <v>666.6563225453144</v>
      </c>
      <c r="D58" s="18">
        <v>-577.6762534161401</v>
      </c>
      <c r="E58" s="18">
        <v>1244.3325759614545</v>
      </c>
      <c r="F58" s="16">
        <v>0.0033</v>
      </c>
      <c r="G58" s="16">
        <v>0</v>
      </c>
      <c r="H58" s="16">
        <v>0</v>
      </c>
      <c r="I58" s="16">
        <v>0.00275</v>
      </c>
      <c r="J58" s="16">
        <v>-8.179547021674433e-7</v>
      </c>
      <c r="K58" s="16">
        <v>-1.076857794536982e-7</v>
      </c>
      <c r="L58" s="16">
        <v>0.0024749999999999998</v>
      </c>
      <c r="M58" s="16">
        <v>-0.0000012269320532511651</v>
      </c>
      <c r="N58" s="16">
        <v>-1.615286691805473e-7</v>
      </c>
      <c r="O58" s="16">
        <v>0.0021999999999999997</v>
      </c>
      <c r="P58" s="16">
        <v>-0.0000016359094043348869</v>
      </c>
      <c r="Q58" s="16">
        <v>-2.1537155890739642e-7</v>
      </c>
      <c r="R58" s="16">
        <v>0.001925</v>
      </c>
      <c r="S58" s="16">
        <v>-0.0000020448867554186084</v>
      </c>
      <c r="T58" s="16">
        <v>-2.692144486342455e-7</v>
      </c>
      <c r="U58" s="16">
        <v>0.0018</v>
      </c>
      <c r="V58" s="16">
        <v>-0.000002230785551365755</v>
      </c>
      <c r="W58" s="16">
        <v>-2.936884894191769e-7</v>
      </c>
      <c r="X58" s="16">
        <v>0.00165</v>
      </c>
      <c r="Y58" s="16">
        <v>-0.0000024538641065023303</v>
      </c>
      <c r="Z58" s="16">
        <v>-3.230573383610946e-7</v>
      </c>
      <c r="AA58" s="16">
        <v>0.0015320113554049672</v>
      </c>
      <c r="AB58" s="16">
        <v>-0.000002629335682227549</v>
      </c>
      <c r="AC58" s="16">
        <v>-3.461586095609155e-7</v>
      </c>
      <c r="AD58" s="16">
        <v>0.0012641342880420833</v>
      </c>
      <c r="AE58" s="16">
        <v>-0.0000030277198765044504</v>
      </c>
      <c r="AF58" s="16">
        <v>-3.986068837368118e-7</v>
      </c>
      <c r="AG58" s="16">
        <v>0.0009962572206791997</v>
      </c>
      <c r="AH58" s="16">
        <v>-0.000003426104070781352</v>
      </c>
      <c r="AI58" s="16">
        <v>-4.510551579127081e-7</v>
      </c>
      <c r="AJ58" s="16">
        <v>0.0007283801533163156</v>
      </c>
      <c r="AK58" s="16">
        <v>-0.0000038244882650582535</v>
      </c>
      <c r="AL58" s="16">
        <v>-5.035034320886045e-7</v>
      </c>
      <c r="AM58" s="16">
        <v>0.000460503085953432</v>
      </c>
      <c r="AN58" s="16">
        <v>-0.000004222872459335155</v>
      </c>
      <c r="AO58" s="16">
        <v>-5.559517062645006e-7</v>
      </c>
      <c r="AP58" s="16">
        <v>-0.0000752510487723357</v>
      </c>
      <c r="AQ58" s="16">
        <v>-0.0000050196408478889575</v>
      </c>
      <c r="AR58" s="16">
        <v>-6.608482546162932e-7</v>
      </c>
      <c r="AS58" s="16">
        <v>-0.0006110051834981025</v>
      </c>
      <c r="AT58" s="16">
        <v>-0.00000581640923644276</v>
      </c>
      <c r="AU58" s="16">
        <v>-7.657448029680857e-7</v>
      </c>
      <c r="AV58" s="16">
        <v>-0.0011467593182238698</v>
      </c>
      <c r="AW58" s="16">
        <v>-0.000006613177624996563</v>
      </c>
      <c r="AX58" s="16">
        <v>-8.706413513198783e-7</v>
      </c>
      <c r="AY58" s="16">
        <v>-0.001682513452949637</v>
      </c>
      <c r="AZ58" s="16">
        <v>-0.000007409946013550365</v>
      </c>
      <c r="BA58" s="16">
        <v>-9.755378996716708e-7</v>
      </c>
      <c r="BB58" s="16">
        <v>-0.0027540217224011733</v>
      </c>
      <c r="BC58" s="16">
        <v>-0.000009003482790657972</v>
      </c>
      <c r="BD58" s="16">
        <v>-0.0000011853309963752562</v>
      </c>
      <c r="BE58" s="16">
        <v>-0.003825529991852707</v>
      </c>
      <c r="BF58" s="16">
        <v>-0.000010597019567765575</v>
      </c>
      <c r="BG58" s="16">
        <v>-0.0000013951240930788412</v>
      </c>
      <c r="BH58" s="16">
        <v>-0.006504300665481545</v>
      </c>
      <c r="BI58" s="16">
        <v>-0.000014580861510534592</v>
      </c>
      <c r="BJ58" s="16">
        <v>-0.0000019196068348378043</v>
      </c>
      <c r="BK58" s="16">
        <v>-0.009183071339110383</v>
      </c>
      <c r="BL58" s="16">
        <v>-0.000018564703453303607</v>
      </c>
      <c r="BM58" s="16">
        <v>-0.0000024440895765967672</v>
      </c>
      <c r="BN58" s="16">
        <v>-0.019898154033625732</v>
      </c>
      <c r="BO58" s="16">
        <v>-0.00003450007122437966</v>
      </c>
      <c r="BP58" s="16">
        <v>-0.000004542020543632619</v>
      </c>
      <c r="BQ58" s="16">
        <v>-0.05</v>
      </c>
      <c r="BR58" s="16">
        <v>0</v>
      </c>
      <c r="BS58" s="16">
        <v>0</v>
      </c>
      <c r="BT58" s="45">
        <v>33981.43387592912</v>
      </c>
      <c r="BU58" s="45">
        <v>33981.43387592912</v>
      </c>
      <c r="BV58" s="45">
        <v>33796.9098800305</v>
      </c>
      <c r="BW58" s="45">
        <v>32583.808387753048</v>
      </c>
      <c r="BX58" s="45">
        <v>30130.683391656556</v>
      </c>
      <c r="BY58" s="45">
        <v>28569.536204530104</v>
      </c>
      <c r="BZ58" s="45">
        <v>26339.005308651955</v>
      </c>
      <c r="CA58" s="45">
        <v>24378.39621440948</v>
      </c>
      <c r="CB58" s="45">
        <v>20596.52496439945</v>
      </c>
      <c r="CC58" s="45">
        <v>17971.616714143907</v>
      </c>
      <c r="CD58" s="45">
        <v>15845.329327311065</v>
      </c>
      <c r="CE58" s="45">
        <v>13982.086769109836</v>
      </c>
      <c r="CF58" s="45">
        <v>11377.860323168386</v>
      </c>
      <c r="CG58" s="45">
        <v>9511.364789695397</v>
      </c>
      <c r="CH58" s="45">
        <v>8068.866561124631</v>
      </c>
      <c r="CI58" s="45">
        <v>6848.152531589234</v>
      </c>
      <c r="CJ58" s="45">
        <v>4891.471007069099</v>
      </c>
      <c r="CK58" s="45">
        <v>3235.463417306029</v>
      </c>
      <c r="CL58" s="45">
        <v>459.9634357055477</v>
      </c>
      <c r="CM58" s="45">
        <v>-1402.0139456317918</v>
      </c>
      <c r="CN58" s="45">
        <v>-4505.4920660677035</v>
      </c>
      <c r="CO58" s="45">
        <v>-5790.583579096708</v>
      </c>
      <c r="CP58" s="45">
        <v>6.55418261885643e-13</v>
      </c>
      <c r="CQ58" s="45">
        <v>6.55418261885643e-13</v>
      </c>
      <c r="CR58" s="45">
        <v>-97.84311256174708</v>
      </c>
      <c r="CS58" s="45">
        <v>-675.9889387235181</v>
      </c>
      <c r="CT58" s="45">
        <v>-1751.4270181089134</v>
      </c>
      <c r="CU58" s="45">
        <v>-2403.2614935743813</v>
      </c>
      <c r="CV58" s="45">
        <v>-3319.6435695759424</v>
      </c>
      <c r="CW58" s="45">
        <v>-4101.419470273418</v>
      </c>
      <c r="CX58" s="45">
        <v>-5352.844074787714</v>
      </c>
      <c r="CY58" s="45">
        <v>-5945.539663557967</v>
      </c>
      <c r="CZ58" s="45">
        <v>-6293.291747337668</v>
      </c>
      <c r="DA58" s="45">
        <v>-6533.276285391333</v>
      </c>
      <c r="DB58" s="45">
        <v>-6537.076732310598</v>
      </c>
      <c r="DC58" s="45">
        <v>-6318.255651188666</v>
      </c>
      <c r="DD58" s="45">
        <v>-6041.795958763612</v>
      </c>
      <c r="DE58" s="45">
        <v>-5735.284599350643</v>
      </c>
      <c r="DF58" s="45">
        <v>-5103.440927240982</v>
      </c>
      <c r="DG58" s="45">
        <v>-4478.212561467045</v>
      </c>
      <c r="DH58" s="45">
        <v>-3248.6726032581596</v>
      </c>
      <c r="DI58" s="45">
        <v>-2352.1425400676967</v>
      </c>
      <c r="DJ58" s="45">
        <v>-707.4555051810148</v>
      </c>
      <c r="DK58" s="45">
        <v>0</v>
      </c>
      <c r="DL58" s="45">
        <v>-5.220063030719757e-12</v>
      </c>
      <c r="DM58" s="45">
        <v>-5.220063030719757e-12</v>
      </c>
      <c r="DN58" s="45">
        <v>-20.516437805732625</v>
      </c>
      <c r="DO58" s="45">
        <v>-151.94649632693182</v>
      </c>
      <c r="DP58" s="45">
        <v>-362.2815344194553</v>
      </c>
      <c r="DQ58" s="45">
        <v>-486.2267765869822</v>
      </c>
      <c r="DR58" s="45">
        <v>-656.9202175225017</v>
      </c>
      <c r="DS58" s="45">
        <v>-778.8055671014938</v>
      </c>
      <c r="DT58" s="45">
        <v>-819.204614055413</v>
      </c>
      <c r="DU58" s="45">
        <v>-829.7120788508461</v>
      </c>
      <c r="DV58" s="45">
        <v>-874.9930801661449</v>
      </c>
      <c r="DW58" s="45">
        <v>-923.373820354117</v>
      </c>
      <c r="DX58" s="45">
        <v>-963.3734074349475</v>
      </c>
      <c r="DY58" s="45">
        <v>-946.2168543278408</v>
      </c>
      <c r="DZ58" s="45">
        <v>-950.8739857410791</v>
      </c>
      <c r="EA58" s="45">
        <v>-955.5210815598156</v>
      </c>
      <c r="EB58" s="45">
        <v>-1001.6056546624931</v>
      </c>
      <c r="EC58" s="45">
        <v>-1012.1392183426225</v>
      </c>
      <c r="ED58" s="45">
        <v>-900.9792889718148</v>
      </c>
      <c r="EE58" s="45">
        <v>-686.8010938838273</v>
      </c>
      <c r="EF58" s="45">
        <v>-429.69377187455797</v>
      </c>
      <c r="EG58" s="45">
        <v>5.960464477539062e-14</v>
      </c>
      <c r="EH58" s="46">
        <f>MAX(1,MIN(21,SUMPRODUCT(--($BT58:$CO58&gt;=Pu))))</f>
      </c>
      <c r="EI58" s="47">
        <f>(Pu-INDEX($BT58:$CO58,1,$EH58))/(INDEX($BT58:$CO58,1,$EH58+1)-INDEX($BT58:$CO58,1,$EH58))</f>
      </c>
      <c r="EJ58" s="39">
        <f>INDEX($CP58:$DK58,1,$EH58)+$EI58*(INDEX($CP58:$DK58,1,$EH58+1)-INDEX($CP58:$DK58,1,$EH58))</f>
      </c>
      <c r="EK58" s="39">
        <f>INDEX($DL58:$EG58,1,$EH58)+$EI58*(INDEX($DL58:$EG58,1,$EH58+1)-INDEX($DL58:$EG58,1,$EH58))</f>
      </c>
      <c r="EL58" s="39">
        <f>SQRT(EJ58^2+EK58^2)</f>
      </c>
      <c r="EM58" s="20">
        <f>EJ59-EJ58</f>
      </c>
      <c r="EN58" s="20">
        <f>EK59-EK58</f>
      </c>
      <c r="EO58" s="20">
        <f>EM58*SIN(RADIANS(theta_L))-EN58*COS(RADIANS(theta_L))</f>
      </c>
      <c r="EP58" s="47">
        <f>IF(EO58=0,"",-(EJ58*SIN(RADIANS(theta_L))-EK58*COS(RADIANS(theta_L)))/EO58)</f>
      </c>
      <c r="EQ58" s="20">
        <f>IF(EP58="","",(EJ58+EP58*EM58)*COS(RADIANS(theta_L))+(EK58+EP58*EN58)*SIN(RADIANS(theta_L)))</f>
      </c>
      <c r="ER58" s="20">
        <f>IF(OR(EP58="",EP58&lt;0,EP58&gt;1,EQ58&lt;0),"",EQ58)</f>
      </c>
    </row>
    <row r="59" spans="1:148" x14ac:dyDescent="0.25">
      <c r="A59">
        <v>52</v>
      </c>
      <c r="B59" s="44">
        <v>190</v>
      </c>
      <c r="C59" s="18">
        <v>686.3911495241364</v>
      </c>
      <c r="D59" s="18">
        <v>-591.4073801632422</v>
      </c>
      <c r="E59" s="18">
        <v>1277.7985296873785</v>
      </c>
      <c r="F59" s="16">
        <v>0.0033</v>
      </c>
      <c r="G59" s="16">
        <v>0</v>
      </c>
      <c r="H59" s="16">
        <v>0</v>
      </c>
      <c r="I59" s="16">
        <v>0.00275</v>
      </c>
      <c r="J59" s="16">
        <v>-7.891189513912402e-7</v>
      </c>
      <c r="K59" s="16">
        <v>-1.3914296211864707e-7</v>
      </c>
      <c r="L59" s="16">
        <v>0.0024749999999999998</v>
      </c>
      <c r="M59" s="16">
        <v>-0.0000011836784270868605</v>
      </c>
      <c r="N59" s="16">
        <v>-2.0871444317797059e-7</v>
      </c>
      <c r="O59" s="16">
        <v>0.0021999999999999997</v>
      </c>
      <c r="P59" s="16">
        <v>-0.0000015782379027824804</v>
      </c>
      <c r="Q59" s="16">
        <v>-2.7828592423729413e-7</v>
      </c>
      <c r="R59" s="16">
        <v>0.001925</v>
      </c>
      <c r="S59" s="16">
        <v>-0.0000019727973784781005</v>
      </c>
      <c r="T59" s="16">
        <v>-3.4785740529661765e-7</v>
      </c>
      <c r="U59" s="16">
        <v>0.0018000000000000002</v>
      </c>
      <c r="V59" s="16">
        <v>-0.0000021521425947033823</v>
      </c>
      <c r="W59" s="16">
        <v>-3.7948080577812826e-7</v>
      </c>
      <c r="X59" s="16">
        <v>0.00165</v>
      </c>
      <c r="Y59" s="16">
        <v>-0.000002367356854173721</v>
      </c>
      <c r="Z59" s="16">
        <v>-4.1742888635594117e-7</v>
      </c>
      <c r="AA59" s="16">
        <v>0.001527349037579642</v>
      </c>
      <c r="AB59" s="16">
        <v>-0.000002543331761177865</v>
      </c>
      <c r="AC59" s="16">
        <v>-4.4845801038843477e-7</v>
      </c>
      <c r="AD59" s="16">
        <v>0.0012587655584250421</v>
      </c>
      <c r="AE59" s="16">
        <v>-0.000002928685058326026</v>
      </c>
      <c r="AF59" s="16">
        <v>-5.164061937806218e-7</v>
      </c>
      <c r="AG59" s="16">
        <v>0.0009901820792704427</v>
      </c>
      <c r="AH59" s="16">
        <v>-0.0000033140383554741875</v>
      </c>
      <c r="AI59" s="16">
        <v>-5.84354377172809e-7</v>
      </c>
      <c r="AJ59" s="16">
        <v>0.0007215986001158424</v>
      </c>
      <c r="AK59" s="16">
        <v>-0.0000036993916526223493</v>
      </c>
      <c r="AL59" s="16">
        <v>-6.523025605649961e-7</v>
      </c>
      <c r="AM59" s="16">
        <v>0.00045301512096124295</v>
      </c>
      <c r="AN59" s="16">
        <v>-0.000004084744949770511</v>
      </c>
      <c r="AO59" s="16">
        <v>-7.202507439571832e-7</v>
      </c>
      <c r="AP59" s="16">
        <v>-0.00008415183734795635</v>
      </c>
      <c r="AQ59" s="16">
        <v>-0.000004855451544066833</v>
      </c>
      <c r="AR59" s="16">
        <v>-8.561471107415574e-7</v>
      </c>
      <c r="AS59" s="16">
        <v>-0.0006213187956571557</v>
      </c>
      <c r="AT59" s="16">
        <v>-0.000005626158138363156</v>
      </c>
      <c r="AU59" s="16">
        <v>-9.920434775259315e-7</v>
      </c>
      <c r="AV59" s="16">
        <v>-0.0011584857539663554</v>
      </c>
      <c r="AW59" s="16">
        <v>-0.000006396864732659479</v>
      </c>
      <c r="AX59" s="16">
        <v>-0.0000011279398443103056</v>
      </c>
      <c r="AY59" s="16">
        <v>-0.0016956527122755543</v>
      </c>
      <c r="AZ59" s="16">
        <v>-0.000007167571326955801</v>
      </c>
      <c r="BA59" s="16">
        <v>-0.0000012638362110946797</v>
      </c>
      <c r="BB59" s="16">
        <v>-0.0027699866288939546</v>
      </c>
      <c r="BC59" s="16">
        <v>-0.000008708984515548449</v>
      </c>
      <c r="BD59" s="16">
        <v>-0.0000015356289446634285</v>
      </c>
      <c r="BE59" s="16">
        <v>-0.0038443205455123523</v>
      </c>
      <c r="BF59" s="16">
        <v>-0.000010250397704141092</v>
      </c>
      <c r="BG59" s="16">
        <v>-0.0000018074216782321765</v>
      </c>
      <c r="BH59" s="16">
        <v>-0.00653015533705835</v>
      </c>
      <c r="BI59" s="16">
        <v>-0.000014103930675622707</v>
      </c>
      <c r="BJ59" s="16">
        <v>-0.0000024869035121540477</v>
      </c>
      <c r="BK59" s="16">
        <v>-0.00921599012860435</v>
      </c>
      <c r="BL59" s="16">
        <v>-0.000017957463647104323</v>
      </c>
      <c r="BM59" s="16">
        <v>-0.0000031663853460759186</v>
      </c>
      <c r="BN59" s="16">
        <v>-0.019959329294788334</v>
      </c>
      <c r="BO59" s="16">
        <v>-0.00003337159553303077</v>
      </c>
      <c r="BP59" s="16">
        <v>-0.0000058843126817634014</v>
      </c>
      <c r="BQ59" s="16">
        <v>-0.05</v>
      </c>
      <c r="BR59" s="16">
        <v>0</v>
      </c>
      <c r="BS59" s="16">
        <v>0</v>
      </c>
      <c r="BT59" s="45">
        <v>33981.43387592912</v>
      </c>
      <c r="BU59" s="45">
        <v>33981.43387592912</v>
      </c>
      <c r="BV59" s="45">
        <v>33817.69981060283</v>
      </c>
      <c r="BW59" s="45">
        <v>32659.151964925328</v>
      </c>
      <c r="BX59" s="45">
        <v>30287.885334435556</v>
      </c>
      <c r="BY59" s="45">
        <v>28772.245272369528</v>
      </c>
      <c r="BZ59" s="45">
        <v>26602.772004302955</v>
      </c>
      <c r="CA59" s="45">
        <v>24605.85383266287</v>
      </c>
      <c r="CB59" s="45">
        <v>20758.861333901223</v>
      </c>
      <c r="CC59" s="45">
        <v>18031.714211044276</v>
      </c>
      <c r="CD59" s="45">
        <v>15852.343399000274</v>
      </c>
      <c r="CE59" s="45">
        <v>13951.11587744091</v>
      </c>
      <c r="CF59" s="45">
        <v>11243.198400221583</v>
      </c>
      <c r="CG59" s="45">
        <v>9306.17143955051</v>
      </c>
      <c r="CH59" s="45">
        <v>7769.01210807301</v>
      </c>
      <c r="CI59" s="45">
        <v>6451.275501328343</v>
      </c>
      <c r="CJ59" s="45">
        <v>4346.253412270877</v>
      </c>
      <c r="CK59" s="45">
        <v>2623.097082354886</v>
      </c>
      <c r="CL59" s="45">
        <v>-146.3985943512409</v>
      </c>
      <c r="CM59" s="45">
        <v>-1978.908772419001</v>
      </c>
      <c r="CN59" s="45">
        <v>-4753.306783483274</v>
      </c>
      <c r="CO59" s="45">
        <v>-5790.583579096708</v>
      </c>
      <c r="CP59" s="45">
        <v>6.55418261885643e-13</v>
      </c>
      <c r="CQ59" s="45">
        <v>6.55418261885643e-13</v>
      </c>
      <c r="CR59" s="45">
        <v>-85.94975902454784</v>
      </c>
      <c r="CS59" s="45">
        <v>-635.4003853751817</v>
      </c>
      <c r="CT59" s="45">
        <v>-1666.7514101489749</v>
      </c>
      <c r="CU59" s="45">
        <v>-2294.5939256600136</v>
      </c>
      <c r="CV59" s="45">
        <v>-3178.3061995727785</v>
      </c>
      <c r="CW59" s="45">
        <v>-3966.056134738004</v>
      </c>
      <c r="CX59" s="45">
        <v>-5241.553612897495</v>
      </c>
      <c r="CY59" s="45">
        <v>-5866.413492888881</v>
      </c>
      <c r="CZ59" s="45">
        <v>-6217.639461630622</v>
      </c>
      <c r="DA59" s="45">
        <v>-6451.090034215364</v>
      </c>
      <c r="DB59" s="45">
        <v>-6462.297328965139</v>
      </c>
      <c r="DC59" s="45">
        <v>-6212.419035361694</v>
      </c>
      <c r="DD59" s="45">
        <v>-5898.6150067535145</v>
      </c>
      <c r="DE59" s="45">
        <v>-5542.276729191338</v>
      </c>
      <c r="DF59" s="45">
        <v>-4834.111766052884</v>
      </c>
      <c r="DG59" s="45">
        <v>-4162.01862319291</v>
      </c>
      <c r="DH59" s="45">
        <v>-2911.710553902407</v>
      </c>
      <c r="DI59" s="45">
        <v>-2022.1267387069258</v>
      </c>
      <c r="DJ59" s="45">
        <v>-570.1619860880456</v>
      </c>
      <c r="DK59" s="45">
        <v>0</v>
      </c>
      <c r="DL59" s="45">
        <v>-5.220063030719757e-12</v>
      </c>
      <c r="DM59" s="45">
        <v>-5.220063030719757e-12</v>
      </c>
      <c r="DN59" s="45">
        <v>-26.912546520206018</v>
      </c>
      <c r="DO59" s="45">
        <v>-191.34697497024942</v>
      </c>
      <c r="DP59" s="45">
        <v>-464.05039567230654</v>
      </c>
      <c r="DQ59" s="45">
        <v>-619.3604893191279</v>
      </c>
      <c r="DR59" s="45">
        <v>-834.2251563136106</v>
      </c>
      <c r="DS59" s="45">
        <v>-1004.1192206816</v>
      </c>
      <c r="DT59" s="45">
        <v>-1096.8948649419995</v>
      </c>
      <c r="DU59" s="45">
        <v>-1109.209320181542</v>
      </c>
      <c r="DV59" s="45">
        <v>-1161.2636502518526</v>
      </c>
      <c r="DW59" s="45">
        <v>-1219.8923216829944</v>
      </c>
      <c r="DX59" s="45">
        <v>-1267.6890767511384</v>
      </c>
      <c r="DY59" s="45">
        <v>-1274.2848429229</v>
      </c>
      <c r="DZ59" s="45">
        <v>-1268.7680801793977</v>
      </c>
      <c r="EA59" s="45">
        <v>-1305.285462491857</v>
      </c>
      <c r="EB59" s="45">
        <v>-1324.1095009096782</v>
      </c>
      <c r="EC59" s="45">
        <v>-1333.3560295202099</v>
      </c>
      <c r="ED59" s="45">
        <v>-1103.2487612230552</v>
      </c>
      <c r="EE59" s="45">
        <v>-850.2817833584593</v>
      </c>
      <c r="EF59" s="45">
        <v>-399.9340402570527</v>
      </c>
      <c r="EG59" s="45">
        <v>5.960464477539062e-14</v>
      </c>
      <c r="EH59" s="46">
        <f>MAX(1,MIN(21,SUMPRODUCT(--($BT59:$CO59&gt;=Pu))))</f>
      </c>
      <c r="EI59" s="47">
        <f>(Pu-INDEX($BT59:$CO59,1,$EH59))/(INDEX($BT59:$CO59,1,$EH59+1)-INDEX($BT59:$CO59,1,$EH59))</f>
      </c>
      <c r="EJ59" s="39">
        <f>INDEX($CP59:$DK59,1,$EH59)+$EI59*(INDEX($CP59:$DK59,1,$EH59+1)-INDEX($CP59:$DK59,1,$EH59))</f>
      </c>
      <c r="EK59" s="39">
        <f>INDEX($DL59:$EG59,1,$EH59)+$EI59*(INDEX($DL59:$EG59,1,$EH59+1)-INDEX($DL59:$EG59,1,$EH59))</f>
      </c>
      <c r="EL59" s="39">
        <f>SQRT(EJ59^2+EK59^2)</f>
      </c>
      <c r="EM59" s="20">
        <f>EJ60-EJ59</f>
      </c>
      <c r="EN59" s="20">
        <f>EK60-EK59</f>
      </c>
      <c r="EO59" s="20">
        <f>EM59*SIN(RADIANS(theta_L))-EN59*COS(RADIANS(theta_L))</f>
      </c>
      <c r="EP59" s="47">
        <f>IF(EO59=0,"",-(EJ59*SIN(RADIANS(theta_L))-EK59*COS(RADIANS(theta_L)))/EO59)</f>
      </c>
      <c r="EQ59" s="20">
        <f>IF(EP59="","",(EJ59+EP59*EM59)*COS(RADIANS(theta_L))+(EK59+EP59*EN59)*SIN(RADIANS(theta_L)))</f>
      </c>
      <c r="ER59" s="20">
        <f>IF(OR(EP59="",EP59&lt;0,EP59&gt;1,EQ59&lt;0),"",EQ59)</f>
      </c>
    </row>
    <row r="60" spans="1:148" x14ac:dyDescent="0.25">
      <c r="A60">
        <v>53</v>
      </c>
      <c r="B60" s="44">
        <v>192.49999999999997</v>
      </c>
      <c r="C60" s="18">
        <v>704.8193919379164</v>
      </c>
      <c r="D60" s="18">
        <v>-604.0127293488058</v>
      </c>
      <c r="E60" s="18">
        <v>1308.8321212867222</v>
      </c>
      <c r="F60" s="16">
        <v>0.0033</v>
      </c>
      <c r="G60" s="16">
        <v>0</v>
      </c>
      <c r="H60" s="16">
        <v>0</v>
      </c>
      <c r="I60" s="16">
        <v>0.00275</v>
      </c>
      <c r="J60" s="16">
        <v>-7.618445378461742e-7</v>
      </c>
      <c r="K60" s="16">
        <v>-1.6889686780417374e-7</v>
      </c>
      <c r="L60" s="16">
        <v>0.0024749999999999998</v>
      </c>
      <c r="M60" s="16">
        <v>-0.0000011427668067692613</v>
      </c>
      <c r="N60" s="16">
        <v>-2.533453017062606e-7</v>
      </c>
      <c r="O60" s="16">
        <v>0.0021999999999999997</v>
      </c>
      <c r="P60" s="16">
        <v>-0.0000015236890756923484</v>
      </c>
      <c r="Q60" s="16">
        <v>-3.377937356083475e-7</v>
      </c>
      <c r="R60" s="16">
        <v>0.0019249999999999998</v>
      </c>
      <c r="S60" s="16">
        <v>-0.0000019046113446154355</v>
      </c>
      <c r="T60" s="16">
        <v>-4.2224216951043437e-7</v>
      </c>
      <c r="U60" s="16">
        <v>0.0018000000000000004</v>
      </c>
      <c r="V60" s="16">
        <v>-0.0000020777578304895655</v>
      </c>
      <c r="W60" s="16">
        <v>-4.606278212841101e-7</v>
      </c>
      <c r="X60" s="16">
        <v>0.00165</v>
      </c>
      <c r="Y60" s="16">
        <v>-0.0000022855336135385226</v>
      </c>
      <c r="Z60" s="16">
        <v>-5.066906034125212e-7</v>
      </c>
      <c r="AA60" s="16">
        <v>0.001522916479839667</v>
      </c>
      <c r="AB60" s="16">
        <v>-0.0000024615661329647297</v>
      </c>
      <c r="AC60" s="16">
        <v>-5.457160734209008e-7</v>
      </c>
      <c r="AD60" s="16">
        <v>0.0012536614010274956</v>
      </c>
      <c r="AE60" s="16">
        <v>-0.0000028345306985654456</v>
      </c>
      <c r="AF60" s="16">
        <v>-6.284003269695222e-7</v>
      </c>
      <c r="AG60" s="16">
        <v>0.0009844063222153236</v>
      </c>
      <c r="AH60" s="16">
        <v>-0.0000032074952641661624</v>
      </c>
      <c r="AI60" s="16">
        <v>-7.110845805181435e-7</v>
      </c>
      <c r="AJ60" s="16">
        <v>0.0007151512434031516</v>
      </c>
      <c r="AK60" s="16">
        <v>-0.0000035804598297668796</v>
      </c>
      <c r="AL60" s="16">
        <v>-7.93768834066765e-7</v>
      </c>
      <c r="AM60" s="16">
        <v>0.00044589616459098005</v>
      </c>
      <c r="AN60" s="16">
        <v>-0.000003953424395367596</v>
      </c>
      <c r="AO60" s="16">
        <v>-8.764530876153862e-7</v>
      </c>
      <c r="AP60" s="16">
        <v>-0.00009261399303336264</v>
      </c>
      <c r="AQ60" s="16">
        <v>-0.000004699353526569029</v>
      </c>
      <c r="AR60" s="16">
        <v>-0.0000010418215947126288</v>
      </c>
      <c r="AS60" s="16">
        <v>-0.0006311241506577062</v>
      </c>
      <c r="AT60" s="16">
        <v>-0.0000054452826577704614</v>
      </c>
      <c r="AU60" s="16">
        <v>-0.0000012071901018098715</v>
      </c>
      <c r="AV60" s="16">
        <v>-0.0011696343082820493</v>
      </c>
      <c r="AW60" s="16">
        <v>-0.000006191211788971895</v>
      </c>
      <c r="AX60" s="16">
        <v>-0.0000013725586089071142</v>
      </c>
      <c r="AY60" s="16">
        <v>-0.0017081444659063924</v>
      </c>
      <c r="AZ60" s="16">
        <v>-0.000006937140920173328</v>
      </c>
      <c r="BA60" s="16">
        <v>-0.0000015379271160043567</v>
      </c>
      <c r="BB60" s="16">
        <v>-0.0027851647811550796</v>
      </c>
      <c r="BC60" s="16">
        <v>-0.000008428999182576194</v>
      </c>
      <c r="BD60" s="16">
        <v>-0.0000018686641301988424</v>
      </c>
      <c r="BE60" s="16">
        <v>-0.003862185096403765</v>
      </c>
      <c r="BF60" s="16">
        <v>-0.00000992085744497906</v>
      </c>
      <c r="BG60" s="16">
        <v>-0.0000021994011443933274</v>
      </c>
      <c r="BH60" s="16">
        <v>-0.006554735884525484</v>
      </c>
      <c r="BI60" s="16">
        <v>-0.000013650503100986228</v>
      </c>
      <c r="BJ60" s="16">
        <v>-0.0000030262436798795413</v>
      </c>
      <c r="BK60" s="16">
        <v>-0.009247286672647199</v>
      </c>
      <c r="BL60" s="16">
        <v>-0.000017380148756993394</v>
      </c>
      <c r="BM60" s="16">
        <v>-0.000003853086215365754</v>
      </c>
      <c r="BN60" s="16">
        <v>-0.020017489825134065</v>
      </c>
      <c r="BO60" s="16">
        <v>-0.00003229873138102205</v>
      </c>
      <c r="BP60" s="16">
        <v>-0.000007160456357310607</v>
      </c>
      <c r="BQ60" s="16">
        <v>-0.05</v>
      </c>
      <c r="BR60" s="16">
        <v>0</v>
      </c>
      <c r="BS60" s="16">
        <v>0</v>
      </c>
      <c r="BT60" s="45">
        <v>33981.43387592912</v>
      </c>
      <c r="BU60" s="45">
        <v>33981.43387592912</v>
      </c>
      <c r="BV60" s="45">
        <v>33835.78539386579</v>
      </c>
      <c r="BW60" s="45">
        <v>32723.610514770586</v>
      </c>
      <c r="BX60" s="45">
        <v>30419.726851529576</v>
      </c>
      <c r="BY60" s="45">
        <v>28946.97881406285</v>
      </c>
      <c r="BZ60" s="45">
        <v>26828.836754550863</v>
      </c>
      <c r="CA60" s="45">
        <v>24788.369736940116</v>
      </c>
      <c r="CB60" s="45">
        <v>20921.81174265832</v>
      </c>
      <c r="CC60" s="45">
        <v>18091.81222908991</v>
      </c>
      <c r="CD60" s="45">
        <v>15853.112284773717</v>
      </c>
      <c r="CE60" s="45">
        <v>13913.785659426656</v>
      </c>
      <c r="CF60" s="45">
        <v>11091.569381458863</v>
      </c>
      <c r="CG60" s="45">
        <v>9067.909759536682</v>
      </c>
      <c r="CH60" s="45">
        <v>7423.077969739525</v>
      </c>
      <c r="CI60" s="45">
        <v>6046.731813613665</v>
      </c>
      <c r="CJ60" s="45">
        <v>3813.580471763154</v>
      </c>
      <c r="CK60" s="45">
        <v>2121.438237405549</v>
      </c>
      <c r="CL60" s="45">
        <v>-637.3284058446382</v>
      </c>
      <c r="CM60" s="45">
        <v>-2399.777582667888</v>
      </c>
      <c r="CN60" s="45">
        <v>-4883.080058829241</v>
      </c>
      <c r="CO60" s="45">
        <v>-5790.583579096708</v>
      </c>
      <c r="CP60" s="45">
        <v>6.55418261885643e-13</v>
      </c>
      <c r="CQ60" s="45">
        <v>6.55418261885643e-13</v>
      </c>
      <c r="CR60" s="45">
        <v>-75.52217854809321</v>
      </c>
      <c r="CS60" s="45">
        <v>-599.817897192525</v>
      </c>
      <c r="CT60" s="45">
        <v>-1591.55560503287</v>
      </c>
      <c r="CU60" s="45">
        <v>-2197.12601565015</v>
      </c>
      <c r="CV60" s="45">
        <v>-3050.4072109058834</v>
      </c>
      <c r="CW60" s="45">
        <v>-3837.028910557423</v>
      </c>
      <c r="CX60" s="45">
        <v>-5120.925773857783</v>
      </c>
      <c r="CY60" s="45">
        <v>-5778.640828683609</v>
      </c>
      <c r="CZ60" s="45">
        <v>-6134.495792956441</v>
      </c>
      <c r="DA60" s="45">
        <v>-6360.304120563054</v>
      </c>
      <c r="DB60" s="45">
        <v>-6372.446345254164</v>
      </c>
      <c r="DC60" s="45">
        <v>-6079.8626532909075</v>
      </c>
      <c r="DD60" s="45">
        <v>-5724.014373797697</v>
      </c>
      <c r="DE60" s="45">
        <v>-5331.955177648523</v>
      </c>
      <c r="DF60" s="45">
        <v>-4560.442581569816</v>
      </c>
      <c r="DG60" s="45">
        <v>-3876.949793578312</v>
      </c>
      <c r="DH60" s="45">
        <v>-2630.751593699028</v>
      </c>
      <c r="DI60" s="45">
        <v>-1777.971577972736</v>
      </c>
      <c r="DJ60" s="45">
        <v>-497.6840901327189</v>
      </c>
      <c r="DK60" s="45">
        <v>0</v>
      </c>
      <c r="DL60" s="45">
        <v>-5.220063030719757e-12</v>
      </c>
      <c r="DM60" s="45">
        <v>-5.220063030719757e-12</v>
      </c>
      <c r="DN60" s="45">
        <v>-32.597349711903085</v>
      </c>
      <c r="DO60" s="45">
        <v>-226.6687104059074</v>
      </c>
      <c r="DP60" s="45">
        <v>-554.6987734143271</v>
      </c>
      <c r="DQ60" s="45">
        <v>-741.5659735015228</v>
      </c>
      <c r="DR60" s="45">
        <v>-998.6600234933891</v>
      </c>
      <c r="DS60" s="45">
        <v>-1223.8378531367716</v>
      </c>
      <c r="DT60" s="45">
        <v>-1371.131633711868</v>
      </c>
      <c r="DU60" s="45">
        <v>-1386.103831303397</v>
      </c>
      <c r="DV60" s="45">
        <v>-1444.099590220747</v>
      </c>
      <c r="DW60" s="45">
        <v>-1513.5487017888574</v>
      </c>
      <c r="DX60" s="45">
        <v>-1569.9720084401597</v>
      </c>
      <c r="DY60" s="45">
        <v>-1609.9166832870455</v>
      </c>
      <c r="DZ60" s="45">
        <v>-1593.6298261686063</v>
      </c>
      <c r="EA60" s="45">
        <v>-1635.1671616446686</v>
      </c>
      <c r="EB60" s="45">
        <v>-1622.9053508553218</v>
      </c>
      <c r="EC60" s="45">
        <v>-1577.1176982708248</v>
      </c>
      <c r="ED60" s="45">
        <v>-1260.7388204734393</v>
      </c>
      <c r="EE60" s="45">
        <v>-961.1618576646922</v>
      </c>
      <c r="EF60" s="45">
        <v>-374.4780473614123</v>
      </c>
      <c r="EG60" s="45">
        <v>5.960464477539062e-14</v>
      </c>
      <c r="EH60" s="46">
        <f>MAX(1,MIN(21,SUMPRODUCT(--($BT60:$CO60&gt;=Pu))))</f>
      </c>
      <c r="EI60" s="47">
        <f>(Pu-INDEX($BT60:$CO60,1,$EH60))/(INDEX($BT60:$CO60,1,$EH60+1)-INDEX($BT60:$CO60,1,$EH60))</f>
      </c>
      <c r="EJ60" s="39">
        <f>INDEX($CP60:$DK60,1,$EH60)+$EI60*(INDEX($CP60:$DK60,1,$EH60+1)-INDEX($CP60:$DK60,1,$EH60))</f>
      </c>
      <c r="EK60" s="39">
        <f>INDEX($DL60:$EG60,1,$EH60)+$EI60*(INDEX($DL60:$EG60,1,$EH60+1)-INDEX($DL60:$EG60,1,$EH60))</f>
      </c>
      <c r="EL60" s="39">
        <f>SQRT(EJ60^2+EK60^2)</f>
      </c>
      <c r="EM60" s="20">
        <f>EJ61-EJ60</f>
      </c>
      <c r="EN60" s="20">
        <f>EK61-EK60</f>
      </c>
      <c r="EO60" s="20">
        <f>EM60*SIN(RADIANS(theta_L))-EN60*COS(RADIANS(theta_L))</f>
      </c>
      <c r="EP60" s="47">
        <f>IF(EO60=0,"",-(EJ60*SIN(RADIANS(theta_L))-EK60*COS(RADIANS(theta_L)))/EO60)</f>
      </c>
      <c r="EQ60" s="20">
        <f>IF(EP60="","",(EJ60+EP60*EM60)*COS(RADIANS(theta_L))+(EK60+EP60*EN60)*SIN(RADIANS(theta_L)))</f>
      </c>
      <c r="ER60" s="20">
        <f>IF(OR(EP60="",EP60&lt;0,EP60&gt;1,EQ60&lt;0),"",EQ60)</f>
      </c>
    </row>
    <row r="61" spans="1:148" x14ac:dyDescent="0.25">
      <c r="A61">
        <v>54</v>
      </c>
      <c r="B61" s="44">
        <v>195</v>
      </c>
      <c r="C61" s="18">
        <v>721.9059705798272</v>
      </c>
      <c r="D61" s="18">
        <v>-615.4683059742144</v>
      </c>
      <c r="E61" s="18">
        <v>1337.3742765540417</v>
      </c>
      <c r="F61" s="16">
        <v>0.0033</v>
      </c>
      <c r="G61" s="16">
        <v>0</v>
      </c>
      <c r="H61" s="16">
        <v>0</v>
      </c>
      <c r="I61" s="16">
        <v>0.00275</v>
      </c>
      <c r="J61" s="16">
        <v>-7.359119138913421e-7</v>
      </c>
      <c r="K61" s="16">
        <v>-1.971870030276267e-7</v>
      </c>
      <c r="L61" s="16">
        <v>0.0024749999999999998</v>
      </c>
      <c r="M61" s="16">
        <v>-0.0000011038678708370134</v>
      </c>
      <c r="N61" s="16">
        <v>-2.957805045414401e-7</v>
      </c>
      <c r="O61" s="16">
        <v>0.0022</v>
      </c>
      <c r="P61" s="16">
        <v>-0.0000014718238277826842</v>
      </c>
      <c r="Q61" s="16">
        <v>-3.943740060552534e-7</v>
      </c>
      <c r="R61" s="16">
        <v>0.0019249999999999998</v>
      </c>
      <c r="S61" s="16">
        <v>-0.0000018397797847283557</v>
      </c>
      <c r="T61" s="16">
        <v>-4.929675075690669e-7</v>
      </c>
      <c r="U61" s="16">
        <v>0.0018</v>
      </c>
      <c r="V61" s="16">
        <v>-0.0000020070324924309332</v>
      </c>
      <c r="W61" s="16">
        <v>-5.37782735529891e-7</v>
      </c>
      <c r="X61" s="16">
        <v>0.0016499999999999998</v>
      </c>
      <c r="Y61" s="16">
        <v>-0.000002207735741674027</v>
      </c>
      <c r="Z61" s="16">
        <v>-5.915610090828802e-7</v>
      </c>
      <c r="AA61" s="16">
        <v>0.0015186813783709227</v>
      </c>
      <c r="AB61" s="16">
        <v>-0.000002383442901987894</v>
      </c>
      <c r="AC61" s="16">
        <v>-6.386416007933467e-7</v>
      </c>
      <c r="AD61" s="16">
        <v>0.0012487846175180321</v>
      </c>
      <c r="AE61" s="16">
        <v>-0.0000027445706144103026</v>
      </c>
      <c r="AF61" s="16">
        <v>-7.354054797014296e-7</v>
      </c>
      <c r="AG61" s="16">
        <v>0.000978887856665142</v>
      </c>
      <c r="AH61" s="16">
        <v>-0.0000031056983268327107</v>
      </c>
      <c r="AI61" s="16">
        <v>-8.321693586095124e-7</v>
      </c>
      <c r="AJ61" s="16">
        <v>0.0007089910958122513</v>
      </c>
      <c r="AK61" s="16">
        <v>-0.0000034668260392551192</v>
      </c>
      <c r="AL61" s="16">
        <v>-9.289332375175952e-7</v>
      </c>
      <c r="AM61" s="16">
        <v>0.0004390943349593607</v>
      </c>
      <c r="AN61" s="16">
        <v>-0.000003827953751677527</v>
      </c>
      <c r="AO61" s="16">
        <v>-0.0000010256971164256782</v>
      </c>
      <c r="AP61" s="16">
        <v>-0.00010069918674642008</v>
      </c>
      <c r="AQ61" s="16">
        <v>-0.0000045502091765223435</v>
      </c>
      <c r="AR61" s="16">
        <v>-0.0000012192248742418437</v>
      </c>
      <c r="AS61" s="16">
        <v>-0.0006404927084522017</v>
      </c>
      <c r="AT61" s="16">
        <v>-0.0000052724646013671606</v>
      </c>
      <c r="AU61" s="16">
        <v>-0.0000014127526320580094</v>
      </c>
      <c r="AV61" s="16">
        <v>-0.001180286230157982</v>
      </c>
      <c r="AW61" s="16">
        <v>-0.000005994720026211977</v>
      </c>
      <c r="AX61" s="16">
        <v>-0.0000016062803898741752</v>
      </c>
      <c r="AY61" s="16">
        <v>-0.0017200797518637624</v>
      </c>
      <c r="AZ61" s="16">
        <v>-0.000006716975451056793</v>
      </c>
      <c r="BA61" s="16">
        <v>-0.0000017998081476903407</v>
      </c>
      <c r="BB61" s="16">
        <v>-0.0027996667952753258</v>
      </c>
      <c r="BC61" s="16">
        <v>-0.000008161486300746427</v>
      </c>
      <c r="BD61" s="16">
        <v>-0.0000021868636633226723</v>
      </c>
      <c r="BE61" s="16">
        <v>-0.0038792538386868865</v>
      </c>
      <c r="BF61" s="16">
        <v>-0.000009605997150436058</v>
      </c>
      <c r="BG61" s="16">
        <v>-0.0000025739191789550033</v>
      </c>
      <c r="BH61" s="16">
        <v>-0.006578221447215792</v>
      </c>
      <c r="BI61" s="16">
        <v>-0.000013217274274660142</v>
      </c>
      <c r="BJ61" s="16">
        <v>-0.0000035415579680358317</v>
      </c>
      <c r="BK61" s="16">
        <v>-0.009277189055744699</v>
      </c>
      <c r="BL61" s="16">
        <v>-0.000016828551398884226</v>
      </c>
      <c r="BM61" s="16">
        <v>-0.000004509196757116661</v>
      </c>
      <c r="BN61" s="16">
        <v>-0.020073059489860313</v>
      </c>
      <c r="BO61" s="16">
        <v>-0.00003127365989578055</v>
      </c>
      <c r="BP61" s="16">
        <v>-0.000008379751913439973</v>
      </c>
      <c r="BQ61" s="16">
        <v>-0.05</v>
      </c>
      <c r="BR61" s="16">
        <v>0</v>
      </c>
      <c r="BS61" s="16">
        <v>0</v>
      </c>
      <c r="BT61" s="45">
        <v>33981.43387592912</v>
      </c>
      <c r="BU61" s="45">
        <v>33981.43387592912</v>
      </c>
      <c r="BV61" s="45">
        <v>33850.50144324756</v>
      </c>
      <c r="BW61" s="45">
        <v>32774.62386587271</v>
      </c>
      <c r="BX61" s="45">
        <v>30527.48129596781</v>
      </c>
      <c r="BY61" s="45">
        <v>29097.59930942266</v>
      </c>
      <c r="BZ61" s="45">
        <v>27011.960484371128</v>
      </c>
      <c r="CA61" s="45">
        <v>24941.456400569623</v>
      </c>
      <c r="CB61" s="45">
        <v>21078.895756835045</v>
      </c>
      <c r="CC61" s="45">
        <v>18153.287669668058</v>
      </c>
      <c r="CD61" s="45">
        <v>15852.772287153774</v>
      </c>
      <c r="CE61" s="45">
        <v>13871.42824546227</v>
      </c>
      <c r="CF61" s="45">
        <v>10906.084063199733</v>
      </c>
      <c r="CG61" s="45">
        <v>8824.81495807885</v>
      </c>
      <c r="CH61" s="45">
        <v>7090.620188712172</v>
      </c>
      <c r="CI61" s="45">
        <v>5651.37253062442</v>
      </c>
      <c r="CJ61" s="45">
        <v>3321.7220239878925</v>
      </c>
      <c r="CK61" s="45">
        <v>1694.6577520509152</v>
      </c>
      <c r="CL61" s="45">
        <v>-1005.8529720815625</v>
      </c>
      <c r="CM61" s="45">
        <v>-2705.790560358299</v>
      </c>
      <c r="CN61" s="45">
        <v>-4989.278809687693</v>
      </c>
      <c r="CO61" s="45">
        <v>-5790.583579096708</v>
      </c>
      <c r="CP61" s="45">
        <v>6.55418261885643e-13</v>
      </c>
      <c r="CQ61" s="45">
        <v>6.55418261885643e-13</v>
      </c>
      <c r="CR61" s="45">
        <v>-66.9154371473847</v>
      </c>
      <c r="CS61" s="45">
        <v>-569.7402264892834</v>
      </c>
      <c r="CT61" s="45">
        <v>-1524.6378911001918</v>
      </c>
      <c r="CU61" s="45">
        <v>-2109.152672076724</v>
      </c>
      <c r="CV61" s="45">
        <v>-2930.765600607763</v>
      </c>
      <c r="CW61" s="45">
        <v>-3717.806302919977</v>
      </c>
      <c r="CX61" s="45">
        <v>-4991.728872915199</v>
      </c>
      <c r="CY61" s="45">
        <v>-5680.623566063654</v>
      </c>
      <c r="CZ61" s="45">
        <v>-6041.103963451568</v>
      </c>
      <c r="DA61" s="45">
        <v>-6259.418823507814</v>
      </c>
      <c r="DB61" s="45">
        <v>-6257.182708227138</v>
      </c>
      <c r="DC61" s="45">
        <v>-5922.651451763829</v>
      </c>
      <c r="DD61" s="45">
        <v>-5533.010334077824</v>
      </c>
      <c r="DE61" s="45">
        <v>-5107.808069091978</v>
      </c>
      <c r="DF61" s="45">
        <v>-4296.122454759168</v>
      </c>
      <c r="DG61" s="45">
        <v>-3622.7489556604023</v>
      </c>
      <c r="DH61" s="45">
        <v>-2414.1102913004647</v>
      </c>
      <c r="DI61" s="45">
        <v>-1596.6561762745953</v>
      </c>
      <c r="DJ61" s="45">
        <v>-438.5154875385891</v>
      </c>
      <c r="DK61" s="45">
        <v>0</v>
      </c>
      <c r="DL61" s="45">
        <v>-5.220063030719757e-12</v>
      </c>
      <c r="DM61" s="45">
        <v>-5.220063030719757e-12</v>
      </c>
      <c r="DN61" s="45">
        <v>-37.274253242572</v>
      </c>
      <c r="DO61" s="45">
        <v>-255.8069845931856</v>
      </c>
      <c r="DP61" s="45">
        <v>-634.5705444012983</v>
      </c>
      <c r="DQ61" s="45">
        <v>-854.7807156599946</v>
      </c>
      <c r="DR61" s="45">
        <v>-1159.5618080134866</v>
      </c>
      <c r="DS61" s="45">
        <v>-1431.5753381740178</v>
      </c>
      <c r="DT61" s="45">
        <v>-1637.6777742760848</v>
      </c>
      <c r="DU61" s="45">
        <v>-1663.3264436517234</v>
      </c>
      <c r="DV61" s="45">
        <v>-1728.8676591848855</v>
      </c>
      <c r="DW61" s="45">
        <v>-1807.8599869578463</v>
      </c>
      <c r="DX61" s="45">
        <v>-1872.1332317954702</v>
      </c>
      <c r="DY61" s="45">
        <v>-1929.2912442740774</v>
      </c>
      <c r="DZ61" s="45">
        <v>-1919.6185074649636</v>
      </c>
      <c r="EA61" s="45">
        <v>-1932.5518734332575</v>
      </c>
      <c r="EB61" s="45">
        <v>-1892.5179423712102</v>
      </c>
      <c r="EC61" s="45">
        <v>-1783.3022095113486</v>
      </c>
      <c r="ED61" s="45">
        <v>-1377.5293154014926</v>
      </c>
      <c r="EE61" s="45">
        <v>-1042.7298092728927</v>
      </c>
      <c r="EF61" s="45">
        <v>-352.985018955249</v>
      </c>
      <c r="EG61" s="45">
        <v>5.960464477539062e-14</v>
      </c>
      <c r="EH61" s="46">
        <f>MAX(1,MIN(21,SUMPRODUCT(--($BT61:$CO61&gt;=Pu))))</f>
      </c>
      <c r="EI61" s="47">
        <f>(Pu-INDEX($BT61:$CO61,1,$EH61))/(INDEX($BT61:$CO61,1,$EH61+1)-INDEX($BT61:$CO61,1,$EH61))</f>
      </c>
      <c r="EJ61" s="39">
        <f>INDEX($CP61:$DK61,1,$EH61)+$EI61*(INDEX($CP61:$DK61,1,$EH61+1)-INDEX($CP61:$DK61,1,$EH61))</f>
      </c>
      <c r="EK61" s="39">
        <f>INDEX($DL61:$EG61,1,$EH61)+$EI61*(INDEX($DL61:$EG61,1,$EH61+1)-INDEX($DL61:$EG61,1,$EH61))</f>
      </c>
      <c r="EL61" s="39">
        <f>SQRT(EJ61^2+EK61^2)</f>
      </c>
      <c r="EM61" s="20">
        <f>EJ62-EJ61</f>
      </c>
      <c r="EN61" s="20">
        <f>EK62-EK61</f>
      </c>
      <c r="EO61" s="20">
        <f>EM61*SIN(RADIANS(theta_L))-EN61*COS(RADIANS(theta_L))</f>
      </c>
      <c r="EP61" s="47">
        <f>IF(EO61=0,"",-(EJ61*SIN(RADIANS(theta_L))-EK61*COS(RADIANS(theta_L)))/EO61)</f>
      </c>
      <c r="EQ61" s="20">
        <f>IF(EP61="","",(EJ61+EP61*EM61)*COS(RADIANS(theta_L))+(EK61+EP61*EN61)*SIN(RADIANS(theta_L)))</f>
      </c>
      <c r="ER61" s="20">
        <f>IF(OR(EP61="",EP61&lt;0,EP61&gt;1,EQ61&lt;0),"",EQ61)</f>
      </c>
    </row>
    <row r="62" spans="1:148" x14ac:dyDescent="0.25">
      <c r="A62">
        <v>55</v>
      </c>
      <c r="B62" s="44">
        <v>200</v>
      </c>
      <c r="C62" s="18">
        <v>751.9266513006628</v>
      </c>
      <c r="D62" s="18">
        <v>-634.845146346799</v>
      </c>
      <c r="E62" s="18">
        <v>1386.7717976474619</v>
      </c>
      <c r="F62" s="16">
        <v>0.0033</v>
      </c>
      <c r="G62" s="16">
        <v>0</v>
      </c>
      <c r="H62" s="16">
        <v>0</v>
      </c>
      <c r="I62" s="16">
        <v>0.00275</v>
      </c>
      <c r="J62" s="16">
        <v>-6.873422301739792e-7</v>
      </c>
      <c r="K62" s="16">
        <v>-2.5017211253747714e-7</v>
      </c>
      <c r="L62" s="16">
        <v>0.0024749999999999998</v>
      </c>
      <c r="M62" s="16">
        <v>-0.000001031013345260969</v>
      </c>
      <c r="N62" s="16">
        <v>-3.752581688062157e-7</v>
      </c>
      <c r="O62" s="16">
        <v>0.0021999999999999997</v>
      </c>
      <c r="P62" s="16">
        <v>-0.0000013746844603479585</v>
      </c>
      <c r="Q62" s="16">
        <v>-5.003442250749543e-7</v>
      </c>
      <c r="R62" s="16">
        <v>0.0019249999999999998</v>
      </c>
      <c r="S62" s="16">
        <v>-0.0000017183555754349485</v>
      </c>
      <c r="T62" s="16">
        <v>-6.25430281343693e-7</v>
      </c>
      <c r="U62" s="16">
        <v>0.0018000000000000002</v>
      </c>
      <c r="V62" s="16">
        <v>-0.000001874569718656307</v>
      </c>
      <c r="W62" s="16">
        <v>-6.82287579647665e-7</v>
      </c>
      <c r="X62" s="16">
        <v>0.00165</v>
      </c>
      <c r="Y62" s="16">
        <v>-0.000002062026690521938</v>
      </c>
      <c r="Z62" s="16">
        <v>-7.505163376124314e-7</v>
      </c>
      <c r="AA62" s="16">
        <v>0.0015106948284486347</v>
      </c>
      <c r="AB62" s="16">
        <v>-0.0000022361181946835456</v>
      </c>
      <c r="AC62" s="16">
        <v>-8.138804631658874e-7</v>
      </c>
      <c r="AD62" s="16">
        <v>0.001239587984274185</v>
      </c>
      <c r="AE62" s="16">
        <v>-0.00000257492398175681</v>
      </c>
      <c r="AF62" s="16">
        <v>-9.371956848576885e-7</v>
      </c>
      <c r="AG62" s="16">
        <v>0.0009684811400997358</v>
      </c>
      <c r="AH62" s="16">
        <v>-0.0000029137297688300746</v>
      </c>
      <c r="AI62" s="16">
        <v>-0.0000010605109065494896</v>
      </c>
      <c r="AJ62" s="16">
        <v>0.0006973742959252866</v>
      </c>
      <c r="AK62" s="16">
        <v>-0.0000032525355559033396</v>
      </c>
      <c r="AL62" s="16">
        <v>-0.0000011838261282412908</v>
      </c>
      <c r="AM62" s="16">
        <v>0.0004262674517508374</v>
      </c>
      <c r="AN62" s="16">
        <v>-0.0000035913413429766037</v>
      </c>
      <c r="AO62" s="16">
        <v>-0.000001307141349933092</v>
      </c>
      <c r="AP62" s="16">
        <v>-0.00011594623659806104</v>
      </c>
      <c r="AQ62" s="16">
        <v>-0.000004268952917123133</v>
      </c>
      <c r="AR62" s="16">
        <v>-0.000001553771793316694</v>
      </c>
      <c r="AS62" s="16">
        <v>-0.0006581599249469603</v>
      </c>
      <c r="AT62" s="16">
        <v>-0.000004946564491269662</v>
      </c>
      <c r="AU62" s="16">
        <v>-0.0000018004022367002966</v>
      </c>
      <c r="AV62" s="16">
        <v>-0.0012003736132958588</v>
      </c>
      <c r="AW62" s="16">
        <v>-0.000005624176065416191</v>
      </c>
      <c r="AX62" s="16">
        <v>-0.0000020470326800838986</v>
      </c>
      <c r="AY62" s="16">
        <v>-0.0017425873016447572</v>
      </c>
      <c r="AZ62" s="16">
        <v>-0.00000630178763956272</v>
      </c>
      <c r="BA62" s="16">
        <v>-0.0000022936631234675007</v>
      </c>
      <c r="BB62" s="16">
        <v>-0.002827014678342554</v>
      </c>
      <c r="BC62" s="16">
        <v>-0.000007657010787855779</v>
      </c>
      <c r="BD62" s="16">
        <v>-0.0000027869240102347052</v>
      </c>
      <c r="BE62" s="16">
        <v>-0.003911442055040351</v>
      </c>
      <c r="BF62" s="16">
        <v>-0.000009012233936148835</v>
      </c>
      <c r="BG62" s="16">
        <v>-0.0000032801848970019098</v>
      </c>
      <c r="BH62" s="16">
        <v>-0.006622510496784845</v>
      </c>
      <c r="BI62" s="16">
        <v>-0.00001240029180688148</v>
      </c>
      <c r="BJ62" s="16">
        <v>-0.000004513337113919922</v>
      </c>
      <c r="BK62" s="16">
        <v>-0.00933357893852934</v>
      </c>
      <c r="BL62" s="16">
        <v>-0.000015788349677614127</v>
      </c>
      <c r="BM62" s="16">
        <v>-0.0000057464893308379324</v>
      </c>
      <c r="BN62" s="16">
        <v>-0.020177852705507312</v>
      </c>
      <c r="BO62" s="16">
        <v>-0.000029340581160544707</v>
      </c>
      <c r="BP62" s="16">
        <v>-0.000010679098198509978</v>
      </c>
      <c r="BQ62" s="16">
        <v>-0.05</v>
      </c>
      <c r="BR62" s="16">
        <v>0</v>
      </c>
      <c r="BS62" s="16">
        <v>0</v>
      </c>
      <c r="BT62" s="45">
        <v>33981.43387592912</v>
      </c>
      <c r="BU62" s="45">
        <v>33981.43387592912</v>
      </c>
      <c r="BV62" s="45">
        <v>33866.46038088049</v>
      </c>
      <c r="BW62" s="45">
        <v>32846.24160741138</v>
      </c>
      <c r="BX62" s="45">
        <v>30697.223228992647</v>
      </c>
      <c r="BY62" s="45">
        <v>29309.605206004922</v>
      </c>
      <c r="BZ62" s="45">
        <v>27300.755468963154</v>
      </c>
      <c r="CA62" s="45">
        <v>25172.72680650582</v>
      </c>
      <c r="CB62" s="45">
        <v>21360.451109480982</v>
      </c>
      <c r="CC62" s="45">
        <v>18285.653894029107</v>
      </c>
      <c r="CD62" s="45">
        <v>15840.924577130423</v>
      </c>
      <c r="CE62" s="45">
        <v>13738.818328340469</v>
      </c>
      <c r="CF62" s="45">
        <v>10538.307697067334</v>
      </c>
      <c r="CG62" s="45">
        <v>8305.14877629858</v>
      </c>
      <c r="CH62" s="45">
        <v>6450.976263608236</v>
      </c>
      <c r="CI62" s="45">
        <v>4911.59390921279</v>
      </c>
      <c r="CJ62" s="45">
        <v>2611.9614746422103</v>
      </c>
      <c r="CK62" s="45">
        <v>1068.1211383746308</v>
      </c>
      <c r="CL62" s="45">
        <v>-1527.3005595969614</v>
      </c>
      <c r="CM62" s="45">
        <v>-3016.130408836321</v>
      </c>
      <c r="CN62" s="45">
        <v>-5068.5814248840215</v>
      </c>
      <c r="CO62" s="45">
        <v>-5790.583579096708</v>
      </c>
      <c r="CP62" s="45">
        <v>6.55418261885643e-13</v>
      </c>
      <c r="CQ62" s="45">
        <v>6.55418261885643e-13</v>
      </c>
      <c r="CR62" s="45">
        <v>-56.91952712150265</v>
      </c>
      <c r="CS62" s="45">
        <v>-522.0532157475437</v>
      </c>
      <c r="CT62" s="45">
        <v>-1409.5709838368907</v>
      </c>
      <c r="CU62" s="45">
        <v>-1952.5964129862484</v>
      </c>
      <c r="CV62" s="45">
        <v>-2720.320790803787</v>
      </c>
      <c r="CW62" s="45">
        <v>-3501.7695048238484</v>
      </c>
      <c r="CX62" s="45">
        <v>-4715.298779605154</v>
      </c>
      <c r="CY62" s="45">
        <v>-5449.038240179951</v>
      </c>
      <c r="CZ62" s="45">
        <v>-5816.306920415162</v>
      </c>
      <c r="DA62" s="45">
        <v>-6010.038493179282</v>
      </c>
      <c r="DB62" s="45">
        <v>-5958.30702310341</v>
      </c>
      <c r="DC62" s="45">
        <v>-5570.943457995071</v>
      </c>
      <c r="DD62" s="45">
        <v>-5112.140799377338</v>
      </c>
      <c r="DE62" s="45">
        <v>-4661.255385514827</v>
      </c>
      <c r="DF62" s="45">
        <v>-3839.342081133855</v>
      </c>
      <c r="DG62" s="45">
        <v>-3222.3269708989087</v>
      </c>
      <c r="DH62" s="45">
        <v>-2096.9599472305777</v>
      </c>
      <c r="DI62" s="45">
        <v>-1395.342803843023</v>
      </c>
      <c r="DJ62" s="45">
        <v>-391.86077782301317</v>
      </c>
      <c r="DK62" s="45">
        <v>0</v>
      </c>
      <c r="DL62" s="45">
        <v>-5.220063030719757e-12</v>
      </c>
      <c r="DM62" s="45">
        <v>-5.220063030719757e-12</v>
      </c>
      <c r="DN62" s="45">
        <v>-42.24842770035647</v>
      </c>
      <c r="DO62" s="45">
        <v>-301.80997452584893</v>
      </c>
      <c r="DP62" s="45">
        <v>-778.5048827558678</v>
      </c>
      <c r="DQ62" s="45">
        <v>-1063.1954917202274</v>
      </c>
      <c r="DR62" s="45">
        <v>-1453.945074929388</v>
      </c>
      <c r="DS62" s="45">
        <v>-1818.0516930188876</v>
      </c>
      <c r="DT62" s="45">
        <v>-2144.0850533778726</v>
      </c>
      <c r="DU62" s="45">
        <v>-2220.0392626023067</v>
      </c>
      <c r="DV62" s="45">
        <v>-2306.993048306037</v>
      </c>
      <c r="DW62" s="45">
        <v>-2407.467688394888</v>
      </c>
      <c r="DX62" s="45">
        <v>-2492.208821371652</v>
      </c>
      <c r="DY62" s="45">
        <v>-2545.87303646232</v>
      </c>
      <c r="DZ62" s="45">
        <v>-2545.2747919726507</v>
      </c>
      <c r="EA62" s="45">
        <v>-2476.726029060492</v>
      </c>
      <c r="EB62" s="45">
        <v>-2329.1901032187357</v>
      </c>
      <c r="EC62" s="45">
        <v>-2097.2535073510508</v>
      </c>
      <c r="ED62" s="45">
        <v>-1556.2049107442494</v>
      </c>
      <c r="EE62" s="45">
        <v>-1141.848411675025</v>
      </c>
      <c r="EF62" s="45">
        <v>-340.5214313684327</v>
      </c>
      <c r="EG62" s="45">
        <v>5.960464477539062e-14</v>
      </c>
      <c r="EH62" s="46">
        <f>MAX(1,MIN(21,SUMPRODUCT(--($BT62:$CO62&gt;=Pu))))</f>
      </c>
      <c r="EI62" s="47">
        <f>(Pu-INDEX($BT62:$CO62,1,$EH62))/(INDEX($BT62:$CO62,1,$EH62+1)-INDEX($BT62:$CO62,1,$EH62))</f>
      </c>
      <c r="EJ62" s="39">
        <f>INDEX($CP62:$DK62,1,$EH62)+$EI62*(INDEX($CP62:$DK62,1,$EH62+1)-INDEX($CP62:$DK62,1,$EH62))</f>
      </c>
      <c r="EK62" s="39">
        <f>INDEX($DL62:$EG62,1,$EH62)+$EI62*(INDEX($DL62:$EG62,1,$EH62+1)-INDEX($DL62:$EG62,1,$EH62))</f>
      </c>
      <c r="EL62" s="39">
        <f>SQRT(EJ62^2+EK62^2)</f>
      </c>
      <c r="EM62" s="20">
        <f>EJ63-EJ62</f>
      </c>
      <c r="EN62" s="20">
        <f>EK63-EK62</f>
      </c>
      <c r="EO62" s="20">
        <f>EM62*SIN(RADIANS(theta_L))-EN62*COS(RADIANS(theta_L))</f>
      </c>
      <c r="EP62" s="47">
        <f>IF(EO62=0,"",-(EJ62*SIN(RADIANS(theta_L))-EK62*COS(RADIANS(theta_L)))/EO62)</f>
      </c>
      <c r="EQ62" s="20">
        <f>IF(EP62="","",(EJ62+EP62*EM62)*COS(RADIANS(theta_L))+(EK62+EP62*EN62)*SIN(RADIANS(theta_L)))</f>
      </c>
      <c r="ER62" s="20">
        <f>IF(OR(EP62="",EP62&lt;0,EP62&gt;1,EQ62&lt;0),"",EQ62)</f>
      </c>
    </row>
    <row r="63" spans="1:148" x14ac:dyDescent="0.25">
      <c r="A63">
        <v>56</v>
      </c>
      <c r="B63" s="44">
        <v>205.00000000000003</v>
      </c>
      <c r="C63" s="18">
        <v>776.2247161793747</v>
      </c>
      <c r="D63" s="18">
        <v>-649.3904318257044</v>
      </c>
      <c r="E63" s="18">
        <v>1425.615148005079</v>
      </c>
      <c r="F63" s="16">
        <v>0.0033</v>
      </c>
      <c r="G63" s="16">
        <v>0</v>
      </c>
      <c r="H63" s="16">
        <v>0</v>
      </c>
      <c r="I63" s="16">
        <v>0.00275</v>
      </c>
      <c r="J63" s="16">
        <v>-6.421713615660856e-7</v>
      </c>
      <c r="K63" s="16">
        <v>-2.9944942374608845e-7</v>
      </c>
      <c r="L63" s="16">
        <v>0.002475</v>
      </c>
      <c r="M63" s="16">
        <v>-9.632570423491283e-7</v>
      </c>
      <c r="N63" s="16">
        <v>-4.4917413561913265e-7</v>
      </c>
      <c r="O63" s="16">
        <v>0.0021999999999999997</v>
      </c>
      <c r="P63" s="16">
        <v>-0.0000012843427231321712</v>
      </c>
      <c r="Q63" s="16">
        <v>-5.988988474921769e-7</v>
      </c>
      <c r="R63" s="16">
        <v>0.001925</v>
      </c>
      <c r="S63" s="16">
        <v>-0.000001605428403915214</v>
      </c>
      <c r="T63" s="16">
        <v>-7.486235593652211e-7</v>
      </c>
      <c r="U63" s="16">
        <v>0.0018</v>
      </c>
      <c r="V63" s="16">
        <v>-0.000001751376440634779</v>
      </c>
      <c r="W63" s="16">
        <v>-8.166802465802412e-7</v>
      </c>
      <c r="X63" s="16">
        <v>0.0016500000000000002</v>
      </c>
      <c r="Y63" s="16">
        <v>-0.0000019265140846982566</v>
      </c>
      <c r="Z63" s="16">
        <v>-8.983482712382653e-7</v>
      </c>
      <c r="AA63" s="16">
        <v>0.0015032026196015065</v>
      </c>
      <c r="AB63" s="16">
        <v>-0.0000020979124004161388</v>
      </c>
      <c r="AC63" s="16">
        <v>-9.78272618452382e-7</v>
      </c>
      <c r="AD63" s="16">
        <v>0.0012309605922684016</v>
      </c>
      <c r="AE63" s="16">
        <v>-0.0000024157779156307057</v>
      </c>
      <c r="AF63" s="16">
        <v>-0.0000011264957424603187</v>
      </c>
      <c r="AG63" s="16">
        <v>0.0009587185649352964</v>
      </c>
      <c r="AH63" s="16">
        <v>-0.000002733643430845272</v>
      </c>
      <c r="AI63" s="16">
        <v>-0.0000012747188664682556</v>
      </c>
      <c r="AJ63" s="16">
        <v>0.0006864765376021907</v>
      </c>
      <c r="AK63" s="16">
        <v>-0.000003051508946059839</v>
      </c>
      <c r="AL63" s="16">
        <v>-0.0000014229419904761924</v>
      </c>
      <c r="AM63" s="16">
        <v>0.00041423451026908597</v>
      </c>
      <c r="AN63" s="16">
        <v>-0.000003369374461274405</v>
      </c>
      <c r="AO63" s="16">
        <v>-0.0000015711651144841288</v>
      </c>
      <c r="AP63" s="16">
        <v>-0.00013024954439712442</v>
      </c>
      <c r="AQ63" s="16">
        <v>-0.0000040051054917035385</v>
      </c>
      <c r="AR63" s="16">
        <v>-0.0000018676113625000025</v>
      </c>
      <c r="AS63" s="16">
        <v>-0.0006747335990633339</v>
      </c>
      <c r="AT63" s="16">
        <v>-0.000004640836522132671</v>
      </c>
      <c r="AU63" s="16">
        <v>-0.0000021640576105158756</v>
      </c>
      <c r="AV63" s="16">
        <v>-0.0012192176537295443</v>
      </c>
      <c r="AW63" s="16">
        <v>-0.000005276567552561804</v>
      </c>
      <c r="AX63" s="16">
        <v>-0.0000024605038585317493</v>
      </c>
      <c r="AY63" s="16">
        <v>-0.0017637017083957547</v>
      </c>
      <c r="AZ63" s="16">
        <v>-0.0000059122985829909365</v>
      </c>
      <c r="BA63" s="16">
        <v>-0.000002756950106547622</v>
      </c>
      <c r="BB63" s="16">
        <v>-0.0028526698177281755</v>
      </c>
      <c r="BC63" s="16">
        <v>-0.000007183760643849203</v>
      </c>
      <c r="BD63" s="16">
        <v>-0.0000033498426025793695</v>
      </c>
      <c r="BE63" s="16">
        <v>-0.0039416379270605945</v>
      </c>
      <c r="BF63" s="16">
        <v>-0.000008455222704707468</v>
      </c>
      <c r="BG63" s="16">
        <v>-0.000003942735098611115</v>
      </c>
      <c r="BH63" s="16">
        <v>-0.006664058200391647</v>
      </c>
      <c r="BI63" s="16">
        <v>-0.000011633877856853135</v>
      </c>
      <c r="BJ63" s="16">
        <v>-0.000005424966338690483</v>
      </c>
      <c r="BK63" s="16">
        <v>-0.009386478473722697</v>
      </c>
      <c r="BL63" s="16">
        <v>-0.000014812533008998801</v>
      </c>
      <c r="BM63" s="16">
        <v>-0.0000069071975787698505</v>
      </c>
      <c r="BN63" s="16">
        <v>-0.020276159567046897</v>
      </c>
      <c r="BO63" s="16">
        <v>-0.000027527153617581457</v>
      </c>
      <c r="BP63" s="16">
        <v>-0.000012836122539087317</v>
      </c>
      <c r="BQ63" s="16">
        <v>-0.05</v>
      </c>
      <c r="BR63" s="16">
        <v>0</v>
      </c>
      <c r="BS63" s="16">
        <v>0</v>
      </c>
      <c r="BT63" s="45">
        <v>33981.43387592912</v>
      </c>
      <c r="BU63" s="45">
        <v>33981.43387592912</v>
      </c>
      <c r="BV63" s="45">
        <v>33871.96350339563</v>
      </c>
      <c r="BW63" s="45">
        <v>32884.16359834051</v>
      </c>
      <c r="BX63" s="45">
        <v>30800.68982511303</v>
      </c>
      <c r="BY63" s="45">
        <v>29446.41013081612</v>
      </c>
      <c r="BZ63" s="45">
        <v>27492.537460943215</v>
      </c>
      <c r="CA63" s="45">
        <v>25319.59243202876</v>
      </c>
      <c r="CB63" s="45">
        <v>21578.923877189973</v>
      </c>
      <c r="CC63" s="45">
        <v>18387.89947711103</v>
      </c>
      <c r="CD63" s="45">
        <v>15790.491083625753</v>
      </c>
      <c r="CE63" s="45">
        <v>13572.740538799319</v>
      </c>
      <c r="CF63" s="45">
        <v>10188.351365859466</v>
      </c>
      <c r="CG63" s="45">
        <v>7779.333049135953</v>
      </c>
      <c r="CH63" s="45">
        <v>5910.243357289051</v>
      </c>
      <c r="CI63" s="45">
        <v>4338.711612455868</v>
      </c>
      <c r="CJ63" s="45">
        <v>2188.8331175596363</v>
      </c>
      <c r="CK63" s="45">
        <v>691.8982339512567</v>
      </c>
      <c r="CL63" s="45">
        <v>-1758.894620206634</v>
      </c>
      <c r="CM63" s="45">
        <v>-3112.1234178212862</v>
      </c>
      <c r="CN63" s="45">
        <v>-5069.434842628089</v>
      </c>
      <c r="CO63" s="45">
        <v>-5790.583579096708</v>
      </c>
      <c r="CP63" s="45">
        <v>6.55418261885643e-13</v>
      </c>
      <c r="CQ63" s="45">
        <v>6.55418261885643e-13</v>
      </c>
      <c r="CR63" s="45">
        <v>-52.505174002844605</v>
      </c>
      <c r="CS63" s="45">
        <v>-483.20855220974147</v>
      </c>
      <c r="CT63" s="45">
        <v>-1308.9434000751721</v>
      </c>
      <c r="CU63" s="45">
        <v>-1818.873122435287</v>
      </c>
      <c r="CV63" s="45">
        <v>-2540.2432950468533</v>
      </c>
      <c r="CW63" s="45">
        <v>-3306.925970121405</v>
      </c>
      <c r="CX63" s="45">
        <v>-4434.504362081634</v>
      </c>
      <c r="CY63" s="45">
        <v>-5159.854218002716</v>
      </c>
      <c r="CZ63" s="45">
        <v>-5534.074774177664</v>
      </c>
      <c r="DA63" s="45">
        <v>-5700.2573938162695</v>
      </c>
      <c r="DB63" s="45">
        <v>-5604.954567553109</v>
      </c>
      <c r="DC63" s="45">
        <v>-5186.563491390645</v>
      </c>
      <c r="DD63" s="45">
        <v>-4695.299927307176</v>
      </c>
      <c r="DE63" s="45">
        <v>-4229.140476773795</v>
      </c>
      <c r="DF63" s="45">
        <v>-3499.023984730195</v>
      </c>
      <c r="DG63" s="45">
        <v>-2947.0690795634086</v>
      </c>
      <c r="DH63" s="45">
        <v>-1919.4340321432157</v>
      </c>
      <c r="DI63" s="45">
        <v>-1307.0650215166504</v>
      </c>
      <c r="DJ63" s="45">
        <v>-385.44778770838616</v>
      </c>
      <c r="DK63" s="45">
        <v>0</v>
      </c>
      <c r="DL63" s="45">
        <v>-5.220063030719757e-12</v>
      </c>
      <c r="DM63" s="45">
        <v>-5.220063030719757e-12</v>
      </c>
      <c r="DN63" s="45">
        <v>-45.54451449673721</v>
      </c>
      <c r="DO63" s="45">
        <v>-350.18198608090137</v>
      </c>
      <c r="DP63" s="45">
        <v>-918.9684704588753</v>
      </c>
      <c r="DQ63" s="45">
        <v>-1252.1032741084477</v>
      </c>
      <c r="DR63" s="45">
        <v>-1715.1966530644072</v>
      </c>
      <c r="DS63" s="45">
        <v>-2175.9121549085835</v>
      </c>
      <c r="DT63" s="45">
        <v>-2618.9106367599234</v>
      </c>
      <c r="DU63" s="45">
        <v>-2772.299681027831</v>
      </c>
      <c r="DV63" s="45">
        <v>-2895.1444143089857</v>
      </c>
      <c r="DW63" s="45">
        <v>-3019.4252182735045</v>
      </c>
      <c r="DX63" s="45">
        <v>-3105.7072648551966</v>
      </c>
      <c r="DY63" s="45">
        <v>-3106.626023454277</v>
      </c>
      <c r="DZ63" s="45">
        <v>-3078.148180847937</v>
      </c>
      <c r="EA63" s="45">
        <v>-2978.418248574923</v>
      </c>
      <c r="EB63" s="45">
        <v>-2657.248761762603</v>
      </c>
      <c r="EC63" s="45">
        <v>-2329.1087282317953</v>
      </c>
      <c r="ED63" s="45">
        <v>-1693.612049693589</v>
      </c>
      <c r="EE63" s="45">
        <v>-1224.3185257924156</v>
      </c>
      <c r="EF63" s="45">
        <v>-356.94831665291895</v>
      </c>
      <c r="EG63" s="45">
        <v>5.960464477539062e-14</v>
      </c>
      <c r="EH63" s="46">
        <f>MAX(1,MIN(21,SUMPRODUCT(--($BT63:$CO63&gt;=Pu))))</f>
      </c>
      <c r="EI63" s="47">
        <f>(Pu-INDEX($BT63:$CO63,1,$EH63))/(INDEX($BT63:$CO63,1,$EH63+1)-INDEX($BT63:$CO63,1,$EH63))</f>
      </c>
      <c r="EJ63" s="39">
        <f>INDEX($CP63:$DK63,1,$EH63)+$EI63*(INDEX($CP63:$DK63,1,$EH63+1)-INDEX($CP63:$DK63,1,$EH63))</f>
      </c>
      <c r="EK63" s="39">
        <f>INDEX($DL63:$EG63,1,$EH63)+$EI63*(INDEX($DL63:$EG63,1,$EH63+1)-INDEX($DL63:$EG63,1,$EH63))</f>
      </c>
      <c r="EL63" s="39">
        <f>SQRT(EJ63^2+EK63^2)</f>
      </c>
      <c r="EM63" s="20">
        <f>EJ64-EJ63</f>
      </c>
      <c r="EN63" s="20">
        <f>EK64-EK63</f>
      </c>
      <c r="EO63" s="20">
        <f>EM63*SIN(RADIANS(theta_L))-EN63*COS(RADIANS(theta_L))</f>
      </c>
      <c r="EP63" s="47">
        <f>IF(EO63=0,"",-(EJ63*SIN(RADIANS(theta_L))-EK63*COS(RADIANS(theta_L)))/EO63)</f>
      </c>
      <c r="EQ63" s="20">
        <f>IF(EP63="","",(EJ63+EP63*EM63)*COS(RADIANS(theta_L))+(EK63+EP63*EN63)*SIN(RADIANS(theta_L)))</f>
      </c>
      <c r="ER63" s="20">
        <f>IF(OR(EP63="",EP63&lt;0,EP63&gt;1,EQ63&lt;0),"",EQ63)</f>
      </c>
    </row>
    <row r="64" spans="1:148" x14ac:dyDescent="0.25">
      <c r="A64">
        <v>57</v>
      </c>
      <c r="B64" s="44">
        <v>210</v>
      </c>
      <c r="C64" s="18">
        <v>794.6152422706632</v>
      </c>
      <c r="D64" s="18">
        <v>-658.9934640057525</v>
      </c>
      <c r="E64" s="18">
        <v>1453.6087062764157</v>
      </c>
      <c r="F64" s="16">
        <v>0.0033</v>
      </c>
      <c r="G64" s="16">
        <v>0</v>
      </c>
      <c r="H64" s="16">
        <v>0</v>
      </c>
      <c r="I64" s="16">
        <v>0.00275</v>
      </c>
      <c r="J64" s="16">
        <v>-5.994271777625911e-7</v>
      </c>
      <c r="K64" s="16">
        <v>-3.460794424408097e-7</v>
      </c>
      <c r="L64" s="16">
        <v>0.0024749999999999998</v>
      </c>
      <c r="M64" s="16">
        <v>-8.991407666438866e-7</v>
      </c>
      <c r="N64" s="16">
        <v>-5.191191636612146e-7</v>
      </c>
      <c r="O64" s="16">
        <v>0.0022</v>
      </c>
      <c r="P64" s="16">
        <v>-0.0000011988543555251822</v>
      </c>
      <c r="Q64" s="16">
        <v>-6.921588848816194e-7</v>
      </c>
      <c r="R64" s="16">
        <v>0.001925</v>
      </c>
      <c r="S64" s="16">
        <v>-0.0000014985679444064777</v>
      </c>
      <c r="T64" s="16">
        <v>-8.651986061020243e-7</v>
      </c>
      <c r="U64" s="16">
        <v>0.0018000000000000002</v>
      </c>
      <c r="V64" s="16">
        <v>-0.0000016348013938979755</v>
      </c>
      <c r="W64" s="16">
        <v>-9.438530248385719e-7</v>
      </c>
      <c r="X64" s="16">
        <v>0.00165</v>
      </c>
      <c r="Y64" s="16">
        <v>-0.0000017982815332877731</v>
      </c>
      <c r="Z64" s="16">
        <v>-0.000001038238327322429</v>
      </c>
      <c r="AA64" s="16">
        <v>0.0014960549024157057</v>
      </c>
      <c r="AB64" s="16">
        <v>-0.0000019660613066974827</v>
      </c>
      <c r="AC64" s="16">
        <v>-0.0000011351060246650994</v>
      </c>
      <c r="AD64" s="16">
        <v>0.0012227298876302064</v>
      </c>
      <c r="AE64" s="16">
        <v>-0.000002263949383469829</v>
      </c>
      <c r="AF64" s="16">
        <v>-0.0000013070917859779932</v>
      </c>
      <c r="AG64" s="16">
        <v>0.0009494048728447071</v>
      </c>
      <c r="AH64" s="16">
        <v>-0.000002561837460242175</v>
      </c>
      <c r="AI64" s="16">
        <v>-0.0000014790775472908873</v>
      </c>
      <c r="AJ64" s="16">
        <v>0.0006760798580592079</v>
      </c>
      <c r="AK64" s="16">
        <v>-0.000002859725537014521</v>
      </c>
      <c r="AL64" s="16">
        <v>-0.0000016510633086037812</v>
      </c>
      <c r="AM64" s="16">
        <v>0.00040275484327370907</v>
      </c>
      <c r="AN64" s="16">
        <v>-0.0000031576136137868663</v>
      </c>
      <c r="AO64" s="16">
        <v>-0.000001823049069916675</v>
      </c>
      <c r="AP64" s="16">
        <v>-0.00014389518629728945</v>
      </c>
      <c r="AQ64" s="16">
        <v>-0.0000037533897673315585</v>
      </c>
      <c r="AR64" s="16">
        <v>-0.0000021670205925424627</v>
      </c>
      <c r="AS64" s="16">
        <v>-0.0006905452158682875</v>
      </c>
      <c r="AT64" s="16">
        <v>-0.0000043491659208762495</v>
      </c>
      <c r="AU64" s="16">
        <v>-0.00000251099211516825</v>
      </c>
      <c r="AV64" s="16">
        <v>-0.001237195245439286</v>
      </c>
      <c r="AW64" s="16">
        <v>-0.000004944942074420942</v>
      </c>
      <c r="AX64" s="16">
        <v>-0.000002854963637794038</v>
      </c>
      <c r="AY64" s="16">
        <v>-0.0017838452750102837</v>
      </c>
      <c r="AZ64" s="16">
        <v>-0.000005540718227965633</v>
      </c>
      <c r="BA64" s="16">
        <v>-0.0000031989351604198256</v>
      </c>
      <c r="BB64" s="16">
        <v>-0.0028771453341522807</v>
      </c>
      <c r="BC64" s="16">
        <v>-0.000006732270535055018</v>
      </c>
      <c r="BD64" s="16">
        <v>-0.000003886878205671401</v>
      </c>
      <c r="BE64" s="16">
        <v>-0.003970445393294277</v>
      </c>
      <c r="BF64" s="16">
        <v>-0.0000079238228421444</v>
      </c>
      <c r="BG64" s="16">
        <v>-0.000004574821250922976</v>
      </c>
      <c r="BH64" s="16">
        <v>-0.006703695541149268</v>
      </c>
      <c r="BI64" s="16">
        <v>-0.000010902703609867859</v>
      </c>
      <c r="BJ64" s="16">
        <v>-0.000006294678864051915</v>
      </c>
      <c r="BK64" s="16">
        <v>-0.009436945689004262</v>
      </c>
      <c r="BL64" s="16">
        <v>-0.000013881584377591319</v>
      </c>
      <c r="BM64" s="16">
        <v>-0.000008014536477180854</v>
      </c>
      <c r="BN64" s="16">
        <v>-0.020369946280424225</v>
      </c>
      <c r="BO64" s="16">
        <v>-0.000025797107448485155</v>
      </c>
      <c r="BP64" s="16">
        <v>-0.000014893966929696607</v>
      </c>
      <c r="BQ64" s="16">
        <v>-0.05</v>
      </c>
      <c r="BR64" s="16">
        <v>0</v>
      </c>
      <c r="BS64" s="16">
        <v>0</v>
      </c>
      <c r="BT64" s="45">
        <v>33981.43387592912</v>
      </c>
      <c r="BU64" s="45">
        <v>33981.43387592912</v>
      </c>
      <c r="BV64" s="45">
        <v>33876.03213295795</v>
      </c>
      <c r="BW64" s="45">
        <v>32906.01325096785</v>
      </c>
      <c r="BX64" s="45">
        <v>30851.925454771626</v>
      </c>
      <c r="BY64" s="45">
        <v>29530.369281447915</v>
      </c>
      <c r="BZ64" s="45">
        <v>27606.29172738972</v>
      </c>
      <c r="CA64" s="45">
        <v>25380.973765469163</v>
      </c>
      <c r="CB64" s="45">
        <v>21707.329253162665</v>
      </c>
      <c r="CC64" s="45">
        <v>18459.473777459072</v>
      </c>
      <c r="CD64" s="45">
        <v>15697.08036515825</v>
      </c>
      <c r="CE64" s="45">
        <v>13399.503215462624</v>
      </c>
      <c r="CF64" s="45">
        <v>9854.503094740641</v>
      </c>
      <c r="CG64" s="45">
        <v>7315.198362801137</v>
      </c>
      <c r="CH64" s="45">
        <v>5444.444550948747</v>
      </c>
      <c r="CI64" s="45">
        <v>3998.2944795254284</v>
      </c>
      <c r="CJ64" s="45">
        <v>1949.6808039073976</v>
      </c>
      <c r="CK64" s="45">
        <v>511.26210997562345</v>
      </c>
      <c r="CL64" s="45">
        <v>-1812.460497372271</v>
      </c>
      <c r="CM64" s="45">
        <v>-3139.320491048343</v>
      </c>
      <c r="CN64" s="45">
        <v>-5043.762423542305</v>
      </c>
      <c r="CO64" s="45">
        <v>-5790.583579096708</v>
      </c>
      <c r="CP64" s="45">
        <v>6.55418261885643e-13</v>
      </c>
      <c r="CQ64" s="45">
        <v>6.55418261885643e-13</v>
      </c>
      <c r="CR64" s="45">
        <v>-48.82737897610025</v>
      </c>
      <c r="CS64" s="45">
        <v>-451.615918305546</v>
      </c>
      <c r="CT64" s="45">
        <v>-1225.0734674282305</v>
      </c>
      <c r="CU64" s="45">
        <v>-1702.4514385348818</v>
      </c>
      <c r="CV64" s="45">
        <v>-2381.69358926521</v>
      </c>
      <c r="CW64" s="45">
        <v>-3126.99782166084</v>
      </c>
      <c r="CX64" s="45">
        <v>-4145.278835316722</v>
      </c>
      <c r="CY64" s="45">
        <v>-4823.7701921769885</v>
      </c>
      <c r="CZ64" s="45">
        <v>-5194.68506788422</v>
      </c>
      <c r="DA64" s="45">
        <v>-5345.641387896185</v>
      </c>
      <c r="DB64" s="45">
        <v>-5211.0731023903445</v>
      </c>
      <c r="DC64" s="45">
        <v>-4796.2583190464575</v>
      </c>
      <c r="DD64" s="45">
        <v>-4295.481529775293</v>
      </c>
      <c r="DE64" s="45">
        <v>-3874.7562747465877</v>
      </c>
      <c r="DF64" s="45">
        <v>-3245.9772676604334</v>
      </c>
      <c r="DG64" s="45">
        <v>-2732.25224133507</v>
      </c>
      <c r="DH64" s="45">
        <v>-1811.8862886257757</v>
      </c>
      <c r="DI64" s="45">
        <v>-1252.4501174205975</v>
      </c>
      <c r="DJ64" s="45">
        <v>-390.94105290413614</v>
      </c>
      <c r="DK64" s="45">
        <v>0</v>
      </c>
      <c r="DL64" s="45">
        <v>-5.220063030719757e-12</v>
      </c>
      <c r="DM64" s="45">
        <v>-5.220063030719757e-12</v>
      </c>
      <c r="DN64" s="45">
        <v>-49.008561187525956</v>
      </c>
      <c r="DO64" s="45">
        <v>-395.3042930080064</v>
      </c>
      <c r="DP64" s="45">
        <v>-1044.9472750163882</v>
      </c>
      <c r="DQ64" s="45">
        <v>-1429.3874678290456</v>
      </c>
      <c r="DR64" s="45">
        <v>-1956.4254380642615</v>
      </c>
      <c r="DS64" s="45">
        <v>-2508.604723676955</v>
      </c>
      <c r="DT64" s="45">
        <v>-3072.756183721881</v>
      </c>
      <c r="DU64" s="45">
        <v>-3318.1563609051645</v>
      </c>
      <c r="DV64" s="45">
        <v>-3475.2731875085706</v>
      </c>
      <c r="DW64" s="45">
        <v>-3624.0803357245036</v>
      </c>
      <c r="DX64" s="45">
        <v>-3694.4573071277423</v>
      </c>
      <c r="DY64" s="45">
        <v>-3632.740807414711</v>
      </c>
      <c r="DZ64" s="45">
        <v>-3539.615758254851</v>
      </c>
      <c r="EA64" s="45">
        <v>-3370.9622004176017</v>
      </c>
      <c r="EB64" s="45">
        <v>-2927.0416833708387</v>
      </c>
      <c r="EC64" s="45">
        <v>-2576.1224045675226</v>
      </c>
      <c r="ED64" s="45">
        <v>-1851.9191068231153</v>
      </c>
      <c r="EE64" s="45">
        <v>-1317.540551083515</v>
      </c>
      <c r="EF64" s="45">
        <v>-388.05478209691546</v>
      </c>
      <c r="EG64" s="45">
        <v>5.960464477539062e-14</v>
      </c>
      <c r="EH64" s="46">
        <f>MAX(1,MIN(21,SUMPRODUCT(--($BT64:$CO64&gt;=Pu))))</f>
      </c>
      <c r="EI64" s="47">
        <f>(Pu-INDEX($BT64:$CO64,1,$EH64))/(INDEX($BT64:$CO64,1,$EH64+1)-INDEX($BT64:$CO64,1,$EH64))</f>
      </c>
      <c r="EJ64" s="39">
        <f>INDEX($CP64:$DK64,1,$EH64)+$EI64*(INDEX($CP64:$DK64,1,$EH64+1)-INDEX($CP64:$DK64,1,$EH64))</f>
      </c>
      <c r="EK64" s="39">
        <f>INDEX($DL64:$EG64,1,$EH64)+$EI64*(INDEX($DL64:$EG64,1,$EH64+1)-INDEX($DL64:$EG64,1,$EH64))</f>
      </c>
      <c r="EL64" s="39">
        <f>SQRT(EJ64^2+EK64^2)</f>
      </c>
      <c r="EM64" s="20">
        <f>EJ65-EJ64</f>
      </c>
      <c r="EN64" s="20">
        <f>EK65-EK64</f>
      </c>
      <c r="EO64" s="20">
        <f>EM64*SIN(RADIANS(theta_L))-EN64*COS(RADIANS(theta_L))</f>
      </c>
      <c r="EP64" s="47">
        <f>IF(EO64=0,"",-(EJ64*SIN(RADIANS(theta_L))-EK64*COS(RADIANS(theta_L)))/EO64)</f>
      </c>
      <c r="EQ64" s="20">
        <f>IF(EP64="","",(EJ64+EP64*EM64)*COS(RADIANS(theta_L))+(EK64+EP64*EN64)*SIN(RADIANS(theta_L)))</f>
      </c>
      <c r="ER64" s="20">
        <f>IF(OR(EP64="",EP64&lt;0,EP64&gt;1,EQ64&lt;0),"",EQ64)</f>
      </c>
    </row>
    <row r="65" spans="1:148" x14ac:dyDescent="0.25">
      <c r="A65">
        <v>58</v>
      </c>
      <c r="B65" s="44">
        <v>215</v>
      </c>
      <c r="C65" s="18">
        <v>806.9582665664705</v>
      </c>
      <c r="D65" s="18">
        <v>-663.5811580135841</v>
      </c>
      <c r="E65" s="18">
        <v>1470.5394245800544</v>
      </c>
      <c r="F65" s="16">
        <v>0.0033</v>
      </c>
      <c r="G65" s="16">
        <v>0</v>
      </c>
      <c r="H65" s="16">
        <v>0</v>
      </c>
      <c r="I65" s="16">
        <v>0.00275</v>
      </c>
      <c r="J65" s="16">
        <v>-5.583109350573018e-7</v>
      </c>
      <c r="K65" s="16">
        <v>-3.909335253920344e-7</v>
      </c>
      <c r="L65" s="16">
        <v>0.0024749999999999998</v>
      </c>
      <c r="M65" s="16">
        <v>-8.374664025859526e-7</v>
      </c>
      <c r="N65" s="16">
        <v>-5.864002880880516e-7</v>
      </c>
      <c r="O65" s="16">
        <v>0.0021999999999999997</v>
      </c>
      <c r="P65" s="16">
        <v>-0.0000011166218701146035</v>
      </c>
      <c r="Q65" s="16">
        <v>-7.818670507840689e-7</v>
      </c>
      <c r="R65" s="16">
        <v>0.0019249999999999998</v>
      </c>
      <c r="S65" s="16">
        <v>-0.0000013957773376432545</v>
      </c>
      <c r="T65" s="16">
        <v>-9.773338134800863e-7</v>
      </c>
      <c r="U65" s="16">
        <v>0.0018000000000000002</v>
      </c>
      <c r="V65" s="16">
        <v>-0.0000015226661865199137</v>
      </c>
      <c r="W65" s="16">
        <v>-0.0000010661823419782757</v>
      </c>
      <c r="X65" s="16">
        <v>0.00165</v>
      </c>
      <c r="Y65" s="16">
        <v>-0.0000016749328051719053</v>
      </c>
      <c r="Z65" s="16">
        <v>-0.0000011728005761761032</v>
      </c>
      <c r="AA65" s="16">
        <v>0.0014891255445736715</v>
      </c>
      <c r="AB65" s="16">
        <v>-0.0000018382382008735554</v>
      </c>
      <c r="AC65" s="16">
        <v>-0.0000012871482452767184</v>
      </c>
      <c r="AD65" s="16">
        <v>0.0012147506270848338</v>
      </c>
      <c r="AE65" s="16">
        <v>-0.000002116759140399852</v>
      </c>
      <c r="AF65" s="16">
        <v>-0.0000014821707066822819</v>
      </c>
      <c r="AG65" s="16">
        <v>0.0009403757095959959</v>
      </c>
      <c r="AH65" s="16">
        <v>-0.0000023952800799261484</v>
      </c>
      <c r="AI65" s="16">
        <v>-0.0000016771931680878454</v>
      </c>
      <c r="AJ65" s="16">
        <v>0.0006660007921071584</v>
      </c>
      <c r="AK65" s="16">
        <v>-0.000002673801019452445</v>
      </c>
      <c r="AL65" s="16">
        <v>-0.0000018722156294934089</v>
      </c>
      <c r="AM65" s="16">
        <v>0.00039162587461832096</v>
      </c>
      <c r="AN65" s="16">
        <v>-0.000002952321958978741</v>
      </c>
      <c r="AO65" s="16">
        <v>-0.000002067238090898972</v>
      </c>
      <c r="AP65" s="16">
        <v>-0.00015712396035935444</v>
      </c>
      <c r="AQ65" s="16">
        <v>-0.0000035093638380313336</v>
      </c>
      <c r="AR65" s="16">
        <v>-0.000002457283013710099</v>
      </c>
      <c r="AS65" s="16">
        <v>-0.0007058737953370298</v>
      </c>
      <c r="AT65" s="16">
        <v>-0.000004066405717083927</v>
      </c>
      <c r="AU65" s="16">
        <v>-0.000002847327936521226</v>
      </c>
      <c r="AV65" s="16">
        <v>-0.0012546236303147048</v>
      </c>
      <c r="AW65" s="16">
        <v>-0.000004623447596136519</v>
      </c>
      <c r="AX65" s="16">
        <v>-0.0000032373728593323525</v>
      </c>
      <c r="AY65" s="16">
        <v>-0.0018033734652923798</v>
      </c>
      <c r="AZ65" s="16">
        <v>-0.000005180489475189111</v>
      </c>
      <c r="BA65" s="16">
        <v>-0.000003627417782143479</v>
      </c>
      <c r="BB65" s="16">
        <v>-0.0029008731352477305</v>
      </c>
      <c r="BC65" s="16">
        <v>-0.000006294573233294296</v>
      </c>
      <c r="BD65" s="16">
        <v>-0.000004407507627765733</v>
      </c>
      <c r="BE65" s="16">
        <v>-0.0039983728052030805</v>
      </c>
      <c r="BF65" s="16">
        <v>-0.0000074086569913994805</v>
      </c>
      <c r="BG65" s="16">
        <v>-0.000005187597473387986</v>
      </c>
      <c r="BH65" s="16">
        <v>-0.006742121980091457</v>
      </c>
      <c r="BI65" s="16">
        <v>-0.000010193866386662444</v>
      </c>
      <c r="BJ65" s="16">
        <v>-0.000007137822087443621</v>
      </c>
      <c r="BK65" s="16">
        <v>-0.009485871154979838</v>
      </c>
      <c r="BL65" s="16">
        <v>-0.00001297907578192541</v>
      </c>
      <c r="BM65" s="16">
        <v>-0.000009088046701499256</v>
      </c>
      <c r="BN65" s="16">
        <v>-0.020460867854533337</v>
      </c>
      <c r="BO65" s="16">
        <v>-0.00002411991336297726</v>
      </c>
      <c r="BP65" s="16">
        <v>-0.00001688894515772179</v>
      </c>
      <c r="BQ65" s="16">
        <v>-0.05</v>
      </c>
      <c r="BR65" s="16">
        <v>0</v>
      </c>
      <c r="BS65" s="16">
        <v>0</v>
      </c>
      <c r="BT65" s="45">
        <v>33981.43387592912</v>
      </c>
      <c r="BU65" s="45">
        <v>33981.43387592912</v>
      </c>
      <c r="BV65" s="45">
        <v>33872.780535938095</v>
      </c>
      <c r="BW65" s="45">
        <v>32914.76361666301</v>
      </c>
      <c r="BX65" s="45">
        <v>30862.15861137408</v>
      </c>
      <c r="BY65" s="45">
        <v>29557.584952238758</v>
      </c>
      <c r="BZ65" s="45">
        <v>27658.258329523313</v>
      </c>
      <c r="CA65" s="45">
        <v>25361.70051436343</v>
      </c>
      <c r="CB65" s="45">
        <v>21752.06300896454</v>
      </c>
      <c r="CC65" s="45">
        <v>18475.54872134859</v>
      </c>
      <c r="CD65" s="45">
        <v>15609.063634195349</v>
      </c>
      <c r="CE65" s="45">
        <v>13215.786286363342</v>
      </c>
      <c r="CF65" s="45">
        <v>9603.116529574334</v>
      </c>
      <c r="CG65" s="45">
        <v>7007.972273557446</v>
      </c>
      <c r="CH65" s="45">
        <v>5132.71866948781</v>
      </c>
      <c r="CI65" s="45">
        <v>3819.1249973580166</v>
      </c>
      <c r="CJ65" s="45">
        <v>1857.6892405904507</v>
      </c>
      <c r="CK65" s="45">
        <v>453.92994569698584</v>
      </c>
      <c r="CL65" s="45">
        <v>-1738.289315606303</v>
      </c>
      <c r="CM65" s="45">
        <v>-3063.808229606828</v>
      </c>
      <c r="CN65" s="45">
        <v>-4945.4356565553335</v>
      </c>
      <c r="CO65" s="45">
        <v>-5790.583579096708</v>
      </c>
      <c r="CP65" s="45">
        <v>6.55418261885643e-13</v>
      </c>
      <c r="CQ65" s="45">
        <v>6.55418261885643e-13</v>
      </c>
      <c r="CR65" s="45">
        <v>-48.42493893309601</v>
      </c>
      <c r="CS65" s="45">
        <v>-425.1306496278748</v>
      </c>
      <c r="CT65" s="45">
        <v>-1153.4267072811404</v>
      </c>
      <c r="CU65" s="45">
        <v>-1601.4633730891278</v>
      </c>
      <c r="CV65" s="45">
        <v>-2237.494337504687</v>
      </c>
      <c r="CW65" s="45">
        <v>-2949.714514894684</v>
      </c>
      <c r="CX65" s="45">
        <v>-3849.6021673645664</v>
      </c>
      <c r="CY65" s="45">
        <v>-4451.862376938894</v>
      </c>
      <c r="CZ65" s="45">
        <v>-4808.910643352749</v>
      </c>
      <c r="DA65" s="45">
        <v>-4953.549340818978</v>
      </c>
      <c r="DB65" s="45">
        <v>-4796.289994362158</v>
      </c>
      <c r="DC65" s="45">
        <v>-4391.0987533019315</v>
      </c>
      <c r="DD65" s="45">
        <v>-3943.350706693726</v>
      </c>
      <c r="DE65" s="45">
        <v>-3583.5759426538243</v>
      </c>
      <c r="DF65" s="45">
        <v>-3027.7905742293206</v>
      </c>
      <c r="DG65" s="45">
        <v>-2564.776359657487</v>
      </c>
      <c r="DH65" s="45">
        <v>-1765.3826947354264</v>
      </c>
      <c r="DI65" s="45">
        <v>-1248.7342659429678</v>
      </c>
      <c r="DJ65" s="45">
        <v>-420.3612609144386</v>
      </c>
      <c r="DK65" s="45">
        <v>0</v>
      </c>
      <c r="DL65" s="45">
        <v>-5.220063030719757e-12</v>
      </c>
      <c r="DM65" s="45">
        <v>-5.220063030719757e-12</v>
      </c>
      <c r="DN65" s="45">
        <v>-53.57692165607697</v>
      </c>
      <c r="DO65" s="45">
        <v>-439.5249382497877</v>
      </c>
      <c r="DP65" s="45">
        <v>-1162.3715012610587</v>
      </c>
      <c r="DQ65" s="45">
        <v>-1593.9434511940167</v>
      </c>
      <c r="DR65" s="45">
        <v>-2190.3949175855914</v>
      </c>
      <c r="DS65" s="45">
        <v>-2830.919257488381</v>
      </c>
      <c r="DT65" s="45">
        <v>-3508.532790340947</v>
      </c>
      <c r="DU65" s="45">
        <v>-3846.8446243366907</v>
      </c>
      <c r="DV65" s="45">
        <v>-4041.8980562598713</v>
      </c>
      <c r="DW65" s="45">
        <v>-4198.513553728438</v>
      </c>
      <c r="DX65" s="45">
        <v>-4239.8145817188715</v>
      </c>
      <c r="DY65" s="45">
        <v>-4118.474565032959</v>
      </c>
      <c r="DZ65" s="45">
        <v>-3936.3453523409994</v>
      </c>
      <c r="EA65" s="45">
        <v>-3689.4778830958803</v>
      </c>
      <c r="EB65" s="45">
        <v>-3207.140322793233</v>
      </c>
      <c r="EC65" s="45">
        <v>-2819.2140473471336</v>
      </c>
      <c r="ED65" s="45">
        <v>-2009.227240681189</v>
      </c>
      <c r="EE65" s="45">
        <v>-1417.9780617464799</v>
      </c>
      <c r="EF65" s="45">
        <v>-467.32821133201077</v>
      </c>
      <c r="EG65" s="45">
        <v>5.960464477539062e-14</v>
      </c>
      <c r="EH65" s="46">
        <f>MAX(1,MIN(21,SUMPRODUCT(--($BT65:$CO65&gt;=Pu))))</f>
      </c>
      <c r="EI65" s="47">
        <f>(Pu-INDEX($BT65:$CO65,1,$EH65))/(INDEX($BT65:$CO65,1,$EH65+1)-INDEX($BT65:$CO65,1,$EH65))</f>
      </c>
      <c r="EJ65" s="39">
        <f>INDEX($CP65:$DK65,1,$EH65)+$EI65*(INDEX($CP65:$DK65,1,$EH65+1)-INDEX($CP65:$DK65,1,$EH65))</f>
      </c>
      <c r="EK65" s="39">
        <f>INDEX($DL65:$EG65,1,$EH65)+$EI65*(INDEX($DL65:$EG65,1,$EH65+1)-INDEX($DL65:$EG65,1,$EH65))</f>
      </c>
      <c r="EL65" s="39">
        <f>SQRT(EJ65^2+EK65^2)</f>
      </c>
      <c r="EM65" s="20">
        <f>EJ66-EJ65</f>
      </c>
      <c r="EN65" s="20">
        <f>EK66-EK65</f>
      </c>
      <c r="EO65" s="20">
        <f>EM65*SIN(RADIANS(theta_L))-EN65*COS(RADIANS(theta_L))</f>
      </c>
      <c r="EP65" s="47">
        <f>IF(EO65=0,"",-(EJ65*SIN(RADIANS(theta_L))-EK65*COS(RADIANS(theta_L)))/EO65)</f>
      </c>
      <c r="EQ65" s="20">
        <f>IF(EP65="","",(EJ65+EP65*EM65)*COS(RADIANS(theta_L))+(EK65+EP65*EN65)*SIN(RADIANS(theta_L)))</f>
      </c>
      <c r="ER65" s="20">
        <f>IF(OR(EP65="",EP65&lt;0,EP65&gt;1,EQ65&lt;0),"",EQ65)</f>
      </c>
    </row>
    <row r="66" spans="1:148" x14ac:dyDescent="0.25">
      <c r="A66">
        <v>59</v>
      </c>
      <c r="B66" s="44">
        <v>219.99999999999997</v>
      </c>
      <c r="C66" s="18">
        <v>813.1598511989835</v>
      </c>
      <c r="D66" s="18">
        <v>-666.90890752254</v>
      </c>
      <c r="E66" s="18">
        <v>1480.0687587215234</v>
      </c>
      <c r="F66" s="16">
        <v>0.0033</v>
      </c>
      <c r="G66" s="16">
        <v>0</v>
      </c>
      <c r="H66" s="16">
        <v>0</v>
      </c>
      <c r="I66" s="16">
        <v>0.00275</v>
      </c>
      <c r="J66" s="16">
        <v>-5.181323734739312e-7</v>
      </c>
      <c r="K66" s="16">
        <v>-4.3476468348298396e-7</v>
      </c>
      <c r="L66" s="16">
        <v>0.002475</v>
      </c>
      <c r="M66" s="16">
        <v>-7.771985602108968e-7</v>
      </c>
      <c r="N66" s="16">
        <v>-6.521470252244759e-7</v>
      </c>
      <c r="O66" s="16">
        <v>0.0022</v>
      </c>
      <c r="P66" s="16">
        <v>-0.0000010362647469478624</v>
      </c>
      <c r="Q66" s="16">
        <v>-8.695293669659679e-7</v>
      </c>
      <c r="R66" s="16">
        <v>0.0019249999999999998</v>
      </c>
      <c r="S66" s="16">
        <v>-0.0000012953309336848282</v>
      </c>
      <c r="T66" s="16">
        <v>-0.00000108691170870746</v>
      </c>
      <c r="U66" s="16">
        <v>0.0018</v>
      </c>
      <c r="V66" s="16">
        <v>-0.0000014130882912925398</v>
      </c>
      <c r="W66" s="16">
        <v>-0.0000011857218640445017</v>
      </c>
      <c r="X66" s="16">
        <v>0.0016500000000000002</v>
      </c>
      <c r="Y66" s="16">
        <v>-0.0000015543971204217936</v>
      </c>
      <c r="Z66" s="16">
        <v>-0.0000013042940504489518</v>
      </c>
      <c r="AA66" s="16">
        <v>0.0014869575361656999</v>
      </c>
      <c r="AB66" s="16">
        <v>-0.0000017079927181736185</v>
      </c>
      <c r="AC66" s="16">
        <v>-0.0000014331760598729619</v>
      </c>
      <c r="AD66" s="16">
        <v>0.001212254132554442</v>
      </c>
      <c r="AE66" s="16">
        <v>-0.0000019667794936544697</v>
      </c>
      <c r="AF66" s="16">
        <v>-0.0000016503239477325016</v>
      </c>
      <c r="AG66" s="16">
        <v>0.0009375507289431841</v>
      </c>
      <c r="AH66" s="16">
        <v>-0.0000022255662691353214</v>
      </c>
      <c r="AI66" s="16">
        <v>-0.0000018674718355920412</v>
      </c>
      <c r="AJ66" s="16">
        <v>0.0006628473253319266</v>
      </c>
      <c r="AK66" s="16">
        <v>-0.0000024843530446161726</v>
      </c>
      <c r="AL66" s="16">
        <v>-0.000002084619723451581</v>
      </c>
      <c r="AM66" s="16">
        <v>0.00038814392172066906</v>
      </c>
      <c r="AN66" s="16">
        <v>-0.000002743139820097024</v>
      </c>
      <c r="AO66" s="16">
        <v>-0.0000023017676113111203</v>
      </c>
      <c r="AP66" s="16">
        <v>-0.00016126288550184645</v>
      </c>
      <c r="AQ66" s="16">
        <v>-0.0000032607133710587268</v>
      </c>
      <c r="AR66" s="16">
        <v>-0.0000027360633870302</v>
      </c>
      <c r="AS66" s="16">
        <v>-0.000710669692724362</v>
      </c>
      <c r="AT66" s="16">
        <v>-0.0000037782869220204297</v>
      </c>
      <c r="AU66" s="16">
        <v>-0.0000031703591627492795</v>
      </c>
      <c r="AV66" s="16">
        <v>-0.0012600764999468762</v>
      </c>
      <c r="AW66" s="16">
        <v>-0.000004295860472982132</v>
      </c>
      <c r="AX66" s="16">
        <v>-0.0000036046549384683586</v>
      </c>
      <c r="AY66" s="16">
        <v>-0.0018094833071693912</v>
      </c>
      <c r="AZ66" s="16">
        <v>-0.000004813434023943834</v>
      </c>
      <c r="BA66" s="16">
        <v>-0.000004038950714187438</v>
      </c>
      <c r="BB66" s="16">
        <v>-0.002908296921614424</v>
      </c>
      <c r="BC66" s="16">
        <v>-0.000005848581125867241</v>
      </c>
      <c r="BD66" s="16">
        <v>-0.000004907542265625598</v>
      </c>
      <c r="BE66" s="16">
        <v>-0.004007110536059453</v>
      </c>
      <c r="BF66" s="16">
        <v>-0.000006883728227790645</v>
      </c>
      <c r="BG66" s="16">
        <v>-0.000005776133817063756</v>
      </c>
      <c r="BH66" s="16">
        <v>-0.0067541445721720295</v>
      </c>
      <c r="BI66" s="16">
        <v>-0.000009471595982599158</v>
      </c>
      <c r="BJ66" s="16">
        <v>-0.000007947612695659153</v>
      </c>
      <c r="BK66" s="16">
        <v>-0.009501178608284606</v>
      </c>
      <c r="BL66" s="16">
        <v>-0.000012059463737407672</v>
      </c>
      <c r="BM66" s="16">
        <v>-0.00001011909157425455</v>
      </c>
      <c r="BN66" s="16">
        <v>-0.02048931475273491</v>
      </c>
      <c r="BO66" s="16">
        <v>-0.000022410934756641723</v>
      </c>
      <c r="BP66" s="16">
        <v>-0.000018805007088636136</v>
      </c>
      <c r="BQ66" s="16">
        <v>-0.05</v>
      </c>
      <c r="BR66" s="16">
        <v>0</v>
      </c>
      <c r="BS66" s="16">
        <v>0</v>
      </c>
      <c r="BT66" s="45">
        <v>33981.43387592912</v>
      </c>
      <c r="BU66" s="45">
        <v>33981.43387592912</v>
      </c>
      <c r="BV66" s="45">
        <v>33863.401961756674</v>
      </c>
      <c r="BW66" s="45">
        <v>32899.22900636582</v>
      </c>
      <c r="BX66" s="45">
        <v>30842.140259191136</v>
      </c>
      <c r="BY66" s="45">
        <v>29535.783675959967</v>
      </c>
      <c r="BZ66" s="45">
        <v>27634.205024094677</v>
      </c>
      <c r="CA66" s="45">
        <v>25332.233745221645</v>
      </c>
      <c r="CB66" s="45">
        <v>21761.56042439466</v>
      </c>
      <c r="CC66" s="45">
        <v>18512.818954302034</v>
      </c>
      <c r="CD66" s="45">
        <v>15596.516851973447</v>
      </c>
      <c r="CE66" s="45">
        <v>13104.8791266839</v>
      </c>
      <c r="CF66" s="45">
        <v>9458.95332207135</v>
      </c>
      <c r="CG66" s="45">
        <v>6844.629912111164</v>
      </c>
      <c r="CH66" s="45">
        <v>5044.902711743984</v>
      </c>
      <c r="CI66" s="45">
        <v>3785.4267341656296</v>
      </c>
      <c r="CJ66" s="45">
        <v>1893.5135774425642</v>
      </c>
      <c r="CK66" s="45">
        <v>539.058511288472</v>
      </c>
      <c r="CL66" s="45">
        <v>-1617.1256590809053</v>
      </c>
      <c r="CM66" s="45">
        <v>-2847.6718646728477</v>
      </c>
      <c r="CN66" s="45">
        <v>-4751.34665962874</v>
      </c>
      <c r="CO66" s="45">
        <v>-5790.583579096708</v>
      </c>
      <c r="CP66" s="45">
        <v>6.55418261885643e-13</v>
      </c>
      <c r="CQ66" s="45">
        <v>6.55418261885643e-13</v>
      </c>
      <c r="CR66" s="45">
        <v>-48.958263339747944</v>
      </c>
      <c r="CS66" s="45">
        <v>-398.0757906164403</v>
      </c>
      <c r="CT66" s="45">
        <v>-1088.2690308146505</v>
      </c>
      <c r="CU66" s="45">
        <v>-1510.5385693199</v>
      </c>
      <c r="CV66" s="45">
        <v>-2101.5497614287774</v>
      </c>
      <c r="CW66" s="45">
        <v>-2749.0950305457104</v>
      </c>
      <c r="CX66" s="45">
        <v>-3532.437769708687</v>
      </c>
      <c r="CY66" s="45">
        <v>-4054.084505202739</v>
      </c>
      <c r="CZ66" s="45">
        <v>-4383.00903664338</v>
      </c>
      <c r="DA66" s="45">
        <v>-4527.173760955919</v>
      </c>
      <c r="DB66" s="45">
        <v>-4364.214520318649</v>
      </c>
      <c r="DC66" s="45">
        <v>-4004.359886716836</v>
      </c>
      <c r="DD66" s="45">
        <v>-3649.857267542735</v>
      </c>
      <c r="DE66" s="45">
        <v>-3333.056961239355</v>
      </c>
      <c r="DF66" s="45">
        <v>-2821.6453130223535</v>
      </c>
      <c r="DG66" s="45">
        <v>-2451.7278494402162</v>
      </c>
      <c r="DH66" s="45">
        <v>-1732.8767229561272</v>
      </c>
      <c r="DI66" s="45">
        <v>-1270.1862289909416</v>
      </c>
      <c r="DJ66" s="45">
        <v>-478.9243111428827</v>
      </c>
      <c r="DK66" s="45">
        <v>0</v>
      </c>
      <c r="DL66" s="45">
        <v>-5.220063030719757e-12</v>
      </c>
      <c r="DM66" s="45">
        <v>-5.220063030719757e-12</v>
      </c>
      <c r="DN66" s="45">
        <v>-61.95267625857963</v>
      </c>
      <c r="DO66" s="45">
        <v>-493.73059946020294</v>
      </c>
      <c r="DP66" s="45">
        <v>-1280.8274411753707</v>
      </c>
      <c r="DQ66" s="45">
        <v>-1753.7383745309983</v>
      </c>
      <c r="DR66" s="45">
        <v>-2419.284212618864</v>
      </c>
      <c r="DS66" s="45">
        <v>-3138.164009826728</v>
      </c>
      <c r="DT66" s="45">
        <v>-3910.077001241621</v>
      </c>
      <c r="DU66" s="45">
        <v>-4343.422555444722</v>
      </c>
      <c r="DV66" s="45">
        <v>-4579.592899760917</v>
      </c>
      <c r="DW66" s="45">
        <v>-4734.958946770769</v>
      </c>
      <c r="DX66" s="45">
        <v>-4758.713504104199</v>
      </c>
      <c r="DY66" s="45">
        <v>-4570.343560203538</v>
      </c>
      <c r="DZ66" s="45">
        <v>-4282.394407140975</v>
      </c>
      <c r="EA66" s="45">
        <v>-4003.4371459442264</v>
      </c>
      <c r="EB66" s="45">
        <v>-3509.669015263958</v>
      </c>
      <c r="EC66" s="45">
        <v>-3053.8936194001967</v>
      </c>
      <c r="ED66" s="45">
        <v>-2183.9795886350516</v>
      </c>
      <c r="EE66" s="45">
        <v>-1603.3563382542457</v>
      </c>
      <c r="EF66" s="45">
        <v>-609.6888341933746</v>
      </c>
      <c r="EG66" s="45">
        <v>5.960464477539062e-14</v>
      </c>
      <c r="EH66" s="46">
        <f>MAX(1,MIN(21,SUMPRODUCT(--($BT66:$CO66&gt;=Pu))))</f>
      </c>
      <c r="EI66" s="47">
        <f>(Pu-INDEX($BT66:$CO66,1,$EH66))/(INDEX($BT66:$CO66,1,$EH66+1)-INDEX($BT66:$CO66,1,$EH66))</f>
      </c>
      <c r="EJ66" s="39">
        <f>INDEX($CP66:$DK66,1,$EH66)+$EI66*(INDEX($CP66:$DK66,1,$EH66+1)-INDEX($CP66:$DK66,1,$EH66))</f>
      </c>
      <c r="EK66" s="39">
        <f>INDEX($DL66:$EG66,1,$EH66)+$EI66*(INDEX($DL66:$EG66,1,$EH66+1)-INDEX($DL66:$EG66,1,$EH66))</f>
      </c>
      <c r="EL66" s="39">
        <f>SQRT(EJ66^2+EK66^2)</f>
      </c>
      <c r="EM66" s="20">
        <f>EJ67-EJ66</f>
      </c>
      <c r="EN66" s="20">
        <f>EK67-EK66</f>
      </c>
      <c r="EO66" s="20">
        <f>EM66*SIN(RADIANS(theta_L))-EN66*COS(RADIANS(theta_L))</f>
      </c>
      <c r="EP66" s="47">
        <f>IF(EO66=0,"",-(EJ66*SIN(RADIANS(theta_L))-EK66*COS(RADIANS(theta_L)))/EO66)</f>
      </c>
      <c r="EQ66" s="20">
        <f>IF(EP66="","",(EJ66+EP66*EM66)*COS(RADIANS(theta_L))+(EK66+EP66*EN66)*SIN(RADIANS(theta_L)))</f>
      </c>
      <c r="ER66" s="20">
        <f>IF(OR(EP66="",EP66&lt;0,EP66&gt;1,EQ66&lt;0),"",EQ66)</f>
      </c>
    </row>
    <row r="67" spans="1:148" x14ac:dyDescent="0.25">
      <c r="A67">
        <v>60</v>
      </c>
      <c r="B67" s="44">
        <v>225</v>
      </c>
      <c r="C67" s="18">
        <v>813.1727983645296</v>
      </c>
      <c r="D67" s="18">
        <v>-692.9646455628166</v>
      </c>
      <c r="E67" s="18">
        <v>1506.1374439273463</v>
      </c>
      <c r="F67" s="16">
        <v>0.0033</v>
      </c>
      <c r="G67" s="16">
        <v>0</v>
      </c>
      <c r="H67" s="16">
        <v>0</v>
      </c>
      <c r="I67" s="16">
        <v>0.00275</v>
      </c>
      <c r="J67" s="16">
        <v>-4.782608695652175e-7</v>
      </c>
      <c r="K67" s="16">
        <v>-4.782608695652173e-7</v>
      </c>
      <c r="L67" s="16">
        <v>0.0024749999999999998</v>
      </c>
      <c r="M67" s="16">
        <v>-7.173913043478264e-7</v>
      </c>
      <c r="N67" s="16">
        <v>-7.173913043478262e-7</v>
      </c>
      <c r="O67" s="16">
        <v>0.0021999999999999997</v>
      </c>
      <c r="P67" s="16">
        <v>-9.56521739130435e-7</v>
      </c>
      <c r="Q67" s="16">
        <v>-9.565217391304347e-7</v>
      </c>
      <c r="R67" s="16">
        <v>0.0019249999999999998</v>
      </c>
      <c r="S67" s="16">
        <v>-0.0000011956521739130438</v>
      </c>
      <c r="T67" s="16">
        <v>-0.0000011956521739130434</v>
      </c>
      <c r="U67" s="16">
        <v>0.0018000000000000002</v>
      </c>
      <c r="V67" s="16">
        <v>-0.0000013043478260869566</v>
      </c>
      <c r="W67" s="16">
        <v>-0.0000013043478260869562</v>
      </c>
      <c r="X67" s="16">
        <v>0.0016499999999999998</v>
      </c>
      <c r="Y67" s="16">
        <v>-0.0000014347826086956527</v>
      </c>
      <c r="Z67" s="16">
        <v>-0.0000014347826086956523</v>
      </c>
      <c r="AA67" s="16">
        <v>0.00151830985915493</v>
      </c>
      <c r="AB67" s="16">
        <v>-0.0000015492957746478875</v>
      </c>
      <c r="AC67" s="16">
        <v>-0.0000015492957746478869</v>
      </c>
      <c r="AD67" s="16">
        <v>0.0012483568075117371</v>
      </c>
      <c r="AE67" s="16">
        <v>-0.0000017840375586854462</v>
      </c>
      <c r="AF67" s="16">
        <v>-0.0000017840375586854458</v>
      </c>
      <c r="AG67" s="16">
        <v>0.000978403755868545</v>
      </c>
      <c r="AH67" s="16">
        <v>-0.000002018779342723005</v>
      </c>
      <c r="AI67" s="16">
        <v>-0.0000020187793427230043</v>
      </c>
      <c r="AJ67" s="16">
        <v>0.0007084507042253523</v>
      </c>
      <c r="AK67" s="16">
        <v>-0.000002253521126760564</v>
      </c>
      <c r="AL67" s="16">
        <v>-0.000002253521126760563</v>
      </c>
      <c r="AM67" s="16">
        <v>0.0004384976525821601</v>
      </c>
      <c r="AN67" s="16">
        <v>-0.0000024882629107981226</v>
      </c>
      <c r="AO67" s="16">
        <v>-0.0000024882629107981218</v>
      </c>
      <c r="AP67" s="16">
        <v>-0.00010140845070422512</v>
      </c>
      <c r="AQ67" s="16">
        <v>-0.00000295774647887324</v>
      </c>
      <c r="AR67" s="16">
        <v>-0.000002957746478873239</v>
      </c>
      <c r="AS67" s="16">
        <v>-0.0006413145539906099</v>
      </c>
      <c r="AT67" s="16">
        <v>-0.000003427230046948357</v>
      </c>
      <c r="AU67" s="16">
        <v>-0.0000034272300469483562</v>
      </c>
      <c r="AV67" s="16">
        <v>-0.0011812206572769952</v>
      </c>
      <c r="AW67" s="16">
        <v>-0.000003896713615023475</v>
      </c>
      <c r="AX67" s="16">
        <v>-0.000003896713615023473</v>
      </c>
      <c r="AY67" s="16">
        <v>-0.0017211267605633795</v>
      </c>
      <c r="AZ67" s="16">
        <v>-0.0000043661971830985915</v>
      </c>
      <c r="BA67" s="16">
        <v>-0.000004366197183098591</v>
      </c>
      <c r="BB67" s="16">
        <v>-0.00280093896713615</v>
      </c>
      <c r="BC67" s="16">
        <v>-0.000005305164319248827</v>
      </c>
      <c r="BD67" s="16">
        <v>-0.0000053051643192488256</v>
      </c>
      <c r="BE67" s="16">
        <v>-0.0038807511737089188</v>
      </c>
      <c r="BF67" s="16">
        <v>-0.000006244131455399061</v>
      </c>
      <c r="BG67" s="16">
        <v>-0.00000624413145539906</v>
      </c>
      <c r="BH67" s="16">
        <v>-0.006580281690140843</v>
      </c>
      <c r="BI67" s="16">
        <v>-0.000008591549295774648</v>
      </c>
      <c r="BJ67" s="16">
        <v>-0.000008591549295774647</v>
      </c>
      <c r="BK67" s="16">
        <v>-0.009279812206572771</v>
      </c>
      <c r="BL67" s="16">
        <v>-0.000010938967136150237</v>
      </c>
      <c r="BM67" s="16">
        <v>-0.000010938967136150234</v>
      </c>
      <c r="BN67" s="16">
        <v>-0.020077934272300466</v>
      </c>
      <c r="BO67" s="16">
        <v>-0.000020328638497652583</v>
      </c>
      <c r="BP67" s="16">
        <v>-0.000020328638497652576</v>
      </c>
      <c r="BQ67" s="16">
        <v>-0.05</v>
      </c>
      <c r="BR67" s="16">
        <v>0</v>
      </c>
      <c r="BS67" s="16">
        <v>0</v>
      </c>
      <c r="BT67" s="45">
        <v>33981.43387592912</v>
      </c>
      <c r="BU67" s="45">
        <v>33981.43387592912</v>
      </c>
      <c r="BV67" s="45">
        <v>33853.087150053405</v>
      </c>
      <c r="BW67" s="45">
        <v>32860.3702161753</v>
      </c>
      <c r="BX67" s="45">
        <v>30792.897918855644</v>
      </c>
      <c r="BY67" s="45">
        <v>29469.18614734988</v>
      </c>
      <c r="BZ67" s="45">
        <v>27535.74299935671</v>
      </c>
      <c r="CA67" s="45">
        <v>25685.219129339992</v>
      </c>
      <c r="CB67" s="45">
        <v>22177.500315357294</v>
      </c>
      <c r="CC67" s="45">
        <v>18979.591174177975</v>
      </c>
      <c r="CD67" s="45">
        <v>16068.57980081563</v>
      </c>
      <c r="CE67" s="45">
        <v>13499.406542017652</v>
      </c>
      <c r="CF67" s="45">
        <v>9711.05816747123</v>
      </c>
      <c r="CG67" s="45">
        <v>7107.883321183549</v>
      </c>
      <c r="CH67" s="45">
        <v>5338.825840974402</v>
      </c>
      <c r="CI67" s="45">
        <v>4040.598062788884</v>
      </c>
      <c r="CJ67" s="45">
        <v>2187.2696446002833</v>
      </c>
      <c r="CK67" s="45">
        <v>862.0735021579568</v>
      </c>
      <c r="CL67" s="45">
        <v>-1277.041400388552</v>
      </c>
      <c r="CM67" s="45">
        <v>-2502.1119172535527</v>
      </c>
      <c r="CN67" s="45">
        <v>-4494.990874270926</v>
      </c>
      <c r="CO67" s="45">
        <v>-5790.583579096708</v>
      </c>
      <c r="CP67" s="45">
        <v>6.55418261885643e-13</v>
      </c>
      <c r="CQ67" s="45">
        <v>6.55418261885643e-13</v>
      </c>
      <c r="CR67" s="45">
        <v>-49.74981837790644</v>
      </c>
      <c r="CS67" s="45">
        <v>-379.05812059462966</v>
      </c>
      <c r="CT67" s="45">
        <v>-1026.6180959101603</v>
      </c>
      <c r="CU67" s="45">
        <v>-1420.8952687122503</v>
      </c>
      <c r="CV67" s="45">
        <v>-1966.7005290164693</v>
      </c>
      <c r="CW67" s="45">
        <v>-2445.738568234751</v>
      </c>
      <c r="CX67" s="45">
        <v>-3131.099099063551</v>
      </c>
      <c r="CY67" s="45">
        <v>-3588.9447180340503</v>
      </c>
      <c r="CZ67" s="45">
        <v>-3894.10396290475</v>
      </c>
      <c r="DA67" s="45">
        <v>-4061.778722478932</v>
      </c>
      <c r="DB67" s="45">
        <v>-3955.4720397139636</v>
      </c>
      <c r="DC67" s="45">
        <v>-3655.4603288760127</v>
      </c>
      <c r="DD67" s="45">
        <v>-3386.2107560737954</v>
      </c>
      <c r="DE67" s="45">
        <v>-3133.3716776392425</v>
      </c>
      <c r="DF67" s="45">
        <v>-2679.5283516284844</v>
      </c>
      <c r="DG67" s="45">
        <v>-2355.0341104407853</v>
      </c>
      <c r="DH67" s="45">
        <v>-1744.4169556690006</v>
      </c>
      <c r="DI67" s="45">
        <v>-1333.1805175012764</v>
      </c>
      <c r="DJ67" s="45">
        <v>-561.4807483434856</v>
      </c>
      <c r="DK67" s="45">
        <v>0</v>
      </c>
      <c r="DL67" s="45">
        <v>-5.220063030719757e-12</v>
      </c>
      <c r="DM67" s="45">
        <v>-5.220063030719757e-12</v>
      </c>
      <c r="DN67" s="45">
        <v>-70.85419598040579</v>
      </c>
      <c r="DO67" s="45">
        <v>-546.5694147730175</v>
      </c>
      <c r="DP67" s="45">
        <v>-1404.2653828306761</v>
      </c>
      <c r="DQ67" s="45">
        <v>-1921.1425844666965</v>
      </c>
      <c r="DR67" s="45">
        <v>-2652.510376453803</v>
      </c>
      <c r="DS67" s="45">
        <v>-3294.3335055269404</v>
      </c>
      <c r="DT67" s="45">
        <v>-4203.801855631573</v>
      </c>
      <c r="DU67" s="45">
        <v>-4732.9996814233855</v>
      </c>
      <c r="DV67" s="45">
        <v>-5038.538040602631</v>
      </c>
      <c r="DW67" s="45">
        <v>-5211.116172103968</v>
      </c>
      <c r="DX67" s="45">
        <v>-5242.8971470489105</v>
      </c>
      <c r="DY67" s="45">
        <v>-5043.393581561624</v>
      </c>
      <c r="DZ67" s="45">
        <v>-4701.153499119669</v>
      </c>
      <c r="EA67" s="45">
        <v>-4383.574406180253</v>
      </c>
      <c r="EB67" s="45">
        <v>-3867.4064057520045</v>
      </c>
      <c r="EC67" s="45">
        <v>-3384.358467915077</v>
      </c>
      <c r="ED67" s="45">
        <v>-2466.3635151906615</v>
      </c>
      <c r="EE67" s="45">
        <v>-1855.133142761607</v>
      </c>
      <c r="EF67" s="45">
        <v>-786.7662001121341</v>
      </c>
      <c r="EG67" s="45">
        <v>5.960464477539062e-14</v>
      </c>
      <c r="EH67" s="46">
        <f>MAX(1,MIN(21,SUMPRODUCT(--($BT67:$CO67&gt;=Pu))))</f>
      </c>
      <c r="EI67" s="47">
        <f>(Pu-INDEX($BT67:$CO67,1,$EH67))/(INDEX($BT67:$CO67,1,$EH67+1)-INDEX($BT67:$CO67,1,$EH67))</f>
      </c>
      <c r="EJ67" s="39">
        <f>INDEX($CP67:$DK67,1,$EH67)+$EI67*(INDEX($CP67:$DK67,1,$EH67+1)-INDEX($CP67:$DK67,1,$EH67))</f>
      </c>
      <c r="EK67" s="39">
        <f>INDEX($DL67:$EG67,1,$EH67)+$EI67*(INDEX($DL67:$EG67,1,$EH67+1)-INDEX($DL67:$EG67,1,$EH67))</f>
      </c>
      <c r="EL67" s="39">
        <f>SQRT(EJ67^2+EK67^2)</f>
      </c>
      <c r="EM67" s="20">
        <f>EJ68-EJ67</f>
      </c>
      <c r="EN67" s="20">
        <f>EK68-EK67</f>
      </c>
      <c r="EO67" s="20">
        <f>EM67*SIN(RADIANS(theta_L))-EN67*COS(RADIANS(theta_L))</f>
      </c>
      <c r="EP67" s="47">
        <f>IF(EO67=0,"",-(EJ67*SIN(RADIANS(theta_L))-EK67*COS(RADIANS(theta_L)))/EO67)</f>
      </c>
      <c r="EQ67" s="20">
        <f>IF(EP67="","",(EJ67+EP67*EM67)*COS(RADIANS(theta_L))+(EK67+EP67*EN67)*SIN(RADIANS(theta_L)))</f>
      </c>
      <c r="ER67" s="20">
        <f>IF(OR(EP67="",EP67&lt;0,EP67&gt;1,EQ67&lt;0),"",EQ67)</f>
      </c>
    </row>
    <row r="68" spans="1:148" x14ac:dyDescent="0.25">
      <c r="A68">
        <v>61</v>
      </c>
      <c r="B68" s="44">
        <v>229.99999999999997</v>
      </c>
      <c r="C68" s="18">
        <v>831.6483762138491</v>
      </c>
      <c r="D68" s="18">
        <v>-713.7465042268668</v>
      </c>
      <c r="E68" s="18">
        <v>1545.394880440716</v>
      </c>
      <c r="F68" s="16">
        <v>0.0033</v>
      </c>
      <c r="G68" s="16">
        <v>0</v>
      </c>
      <c r="H68" s="16">
        <v>0</v>
      </c>
      <c r="I68" s="16">
        <v>0.00275</v>
      </c>
      <c r="J68" s="16">
        <v>-4.2509935140748674e-7</v>
      </c>
      <c r="K68" s="16">
        <v>-5.066136792493406e-7</v>
      </c>
      <c r="L68" s="16">
        <v>0.0024749999999999998</v>
      </c>
      <c r="M68" s="16">
        <v>-6.376490271112299e-7</v>
      </c>
      <c r="N68" s="16">
        <v>-7.599205188740108e-7</v>
      </c>
      <c r="O68" s="16">
        <v>0.0021999999999999997</v>
      </c>
      <c r="P68" s="16">
        <v>-8.501987028149733e-7</v>
      </c>
      <c r="Q68" s="16">
        <v>-0.0000010132273584986811</v>
      </c>
      <c r="R68" s="16">
        <v>0.0019249999999999998</v>
      </c>
      <c r="S68" s="16">
        <v>-0.0000010627483785187166</v>
      </c>
      <c r="T68" s="16">
        <v>-0.0000012665341981233513</v>
      </c>
      <c r="U68" s="16">
        <v>0.0018</v>
      </c>
      <c r="V68" s="16">
        <v>-0.0000011593618674749635</v>
      </c>
      <c r="W68" s="16">
        <v>-0.0000013816736706800195</v>
      </c>
      <c r="X68" s="16">
        <v>0.00165</v>
      </c>
      <c r="Y68" s="16">
        <v>-0.0000012752980542224599</v>
      </c>
      <c r="Z68" s="16">
        <v>-0.0000015198410377480215</v>
      </c>
      <c r="AA68" s="16">
        <v>0.0015241175532281805</v>
      </c>
      <c r="AB68" s="16">
        <v>-0.0000013725935932702562</v>
      </c>
      <c r="AC68" s="16">
        <v>-0.000001635793345951623</v>
      </c>
      <c r="AD68" s="16">
        <v>0.0012550444552324501</v>
      </c>
      <c r="AE68" s="16">
        <v>-0.0000015805623195233255</v>
      </c>
      <c r="AF68" s="16">
        <v>-0.00000188364082261096</v>
      </c>
      <c r="AG68" s="16">
        <v>0.0009859713572367202</v>
      </c>
      <c r="AH68" s="16">
        <v>-0.0000017885310457763944</v>
      </c>
      <c r="AI68" s="16">
        <v>-0.0000021314882992702965</v>
      </c>
      <c r="AJ68" s="16">
        <v>0.0007168982592409895</v>
      </c>
      <c r="AK68" s="16">
        <v>-0.000001996499772029464</v>
      </c>
      <c r="AL68" s="16">
        <v>-0.0000023793357759296336</v>
      </c>
      <c r="AM68" s="16">
        <v>0.00044782516124525955</v>
      </c>
      <c r="AN68" s="16">
        <v>-0.0000022044684982825326</v>
      </c>
      <c r="AO68" s="16">
        <v>-0.0000026271832525889702</v>
      </c>
      <c r="AP68" s="16">
        <v>-0.00009032103474620112</v>
      </c>
      <c r="AQ68" s="16">
        <v>-0.0000026204059507886712</v>
      </c>
      <c r="AR68" s="16">
        <v>-0.000003122878205907644</v>
      </c>
      <c r="AS68" s="16">
        <v>-0.0006284672307376614</v>
      </c>
      <c r="AT68" s="16">
        <v>-0.0000030363434032948094</v>
      </c>
      <c r="AU68" s="16">
        <v>-0.000003618573159226318</v>
      </c>
      <c r="AV68" s="16">
        <v>-0.001166613426729122</v>
      </c>
      <c r="AW68" s="16">
        <v>-0.0000034522808558009472</v>
      </c>
      <c r="AX68" s="16">
        <v>-0.000004114268112544991</v>
      </c>
      <c r="AY68" s="16">
        <v>-0.0017047596227205818</v>
      </c>
      <c r="AZ68" s="16">
        <v>-0.0000038682183083070854</v>
      </c>
      <c r="BA68" s="16">
        <v>-0.0000046099630658636645</v>
      </c>
      <c r="BB68" s="16">
        <v>-0.002781052014703503</v>
      </c>
      <c r="BC68" s="16">
        <v>-0.000004700093213319363</v>
      </c>
      <c r="BD68" s="16">
        <v>-0.000005601352972501013</v>
      </c>
      <c r="BE68" s="16">
        <v>-0.0038573444066864245</v>
      </c>
      <c r="BF68" s="16">
        <v>-0.000005531968118331638</v>
      </c>
      <c r="BG68" s="16">
        <v>-0.000006592742879138359</v>
      </c>
      <c r="BH68" s="16">
        <v>-0.006548075386643727</v>
      </c>
      <c r="BI68" s="16">
        <v>-0.00000761165538086233</v>
      </c>
      <c r="BJ68" s="16">
        <v>-0.000009071217645731727</v>
      </c>
      <c r="BK68" s="16">
        <v>-0.00923880636660103</v>
      </c>
      <c r="BL68" s="16">
        <v>-0.000009691342643393021</v>
      </c>
      <c r="BM68" s="16">
        <v>-0.000011549692412325095</v>
      </c>
      <c r="BN68" s="16">
        <v>-0.020001730286430236</v>
      </c>
      <c r="BO68" s="16">
        <v>-0.000018010091693515785</v>
      </c>
      <c r="BP68" s="16">
        <v>-0.000021463591478698567</v>
      </c>
      <c r="BQ68" s="16">
        <v>-0.05</v>
      </c>
      <c r="BR68" s="16">
        <v>0</v>
      </c>
      <c r="BS68" s="16">
        <v>0</v>
      </c>
      <c r="BT68" s="45">
        <v>33981.43387592912</v>
      </c>
      <c r="BU68" s="45">
        <v>33981.43387592912</v>
      </c>
      <c r="BV68" s="45">
        <v>33861.11941091311</v>
      </c>
      <c r="BW68" s="45">
        <v>32881.80373731946</v>
      </c>
      <c r="BX68" s="45">
        <v>30855.015677708063</v>
      </c>
      <c r="BY68" s="45">
        <v>29533.92482868913</v>
      </c>
      <c r="BZ68" s="45">
        <v>27619.547925267736</v>
      </c>
      <c r="CA68" s="45">
        <v>25828.944738169932</v>
      </c>
      <c r="CB68" s="45">
        <v>22309.030785578878</v>
      </c>
      <c r="CC68" s="45">
        <v>19129.273337512244</v>
      </c>
      <c r="CD68" s="45">
        <v>16202.01867284073</v>
      </c>
      <c r="CE68" s="45">
        <v>13572.318907330013</v>
      </c>
      <c r="CF68" s="45">
        <v>9624.185665708459</v>
      </c>
      <c r="CG68" s="45">
        <v>7046.9850086274755</v>
      </c>
      <c r="CH68" s="45">
        <v>5322.042464505348</v>
      </c>
      <c r="CI68" s="45">
        <v>4001.1294367277983</v>
      </c>
      <c r="CJ68" s="45">
        <v>2162.771322358068</v>
      </c>
      <c r="CK68" s="45">
        <v>835.6460013542967</v>
      </c>
      <c r="CL68" s="45">
        <v>-1331.3939036607142</v>
      </c>
      <c r="CM68" s="45">
        <v>-2663.97439866753</v>
      </c>
      <c r="CN68" s="45">
        <v>-4673.630550613127</v>
      </c>
      <c r="CO68" s="45">
        <v>-5790.583579096708</v>
      </c>
      <c r="CP68" s="45">
        <v>6.55418261885643e-13</v>
      </c>
      <c r="CQ68" s="45">
        <v>6.55418261885643e-13</v>
      </c>
      <c r="CR68" s="45">
        <v>-43.470549674689984</v>
      </c>
      <c r="CS68" s="45">
        <v>-338.26037721195246</v>
      </c>
      <c r="CT68" s="45">
        <v>-920.3029079826174</v>
      </c>
      <c r="CU68" s="45">
        <v>-1269.5593384797905</v>
      </c>
      <c r="CV68" s="45">
        <v>-1760.199094483151</v>
      </c>
      <c r="CW68" s="45">
        <v>-2172.884341928995</v>
      </c>
      <c r="CX68" s="45">
        <v>-2766.415913909549</v>
      </c>
      <c r="CY68" s="45">
        <v>-3140.929660858207</v>
      </c>
      <c r="CZ68" s="45">
        <v>-3409.2195525686266</v>
      </c>
      <c r="DA68" s="45">
        <v>-3568.11347800173</v>
      </c>
      <c r="DB68" s="45">
        <v>-3490.8288288884005</v>
      </c>
      <c r="DC68" s="45">
        <v>-3239.274440159027</v>
      </c>
      <c r="DD68" s="45">
        <v>-3028.633515053862</v>
      </c>
      <c r="DE68" s="45">
        <v>-2829.888296071576</v>
      </c>
      <c r="DF68" s="45">
        <v>-2449.8091702078596</v>
      </c>
      <c r="DG68" s="45">
        <v>-2145.701893508659</v>
      </c>
      <c r="DH68" s="45">
        <v>-1612.810576098915</v>
      </c>
      <c r="DI68" s="45">
        <v>-1202.9831703576112</v>
      </c>
      <c r="DJ68" s="45">
        <v>-456.7173967036648</v>
      </c>
      <c r="DK68" s="45">
        <v>0</v>
      </c>
      <c r="DL68" s="45">
        <v>-5.220063030719757e-12</v>
      </c>
      <c r="DM68" s="45">
        <v>-5.220063030719757e-12</v>
      </c>
      <c r="DN68" s="45">
        <v>-70.03749424886189</v>
      </c>
      <c r="DO68" s="45">
        <v>-568.3574622308521</v>
      </c>
      <c r="DP68" s="45">
        <v>-1467.8036941435034</v>
      </c>
      <c r="DQ68" s="45">
        <v>-2015.191611120875</v>
      </c>
      <c r="DR68" s="45">
        <v>-2783.813437779914</v>
      </c>
      <c r="DS68" s="45">
        <v>-3452.267781680792</v>
      </c>
      <c r="DT68" s="45">
        <v>-4479.373336810409</v>
      </c>
      <c r="DU68" s="45">
        <v>-5080.715414726542</v>
      </c>
      <c r="DV68" s="45">
        <v>-5417.7632664990715</v>
      </c>
      <c r="DW68" s="45">
        <v>-5621.6353150455925</v>
      </c>
      <c r="DX68" s="45">
        <v>-5644.501602147596</v>
      </c>
      <c r="DY68" s="45">
        <v>-5383.108094724508</v>
      </c>
      <c r="DZ68" s="45">
        <v>-5021.055676324054</v>
      </c>
      <c r="EA68" s="45">
        <v>-4664.973113127802</v>
      </c>
      <c r="EB68" s="45">
        <v>-4071.1843989501576</v>
      </c>
      <c r="EC68" s="45">
        <v>-3547.9008305586976</v>
      </c>
      <c r="ED68" s="45">
        <v>-2529.23233936988</v>
      </c>
      <c r="EE68" s="45">
        <v>-1841.6259250823568</v>
      </c>
      <c r="EF68" s="45">
        <v>-716.4645902078242</v>
      </c>
      <c r="EG68" s="45">
        <v>5.960464477539062e-14</v>
      </c>
      <c r="EH68" s="46">
        <f>MAX(1,MIN(21,SUMPRODUCT(--($BT68:$CO68&gt;=Pu))))</f>
      </c>
      <c r="EI68" s="47">
        <f>(Pu-INDEX($BT68:$CO68,1,$EH68))/(INDEX($BT68:$CO68,1,$EH68+1)-INDEX($BT68:$CO68,1,$EH68))</f>
      </c>
      <c r="EJ68" s="39">
        <f>INDEX($CP68:$DK68,1,$EH68)+$EI68*(INDEX($CP68:$DK68,1,$EH68+1)-INDEX($CP68:$DK68,1,$EH68))</f>
      </c>
      <c r="EK68" s="39">
        <f>INDEX($DL68:$EG68,1,$EH68)+$EI68*(INDEX($DL68:$EG68,1,$EH68+1)-INDEX($DL68:$EG68,1,$EH68))</f>
      </c>
      <c r="EL68" s="39">
        <f>SQRT(EJ68^2+EK68^2)</f>
      </c>
      <c r="EM68" s="20">
        <f>EJ69-EJ68</f>
      </c>
      <c r="EN68" s="20">
        <f>EK69-EK68</f>
      </c>
      <c r="EO68" s="20">
        <f>EM68*SIN(RADIANS(theta_L))-EN68*COS(RADIANS(theta_L))</f>
      </c>
      <c r="EP68" s="47">
        <f>IF(EO68=0,"",-(EJ68*SIN(RADIANS(theta_L))-EK68*COS(RADIANS(theta_L)))/EO68)</f>
      </c>
      <c r="EQ68" s="20">
        <f>IF(EP68="","",(EJ68+EP68*EM68)*COS(RADIANS(theta_L))+(EK68+EP68*EN68)*SIN(RADIANS(theta_L)))</f>
      </c>
      <c r="ER68" s="20">
        <f>IF(OR(EP68="",EP68&lt;0,EP68&gt;1,EQ68&lt;0),"",EQ68)</f>
      </c>
    </row>
    <row r="69" spans="1:148" x14ac:dyDescent="0.25">
      <c r="A69">
        <v>62</v>
      </c>
      <c r="B69" s="44">
        <v>235</v>
      </c>
      <c r="C69" s="18">
        <v>843.7946077571622</v>
      </c>
      <c r="D69" s="18">
        <v>-729.0963210218282</v>
      </c>
      <c r="E69" s="18">
        <v>1572.8909287789904</v>
      </c>
      <c r="F69" s="16">
        <v>0.0033</v>
      </c>
      <c r="G69" s="16">
        <v>0</v>
      </c>
      <c r="H69" s="16">
        <v>0</v>
      </c>
      <c r="I69" s="16">
        <v>0.00275</v>
      </c>
      <c r="J69" s="16">
        <v>-3.7386709643902416e-7</v>
      </c>
      <c r="K69" s="16">
        <v>-5.339375485658538e-7</v>
      </c>
      <c r="L69" s="16">
        <v>0.0024749999999999998</v>
      </c>
      <c r="M69" s="16">
        <v>-5.608006446585362e-7</v>
      </c>
      <c r="N69" s="16">
        <v>-8.009063228487808e-7</v>
      </c>
      <c r="O69" s="16">
        <v>0.0021999999999999997</v>
      </c>
      <c r="P69" s="16">
        <v>-7.477341928780483e-7</v>
      </c>
      <c r="Q69" s="16">
        <v>-0.0000010678750971317076</v>
      </c>
      <c r="R69" s="16">
        <v>0.001925</v>
      </c>
      <c r="S69" s="16">
        <v>-9.346677410975603e-7</v>
      </c>
      <c r="T69" s="16">
        <v>-0.0000013348438714146344</v>
      </c>
      <c r="U69" s="16">
        <v>0.0018000000000000002</v>
      </c>
      <c r="V69" s="16">
        <v>-0.0000010196375357427929</v>
      </c>
      <c r="W69" s="16">
        <v>-0.0000014561933142705102</v>
      </c>
      <c r="X69" s="16">
        <v>0.0016499999999999998</v>
      </c>
      <c r="Y69" s="16">
        <v>-0.0000011216012893170725</v>
      </c>
      <c r="Z69" s="16">
        <v>-0.0000016018126456975616</v>
      </c>
      <c r="AA69" s="16">
        <v>0.0015296787687877286</v>
      </c>
      <c r="AB69" s="16">
        <v>-0.0000012033906517776187</v>
      </c>
      <c r="AC69" s="16">
        <v>-0.0000017186199606682988</v>
      </c>
      <c r="AD69" s="16">
        <v>0.0012614482792101117</v>
      </c>
      <c r="AE69" s="16">
        <v>-0.0000013857225687136213</v>
      </c>
      <c r="AF69" s="16">
        <v>-0.00000197901692440592</v>
      </c>
      <c r="AG69" s="16">
        <v>0.000993217789632495</v>
      </c>
      <c r="AH69" s="16">
        <v>-0.0000015680544856496241</v>
      </c>
      <c r="AI69" s="16">
        <v>-0.0000022394138881435404</v>
      </c>
      <c r="AJ69" s="16">
        <v>0.0007249873000548779</v>
      </c>
      <c r="AK69" s="16">
        <v>-0.0000017503864025856272</v>
      </c>
      <c r="AL69" s="16">
        <v>-0.000002499810851881162</v>
      </c>
      <c r="AM69" s="16">
        <v>0.00045675681047726083</v>
      </c>
      <c r="AN69" s="16">
        <v>-0.0000019327183195216298</v>
      </c>
      <c r="AO69" s="16">
        <v>-0.000002760207815618783</v>
      </c>
      <c r="AP69" s="16">
        <v>-0.00007970416867797252</v>
      </c>
      <c r="AQ69" s="16">
        <v>-0.0000022973821533936355</v>
      </c>
      <c r="AR69" s="16">
        <v>-0.0000032810017430940246</v>
      </c>
      <c r="AS69" s="16">
        <v>-0.0006161651478332059</v>
      </c>
      <c r="AT69" s="16">
        <v>-0.0000026620459872656407</v>
      </c>
      <c r="AU69" s="16">
        <v>-0.0000038017956705692666</v>
      </c>
      <c r="AV69" s="16">
        <v>-0.00115262612698844</v>
      </c>
      <c r="AW69" s="16">
        <v>-0.0000030267098211376468</v>
      </c>
      <c r="AX69" s="16">
        <v>-0.000004322589598044509</v>
      </c>
      <c r="AY69" s="16">
        <v>-0.0016890871061436734</v>
      </c>
      <c r="AZ69" s="16">
        <v>-0.000003391373655009652</v>
      </c>
      <c r="BA69" s="16">
        <v>-0.00000484338352551975</v>
      </c>
      <c r="BB69" s="16">
        <v>-0.002762009064454142</v>
      </c>
      <c r="BC69" s="16">
        <v>-0.000004120701322753664</v>
      </c>
      <c r="BD69" s="16">
        <v>-0.000005884971380470235</v>
      </c>
      <c r="BE69" s="16">
        <v>-0.0038349310227646077</v>
      </c>
      <c r="BF69" s="16">
        <v>-0.000004850028990497674</v>
      </c>
      <c r="BG69" s="16">
        <v>-0.000006926559235420717</v>
      </c>
      <c r="BH69" s="16">
        <v>-0.006517235918540777</v>
      </c>
      <c r="BI69" s="16">
        <v>-0.000006673348159857703</v>
      </c>
      <c r="BJ69" s="16">
        <v>-0.00000953052887279693</v>
      </c>
      <c r="BK69" s="16">
        <v>-0.009199540814316946</v>
      </c>
      <c r="BL69" s="16">
        <v>-0.000008496667329217731</v>
      </c>
      <c r="BM69" s="16">
        <v>-0.00001213449851017314</v>
      </c>
      <c r="BN69" s="16">
        <v>-0.01992876039742162</v>
      </c>
      <c r="BO69" s="16">
        <v>-0.00001578994400665784</v>
      </c>
      <c r="BP69" s="16">
        <v>-0.000022550377059677978</v>
      </c>
      <c r="BQ69" s="16">
        <v>-0.05</v>
      </c>
      <c r="BR69" s="16">
        <v>0</v>
      </c>
      <c r="BS69" s="16">
        <v>0</v>
      </c>
      <c r="BT69" s="45">
        <v>33981.43387592912</v>
      </c>
      <c r="BU69" s="45">
        <v>33981.43387592912</v>
      </c>
      <c r="BV69" s="45">
        <v>33862.95019409816</v>
      </c>
      <c r="BW69" s="45">
        <v>32890.09489383467</v>
      </c>
      <c r="BX69" s="45">
        <v>30875.96340350729</v>
      </c>
      <c r="BY69" s="45">
        <v>29560.24864503322</v>
      </c>
      <c r="BZ69" s="45">
        <v>27639.37636492633</v>
      </c>
      <c r="CA69" s="45">
        <v>25910.296983989334</v>
      </c>
      <c r="CB69" s="45">
        <v>22369.232603861674</v>
      </c>
      <c r="CC69" s="45">
        <v>19224.761195977055</v>
      </c>
      <c r="CD69" s="45">
        <v>16321.223950348809</v>
      </c>
      <c r="CE69" s="45">
        <v>13649.489817863534</v>
      </c>
      <c r="CF69" s="45">
        <v>9606.548904036319</v>
      </c>
      <c r="CG69" s="45">
        <v>7067.472580355512</v>
      </c>
      <c r="CH69" s="45">
        <v>5377.3593271452055</v>
      </c>
      <c r="CI69" s="45">
        <v>4095.5269024631298</v>
      </c>
      <c r="CJ69" s="45">
        <v>2214.1017249970105</v>
      </c>
      <c r="CK69" s="45">
        <v>908.433557237063</v>
      </c>
      <c r="CL69" s="45">
        <v>-1336.322980038189</v>
      </c>
      <c r="CM69" s="45">
        <v>-2710.5691519162297</v>
      </c>
      <c r="CN69" s="45">
        <v>-4746.650862842993</v>
      </c>
      <c r="CO69" s="45">
        <v>-5790.583579096708</v>
      </c>
      <c r="CP69" s="45">
        <v>6.55418261885643e-13</v>
      </c>
      <c r="CQ69" s="45">
        <v>6.55418261885643e-13</v>
      </c>
      <c r="CR69" s="45">
        <v>-39.014950131863806</v>
      </c>
      <c r="CS69" s="45">
        <v>-301.3962333867876</v>
      </c>
      <c r="CT69" s="45">
        <v>-812.9382637863912</v>
      </c>
      <c r="CU69" s="45">
        <v>-1125.6584151575803</v>
      </c>
      <c r="CV69" s="45">
        <v>-1556.861474583128</v>
      </c>
      <c r="CW69" s="45">
        <v>-1910.2880707266995</v>
      </c>
      <c r="CX69" s="45">
        <v>-2416.6441478954944</v>
      </c>
      <c r="CY69" s="45">
        <v>-2707.38503378036</v>
      </c>
      <c r="CZ69" s="45">
        <v>-2938.9354747696116</v>
      </c>
      <c r="DA69" s="45">
        <v>-3084.953962813533</v>
      </c>
      <c r="DB69" s="45">
        <v>-3026.7177642652623</v>
      </c>
      <c r="DC69" s="45">
        <v>-2839.017818973441</v>
      </c>
      <c r="DD69" s="45">
        <v>-2667.7646463400774</v>
      </c>
      <c r="DE69" s="45">
        <v>-2502.483322014538</v>
      </c>
      <c r="DF69" s="45">
        <v>-2212.666790503077</v>
      </c>
      <c r="DG69" s="45">
        <v>-1962.1035347145448</v>
      </c>
      <c r="DH69" s="45">
        <v>-1495.0632583770416</v>
      </c>
      <c r="DI69" s="45">
        <v>-1105.7005396907564</v>
      </c>
      <c r="DJ69" s="45">
        <v>-406.8609921949057</v>
      </c>
      <c r="DK69" s="45">
        <v>0</v>
      </c>
      <c r="DL69" s="45">
        <v>-5.220063030719757e-12</v>
      </c>
      <c r="DM69" s="45">
        <v>-5.220063030719757e-12</v>
      </c>
      <c r="DN69" s="45">
        <v>-71.7225642028777</v>
      </c>
      <c r="DO69" s="45">
        <v>-592.2134055265157</v>
      </c>
      <c r="DP69" s="45">
        <v>-1539.984247859538</v>
      </c>
      <c r="DQ69" s="45">
        <v>-2112.52649554786</v>
      </c>
      <c r="DR69" s="45">
        <v>-2920.1374621470486</v>
      </c>
      <c r="DS69" s="45">
        <v>-3605.147464610089</v>
      </c>
      <c r="DT69" s="45">
        <v>-4725.519995649845</v>
      </c>
      <c r="DU69" s="45">
        <v>-5378.774380765463</v>
      </c>
      <c r="DV69" s="45">
        <v>-5744.058922301242</v>
      </c>
      <c r="DW69" s="45">
        <v>-5968.237645430836</v>
      </c>
      <c r="DX69" s="45">
        <v>-5996.22788658693</v>
      </c>
      <c r="DY69" s="45">
        <v>-5692.472069873822</v>
      </c>
      <c r="DZ69" s="45">
        <v>-5326.585585149967</v>
      </c>
      <c r="EA69" s="45">
        <v>-4979.3717613429</v>
      </c>
      <c r="EB69" s="45">
        <v>-4299.133246525324</v>
      </c>
      <c r="EC69" s="45">
        <v>-3729.52043364905</v>
      </c>
      <c r="ED69" s="45">
        <v>-2611.5185109685685</v>
      </c>
      <c r="EE69" s="45">
        <v>-1875.42486560604</v>
      </c>
      <c r="EF69" s="45">
        <v>-688.2032489251709</v>
      </c>
      <c r="EG69" s="45">
        <v>5.960464477539062e-14</v>
      </c>
      <c r="EH69" s="46">
        <f>MAX(1,MIN(21,SUMPRODUCT(--($BT69:$CO69&gt;=Pu))))</f>
      </c>
      <c r="EI69" s="47">
        <f>(Pu-INDEX($BT69:$CO69,1,$EH69))/(INDEX($BT69:$CO69,1,$EH69+1)-INDEX($BT69:$CO69,1,$EH69))</f>
      </c>
      <c r="EJ69" s="39">
        <f>INDEX($CP69:$DK69,1,$EH69)+$EI69*(INDEX($CP69:$DK69,1,$EH69+1)-INDEX($CP69:$DK69,1,$EH69))</f>
      </c>
      <c r="EK69" s="39">
        <f>INDEX($DL69:$EG69,1,$EH69)+$EI69*(INDEX($DL69:$EG69,1,$EH69+1)-INDEX($DL69:$EG69,1,$EH69))</f>
      </c>
      <c r="EL69" s="39">
        <f>SQRT(EJ69^2+EK69^2)</f>
      </c>
      <c r="EM69" s="20">
        <f>EJ70-EJ69</f>
      </c>
      <c r="EN69" s="20">
        <f>EK70-EK69</f>
      </c>
      <c r="EO69" s="20">
        <f>EM69*SIN(RADIANS(theta_L))-EN69*COS(RADIANS(theta_L))</f>
      </c>
      <c r="EP69" s="47">
        <f>IF(EO69=0,"",-(EJ69*SIN(RADIANS(theta_L))-EK69*COS(RADIANS(theta_L)))/EO69)</f>
      </c>
      <c r="EQ69" s="20">
        <f>IF(EP69="","",(EJ69+EP69*EM69)*COS(RADIANS(theta_L))+(EK69+EP69*EN69)*SIN(RADIANS(theta_L)))</f>
      </c>
      <c r="ER69" s="20">
        <f>IF(OR(EP69="",EP69&lt;0,EP69&gt;1,EQ69&lt;0),"",EQ69)</f>
      </c>
    </row>
    <row r="70" spans="1:148" x14ac:dyDescent="0.25">
      <c r="A70">
        <v>63</v>
      </c>
      <c r="B70" s="44">
        <v>239.99999999999997</v>
      </c>
      <c r="C70" s="18">
        <v>849.5190528383291</v>
      </c>
      <c r="D70" s="18">
        <v>-738.8972745734183</v>
      </c>
      <c r="E70" s="18">
        <v>1588.4163274117473</v>
      </c>
      <c r="F70" s="16">
        <v>0.0033</v>
      </c>
      <c r="G70" s="16">
        <v>0</v>
      </c>
      <c r="H70" s="16">
        <v>0</v>
      </c>
      <c r="I70" s="16">
        <v>0.00275</v>
      </c>
      <c r="J70" s="16">
        <v>-3.237125748753926e-7</v>
      </c>
      <c r="K70" s="16">
        <v>-5.606866267331239e-7</v>
      </c>
      <c r="L70" s="16">
        <v>0.0024749999999999998</v>
      </c>
      <c r="M70" s="16">
        <v>-4.85568862313089e-7</v>
      </c>
      <c r="N70" s="16">
        <v>-8.410299400996859e-7</v>
      </c>
      <c r="O70" s="16">
        <v>0.0021999999999999997</v>
      </c>
      <c r="P70" s="16">
        <v>-6.474251497507852e-7</v>
      </c>
      <c r="Q70" s="16">
        <v>-0.0000011213732534662478</v>
      </c>
      <c r="R70" s="16">
        <v>0.001925</v>
      </c>
      <c r="S70" s="16">
        <v>-8.092814371884816e-7</v>
      </c>
      <c r="T70" s="16">
        <v>-0.0000014017165668328096</v>
      </c>
      <c r="U70" s="16">
        <v>0.0018000000000000002</v>
      </c>
      <c r="V70" s="16">
        <v>-8.828524769328889e-7</v>
      </c>
      <c r="W70" s="16">
        <v>-0.0000015291453456357922</v>
      </c>
      <c r="X70" s="16">
        <v>0.0016499999999999998</v>
      </c>
      <c r="Y70" s="16">
        <v>-9.71137724626178e-7</v>
      </c>
      <c r="Z70" s="16">
        <v>-0.0000016820598801993718</v>
      </c>
      <c r="AA70" s="16">
        <v>0.0015350893616571412</v>
      </c>
      <c r="AB70" s="16">
        <v>-0.0000010387704857507993</v>
      </c>
      <c r="AC70" s="16">
        <v>-0.000001799203258723385</v>
      </c>
      <c r="AD70" s="16">
        <v>0.0012676786588779205</v>
      </c>
      <c r="AE70" s="16">
        <v>-0.0000011961599532887992</v>
      </c>
      <c r="AF70" s="16">
        <v>-0.000002071809813075413</v>
      </c>
      <c r="AG70" s="16">
        <v>0.0010002679560986993</v>
      </c>
      <c r="AH70" s="16">
        <v>-0.0000013535494208267992</v>
      </c>
      <c r="AI70" s="16">
        <v>-0.000002344416367427441</v>
      </c>
      <c r="AJ70" s="16">
        <v>0.0007328572533194782</v>
      </c>
      <c r="AK70" s="16">
        <v>-0.0000015109388883647991</v>
      </c>
      <c r="AL70" s="16">
        <v>-0.0000026170229217794695</v>
      </c>
      <c r="AM70" s="16">
        <v>0.00046544655054025705</v>
      </c>
      <c r="AN70" s="16">
        <v>-0.000001668328355902799</v>
      </c>
      <c r="AO70" s="16">
        <v>-0.0000028896294761314972</v>
      </c>
      <c r="AP70" s="16">
        <v>-0.00006937485501818481</v>
      </c>
      <c r="AQ70" s="16">
        <v>-0.0000019831072909787988</v>
      </c>
      <c r="AR70" s="16">
        <v>-0.0000034348425848355536</v>
      </c>
      <c r="AS70" s="16">
        <v>-0.0006041962605766267</v>
      </c>
      <c r="AT70" s="16">
        <v>-0.0000022978862260547987</v>
      </c>
      <c r="AU70" s="16">
        <v>-0.0000039800556935396095</v>
      </c>
      <c r="AV70" s="16">
        <v>-0.001139017666135069</v>
      </c>
      <c r="AW70" s="16">
        <v>-0.000002612665161130798</v>
      </c>
      <c r="AX70" s="16">
        <v>-0.000004525268802243665</v>
      </c>
      <c r="AY70" s="16">
        <v>-0.0016738390716935104</v>
      </c>
      <c r="AZ70" s="16">
        <v>-0.000002927444096206798</v>
      </c>
      <c r="BA70" s="16">
        <v>-0.000005070481910947721</v>
      </c>
      <c r="BB70" s="16">
        <v>-0.002743481882810395</v>
      </c>
      <c r="BC70" s="16">
        <v>-0.000003557001966358798</v>
      </c>
      <c r="BD70" s="16">
        <v>-0.000006160908128355834</v>
      </c>
      <c r="BE70" s="16">
        <v>-0.0038131246939272787</v>
      </c>
      <c r="BF70" s="16">
        <v>-0.000004186559836510797</v>
      </c>
      <c r="BG70" s="16">
        <v>-0.000007251334345763945</v>
      </c>
      <c r="BH70" s="16">
        <v>-0.00648723172171949</v>
      </c>
      <c r="BI70" s="16">
        <v>-0.000005760454511890797</v>
      </c>
      <c r="BJ70" s="16">
        <v>-0.000009977399889284227</v>
      </c>
      <c r="BK70" s="16">
        <v>-0.0091613387495117</v>
      </c>
      <c r="BL70" s="16">
        <v>-0.0000073343491872707965</v>
      </c>
      <c r="BM70" s="16">
        <v>-0.000012703465432804507</v>
      </c>
      <c r="BN70" s="16">
        <v>-0.01985776686068054</v>
      </c>
      <c r="BO70" s="16">
        <v>-0.000013629927888790791</v>
      </c>
      <c r="BP70" s="16">
        <v>-0.000023607727606885627</v>
      </c>
      <c r="BQ70" s="16">
        <v>-0.05</v>
      </c>
      <c r="BR70" s="16">
        <v>0</v>
      </c>
      <c r="BS70" s="16">
        <v>0</v>
      </c>
      <c r="BT70" s="45">
        <v>33981.43387592912</v>
      </c>
      <c r="BU70" s="45">
        <v>33981.43387592912</v>
      </c>
      <c r="BV70" s="45">
        <v>33858.00890908785</v>
      </c>
      <c r="BW70" s="45">
        <v>32881.286607822396</v>
      </c>
      <c r="BX70" s="45">
        <v>30862.42066396293</v>
      </c>
      <c r="BY70" s="45">
        <v>29545.977069541877</v>
      </c>
      <c r="BZ70" s="45">
        <v>27609.64673449544</v>
      </c>
      <c r="CA70" s="45">
        <v>25940.81350928852</v>
      </c>
      <c r="CB70" s="45">
        <v>22364.787481436968</v>
      </c>
      <c r="CC70" s="45">
        <v>19282.24082253629</v>
      </c>
      <c r="CD70" s="45">
        <v>16419.875710347947</v>
      </c>
      <c r="CE70" s="45">
        <v>13726.998365273803</v>
      </c>
      <c r="CF70" s="45">
        <v>9630.589372107817</v>
      </c>
      <c r="CG70" s="45">
        <v>7167.301427283116</v>
      </c>
      <c r="CH70" s="45">
        <v>5508.418715469646</v>
      </c>
      <c r="CI70" s="45">
        <v>4246.405743473104</v>
      </c>
      <c r="CJ70" s="45">
        <v>2370.7150543191087</v>
      </c>
      <c r="CK70" s="45">
        <v>1059.2605961207043</v>
      </c>
      <c r="CL70" s="45">
        <v>-1197.6390365317031</v>
      </c>
      <c r="CM70" s="45">
        <v>-2639.48051354372</v>
      </c>
      <c r="CN70" s="45">
        <v>-4792.589894212263</v>
      </c>
      <c r="CO70" s="45">
        <v>-5790.583579096708</v>
      </c>
      <c r="CP70" s="45">
        <v>6.55418261885643e-13</v>
      </c>
      <c r="CQ70" s="45">
        <v>6.55418261885643e-13</v>
      </c>
      <c r="CR70" s="45">
        <v>-35.789761790494644</v>
      </c>
      <c r="CS70" s="45">
        <v>-269.4721974407658</v>
      </c>
      <c r="CT70" s="45">
        <v>-712.7729123431916</v>
      </c>
      <c r="CU70" s="45">
        <v>-981.7416934500854</v>
      </c>
      <c r="CV70" s="45">
        <v>-1356.4057998250908</v>
      </c>
      <c r="CW70" s="45">
        <v>-1654.8230313272863</v>
      </c>
      <c r="CX70" s="45">
        <v>-2065.6276586016597</v>
      </c>
      <c r="CY70" s="45">
        <v>-2293.804991342371</v>
      </c>
      <c r="CZ70" s="45">
        <v>-2487.183191698188</v>
      </c>
      <c r="DA70" s="45">
        <v>-2613.407007623532</v>
      </c>
      <c r="DB70" s="45">
        <v>-2567.7418753040274</v>
      </c>
      <c r="DC70" s="45">
        <v>-2424.68992061897</v>
      </c>
      <c r="DD70" s="45">
        <v>-2293.8549176947317</v>
      </c>
      <c r="DE70" s="45">
        <v>-2173.5119787474728</v>
      </c>
      <c r="DF70" s="45">
        <v>-1970.7920542870045</v>
      </c>
      <c r="DG70" s="45">
        <v>-1771.9956628796792</v>
      </c>
      <c r="DH70" s="45">
        <v>-1356.320127709476</v>
      </c>
      <c r="DI70" s="45">
        <v>-1029.0100790460754</v>
      </c>
      <c r="DJ70" s="45">
        <v>-371.86515216985845</v>
      </c>
      <c r="DK70" s="45">
        <v>0</v>
      </c>
      <c r="DL70" s="45">
        <v>-5.220063030719757e-12</v>
      </c>
      <c r="DM70" s="45">
        <v>-5.220063030719757e-12</v>
      </c>
      <c r="DN70" s="45">
        <v>-76.68524944877117</v>
      </c>
      <c r="DO70" s="45">
        <v>-617.9466897289985</v>
      </c>
      <c r="DP70" s="45">
        <v>-1613.8492112417975</v>
      </c>
      <c r="DQ70" s="45">
        <v>-2216.7306303455925</v>
      </c>
      <c r="DR70" s="45">
        <v>-3062.6429120519033</v>
      </c>
      <c r="DS70" s="45">
        <v>-3756.6329151156838</v>
      </c>
      <c r="DT70" s="45">
        <v>-4955.854971681475</v>
      </c>
      <c r="DU70" s="45">
        <v>-5622.805185801681</v>
      </c>
      <c r="DV70" s="45">
        <v>-6015.697616478879</v>
      </c>
      <c r="DW70" s="45">
        <v>-6260.782085960871</v>
      </c>
      <c r="DX70" s="45">
        <v>-6293.15172440257</v>
      </c>
      <c r="DY70" s="45">
        <v>-5982.999248794874</v>
      </c>
      <c r="DZ70" s="45">
        <v>-5625.746049551829</v>
      </c>
      <c r="EA70" s="45">
        <v>-5275.922552962516</v>
      </c>
      <c r="EB70" s="45">
        <v>-4562.614694892635</v>
      </c>
      <c r="EC70" s="45">
        <v>-3949.8708871748354</v>
      </c>
      <c r="ED70" s="45">
        <v>-2781.265659341161</v>
      </c>
      <c r="EE70" s="45">
        <v>-1966.1067023794146</v>
      </c>
      <c r="EF70" s="45">
        <v>-669.2252099312501</v>
      </c>
      <c r="EG70" s="45">
        <v>5.960464477539062e-14</v>
      </c>
      <c r="EH70" s="46">
        <f>MAX(1,MIN(21,SUMPRODUCT(--($BT70:$CO70&gt;=Pu))))</f>
      </c>
      <c r="EI70" s="47">
        <f>(Pu-INDEX($BT70:$CO70,1,$EH70))/(INDEX($BT70:$CO70,1,$EH70+1)-INDEX($BT70:$CO70,1,$EH70))</f>
      </c>
      <c r="EJ70" s="39">
        <f>INDEX($CP70:$DK70,1,$EH70)+$EI70*(INDEX($CP70:$DK70,1,$EH70+1)-INDEX($CP70:$DK70,1,$EH70))</f>
      </c>
      <c r="EK70" s="39">
        <f>INDEX($DL70:$EG70,1,$EH70)+$EI70*(INDEX($DL70:$EG70,1,$EH70+1)-INDEX($DL70:$EG70,1,$EH70))</f>
      </c>
      <c r="EL70" s="39">
        <f>SQRT(EJ70^2+EK70^2)</f>
      </c>
      <c r="EM70" s="20">
        <f>EJ71-EJ70</f>
      </c>
      <c r="EN70" s="20">
        <f>EK71-EK70</f>
      </c>
      <c r="EO70" s="20">
        <f>EM70*SIN(RADIANS(theta_L))-EN70*COS(RADIANS(theta_L))</f>
      </c>
      <c r="EP70" s="47">
        <f>IF(EO70=0,"",-(EJ70*SIN(RADIANS(theta_L))-EK70*COS(RADIANS(theta_L)))/EO70)</f>
      </c>
      <c r="EQ70" s="20">
        <f>IF(EP70="","",(EJ70+EP70*EM70)*COS(RADIANS(theta_L))+(EK70+EP70*EN70)*SIN(RADIANS(theta_L)))</f>
      </c>
      <c r="ER70" s="20">
        <f>IF(OR(EP70="",EP70&lt;0,EP70&gt;1,EQ70&lt;0),"",EQ70)</f>
      </c>
    </row>
    <row r="71" spans="1:148" x14ac:dyDescent="0.25">
      <c r="A71">
        <v>64</v>
      </c>
      <c r="B71" s="44">
        <v>245.00000000000003</v>
      </c>
      <c r="C71" s="18">
        <v>848.7781449737672</v>
      </c>
      <c r="D71" s="18">
        <v>-743.0747737071317</v>
      </c>
      <c r="E71" s="18">
        <v>1591.852918680899</v>
      </c>
      <c r="F71" s="16">
        <v>0.0033</v>
      </c>
      <c r="G71" s="16">
        <v>0</v>
      </c>
      <c r="H71" s="16">
        <v>0</v>
      </c>
      <c r="I71" s="16">
        <v>0.00275</v>
      </c>
      <c r="J71" s="16">
        <v>-2.738525318233406e-7</v>
      </c>
      <c r="K71" s="16">
        <v>-5.872786496942185e-7</v>
      </c>
      <c r="L71" s="16">
        <v>0.0024749999999999998</v>
      </c>
      <c r="M71" s="16">
        <v>-4.107787977350108e-7</v>
      </c>
      <c r="N71" s="16">
        <v>-8.809179745413275e-7</v>
      </c>
      <c r="O71" s="16">
        <v>0.0021999999999999997</v>
      </c>
      <c r="P71" s="16">
        <v>-5.477050636466811e-7</v>
      </c>
      <c r="Q71" s="16">
        <v>-0.0000011745572993884368</v>
      </c>
      <c r="R71" s="16">
        <v>0.0019249999999999998</v>
      </c>
      <c r="S71" s="16">
        <v>-6.846313295583514e-7</v>
      </c>
      <c r="T71" s="16">
        <v>-0.0000014681966242355461</v>
      </c>
      <c r="U71" s="16">
        <v>0.0018000000000000002</v>
      </c>
      <c r="V71" s="16">
        <v>-7.468705413363832e-7</v>
      </c>
      <c r="W71" s="16">
        <v>-0.0000016016690446205954</v>
      </c>
      <c r="X71" s="16">
        <v>0.00165</v>
      </c>
      <c r="Y71" s="16">
        <v>-8.215575954700216e-7</v>
      </c>
      <c r="Z71" s="16">
        <v>-0.000001761835949082655</v>
      </c>
      <c r="AA71" s="16">
        <v>0.0015404355040951427</v>
      </c>
      <c r="AB71" s="16">
        <v>-8.761112583818275e-7</v>
      </c>
      <c r="AC71" s="16">
        <v>-0.0000018788266567361684</v>
      </c>
      <c r="AD71" s="16">
        <v>0.001273834822897437</v>
      </c>
      <c r="AE71" s="16">
        <v>-0.0000010088553884396801</v>
      </c>
      <c r="AF71" s="16">
        <v>-0.0000021634973623022545</v>
      </c>
      <c r="AG71" s="16">
        <v>0.001007234141699731</v>
      </c>
      <c r="AH71" s="16">
        <v>-0.000001141599518497533</v>
      </c>
      <c r="AI71" s="16">
        <v>-0.000002448168067868341</v>
      </c>
      <c r="AJ71" s="16">
        <v>0.0007406334605020255</v>
      </c>
      <c r="AK71" s="16">
        <v>-0.0000012743436485553855</v>
      </c>
      <c r="AL71" s="16">
        <v>-0.0000027328387734344274</v>
      </c>
      <c r="AM71" s="16">
        <v>0.00047403277930431996</v>
      </c>
      <c r="AN71" s="16">
        <v>-0.000001407087778613238</v>
      </c>
      <c r="AO71" s="16">
        <v>-0.000003017509479000513</v>
      </c>
      <c r="AP71" s="16">
        <v>-0.00005916858309109154</v>
      </c>
      <c r="AQ71" s="16">
        <v>-0.0000016725760387289436</v>
      </c>
      <c r="AR71" s="16">
        <v>-0.0000035868508901326854</v>
      </c>
      <c r="AS71" s="16">
        <v>-0.0005923699454865026</v>
      </c>
      <c r="AT71" s="16">
        <v>-0.0000019380642988446486</v>
      </c>
      <c r="AU71" s="16">
        <v>-0.000004156192301264858</v>
      </c>
      <c r="AV71" s="16">
        <v>-0.001125571307881914</v>
      </c>
      <c r="AW71" s="16">
        <v>-0.0000022035525589603537</v>
      </c>
      <c r="AX71" s="16">
        <v>-0.00000472553371239703</v>
      </c>
      <c r="AY71" s="16">
        <v>-0.0016587726702773252</v>
      </c>
      <c r="AZ71" s="16">
        <v>-0.0000024690408190760593</v>
      </c>
      <c r="BA71" s="16">
        <v>-0.000005294875123529201</v>
      </c>
      <c r="BB71" s="16">
        <v>-0.002725175395068148</v>
      </c>
      <c r="BC71" s="16">
        <v>-0.00000300001733930747</v>
      </c>
      <c r="BD71" s="16">
        <v>-0.000006433557945793547</v>
      </c>
      <c r="BE71" s="16">
        <v>-0.0037915781198589703</v>
      </c>
      <c r="BF71" s="16">
        <v>-0.0000035309938595388803</v>
      </c>
      <c r="BG71" s="16">
        <v>-0.000007572240768057891</v>
      </c>
      <c r="BH71" s="16">
        <v>-0.006457584931836028</v>
      </c>
      <c r="BI71" s="16">
        <v>-0.000004858435160117407</v>
      </c>
      <c r="BJ71" s="16">
        <v>-0.000010418947823718753</v>
      </c>
      <c r="BK71" s="16">
        <v>-0.009123591743813084</v>
      </c>
      <c r="BL71" s="16">
        <v>-0.000006185876460695933</v>
      </c>
      <c r="BM71" s="16">
        <v>-0.000013265654879379614</v>
      </c>
      <c r="BN71" s="16">
        <v>-0.01978761899172131</v>
      </c>
      <c r="BO71" s="16">
        <v>-0.00001149564166301004</v>
      </c>
      <c r="BP71" s="16">
        <v>-0.00002465248310202306</v>
      </c>
      <c r="BQ71" s="16">
        <v>-0.05</v>
      </c>
      <c r="BR71" s="16">
        <v>0</v>
      </c>
      <c r="BS71" s="16">
        <v>0</v>
      </c>
      <c r="BT71" s="45">
        <v>33981.43387592912</v>
      </c>
      <c r="BU71" s="45">
        <v>33981.43387592912</v>
      </c>
      <c r="BV71" s="45">
        <v>33851.89098615498</v>
      </c>
      <c r="BW71" s="45">
        <v>32862.897365487406</v>
      </c>
      <c r="BX71" s="45">
        <v>30817.792693406256</v>
      </c>
      <c r="BY71" s="45">
        <v>29484.091490590006</v>
      </c>
      <c r="BZ71" s="45">
        <v>27536.31606061625</v>
      </c>
      <c r="CA71" s="45">
        <v>25924.092430923218</v>
      </c>
      <c r="CB71" s="45">
        <v>22320.837600071474</v>
      </c>
      <c r="CC71" s="45">
        <v>19321.78434111575</v>
      </c>
      <c r="CD71" s="45">
        <v>16487.579480787583</v>
      </c>
      <c r="CE71" s="45">
        <v>13793.863094767707</v>
      </c>
      <c r="CF71" s="45">
        <v>9676.308732091486</v>
      </c>
      <c r="CG71" s="45">
        <v>7300.1195121084165</v>
      </c>
      <c r="CH71" s="45">
        <v>5670.786388444403</v>
      </c>
      <c r="CI71" s="45">
        <v>4456.987999991594</v>
      </c>
      <c r="CJ71" s="45">
        <v>2680.586804282217</v>
      </c>
      <c r="CK71" s="45">
        <v>1311.3644421843653</v>
      </c>
      <c r="CL71" s="45">
        <v>-995.8598094775914</v>
      </c>
      <c r="CM71" s="45">
        <v>-2510.0219523244364</v>
      </c>
      <c r="CN71" s="45">
        <v>-4795.611764581947</v>
      </c>
      <c r="CO71" s="45">
        <v>-5790.583579096708</v>
      </c>
      <c r="CP71" s="45">
        <v>6.55418261885643e-13</v>
      </c>
      <c r="CQ71" s="45">
        <v>6.55418261885643e-13</v>
      </c>
      <c r="CR71" s="45">
        <v>-32.69241583000703</v>
      </c>
      <c r="CS71" s="45">
        <v>-237.13463726182943</v>
      </c>
      <c r="CT71" s="45">
        <v>-614.6477370799522</v>
      </c>
      <c r="CU71" s="45">
        <v>-837.0427958005381</v>
      </c>
      <c r="CV71" s="45">
        <v>-1155.9348562918226</v>
      </c>
      <c r="CW71" s="45">
        <v>-1401.5518339278576</v>
      </c>
      <c r="CX71" s="45">
        <v>-1717.3914825952663</v>
      </c>
      <c r="CY71" s="45">
        <v>-1893.8620690508021</v>
      </c>
      <c r="CZ71" s="45">
        <v>-2053.9616142652135</v>
      </c>
      <c r="DA71" s="45">
        <v>-2162.7136303886064</v>
      </c>
      <c r="DB71" s="45">
        <v>-2124.201890952602</v>
      </c>
      <c r="DC71" s="45">
        <v>-2009.594170051172</v>
      </c>
      <c r="DD71" s="45">
        <v>-1906.2107756609234</v>
      </c>
      <c r="DE71" s="45">
        <v>-1836.8828416852994</v>
      </c>
      <c r="DF71" s="45">
        <v>-1706.1558533452283</v>
      </c>
      <c r="DG71" s="45">
        <v>-1556.2059442025939</v>
      </c>
      <c r="DH71" s="45">
        <v>-1211.6602517397669</v>
      </c>
      <c r="DI71" s="45">
        <v>-956.2112007463655</v>
      </c>
      <c r="DJ71" s="45">
        <v>-348.19863634174993</v>
      </c>
      <c r="DK71" s="45">
        <v>0</v>
      </c>
      <c r="DL71" s="45">
        <v>-5.220063030719757e-12</v>
      </c>
      <c r="DM71" s="45">
        <v>-5.220063030719757e-12</v>
      </c>
      <c r="DN71" s="45">
        <v>-82.33824578206149</v>
      </c>
      <c r="DO71" s="45">
        <v>-647.9094826636722</v>
      </c>
      <c r="DP71" s="45">
        <v>-1692.661837524436</v>
      </c>
      <c r="DQ71" s="45">
        <v>-2327.593942729758</v>
      </c>
      <c r="DR71" s="45">
        <v>-3213.760561992524</v>
      </c>
      <c r="DS71" s="45">
        <v>-3911.0119929724638</v>
      </c>
      <c r="DT71" s="45">
        <v>-5171.306090853595</v>
      </c>
      <c r="DU71" s="45">
        <v>-5829.673259283996</v>
      </c>
      <c r="DV71" s="45">
        <v>-6232.2849652471405</v>
      </c>
      <c r="DW71" s="45">
        <v>-6493.9781212602775</v>
      </c>
      <c r="DX71" s="45">
        <v>-6543.385611762429</v>
      </c>
      <c r="DY71" s="45">
        <v>-6247.468936579888</v>
      </c>
      <c r="DZ71" s="45">
        <v>-5912.543976353445</v>
      </c>
      <c r="EA71" s="45">
        <v>-5552.212013035149</v>
      </c>
      <c r="EB71" s="45">
        <v>-4865.513698670267</v>
      </c>
      <c r="EC71" s="45">
        <v>-4228.233334301342</v>
      </c>
      <c r="ED71" s="45">
        <v>-2988.113440317961</v>
      </c>
      <c r="EE71" s="45">
        <v>-2092.041985047412</v>
      </c>
      <c r="EF71" s="45">
        <v>-676.5468961912522</v>
      </c>
      <c r="EG71" s="45">
        <v>5.960464477539062e-14</v>
      </c>
      <c r="EH71" s="46">
        <f>MAX(1,MIN(21,SUMPRODUCT(--($BT71:$CO71&gt;=Pu))))</f>
      </c>
      <c r="EI71" s="47">
        <f>(Pu-INDEX($BT71:$CO71,1,$EH71))/(INDEX($BT71:$CO71,1,$EH71+1)-INDEX($BT71:$CO71,1,$EH71))</f>
      </c>
      <c r="EJ71" s="39">
        <f>INDEX($CP71:$DK71,1,$EH71)+$EI71*(INDEX($CP71:$DK71,1,$EH71+1)-INDEX($CP71:$DK71,1,$EH71))</f>
      </c>
      <c r="EK71" s="39">
        <f>INDEX($DL71:$EG71,1,$EH71)+$EI71*(INDEX($DL71:$EG71,1,$EH71+1)-INDEX($DL71:$EG71,1,$EH71))</f>
      </c>
      <c r="EL71" s="39">
        <f>SQRT(EJ71^2+EK71^2)</f>
      </c>
      <c r="EM71" s="20">
        <f>EJ72-EJ71</f>
      </c>
      <c r="EN71" s="20">
        <f>EK72-EK71</f>
      </c>
      <c r="EO71" s="20">
        <f>EM71*SIN(RADIANS(theta_L))-EN71*COS(RADIANS(theta_L))</f>
      </c>
      <c r="EP71" s="47">
        <f>IF(EO71=0,"",-(EJ71*SIN(RADIANS(theta_L))-EK71*COS(RADIANS(theta_L)))/EO71)</f>
      </c>
      <c r="EQ71" s="20">
        <f>IF(EP71="","",(EJ71+EP71*EM71)*COS(RADIANS(theta_L))+(EK71+EP71*EN71)*SIN(RADIANS(theta_L)))</f>
      </c>
      <c r="ER71" s="20">
        <f>IF(OR(EP71="",EP71&lt;0,EP71&gt;1,EQ71&lt;0),"",EQ71)</f>
      </c>
    </row>
    <row r="72" spans="1:148" x14ac:dyDescent="0.25">
      <c r="A72">
        <v>65</v>
      </c>
      <c r="B72" s="44">
        <v>250.00000000000003</v>
      </c>
      <c r="C72" s="18">
        <v>841.5775229196987</v>
      </c>
      <c r="D72" s="18">
        <v>-741.5970251321183</v>
      </c>
      <c r="E72" s="18">
        <v>1583.174548051817</v>
      </c>
      <c r="F72" s="16">
        <v>0.0033</v>
      </c>
      <c r="G72" s="16">
        <v>0</v>
      </c>
      <c r="H72" s="16">
        <v>0</v>
      </c>
      <c r="I72" s="16">
        <v>0.00275</v>
      </c>
      <c r="J72" s="16">
        <v>-2.2352198544526336e-7</v>
      </c>
      <c r="K72" s="16">
        <v>-6.141216077625262e-7</v>
      </c>
      <c r="L72" s="16">
        <v>0.0024749999999999998</v>
      </c>
      <c r="M72" s="16">
        <v>-3.3528297816789503e-7</v>
      </c>
      <c r="N72" s="16">
        <v>-9.211824116437893e-7</v>
      </c>
      <c r="O72" s="16">
        <v>0.0021999999999999997</v>
      </c>
      <c r="P72" s="16">
        <v>-4.470439708905267e-7</v>
      </c>
      <c r="Q72" s="16">
        <v>-0.0000012282432155250523</v>
      </c>
      <c r="R72" s="16">
        <v>0.001925</v>
      </c>
      <c r="S72" s="16">
        <v>-5.588049636131584e-7</v>
      </c>
      <c r="T72" s="16">
        <v>-0.0000015353040194063156</v>
      </c>
      <c r="U72" s="16">
        <v>0.0018000000000000002</v>
      </c>
      <c r="V72" s="16">
        <v>-6.096054148507183e-7</v>
      </c>
      <c r="W72" s="16">
        <v>-0.0000016748771120796169</v>
      </c>
      <c r="X72" s="16">
        <v>0.00165</v>
      </c>
      <c r="Y72" s="16">
        <v>-6.705659563357901e-7</v>
      </c>
      <c r="Z72" s="16">
        <v>-0.0000018423648232875786</v>
      </c>
      <c r="AA72" s="16">
        <v>0.0015457993472340055</v>
      </c>
      <c r="AB72" s="16">
        <v>-7.129134777738766e-7</v>
      </c>
      <c r="AC72" s="16">
        <v>-0.000001958713682208592</v>
      </c>
      <c r="AD72" s="16">
        <v>0.0012800113695421883</v>
      </c>
      <c r="AE72" s="16">
        <v>-8.209306713759791e-7</v>
      </c>
      <c r="AF72" s="16">
        <v>-0.000002255488482543227</v>
      </c>
      <c r="AG72" s="16">
        <v>0.0010142233918503706</v>
      </c>
      <c r="AH72" s="16">
        <v>-9.289478649780816e-7</v>
      </c>
      <c r="AI72" s="16">
        <v>-0.000002552263282877862</v>
      </c>
      <c r="AJ72" s="16">
        <v>0.0007484354141585529</v>
      </c>
      <c r="AK72" s="16">
        <v>-0.0000010369650585801842</v>
      </c>
      <c r="AL72" s="16">
        <v>-0.0000028490380832124976</v>
      </c>
      <c r="AM72" s="16">
        <v>0.00048264743646673613</v>
      </c>
      <c r="AN72" s="16">
        <v>-0.0000011449822521822866</v>
      </c>
      <c r="AO72" s="16">
        <v>-0.0000031458128835471323</v>
      </c>
      <c r="AP72" s="16">
        <v>-0.00004892851891689833</v>
      </c>
      <c r="AQ72" s="16">
        <v>-0.0000013610166393864917</v>
      </c>
      <c r="AR72" s="16">
        <v>-0.0000037393624842164025</v>
      </c>
      <c r="AS72" s="16">
        <v>-0.0005805044743005328</v>
      </c>
      <c r="AT72" s="16">
        <v>-0.0000015770510265906966</v>
      </c>
      <c r="AU72" s="16">
        <v>-0.000004332912084885673</v>
      </c>
      <c r="AV72" s="16">
        <v>-0.0011120804296841681</v>
      </c>
      <c r="AW72" s="16">
        <v>-0.0000017930854137949018</v>
      </c>
      <c r="AX72" s="16">
        <v>-0.000004926461685554944</v>
      </c>
      <c r="AY72" s="16">
        <v>-0.0016436563850678017</v>
      </c>
      <c r="AZ72" s="16">
        <v>-0.0000020091198009991065</v>
      </c>
      <c r="BA72" s="16">
        <v>-0.000005520011286224212</v>
      </c>
      <c r="BB72" s="16">
        <v>-0.0027068082958350724</v>
      </c>
      <c r="BC72" s="16">
        <v>-0.000002441188575407517</v>
      </c>
      <c r="BD72" s="16">
        <v>-0.0000067071104875627544</v>
      </c>
      <c r="BE72" s="16">
        <v>-0.0037699602066023413</v>
      </c>
      <c r="BF72" s="16">
        <v>-0.0000028732573498159268</v>
      </c>
      <c r="BG72" s="16">
        <v>-0.000007894209688901294</v>
      </c>
      <c r="BH72" s="16">
        <v>-0.006427839983520515</v>
      </c>
      <c r="BI72" s="16">
        <v>-0.000003953429285836952</v>
      </c>
      <c r="BJ72" s="16">
        <v>-0.000010861957692247647</v>
      </c>
      <c r="BK72" s="16">
        <v>-0.009085719760438687</v>
      </c>
      <c r="BL72" s="16">
        <v>-0.000005033601221857977</v>
      </c>
      <c r="BM72" s="16">
        <v>-0.000013829705695593998</v>
      </c>
      <c r="BN72" s="16">
        <v>-0.01971723886811138</v>
      </c>
      <c r="BO72" s="16">
        <v>-0.000009354288965942077</v>
      </c>
      <c r="BP72" s="16">
        <v>-0.0000257006977089794</v>
      </c>
      <c r="BQ72" s="16">
        <v>-0.05</v>
      </c>
      <c r="BR72" s="16">
        <v>0</v>
      </c>
      <c r="BS72" s="16">
        <v>0</v>
      </c>
      <c r="BT72" s="45">
        <v>33981.43387592912</v>
      </c>
      <c r="BU72" s="45">
        <v>33981.43387592912</v>
      </c>
      <c r="BV72" s="45">
        <v>33836.34808747643</v>
      </c>
      <c r="BW72" s="45">
        <v>32825.41069381918</v>
      </c>
      <c r="BX72" s="45">
        <v>30736.23784908707</v>
      </c>
      <c r="BY72" s="45">
        <v>29379.988567640823</v>
      </c>
      <c r="BZ72" s="45">
        <v>27414.141880873223</v>
      </c>
      <c r="CA72" s="45">
        <v>25850.11438409473</v>
      </c>
      <c r="CB72" s="45">
        <v>22255.918255132154</v>
      </c>
      <c r="CC72" s="45">
        <v>19344.215025217793</v>
      </c>
      <c r="CD72" s="45">
        <v>16541.55736742738</v>
      </c>
      <c r="CE72" s="45">
        <v>13848.649922224567</v>
      </c>
      <c r="CF72" s="45">
        <v>9770.193897502191</v>
      </c>
      <c r="CG72" s="45">
        <v>7425.342768962312</v>
      </c>
      <c r="CH72" s="45">
        <v>5859.134998753663</v>
      </c>
      <c r="CI72" s="45">
        <v>4736.623047368047</v>
      </c>
      <c r="CJ72" s="45">
        <v>3041.2948651592783</v>
      </c>
      <c r="CK72" s="45">
        <v>1688.5042626825295</v>
      </c>
      <c r="CL72" s="45">
        <v>-655.2488731579679</v>
      </c>
      <c r="CM72" s="45">
        <v>-2196.8524640870155</v>
      </c>
      <c r="CN72" s="45">
        <v>-4677.958586801249</v>
      </c>
      <c r="CO72" s="45">
        <v>-5790.583579096708</v>
      </c>
      <c r="CP72" s="45">
        <v>6.55418261885643e-13</v>
      </c>
      <c r="CQ72" s="45">
        <v>6.55418261885643e-13</v>
      </c>
      <c r="CR72" s="45">
        <v>-27.197430986823974</v>
      </c>
      <c r="CS72" s="45">
        <v>-198.5654919984511</v>
      </c>
      <c r="CT72" s="45">
        <v>-507.06699116127425</v>
      </c>
      <c r="CU72" s="45">
        <v>-693.2987699946581</v>
      </c>
      <c r="CV72" s="45">
        <v>-953.4941982926716</v>
      </c>
      <c r="CW72" s="45">
        <v>-1138.4888960791534</v>
      </c>
      <c r="CX72" s="45">
        <v>-1371.3704677804517</v>
      </c>
      <c r="CY72" s="45">
        <v>-1504.984004726396</v>
      </c>
      <c r="CZ72" s="45">
        <v>-1632.6492924315103</v>
      </c>
      <c r="DA72" s="45">
        <v>-1726.618910374578</v>
      </c>
      <c r="DB72" s="45">
        <v>-1701.433186591485</v>
      </c>
      <c r="DC72" s="45">
        <v>-1603.8251762456696</v>
      </c>
      <c r="DD72" s="45">
        <v>-1517.1777338527552</v>
      </c>
      <c r="DE72" s="45">
        <v>-1467.7268009567144</v>
      </c>
      <c r="DF72" s="45">
        <v>-1403.2092974993138</v>
      </c>
      <c r="DG72" s="45">
        <v>-1328.839332042616</v>
      </c>
      <c r="DH72" s="45">
        <v>-1065.0834285933452</v>
      </c>
      <c r="DI72" s="45">
        <v>-844.3480185761287</v>
      </c>
      <c r="DJ72" s="45">
        <v>-345.28077052365353</v>
      </c>
      <c r="DK72" s="45">
        <v>0</v>
      </c>
      <c r="DL72" s="45">
        <v>-5.220063030719757e-12</v>
      </c>
      <c r="DM72" s="45">
        <v>-5.220063030719757e-12</v>
      </c>
      <c r="DN72" s="45">
        <v>-94.33800480879368</v>
      </c>
      <c r="DO72" s="45">
        <v>-686.5203661960024</v>
      </c>
      <c r="DP72" s="45">
        <v>-1782.7730634687243</v>
      </c>
      <c r="DQ72" s="45">
        <v>-2445.237076347368</v>
      </c>
      <c r="DR72" s="45">
        <v>-3374.891662482753</v>
      </c>
      <c r="DS72" s="45">
        <v>-4071.8587872752555</v>
      </c>
      <c r="DT72" s="45">
        <v>-5365.064356903673</v>
      </c>
      <c r="DU72" s="45">
        <v>-6005.710694255843</v>
      </c>
      <c r="DV72" s="45">
        <v>-6408.462626400027</v>
      </c>
      <c r="DW72" s="45">
        <v>-6683.2128005392515</v>
      </c>
      <c r="DX72" s="45">
        <v>-6731.606056257953</v>
      </c>
      <c r="DY72" s="45">
        <v>-6467.939395423858</v>
      </c>
      <c r="DZ72" s="45">
        <v>-6165.599522685701</v>
      </c>
      <c r="EA72" s="45">
        <v>-5830.856861734377</v>
      </c>
      <c r="EB72" s="45">
        <v>-5178.98314510896</v>
      </c>
      <c r="EC72" s="45">
        <v>-4551.910889521905</v>
      </c>
      <c r="ED72" s="45">
        <v>-3270.6623781247376</v>
      </c>
      <c r="EE72" s="45">
        <v>-2341.237110622212</v>
      </c>
      <c r="EF72" s="45">
        <v>-764.589615329438</v>
      </c>
      <c r="EG72" s="45">
        <v>5.960464477539062e-14</v>
      </c>
      <c r="EH72" s="46">
        <f>MAX(1,MIN(21,SUMPRODUCT(--($BT72:$CO72&gt;=Pu))))</f>
      </c>
      <c r="EI72" s="47">
        <f>(Pu-INDEX($BT72:$CO72,1,$EH72))/(INDEX($BT72:$CO72,1,$EH72+1)-INDEX($BT72:$CO72,1,$EH72))</f>
      </c>
      <c r="EJ72" s="39">
        <f>INDEX($CP72:$DK72,1,$EH72)+$EI72*(INDEX($CP72:$DK72,1,$EH72+1)-INDEX($CP72:$DK72,1,$EH72))</f>
      </c>
      <c r="EK72" s="39">
        <f>INDEX($DL72:$EG72,1,$EH72)+$EI72*(INDEX($DL72:$EG72,1,$EH72+1)-INDEX($DL72:$EG72,1,$EH72))</f>
      </c>
      <c r="EL72" s="39">
        <f>SQRT(EJ72^2+EK72^2)</f>
      </c>
      <c r="EM72" s="20">
        <f>EJ73-EJ72</f>
      </c>
      <c r="EN72" s="20">
        <f>EK73-EK72</f>
      </c>
      <c r="EO72" s="20">
        <f>EM72*SIN(RADIANS(theta_L))-EN72*COS(RADIANS(theta_L))</f>
      </c>
      <c r="EP72" s="47">
        <f>IF(EO72=0,"",-(EJ72*SIN(RADIANS(theta_L))-EK72*COS(RADIANS(theta_L)))/EO72)</f>
      </c>
      <c r="EQ72" s="20">
        <f>IF(EP72="","",(EJ72+EP72*EM72)*COS(RADIANS(theta_L))+(EK72+EP72*EN72)*SIN(RADIANS(theta_L)))</f>
      </c>
      <c r="ER72" s="20">
        <f>IF(OR(EP72="",EP72&lt;0,EP72&gt;1,EQ72&lt;0),"",EQ72)</f>
      </c>
    </row>
    <row r="73" spans="1:148" x14ac:dyDescent="0.25">
      <c r="A73">
        <v>66</v>
      </c>
      <c r="B73" s="44">
        <v>255</v>
      </c>
      <c r="C73" s="18">
        <v>827.9719877578095</v>
      </c>
      <c r="D73" s="18">
        <v>-734.4752754073227</v>
      </c>
      <c r="E73" s="18">
        <v>1562.4472631651322</v>
      </c>
      <c r="F73" s="16">
        <v>0.0033</v>
      </c>
      <c r="G73" s="16">
        <v>0</v>
      </c>
      <c r="H73" s="16">
        <v>0</v>
      </c>
      <c r="I73" s="16">
        <v>0.00275</v>
      </c>
      <c r="J73" s="16">
        <v>-1.719266797804098e-7</v>
      </c>
      <c r="K73" s="16">
        <v>-6.416391041171146e-7</v>
      </c>
      <c r="L73" s="16">
        <v>0.0024749999999999998</v>
      </c>
      <c r="M73" s="16">
        <v>-2.578900196706148e-7</v>
      </c>
      <c r="N73" s="16">
        <v>-9.624586561756721e-7</v>
      </c>
      <c r="O73" s="16">
        <v>0.0022</v>
      </c>
      <c r="P73" s="16">
        <v>-3.438533595608197e-7</v>
      </c>
      <c r="Q73" s="16">
        <v>-0.0000012832782082342294</v>
      </c>
      <c r="R73" s="16">
        <v>0.001925</v>
      </c>
      <c r="S73" s="16">
        <v>-4.298166994510246e-7</v>
      </c>
      <c r="T73" s="16">
        <v>-0.0000016040977602927868</v>
      </c>
      <c r="U73" s="16">
        <v>0.0018000000000000002</v>
      </c>
      <c r="V73" s="16">
        <v>-4.688909448556632e-7</v>
      </c>
      <c r="W73" s="16">
        <v>-0.0000017499248294103126</v>
      </c>
      <c r="X73" s="16">
        <v>0.00165</v>
      </c>
      <c r="Y73" s="16">
        <v>-5.157800393412296e-7</v>
      </c>
      <c r="Z73" s="16">
        <v>-0.0000019249173123513443</v>
      </c>
      <c r="AA73" s="16">
        <v>0.0015512641392671448</v>
      </c>
      <c r="AB73" s="16">
        <v>-5.4664427336134e-7</v>
      </c>
      <c r="AC73" s="16">
        <v>-0.0000020401042018510924</v>
      </c>
      <c r="AD73" s="16">
        <v>0.0012863041603682272</v>
      </c>
      <c r="AE73" s="16">
        <v>-6.294691632645733e-7</v>
      </c>
      <c r="AF73" s="16">
        <v>-0.0000023492108991012574</v>
      </c>
      <c r="AG73" s="16">
        <v>0.0010213441814693096</v>
      </c>
      <c r="AH73" s="16">
        <v>-7.122940531678067e-7</v>
      </c>
      <c r="AI73" s="16">
        <v>-0.0000026583175963514233</v>
      </c>
      <c r="AJ73" s="16">
        <v>0.000756384202570392</v>
      </c>
      <c r="AK73" s="16">
        <v>-7.9511894307104e-7</v>
      </c>
      <c r="AL73" s="16">
        <v>-0.000002967424293601589</v>
      </c>
      <c r="AM73" s="16">
        <v>0.0004914242236714749</v>
      </c>
      <c r="AN73" s="16">
        <v>-8.779438329742734e-7</v>
      </c>
      <c r="AO73" s="16">
        <v>-0.000003276530990851754</v>
      </c>
      <c r="AP73" s="16">
        <v>-0.00003849573412636033</v>
      </c>
      <c r="AQ73" s="16">
        <v>-0.00000104359361278074</v>
      </c>
      <c r="AR73" s="16">
        <v>-0.000003894744385352085</v>
      </c>
      <c r="AS73" s="16">
        <v>-0.0005684156919241947</v>
      </c>
      <c r="AT73" s="16">
        <v>-0.0000012092433925872067</v>
      </c>
      <c r="AU73" s="16">
        <v>-0.000004512957779852416</v>
      </c>
      <c r="AV73" s="16">
        <v>-0.0010983356497220303</v>
      </c>
      <c r="AW73" s="16">
        <v>-0.0000013748931723936733</v>
      </c>
      <c r="AX73" s="16">
        <v>-0.000005131171174352748</v>
      </c>
      <c r="AY73" s="16">
        <v>-0.0016282556075198646</v>
      </c>
      <c r="AZ73" s="16">
        <v>-0.00000154054295220014</v>
      </c>
      <c r="BA73" s="16">
        <v>-0.000005749384568853078</v>
      </c>
      <c r="BB73" s="16">
        <v>-0.002688095523115535</v>
      </c>
      <c r="BC73" s="16">
        <v>-0.0000018718425118130737</v>
      </c>
      <c r="BD73" s="16">
        <v>-0.000006985811357853741</v>
      </c>
      <c r="BE73" s="16">
        <v>-0.0037479354387112036</v>
      </c>
      <c r="BF73" s="16">
        <v>-0.0000022031420714260063</v>
      </c>
      <c r="BG73" s="16">
        <v>-0.000008222238146854401</v>
      </c>
      <c r="BH73" s="16">
        <v>-0.00639753522770038</v>
      </c>
      <c r="BI73" s="16">
        <v>-0.00000303139097045834</v>
      </c>
      <c r="BJ73" s="16">
        <v>-0.000011313305119356057</v>
      </c>
      <c r="BK73" s="16">
        <v>-0.009047135016689554</v>
      </c>
      <c r="BL73" s="16">
        <v>-0.0000038596398694906734</v>
      </c>
      <c r="BM73" s="16">
        <v>-0.000014404372091857712</v>
      </c>
      <c r="BN73" s="16">
        <v>-0.01964553417264625</v>
      </c>
      <c r="BO73" s="16">
        <v>-0.000007172635465620006</v>
      </c>
      <c r="BP73" s="16">
        <v>-0.00002676863998186433</v>
      </c>
      <c r="BQ73" s="16">
        <v>-0.05</v>
      </c>
      <c r="BR73" s="16">
        <v>0</v>
      </c>
      <c r="BS73" s="16">
        <v>0</v>
      </c>
      <c r="BT73" s="45">
        <v>33981.43387592912</v>
      </c>
      <c r="BU73" s="45">
        <v>33981.43387592912</v>
      </c>
      <c r="BV73" s="45">
        <v>33818.40755745701</v>
      </c>
      <c r="BW73" s="45">
        <v>32769.77922541595</v>
      </c>
      <c r="BX73" s="45">
        <v>30624.342548843444</v>
      </c>
      <c r="BY73" s="45">
        <v>29239.849351822813</v>
      </c>
      <c r="BZ73" s="45">
        <v>27219.37396324113</v>
      </c>
      <c r="CA73" s="45">
        <v>25715.616334785827</v>
      </c>
      <c r="CB73" s="45">
        <v>22178.85779751111</v>
      </c>
      <c r="CC73" s="45">
        <v>19344.517464090182</v>
      </c>
      <c r="CD73" s="45">
        <v>16591.64393229966</v>
      </c>
      <c r="CE73" s="45">
        <v>13901.988136858547</v>
      </c>
      <c r="CF73" s="45">
        <v>9867.924573657632</v>
      </c>
      <c r="CG73" s="45">
        <v>7517.956764252369</v>
      </c>
      <c r="CH73" s="45">
        <v>6081.0066878114185</v>
      </c>
      <c r="CI73" s="45">
        <v>5009.373775305657</v>
      </c>
      <c r="CJ73" s="45">
        <v>3415.3834692584387</v>
      </c>
      <c r="CK73" s="45">
        <v>2186.499901833181</v>
      </c>
      <c r="CL73" s="45">
        <v>-133.15244209943432</v>
      </c>
      <c r="CM73" s="45">
        <v>-1743.7374147092378</v>
      </c>
      <c r="CN73" s="45">
        <v>-4511.771838811813</v>
      </c>
      <c r="CO73" s="45">
        <v>-5790.583579096708</v>
      </c>
      <c r="CP73" s="45">
        <v>6.55418261885643e-13</v>
      </c>
      <c r="CQ73" s="45">
        <v>6.55418261885643e-13</v>
      </c>
      <c r="CR73" s="45">
        <v>-21.3686066558365</v>
      </c>
      <c r="CS73" s="45">
        <v>-156.81587899063928</v>
      </c>
      <c r="CT73" s="45">
        <v>-395.06666969906655</v>
      </c>
      <c r="CU73" s="45">
        <v>-542.207777720168</v>
      </c>
      <c r="CV73" s="45">
        <v>-742.2725740035447</v>
      </c>
      <c r="CW73" s="45">
        <v>-873.6286138343403</v>
      </c>
      <c r="CX73" s="45">
        <v>-1025.3645392072249</v>
      </c>
      <c r="CY73" s="45">
        <v>-1120.0971289176298</v>
      </c>
      <c r="CZ73" s="45">
        <v>-1222.5084222367623</v>
      </c>
      <c r="DA73" s="45">
        <v>-1297.5538866083166</v>
      </c>
      <c r="DB73" s="45">
        <v>-1289.4212342410758</v>
      </c>
      <c r="DC73" s="45">
        <v>-1200.3731265428894</v>
      </c>
      <c r="DD73" s="45">
        <v>-1127.8101100016331</v>
      </c>
      <c r="DE73" s="45">
        <v>-1085.641500695731</v>
      </c>
      <c r="DF73" s="45">
        <v>-1072.23352006445</v>
      </c>
      <c r="DG73" s="45">
        <v>-1042.5813080039504</v>
      </c>
      <c r="DH73" s="45">
        <v>-887.107617949878</v>
      </c>
      <c r="DI73" s="45">
        <v>-710.5593373639166</v>
      </c>
      <c r="DJ73" s="45">
        <v>-354.1495068759497</v>
      </c>
      <c r="DK73" s="45">
        <v>0</v>
      </c>
      <c r="DL73" s="45">
        <v>-5.220063030719757e-12</v>
      </c>
      <c r="DM73" s="45">
        <v>-5.220063030719757e-12</v>
      </c>
      <c r="DN73" s="45">
        <v>-107.93113971531463</v>
      </c>
      <c r="DO73" s="45">
        <v>-732.833456841271</v>
      </c>
      <c r="DP73" s="45">
        <v>-1883.4963445814842</v>
      </c>
      <c r="DQ73" s="45">
        <v>-2576.146182949941</v>
      </c>
      <c r="DR73" s="45">
        <v>-3546.581210601416</v>
      </c>
      <c r="DS73" s="45">
        <v>-4238.733721010056</v>
      </c>
      <c r="DT73" s="45">
        <v>-5536.352246868099</v>
      </c>
      <c r="DU73" s="45">
        <v>-6151.105264779265</v>
      </c>
      <c r="DV73" s="45">
        <v>-6552.6282252833025</v>
      </c>
      <c r="DW73" s="45">
        <v>-6841.814186799574</v>
      </c>
      <c r="DX73" s="45">
        <v>-6876.663251552715</v>
      </c>
      <c r="DY73" s="45">
        <v>-6639.00433409593</v>
      </c>
      <c r="DZ73" s="45">
        <v>-6368.639079681201</v>
      </c>
      <c r="EA73" s="45">
        <v>-6080.271951891674</v>
      </c>
      <c r="EB73" s="45">
        <v>-5484.108831946713</v>
      </c>
      <c r="EC73" s="45">
        <v>-4915.949241246387</v>
      </c>
      <c r="ED73" s="45">
        <v>-3656.8816166531105</v>
      </c>
      <c r="EE73" s="45">
        <v>-2684.4151971328297</v>
      </c>
      <c r="EF73" s="45">
        <v>-884.2351129129323</v>
      </c>
      <c r="EG73" s="45">
        <v>5.960464477539062e-14</v>
      </c>
      <c r="EH73" s="46">
        <f>MAX(1,MIN(21,SUMPRODUCT(--($BT73:$CO73&gt;=Pu))))</f>
      </c>
      <c r="EI73" s="47">
        <f>(Pu-INDEX($BT73:$CO73,1,$EH73))/(INDEX($BT73:$CO73,1,$EH73+1)-INDEX($BT73:$CO73,1,$EH73))</f>
      </c>
      <c r="EJ73" s="39">
        <f>INDEX($CP73:$DK73,1,$EH73)+$EI73*(INDEX($CP73:$DK73,1,$EH73+1)-INDEX($CP73:$DK73,1,$EH73))</f>
      </c>
      <c r="EK73" s="39">
        <f>INDEX($DL73:$EG73,1,$EH73)+$EI73*(INDEX($DL73:$EG73,1,$EH73+1)-INDEX($DL73:$EG73,1,$EH73))</f>
      </c>
      <c r="EL73" s="39">
        <f>SQRT(EJ73^2+EK73^2)</f>
      </c>
      <c r="EM73" s="20">
        <f>EJ74-EJ73</f>
      </c>
      <c r="EN73" s="20">
        <f>EK74-EK73</f>
      </c>
      <c r="EO73" s="20">
        <f>EM73*SIN(RADIANS(theta_L))-EN73*COS(RADIANS(theta_L))</f>
      </c>
      <c r="EP73" s="47">
        <f>IF(EO73=0,"",-(EJ73*SIN(RADIANS(theta_L))-EK73*COS(RADIANS(theta_L)))/EO73)</f>
      </c>
      <c r="EQ73" s="20">
        <f>IF(EP73="","",(EJ73+EP73*EM73)*COS(RADIANS(theta_L))+(EK73+EP73*EN73)*SIN(RADIANS(theta_L)))</f>
      </c>
      <c r="ER73" s="20">
        <f>IF(OR(EP73="",EP73&lt;0,EP73&gt;1,EQ73&lt;0),"",EQ73)</f>
      </c>
    </row>
    <row r="74" spans="1:148" x14ac:dyDescent="0.25">
      <c r="A74">
        <v>67</v>
      </c>
      <c r="B74" s="44">
        <v>260</v>
      </c>
      <c r="C74" s="18">
        <v>808.0650858259281</v>
      </c>
      <c r="D74" s="18">
        <v>-721.7637253483805</v>
      </c>
      <c r="E74" s="18">
        <v>1529.8288111743086</v>
      </c>
      <c r="F74" s="16">
        <v>0.0033</v>
      </c>
      <c r="G74" s="16">
        <v>0</v>
      </c>
      <c r="H74" s="16">
        <v>0</v>
      </c>
      <c r="I74" s="16">
        <v>0.00275</v>
      </c>
      <c r="J74" s="16">
        <v>-1.1819159049446361e-7</v>
      </c>
      <c r="K74" s="16">
        <v>-6.702978184029528e-7</v>
      </c>
      <c r="L74" s="16">
        <v>0.0024749999999999998</v>
      </c>
      <c r="M74" s="16">
        <v>-1.7728738574169539e-7</v>
      </c>
      <c r="N74" s="16">
        <v>-0.000001005446727604429</v>
      </c>
      <c r="O74" s="16">
        <v>0.0021999999999999997</v>
      </c>
      <c r="P74" s="16">
        <v>-2.3638318098892722e-7</v>
      </c>
      <c r="Q74" s="16">
        <v>-0.0000013405956368059057</v>
      </c>
      <c r="R74" s="16">
        <v>0.001925</v>
      </c>
      <c r="S74" s="16">
        <v>-2.95478976236159e-7</v>
      </c>
      <c r="T74" s="16">
        <v>-0.000001675744546007382</v>
      </c>
      <c r="U74" s="16">
        <v>0.0018000000000000002</v>
      </c>
      <c r="V74" s="16">
        <v>-3.223407013485371e-7</v>
      </c>
      <c r="W74" s="16">
        <v>-0.00000182808495928078</v>
      </c>
      <c r="X74" s="16">
        <v>0.00165</v>
      </c>
      <c r="Y74" s="16">
        <v>-3.5457477148339077e-7</v>
      </c>
      <c r="Z74" s="16">
        <v>-0.000002010893455208858</v>
      </c>
      <c r="AA74" s="16">
        <v>0.0015569194907640365</v>
      </c>
      <c r="AB74" s="16">
        <v>-3.745771959027238e-7</v>
      </c>
      <c r="AC74" s="16">
        <v>-0.000002124332841166499</v>
      </c>
      <c r="AD74" s="16">
        <v>0.0012928163833040417</v>
      </c>
      <c r="AE74" s="16">
        <v>-4.313313164940456e-7</v>
      </c>
      <c r="AF74" s="16">
        <v>-0.000002446201453464453</v>
      </c>
      <c r="AG74" s="16">
        <v>0.0010287132758440474</v>
      </c>
      <c r="AH74" s="16">
        <v>-4.880854370853674e-7</v>
      </c>
      <c r="AI74" s="16">
        <v>-0.0000027680700657624075</v>
      </c>
      <c r="AJ74" s="16">
        <v>0.0007646101683840526</v>
      </c>
      <c r="AK74" s="16">
        <v>-5.448395576766892e-7</v>
      </c>
      <c r="AL74" s="16">
        <v>-0.0000030899386780603623</v>
      </c>
      <c r="AM74" s="16">
        <v>0.0005005070609240582</v>
      </c>
      <c r="AN74" s="16">
        <v>-6.01593678268011e-7</v>
      </c>
      <c r="AO74" s="16">
        <v>-0.0000034118072903583166</v>
      </c>
      <c r="AP74" s="16">
        <v>-0.000027699153995930977</v>
      </c>
      <c r="AQ74" s="16">
        <v>-7.151019194506547e-7</v>
      </c>
      <c r="AR74" s="16">
        <v>-0.000004055544514954226</v>
      </c>
      <c r="AS74" s="16">
        <v>-0.0005559053689159197</v>
      </c>
      <c r="AT74" s="16">
        <v>-8.286101606332982e-7</v>
      </c>
      <c r="AU74" s="16">
        <v>-0.000004699281739550134</v>
      </c>
      <c r="AV74" s="16">
        <v>-0.001084111583835908</v>
      </c>
      <c r="AW74" s="16">
        <v>-9.421184018159416e-7</v>
      </c>
      <c r="AX74" s="16">
        <v>-0.000005343018964146042</v>
      </c>
      <c r="AY74" s="16">
        <v>-0.0016123177987558968</v>
      </c>
      <c r="AZ74" s="16">
        <v>-0.0000010556266429985851</v>
      </c>
      <c r="BA74" s="16">
        <v>-0.000005986756188741951</v>
      </c>
      <c r="BB74" s="16">
        <v>-0.002668730228595877</v>
      </c>
      <c r="BC74" s="16">
        <v>-0.0000012826431253638727</v>
      </c>
      <c r="BD74" s="16">
        <v>-0.000007274230637933771</v>
      </c>
      <c r="BE74" s="16">
        <v>-0.0037251426584358543</v>
      </c>
      <c r="BF74" s="16">
        <v>-0.0000015096596077291597</v>
      </c>
      <c r="BG74" s="16">
        <v>-0.000008561705087125587</v>
      </c>
      <c r="BH74" s="16">
        <v>-0.006366173733035799</v>
      </c>
      <c r="BI74" s="16">
        <v>-0.0000020772008136423776</v>
      </c>
      <c r="BJ74" s="16">
        <v>-0.00001178039121010513</v>
      </c>
      <c r="BK74" s="16">
        <v>-0.009007204807635744</v>
      </c>
      <c r="BL74" s="16">
        <v>-0.0000026447420195555955</v>
      </c>
      <c r="BM74" s="16">
        <v>-0.000014999077333084675</v>
      </c>
      <c r="BN74" s="16">
        <v>-0.019571329106035523</v>
      </c>
      <c r="BO74" s="16">
        <v>-0.000004914906843208467</v>
      </c>
      <c r="BP74" s="16">
        <v>-0.000027873821825002848</v>
      </c>
      <c r="BQ74" s="16">
        <v>-0.05</v>
      </c>
      <c r="BR74" s="16">
        <v>0</v>
      </c>
      <c r="BS74" s="16">
        <v>0</v>
      </c>
      <c r="BT74" s="45">
        <v>33981.43387592912</v>
      </c>
      <c r="BU74" s="45">
        <v>33981.43387592912</v>
      </c>
      <c r="BV74" s="45">
        <v>33796.946864879355</v>
      </c>
      <c r="BW74" s="45">
        <v>32693.445416906277</v>
      </c>
      <c r="BX74" s="45">
        <v>30469.9513829079</v>
      </c>
      <c r="BY74" s="45">
        <v>29053.731108257205</v>
      </c>
      <c r="BZ74" s="45">
        <v>26969.40359283283</v>
      </c>
      <c r="CA74" s="45">
        <v>25522.292874102313</v>
      </c>
      <c r="CB74" s="45">
        <v>22092.01642039207</v>
      </c>
      <c r="CC74" s="45">
        <v>19336.540762912115</v>
      </c>
      <c r="CD74" s="45">
        <v>16632.264881022493</v>
      </c>
      <c r="CE74" s="45">
        <v>13950.968239526464</v>
      </c>
      <c r="CF74" s="45">
        <v>9986.5894573492</v>
      </c>
      <c r="CG74" s="45">
        <v>7606.102960763538</v>
      </c>
      <c r="CH74" s="45">
        <v>6266.316214756502</v>
      </c>
      <c r="CI74" s="45">
        <v>5276.7096397367295</v>
      </c>
      <c r="CJ74" s="45">
        <v>3791.9820232034886</v>
      </c>
      <c r="CK74" s="45">
        <v>2712.5120661047285</v>
      </c>
      <c r="CL74" s="45">
        <v>528.5016138277836</v>
      </c>
      <c r="CM74" s="45">
        <v>-1083.2650680408167</v>
      </c>
      <c r="CN74" s="45">
        <v>-4088.677714225727</v>
      </c>
      <c r="CO74" s="45">
        <v>-5790.583579096708</v>
      </c>
      <c r="CP74" s="45">
        <v>6.55418261885643e-13</v>
      </c>
      <c r="CQ74" s="45">
        <v>6.55418261885643e-13</v>
      </c>
      <c r="CR74" s="45">
        <v>-14.815415485245335</v>
      </c>
      <c r="CS74" s="45">
        <v>-113.98133172316557</v>
      </c>
      <c r="CT74" s="45">
        <v>-279.7106664682269</v>
      </c>
      <c r="CU74" s="45">
        <v>-377.3023485835172</v>
      </c>
      <c r="CV74" s="45">
        <v>-516.0381993381255</v>
      </c>
      <c r="CW74" s="45">
        <v>-599.5439331125003</v>
      </c>
      <c r="CX74" s="45">
        <v>-682.9018021561558</v>
      </c>
      <c r="CY74" s="45">
        <v>-741.6853284676238</v>
      </c>
      <c r="CZ74" s="45">
        <v>-815.7557393988737</v>
      </c>
      <c r="DA74" s="45">
        <v>-871.7254317437507</v>
      </c>
      <c r="DB74" s="45">
        <v>-876.8554596238873</v>
      </c>
      <c r="DC74" s="45">
        <v>-798.1955135174882</v>
      </c>
      <c r="DD74" s="45">
        <v>-747.2234515249588</v>
      </c>
      <c r="DE74" s="45">
        <v>-729.5107138514834</v>
      </c>
      <c r="DF74" s="45">
        <v>-709.7674543297819</v>
      </c>
      <c r="DG74" s="45">
        <v>-710.1567536238477</v>
      </c>
      <c r="DH74" s="45">
        <v>-657.4063167170542</v>
      </c>
      <c r="DI74" s="45">
        <v>-522.2874691167726</v>
      </c>
      <c r="DJ74" s="45">
        <v>-354.65289096948516</v>
      </c>
      <c r="DK74" s="45">
        <v>0</v>
      </c>
      <c r="DL74" s="45">
        <v>-5.220063030719757e-12</v>
      </c>
      <c r="DM74" s="45">
        <v>-5.220063030719757e-12</v>
      </c>
      <c r="DN74" s="45">
        <v>-123.87349040243559</v>
      </c>
      <c r="DO74" s="45">
        <v>-787.0980002584629</v>
      </c>
      <c r="DP74" s="45">
        <v>-1996.1554859458247</v>
      </c>
      <c r="DQ74" s="45">
        <v>-2723.96957593661</v>
      </c>
      <c r="DR74" s="45">
        <v>-3738.706731632226</v>
      </c>
      <c r="DS74" s="45">
        <v>-4416.561164797146</v>
      </c>
      <c r="DT74" s="45">
        <v>-5680.1245350949575</v>
      </c>
      <c r="DU74" s="45">
        <v>-6269.706616466175</v>
      </c>
      <c r="DV74" s="45">
        <v>-6672.286205063182</v>
      </c>
      <c r="DW74" s="45">
        <v>-6974.454836912981</v>
      </c>
      <c r="DX74" s="45">
        <v>-6993.660793983501</v>
      </c>
      <c r="DY74" s="45">
        <v>-6769.245516311514</v>
      </c>
      <c r="DZ74" s="45">
        <v>-6514.041698098367</v>
      </c>
      <c r="EA74" s="45">
        <v>-6267.982165607196</v>
      </c>
      <c r="EB74" s="45">
        <v>-5761.221046768871</v>
      </c>
      <c r="EC74" s="45">
        <v>-5272.8393916604255</v>
      </c>
      <c r="ED74" s="45">
        <v>-4121.084011741388</v>
      </c>
      <c r="EE74" s="45">
        <v>-3163.6850564638967</v>
      </c>
      <c r="EF74" s="45">
        <v>-1180.7341931985727</v>
      </c>
      <c r="EG74" s="45">
        <v>5.960464477539062e-14</v>
      </c>
      <c r="EH74" s="46">
        <f>MAX(1,MIN(21,SUMPRODUCT(--($BT74:$CO74&gt;=Pu))))</f>
      </c>
      <c r="EI74" s="47">
        <f>(Pu-INDEX($BT74:$CO74,1,$EH74))/(INDEX($BT74:$CO74,1,$EH74+1)-INDEX($BT74:$CO74,1,$EH74))</f>
      </c>
      <c r="EJ74" s="39">
        <f>INDEX($CP74:$DK74,1,$EH74)+$EI74*(INDEX($CP74:$DK74,1,$EH74+1)-INDEX($CP74:$DK74,1,$EH74))</f>
      </c>
      <c r="EK74" s="39">
        <f>INDEX($DL74:$EG74,1,$EH74)+$EI74*(INDEX($DL74:$EG74,1,$EH74+1)-INDEX($DL74:$EG74,1,$EH74))</f>
      </c>
      <c r="EL74" s="39">
        <f>SQRT(EJ74^2+EK74^2)</f>
      </c>
      <c r="EM74" s="20">
        <f>EJ75-EJ74</f>
      </c>
      <c r="EN74" s="20">
        <f>EK75-EK74</f>
      </c>
      <c r="EO74" s="20">
        <f>EM74*SIN(RADIANS(theta_L))-EN74*COS(RADIANS(theta_L))</f>
      </c>
      <c r="EP74" s="47">
        <f>IF(EO74=0,"",-(EJ74*SIN(RADIANS(theta_L))-EK74*COS(RADIANS(theta_L)))/EO74)</f>
      </c>
      <c r="EQ74" s="20">
        <f>IF(EP74="","",(EJ74+EP74*EM74)*COS(RADIANS(theta_L))+(EK74+EP74*EN74)*SIN(RADIANS(theta_L)))</f>
      </c>
      <c r="ER74" s="20">
        <f>IF(OR(EP74="",EP74&lt;0,EP74&gt;1,EQ74&lt;0),"",EQ74)</f>
      </c>
    </row>
    <row r="75" spans="1:148" x14ac:dyDescent="0.25">
      <c r="A75">
        <v>68</v>
      </c>
      <c r="B75" s="44">
        <v>262.5</v>
      </c>
      <c r="C75" s="18">
        <v>795.7941229183784</v>
      </c>
      <c r="D75" s="18">
        <v>-713.3403634002066</v>
      </c>
      <c r="E75" s="18">
        <v>1509.134486318585</v>
      </c>
      <c r="F75" s="16">
        <v>0.0033</v>
      </c>
      <c r="G75" s="16">
        <v>0</v>
      </c>
      <c r="H75" s="16">
        <v>0</v>
      </c>
      <c r="I75" s="16">
        <v>0.00275</v>
      </c>
      <c r="J75" s="16">
        <v>-9.021102776903967e-8</v>
      </c>
      <c r="K75" s="16">
        <v>-6.852207851898455e-7</v>
      </c>
      <c r="L75" s="16">
        <v>0.0024749999999999998</v>
      </c>
      <c r="M75" s="16">
        <v>-1.353165416535595e-7</v>
      </c>
      <c r="N75" s="16">
        <v>-0.0000010278311777847682</v>
      </c>
      <c r="O75" s="16">
        <v>0.0021999999999999997</v>
      </c>
      <c r="P75" s="16">
        <v>-1.8042205553807933e-7</v>
      </c>
      <c r="Q75" s="16">
        <v>-0.000001370441570379691</v>
      </c>
      <c r="R75" s="16">
        <v>0.0019249999999999998</v>
      </c>
      <c r="S75" s="16">
        <v>-2.2552756942259917e-7</v>
      </c>
      <c r="T75" s="16">
        <v>-0.0000017130519629746139</v>
      </c>
      <c r="U75" s="16">
        <v>0.0018000000000000002</v>
      </c>
      <c r="V75" s="16">
        <v>-2.460300757337445e-7</v>
      </c>
      <c r="W75" s="16">
        <v>-0.0000018687839596086693</v>
      </c>
      <c r="X75" s="16">
        <v>0.0016499999999999998</v>
      </c>
      <c r="Y75" s="16">
        <v>-2.70633083307119e-7</v>
      </c>
      <c r="Z75" s="16">
        <v>-0.0000020556623555695365</v>
      </c>
      <c r="AA75" s="16">
        <v>0.0015598498480828814</v>
      </c>
      <c r="AB75" s="16">
        <v>-2.854195157761705e-7</v>
      </c>
      <c r="AC75" s="16">
        <v>-0.0000021679764608088673</v>
      </c>
      <c r="AD75" s="16">
        <v>0.001296190734156045</v>
      </c>
      <c r="AE75" s="16">
        <v>-3.286648969543782e-7</v>
      </c>
      <c r="AF75" s="16">
        <v>-0.000002496457742749605</v>
      </c>
      <c r="AG75" s="16">
        <v>0.0010325316202292089</v>
      </c>
      <c r="AH75" s="16">
        <v>-3.719102781325858e-7</v>
      </c>
      <c r="AI75" s="16">
        <v>-0.0000028249390246903424</v>
      </c>
      <c r="AJ75" s="16">
        <v>0.0007688725063023723</v>
      </c>
      <c r="AK75" s="16">
        <v>-4.1515565931079354e-7</v>
      </c>
      <c r="AL75" s="16">
        <v>-0.0000031534203066310805</v>
      </c>
      <c r="AM75" s="16">
        <v>0.0005052133923755366</v>
      </c>
      <c r="AN75" s="16">
        <v>-4.5840104048900116e-7</v>
      </c>
      <c r="AO75" s="16">
        <v>-0.0000034819015885718174</v>
      </c>
      <c r="AP75" s="16">
        <v>-0.000022104835478136547</v>
      </c>
      <c r="AQ75" s="16">
        <v>-5.448918028454165e-7</v>
      </c>
      <c r="AR75" s="16">
        <v>-0.000004138864152453293</v>
      </c>
      <c r="AS75" s="16">
        <v>-0.000549423063331808</v>
      </c>
      <c r="AT75" s="16">
        <v>-6.313825652018317e-7</v>
      </c>
      <c r="AU75" s="16">
        <v>-0.0000047958267163347676</v>
      </c>
      <c r="AV75" s="16">
        <v>-0.0010767412911854802</v>
      </c>
      <c r="AW75" s="16">
        <v>-7.178733275582471e-7</v>
      </c>
      <c r="AX75" s="16">
        <v>-0.000005452789280216242</v>
      </c>
      <c r="AY75" s="16">
        <v>-0.0016040595190391534</v>
      </c>
      <c r="AZ75" s="16">
        <v>-8.043640899146623e-7</v>
      </c>
      <c r="BA75" s="16">
        <v>-0.000006109751844097718</v>
      </c>
      <c r="BB75" s="16">
        <v>-0.0026586959747464988</v>
      </c>
      <c r="BC75" s="16">
        <v>-9.77345614627493e-7</v>
      </c>
      <c r="BD75" s="16">
        <v>-0.000007423676971860669</v>
      </c>
      <c r="BE75" s="16">
        <v>-0.0037133324304538416</v>
      </c>
      <c r="BF75" s="16">
        <v>-0.0000011503271393403235</v>
      </c>
      <c r="BG75" s="16">
        <v>-0.000008737602099623617</v>
      </c>
      <c r="BH75" s="16">
        <v>-0.006349923569722205</v>
      </c>
      <c r="BI75" s="16">
        <v>-0.0000015827809511224002</v>
      </c>
      <c r="BJ75" s="16">
        <v>-0.000012022414919030994</v>
      </c>
      <c r="BK75" s="16">
        <v>-0.008986514708990569</v>
      </c>
      <c r="BL75" s="16">
        <v>-0.000002015234762904477</v>
      </c>
      <c r="BM75" s="16">
        <v>-0.00001530722773843837</v>
      </c>
      <c r="BN75" s="16">
        <v>-0.019532879266064014</v>
      </c>
      <c r="BO75" s="16">
        <v>-0.000003745050010032783</v>
      </c>
      <c r="BP75" s="16">
        <v>-0.000028446479016067868</v>
      </c>
      <c r="BQ75" s="16">
        <v>-0.05</v>
      </c>
      <c r="BR75" s="16">
        <v>0</v>
      </c>
      <c r="BS75" s="16">
        <v>0</v>
      </c>
      <c r="BT75" s="45">
        <v>33981.43387592912</v>
      </c>
      <c r="BU75" s="45">
        <v>33981.43387592912</v>
      </c>
      <c r="BV75" s="45">
        <v>33784.43497804612</v>
      </c>
      <c r="BW75" s="45">
        <v>32648.65598692736</v>
      </c>
      <c r="BX75" s="45">
        <v>30378.683342030778</v>
      </c>
      <c r="BY75" s="45">
        <v>28931.658626656772</v>
      </c>
      <c r="BZ75" s="45">
        <v>26820.862504224428</v>
      </c>
      <c r="CA75" s="45">
        <v>25405.702421497343</v>
      </c>
      <c r="CB75" s="45">
        <v>22034.6725282739</v>
      </c>
      <c r="CC75" s="45">
        <v>19331.474248432303</v>
      </c>
      <c r="CD75" s="45">
        <v>16648.205982975735</v>
      </c>
      <c r="CE75" s="45">
        <v>13975.03250100954</v>
      </c>
      <c r="CF75" s="45">
        <v>10051.84915957068</v>
      </c>
      <c r="CG75" s="45">
        <v>7684.813240388489</v>
      </c>
      <c r="CH75" s="45">
        <v>6355.15540080032</v>
      </c>
      <c r="CI75" s="45">
        <v>5389.004469549427</v>
      </c>
      <c r="CJ75" s="45">
        <v>3989.742254641565</v>
      </c>
      <c r="CK75" s="45">
        <v>2957.1130646456286</v>
      </c>
      <c r="CL75" s="45">
        <v>889.0366114996448</v>
      </c>
      <c r="CM75" s="45">
        <v>-686.4535835105464</v>
      </c>
      <c r="CN75" s="45">
        <v>-3660.18003194787</v>
      </c>
      <c r="CO75" s="45">
        <v>-5790.583579096708</v>
      </c>
      <c r="CP75" s="45">
        <v>6.55418261885643e-13</v>
      </c>
      <c r="CQ75" s="45">
        <v>6.55418261885643e-13</v>
      </c>
      <c r="CR75" s="45">
        <v>-11.101988046695888</v>
      </c>
      <c r="CS75" s="45">
        <v>-90.44532759370128</v>
      </c>
      <c r="CT75" s="45">
        <v>-217.59651854406323</v>
      </c>
      <c r="CU75" s="45">
        <v>-290.6177257290335</v>
      </c>
      <c r="CV75" s="45">
        <v>-395.5131252213382</v>
      </c>
      <c r="CW75" s="45">
        <v>-455.6608305256944</v>
      </c>
      <c r="CX75" s="45">
        <v>-513.68050716719</v>
      </c>
      <c r="CY75" s="45">
        <v>-553.8835000599362</v>
      </c>
      <c r="CZ75" s="45">
        <v>-611.3916241875829</v>
      </c>
      <c r="DA75" s="45">
        <v>-656.8830113742316</v>
      </c>
      <c r="DB75" s="45">
        <v>-663.5127268142606</v>
      </c>
      <c r="DC75" s="45">
        <v>-601.3533668065895</v>
      </c>
      <c r="DD75" s="45">
        <v>-555.9549489178148</v>
      </c>
      <c r="DE75" s="45">
        <v>-558.3609923386095</v>
      </c>
      <c r="DF75" s="45">
        <v>-527.8684748168147</v>
      </c>
      <c r="DG75" s="45">
        <v>-534.6152212734427</v>
      </c>
      <c r="DH75" s="45">
        <v>-524.2639271784434</v>
      </c>
      <c r="DI75" s="45">
        <v>-405.0365913986968</v>
      </c>
      <c r="DJ75" s="45">
        <v>-302.4391092558562</v>
      </c>
      <c r="DK75" s="45">
        <v>0</v>
      </c>
      <c r="DL75" s="45">
        <v>-5.220063030719757e-12</v>
      </c>
      <c r="DM75" s="45">
        <v>-5.220063030719757e-12</v>
      </c>
      <c r="DN75" s="45">
        <v>-133.02496326948562</v>
      </c>
      <c r="DO75" s="45">
        <v>-817.8468509228048</v>
      </c>
      <c r="DP75" s="45">
        <v>-2058.8866795666427</v>
      </c>
      <c r="DQ75" s="45">
        <v>-2804.2856219134546</v>
      </c>
      <c r="DR75" s="45">
        <v>-3844.2726117222405</v>
      </c>
      <c r="DS75" s="45">
        <v>-4511.150363526482</v>
      </c>
      <c r="DT75" s="45">
        <v>-5738.236462999657</v>
      </c>
      <c r="DU75" s="45">
        <v>-6320.138450794976</v>
      </c>
      <c r="DV75" s="45">
        <v>-6724.573482026714</v>
      </c>
      <c r="DW75" s="45">
        <v>-7032.5218955329265</v>
      </c>
      <c r="DX75" s="45">
        <v>-7038.7067312747295</v>
      </c>
      <c r="DY75" s="45">
        <v>-6815.4047708227445</v>
      </c>
      <c r="DZ75" s="45">
        <v>-6575.146900351658</v>
      </c>
      <c r="EA75" s="45">
        <v>-6337.733427494979</v>
      </c>
      <c r="EB75" s="45">
        <v>-5873.736222972657</v>
      </c>
      <c r="EC75" s="45">
        <v>-5430.582393171418</v>
      </c>
      <c r="ED75" s="45">
        <v>-4364.678613220456</v>
      </c>
      <c r="EE75" s="45">
        <v>-3441.5381007606575</v>
      </c>
      <c r="EF75" s="45">
        <v>-1480.3526108622816</v>
      </c>
      <c r="EG75" s="45">
        <v>5.960464477539062e-14</v>
      </c>
      <c r="EH75" s="46">
        <f>MAX(1,MIN(21,SUMPRODUCT(--($BT75:$CO75&gt;=Pu))))</f>
      </c>
      <c r="EI75" s="47">
        <f>(Pu-INDEX($BT75:$CO75,1,$EH75))/(INDEX($BT75:$CO75,1,$EH75+1)-INDEX($BT75:$CO75,1,$EH75))</f>
      </c>
      <c r="EJ75" s="39">
        <f>INDEX($CP75:$DK75,1,$EH75)+$EI75*(INDEX($CP75:$DK75,1,$EH75+1)-INDEX($CP75:$DK75,1,$EH75))</f>
      </c>
      <c r="EK75" s="39">
        <f>INDEX($DL75:$EG75,1,$EH75)+$EI75*(INDEX($DL75:$EG75,1,$EH75+1)-INDEX($DL75:$EG75,1,$EH75))</f>
      </c>
      <c r="EL75" s="39">
        <f>SQRT(EJ75^2+EK75^2)</f>
      </c>
      <c r="EM75" s="20">
        <f>EJ76-EJ75</f>
      </c>
      <c r="EN75" s="20">
        <f>EK76-EK75</f>
      </c>
      <c r="EO75" s="20">
        <f>EM75*SIN(RADIANS(theta_L))-EN75*COS(RADIANS(theta_L))</f>
      </c>
      <c r="EP75" s="47">
        <f>IF(EO75=0,"",-(EJ75*SIN(RADIANS(theta_L))-EK75*COS(RADIANS(theta_L)))/EO75)</f>
      </c>
      <c r="EQ75" s="20">
        <f>IF(EP75="","",(EJ75+EP75*EM75)*COS(RADIANS(theta_L))+(EK75+EP75*EN75)*SIN(RADIANS(theta_L)))</f>
      </c>
      <c r="ER75" s="20">
        <f>IF(OR(EP75="",EP75&lt;0,EP75&gt;1,EQ75&lt;0),"",EQ75)</f>
      </c>
    </row>
    <row r="76" spans="1:148" x14ac:dyDescent="0.25">
      <c r="A76">
        <v>69</v>
      </c>
      <c r="B76" s="44">
        <v>265</v>
      </c>
      <c r="C76" s="18">
        <v>782.0083206678725</v>
      </c>
      <c r="D76" s="18">
        <v>-703.5591175266845</v>
      </c>
      <c r="E76" s="18">
        <v>1485.5674381945569</v>
      </c>
      <c r="F76" s="16">
        <v>0.0033</v>
      </c>
      <c r="G76" s="16">
        <v>0</v>
      </c>
      <c r="H76" s="16">
        <v>0</v>
      </c>
      <c r="I76" s="16">
        <v>0.00275</v>
      </c>
      <c r="J76" s="16">
        <v>-6.129814382316635e-8</v>
      </c>
      <c r="K76" s="16">
        <v>-7.006409899609779e-7</v>
      </c>
      <c r="L76" s="16">
        <v>0.0024749999999999998</v>
      </c>
      <c r="M76" s="16">
        <v>-9.194721573474953e-8</v>
      </c>
      <c r="N76" s="16">
        <v>-0.000001050961484941467</v>
      </c>
      <c r="O76" s="16">
        <v>0.0022</v>
      </c>
      <c r="P76" s="16">
        <v>-1.225962876463327e-7</v>
      </c>
      <c r="Q76" s="16">
        <v>-0.0000014012819799219558</v>
      </c>
      <c r="R76" s="16">
        <v>0.0019249999999999998</v>
      </c>
      <c r="S76" s="16">
        <v>-1.5324535955791588e-7</v>
      </c>
      <c r="T76" s="16">
        <v>-0.000001751602474902445</v>
      </c>
      <c r="U76" s="16">
        <v>0.0018</v>
      </c>
      <c r="V76" s="16">
        <v>-1.6717675588136277e-7</v>
      </c>
      <c r="W76" s="16">
        <v>-0.0000019108390635299397</v>
      </c>
      <c r="X76" s="16">
        <v>0.0016499999999999998</v>
      </c>
      <c r="Y76" s="16">
        <v>-1.8389443146949905e-7</v>
      </c>
      <c r="Z76" s="16">
        <v>-0.000002101922969882934</v>
      </c>
      <c r="AA76" s="16">
        <v>0.0015628675132107952</v>
      </c>
      <c r="AB76" s="16">
        <v>-1.9360544911836235e-7</v>
      </c>
      <c r="AC76" s="16">
        <v>-0.00000221292040952248</v>
      </c>
      <c r="AD76" s="16">
        <v>0.0012996656212730367</v>
      </c>
      <c r="AE76" s="16">
        <v>-2.2293960807569003e-7</v>
      </c>
      <c r="AF76" s="16">
        <v>-0.00000254821138066225</v>
      </c>
      <c r="AG76" s="16">
        <v>0.0010364637293352784</v>
      </c>
      <c r="AH76" s="16">
        <v>-2.5227376703301764e-7</v>
      </c>
      <c r="AI76" s="16">
        <v>-0.0000028835023518020197</v>
      </c>
      <c r="AJ76" s="16">
        <v>0.0007732618373975202</v>
      </c>
      <c r="AK76" s="16">
        <v>-2.816079259903453e-7</v>
      </c>
      <c r="AL76" s="16">
        <v>-0.0000032187933229417894</v>
      </c>
      <c r="AM76" s="16">
        <v>0.0005100599454597615</v>
      </c>
      <c r="AN76" s="16">
        <v>-3.109420849476729e-7</v>
      </c>
      <c r="AO76" s="16">
        <v>-0.0000035540842940815587</v>
      </c>
      <c r="AP76" s="16">
        <v>-0.00001634383841575505</v>
      </c>
      <c r="AQ76" s="16">
        <v>-3.696104028623282e-7</v>
      </c>
      <c r="AR76" s="16">
        <v>-0.000004224666236361099</v>
      </c>
      <c r="AS76" s="16">
        <v>-0.000542747622291272</v>
      </c>
      <c r="AT76" s="16">
        <v>-4.2827872077698346e-7</v>
      </c>
      <c r="AU76" s="16">
        <v>-0.000004895248178640638</v>
      </c>
      <c r="AV76" s="16">
        <v>-0.0010691514061667885</v>
      </c>
      <c r="AW76" s="16">
        <v>-4.869470386916387e-7</v>
      </c>
      <c r="AX76" s="16">
        <v>-0.000005565830120920177</v>
      </c>
      <c r="AY76" s="16">
        <v>-0.0015955551900423042</v>
      </c>
      <c r="AZ76" s="16">
        <v>-5.456153566062939e-7</v>
      </c>
      <c r="BA76" s="16">
        <v>-0.0000062364120631997155</v>
      </c>
      <c r="BB76" s="16">
        <v>-0.002648362757793339</v>
      </c>
      <c r="BC76" s="16">
        <v>-6.629519924356046e-7</v>
      </c>
      <c r="BD76" s="16">
        <v>-0.000007577575947758796</v>
      </c>
      <c r="BE76" s="16">
        <v>-0.003701170325544371</v>
      </c>
      <c r="BF76" s="16">
        <v>-7.80288628264915e-7</v>
      </c>
      <c r="BG76" s="16">
        <v>-0.000008918739832317872</v>
      </c>
      <c r="BH76" s="16">
        <v>-0.006333189244921955</v>
      </c>
      <c r="BI76" s="16">
        <v>-0.0000010736302178381914</v>
      </c>
      <c r="BJ76" s="16">
        <v>-0.000012271649543715572</v>
      </c>
      <c r="BK76" s="16">
        <v>-0.008965208164299538</v>
      </c>
      <c r="BL76" s="16">
        <v>-0.0000013669718074114678</v>
      </c>
      <c r="BM76" s="16">
        <v>-0.000015624559255113266</v>
      </c>
      <c r="BN76" s="16">
        <v>-0.01949328384180987</v>
      </c>
      <c r="BO76" s="16">
        <v>-0.000002540338165704573</v>
      </c>
      <c r="BP76" s="16">
        <v>-0.000029036198100704055</v>
      </c>
      <c r="BQ76" s="16">
        <v>-0.05</v>
      </c>
      <c r="BR76" s="16">
        <v>0</v>
      </c>
      <c r="BS76" s="16">
        <v>0</v>
      </c>
      <c r="BT76" s="45">
        <v>33981.43387592912</v>
      </c>
      <c r="BU76" s="45">
        <v>33981.43387592912</v>
      </c>
      <c r="BV76" s="45">
        <v>33769.460214212995</v>
      </c>
      <c r="BW76" s="45">
        <v>32596.21914677326</v>
      </c>
      <c r="BX76" s="45">
        <v>30276.59239214155</v>
      </c>
      <c r="BY76" s="45">
        <v>28794.5719414708</v>
      </c>
      <c r="BZ76" s="45">
        <v>26654.317423597728</v>
      </c>
      <c r="CA76" s="45">
        <v>25278.41290142424</v>
      </c>
      <c r="CB76" s="45">
        <v>21975.852904365882</v>
      </c>
      <c r="CC76" s="45">
        <v>19312.919255128447</v>
      </c>
      <c r="CD76" s="45">
        <v>16661.144992983303</v>
      </c>
      <c r="CE76" s="45">
        <v>13998.727071078789</v>
      </c>
      <c r="CF76" s="45">
        <v>10130.101215525117</v>
      </c>
      <c r="CG76" s="45">
        <v>7768.366566686573</v>
      </c>
      <c r="CH76" s="45">
        <v>6439.336384652187</v>
      </c>
      <c r="CI76" s="45">
        <v>5514.724719174203</v>
      </c>
      <c r="CJ76" s="45">
        <v>4165.756616585447</v>
      </c>
      <c r="CK76" s="45">
        <v>3167.9011051207845</v>
      </c>
      <c r="CL76" s="45">
        <v>1245.6909442613576</v>
      </c>
      <c r="CM76" s="45">
        <v>-258.9928108286108</v>
      </c>
      <c r="CN76" s="45">
        <v>-3110.685618933455</v>
      </c>
      <c r="CO76" s="45">
        <v>-5790.583579096708</v>
      </c>
      <c r="CP76" s="45">
        <v>6.55418261885643e-13</v>
      </c>
      <c r="CQ76" s="45">
        <v>6.55418261885643e-13</v>
      </c>
      <c r="CR76" s="45">
        <v>-7.475942052283265</v>
      </c>
      <c r="CS76" s="45">
        <v>-63.84658335723589</v>
      </c>
      <c r="CT76" s="45">
        <v>-151.78606150255334</v>
      </c>
      <c r="CU76" s="45">
        <v>-199.6579312513108</v>
      </c>
      <c r="CV76" s="45">
        <v>-268.82400407820853</v>
      </c>
      <c r="CW76" s="45">
        <v>-306.60110281154834</v>
      </c>
      <c r="CX76" s="45">
        <v>-342.7615400033254</v>
      </c>
      <c r="CY76" s="45">
        <v>-369.1303000468217</v>
      </c>
      <c r="CZ76" s="45">
        <v>-406.5105121348029</v>
      </c>
      <c r="DA76" s="45">
        <v>-441.6022784961323</v>
      </c>
      <c r="DB76" s="45">
        <v>-445.2238887919326</v>
      </c>
      <c r="DC76" s="45">
        <v>-406.00791365217543</v>
      </c>
      <c r="DD76" s="45">
        <v>-366.9741156897095</v>
      </c>
      <c r="DE76" s="45">
        <v>-374.70056205891257</v>
      </c>
      <c r="DF76" s="45">
        <v>-351.04400351499373</v>
      </c>
      <c r="DG76" s="45">
        <v>-358.1592094497795</v>
      </c>
      <c r="DH76" s="45">
        <v>-373.05306735622764</v>
      </c>
      <c r="DI76" s="45">
        <v>-273.928662843148</v>
      </c>
      <c r="DJ76" s="45">
        <v>-213.88182872958217</v>
      </c>
      <c r="DK76" s="45">
        <v>0</v>
      </c>
      <c r="DL76" s="45">
        <v>-5.220063030719757e-12</v>
      </c>
      <c r="DM76" s="45">
        <v>-5.220063030719757e-12</v>
      </c>
      <c r="DN76" s="45">
        <v>-143.54829192137277</v>
      </c>
      <c r="DO76" s="45">
        <v>-851.9303320736524</v>
      </c>
      <c r="DP76" s="45">
        <v>-2126.6621767403085</v>
      </c>
      <c r="DQ76" s="45">
        <v>-2890.546062026539</v>
      </c>
      <c r="DR76" s="45">
        <v>-3957.3901573988906</v>
      </c>
      <c r="DS76" s="45">
        <v>-4607.325934532195</v>
      </c>
      <c r="DT76" s="45">
        <v>-5789.66097821365</v>
      </c>
      <c r="DU76" s="45">
        <v>-6363.140302563471</v>
      </c>
      <c r="DV76" s="45">
        <v>-6772.275194119304</v>
      </c>
      <c r="DW76" s="45">
        <v>-7085.449760629608</v>
      </c>
      <c r="DX76" s="45">
        <v>-7076.436339626137</v>
      </c>
      <c r="DY76" s="45">
        <v>-6855.349962828658</v>
      </c>
      <c r="DZ76" s="45">
        <v>-6628.408126802626</v>
      </c>
      <c r="EA76" s="45">
        <v>-6399.371145659881</v>
      </c>
      <c r="EB76" s="45">
        <v>-5964.410571732131</v>
      </c>
      <c r="EC76" s="45">
        <v>-5559.864815941232</v>
      </c>
      <c r="ED76" s="45">
        <v>-4598.4622668954735</v>
      </c>
      <c r="EE76" s="45">
        <v>-3732.960933748354</v>
      </c>
      <c r="EF76" s="45">
        <v>-1864.6591774357337</v>
      </c>
      <c r="EG76" s="45">
        <v>5.960464477539062e-14</v>
      </c>
      <c r="EH76" s="46">
        <f>MAX(1,MIN(21,SUMPRODUCT(--($BT76:$CO76&gt;=Pu))))</f>
      </c>
      <c r="EI76" s="47">
        <f>(Pu-INDEX($BT76:$CO76,1,$EH76))/(INDEX($BT76:$CO76,1,$EH76+1)-INDEX($BT76:$CO76,1,$EH76))</f>
      </c>
      <c r="EJ76" s="39">
        <f>INDEX($CP76:$DK76,1,$EH76)+$EI76*(INDEX($CP76:$DK76,1,$EH76+1)-INDEX($CP76:$DK76,1,$EH76))</f>
      </c>
      <c r="EK76" s="39">
        <f>INDEX($DL76:$EG76,1,$EH76)+$EI76*(INDEX($DL76:$EG76,1,$EH76+1)-INDEX($DL76:$EG76,1,$EH76))</f>
      </c>
      <c r="EL76" s="39">
        <f>SQRT(EJ76^2+EK76^2)</f>
      </c>
      <c r="EM76" s="20">
        <f>EJ77-EJ76</f>
      </c>
      <c r="EN76" s="20">
        <f>EK77-EK76</f>
      </c>
      <c r="EO76" s="20">
        <f>EM76*SIN(RADIANS(theta_L))-EN76*COS(RADIANS(theta_L))</f>
      </c>
      <c r="EP76" s="47">
        <f>IF(EO76=0,"",-(EJ76*SIN(RADIANS(theta_L))-EK76*COS(RADIANS(theta_L)))/EO76)</f>
      </c>
      <c r="EQ76" s="20">
        <f>IF(EP76="","",(EJ76+EP76*EM76)*COS(RADIANS(theta_L))+(EK76+EP76*EN76)*SIN(RADIANS(theta_L)))</f>
      </c>
      <c r="ER76" s="20">
        <f>IF(OR(EP76="",EP76&lt;0,EP76&gt;1,EQ76&lt;0),"",EQ76)</f>
      </c>
    </row>
    <row r="77" spans="1:148" x14ac:dyDescent="0.25">
      <c r="A77">
        <v>70</v>
      </c>
      <c r="B77" s="44">
        <v>270</v>
      </c>
      <c r="C77" s="18">
        <v>750.0000000000001</v>
      </c>
      <c r="D77" s="18">
        <v>-680</v>
      </c>
      <c r="E77" s="18">
        <v>1430</v>
      </c>
      <c r="F77" s="16">
        <v>0.0033</v>
      </c>
      <c r="G77" s="16">
        <v>0</v>
      </c>
      <c r="H77" s="16">
        <v>0</v>
      </c>
      <c r="I77" s="16">
        <v>0.00275</v>
      </c>
      <c r="J77" s="16">
        <v>-1.3471114790620882e-22</v>
      </c>
      <c r="K77" s="16">
        <v>-7.333333333333332e-7</v>
      </c>
      <c r="L77" s="16">
        <v>0.0024749999999999998</v>
      </c>
      <c r="M77" s="16">
        <v>-2.0206672185931323e-22</v>
      </c>
      <c r="N77" s="16">
        <v>-0.0000010999999999999998</v>
      </c>
      <c r="O77" s="16">
        <v>0.0021999999999999997</v>
      </c>
      <c r="P77" s="16">
        <v>-2.6942229581241763e-22</v>
      </c>
      <c r="Q77" s="16">
        <v>-0.0000014666666666666665</v>
      </c>
      <c r="R77" s="16">
        <v>0.0019249999999999998</v>
      </c>
      <c r="S77" s="16">
        <v>-3.367778697655221e-22</v>
      </c>
      <c r="T77" s="16">
        <v>-0.0000018333333333333333</v>
      </c>
      <c r="U77" s="16">
        <v>0.0018000000000000002</v>
      </c>
      <c r="V77" s="16">
        <v>-3.6739403974420583e-22</v>
      </c>
      <c r="W77" s="16">
        <v>-0.0000019999999999999995</v>
      </c>
      <c r="X77" s="16">
        <v>0.00165</v>
      </c>
      <c r="Y77" s="16">
        <v>-4.0413344371862645e-22</v>
      </c>
      <c r="Z77" s="16">
        <v>-0.0000021999999999999997</v>
      </c>
      <c r="AA77" s="16">
        <v>0.001569230769230769</v>
      </c>
      <c r="AB77" s="16">
        <v>-4.23916199704853e-22</v>
      </c>
      <c r="AC77" s="16">
        <v>-0.0000023076923076923077</v>
      </c>
      <c r="AD77" s="16">
        <v>0.0013069930069930067</v>
      </c>
      <c r="AE77" s="16">
        <v>-4.88145926932861e-22</v>
      </c>
      <c r="AF77" s="16">
        <v>-0.0000026573426573426574</v>
      </c>
      <c r="AG77" s="16">
        <v>0.0010447552447552444</v>
      </c>
      <c r="AH77" s="16">
        <v>-5.52375654160869e-22</v>
      </c>
      <c r="AI77" s="16">
        <v>-0.000003006993006993007</v>
      </c>
      <c r="AJ77" s="16">
        <v>0.0007825174825174816</v>
      </c>
      <c r="AK77" s="16">
        <v>-6.166053813888772e-22</v>
      </c>
      <c r="AL77" s="16">
        <v>-0.000003356643356643357</v>
      </c>
      <c r="AM77" s="16">
        <v>0.0005202797202797198</v>
      </c>
      <c r="AN77" s="16">
        <v>-6.808351086168851e-22</v>
      </c>
      <c r="AO77" s="16">
        <v>-0.0000037062937062937064</v>
      </c>
      <c r="AP77" s="16">
        <v>-0.000004195804195804807</v>
      </c>
      <c r="AQ77" s="16">
        <v>-8.092945630729013e-22</v>
      </c>
      <c r="AR77" s="16">
        <v>-0.000004405594405594406</v>
      </c>
      <c r="AS77" s="16">
        <v>-0.000528671328671329</v>
      </c>
      <c r="AT77" s="16">
        <v>-9.377540175289172e-22</v>
      </c>
      <c r="AU77" s="16">
        <v>-0.000005104895104895105</v>
      </c>
      <c r="AV77" s="16">
        <v>-0.001053146853146854</v>
      </c>
      <c r="AW77" s="16">
        <v>-1.0662134719849333e-21</v>
      </c>
      <c r="AX77" s="16">
        <v>-0.000005804195804195804</v>
      </c>
      <c r="AY77" s="16">
        <v>-0.0015776223776223777</v>
      </c>
      <c r="AZ77" s="16">
        <v>-1.1946729264409493e-21</v>
      </c>
      <c r="BA77" s="16">
        <v>-0.000006503496503496503</v>
      </c>
      <c r="BB77" s="16">
        <v>-0.0026265734265734277</v>
      </c>
      <c r="BC77" s="16">
        <v>-1.4515918353529815e-21</v>
      </c>
      <c r="BD77" s="16">
        <v>-0.000007902097902097902</v>
      </c>
      <c r="BE77" s="16">
        <v>-0.003675524475524476</v>
      </c>
      <c r="BF77" s="16">
        <v>-1.7085107442650132e-21</v>
      </c>
      <c r="BG77" s="16">
        <v>-0.0000093006993006993</v>
      </c>
      <c r="BH77" s="16">
        <v>-0.0062979020979021</v>
      </c>
      <c r="BI77" s="16">
        <v>-2.350808016545094e-21</v>
      </c>
      <c r="BJ77" s="16">
        <v>-0.000012797202797202797</v>
      </c>
      <c r="BK77" s="16">
        <v>-0.008920279720279724</v>
      </c>
      <c r="BL77" s="16">
        <v>-2.9931052888251745e-21</v>
      </c>
      <c r="BM77" s="16">
        <v>-0.000016293706293706295</v>
      </c>
      <c r="BN77" s="16">
        <v>-0.019409790209790213</v>
      </c>
      <c r="BO77" s="16">
        <v>-5.562294377945495e-21</v>
      </c>
      <c r="BP77" s="16">
        <v>-0.00003027972027972028</v>
      </c>
      <c r="BQ77" s="16">
        <v>-0.05</v>
      </c>
      <c r="BR77" s="16">
        <v>0</v>
      </c>
      <c r="BS77" s="16">
        <v>0</v>
      </c>
      <c r="BT77" s="45">
        <v>33981.43387592912</v>
      </c>
      <c r="BU77" s="45">
        <v>33981.43387592912</v>
      </c>
      <c r="BV77" s="45">
        <v>33730.92687382824</v>
      </c>
      <c r="BW77" s="45">
        <v>32465.0348992255</v>
      </c>
      <c r="BX77" s="45">
        <v>30022.064109595984</v>
      </c>
      <c r="BY77" s="45">
        <v>28470.462088041528</v>
      </c>
      <c r="BZ77" s="45">
        <v>26243.48772017123</v>
      </c>
      <c r="CA77" s="45">
        <v>25003.60781611536</v>
      </c>
      <c r="CB77" s="45">
        <v>21858.984973550847</v>
      </c>
      <c r="CC77" s="45">
        <v>19258.022396878634</v>
      </c>
      <c r="CD77" s="45">
        <v>16660.195250385903</v>
      </c>
      <c r="CE77" s="45">
        <v>14047.573804671045</v>
      </c>
      <c r="CF77" s="45">
        <v>10316.770596158798</v>
      </c>
      <c r="CG77" s="45">
        <v>7983.545926293632</v>
      </c>
      <c r="CH77" s="45">
        <v>6659.639237389148</v>
      </c>
      <c r="CI77" s="45">
        <v>5767.8628405447525</v>
      </c>
      <c r="CJ77" s="45">
        <v>4487.964263760281</v>
      </c>
      <c r="CK77" s="45">
        <v>3536.3460848841037</v>
      </c>
      <c r="CL77" s="45">
        <v>1949.4624679197605</v>
      </c>
      <c r="CM77" s="45">
        <v>684.1681483604917</v>
      </c>
      <c r="CN77" s="45">
        <v>-1852.6621941155468</v>
      </c>
      <c r="CO77" s="45">
        <v>-5790.583579096708</v>
      </c>
      <c r="CP77" s="45">
        <v>6.55418261885643e-13</v>
      </c>
      <c r="CQ77" s="45">
        <v>6.55418261885643e-13</v>
      </c>
      <c r="CR77" s="45">
        <v>-0.0003085921201715246</v>
      </c>
      <c r="CS77" s="45">
        <v>-0.000058574761460069564</v>
      </c>
      <c r="CT77" s="45">
        <v>-0.00018069883312063758</v>
      </c>
      <c r="CU77" s="45">
        <v>-0.0027946975583796737</v>
      </c>
      <c r="CV77" s="45">
        <v>-0.00040176026106910647</v>
      </c>
      <c r="CW77" s="45">
        <v>-0.13900215292411713</v>
      </c>
      <c r="CX77" s="45">
        <v>-0.10343440789202732</v>
      </c>
      <c r="CY77" s="45">
        <v>0.03986276401591755</v>
      </c>
      <c r="CZ77" s="45">
        <v>-0.06892470908831869</v>
      </c>
      <c r="DA77" s="45">
        <v>-0.03484832567005872</v>
      </c>
      <c r="DB77" s="45">
        <v>0.21945209553790604</v>
      </c>
      <c r="DC77" s="45">
        <v>-0.24234861388243192</v>
      </c>
      <c r="DD77" s="45">
        <v>-0.0021061085251597687</v>
      </c>
      <c r="DE77" s="45">
        <v>0.08643930231230333</v>
      </c>
      <c r="DF77" s="45">
        <v>0.05717526422546618</v>
      </c>
      <c r="DG77" s="45">
        <v>-0.02260784946891479</v>
      </c>
      <c r="DH77" s="45">
        <v>-0.03154463889460964</v>
      </c>
      <c r="DI77" s="45">
        <v>0.10686250715117797</v>
      </c>
      <c r="DJ77" s="45">
        <v>-1.2297118902626138</v>
      </c>
      <c r="DK77" s="45">
        <v>0</v>
      </c>
      <c r="DL77" s="45">
        <v>-5.220063030719757e-12</v>
      </c>
      <c r="DM77" s="45">
        <v>-5.220063030719757e-12</v>
      </c>
      <c r="DN77" s="45">
        <v>-169.45299543293027</v>
      </c>
      <c r="DO77" s="45">
        <v>-931.8351525567556</v>
      </c>
      <c r="DP77" s="45">
        <v>-2280.330009267766</v>
      </c>
      <c r="DQ77" s="45">
        <v>-3085.0977088823033</v>
      </c>
      <c r="DR77" s="45">
        <v>-4208.0491630023935</v>
      </c>
      <c r="DS77" s="45">
        <v>-4789.821465961175</v>
      </c>
      <c r="DT77" s="45">
        <v>-5873.608507474756</v>
      </c>
      <c r="DU77" s="45">
        <v>-6430.374399186983</v>
      </c>
      <c r="DV77" s="45">
        <v>-6846.477090804602</v>
      </c>
      <c r="DW77" s="45">
        <v>-7177.451205986206</v>
      </c>
      <c r="DX77" s="45">
        <v>-7136.502579475227</v>
      </c>
      <c r="DY77" s="45">
        <v>-6924.098500168922</v>
      </c>
      <c r="DZ77" s="45">
        <v>-6713.624102614421</v>
      </c>
      <c r="EA77" s="45">
        <v>-6499.557698073621</v>
      </c>
      <c r="EB77" s="45">
        <v>-6111.223708154452</v>
      </c>
      <c r="EC77" s="45">
        <v>-5755.775289057241</v>
      </c>
      <c r="ED77" s="45">
        <v>-5002.944205954929</v>
      </c>
      <c r="EE77" s="45">
        <v>-4328.180459587969</v>
      </c>
      <c r="EF77" s="45">
        <v>-2722.6257015136584</v>
      </c>
      <c r="EG77" s="45">
        <v>5.960464477539062e-14</v>
      </c>
      <c r="EH77" s="46">
        <f>MAX(1,MIN(21,SUMPRODUCT(--($BT77:$CO77&gt;=Pu))))</f>
      </c>
      <c r="EI77" s="47">
        <f>(Pu-INDEX($BT77:$CO77,1,$EH77))/(INDEX($BT77:$CO77,1,$EH77+1)-INDEX($BT77:$CO77,1,$EH77))</f>
      </c>
      <c r="EJ77" s="39">
        <f>INDEX($CP77:$DK77,1,$EH77)+$EI77*(INDEX($CP77:$DK77,1,$EH77+1)-INDEX($CP77:$DK77,1,$EH77))</f>
      </c>
      <c r="EK77" s="39">
        <f>INDEX($DL77:$EG77,1,$EH77)+$EI77*(INDEX($DL77:$EG77,1,$EH77+1)-INDEX($DL77:$EG77,1,$EH77))</f>
      </c>
      <c r="EL77" s="39">
        <f>SQRT(EJ77^2+EK77^2)</f>
      </c>
      <c r="EM77" s="20">
        <f>EJ78-EJ77</f>
      </c>
      <c r="EN77" s="20">
        <f>EK78-EK77</f>
      </c>
      <c r="EO77" s="20">
        <f>EM77*SIN(RADIANS(theta_L))-EN77*COS(RADIANS(theta_L))</f>
      </c>
      <c r="EP77" s="47">
        <f>IF(EO77=0,"",-(EJ77*SIN(RADIANS(theta_L))-EK77*COS(RADIANS(theta_L)))/EO77)</f>
      </c>
      <c r="EQ77" s="20">
        <f>IF(EP77="","",(EJ77+EP77*EM77)*COS(RADIANS(theta_L))+(EK77+EP77*EN77)*SIN(RADIANS(theta_L)))</f>
      </c>
      <c r="ER77" s="20">
        <f>IF(OR(EP77="",EP77&lt;0,EP77&gt;1,EQ77&lt;0),"",EQ77)</f>
      </c>
    </row>
    <row r="78" spans="1:148" x14ac:dyDescent="0.25">
      <c r="A78">
        <v>71</v>
      </c>
      <c r="B78" s="44">
        <v>275</v>
      </c>
      <c r="C78" s="18">
        <v>782.0083206678723</v>
      </c>
      <c r="D78" s="18">
        <v>-703.5591175266844</v>
      </c>
      <c r="E78" s="18">
        <v>1485.5674381945569</v>
      </c>
      <c r="F78" s="16">
        <v>0.0033</v>
      </c>
      <c r="G78" s="16">
        <v>0</v>
      </c>
      <c r="H78" s="16">
        <v>0</v>
      </c>
      <c r="I78" s="16">
        <v>0.00275</v>
      </c>
      <c r="J78" s="16">
        <v>6.12981438231661e-8</v>
      </c>
      <c r="K78" s="16">
        <v>-7.00640989960978e-7</v>
      </c>
      <c r="L78" s="16">
        <v>0.002475</v>
      </c>
      <c r="M78" s="16">
        <v>9.194721573474916e-8</v>
      </c>
      <c r="N78" s="16">
        <v>-0.000001050961484941467</v>
      </c>
      <c r="O78" s="16">
        <v>0.0022</v>
      </c>
      <c r="P78" s="16">
        <v>1.225962876463322e-7</v>
      </c>
      <c r="Q78" s="16">
        <v>-0.000001401281979921956</v>
      </c>
      <c r="R78" s="16">
        <v>0.0019249999999999998</v>
      </c>
      <c r="S78" s="16">
        <v>1.5324535955791527e-7</v>
      </c>
      <c r="T78" s="16">
        <v>-0.0000017516024749024452</v>
      </c>
      <c r="U78" s="16">
        <v>0.0018</v>
      </c>
      <c r="V78" s="16">
        <v>1.671767558813621e-7</v>
      </c>
      <c r="W78" s="16">
        <v>-0.00000191083906352994</v>
      </c>
      <c r="X78" s="16">
        <v>0.0016500000000000002</v>
      </c>
      <c r="Y78" s="16">
        <v>1.838944314694983e-7</v>
      </c>
      <c r="Z78" s="16">
        <v>-0.000002101922969882934</v>
      </c>
      <c r="AA78" s="16">
        <v>0.0015628675132107954</v>
      </c>
      <c r="AB78" s="16">
        <v>1.9360544911836156e-7</v>
      </c>
      <c r="AC78" s="16">
        <v>-0.00000221292040952248</v>
      </c>
      <c r="AD78" s="16">
        <v>0.0012996656212730367</v>
      </c>
      <c r="AE78" s="16">
        <v>2.229396080756891e-7</v>
      </c>
      <c r="AF78" s="16">
        <v>-0.00000254821138066225</v>
      </c>
      <c r="AG78" s="16">
        <v>0.0010364637293352784</v>
      </c>
      <c r="AH78" s="16">
        <v>2.5227376703301663e-7</v>
      </c>
      <c r="AI78" s="16">
        <v>-0.0000028835023518020197</v>
      </c>
      <c r="AJ78" s="16">
        <v>0.0007732618373975202</v>
      </c>
      <c r="AK78" s="16">
        <v>2.8160792599034413e-7</v>
      </c>
      <c r="AL78" s="16">
        <v>-0.0000032187933229417894</v>
      </c>
      <c r="AM78" s="16">
        <v>0.0005100599454597619</v>
      </c>
      <c r="AN78" s="16">
        <v>3.109420849476716e-7</v>
      </c>
      <c r="AO78" s="16">
        <v>-0.0000035540842940815587</v>
      </c>
      <c r="AP78" s="16">
        <v>-0.000016343838415754618</v>
      </c>
      <c r="AQ78" s="16">
        <v>3.6961040286232667e-7</v>
      </c>
      <c r="AR78" s="16">
        <v>-0.000004224666236361099</v>
      </c>
      <c r="AS78" s="16">
        <v>-0.0005427476222912711</v>
      </c>
      <c r="AT78" s="16">
        <v>4.282787207769817e-7</v>
      </c>
      <c r="AU78" s="16">
        <v>-0.000004895248178640638</v>
      </c>
      <c r="AV78" s="16">
        <v>-0.0010691514061667877</v>
      </c>
      <c r="AW78" s="16">
        <v>4.869470386916367e-7</v>
      </c>
      <c r="AX78" s="16">
        <v>-0.000005565830120920177</v>
      </c>
      <c r="AY78" s="16">
        <v>-0.0015955551900423033</v>
      </c>
      <c r="AZ78" s="16">
        <v>5.456153566062917e-7</v>
      </c>
      <c r="BA78" s="16">
        <v>-0.0000062364120631997155</v>
      </c>
      <c r="BB78" s="16">
        <v>-0.002648362757793338</v>
      </c>
      <c r="BC78" s="16">
        <v>6.629519924356018e-7</v>
      </c>
      <c r="BD78" s="16">
        <v>-0.000007577575947758796</v>
      </c>
      <c r="BE78" s="16">
        <v>-0.0037011703255443694</v>
      </c>
      <c r="BF78" s="16">
        <v>7.802886282649117e-7</v>
      </c>
      <c r="BG78" s="16">
        <v>-0.000008918739832317872</v>
      </c>
      <c r="BH78" s="16">
        <v>-0.006333189244921953</v>
      </c>
      <c r="BI78" s="16">
        <v>0.000001073630217838187</v>
      </c>
      <c r="BJ78" s="16">
        <v>-0.000012271649543715572</v>
      </c>
      <c r="BK78" s="16">
        <v>-0.008965208164299535</v>
      </c>
      <c r="BL78" s="16">
        <v>0.000001366971807411462</v>
      </c>
      <c r="BM78" s="16">
        <v>-0.000015624559255113266</v>
      </c>
      <c r="BN78" s="16">
        <v>-0.019493283841809865</v>
      </c>
      <c r="BO78" s="16">
        <v>0.0000025403381657045623</v>
      </c>
      <c r="BP78" s="16">
        <v>-0.000029036198100704055</v>
      </c>
      <c r="BQ78" s="16">
        <v>-0.05</v>
      </c>
      <c r="BR78" s="16">
        <v>0</v>
      </c>
      <c r="BS78" s="16">
        <v>0</v>
      </c>
      <c r="BT78" s="45">
        <v>33981.43387592912</v>
      </c>
      <c r="BU78" s="45">
        <v>33981.43387592912</v>
      </c>
      <c r="BV78" s="45">
        <v>33769.4583735508</v>
      </c>
      <c r="BW78" s="45">
        <v>32596.222342437126</v>
      </c>
      <c r="BX78" s="45">
        <v>30276.594701473354</v>
      </c>
      <c r="BY78" s="45">
        <v>28794.57200835422</v>
      </c>
      <c r="BZ78" s="45">
        <v>26654.313130306815</v>
      </c>
      <c r="CA78" s="45">
        <v>25278.65768854138</v>
      </c>
      <c r="CB78" s="45">
        <v>21975.75166012084</v>
      </c>
      <c r="CC78" s="45">
        <v>19312.27086306654</v>
      </c>
      <c r="CD78" s="45">
        <v>16660.796688381866</v>
      </c>
      <c r="CE78" s="45">
        <v>13998.103753232663</v>
      </c>
      <c r="CF78" s="45">
        <v>10130.033548833877</v>
      </c>
      <c r="CG78" s="45">
        <v>7767.979750812438</v>
      </c>
      <c r="CH78" s="45">
        <v>6438.968750563289</v>
      </c>
      <c r="CI78" s="45">
        <v>5513.7300022084955</v>
      </c>
      <c r="CJ78" s="45">
        <v>4165.501462966908</v>
      </c>
      <c r="CK78" s="45">
        <v>3168.5123488460517</v>
      </c>
      <c r="CL78" s="45">
        <v>1245.0782788597103</v>
      </c>
      <c r="CM78" s="45">
        <v>-258.62310861857605</v>
      </c>
      <c r="CN78" s="45">
        <v>-3114.3591020706453</v>
      </c>
      <c r="CO78" s="45">
        <v>-5790.583579096708</v>
      </c>
      <c r="CP78" s="45">
        <v>6.55418261885643e-13</v>
      </c>
      <c r="CQ78" s="45">
        <v>6.55418261885643e-13</v>
      </c>
      <c r="CR78" s="45">
        <v>7.475785970350347</v>
      </c>
      <c r="CS78" s="45">
        <v>63.84608782659116</v>
      </c>
      <c r="CT78" s="45">
        <v>151.7829875870066</v>
      </c>
      <c r="CU78" s="45">
        <v>199.6574429731927</v>
      </c>
      <c r="CV78" s="45">
        <v>268.82397659033523</v>
      </c>
      <c r="CW78" s="45">
        <v>306.53261129068903</v>
      </c>
      <c r="CX78" s="45">
        <v>342.7433993801487</v>
      </c>
      <c r="CY78" s="45">
        <v>369.08457289373996</v>
      </c>
      <c r="CZ78" s="45">
        <v>406.5726086435491</v>
      </c>
      <c r="DA78" s="45">
        <v>441.8717864265654</v>
      </c>
      <c r="DB78" s="45">
        <v>445.20268160377015</v>
      </c>
      <c r="DC78" s="45">
        <v>406.30706395420606</v>
      </c>
      <c r="DD78" s="45">
        <v>367.01170066930325</v>
      </c>
      <c r="DE78" s="45">
        <v>374.7436982297406</v>
      </c>
      <c r="DF78" s="45">
        <v>350.95900923570565</v>
      </c>
      <c r="DG78" s="45">
        <v>357.9235453627199</v>
      </c>
      <c r="DH78" s="45">
        <v>372.05557623276803</v>
      </c>
      <c r="DI78" s="45">
        <v>275.59736331232034</v>
      </c>
      <c r="DJ78" s="45">
        <v>215.30184030739224</v>
      </c>
      <c r="DK78" s="45">
        <v>0</v>
      </c>
      <c r="DL78" s="45">
        <v>-5.220063030719757e-12</v>
      </c>
      <c r="DM78" s="45">
        <v>-5.220063030719757e-12</v>
      </c>
      <c r="DN78" s="45">
        <v>-143.54907249200448</v>
      </c>
      <c r="DO78" s="45">
        <v>-851.9297801436842</v>
      </c>
      <c r="DP78" s="45">
        <v>-2126.6620218071134</v>
      </c>
      <c r="DQ78" s="45">
        <v>-2890.5456422135094</v>
      </c>
      <c r="DR78" s="45">
        <v>-3957.389227298717</v>
      </c>
      <c r="DS78" s="45">
        <v>-4607.164139836083</v>
      </c>
      <c r="DT78" s="45">
        <v>-5789.714267002863</v>
      </c>
      <c r="DU78" s="45">
        <v>-6363.361454679045</v>
      </c>
      <c r="DV78" s="45">
        <v>-6772.3646197376875</v>
      </c>
      <c r="DW78" s="45">
        <v>-7085.526103175701</v>
      </c>
      <c r="DX78" s="45">
        <v>-7076.451294214897</v>
      </c>
      <c r="DY78" s="45">
        <v>-6855.281881537636</v>
      </c>
      <c r="DZ78" s="45">
        <v>-6628.343461315276</v>
      </c>
      <c r="EA78" s="45">
        <v>-6399.104500787839</v>
      </c>
      <c r="EB78" s="45">
        <v>-5964.320146165423</v>
      </c>
      <c r="EC78" s="45">
        <v>-5560.070732082031</v>
      </c>
      <c r="ED78" s="45">
        <v>-4598.201085808638</v>
      </c>
      <c r="EE78" s="45">
        <v>-3733.09097072903</v>
      </c>
      <c r="EF78" s="45">
        <v>-1862.0123754840604</v>
      </c>
      <c r="EG78" s="45">
        <v>5.960464477539062e-14</v>
      </c>
      <c r="EH78" s="46">
        <f>MAX(1,MIN(21,SUMPRODUCT(--($BT78:$CO78&gt;=Pu))))</f>
      </c>
      <c r="EI78" s="47">
        <f>(Pu-INDEX($BT78:$CO78,1,$EH78))/(INDEX($BT78:$CO78,1,$EH78+1)-INDEX($BT78:$CO78,1,$EH78))</f>
      </c>
      <c r="EJ78" s="39">
        <f>INDEX($CP78:$DK78,1,$EH78)+$EI78*(INDEX($CP78:$DK78,1,$EH78+1)-INDEX($CP78:$DK78,1,$EH78))</f>
      </c>
      <c r="EK78" s="39">
        <f>INDEX($DL78:$EG78,1,$EH78)+$EI78*(INDEX($DL78:$EG78,1,$EH78+1)-INDEX($DL78:$EG78,1,$EH78))</f>
      </c>
      <c r="EL78" s="39">
        <f>SQRT(EJ78^2+EK78^2)</f>
      </c>
      <c r="EM78" s="20">
        <f>EJ79-EJ78</f>
      </c>
      <c r="EN78" s="20">
        <f>EK79-EK78</f>
      </c>
      <c r="EO78" s="20">
        <f>EM78*SIN(RADIANS(theta_L))-EN78*COS(RADIANS(theta_L))</f>
      </c>
      <c r="EP78" s="47">
        <f>IF(EO78=0,"",-(EJ78*SIN(RADIANS(theta_L))-EK78*COS(RADIANS(theta_L)))/EO78)</f>
      </c>
      <c r="EQ78" s="20">
        <f>IF(EP78="","",(EJ78+EP78*EM78)*COS(RADIANS(theta_L))+(EK78+EP78*EN78)*SIN(RADIANS(theta_L)))</f>
      </c>
      <c r="ER78" s="20">
        <f>IF(OR(EP78="",EP78&lt;0,EP78&gt;1,EQ78&lt;0),"",EQ78)</f>
      </c>
    </row>
    <row r="79" spans="1:148" x14ac:dyDescent="0.25">
      <c r="A79">
        <v>72</v>
      </c>
      <c r="B79" s="44">
        <v>277.5</v>
      </c>
      <c r="C79" s="18">
        <v>795.7941229183783</v>
      </c>
      <c r="D79" s="18">
        <v>-713.3403634002066</v>
      </c>
      <c r="E79" s="18">
        <v>1509.134486318585</v>
      </c>
      <c r="F79" s="16">
        <v>0.0033</v>
      </c>
      <c r="G79" s="16">
        <v>0</v>
      </c>
      <c r="H79" s="16">
        <v>0</v>
      </c>
      <c r="I79" s="16">
        <v>0.00275</v>
      </c>
      <c r="J79" s="16">
        <v>9.021102776903943e-8</v>
      </c>
      <c r="K79" s="16">
        <v>-6.852207851898457e-7</v>
      </c>
      <c r="L79" s="16">
        <v>0.002475</v>
      </c>
      <c r="M79" s="16">
        <v>1.3531654165355913e-7</v>
      </c>
      <c r="N79" s="16">
        <v>-0.0000010278311777847684</v>
      </c>
      <c r="O79" s="16">
        <v>0.0021999999999999997</v>
      </c>
      <c r="P79" s="16">
        <v>1.8042205553807886e-7</v>
      </c>
      <c r="Q79" s="16">
        <v>-0.0000013704415703796915</v>
      </c>
      <c r="R79" s="16">
        <v>0.001925</v>
      </c>
      <c r="S79" s="16">
        <v>2.2552756942259853e-7</v>
      </c>
      <c r="T79" s="16">
        <v>-0.000001713051962974614</v>
      </c>
      <c r="U79" s="16">
        <v>0.0018</v>
      </c>
      <c r="V79" s="16">
        <v>2.4603007573374387e-7</v>
      </c>
      <c r="W79" s="16">
        <v>-0.00000186878395960867</v>
      </c>
      <c r="X79" s="16">
        <v>0.0016500000000000002</v>
      </c>
      <c r="Y79" s="16">
        <v>2.7063308330711826e-7</v>
      </c>
      <c r="Z79" s="16">
        <v>-0.000002055662355569537</v>
      </c>
      <c r="AA79" s="16">
        <v>0.0015598498480828816</v>
      </c>
      <c r="AB79" s="16">
        <v>2.854195157761697e-7</v>
      </c>
      <c r="AC79" s="16">
        <v>-0.0000021679764608088677</v>
      </c>
      <c r="AD79" s="16">
        <v>0.0012961907341560454</v>
      </c>
      <c r="AE79" s="16">
        <v>3.286648969543773e-7</v>
      </c>
      <c r="AF79" s="16">
        <v>-0.000002496457742749605</v>
      </c>
      <c r="AG79" s="16">
        <v>0.0010325316202292093</v>
      </c>
      <c r="AH79" s="16">
        <v>3.719102781325848e-7</v>
      </c>
      <c r="AI79" s="16">
        <v>-0.000002824939024690343</v>
      </c>
      <c r="AJ79" s="16">
        <v>0.0007688725063023727</v>
      </c>
      <c r="AK79" s="16">
        <v>4.1515565931079237e-7</v>
      </c>
      <c r="AL79" s="16">
        <v>-0.000003153420306631081</v>
      </c>
      <c r="AM79" s="16">
        <v>0.0005052133923755366</v>
      </c>
      <c r="AN79" s="16">
        <v>4.584010404889999e-7</v>
      </c>
      <c r="AO79" s="16">
        <v>-0.000003481901588571818</v>
      </c>
      <c r="AP79" s="16">
        <v>-0.00002210483547813568</v>
      </c>
      <c r="AQ79" s="16">
        <v>5.44891802845415e-7</v>
      </c>
      <c r="AR79" s="16">
        <v>-0.000004138864152453294</v>
      </c>
      <c r="AS79" s="16">
        <v>-0.0005494230633318075</v>
      </c>
      <c r="AT79" s="16">
        <v>6.3138256520183e-7</v>
      </c>
      <c r="AU79" s="16">
        <v>-0.0000047958267163347676</v>
      </c>
      <c r="AV79" s="16">
        <v>-0.0010767412911854802</v>
      </c>
      <c r="AW79" s="16">
        <v>7.178733275582451e-7</v>
      </c>
      <c r="AX79" s="16">
        <v>-0.000005452789280216243</v>
      </c>
      <c r="AY79" s="16">
        <v>-0.0016040595190391525</v>
      </c>
      <c r="AZ79" s="16">
        <v>8.043640899146601e-7</v>
      </c>
      <c r="BA79" s="16">
        <v>-0.000006109751844097718</v>
      </c>
      <c r="BB79" s="16">
        <v>-0.002658695974746498</v>
      </c>
      <c r="BC79" s="16">
        <v>9.773456146274905e-7</v>
      </c>
      <c r="BD79" s="16">
        <v>-0.0000074236769718606695</v>
      </c>
      <c r="BE79" s="16">
        <v>-0.0037133324304538407</v>
      </c>
      <c r="BF79" s="16">
        <v>0.0000011503271393403204</v>
      </c>
      <c r="BG79" s="16">
        <v>-0.000008737602099623617</v>
      </c>
      <c r="BH79" s="16">
        <v>-0.006349923569722203</v>
      </c>
      <c r="BI79" s="16">
        <v>0.0000015827809511223958</v>
      </c>
      <c r="BJ79" s="16">
        <v>-0.000012022414919030994</v>
      </c>
      <c r="BK79" s="16">
        <v>-0.008986514708990565</v>
      </c>
      <c r="BL79" s="16">
        <v>0.0000020152347629044714</v>
      </c>
      <c r="BM79" s="16">
        <v>-0.000015307227738438372</v>
      </c>
      <c r="BN79" s="16">
        <v>-0.01953287926606401</v>
      </c>
      <c r="BO79" s="16">
        <v>0.0000037450500100327726</v>
      </c>
      <c r="BP79" s="16">
        <v>-0.00002844647901606787</v>
      </c>
      <c r="BQ79" s="16">
        <v>-0.05</v>
      </c>
      <c r="BR79" s="16">
        <v>0</v>
      </c>
      <c r="BS79" s="16">
        <v>0</v>
      </c>
      <c r="BT79" s="45">
        <v>33981.43387592912</v>
      </c>
      <c r="BU79" s="45">
        <v>33981.43387592912</v>
      </c>
      <c r="BV79" s="45">
        <v>33784.4353666368</v>
      </c>
      <c r="BW79" s="45">
        <v>32648.657626427583</v>
      </c>
      <c r="BX79" s="45">
        <v>30378.683510535662</v>
      </c>
      <c r="BY79" s="45">
        <v>28931.661910561226</v>
      </c>
      <c r="BZ79" s="45">
        <v>26820.858457807288</v>
      </c>
      <c r="CA79" s="45">
        <v>25405.843400138427</v>
      </c>
      <c r="CB79" s="45">
        <v>22033.670132682953</v>
      </c>
      <c r="CC79" s="45">
        <v>19331.993909499244</v>
      </c>
      <c r="CD79" s="45">
        <v>16647.766300230327</v>
      </c>
      <c r="CE79" s="45">
        <v>13975.322413538654</v>
      </c>
      <c r="CF79" s="45">
        <v>10051.088517367678</v>
      </c>
      <c r="CG79" s="45">
        <v>7685.9034413781965</v>
      </c>
      <c r="CH79" s="45">
        <v>6355.782234533334</v>
      </c>
      <c r="CI79" s="45">
        <v>5388.471540803624</v>
      </c>
      <c r="CJ79" s="45">
        <v>3988.676293492643</v>
      </c>
      <c r="CK79" s="45">
        <v>2959.311936340801</v>
      </c>
      <c r="CL79" s="45">
        <v>889.5409438052648</v>
      </c>
      <c r="CM79" s="45">
        <v>-683.8557677866775</v>
      </c>
      <c r="CN79" s="45">
        <v>-3656.355625580772</v>
      </c>
      <c r="CO79" s="45">
        <v>-5790.583579096708</v>
      </c>
      <c r="CP79" s="45">
        <v>6.55418261885643e-13</v>
      </c>
      <c r="CQ79" s="45">
        <v>6.55418261885643e-13</v>
      </c>
      <c r="CR79" s="45">
        <v>11.102474387341081</v>
      </c>
      <c r="CS79" s="45">
        <v>90.44417296896366</v>
      </c>
      <c r="CT79" s="45">
        <v>217.596112166892</v>
      </c>
      <c r="CU79" s="45">
        <v>290.61456335092174</v>
      </c>
      <c r="CV79" s="45">
        <v>395.5094492804346</v>
      </c>
      <c r="CW79" s="45">
        <v>455.60814481551273</v>
      </c>
      <c r="CX79" s="45">
        <v>513.6288522546926</v>
      </c>
      <c r="CY79" s="45">
        <v>554.1905193498238</v>
      </c>
      <c r="CZ79" s="45">
        <v>611.2081797266497</v>
      </c>
      <c r="DA79" s="45">
        <v>656.5783882520185</v>
      </c>
      <c r="DB79" s="45">
        <v>663.6980414832142</v>
      </c>
      <c r="DC79" s="45">
        <v>600.8920063503816</v>
      </c>
      <c r="DD79" s="45">
        <v>555.2489418382376</v>
      </c>
      <c r="DE79" s="45">
        <v>558.9312727473248</v>
      </c>
      <c r="DF79" s="45">
        <v>527.8201297946457</v>
      </c>
      <c r="DG79" s="45">
        <v>535.6659679059037</v>
      </c>
      <c r="DH79" s="45">
        <v>523.8556067831609</v>
      </c>
      <c r="DI79" s="45">
        <v>405.3558405441318</v>
      </c>
      <c r="DJ79" s="45">
        <v>301.99095422163595</v>
      </c>
      <c r="DK79" s="45">
        <v>0</v>
      </c>
      <c r="DL79" s="45">
        <v>-5.220063030719757e-12</v>
      </c>
      <c r="DM79" s="45">
        <v>-5.220063030719757e-12</v>
      </c>
      <c r="DN79" s="45">
        <v>-133.0246447274336</v>
      </c>
      <c r="DO79" s="45">
        <v>-817.8465200236989</v>
      </c>
      <c r="DP79" s="45">
        <v>-2058.8860213106313</v>
      </c>
      <c r="DQ79" s="45">
        <v>-2804.285678894461</v>
      </c>
      <c r="DR79" s="45">
        <v>-3844.271975014819</v>
      </c>
      <c r="DS79" s="45">
        <v>-4511.059133161547</v>
      </c>
      <c r="DT79" s="45">
        <v>-5738.767184637285</v>
      </c>
      <c r="DU79" s="45">
        <v>-6319.917248163754</v>
      </c>
      <c r="DV79" s="45">
        <v>-6724.710486682324</v>
      </c>
      <c r="DW79" s="45">
        <v>-7032.528016781007</v>
      </c>
      <c r="DX79" s="45">
        <v>-7038.6741260685385</v>
      </c>
      <c r="DY79" s="45">
        <v>-6815.595894843116</v>
      </c>
      <c r="DZ79" s="45">
        <v>-6575.39636003844</v>
      </c>
      <c r="EA79" s="45">
        <v>-6337.512260353585</v>
      </c>
      <c r="EB79" s="45">
        <v>-5873.345392172701</v>
      </c>
      <c r="EC79" s="45">
        <v>-5431.383436876638</v>
      </c>
      <c r="ED79" s="45">
        <v>-4364.916101867284</v>
      </c>
      <c r="EE79" s="45">
        <v>-3443.1013595138206</v>
      </c>
      <c r="EF79" s="45">
        <v>-1483.0040278669003</v>
      </c>
      <c r="EG79" s="45">
        <v>5.960464477539062e-14</v>
      </c>
      <c r="EH79" s="46">
        <f>MAX(1,MIN(21,SUMPRODUCT(--($BT79:$CO79&gt;=Pu))))</f>
      </c>
      <c r="EI79" s="47">
        <f>(Pu-INDEX($BT79:$CO79,1,$EH79))/(INDEX($BT79:$CO79,1,$EH79+1)-INDEX($BT79:$CO79,1,$EH79))</f>
      </c>
      <c r="EJ79" s="39">
        <f>INDEX($CP79:$DK79,1,$EH79)+$EI79*(INDEX($CP79:$DK79,1,$EH79+1)-INDEX($CP79:$DK79,1,$EH79))</f>
      </c>
      <c r="EK79" s="39">
        <f>INDEX($DL79:$EG79,1,$EH79)+$EI79*(INDEX($DL79:$EG79,1,$EH79+1)-INDEX($DL79:$EG79,1,$EH79))</f>
      </c>
      <c r="EL79" s="39">
        <f>SQRT(EJ79^2+EK79^2)</f>
      </c>
      <c r="EM79" s="20">
        <f>EJ80-EJ79</f>
      </c>
      <c r="EN79" s="20">
        <f>EK80-EK79</f>
      </c>
      <c r="EO79" s="20">
        <f>EM79*SIN(RADIANS(theta_L))-EN79*COS(RADIANS(theta_L))</f>
      </c>
      <c r="EP79" s="47">
        <f>IF(EO79=0,"",-(EJ79*SIN(RADIANS(theta_L))-EK79*COS(RADIANS(theta_L)))/EO79)</f>
      </c>
      <c r="EQ79" s="20">
        <f>IF(EP79="","",(EJ79+EP79*EM79)*COS(RADIANS(theta_L))+(EK79+EP79*EN79)*SIN(RADIANS(theta_L)))</f>
      </c>
      <c r="ER79" s="20">
        <f>IF(OR(EP79="",EP79&lt;0,EP79&gt;1,EQ79&lt;0),"",EQ79)</f>
      </c>
    </row>
    <row r="80" spans="1:148" x14ac:dyDescent="0.25">
      <c r="A80">
        <v>73</v>
      </c>
      <c r="B80" s="44">
        <v>280</v>
      </c>
      <c r="C80" s="18">
        <v>808.0650858259281</v>
      </c>
      <c r="D80" s="18">
        <v>-721.7637253483805</v>
      </c>
      <c r="E80" s="18">
        <v>1529.8288111743086</v>
      </c>
      <c r="F80" s="16">
        <v>0.0033</v>
      </c>
      <c r="G80" s="16">
        <v>0</v>
      </c>
      <c r="H80" s="16">
        <v>0</v>
      </c>
      <c r="I80" s="16">
        <v>0.00275</v>
      </c>
      <c r="J80" s="16">
        <v>1.1819159049446337e-7</v>
      </c>
      <c r="K80" s="16">
        <v>-6.702978184029529e-7</v>
      </c>
      <c r="L80" s="16">
        <v>0.0024749999999999998</v>
      </c>
      <c r="M80" s="16">
        <v>1.7728738574169504e-7</v>
      </c>
      <c r="N80" s="16">
        <v>-0.0000010054467276044293</v>
      </c>
      <c r="O80" s="16">
        <v>0.0021999999999999997</v>
      </c>
      <c r="P80" s="16">
        <v>2.3638318098892674e-7</v>
      </c>
      <c r="Q80" s="16">
        <v>-0.0000013405956368059059</v>
      </c>
      <c r="R80" s="16">
        <v>0.001925</v>
      </c>
      <c r="S80" s="16">
        <v>2.954789762361584e-7</v>
      </c>
      <c r="T80" s="16">
        <v>-0.000001675744546007382</v>
      </c>
      <c r="U80" s="16">
        <v>0.0018000000000000002</v>
      </c>
      <c r="V80" s="16">
        <v>3.223407013485364e-7</v>
      </c>
      <c r="W80" s="16">
        <v>-0.0000018280849592807803</v>
      </c>
      <c r="X80" s="16">
        <v>0.00165</v>
      </c>
      <c r="Y80" s="16">
        <v>3.545747714833901e-7</v>
      </c>
      <c r="Z80" s="16">
        <v>-0.0000020108934552088586</v>
      </c>
      <c r="AA80" s="16">
        <v>0.0015569194907640365</v>
      </c>
      <c r="AB80" s="16">
        <v>3.7457719590272303e-7</v>
      </c>
      <c r="AC80" s="16">
        <v>-0.000002124332841166499</v>
      </c>
      <c r="AD80" s="16">
        <v>0.0012928163833040417</v>
      </c>
      <c r="AE80" s="16">
        <v>4.313313164940447e-7</v>
      </c>
      <c r="AF80" s="16">
        <v>-0.0000024462014534644536</v>
      </c>
      <c r="AG80" s="16">
        <v>0.0010287132758440474</v>
      </c>
      <c r="AH80" s="16">
        <v>4.880854370853664e-7</v>
      </c>
      <c r="AI80" s="16">
        <v>-0.000002768070065762408</v>
      </c>
      <c r="AJ80" s="16">
        <v>0.0007646101683840526</v>
      </c>
      <c r="AK80" s="16">
        <v>5.44839557676688e-7</v>
      </c>
      <c r="AL80" s="16">
        <v>-0.0000030899386780603627</v>
      </c>
      <c r="AM80" s="16">
        <v>0.0005005070609240582</v>
      </c>
      <c r="AN80" s="16">
        <v>6.015936782680097e-7</v>
      </c>
      <c r="AO80" s="16">
        <v>-0.0000034118072903583166</v>
      </c>
      <c r="AP80" s="16">
        <v>-0.000027699153995930977</v>
      </c>
      <c r="AQ80" s="16">
        <v>7.151019194506532e-7</v>
      </c>
      <c r="AR80" s="16">
        <v>-0.0000040555445149542265</v>
      </c>
      <c r="AS80" s="16">
        <v>-0.0005559053689159197</v>
      </c>
      <c r="AT80" s="16">
        <v>8.286101606332965e-7</v>
      </c>
      <c r="AU80" s="16">
        <v>-0.000004699281739550134</v>
      </c>
      <c r="AV80" s="16">
        <v>-0.001084111583835908</v>
      </c>
      <c r="AW80" s="16">
        <v>9.421184018159397e-7</v>
      </c>
      <c r="AX80" s="16">
        <v>-0.000005343018964146043</v>
      </c>
      <c r="AY80" s="16">
        <v>-0.0016123177987558968</v>
      </c>
      <c r="AZ80" s="16">
        <v>0.000001055626642998583</v>
      </c>
      <c r="BA80" s="16">
        <v>-0.000005986756188741952</v>
      </c>
      <c r="BB80" s="16">
        <v>-0.002668730228595877</v>
      </c>
      <c r="BC80" s="16">
        <v>0.00000128264312536387</v>
      </c>
      <c r="BD80" s="16">
        <v>-0.000007274230637933771</v>
      </c>
      <c r="BE80" s="16">
        <v>-0.0037251426584358543</v>
      </c>
      <c r="BF80" s="16">
        <v>0.0000015096596077291565</v>
      </c>
      <c r="BG80" s="16">
        <v>-0.000008561705087125589</v>
      </c>
      <c r="BH80" s="16">
        <v>-0.006366173733035799</v>
      </c>
      <c r="BI80" s="16">
        <v>0.0000020772008136423734</v>
      </c>
      <c r="BJ80" s="16">
        <v>-0.000011780391210105132</v>
      </c>
      <c r="BK80" s="16">
        <v>-0.009007204807635744</v>
      </c>
      <c r="BL80" s="16">
        <v>0.00000264474201955559</v>
      </c>
      <c r="BM80" s="16">
        <v>-0.000014999077333084677</v>
      </c>
      <c r="BN80" s="16">
        <v>-0.019571329106035523</v>
      </c>
      <c r="BO80" s="16">
        <v>0.000004914906843208456</v>
      </c>
      <c r="BP80" s="16">
        <v>-0.00002787382182500285</v>
      </c>
      <c r="BQ80" s="16">
        <v>-0.05</v>
      </c>
      <c r="BR80" s="16">
        <v>0</v>
      </c>
      <c r="BS80" s="16">
        <v>0</v>
      </c>
      <c r="BT80" s="45">
        <v>33981.43387592912</v>
      </c>
      <c r="BU80" s="45">
        <v>33981.43387592912</v>
      </c>
      <c r="BV80" s="45">
        <v>33796.94694990778</v>
      </c>
      <c r="BW80" s="45">
        <v>32693.443696975228</v>
      </c>
      <c r="BX80" s="45">
        <v>30469.950728093463</v>
      </c>
      <c r="BY80" s="45">
        <v>29053.724486610277</v>
      </c>
      <c r="BZ80" s="45">
        <v>26969.406816725208</v>
      </c>
      <c r="CA80" s="45">
        <v>25522.401662241053</v>
      </c>
      <c r="CB80" s="45">
        <v>22092.35822606</v>
      </c>
      <c r="CC80" s="45">
        <v>19335.875256443433</v>
      </c>
      <c r="CD80" s="45">
        <v>16633.776651592707</v>
      </c>
      <c r="CE80" s="45">
        <v>13951.093705975125</v>
      </c>
      <c r="CF80" s="45">
        <v>9987.621831676995</v>
      </c>
      <c r="CG80" s="45">
        <v>7605.641064840288</v>
      </c>
      <c r="CH80" s="45">
        <v>6266.135824964242</v>
      </c>
      <c r="CI80" s="45">
        <v>5279.360967890404</v>
      </c>
      <c r="CJ80" s="45">
        <v>3793.9375105422037</v>
      </c>
      <c r="CK80" s="45">
        <v>2713.217552900818</v>
      </c>
      <c r="CL80" s="45">
        <v>530.9158617156744</v>
      </c>
      <c r="CM80" s="45">
        <v>-1082.3523960080217</v>
      </c>
      <c r="CN80" s="45">
        <v>-4086.7549738188663</v>
      </c>
      <c r="CO80" s="45">
        <v>-5790.583579096708</v>
      </c>
      <c r="CP80" s="45">
        <v>6.55418261885643e-13</v>
      </c>
      <c r="CQ80" s="45">
        <v>6.55418261885643e-13</v>
      </c>
      <c r="CR80" s="45">
        <v>14.815463536244117</v>
      </c>
      <c r="CS80" s="45">
        <v>113.97999810839903</v>
      </c>
      <c r="CT80" s="45">
        <v>279.7098222733983</v>
      </c>
      <c r="CU80" s="45">
        <v>377.3007134798157</v>
      </c>
      <c r="CV80" s="45">
        <v>516.0351098525956</v>
      </c>
      <c r="CW80" s="45">
        <v>599.5037830193401</v>
      </c>
      <c r="CX80" s="45">
        <v>682.9722624045228</v>
      </c>
      <c r="CY80" s="45">
        <v>741.8517955011937</v>
      </c>
      <c r="CZ80" s="45">
        <v>815.844639635112</v>
      </c>
      <c r="DA80" s="45">
        <v>871.750606236681</v>
      </c>
      <c r="DB80" s="45">
        <v>876.803324573528</v>
      </c>
      <c r="DC80" s="45">
        <v>798.0767708759757</v>
      </c>
      <c r="DD80" s="45">
        <v>747.2819519248477</v>
      </c>
      <c r="DE80" s="45">
        <v>729.226947224515</v>
      </c>
      <c r="DF80" s="45">
        <v>710.2160952757297</v>
      </c>
      <c r="DG80" s="45">
        <v>710.3241169417373</v>
      </c>
      <c r="DH80" s="45">
        <v>658.645850178619</v>
      </c>
      <c r="DI80" s="45">
        <v>521.8606213134061</v>
      </c>
      <c r="DJ80" s="45">
        <v>355.3866929928256</v>
      </c>
      <c r="DK80" s="45">
        <v>0</v>
      </c>
      <c r="DL80" s="45">
        <v>-5.220063030719757e-12</v>
      </c>
      <c r="DM80" s="45">
        <v>-5.220063030719757e-12</v>
      </c>
      <c r="DN80" s="45">
        <v>-123.87340961984023</v>
      </c>
      <c r="DO80" s="45">
        <v>-787.0981112310167</v>
      </c>
      <c r="DP80" s="45">
        <v>-1996.1548598566778</v>
      </c>
      <c r="DQ80" s="45">
        <v>-2723.9681381691425</v>
      </c>
      <c r="DR80" s="45">
        <v>-3738.70687056946</v>
      </c>
      <c r="DS80" s="45">
        <v>-4416.481199735625</v>
      </c>
      <c r="DT80" s="45">
        <v>-5679.932957583232</v>
      </c>
      <c r="DU80" s="45">
        <v>-6269.940677524256</v>
      </c>
      <c r="DV80" s="45">
        <v>-6671.889250603272</v>
      </c>
      <c r="DW80" s="45">
        <v>-6974.431282801745</v>
      </c>
      <c r="DX80" s="45">
        <v>-6993.684729213758</v>
      </c>
      <c r="DY80" s="45">
        <v>-6769.179172734101</v>
      </c>
      <c r="DZ80" s="45">
        <v>-6513.94720081459</v>
      </c>
      <c r="EA80" s="45">
        <v>-6268.759878799801</v>
      </c>
      <c r="EB80" s="45">
        <v>-5761.812439876744</v>
      </c>
      <c r="EC80" s="45">
        <v>-5273.181464450747</v>
      </c>
      <c r="ED80" s="45">
        <v>-4122.16900313871</v>
      </c>
      <c r="EE80" s="45">
        <v>-3164.390787527139</v>
      </c>
      <c r="EF80" s="45">
        <v>-1181.914583054016</v>
      </c>
      <c r="EG80" s="45">
        <v>5.960464477539062e-14</v>
      </c>
      <c r="EH80" s="46">
        <f>MAX(1,MIN(21,SUMPRODUCT(--($BT80:$CO80&gt;=Pu))))</f>
      </c>
      <c r="EI80" s="47">
        <f>(Pu-INDEX($BT80:$CO80,1,$EH80))/(INDEX($BT80:$CO80,1,$EH80+1)-INDEX($BT80:$CO80,1,$EH80))</f>
      </c>
      <c r="EJ80" s="39">
        <f>INDEX($CP80:$DK80,1,$EH80)+$EI80*(INDEX($CP80:$DK80,1,$EH80+1)-INDEX($CP80:$DK80,1,$EH80))</f>
      </c>
      <c r="EK80" s="39">
        <f>INDEX($DL80:$EG80,1,$EH80)+$EI80*(INDEX($DL80:$EG80,1,$EH80+1)-INDEX($DL80:$EG80,1,$EH80))</f>
      </c>
      <c r="EL80" s="39">
        <f>SQRT(EJ80^2+EK80^2)</f>
      </c>
      <c r="EM80" s="20">
        <f>EJ81-EJ80</f>
      </c>
      <c r="EN80" s="20">
        <f>EK81-EK80</f>
      </c>
      <c r="EO80" s="20">
        <f>EM80*SIN(RADIANS(theta_L))-EN80*COS(RADIANS(theta_L))</f>
      </c>
      <c r="EP80" s="47">
        <f>IF(EO80=0,"",-(EJ80*SIN(RADIANS(theta_L))-EK80*COS(RADIANS(theta_L)))/EO80)</f>
      </c>
      <c r="EQ80" s="20">
        <f>IF(EP80="","",(EJ80+EP80*EM80)*COS(RADIANS(theta_L))+(EK80+EP80*EN80)*SIN(RADIANS(theta_L)))</f>
      </c>
      <c r="ER80" s="20">
        <f>IF(OR(EP80="",EP80&lt;0,EP80&gt;1,EQ80&lt;0),"",EQ80)</f>
      </c>
    </row>
    <row r="81" spans="1:148" x14ac:dyDescent="0.25">
      <c r="A81">
        <v>74</v>
      </c>
      <c r="B81" s="44">
        <v>285</v>
      </c>
      <c r="C81" s="18">
        <v>827.9719877578095</v>
      </c>
      <c r="D81" s="18">
        <v>-734.4752754073227</v>
      </c>
      <c r="E81" s="18">
        <v>1562.4472631651322</v>
      </c>
      <c r="F81" s="16">
        <v>0.0033</v>
      </c>
      <c r="G81" s="16">
        <v>0</v>
      </c>
      <c r="H81" s="16">
        <v>0</v>
      </c>
      <c r="I81" s="16">
        <v>0.00275</v>
      </c>
      <c r="J81" s="16">
        <v>1.719266797804096e-7</v>
      </c>
      <c r="K81" s="16">
        <v>-6.416391041171147e-7</v>
      </c>
      <c r="L81" s="16">
        <v>0.0024749999999999998</v>
      </c>
      <c r="M81" s="16">
        <v>2.5789001967061446e-7</v>
      </c>
      <c r="N81" s="16">
        <v>-9.624586561756721e-7</v>
      </c>
      <c r="O81" s="16">
        <v>0.0022</v>
      </c>
      <c r="P81" s="16">
        <v>3.4385335956081925e-7</v>
      </c>
      <c r="Q81" s="16">
        <v>-0.0000012832782082342294</v>
      </c>
      <c r="R81" s="16">
        <v>0.001925</v>
      </c>
      <c r="S81" s="16">
        <v>4.298166994510241e-7</v>
      </c>
      <c r="T81" s="16">
        <v>-0.000001604097760292787</v>
      </c>
      <c r="U81" s="16">
        <v>0.0018000000000000002</v>
      </c>
      <c r="V81" s="16">
        <v>4.6889094485566257e-7</v>
      </c>
      <c r="W81" s="16">
        <v>-0.0000017499248294103129</v>
      </c>
      <c r="X81" s="16">
        <v>0.00165</v>
      </c>
      <c r="Y81" s="16">
        <v>5.157800393412289e-7</v>
      </c>
      <c r="Z81" s="16">
        <v>-0.0000019249173123513443</v>
      </c>
      <c r="AA81" s="16">
        <v>0.0015512641392671448</v>
      </c>
      <c r="AB81" s="16">
        <v>5.466442733613394e-7</v>
      </c>
      <c r="AC81" s="16">
        <v>-0.0000020401042018510924</v>
      </c>
      <c r="AD81" s="16">
        <v>0.0012863041603682272</v>
      </c>
      <c r="AE81" s="16">
        <v>6.294691632645725e-7</v>
      </c>
      <c r="AF81" s="16">
        <v>-0.000002349210899101258</v>
      </c>
      <c r="AG81" s="16">
        <v>0.0010213441814693096</v>
      </c>
      <c r="AH81" s="16">
        <v>7.122940531678058e-7</v>
      </c>
      <c r="AI81" s="16">
        <v>-0.0000026583175963514237</v>
      </c>
      <c r="AJ81" s="16">
        <v>0.000756384202570392</v>
      </c>
      <c r="AK81" s="16">
        <v>7.951189430710391e-7</v>
      </c>
      <c r="AL81" s="16">
        <v>-0.000002967424293601589</v>
      </c>
      <c r="AM81" s="16">
        <v>0.0004914242236714749</v>
      </c>
      <c r="AN81" s="16">
        <v>8.779438329742723e-7</v>
      </c>
      <c r="AO81" s="16">
        <v>-0.0000032765309908517546</v>
      </c>
      <c r="AP81" s="16">
        <v>-0.00003849573412636033</v>
      </c>
      <c r="AQ81" s="16">
        <v>0.0000010435936127807386</v>
      </c>
      <c r="AR81" s="16">
        <v>-0.000003894744385352086</v>
      </c>
      <c r="AS81" s="16">
        <v>-0.0005684156919241947</v>
      </c>
      <c r="AT81" s="16">
        <v>0.000001209243392587205</v>
      </c>
      <c r="AU81" s="16">
        <v>-0.000004512957779852417</v>
      </c>
      <c r="AV81" s="16">
        <v>-0.0010983356497220303</v>
      </c>
      <c r="AW81" s="16">
        <v>0.0000013748931723936717</v>
      </c>
      <c r="AX81" s="16">
        <v>-0.000005131171174352748</v>
      </c>
      <c r="AY81" s="16">
        <v>-0.0016282556075198646</v>
      </c>
      <c r="AZ81" s="16">
        <v>0.000001540542952200138</v>
      </c>
      <c r="BA81" s="16">
        <v>-0.0000057493845688530785</v>
      </c>
      <c r="BB81" s="16">
        <v>-0.002688095523115535</v>
      </c>
      <c r="BC81" s="16">
        <v>0.0000018718425118130711</v>
      </c>
      <c r="BD81" s="16">
        <v>-0.000006985811357853741</v>
      </c>
      <c r="BE81" s="16">
        <v>-0.0037479354387112036</v>
      </c>
      <c r="BF81" s="16">
        <v>0.0000022031420714260037</v>
      </c>
      <c r="BG81" s="16">
        <v>-0.000008222238146854403</v>
      </c>
      <c r="BH81" s="16">
        <v>-0.00639753522770038</v>
      </c>
      <c r="BI81" s="16">
        <v>0.0000030313909704583363</v>
      </c>
      <c r="BJ81" s="16">
        <v>-0.000011313305119356059</v>
      </c>
      <c r="BK81" s="16">
        <v>-0.009047135016689554</v>
      </c>
      <c r="BL81" s="16">
        <v>0.000003859639869490668</v>
      </c>
      <c r="BM81" s="16">
        <v>-0.000014404372091857713</v>
      </c>
      <c r="BN81" s="16">
        <v>-0.01964553417264625</v>
      </c>
      <c r="BO81" s="16">
        <v>0.000007172635465619997</v>
      </c>
      <c r="BP81" s="16">
        <v>-0.000026768639981864333</v>
      </c>
      <c r="BQ81" s="16">
        <v>-0.05</v>
      </c>
      <c r="BR81" s="16">
        <v>0</v>
      </c>
      <c r="BS81" s="16">
        <v>0</v>
      </c>
      <c r="BT81" s="45">
        <v>33981.43387592912</v>
      </c>
      <c r="BU81" s="45">
        <v>33981.43387592912</v>
      </c>
      <c r="BV81" s="45">
        <v>33818.40853037198</v>
      </c>
      <c r="BW81" s="45">
        <v>32769.78190661358</v>
      </c>
      <c r="BX81" s="45">
        <v>30624.34259256003</v>
      </c>
      <c r="BY81" s="45">
        <v>29239.852553199133</v>
      </c>
      <c r="BZ81" s="45">
        <v>27219.37265371652</v>
      </c>
      <c r="CA81" s="45">
        <v>25715.557392494076</v>
      </c>
      <c r="CB81" s="45">
        <v>22178.928015783273</v>
      </c>
      <c r="CC81" s="45">
        <v>19344.840997234107</v>
      </c>
      <c r="CD81" s="45">
        <v>16590.517460371968</v>
      </c>
      <c r="CE81" s="45">
        <v>13901.991264735814</v>
      </c>
      <c r="CF81" s="45">
        <v>9867.160135313483</v>
      </c>
      <c r="CG81" s="45">
        <v>7518.958128542957</v>
      </c>
      <c r="CH81" s="45">
        <v>6082.136965180094</v>
      </c>
      <c r="CI81" s="45">
        <v>5009.309392420963</v>
      </c>
      <c r="CJ81" s="45">
        <v>3414.061783832269</v>
      </c>
      <c r="CK81" s="45">
        <v>2185.483747097043</v>
      </c>
      <c r="CL81" s="45">
        <v>-132.51587565875565</v>
      </c>
      <c r="CM81" s="45">
        <v>-1744.7854223960508</v>
      </c>
      <c r="CN81" s="45">
        <v>-4507.458384549971</v>
      </c>
      <c r="CO81" s="45">
        <v>-5790.583579096708</v>
      </c>
      <c r="CP81" s="45">
        <v>6.55418261885643e-13</v>
      </c>
      <c r="CQ81" s="45">
        <v>6.55418261885643e-13</v>
      </c>
      <c r="CR81" s="45">
        <v>21.368050748714083</v>
      </c>
      <c r="CS81" s="45">
        <v>156.81467423963255</v>
      </c>
      <c r="CT81" s="45">
        <v>395.06575589361285</v>
      </c>
      <c r="CU81" s="45">
        <v>542.2053811693052</v>
      </c>
      <c r="CV81" s="45">
        <v>742.2704085598368</v>
      </c>
      <c r="CW81" s="45">
        <v>873.690293295758</v>
      </c>
      <c r="CX81" s="45">
        <v>1025.1920728710256</v>
      </c>
      <c r="CY81" s="45">
        <v>1119.9132494620465</v>
      </c>
      <c r="CZ81" s="45">
        <v>1222.5223612381096</v>
      </c>
      <c r="DA81" s="45">
        <v>1297.2656651507405</v>
      </c>
      <c r="DB81" s="45">
        <v>1289.5225668527223</v>
      </c>
      <c r="DC81" s="45">
        <v>1200.1835845682442</v>
      </c>
      <c r="DD81" s="45">
        <v>1127.4442403237908</v>
      </c>
      <c r="DE81" s="45">
        <v>1085.5176112462038</v>
      </c>
      <c r="DF81" s="45">
        <v>1072.5644017783975</v>
      </c>
      <c r="DG81" s="45">
        <v>1041.861867708983</v>
      </c>
      <c r="DH81" s="45">
        <v>887.2318220264937</v>
      </c>
      <c r="DI81" s="45">
        <v>710.0666173461917</v>
      </c>
      <c r="DJ81" s="45">
        <v>355.8949366383747</v>
      </c>
      <c r="DK81" s="45">
        <v>0</v>
      </c>
      <c r="DL81" s="45">
        <v>-5.220063030719757e-12</v>
      </c>
      <c r="DM81" s="45">
        <v>-5.220063030719757e-12</v>
      </c>
      <c r="DN81" s="45">
        <v>-107.93060327482065</v>
      </c>
      <c r="DO81" s="45">
        <v>-732.8329881031457</v>
      </c>
      <c r="DP81" s="45">
        <v>-1883.4952691734495</v>
      </c>
      <c r="DQ81" s="45">
        <v>-2576.146073226811</v>
      </c>
      <c r="DR81" s="45">
        <v>-3546.580785521626</v>
      </c>
      <c r="DS81" s="45">
        <v>-4238.763179375164</v>
      </c>
      <c r="DT81" s="45">
        <v>-5536.358358340088</v>
      </c>
      <c r="DU81" s="45">
        <v>-6151.033483343648</v>
      </c>
      <c r="DV81" s="45">
        <v>-6552.8925273459245</v>
      </c>
      <c r="DW81" s="45">
        <v>-6841.91874919696</v>
      </c>
      <c r="DX81" s="45">
        <v>-6876.630755819069</v>
      </c>
      <c r="DY81" s="45">
        <v>-6639.204405809457</v>
      </c>
      <c r="DZ81" s="45">
        <v>-6368.989576767917</v>
      </c>
      <c r="EA81" s="45">
        <v>-6080.339470920108</v>
      </c>
      <c r="EB81" s="45">
        <v>-5483.561638472512</v>
      </c>
      <c r="EC81" s="45">
        <v>-4915.654654017656</v>
      </c>
      <c r="ED81" s="45">
        <v>-3657.2398529947177</v>
      </c>
      <c r="EE81" s="45">
        <v>-2683.9782302716053</v>
      </c>
      <c r="EF81" s="45">
        <v>-886.9239981464515</v>
      </c>
      <c r="EG81" s="45">
        <v>5.960464477539062e-14</v>
      </c>
      <c r="EH81" s="46">
        <f>MAX(1,MIN(21,SUMPRODUCT(--($BT81:$CO81&gt;=Pu))))</f>
      </c>
      <c r="EI81" s="47">
        <f>(Pu-INDEX($BT81:$CO81,1,$EH81))/(INDEX($BT81:$CO81,1,$EH81+1)-INDEX($BT81:$CO81,1,$EH81))</f>
      </c>
      <c r="EJ81" s="39">
        <f>INDEX($CP81:$DK81,1,$EH81)+$EI81*(INDEX($CP81:$DK81,1,$EH81+1)-INDEX($CP81:$DK81,1,$EH81))</f>
      </c>
      <c r="EK81" s="39">
        <f>INDEX($DL81:$EG81,1,$EH81)+$EI81*(INDEX($DL81:$EG81,1,$EH81+1)-INDEX($DL81:$EG81,1,$EH81))</f>
      </c>
      <c r="EL81" s="39">
        <f>SQRT(EJ81^2+EK81^2)</f>
      </c>
      <c r="EM81" s="20">
        <f>EJ82-EJ81</f>
      </c>
      <c r="EN81" s="20">
        <f>EK82-EK81</f>
      </c>
      <c r="EO81" s="20">
        <f>EM81*SIN(RADIANS(theta_L))-EN81*COS(RADIANS(theta_L))</f>
      </c>
      <c r="EP81" s="47">
        <f>IF(EO81=0,"",-(EJ81*SIN(RADIANS(theta_L))-EK81*COS(RADIANS(theta_L)))/EO81)</f>
      </c>
      <c r="EQ81" s="20">
        <f>IF(EP81="","",(EJ81+EP81*EM81)*COS(RADIANS(theta_L))+(EK81+EP81*EN81)*SIN(RADIANS(theta_L)))</f>
      </c>
      <c r="ER81" s="20">
        <f>IF(OR(EP81="",EP81&lt;0,EP81&gt;1,EQ81&lt;0),"",EQ81)</f>
      </c>
    </row>
    <row r="82" spans="1:148" x14ac:dyDescent="0.25">
      <c r="A82">
        <v>75</v>
      </c>
      <c r="B82" s="44">
        <v>290.00000000000006</v>
      </c>
      <c r="C82" s="18">
        <v>841.5775229196988</v>
      </c>
      <c r="D82" s="18">
        <v>-741.5970251321183</v>
      </c>
      <c r="E82" s="18">
        <v>1583.174548051817</v>
      </c>
      <c r="F82" s="16">
        <v>0.0033</v>
      </c>
      <c r="G82" s="16">
        <v>0</v>
      </c>
      <c r="H82" s="16">
        <v>0</v>
      </c>
      <c r="I82" s="16">
        <v>0.00275</v>
      </c>
      <c r="J82" s="16">
        <v>2.2352198544526363e-7</v>
      </c>
      <c r="K82" s="16">
        <v>-6.141216077625261e-7</v>
      </c>
      <c r="L82" s="16">
        <v>0.0024749999999999998</v>
      </c>
      <c r="M82" s="16">
        <v>3.3528297816789545e-7</v>
      </c>
      <c r="N82" s="16">
        <v>-9.211824116437892e-7</v>
      </c>
      <c r="O82" s="16">
        <v>0.0022</v>
      </c>
      <c r="P82" s="16">
        <v>4.4704397089052726e-7</v>
      </c>
      <c r="Q82" s="16">
        <v>-0.0000012282432155250521</v>
      </c>
      <c r="R82" s="16">
        <v>0.0019249999999999998</v>
      </c>
      <c r="S82" s="16">
        <v>5.588049636131591e-7</v>
      </c>
      <c r="T82" s="16">
        <v>-0.0000015353040194063152</v>
      </c>
      <c r="U82" s="16">
        <v>0.0018000000000000002</v>
      </c>
      <c r="V82" s="16">
        <v>6.09605414850719e-7</v>
      </c>
      <c r="W82" s="16">
        <v>-0.0000016748771120796165</v>
      </c>
      <c r="X82" s="16">
        <v>0.0016499999999999998</v>
      </c>
      <c r="Y82" s="16">
        <v>6.705659563357909e-7</v>
      </c>
      <c r="Z82" s="16">
        <v>-0.0000018423648232875784</v>
      </c>
      <c r="AA82" s="16">
        <v>0.0015457993472340053</v>
      </c>
      <c r="AB82" s="16">
        <v>7.129134777738775e-7</v>
      </c>
      <c r="AC82" s="16">
        <v>-0.0000019587136822085915</v>
      </c>
      <c r="AD82" s="16">
        <v>0.0012800113695421878</v>
      </c>
      <c r="AE82" s="16">
        <v>8.209306713759802e-7</v>
      </c>
      <c r="AF82" s="16">
        <v>-0.0000022554884825432266</v>
      </c>
      <c r="AG82" s="16">
        <v>0.0010142233918503706</v>
      </c>
      <c r="AH82" s="16">
        <v>9.289478649780829e-7</v>
      </c>
      <c r="AI82" s="16">
        <v>-0.000002552263282877862</v>
      </c>
      <c r="AJ82" s="16">
        <v>0.0007484354141585529</v>
      </c>
      <c r="AK82" s="16">
        <v>0.0000010369650585801857</v>
      </c>
      <c r="AL82" s="16">
        <v>-0.000002849038083212497</v>
      </c>
      <c r="AM82" s="16">
        <v>0.0004826474364667357</v>
      </c>
      <c r="AN82" s="16">
        <v>0.000001144982252182288</v>
      </c>
      <c r="AO82" s="16">
        <v>-0.000003145812883547132</v>
      </c>
      <c r="AP82" s="16">
        <v>-0.0000489285189168992</v>
      </c>
      <c r="AQ82" s="16">
        <v>0.0000013610166393864934</v>
      </c>
      <c r="AR82" s="16">
        <v>-0.000003739362484216402</v>
      </c>
      <c r="AS82" s="16">
        <v>-0.0005805044743005337</v>
      </c>
      <c r="AT82" s="16">
        <v>0.0000015770510265906987</v>
      </c>
      <c r="AU82" s="16">
        <v>-0.000004332912084885672</v>
      </c>
      <c r="AV82" s="16">
        <v>-0.001112080429684169</v>
      </c>
      <c r="AW82" s="16">
        <v>0.0000017930854137949042</v>
      </c>
      <c r="AX82" s="16">
        <v>-0.000004926461685554943</v>
      </c>
      <c r="AY82" s="16">
        <v>-0.0016436563850678026</v>
      </c>
      <c r="AZ82" s="16">
        <v>0.000002009119800999109</v>
      </c>
      <c r="BA82" s="16">
        <v>-0.000005520011286224212</v>
      </c>
      <c r="BB82" s="16">
        <v>-0.0027068082958350732</v>
      </c>
      <c r="BC82" s="16">
        <v>0.00000244118857540752</v>
      </c>
      <c r="BD82" s="16">
        <v>-0.000006707110487562754</v>
      </c>
      <c r="BE82" s="16">
        <v>-0.003769960206602342</v>
      </c>
      <c r="BF82" s="16">
        <v>0.0000028732573498159306</v>
      </c>
      <c r="BG82" s="16">
        <v>-0.000007894209688901294</v>
      </c>
      <c r="BH82" s="16">
        <v>-0.006427839983520517</v>
      </c>
      <c r="BI82" s="16">
        <v>0.000003953429285836958</v>
      </c>
      <c r="BJ82" s="16">
        <v>-0.000010861957692247645</v>
      </c>
      <c r="BK82" s="16">
        <v>-0.00908571976043869</v>
      </c>
      <c r="BL82" s="16">
        <v>0.000005033601221857984</v>
      </c>
      <c r="BM82" s="16">
        <v>-0.000013829705695593996</v>
      </c>
      <c r="BN82" s="16">
        <v>-0.019717238868111383</v>
      </c>
      <c r="BO82" s="16">
        <v>0.000009354288965942089</v>
      </c>
      <c r="BP82" s="16">
        <v>-0.0000257006977089794</v>
      </c>
      <c r="BQ82" s="16">
        <v>-0.05</v>
      </c>
      <c r="BR82" s="16">
        <v>0</v>
      </c>
      <c r="BS82" s="16">
        <v>0</v>
      </c>
      <c r="BT82" s="45">
        <v>33981.43387592912</v>
      </c>
      <c r="BU82" s="45">
        <v>33981.43387592912</v>
      </c>
      <c r="BV82" s="45">
        <v>33836.34720381349</v>
      </c>
      <c r="BW82" s="45">
        <v>32825.4102704677</v>
      </c>
      <c r="BX82" s="45">
        <v>30736.236133313032</v>
      </c>
      <c r="BY82" s="45">
        <v>29379.9841350131</v>
      </c>
      <c r="BZ82" s="45">
        <v>27414.13888366179</v>
      </c>
      <c r="CA82" s="45">
        <v>25849.965702989077</v>
      </c>
      <c r="CB82" s="45">
        <v>22255.258970605515</v>
      </c>
      <c r="CC82" s="45">
        <v>19342.78910459185</v>
      </c>
      <c r="CD82" s="45">
        <v>16542.336066054748</v>
      </c>
      <c r="CE82" s="45">
        <v>13848.347403579408</v>
      </c>
      <c r="CF82" s="45">
        <v>9770.861366390971</v>
      </c>
      <c r="CG82" s="45">
        <v>7424.590749444938</v>
      </c>
      <c r="CH82" s="45">
        <v>5858.998068095736</v>
      </c>
      <c r="CI82" s="45">
        <v>4735.554400534144</v>
      </c>
      <c r="CJ82" s="45">
        <v>3041.59251263208</v>
      </c>
      <c r="CK82" s="45">
        <v>1689.8118979115677</v>
      </c>
      <c r="CL82" s="45">
        <v>-656.0205704562325</v>
      </c>
      <c r="CM82" s="45">
        <v>-2197.280810607383</v>
      </c>
      <c r="CN82" s="45">
        <v>-4679.7920068782505</v>
      </c>
      <c r="CO82" s="45">
        <v>-5790.583579096708</v>
      </c>
      <c r="CP82" s="45">
        <v>6.55418261885643e-13</v>
      </c>
      <c r="CQ82" s="45">
        <v>6.55418261885643e-13</v>
      </c>
      <c r="CR82" s="45">
        <v>27.197230856824927</v>
      </c>
      <c r="CS82" s="45">
        <v>198.5652251210284</v>
      </c>
      <c r="CT82" s="45">
        <v>507.0640089987721</v>
      </c>
      <c r="CU82" s="45">
        <v>693.2984891921449</v>
      </c>
      <c r="CV82" s="45">
        <v>953.4942933782283</v>
      </c>
      <c r="CW82" s="45">
        <v>1138.5200755461062</v>
      </c>
      <c r="CX82" s="45">
        <v>1371.4967157297074</v>
      </c>
      <c r="CY82" s="45">
        <v>1504.8665012384192</v>
      </c>
      <c r="CZ82" s="45">
        <v>1632.908549853394</v>
      </c>
      <c r="DA82" s="45">
        <v>1726.5870008880786</v>
      </c>
      <c r="DB82" s="45">
        <v>1701.344635345096</v>
      </c>
      <c r="DC82" s="45">
        <v>1604.3504170166998</v>
      </c>
      <c r="DD82" s="45">
        <v>1517.4231564349236</v>
      </c>
      <c r="DE82" s="45">
        <v>1468.5150174199043</v>
      </c>
      <c r="DF82" s="45">
        <v>1402.4912949672714</v>
      </c>
      <c r="DG82" s="45">
        <v>1329.239978299655</v>
      </c>
      <c r="DH82" s="45">
        <v>1063.4152307689567</v>
      </c>
      <c r="DI82" s="45">
        <v>844.1461296709217</v>
      </c>
      <c r="DJ82" s="45">
        <v>344.7780635522069</v>
      </c>
      <c r="DK82" s="45">
        <v>0</v>
      </c>
      <c r="DL82" s="45">
        <v>-5.220063030719757e-12</v>
      </c>
      <c r="DM82" s="45">
        <v>-5.220063030719757e-12</v>
      </c>
      <c r="DN82" s="45">
        <v>-94.33831253086547</v>
      </c>
      <c r="DO82" s="45">
        <v>-686.5198515967822</v>
      </c>
      <c r="DP82" s="45">
        <v>-1782.772633725408</v>
      </c>
      <c r="DQ82" s="45">
        <v>-2445.235243575464</v>
      </c>
      <c r="DR82" s="45">
        <v>-3374.8895702783325</v>
      </c>
      <c r="DS82" s="45">
        <v>-4071.975541574688</v>
      </c>
      <c r="DT82" s="45">
        <v>-5365.399240607431</v>
      </c>
      <c r="DU82" s="45">
        <v>-6006.307723963136</v>
      </c>
      <c r="DV82" s="45">
        <v>-6408.192053969584</v>
      </c>
      <c r="DW82" s="45">
        <v>-6683.262958666145</v>
      </c>
      <c r="DX82" s="45">
        <v>-6731.645690458657</v>
      </c>
      <c r="DY82" s="45">
        <v>-6467.64811677708</v>
      </c>
      <c r="DZ82" s="45">
        <v>-6165.474269362703</v>
      </c>
      <c r="EA82" s="45">
        <v>-5830.219335674961</v>
      </c>
      <c r="EB82" s="45">
        <v>-5179.274442981983</v>
      </c>
      <c r="EC82" s="45">
        <v>-4552.343094454319</v>
      </c>
      <c r="ED82" s="45">
        <v>-3270.843022703111</v>
      </c>
      <c r="EE82" s="45">
        <v>-2341.049418476031</v>
      </c>
      <c r="EF82" s="45">
        <v>-763.3765225666853</v>
      </c>
      <c r="EG82" s="45">
        <v>5.960464477539062e-14</v>
      </c>
      <c r="EH82" s="46">
        <f>MAX(1,MIN(21,SUMPRODUCT(--($BT82:$CO82&gt;=Pu))))</f>
      </c>
      <c r="EI82" s="47">
        <f>(Pu-INDEX($BT82:$CO82,1,$EH82))/(INDEX($BT82:$CO82,1,$EH82+1)-INDEX($BT82:$CO82,1,$EH82))</f>
      </c>
      <c r="EJ82" s="39">
        <f>INDEX($CP82:$DK82,1,$EH82)+$EI82*(INDEX($CP82:$DK82,1,$EH82+1)-INDEX($CP82:$DK82,1,$EH82))</f>
      </c>
      <c r="EK82" s="39">
        <f>INDEX($DL82:$EG82,1,$EH82)+$EI82*(INDEX($DL82:$EG82,1,$EH82+1)-INDEX($DL82:$EG82,1,$EH82))</f>
      </c>
      <c r="EL82" s="39">
        <f>SQRT(EJ82^2+EK82^2)</f>
      </c>
      <c r="EM82" s="20">
        <f>EJ83-EJ82</f>
      </c>
      <c r="EN82" s="20">
        <f>EK83-EK82</f>
      </c>
      <c r="EO82" s="20">
        <f>EM82*SIN(RADIANS(theta_L))-EN82*COS(RADIANS(theta_L))</f>
      </c>
      <c r="EP82" s="47">
        <f>IF(EO82=0,"",-(EJ82*SIN(RADIANS(theta_L))-EK82*COS(RADIANS(theta_L)))/EO82)</f>
      </c>
      <c r="EQ82" s="20">
        <f>IF(EP82="","",(EJ82+EP82*EM82)*COS(RADIANS(theta_L))+(EK82+EP82*EN82)*SIN(RADIANS(theta_L)))</f>
      </c>
      <c r="ER82" s="20">
        <f>IF(OR(EP82="",EP82&lt;0,EP82&gt;1,EQ82&lt;0),"",EQ82)</f>
      </c>
    </row>
    <row r="83" spans="1:148" x14ac:dyDescent="0.25">
      <c r="A83">
        <v>76</v>
      </c>
      <c r="B83" s="44">
        <v>295</v>
      </c>
      <c r="C83" s="18">
        <v>848.7781449737672</v>
      </c>
      <c r="D83" s="18">
        <v>-743.0747737071317</v>
      </c>
      <c r="E83" s="18">
        <v>1591.852918680899</v>
      </c>
      <c r="F83" s="16">
        <v>0.0033</v>
      </c>
      <c r="G83" s="16">
        <v>0</v>
      </c>
      <c r="H83" s="16">
        <v>0</v>
      </c>
      <c r="I83" s="16">
        <v>0.00275</v>
      </c>
      <c r="J83" s="16">
        <v>2.738525318233404e-7</v>
      </c>
      <c r="K83" s="16">
        <v>-5.872786496942186e-7</v>
      </c>
      <c r="L83" s="16">
        <v>0.0024749999999999998</v>
      </c>
      <c r="M83" s="16">
        <v>4.1077879773501046e-7</v>
      </c>
      <c r="N83" s="16">
        <v>-8.809179745413277e-7</v>
      </c>
      <c r="O83" s="16">
        <v>0.0021999999999999997</v>
      </c>
      <c r="P83" s="16">
        <v>5.477050636466807e-7</v>
      </c>
      <c r="Q83" s="16">
        <v>-0.0000011745572993884372</v>
      </c>
      <c r="R83" s="16">
        <v>0.0019249999999999998</v>
      </c>
      <c r="S83" s="16">
        <v>6.846313295583509e-7</v>
      </c>
      <c r="T83" s="16">
        <v>-0.0000014681966242355465</v>
      </c>
      <c r="U83" s="16">
        <v>0.0018000000000000002</v>
      </c>
      <c r="V83" s="16">
        <v>7.468705413363826e-7</v>
      </c>
      <c r="W83" s="16">
        <v>-0.0000016016690446205958</v>
      </c>
      <c r="X83" s="16">
        <v>0.00165</v>
      </c>
      <c r="Y83" s="16">
        <v>8.215575954700209e-7</v>
      </c>
      <c r="Z83" s="16">
        <v>-0.0000017618359490826555</v>
      </c>
      <c r="AA83" s="16">
        <v>0.0015404355040951427</v>
      </c>
      <c r="AB83" s="16">
        <v>8.761112583818268e-7</v>
      </c>
      <c r="AC83" s="16">
        <v>-0.0000018788266567361689</v>
      </c>
      <c r="AD83" s="16">
        <v>0.001273834822897437</v>
      </c>
      <c r="AE83" s="16">
        <v>0.0000010088553884396793</v>
      </c>
      <c r="AF83" s="16">
        <v>-0.000002163497362302255</v>
      </c>
      <c r="AG83" s="16">
        <v>0.001007234141699731</v>
      </c>
      <c r="AH83" s="16">
        <v>0.0000011415995184975319</v>
      </c>
      <c r="AI83" s="16">
        <v>-0.0000024481680678683413</v>
      </c>
      <c r="AJ83" s="16">
        <v>0.0007406334605020255</v>
      </c>
      <c r="AK83" s="16">
        <v>0.0000012743436485553846</v>
      </c>
      <c r="AL83" s="16">
        <v>-0.000002732838773434428</v>
      </c>
      <c r="AM83" s="16">
        <v>0.00047403277930431996</v>
      </c>
      <c r="AN83" s="16">
        <v>0.0000014070877786132368</v>
      </c>
      <c r="AO83" s="16">
        <v>-0.0000030175094790005134</v>
      </c>
      <c r="AP83" s="16">
        <v>-0.00005916858309109154</v>
      </c>
      <c r="AQ83" s="16">
        <v>0.0000016725760387289421</v>
      </c>
      <c r="AR83" s="16">
        <v>-0.0000035868508901326863</v>
      </c>
      <c r="AS83" s="16">
        <v>-0.0005923699454865026</v>
      </c>
      <c r="AT83" s="16">
        <v>0.0000019380642988446473</v>
      </c>
      <c r="AU83" s="16">
        <v>-0.000004156192301264859</v>
      </c>
      <c r="AV83" s="16">
        <v>-0.001125571307881914</v>
      </c>
      <c r="AW83" s="16">
        <v>0.000002203552558960352</v>
      </c>
      <c r="AX83" s="16">
        <v>-0.000004725533712397031</v>
      </c>
      <c r="AY83" s="16">
        <v>-0.0016587726702773252</v>
      </c>
      <c r="AZ83" s="16">
        <v>0.000002469040819076057</v>
      </c>
      <c r="BA83" s="16">
        <v>-0.000005294875123529203</v>
      </c>
      <c r="BB83" s="16">
        <v>-0.002725175395068148</v>
      </c>
      <c r="BC83" s="16">
        <v>0.000003000017339307468</v>
      </c>
      <c r="BD83" s="16">
        <v>-0.000006433557945793549</v>
      </c>
      <c r="BE83" s="16">
        <v>-0.0037915781198589703</v>
      </c>
      <c r="BF83" s="16">
        <v>0.0000035309938595388777</v>
      </c>
      <c r="BG83" s="16">
        <v>-0.000007572240768057893</v>
      </c>
      <c r="BH83" s="16">
        <v>-0.006457584931836028</v>
      </c>
      <c r="BI83" s="16">
        <v>0.0000048584351601174034</v>
      </c>
      <c r="BJ83" s="16">
        <v>-0.000010418947823718755</v>
      </c>
      <c r="BK83" s="16">
        <v>-0.009123591743813084</v>
      </c>
      <c r="BL83" s="16">
        <v>0.000006185876460695929</v>
      </c>
      <c r="BM83" s="16">
        <v>-0.000013265654879379618</v>
      </c>
      <c r="BN83" s="16">
        <v>-0.01978761899172131</v>
      </c>
      <c r="BO83" s="16">
        <v>0.00001149564166301003</v>
      </c>
      <c r="BP83" s="16">
        <v>-0.000024652483102023064</v>
      </c>
      <c r="BQ83" s="16">
        <v>-0.05</v>
      </c>
      <c r="BR83" s="16">
        <v>0</v>
      </c>
      <c r="BS83" s="16">
        <v>0</v>
      </c>
      <c r="BT83" s="45">
        <v>33981.43387592912</v>
      </c>
      <c r="BU83" s="45">
        <v>33981.43387592912</v>
      </c>
      <c r="BV83" s="45">
        <v>33851.89039083695</v>
      </c>
      <c r="BW83" s="45">
        <v>32862.89754273508</v>
      </c>
      <c r="BX83" s="45">
        <v>30817.793652669432</v>
      </c>
      <c r="BY83" s="45">
        <v>29484.089969141125</v>
      </c>
      <c r="BZ83" s="45">
        <v>27536.31015962842</v>
      </c>
      <c r="CA83" s="45">
        <v>25924.064838434424</v>
      </c>
      <c r="CB83" s="45">
        <v>22321.241209318763</v>
      </c>
      <c r="CC83" s="45">
        <v>19321.40984647578</v>
      </c>
      <c r="CD83" s="45">
        <v>16487.24992558573</v>
      </c>
      <c r="CE83" s="45">
        <v>13793.31484615331</v>
      </c>
      <c r="CF83" s="45">
        <v>9677.475004743976</v>
      </c>
      <c r="CG83" s="45">
        <v>7301.257368463873</v>
      </c>
      <c r="CH83" s="45">
        <v>5670.739514928386</v>
      </c>
      <c r="CI83" s="45">
        <v>4458.27661938069</v>
      </c>
      <c r="CJ83" s="45">
        <v>2680.426997297472</v>
      </c>
      <c r="CK83" s="45">
        <v>1309.9540019367896</v>
      </c>
      <c r="CL83" s="45">
        <v>-995.714442958253</v>
      </c>
      <c r="CM83" s="45">
        <v>-2514.0702358274098</v>
      </c>
      <c r="CN83" s="45">
        <v>-4787.793962132622</v>
      </c>
      <c r="CO83" s="45">
        <v>-5790.583579096708</v>
      </c>
      <c r="CP83" s="45">
        <v>6.55418261885643e-13</v>
      </c>
      <c r="CQ83" s="45">
        <v>6.55418261885643e-13</v>
      </c>
      <c r="CR83" s="45">
        <v>32.691993481948195</v>
      </c>
      <c r="CS83" s="45">
        <v>237.13398882669907</v>
      </c>
      <c r="CT83" s="45">
        <v>614.6483855943968</v>
      </c>
      <c r="CU83" s="45">
        <v>837.040630656976</v>
      </c>
      <c r="CV83" s="45">
        <v>1155.930798231403</v>
      </c>
      <c r="CW83" s="45">
        <v>1401.507518819176</v>
      </c>
      <c r="CX83" s="45">
        <v>1717.6457527996288</v>
      </c>
      <c r="CY83" s="45">
        <v>1894.0298295100777</v>
      </c>
      <c r="CZ83" s="45">
        <v>2053.787131265089</v>
      </c>
      <c r="DA83" s="45">
        <v>2162.910108594223</v>
      </c>
      <c r="DB83" s="45">
        <v>2125.125054485812</v>
      </c>
      <c r="DC83" s="45">
        <v>2010.065372773598</v>
      </c>
      <c r="DD83" s="45">
        <v>1906.5260782116488</v>
      </c>
      <c r="DE83" s="45">
        <v>1837.2624404824571</v>
      </c>
      <c r="DF83" s="45">
        <v>1705.9640471940775</v>
      </c>
      <c r="DG83" s="45">
        <v>1556.823471728648</v>
      </c>
      <c r="DH83" s="45">
        <v>1212.9669302867765</v>
      </c>
      <c r="DI83" s="45">
        <v>954.2400056978539</v>
      </c>
      <c r="DJ83" s="45">
        <v>350.57898155800785</v>
      </c>
      <c r="DK83" s="45">
        <v>0</v>
      </c>
      <c r="DL83" s="45">
        <v>-5.220063030719757e-12</v>
      </c>
      <c r="DM83" s="45">
        <v>-5.220063030719757e-12</v>
      </c>
      <c r="DN83" s="45">
        <v>-82.33845330869576</v>
      </c>
      <c r="DO83" s="45">
        <v>-647.9089132902045</v>
      </c>
      <c r="DP83" s="45">
        <v>-1692.6599237314283</v>
      </c>
      <c r="DQ83" s="45">
        <v>-2327.593115548515</v>
      </c>
      <c r="DR83" s="45">
        <v>-3213.7595066143917</v>
      </c>
      <c r="DS83" s="45">
        <v>-3911.0478804788877</v>
      </c>
      <c r="DT83" s="45">
        <v>-5170.952313045063</v>
      </c>
      <c r="DU83" s="45">
        <v>-5829.749292884956</v>
      </c>
      <c r="DV83" s="45">
        <v>-6232.4762219153845</v>
      </c>
      <c r="DW83" s="45">
        <v>-6493.973064427267</v>
      </c>
      <c r="DX83" s="45">
        <v>-6542.966896397296</v>
      </c>
      <c r="DY83" s="45">
        <v>-6247.409049051381</v>
      </c>
      <c r="DZ83" s="45">
        <v>-5912.362304034814</v>
      </c>
      <c r="EA83" s="45">
        <v>-5552.439040130791</v>
      </c>
      <c r="EB83" s="45">
        <v>-4865.524388075962</v>
      </c>
      <c r="EC83" s="45">
        <v>-4227.230320394824</v>
      </c>
      <c r="ED83" s="45">
        <v>-2987.54566807141</v>
      </c>
      <c r="EE83" s="45">
        <v>-2090.1936251020793</v>
      </c>
      <c r="EF83" s="45">
        <v>-681.7298681049091</v>
      </c>
      <c r="EG83" s="45">
        <v>5.960464477539062e-14</v>
      </c>
      <c r="EH83" s="46">
        <f>MAX(1,MIN(21,SUMPRODUCT(--($BT83:$CO83&gt;=Pu))))</f>
      </c>
      <c r="EI83" s="47">
        <f>(Pu-INDEX($BT83:$CO83,1,$EH83))/(INDEX($BT83:$CO83,1,$EH83+1)-INDEX($BT83:$CO83,1,$EH83))</f>
      </c>
      <c r="EJ83" s="39">
        <f>INDEX($CP83:$DK83,1,$EH83)+$EI83*(INDEX($CP83:$DK83,1,$EH83+1)-INDEX($CP83:$DK83,1,$EH83))</f>
      </c>
      <c r="EK83" s="39">
        <f>INDEX($DL83:$EG83,1,$EH83)+$EI83*(INDEX($DL83:$EG83,1,$EH83+1)-INDEX($DL83:$EG83,1,$EH83))</f>
      </c>
      <c r="EL83" s="39">
        <f>SQRT(EJ83^2+EK83^2)</f>
      </c>
      <c r="EM83" s="20">
        <f>EJ84-EJ83</f>
      </c>
      <c r="EN83" s="20">
        <f>EK84-EK83</f>
      </c>
      <c r="EO83" s="20">
        <f>EM83*SIN(RADIANS(theta_L))-EN83*COS(RADIANS(theta_L))</f>
      </c>
      <c r="EP83" s="47">
        <f>IF(EO83=0,"",-(EJ83*SIN(RADIANS(theta_L))-EK83*COS(RADIANS(theta_L)))/EO83)</f>
      </c>
      <c r="EQ83" s="20">
        <f>IF(EP83="","",(EJ83+EP83*EM83)*COS(RADIANS(theta_L))+(EK83+EP83*EN83)*SIN(RADIANS(theta_L)))</f>
      </c>
      <c r="ER83" s="20">
        <f>IF(OR(EP83="",EP83&lt;0,EP83&gt;1,EQ83&lt;0),"",EQ83)</f>
      </c>
    </row>
    <row r="84" spans="1:148" x14ac:dyDescent="0.25">
      <c r="A84">
        <v>77</v>
      </c>
      <c r="B84" s="44">
        <v>299.99999999999994</v>
      </c>
      <c r="C84" s="18">
        <v>849.519052838329</v>
      </c>
      <c r="D84" s="18">
        <v>-738.8972745734184</v>
      </c>
      <c r="E84" s="18">
        <v>1588.4163274117473</v>
      </c>
      <c r="F84" s="16">
        <v>0.0033</v>
      </c>
      <c r="G84" s="16">
        <v>0</v>
      </c>
      <c r="H84" s="16">
        <v>0</v>
      </c>
      <c r="I84" s="16">
        <v>0.00275</v>
      </c>
      <c r="J84" s="16">
        <v>3.23712574875392e-7</v>
      </c>
      <c r="K84" s="16">
        <v>-5.606866267331243e-7</v>
      </c>
      <c r="L84" s="16">
        <v>0.0024749999999999998</v>
      </c>
      <c r="M84" s="16">
        <v>4.855688623130879e-7</v>
      </c>
      <c r="N84" s="16">
        <v>-8.410299400996864e-7</v>
      </c>
      <c r="O84" s="16">
        <v>0.0021999999999999997</v>
      </c>
      <c r="P84" s="16">
        <v>6.47425149750784e-7</v>
      </c>
      <c r="Q84" s="16">
        <v>-0.0000011213732534662487</v>
      </c>
      <c r="R84" s="16">
        <v>0.001925</v>
      </c>
      <c r="S84" s="16">
        <v>8.092814371884799e-7</v>
      </c>
      <c r="T84" s="16">
        <v>-0.0000014017165668328106</v>
      </c>
      <c r="U84" s="16">
        <v>0.0018000000000000002</v>
      </c>
      <c r="V84" s="16">
        <v>8.828524769328871e-7</v>
      </c>
      <c r="W84" s="16">
        <v>-0.0000015291453456357935</v>
      </c>
      <c r="X84" s="16">
        <v>0.00165</v>
      </c>
      <c r="Y84" s="16">
        <v>9.711377246261758e-7</v>
      </c>
      <c r="Z84" s="16">
        <v>-0.0000016820598801993728</v>
      </c>
      <c r="AA84" s="16">
        <v>0.0015350893616571414</v>
      </c>
      <c r="AB84" s="16">
        <v>0.000001038770485750797</v>
      </c>
      <c r="AC84" s="16">
        <v>-0.0000017992032587233863</v>
      </c>
      <c r="AD84" s="16">
        <v>0.0012676786588779205</v>
      </c>
      <c r="AE84" s="16">
        <v>0.0000011961599532887965</v>
      </c>
      <c r="AF84" s="16">
        <v>-0.0000020718098130754144</v>
      </c>
      <c r="AG84" s="16">
        <v>0.0010002679560986998</v>
      </c>
      <c r="AH84" s="16">
        <v>0.000001353549420826796</v>
      </c>
      <c r="AI84" s="16">
        <v>-0.0000023444163674274426</v>
      </c>
      <c r="AJ84" s="16">
        <v>0.0007328572533194782</v>
      </c>
      <c r="AK84" s="16">
        <v>0.0000015109388883647957</v>
      </c>
      <c r="AL84" s="16">
        <v>-0.000002617022921779471</v>
      </c>
      <c r="AM84" s="16">
        <v>0.0004654465505402575</v>
      </c>
      <c r="AN84" s="16">
        <v>0.0000016683283559027955</v>
      </c>
      <c r="AO84" s="16">
        <v>-0.0000028896294761314994</v>
      </c>
      <c r="AP84" s="16">
        <v>-0.00006937485501818438</v>
      </c>
      <c r="AQ84" s="16">
        <v>0.0000019831072909787945</v>
      </c>
      <c r="AR84" s="16">
        <v>-0.0000034348425848355557</v>
      </c>
      <c r="AS84" s="16">
        <v>-0.0006041962605766262</v>
      </c>
      <c r="AT84" s="16">
        <v>0.0000022978862260547936</v>
      </c>
      <c r="AU84" s="16">
        <v>-0.000003980055693539612</v>
      </c>
      <c r="AV84" s="16">
        <v>-0.001139017666135068</v>
      </c>
      <c r="AW84" s="16">
        <v>0.0000026126651611307926</v>
      </c>
      <c r="AX84" s="16">
        <v>-0.000004525268802243668</v>
      </c>
      <c r="AY84" s="16">
        <v>-0.0016738390716935104</v>
      </c>
      <c r="AZ84" s="16">
        <v>0.0000029274440962067917</v>
      </c>
      <c r="BA84" s="16">
        <v>-0.000005070481910947725</v>
      </c>
      <c r="BB84" s="16">
        <v>-0.002743481882810394</v>
      </c>
      <c r="BC84" s="16">
        <v>0.00000355700196635879</v>
      </c>
      <c r="BD84" s="16">
        <v>-0.000006160908128355838</v>
      </c>
      <c r="BE84" s="16">
        <v>-0.003813124693927277</v>
      </c>
      <c r="BF84" s="16">
        <v>0.000004186559836510787</v>
      </c>
      <c r="BG84" s="16">
        <v>-0.00000725133434576395</v>
      </c>
      <c r="BH84" s="16">
        <v>-0.006487231721719488</v>
      </c>
      <c r="BI84" s="16">
        <v>0.000005760454511890784</v>
      </c>
      <c r="BJ84" s="16">
        <v>-0.000009977399889284232</v>
      </c>
      <c r="BK84" s="16">
        <v>-0.009161338749511697</v>
      </c>
      <c r="BL84" s="16">
        <v>0.0000073343491872707795</v>
      </c>
      <c r="BM84" s="16">
        <v>-0.000012703465432804516</v>
      </c>
      <c r="BN84" s="16">
        <v>-0.019857766860680536</v>
      </c>
      <c r="BO84" s="16">
        <v>0.00001362992788879076</v>
      </c>
      <c r="BP84" s="16">
        <v>-0.000023607727606885644</v>
      </c>
      <c r="BQ84" s="16">
        <v>-0.05</v>
      </c>
      <c r="BR84" s="16">
        <v>0</v>
      </c>
      <c r="BS84" s="16">
        <v>0</v>
      </c>
      <c r="BT84" s="45">
        <v>33981.43387592912</v>
      </c>
      <c r="BU84" s="45">
        <v>33981.43387592912</v>
      </c>
      <c r="BV84" s="45">
        <v>33858.007691238</v>
      </c>
      <c r="BW84" s="45">
        <v>32881.288631107825</v>
      </c>
      <c r="BX84" s="45">
        <v>30862.421595068266</v>
      </c>
      <c r="BY84" s="45">
        <v>29545.973522179953</v>
      </c>
      <c r="BZ84" s="45">
        <v>27609.646126597647</v>
      </c>
      <c r="CA84" s="45">
        <v>25940.565024424173</v>
      </c>
      <c r="CB84" s="45">
        <v>22364.83567873184</v>
      </c>
      <c r="CC84" s="45">
        <v>19281.800206949567</v>
      </c>
      <c r="CD84" s="45">
        <v>16419.000326638445</v>
      </c>
      <c r="CE84" s="45">
        <v>13727.087588801574</v>
      </c>
      <c r="CF84" s="45">
        <v>9631.205783494568</v>
      </c>
      <c r="CG84" s="45">
        <v>7166.95775524246</v>
      </c>
      <c r="CH84" s="45">
        <v>5509.142614880212</v>
      </c>
      <c r="CI84" s="45">
        <v>4246.931336080596</v>
      </c>
      <c r="CJ84" s="45">
        <v>2369.6762024574596</v>
      </c>
      <c r="CK84" s="45">
        <v>1060.1510534396841</v>
      </c>
      <c r="CL84" s="45">
        <v>-1199.298485457603</v>
      </c>
      <c r="CM84" s="45">
        <v>-2640.393582378684</v>
      </c>
      <c r="CN84" s="45">
        <v>-4788.691937566217</v>
      </c>
      <c r="CO84" s="45">
        <v>-5790.583579096708</v>
      </c>
      <c r="CP84" s="45">
        <v>6.55418261885643e-13</v>
      </c>
      <c r="CQ84" s="45">
        <v>6.55418261885643e-13</v>
      </c>
      <c r="CR84" s="45">
        <v>35.78993769333926</v>
      </c>
      <c r="CS84" s="45">
        <v>269.4715319757384</v>
      </c>
      <c r="CT84" s="45">
        <v>712.7728686862918</v>
      </c>
      <c r="CU84" s="45">
        <v>981.7421893986568</v>
      </c>
      <c r="CV84" s="45">
        <v>1356.4041276599244</v>
      </c>
      <c r="CW84" s="45">
        <v>1654.9197939384558</v>
      </c>
      <c r="CX84" s="45">
        <v>2065.8286065571087</v>
      </c>
      <c r="CY84" s="45">
        <v>2293.975500930307</v>
      </c>
      <c r="CZ84" s="45">
        <v>2487.166812670945</v>
      </c>
      <c r="DA84" s="45">
        <v>2613.584010436705</v>
      </c>
      <c r="DB84" s="45">
        <v>2567.5351373556055</v>
      </c>
      <c r="DC84" s="45">
        <v>2425.138576641114</v>
      </c>
      <c r="DD84" s="45">
        <v>2293.2420179113938</v>
      </c>
      <c r="DE84" s="45">
        <v>2174.5176929695513</v>
      </c>
      <c r="DF84" s="45">
        <v>1970.343320471158</v>
      </c>
      <c r="DG84" s="45">
        <v>1771.5712298579285</v>
      </c>
      <c r="DH84" s="45">
        <v>1356.0627149829575</v>
      </c>
      <c r="DI84" s="45">
        <v>1028.9629814941873</v>
      </c>
      <c r="DJ84" s="45">
        <v>372.9016243661399</v>
      </c>
      <c r="DK84" s="45">
        <v>0</v>
      </c>
      <c r="DL84" s="45">
        <v>-5.220063030719757e-12</v>
      </c>
      <c r="DM84" s="45">
        <v>-5.220063030719757e-12</v>
      </c>
      <c r="DN84" s="45">
        <v>-76.68548999725094</v>
      </c>
      <c r="DO84" s="45">
        <v>-617.9457995770372</v>
      </c>
      <c r="DP84" s="45">
        <v>-1613.8473929752597</v>
      </c>
      <c r="DQ84" s="45">
        <v>-2216.72783251965</v>
      </c>
      <c r="DR84" s="45">
        <v>-3062.641695673251</v>
      </c>
      <c r="DS84" s="45">
        <v>-3756.794434783477</v>
      </c>
      <c r="DT84" s="45">
        <v>-4955.701326593931</v>
      </c>
      <c r="DU84" s="45">
        <v>-5622.890260630531</v>
      </c>
      <c r="DV84" s="45">
        <v>-6015.969140119922</v>
      </c>
      <c r="DW84" s="45">
        <v>-6260.693797500239</v>
      </c>
      <c r="DX84" s="45">
        <v>-6293.298541190808</v>
      </c>
      <c r="DY84" s="45">
        <v>-5982.682049405886</v>
      </c>
      <c r="DZ84" s="45">
        <v>-5626.263820187032</v>
      </c>
      <c r="EA84" s="45">
        <v>-5275.503952494114</v>
      </c>
      <c r="EB84" s="45">
        <v>-4562.370296682682</v>
      </c>
      <c r="EC84" s="45">
        <v>-3950.6237242289503</v>
      </c>
      <c r="ED84" s="45">
        <v>-2780.2292427286616</v>
      </c>
      <c r="EE84" s="45">
        <v>-1965.5419212283307</v>
      </c>
      <c r="EF84" s="45">
        <v>-671.9598767808169</v>
      </c>
      <c r="EG84" s="45">
        <v>5.960464477539062e-14</v>
      </c>
      <c r="EH84" s="46">
        <f>MAX(1,MIN(21,SUMPRODUCT(--($BT84:$CO84&gt;=Pu))))</f>
      </c>
      <c r="EI84" s="47">
        <f>(Pu-INDEX($BT84:$CO84,1,$EH84))/(INDEX($BT84:$CO84,1,$EH84+1)-INDEX($BT84:$CO84,1,$EH84))</f>
      </c>
      <c r="EJ84" s="39">
        <f>INDEX($CP84:$DK84,1,$EH84)+$EI84*(INDEX($CP84:$DK84,1,$EH84+1)-INDEX($CP84:$DK84,1,$EH84))</f>
      </c>
      <c r="EK84" s="39">
        <f>INDEX($DL84:$EG84,1,$EH84)+$EI84*(INDEX($DL84:$EG84,1,$EH84+1)-INDEX($DL84:$EG84,1,$EH84))</f>
      </c>
      <c r="EL84" s="39">
        <f>SQRT(EJ84^2+EK84^2)</f>
      </c>
      <c r="EM84" s="20">
        <f>EJ85-EJ84</f>
      </c>
      <c r="EN84" s="20">
        <f>EK85-EK84</f>
      </c>
      <c r="EO84" s="20">
        <f>EM84*SIN(RADIANS(theta_L))-EN84*COS(RADIANS(theta_L))</f>
      </c>
      <c r="EP84" s="47">
        <f>IF(EO84=0,"",-(EJ84*SIN(RADIANS(theta_L))-EK84*COS(RADIANS(theta_L)))/EO84)</f>
      </c>
      <c r="EQ84" s="20">
        <f>IF(EP84="","",(EJ84+EP84*EM84)*COS(RADIANS(theta_L))+(EK84+EP84*EN84)*SIN(RADIANS(theta_L)))</f>
      </c>
      <c r="ER84" s="20">
        <f>IF(OR(EP84="",EP84&lt;0,EP84&gt;1,EQ84&lt;0),"",EQ84)</f>
      </c>
    </row>
    <row r="85" spans="1:148" x14ac:dyDescent="0.25">
      <c r="A85">
        <v>78</v>
      </c>
      <c r="B85" s="44">
        <v>304.99999999999994</v>
      </c>
      <c r="C85" s="18">
        <v>843.7946077571623</v>
      </c>
      <c r="D85" s="18">
        <v>-729.0963210218283</v>
      </c>
      <c r="E85" s="18">
        <v>1572.8909287789907</v>
      </c>
      <c r="F85" s="16">
        <v>0.0033</v>
      </c>
      <c r="G85" s="16">
        <v>0</v>
      </c>
      <c r="H85" s="16">
        <v>0</v>
      </c>
      <c r="I85" s="16">
        <v>0.00275</v>
      </c>
      <c r="J85" s="16">
        <v>3.738670964390235e-7</v>
      </c>
      <c r="K85" s="16">
        <v>-5.339375485658542e-7</v>
      </c>
      <c r="L85" s="16">
        <v>0.0024749999999999998</v>
      </c>
      <c r="M85" s="16">
        <v>5.608006446585352e-7</v>
      </c>
      <c r="N85" s="16">
        <v>-8.009063228487813e-7</v>
      </c>
      <c r="O85" s="16">
        <v>0.0021999999999999997</v>
      </c>
      <c r="P85" s="16">
        <v>7.47734192878047e-7</v>
      </c>
      <c r="Q85" s="16">
        <v>-0.0000010678750971317085</v>
      </c>
      <c r="R85" s="16">
        <v>0.0019249999999999998</v>
      </c>
      <c r="S85" s="16">
        <v>9.346677410975586e-7</v>
      </c>
      <c r="T85" s="16">
        <v>-0.0000013348438714146357</v>
      </c>
      <c r="U85" s="16">
        <v>0.0018000000000000002</v>
      </c>
      <c r="V85" s="16">
        <v>0.000001019637535742791</v>
      </c>
      <c r="W85" s="16">
        <v>-0.0000014561933142705114</v>
      </c>
      <c r="X85" s="16">
        <v>0.00165</v>
      </c>
      <c r="Y85" s="16">
        <v>0.0000011216012893170704</v>
      </c>
      <c r="Z85" s="16">
        <v>-0.0000016018126456975626</v>
      </c>
      <c r="AA85" s="16">
        <v>0.0015296787687877286</v>
      </c>
      <c r="AB85" s="16">
        <v>0.0000012033906517776163</v>
      </c>
      <c r="AC85" s="16">
        <v>-0.0000017186199606683</v>
      </c>
      <c r="AD85" s="16">
        <v>0.0012614482792101117</v>
      </c>
      <c r="AE85" s="16">
        <v>0.0000013857225687136187</v>
      </c>
      <c r="AF85" s="16">
        <v>-0.000001979016924405921</v>
      </c>
      <c r="AG85" s="16">
        <v>0.000993217789632495</v>
      </c>
      <c r="AH85" s="16">
        <v>0.0000015680544856496212</v>
      </c>
      <c r="AI85" s="16">
        <v>-0.0000022394138881435425</v>
      </c>
      <c r="AJ85" s="16">
        <v>0.0007249873000548779</v>
      </c>
      <c r="AK85" s="16">
        <v>0.0000017503864025856238</v>
      </c>
      <c r="AL85" s="16">
        <v>-0.000002499810851881164</v>
      </c>
      <c r="AM85" s="16">
        <v>0.00045675681047726083</v>
      </c>
      <c r="AN85" s="16">
        <v>0.0000019327183195216264</v>
      </c>
      <c r="AO85" s="16">
        <v>-0.000002760207815618785</v>
      </c>
      <c r="AP85" s="16">
        <v>-0.00007970416867797252</v>
      </c>
      <c r="AQ85" s="16">
        <v>0.000002297382153393631</v>
      </c>
      <c r="AR85" s="16">
        <v>-0.000003281001743094027</v>
      </c>
      <c r="AS85" s="16">
        <v>-0.0006161651478332059</v>
      </c>
      <c r="AT85" s="16">
        <v>0.0000026620459872656356</v>
      </c>
      <c r="AU85" s="16">
        <v>-0.000003801795670569269</v>
      </c>
      <c r="AV85" s="16">
        <v>-0.00115262612698844</v>
      </c>
      <c r="AW85" s="16">
        <v>0.0000030267098211376413</v>
      </c>
      <c r="AX85" s="16">
        <v>-0.000004322589598044512</v>
      </c>
      <c r="AY85" s="16">
        <v>-0.0016890871061436734</v>
      </c>
      <c r="AZ85" s="16">
        <v>0.0000033913736550096457</v>
      </c>
      <c r="BA85" s="16">
        <v>-0.000004843383525519754</v>
      </c>
      <c r="BB85" s="16">
        <v>-0.002762009064454142</v>
      </c>
      <c r="BC85" s="16">
        <v>0.000004120701322753657</v>
      </c>
      <c r="BD85" s="16">
        <v>-0.00000588497138047024</v>
      </c>
      <c r="BE85" s="16">
        <v>-0.0038349310227646085</v>
      </c>
      <c r="BF85" s="16">
        <v>0.000004850028990497665</v>
      </c>
      <c r="BG85" s="16">
        <v>-0.000006926559235420724</v>
      </c>
      <c r="BH85" s="16">
        <v>-0.006517235918540777</v>
      </c>
      <c r="BI85" s="16">
        <v>0.00000667334815985769</v>
      </c>
      <c r="BJ85" s="16">
        <v>-0.000009530528872796936</v>
      </c>
      <c r="BK85" s="16">
        <v>-0.009199540814316946</v>
      </c>
      <c r="BL85" s="16">
        <v>0.000008496667329217714</v>
      </c>
      <c r="BM85" s="16">
        <v>-0.000012134498510173148</v>
      </c>
      <c r="BN85" s="16">
        <v>-0.01992876039742162</v>
      </c>
      <c r="BO85" s="16">
        <v>0.000015789944006657814</v>
      </c>
      <c r="BP85" s="16">
        <v>-0.000022550377059677995</v>
      </c>
      <c r="BQ85" s="16">
        <v>-0.05</v>
      </c>
      <c r="BR85" s="16">
        <v>0</v>
      </c>
      <c r="BS85" s="16">
        <v>0</v>
      </c>
      <c r="BT85" s="45">
        <v>33981.43387592912</v>
      </c>
      <c r="BU85" s="45">
        <v>33981.43387592912</v>
      </c>
      <c r="BV85" s="45">
        <v>33862.95180695524</v>
      </c>
      <c r="BW85" s="45">
        <v>32890.09696342005</v>
      </c>
      <c r="BX85" s="45">
        <v>30875.964669644814</v>
      </c>
      <c r="BY85" s="45">
        <v>29560.246782147777</v>
      </c>
      <c r="BZ85" s="45">
        <v>27639.374898702165</v>
      </c>
      <c r="CA85" s="45">
        <v>25910.437821843705</v>
      </c>
      <c r="CB85" s="45">
        <v>22369.510006515546</v>
      </c>
      <c r="CC85" s="45">
        <v>19224.947268011525</v>
      </c>
      <c r="CD85" s="45">
        <v>16321.709629928988</v>
      </c>
      <c r="CE85" s="45">
        <v>13650.172555509382</v>
      </c>
      <c r="CF85" s="45">
        <v>9606.589352707746</v>
      </c>
      <c r="CG85" s="45">
        <v>7066.063383687027</v>
      </c>
      <c r="CH85" s="45">
        <v>5378.019908653511</v>
      </c>
      <c r="CI85" s="45">
        <v>4096.261364284389</v>
      </c>
      <c r="CJ85" s="45">
        <v>2215.4266580033354</v>
      </c>
      <c r="CK85" s="45">
        <v>907.3783193962159</v>
      </c>
      <c r="CL85" s="45">
        <v>-1334.6885597966113</v>
      </c>
      <c r="CM85" s="45">
        <v>-2710.369854018555</v>
      </c>
      <c r="CN85" s="45">
        <v>-4750.946607762602</v>
      </c>
      <c r="CO85" s="45">
        <v>-5790.583579096708</v>
      </c>
      <c r="CP85" s="45">
        <v>6.55418261885643e-13</v>
      </c>
      <c r="CQ85" s="45">
        <v>6.55418261885643e-13</v>
      </c>
      <c r="CR85" s="45">
        <v>39.014141693542406</v>
      </c>
      <c r="CS85" s="45">
        <v>301.3967760307603</v>
      </c>
      <c r="CT85" s="45">
        <v>812.9404202230522</v>
      </c>
      <c r="CU85" s="45">
        <v>1125.657397015702</v>
      </c>
      <c r="CV85" s="45">
        <v>1556.8614986716086</v>
      </c>
      <c r="CW85" s="45">
        <v>1910.2543591898682</v>
      </c>
      <c r="CX85" s="45">
        <v>2416.5241840092376</v>
      </c>
      <c r="CY85" s="45">
        <v>2707.4245707036252</v>
      </c>
      <c r="CZ85" s="45">
        <v>2938.618503835272</v>
      </c>
      <c r="DA85" s="45">
        <v>3085.1424075959835</v>
      </c>
      <c r="DB85" s="45">
        <v>3026.4962359289625</v>
      </c>
      <c r="DC85" s="45">
        <v>2839.434349496278</v>
      </c>
      <c r="DD85" s="45">
        <v>2667.146378412206</v>
      </c>
      <c r="DE85" s="45">
        <v>2502.025243524762</v>
      </c>
      <c r="DF85" s="45">
        <v>2212.931816010228</v>
      </c>
      <c r="DG85" s="45">
        <v>1961.3682451458192</v>
      </c>
      <c r="DH85" s="45">
        <v>1495.542854240794</v>
      </c>
      <c r="DI85" s="45">
        <v>1106.8958306924833</v>
      </c>
      <c r="DJ85" s="45">
        <v>405.65232547699617</v>
      </c>
      <c r="DK85" s="45">
        <v>0</v>
      </c>
      <c r="DL85" s="45">
        <v>-5.220063030719757e-12</v>
      </c>
      <c r="DM85" s="45">
        <v>-5.220063030719757e-12</v>
      </c>
      <c r="DN85" s="45">
        <v>-71.72179356756807</v>
      </c>
      <c r="DO85" s="45">
        <v>-592.2115413858519</v>
      </c>
      <c r="DP85" s="45">
        <v>-1539.980734232214</v>
      </c>
      <c r="DQ85" s="45">
        <v>-2112.5243610530056</v>
      </c>
      <c r="DR85" s="45">
        <v>-2920.1345799506776</v>
      </c>
      <c r="DS85" s="45">
        <v>-3605.0366245556593</v>
      </c>
      <c r="DT85" s="45">
        <v>-4725.402455722956</v>
      </c>
      <c r="DU85" s="45">
        <v>-5378.670042792136</v>
      </c>
      <c r="DV85" s="45">
        <v>-5744.133424107472</v>
      </c>
      <c r="DW85" s="45">
        <v>-5967.986428904534</v>
      </c>
      <c r="DX85" s="45">
        <v>-5996.392869875346</v>
      </c>
      <c r="DY85" s="45">
        <v>-5691.9267859041765</v>
      </c>
      <c r="DZ85" s="45">
        <v>-5327.181636703089</v>
      </c>
      <c r="EA85" s="45">
        <v>-4979.949565755287</v>
      </c>
      <c r="EB85" s="45">
        <v>-4299.579083446916</v>
      </c>
      <c r="EC85" s="45">
        <v>-3729.431816845255</v>
      </c>
      <c r="ED85" s="45">
        <v>-2612.266527135326</v>
      </c>
      <c r="EE85" s="45">
        <v>-1874.800850218133</v>
      </c>
      <c r="EF85" s="45">
        <v>-685.2702303087148</v>
      </c>
      <c r="EG85" s="45">
        <v>5.960464477539062e-14</v>
      </c>
      <c r="EH85" s="46">
        <f>MAX(1,MIN(21,SUMPRODUCT(--($BT85:$CO85&gt;=Pu))))</f>
      </c>
      <c r="EI85" s="47">
        <f>(Pu-INDEX($BT85:$CO85,1,$EH85))/(INDEX($BT85:$CO85,1,$EH85+1)-INDEX($BT85:$CO85,1,$EH85))</f>
      </c>
      <c r="EJ85" s="39">
        <f>INDEX($CP85:$DK85,1,$EH85)+$EI85*(INDEX($CP85:$DK85,1,$EH85+1)-INDEX($CP85:$DK85,1,$EH85))</f>
      </c>
      <c r="EK85" s="39">
        <f>INDEX($DL85:$EG85,1,$EH85)+$EI85*(INDEX($DL85:$EG85,1,$EH85+1)-INDEX($DL85:$EG85,1,$EH85))</f>
      </c>
      <c r="EL85" s="39">
        <f>SQRT(EJ85^2+EK85^2)</f>
      </c>
      <c r="EM85" s="20">
        <f>EJ86-EJ85</f>
      </c>
      <c r="EN85" s="20">
        <f>EK86-EK85</f>
      </c>
      <c r="EO85" s="20">
        <f>EM85*SIN(RADIANS(theta_L))-EN85*COS(RADIANS(theta_L))</f>
      </c>
      <c r="EP85" s="47">
        <f>IF(EO85=0,"",-(EJ85*SIN(RADIANS(theta_L))-EK85*COS(RADIANS(theta_L)))/EO85)</f>
      </c>
      <c r="EQ85" s="20">
        <f>IF(EP85="","",(EJ85+EP85*EM85)*COS(RADIANS(theta_L))+(EK85+EP85*EN85)*SIN(RADIANS(theta_L)))</f>
      </c>
      <c r="ER85" s="20">
        <f>IF(OR(EP85="",EP85&lt;0,EP85&gt;1,EQ85&lt;0),"",EQ85)</f>
      </c>
    </row>
    <row r="86" spans="1:148" x14ac:dyDescent="0.25">
      <c r="A86">
        <v>79</v>
      </c>
      <c r="B86" s="44">
        <v>310</v>
      </c>
      <c r="C86" s="18">
        <v>831.6483762138492</v>
      </c>
      <c r="D86" s="18">
        <v>-713.7465042268669</v>
      </c>
      <c r="E86" s="18">
        <v>1545.3948804407162</v>
      </c>
      <c r="F86" s="16">
        <v>0.0033</v>
      </c>
      <c r="G86" s="16">
        <v>0</v>
      </c>
      <c r="H86" s="16">
        <v>0</v>
      </c>
      <c r="I86" s="16">
        <v>0.00275</v>
      </c>
      <c r="J86" s="16">
        <v>4.250993514074864e-7</v>
      </c>
      <c r="K86" s="16">
        <v>-5.066136792493406e-7</v>
      </c>
      <c r="L86" s="16">
        <v>0.0024749999999999998</v>
      </c>
      <c r="M86" s="16">
        <v>6.376490271112297e-7</v>
      </c>
      <c r="N86" s="16">
        <v>-7.59920518874011e-7</v>
      </c>
      <c r="O86" s="16">
        <v>0.0021999999999999997</v>
      </c>
      <c r="P86" s="16">
        <v>8.501987028149728e-7</v>
      </c>
      <c r="Q86" s="16">
        <v>-0.0000010132273584986811</v>
      </c>
      <c r="R86" s="16">
        <v>0.0019249999999999998</v>
      </c>
      <c r="S86" s="16">
        <v>0.0000010627483785187164</v>
      </c>
      <c r="T86" s="16">
        <v>-0.0000012665341981233517</v>
      </c>
      <c r="U86" s="16">
        <v>0.0018000000000000002</v>
      </c>
      <c r="V86" s="16">
        <v>0.0000011593618674749628</v>
      </c>
      <c r="W86" s="16">
        <v>-0.0000013816736706800197</v>
      </c>
      <c r="X86" s="16">
        <v>0.0016499999999999998</v>
      </c>
      <c r="Y86" s="16">
        <v>0.0000012752980542224595</v>
      </c>
      <c r="Z86" s="16">
        <v>-0.000001519841037748022</v>
      </c>
      <c r="AA86" s="16">
        <v>0.0015241175532281805</v>
      </c>
      <c r="AB86" s="16">
        <v>0.0000013725935932702555</v>
      </c>
      <c r="AC86" s="16">
        <v>-0.000001635793345951623</v>
      </c>
      <c r="AD86" s="16">
        <v>0.0012550444552324501</v>
      </c>
      <c r="AE86" s="16">
        <v>0.0000015805623195233246</v>
      </c>
      <c r="AF86" s="16">
        <v>-0.0000018836408226109601</v>
      </c>
      <c r="AG86" s="16">
        <v>0.0009859713572367202</v>
      </c>
      <c r="AH86" s="16">
        <v>0.0000017885310457763933</v>
      </c>
      <c r="AI86" s="16">
        <v>-0.0000021314882992702965</v>
      </c>
      <c r="AJ86" s="16">
        <v>0.0007168982592409895</v>
      </c>
      <c r="AK86" s="16">
        <v>0.0000019964997720294626</v>
      </c>
      <c r="AL86" s="16">
        <v>-0.000002379335775929634</v>
      </c>
      <c r="AM86" s="16">
        <v>0.00044782516124525955</v>
      </c>
      <c r="AN86" s="16">
        <v>0.0000022044684982825318</v>
      </c>
      <c r="AO86" s="16">
        <v>-0.0000026271832525889706</v>
      </c>
      <c r="AP86" s="16">
        <v>-0.00009032103474620069</v>
      </c>
      <c r="AQ86" s="16">
        <v>0.0000026204059507886695</v>
      </c>
      <c r="AR86" s="16">
        <v>-0.0000031228782059076443</v>
      </c>
      <c r="AS86" s="16">
        <v>-0.0006284672307376614</v>
      </c>
      <c r="AT86" s="16">
        <v>0.0000030363434032948078</v>
      </c>
      <c r="AU86" s="16">
        <v>-0.0000036185731592263184</v>
      </c>
      <c r="AV86" s="16">
        <v>-0.001166613426729122</v>
      </c>
      <c r="AW86" s="16">
        <v>0.0000034522808558009455</v>
      </c>
      <c r="AX86" s="16">
        <v>-0.000004114268112544991</v>
      </c>
      <c r="AY86" s="16">
        <v>-0.0017047596227205818</v>
      </c>
      <c r="AZ86" s="16">
        <v>0.000003868218308307083</v>
      </c>
      <c r="BA86" s="16">
        <v>-0.0000046099630658636645</v>
      </c>
      <c r="BB86" s="16">
        <v>-0.002781052014703504</v>
      </c>
      <c r="BC86" s="16">
        <v>0.00000470009321331936</v>
      </c>
      <c r="BD86" s="16">
        <v>-0.0000056013529725010136</v>
      </c>
      <c r="BE86" s="16">
        <v>-0.0038573444066864237</v>
      </c>
      <c r="BF86" s="16">
        <v>0.000005531968118331636</v>
      </c>
      <c r="BG86" s="16">
        <v>-0.00000659274287913836</v>
      </c>
      <c r="BH86" s="16">
        <v>-0.006548075386643727</v>
      </c>
      <c r="BI86" s="16">
        <v>0.000007611655380862326</v>
      </c>
      <c r="BJ86" s="16">
        <v>-0.000009071217645731729</v>
      </c>
      <c r="BK86" s="16">
        <v>-0.00923880636660103</v>
      </c>
      <c r="BL86" s="16">
        <v>0.000009691342643393016</v>
      </c>
      <c r="BM86" s="16">
        <v>-0.000011549692412325099</v>
      </c>
      <c r="BN86" s="16">
        <v>-0.020001730286430236</v>
      </c>
      <c r="BO86" s="16">
        <v>0.000018010091693515775</v>
      </c>
      <c r="BP86" s="16">
        <v>-0.00002146359147869857</v>
      </c>
      <c r="BQ86" s="16">
        <v>-0.05</v>
      </c>
      <c r="BR86" s="16">
        <v>0</v>
      </c>
      <c r="BS86" s="16">
        <v>0</v>
      </c>
      <c r="BT86" s="45">
        <v>33981.43387592912</v>
      </c>
      <c r="BU86" s="45">
        <v>33981.43387592912</v>
      </c>
      <c r="BV86" s="45">
        <v>33861.11626287166</v>
      </c>
      <c r="BW86" s="45">
        <v>32881.807256194574</v>
      </c>
      <c r="BX86" s="45">
        <v>30855.01008662239</v>
      </c>
      <c r="BY86" s="45">
        <v>29533.919997718614</v>
      </c>
      <c r="BZ86" s="45">
        <v>27619.542601452675</v>
      </c>
      <c r="CA86" s="45">
        <v>25829.19277848814</v>
      </c>
      <c r="CB86" s="45">
        <v>22308.550548809486</v>
      </c>
      <c r="CC86" s="45">
        <v>19128.70866609775</v>
      </c>
      <c r="CD86" s="45">
        <v>16201.570444687197</v>
      </c>
      <c r="CE86" s="45">
        <v>13573.807692831137</v>
      </c>
      <c r="CF86" s="45">
        <v>9622.46236241001</v>
      </c>
      <c r="CG86" s="45">
        <v>7045.0792408549305</v>
      </c>
      <c r="CH86" s="45">
        <v>5322.370119797343</v>
      </c>
      <c r="CI86" s="45">
        <v>4001.458226606567</v>
      </c>
      <c r="CJ86" s="45">
        <v>2164.1209384482486</v>
      </c>
      <c r="CK86" s="45">
        <v>840.1859279349255</v>
      </c>
      <c r="CL86" s="45">
        <v>-1334.1381867471878</v>
      </c>
      <c r="CM86" s="45">
        <v>-2665.790808216634</v>
      </c>
      <c r="CN86" s="45">
        <v>-4674.0928609835555</v>
      </c>
      <c r="CO86" s="45">
        <v>-5790.583579096708</v>
      </c>
      <c r="CP86" s="45">
        <v>6.55418261885643e-13</v>
      </c>
      <c r="CQ86" s="45">
        <v>6.55418261885643e-13</v>
      </c>
      <c r="CR86" s="45">
        <v>43.471097405415954</v>
      </c>
      <c r="CS86" s="45">
        <v>338.26164895741545</v>
      </c>
      <c r="CT86" s="45">
        <v>920.2998168655603</v>
      </c>
      <c r="CU86" s="45">
        <v>1269.5594478860917</v>
      </c>
      <c r="CV86" s="45">
        <v>1760.1995789699358</v>
      </c>
      <c r="CW86" s="45">
        <v>2172.8932238867155</v>
      </c>
      <c r="CX86" s="45">
        <v>2766.591755650274</v>
      </c>
      <c r="CY86" s="45">
        <v>3140.4222742383636</v>
      </c>
      <c r="CZ86" s="45">
        <v>3408.2026607852454</v>
      </c>
      <c r="DA86" s="45">
        <v>3568.675549717335</v>
      </c>
      <c r="DB86" s="45">
        <v>3490.947813980756</v>
      </c>
      <c r="DC86" s="45">
        <v>3239.9420327955704</v>
      </c>
      <c r="DD86" s="45">
        <v>3028.072925478798</v>
      </c>
      <c r="DE86" s="45">
        <v>2828.930879559684</v>
      </c>
      <c r="DF86" s="45">
        <v>2451.331249890314</v>
      </c>
      <c r="DG86" s="45">
        <v>2146.7398807995805</v>
      </c>
      <c r="DH86" s="45">
        <v>1611.6788117020412</v>
      </c>
      <c r="DI86" s="45">
        <v>1201.3710280962757</v>
      </c>
      <c r="DJ86" s="45">
        <v>458.5307647140031</v>
      </c>
      <c r="DK86" s="45">
        <v>0</v>
      </c>
      <c r="DL86" s="45">
        <v>-5.220063030719757e-12</v>
      </c>
      <c r="DM86" s="45">
        <v>-5.220063030719757e-12</v>
      </c>
      <c r="DN86" s="45">
        <v>-70.03855680527934</v>
      </c>
      <c r="DO86" s="45">
        <v>-568.354274200481</v>
      </c>
      <c r="DP86" s="45">
        <v>-1467.8033516920855</v>
      </c>
      <c r="DQ86" s="45">
        <v>-2015.1878309555311</v>
      </c>
      <c r="DR86" s="45">
        <v>-2783.808282512887</v>
      </c>
      <c r="DS86" s="45">
        <v>-3452.0407620162114</v>
      </c>
      <c r="DT86" s="45">
        <v>-4479.592525287218</v>
      </c>
      <c r="DU86" s="45">
        <v>-5081.368747432395</v>
      </c>
      <c r="DV86" s="45">
        <v>-5418.724198993898</v>
      </c>
      <c r="DW86" s="45">
        <v>-5620.863442378044</v>
      </c>
      <c r="DX86" s="45">
        <v>-5644.4400900927985</v>
      </c>
      <c r="DY86" s="45">
        <v>-5382.248222878504</v>
      </c>
      <c r="DZ86" s="45">
        <v>-5021.567021436726</v>
      </c>
      <c r="EA86" s="45">
        <v>-4665.919365693891</v>
      </c>
      <c r="EB86" s="45">
        <v>-4070.666526542295</v>
      </c>
      <c r="EC86" s="45">
        <v>-3549.665642750025</v>
      </c>
      <c r="ED86" s="45">
        <v>-2528.337528554965</v>
      </c>
      <c r="EE86" s="45">
        <v>-1841.5912465449146</v>
      </c>
      <c r="EF86" s="45">
        <v>-714.7148825196319</v>
      </c>
      <c r="EG86" s="45">
        <v>5.960464477539062e-14</v>
      </c>
      <c r="EH86" s="46">
        <f>MAX(1,MIN(21,SUMPRODUCT(--($BT86:$CO86&gt;=Pu))))</f>
      </c>
      <c r="EI86" s="47">
        <f>(Pu-INDEX($BT86:$CO86,1,$EH86))/(INDEX($BT86:$CO86,1,$EH86+1)-INDEX($BT86:$CO86,1,$EH86))</f>
      </c>
      <c r="EJ86" s="39">
        <f>INDEX($CP86:$DK86,1,$EH86)+$EI86*(INDEX($CP86:$DK86,1,$EH86+1)-INDEX($CP86:$DK86,1,$EH86))</f>
      </c>
      <c r="EK86" s="39">
        <f>INDEX($DL86:$EG86,1,$EH86)+$EI86*(INDEX($DL86:$EG86,1,$EH86+1)-INDEX($DL86:$EG86,1,$EH86))</f>
      </c>
      <c r="EL86" s="39">
        <f>SQRT(EJ86^2+EK86^2)</f>
      </c>
      <c r="EM86" s="20">
        <f>EJ87-EJ86</f>
      </c>
      <c r="EN86" s="20">
        <f>EK87-EK86</f>
      </c>
      <c r="EO86" s="20">
        <f>EM86*SIN(RADIANS(theta_L))-EN86*COS(RADIANS(theta_L))</f>
      </c>
      <c r="EP86" s="47">
        <f>IF(EO86=0,"",-(EJ86*SIN(RADIANS(theta_L))-EK86*COS(RADIANS(theta_L)))/EO86)</f>
      </c>
      <c r="EQ86" s="20">
        <f>IF(EP86="","",(EJ86+EP86*EM86)*COS(RADIANS(theta_L))+(EK86+EP86*EN86)*SIN(RADIANS(theta_L)))</f>
      </c>
      <c r="ER86" s="20">
        <f>IF(OR(EP86="",EP86&lt;0,EP86&gt;1,EQ86&lt;0),"",EQ86)</f>
      </c>
    </row>
    <row r="87" spans="1:148" x14ac:dyDescent="0.25">
      <c r="A87">
        <v>80</v>
      </c>
      <c r="B87" s="44">
        <v>315</v>
      </c>
      <c r="C87" s="18">
        <v>813.1727983645296</v>
      </c>
      <c r="D87" s="18">
        <v>-692.9646455628167</v>
      </c>
      <c r="E87" s="18">
        <v>1506.1374439273463</v>
      </c>
      <c r="F87" s="16">
        <v>0.0033</v>
      </c>
      <c r="G87" s="16">
        <v>0</v>
      </c>
      <c r="H87" s="16">
        <v>0</v>
      </c>
      <c r="I87" s="16">
        <v>0.00275</v>
      </c>
      <c r="J87" s="16">
        <v>4.782608695652173e-7</v>
      </c>
      <c r="K87" s="16">
        <v>-4.782608695652175e-7</v>
      </c>
      <c r="L87" s="16">
        <v>0.0024749999999999998</v>
      </c>
      <c r="M87" s="16">
        <v>7.17391304347826e-7</v>
      </c>
      <c r="N87" s="16">
        <v>-7.173913043478264e-7</v>
      </c>
      <c r="O87" s="16">
        <v>0.0021999999999999997</v>
      </c>
      <c r="P87" s="16">
        <v>9.565217391304347e-7</v>
      </c>
      <c r="Q87" s="16">
        <v>-9.56521739130435e-7</v>
      </c>
      <c r="R87" s="16">
        <v>0.0019249999999999998</v>
      </c>
      <c r="S87" s="16">
        <v>0.0000011956521739130434</v>
      </c>
      <c r="T87" s="16">
        <v>-0.0000011956521739130438</v>
      </c>
      <c r="U87" s="16">
        <v>0.0018000000000000002</v>
      </c>
      <c r="V87" s="16">
        <v>0.000001304347826086956</v>
      </c>
      <c r="W87" s="16">
        <v>-0.0000013043478260869566</v>
      </c>
      <c r="X87" s="16">
        <v>0.0016499999999999998</v>
      </c>
      <c r="Y87" s="16">
        <v>0.000001434782608695652</v>
      </c>
      <c r="Z87" s="16">
        <v>-0.0000014347826086956527</v>
      </c>
      <c r="AA87" s="16">
        <v>0.00151830985915493</v>
      </c>
      <c r="AB87" s="16">
        <v>0.0000015492957746478867</v>
      </c>
      <c r="AC87" s="16">
        <v>-0.0000015492957746478875</v>
      </c>
      <c r="AD87" s="16">
        <v>0.0012483568075117371</v>
      </c>
      <c r="AE87" s="16">
        <v>0.0000017840375586854454</v>
      </c>
      <c r="AF87" s="16">
        <v>-0.0000017840375586854462</v>
      </c>
      <c r="AG87" s="16">
        <v>0.000978403755868545</v>
      </c>
      <c r="AH87" s="16">
        <v>0.0000020187793427230043</v>
      </c>
      <c r="AI87" s="16">
        <v>-0.000002018779342723005</v>
      </c>
      <c r="AJ87" s="16">
        <v>0.0007084507042253523</v>
      </c>
      <c r="AK87" s="16">
        <v>0.000002253521126760563</v>
      </c>
      <c r="AL87" s="16">
        <v>-0.000002253521126760564</v>
      </c>
      <c r="AM87" s="16">
        <v>0.0004384976525821601</v>
      </c>
      <c r="AN87" s="16">
        <v>0.0000024882629107981213</v>
      </c>
      <c r="AO87" s="16">
        <v>-0.0000024882629107981226</v>
      </c>
      <c r="AP87" s="16">
        <v>-0.00010140845070422512</v>
      </c>
      <c r="AQ87" s="16">
        <v>0.0000029577464788732388</v>
      </c>
      <c r="AR87" s="16">
        <v>-0.00000295774647887324</v>
      </c>
      <c r="AS87" s="16">
        <v>-0.0006413145539906099</v>
      </c>
      <c r="AT87" s="16">
        <v>0.0000034272300469483554</v>
      </c>
      <c r="AU87" s="16">
        <v>-0.000003427230046948357</v>
      </c>
      <c r="AV87" s="16">
        <v>-0.0011812206572769952</v>
      </c>
      <c r="AW87" s="16">
        <v>0.000003896713615023473</v>
      </c>
      <c r="AX87" s="16">
        <v>-0.000003896713615023475</v>
      </c>
      <c r="AY87" s="16">
        <v>-0.0017211267605633795</v>
      </c>
      <c r="AZ87" s="16">
        <v>0.00000436619718309859</v>
      </c>
      <c r="BA87" s="16">
        <v>-0.0000043661971830985915</v>
      </c>
      <c r="BB87" s="16">
        <v>-0.00280093896713615</v>
      </c>
      <c r="BC87" s="16">
        <v>0.000005305164319248825</v>
      </c>
      <c r="BD87" s="16">
        <v>-0.000005305164319248827</v>
      </c>
      <c r="BE87" s="16">
        <v>-0.0038807511737089188</v>
      </c>
      <c r="BF87" s="16">
        <v>0.000006244131455399059</v>
      </c>
      <c r="BG87" s="16">
        <v>-0.000006244131455399061</v>
      </c>
      <c r="BH87" s="16">
        <v>-0.006580281690140843</v>
      </c>
      <c r="BI87" s="16">
        <v>0.000008591549295774645</v>
      </c>
      <c r="BJ87" s="16">
        <v>-0.000008591549295774648</v>
      </c>
      <c r="BK87" s="16">
        <v>-0.009279812206572771</v>
      </c>
      <c r="BL87" s="16">
        <v>0.000010938967136150232</v>
      </c>
      <c r="BM87" s="16">
        <v>-0.000010938967136150237</v>
      </c>
      <c r="BN87" s="16">
        <v>-0.020077934272300466</v>
      </c>
      <c r="BO87" s="16">
        <v>0.000020328638497652573</v>
      </c>
      <c r="BP87" s="16">
        <v>-0.000020328638497652583</v>
      </c>
      <c r="BQ87" s="16">
        <v>-0.05</v>
      </c>
      <c r="BR87" s="16">
        <v>0</v>
      </c>
      <c r="BS87" s="16">
        <v>0</v>
      </c>
      <c r="BT87" s="45">
        <v>33981.43387592912</v>
      </c>
      <c r="BU87" s="45">
        <v>33981.43387592912</v>
      </c>
      <c r="BV87" s="45">
        <v>33853.09180661406</v>
      </c>
      <c r="BW87" s="45">
        <v>32860.37164119024</v>
      </c>
      <c r="BX87" s="45">
        <v>30792.889452871354</v>
      </c>
      <c r="BY87" s="45">
        <v>29469.174379353328</v>
      </c>
      <c r="BZ87" s="45">
        <v>27535.719856686734</v>
      </c>
      <c r="CA87" s="45">
        <v>25686.126064937827</v>
      </c>
      <c r="CB87" s="45">
        <v>22177.239937367078</v>
      </c>
      <c r="CC87" s="45">
        <v>18981.142257194762</v>
      </c>
      <c r="CD87" s="45">
        <v>16069.737672960599</v>
      </c>
      <c r="CE87" s="45">
        <v>13498.398319986056</v>
      </c>
      <c r="CF87" s="45">
        <v>9711.810082266644</v>
      </c>
      <c r="CG87" s="45">
        <v>7100.202722637961</v>
      </c>
      <c r="CH87" s="45">
        <v>5343.0230848766705</v>
      </c>
      <c r="CI87" s="45">
        <v>4045.9263279435813</v>
      </c>
      <c r="CJ87" s="45">
        <v>2182.0353882143563</v>
      </c>
      <c r="CK87" s="45">
        <v>854.2489621038125</v>
      </c>
      <c r="CL87" s="45">
        <v>-1271.25337972034</v>
      </c>
      <c r="CM87" s="45">
        <v>-2498.4908184580304</v>
      </c>
      <c r="CN87" s="45">
        <v>-4498.411616248535</v>
      </c>
      <c r="CO87" s="45">
        <v>-5790.583579096708</v>
      </c>
      <c r="CP87" s="45">
        <v>6.55418261885643e-13</v>
      </c>
      <c r="CQ87" s="45">
        <v>6.55418261885643e-13</v>
      </c>
      <c r="CR87" s="45">
        <v>49.74823745662193</v>
      </c>
      <c r="CS87" s="45">
        <v>379.0574758171122</v>
      </c>
      <c r="CT87" s="45">
        <v>1026.6161972241666</v>
      </c>
      <c r="CU87" s="45">
        <v>1420.8903003416724</v>
      </c>
      <c r="CV87" s="45">
        <v>1966.6926556308752</v>
      </c>
      <c r="CW87" s="45">
        <v>2445.3317542984496</v>
      </c>
      <c r="CX87" s="45">
        <v>3131.0485707558278</v>
      </c>
      <c r="CY87" s="45">
        <v>3588.5735210414036</v>
      </c>
      <c r="CZ87" s="45">
        <v>3893.839361703681</v>
      </c>
      <c r="DA87" s="45">
        <v>4062.007868766298</v>
      </c>
      <c r="DB87" s="45">
        <v>3955.8493425675097</v>
      </c>
      <c r="DC87" s="45">
        <v>3654.4394237530064</v>
      </c>
      <c r="DD87" s="45">
        <v>3387.226731117986</v>
      </c>
      <c r="DE87" s="45">
        <v>3134.3240155775584</v>
      </c>
      <c r="DF87" s="45">
        <v>2677.6777590526076</v>
      </c>
      <c r="DG87" s="45">
        <v>2352.6483757851697</v>
      </c>
      <c r="DH87" s="45">
        <v>1746.321392507521</v>
      </c>
      <c r="DI87" s="45">
        <v>1334.598941767405</v>
      </c>
      <c r="DJ87" s="45">
        <v>561.1575840805152</v>
      </c>
      <c r="DK87" s="45">
        <v>0</v>
      </c>
      <c r="DL87" s="45">
        <v>-5.220063030719757e-12</v>
      </c>
      <c r="DM87" s="45">
        <v>-5.220063030719757e-12</v>
      </c>
      <c r="DN87" s="45">
        <v>-70.85219348687166</v>
      </c>
      <c r="DO87" s="45">
        <v>-546.5679020441613</v>
      </c>
      <c r="DP87" s="45">
        <v>-1404.2638129753366</v>
      </c>
      <c r="DQ87" s="45">
        <v>-1921.1418777168024</v>
      </c>
      <c r="DR87" s="45">
        <v>-2652.507882257327</v>
      </c>
      <c r="DS87" s="45">
        <v>-3293.8426745682013</v>
      </c>
      <c r="DT87" s="45">
        <v>-4203.941737264782</v>
      </c>
      <c r="DU87" s="45">
        <v>-4732.67490654052</v>
      </c>
      <c r="DV87" s="45">
        <v>-5038.60230583529</v>
      </c>
      <c r="DW87" s="45">
        <v>-5210.952055762618</v>
      </c>
      <c r="DX87" s="45">
        <v>-5242.690387345953</v>
      </c>
      <c r="DY87" s="45">
        <v>-5042.911724672362</v>
      </c>
      <c r="DZ87" s="45">
        <v>-4701.679418044012</v>
      </c>
      <c r="EA87" s="45">
        <v>-4384.815261620003</v>
      </c>
      <c r="EB87" s="45">
        <v>-3866.440535712759</v>
      </c>
      <c r="EC87" s="45">
        <v>-3381.676783162608</v>
      </c>
      <c r="ED87" s="45">
        <v>-2468.8386556768346</v>
      </c>
      <c r="EE87" s="45">
        <v>-1856.456380127603</v>
      </c>
      <c r="EF87" s="45">
        <v>-784.4545893643262</v>
      </c>
      <c r="EG87" s="45">
        <v>5.960464477539062e-14</v>
      </c>
      <c r="EH87" s="46">
        <f>MAX(1,MIN(21,SUMPRODUCT(--($BT87:$CO87&gt;=Pu))))</f>
      </c>
      <c r="EI87" s="47">
        <f>(Pu-INDEX($BT87:$CO87,1,$EH87))/(INDEX($BT87:$CO87,1,$EH87+1)-INDEX($BT87:$CO87,1,$EH87))</f>
      </c>
      <c r="EJ87" s="39">
        <f>INDEX($CP87:$DK87,1,$EH87)+$EI87*(INDEX($CP87:$DK87,1,$EH87+1)-INDEX($CP87:$DK87,1,$EH87))</f>
      </c>
      <c r="EK87" s="39">
        <f>INDEX($DL87:$EG87,1,$EH87)+$EI87*(INDEX($DL87:$EG87,1,$EH87+1)-INDEX($DL87:$EG87,1,$EH87))</f>
      </c>
      <c r="EL87" s="39">
        <f>SQRT(EJ87^2+EK87^2)</f>
      </c>
      <c r="EM87" s="20">
        <f>EJ88-EJ87</f>
      </c>
      <c r="EN87" s="20">
        <f>EK88-EK87</f>
      </c>
      <c r="EO87" s="20">
        <f>EM87*SIN(RADIANS(theta_L))-EN87*COS(RADIANS(theta_L))</f>
      </c>
      <c r="EP87" s="47">
        <f>IF(EO87=0,"",-(EJ87*SIN(RADIANS(theta_L))-EK87*COS(RADIANS(theta_L)))/EO87)</f>
      </c>
      <c r="EQ87" s="20">
        <f>IF(EP87="","",(EJ87+EP87*EM87)*COS(RADIANS(theta_L))+(EK87+EP87*EN87)*SIN(RADIANS(theta_L)))</f>
      </c>
      <c r="ER87" s="20">
        <f>IF(OR(EP87="",EP87&lt;0,EP87&gt;1,EQ87&lt;0),"",EQ87)</f>
      </c>
    </row>
    <row r="88" spans="1:148" x14ac:dyDescent="0.25">
      <c r="A88">
        <v>81</v>
      </c>
      <c r="B88" s="44">
        <v>320</v>
      </c>
      <c r="C88" s="18">
        <v>813.1598511989835</v>
      </c>
      <c r="D88" s="18">
        <v>-666.9089075225402</v>
      </c>
      <c r="E88" s="18">
        <v>1480.0687587215236</v>
      </c>
      <c r="F88" s="16">
        <v>0.0033</v>
      </c>
      <c r="G88" s="16">
        <v>0</v>
      </c>
      <c r="H88" s="16">
        <v>0</v>
      </c>
      <c r="I88" s="16">
        <v>0.00275</v>
      </c>
      <c r="J88" s="16">
        <v>5.181323734739309e-7</v>
      </c>
      <c r="K88" s="16">
        <v>-4.347646834829844e-7</v>
      </c>
      <c r="L88" s="16">
        <v>0.002475</v>
      </c>
      <c r="M88" s="16">
        <v>7.771985602108963e-7</v>
      </c>
      <c r="N88" s="16">
        <v>-6.521470252244766e-7</v>
      </c>
      <c r="O88" s="16">
        <v>0.0022</v>
      </c>
      <c r="P88" s="16">
        <v>0.0000010362647469478618</v>
      </c>
      <c r="Q88" s="16">
        <v>-8.695293669659688e-7</v>
      </c>
      <c r="R88" s="16">
        <v>0.0019249999999999998</v>
      </c>
      <c r="S88" s="16">
        <v>0.0000012953309336848274</v>
      </c>
      <c r="T88" s="16">
        <v>-0.0000010869117087074612</v>
      </c>
      <c r="U88" s="16">
        <v>0.0018</v>
      </c>
      <c r="V88" s="16">
        <v>0.0000014130882912925388</v>
      </c>
      <c r="W88" s="16">
        <v>-0.000001185721864044503</v>
      </c>
      <c r="X88" s="16">
        <v>0.0016500000000000002</v>
      </c>
      <c r="Y88" s="16">
        <v>0.0000015543971204217926</v>
      </c>
      <c r="Z88" s="16">
        <v>-0.0000013042940504489533</v>
      </c>
      <c r="AA88" s="16">
        <v>0.0014869575361656999</v>
      </c>
      <c r="AB88" s="16">
        <v>0.0000017079927181736172</v>
      </c>
      <c r="AC88" s="16">
        <v>-0.0000014331760598729633</v>
      </c>
      <c r="AD88" s="16">
        <v>0.0012122541325544425</v>
      </c>
      <c r="AE88" s="16">
        <v>0.000001966779493654468</v>
      </c>
      <c r="AF88" s="16">
        <v>-0.000001650323947732503</v>
      </c>
      <c r="AG88" s="16">
        <v>0.0009375507289431846</v>
      </c>
      <c r="AH88" s="16">
        <v>0.0000022255662691353193</v>
      </c>
      <c r="AI88" s="16">
        <v>-0.000001867471835592043</v>
      </c>
      <c r="AJ88" s="16">
        <v>0.000662847325331927</v>
      </c>
      <c r="AK88" s="16">
        <v>0.0000024843530446161705</v>
      </c>
      <c r="AL88" s="16">
        <v>-0.000002084619723451583</v>
      </c>
      <c r="AM88" s="16">
        <v>0.0003881439217206695</v>
      </c>
      <c r="AN88" s="16">
        <v>0.0000027431398200970213</v>
      </c>
      <c r="AO88" s="16">
        <v>-0.0000023017676113111225</v>
      </c>
      <c r="AP88" s="16">
        <v>-0.00016126288550184558</v>
      </c>
      <c r="AQ88" s="16">
        <v>0.000003260713371058724</v>
      </c>
      <c r="AR88" s="16">
        <v>-0.0000027360633870302024</v>
      </c>
      <c r="AS88" s="16">
        <v>-0.0007106696927243611</v>
      </c>
      <c r="AT88" s="16">
        <v>0.0000037782869220204263</v>
      </c>
      <c r="AU88" s="16">
        <v>-0.0000031703591627492824</v>
      </c>
      <c r="AV88" s="16">
        <v>-0.0012600764999468762</v>
      </c>
      <c r="AW88" s="16">
        <v>0.0000042958604729821275</v>
      </c>
      <c r="AX88" s="16">
        <v>-0.0000036046549384683616</v>
      </c>
      <c r="AY88" s="16">
        <v>-0.0018094833071693904</v>
      </c>
      <c r="AZ88" s="16">
        <v>0.00000481343402394383</v>
      </c>
      <c r="BA88" s="16">
        <v>-0.000004038950714187441</v>
      </c>
      <c r="BB88" s="16">
        <v>-0.0029082969216144222</v>
      </c>
      <c r="BC88" s="16">
        <v>0.000005848581125867235</v>
      </c>
      <c r="BD88" s="16">
        <v>-0.000004907542265625602</v>
      </c>
      <c r="BE88" s="16">
        <v>-0.0040071105360594515</v>
      </c>
      <c r="BF88" s="16">
        <v>0.000006883728227790639</v>
      </c>
      <c r="BG88" s="16">
        <v>-0.00000577613381706376</v>
      </c>
      <c r="BH88" s="16">
        <v>-0.006754144572172028</v>
      </c>
      <c r="BI88" s="16">
        <v>0.00000947159598259915</v>
      </c>
      <c r="BJ88" s="16">
        <v>-0.00000794761269565916</v>
      </c>
      <c r="BK88" s="16">
        <v>-0.009501178608284602</v>
      </c>
      <c r="BL88" s="16">
        <v>0.00001205946373740766</v>
      </c>
      <c r="BM88" s="16">
        <v>-0.000010119091574254558</v>
      </c>
      <c r="BN88" s="16">
        <v>-0.020489314752734907</v>
      </c>
      <c r="BO88" s="16">
        <v>0.000022410934756641703</v>
      </c>
      <c r="BP88" s="16">
        <v>-0.000018805007088636153</v>
      </c>
      <c r="BQ88" s="16">
        <v>-0.05</v>
      </c>
      <c r="BR88" s="16">
        <v>0</v>
      </c>
      <c r="BS88" s="16">
        <v>0</v>
      </c>
      <c r="BT88" s="45">
        <v>33981.43387592912</v>
      </c>
      <c r="BU88" s="45">
        <v>33981.43387592912</v>
      </c>
      <c r="BV88" s="45">
        <v>33863.39916557486</v>
      </c>
      <c r="BW88" s="45">
        <v>32899.229260763255</v>
      </c>
      <c r="BX88" s="45">
        <v>30842.138248618754</v>
      </c>
      <c r="BY88" s="45">
        <v>29535.776099623625</v>
      </c>
      <c r="BZ88" s="45">
        <v>27634.199470908487</v>
      </c>
      <c r="CA88" s="45">
        <v>25331.59559040491</v>
      </c>
      <c r="CB88" s="45">
        <v>21763.12230511045</v>
      </c>
      <c r="CC88" s="45">
        <v>18511.809642488537</v>
      </c>
      <c r="CD88" s="45">
        <v>15597.531255315664</v>
      </c>
      <c r="CE88" s="45">
        <v>13101.90726769063</v>
      </c>
      <c r="CF88" s="45">
        <v>9462.555050280009</v>
      </c>
      <c r="CG88" s="45">
        <v>6843.48384694221</v>
      </c>
      <c r="CH88" s="45">
        <v>5046.40251907861</v>
      </c>
      <c r="CI88" s="45">
        <v>3784.9764659287107</v>
      </c>
      <c r="CJ88" s="45">
        <v>1896.3969658781853</v>
      </c>
      <c r="CK88" s="45">
        <v>541.5421235183859</v>
      </c>
      <c r="CL88" s="45">
        <v>-1611.9890552315605</v>
      </c>
      <c r="CM88" s="45">
        <v>-2851.617464280563</v>
      </c>
      <c r="CN88" s="45">
        <v>-4742.744757041798</v>
      </c>
      <c r="CO88" s="45">
        <v>-5790.583579096708</v>
      </c>
      <c r="CP88" s="45">
        <v>6.55418261885643e-13</v>
      </c>
      <c r="CQ88" s="45">
        <v>6.55418261885643e-13</v>
      </c>
      <c r="CR88" s="45">
        <v>48.95874266178892</v>
      </c>
      <c r="CS88" s="45">
        <v>398.07487279518773</v>
      </c>
      <c r="CT88" s="45">
        <v>1088.2677156214008</v>
      </c>
      <c r="CU88" s="45">
        <v>1510.5365828051215</v>
      </c>
      <c r="CV88" s="45">
        <v>2101.5484153383936</v>
      </c>
      <c r="CW88" s="45">
        <v>2749.4377430247</v>
      </c>
      <c r="CX88" s="45">
        <v>3531.9462036915074</v>
      </c>
      <c r="CY88" s="45">
        <v>4054.3652893221397</v>
      </c>
      <c r="CZ88" s="45">
        <v>4383.047112486704</v>
      </c>
      <c r="DA88" s="45">
        <v>4527.5702413239305</v>
      </c>
      <c r="DB88" s="45">
        <v>4363.961838431345</v>
      </c>
      <c r="DC88" s="45">
        <v>4004.820852739973</v>
      </c>
      <c r="DD88" s="45">
        <v>3649.3323807650886</v>
      </c>
      <c r="DE88" s="45">
        <v>3331.5561443328193</v>
      </c>
      <c r="DF88" s="45">
        <v>2822.7521058181446</v>
      </c>
      <c r="DG88" s="45">
        <v>2452.6782394515067</v>
      </c>
      <c r="DH88" s="45">
        <v>1735.3055891511349</v>
      </c>
      <c r="DI88" s="45">
        <v>1270.1874421876926</v>
      </c>
      <c r="DJ88" s="45">
        <v>482.53332144063205</v>
      </c>
      <c r="DK88" s="45">
        <v>0</v>
      </c>
      <c r="DL88" s="45">
        <v>-5.220063030719757e-12</v>
      </c>
      <c r="DM88" s="45">
        <v>-5.220063030719757e-12</v>
      </c>
      <c r="DN88" s="45">
        <v>-61.95350704428935</v>
      </c>
      <c r="DO88" s="45">
        <v>-493.72973406857903</v>
      </c>
      <c r="DP88" s="45">
        <v>-1280.8256893341627</v>
      </c>
      <c r="DQ88" s="45">
        <v>-1753.735600841936</v>
      </c>
      <c r="DR88" s="45">
        <v>-2419.2790081983444</v>
      </c>
      <c r="DS88" s="45">
        <v>-3138.405405880925</v>
      </c>
      <c r="DT88" s="45">
        <v>-3909.48779226513</v>
      </c>
      <c r="DU88" s="45">
        <v>-4343.592536609753</v>
      </c>
      <c r="DV88" s="45">
        <v>-4579.253995022448</v>
      </c>
      <c r="DW88" s="45">
        <v>-4734.991685216318</v>
      </c>
      <c r="DX88" s="45">
        <v>-4759.240788072535</v>
      </c>
      <c r="DY88" s="45">
        <v>-4569.711264782977</v>
      </c>
      <c r="DZ88" s="45">
        <v>-4283.560100000381</v>
      </c>
      <c r="EA88" s="45">
        <v>-4005.1082956951145</v>
      </c>
      <c r="EB88" s="45">
        <v>-3509.892327751328</v>
      </c>
      <c r="EC88" s="45">
        <v>-3054.1999012564775</v>
      </c>
      <c r="ED88" s="45">
        <v>-2185.5975663635454</v>
      </c>
      <c r="EE88" s="45">
        <v>-1599.6964030779804</v>
      </c>
      <c r="EF88" s="45">
        <v>-615.2396010268598</v>
      </c>
      <c r="EG88" s="45">
        <v>5.960464477539062e-14</v>
      </c>
      <c r="EH88" s="46">
        <f>MAX(1,MIN(21,SUMPRODUCT(--($BT88:$CO88&gt;=Pu))))</f>
      </c>
      <c r="EI88" s="47">
        <f>(Pu-INDEX($BT88:$CO88,1,$EH88))/(INDEX($BT88:$CO88,1,$EH88+1)-INDEX($BT88:$CO88,1,$EH88))</f>
      </c>
      <c r="EJ88" s="39">
        <f>INDEX($CP88:$DK88,1,$EH88)+$EI88*(INDEX($CP88:$DK88,1,$EH88+1)-INDEX($CP88:$DK88,1,$EH88))</f>
      </c>
      <c r="EK88" s="39">
        <f>INDEX($DL88:$EG88,1,$EH88)+$EI88*(INDEX($DL88:$EG88,1,$EH88+1)-INDEX($DL88:$EG88,1,$EH88))</f>
      </c>
      <c r="EL88" s="39">
        <f>SQRT(EJ88^2+EK88^2)</f>
      </c>
      <c r="EM88" s="20">
        <f>EJ89-EJ88</f>
      </c>
      <c r="EN88" s="20">
        <f>EK89-EK88</f>
      </c>
      <c r="EO88" s="20">
        <f>EM88*SIN(RADIANS(theta_L))-EN88*COS(RADIANS(theta_L))</f>
      </c>
      <c r="EP88" s="47">
        <f>IF(EO88=0,"",-(EJ88*SIN(RADIANS(theta_L))-EK88*COS(RADIANS(theta_L)))/EO88)</f>
      </c>
      <c r="EQ88" s="20">
        <f>IF(EP88="","",(EJ88+EP88*EM88)*COS(RADIANS(theta_L))+(EK88+EP88*EN88)*SIN(RADIANS(theta_L)))</f>
      </c>
      <c r="ER88" s="20">
        <f>IF(OR(EP88="",EP88&lt;0,EP88&gt;1,EQ88&lt;0),"",EQ88)</f>
      </c>
    </row>
    <row r="89" spans="1:148" x14ac:dyDescent="0.25">
      <c r="A89">
        <v>82</v>
      </c>
      <c r="B89" s="44">
        <v>325.00000000000006</v>
      </c>
      <c r="C89" s="18">
        <v>806.9582665664705</v>
      </c>
      <c r="D89" s="18">
        <v>-663.5811580135841</v>
      </c>
      <c r="E89" s="18">
        <v>1470.5394245800544</v>
      </c>
      <c r="F89" s="16">
        <v>0.0033</v>
      </c>
      <c r="G89" s="16">
        <v>0</v>
      </c>
      <c r="H89" s="16">
        <v>0</v>
      </c>
      <c r="I89" s="16">
        <v>0.00275</v>
      </c>
      <c r="J89" s="16">
        <v>5.583109350573019e-7</v>
      </c>
      <c r="K89" s="16">
        <v>-3.9093352539203416e-7</v>
      </c>
      <c r="L89" s="16">
        <v>0.0024749999999999998</v>
      </c>
      <c r="M89" s="16">
        <v>8.374664025859528e-7</v>
      </c>
      <c r="N89" s="16">
        <v>-5.864002880880512e-7</v>
      </c>
      <c r="O89" s="16">
        <v>0.0021999999999999997</v>
      </c>
      <c r="P89" s="16">
        <v>0.0000011166218701146037</v>
      </c>
      <c r="Q89" s="16">
        <v>-7.818670507840683e-7</v>
      </c>
      <c r="R89" s="16">
        <v>0.0019249999999999998</v>
      </c>
      <c r="S89" s="16">
        <v>0.000001395777337643255</v>
      </c>
      <c r="T89" s="16">
        <v>-9.773338134800855e-7</v>
      </c>
      <c r="U89" s="16">
        <v>0.0018000000000000002</v>
      </c>
      <c r="V89" s="16">
        <v>0.0000015226661865199141</v>
      </c>
      <c r="W89" s="16">
        <v>-0.0000010661823419782748</v>
      </c>
      <c r="X89" s="16">
        <v>0.00165</v>
      </c>
      <c r="Y89" s="16">
        <v>0.0000016749328051719057</v>
      </c>
      <c r="Z89" s="16">
        <v>-0.0000011728005761761024</v>
      </c>
      <c r="AA89" s="16">
        <v>0.0014891255445736715</v>
      </c>
      <c r="AB89" s="16">
        <v>0.000001838238200873556</v>
      </c>
      <c r="AC89" s="16">
        <v>-0.0000012871482452767173</v>
      </c>
      <c r="AD89" s="16">
        <v>0.0012147506270848338</v>
      </c>
      <c r="AE89" s="16">
        <v>0.0000021167591403998523</v>
      </c>
      <c r="AF89" s="16">
        <v>-0.0000014821707066822808</v>
      </c>
      <c r="AG89" s="16">
        <v>0.0009403757095959959</v>
      </c>
      <c r="AH89" s="16">
        <v>0.000002395280079926149</v>
      </c>
      <c r="AI89" s="16">
        <v>-0.000001677193168087844</v>
      </c>
      <c r="AJ89" s="16">
        <v>0.0006660007921071584</v>
      </c>
      <c r="AK89" s="16">
        <v>0.0000026738010194524453</v>
      </c>
      <c r="AL89" s="16">
        <v>-0.0000018722156294934074</v>
      </c>
      <c r="AM89" s="16">
        <v>0.00039162587461832096</v>
      </c>
      <c r="AN89" s="16">
        <v>0.000002952321958978742</v>
      </c>
      <c r="AO89" s="16">
        <v>-0.0000020672380908989707</v>
      </c>
      <c r="AP89" s="16">
        <v>-0.00015712396035935444</v>
      </c>
      <c r="AQ89" s="16">
        <v>0.0000035093638380313344</v>
      </c>
      <c r="AR89" s="16">
        <v>-0.000002457283013710097</v>
      </c>
      <c r="AS89" s="16">
        <v>-0.0007058737953370298</v>
      </c>
      <c r="AT89" s="16">
        <v>0.0000040664057170839274</v>
      </c>
      <c r="AU89" s="16">
        <v>-0.0000028473279365212238</v>
      </c>
      <c r="AV89" s="16">
        <v>-0.0012546236303147048</v>
      </c>
      <c r="AW89" s="16">
        <v>0.00000462344759613652</v>
      </c>
      <c r="AX89" s="16">
        <v>-0.00000323737285933235</v>
      </c>
      <c r="AY89" s="16">
        <v>-0.0018033734652923798</v>
      </c>
      <c r="AZ89" s="16">
        <v>0.000005180489475189112</v>
      </c>
      <c r="BA89" s="16">
        <v>-0.000003627417782143476</v>
      </c>
      <c r="BB89" s="16">
        <v>-0.0029008731352477305</v>
      </c>
      <c r="BC89" s="16">
        <v>0.000006294573233294298</v>
      </c>
      <c r="BD89" s="16">
        <v>-0.000004407507627765729</v>
      </c>
      <c r="BE89" s="16">
        <v>-0.0039983728052030805</v>
      </c>
      <c r="BF89" s="16">
        <v>0.000007408656991399483</v>
      </c>
      <c r="BG89" s="16">
        <v>-0.000005187597473387982</v>
      </c>
      <c r="BH89" s="16">
        <v>-0.006742121980091457</v>
      </c>
      <c r="BI89" s="16">
        <v>0.000010193866386662447</v>
      </c>
      <c r="BJ89" s="16">
        <v>-0.000007137822087443615</v>
      </c>
      <c r="BK89" s="16">
        <v>-0.009485871154979838</v>
      </c>
      <c r="BL89" s="16">
        <v>0.000012979075781925413</v>
      </c>
      <c r="BM89" s="16">
        <v>-0.000009088046701499249</v>
      </c>
      <c r="BN89" s="16">
        <v>-0.020460867854533337</v>
      </c>
      <c r="BO89" s="16">
        <v>0.000024119913362977265</v>
      </c>
      <c r="BP89" s="16">
        <v>-0.000016888945157721777</v>
      </c>
      <c r="BQ89" s="16">
        <v>-0.05</v>
      </c>
      <c r="BR89" s="16">
        <v>0</v>
      </c>
      <c r="BS89" s="16">
        <v>0</v>
      </c>
      <c r="BT89" s="45">
        <v>33981.43387592912</v>
      </c>
      <c r="BU89" s="45">
        <v>33981.43387592912</v>
      </c>
      <c r="BV89" s="45">
        <v>33872.781628635414</v>
      </c>
      <c r="BW89" s="45">
        <v>32914.762392445904</v>
      </c>
      <c r="BX89" s="45">
        <v>30862.156848442424</v>
      </c>
      <c r="BY89" s="45">
        <v>29557.581748812394</v>
      </c>
      <c r="BZ89" s="45">
        <v>27658.25663600233</v>
      </c>
      <c r="CA89" s="45">
        <v>25361.825258027853</v>
      </c>
      <c r="CB89" s="45">
        <v>21751.262603117735</v>
      </c>
      <c r="CC89" s="45">
        <v>18474.04725388498</v>
      </c>
      <c r="CD89" s="45">
        <v>15608.265109605654</v>
      </c>
      <c r="CE89" s="45">
        <v>13214.331983437665</v>
      </c>
      <c r="CF89" s="45">
        <v>9605.308871970217</v>
      </c>
      <c r="CG89" s="45">
        <v>7006.874562066861</v>
      </c>
      <c r="CH89" s="45">
        <v>5132.617254570192</v>
      </c>
      <c r="CI89" s="45">
        <v>3816.255114236123</v>
      </c>
      <c r="CJ89" s="45">
        <v>1860.942941287208</v>
      </c>
      <c r="CK89" s="45">
        <v>452.8017025731667</v>
      </c>
      <c r="CL89" s="45">
        <v>-1737.8324952539374</v>
      </c>
      <c r="CM89" s="45">
        <v>-3062.280839213845</v>
      </c>
      <c r="CN89" s="45">
        <v>-4958.178536150537</v>
      </c>
      <c r="CO89" s="45">
        <v>-5790.583579096708</v>
      </c>
      <c r="CP89" s="45">
        <v>6.55418261885643e-13</v>
      </c>
      <c r="CQ89" s="45">
        <v>6.55418261885643e-13</v>
      </c>
      <c r="CR89" s="45">
        <v>48.42441458048167</v>
      </c>
      <c r="CS89" s="45">
        <v>425.12954672792694</v>
      </c>
      <c r="CT89" s="45">
        <v>1153.4271092317501</v>
      </c>
      <c r="CU89" s="45">
        <v>1601.4629467643915</v>
      </c>
      <c r="CV89" s="45">
        <v>2237.491257684807</v>
      </c>
      <c r="CW89" s="45">
        <v>2949.6727930661145</v>
      </c>
      <c r="CX89" s="45">
        <v>3849.785899644278</v>
      </c>
      <c r="CY89" s="45">
        <v>4452.143757254789</v>
      </c>
      <c r="CZ89" s="45">
        <v>4809.022917676288</v>
      </c>
      <c r="DA89" s="45">
        <v>4953.622792699821</v>
      </c>
      <c r="DB89" s="45">
        <v>4796.415984678308</v>
      </c>
      <c r="DC89" s="45">
        <v>4391.386689894809</v>
      </c>
      <c r="DD89" s="45">
        <v>3943.459395675095</v>
      </c>
      <c r="DE89" s="45">
        <v>3582.9638456154044</v>
      </c>
      <c r="DF89" s="45">
        <v>3028.2013187835378</v>
      </c>
      <c r="DG89" s="45">
        <v>2563.9217671179294</v>
      </c>
      <c r="DH89" s="45">
        <v>1764.4725122773093</v>
      </c>
      <c r="DI89" s="45">
        <v>1248.85741408108</v>
      </c>
      <c r="DJ89" s="45">
        <v>414.34451460055834</v>
      </c>
      <c r="DK89" s="45">
        <v>0</v>
      </c>
      <c r="DL89" s="45">
        <v>-5.220063030719757e-12</v>
      </c>
      <c r="DM89" s="45">
        <v>-5.220063030719757e-12</v>
      </c>
      <c r="DN89" s="45">
        <v>-53.57629510759519</v>
      </c>
      <c r="DO89" s="45">
        <v>-439.52491411552046</v>
      </c>
      <c r="DP89" s="45">
        <v>-1162.3676131237485</v>
      </c>
      <c r="DQ89" s="45">
        <v>-1593.9394762053187</v>
      </c>
      <c r="DR89" s="45">
        <v>-2190.3936684252058</v>
      </c>
      <c r="DS89" s="45">
        <v>-2830.8717017499985</v>
      </c>
      <c r="DT89" s="45">
        <v>-3508.947642398819</v>
      </c>
      <c r="DU89" s="45">
        <v>-3847.3498501929184</v>
      </c>
      <c r="DV89" s="45">
        <v>-4041.9714988251058</v>
      </c>
      <c r="DW89" s="45">
        <v>-4198.741453060983</v>
      </c>
      <c r="DX89" s="45">
        <v>-4239.856241046408</v>
      </c>
      <c r="DY89" s="45">
        <v>-4117.848642169229</v>
      </c>
      <c r="DZ89" s="45">
        <v>-3936.227546452711</v>
      </c>
      <c r="EA89" s="45">
        <v>-3688.971197994831</v>
      </c>
      <c r="EB89" s="45">
        <v>-3208.718101420172</v>
      </c>
      <c r="EC89" s="45">
        <v>-2819.65749091883</v>
      </c>
      <c r="ED89" s="45">
        <v>-2010.9249376884748</v>
      </c>
      <c r="EE89" s="45">
        <v>-1419.5761646367364</v>
      </c>
      <c r="EF89" s="45">
        <v>-460.6725287924034</v>
      </c>
      <c r="EG89" s="45">
        <v>5.960464477539062e-14</v>
      </c>
      <c r="EH89" s="46">
        <f>MAX(1,MIN(21,SUMPRODUCT(--($BT89:$CO89&gt;=Pu))))</f>
      </c>
      <c r="EI89" s="47">
        <f>(Pu-INDEX($BT89:$CO89,1,$EH89))/(INDEX($BT89:$CO89,1,$EH89+1)-INDEX($BT89:$CO89,1,$EH89))</f>
      </c>
      <c r="EJ89" s="39">
        <f>INDEX($CP89:$DK89,1,$EH89)+$EI89*(INDEX($CP89:$DK89,1,$EH89+1)-INDEX($CP89:$DK89,1,$EH89))</f>
      </c>
      <c r="EK89" s="39">
        <f>INDEX($DL89:$EG89,1,$EH89)+$EI89*(INDEX($DL89:$EG89,1,$EH89+1)-INDEX($DL89:$EG89,1,$EH89))</f>
      </c>
      <c r="EL89" s="39">
        <f>SQRT(EJ89^2+EK89^2)</f>
      </c>
      <c r="EM89" s="20">
        <f>EJ90-EJ89</f>
      </c>
      <c r="EN89" s="20">
        <f>EK90-EK89</f>
      </c>
      <c r="EO89" s="20">
        <f>EM89*SIN(RADIANS(theta_L))-EN89*COS(RADIANS(theta_L))</f>
      </c>
      <c r="EP89" s="47">
        <f>IF(EO89=0,"",-(EJ89*SIN(RADIANS(theta_L))-EK89*COS(RADIANS(theta_L)))/EO89)</f>
      </c>
      <c r="EQ89" s="20">
        <f>IF(EP89="","",(EJ89+EP89*EM89)*COS(RADIANS(theta_L))+(EK89+EP89*EN89)*SIN(RADIANS(theta_L)))</f>
      </c>
      <c r="ER89" s="20">
        <f>IF(OR(EP89="",EP89&lt;0,EP89&gt;1,EQ89&lt;0),"",EQ89)</f>
      </c>
    </row>
    <row r="90" spans="1:148" x14ac:dyDescent="0.25">
      <c r="A90">
        <v>83</v>
      </c>
      <c r="B90" s="44">
        <v>330.00000000000006</v>
      </c>
      <c r="C90" s="18">
        <v>794.6152422706632</v>
      </c>
      <c r="D90" s="18">
        <v>-658.9934640057525</v>
      </c>
      <c r="E90" s="18">
        <v>1453.6087062764157</v>
      </c>
      <c r="F90" s="16">
        <v>0.0033</v>
      </c>
      <c r="G90" s="16">
        <v>0</v>
      </c>
      <c r="H90" s="16">
        <v>0</v>
      </c>
      <c r="I90" s="16">
        <v>0.00275</v>
      </c>
      <c r="J90" s="16">
        <v>5.994271777625912e-7</v>
      </c>
      <c r="K90" s="16">
        <v>-3.460794424408094e-7</v>
      </c>
      <c r="L90" s="16">
        <v>0.0024749999999999998</v>
      </c>
      <c r="M90" s="16">
        <v>8.991407666438869e-7</v>
      </c>
      <c r="N90" s="16">
        <v>-5.191191636612141e-7</v>
      </c>
      <c r="O90" s="16">
        <v>0.0022</v>
      </c>
      <c r="P90" s="16">
        <v>0.0000011988543555251824</v>
      </c>
      <c r="Q90" s="16">
        <v>-6.921588848816188e-7</v>
      </c>
      <c r="R90" s="16">
        <v>0.001925</v>
      </c>
      <c r="S90" s="16">
        <v>0.000001498567944406478</v>
      </c>
      <c r="T90" s="16">
        <v>-8.651986061020235e-7</v>
      </c>
      <c r="U90" s="16">
        <v>0.0018000000000000002</v>
      </c>
      <c r="V90" s="16">
        <v>0.000001634801393897976</v>
      </c>
      <c r="W90" s="16">
        <v>-9.43853024838571e-7</v>
      </c>
      <c r="X90" s="16">
        <v>0.00165</v>
      </c>
      <c r="Y90" s="16">
        <v>0.0000017982815332877738</v>
      </c>
      <c r="Z90" s="16">
        <v>-0.0000010382383273224283</v>
      </c>
      <c r="AA90" s="16">
        <v>0.0014960549024157057</v>
      </c>
      <c r="AB90" s="16">
        <v>0.0000019660613066974835</v>
      </c>
      <c r="AC90" s="16">
        <v>-0.0000011351060246650983</v>
      </c>
      <c r="AD90" s="16">
        <v>0.0012227298876302064</v>
      </c>
      <c r="AE90" s="16">
        <v>0.0000022639493834698294</v>
      </c>
      <c r="AF90" s="16">
        <v>-0.0000013070917859779922</v>
      </c>
      <c r="AG90" s="16">
        <v>0.0009494048728447071</v>
      </c>
      <c r="AH90" s="16">
        <v>0.0000025618374602421753</v>
      </c>
      <c r="AI90" s="16">
        <v>-0.0000014790775472908859</v>
      </c>
      <c r="AJ90" s="16">
        <v>0.0006760798580592079</v>
      </c>
      <c r="AK90" s="16">
        <v>0.0000028597255370145216</v>
      </c>
      <c r="AL90" s="16">
        <v>-0.0000016510633086037797</v>
      </c>
      <c r="AM90" s="16">
        <v>0.00040275484327370907</v>
      </c>
      <c r="AN90" s="16">
        <v>0.000003157613613786867</v>
      </c>
      <c r="AO90" s="16">
        <v>-0.0000018230490699166732</v>
      </c>
      <c r="AP90" s="16">
        <v>-0.00014389518629728945</v>
      </c>
      <c r="AQ90" s="16">
        <v>0.0000037533897673315594</v>
      </c>
      <c r="AR90" s="16">
        <v>-0.000002167020592542461</v>
      </c>
      <c r="AS90" s="16">
        <v>-0.0006905452158682875</v>
      </c>
      <c r="AT90" s="16">
        <v>0.000004349165920876251</v>
      </c>
      <c r="AU90" s="16">
        <v>-0.000002510992115168248</v>
      </c>
      <c r="AV90" s="16">
        <v>-0.001237195245439286</v>
      </c>
      <c r="AW90" s="16">
        <v>0.000004944942074420943</v>
      </c>
      <c r="AX90" s="16">
        <v>-0.0000028549636377940357</v>
      </c>
      <c r="AY90" s="16">
        <v>-0.0017838452750102837</v>
      </c>
      <c r="AZ90" s="16">
        <v>0.000005540718227965635</v>
      </c>
      <c r="BA90" s="16">
        <v>-0.0000031989351604198226</v>
      </c>
      <c r="BB90" s="16">
        <v>-0.0028771453341522807</v>
      </c>
      <c r="BC90" s="16">
        <v>0.000006732270535055019</v>
      </c>
      <c r="BD90" s="16">
        <v>-0.000003886878205671398</v>
      </c>
      <c r="BE90" s="16">
        <v>-0.003970445393294277</v>
      </c>
      <c r="BF90" s="16">
        <v>0.000007923822842144402</v>
      </c>
      <c r="BG90" s="16">
        <v>-0.000004574821250922972</v>
      </c>
      <c r="BH90" s="16">
        <v>-0.006703695541149268</v>
      </c>
      <c r="BI90" s="16">
        <v>0.000010902703609867862</v>
      </c>
      <c r="BJ90" s="16">
        <v>-0.000006294678864051909</v>
      </c>
      <c r="BK90" s="16">
        <v>-0.009436945689004262</v>
      </c>
      <c r="BL90" s="16">
        <v>0.000013881584377591322</v>
      </c>
      <c r="BM90" s="16">
        <v>-0.000008014536477180847</v>
      </c>
      <c r="BN90" s="16">
        <v>-0.020369946280424225</v>
      </c>
      <c r="BO90" s="16">
        <v>0.000025797107448485158</v>
      </c>
      <c r="BP90" s="16">
        <v>-0.000014893966929696594</v>
      </c>
      <c r="BQ90" s="16">
        <v>-0.05</v>
      </c>
      <c r="BR90" s="16">
        <v>0</v>
      </c>
      <c r="BS90" s="16">
        <v>0</v>
      </c>
      <c r="BT90" s="45">
        <v>33981.43387592912</v>
      </c>
      <c r="BU90" s="45">
        <v>33981.43387592912</v>
      </c>
      <c r="BV90" s="45">
        <v>33876.031355448366</v>
      </c>
      <c r="BW90" s="45">
        <v>32906.01017364879</v>
      </c>
      <c r="BX90" s="45">
        <v>30851.919282869218</v>
      </c>
      <c r="BY90" s="45">
        <v>29530.368669951364</v>
      </c>
      <c r="BZ90" s="45">
        <v>27606.29182834962</v>
      </c>
      <c r="CA90" s="45">
        <v>25381.091793473508</v>
      </c>
      <c r="CB90" s="45">
        <v>21708.014888095622</v>
      </c>
      <c r="CC90" s="45">
        <v>18459.43266837633</v>
      </c>
      <c r="CD90" s="45">
        <v>15697.549819149835</v>
      </c>
      <c r="CE90" s="45">
        <v>13398.360174703597</v>
      </c>
      <c r="CF90" s="45">
        <v>9856.233004162146</v>
      </c>
      <c r="CG90" s="45">
        <v>7313.559394457703</v>
      </c>
      <c r="CH90" s="45">
        <v>5443.634353254709</v>
      </c>
      <c r="CI90" s="45">
        <v>3997.4630745937443</v>
      </c>
      <c r="CJ90" s="45">
        <v>1948.2656288286419</v>
      </c>
      <c r="CK90" s="45">
        <v>510.4116643759729</v>
      </c>
      <c r="CL90" s="45">
        <v>-1810.583265463571</v>
      </c>
      <c r="CM90" s="45">
        <v>-3142.764424623504</v>
      </c>
      <c r="CN90" s="45">
        <v>-5041.423983406865</v>
      </c>
      <c r="CO90" s="45">
        <v>-5790.583579096708</v>
      </c>
      <c r="CP90" s="45">
        <v>6.55418261885643e-13</v>
      </c>
      <c r="CQ90" s="45">
        <v>6.55418261885643e-13</v>
      </c>
      <c r="CR90" s="45">
        <v>48.82713843739282</v>
      </c>
      <c r="CS90" s="45">
        <v>451.6155111144447</v>
      </c>
      <c r="CT90" s="45">
        <v>1225.0725364398352</v>
      </c>
      <c r="CU90" s="45">
        <v>1702.448852784374</v>
      </c>
      <c r="CV90" s="45">
        <v>2381.689061196726</v>
      </c>
      <c r="CW90" s="45">
        <v>3126.9328268338236</v>
      </c>
      <c r="CX90" s="45">
        <v>4145.241642415056</v>
      </c>
      <c r="CY90" s="45">
        <v>4823.92249910161</v>
      </c>
      <c r="CZ90" s="45">
        <v>5194.349753502199</v>
      </c>
      <c r="DA90" s="45">
        <v>5345.51860924454</v>
      </c>
      <c r="DB90" s="45">
        <v>5210.828498784743</v>
      </c>
      <c r="DC90" s="45">
        <v>4796.099720561125</v>
      </c>
      <c r="DD90" s="45">
        <v>4296.013810333422</v>
      </c>
      <c r="DE90" s="45">
        <v>3874.856017487694</v>
      </c>
      <c r="DF90" s="45">
        <v>3245.8622164735375</v>
      </c>
      <c r="DG90" s="45">
        <v>2732.0356568630677</v>
      </c>
      <c r="DH90" s="45">
        <v>1812.9207353365773</v>
      </c>
      <c r="DI90" s="45">
        <v>1251.3561331522035</v>
      </c>
      <c r="DJ90" s="45">
        <v>391.2390804906461</v>
      </c>
      <c r="DK90" s="45">
        <v>0</v>
      </c>
      <c r="DL90" s="45">
        <v>-5.220063030719757e-12</v>
      </c>
      <c r="DM90" s="45">
        <v>-5.220063030719757e-12</v>
      </c>
      <c r="DN90" s="45">
        <v>-49.00897828459445</v>
      </c>
      <c r="DO90" s="45">
        <v>-395.30423681634954</v>
      </c>
      <c r="DP90" s="45">
        <v>-1044.9453218525268</v>
      </c>
      <c r="DQ90" s="45">
        <v>-1429.38745766985</v>
      </c>
      <c r="DR90" s="45">
        <v>-1956.4283592695217</v>
      </c>
      <c r="DS90" s="45">
        <v>-2508.578263704938</v>
      </c>
      <c r="DT90" s="45">
        <v>-3072.176158346998</v>
      </c>
      <c r="DU90" s="45">
        <v>-3317.9653296761953</v>
      </c>
      <c r="DV90" s="45">
        <v>-3475.6414972391362</v>
      </c>
      <c r="DW90" s="45">
        <v>-3624.5755958886098</v>
      </c>
      <c r="DX90" s="45">
        <v>-3694.968216280413</v>
      </c>
      <c r="DY90" s="45">
        <v>-3632.6139086551398</v>
      </c>
      <c r="DZ90" s="45">
        <v>-3538.4099581076616</v>
      </c>
      <c r="EA90" s="45">
        <v>-3370.2383446802182</v>
      </c>
      <c r="EB90" s="45">
        <v>-2926.1545485100287</v>
      </c>
      <c r="EC90" s="45">
        <v>-2575.7523362428715</v>
      </c>
      <c r="ED90" s="45">
        <v>-1852.1643985580515</v>
      </c>
      <c r="EE90" s="45">
        <v>-1315.4073381259468</v>
      </c>
      <c r="EF90" s="45">
        <v>-390.6361079849347</v>
      </c>
      <c r="EG90" s="45">
        <v>5.960464477539062e-14</v>
      </c>
      <c r="EH90" s="46">
        <f>MAX(1,MIN(21,SUMPRODUCT(--($BT90:$CO90&gt;=Pu))))</f>
      </c>
      <c r="EI90" s="47">
        <f>(Pu-INDEX($BT90:$CO90,1,$EH90))/(INDEX($BT90:$CO90,1,$EH90+1)-INDEX($BT90:$CO90,1,$EH90))</f>
      </c>
      <c r="EJ90" s="39">
        <f>INDEX($CP90:$DK90,1,$EH90)+$EI90*(INDEX($CP90:$DK90,1,$EH90+1)-INDEX($CP90:$DK90,1,$EH90))</f>
      </c>
      <c r="EK90" s="39">
        <f>INDEX($DL90:$EG90,1,$EH90)+$EI90*(INDEX($DL90:$EG90,1,$EH90+1)-INDEX($DL90:$EG90,1,$EH90))</f>
      </c>
      <c r="EL90" s="39">
        <f>SQRT(EJ90^2+EK90^2)</f>
      </c>
      <c r="EM90" s="20">
        <f>EJ91-EJ90</f>
      </c>
      <c r="EN90" s="20">
        <f>EK91-EK90</f>
      </c>
      <c r="EO90" s="20">
        <f>EM90*SIN(RADIANS(theta_L))-EN90*COS(RADIANS(theta_L))</f>
      </c>
      <c r="EP90" s="47">
        <f>IF(EO90=0,"",-(EJ90*SIN(RADIANS(theta_L))-EK90*COS(RADIANS(theta_L)))/EO90)</f>
      </c>
      <c r="EQ90" s="20">
        <f>IF(EP90="","",(EJ90+EP90*EM90)*COS(RADIANS(theta_L))+(EK90+EP90*EN90)*SIN(RADIANS(theta_L)))</f>
      </c>
      <c r="ER90" s="20">
        <f>IF(OR(EP90="",EP90&lt;0,EP90&gt;1,EQ90&lt;0),"",EQ90)</f>
      </c>
    </row>
    <row r="91" spans="1:148" x14ac:dyDescent="0.25">
      <c r="A91">
        <v>84</v>
      </c>
      <c r="B91" s="44">
        <v>335.00000000000006</v>
      </c>
      <c r="C91" s="18">
        <v>776.2247161793746</v>
      </c>
      <c r="D91" s="18">
        <v>-649.3904318257042</v>
      </c>
      <c r="E91" s="18">
        <v>1425.615148005079</v>
      </c>
      <c r="F91" s="16">
        <v>0.0033</v>
      </c>
      <c r="G91" s="16">
        <v>0</v>
      </c>
      <c r="H91" s="16">
        <v>0</v>
      </c>
      <c r="I91" s="16">
        <v>0.00275</v>
      </c>
      <c r="J91" s="16">
        <v>6.421713615660859e-7</v>
      </c>
      <c r="K91" s="16">
        <v>-2.994494237460882e-7</v>
      </c>
      <c r="L91" s="16">
        <v>0.0024749999999999998</v>
      </c>
      <c r="M91" s="16">
        <v>9.632570423491287e-7</v>
      </c>
      <c r="N91" s="16">
        <v>-4.491741356191323e-7</v>
      </c>
      <c r="O91" s="16">
        <v>0.0021999999999999997</v>
      </c>
      <c r="P91" s="16">
        <v>0.0000012843427231321719</v>
      </c>
      <c r="Q91" s="16">
        <v>-5.988988474921764e-7</v>
      </c>
      <c r="R91" s="16">
        <v>0.001925</v>
      </c>
      <c r="S91" s="16">
        <v>0.0000016054284039152146</v>
      </c>
      <c r="T91" s="16">
        <v>-7.486235593652204e-7</v>
      </c>
      <c r="U91" s="16">
        <v>0.0018000000000000002</v>
      </c>
      <c r="V91" s="16">
        <v>0.0000017513764406347794</v>
      </c>
      <c r="W91" s="16">
        <v>-8.166802465802403e-7</v>
      </c>
      <c r="X91" s="16">
        <v>0.00165</v>
      </c>
      <c r="Y91" s="16">
        <v>0.0000019265140846982575</v>
      </c>
      <c r="Z91" s="16">
        <v>-8.983482712382646e-7</v>
      </c>
      <c r="AA91" s="16">
        <v>0.0015032026196015067</v>
      </c>
      <c r="AB91" s="16">
        <v>0.000002097912400416139</v>
      </c>
      <c r="AC91" s="16">
        <v>-9.78272618452381e-7</v>
      </c>
      <c r="AD91" s="16">
        <v>0.0012309605922684016</v>
      </c>
      <c r="AE91" s="16">
        <v>0.000002415777915630706</v>
      </c>
      <c r="AF91" s="16">
        <v>-0.0000011264957424603177</v>
      </c>
      <c r="AG91" s="16">
        <v>0.0009587185649352964</v>
      </c>
      <c r="AH91" s="16">
        <v>0.000002733643430845273</v>
      </c>
      <c r="AI91" s="16">
        <v>-0.0000012747188664682543</v>
      </c>
      <c r="AJ91" s="16">
        <v>0.0006864765376021912</v>
      </c>
      <c r="AK91" s="16">
        <v>0.0000030515089460598395</v>
      </c>
      <c r="AL91" s="16">
        <v>-0.000001422941990476191</v>
      </c>
      <c r="AM91" s="16">
        <v>0.0004142345102690864</v>
      </c>
      <c r="AN91" s="16">
        <v>0.000003369374461274406</v>
      </c>
      <c r="AO91" s="16">
        <v>-0.0000015711651144841274</v>
      </c>
      <c r="AP91" s="16">
        <v>-0.00013024954439712398</v>
      </c>
      <c r="AQ91" s="16">
        <v>0.000004005105491703539</v>
      </c>
      <c r="AR91" s="16">
        <v>-0.0000018676113625000004</v>
      </c>
      <c r="AS91" s="16">
        <v>-0.0006747335990633339</v>
      </c>
      <c r="AT91" s="16">
        <v>0.000004640836522132672</v>
      </c>
      <c r="AU91" s="16">
        <v>-0.0000021640576105158735</v>
      </c>
      <c r="AV91" s="16">
        <v>-0.0012192176537295435</v>
      </c>
      <c r="AW91" s="16">
        <v>0.000005276567552561805</v>
      </c>
      <c r="AX91" s="16">
        <v>-0.0000024605038585317463</v>
      </c>
      <c r="AY91" s="16">
        <v>-0.0017637017083957538</v>
      </c>
      <c r="AZ91" s="16">
        <v>0.000005912298582990938</v>
      </c>
      <c r="BA91" s="16">
        <v>-0.000002756950106547619</v>
      </c>
      <c r="BB91" s="16">
        <v>-0.0028526698177281746</v>
      </c>
      <c r="BC91" s="16">
        <v>0.000007183760643849205</v>
      </c>
      <c r="BD91" s="16">
        <v>-0.0000033498426025793657</v>
      </c>
      <c r="BE91" s="16">
        <v>-0.003941637927060594</v>
      </c>
      <c r="BF91" s="16">
        <v>0.00000845522270470747</v>
      </c>
      <c r="BG91" s="16">
        <v>-0.000003942735098611112</v>
      </c>
      <c r="BH91" s="16">
        <v>-0.006664058200391646</v>
      </c>
      <c r="BI91" s="16">
        <v>0.000011633877856853138</v>
      </c>
      <c r="BJ91" s="16">
        <v>-0.000005424966338690478</v>
      </c>
      <c r="BK91" s="16">
        <v>-0.009386478473722697</v>
      </c>
      <c r="BL91" s="16">
        <v>0.000014812533008998805</v>
      </c>
      <c r="BM91" s="16">
        <v>-0.000006907197578769843</v>
      </c>
      <c r="BN91" s="16">
        <v>-0.020276159567046894</v>
      </c>
      <c r="BO91" s="16">
        <v>0.000027527153617581464</v>
      </c>
      <c r="BP91" s="16">
        <v>-0.000012836122539087303</v>
      </c>
      <c r="BQ91" s="16">
        <v>-0.05</v>
      </c>
      <c r="BR91" s="16">
        <v>0</v>
      </c>
      <c r="BS91" s="16">
        <v>0</v>
      </c>
      <c r="BT91" s="45">
        <v>33981.43387592912</v>
      </c>
      <c r="BU91" s="45">
        <v>33981.43387592912</v>
      </c>
      <c r="BV91" s="45">
        <v>33871.96504334283</v>
      </c>
      <c r="BW91" s="45">
        <v>32884.161122898484</v>
      </c>
      <c r="BX91" s="45">
        <v>30800.686241678864</v>
      </c>
      <c r="BY91" s="45">
        <v>29446.404714318272</v>
      </c>
      <c r="BZ91" s="45">
        <v>27492.539418137152</v>
      </c>
      <c r="CA91" s="45">
        <v>25319.64082290084</v>
      </c>
      <c r="CB91" s="45">
        <v>21579.203253539923</v>
      </c>
      <c r="CC91" s="45">
        <v>18388.10942728622</v>
      </c>
      <c r="CD91" s="45">
        <v>15791.033676878626</v>
      </c>
      <c r="CE91" s="45">
        <v>13571.209873172222</v>
      </c>
      <c r="CF91" s="45">
        <v>10188.806502124358</v>
      </c>
      <c r="CG91" s="45">
        <v>7780.208309595735</v>
      </c>
      <c r="CH91" s="45">
        <v>5912.036446013762</v>
      </c>
      <c r="CI91" s="45">
        <v>4339.044590599408</v>
      </c>
      <c r="CJ91" s="45">
        <v>2187.2159015762486</v>
      </c>
      <c r="CK91" s="45">
        <v>688.8035200867062</v>
      </c>
      <c r="CL91" s="45">
        <v>-1761.7291748998664</v>
      </c>
      <c r="CM91" s="45">
        <v>-3109.5791335780727</v>
      </c>
      <c r="CN91" s="45">
        <v>-5075.276677007068</v>
      </c>
      <c r="CO91" s="45">
        <v>-5790.583579096708</v>
      </c>
      <c r="CP91" s="45">
        <v>6.55418261885643e-13</v>
      </c>
      <c r="CQ91" s="45">
        <v>6.55418261885643e-13</v>
      </c>
      <c r="CR91" s="45">
        <v>52.5041061651376</v>
      </c>
      <c r="CS91" s="45">
        <v>483.20817238568685</v>
      </c>
      <c r="CT91" s="45">
        <v>1308.942390133099</v>
      </c>
      <c r="CU91" s="45">
        <v>1818.8706765862355</v>
      </c>
      <c r="CV91" s="45">
        <v>2540.24150411406</v>
      </c>
      <c r="CW91" s="45">
        <v>3306.91029693081</v>
      </c>
      <c r="CX91" s="45">
        <v>4434.497665431993</v>
      </c>
      <c r="CY91" s="45">
        <v>5159.745898855914</v>
      </c>
      <c r="CZ91" s="45">
        <v>5534.032287656787</v>
      </c>
      <c r="DA91" s="45">
        <v>5700.363554301687</v>
      </c>
      <c r="DB91" s="45">
        <v>5604.918342685118</v>
      </c>
      <c r="DC91" s="45">
        <v>5186.460566450733</v>
      </c>
      <c r="DD91" s="45">
        <v>4695.754880186278</v>
      </c>
      <c r="DE91" s="45">
        <v>4228.885043446211</v>
      </c>
      <c r="DF91" s="45">
        <v>3498.864020434592</v>
      </c>
      <c r="DG91" s="45">
        <v>2945.8520445284958</v>
      </c>
      <c r="DH91" s="45">
        <v>1918.4194691555842</v>
      </c>
      <c r="DI91" s="45">
        <v>1308.15376979175</v>
      </c>
      <c r="DJ91" s="45">
        <v>383.08630953745404</v>
      </c>
      <c r="DK91" s="45">
        <v>0</v>
      </c>
      <c r="DL91" s="45">
        <v>-5.220063030719757e-12</v>
      </c>
      <c r="DM91" s="45">
        <v>-5.220063030719757e-12</v>
      </c>
      <c r="DN91" s="45">
        <v>-45.54434862816404</v>
      </c>
      <c r="DO91" s="45">
        <v>-350.1816279409161</v>
      </c>
      <c r="DP91" s="45">
        <v>-918.9673439082646</v>
      </c>
      <c r="DQ91" s="45">
        <v>-1252.1028995665458</v>
      </c>
      <c r="DR91" s="45">
        <v>-1715.1956311587785</v>
      </c>
      <c r="DS91" s="45">
        <v>-2175.884692238585</v>
      </c>
      <c r="DT91" s="45">
        <v>-2618.6018177279648</v>
      </c>
      <c r="DU91" s="45">
        <v>-2772.379685550644</v>
      </c>
      <c r="DV91" s="45">
        <v>-2894.9211658190848</v>
      </c>
      <c r="DW91" s="45">
        <v>-3019.640531776327</v>
      </c>
      <c r="DX91" s="45">
        <v>-3105.782729269785</v>
      </c>
      <c r="DY91" s="45">
        <v>-3107.1705853086632</v>
      </c>
      <c r="DZ91" s="45">
        <v>-3078.0775564208548</v>
      </c>
      <c r="EA91" s="45">
        <v>-2979.2936546092224</v>
      </c>
      <c r="EB91" s="45">
        <v>-2656.1633244798168</v>
      </c>
      <c r="EC91" s="45">
        <v>-2328.7464475714028</v>
      </c>
      <c r="ED91" s="45">
        <v>-1692.3384558268785</v>
      </c>
      <c r="EE91" s="45">
        <v>-1225.7018668656046</v>
      </c>
      <c r="EF91" s="45">
        <v>-352.7607440583852</v>
      </c>
      <c r="EG91" s="45">
        <v>5.960464477539062e-14</v>
      </c>
      <c r="EH91" s="46">
        <f>MAX(1,MIN(21,SUMPRODUCT(--($BT91:$CO91&gt;=Pu))))</f>
      </c>
      <c r="EI91" s="47">
        <f>(Pu-INDEX($BT91:$CO91,1,$EH91))/(INDEX($BT91:$CO91,1,$EH91+1)-INDEX($BT91:$CO91,1,$EH91))</f>
      </c>
      <c r="EJ91" s="39">
        <f>INDEX($CP91:$DK91,1,$EH91)+$EI91*(INDEX($CP91:$DK91,1,$EH91+1)-INDEX($CP91:$DK91,1,$EH91))</f>
      </c>
      <c r="EK91" s="39">
        <f>INDEX($DL91:$EG91,1,$EH91)+$EI91*(INDEX($DL91:$EG91,1,$EH91+1)-INDEX($DL91:$EG91,1,$EH91))</f>
      </c>
      <c r="EL91" s="39">
        <f>SQRT(EJ91^2+EK91^2)</f>
      </c>
      <c r="EM91" s="20">
        <f>EJ92-EJ91</f>
      </c>
      <c r="EN91" s="20">
        <f>EK92-EK91</f>
      </c>
      <c r="EO91" s="20">
        <f>EM91*SIN(RADIANS(theta_L))-EN91*COS(RADIANS(theta_L))</f>
      </c>
      <c r="EP91" s="47">
        <f>IF(EO91=0,"",-(EJ91*SIN(RADIANS(theta_L))-EK91*COS(RADIANS(theta_L)))/EO91)</f>
      </c>
      <c r="EQ91" s="20">
        <f>IF(EP91="","",(EJ91+EP91*EM91)*COS(RADIANS(theta_L))+(EK91+EP91*EN91)*SIN(RADIANS(theta_L)))</f>
      </c>
      <c r="ER91" s="20">
        <f>IF(OR(EP91="",EP91&lt;0,EP91&gt;1,EQ91&lt;0),"",EQ91)</f>
      </c>
    </row>
    <row r="92" spans="1:148" x14ac:dyDescent="0.25">
      <c r="A92">
        <v>85</v>
      </c>
      <c r="B92" s="44">
        <v>340</v>
      </c>
      <c r="C92" s="18">
        <v>751.9266513006628</v>
      </c>
      <c r="D92" s="18">
        <v>-634.8451463467989</v>
      </c>
      <c r="E92" s="18">
        <v>1386.7717976474617</v>
      </c>
      <c r="F92" s="16">
        <v>0.0033</v>
      </c>
      <c r="G92" s="16">
        <v>0</v>
      </c>
      <c r="H92" s="16">
        <v>0</v>
      </c>
      <c r="I92" s="16">
        <v>0.00275</v>
      </c>
      <c r="J92" s="16">
        <v>6.873422301739792e-7</v>
      </c>
      <c r="K92" s="16">
        <v>-2.5017211253747714e-7</v>
      </c>
      <c r="L92" s="16">
        <v>0.0024749999999999998</v>
      </c>
      <c r="M92" s="16">
        <v>0.000001031013345260969</v>
      </c>
      <c r="N92" s="16">
        <v>-3.7525816880621566e-7</v>
      </c>
      <c r="O92" s="16">
        <v>0.0021999999999999997</v>
      </c>
      <c r="P92" s="16">
        <v>0.0000013746844603479585</v>
      </c>
      <c r="Q92" s="16">
        <v>-5.003442250749543e-7</v>
      </c>
      <c r="R92" s="16">
        <v>0.0019249999999999998</v>
      </c>
      <c r="S92" s="16">
        <v>0.0000017183555754349485</v>
      </c>
      <c r="T92" s="16">
        <v>-6.254302813436929e-7</v>
      </c>
      <c r="U92" s="16">
        <v>0.0018000000000000002</v>
      </c>
      <c r="V92" s="16">
        <v>0.000001874569718656307</v>
      </c>
      <c r="W92" s="16">
        <v>-6.822875796476649e-7</v>
      </c>
      <c r="X92" s="16">
        <v>0.00165</v>
      </c>
      <c r="Y92" s="16">
        <v>0.000002062026690521938</v>
      </c>
      <c r="Z92" s="16">
        <v>-7.505163376124313e-7</v>
      </c>
      <c r="AA92" s="16">
        <v>0.0015106948284486343</v>
      </c>
      <c r="AB92" s="16">
        <v>0.000002236118194683546</v>
      </c>
      <c r="AC92" s="16">
        <v>-8.138804631658874e-7</v>
      </c>
      <c r="AD92" s="16">
        <v>0.0012395879842741846</v>
      </c>
      <c r="AE92" s="16">
        <v>0.0000025749239817568106</v>
      </c>
      <c r="AF92" s="16">
        <v>-9.371956848576885e-7</v>
      </c>
      <c r="AG92" s="16">
        <v>0.0009684811400997358</v>
      </c>
      <c r="AH92" s="16">
        <v>0.000002913729768830075</v>
      </c>
      <c r="AI92" s="16">
        <v>-0.0000010605109065494896</v>
      </c>
      <c r="AJ92" s="16">
        <v>0.0006973742959252857</v>
      </c>
      <c r="AK92" s="16">
        <v>0.0000032525355559033404</v>
      </c>
      <c r="AL92" s="16">
        <v>-0.000001183826128241291</v>
      </c>
      <c r="AM92" s="16">
        <v>0.00042626745175083653</v>
      </c>
      <c r="AN92" s="16">
        <v>0.0000035913413429766045</v>
      </c>
      <c r="AO92" s="16">
        <v>-0.000001307141349933092</v>
      </c>
      <c r="AP92" s="16">
        <v>-0.0001159462365980619</v>
      </c>
      <c r="AQ92" s="16">
        <v>0.0000042689529171231335</v>
      </c>
      <c r="AR92" s="16">
        <v>-0.000001553771793316694</v>
      </c>
      <c r="AS92" s="16">
        <v>-0.0006581599249469612</v>
      </c>
      <c r="AT92" s="16">
        <v>0.0000049465644912696625</v>
      </c>
      <c r="AU92" s="16">
        <v>-0.0000018004022367002966</v>
      </c>
      <c r="AV92" s="16">
        <v>-0.0012003736132958596</v>
      </c>
      <c r="AW92" s="16">
        <v>0.0000056241760654161915</v>
      </c>
      <c r="AX92" s="16">
        <v>-0.0000020470326800838986</v>
      </c>
      <c r="AY92" s="16">
        <v>-0.001742587301644758</v>
      </c>
      <c r="AZ92" s="16">
        <v>0.0000063017876395627205</v>
      </c>
      <c r="BA92" s="16">
        <v>-0.0000022936631234675007</v>
      </c>
      <c r="BB92" s="16">
        <v>-0.002827014678342556</v>
      </c>
      <c r="BC92" s="16">
        <v>0.00000765701078785578</v>
      </c>
      <c r="BD92" s="16">
        <v>-0.0000027869240102347056</v>
      </c>
      <c r="BE92" s="16">
        <v>-0.003911442055040353</v>
      </c>
      <c r="BF92" s="16">
        <v>0.000009012233936148837</v>
      </c>
      <c r="BG92" s="16">
        <v>-0.0000032801848970019098</v>
      </c>
      <c r="BH92" s="16">
        <v>-0.006622510496784847</v>
      </c>
      <c r="BI92" s="16">
        <v>0.000012400291806881482</v>
      </c>
      <c r="BJ92" s="16">
        <v>-0.000004513337113919921</v>
      </c>
      <c r="BK92" s="16">
        <v>-0.00933357893852934</v>
      </c>
      <c r="BL92" s="16">
        <v>0.00001578834967761413</v>
      </c>
      <c r="BM92" s="16">
        <v>-0.0000057464893308379324</v>
      </c>
      <c r="BN92" s="16">
        <v>-0.020177852705507312</v>
      </c>
      <c r="BO92" s="16">
        <v>0.000029340581160544707</v>
      </c>
      <c r="BP92" s="16">
        <v>-0.000010679098198509976</v>
      </c>
      <c r="BQ92" s="16">
        <v>-0.05</v>
      </c>
      <c r="BR92" s="16">
        <v>0</v>
      </c>
      <c r="BS92" s="16">
        <v>0</v>
      </c>
      <c r="BT92" s="45">
        <v>33981.43387592912</v>
      </c>
      <c r="BU92" s="45">
        <v>33981.43387592912</v>
      </c>
      <c r="BV92" s="45">
        <v>33866.462449571845</v>
      </c>
      <c r="BW92" s="45">
        <v>32846.24051813572</v>
      </c>
      <c r="BX92" s="45">
        <v>30697.22138623459</v>
      </c>
      <c r="BY92" s="45">
        <v>29309.60161574372</v>
      </c>
      <c r="BZ92" s="45">
        <v>27300.76604184358</v>
      </c>
      <c r="CA92" s="45">
        <v>25172.84514837413</v>
      </c>
      <c r="CB92" s="45">
        <v>21359.511500554156</v>
      </c>
      <c r="CC92" s="45">
        <v>18286.572869684198</v>
      </c>
      <c r="CD92" s="45">
        <v>15840.232042761949</v>
      </c>
      <c r="CE92" s="45">
        <v>13739.115763317328</v>
      </c>
      <c r="CF92" s="45">
        <v>10538.175888246264</v>
      </c>
      <c r="CG92" s="45">
        <v>8305.131303568824</v>
      </c>
      <c r="CH92" s="45">
        <v>6451.546971269042</v>
      </c>
      <c r="CI92" s="45">
        <v>4913.494843753261</v>
      </c>
      <c r="CJ92" s="45">
        <v>2613.0866190504244</v>
      </c>
      <c r="CK92" s="45">
        <v>1065.0604405110018</v>
      </c>
      <c r="CL92" s="45">
        <v>-1526.3484629635284</v>
      </c>
      <c r="CM92" s="45">
        <v>-3014.367162179323</v>
      </c>
      <c r="CN92" s="45">
        <v>-5065.202716459819</v>
      </c>
      <c r="CO92" s="45">
        <v>-5790.583579096708</v>
      </c>
      <c r="CP92" s="45">
        <v>6.55418261885643e-13</v>
      </c>
      <c r="CQ92" s="45">
        <v>6.55418261885643e-13</v>
      </c>
      <c r="CR92" s="45">
        <v>56.918512074112286</v>
      </c>
      <c r="CS92" s="45">
        <v>522.0519093728911</v>
      </c>
      <c r="CT92" s="45">
        <v>1409.5710273188133</v>
      </c>
      <c r="CU92" s="45">
        <v>1952.5933142978834</v>
      </c>
      <c r="CV92" s="45">
        <v>2720.3212506716686</v>
      </c>
      <c r="CW92" s="45">
        <v>3501.722133408528</v>
      </c>
      <c r="CX92" s="45">
        <v>4715.6061135531245</v>
      </c>
      <c r="CY92" s="45">
        <v>5448.771851441808</v>
      </c>
      <c r="CZ92" s="45">
        <v>5816.506461502521</v>
      </c>
      <c r="DA92" s="45">
        <v>6009.9061168036205</v>
      </c>
      <c r="DB92" s="45">
        <v>5958.033816685864</v>
      </c>
      <c r="DC92" s="45">
        <v>5570.623197118064</v>
      </c>
      <c r="DD92" s="45">
        <v>5112.077780237947</v>
      </c>
      <c r="DE92" s="45">
        <v>4662.049581172815</v>
      </c>
      <c r="DF92" s="45">
        <v>3839.6989436190997</v>
      </c>
      <c r="DG92" s="45">
        <v>3221.5603821993077</v>
      </c>
      <c r="DH92" s="45">
        <v>2097.635189429109</v>
      </c>
      <c r="DI92" s="45">
        <v>1395.9728918525682</v>
      </c>
      <c r="DJ92" s="45">
        <v>393.4412622165588</v>
      </c>
      <c r="DK92" s="45">
        <v>0</v>
      </c>
      <c r="DL92" s="45">
        <v>-5.220063030719757e-12</v>
      </c>
      <c r="DM92" s="45">
        <v>-5.220063030719757e-12</v>
      </c>
      <c r="DN92" s="45">
        <v>-42.24733086650739</v>
      </c>
      <c r="DO92" s="45">
        <v>-301.81168557579645</v>
      </c>
      <c r="DP92" s="45">
        <v>-778.5011212975776</v>
      </c>
      <c r="DQ92" s="45">
        <v>-1063.1979570273909</v>
      </c>
      <c r="DR92" s="45">
        <v>-1453.9435102259245</v>
      </c>
      <c r="DS92" s="45">
        <v>-1817.9398615895377</v>
      </c>
      <c r="DT92" s="45">
        <v>-2144.4901681486863</v>
      </c>
      <c r="DU92" s="45">
        <v>-2219.89378758982</v>
      </c>
      <c r="DV92" s="45">
        <v>-2306.8503659633184</v>
      </c>
      <c r="DW92" s="45">
        <v>-2407.727252314516</v>
      </c>
      <c r="DX92" s="45">
        <v>-2492.832755606079</v>
      </c>
      <c r="DY92" s="45">
        <v>-2546.7047631262626</v>
      </c>
      <c r="DZ92" s="45">
        <v>-2545.6664652340955</v>
      </c>
      <c r="EA92" s="45">
        <v>-2476.108465398265</v>
      </c>
      <c r="EB92" s="45">
        <v>-2329.3154270514096</v>
      </c>
      <c r="EC92" s="45">
        <v>-2095.837159637727</v>
      </c>
      <c r="ED92" s="45">
        <v>-1555.8668449423838</v>
      </c>
      <c r="EE92" s="45">
        <v>-1143.0528514639493</v>
      </c>
      <c r="EF92" s="45">
        <v>-342.79929373818527</v>
      </c>
      <c r="EG92" s="45">
        <v>5.960464477539062e-14</v>
      </c>
      <c r="EH92" s="46">
        <f>MAX(1,MIN(21,SUMPRODUCT(--($BT92:$CO92&gt;=Pu))))</f>
      </c>
      <c r="EI92" s="47">
        <f>(Pu-INDEX($BT92:$CO92,1,$EH92))/(INDEX($BT92:$CO92,1,$EH92+1)-INDEX($BT92:$CO92,1,$EH92))</f>
      </c>
      <c r="EJ92" s="39">
        <f>INDEX($CP92:$DK92,1,$EH92)+$EI92*(INDEX($CP92:$DK92,1,$EH92+1)-INDEX($CP92:$DK92,1,$EH92))</f>
      </c>
      <c r="EK92" s="39">
        <f>INDEX($DL92:$EG92,1,$EH92)+$EI92*(INDEX($DL92:$EG92,1,$EH92+1)-INDEX($DL92:$EG92,1,$EH92))</f>
      </c>
      <c r="EL92" s="39">
        <f>SQRT(EJ92^2+EK92^2)</f>
      </c>
      <c r="EM92" s="20">
        <f>EJ93-EJ92</f>
      </c>
      <c r="EN92" s="20">
        <f>EK93-EK92</f>
      </c>
      <c r="EO92" s="20">
        <f>EM92*SIN(RADIANS(theta_L))-EN92*COS(RADIANS(theta_L))</f>
      </c>
      <c r="EP92" s="47">
        <f>IF(EO92=0,"",-(EJ92*SIN(RADIANS(theta_L))-EK92*COS(RADIANS(theta_L)))/EO92)</f>
      </c>
      <c r="EQ92" s="20">
        <f>IF(EP92="","",(EJ92+EP92*EM92)*COS(RADIANS(theta_L))+(EK92+EP92*EN92)*SIN(RADIANS(theta_L)))</f>
      </c>
      <c r="ER92" s="20">
        <f>IF(OR(EP92="",EP92&lt;0,EP92&gt;1,EQ92&lt;0),"",EQ92)</f>
      </c>
    </row>
    <row r="93" spans="1:148" x14ac:dyDescent="0.25">
      <c r="A93">
        <v>86</v>
      </c>
      <c r="B93" s="44">
        <v>345</v>
      </c>
      <c r="C93" s="18">
        <v>721.9059705798273</v>
      </c>
      <c r="D93" s="18">
        <v>-615.4683059742144</v>
      </c>
      <c r="E93" s="18">
        <v>1337.374276554042</v>
      </c>
      <c r="F93" s="16">
        <v>0.0033</v>
      </c>
      <c r="G93" s="16">
        <v>0</v>
      </c>
      <c r="H93" s="16">
        <v>0</v>
      </c>
      <c r="I93" s="16">
        <v>0.00275</v>
      </c>
      <c r="J93" s="16">
        <v>7.35911913891342e-7</v>
      </c>
      <c r="K93" s="16">
        <v>-1.9718700302762692e-7</v>
      </c>
      <c r="L93" s="16">
        <v>0.0024749999999999998</v>
      </c>
      <c r="M93" s="16">
        <v>0.000001103867870837013</v>
      </c>
      <c r="N93" s="16">
        <v>-2.957805045414404e-7</v>
      </c>
      <c r="O93" s="16">
        <v>0.0022</v>
      </c>
      <c r="P93" s="16">
        <v>0.000001471823827782684</v>
      </c>
      <c r="Q93" s="16">
        <v>-3.9437400605525384e-7</v>
      </c>
      <c r="R93" s="16">
        <v>0.0019249999999999998</v>
      </c>
      <c r="S93" s="16">
        <v>0.0000018397797847283553</v>
      </c>
      <c r="T93" s="16">
        <v>-4.929675075690674e-7</v>
      </c>
      <c r="U93" s="16">
        <v>0.0018000000000000002</v>
      </c>
      <c r="V93" s="16">
        <v>0.0000020070324924309324</v>
      </c>
      <c r="W93" s="16">
        <v>-5.377827355298916e-7</v>
      </c>
      <c r="X93" s="16">
        <v>0.00165</v>
      </c>
      <c r="Y93" s="16">
        <v>0.000002207735741674026</v>
      </c>
      <c r="Z93" s="16">
        <v>-5.915610090828808e-7</v>
      </c>
      <c r="AA93" s="16">
        <v>0.001518681378370923</v>
      </c>
      <c r="AB93" s="16">
        <v>0.0000023834429019878937</v>
      </c>
      <c r="AC93" s="16">
        <v>-6.386416007933474e-7</v>
      </c>
      <c r="AD93" s="16">
        <v>0.0012487846175180321</v>
      </c>
      <c r="AE93" s="16">
        <v>0.0000027445706144103018</v>
      </c>
      <c r="AF93" s="16">
        <v>-7.354054797014305e-7</v>
      </c>
      <c r="AG93" s="16">
        <v>0.000978887856665142</v>
      </c>
      <c r="AH93" s="16">
        <v>0.00000310569832683271</v>
      </c>
      <c r="AI93" s="16">
        <v>-8.321693586095133e-7</v>
      </c>
      <c r="AJ93" s="16">
        <v>0.0007089910958122509</v>
      </c>
      <c r="AK93" s="16">
        <v>0.0000034668260392551184</v>
      </c>
      <c r="AL93" s="16">
        <v>-9.289332375175963e-7</v>
      </c>
      <c r="AM93" s="16">
        <v>0.0004390943349593607</v>
      </c>
      <c r="AN93" s="16">
        <v>0.0000038279537516775265</v>
      </c>
      <c r="AO93" s="16">
        <v>-0.0000010256971164256793</v>
      </c>
      <c r="AP93" s="16">
        <v>-0.00010069918674642008</v>
      </c>
      <c r="AQ93" s="16">
        <v>0.000004550209176522343</v>
      </c>
      <c r="AR93" s="16">
        <v>-0.000001219224874241845</v>
      </c>
      <c r="AS93" s="16">
        <v>-0.0006404927084522017</v>
      </c>
      <c r="AT93" s="16">
        <v>0.000005272464601367159</v>
      </c>
      <c r="AU93" s="16">
        <v>-0.0000014127526320580111</v>
      </c>
      <c r="AV93" s="16">
        <v>-0.001180286230157982</v>
      </c>
      <c r="AW93" s="16">
        <v>0.000005994720026211975</v>
      </c>
      <c r="AX93" s="16">
        <v>-0.0000016062803898741768</v>
      </c>
      <c r="AY93" s="16">
        <v>-0.0017200797518637624</v>
      </c>
      <c r="AZ93" s="16">
        <v>0.00000671697545105679</v>
      </c>
      <c r="BA93" s="16">
        <v>-0.0000017998081476903426</v>
      </c>
      <c r="BB93" s="16">
        <v>-0.0027996667952753258</v>
      </c>
      <c r="BC93" s="16">
        <v>0.000008161486300746425</v>
      </c>
      <c r="BD93" s="16">
        <v>-0.000002186863663322675</v>
      </c>
      <c r="BE93" s="16">
        <v>-0.0038792538386868856</v>
      </c>
      <c r="BF93" s="16">
        <v>0.000009605997150436054</v>
      </c>
      <c r="BG93" s="16">
        <v>-0.000002573919178955006</v>
      </c>
      <c r="BH93" s="16">
        <v>-0.006578221447215792</v>
      </c>
      <c r="BI93" s="16">
        <v>0.000013217274274660139</v>
      </c>
      <c r="BJ93" s="16">
        <v>-0.000003541557968035836</v>
      </c>
      <c r="BK93" s="16">
        <v>-0.009277189055744699</v>
      </c>
      <c r="BL93" s="16">
        <v>0.00001682855139888422</v>
      </c>
      <c r="BM93" s="16">
        <v>-0.000004509196757116665</v>
      </c>
      <c r="BN93" s="16">
        <v>-0.020073059489860316</v>
      </c>
      <c r="BO93" s="16">
        <v>0.00003127365989578055</v>
      </c>
      <c r="BP93" s="16">
        <v>-0.000008379751913439983</v>
      </c>
      <c r="BQ93" s="16">
        <v>-0.05</v>
      </c>
      <c r="BR93" s="16">
        <v>0</v>
      </c>
      <c r="BS93" s="16">
        <v>0</v>
      </c>
      <c r="BT93" s="45">
        <v>33981.43387592912</v>
      </c>
      <c r="BU93" s="45">
        <v>33981.43387592912</v>
      </c>
      <c r="BV93" s="45">
        <v>33850.50154146231</v>
      </c>
      <c r="BW93" s="45">
        <v>32774.63327407785</v>
      </c>
      <c r="BX93" s="45">
        <v>30527.493830689862</v>
      </c>
      <c r="BY93" s="45">
        <v>29097.596575874297</v>
      </c>
      <c r="BZ93" s="45">
        <v>27011.94572983734</v>
      </c>
      <c r="CA93" s="45">
        <v>24941.80171024396</v>
      </c>
      <c r="CB93" s="45">
        <v>21079.22439008047</v>
      </c>
      <c r="CC93" s="45">
        <v>18154.219102437743</v>
      </c>
      <c r="CD93" s="45">
        <v>15854.708472398555</v>
      </c>
      <c r="CE93" s="45">
        <v>13873.769345995135</v>
      </c>
      <c r="CF93" s="45">
        <v>10903.533727329863</v>
      </c>
      <c r="CG93" s="45">
        <v>8824.489530856346</v>
      </c>
      <c r="CH93" s="45">
        <v>7088.51097780936</v>
      </c>
      <c r="CI93" s="45">
        <v>5655.339762794828</v>
      </c>
      <c r="CJ93" s="45">
        <v>3323.1395086720745</v>
      </c>
      <c r="CK93" s="45">
        <v>1695.0196261639278</v>
      </c>
      <c r="CL93" s="45">
        <v>-1002.4041910684053</v>
      </c>
      <c r="CM93" s="45">
        <v>-2702.8770452403196</v>
      </c>
      <c r="CN93" s="45">
        <v>-4982.070322158757</v>
      </c>
      <c r="CO93" s="45">
        <v>-5790.583579096708</v>
      </c>
      <c r="CP93" s="45">
        <v>6.55418261885643e-13</v>
      </c>
      <c r="CQ93" s="45">
        <v>6.55418261885643e-13</v>
      </c>
      <c r="CR93" s="45">
        <v>66.91477054220734</v>
      </c>
      <c r="CS93" s="45">
        <v>569.7383404851942</v>
      </c>
      <c r="CT93" s="45">
        <v>1524.6373901278548</v>
      </c>
      <c r="CU93" s="45">
        <v>2109.1528732983793</v>
      </c>
      <c r="CV93" s="45">
        <v>2930.7610152340944</v>
      </c>
      <c r="CW93" s="45">
        <v>3717.659106736791</v>
      </c>
      <c r="CX93" s="45">
        <v>4991.604752801756</v>
      </c>
      <c r="CY93" s="45">
        <v>5680.243953235914</v>
      </c>
      <c r="CZ93" s="45">
        <v>6040.647875594469</v>
      </c>
      <c r="DA93" s="45">
        <v>6259.137766051006</v>
      </c>
      <c r="DB93" s="45">
        <v>6257.132637228584</v>
      </c>
      <c r="DC93" s="45">
        <v>5922.760502789139</v>
      </c>
      <c r="DD93" s="45">
        <v>5532.8264183800775</v>
      </c>
      <c r="DE93" s="45">
        <v>5109.001186007036</v>
      </c>
      <c r="DF93" s="45">
        <v>4296.447411621616</v>
      </c>
      <c r="DG93" s="45">
        <v>3622.434078306983</v>
      </c>
      <c r="DH93" s="45">
        <v>2415.2208477306795</v>
      </c>
      <c r="DI93" s="45">
        <v>1598.1461472465273</v>
      </c>
      <c r="DJ93" s="45">
        <v>441.9698424616264</v>
      </c>
      <c r="DK93" s="45">
        <v>0</v>
      </c>
      <c r="DL93" s="45">
        <v>-5.220063030719757e-12</v>
      </c>
      <c r="DM93" s="45">
        <v>-5.220063030719757e-12</v>
      </c>
      <c r="DN93" s="45">
        <v>-37.27497777308205</v>
      </c>
      <c r="DO93" s="45">
        <v>-255.80648133399606</v>
      </c>
      <c r="DP93" s="45">
        <v>-634.5694544935121</v>
      </c>
      <c r="DQ93" s="45">
        <v>-854.7771604008605</v>
      </c>
      <c r="DR93" s="45">
        <v>-1159.5618007531</v>
      </c>
      <c r="DS93" s="45">
        <v>-1431.4189920336125</v>
      </c>
      <c r="DT93" s="45">
        <v>-1637.5116436722792</v>
      </c>
      <c r="DU93" s="45">
        <v>-1663.8122140346677</v>
      </c>
      <c r="DV93" s="45">
        <v>-1729.1285100084422</v>
      </c>
      <c r="DW93" s="45">
        <v>-1807.9444988997675</v>
      </c>
      <c r="DX93" s="45">
        <v>-1872.2736876133097</v>
      </c>
      <c r="DY93" s="45">
        <v>-1929.0482449577855</v>
      </c>
      <c r="DZ93" s="45">
        <v>-1918.9436564675061</v>
      </c>
      <c r="EA93" s="45">
        <v>-1931.589572089578</v>
      </c>
      <c r="EB93" s="45">
        <v>-1892.9979614691888</v>
      </c>
      <c r="EC93" s="45">
        <v>-1785.2685713683597</v>
      </c>
      <c r="ED93" s="45">
        <v>-1379.7677329581802</v>
      </c>
      <c r="EE93" s="45">
        <v>-1043.5573650742845</v>
      </c>
      <c r="EF93" s="45">
        <v>-357.244331764721</v>
      </c>
      <c r="EG93" s="45">
        <v>5.960464477539062e-14</v>
      </c>
      <c r="EH93" s="46">
        <f>MAX(1,MIN(21,SUMPRODUCT(--($BT93:$CO93&gt;=Pu))))</f>
      </c>
      <c r="EI93" s="47">
        <f>(Pu-INDEX($BT93:$CO93,1,$EH93))/(INDEX($BT93:$CO93,1,$EH93+1)-INDEX($BT93:$CO93,1,$EH93))</f>
      </c>
      <c r="EJ93" s="39">
        <f>INDEX($CP93:$DK93,1,$EH93)+$EI93*(INDEX($CP93:$DK93,1,$EH93+1)-INDEX($CP93:$DK93,1,$EH93))</f>
      </c>
      <c r="EK93" s="39">
        <f>INDEX($DL93:$EG93,1,$EH93)+$EI93*(INDEX($DL93:$EG93,1,$EH93+1)-INDEX($DL93:$EG93,1,$EH93))</f>
      </c>
      <c r="EL93" s="39">
        <f>SQRT(EJ93^2+EK93^2)</f>
      </c>
      <c r="EM93" s="20">
        <f>EJ94-EJ93</f>
      </c>
      <c r="EN93" s="20">
        <f>EK94-EK93</f>
      </c>
      <c r="EO93" s="20">
        <f>EM93*SIN(RADIANS(theta_L))-EN93*COS(RADIANS(theta_L))</f>
      </c>
      <c r="EP93" s="47">
        <f>IF(EO93=0,"",-(EJ93*SIN(RADIANS(theta_L))-EK93*COS(RADIANS(theta_L)))/EO93)</f>
      </c>
      <c r="EQ93" s="20">
        <f>IF(EP93="","",(EJ93+EP93*EM93)*COS(RADIANS(theta_L))+(EK93+EP93*EN93)*SIN(RADIANS(theta_L)))</f>
      </c>
      <c r="ER93" s="20">
        <f>IF(OR(EP93="",EP93&lt;0,EP93&gt;1,EQ93&lt;0),"",EQ93)</f>
      </c>
    </row>
    <row r="94" spans="1:148" x14ac:dyDescent="0.25">
      <c r="A94">
        <v>87</v>
      </c>
      <c r="B94" s="44">
        <v>347.5</v>
      </c>
      <c r="C94" s="18">
        <v>704.8193919379166</v>
      </c>
      <c r="D94" s="18">
        <v>-604.0127293488058</v>
      </c>
      <c r="E94" s="18">
        <v>1308.8321212867224</v>
      </c>
      <c r="F94" s="16">
        <v>0.0033</v>
      </c>
      <c r="G94" s="16">
        <v>0</v>
      </c>
      <c r="H94" s="16">
        <v>0</v>
      </c>
      <c r="I94" s="16">
        <v>0.00275</v>
      </c>
      <c r="J94" s="16">
        <v>7.618445378461738e-7</v>
      </c>
      <c r="K94" s="16">
        <v>-1.6889686780417395e-7</v>
      </c>
      <c r="L94" s="16">
        <v>0.0024749999999999998</v>
      </c>
      <c r="M94" s="16">
        <v>0.0000011427668067692607</v>
      </c>
      <c r="N94" s="16">
        <v>-2.533453017062609e-7</v>
      </c>
      <c r="O94" s="16">
        <v>0.0022</v>
      </c>
      <c r="P94" s="16">
        <v>0.0000015236890756923476</v>
      </c>
      <c r="Q94" s="16">
        <v>-3.377937356083479e-7</v>
      </c>
      <c r="R94" s="16">
        <v>0.001925</v>
      </c>
      <c r="S94" s="16">
        <v>0.0000019046113446154345</v>
      </c>
      <c r="T94" s="16">
        <v>-4.222421695104349e-7</v>
      </c>
      <c r="U94" s="16">
        <v>0.0018000000000000002</v>
      </c>
      <c r="V94" s="16">
        <v>0.0000020777578304895647</v>
      </c>
      <c r="W94" s="16">
        <v>-4.606278212841108e-7</v>
      </c>
      <c r="X94" s="16">
        <v>0.00165</v>
      </c>
      <c r="Y94" s="16">
        <v>0.0000022855336135385213</v>
      </c>
      <c r="Z94" s="16">
        <v>-5.066906034125218e-7</v>
      </c>
      <c r="AA94" s="16">
        <v>0.0015229164798396667</v>
      </c>
      <c r="AB94" s="16">
        <v>0.000002461566132964729</v>
      </c>
      <c r="AC94" s="16">
        <v>-5.457160734209017e-7</v>
      </c>
      <c r="AD94" s="16">
        <v>0.0012536614010274952</v>
      </c>
      <c r="AE94" s="16">
        <v>0.000002834530698565445</v>
      </c>
      <c r="AF94" s="16">
        <v>-6.284003269695231e-7</v>
      </c>
      <c r="AG94" s="16">
        <v>0.0009844063222153232</v>
      </c>
      <c r="AH94" s="16">
        <v>0.0000032074952641661616</v>
      </c>
      <c r="AI94" s="16">
        <v>-7.110845805181446e-7</v>
      </c>
      <c r="AJ94" s="16">
        <v>0.0007151512434031516</v>
      </c>
      <c r="AK94" s="16">
        <v>0.0000035804598297668784</v>
      </c>
      <c r="AL94" s="16">
        <v>-7.937688340667662e-7</v>
      </c>
      <c r="AM94" s="16">
        <v>0.00044589616459098005</v>
      </c>
      <c r="AN94" s="16">
        <v>0.000003953424395367594</v>
      </c>
      <c r="AO94" s="16">
        <v>-8.764530876153875e-7</v>
      </c>
      <c r="AP94" s="16">
        <v>-0.00009261399303336394</v>
      </c>
      <c r="AQ94" s="16">
        <v>0.000004699353526569028</v>
      </c>
      <c r="AR94" s="16">
        <v>-0.0000010418215947126305</v>
      </c>
      <c r="AS94" s="16">
        <v>-0.0006311241506577071</v>
      </c>
      <c r="AT94" s="16">
        <v>0.000005445282657770461</v>
      </c>
      <c r="AU94" s="16">
        <v>-0.0000012071901018098734</v>
      </c>
      <c r="AV94" s="16">
        <v>-0.0011696343082820502</v>
      </c>
      <c r="AW94" s="16">
        <v>0.000006191211788971893</v>
      </c>
      <c r="AX94" s="16">
        <v>-0.0000013725586089071164</v>
      </c>
      <c r="AY94" s="16">
        <v>-0.0017081444659063933</v>
      </c>
      <c r="AZ94" s="16">
        <v>0.000006937140920173325</v>
      </c>
      <c r="BA94" s="16">
        <v>-0.000001537927116004359</v>
      </c>
      <c r="BB94" s="16">
        <v>-0.0027851647811550813</v>
      </c>
      <c r="BC94" s="16">
        <v>0.000008428999182576194</v>
      </c>
      <c r="BD94" s="16">
        <v>-0.0000018686641301988453</v>
      </c>
      <c r="BE94" s="16">
        <v>-0.0038621850964037667</v>
      </c>
      <c r="BF94" s="16">
        <v>0.000009920857444979056</v>
      </c>
      <c r="BG94" s="16">
        <v>-0.0000021994011443933307</v>
      </c>
      <c r="BH94" s="16">
        <v>-0.006554735884525484</v>
      </c>
      <c r="BI94" s="16">
        <v>0.000013650503100986223</v>
      </c>
      <c r="BJ94" s="16">
        <v>-0.0000030262436798795455</v>
      </c>
      <c r="BK94" s="16">
        <v>-0.009247286672647202</v>
      </c>
      <c r="BL94" s="16">
        <v>0.000017380148756993387</v>
      </c>
      <c r="BM94" s="16">
        <v>-0.00000385308621536576</v>
      </c>
      <c r="BN94" s="16">
        <v>-0.020017489825134065</v>
      </c>
      <c r="BO94" s="16">
        <v>0.000032298731381022045</v>
      </c>
      <c r="BP94" s="16">
        <v>-0.000007160456357310618</v>
      </c>
      <c r="BQ94" s="16">
        <v>-0.05</v>
      </c>
      <c r="BR94" s="16">
        <v>0</v>
      </c>
      <c r="BS94" s="16">
        <v>0</v>
      </c>
      <c r="BT94" s="45">
        <v>33981.43387592912</v>
      </c>
      <c r="BU94" s="45">
        <v>33981.43387592912</v>
      </c>
      <c r="BV94" s="45">
        <v>33835.782962523124</v>
      </c>
      <c r="BW94" s="45">
        <v>32723.607765121567</v>
      </c>
      <c r="BX94" s="45">
        <v>30419.722849263177</v>
      </c>
      <c r="BY94" s="45">
        <v>28946.98021452526</v>
      </c>
      <c r="BZ94" s="45">
        <v>26828.84087415709</v>
      </c>
      <c r="CA94" s="45">
        <v>24787.644220159204</v>
      </c>
      <c r="CB94" s="45">
        <v>20922.956301945374</v>
      </c>
      <c r="CC94" s="45">
        <v>18090.8737608031</v>
      </c>
      <c r="CD94" s="45">
        <v>15853.296803098545</v>
      </c>
      <c r="CE94" s="45">
        <v>13913.156648548615</v>
      </c>
      <c r="CF94" s="45">
        <v>11092.490549470778</v>
      </c>
      <c r="CG94" s="45">
        <v>9069.614201229078</v>
      </c>
      <c r="CH94" s="45">
        <v>7421.84946734455</v>
      </c>
      <c r="CI94" s="45">
        <v>6044.633977312958</v>
      </c>
      <c r="CJ94" s="45">
        <v>3812.011314482141</v>
      </c>
      <c r="CK94" s="45">
        <v>2124.324849376366</v>
      </c>
      <c r="CL94" s="45">
        <v>-634.0113936042353</v>
      </c>
      <c r="CM94" s="45">
        <v>-2397.1912847492545</v>
      </c>
      <c r="CN94" s="45">
        <v>-4877.110442550094</v>
      </c>
      <c r="CO94" s="45">
        <v>-5790.583579096708</v>
      </c>
      <c r="CP94" s="45">
        <v>6.55418261885643e-13</v>
      </c>
      <c r="CQ94" s="45">
        <v>6.55418261885643e-13</v>
      </c>
      <c r="CR94" s="45">
        <v>75.52268929572247</v>
      </c>
      <c r="CS94" s="45">
        <v>599.818188936103</v>
      </c>
      <c r="CT94" s="45">
        <v>1591.5547561275455</v>
      </c>
      <c r="CU94" s="45">
        <v>2197.1234633791337</v>
      </c>
      <c r="CV94" s="45">
        <v>3050.4093931386365</v>
      </c>
      <c r="CW94" s="45">
        <v>3837.3860398688716</v>
      </c>
      <c r="CX94" s="45">
        <v>5120.495620047925</v>
      </c>
      <c r="CY94" s="45">
        <v>5778.824716717511</v>
      </c>
      <c r="CZ94" s="45">
        <v>6134.516133865053</v>
      </c>
      <c r="DA94" s="45">
        <v>6360.463456910465</v>
      </c>
      <c r="DB94" s="45">
        <v>6372.46294785077</v>
      </c>
      <c r="DC94" s="45">
        <v>6079.710916644966</v>
      </c>
      <c r="DD94" s="45">
        <v>5723.984805340607</v>
      </c>
      <c r="DE94" s="45">
        <v>5331.544870883355</v>
      </c>
      <c r="DF94" s="45">
        <v>4560.132735718995</v>
      </c>
      <c r="DG94" s="45">
        <v>3878.0572927351523</v>
      </c>
      <c r="DH94" s="45">
        <v>2631.776088561167</v>
      </c>
      <c r="DI94" s="45">
        <v>1779.0675736373512</v>
      </c>
      <c r="DJ94" s="45">
        <v>500.51866175245976</v>
      </c>
      <c r="DK94" s="45">
        <v>0</v>
      </c>
      <c r="DL94" s="45">
        <v>-5.220063030719757e-12</v>
      </c>
      <c r="DM94" s="45">
        <v>-5.220063030719757e-12</v>
      </c>
      <c r="DN94" s="45">
        <v>-32.59775026918383</v>
      </c>
      <c r="DO94" s="45">
        <v>-226.666191441993</v>
      </c>
      <c r="DP94" s="45">
        <v>-554.6972550851096</v>
      </c>
      <c r="DQ94" s="45">
        <v>-741.5723528311883</v>
      </c>
      <c r="DR94" s="45">
        <v>-998.6473967151506</v>
      </c>
      <c r="DS94" s="45">
        <v>-1224.3155845465897</v>
      </c>
      <c r="DT94" s="45">
        <v>-1370.9116530199933</v>
      </c>
      <c r="DU94" s="45">
        <v>-1386.4351074896217</v>
      </c>
      <c r="DV94" s="45">
        <v>-1444.0143561505183</v>
      </c>
      <c r="DW94" s="45">
        <v>-1513.10501827282</v>
      </c>
      <c r="DX94" s="45">
        <v>-1570.0408060564812</v>
      </c>
      <c r="DY94" s="45">
        <v>-1611.3028545315626</v>
      </c>
      <c r="DZ94" s="45">
        <v>-1592.8903788932766</v>
      </c>
      <c r="EA94" s="45">
        <v>-1634.749796998996</v>
      </c>
      <c r="EB94" s="45">
        <v>-1621.7180913875484</v>
      </c>
      <c r="EC94" s="45">
        <v>-1577.0887546878134</v>
      </c>
      <c r="ED94" s="45">
        <v>-1262.8137719578754</v>
      </c>
      <c r="EE94" s="45">
        <v>-962.8931297517641</v>
      </c>
      <c r="EF94" s="45">
        <v>-377.93623881056607</v>
      </c>
      <c r="EG94" s="45">
        <v>5.960464477539062e-14</v>
      </c>
      <c r="EH94" s="46">
        <f>MAX(1,MIN(21,SUMPRODUCT(--($BT94:$CO94&gt;=Pu))))</f>
      </c>
      <c r="EI94" s="47">
        <f>(Pu-INDEX($BT94:$CO94,1,$EH94))/(INDEX($BT94:$CO94,1,$EH94+1)-INDEX($BT94:$CO94,1,$EH94))</f>
      </c>
      <c r="EJ94" s="39">
        <f>INDEX($CP94:$DK94,1,$EH94)+$EI94*(INDEX($CP94:$DK94,1,$EH94+1)-INDEX($CP94:$DK94,1,$EH94))</f>
      </c>
      <c r="EK94" s="39">
        <f>INDEX($DL94:$EG94,1,$EH94)+$EI94*(INDEX($DL94:$EG94,1,$EH94+1)-INDEX($DL94:$EG94,1,$EH94))</f>
      </c>
      <c r="EL94" s="39">
        <f>SQRT(EJ94^2+EK94^2)</f>
      </c>
      <c r="EM94" s="20">
        <f>EJ95-EJ94</f>
      </c>
      <c r="EN94" s="20">
        <f>EK95-EK94</f>
      </c>
      <c r="EO94" s="20">
        <f>EM94*SIN(RADIANS(theta_L))-EN94*COS(RADIANS(theta_L))</f>
      </c>
      <c r="EP94" s="47">
        <f>IF(EO94=0,"",-(EJ94*SIN(RADIANS(theta_L))-EK94*COS(RADIANS(theta_L)))/EO94)</f>
      </c>
      <c r="EQ94" s="20">
        <f>IF(EP94="","",(EJ94+EP94*EM94)*COS(RADIANS(theta_L))+(EK94+EP94*EN94)*SIN(RADIANS(theta_L)))</f>
      </c>
      <c r="ER94" s="20">
        <f>IF(OR(EP94="",EP94&lt;0,EP94&gt;1,EQ94&lt;0),"",EQ94)</f>
      </c>
    </row>
    <row r="95" spans="1:148" x14ac:dyDescent="0.25">
      <c r="A95">
        <v>88</v>
      </c>
      <c r="B95" s="44">
        <v>350.00000000000006</v>
      </c>
      <c r="C95" s="18">
        <v>686.3911495241365</v>
      </c>
      <c r="D95" s="18">
        <v>-591.4073801632425</v>
      </c>
      <c r="E95" s="18">
        <v>1277.798529687379</v>
      </c>
      <c r="F95" s="16">
        <v>0.0033</v>
      </c>
      <c r="G95" s="16">
        <v>0</v>
      </c>
      <c r="H95" s="16">
        <v>0</v>
      </c>
      <c r="I95" s="16">
        <v>0.00275</v>
      </c>
      <c r="J95" s="16">
        <v>7.891189513912399e-7</v>
      </c>
      <c r="K95" s="16">
        <v>-1.391429621186473e-7</v>
      </c>
      <c r="L95" s="16">
        <v>0.0024749999999999998</v>
      </c>
      <c r="M95" s="16">
        <v>0.00000118367842708686</v>
      </c>
      <c r="N95" s="16">
        <v>-2.0871444317797098e-7</v>
      </c>
      <c r="O95" s="16">
        <v>0.0022</v>
      </c>
      <c r="P95" s="16">
        <v>0.0000015782379027824798</v>
      </c>
      <c r="Q95" s="16">
        <v>-2.782859242372946e-7</v>
      </c>
      <c r="R95" s="16">
        <v>0.001925</v>
      </c>
      <c r="S95" s="16">
        <v>0.0000019727973784780997</v>
      </c>
      <c r="T95" s="16">
        <v>-3.478574052966183e-7</v>
      </c>
      <c r="U95" s="16">
        <v>0.0018000000000000002</v>
      </c>
      <c r="V95" s="16">
        <v>0.0000021521425947033815</v>
      </c>
      <c r="W95" s="16">
        <v>-3.79480805778129e-7</v>
      </c>
      <c r="X95" s="16">
        <v>0.00165</v>
      </c>
      <c r="Y95" s="16">
        <v>0.00000236735685417372</v>
      </c>
      <c r="Z95" s="16">
        <v>-4.1742888635594197e-7</v>
      </c>
      <c r="AA95" s="16">
        <v>0.0015273490375796422</v>
      </c>
      <c r="AB95" s="16">
        <v>0.000002543331761177864</v>
      </c>
      <c r="AC95" s="16">
        <v>-4.4845801038843556e-7</v>
      </c>
      <c r="AD95" s="16">
        <v>0.0012587655584250425</v>
      </c>
      <c r="AE95" s="16">
        <v>0.000002928685058326025</v>
      </c>
      <c r="AF95" s="16">
        <v>-5.164061937806228e-7</v>
      </c>
      <c r="AG95" s="16">
        <v>0.0009901820792704427</v>
      </c>
      <c r="AH95" s="16">
        <v>0.0000033140383554741863</v>
      </c>
      <c r="AI95" s="16">
        <v>-5.8435437717281e-7</v>
      </c>
      <c r="AJ95" s="16">
        <v>0.0007215986001158428</v>
      </c>
      <c r="AK95" s="16">
        <v>0.0000036993916526223476</v>
      </c>
      <c r="AL95" s="16">
        <v>-6.523025605649972e-7</v>
      </c>
      <c r="AM95" s="16">
        <v>0.0004530151209612434</v>
      </c>
      <c r="AN95" s="16">
        <v>0.000004084744949770509</v>
      </c>
      <c r="AO95" s="16">
        <v>-7.202507439571843e-7</v>
      </c>
      <c r="AP95" s="16">
        <v>-0.00008415183734795592</v>
      </c>
      <c r="AQ95" s="16">
        <v>0.000004855451544066831</v>
      </c>
      <c r="AR95" s="16">
        <v>-8.561471107415589e-7</v>
      </c>
      <c r="AS95" s="16">
        <v>-0.0006213187956571557</v>
      </c>
      <c r="AT95" s="16">
        <v>0.0000056261581383631535</v>
      </c>
      <c r="AU95" s="16">
        <v>-9.920434775259332e-7</v>
      </c>
      <c r="AV95" s="16">
        <v>-0.0011584857539663545</v>
      </c>
      <c r="AW95" s="16">
        <v>0.000006396864732659475</v>
      </c>
      <c r="AX95" s="16">
        <v>-0.0000011279398443103075</v>
      </c>
      <c r="AY95" s="16">
        <v>-0.0016956527122755534</v>
      </c>
      <c r="AZ95" s="16">
        <v>0.000007167571326955797</v>
      </c>
      <c r="BA95" s="16">
        <v>-0.0000012638362110946818</v>
      </c>
      <c r="BB95" s="16">
        <v>-0.002769986628893953</v>
      </c>
      <c r="BC95" s="16">
        <v>0.000008708984515548443</v>
      </c>
      <c r="BD95" s="16">
        <v>-0.000001535628944663431</v>
      </c>
      <c r="BE95" s="16">
        <v>-0.0038443205455123515</v>
      </c>
      <c r="BF95" s="16">
        <v>0.000010250397704141087</v>
      </c>
      <c r="BG95" s="16">
        <v>-0.0000018074216782321797</v>
      </c>
      <c r="BH95" s="16">
        <v>-0.006530155337058348</v>
      </c>
      <c r="BI95" s="16">
        <v>0.0000141039306756227</v>
      </c>
      <c r="BJ95" s="16">
        <v>-0.000002486903512154052</v>
      </c>
      <c r="BK95" s="16">
        <v>-0.009215990128604346</v>
      </c>
      <c r="BL95" s="16">
        <v>0.000017957463647104312</v>
      </c>
      <c r="BM95" s="16">
        <v>-0.000003166385346075924</v>
      </c>
      <c r="BN95" s="16">
        <v>-0.019959329294788327</v>
      </c>
      <c r="BO95" s="16">
        <v>0.000033371595533030756</v>
      </c>
      <c r="BP95" s="16">
        <v>-0.000005884312681763412</v>
      </c>
      <c r="BQ95" s="16">
        <v>-0.05</v>
      </c>
      <c r="BR95" s="16">
        <v>0</v>
      </c>
      <c r="BS95" s="16">
        <v>0</v>
      </c>
      <c r="BT95" s="45">
        <v>33981.43387592912</v>
      </c>
      <c r="BU95" s="45">
        <v>33981.43387592912</v>
      </c>
      <c r="BV95" s="45">
        <v>33817.701507394675</v>
      </c>
      <c r="BW95" s="45">
        <v>32659.15104673117</v>
      </c>
      <c r="BX95" s="45">
        <v>30287.88553620258</v>
      </c>
      <c r="BY95" s="45">
        <v>28772.240246435613</v>
      </c>
      <c r="BZ95" s="45">
        <v>26602.776134756514</v>
      </c>
      <c r="CA95" s="45">
        <v>24605.43796029775</v>
      </c>
      <c r="CB95" s="45">
        <v>20757.170692229683</v>
      </c>
      <c r="CC95" s="45">
        <v>18032.009332030713</v>
      </c>
      <c r="CD95" s="45">
        <v>15852.405348145594</v>
      </c>
      <c r="CE95" s="45">
        <v>13951.272230337185</v>
      </c>
      <c r="CF95" s="45">
        <v>11242.071584918773</v>
      </c>
      <c r="CG95" s="45">
        <v>9306.691783648223</v>
      </c>
      <c r="CH95" s="45">
        <v>7767.250008421847</v>
      </c>
      <c r="CI95" s="45">
        <v>6451.036788516125</v>
      </c>
      <c r="CJ95" s="45">
        <v>4346.697341490555</v>
      </c>
      <c r="CK95" s="45">
        <v>2621.68918090758</v>
      </c>
      <c r="CL95" s="45">
        <v>-150.83136101588374</v>
      </c>
      <c r="CM95" s="45">
        <v>-1972.9526197015834</v>
      </c>
      <c r="CN95" s="45">
        <v>-4750.175199596196</v>
      </c>
      <c r="CO95" s="45">
        <v>-5790.583579096708</v>
      </c>
      <c r="CP95" s="45">
        <v>6.55418261885643e-13</v>
      </c>
      <c r="CQ95" s="45">
        <v>6.55418261885643e-13</v>
      </c>
      <c r="CR95" s="45">
        <v>85.94843525542095</v>
      </c>
      <c r="CS95" s="45">
        <v>635.3993939907631</v>
      </c>
      <c r="CT95" s="45">
        <v>1666.7507363816576</v>
      </c>
      <c r="CU95" s="45">
        <v>2294.594844515911</v>
      </c>
      <c r="CV95" s="45">
        <v>3178.302639363237</v>
      </c>
      <c r="CW95" s="45">
        <v>3966.244513686082</v>
      </c>
      <c r="CX95" s="45">
        <v>5242.248492140797</v>
      </c>
      <c r="CY95" s="45">
        <v>5866.522276077715</v>
      </c>
      <c r="CZ95" s="45">
        <v>6217.602728627305</v>
      </c>
      <c r="DA95" s="45">
        <v>6451.09103021208</v>
      </c>
      <c r="DB95" s="45">
        <v>6462.232865630922</v>
      </c>
      <c r="DC95" s="45">
        <v>6212.811668253318</v>
      </c>
      <c r="DD95" s="45">
        <v>5897.9293433270705</v>
      </c>
      <c r="DE95" s="45">
        <v>5542.276569090083</v>
      </c>
      <c r="DF95" s="45">
        <v>4834.858860387758</v>
      </c>
      <c r="DG95" s="45">
        <v>4161.52739788789</v>
      </c>
      <c r="DH95" s="45">
        <v>2909.8816207249934</v>
      </c>
      <c r="DI95" s="45">
        <v>2024.5719710169071</v>
      </c>
      <c r="DJ95" s="45">
        <v>571.5107830170551</v>
      </c>
      <c r="DK95" s="45">
        <v>0</v>
      </c>
      <c r="DL95" s="45">
        <v>-5.220063030719757e-12</v>
      </c>
      <c r="DM95" s="45">
        <v>-5.220063030719757e-12</v>
      </c>
      <c r="DN95" s="45">
        <v>-26.913278275566167</v>
      </c>
      <c r="DO95" s="45">
        <v>-191.34994207932988</v>
      </c>
      <c r="DP95" s="45">
        <v>-464.04897303499206</v>
      </c>
      <c r="DQ95" s="45">
        <v>-619.3474138745597</v>
      </c>
      <c r="DR95" s="45">
        <v>-834.2411610225384</v>
      </c>
      <c r="DS95" s="45">
        <v>-1004.4315064344055</v>
      </c>
      <c r="DT95" s="45">
        <v>-1097.2222452691217</v>
      </c>
      <c r="DU95" s="45">
        <v>-1108.2700108245494</v>
      </c>
      <c r="DV95" s="45">
        <v>-1161.3556736691596</v>
      </c>
      <c r="DW95" s="45">
        <v>-1219.8996727221013</v>
      </c>
      <c r="DX95" s="45">
        <v>-1268.0041168298521</v>
      </c>
      <c r="DY95" s="45">
        <v>-1272.3692309041153</v>
      </c>
      <c r="DZ95" s="45">
        <v>-1270.90012627532</v>
      </c>
      <c r="EA95" s="45">
        <v>-1305.0767034251694</v>
      </c>
      <c r="EB95" s="45">
        <v>-1320.7725973843737</v>
      </c>
      <c r="EC95" s="45">
        <v>-1333.3244936455021</v>
      </c>
      <c r="ED95" s="45">
        <v>-1100.881919125305</v>
      </c>
      <c r="EE95" s="45">
        <v>-853.9835637394607</v>
      </c>
      <c r="EF95" s="45">
        <v>-401.9625610780254</v>
      </c>
      <c r="EG95" s="45">
        <v>5.960464477539062e-14</v>
      </c>
      <c r="EH95" s="46">
        <f>MAX(1,MIN(21,SUMPRODUCT(--($BT95:$CO95&gt;=Pu))))</f>
      </c>
      <c r="EI95" s="47">
        <f>(Pu-INDEX($BT95:$CO95,1,$EH95))/(INDEX($BT95:$CO95,1,$EH95+1)-INDEX($BT95:$CO95,1,$EH95))</f>
      </c>
      <c r="EJ95" s="39">
        <f>INDEX($CP95:$DK95,1,$EH95)+$EI95*(INDEX($CP95:$DK95,1,$EH95+1)-INDEX($CP95:$DK95,1,$EH95))</f>
      </c>
      <c r="EK95" s="39">
        <f>INDEX($DL95:$EG95,1,$EH95)+$EI95*(INDEX($DL95:$EG95,1,$EH95+1)-INDEX($DL95:$EG95,1,$EH95))</f>
      </c>
      <c r="EL95" s="39">
        <f>SQRT(EJ95^2+EK95^2)</f>
      </c>
      <c r="EM95" s="20">
        <f>EJ96-EJ95</f>
      </c>
      <c r="EN95" s="20">
        <f>EK96-EK95</f>
      </c>
      <c r="EO95" s="20">
        <f>EM95*SIN(RADIANS(theta_L))-EN95*COS(RADIANS(theta_L))</f>
      </c>
      <c r="EP95" s="47">
        <f>IF(EO95=0,"",-(EJ95*SIN(RADIANS(theta_L))-EK95*COS(RADIANS(theta_L)))/EO95)</f>
      </c>
      <c r="EQ95" s="20">
        <f>IF(EP95="","",(EJ95+EP95*EM95)*COS(RADIANS(theta_L))+(EK95+EP95*EN95)*SIN(RADIANS(theta_L)))</f>
      </c>
      <c r="ER95" s="20">
        <f>IF(OR(EP95="",EP95&lt;0,EP95&gt;1,EQ95&lt;0),"",EQ95)</f>
      </c>
    </row>
    <row r="96" spans="1:148" x14ac:dyDescent="0.25">
      <c r="A96">
        <v>89</v>
      </c>
      <c r="B96" s="44">
        <v>352.5</v>
      </c>
      <c r="C96" s="18">
        <v>666.6563225453147</v>
      </c>
      <c r="D96" s="18">
        <v>-577.6762534161402</v>
      </c>
      <c r="E96" s="18">
        <v>1244.332575961455</v>
      </c>
      <c r="F96" s="16">
        <v>0.0033</v>
      </c>
      <c r="G96" s="16">
        <v>0</v>
      </c>
      <c r="H96" s="16">
        <v>0</v>
      </c>
      <c r="I96" s="16">
        <v>0.00275</v>
      </c>
      <c r="J96" s="16">
        <v>8.17954702167443e-7</v>
      </c>
      <c r="K96" s="16">
        <v>-1.0768577945369848e-7</v>
      </c>
      <c r="L96" s="16">
        <v>0.0024749999999999998</v>
      </c>
      <c r="M96" s="16">
        <v>0.0000012269320532511645</v>
      </c>
      <c r="N96" s="16">
        <v>-1.615286691805477e-7</v>
      </c>
      <c r="O96" s="16">
        <v>0.0021999999999999997</v>
      </c>
      <c r="P96" s="16">
        <v>0.000001635909404334886</v>
      </c>
      <c r="Q96" s="16">
        <v>-2.1537155890739695e-7</v>
      </c>
      <c r="R96" s="16">
        <v>0.0019249999999999998</v>
      </c>
      <c r="S96" s="16">
        <v>0.000002044886755418608</v>
      </c>
      <c r="T96" s="16">
        <v>-2.692144486342462e-7</v>
      </c>
      <c r="U96" s="16">
        <v>0.0018000000000000002</v>
      </c>
      <c r="V96" s="16">
        <v>0.0000022307855513657536</v>
      </c>
      <c r="W96" s="16">
        <v>-2.9368848941917766e-7</v>
      </c>
      <c r="X96" s="16">
        <v>0.00165</v>
      </c>
      <c r="Y96" s="16">
        <v>0.000002453864106502329</v>
      </c>
      <c r="Z96" s="16">
        <v>-3.230573383610954e-7</v>
      </c>
      <c r="AA96" s="16">
        <v>0.0015320113554049672</v>
      </c>
      <c r="AB96" s="16">
        <v>0.000002629335682227548</v>
      </c>
      <c r="AC96" s="16">
        <v>-3.4615860956091634e-7</v>
      </c>
      <c r="AD96" s="16">
        <v>0.0012641342880420838</v>
      </c>
      <c r="AE96" s="16">
        <v>0.000003027719876504449</v>
      </c>
      <c r="AF96" s="16">
        <v>-3.9860688373681275e-7</v>
      </c>
      <c r="AG96" s="16">
        <v>0.0009962572206791997</v>
      </c>
      <c r="AH96" s="16">
        <v>0.0000034261040707813505</v>
      </c>
      <c r="AI96" s="16">
        <v>-4.5105515791270915e-7</v>
      </c>
      <c r="AJ96" s="16">
        <v>0.0007283801533163156</v>
      </c>
      <c r="AK96" s="16">
        <v>0.000003824488265058252</v>
      </c>
      <c r="AL96" s="16">
        <v>-5.035034320886057e-7</v>
      </c>
      <c r="AM96" s="16">
        <v>0.000460503085953432</v>
      </c>
      <c r="AN96" s="16">
        <v>0.000004222872459335153</v>
      </c>
      <c r="AO96" s="16">
        <v>-5.55951706264502e-7</v>
      </c>
      <c r="AP96" s="16">
        <v>-0.00007525104877233483</v>
      </c>
      <c r="AQ96" s="16">
        <v>0.000005019640847888955</v>
      </c>
      <c r="AR96" s="16">
        <v>-6.608482546162948e-7</v>
      </c>
      <c r="AS96" s="16">
        <v>-0.0006110051834981025</v>
      </c>
      <c r="AT96" s="16">
        <v>0.000005816409236442758</v>
      </c>
      <c r="AU96" s="16">
        <v>-7.657448029680876e-7</v>
      </c>
      <c r="AV96" s="16">
        <v>-0.0011467593182238698</v>
      </c>
      <c r="AW96" s="16">
        <v>0.0000066131776249965595</v>
      </c>
      <c r="AX96" s="16">
        <v>-8.706413513198805e-7</v>
      </c>
      <c r="AY96" s="16">
        <v>-0.001682513452949637</v>
      </c>
      <c r="AZ96" s="16">
        <v>0.000007409946013550361</v>
      </c>
      <c r="BA96" s="16">
        <v>-9.755378996716732e-7</v>
      </c>
      <c r="BB96" s="16">
        <v>-0.0027540217224011725</v>
      </c>
      <c r="BC96" s="16">
        <v>0.000009003482790657967</v>
      </c>
      <c r="BD96" s="16">
        <v>-0.000001185330996375259</v>
      </c>
      <c r="BE96" s="16">
        <v>-0.003825529991852707</v>
      </c>
      <c r="BF96" s="16">
        <v>0.000010597019567765572</v>
      </c>
      <c r="BG96" s="16">
        <v>-0.0000013951240930788446</v>
      </c>
      <c r="BH96" s="16">
        <v>-0.006504300665481545</v>
      </c>
      <c r="BI96" s="16">
        <v>0.000014580861510534585</v>
      </c>
      <c r="BJ96" s="16">
        <v>-0.000001919606834837809</v>
      </c>
      <c r="BK96" s="16">
        <v>-0.009183071339110383</v>
      </c>
      <c r="BL96" s="16">
        <v>0.000018564703453303597</v>
      </c>
      <c r="BM96" s="16">
        <v>-0.000002444089576596773</v>
      </c>
      <c r="BN96" s="16">
        <v>-0.01989815403362573</v>
      </c>
      <c r="BO96" s="16">
        <v>0.000034500071224379644</v>
      </c>
      <c r="BP96" s="16">
        <v>-0.000004542020543632629</v>
      </c>
      <c r="BQ96" s="16">
        <v>-0.05</v>
      </c>
      <c r="BR96" s="16">
        <v>0</v>
      </c>
      <c r="BS96" s="16">
        <v>0</v>
      </c>
      <c r="BT96" s="45">
        <v>33981.43387592912</v>
      </c>
      <c r="BU96" s="45">
        <v>33981.43387592912</v>
      </c>
      <c r="BV96" s="45">
        <v>33796.91437608195</v>
      </c>
      <c r="BW96" s="45">
        <v>32583.826428728767</v>
      </c>
      <c r="BX96" s="45">
        <v>30130.724522707435</v>
      </c>
      <c r="BY96" s="45">
        <v>28569.50293627161</v>
      </c>
      <c r="BZ96" s="45">
        <v>26339.02987398614</v>
      </c>
      <c r="CA96" s="45">
        <v>24378.69947315535</v>
      </c>
      <c r="CB96" s="45">
        <v>20594.6505594438</v>
      </c>
      <c r="CC96" s="45">
        <v>17977.701736493236</v>
      </c>
      <c r="CD96" s="45">
        <v>15848.085965320277</v>
      </c>
      <c r="CE96" s="45">
        <v>13987.340469864344</v>
      </c>
      <c r="CF96" s="45">
        <v>11374.022119789344</v>
      </c>
      <c r="CG96" s="45">
        <v>9505.4662250425</v>
      </c>
      <c r="CH96" s="45">
        <v>8067.05492860562</v>
      </c>
      <c r="CI96" s="45">
        <v>6859.642236468815</v>
      </c>
      <c r="CJ96" s="45">
        <v>4890.03959395548</v>
      </c>
      <c r="CK96" s="45">
        <v>3227.1470705335914</v>
      </c>
      <c r="CL96" s="45">
        <v>455.8316063477625</v>
      </c>
      <c r="CM96" s="45">
        <v>-1398.3763072002707</v>
      </c>
      <c r="CN96" s="45">
        <v>-4504.110836358209</v>
      </c>
      <c r="CO96" s="45">
        <v>-5790.583579096708</v>
      </c>
      <c r="CP96" s="45">
        <v>6.55418261885643e-13</v>
      </c>
      <c r="CQ96" s="45">
        <v>6.55418261885643e-13</v>
      </c>
      <c r="CR96" s="45">
        <v>97.84140020161199</v>
      </c>
      <c r="CS96" s="45">
        <v>675.9855344225265</v>
      </c>
      <c r="CT96" s="45">
        <v>1751.4285894114728</v>
      </c>
      <c r="CU96" s="45">
        <v>2403.258290419106</v>
      </c>
      <c r="CV96" s="45">
        <v>3319.6440388334818</v>
      </c>
      <c r="CW96" s="45">
        <v>4101.21720844566</v>
      </c>
      <c r="CX96" s="45">
        <v>5353.563126658428</v>
      </c>
      <c r="CY96" s="45">
        <v>5943.838544503967</v>
      </c>
      <c r="CZ96" s="45">
        <v>6292.610820265252</v>
      </c>
      <c r="DA96" s="45">
        <v>6532.638019810332</v>
      </c>
      <c r="DB96" s="45">
        <v>6536.932230300011</v>
      </c>
      <c r="DC96" s="45">
        <v>6317.529921470482</v>
      </c>
      <c r="DD96" s="45">
        <v>6041.320419498582</v>
      </c>
      <c r="DE96" s="45">
        <v>5738.104661314868</v>
      </c>
      <c r="DF96" s="45">
        <v>5103.1511320651625</v>
      </c>
      <c r="DG96" s="45">
        <v>4474.823899686962</v>
      </c>
      <c r="DH96" s="45">
        <v>3247.2749508565284</v>
      </c>
      <c r="DI96" s="45">
        <v>2353.4278962750027</v>
      </c>
      <c r="DJ96" s="45">
        <v>707.7434415377006</v>
      </c>
      <c r="DK96" s="45">
        <v>0</v>
      </c>
      <c r="DL96" s="45">
        <v>-5.220063030719757e-12</v>
      </c>
      <c r="DM96" s="45">
        <v>-5.220063030719757e-12</v>
      </c>
      <c r="DN96" s="45">
        <v>-20.51129766822241</v>
      </c>
      <c r="DO96" s="45">
        <v>-151.9451555106477</v>
      </c>
      <c r="DP96" s="45">
        <v>-362.27942137245964</v>
      </c>
      <c r="DQ96" s="45">
        <v>-486.2264597471735</v>
      </c>
      <c r="DR96" s="45">
        <v>-656.9174053509638</v>
      </c>
      <c r="DS96" s="45">
        <v>-778.6509478418168</v>
      </c>
      <c r="DT96" s="45">
        <v>-819.5523543815435</v>
      </c>
      <c r="DU96" s="45">
        <v>-829.6479237986483</v>
      </c>
      <c r="DV96" s="45">
        <v>-875.0961377450778</v>
      </c>
      <c r="DW96" s="45">
        <v>-923.2965684123754</v>
      </c>
      <c r="DX96" s="45">
        <v>-963.4519430194986</v>
      </c>
      <c r="DY96" s="45">
        <v>-946.2701166437375</v>
      </c>
      <c r="DZ96" s="45">
        <v>-950.77458280209</v>
      </c>
      <c r="EA96" s="45">
        <v>-955.18382192947</v>
      </c>
      <c r="EB96" s="45">
        <v>-1003.5285127810056</v>
      </c>
      <c r="EC96" s="45">
        <v>-1013.7877239814372</v>
      </c>
      <c r="ED96" s="45">
        <v>-896.0598380290511</v>
      </c>
      <c r="EE96" s="45">
        <v>-689.9170780362768</v>
      </c>
      <c r="EF96" s="45">
        <v>-431.8498893983774</v>
      </c>
      <c r="EG96" s="45">
        <v>5.960464477539062e-14</v>
      </c>
      <c r="EH96" s="46">
        <f>MAX(1,MIN(21,SUMPRODUCT(--($BT96:$CO96&gt;=Pu))))</f>
      </c>
      <c r="EI96" s="47">
        <f>(Pu-INDEX($BT96:$CO96,1,$EH96))/(INDEX($BT96:$CO96,1,$EH96+1)-INDEX($BT96:$CO96,1,$EH96))</f>
      </c>
      <c r="EJ96" s="39">
        <f>INDEX($CP96:$DK96,1,$EH96)+$EI96*(INDEX($CP96:$DK96,1,$EH96+1)-INDEX($CP96:$DK96,1,$EH96))</f>
      </c>
      <c r="EK96" s="39">
        <f>INDEX($DL96:$EG96,1,$EH96)+$EI96*(INDEX($DL96:$EG96,1,$EH96+1)-INDEX($DL96:$EG96,1,$EH96))</f>
      </c>
      <c r="EL96" s="39">
        <f>SQRT(EJ96^2+EK96^2)</f>
      </c>
      <c r="EM96" s="20">
        <f>EJ97-EJ96</f>
      </c>
      <c r="EN96" s="20">
        <f>EK97-EK96</f>
      </c>
      <c r="EO96" s="20">
        <f>EM96*SIN(RADIANS(theta_L))-EN96*COS(RADIANS(theta_L))</f>
      </c>
      <c r="EP96" s="47">
        <f>IF(EO96=0,"",-(EJ96*SIN(RADIANS(theta_L))-EK96*COS(RADIANS(theta_L)))/EO96)</f>
      </c>
      <c r="EQ96" s="20">
        <f>IF(EP96="","",(EJ96+EP96*EM96)*COS(RADIANS(theta_L))+(EK96+EP96*EN96)*SIN(RADIANS(theta_L)))</f>
      </c>
      <c r="ER96" s="20">
        <f>IF(OR(EP96="",EP96&lt;0,EP96&gt;1,EQ96&lt;0),"",EQ96)</f>
      </c>
    </row>
    <row r="97" spans="1:148" x14ac:dyDescent="0.25">
      <c r="A97">
        <v>90</v>
      </c>
      <c r="B97" s="44">
        <v>355</v>
      </c>
      <c r="C97" s="18">
        <v>645.6524773662594</v>
      </c>
      <c r="D97" s="18">
        <v>-562.8454870876884</v>
      </c>
      <c r="E97" s="18">
        <v>1208.4979644539478</v>
      </c>
      <c r="F97" s="16">
        <v>0.0033</v>
      </c>
      <c r="G97" s="16">
        <v>0</v>
      </c>
      <c r="H97" s="16">
        <v>0</v>
      </c>
      <c r="I97" s="16">
        <v>0.00275</v>
      </c>
      <c r="J97" s="16">
        <v>8.486098995321421e-7</v>
      </c>
      <c r="K97" s="16">
        <v>-7.424374596493588e-8</v>
      </c>
      <c r="L97" s="16">
        <v>0.0024749999999999998</v>
      </c>
      <c r="M97" s="16">
        <v>0.000001272914849298213</v>
      </c>
      <c r="N97" s="16">
        <v>-1.1136561894740381e-7</v>
      </c>
      <c r="O97" s="16">
        <v>0.0021999999999999997</v>
      </c>
      <c r="P97" s="16">
        <v>0.0000016972197990642843</v>
      </c>
      <c r="Q97" s="16">
        <v>-1.4848749192987177e-7</v>
      </c>
      <c r="R97" s="16">
        <v>0.0019249999999999998</v>
      </c>
      <c r="S97" s="16">
        <v>0.0000021215247488303556</v>
      </c>
      <c r="T97" s="16">
        <v>-1.8560936491233972e-7</v>
      </c>
      <c r="U97" s="16">
        <v>0.0018000000000000002</v>
      </c>
      <c r="V97" s="16">
        <v>0.0000023143906350876597</v>
      </c>
      <c r="W97" s="16">
        <v>-2.0248294354073417e-7</v>
      </c>
      <c r="X97" s="16">
        <v>0.00165</v>
      </c>
      <c r="Y97" s="16">
        <v>0.000002545829698596426</v>
      </c>
      <c r="Z97" s="16">
        <v>-2.2273123789480761e-7</v>
      </c>
      <c r="AA97" s="16">
        <v>0.001536941030950451</v>
      </c>
      <c r="AB97" s="16">
        <v>0.0000027202714447170542</v>
      </c>
      <c r="AC97" s="16">
        <v>-2.3799291312602993e-7</v>
      </c>
      <c r="AD97" s="16">
        <v>0.0012698108841247614</v>
      </c>
      <c r="AE97" s="16">
        <v>0.000003132433784825699</v>
      </c>
      <c r="AF97" s="16">
        <v>-2.740524454178527e-7</v>
      </c>
      <c r="AG97" s="16">
        <v>0.0010026807372990722</v>
      </c>
      <c r="AH97" s="16">
        <v>0.000003544596124934344</v>
      </c>
      <c r="AI97" s="16">
        <v>-3.101119777096754e-7</v>
      </c>
      <c r="AJ97" s="16">
        <v>0.0007355505904733826</v>
      </c>
      <c r="AK97" s="16">
        <v>0.000003956758465042989</v>
      </c>
      <c r="AL97" s="16">
        <v>-3.4617151000149814e-7</v>
      </c>
      <c r="AM97" s="16">
        <v>0.0004684204436476939</v>
      </c>
      <c r="AN97" s="16">
        <v>0.000004368920805151633</v>
      </c>
      <c r="AO97" s="16">
        <v>-3.822310422933208e-7</v>
      </c>
      <c r="AP97" s="16">
        <v>-0.00006583985000368489</v>
      </c>
      <c r="AQ97" s="16">
        <v>0.000005193245485368922</v>
      </c>
      <c r="AR97" s="16">
        <v>-4.543501068769663e-7</v>
      </c>
      <c r="AS97" s="16">
        <v>-0.0006001001436550637</v>
      </c>
      <c r="AT97" s="16">
        <v>0.000006017570165586212</v>
      </c>
      <c r="AU97" s="16">
        <v>-5.264691714606118e-7</v>
      </c>
      <c r="AV97" s="16">
        <v>-0.001134360437306442</v>
      </c>
      <c r="AW97" s="16">
        <v>0.000006841894845803501</v>
      </c>
      <c r="AX97" s="16">
        <v>-5.985882360442571e-7</v>
      </c>
      <c r="AY97" s="16">
        <v>-0.0016686207309578203</v>
      </c>
      <c r="AZ97" s="16">
        <v>0.00000766621952602079</v>
      </c>
      <c r="BA97" s="16">
        <v>-6.707073006279027e-7</v>
      </c>
      <c r="BB97" s="16">
        <v>-0.0027371413182605787</v>
      </c>
      <c r="BC97" s="16">
        <v>0.00000931486888645537</v>
      </c>
      <c r="BD97" s="16">
        <v>-8.149454297951935e-7</v>
      </c>
      <c r="BE97" s="16">
        <v>-0.0038056619055633345</v>
      </c>
      <c r="BF97" s="16">
        <v>0.000010963518246889947</v>
      </c>
      <c r="BG97" s="16">
        <v>-9.591835589624843e-7</v>
      </c>
      <c r="BH97" s="16">
        <v>-0.006476963373820228</v>
      </c>
      <c r="BI97" s="16">
        <v>0.000015085141647976394</v>
      </c>
      <c r="BJ97" s="16">
        <v>-0.0000013197788818807116</v>
      </c>
      <c r="BK97" s="16">
        <v>-0.00914826484207712</v>
      </c>
      <c r="BL97" s="16">
        <v>0.00001920676504906284</v>
      </c>
      <c r="BM97" s="16">
        <v>-0.000001680374204798939</v>
      </c>
      <c r="BN97" s="16">
        <v>-0.01983347071510469</v>
      </c>
      <c r="BO97" s="16">
        <v>0.00003569325865340862</v>
      </c>
      <c r="BP97" s="16">
        <v>-0.0000031227554964718472</v>
      </c>
      <c r="BQ97" s="16">
        <v>-0.05</v>
      </c>
      <c r="BR97" s="16">
        <v>0</v>
      </c>
      <c r="BS97" s="16">
        <v>0</v>
      </c>
      <c r="BT97" s="45">
        <v>33981.43387592912</v>
      </c>
      <c r="BU97" s="45">
        <v>33981.43387592912</v>
      </c>
      <c r="BV97" s="45">
        <v>33769.743631514975</v>
      </c>
      <c r="BW97" s="45">
        <v>32495.473659237698</v>
      </c>
      <c r="BX97" s="45">
        <v>29945.980736503574</v>
      </c>
      <c r="BY97" s="45">
        <v>28333.957410256353</v>
      </c>
      <c r="BZ97" s="45">
        <v>26032.91935834904</v>
      </c>
      <c r="CA97" s="45">
        <v>24112.508667810253</v>
      </c>
      <c r="CB97" s="45">
        <v>20433.370411791948</v>
      </c>
      <c r="CC97" s="45">
        <v>17918.19108921978</v>
      </c>
      <c r="CD97" s="45">
        <v>15836.902543926268</v>
      </c>
      <c r="CE97" s="45">
        <v>14013.194726673024</v>
      </c>
      <c r="CF97" s="45">
        <v>11513.284002128534</v>
      </c>
      <c r="CG97" s="45">
        <v>9704.392916647417</v>
      </c>
      <c r="CH97" s="45">
        <v>8323.992691741623</v>
      </c>
      <c r="CI97" s="45">
        <v>7183.761639184885</v>
      </c>
      <c r="CJ97" s="45">
        <v>5393.493614959792</v>
      </c>
      <c r="CK97" s="45">
        <v>3887.1324656416086</v>
      </c>
      <c r="CL97" s="45">
        <v>1144.6078674335185</v>
      </c>
      <c r="CM97" s="45">
        <v>-634.8788911626376</v>
      </c>
      <c r="CN97" s="45">
        <v>-4012.8227956642518</v>
      </c>
      <c r="CO97" s="45">
        <v>-5790.583579096708</v>
      </c>
      <c r="CP97" s="45">
        <v>6.55418261885643e-13</v>
      </c>
      <c r="CQ97" s="45">
        <v>6.55418261885643e-13</v>
      </c>
      <c r="CR97" s="45">
        <v>112.48717130235067</v>
      </c>
      <c r="CS97" s="45">
        <v>722.5393025790322</v>
      </c>
      <c r="CT97" s="45">
        <v>1846.7480326906812</v>
      </c>
      <c r="CU97" s="45">
        <v>2525.206750859155</v>
      </c>
      <c r="CV97" s="45">
        <v>3477.475574628939</v>
      </c>
      <c r="CW97" s="45">
        <v>4244.679786801038</v>
      </c>
      <c r="CX97" s="45">
        <v>5453.317741936083</v>
      </c>
      <c r="CY97" s="45">
        <v>6014.195177492022</v>
      </c>
      <c r="CZ97" s="45">
        <v>6361.136571116846</v>
      </c>
      <c r="DA97" s="45">
        <v>6606.922882864969</v>
      </c>
      <c r="DB97" s="45">
        <v>6596.806720805592</v>
      </c>
      <c r="DC97" s="45">
        <v>6404.5059336444465</v>
      </c>
      <c r="DD97" s="45">
        <v>6151.238065747458</v>
      </c>
      <c r="DE97" s="45">
        <v>5887.585703358208</v>
      </c>
      <c r="DF97" s="45">
        <v>5340.435485571834</v>
      </c>
      <c r="DG97" s="45">
        <v>4796.112055984454</v>
      </c>
      <c r="DH97" s="45">
        <v>3616.8321090530208</v>
      </c>
      <c r="DI97" s="45">
        <v>2769.818549781175</v>
      </c>
      <c r="DJ97" s="45">
        <v>979.2284603245625</v>
      </c>
      <c r="DK97" s="45">
        <v>0</v>
      </c>
      <c r="DL97" s="45">
        <v>-5.220063030719757e-12</v>
      </c>
      <c r="DM97" s="45">
        <v>-5.220063030719757e-12</v>
      </c>
      <c r="DN97" s="45">
        <v>-14.983809798705574</v>
      </c>
      <c r="DO97" s="45">
        <v>-107.48763690318998</v>
      </c>
      <c r="DP97" s="45">
        <v>-251.06124070033874</v>
      </c>
      <c r="DQ97" s="45">
        <v>-339.79455095572393</v>
      </c>
      <c r="DR97" s="45">
        <v>-462.7498345179622</v>
      </c>
      <c r="DS97" s="45">
        <v>-534.339341354471</v>
      </c>
      <c r="DT97" s="45">
        <v>-539.7862723591521</v>
      </c>
      <c r="DU97" s="45">
        <v>-551.6506346833776</v>
      </c>
      <c r="DV97" s="45">
        <v>-586.0508525712119</v>
      </c>
      <c r="DW97" s="45">
        <v>-624.8325261746546</v>
      </c>
      <c r="DX97" s="45">
        <v>-650.3213762687129</v>
      </c>
      <c r="DY97" s="45">
        <v>-622.0670436541305</v>
      </c>
      <c r="DZ97" s="45">
        <v>-639.6395824645631</v>
      </c>
      <c r="EA97" s="45">
        <v>-614.804405360801</v>
      </c>
      <c r="EB97" s="45">
        <v>-669.2564637451486</v>
      </c>
      <c r="EC97" s="45">
        <v>-658.4503678376093</v>
      </c>
      <c r="ED97" s="45">
        <v>-648.8099293010023</v>
      </c>
      <c r="EE97" s="45">
        <v>-493.4389065319414</v>
      </c>
      <c r="EF97" s="45">
        <v>-434.46597669811416</v>
      </c>
      <c r="EG97" s="45">
        <v>5.960464477539062e-14</v>
      </c>
      <c r="EH97" s="46">
        <f>MAX(1,MIN(21,SUMPRODUCT(--($BT97:$CO97&gt;=Pu))))</f>
      </c>
      <c r="EI97" s="47">
        <f>(Pu-INDEX($BT97:$CO97,1,$EH97))/(INDEX($BT97:$CO97,1,$EH97+1)-INDEX($BT97:$CO97,1,$EH97))</f>
      </c>
      <c r="EJ97" s="39">
        <f>INDEX($CP97:$DK97,1,$EH97)+$EI97*(INDEX($CP97:$DK97,1,$EH97+1)-INDEX($CP97:$DK97,1,$EH97))</f>
      </c>
      <c r="EK97" s="39">
        <f>INDEX($DL97:$EG97,1,$EH97)+$EI97*(INDEX($DL97:$EG97,1,$EH97+1)-INDEX($DL97:$EG97,1,$EH97))</f>
      </c>
      <c r="EL97" s="39">
        <f>SQRT(EJ97^2+EK97^2)</f>
      </c>
      <c r="EM97" s="20">
        <f>EJ98-EJ97</f>
      </c>
      <c r="EN97" s="20">
        <f>EK98-EK97</f>
      </c>
      <c r="EO97" s="20">
        <f>EM97*SIN(RADIANS(theta_L))-EN97*COS(RADIANS(theta_L))</f>
      </c>
      <c r="EP97" s="47">
        <f>IF(EO97=0,"",-(EJ97*SIN(RADIANS(theta_L))-EK97*COS(RADIANS(theta_L)))/EO97)</f>
      </c>
      <c r="EQ97" s="20">
        <f>IF(EP97="","",(EJ97+EP97*EM97)*COS(RADIANS(theta_L))+(EK97+EP97*EN97)*SIN(RADIANS(theta_L)))</f>
      </c>
      <c r="ER97" s="20">
        <f>IF(OR(EP97="",EP97&lt;0,EP97&gt;1,EQ97&lt;0),"",EQ97)</f>
      </c>
    </row>
    <row r="98" spans="1:148" x14ac:dyDescent="0.25">
      <c r="A98">
        <v>91</v>
      </c>
      <c r="B98" s="44">
        <v>357.50000000000006</v>
      </c>
      <c r="C98" s="18">
        <v>623.4195960000496</v>
      </c>
      <c r="D98" s="18">
        <v>-546.9433123845191</v>
      </c>
      <c r="E98" s="18">
        <v>1170.3629083845688</v>
      </c>
      <c r="F98" s="16">
        <v>0.0033</v>
      </c>
      <c r="G98" s="16">
        <v>0</v>
      </c>
      <c r="H98" s="16">
        <v>0</v>
      </c>
      <c r="I98" s="16">
        <v>0.00275</v>
      </c>
      <c r="J98" s="16">
        <v>8.813911615796853e-7</v>
      </c>
      <c r="K98" s="16">
        <v>-3.8482369185797936e-8</v>
      </c>
      <c r="L98" s="16">
        <v>0.0024749999999999998</v>
      </c>
      <c r="M98" s="16">
        <v>0.0000013220867423695276</v>
      </c>
      <c r="N98" s="16">
        <v>-5.77235537786969e-8</v>
      </c>
      <c r="O98" s="16">
        <v>0.0021999999999999997</v>
      </c>
      <c r="P98" s="16">
        <v>0.0000017627823231593705</v>
      </c>
      <c r="Q98" s="16">
        <v>-7.696473837159587e-8</v>
      </c>
      <c r="R98" s="16">
        <v>0.001925</v>
      </c>
      <c r="S98" s="16">
        <v>0.000002203477903949213</v>
      </c>
      <c r="T98" s="16">
        <v>-9.620592296449483e-8</v>
      </c>
      <c r="U98" s="16">
        <v>0.0018</v>
      </c>
      <c r="V98" s="16">
        <v>0.000002403794077035505</v>
      </c>
      <c r="W98" s="16">
        <v>-1.0495191596126709e-7</v>
      </c>
      <c r="X98" s="16">
        <v>0.00165</v>
      </c>
      <c r="Y98" s="16">
        <v>0.0000026441734847390553</v>
      </c>
      <c r="Z98" s="16">
        <v>-1.154471075573938e-7</v>
      </c>
      <c r="AA98" s="16">
        <v>0.0015421822734968612</v>
      </c>
      <c r="AB98" s="16">
        <v>0.0000028169545596508414</v>
      </c>
      <c r="AC98" s="16">
        <v>-1.2299089220478866e-7</v>
      </c>
      <c r="AD98" s="16">
        <v>0.001275846254329719</v>
      </c>
      <c r="AE98" s="16">
        <v>0.0000032437658565676353</v>
      </c>
      <c r="AF98" s="16">
        <v>-1.4162587587218088e-7</v>
      </c>
      <c r="AG98" s="16">
        <v>0.0010095102351625768</v>
      </c>
      <c r="AH98" s="16">
        <v>0.0000036705771534844292</v>
      </c>
      <c r="AI98" s="16">
        <v>-1.602608595395731e-7</v>
      </c>
      <c r="AJ98" s="16">
        <v>0.0007431742159954343</v>
      </c>
      <c r="AK98" s="16">
        <v>0.000004097388450401224</v>
      </c>
      <c r="AL98" s="16">
        <v>-1.7889584320696533e-7</v>
      </c>
      <c r="AM98" s="16">
        <v>0.0004768381968282922</v>
      </c>
      <c r="AN98" s="16">
        <v>0.000004524199747318018</v>
      </c>
      <c r="AO98" s="16">
        <v>-1.9753082687435754e-7</v>
      </c>
      <c r="AP98" s="16">
        <v>-0.00005583384150599198</v>
      </c>
      <c r="AQ98" s="16">
        <v>0.000005377822341151606</v>
      </c>
      <c r="AR98" s="16">
        <v>-2.34800794209142e-7</v>
      </c>
      <c r="AS98" s="16">
        <v>-0.0005885058798402766</v>
      </c>
      <c r="AT98" s="16">
        <v>0.000006231444934985194</v>
      </c>
      <c r="AU98" s="16">
        <v>-2.720707615439264e-7</v>
      </c>
      <c r="AV98" s="16">
        <v>-0.0011211779181745608</v>
      </c>
      <c r="AW98" s="16">
        <v>0.000007085067528818782</v>
      </c>
      <c r="AX98" s="16">
        <v>-3.0934072887871085e-7</v>
      </c>
      <c r="AY98" s="16">
        <v>-0.001653849956508845</v>
      </c>
      <c r="AZ98" s="16">
        <v>0.00000793869012265237</v>
      </c>
      <c r="BA98" s="16">
        <v>-3.466106962134953e-7</v>
      </c>
      <c r="BB98" s="16">
        <v>-0.002719194033177415</v>
      </c>
      <c r="BC98" s="16">
        <v>0.000009645935310319549</v>
      </c>
      <c r="BD98" s="16">
        <v>-4.2115063088306424e-7</v>
      </c>
      <c r="BE98" s="16">
        <v>-0.0037845381098459826</v>
      </c>
      <c r="BF98" s="16">
        <v>0.000011353180497986723</v>
      </c>
      <c r="BG98" s="16">
        <v>-4.95690565552633e-7</v>
      </c>
      <c r="BH98" s="16">
        <v>-0.0064478983015174044</v>
      </c>
      <c r="BI98" s="16">
        <v>0.000015621293467154662</v>
      </c>
      <c r="BJ98" s="16">
        <v>-6.820404022265553e-7</v>
      </c>
      <c r="BK98" s="16">
        <v>-0.009111258493188827</v>
      </c>
      <c r="BL98" s="16">
        <v>0.000019889406436322605</v>
      </c>
      <c r="BM98" s="16">
        <v>-8.683902389004775e-7</v>
      </c>
      <c r="BN98" s="16">
        <v>-0.019764699259874514</v>
      </c>
      <c r="BO98" s="16">
        <v>0.00003696185831299437</v>
      </c>
      <c r="BP98" s="16">
        <v>-0.0000016137895855961663</v>
      </c>
      <c r="BQ98" s="16">
        <v>-0.05</v>
      </c>
      <c r="BR98" s="16">
        <v>0</v>
      </c>
      <c r="BS98" s="16">
        <v>0</v>
      </c>
      <c r="BT98" s="45">
        <v>33981.43387592912</v>
      </c>
      <c r="BU98" s="45">
        <v>33981.43387592912</v>
      </c>
      <c r="BV98" s="45">
        <v>33737.12210198053</v>
      </c>
      <c r="BW98" s="45">
        <v>32391.396874288326</v>
      </c>
      <c r="BX98" s="45">
        <v>29721.236720843794</v>
      </c>
      <c r="BY98" s="45">
        <v>28059.439133004376</v>
      </c>
      <c r="BZ98" s="45">
        <v>25675.56202191883</v>
      </c>
      <c r="CA98" s="45">
        <v>23821.928187912436</v>
      </c>
      <c r="CB98" s="45">
        <v>20270.7686471439</v>
      </c>
      <c r="CC98" s="45">
        <v>17863.995457505393</v>
      </c>
      <c r="CD98" s="45">
        <v>15823.759829186396</v>
      </c>
      <c r="CE98" s="45">
        <v>14033.618851391282</v>
      </c>
      <c r="CF98" s="45">
        <v>11648.27429790369</v>
      </c>
      <c r="CG98" s="45">
        <v>9915.55012420366</v>
      </c>
      <c r="CH98" s="45">
        <v>8560.93605842996</v>
      </c>
      <c r="CI98" s="45">
        <v>7504.2862027454785</v>
      </c>
      <c r="CJ98" s="45">
        <v>5812.288323535532</v>
      </c>
      <c r="CK98" s="45">
        <v>4516.455292173342</v>
      </c>
      <c r="CL98" s="45">
        <v>1928.5372944446733</v>
      </c>
      <c r="CM98" s="45">
        <v>233.14783441458457</v>
      </c>
      <c r="CN98" s="45">
        <v>-2964.207858991084</v>
      </c>
      <c r="CO98" s="45">
        <v>-5790.583579096708</v>
      </c>
      <c r="CP98" s="45">
        <v>6.55418261885643e-13</v>
      </c>
      <c r="CQ98" s="45">
        <v>6.55418261885643e-13</v>
      </c>
      <c r="CR98" s="45">
        <v>129.83136957184504</v>
      </c>
      <c r="CS98" s="45">
        <v>776.2522057947165</v>
      </c>
      <c r="CT98" s="45">
        <v>1954.045128310554</v>
      </c>
      <c r="CU98" s="45">
        <v>2663.016718852105</v>
      </c>
      <c r="CV98" s="45">
        <v>3654.8982509722705</v>
      </c>
      <c r="CW98" s="45">
        <v>4388.273798521909</v>
      </c>
      <c r="CX98" s="45">
        <v>5533.309632370952</v>
      </c>
      <c r="CY98" s="45">
        <v>6075.4586279920695</v>
      </c>
      <c r="CZ98" s="45">
        <v>6422.3570883089105</v>
      </c>
      <c r="DA98" s="45">
        <v>6672.2868330564315</v>
      </c>
      <c r="DB98" s="45">
        <v>6644.296217403555</v>
      </c>
      <c r="DC98" s="45">
        <v>6468.954683181867</v>
      </c>
      <c r="DD98" s="45">
        <v>6243.178007571316</v>
      </c>
      <c r="DE98" s="45">
        <v>6003.419632266432</v>
      </c>
      <c r="DF98" s="45">
        <v>5522.207662721774</v>
      </c>
      <c r="DG98" s="45">
        <v>5072.9321754160865</v>
      </c>
      <c r="DH98" s="45">
        <v>4015.9511878297662</v>
      </c>
      <c r="DI98" s="45">
        <v>3226.645047567767</v>
      </c>
      <c r="DJ98" s="45">
        <v>1555.8867311387157</v>
      </c>
      <c r="DK98" s="45">
        <v>0</v>
      </c>
      <c r="DL98" s="45">
        <v>-5.220063030719757e-12</v>
      </c>
      <c r="DM98" s="45">
        <v>-5.220063030719757e-12</v>
      </c>
      <c r="DN98" s="45">
        <v>-8.449054728691406</v>
      </c>
      <c r="DO98" s="45">
        <v>-56.76080482229625</v>
      </c>
      <c r="DP98" s="45">
        <v>-133.22505823670582</v>
      </c>
      <c r="DQ98" s="45">
        <v>-177.1056747642274</v>
      </c>
      <c r="DR98" s="45">
        <v>-247.2954752955759</v>
      </c>
      <c r="DS98" s="45">
        <v>-273.54559050539456</v>
      </c>
      <c r="DT98" s="45">
        <v>-269.03187546455433</v>
      </c>
      <c r="DU98" s="45">
        <v>-271.5736978845754</v>
      </c>
      <c r="DV98" s="45">
        <v>-297.87894482798686</v>
      </c>
      <c r="DW98" s="45">
        <v>-318.4021799339535</v>
      </c>
      <c r="DX98" s="45">
        <v>-328.6885466521213</v>
      </c>
      <c r="DY98" s="45">
        <v>-313.85859344045565</v>
      </c>
      <c r="DZ98" s="45">
        <v>-332.20867482127704</v>
      </c>
      <c r="EA98" s="45">
        <v>-303.61489203406904</v>
      </c>
      <c r="EB98" s="45">
        <v>-337.83199507199873</v>
      </c>
      <c r="EC98" s="45">
        <v>-322.9301674687408</v>
      </c>
      <c r="ED98" s="45">
        <v>-365.25236209628036</v>
      </c>
      <c r="EE98" s="45">
        <v>-260.99715558676263</v>
      </c>
      <c r="EF98" s="45">
        <v>-252.63579808585703</v>
      </c>
      <c r="EG98" s="45">
        <v>5.960464477539062e-14</v>
      </c>
      <c r="EH98" s="46">
        <f>MAX(1,MIN(21,SUMPRODUCT(--($BT98:$CO98&gt;=Pu))))</f>
      </c>
      <c r="EI98" s="47">
        <f>(Pu-INDEX($BT98:$CO98,1,$EH98))/(INDEX($BT98:$CO98,1,$EH98+1)-INDEX($BT98:$CO98,1,$EH98))</f>
      </c>
      <c r="EJ98" s="39">
        <f>INDEX($CP98:$DK98,1,$EH98)+$EI98*(INDEX($CP98:$DK98,1,$EH98+1)-INDEX($CP98:$DK98,1,$EH98))</f>
      </c>
      <c r="EK98" s="39">
        <f>INDEX($DL98:$EG98,1,$EH98)+$EI98*(INDEX($DL98:$EG98,1,$EH98+1)-INDEX($DL98:$EG98,1,$EH98))</f>
      </c>
      <c r="EL98" s="39">
        <f>SQRT(EJ98^2+EK98^2)</f>
      </c>
      <c r="EM98" s="20">
        <f>EJ99-EJ98</f>
      </c>
      <c r="EN98" s="20">
        <f>EK99-EK98</f>
      </c>
      <c r="EO98" s="20">
        <f>EM98*SIN(RADIANS(theta_L))-EN98*COS(RADIANS(theta_L))</f>
      </c>
      <c r="EP98" s="47">
        <f>IF(EO98=0,"",-(EJ98*SIN(RADIANS(theta_L))-EK98*COS(RADIANS(theta_L)))/EO98)</f>
      </c>
      <c r="EQ98" s="20">
        <f>IF(EP98="","",(EJ98+EP98*EM98)*COS(RADIANS(theta_L))+(EK98+EP98*EN98)*SIN(RADIANS(theta_L)))</f>
      </c>
      <c r="ER98" s="20">
        <f>IF(OR(EP98="",EP98&lt;0,EP98&gt;1,EQ98&lt;0),"",EQ98)</f>
      </c>
    </row>
    <row r="99" spans="1:142" x14ac:dyDescent="0.25">
      <c r="A99" t="s">
        <v>302</v>
      </c>
      <c r="B99" s="44">
        <v>360</v>
      </c>
      <c r="C99" s="18">
        <v>600</v>
      </c>
      <c r="D99" s="18">
        <v>-530</v>
      </c>
      <c r="E99" s="18">
        <v>1130</v>
      </c>
      <c r="F99" s="16">
        <v>0.0033</v>
      </c>
      <c r="G99" s="16">
        <v>0</v>
      </c>
      <c r="H99" s="16">
        <v>0</v>
      </c>
      <c r="I99" s="16">
        <v>0.00275</v>
      </c>
      <c r="J99" s="16">
        <v>9.166666666666666e-7</v>
      </c>
      <c r="K99" s="16">
        <v>0</v>
      </c>
      <c r="L99" s="16">
        <v>0.0024749999999999998</v>
      </c>
      <c r="M99" s="16">
        <v>0.000001375</v>
      </c>
      <c r="N99" s="16">
        <v>0</v>
      </c>
      <c r="O99" s="16">
        <v>0.0021999999999999997</v>
      </c>
      <c r="P99" s="16">
        <v>0.0000018333333333333333</v>
      </c>
      <c r="Q99" s="16">
        <v>0</v>
      </c>
      <c r="R99" s="16">
        <v>0.001925</v>
      </c>
      <c r="S99" s="16">
        <v>0.0000022916666666666666</v>
      </c>
      <c r="T99" s="16">
        <v>0</v>
      </c>
      <c r="U99" s="16">
        <v>0.0018000000000000002</v>
      </c>
      <c r="V99" s="16">
        <v>0.0000024999999999999998</v>
      </c>
      <c r="W99" s="16">
        <v>0</v>
      </c>
      <c r="X99" s="16">
        <v>0.00165</v>
      </c>
      <c r="Y99" s="16">
        <v>0.00000275</v>
      </c>
      <c r="Z99" s="16">
        <v>0</v>
      </c>
      <c r="AA99" s="16">
        <v>0.001547787610619469</v>
      </c>
      <c r="AB99" s="16">
        <v>0.000002920353982300885</v>
      </c>
      <c r="AC99" s="16">
        <v>0</v>
      </c>
      <c r="AD99" s="16">
        <v>0.001282300884955752</v>
      </c>
      <c r="AE99" s="16">
        <v>0.0000033628318584070798</v>
      </c>
      <c r="AF99" s="16">
        <v>0</v>
      </c>
      <c r="AG99" s="16">
        <v>0.0010168141592920353</v>
      </c>
      <c r="AH99" s="16">
        <v>0.000003805309734513274</v>
      </c>
      <c r="AI99" s="16">
        <v>0</v>
      </c>
      <c r="AJ99" s="16">
        <v>0.0007513274336283186</v>
      </c>
      <c r="AK99" s="16">
        <v>0.000004247787610619469</v>
      </c>
      <c r="AL99" s="16">
        <v>0</v>
      </c>
      <c r="AM99" s="16">
        <v>0.00048584070796460184</v>
      </c>
      <c r="AN99" s="16">
        <v>0.0000046902654867256635</v>
      </c>
      <c r="AO99" s="16">
        <v>0</v>
      </c>
      <c r="AP99" s="16">
        <v>-0.00004513274336283204</v>
      </c>
      <c r="AQ99" s="16">
        <v>0.000005575221238938053</v>
      </c>
      <c r="AR99" s="16">
        <v>0</v>
      </c>
      <c r="AS99" s="16">
        <v>-0.0005761061946902659</v>
      </c>
      <c r="AT99" s="16">
        <v>0.000006460176991150443</v>
      </c>
      <c r="AU99" s="16">
        <v>0</v>
      </c>
      <c r="AV99" s="16">
        <v>-0.001107079646017699</v>
      </c>
      <c r="AW99" s="16">
        <v>0.000007345132743362832</v>
      </c>
      <c r="AX99" s="16">
        <v>0</v>
      </c>
      <c r="AY99" s="16">
        <v>-0.0016380530973451315</v>
      </c>
      <c r="AZ99" s="16">
        <v>0.00000823008849557522</v>
      </c>
      <c r="BA99" s="16">
        <v>0</v>
      </c>
      <c r="BB99" s="16">
        <v>-0.0027</v>
      </c>
      <c r="BC99" s="16">
        <v>0.00001</v>
      </c>
      <c r="BD99" s="16">
        <v>0</v>
      </c>
      <c r="BE99" s="16">
        <v>-0.003761946902654867</v>
      </c>
      <c r="BF99" s="16">
        <v>0.000011769911504424779</v>
      </c>
      <c r="BG99" s="16">
        <v>0</v>
      </c>
      <c r="BH99" s="16">
        <v>-0.006416814159292035</v>
      </c>
      <c r="BI99" s="16">
        <v>0.000016194690265486724</v>
      </c>
      <c r="BJ99" s="16">
        <v>0</v>
      </c>
      <c r="BK99" s="16">
        <v>-0.009071681415929202</v>
      </c>
      <c r="BL99" s="16">
        <v>0.000020619469026548672</v>
      </c>
      <c r="BM99" s="16">
        <v>0</v>
      </c>
      <c r="BN99" s="16">
        <v>-0.01969115044247787</v>
      </c>
      <c r="BO99" s="16">
        <v>0.000038318584070796456</v>
      </c>
      <c r="BP99" s="16">
        <v>0</v>
      </c>
      <c r="BQ99" s="16">
        <v>-0.05</v>
      </c>
      <c r="BR99" s="16">
        <v>0</v>
      </c>
      <c r="BS99" s="16">
        <v>0</v>
      </c>
      <c r="BT99" s="45">
        <v>33981.43387592912</v>
      </c>
      <c r="BU99" s="45">
        <v>33981.43387592912</v>
      </c>
      <c r="BV99" s="45">
        <v>33697.99889567864</v>
      </c>
      <c r="BW99" s="45">
        <v>32265.41983671862</v>
      </c>
      <c r="BX99" s="45">
        <v>29458.701738526564</v>
      </c>
      <c r="BY99" s="45">
        <v>27730.09410184366</v>
      </c>
      <c r="BZ99" s="45">
        <v>25248.563599258836</v>
      </c>
      <c r="CA99" s="45">
        <v>23514.322248754543</v>
      </c>
      <c r="CB99" s="45">
        <v>20124.121038215144</v>
      </c>
      <c r="CC99" s="45">
        <v>17776.353375143117</v>
      </c>
      <c r="CD99" s="45">
        <v>15800.236623069633</v>
      </c>
      <c r="CE99" s="45">
        <v>14042.955356745177</v>
      </c>
      <c r="CF99" s="45">
        <v>11780.888412913204</v>
      </c>
      <c r="CG99" s="45">
        <v>10115.37601589935</v>
      </c>
      <c r="CH99" s="45">
        <v>8812.745574290735</v>
      </c>
      <c r="CI99" s="45">
        <v>7793.573662012833</v>
      </c>
      <c r="CJ99" s="45">
        <v>6221.462349919355</v>
      </c>
      <c r="CK99" s="45">
        <v>5040.452657994034</v>
      </c>
      <c r="CL99" s="45">
        <v>2747.5191908344864</v>
      </c>
      <c r="CM99" s="45">
        <v>1203.7013416344244</v>
      </c>
      <c r="CN99" s="45">
        <v>-1714.4396393656968</v>
      </c>
      <c r="CO99" s="45">
        <v>-5790.583579096708</v>
      </c>
      <c r="CP99" s="45">
        <v>6.55418261885643e-13</v>
      </c>
      <c r="CQ99" s="45">
        <v>6.55418261885643e-13</v>
      </c>
      <c r="CR99" s="45">
        <v>150.46136414826947</v>
      </c>
      <c r="CS99" s="45">
        <v>838.9046608751036</v>
      </c>
      <c r="CT99" s="45">
        <v>2076.7979535082554</v>
      </c>
      <c r="CU99" s="45">
        <v>2819.1055487374533</v>
      </c>
      <c r="CV99" s="45">
        <v>3855.0903161670462</v>
      </c>
      <c r="CW99" s="45">
        <v>4530.118037670052</v>
      </c>
      <c r="CX99" s="45">
        <v>5598.135049837574</v>
      </c>
      <c r="CY99" s="45">
        <v>6124.812619238588</v>
      </c>
      <c r="CZ99" s="45">
        <v>6477.537136847315</v>
      </c>
      <c r="DA99" s="45">
        <v>6729.602944736926</v>
      </c>
      <c r="DB99" s="45">
        <v>6681.944730043465</v>
      </c>
      <c r="DC99" s="45">
        <v>6520.300492379301</v>
      </c>
      <c r="DD99" s="45">
        <v>6317.221588401691</v>
      </c>
      <c r="DE99" s="45">
        <v>6095.595406911573</v>
      </c>
      <c r="DF99" s="45">
        <v>5669.773965842053</v>
      </c>
      <c r="DG99" s="45">
        <v>5279.5486588665335</v>
      </c>
      <c r="DH99" s="45">
        <v>4395.024835253348</v>
      </c>
      <c r="DI99" s="45">
        <v>3714.4317841181155</v>
      </c>
      <c r="DJ99" s="45">
        <v>2227.93189961245</v>
      </c>
      <c r="DK99" s="45">
        <v>0</v>
      </c>
      <c r="DL99" s="45">
        <v>-5.220063030719757e-12</v>
      </c>
      <c r="DM99" s="45">
        <v>-5.220063030719757e-12</v>
      </c>
      <c r="DN99" s="45">
        <v>0.000017494509751908482</v>
      </c>
      <c r="DO99" s="45">
        <v>0.0009406118215573952</v>
      </c>
      <c r="DP99" s="45">
        <v>0.00037674127167556436</v>
      </c>
      <c r="DQ99" s="45">
        <v>0.0002115091088814661</v>
      </c>
      <c r="DR99" s="45">
        <v>0.0015901064639454708</v>
      </c>
      <c r="DS99" s="45">
        <v>0.07635615567926224</v>
      </c>
      <c r="DT99" s="45">
        <v>-0.298929788221614</v>
      </c>
      <c r="DU99" s="45">
        <v>-0.036833113046715035</v>
      </c>
      <c r="DV99" s="45">
        <v>0.000766949239820242</v>
      </c>
      <c r="DW99" s="45">
        <v>0.2033703180078668</v>
      </c>
      <c r="DX99" s="45">
        <v>0.00011138413645233958</v>
      </c>
      <c r="DY99" s="45">
        <v>0.017060437182207358</v>
      </c>
      <c r="DZ99" s="45">
        <v>0.22085739108868455</v>
      </c>
      <c r="EA99" s="45">
        <v>0.0005276283492443618</v>
      </c>
      <c r="EB99" s="45">
        <v>0.058994860705671136</v>
      </c>
      <c r="EC99" s="45">
        <v>0.3035026830671234</v>
      </c>
      <c r="ED99" s="45">
        <v>0.8146481828627189</v>
      </c>
      <c r="EE99" s="45">
        <v>0.3976159518024968</v>
      </c>
      <c r="EF99" s="45">
        <v>0.7652766825170573</v>
      </c>
      <c r="EG99" s="45">
        <v>5.960464477539062e-14</v>
      </c>
      <c r="EH99" s="46">
        <f>MAX(1,MIN(21,SUMPRODUCT(--($BT99:$CO99&gt;=Pu))))</f>
      </c>
      <c r="EI99" s="47">
        <f>(Pu-INDEX($BT99:$CO99,1,$EH99))/(INDEX($BT99:$CO99,1,$EH99+1)-INDEX($BT99:$CO99,1,$EH99))</f>
      </c>
      <c r="EJ99" s="39">
        <f>INDEX($CP99:$DK99,1,$EH99)+$EI99*(INDEX($CP99:$DK99,1,$EH99+1)-INDEX($CP99:$DK99,1,$EH99))</f>
      </c>
      <c r="EK99" s="39">
        <f>INDEX($DL99:$EG99,1,$EH99)+$EI99*(INDEX($DL99:$EG99,1,$EH99+1)-INDEX($DL99:$EG99,1,$EH99))</f>
      </c>
      <c r="EL99" s="39">
        <f>SQRT(EJ99^2+EK99^2)</f>
      </c>
    </row>
    <row r="100" spans="139:142" x14ac:dyDescent="0.25">
      <c r="EI100" s="35" t="s">
        <v>54</v>
      </c>
      <c r="EJ100" s="48">
        <f>Mux</f>
      </c>
      <c r="EK100" s="48">
        <f>Muy</f>
      </c>
      <c r="EL100" s="48">
        <f>Mu</f>
      </c>
    </row>
    <row r="101" spans="2:9" x14ac:dyDescent="0.25">
      <c r="B101" s="3" t="s">
        <v>303</v>
      </c>
      <c r="C101" s="3"/>
      <c r="D101" s="3"/>
      <c r="E101" s="3"/>
      <c r="F101" s="3"/>
      <c r="G101" s="3"/>
      <c r="H101" s="3"/>
      <c r="I101" s="3"/>
    </row>
    <row r="102" spans="2:7" x14ac:dyDescent="0.25">
      <c r="B102" t="s">
        <v>304</v>
      </c>
      <c r="E102" s="10">
        <f>BT8</f>
      </c>
      <c r="F102" s="10">
        <f>PM_Angle!$S$7</f>
      </c>
      <c r="G102" s="35">
        <f>IF(ABS(E102-F102)&lt;=0.000001*MAX(ABS(F102),1),"ok - imported surface matches the live calculation","STALE - material or geometry inputs changed; re-export from the app")</f>
      </c>
    </row>
    <row r="103" spans="2:7" x14ac:dyDescent="0.25">
      <c r="B103" t="s">
        <v>305</v>
      </c>
      <c r="E103" s="10">
        <f>CO8</f>
      </c>
      <c r="F103" s="10">
        <f>PM_Angle!$S$28</f>
      </c>
      <c r="G103" s="35">
        <f>IF(ABS(E103-F103)&lt;=0.000001*MAX(ABS(F103),1),"ok - imported surface matches the live calculation","STALE - material or geometry inputs changed; re-export from the app")</f>
      </c>
    </row>
    <row r="105" spans="2:9" x14ac:dyDescent="0.25">
      <c r="B105" s="3" t="s">
        <v>306</v>
      </c>
      <c r="C105" s="3"/>
      <c r="D105" s="3"/>
      <c r="E105" s="3"/>
      <c r="F105" s="3"/>
      <c r="G105" s="3"/>
      <c r="H105" s="3"/>
      <c r="I105" s="3"/>
    </row>
    <row r="106" spans="2:5" x14ac:dyDescent="0.25">
      <c r="B106" t="s">
        <v>307</v>
      </c>
      <c r="E106" s="49">
        <f>theta_L</f>
      </c>
    </row>
    <row r="107" spans="2:5" x14ac:dyDescent="0.25">
      <c r="B107" t="s">
        <v>308</v>
      </c>
      <c r="E107" s="50">
        <f>COUNT(ER8:ER98)</f>
      </c>
    </row>
    <row r="108" spans="2:5" x14ac:dyDescent="0.25">
      <c r="B108" t="s">
        <v>309</v>
      </c>
      <c r="E108" s="51">
        <f>IF(COUNT(ER8:ER98)=0,"no crossing",MIN(ER8:ER98))</f>
      </c>
    </row>
    <row r="109" spans="2:5" x14ac:dyDescent="0.25">
      <c r="B109" t="s">
        <v>310</v>
      </c>
      <c r="E109" s="51">
        <f>IF(ISNUMBER(Mb),Mb*COS(RADIANS(theta_L)),"n/a")</f>
      </c>
    </row>
    <row r="110" spans="2:5" x14ac:dyDescent="0.25">
      <c r="B110" t="s">
        <v>311</v>
      </c>
      <c r="E110" s="51">
        <f>IF(ISNUMBER(Mb),Mb*SIN(RADIANS(theta_L)),"n/a")</f>
      </c>
    </row>
    <row r="111" spans="2:5" x14ac:dyDescent="0.25">
      <c r="B111" t="s">
        <v>312</v>
      </c>
      <c r="E111" s="51">
        <f>Mu</f>
      </c>
    </row>
    <row r="112" spans="2:5" x14ac:dyDescent="0.25">
      <c r="B112" t="s">
        <v>313</v>
      </c>
      <c r="E112" s="52">
        <f>IF(ISNUMBER(Mb),IF(Mb&lt;=0,"n/a",Mu/Mb),"n/a")</f>
      </c>
    </row>
    <row r="113" spans="2:2" x14ac:dyDescent="0.25">
      <c r="B113" s="5" t="s">
        <v>314</v>
      </c>
    </row>
  </sheetData>
  <mergeCells count="32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BM6"/>
    <mergeCell ref="BN6:BP6"/>
    <mergeCell ref="BQ6:BS6"/>
    <mergeCell ref="BT6:CO6"/>
    <mergeCell ref="CP6:DK6"/>
    <mergeCell ref="DL6:EG6"/>
    <mergeCell ref="EH6:EL6"/>
    <mergeCell ref="EM6:ER6"/>
    <mergeCell ref="B101:I101"/>
    <mergeCell ref="B105:I105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5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316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307</v>
      </c>
      <c r="C5" s="11">
        <f>theta_L</f>
      </c>
    </row>
    <row r="6" spans="2:4" x14ac:dyDescent="0.25">
      <c r="B6" t="s">
        <v>317</v>
      </c>
      <c r="C6" s="11">
        <f>beta</f>
      </c>
      <c r="D6" s="5" t="s">
        <v>318</v>
      </c>
    </row>
    <row r="7" spans="2:4" x14ac:dyDescent="0.25">
      <c r="B7" t="s">
        <v>319</v>
      </c>
      <c r="C7" s="53">
        <f>0.000000001*MAX(MAX(MxMy_FixedP!$CP$8:$DK$99),-MIN(MxMy_FixedP!$CP$8:$DK$99),MAX(MxMy_FixedP!$DL$8:$EG$99),-MIN(MxMy_FixedP!$DL$8:$EG$99))</f>
      </c>
      <c r="D7" s="5" t="s">
        <v>320</v>
      </c>
    </row>
    <row r="8" spans="2:10" x14ac:dyDescent="0.25">
      <c r="B8" s="25" t="s">
        <v>321</v>
      </c>
      <c r="C8" s="25"/>
      <c r="D8" s="25" t="s">
        <v>322</v>
      </c>
      <c r="E8" s="25"/>
      <c r="F8" s="25"/>
      <c r="G8" s="25" t="s">
        <v>323</v>
      </c>
      <c r="H8" s="25"/>
      <c r="I8" s="25"/>
      <c r="J8" s="25" t="s">
        <v>324</v>
      </c>
    </row>
    <row r="9" ht="26" customHeight="1" spans="2:10" x14ac:dyDescent="0.25">
      <c r="B9" s="17" t="s">
        <v>196</v>
      </c>
      <c r="C9" s="17" t="s">
        <v>325</v>
      </c>
      <c r="D9" s="17" t="s">
        <v>326</v>
      </c>
      <c r="E9" s="17" t="s">
        <v>207</v>
      </c>
      <c r="F9" s="17" t="s">
        <v>327</v>
      </c>
      <c r="G9" s="17" t="s">
        <v>326</v>
      </c>
      <c r="H9" s="17" t="s">
        <v>207</v>
      </c>
      <c r="I9" s="17" t="s">
        <v>327</v>
      </c>
      <c r="J9" s="17" t="s">
        <v>328</v>
      </c>
    </row>
    <row r="10" spans="2:11" x14ac:dyDescent="0.25">
      <c r="B10" s="35" t="s">
        <v>213</v>
      </c>
      <c r="C10" s="54" t="s">
        <v>329</v>
      </c>
      <c r="D10" s="46">
        <f>IF($K10&lt;=Mtol,0,SUMPRODUCT(((((MxMy_FixedP!$CP$8:$CP$98)*SIN(RADIANS(theta_L))-(MxMy_FixedP!$DL$8:$DL$98)*COS(RADIANS(theta_L))))*(((MxMy_FixedP!$CP$9:$CP$99)*SIN(RADIANS(theta_L))-(MxMy_FixedP!$DL$9:$DL$99)*COS(RADIANS(theta_L))))&lt;=0)*((((MxMy_FixedP!$CP$8:$CP$98)*SIN(RADIANS(theta_L))-(MxMy_FixedP!$DL$8:$DL$98)*COS(RADIANS(theta_L))))&lt;&gt;(((MxMy_FixedP!$CP$9:$CP$99)*SIN(RADIANS(theta_L))-(MxMy_FixedP!$DL$9:$DL$99)*COS(RADIANS(theta_L)))))*((((MxMy_FixedP!$CP$8:$CP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CP$9:$CP$99)-(MxMy_FixedP!$CP$8:$CP$98)))*COS(RADIANS(theta_L))+((MxMy_FixedP!$DL$8:$DL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DL$9:$DL$99)-(MxMy_FixedP!$DL$8:$DL$98)))*SIN(RADIANS(theta_L)))&gt;0)))</f>
      </c>
      <c r="E10" s="10">
        <f>IF($K10&lt;=Mtol,MxMy_FixedP!$BT$8,IF(D10=0,"",SUMPRODUCT(((((MxMy_FixedP!$CP$8:$CP$98)*SIN(RADIANS(theta_L))-(MxMy_FixedP!$DL$8:$DL$98)*COS(RADIANS(theta_L))))*(((MxMy_FixedP!$CP$9:$CP$99)*SIN(RADIANS(theta_L))-(MxMy_FixedP!$DL$9:$DL$99)*COS(RADIANS(theta_L))))&lt;=0)*((((MxMy_FixedP!$CP$8:$CP$98)*SIN(RADIANS(theta_L))-(MxMy_FixedP!$DL$8:$DL$98)*COS(RADIANS(theta_L))))&lt;&gt;(((MxMy_FixedP!$CP$9:$CP$99)*SIN(RADIANS(theta_L))-(MxMy_FixedP!$DL$9:$DL$99)*COS(RADIANS(theta_L)))))*((((MxMy_FixedP!$CP$8:$CP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CP$9:$CP$99)-(MxMy_FixedP!$CP$8:$CP$98)))*COS(RADIANS(theta_L))+((MxMy_FixedP!$DL$8:$DL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DL$9:$DL$99)-(MxMy_FixedP!$DL$8:$DL$98)))*SIN(RADIANS(theta_L)))&gt;0),((MxMy_FixedP!$BT$8:$BT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BT$9:$BT$99)-(MxMy_FixedP!$BT$8:$BT$98))))/D10))</f>
      </c>
      <c r="F10" s="10">
        <f>IF($K10&lt;=Mtol,0,IF(D10=0,"",SUMPRODUCT(((((MxMy_FixedP!$CP$8:$CP$98)*SIN(RADIANS(theta_L))-(MxMy_FixedP!$DL$8:$DL$98)*COS(RADIANS(theta_L))))*(((MxMy_FixedP!$CP$9:$CP$99)*SIN(RADIANS(theta_L))-(MxMy_FixedP!$DL$9:$DL$99)*COS(RADIANS(theta_L))))&lt;=0)*((((MxMy_FixedP!$CP$8:$CP$98)*SIN(RADIANS(theta_L))-(MxMy_FixedP!$DL$8:$DL$98)*COS(RADIANS(theta_L))))&lt;&gt;(((MxMy_FixedP!$CP$9:$CP$99)*SIN(RADIANS(theta_L))-(MxMy_FixedP!$DL$9:$DL$99)*COS(RADIANS(theta_L)))))*((((MxMy_FixedP!$CP$8:$CP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CP$9:$CP$99)-(MxMy_FixedP!$CP$8:$CP$98)))*COS(RADIANS(theta_L))+((MxMy_FixedP!$DL$8:$DL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DL$9:$DL$99)-(MxMy_FixedP!$DL$8:$DL$98)))*SIN(RADIANS(theta_L)))&gt;0),(((MxMy_FixedP!$CP$8:$CP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CP$9:$CP$99)-(MxMy_FixedP!$CP$8:$CP$98)))*COS(RADIANS(theta_L))+((MxMy_FixedP!$DL$8:$DL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DL$9:$DL$99)-(MxMy_FixedP!$DL$8:$DL$98)))*SIN(RADIANS(theta_L))))/D10))</f>
      </c>
      <c r="G10" s="46">
        <f>IF($K10&lt;=Mtol,0,SUMPRODUCT(((((MxMy_FixedP!$CP$8:$CP$98)*SIN(RADIANS(theta_L))-(MxMy_FixedP!$DL$8:$DL$98)*COS(RADIANS(theta_L))))*(((MxMy_FixedP!$CP$9:$CP$99)*SIN(RADIANS(theta_L))-(MxMy_FixedP!$DL$9:$DL$99)*COS(RADIANS(theta_L))))&lt;=0)*((((MxMy_FixedP!$CP$8:$CP$98)*SIN(RADIANS(theta_L))-(MxMy_FixedP!$DL$8:$DL$98)*COS(RADIANS(theta_L))))&lt;&gt;(((MxMy_FixedP!$CP$9:$CP$99)*SIN(RADIANS(theta_L))-(MxMy_FixedP!$DL$9:$DL$99)*COS(RADIANS(theta_L)))))*((((MxMy_FixedP!$CP$8:$CP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CP$9:$CP$99)-(MxMy_FixedP!$CP$8:$CP$98)))*COS(RADIANS(theta_L))+((MxMy_FixedP!$DL$8:$DL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DL$9:$DL$99)-(MxMy_FixedP!$DL$8:$DL$98)))*SIN(RADIANS(theta_L)))&lt;0)))</f>
      </c>
      <c r="H10" s="10">
        <f>IF($K10&lt;=Mtol,MxMy_FixedP!$BT$8,IF(G10=0,"",SUMPRODUCT(((((MxMy_FixedP!$CP$8:$CP$98)*SIN(RADIANS(theta_L))-(MxMy_FixedP!$DL$8:$DL$98)*COS(RADIANS(theta_L))))*(((MxMy_FixedP!$CP$9:$CP$99)*SIN(RADIANS(theta_L))-(MxMy_FixedP!$DL$9:$DL$99)*COS(RADIANS(theta_L))))&lt;=0)*((((MxMy_FixedP!$CP$8:$CP$98)*SIN(RADIANS(theta_L))-(MxMy_FixedP!$DL$8:$DL$98)*COS(RADIANS(theta_L))))&lt;&gt;(((MxMy_FixedP!$CP$9:$CP$99)*SIN(RADIANS(theta_L))-(MxMy_FixedP!$DL$9:$DL$99)*COS(RADIANS(theta_L)))))*((((MxMy_FixedP!$CP$8:$CP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CP$9:$CP$99)-(MxMy_FixedP!$CP$8:$CP$98)))*COS(RADIANS(theta_L))+((MxMy_FixedP!$DL$8:$DL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DL$9:$DL$99)-(MxMy_FixedP!$DL$8:$DL$98)))*SIN(RADIANS(theta_L)))&lt;0),((MxMy_FixedP!$BT$8:$BT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BT$9:$BT$99)-(MxMy_FixedP!$BT$8:$BT$98))))/G10))</f>
      </c>
      <c r="I10" s="10">
        <f>IF($K10&lt;=Mtol,0,IF(G10=0,"",SUMPRODUCT(((((MxMy_FixedP!$CP$8:$CP$98)*SIN(RADIANS(theta_L))-(MxMy_FixedP!$DL$8:$DL$98)*COS(RADIANS(theta_L))))*(((MxMy_FixedP!$CP$9:$CP$99)*SIN(RADIANS(theta_L))-(MxMy_FixedP!$DL$9:$DL$99)*COS(RADIANS(theta_L))))&lt;=0)*((((MxMy_FixedP!$CP$8:$CP$98)*SIN(RADIANS(theta_L))-(MxMy_FixedP!$DL$8:$DL$98)*COS(RADIANS(theta_L))))&lt;&gt;(((MxMy_FixedP!$CP$9:$CP$99)*SIN(RADIANS(theta_L))-(MxMy_FixedP!$DL$9:$DL$99)*COS(RADIANS(theta_L)))))*((((MxMy_FixedP!$CP$8:$CP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CP$9:$CP$99)-(MxMy_FixedP!$CP$8:$CP$98)))*COS(RADIANS(theta_L))+((MxMy_FixedP!$DL$8:$DL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DL$9:$DL$99)-(MxMy_FixedP!$DL$8:$DL$98)))*SIN(RADIANS(theta_L)))&lt;0),(((MxMy_FixedP!$CP$8:$CP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CP$9:$CP$99)-(MxMy_FixedP!$CP$8:$CP$98)))*COS(RADIANS(theta_L))+((MxMy_FixedP!$DL$8:$DL$98)+(((MxMy_FixedP!$CP$8:$CP$98)*SIN(RADIANS(theta_L))-(MxMy_FixedP!$DL$8:$DL$98)*COS(RADIANS(theta_L)))/((((MxMy_FixedP!$CP$8:$CP$98)*SIN(RADIANS(theta_L))-(MxMy_FixedP!$DL$8:$DL$98)*COS(RADIANS(theta_L))))-(((MxMy_FixedP!$CP$9:$CP$99)*SIN(RADIANS(theta_L))-(MxMy_FixedP!$DL$9:$DL$99)*COS(RADIANS(theta_L))))+((((MxMy_FixedP!$CP$8:$CP$98)*SIN(RADIANS(theta_L))-(MxMy_FixedP!$DL$8:$DL$98)*COS(RADIANS(theta_L))))=(((MxMy_FixedP!$CP$9:$CP$99)*SIN(RADIANS(theta_L))-(MxMy_FixedP!$DL$9:$DL$99)*COS(RADIANS(theta_L)))))))*((MxMy_FixedP!$DL$9:$DL$99)-(MxMy_FixedP!$DL$8:$DL$98)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215</v>
      </c>
      <c r="C11" s="54" t="s">
        <v>330</v>
      </c>
      <c r="D11" s="46">
        <f>IF($K11&lt;=Mtol,0,SUMPRODUCT(((((MxMy_FixedP!$CQ$8:$CQ$98)*SIN(RADIANS(theta_L))-(MxMy_FixedP!$DM$8:$DM$98)*COS(RADIANS(theta_L))))*(((MxMy_FixedP!$CQ$9:$CQ$99)*SIN(RADIANS(theta_L))-(MxMy_FixedP!$DM$9:$DM$99)*COS(RADIANS(theta_L))))&lt;=0)*((((MxMy_FixedP!$CQ$8:$CQ$98)*SIN(RADIANS(theta_L))-(MxMy_FixedP!$DM$8:$DM$98)*COS(RADIANS(theta_L))))&lt;&gt;(((MxMy_FixedP!$CQ$9:$CQ$99)*SIN(RADIANS(theta_L))-(MxMy_FixedP!$DM$9:$DM$99)*COS(RADIANS(theta_L)))))*((((MxMy_FixedP!$CQ$8:$CQ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CQ$9:$CQ$99)-(MxMy_FixedP!$CQ$8:$CQ$98)))*COS(RADIANS(theta_L))+((MxMy_FixedP!$DM$8:$DM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DM$9:$DM$99)-(MxMy_FixedP!$DM$8:$DM$98)))*SIN(RADIANS(theta_L)))&gt;0)))</f>
      </c>
      <c r="E11" s="10">
        <f>IF($K11&lt;=Mtol,MxMy_FixedP!$BU$8,IF(D11=0,"",SUMPRODUCT(((((MxMy_FixedP!$CQ$8:$CQ$98)*SIN(RADIANS(theta_L))-(MxMy_FixedP!$DM$8:$DM$98)*COS(RADIANS(theta_L))))*(((MxMy_FixedP!$CQ$9:$CQ$99)*SIN(RADIANS(theta_L))-(MxMy_FixedP!$DM$9:$DM$99)*COS(RADIANS(theta_L))))&lt;=0)*((((MxMy_FixedP!$CQ$8:$CQ$98)*SIN(RADIANS(theta_L))-(MxMy_FixedP!$DM$8:$DM$98)*COS(RADIANS(theta_L))))&lt;&gt;(((MxMy_FixedP!$CQ$9:$CQ$99)*SIN(RADIANS(theta_L))-(MxMy_FixedP!$DM$9:$DM$99)*COS(RADIANS(theta_L)))))*((((MxMy_FixedP!$CQ$8:$CQ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CQ$9:$CQ$99)-(MxMy_FixedP!$CQ$8:$CQ$98)))*COS(RADIANS(theta_L))+((MxMy_FixedP!$DM$8:$DM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DM$9:$DM$99)-(MxMy_FixedP!$DM$8:$DM$98)))*SIN(RADIANS(theta_L)))&gt;0),((MxMy_FixedP!$BU$8:$BU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BU$9:$BU$99)-(MxMy_FixedP!$BU$8:$BU$98))))/D11))</f>
      </c>
      <c r="F11" s="10">
        <f>IF($K11&lt;=Mtol,0,IF(D11=0,"",SUMPRODUCT(((((MxMy_FixedP!$CQ$8:$CQ$98)*SIN(RADIANS(theta_L))-(MxMy_FixedP!$DM$8:$DM$98)*COS(RADIANS(theta_L))))*(((MxMy_FixedP!$CQ$9:$CQ$99)*SIN(RADIANS(theta_L))-(MxMy_FixedP!$DM$9:$DM$99)*COS(RADIANS(theta_L))))&lt;=0)*((((MxMy_FixedP!$CQ$8:$CQ$98)*SIN(RADIANS(theta_L))-(MxMy_FixedP!$DM$8:$DM$98)*COS(RADIANS(theta_L))))&lt;&gt;(((MxMy_FixedP!$CQ$9:$CQ$99)*SIN(RADIANS(theta_L))-(MxMy_FixedP!$DM$9:$DM$99)*COS(RADIANS(theta_L)))))*((((MxMy_FixedP!$CQ$8:$CQ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CQ$9:$CQ$99)-(MxMy_FixedP!$CQ$8:$CQ$98)))*COS(RADIANS(theta_L))+((MxMy_FixedP!$DM$8:$DM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DM$9:$DM$99)-(MxMy_FixedP!$DM$8:$DM$98)))*SIN(RADIANS(theta_L)))&gt;0),(((MxMy_FixedP!$CQ$8:$CQ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CQ$9:$CQ$99)-(MxMy_FixedP!$CQ$8:$CQ$98)))*COS(RADIANS(theta_L))+((MxMy_FixedP!$DM$8:$DM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DM$9:$DM$99)-(MxMy_FixedP!$DM$8:$DM$98)))*SIN(RADIANS(theta_L))))/D11))</f>
      </c>
      <c r="G11" s="46">
        <f>IF($K11&lt;=Mtol,0,SUMPRODUCT(((((MxMy_FixedP!$CQ$8:$CQ$98)*SIN(RADIANS(theta_L))-(MxMy_FixedP!$DM$8:$DM$98)*COS(RADIANS(theta_L))))*(((MxMy_FixedP!$CQ$9:$CQ$99)*SIN(RADIANS(theta_L))-(MxMy_FixedP!$DM$9:$DM$99)*COS(RADIANS(theta_L))))&lt;=0)*((((MxMy_FixedP!$CQ$8:$CQ$98)*SIN(RADIANS(theta_L))-(MxMy_FixedP!$DM$8:$DM$98)*COS(RADIANS(theta_L))))&lt;&gt;(((MxMy_FixedP!$CQ$9:$CQ$99)*SIN(RADIANS(theta_L))-(MxMy_FixedP!$DM$9:$DM$99)*COS(RADIANS(theta_L)))))*((((MxMy_FixedP!$CQ$8:$CQ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CQ$9:$CQ$99)-(MxMy_FixedP!$CQ$8:$CQ$98)))*COS(RADIANS(theta_L))+((MxMy_FixedP!$DM$8:$DM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DM$9:$DM$99)-(MxMy_FixedP!$DM$8:$DM$98)))*SIN(RADIANS(theta_L)))&lt;0)))</f>
      </c>
      <c r="H11" s="10">
        <f>IF($K11&lt;=Mtol,MxMy_FixedP!$BU$8,IF(G11=0,"",SUMPRODUCT(((((MxMy_FixedP!$CQ$8:$CQ$98)*SIN(RADIANS(theta_L))-(MxMy_FixedP!$DM$8:$DM$98)*COS(RADIANS(theta_L))))*(((MxMy_FixedP!$CQ$9:$CQ$99)*SIN(RADIANS(theta_L))-(MxMy_FixedP!$DM$9:$DM$99)*COS(RADIANS(theta_L))))&lt;=0)*((((MxMy_FixedP!$CQ$8:$CQ$98)*SIN(RADIANS(theta_L))-(MxMy_FixedP!$DM$8:$DM$98)*COS(RADIANS(theta_L))))&lt;&gt;(((MxMy_FixedP!$CQ$9:$CQ$99)*SIN(RADIANS(theta_L))-(MxMy_FixedP!$DM$9:$DM$99)*COS(RADIANS(theta_L)))))*((((MxMy_FixedP!$CQ$8:$CQ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CQ$9:$CQ$99)-(MxMy_FixedP!$CQ$8:$CQ$98)))*COS(RADIANS(theta_L))+((MxMy_FixedP!$DM$8:$DM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DM$9:$DM$99)-(MxMy_FixedP!$DM$8:$DM$98)))*SIN(RADIANS(theta_L)))&lt;0),((MxMy_FixedP!$BU$8:$BU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BU$9:$BU$99)-(MxMy_FixedP!$BU$8:$BU$98))))/G11))</f>
      </c>
      <c r="I11" s="10">
        <f>IF($K11&lt;=Mtol,0,IF(G11=0,"",SUMPRODUCT(((((MxMy_FixedP!$CQ$8:$CQ$98)*SIN(RADIANS(theta_L))-(MxMy_FixedP!$DM$8:$DM$98)*COS(RADIANS(theta_L))))*(((MxMy_FixedP!$CQ$9:$CQ$99)*SIN(RADIANS(theta_L))-(MxMy_FixedP!$DM$9:$DM$99)*COS(RADIANS(theta_L))))&lt;=0)*((((MxMy_FixedP!$CQ$8:$CQ$98)*SIN(RADIANS(theta_L))-(MxMy_FixedP!$DM$8:$DM$98)*COS(RADIANS(theta_L))))&lt;&gt;(((MxMy_FixedP!$CQ$9:$CQ$99)*SIN(RADIANS(theta_L))-(MxMy_FixedP!$DM$9:$DM$99)*COS(RADIANS(theta_L)))))*((((MxMy_FixedP!$CQ$8:$CQ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CQ$9:$CQ$99)-(MxMy_FixedP!$CQ$8:$CQ$98)))*COS(RADIANS(theta_L))+((MxMy_FixedP!$DM$8:$DM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DM$9:$DM$99)-(MxMy_FixedP!$DM$8:$DM$98)))*SIN(RADIANS(theta_L)))&lt;0),(((MxMy_FixedP!$CQ$8:$CQ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CQ$9:$CQ$99)-(MxMy_FixedP!$CQ$8:$CQ$98)))*COS(RADIANS(theta_L))+((MxMy_FixedP!$DM$8:$DM$98)+(((MxMy_FixedP!$CQ$8:$CQ$98)*SIN(RADIANS(theta_L))-(MxMy_FixedP!$DM$8:$DM$98)*COS(RADIANS(theta_L)))/((((MxMy_FixedP!$CQ$8:$CQ$98)*SIN(RADIANS(theta_L))-(MxMy_FixedP!$DM$8:$DM$98)*COS(RADIANS(theta_L))))-(((MxMy_FixedP!$CQ$9:$CQ$99)*SIN(RADIANS(theta_L))-(MxMy_FixedP!$DM$9:$DM$99)*COS(RADIANS(theta_L))))+((((MxMy_FixedP!$CQ$8:$CQ$98)*SIN(RADIANS(theta_L))-(MxMy_FixedP!$DM$8:$DM$98)*COS(RADIANS(theta_L))))=(((MxMy_FixedP!$CQ$9:$CQ$99)*SIN(RADIANS(theta_L))-(MxMy_FixedP!$DM$9:$DM$99)*COS(RADIANS(theta_L)))))))*((MxMy_FixedP!$DM$9:$DM$99)-(MxMy_FixedP!$DM$8:$DM$98)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216</v>
      </c>
      <c r="C12" s="54" t="s">
        <v>331</v>
      </c>
      <c r="D12" s="46">
        <f>IF($K12&lt;=Mtol,0,SUMPRODUCT(((((MxMy_FixedP!$CR$8:$CR$98)*SIN(RADIANS(theta_L))-(MxMy_FixedP!$DN$8:$DN$98)*COS(RADIANS(theta_L))))*(((MxMy_FixedP!$CR$9:$CR$99)*SIN(RADIANS(theta_L))-(MxMy_FixedP!$DN$9:$DN$99)*COS(RADIANS(theta_L))))&lt;=0)*((((MxMy_FixedP!$CR$8:$CR$98)*SIN(RADIANS(theta_L))-(MxMy_FixedP!$DN$8:$DN$98)*COS(RADIANS(theta_L))))&lt;&gt;(((MxMy_FixedP!$CR$9:$CR$99)*SIN(RADIANS(theta_L))-(MxMy_FixedP!$DN$9:$DN$99)*COS(RADIANS(theta_L)))))*((((MxMy_FixedP!$CR$8:$CR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CR$9:$CR$99)-(MxMy_FixedP!$CR$8:$CR$98)))*COS(RADIANS(theta_L))+((MxMy_FixedP!$DN$8:$DN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DN$9:$DN$99)-(MxMy_FixedP!$DN$8:$DN$98)))*SIN(RADIANS(theta_L)))&gt;0)))</f>
      </c>
      <c r="E12" s="10">
        <f>IF($K12&lt;=Mtol,MxMy_FixedP!$BV$8,IF(D12=0,"",SUMPRODUCT(((((MxMy_FixedP!$CR$8:$CR$98)*SIN(RADIANS(theta_L))-(MxMy_FixedP!$DN$8:$DN$98)*COS(RADIANS(theta_L))))*(((MxMy_FixedP!$CR$9:$CR$99)*SIN(RADIANS(theta_L))-(MxMy_FixedP!$DN$9:$DN$99)*COS(RADIANS(theta_L))))&lt;=0)*((((MxMy_FixedP!$CR$8:$CR$98)*SIN(RADIANS(theta_L))-(MxMy_FixedP!$DN$8:$DN$98)*COS(RADIANS(theta_L))))&lt;&gt;(((MxMy_FixedP!$CR$9:$CR$99)*SIN(RADIANS(theta_L))-(MxMy_FixedP!$DN$9:$DN$99)*COS(RADIANS(theta_L)))))*((((MxMy_FixedP!$CR$8:$CR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CR$9:$CR$99)-(MxMy_FixedP!$CR$8:$CR$98)))*COS(RADIANS(theta_L))+((MxMy_FixedP!$DN$8:$DN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DN$9:$DN$99)-(MxMy_FixedP!$DN$8:$DN$98)))*SIN(RADIANS(theta_L)))&gt;0),((MxMy_FixedP!$BV$8:$BV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BV$9:$BV$99)-(MxMy_FixedP!$BV$8:$BV$98))))/D12))</f>
      </c>
      <c r="F12" s="10">
        <f>IF($K12&lt;=Mtol,0,IF(D12=0,"",SUMPRODUCT(((((MxMy_FixedP!$CR$8:$CR$98)*SIN(RADIANS(theta_L))-(MxMy_FixedP!$DN$8:$DN$98)*COS(RADIANS(theta_L))))*(((MxMy_FixedP!$CR$9:$CR$99)*SIN(RADIANS(theta_L))-(MxMy_FixedP!$DN$9:$DN$99)*COS(RADIANS(theta_L))))&lt;=0)*((((MxMy_FixedP!$CR$8:$CR$98)*SIN(RADIANS(theta_L))-(MxMy_FixedP!$DN$8:$DN$98)*COS(RADIANS(theta_L))))&lt;&gt;(((MxMy_FixedP!$CR$9:$CR$99)*SIN(RADIANS(theta_L))-(MxMy_FixedP!$DN$9:$DN$99)*COS(RADIANS(theta_L)))))*((((MxMy_FixedP!$CR$8:$CR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CR$9:$CR$99)-(MxMy_FixedP!$CR$8:$CR$98)))*COS(RADIANS(theta_L))+((MxMy_FixedP!$DN$8:$DN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DN$9:$DN$99)-(MxMy_FixedP!$DN$8:$DN$98)))*SIN(RADIANS(theta_L)))&gt;0),(((MxMy_FixedP!$CR$8:$CR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CR$9:$CR$99)-(MxMy_FixedP!$CR$8:$CR$98)))*COS(RADIANS(theta_L))+((MxMy_FixedP!$DN$8:$DN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DN$9:$DN$99)-(MxMy_FixedP!$DN$8:$DN$98)))*SIN(RADIANS(theta_L))))/D12))</f>
      </c>
      <c r="G12" s="46">
        <f>IF($K12&lt;=Mtol,0,SUMPRODUCT(((((MxMy_FixedP!$CR$8:$CR$98)*SIN(RADIANS(theta_L))-(MxMy_FixedP!$DN$8:$DN$98)*COS(RADIANS(theta_L))))*(((MxMy_FixedP!$CR$9:$CR$99)*SIN(RADIANS(theta_L))-(MxMy_FixedP!$DN$9:$DN$99)*COS(RADIANS(theta_L))))&lt;=0)*((((MxMy_FixedP!$CR$8:$CR$98)*SIN(RADIANS(theta_L))-(MxMy_FixedP!$DN$8:$DN$98)*COS(RADIANS(theta_L))))&lt;&gt;(((MxMy_FixedP!$CR$9:$CR$99)*SIN(RADIANS(theta_L))-(MxMy_FixedP!$DN$9:$DN$99)*COS(RADIANS(theta_L)))))*((((MxMy_FixedP!$CR$8:$CR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CR$9:$CR$99)-(MxMy_FixedP!$CR$8:$CR$98)))*COS(RADIANS(theta_L))+((MxMy_FixedP!$DN$8:$DN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DN$9:$DN$99)-(MxMy_FixedP!$DN$8:$DN$98)))*SIN(RADIANS(theta_L)))&lt;0)))</f>
      </c>
      <c r="H12" s="10">
        <f>IF($K12&lt;=Mtol,MxMy_FixedP!$BV$8,IF(G12=0,"",SUMPRODUCT(((((MxMy_FixedP!$CR$8:$CR$98)*SIN(RADIANS(theta_L))-(MxMy_FixedP!$DN$8:$DN$98)*COS(RADIANS(theta_L))))*(((MxMy_FixedP!$CR$9:$CR$99)*SIN(RADIANS(theta_L))-(MxMy_FixedP!$DN$9:$DN$99)*COS(RADIANS(theta_L))))&lt;=0)*((((MxMy_FixedP!$CR$8:$CR$98)*SIN(RADIANS(theta_L))-(MxMy_FixedP!$DN$8:$DN$98)*COS(RADIANS(theta_L))))&lt;&gt;(((MxMy_FixedP!$CR$9:$CR$99)*SIN(RADIANS(theta_L))-(MxMy_FixedP!$DN$9:$DN$99)*COS(RADIANS(theta_L)))))*((((MxMy_FixedP!$CR$8:$CR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CR$9:$CR$99)-(MxMy_FixedP!$CR$8:$CR$98)))*COS(RADIANS(theta_L))+((MxMy_FixedP!$DN$8:$DN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DN$9:$DN$99)-(MxMy_FixedP!$DN$8:$DN$98)))*SIN(RADIANS(theta_L)))&lt;0),((MxMy_FixedP!$BV$8:$BV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BV$9:$BV$99)-(MxMy_FixedP!$BV$8:$BV$98))))/G12))</f>
      </c>
      <c r="I12" s="10">
        <f>IF($K12&lt;=Mtol,0,IF(G12=0,"",SUMPRODUCT(((((MxMy_FixedP!$CR$8:$CR$98)*SIN(RADIANS(theta_L))-(MxMy_FixedP!$DN$8:$DN$98)*COS(RADIANS(theta_L))))*(((MxMy_FixedP!$CR$9:$CR$99)*SIN(RADIANS(theta_L))-(MxMy_FixedP!$DN$9:$DN$99)*COS(RADIANS(theta_L))))&lt;=0)*((((MxMy_FixedP!$CR$8:$CR$98)*SIN(RADIANS(theta_L))-(MxMy_FixedP!$DN$8:$DN$98)*COS(RADIANS(theta_L))))&lt;&gt;(((MxMy_FixedP!$CR$9:$CR$99)*SIN(RADIANS(theta_L))-(MxMy_FixedP!$DN$9:$DN$99)*COS(RADIANS(theta_L)))))*((((MxMy_FixedP!$CR$8:$CR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CR$9:$CR$99)-(MxMy_FixedP!$CR$8:$CR$98)))*COS(RADIANS(theta_L))+((MxMy_FixedP!$DN$8:$DN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DN$9:$DN$99)-(MxMy_FixedP!$DN$8:$DN$98)))*SIN(RADIANS(theta_L)))&lt;0),(((MxMy_FixedP!$CR$8:$CR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CR$9:$CR$99)-(MxMy_FixedP!$CR$8:$CR$98)))*COS(RADIANS(theta_L))+((MxMy_FixedP!$DN$8:$DN$98)+(((MxMy_FixedP!$CR$8:$CR$98)*SIN(RADIANS(theta_L))-(MxMy_FixedP!$DN$8:$DN$98)*COS(RADIANS(theta_L)))/((((MxMy_FixedP!$CR$8:$CR$98)*SIN(RADIANS(theta_L))-(MxMy_FixedP!$DN$8:$DN$98)*COS(RADIANS(theta_L))))-(((MxMy_FixedP!$CR$9:$CR$99)*SIN(RADIANS(theta_L))-(MxMy_FixedP!$DN$9:$DN$99)*COS(RADIANS(theta_L))))+((((MxMy_FixedP!$CR$8:$CR$98)*SIN(RADIANS(theta_L))-(MxMy_FixedP!$DN$8:$DN$98)*COS(RADIANS(theta_L))))=(((MxMy_FixedP!$CR$9:$CR$99)*SIN(RADIANS(theta_L))-(MxMy_FixedP!$DN$9:$DN$99)*COS(RADIANS(theta_L)))))))*((MxMy_FixedP!$DN$9:$DN$99)-(MxMy_FixedP!$DN$8:$DN$98)))*SIN(RADIANS(theta_L))))/G12))</f>
      </c>
      <c r="J12">
        <f>IF($K12&lt;=Mtol,"pole",IF(AND(D12&gt;=1,G12&gt;=1),"ok","CHECK: "&amp;D12&amp;"/"&amp;G12&amp;" cuts"))</f>
      </c>
      <c r="K12" s="18">
        <v>169.4569257436916</v>
      </c>
    </row>
    <row r="13" spans="2:11" x14ac:dyDescent="0.25">
      <c r="B13" s="35" t="s">
        <v>217</v>
      </c>
      <c r="C13" s="54" t="s">
        <v>332</v>
      </c>
      <c r="D13" s="46">
        <f>IF($K13&lt;=Mtol,0,SUMPRODUCT(((((MxMy_FixedP!$CS$8:$CS$98)*SIN(RADIANS(theta_L))-(MxMy_FixedP!$DO$8:$DO$98)*COS(RADIANS(theta_L))))*(((MxMy_FixedP!$CS$9:$CS$99)*SIN(RADIANS(theta_L))-(MxMy_FixedP!$DO$9:$DO$99)*COS(RADIANS(theta_L))))&lt;=0)*((((MxMy_FixedP!$CS$8:$CS$98)*SIN(RADIANS(theta_L))-(MxMy_FixedP!$DO$8:$DO$98)*COS(RADIANS(theta_L))))&lt;&gt;(((MxMy_FixedP!$CS$9:$CS$99)*SIN(RADIANS(theta_L))-(MxMy_FixedP!$DO$9:$DO$99)*COS(RADIANS(theta_L)))))*((((MxMy_FixedP!$CS$8:$CS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CS$9:$CS$99)-(MxMy_FixedP!$CS$8:$CS$98)))*COS(RADIANS(theta_L))+((MxMy_FixedP!$DO$8:$DO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DO$9:$DO$99)-(MxMy_FixedP!$DO$8:$DO$98)))*SIN(RADIANS(theta_L)))&gt;0)))</f>
      </c>
      <c r="E13" s="10">
        <f>IF($K13&lt;=Mtol,MxMy_FixedP!$BW$8,IF(D13=0,"",SUMPRODUCT(((((MxMy_FixedP!$CS$8:$CS$98)*SIN(RADIANS(theta_L))-(MxMy_FixedP!$DO$8:$DO$98)*COS(RADIANS(theta_L))))*(((MxMy_FixedP!$CS$9:$CS$99)*SIN(RADIANS(theta_L))-(MxMy_FixedP!$DO$9:$DO$99)*COS(RADIANS(theta_L))))&lt;=0)*((((MxMy_FixedP!$CS$8:$CS$98)*SIN(RADIANS(theta_L))-(MxMy_FixedP!$DO$8:$DO$98)*COS(RADIANS(theta_L))))&lt;&gt;(((MxMy_FixedP!$CS$9:$CS$99)*SIN(RADIANS(theta_L))-(MxMy_FixedP!$DO$9:$DO$99)*COS(RADIANS(theta_L)))))*((((MxMy_FixedP!$CS$8:$CS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CS$9:$CS$99)-(MxMy_FixedP!$CS$8:$CS$98)))*COS(RADIANS(theta_L))+((MxMy_FixedP!$DO$8:$DO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DO$9:$DO$99)-(MxMy_FixedP!$DO$8:$DO$98)))*SIN(RADIANS(theta_L)))&gt;0),((MxMy_FixedP!$BW$8:$BW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BW$9:$BW$99)-(MxMy_FixedP!$BW$8:$BW$98))))/D13))</f>
      </c>
      <c r="F13" s="10">
        <f>IF($K13&lt;=Mtol,0,IF(D13=0,"",SUMPRODUCT(((((MxMy_FixedP!$CS$8:$CS$98)*SIN(RADIANS(theta_L))-(MxMy_FixedP!$DO$8:$DO$98)*COS(RADIANS(theta_L))))*(((MxMy_FixedP!$CS$9:$CS$99)*SIN(RADIANS(theta_L))-(MxMy_FixedP!$DO$9:$DO$99)*COS(RADIANS(theta_L))))&lt;=0)*((((MxMy_FixedP!$CS$8:$CS$98)*SIN(RADIANS(theta_L))-(MxMy_FixedP!$DO$8:$DO$98)*COS(RADIANS(theta_L))))&lt;&gt;(((MxMy_FixedP!$CS$9:$CS$99)*SIN(RADIANS(theta_L))-(MxMy_FixedP!$DO$9:$DO$99)*COS(RADIANS(theta_L)))))*((((MxMy_FixedP!$CS$8:$CS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CS$9:$CS$99)-(MxMy_FixedP!$CS$8:$CS$98)))*COS(RADIANS(theta_L))+((MxMy_FixedP!$DO$8:$DO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DO$9:$DO$99)-(MxMy_FixedP!$DO$8:$DO$98)))*SIN(RADIANS(theta_L)))&gt;0),(((MxMy_FixedP!$CS$8:$CS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CS$9:$CS$99)-(MxMy_FixedP!$CS$8:$CS$98)))*COS(RADIANS(theta_L))+((MxMy_FixedP!$DO$8:$DO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DO$9:$DO$99)-(MxMy_FixedP!$DO$8:$DO$98)))*SIN(RADIANS(theta_L))))/D13))</f>
      </c>
      <c r="G13" s="46">
        <f>IF($K13&lt;=Mtol,0,SUMPRODUCT(((((MxMy_FixedP!$CS$8:$CS$98)*SIN(RADIANS(theta_L))-(MxMy_FixedP!$DO$8:$DO$98)*COS(RADIANS(theta_L))))*(((MxMy_FixedP!$CS$9:$CS$99)*SIN(RADIANS(theta_L))-(MxMy_FixedP!$DO$9:$DO$99)*COS(RADIANS(theta_L))))&lt;=0)*((((MxMy_FixedP!$CS$8:$CS$98)*SIN(RADIANS(theta_L))-(MxMy_FixedP!$DO$8:$DO$98)*COS(RADIANS(theta_L))))&lt;&gt;(((MxMy_FixedP!$CS$9:$CS$99)*SIN(RADIANS(theta_L))-(MxMy_FixedP!$DO$9:$DO$99)*COS(RADIANS(theta_L)))))*((((MxMy_FixedP!$CS$8:$CS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CS$9:$CS$99)-(MxMy_FixedP!$CS$8:$CS$98)))*COS(RADIANS(theta_L))+((MxMy_FixedP!$DO$8:$DO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DO$9:$DO$99)-(MxMy_FixedP!$DO$8:$DO$98)))*SIN(RADIANS(theta_L)))&lt;0)))</f>
      </c>
      <c r="H13" s="10">
        <f>IF($K13&lt;=Mtol,MxMy_FixedP!$BW$8,IF(G13=0,"",SUMPRODUCT(((((MxMy_FixedP!$CS$8:$CS$98)*SIN(RADIANS(theta_L))-(MxMy_FixedP!$DO$8:$DO$98)*COS(RADIANS(theta_L))))*(((MxMy_FixedP!$CS$9:$CS$99)*SIN(RADIANS(theta_L))-(MxMy_FixedP!$DO$9:$DO$99)*COS(RADIANS(theta_L))))&lt;=0)*((((MxMy_FixedP!$CS$8:$CS$98)*SIN(RADIANS(theta_L))-(MxMy_FixedP!$DO$8:$DO$98)*COS(RADIANS(theta_L))))&lt;&gt;(((MxMy_FixedP!$CS$9:$CS$99)*SIN(RADIANS(theta_L))-(MxMy_FixedP!$DO$9:$DO$99)*COS(RADIANS(theta_L)))))*((((MxMy_FixedP!$CS$8:$CS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CS$9:$CS$99)-(MxMy_FixedP!$CS$8:$CS$98)))*COS(RADIANS(theta_L))+((MxMy_FixedP!$DO$8:$DO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DO$9:$DO$99)-(MxMy_FixedP!$DO$8:$DO$98)))*SIN(RADIANS(theta_L)))&lt;0),((MxMy_FixedP!$BW$8:$BW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BW$9:$BW$99)-(MxMy_FixedP!$BW$8:$BW$98))))/G13))</f>
      </c>
      <c r="I13" s="10">
        <f>IF($K13&lt;=Mtol,0,IF(G13=0,"",SUMPRODUCT(((((MxMy_FixedP!$CS$8:$CS$98)*SIN(RADIANS(theta_L))-(MxMy_FixedP!$DO$8:$DO$98)*COS(RADIANS(theta_L))))*(((MxMy_FixedP!$CS$9:$CS$99)*SIN(RADIANS(theta_L))-(MxMy_FixedP!$DO$9:$DO$99)*COS(RADIANS(theta_L))))&lt;=0)*((((MxMy_FixedP!$CS$8:$CS$98)*SIN(RADIANS(theta_L))-(MxMy_FixedP!$DO$8:$DO$98)*COS(RADIANS(theta_L))))&lt;&gt;(((MxMy_FixedP!$CS$9:$CS$99)*SIN(RADIANS(theta_L))-(MxMy_FixedP!$DO$9:$DO$99)*COS(RADIANS(theta_L)))))*((((MxMy_FixedP!$CS$8:$CS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CS$9:$CS$99)-(MxMy_FixedP!$CS$8:$CS$98)))*COS(RADIANS(theta_L))+((MxMy_FixedP!$DO$8:$DO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DO$9:$DO$99)-(MxMy_FixedP!$DO$8:$DO$98)))*SIN(RADIANS(theta_L)))&lt;0),(((MxMy_FixedP!$CS$8:$CS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CS$9:$CS$99)-(MxMy_FixedP!$CS$8:$CS$98)))*COS(RADIANS(theta_L))+((MxMy_FixedP!$DO$8:$DO$98)+(((MxMy_FixedP!$CS$8:$CS$98)*SIN(RADIANS(theta_L))-(MxMy_FixedP!$DO$8:$DO$98)*COS(RADIANS(theta_L)))/((((MxMy_FixedP!$CS$8:$CS$98)*SIN(RADIANS(theta_L))-(MxMy_FixedP!$DO$8:$DO$98)*COS(RADIANS(theta_L))))-(((MxMy_FixedP!$CS$9:$CS$99)*SIN(RADIANS(theta_L))-(MxMy_FixedP!$DO$9:$DO$99)*COS(RADIANS(theta_L))))+((((MxMy_FixedP!$CS$8:$CS$98)*SIN(RADIANS(theta_L))-(MxMy_FixedP!$DO$8:$DO$98)*COS(RADIANS(theta_L))))=(((MxMy_FixedP!$CS$9:$CS$99)*SIN(RADIANS(theta_L))-(MxMy_FixedP!$DO$9:$DO$99)*COS(RADIANS(theta_L)))))))*((MxMy_FixedP!$DO$9:$DO$99)-(MxMy_FixedP!$DO$8:$DO$98)))*SIN(RADIANS(theta_L))))/G13))</f>
      </c>
      <c r="J13">
        <f>IF($K13&lt;=Mtol,"pole",IF(AND(D13&gt;=1,G13&gt;=1),"ok","CHECK: "&amp;D13&amp;"/"&amp;G13&amp;" cuts"))</f>
      </c>
      <c r="K13" s="18">
        <v>931.8351525567574</v>
      </c>
    </row>
    <row r="14" spans="2:11" x14ac:dyDescent="0.25">
      <c r="B14" s="35" t="s">
        <v>218</v>
      </c>
      <c r="C14" s="54" t="s">
        <v>333</v>
      </c>
      <c r="D14" s="46">
        <f>IF($K14&lt;=Mtol,0,SUMPRODUCT(((((MxMy_FixedP!$CT$8:$CT$98)*SIN(RADIANS(theta_L))-(MxMy_FixedP!$DP$8:$DP$98)*COS(RADIANS(theta_L))))*(((MxMy_FixedP!$CT$9:$CT$99)*SIN(RADIANS(theta_L))-(MxMy_FixedP!$DP$9:$DP$99)*COS(RADIANS(theta_L))))&lt;=0)*((((MxMy_FixedP!$CT$8:$CT$98)*SIN(RADIANS(theta_L))-(MxMy_FixedP!$DP$8:$DP$98)*COS(RADIANS(theta_L))))&lt;&gt;(((MxMy_FixedP!$CT$9:$CT$99)*SIN(RADIANS(theta_L))-(MxMy_FixedP!$DP$9:$DP$99)*COS(RADIANS(theta_L)))))*((((MxMy_FixedP!$CT$8:$CT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CT$9:$CT$99)-(MxMy_FixedP!$CT$8:$CT$98)))*COS(RADIANS(theta_L))+((MxMy_FixedP!$DP$8:$DP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DP$9:$DP$99)-(MxMy_FixedP!$DP$8:$DP$98)))*SIN(RADIANS(theta_L)))&gt;0)))</f>
      </c>
      <c r="E14" s="10">
        <f>IF($K14&lt;=Mtol,MxMy_FixedP!$BX$8,IF(D14=0,"",SUMPRODUCT(((((MxMy_FixedP!$CT$8:$CT$98)*SIN(RADIANS(theta_L))-(MxMy_FixedP!$DP$8:$DP$98)*COS(RADIANS(theta_L))))*(((MxMy_FixedP!$CT$9:$CT$99)*SIN(RADIANS(theta_L))-(MxMy_FixedP!$DP$9:$DP$99)*COS(RADIANS(theta_L))))&lt;=0)*((((MxMy_FixedP!$CT$8:$CT$98)*SIN(RADIANS(theta_L))-(MxMy_FixedP!$DP$8:$DP$98)*COS(RADIANS(theta_L))))&lt;&gt;(((MxMy_FixedP!$CT$9:$CT$99)*SIN(RADIANS(theta_L))-(MxMy_FixedP!$DP$9:$DP$99)*COS(RADIANS(theta_L)))))*((((MxMy_FixedP!$CT$8:$CT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CT$9:$CT$99)-(MxMy_FixedP!$CT$8:$CT$98)))*COS(RADIANS(theta_L))+((MxMy_FixedP!$DP$8:$DP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DP$9:$DP$99)-(MxMy_FixedP!$DP$8:$DP$98)))*SIN(RADIANS(theta_L)))&gt;0),((MxMy_FixedP!$BX$8:$BX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BX$9:$BX$99)-(MxMy_FixedP!$BX$8:$BX$98))))/D14))</f>
      </c>
      <c r="F14" s="10">
        <f>IF($K14&lt;=Mtol,0,IF(D14=0,"",SUMPRODUCT(((((MxMy_FixedP!$CT$8:$CT$98)*SIN(RADIANS(theta_L))-(MxMy_FixedP!$DP$8:$DP$98)*COS(RADIANS(theta_L))))*(((MxMy_FixedP!$CT$9:$CT$99)*SIN(RADIANS(theta_L))-(MxMy_FixedP!$DP$9:$DP$99)*COS(RADIANS(theta_L))))&lt;=0)*((((MxMy_FixedP!$CT$8:$CT$98)*SIN(RADIANS(theta_L))-(MxMy_FixedP!$DP$8:$DP$98)*COS(RADIANS(theta_L))))&lt;&gt;(((MxMy_FixedP!$CT$9:$CT$99)*SIN(RADIANS(theta_L))-(MxMy_FixedP!$DP$9:$DP$99)*COS(RADIANS(theta_L)))))*((((MxMy_FixedP!$CT$8:$CT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CT$9:$CT$99)-(MxMy_FixedP!$CT$8:$CT$98)))*COS(RADIANS(theta_L))+((MxMy_FixedP!$DP$8:$DP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DP$9:$DP$99)-(MxMy_FixedP!$DP$8:$DP$98)))*SIN(RADIANS(theta_L)))&gt;0),(((MxMy_FixedP!$CT$8:$CT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CT$9:$CT$99)-(MxMy_FixedP!$CT$8:$CT$98)))*COS(RADIANS(theta_L))+((MxMy_FixedP!$DP$8:$DP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DP$9:$DP$99)-(MxMy_FixedP!$DP$8:$DP$98)))*SIN(RADIANS(theta_L))))/D14))</f>
      </c>
      <c r="G14" s="46">
        <f>IF($K14&lt;=Mtol,0,SUMPRODUCT(((((MxMy_FixedP!$CT$8:$CT$98)*SIN(RADIANS(theta_L))-(MxMy_FixedP!$DP$8:$DP$98)*COS(RADIANS(theta_L))))*(((MxMy_FixedP!$CT$9:$CT$99)*SIN(RADIANS(theta_L))-(MxMy_FixedP!$DP$9:$DP$99)*COS(RADIANS(theta_L))))&lt;=0)*((((MxMy_FixedP!$CT$8:$CT$98)*SIN(RADIANS(theta_L))-(MxMy_FixedP!$DP$8:$DP$98)*COS(RADIANS(theta_L))))&lt;&gt;(((MxMy_FixedP!$CT$9:$CT$99)*SIN(RADIANS(theta_L))-(MxMy_FixedP!$DP$9:$DP$99)*COS(RADIANS(theta_L)))))*((((MxMy_FixedP!$CT$8:$CT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CT$9:$CT$99)-(MxMy_FixedP!$CT$8:$CT$98)))*COS(RADIANS(theta_L))+((MxMy_FixedP!$DP$8:$DP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DP$9:$DP$99)-(MxMy_FixedP!$DP$8:$DP$98)))*SIN(RADIANS(theta_L)))&lt;0)))</f>
      </c>
      <c r="H14" s="10">
        <f>IF($K14&lt;=Mtol,MxMy_FixedP!$BX$8,IF(G14=0,"",SUMPRODUCT(((((MxMy_FixedP!$CT$8:$CT$98)*SIN(RADIANS(theta_L))-(MxMy_FixedP!$DP$8:$DP$98)*COS(RADIANS(theta_L))))*(((MxMy_FixedP!$CT$9:$CT$99)*SIN(RADIANS(theta_L))-(MxMy_FixedP!$DP$9:$DP$99)*COS(RADIANS(theta_L))))&lt;=0)*((((MxMy_FixedP!$CT$8:$CT$98)*SIN(RADIANS(theta_L))-(MxMy_FixedP!$DP$8:$DP$98)*COS(RADIANS(theta_L))))&lt;&gt;(((MxMy_FixedP!$CT$9:$CT$99)*SIN(RADIANS(theta_L))-(MxMy_FixedP!$DP$9:$DP$99)*COS(RADIANS(theta_L)))))*((((MxMy_FixedP!$CT$8:$CT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CT$9:$CT$99)-(MxMy_FixedP!$CT$8:$CT$98)))*COS(RADIANS(theta_L))+((MxMy_FixedP!$DP$8:$DP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DP$9:$DP$99)-(MxMy_FixedP!$DP$8:$DP$98)))*SIN(RADIANS(theta_L)))&lt;0),((MxMy_FixedP!$BX$8:$BX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BX$9:$BX$99)-(MxMy_FixedP!$BX$8:$BX$98))))/G14))</f>
      </c>
      <c r="I14" s="10">
        <f>IF($K14&lt;=Mtol,0,IF(G14=0,"",SUMPRODUCT(((((MxMy_FixedP!$CT$8:$CT$98)*SIN(RADIANS(theta_L))-(MxMy_FixedP!$DP$8:$DP$98)*COS(RADIANS(theta_L))))*(((MxMy_FixedP!$CT$9:$CT$99)*SIN(RADIANS(theta_L))-(MxMy_FixedP!$DP$9:$DP$99)*COS(RADIANS(theta_L))))&lt;=0)*((((MxMy_FixedP!$CT$8:$CT$98)*SIN(RADIANS(theta_L))-(MxMy_FixedP!$DP$8:$DP$98)*COS(RADIANS(theta_L))))&lt;&gt;(((MxMy_FixedP!$CT$9:$CT$99)*SIN(RADIANS(theta_L))-(MxMy_FixedP!$DP$9:$DP$99)*COS(RADIANS(theta_L)))))*((((MxMy_FixedP!$CT$8:$CT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CT$9:$CT$99)-(MxMy_FixedP!$CT$8:$CT$98)))*COS(RADIANS(theta_L))+((MxMy_FixedP!$DP$8:$DP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DP$9:$DP$99)-(MxMy_FixedP!$DP$8:$DP$98)))*SIN(RADIANS(theta_L)))&lt;0),(((MxMy_FixedP!$CT$8:$CT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CT$9:$CT$99)-(MxMy_FixedP!$CT$8:$CT$98)))*COS(RADIANS(theta_L))+((MxMy_FixedP!$DP$8:$DP$98)+(((MxMy_FixedP!$CT$8:$CT$98)*SIN(RADIANS(theta_L))-(MxMy_FixedP!$DP$8:$DP$98)*COS(RADIANS(theta_L)))/((((MxMy_FixedP!$CT$8:$CT$98)*SIN(RADIANS(theta_L))-(MxMy_FixedP!$DP$8:$DP$98)*COS(RADIANS(theta_L))))-(((MxMy_FixedP!$CT$9:$CT$99)*SIN(RADIANS(theta_L))-(MxMy_FixedP!$DP$9:$DP$99)*COS(RADIANS(theta_L))))+((((MxMy_FixedP!$CT$8:$CT$98)*SIN(RADIANS(theta_L))-(MxMy_FixedP!$DP$8:$DP$98)*COS(RADIANS(theta_L))))=(((MxMy_FixedP!$CT$9:$CT$99)*SIN(RADIANS(theta_L))-(MxMy_FixedP!$DP$9:$DP$99)*COS(RADIANS(theta_L)))))))*((MxMy_FixedP!$DP$9:$DP$99)-(MxMy_FixedP!$DP$8:$DP$98)))*SIN(RADIANS(theta_L))))/G14))</f>
      </c>
      <c r="J14">
        <f>IF($K14&lt;=Mtol,"pole",IF(AND(D14&gt;=1,G14&gt;=1),"ok","CHECK: "&amp;D14&amp;"/"&amp;G14&amp;" cuts"))</f>
      </c>
      <c r="K14" s="18">
        <v>2280.331227265789</v>
      </c>
    </row>
    <row r="15" spans="2:11" x14ac:dyDescent="0.25">
      <c r="B15" s="35" t="s">
        <v>219</v>
      </c>
      <c r="C15" s="54" t="s">
        <v>334</v>
      </c>
      <c r="D15" s="46">
        <f>IF($K15&lt;=Mtol,0,SUMPRODUCT(((((MxMy_FixedP!$CU$8:$CU$98)*SIN(RADIANS(theta_L))-(MxMy_FixedP!$DQ$8:$DQ$98)*COS(RADIANS(theta_L))))*(((MxMy_FixedP!$CU$9:$CU$99)*SIN(RADIANS(theta_L))-(MxMy_FixedP!$DQ$9:$DQ$99)*COS(RADIANS(theta_L))))&lt;=0)*((((MxMy_FixedP!$CU$8:$CU$98)*SIN(RADIANS(theta_L))-(MxMy_FixedP!$DQ$8:$DQ$98)*COS(RADIANS(theta_L))))&lt;&gt;(((MxMy_FixedP!$CU$9:$CU$99)*SIN(RADIANS(theta_L))-(MxMy_FixedP!$DQ$9:$DQ$99)*COS(RADIANS(theta_L)))))*((((MxMy_FixedP!$CU$8:$CU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CU$9:$CU$99)-(MxMy_FixedP!$CU$8:$CU$98)))*COS(RADIANS(theta_L))+((MxMy_FixedP!$DQ$8:$DQ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DQ$9:$DQ$99)-(MxMy_FixedP!$DQ$8:$DQ$98)))*SIN(RADIANS(theta_L)))&gt;0)))</f>
      </c>
      <c r="E15" s="10">
        <f>IF($K15&lt;=Mtol,MxMy_FixedP!$BY$8,IF(D15=0,"",SUMPRODUCT(((((MxMy_FixedP!$CU$8:$CU$98)*SIN(RADIANS(theta_L))-(MxMy_FixedP!$DQ$8:$DQ$98)*COS(RADIANS(theta_L))))*(((MxMy_FixedP!$CU$9:$CU$99)*SIN(RADIANS(theta_L))-(MxMy_FixedP!$DQ$9:$DQ$99)*COS(RADIANS(theta_L))))&lt;=0)*((((MxMy_FixedP!$CU$8:$CU$98)*SIN(RADIANS(theta_L))-(MxMy_FixedP!$DQ$8:$DQ$98)*COS(RADIANS(theta_L))))&lt;&gt;(((MxMy_FixedP!$CU$9:$CU$99)*SIN(RADIANS(theta_L))-(MxMy_FixedP!$DQ$9:$DQ$99)*COS(RADIANS(theta_L)))))*((((MxMy_FixedP!$CU$8:$CU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CU$9:$CU$99)-(MxMy_FixedP!$CU$8:$CU$98)))*COS(RADIANS(theta_L))+((MxMy_FixedP!$DQ$8:$DQ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DQ$9:$DQ$99)-(MxMy_FixedP!$DQ$8:$DQ$98)))*SIN(RADIANS(theta_L)))&gt;0),((MxMy_FixedP!$BY$8:$BY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BY$9:$BY$99)-(MxMy_FixedP!$BY$8:$BY$98))))/D15))</f>
      </c>
      <c r="F15" s="10">
        <f>IF($K15&lt;=Mtol,0,IF(D15=0,"",SUMPRODUCT(((((MxMy_FixedP!$CU$8:$CU$98)*SIN(RADIANS(theta_L))-(MxMy_FixedP!$DQ$8:$DQ$98)*COS(RADIANS(theta_L))))*(((MxMy_FixedP!$CU$9:$CU$99)*SIN(RADIANS(theta_L))-(MxMy_FixedP!$DQ$9:$DQ$99)*COS(RADIANS(theta_L))))&lt;=0)*((((MxMy_FixedP!$CU$8:$CU$98)*SIN(RADIANS(theta_L))-(MxMy_FixedP!$DQ$8:$DQ$98)*COS(RADIANS(theta_L))))&lt;&gt;(((MxMy_FixedP!$CU$9:$CU$99)*SIN(RADIANS(theta_L))-(MxMy_FixedP!$DQ$9:$DQ$99)*COS(RADIANS(theta_L)))))*((((MxMy_FixedP!$CU$8:$CU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CU$9:$CU$99)-(MxMy_FixedP!$CU$8:$CU$98)))*COS(RADIANS(theta_L))+((MxMy_FixedP!$DQ$8:$DQ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DQ$9:$DQ$99)-(MxMy_FixedP!$DQ$8:$DQ$98)))*SIN(RADIANS(theta_L)))&gt;0),(((MxMy_FixedP!$CU$8:$CU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CU$9:$CU$99)-(MxMy_FixedP!$CU$8:$CU$98)))*COS(RADIANS(theta_L))+((MxMy_FixedP!$DQ$8:$DQ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DQ$9:$DQ$99)-(MxMy_FixedP!$DQ$8:$DQ$98)))*SIN(RADIANS(theta_L))))/D15))</f>
      </c>
      <c r="G15" s="46">
        <f>IF($K15&lt;=Mtol,0,SUMPRODUCT(((((MxMy_FixedP!$CU$8:$CU$98)*SIN(RADIANS(theta_L))-(MxMy_FixedP!$DQ$8:$DQ$98)*COS(RADIANS(theta_L))))*(((MxMy_FixedP!$CU$9:$CU$99)*SIN(RADIANS(theta_L))-(MxMy_FixedP!$DQ$9:$DQ$99)*COS(RADIANS(theta_L))))&lt;=0)*((((MxMy_FixedP!$CU$8:$CU$98)*SIN(RADIANS(theta_L))-(MxMy_FixedP!$DQ$8:$DQ$98)*COS(RADIANS(theta_L))))&lt;&gt;(((MxMy_FixedP!$CU$9:$CU$99)*SIN(RADIANS(theta_L))-(MxMy_FixedP!$DQ$9:$DQ$99)*COS(RADIANS(theta_L)))))*((((MxMy_FixedP!$CU$8:$CU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CU$9:$CU$99)-(MxMy_FixedP!$CU$8:$CU$98)))*COS(RADIANS(theta_L))+((MxMy_FixedP!$DQ$8:$DQ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DQ$9:$DQ$99)-(MxMy_FixedP!$DQ$8:$DQ$98)))*SIN(RADIANS(theta_L)))&lt;0)))</f>
      </c>
      <c r="H15" s="10">
        <f>IF($K15&lt;=Mtol,MxMy_FixedP!$BY$8,IF(G15=0,"",SUMPRODUCT(((((MxMy_FixedP!$CU$8:$CU$98)*SIN(RADIANS(theta_L))-(MxMy_FixedP!$DQ$8:$DQ$98)*COS(RADIANS(theta_L))))*(((MxMy_FixedP!$CU$9:$CU$99)*SIN(RADIANS(theta_L))-(MxMy_FixedP!$DQ$9:$DQ$99)*COS(RADIANS(theta_L))))&lt;=0)*((((MxMy_FixedP!$CU$8:$CU$98)*SIN(RADIANS(theta_L))-(MxMy_FixedP!$DQ$8:$DQ$98)*COS(RADIANS(theta_L))))&lt;&gt;(((MxMy_FixedP!$CU$9:$CU$99)*SIN(RADIANS(theta_L))-(MxMy_FixedP!$DQ$9:$DQ$99)*COS(RADIANS(theta_L)))))*((((MxMy_FixedP!$CU$8:$CU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CU$9:$CU$99)-(MxMy_FixedP!$CU$8:$CU$98)))*COS(RADIANS(theta_L))+((MxMy_FixedP!$DQ$8:$DQ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DQ$9:$DQ$99)-(MxMy_FixedP!$DQ$8:$DQ$98)))*SIN(RADIANS(theta_L)))&lt;0),((MxMy_FixedP!$BY$8:$BY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BY$9:$BY$99)-(MxMy_FixedP!$BY$8:$BY$98))))/G15))</f>
      </c>
      <c r="I15" s="10">
        <f>IF($K15&lt;=Mtol,0,IF(G15=0,"",SUMPRODUCT(((((MxMy_FixedP!$CU$8:$CU$98)*SIN(RADIANS(theta_L))-(MxMy_FixedP!$DQ$8:$DQ$98)*COS(RADIANS(theta_L))))*(((MxMy_FixedP!$CU$9:$CU$99)*SIN(RADIANS(theta_L))-(MxMy_FixedP!$DQ$9:$DQ$99)*COS(RADIANS(theta_L))))&lt;=0)*((((MxMy_FixedP!$CU$8:$CU$98)*SIN(RADIANS(theta_L))-(MxMy_FixedP!$DQ$8:$DQ$98)*COS(RADIANS(theta_L))))&lt;&gt;(((MxMy_FixedP!$CU$9:$CU$99)*SIN(RADIANS(theta_L))-(MxMy_FixedP!$DQ$9:$DQ$99)*COS(RADIANS(theta_L)))))*((((MxMy_FixedP!$CU$8:$CU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CU$9:$CU$99)-(MxMy_FixedP!$CU$8:$CU$98)))*COS(RADIANS(theta_L))+((MxMy_FixedP!$DQ$8:$DQ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DQ$9:$DQ$99)-(MxMy_FixedP!$DQ$8:$DQ$98)))*SIN(RADIANS(theta_L)))&lt;0),(((MxMy_FixedP!$CU$8:$CU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CU$9:$CU$99)-(MxMy_FixedP!$CU$8:$CU$98)))*COS(RADIANS(theta_L))+((MxMy_FixedP!$DQ$8:$DQ$98)+(((MxMy_FixedP!$CU$8:$CU$98)*SIN(RADIANS(theta_L))-(MxMy_FixedP!$DQ$8:$DQ$98)*COS(RADIANS(theta_L)))/((((MxMy_FixedP!$CU$8:$CU$98)*SIN(RADIANS(theta_L))-(MxMy_FixedP!$DQ$8:$DQ$98)*COS(RADIANS(theta_L))))-(((MxMy_FixedP!$CU$9:$CU$99)*SIN(RADIANS(theta_L))-(MxMy_FixedP!$DQ$9:$DQ$99)*COS(RADIANS(theta_L))))+((((MxMy_FixedP!$CU$8:$CU$98)*SIN(RADIANS(theta_L))-(MxMy_FixedP!$DQ$8:$DQ$98)*COS(RADIANS(theta_L))))=(((MxMy_FixedP!$CU$9:$CU$99)*SIN(RADIANS(theta_L))-(MxMy_FixedP!$DQ$9:$DQ$99)*COS(RADIANS(theta_L)))))))*((MxMy_FixedP!$DQ$9:$DQ$99)-(MxMy_FixedP!$DQ$8:$DQ$98)))*SIN(RADIANS(theta_L))))/G15))</f>
      </c>
      <c r="J15">
        <f>IF($K15&lt;=Mtol,"pole",IF(AND(D15&gt;=1,G15&gt;=1),"ok","CHECK: "&amp;D15&amp;"/"&amp;G15&amp;" cuts"))</f>
      </c>
      <c r="K15" s="18">
        <v>3085.097902487554</v>
      </c>
    </row>
    <row r="16" spans="2:11" x14ac:dyDescent="0.25">
      <c r="B16" s="35" t="s">
        <v>220</v>
      </c>
      <c r="C16" s="54" t="s">
        <v>335</v>
      </c>
      <c r="D16" s="46">
        <f>IF($K16&lt;=Mtol,0,SUMPRODUCT(((((MxMy_FixedP!$CV$8:$CV$98)*SIN(RADIANS(theta_L))-(MxMy_FixedP!$DR$8:$DR$98)*COS(RADIANS(theta_L))))*(((MxMy_FixedP!$CV$9:$CV$99)*SIN(RADIANS(theta_L))-(MxMy_FixedP!$DR$9:$DR$99)*COS(RADIANS(theta_L))))&lt;=0)*((((MxMy_FixedP!$CV$8:$CV$98)*SIN(RADIANS(theta_L))-(MxMy_FixedP!$DR$8:$DR$98)*COS(RADIANS(theta_L))))&lt;&gt;(((MxMy_FixedP!$CV$9:$CV$99)*SIN(RADIANS(theta_L))-(MxMy_FixedP!$DR$9:$DR$99)*COS(RADIANS(theta_L)))))*((((MxMy_FixedP!$CV$8:$CV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CV$9:$CV$99)-(MxMy_FixedP!$CV$8:$CV$98)))*COS(RADIANS(theta_L))+((MxMy_FixedP!$DR$8:$DR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DR$9:$DR$99)-(MxMy_FixedP!$DR$8:$DR$98)))*SIN(RADIANS(theta_L)))&gt;0)))</f>
      </c>
      <c r="E16" s="10">
        <f>IF($K16&lt;=Mtol,MxMy_FixedP!$BZ$8,IF(D16=0,"",SUMPRODUCT(((((MxMy_FixedP!$CV$8:$CV$98)*SIN(RADIANS(theta_L))-(MxMy_FixedP!$DR$8:$DR$98)*COS(RADIANS(theta_L))))*(((MxMy_FixedP!$CV$9:$CV$99)*SIN(RADIANS(theta_L))-(MxMy_FixedP!$DR$9:$DR$99)*COS(RADIANS(theta_L))))&lt;=0)*((((MxMy_FixedP!$CV$8:$CV$98)*SIN(RADIANS(theta_L))-(MxMy_FixedP!$DR$8:$DR$98)*COS(RADIANS(theta_L))))&lt;&gt;(((MxMy_FixedP!$CV$9:$CV$99)*SIN(RADIANS(theta_L))-(MxMy_FixedP!$DR$9:$DR$99)*COS(RADIANS(theta_L)))))*((((MxMy_FixedP!$CV$8:$CV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CV$9:$CV$99)-(MxMy_FixedP!$CV$8:$CV$98)))*COS(RADIANS(theta_L))+((MxMy_FixedP!$DR$8:$DR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DR$9:$DR$99)-(MxMy_FixedP!$DR$8:$DR$98)))*SIN(RADIANS(theta_L)))&gt;0),((MxMy_FixedP!$BZ$8:$BZ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BZ$9:$BZ$99)-(MxMy_FixedP!$BZ$8:$BZ$98))))/D16))</f>
      </c>
      <c r="F16" s="10">
        <f>IF($K16&lt;=Mtol,0,IF(D16=0,"",SUMPRODUCT(((((MxMy_FixedP!$CV$8:$CV$98)*SIN(RADIANS(theta_L))-(MxMy_FixedP!$DR$8:$DR$98)*COS(RADIANS(theta_L))))*(((MxMy_FixedP!$CV$9:$CV$99)*SIN(RADIANS(theta_L))-(MxMy_FixedP!$DR$9:$DR$99)*COS(RADIANS(theta_L))))&lt;=0)*((((MxMy_FixedP!$CV$8:$CV$98)*SIN(RADIANS(theta_L))-(MxMy_FixedP!$DR$8:$DR$98)*COS(RADIANS(theta_L))))&lt;&gt;(((MxMy_FixedP!$CV$9:$CV$99)*SIN(RADIANS(theta_L))-(MxMy_FixedP!$DR$9:$DR$99)*COS(RADIANS(theta_L)))))*((((MxMy_FixedP!$CV$8:$CV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CV$9:$CV$99)-(MxMy_FixedP!$CV$8:$CV$98)))*COS(RADIANS(theta_L))+((MxMy_FixedP!$DR$8:$DR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DR$9:$DR$99)-(MxMy_FixedP!$DR$8:$DR$98)))*SIN(RADIANS(theta_L)))&gt;0),(((MxMy_FixedP!$CV$8:$CV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CV$9:$CV$99)-(MxMy_FixedP!$CV$8:$CV$98)))*COS(RADIANS(theta_L))+((MxMy_FixedP!$DR$8:$DR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DR$9:$DR$99)-(MxMy_FixedP!$DR$8:$DR$98)))*SIN(RADIANS(theta_L))))/D16))</f>
      </c>
      <c r="G16" s="46">
        <f>IF($K16&lt;=Mtol,0,SUMPRODUCT(((((MxMy_FixedP!$CV$8:$CV$98)*SIN(RADIANS(theta_L))-(MxMy_FixedP!$DR$8:$DR$98)*COS(RADIANS(theta_L))))*(((MxMy_FixedP!$CV$9:$CV$99)*SIN(RADIANS(theta_L))-(MxMy_FixedP!$DR$9:$DR$99)*COS(RADIANS(theta_L))))&lt;=0)*((((MxMy_FixedP!$CV$8:$CV$98)*SIN(RADIANS(theta_L))-(MxMy_FixedP!$DR$8:$DR$98)*COS(RADIANS(theta_L))))&lt;&gt;(((MxMy_FixedP!$CV$9:$CV$99)*SIN(RADIANS(theta_L))-(MxMy_FixedP!$DR$9:$DR$99)*COS(RADIANS(theta_L)))))*((((MxMy_FixedP!$CV$8:$CV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CV$9:$CV$99)-(MxMy_FixedP!$CV$8:$CV$98)))*COS(RADIANS(theta_L))+((MxMy_FixedP!$DR$8:$DR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DR$9:$DR$99)-(MxMy_FixedP!$DR$8:$DR$98)))*SIN(RADIANS(theta_L)))&lt;0)))</f>
      </c>
      <c r="H16" s="10">
        <f>IF($K16&lt;=Mtol,MxMy_FixedP!$BZ$8,IF(G16=0,"",SUMPRODUCT(((((MxMy_FixedP!$CV$8:$CV$98)*SIN(RADIANS(theta_L))-(MxMy_FixedP!$DR$8:$DR$98)*COS(RADIANS(theta_L))))*(((MxMy_FixedP!$CV$9:$CV$99)*SIN(RADIANS(theta_L))-(MxMy_FixedP!$DR$9:$DR$99)*COS(RADIANS(theta_L))))&lt;=0)*((((MxMy_FixedP!$CV$8:$CV$98)*SIN(RADIANS(theta_L))-(MxMy_FixedP!$DR$8:$DR$98)*COS(RADIANS(theta_L))))&lt;&gt;(((MxMy_FixedP!$CV$9:$CV$99)*SIN(RADIANS(theta_L))-(MxMy_FixedP!$DR$9:$DR$99)*COS(RADIANS(theta_L)))))*((((MxMy_FixedP!$CV$8:$CV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CV$9:$CV$99)-(MxMy_FixedP!$CV$8:$CV$98)))*COS(RADIANS(theta_L))+((MxMy_FixedP!$DR$8:$DR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DR$9:$DR$99)-(MxMy_FixedP!$DR$8:$DR$98)))*SIN(RADIANS(theta_L)))&lt;0),((MxMy_FixedP!$BZ$8:$BZ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BZ$9:$BZ$99)-(MxMy_FixedP!$BZ$8:$BZ$98))))/G16))</f>
      </c>
      <c r="I16" s="10">
        <f>IF($K16&lt;=Mtol,0,IF(G16=0,"",SUMPRODUCT(((((MxMy_FixedP!$CV$8:$CV$98)*SIN(RADIANS(theta_L))-(MxMy_FixedP!$DR$8:$DR$98)*COS(RADIANS(theta_L))))*(((MxMy_FixedP!$CV$9:$CV$99)*SIN(RADIANS(theta_L))-(MxMy_FixedP!$DR$9:$DR$99)*COS(RADIANS(theta_L))))&lt;=0)*((((MxMy_FixedP!$CV$8:$CV$98)*SIN(RADIANS(theta_L))-(MxMy_FixedP!$DR$8:$DR$98)*COS(RADIANS(theta_L))))&lt;&gt;(((MxMy_FixedP!$CV$9:$CV$99)*SIN(RADIANS(theta_L))-(MxMy_FixedP!$DR$9:$DR$99)*COS(RADIANS(theta_L)))))*((((MxMy_FixedP!$CV$8:$CV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CV$9:$CV$99)-(MxMy_FixedP!$CV$8:$CV$98)))*COS(RADIANS(theta_L))+((MxMy_FixedP!$DR$8:$DR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DR$9:$DR$99)-(MxMy_FixedP!$DR$8:$DR$98)))*SIN(RADIANS(theta_L)))&lt;0),(((MxMy_FixedP!$CV$8:$CV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CV$9:$CV$99)-(MxMy_FixedP!$CV$8:$CV$98)))*COS(RADIANS(theta_L))+((MxMy_FixedP!$DR$8:$DR$98)+(((MxMy_FixedP!$CV$8:$CV$98)*SIN(RADIANS(theta_L))-(MxMy_FixedP!$DR$8:$DR$98)*COS(RADIANS(theta_L)))/((((MxMy_FixedP!$CV$8:$CV$98)*SIN(RADIANS(theta_L))-(MxMy_FixedP!$DR$8:$DR$98)*COS(RADIANS(theta_L))))-(((MxMy_FixedP!$CV$9:$CV$99)*SIN(RADIANS(theta_L))-(MxMy_FixedP!$DR$9:$DR$99)*COS(RADIANS(theta_L))))+((((MxMy_FixedP!$CV$8:$CV$98)*SIN(RADIANS(theta_L))-(MxMy_FixedP!$DR$8:$DR$98)*COS(RADIANS(theta_L))))=(((MxMy_FixedP!$CV$9:$CV$99)*SIN(RADIANS(theta_L))-(MxMy_FixedP!$DR$9:$DR$99)*COS(RADIANS(theta_L)))))))*((MxMy_FixedP!$DR$9:$DR$99)-(MxMy_FixedP!$DR$8:$DR$98)))*SIN(RADIANS(theta_L))))/G16))</f>
      </c>
      <c r="J16">
        <f>IF($K16&lt;=Mtol,"pole",IF(AND(D16&gt;=1,G16&gt;=1),"ok","CHECK: "&amp;D16&amp;"/"&amp;G16&amp;" cuts"))</f>
      </c>
      <c r="K16" s="18">
        <v>4208.049163002413</v>
      </c>
    </row>
    <row r="17" spans="2:11" x14ac:dyDescent="0.25">
      <c r="B17" s="35" t="s">
        <v>221</v>
      </c>
      <c r="C17" s="54" t="s">
        <v>336</v>
      </c>
      <c r="D17" s="46">
        <f>IF($K17&lt;=Mtol,0,SUMPRODUCT(((((MxMy_FixedP!$CW$8:$CW$98)*SIN(RADIANS(theta_L))-(MxMy_FixedP!$DS$8:$DS$98)*COS(RADIANS(theta_L))))*(((MxMy_FixedP!$CW$9:$CW$99)*SIN(RADIANS(theta_L))-(MxMy_FixedP!$DS$9:$DS$99)*COS(RADIANS(theta_L))))&lt;=0)*((((MxMy_FixedP!$CW$8:$CW$98)*SIN(RADIANS(theta_L))-(MxMy_FixedP!$DS$8:$DS$98)*COS(RADIANS(theta_L))))&lt;&gt;(((MxMy_FixedP!$CW$9:$CW$99)*SIN(RADIANS(theta_L))-(MxMy_FixedP!$DS$9:$DS$99)*COS(RADIANS(theta_L)))))*((((MxMy_FixedP!$CW$8:$CW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CW$9:$CW$99)-(MxMy_FixedP!$CW$8:$CW$98)))*COS(RADIANS(theta_L))+((MxMy_FixedP!$DS$8:$DS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DS$9:$DS$99)-(MxMy_FixedP!$DS$8:$DS$98)))*SIN(RADIANS(theta_L)))&gt;0)))</f>
      </c>
      <c r="E17" s="10">
        <f>IF($K17&lt;=Mtol,MxMy_FixedP!$CA$8,IF(D17=0,"",SUMPRODUCT(((((MxMy_FixedP!$CW$8:$CW$98)*SIN(RADIANS(theta_L))-(MxMy_FixedP!$DS$8:$DS$98)*COS(RADIANS(theta_L))))*(((MxMy_FixedP!$CW$9:$CW$99)*SIN(RADIANS(theta_L))-(MxMy_FixedP!$DS$9:$DS$99)*COS(RADIANS(theta_L))))&lt;=0)*((((MxMy_FixedP!$CW$8:$CW$98)*SIN(RADIANS(theta_L))-(MxMy_FixedP!$DS$8:$DS$98)*COS(RADIANS(theta_L))))&lt;&gt;(((MxMy_FixedP!$CW$9:$CW$99)*SIN(RADIANS(theta_L))-(MxMy_FixedP!$DS$9:$DS$99)*COS(RADIANS(theta_L)))))*((((MxMy_FixedP!$CW$8:$CW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CW$9:$CW$99)-(MxMy_FixedP!$CW$8:$CW$98)))*COS(RADIANS(theta_L))+((MxMy_FixedP!$DS$8:$DS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DS$9:$DS$99)-(MxMy_FixedP!$DS$8:$DS$98)))*SIN(RADIANS(theta_L)))&gt;0),((MxMy_FixedP!$CA$8:$CA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CA$9:$CA$99)-(MxMy_FixedP!$CA$8:$CA$98))))/D17))</f>
      </c>
      <c r="F17" s="10">
        <f>IF($K17&lt;=Mtol,0,IF(D17=0,"",SUMPRODUCT(((((MxMy_FixedP!$CW$8:$CW$98)*SIN(RADIANS(theta_L))-(MxMy_FixedP!$DS$8:$DS$98)*COS(RADIANS(theta_L))))*(((MxMy_FixedP!$CW$9:$CW$99)*SIN(RADIANS(theta_L))-(MxMy_FixedP!$DS$9:$DS$99)*COS(RADIANS(theta_L))))&lt;=0)*((((MxMy_FixedP!$CW$8:$CW$98)*SIN(RADIANS(theta_L))-(MxMy_FixedP!$DS$8:$DS$98)*COS(RADIANS(theta_L))))&lt;&gt;(((MxMy_FixedP!$CW$9:$CW$99)*SIN(RADIANS(theta_L))-(MxMy_FixedP!$DS$9:$DS$99)*COS(RADIANS(theta_L)))))*((((MxMy_FixedP!$CW$8:$CW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CW$9:$CW$99)-(MxMy_FixedP!$CW$8:$CW$98)))*COS(RADIANS(theta_L))+((MxMy_FixedP!$DS$8:$DS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DS$9:$DS$99)-(MxMy_FixedP!$DS$8:$DS$98)))*SIN(RADIANS(theta_L)))&gt;0),(((MxMy_FixedP!$CW$8:$CW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CW$9:$CW$99)-(MxMy_FixedP!$CW$8:$CW$98)))*COS(RADIANS(theta_L))+((MxMy_FixedP!$DS$8:$DS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DS$9:$DS$99)-(MxMy_FixedP!$DS$8:$DS$98)))*SIN(RADIANS(theta_L))))/D17))</f>
      </c>
      <c r="G17" s="46">
        <f>IF($K17&lt;=Mtol,0,SUMPRODUCT(((((MxMy_FixedP!$CW$8:$CW$98)*SIN(RADIANS(theta_L))-(MxMy_FixedP!$DS$8:$DS$98)*COS(RADIANS(theta_L))))*(((MxMy_FixedP!$CW$9:$CW$99)*SIN(RADIANS(theta_L))-(MxMy_FixedP!$DS$9:$DS$99)*COS(RADIANS(theta_L))))&lt;=0)*((((MxMy_FixedP!$CW$8:$CW$98)*SIN(RADIANS(theta_L))-(MxMy_FixedP!$DS$8:$DS$98)*COS(RADIANS(theta_L))))&lt;&gt;(((MxMy_FixedP!$CW$9:$CW$99)*SIN(RADIANS(theta_L))-(MxMy_FixedP!$DS$9:$DS$99)*COS(RADIANS(theta_L)))))*((((MxMy_FixedP!$CW$8:$CW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CW$9:$CW$99)-(MxMy_FixedP!$CW$8:$CW$98)))*COS(RADIANS(theta_L))+((MxMy_FixedP!$DS$8:$DS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DS$9:$DS$99)-(MxMy_FixedP!$DS$8:$DS$98)))*SIN(RADIANS(theta_L)))&lt;0)))</f>
      </c>
      <c r="H17" s="10">
        <f>IF($K17&lt;=Mtol,MxMy_FixedP!$CA$8,IF(G17=0,"",SUMPRODUCT(((((MxMy_FixedP!$CW$8:$CW$98)*SIN(RADIANS(theta_L))-(MxMy_FixedP!$DS$8:$DS$98)*COS(RADIANS(theta_L))))*(((MxMy_FixedP!$CW$9:$CW$99)*SIN(RADIANS(theta_L))-(MxMy_FixedP!$DS$9:$DS$99)*COS(RADIANS(theta_L))))&lt;=0)*((((MxMy_FixedP!$CW$8:$CW$98)*SIN(RADIANS(theta_L))-(MxMy_FixedP!$DS$8:$DS$98)*COS(RADIANS(theta_L))))&lt;&gt;(((MxMy_FixedP!$CW$9:$CW$99)*SIN(RADIANS(theta_L))-(MxMy_FixedP!$DS$9:$DS$99)*COS(RADIANS(theta_L)))))*((((MxMy_FixedP!$CW$8:$CW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CW$9:$CW$99)-(MxMy_FixedP!$CW$8:$CW$98)))*COS(RADIANS(theta_L))+((MxMy_FixedP!$DS$8:$DS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DS$9:$DS$99)-(MxMy_FixedP!$DS$8:$DS$98)))*SIN(RADIANS(theta_L)))&lt;0),((MxMy_FixedP!$CA$8:$CA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CA$9:$CA$99)-(MxMy_FixedP!$CA$8:$CA$98))))/G17))</f>
      </c>
      <c r="I17" s="10">
        <f>IF($K17&lt;=Mtol,0,IF(G17=0,"",SUMPRODUCT(((((MxMy_FixedP!$CW$8:$CW$98)*SIN(RADIANS(theta_L))-(MxMy_FixedP!$DS$8:$DS$98)*COS(RADIANS(theta_L))))*(((MxMy_FixedP!$CW$9:$CW$99)*SIN(RADIANS(theta_L))-(MxMy_FixedP!$DS$9:$DS$99)*COS(RADIANS(theta_L))))&lt;=0)*((((MxMy_FixedP!$CW$8:$CW$98)*SIN(RADIANS(theta_L))-(MxMy_FixedP!$DS$8:$DS$98)*COS(RADIANS(theta_L))))&lt;&gt;(((MxMy_FixedP!$CW$9:$CW$99)*SIN(RADIANS(theta_L))-(MxMy_FixedP!$DS$9:$DS$99)*COS(RADIANS(theta_L)))))*((((MxMy_FixedP!$CW$8:$CW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CW$9:$CW$99)-(MxMy_FixedP!$CW$8:$CW$98)))*COS(RADIANS(theta_L))+((MxMy_FixedP!$DS$8:$DS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DS$9:$DS$99)-(MxMy_FixedP!$DS$8:$DS$98)))*SIN(RADIANS(theta_L)))&lt;0),(((MxMy_FixedP!$CW$8:$CW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CW$9:$CW$99)-(MxMy_FixedP!$CW$8:$CW$98)))*COS(RADIANS(theta_L))+((MxMy_FixedP!$DS$8:$DS$98)+(((MxMy_FixedP!$CW$8:$CW$98)*SIN(RADIANS(theta_L))-(MxMy_FixedP!$DS$8:$DS$98)*COS(RADIANS(theta_L)))/((((MxMy_FixedP!$CW$8:$CW$98)*SIN(RADIANS(theta_L))-(MxMy_FixedP!$DS$8:$DS$98)*COS(RADIANS(theta_L))))-(((MxMy_FixedP!$CW$9:$CW$99)*SIN(RADIANS(theta_L))-(MxMy_FixedP!$DS$9:$DS$99)*COS(RADIANS(theta_L))))+((((MxMy_FixedP!$CW$8:$CW$98)*SIN(RADIANS(theta_L))-(MxMy_FixedP!$DS$8:$DS$98)*COS(RADIANS(theta_L))))=(((MxMy_FixedP!$CW$9:$CW$99)*SIN(RADIANS(theta_L))-(MxMy_FixedP!$DS$9:$DS$99)*COS(RADIANS(theta_L)))))))*((MxMy_FixedP!$DS$9:$DS$99)-(MxMy_FixedP!$DS$8:$DS$98)))*SIN(RADIANS(theta_L))))/G17))</f>
      </c>
      <c r="J17">
        <f>IF($K17&lt;=Mtol,"pole",IF(AND(D17&gt;=1,G17&gt;=1),"ok","CHECK: "&amp;D17&amp;"/"&amp;G17&amp;" cuts"))</f>
      </c>
      <c r="K17" s="18">
        <v>4794.511570393252</v>
      </c>
    </row>
    <row r="18" spans="2:11" x14ac:dyDescent="0.25">
      <c r="B18" s="35" t="s">
        <v>222</v>
      </c>
      <c r="C18" s="54" t="s">
        <v>337</v>
      </c>
      <c r="D18" s="46">
        <f>IF($K18&lt;=Mtol,0,SUMPRODUCT(((((MxMy_FixedP!$CX$8:$CX$98)*SIN(RADIANS(theta_L))-(MxMy_FixedP!$DT$8:$DT$98)*COS(RADIANS(theta_L))))*(((MxMy_FixedP!$CX$9:$CX$99)*SIN(RADIANS(theta_L))-(MxMy_FixedP!$DT$9:$DT$99)*COS(RADIANS(theta_L))))&lt;=0)*((((MxMy_FixedP!$CX$8:$CX$98)*SIN(RADIANS(theta_L))-(MxMy_FixedP!$DT$8:$DT$98)*COS(RADIANS(theta_L))))&lt;&gt;(((MxMy_FixedP!$CX$9:$CX$99)*SIN(RADIANS(theta_L))-(MxMy_FixedP!$DT$9:$DT$99)*COS(RADIANS(theta_L)))))*((((MxMy_FixedP!$CX$8:$CX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CX$9:$CX$99)-(MxMy_FixedP!$CX$8:$CX$98)))*COS(RADIANS(theta_L))+((MxMy_FixedP!$DT$8:$DT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DT$9:$DT$99)-(MxMy_FixedP!$DT$8:$DT$98)))*SIN(RADIANS(theta_L)))&gt;0)))</f>
      </c>
      <c r="E18" s="10">
        <f>IF($K18&lt;=Mtol,MxMy_FixedP!$CB$8,IF(D18=0,"",SUMPRODUCT(((((MxMy_FixedP!$CX$8:$CX$98)*SIN(RADIANS(theta_L))-(MxMy_FixedP!$DT$8:$DT$98)*COS(RADIANS(theta_L))))*(((MxMy_FixedP!$CX$9:$CX$99)*SIN(RADIANS(theta_L))-(MxMy_FixedP!$DT$9:$DT$99)*COS(RADIANS(theta_L))))&lt;=0)*((((MxMy_FixedP!$CX$8:$CX$98)*SIN(RADIANS(theta_L))-(MxMy_FixedP!$DT$8:$DT$98)*COS(RADIANS(theta_L))))&lt;&gt;(((MxMy_FixedP!$CX$9:$CX$99)*SIN(RADIANS(theta_L))-(MxMy_FixedP!$DT$9:$DT$99)*COS(RADIANS(theta_L)))))*((((MxMy_FixedP!$CX$8:$CX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CX$9:$CX$99)-(MxMy_FixedP!$CX$8:$CX$98)))*COS(RADIANS(theta_L))+((MxMy_FixedP!$DT$8:$DT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DT$9:$DT$99)-(MxMy_FixedP!$DT$8:$DT$98)))*SIN(RADIANS(theta_L)))&gt;0),((MxMy_FixedP!$CB$8:$CB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CB$9:$CB$99)-(MxMy_FixedP!$CB$8:$CB$98))))/D18))</f>
      </c>
      <c r="F18" s="10">
        <f>IF($K18&lt;=Mtol,0,IF(D18=0,"",SUMPRODUCT(((((MxMy_FixedP!$CX$8:$CX$98)*SIN(RADIANS(theta_L))-(MxMy_FixedP!$DT$8:$DT$98)*COS(RADIANS(theta_L))))*(((MxMy_FixedP!$CX$9:$CX$99)*SIN(RADIANS(theta_L))-(MxMy_FixedP!$DT$9:$DT$99)*COS(RADIANS(theta_L))))&lt;=0)*((((MxMy_FixedP!$CX$8:$CX$98)*SIN(RADIANS(theta_L))-(MxMy_FixedP!$DT$8:$DT$98)*COS(RADIANS(theta_L))))&lt;&gt;(((MxMy_FixedP!$CX$9:$CX$99)*SIN(RADIANS(theta_L))-(MxMy_FixedP!$DT$9:$DT$99)*COS(RADIANS(theta_L)))))*((((MxMy_FixedP!$CX$8:$CX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CX$9:$CX$99)-(MxMy_FixedP!$CX$8:$CX$98)))*COS(RADIANS(theta_L))+((MxMy_FixedP!$DT$8:$DT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DT$9:$DT$99)-(MxMy_FixedP!$DT$8:$DT$98)))*SIN(RADIANS(theta_L)))&gt;0),(((MxMy_FixedP!$CX$8:$CX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CX$9:$CX$99)-(MxMy_FixedP!$CX$8:$CX$98)))*COS(RADIANS(theta_L))+((MxMy_FixedP!$DT$8:$DT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DT$9:$DT$99)-(MxMy_FixedP!$DT$8:$DT$98)))*SIN(RADIANS(theta_L))))/D18))</f>
      </c>
      <c r="G18" s="46">
        <f>IF($K18&lt;=Mtol,0,SUMPRODUCT(((((MxMy_FixedP!$CX$8:$CX$98)*SIN(RADIANS(theta_L))-(MxMy_FixedP!$DT$8:$DT$98)*COS(RADIANS(theta_L))))*(((MxMy_FixedP!$CX$9:$CX$99)*SIN(RADIANS(theta_L))-(MxMy_FixedP!$DT$9:$DT$99)*COS(RADIANS(theta_L))))&lt;=0)*((((MxMy_FixedP!$CX$8:$CX$98)*SIN(RADIANS(theta_L))-(MxMy_FixedP!$DT$8:$DT$98)*COS(RADIANS(theta_L))))&lt;&gt;(((MxMy_FixedP!$CX$9:$CX$99)*SIN(RADIANS(theta_L))-(MxMy_FixedP!$DT$9:$DT$99)*COS(RADIANS(theta_L)))))*((((MxMy_FixedP!$CX$8:$CX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CX$9:$CX$99)-(MxMy_FixedP!$CX$8:$CX$98)))*COS(RADIANS(theta_L))+((MxMy_FixedP!$DT$8:$DT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DT$9:$DT$99)-(MxMy_FixedP!$DT$8:$DT$98)))*SIN(RADIANS(theta_L)))&lt;0)))</f>
      </c>
      <c r="H18" s="10">
        <f>IF($K18&lt;=Mtol,MxMy_FixedP!$CB$8,IF(G18=0,"",SUMPRODUCT(((((MxMy_FixedP!$CX$8:$CX$98)*SIN(RADIANS(theta_L))-(MxMy_FixedP!$DT$8:$DT$98)*COS(RADIANS(theta_L))))*(((MxMy_FixedP!$CX$9:$CX$99)*SIN(RADIANS(theta_L))-(MxMy_FixedP!$DT$9:$DT$99)*COS(RADIANS(theta_L))))&lt;=0)*((((MxMy_FixedP!$CX$8:$CX$98)*SIN(RADIANS(theta_L))-(MxMy_FixedP!$DT$8:$DT$98)*COS(RADIANS(theta_L))))&lt;&gt;(((MxMy_FixedP!$CX$9:$CX$99)*SIN(RADIANS(theta_L))-(MxMy_FixedP!$DT$9:$DT$99)*COS(RADIANS(theta_L)))))*((((MxMy_FixedP!$CX$8:$CX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CX$9:$CX$99)-(MxMy_FixedP!$CX$8:$CX$98)))*COS(RADIANS(theta_L))+((MxMy_FixedP!$DT$8:$DT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DT$9:$DT$99)-(MxMy_FixedP!$DT$8:$DT$98)))*SIN(RADIANS(theta_L)))&lt;0),((MxMy_FixedP!$CB$8:$CB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CB$9:$CB$99)-(MxMy_FixedP!$CB$8:$CB$98))))/G18))</f>
      </c>
      <c r="I18" s="10">
        <f>IF($K18&lt;=Mtol,0,IF(G18=0,"",SUMPRODUCT(((((MxMy_FixedP!$CX$8:$CX$98)*SIN(RADIANS(theta_L))-(MxMy_FixedP!$DT$8:$DT$98)*COS(RADIANS(theta_L))))*(((MxMy_FixedP!$CX$9:$CX$99)*SIN(RADIANS(theta_L))-(MxMy_FixedP!$DT$9:$DT$99)*COS(RADIANS(theta_L))))&lt;=0)*((((MxMy_FixedP!$CX$8:$CX$98)*SIN(RADIANS(theta_L))-(MxMy_FixedP!$DT$8:$DT$98)*COS(RADIANS(theta_L))))&lt;&gt;(((MxMy_FixedP!$CX$9:$CX$99)*SIN(RADIANS(theta_L))-(MxMy_FixedP!$DT$9:$DT$99)*COS(RADIANS(theta_L)))))*((((MxMy_FixedP!$CX$8:$CX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CX$9:$CX$99)-(MxMy_FixedP!$CX$8:$CX$98)))*COS(RADIANS(theta_L))+((MxMy_FixedP!$DT$8:$DT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DT$9:$DT$99)-(MxMy_FixedP!$DT$8:$DT$98)))*SIN(RADIANS(theta_L)))&lt;0),(((MxMy_FixedP!$CX$8:$CX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CX$9:$CX$99)-(MxMy_FixedP!$CX$8:$CX$98)))*COS(RADIANS(theta_L))+((MxMy_FixedP!$DT$8:$DT$98)+(((MxMy_FixedP!$CX$8:$CX$98)*SIN(RADIANS(theta_L))-(MxMy_FixedP!$DT$8:$DT$98)*COS(RADIANS(theta_L)))/((((MxMy_FixedP!$CX$8:$CX$98)*SIN(RADIANS(theta_L))-(MxMy_FixedP!$DT$8:$DT$98)*COS(RADIANS(theta_L))))-(((MxMy_FixedP!$CX$9:$CX$99)*SIN(RADIANS(theta_L))-(MxMy_FixedP!$DT$9:$DT$99)*COS(RADIANS(theta_L))))+((((MxMy_FixedP!$CX$8:$CX$98)*SIN(RADIANS(theta_L))-(MxMy_FixedP!$DT$8:$DT$98)*COS(RADIANS(theta_L))))=(((MxMy_FixedP!$CX$9:$CX$99)*SIN(RADIANS(theta_L))-(MxMy_FixedP!$DT$9:$DT$99)*COS(RADIANS(theta_L)))))))*((MxMy_FixedP!$DT$9:$DT$99)-(MxMy_FixedP!$DT$8:$DT$98)))*SIN(RADIANS(theta_L))))/G18))</f>
      </c>
      <c r="J18">
        <f>IF($K18&lt;=Mtol,"pole",IF(AND(D18&gt;=1,G18&gt;=1),"ok","CHECK: "&amp;D18&amp;"/"&amp;G18&amp;" cuts"))</f>
      </c>
      <c r="K18" s="18">
        <v>5873.608508385497</v>
      </c>
    </row>
    <row r="19" spans="2:11" x14ac:dyDescent="0.25">
      <c r="B19" s="35" t="s">
        <v>223</v>
      </c>
      <c r="C19" s="54" t="s">
        <v>338</v>
      </c>
      <c r="D19" s="46">
        <f>IF($K19&lt;=Mtol,0,SUMPRODUCT(((((MxMy_FixedP!$CY$8:$CY$98)*SIN(RADIANS(theta_L))-(MxMy_FixedP!$DU$8:$DU$98)*COS(RADIANS(theta_L))))*(((MxMy_FixedP!$CY$9:$CY$99)*SIN(RADIANS(theta_L))-(MxMy_FixedP!$DU$9:$DU$99)*COS(RADIANS(theta_L))))&lt;=0)*((((MxMy_FixedP!$CY$8:$CY$98)*SIN(RADIANS(theta_L))-(MxMy_FixedP!$DU$8:$DU$98)*COS(RADIANS(theta_L))))&lt;&gt;(((MxMy_FixedP!$CY$9:$CY$99)*SIN(RADIANS(theta_L))-(MxMy_FixedP!$DU$9:$DU$99)*COS(RADIANS(theta_L)))))*((((MxMy_FixedP!$CY$8:$CY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CY$9:$CY$99)-(MxMy_FixedP!$CY$8:$CY$98)))*COS(RADIANS(theta_L))+((MxMy_FixedP!$DU$8:$DU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DU$9:$DU$99)-(MxMy_FixedP!$DU$8:$DU$98)))*SIN(RADIANS(theta_L)))&gt;0)))</f>
      </c>
      <c r="E19" s="10">
        <f>IF($K19&lt;=Mtol,MxMy_FixedP!$CC$8,IF(D19=0,"",SUMPRODUCT(((((MxMy_FixedP!$CY$8:$CY$98)*SIN(RADIANS(theta_L))-(MxMy_FixedP!$DU$8:$DU$98)*COS(RADIANS(theta_L))))*(((MxMy_FixedP!$CY$9:$CY$99)*SIN(RADIANS(theta_L))-(MxMy_FixedP!$DU$9:$DU$99)*COS(RADIANS(theta_L))))&lt;=0)*((((MxMy_FixedP!$CY$8:$CY$98)*SIN(RADIANS(theta_L))-(MxMy_FixedP!$DU$8:$DU$98)*COS(RADIANS(theta_L))))&lt;&gt;(((MxMy_FixedP!$CY$9:$CY$99)*SIN(RADIANS(theta_L))-(MxMy_FixedP!$DU$9:$DU$99)*COS(RADIANS(theta_L)))))*((((MxMy_FixedP!$CY$8:$CY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CY$9:$CY$99)-(MxMy_FixedP!$CY$8:$CY$98)))*COS(RADIANS(theta_L))+((MxMy_FixedP!$DU$8:$DU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DU$9:$DU$99)-(MxMy_FixedP!$DU$8:$DU$98)))*SIN(RADIANS(theta_L)))&gt;0),((MxMy_FixedP!$CC$8:$CC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CC$9:$CC$99)-(MxMy_FixedP!$CC$8:$CC$98))))/D19))</f>
      </c>
      <c r="F19" s="10">
        <f>IF($K19&lt;=Mtol,0,IF(D19=0,"",SUMPRODUCT(((((MxMy_FixedP!$CY$8:$CY$98)*SIN(RADIANS(theta_L))-(MxMy_FixedP!$DU$8:$DU$98)*COS(RADIANS(theta_L))))*(((MxMy_FixedP!$CY$9:$CY$99)*SIN(RADIANS(theta_L))-(MxMy_FixedP!$DU$9:$DU$99)*COS(RADIANS(theta_L))))&lt;=0)*((((MxMy_FixedP!$CY$8:$CY$98)*SIN(RADIANS(theta_L))-(MxMy_FixedP!$DU$8:$DU$98)*COS(RADIANS(theta_L))))&lt;&gt;(((MxMy_FixedP!$CY$9:$CY$99)*SIN(RADIANS(theta_L))-(MxMy_FixedP!$DU$9:$DU$99)*COS(RADIANS(theta_L)))))*((((MxMy_FixedP!$CY$8:$CY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CY$9:$CY$99)-(MxMy_FixedP!$CY$8:$CY$98)))*COS(RADIANS(theta_L))+((MxMy_FixedP!$DU$8:$DU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DU$9:$DU$99)-(MxMy_FixedP!$DU$8:$DU$98)))*SIN(RADIANS(theta_L)))&gt;0),(((MxMy_FixedP!$CY$8:$CY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CY$9:$CY$99)-(MxMy_FixedP!$CY$8:$CY$98)))*COS(RADIANS(theta_L))+((MxMy_FixedP!$DU$8:$DU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DU$9:$DU$99)-(MxMy_FixedP!$DU$8:$DU$98)))*SIN(RADIANS(theta_L))))/D19))</f>
      </c>
      <c r="G19" s="46">
        <f>IF($K19&lt;=Mtol,0,SUMPRODUCT(((((MxMy_FixedP!$CY$8:$CY$98)*SIN(RADIANS(theta_L))-(MxMy_FixedP!$DU$8:$DU$98)*COS(RADIANS(theta_L))))*(((MxMy_FixedP!$CY$9:$CY$99)*SIN(RADIANS(theta_L))-(MxMy_FixedP!$DU$9:$DU$99)*COS(RADIANS(theta_L))))&lt;=0)*((((MxMy_FixedP!$CY$8:$CY$98)*SIN(RADIANS(theta_L))-(MxMy_FixedP!$DU$8:$DU$98)*COS(RADIANS(theta_L))))&lt;&gt;(((MxMy_FixedP!$CY$9:$CY$99)*SIN(RADIANS(theta_L))-(MxMy_FixedP!$DU$9:$DU$99)*COS(RADIANS(theta_L)))))*((((MxMy_FixedP!$CY$8:$CY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CY$9:$CY$99)-(MxMy_FixedP!$CY$8:$CY$98)))*COS(RADIANS(theta_L))+((MxMy_FixedP!$DU$8:$DU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DU$9:$DU$99)-(MxMy_FixedP!$DU$8:$DU$98)))*SIN(RADIANS(theta_L)))&lt;0)))</f>
      </c>
      <c r="H19" s="10">
        <f>IF($K19&lt;=Mtol,MxMy_FixedP!$CC$8,IF(G19=0,"",SUMPRODUCT(((((MxMy_FixedP!$CY$8:$CY$98)*SIN(RADIANS(theta_L))-(MxMy_FixedP!$DU$8:$DU$98)*COS(RADIANS(theta_L))))*(((MxMy_FixedP!$CY$9:$CY$99)*SIN(RADIANS(theta_L))-(MxMy_FixedP!$DU$9:$DU$99)*COS(RADIANS(theta_L))))&lt;=0)*((((MxMy_FixedP!$CY$8:$CY$98)*SIN(RADIANS(theta_L))-(MxMy_FixedP!$DU$8:$DU$98)*COS(RADIANS(theta_L))))&lt;&gt;(((MxMy_FixedP!$CY$9:$CY$99)*SIN(RADIANS(theta_L))-(MxMy_FixedP!$DU$9:$DU$99)*COS(RADIANS(theta_L)))))*((((MxMy_FixedP!$CY$8:$CY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CY$9:$CY$99)-(MxMy_FixedP!$CY$8:$CY$98)))*COS(RADIANS(theta_L))+((MxMy_FixedP!$DU$8:$DU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DU$9:$DU$99)-(MxMy_FixedP!$DU$8:$DU$98)))*SIN(RADIANS(theta_L)))&lt;0),((MxMy_FixedP!$CC$8:$CC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CC$9:$CC$99)-(MxMy_FixedP!$CC$8:$CC$98))))/G19))</f>
      </c>
      <c r="I19" s="10">
        <f>IF($K19&lt;=Mtol,0,IF(G19=0,"",SUMPRODUCT(((((MxMy_FixedP!$CY$8:$CY$98)*SIN(RADIANS(theta_L))-(MxMy_FixedP!$DU$8:$DU$98)*COS(RADIANS(theta_L))))*(((MxMy_FixedP!$CY$9:$CY$99)*SIN(RADIANS(theta_L))-(MxMy_FixedP!$DU$9:$DU$99)*COS(RADIANS(theta_L))))&lt;=0)*((((MxMy_FixedP!$CY$8:$CY$98)*SIN(RADIANS(theta_L))-(MxMy_FixedP!$DU$8:$DU$98)*COS(RADIANS(theta_L))))&lt;&gt;(((MxMy_FixedP!$CY$9:$CY$99)*SIN(RADIANS(theta_L))-(MxMy_FixedP!$DU$9:$DU$99)*COS(RADIANS(theta_L)))))*((((MxMy_FixedP!$CY$8:$CY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CY$9:$CY$99)-(MxMy_FixedP!$CY$8:$CY$98)))*COS(RADIANS(theta_L))+((MxMy_FixedP!$DU$8:$DU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DU$9:$DU$99)-(MxMy_FixedP!$DU$8:$DU$98)))*SIN(RADIANS(theta_L)))&lt;0),(((MxMy_FixedP!$CY$8:$CY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CY$9:$CY$99)-(MxMy_FixedP!$CY$8:$CY$98)))*COS(RADIANS(theta_L))+((MxMy_FixedP!$DU$8:$DU$98)+(((MxMy_FixedP!$CY$8:$CY$98)*SIN(RADIANS(theta_L))-(MxMy_FixedP!$DU$8:$DU$98)*COS(RADIANS(theta_L)))/((((MxMy_FixedP!$CY$8:$CY$98)*SIN(RADIANS(theta_L))-(MxMy_FixedP!$DU$8:$DU$98)*COS(RADIANS(theta_L))))-(((MxMy_FixedP!$CY$9:$CY$99)*SIN(RADIANS(theta_L))-(MxMy_FixedP!$DU$9:$DU$99)*COS(RADIANS(theta_L))))+((((MxMy_FixedP!$CY$8:$CY$98)*SIN(RADIANS(theta_L))-(MxMy_FixedP!$DU$8:$DU$98)*COS(RADIANS(theta_L))))=(((MxMy_FixedP!$CY$9:$CY$99)*SIN(RADIANS(theta_L))-(MxMy_FixedP!$DU$9:$DU$99)*COS(RADIANS(theta_L)))))))*((MxMy_FixedP!$DU$9:$DU$99)-(MxMy_FixedP!$DU$8:$DU$98)))*SIN(RADIANS(theta_L))))/G19))</f>
      </c>
      <c r="J19">
        <f>IF($K19&lt;=Mtol,"pole",IF(AND(D19&gt;=1,G19&gt;=1),"ok","CHECK: "&amp;D19&amp;"/"&amp;G19&amp;" cuts"))</f>
      </c>
      <c r="K19" s="18">
        <v>6430.541389096731</v>
      </c>
    </row>
    <row r="20" spans="2:11" x14ac:dyDescent="0.25">
      <c r="B20" s="35" t="s">
        <v>224</v>
      </c>
      <c r="C20" s="54" t="s">
        <v>339</v>
      </c>
      <c r="D20" s="46">
        <f>IF($K20&lt;=Mtol,0,SUMPRODUCT(((((MxMy_FixedP!$CZ$8:$CZ$98)*SIN(RADIANS(theta_L))-(MxMy_FixedP!$DV$8:$DV$98)*COS(RADIANS(theta_L))))*(((MxMy_FixedP!$CZ$9:$CZ$99)*SIN(RADIANS(theta_L))-(MxMy_FixedP!$DV$9:$DV$99)*COS(RADIANS(theta_L))))&lt;=0)*((((MxMy_FixedP!$CZ$8:$CZ$98)*SIN(RADIANS(theta_L))-(MxMy_FixedP!$DV$8:$DV$98)*COS(RADIANS(theta_L))))&lt;&gt;(((MxMy_FixedP!$CZ$9:$CZ$99)*SIN(RADIANS(theta_L))-(MxMy_FixedP!$DV$9:$DV$99)*COS(RADIANS(theta_L)))))*((((MxMy_FixedP!$CZ$8:$CZ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CZ$9:$CZ$99)-(MxMy_FixedP!$CZ$8:$CZ$98)))*COS(RADIANS(theta_L))+((MxMy_FixedP!$DV$8:$DV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DV$9:$DV$99)-(MxMy_FixedP!$DV$8:$DV$98)))*SIN(RADIANS(theta_L)))&gt;0)))</f>
      </c>
      <c r="E20" s="10">
        <f>IF($K20&lt;=Mtol,MxMy_FixedP!$CD$8,IF(D20=0,"",SUMPRODUCT(((((MxMy_FixedP!$CZ$8:$CZ$98)*SIN(RADIANS(theta_L))-(MxMy_FixedP!$DV$8:$DV$98)*COS(RADIANS(theta_L))))*(((MxMy_FixedP!$CZ$9:$CZ$99)*SIN(RADIANS(theta_L))-(MxMy_FixedP!$DV$9:$DV$99)*COS(RADIANS(theta_L))))&lt;=0)*((((MxMy_FixedP!$CZ$8:$CZ$98)*SIN(RADIANS(theta_L))-(MxMy_FixedP!$DV$8:$DV$98)*COS(RADIANS(theta_L))))&lt;&gt;(((MxMy_FixedP!$CZ$9:$CZ$99)*SIN(RADIANS(theta_L))-(MxMy_FixedP!$DV$9:$DV$99)*COS(RADIANS(theta_L)))))*((((MxMy_FixedP!$CZ$8:$CZ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CZ$9:$CZ$99)-(MxMy_FixedP!$CZ$8:$CZ$98)))*COS(RADIANS(theta_L))+((MxMy_FixedP!$DV$8:$DV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DV$9:$DV$99)-(MxMy_FixedP!$DV$8:$DV$98)))*SIN(RADIANS(theta_L)))&gt;0),((MxMy_FixedP!$CD$8:$CD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CD$9:$CD$99)-(MxMy_FixedP!$CD$8:$CD$98))))/D20))</f>
      </c>
      <c r="F20" s="10">
        <f>IF($K20&lt;=Mtol,0,IF(D20=0,"",SUMPRODUCT(((((MxMy_FixedP!$CZ$8:$CZ$98)*SIN(RADIANS(theta_L))-(MxMy_FixedP!$DV$8:$DV$98)*COS(RADIANS(theta_L))))*(((MxMy_FixedP!$CZ$9:$CZ$99)*SIN(RADIANS(theta_L))-(MxMy_FixedP!$DV$9:$DV$99)*COS(RADIANS(theta_L))))&lt;=0)*((((MxMy_FixedP!$CZ$8:$CZ$98)*SIN(RADIANS(theta_L))-(MxMy_FixedP!$DV$8:$DV$98)*COS(RADIANS(theta_L))))&lt;&gt;(((MxMy_FixedP!$CZ$9:$CZ$99)*SIN(RADIANS(theta_L))-(MxMy_FixedP!$DV$9:$DV$99)*COS(RADIANS(theta_L)))))*((((MxMy_FixedP!$CZ$8:$CZ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CZ$9:$CZ$99)-(MxMy_FixedP!$CZ$8:$CZ$98)))*COS(RADIANS(theta_L))+((MxMy_FixedP!$DV$8:$DV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DV$9:$DV$99)-(MxMy_FixedP!$DV$8:$DV$98)))*SIN(RADIANS(theta_L)))&gt;0),(((MxMy_FixedP!$CZ$8:$CZ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CZ$9:$CZ$99)-(MxMy_FixedP!$CZ$8:$CZ$98)))*COS(RADIANS(theta_L))+((MxMy_FixedP!$DV$8:$DV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DV$9:$DV$99)-(MxMy_FixedP!$DV$8:$DV$98)))*SIN(RADIANS(theta_L))))/D20))</f>
      </c>
      <c r="G20" s="46">
        <f>IF($K20&lt;=Mtol,0,SUMPRODUCT(((((MxMy_FixedP!$CZ$8:$CZ$98)*SIN(RADIANS(theta_L))-(MxMy_FixedP!$DV$8:$DV$98)*COS(RADIANS(theta_L))))*(((MxMy_FixedP!$CZ$9:$CZ$99)*SIN(RADIANS(theta_L))-(MxMy_FixedP!$DV$9:$DV$99)*COS(RADIANS(theta_L))))&lt;=0)*((((MxMy_FixedP!$CZ$8:$CZ$98)*SIN(RADIANS(theta_L))-(MxMy_FixedP!$DV$8:$DV$98)*COS(RADIANS(theta_L))))&lt;&gt;(((MxMy_FixedP!$CZ$9:$CZ$99)*SIN(RADIANS(theta_L))-(MxMy_FixedP!$DV$9:$DV$99)*COS(RADIANS(theta_L)))))*((((MxMy_FixedP!$CZ$8:$CZ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CZ$9:$CZ$99)-(MxMy_FixedP!$CZ$8:$CZ$98)))*COS(RADIANS(theta_L))+((MxMy_FixedP!$DV$8:$DV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DV$9:$DV$99)-(MxMy_FixedP!$DV$8:$DV$98)))*SIN(RADIANS(theta_L)))&lt;0)))</f>
      </c>
      <c r="H20" s="10">
        <f>IF($K20&lt;=Mtol,MxMy_FixedP!$CD$8,IF(G20=0,"",SUMPRODUCT(((((MxMy_FixedP!$CZ$8:$CZ$98)*SIN(RADIANS(theta_L))-(MxMy_FixedP!$DV$8:$DV$98)*COS(RADIANS(theta_L))))*(((MxMy_FixedP!$CZ$9:$CZ$99)*SIN(RADIANS(theta_L))-(MxMy_FixedP!$DV$9:$DV$99)*COS(RADIANS(theta_L))))&lt;=0)*((((MxMy_FixedP!$CZ$8:$CZ$98)*SIN(RADIANS(theta_L))-(MxMy_FixedP!$DV$8:$DV$98)*COS(RADIANS(theta_L))))&lt;&gt;(((MxMy_FixedP!$CZ$9:$CZ$99)*SIN(RADIANS(theta_L))-(MxMy_FixedP!$DV$9:$DV$99)*COS(RADIANS(theta_L)))))*((((MxMy_FixedP!$CZ$8:$CZ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CZ$9:$CZ$99)-(MxMy_FixedP!$CZ$8:$CZ$98)))*COS(RADIANS(theta_L))+((MxMy_FixedP!$DV$8:$DV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DV$9:$DV$99)-(MxMy_FixedP!$DV$8:$DV$98)))*SIN(RADIANS(theta_L)))&lt;0),((MxMy_FixedP!$CD$8:$CD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CD$9:$CD$99)-(MxMy_FixedP!$CD$8:$CD$98))))/G20))</f>
      </c>
      <c r="I20" s="10">
        <f>IF($K20&lt;=Mtol,0,IF(G20=0,"",SUMPRODUCT(((((MxMy_FixedP!$CZ$8:$CZ$98)*SIN(RADIANS(theta_L))-(MxMy_FixedP!$DV$8:$DV$98)*COS(RADIANS(theta_L))))*(((MxMy_FixedP!$CZ$9:$CZ$99)*SIN(RADIANS(theta_L))-(MxMy_FixedP!$DV$9:$DV$99)*COS(RADIANS(theta_L))))&lt;=0)*((((MxMy_FixedP!$CZ$8:$CZ$98)*SIN(RADIANS(theta_L))-(MxMy_FixedP!$DV$8:$DV$98)*COS(RADIANS(theta_L))))&lt;&gt;(((MxMy_FixedP!$CZ$9:$CZ$99)*SIN(RADIANS(theta_L))-(MxMy_FixedP!$DV$9:$DV$99)*COS(RADIANS(theta_L)))))*((((MxMy_FixedP!$CZ$8:$CZ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CZ$9:$CZ$99)-(MxMy_FixedP!$CZ$8:$CZ$98)))*COS(RADIANS(theta_L))+((MxMy_FixedP!$DV$8:$DV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DV$9:$DV$99)-(MxMy_FixedP!$DV$8:$DV$98)))*SIN(RADIANS(theta_L)))&lt;0),(((MxMy_FixedP!$CZ$8:$CZ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CZ$9:$CZ$99)-(MxMy_FixedP!$CZ$8:$CZ$98)))*COS(RADIANS(theta_L))+((MxMy_FixedP!$DV$8:$DV$98)+(((MxMy_FixedP!$CZ$8:$CZ$98)*SIN(RADIANS(theta_L))-(MxMy_FixedP!$DV$8:$DV$98)*COS(RADIANS(theta_L)))/((((MxMy_FixedP!$CZ$8:$CZ$98)*SIN(RADIANS(theta_L))-(MxMy_FixedP!$DV$8:$DV$98)*COS(RADIANS(theta_L))))-(((MxMy_FixedP!$CZ$9:$CZ$99)*SIN(RADIANS(theta_L))-(MxMy_FixedP!$DV$9:$DV$99)*COS(RADIANS(theta_L))))+((((MxMy_FixedP!$CZ$8:$CZ$98)*SIN(RADIANS(theta_L))-(MxMy_FixedP!$DV$8:$DV$98)*COS(RADIANS(theta_L))))=(((MxMy_FixedP!$CZ$9:$CZ$99)*SIN(RADIANS(theta_L))-(MxMy_FixedP!$DV$9:$DV$99)*COS(RADIANS(theta_L)))))))*((MxMy_FixedP!$DV$9:$DV$99)-(MxMy_FixedP!$DV$8:$DV$98)))*SIN(RADIANS(theta_L))))/G20))</f>
      </c>
      <c r="J20">
        <f>IF($K20&lt;=Mtol,"pole",IF(AND(D20&gt;=1,G20&gt;=1),"ok","CHECK: "&amp;D20&amp;"/"&amp;G20&amp;" cuts"))</f>
      </c>
      <c r="K20" s="18">
        <v>6846.531986160265</v>
      </c>
    </row>
    <row r="21" spans="2:11" x14ac:dyDescent="0.25">
      <c r="B21" s="35" t="s">
        <v>225</v>
      </c>
      <c r="C21" s="54" t="s">
        <v>340</v>
      </c>
      <c r="D21" s="46">
        <f>IF($K21&lt;=Mtol,0,SUMPRODUCT(((((MxMy_FixedP!$DA$8:$DA$98)*SIN(RADIANS(theta_L))-(MxMy_FixedP!$DW$8:$DW$98)*COS(RADIANS(theta_L))))*(((MxMy_FixedP!$DA$9:$DA$99)*SIN(RADIANS(theta_L))-(MxMy_FixedP!$DW$9:$DW$99)*COS(RADIANS(theta_L))))&lt;=0)*((((MxMy_FixedP!$DA$8:$DA$98)*SIN(RADIANS(theta_L))-(MxMy_FixedP!$DW$8:$DW$98)*COS(RADIANS(theta_L))))&lt;&gt;(((MxMy_FixedP!$DA$9:$DA$99)*SIN(RADIANS(theta_L))-(MxMy_FixedP!$DW$9:$DW$99)*COS(RADIANS(theta_L)))))*((((MxMy_FixedP!$DA$8:$DA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A$9:$DA$99)-(MxMy_FixedP!$DA$8:$DA$98)))*COS(RADIANS(theta_L))+((MxMy_FixedP!$DW$8:$DW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W$9:$DW$99)-(MxMy_FixedP!$DW$8:$DW$98)))*SIN(RADIANS(theta_L)))&gt;0)))</f>
      </c>
      <c r="E21" s="10">
        <f>IF($K21&lt;=Mtol,MxMy_FixedP!$CE$8,IF(D21=0,"",SUMPRODUCT(((((MxMy_FixedP!$DA$8:$DA$98)*SIN(RADIANS(theta_L))-(MxMy_FixedP!$DW$8:$DW$98)*COS(RADIANS(theta_L))))*(((MxMy_FixedP!$DA$9:$DA$99)*SIN(RADIANS(theta_L))-(MxMy_FixedP!$DW$9:$DW$99)*COS(RADIANS(theta_L))))&lt;=0)*((((MxMy_FixedP!$DA$8:$DA$98)*SIN(RADIANS(theta_L))-(MxMy_FixedP!$DW$8:$DW$98)*COS(RADIANS(theta_L))))&lt;&gt;(((MxMy_FixedP!$DA$9:$DA$99)*SIN(RADIANS(theta_L))-(MxMy_FixedP!$DW$9:$DW$99)*COS(RADIANS(theta_L)))))*((((MxMy_FixedP!$DA$8:$DA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A$9:$DA$99)-(MxMy_FixedP!$DA$8:$DA$98)))*COS(RADIANS(theta_L))+((MxMy_FixedP!$DW$8:$DW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W$9:$DW$99)-(MxMy_FixedP!$DW$8:$DW$98)))*SIN(RADIANS(theta_L)))&gt;0),((MxMy_FixedP!$CE$8:$CE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CE$9:$CE$99)-(MxMy_FixedP!$CE$8:$CE$98))))/D21))</f>
      </c>
      <c r="F21" s="10">
        <f>IF($K21&lt;=Mtol,0,IF(D21=0,"",SUMPRODUCT(((((MxMy_FixedP!$DA$8:$DA$98)*SIN(RADIANS(theta_L))-(MxMy_FixedP!$DW$8:$DW$98)*COS(RADIANS(theta_L))))*(((MxMy_FixedP!$DA$9:$DA$99)*SIN(RADIANS(theta_L))-(MxMy_FixedP!$DW$9:$DW$99)*COS(RADIANS(theta_L))))&lt;=0)*((((MxMy_FixedP!$DA$8:$DA$98)*SIN(RADIANS(theta_L))-(MxMy_FixedP!$DW$8:$DW$98)*COS(RADIANS(theta_L))))&lt;&gt;(((MxMy_FixedP!$DA$9:$DA$99)*SIN(RADIANS(theta_L))-(MxMy_FixedP!$DW$9:$DW$99)*COS(RADIANS(theta_L)))))*((((MxMy_FixedP!$DA$8:$DA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A$9:$DA$99)-(MxMy_FixedP!$DA$8:$DA$98)))*COS(RADIANS(theta_L))+((MxMy_FixedP!$DW$8:$DW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W$9:$DW$99)-(MxMy_FixedP!$DW$8:$DW$98)))*SIN(RADIANS(theta_L)))&gt;0),(((MxMy_FixedP!$DA$8:$DA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A$9:$DA$99)-(MxMy_FixedP!$DA$8:$DA$98)))*COS(RADIANS(theta_L))+((MxMy_FixedP!$DW$8:$DW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W$9:$DW$99)-(MxMy_FixedP!$DW$8:$DW$98)))*SIN(RADIANS(theta_L))))/D21))</f>
      </c>
      <c r="G21" s="46">
        <f>IF($K21&lt;=Mtol,0,SUMPRODUCT(((((MxMy_FixedP!$DA$8:$DA$98)*SIN(RADIANS(theta_L))-(MxMy_FixedP!$DW$8:$DW$98)*COS(RADIANS(theta_L))))*(((MxMy_FixedP!$DA$9:$DA$99)*SIN(RADIANS(theta_L))-(MxMy_FixedP!$DW$9:$DW$99)*COS(RADIANS(theta_L))))&lt;=0)*((((MxMy_FixedP!$DA$8:$DA$98)*SIN(RADIANS(theta_L))-(MxMy_FixedP!$DW$8:$DW$98)*COS(RADIANS(theta_L))))&lt;&gt;(((MxMy_FixedP!$DA$9:$DA$99)*SIN(RADIANS(theta_L))-(MxMy_FixedP!$DW$9:$DW$99)*COS(RADIANS(theta_L)))))*((((MxMy_FixedP!$DA$8:$DA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A$9:$DA$99)-(MxMy_FixedP!$DA$8:$DA$98)))*COS(RADIANS(theta_L))+((MxMy_FixedP!$DW$8:$DW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W$9:$DW$99)-(MxMy_FixedP!$DW$8:$DW$98)))*SIN(RADIANS(theta_L)))&lt;0)))</f>
      </c>
      <c r="H21" s="10">
        <f>IF($K21&lt;=Mtol,MxMy_FixedP!$CE$8,IF(G21=0,"",SUMPRODUCT(((((MxMy_FixedP!$DA$8:$DA$98)*SIN(RADIANS(theta_L))-(MxMy_FixedP!$DW$8:$DW$98)*COS(RADIANS(theta_L))))*(((MxMy_FixedP!$DA$9:$DA$99)*SIN(RADIANS(theta_L))-(MxMy_FixedP!$DW$9:$DW$99)*COS(RADIANS(theta_L))))&lt;=0)*((((MxMy_FixedP!$DA$8:$DA$98)*SIN(RADIANS(theta_L))-(MxMy_FixedP!$DW$8:$DW$98)*COS(RADIANS(theta_L))))&lt;&gt;(((MxMy_FixedP!$DA$9:$DA$99)*SIN(RADIANS(theta_L))-(MxMy_FixedP!$DW$9:$DW$99)*COS(RADIANS(theta_L)))))*((((MxMy_FixedP!$DA$8:$DA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A$9:$DA$99)-(MxMy_FixedP!$DA$8:$DA$98)))*COS(RADIANS(theta_L))+((MxMy_FixedP!$DW$8:$DW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W$9:$DW$99)-(MxMy_FixedP!$DW$8:$DW$98)))*SIN(RADIANS(theta_L)))&lt;0),((MxMy_FixedP!$CE$8:$CE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CE$9:$CE$99)-(MxMy_FixedP!$CE$8:$CE$98))))/G21))</f>
      </c>
      <c r="I21" s="10">
        <f>IF($K21&lt;=Mtol,0,IF(G21=0,"",SUMPRODUCT(((((MxMy_FixedP!$DA$8:$DA$98)*SIN(RADIANS(theta_L))-(MxMy_FixedP!$DW$8:$DW$98)*COS(RADIANS(theta_L))))*(((MxMy_FixedP!$DA$9:$DA$99)*SIN(RADIANS(theta_L))-(MxMy_FixedP!$DW$9:$DW$99)*COS(RADIANS(theta_L))))&lt;=0)*((((MxMy_FixedP!$DA$8:$DA$98)*SIN(RADIANS(theta_L))-(MxMy_FixedP!$DW$8:$DW$98)*COS(RADIANS(theta_L))))&lt;&gt;(((MxMy_FixedP!$DA$9:$DA$99)*SIN(RADIANS(theta_L))-(MxMy_FixedP!$DW$9:$DW$99)*COS(RADIANS(theta_L)))))*((((MxMy_FixedP!$DA$8:$DA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A$9:$DA$99)-(MxMy_FixedP!$DA$8:$DA$98)))*COS(RADIANS(theta_L))+((MxMy_FixedP!$DW$8:$DW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W$9:$DW$99)-(MxMy_FixedP!$DW$8:$DW$98)))*SIN(RADIANS(theta_L)))&lt;0),(((MxMy_FixedP!$DA$8:$DA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A$9:$DA$99)-(MxMy_FixedP!$DA$8:$DA$98)))*COS(RADIANS(theta_L))+((MxMy_FixedP!$DW$8:$DW$98)+(((MxMy_FixedP!$DA$8:$DA$98)*SIN(RADIANS(theta_L))-(MxMy_FixedP!$DW$8:$DW$98)*COS(RADIANS(theta_L)))/((((MxMy_FixedP!$DA$8:$DA$98)*SIN(RADIANS(theta_L))-(MxMy_FixedP!$DW$8:$DW$98)*COS(RADIANS(theta_L))))-(((MxMy_FixedP!$DA$9:$DA$99)*SIN(RADIANS(theta_L))-(MxMy_FixedP!$DW$9:$DW$99)*COS(RADIANS(theta_L))))+((((MxMy_FixedP!$DA$8:$DA$98)*SIN(RADIANS(theta_L))-(MxMy_FixedP!$DW$8:$DW$98)*COS(RADIANS(theta_L))))=(((MxMy_FixedP!$DA$9:$DA$99)*SIN(RADIANS(theta_L))-(MxMy_FixedP!$DW$9:$DW$99)*COS(RADIANS(theta_L)))))))*((MxMy_FixedP!$DW$9:$DW$99)-(MxMy_FixedP!$DW$8:$DW$98)))*SIN(RADIANS(theta_L))))/G21))</f>
      </c>
      <c r="J21">
        <f>IF($K21&lt;=Mtol,"pole",IF(AND(D21&gt;=1,G21&gt;=1),"ok","CHECK: "&amp;D21&amp;"/"&amp;G21&amp;" cuts"))</f>
      </c>
      <c r="K21" s="18">
        <v>7177.451206070804</v>
      </c>
    </row>
    <row r="22" spans="2:11" x14ac:dyDescent="0.25">
      <c r="B22" s="35" t="s">
        <v>226</v>
      </c>
      <c r="C22" s="54" t="s">
        <v>341</v>
      </c>
      <c r="D22" s="46">
        <f>IF($K22&lt;=Mtol,0,SUMPRODUCT(((((MxMy_FixedP!$DB$8:$DB$98)*SIN(RADIANS(theta_L))-(MxMy_FixedP!$DX$8:$DX$98)*COS(RADIANS(theta_L))))*(((MxMy_FixedP!$DB$9:$DB$99)*SIN(RADIANS(theta_L))-(MxMy_FixedP!$DX$9:$DX$99)*COS(RADIANS(theta_L))))&lt;=0)*((((MxMy_FixedP!$DB$8:$DB$98)*SIN(RADIANS(theta_L))-(MxMy_FixedP!$DX$8:$DX$98)*COS(RADIANS(theta_L))))&lt;&gt;(((MxMy_FixedP!$DB$9:$DB$99)*SIN(RADIANS(theta_L))-(MxMy_FixedP!$DX$9:$DX$99)*COS(RADIANS(theta_L)))))*((((MxMy_FixedP!$DB$8:$DB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B$9:$DB$99)-(MxMy_FixedP!$DB$8:$DB$98)))*COS(RADIANS(theta_L))+((MxMy_FixedP!$DX$8:$DX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X$9:$DX$99)-(MxMy_FixedP!$DX$8:$DX$98)))*SIN(RADIANS(theta_L)))&gt;0)))</f>
      </c>
      <c r="E22" s="10">
        <f>IF($K22&lt;=Mtol,MxMy_FixedP!$CF$8,IF(D22=0,"",SUMPRODUCT(((((MxMy_FixedP!$DB$8:$DB$98)*SIN(RADIANS(theta_L))-(MxMy_FixedP!$DX$8:$DX$98)*COS(RADIANS(theta_L))))*(((MxMy_FixedP!$DB$9:$DB$99)*SIN(RADIANS(theta_L))-(MxMy_FixedP!$DX$9:$DX$99)*COS(RADIANS(theta_L))))&lt;=0)*((((MxMy_FixedP!$DB$8:$DB$98)*SIN(RADIANS(theta_L))-(MxMy_FixedP!$DX$8:$DX$98)*COS(RADIANS(theta_L))))&lt;&gt;(((MxMy_FixedP!$DB$9:$DB$99)*SIN(RADIANS(theta_L))-(MxMy_FixedP!$DX$9:$DX$99)*COS(RADIANS(theta_L)))))*((((MxMy_FixedP!$DB$8:$DB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B$9:$DB$99)-(MxMy_FixedP!$DB$8:$DB$98)))*COS(RADIANS(theta_L))+((MxMy_FixedP!$DX$8:$DX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X$9:$DX$99)-(MxMy_FixedP!$DX$8:$DX$98)))*SIN(RADIANS(theta_L)))&gt;0),((MxMy_FixedP!$CF$8:$CF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CF$9:$CF$99)-(MxMy_FixedP!$CF$8:$CF$98))))/D22))</f>
      </c>
      <c r="F22" s="10">
        <f>IF($K22&lt;=Mtol,0,IF(D22=0,"",SUMPRODUCT(((((MxMy_FixedP!$DB$8:$DB$98)*SIN(RADIANS(theta_L))-(MxMy_FixedP!$DX$8:$DX$98)*COS(RADIANS(theta_L))))*(((MxMy_FixedP!$DB$9:$DB$99)*SIN(RADIANS(theta_L))-(MxMy_FixedP!$DX$9:$DX$99)*COS(RADIANS(theta_L))))&lt;=0)*((((MxMy_FixedP!$DB$8:$DB$98)*SIN(RADIANS(theta_L))-(MxMy_FixedP!$DX$8:$DX$98)*COS(RADIANS(theta_L))))&lt;&gt;(((MxMy_FixedP!$DB$9:$DB$99)*SIN(RADIANS(theta_L))-(MxMy_FixedP!$DX$9:$DX$99)*COS(RADIANS(theta_L)))))*((((MxMy_FixedP!$DB$8:$DB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B$9:$DB$99)-(MxMy_FixedP!$DB$8:$DB$98)))*COS(RADIANS(theta_L))+((MxMy_FixedP!$DX$8:$DX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X$9:$DX$99)-(MxMy_FixedP!$DX$8:$DX$98)))*SIN(RADIANS(theta_L)))&gt;0),(((MxMy_FixedP!$DB$8:$DB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B$9:$DB$99)-(MxMy_FixedP!$DB$8:$DB$98)))*COS(RADIANS(theta_L))+((MxMy_FixedP!$DX$8:$DX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X$9:$DX$99)-(MxMy_FixedP!$DX$8:$DX$98)))*SIN(RADIANS(theta_L))))/D22))</f>
      </c>
      <c r="G22" s="46">
        <f>IF($K22&lt;=Mtol,0,SUMPRODUCT(((((MxMy_FixedP!$DB$8:$DB$98)*SIN(RADIANS(theta_L))-(MxMy_FixedP!$DX$8:$DX$98)*COS(RADIANS(theta_L))))*(((MxMy_FixedP!$DB$9:$DB$99)*SIN(RADIANS(theta_L))-(MxMy_FixedP!$DX$9:$DX$99)*COS(RADIANS(theta_L))))&lt;=0)*((((MxMy_FixedP!$DB$8:$DB$98)*SIN(RADIANS(theta_L))-(MxMy_FixedP!$DX$8:$DX$98)*COS(RADIANS(theta_L))))&lt;&gt;(((MxMy_FixedP!$DB$9:$DB$99)*SIN(RADIANS(theta_L))-(MxMy_FixedP!$DX$9:$DX$99)*COS(RADIANS(theta_L)))))*((((MxMy_FixedP!$DB$8:$DB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B$9:$DB$99)-(MxMy_FixedP!$DB$8:$DB$98)))*COS(RADIANS(theta_L))+((MxMy_FixedP!$DX$8:$DX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X$9:$DX$99)-(MxMy_FixedP!$DX$8:$DX$98)))*SIN(RADIANS(theta_L)))&lt;0)))</f>
      </c>
      <c r="H22" s="10">
        <f>IF($K22&lt;=Mtol,MxMy_FixedP!$CF$8,IF(G22=0,"",SUMPRODUCT(((((MxMy_FixedP!$DB$8:$DB$98)*SIN(RADIANS(theta_L))-(MxMy_FixedP!$DX$8:$DX$98)*COS(RADIANS(theta_L))))*(((MxMy_FixedP!$DB$9:$DB$99)*SIN(RADIANS(theta_L))-(MxMy_FixedP!$DX$9:$DX$99)*COS(RADIANS(theta_L))))&lt;=0)*((((MxMy_FixedP!$DB$8:$DB$98)*SIN(RADIANS(theta_L))-(MxMy_FixedP!$DX$8:$DX$98)*COS(RADIANS(theta_L))))&lt;&gt;(((MxMy_FixedP!$DB$9:$DB$99)*SIN(RADIANS(theta_L))-(MxMy_FixedP!$DX$9:$DX$99)*COS(RADIANS(theta_L)))))*((((MxMy_FixedP!$DB$8:$DB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B$9:$DB$99)-(MxMy_FixedP!$DB$8:$DB$98)))*COS(RADIANS(theta_L))+((MxMy_FixedP!$DX$8:$DX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X$9:$DX$99)-(MxMy_FixedP!$DX$8:$DX$98)))*SIN(RADIANS(theta_L)))&lt;0),((MxMy_FixedP!$CF$8:$CF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CF$9:$CF$99)-(MxMy_FixedP!$CF$8:$CF$98))))/G22))</f>
      </c>
      <c r="I22" s="10">
        <f>IF($K22&lt;=Mtol,0,IF(G22=0,"",SUMPRODUCT(((((MxMy_FixedP!$DB$8:$DB$98)*SIN(RADIANS(theta_L))-(MxMy_FixedP!$DX$8:$DX$98)*COS(RADIANS(theta_L))))*(((MxMy_FixedP!$DB$9:$DB$99)*SIN(RADIANS(theta_L))-(MxMy_FixedP!$DX$9:$DX$99)*COS(RADIANS(theta_L))))&lt;=0)*((((MxMy_FixedP!$DB$8:$DB$98)*SIN(RADIANS(theta_L))-(MxMy_FixedP!$DX$8:$DX$98)*COS(RADIANS(theta_L))))&lt;&gt;(((MxMy_FixedP!$DB$9:$DB$99)*SIN(RADIANS(theta_L))-(MxMy_FixedP!$DX$9:$DX$99)*COS(RADIANS(theta_L)))))*((((MxMy_FixedP!$DB$8:$DB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B$9:$DB$99)-(MxMy_FixedP!$DB$8:$DB$98)))*COS(RADIANS(theta_L))+((MxMy_FixedP!$DX$8:$DX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X$9:$DX$99)-(MxMy_FixedP!$DX$8:$DX$98)))*SIN(RADIANS(theta_L)))&lt;0),(((MxMy_FixedP!$DB$8:$DB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B$9:$DB$99)-(MxMy_FixedP!$DB$8:$DB$98)))*COS(RADIANS(theta_L))+((MxMy_FixedP!$DX$8:$DX$98)+(((MxMy_FixedP!$DB$8:$DB$98)*SIN(RADIANS(theta_L))-(MxMy_FixedP!$DX$8:$DX$98)*COS(RADIANS(theta_L)))/((((MxMy_FixedP!$DB$8:$DB$98)*SIN(RADIANS(theta_L))-(MxMy_FixedP!$DX$8:$DX$98)*COS(RADIANS(theta_L))))-(((MxMy_FixedP!$DB$9:$DB$99)*SIN(RADIANS(theta_L))-(MxMy_FixedP!$DX$9:$DX$99)*COS(RADIANS(theta_L))))+((((MxMy_FixedP!$DB$8:$DB$98)*SIN(RADIANS(theta_L))-(MxMy_FixedP!$DX$8:$DX$98)*COS(RADIANS(theta_L))))=(((MxMy_FixedP!$DB$9:$DB$99)*SIN(RADIANS(theta_L))-(MxMy_FixedP!$DX$9:$DX$99)*COS(RADIANS(theta_L)))))))*((MxMy_FixedP!$DX$9:$DX$99)-(MxMy_FixedP!$DX$8:$DX$98)))*SIN(RADIANS(theta_L))))/G22))</f>
      </c>
      <c r="J22">
        <f>IF($K22&lt;=Mtol,"pole",IF(AND(D22&gt;=1,G22&gt;=1),"ok","CHECK: "&amp;D22&amp;"/"&amp;G22&amp;" cuts"))</f>
      </c>
      <c r="K22" s="18">
        <v>7136.5025828493735</v>
      </c>
    </row>
    <row r="23" spans="2:11" x14ac:dyDescent="0.25">
      <c r="B23" s="35" t="s">
        <v>227</v>
      </c>
      <c r="C23" s="54" t="s">
        <v>342</v>
      </c>
      <c r="D23" s="46">
        <f>IF($K23&lt;=Mtol,0,SUMPRODUCT(((((MxMy_FixedP!$DC$8:$DC$98)*SIN(RADIANS(theta_L))-(MxMy_FixedP!$DY$8:$DY$98)*COS(RADIANS(theta_L))))*(((MxMy_FixedP!$DC$9:$DC$99)*SIN(RADIANS(theta_L))-(MxMy_FixedP!$DY$9:$DY$99)*COS(RADIANS(theta_L))))&lt;=0)*((((MxMy_FixedP!$DC$8:$DC$98)*SIN(RADIANS(theta_L))-(MxMy_FixedP!$DY$8:$DY$98)*COS(RADIANS(theta_L))))&lt;&gt;(((MxMy_FixedP!$DC$9:$DC$99)*SIN(RADIANS(theta_L))-(MxMy_FixedP!$DY$9:$DY$99)*COS(RADIANS(theta_L)))))*((((MxMy_FixedP!$DC$8:$DC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C$9:$DC$99)-(MxMy_FixedP!$DC$8:$DC$98)))*COS(RADIANS(theta_L))+((MxMy_FixedP!$DY$8:$DY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Y$9:$DY$99)-(MxMy_FixedP!$DY$8:$DY$98)))*SIN(RADIANS(theta_L)))&gt;0)))</f>
      </c>
      <c r="E23" s="10">
        <f>IF($K23&lt;=Mtol,MxMy_FixedP!$CG$8,IF(D23=0,"",SUMPRODUCT(((((MxMy_FixedP!$DC$8:$DC$98)*SIN(RADIANS(theta_L))-(MxMy_FixedP!$DY$8:$DY$98)*COS(RADIANS(theta_L))))*(((MxMy_FixedP!$DC$9:$DC$99)*SIN(RADIANS(theta_L))-(MxMy_FixedP!$DY$9:$DY$99)*COS(RADIANS(theta_L))))&lt;=0)*((((MxMy_FixedP!$DC$8:$DC$98)*SIN(RADIANS(theta_L))-(MxMy_FixedP!$DY$8:$DY$98)*COS(RADIANS(theta_L))))&lt;&gt;(((MxMy_FixedP!$DC$9:$DC$99)*SIN(RADIANS(theta_L))-(MxMy_FixedP!$DY$9:$DY$99)*COS(RADIANS(theta_L)))))*((((MxMy_FixedP!$DC$8:$DC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C$9:$DC$99)-(MxMy_FixedP!$DC$8:$DC$98)))*COS(RADIANS(theta_L))+((MxMy_FixedP!$DY$8:$DY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Y$9:$DY$99)-(MxMy_FixedP!$DY$8:$DY$98)))*SIN(RADIANS(theta_L)))&gt;0),((MxMy_FixedP!$CG$8:$CG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CG$9:$CG$99)-(MxMy_FixedP!$CG$8:$CG$98))))/D23))</f>
      </c>
      <c r="F23" s="10">
        <f>IF($K23&lt;=Mtol,0,IF(D23=0,"",SUMPRODUCT(((((MxMy_FixedP!$DC$8:$DC$98)*SIN(RADIANS(theta_L))-(MxMy_FixedP!$DY$8:$DY$98)*COS(RADIANS(theta_L))))*(((MxMy_FixedP!$DC$9:$DC$99)*SIN(RADIANS(theta_L))-(MxMy_FixedP!$DY$9:$DY$99)*COS(RADIANS(theta_L))))&lt;=0)*((((MxMy_FixedP!$DC$8:$DC$98)*SIN(RADIANS(theta_L))-(MxMy_FixedP!$DY$8:$DY$98)*COS(RADIANS(theta_L))))&lt;&gt;(((MxMy_FixedP!$DC$9:$DC$99)*SIN(RADIANS(theta_L))-(MxMy_FixedP!$DY$9:$DY$99)*COS(RADIANS(theta_L)))))*((((MxMy_FixedP!$DC$8:$DC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C$9:$DC$99)-(MxMy_FixedP!$DC$8:$DC$98)))*COS(RADIANS(theta_L))+((MxMy_FixedP!$DY$8:$DY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Y$9:$DY$99)-(MxMy_FixedP!$DY$8:$DY$98)))*SIN(RADIANS(theta_L)))&gt;0),(((MxMy_FixedP!$DC$8:$DC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C$9:$DC$99)-(MxMy_FixedP!$DC$8:$DC$98)))*COS(RADIANS(theta_L))+((MxMy_FixedP!$DY$8:$DY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Y$9:$DY$99)-(MxMy_FixedP!$DY$8:$DY$98)))*SIN(RADIANS(theta_L))))/D23))</f>
      </c>
      <c r="G23" s="46">
        <f>IF($K23&lt;=Mtol,0,SUMPRODUCT(((((MxMy_FixedP!$DC$8:$DC$98)*SIN(RADIANS(theta_L))-(MxMy_FixedP!$DY$8:$DY$98)*COS(RADIANS(theta_L))))*(((MxMy_FixedP!$DC$9:$DC$99)*SIN(RADIANS(theta_L))-(MxMy_FixedP!$DY$9:$DY$99)*COS(RADIANS(theta_L))))&lt;=0)*((((MxMy_FixedP!$DC$8:$DC$98)*SIN(RADIANS(theta_L))-(MxMy_FixedP!$DY$8:$DY$98)*COS(RADIANS(theta_L))))&lt;&gt;(((MxMy_FixedP!$DC$9:$DC$99)*SIN(RADIANS(theta_L))-(MxMy_FixedP!$DY$9:$DY$99)*COS(RADIANS(theta_L)))))*((((MxMy_FixedP!$DC$8:$DC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C$9:$DC$99)-(MxMy_FixedP!$DC$8:$DC$98)))*COS(RADIANS(theta_L))+((MxMy_FixedP!$DY$8:$DY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Y$9:$DY$99)-(MxMy_FixedP!$DY$8:$DY$98)))*SIN(RADIANS(theta_L)))&lt;0)))</f>
      </c>
      <c r="H23" s="10">
        <f>IF($K23&lt;=Mtol,MxMy_FixedP!$CG$8,IF(G23=0,"",SUMPRODUCT(((((MxMy_FixedP!$DC$8:$DC$98)*SIN(RADIANS(theta_L))-(MxMy_FixedP!$DY$8:$DY$98)*COS(RADIANS(theta_L))))*(((MxMy_FixedP!$DC$9:$DC$99)*SIN(RADIANS(theta_L))-(MxMy_FixedP!$DY$9:$DY$99)*COS(RADIANS(theta_L))))&lt;=0)*((((MxMy_FixedP!$DC$8:$DC$98)*SIN(RADIANS(theta_L))-(MxMy_FixedP!$DY$8:$DY$98)*COS(RADIANS(theta_L))))&lt;&gt;(((MxMy_FixedP!$DC$9:$DC$99)*SIN(RADIANS(theta_L))-(MxMy_FixedP!$DY$9:$DY$99)*COS(RADIANS(theta_L)))))*((((MxMy_FixedP!$DC$8:$DC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C$9:$DC$99)-(MxMy_FixedP!$DC$8:$DC$98)))*COS(RADIANS(theta_L))+((MxMy_FixedP!$DY$8:$DY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Y$9:$DY$99)-(MxMy_FixedP!$DY$8:$DY$98)))*SIN(RADIANS(theta_L)))&lt;0),((MxMy_FixedP!$CG$8:$CG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CG$9:$CG$99)-(MxMy_FixedP!$CG$8:$CG$98))))/G23))</f>
      </c>
      <c r="I23" s="10">
        <f>IF($K23&lt;=Mtol,0,IF(G23=0,"",SUMPRODUCT(((((MxMy_FixedP!$DC$8:$DC$98)*SIN(RADIANS(theta_L))-(MxMy_FixedP!$DY$8:$DY$98)*COS(RADIANS(theta_L))))*(((MxMy_FixedP!$DC$9:$DC$99)*SIN(RADIANS(theta_L))-(MxMy_FixedP!$DY$9:$DY$99)*COS(RADIANS(theta_L))))&lt;=0)*((((MxMy_FixedP!$DC$8:$DC$98)*SIN(RADIANS(theta_L))-(MxMy_FixedP!$DY$8:$DY$98)*COS(RADIANS(theta_L))))&lt;&gt;(((MxMy_FixedP!$DC$9:$DC$99)*SIN(RADIANS(theta_L))-(MxMy_FixedP!$DY$9:$DY$99)*COS(RADIANS(theta_L)))))*((((MxMy_FixedP!$DC$8:$DC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C$9:$DC$99)-(MxMy_FixedP!$DC$8:$DC$98)))*COS(RADIANS(theta_L))+((MxMy_FixedP!$DY$8:$DY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Y$9:$DY$99)-(MxMy_FixedP!$DY$8:$DY$98)))*SIN(RADIANS(theta_L)))&lt;0),(((MxMy_FixedP!$DC$8:$DC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C$9:$DC$99)-(MxMy_FixedP!$DC$8:$DC$98)))*COS(RADIANS(theta_L))+((MxMy_FixedP!$DY$8:$DY$98)+(((MxMy_FixedP!$DC$8:$DC$98)*SIN(RADIANS(theta_L))-(MxMy_FixedP!$DY$8:$DY$98)*COS(RADIANS(theta_L)))/((((MxMy_FixedP!$DC$8:$DC$98)*SIN(RADIANS(theta_L))-(MxMy_FixedP!$DY$8:$DY$98)*COS(RADIANS(theta_L))))-(((MxMy_FixedP!$DC$9:$DC$99)*SIN(RADIANS(theta_L))-(MxMy_FixedP!$DY$9:$DY$99)*COS(RADIANS(theta_L))))+((((MxMy_FixedP!$DC$8:$DC$98)*SIN(RADIANS(theta_L))-(MxMy_FixedP!$DY$8:$DY$98)*COS(RADIANS(theta_L))))=(((MxMy_FixedP!$DC$9:$DC$99)*SIN(RADIANS(theta_L))-(MxMy_FixedP!$DY$9:$DY$99)*COS(RADIANS(theta_L)))))))*((MxMy_FixedP!$DY$9:$DY$99)-(MxMy_FixedP!$DY$8:$DY$98)))*SIN(RADIANS(theta_L))))/G23))</f>
      </c>
      <c r="J23">
        <f>IF($K23&lt;=Mtol,"pole",IF(AND(D23&gt;=1,G23&gt;=1),"ok","CHECK: "&amp;D23&amp;"/"&amp;G23&amp;" cuts"))</f>
      </c>
      <c r="K23" s="18">
        <v>6924.0985044101135</v>
      </c>
    </row>
    <row r="24" spans="2:11" x14ac:dyDescent="0.25">
      <c r="B24" s="35" t="s">
        <v>228</v>
      </c>
      <c r="C24" s="54" t="s">
        <v>343</v>
      </c>
      <c r="D24" s="46">
        <f>IF($K24&lt;=Mtol,0,SUMPRODUCT(((((MxMy_FixedP!$DD$8:$DD$98)*SIN(RADIANS(theta_L))-(MxMy_FixedP!$DZ$8:$DZ$98)*COS(RADIANS(theta_L))))*(((MxMy_FixedP!$DD$9:$DD$99)*SIN(RADIANS(theta_L))-(MxMy_FixedP!$DZ$9:$DZ$99)*COS(RADIANS(theta_L))))&lt;=0)*((((MxMy_FixedP!$DD$8:$DD$98)*SIN(RADIANS(theta_L))-(MxMy_FixedP!$DZ$8:$DZ$98)*COS(RADIANS(theta_L))))&lt;&gt;(((MxMy_FixedP!$DD$9:$DD$99)*SIN(RADIANS(theta_L))-(MxMy_FixedP!$DZ$9:$DZ$99)*COS(RADIANS(theta_L)))))*((((MxMy_FixedP!$DD$8:$DD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D$9:$DD$99)-(MxMy_FixedP!$DD$8:$DD$98)))*COS(RADIANS(theta_L))+((MxMy_FixedP!$DZ$8:$DZ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Z$9:$DZ$99)-(MxMy_FixedP!$DZ$8:$DZ$98)))*SIN(RADIANS(theta_L)))&gt;0)))</f>
      </c>
      <c r="E24" s="10">
        <f>IF($K24&lt;=Mtol,MxMy_FixedP!$CH$8,IF(D24=0,"",SUMPRODUCT(((((MxMy_FixedP!$DD$8:$DD$98)*SIN(RADIANS(theta_L))-(MxMy_FixedP!$DZ$8:$DZ$98)*COS(RADIANS(theta_L))))*(((MxMy_FixedP!$DD$9:$DD$99)*SIN(RADIANS(theta_L))-(MxMy_FixedP!$DZ$9:$DZ$99)*COS(RADIANS(theta_L))))&lt;=0)*((((MxMy_FixedP!$DD$8:$DD$98)*SIN(RADIANS(theta_L))-(MxMy_FixedP!$DZ$8:$DZ$98)*COS(RADIANS(theta_L))))&lt;&gt;(((MxMy_FixedP!$DD$9:$DD$99)*SIN(RADIANS(theta_L))-(MxMy_FixedP!$DZ$9:$DZ$99)*COS(RADIANS(theta_L)))))*((((MxMy_FixedP!$DD$8:$DD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D$9:$DD$99)-(MxMy_FixedP!$DD$8:$DD$98)))*COS(RADIANS(theta_L))+((MxMy_FixedP!$DZ$8:$DZ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Z$9:$DZ$99)-(MxMy_FixedP!$DZ$8:$DZ$98)))*SIN(RADIANS(theta_L)))&gt;0),((MxMy_FixedP!$CH$8:$CH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CH$9:$CH$99)-(MxMy_FixedP!$CH$8:$CH$98))))/D24))</f>
      </c>
      <c r="F24" s="10">
        <f>IF($K24&lt;=Mtol,0,IF(D24=0,"",SUMPRODUCT(((((MxMy_FixedP!$DD$8:$DD$98)*SIN(RADIANS(theta_L))-(MxMy_FixedP!$DZ$8:$DZ$98)*COS(RADIANS(theta_L))))*(((MxMy_FixedP!$DD$9:$DD$99)*SIN(RADIANS(theta_L))-(MxMy_FixedP!$DZ$9:$DZ$99)*COS(RADIANS(theta_L))))&lt;=0)*((((MxMy_FixedP!$DD$8:$DD$98)*SIN(RADIANS(theta_L))-(MxMy_FixedP!$DZ$8:$DZ$98)*COS(RADIANS(theta_L))))&lt;&gt;(((MxMy_FixedP!$DD$9:$DD$99)*SIN(RADIANS(theta_L))-(MxMy_FixedP!$DZ$9:$DZ$99)*COS(RADIANS(theta_L)))))*((((MxMy_FixedP!$DD$8:$DD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D$9:$DD$99)-(MxMy_FixedP!$DD$8:$DD$98)))*COS(RADIANS(theta_L))+((MxMy_FixedP!$DZ$8:$DZ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Z$9:$DZ$99)-(MxMy_FixedP!$DZ$8:$DZ$98)))*SIN(RADIANS(theta_L)))&gt;0),(((MxMy_FixedP!$DD$8:$DD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D$9:$DD$99)-(MxMy_FixedP!$DD$8:$DD$98)))*COS(RADIANS(theta_L))+((MxMy_FixedP!$DZ$8:$DZ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Z$9:$DZ$99)-(MxMy_FixedP!$DZ$8:$DZ$98)))*SIN(RADIANS(theta_L))))/D24))</f>
      </c>
      <c r="G24" s="46">
        <f>IF($K24&lt;=Mtol,0,SUMPRODUCT(((((MxMy_FixedP!$DD$8:$DD$98)*SIN(RADIANS(theta_L))-(MxMy_FixedP!$DZ$8:$DZ$98)*COS(RADIANS(theta_L))))*(((MxMy_FixedP!$DD$9:$DD$99)*SIN(RADIANS(theta_L))-(MxMy_FixedP!$DZ$9:$DZ$99)*COS(RADIANS(theta_L))))&lt;=0)*((((MxMy_FixedP!$DD$8:$DD$98)*SIN(RADIANS(theta_L))-(MxMy_FixedP!$DZ$8:$DZ$98)*COS(RADIANS(theta_L))))&lt;&gt;(((MxMy_FixedP!$DD$9:$DD$99)*SIN(RADIANS(theta_L))-(MxMy_FixedP!$DZ$9:$DZ$99)*COS(RADIANS(theta_L)))))*((((MxMy_FixedP!$DD$8:$DD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D$9:$DD$99)-(MxMy_FixedP!$DD$8:$DD$98)))*COS(RADIANS(theta_L))+((MxMy_FixedP!$DZ$8:$DZ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Z$9:$DZ$99)-(MxMy_FixedP!$DZ$8:$DZ$98)))*SIN(RADIANS(theta_L)))&lt;0)))</f>
      </c>
      <c r="H24" s="10">
        <f>IF($K24&lt;=Mtol,MxMy_FixedP!$CH$8,IF(G24=0,"",SUMPRODUCT(((((MxMy_FixedP!$DD$8:$DD$98)*SIN(RADIANS(theta_L))-(MxMy_FixedP!$DZ$8:$DZ$98)*COS(RADIANS(theta_L))))*(((MxMy_FixedP!$DD$9:$DD$99)*SIN(RADIANS(theta_L))-(MxMy_FixedP!$DZ$9:$DZ$99)*COS(RADIANS(theta_L))))&lt;=0)*((((MxMy_FixedP!$DD$8:$DD$98)*SIN(RADIANS(theta_L))-(MxMy_FixedP!$DZ$8:$DZ$98)*COS(RADIANS(theta_L))))&lt;&gt;(((MxMy_FixedP!$DD$9:$DD$99)*SIN(RADIANS(theta_L))-(MxMy_FixedP!$DZ$9:$DZ$99)*COS(RADIANS(theta_L)))))*((((MxMy_FixedP!$DD$8:$DD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D$9:$DD$99)-(MxMy_FixedP!$DD$8:$DD$98)))*COS(RADIANS(theta_L))+((MxMy_FixedP!$DZ$8:$DZ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Z$9:$DZ$99)-(MxMy_FixedP!$DZ$8:$DZ$98)))*SIN(RADIANS(theta_L)))&lt;0),((MxMy_FixedP!$CH$8:$CH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CH$9:$CH$99)-(MxMy_FixedP!$CH$8:$CH$98))))/G24))</f>
      </c>
      <c r="I24" s="10">
        <f>IF($K24&lt;=Mtol,0,IF(G24=0,"",SUMPRODUCT(((((MxMy_FixedP!$DD$8:$DD$98)*SIN(RADIANS(theta_L))-(MxMy_FixedP!$DZ$8:$DZ$98)*COS(RADIANS(theta_L))))*(((MxMy_FixedP!$DD$9:$DD$99)*SIN(RADIANS(theta_L))-(MxMy_FixedP!$DZ$9:$DZ$99)*COS(RADIANS(theta_L))))&lt;=0)*((((MxMy_FixedP!$DD$8:$DD$98)*SIN(RADIANS(theta_L))-(MxMy_FixedP!$DZ$8:$DZ$98)*COS(RADIANS(theta_L))))&lt;&gt;(((MxMy_FixedP!$DD$9:$DD$99)*SIN(RADIANS(theta_L))-(MxMy_FixedP!$DZ$9:$DZ$99)*COS(RADIANS(theta_L)))))*((((MxMy_FixedP!$DD$8:$DD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D$9:$DD$99)-(MxMy_FixedP!$DD$8:$DD$98)))*COS(RADIANS(theta_L))+((MxMy_FixedP!$DZ$8:$DZ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Z$9:$DZ$99)-(MxMy_FixedP!$DZ$8:$DZ$98)))*SIN(RADIANS(theta_L)))&lt;0),(((MxMy_FixedP!$DD$8:$DD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D$9:$DD$99)-(MxMy_FixedP!$DD$8:$DD$98)))*COS(RADIANS(theta_L))+((MxMy_FixedP!$DZ$8:$DZ$98)+(((MxMy_FixedP!$DD$8:$DD$98)*SIN(RADIANS(theta_L))-(MxMy_FixedP!$DZ$8:$DZ$98)*COS(RADIANS(theta_L)))/((((MxMy_FixedP!$DD$8:$DD$98)*SIN(RADIANS(theta_L))-(MxMy_FixedP!$DZ$8:$DZ$98)*COS(RADIANS(theta_L))))-(((MxMy_FixedP!$DD$9:$DD$99)*SIN(RADIANS(theta_L))-(MxMy_FixedP!$DZ$9:$DZ$99)*COS(RADIANS(theta_L))))+((((MxMy_FixedP!$DD$8:$DD$98)*SIN(RADIANS(theta_L))-(MxMy_FixedP!$DZ$8:$DZ$98)*COS(RADIANS(theta_L))))=(((MxMy_FixedP!$DD$9:$DD$99)*SIN(RADIANS(theta_L))-(MxMy_FixedP!$DZ$9:$DZ$99)*COS(RADIANS(theta_L)))))))*((MxMy_FixedP!$DZ$9:$DZ$99)-(MxMy_FixedP!$DZ$8:$DZ$98)))*SIN(RADIANS(theta_L))))/G24))</f>
      </c>
      <c r="J24">
        <f>IF($K24&lt;=Mtol,"pole",IF(AND(D24&gt;=1,G24&gt;=1),"ok","CHECK: "&amp;D24&amp;"/"&amp;G24&amp;" cuts"))</f>
      </c>
      <c r="K24" s="18">
        <v>6713.62410261475</v>
      </c>
    </row>
    <row r="25" spans="2:11" x14ac:dyDescent="0.25">
      <c r="B25" s="35" t="s">
        <v>229</v>
      </c>
      <c r="C25" s="54" t="s">
        <v>344</v>
      </c>
      <c r="D25" s="46">
        <f>IF($K25&lt;=Mtol,0,SUMPRODUCT(((((MxMy_FixedP!$DE$8:$DE$98)*SIN(RADIANS(theta_L))-(MxMy_FixedP!$EA$8:$EA$98)*COS(RADIANS(theta_L))))*(((MxMy_FixedP!$DE$9:$DE$99)*SIN(RADIANS(theta_L))-(MxMy_FixedP!$EA$9:$EA$99)*COS(RADIANS(theta_L))))&lt;=0)*((((MxMy_FixedP!$DE$8:$DE$98)*SIN(RADIANS(theta_L))-(MxMy_FixedP!$EA$8:$EA$98)*COS(RADIANS(theta_L))))&lt;&gt;(((MxMy_FixedP!$DE$9:$DE$99)*SIN(RADIANS(theta_L))-(MxMy_FixedP!$EA$9:$EA$99)*COS(RADIANS(theta_L)))))*((((MxMy_FixedP!$DE$8:$DE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DE$9:$DE$99)-(MxMy_FixedP!$DE$8:$DE$98)))*COS(RADIANS(theta_L))+((MxMy_FixedP!$EA$8:$EA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EA$9:$EA$99)-(MxMy_FixedP!$EA$8:$EA$98)))*SIN(RADIANS(theta_L)))&gt;0)))</f>
      </c>
      <c r="E25" s="10">
        <f>IF($K25&lt;=Mtol,MxMy_FixedP!$CI$8,IF(D25=0,"",SUMPRODUCT(((((MxMy_FixedP!$DE$8:$DE$98)*SIN(RADIANS(theta_L))-(MxMy_FixedP!$EA$8:$EA$98)*COS(RADIANS(theta_L))))*(((MxMy_FixedP!$DE$9:$DE$99)*SIN(RADIANS(theta_L))-(MxMy_FixedP!$EA$9:$EA$99)*COS(RADIANS(theta_L))))&lt;=0)*((((MxMy_FixedP!$DE$8:$DE$98)*SIN(RADIANS(theta_L))-(MxMy_FixedP!$EA$8:$EA$98)*COS(RADIANS(theta_L))))&lt;&gt;(((MxMy_FixedP!$DE$9:$DE$99)*SIN(RADIANS(theta_L))-(MxMy_FixedP!$EA$9:$EA$99)*COS(RADIANS(theta_L)))))*((((MxMy_FixedP!$DE$8:$DE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DE$9:$DE$99)-(MxMy_FixedP!$DE$8:$DE$98)))*COS(RADIANS(theta_L))+((MxMy_FixedP!$EA$8:$EA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EA$9:$EA$99)-(MxMy_FixedP!$EA$8:$EA$98)))*SIN(RADIANS(theta_L)))&gt;0),((MxMy_FixedP!$CI$8:$CI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CI$9:$CI$99)-(MxMy_FixedP!$CI$8:$CI$98))))/D25))</f>
      </c>
      <c r="F25" s="10">
        <f>IF($K25&lt;=Mtol,0,IF(D25=0,"",SUMPRODUCT(((((MxMy_FixedP!$DE$8:$DE$98)*SIN(RADIANS(theta_L))-(MxMy_FixedP!$EA$8:$EA$98)*COS(RADIANS(theta_L))))*(((MxMy_FixedP!$DE$9:$DE$99)*SIN(RADIANS(theta_L))-(MxMy_FixedP!$EA$9:$EA$99)*COS(RADIANS(theta_L))))&lt;=0)*((((MxMy_FixedP!$DE$8:$DE$98)*SIN(RADIANS(theta_L))-(MxMy_FixedP!$EA$8:$EA$98)*COS(RADIANS(theta_L))))&lt;&gt;(((MxMy_FixedP!$DE$9:$DE$99)*SIN(RADIANS(theta_L))-(MxMy_FixedP!$EA$9:$EA$99)*COS(RADIANS(theta_L)))))*((((MxMy_FixedP!$DE$8:$DE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DE$9:$DE$99)-(MxMy_FixedP!$DE$8:$DE$98)))*COS(RADIANS(theta_L))+((MxMy_FixedP!$EA$8:$EA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EA$9:$EA$99)-(MxMy_FixedP!$EA$8:$EA$98)))*SIN(RADIANS(theta_L)))&gt;0),(((MxMy_FixedP!$DE$8:$DE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DE$9:$DE$99)-(MxMy_FixedP!$DE$8:$DE$98)))*COS(RADIANS(theta_L))+((MxMy_FixedP!$EA$8:$EA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EA$9:$EA$99)-(MxMy_FixedP!$EA$8:$EA$98)))*SIN(RADIANS(theta_L))))/D25))</f>
      </c>
      <c r="G25" s="46">
        <f>IF($K25&lt;=Mtol,0,SUMPRODUCT(((((MxMy_FixedP!$DE$8:$DE$98)*SIN(RADIANS(theta_L))-(MxMy_FixedP!$EA$8:$EA$98)*COS(RADIANS(theta_L))))*(((MxMy_FixedP!$DE$9:$DE$99)*SIN(RADIANS(theta_L))-(MxMy_FixedP!$EA$9:$EA$99)*COS(RADIANS(theta_L))))&lt;=0)*((((MxMy_FixedP!$DE$8:$DE$98)*SIN(RADIANS(theta_L))-(MxMy_FixedP!$EA$8:$EA$98)*COS(RADIANS(theta_L))))&lt;&gt;(((MxMy_FixedP!$DE$9:$DE$99)*SIN(RADIANS(theta_L))-(MxMy_FixedP!$EA$9:$EA$99)*COS(RADIANS(theta_L)))))*((((MxMy_FixedP!$DE$8:$DE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DE$9:$DE$99)-(MxMy_FixedP!$DE$8:$DE$98)))*COS(RADIANS(theta_L))+((MxMy_FixedP!$EA$8:$EA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EA$9:$EA$99)-(MxMy_FixedP!$EA$8:$EA$98)))*SIN(RADIANS(theta_L)))&lt;0)))</f>
      </c>
      <c r="H25" s="10">
        <f>IF($K25&lt;=Mtol,MxMy_FixedP!$CI$8,IF(G25=0,"",SUMPRODUCT(((((MxMy_FixedP!$DE$8:$DE$98)*SIN(RADIANS(theta_L))-(MxMy_FixedP!$EA$8:$EA$98)*COS(RADIANS(theta_L))))*(((MxMy_FixedP!$DE$9:$DE$99)*SIN(RADIANS(theta_L))-(MxMy_FixedP!$EA$9:$EA$99)*COS(RADIANS(theta_L))))&lt;=0)*((((MxMy_FixedP!$DE$8:$DE$98)*SIN(RADIANS(theta_L))-(MxMy_FixedP!$EA$8:$EA$98)*COS(RADIANS(theta_L))))&lt;&gt;(((MxMy_FixedP!$DE$9:$DE$99)*SIN(RADIANS(theta_L))-(MxMy_FixedP!$EA$9:$EA$99)*COS(RADIANS(theta_L)))))*((((MxMy_FixedP!$DE$8:$DE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DE$9:$DE$99)-(MxMy_FixedP!$DE$8:$DE$98)))*COS(RADIANS(theta_L))+((MxMy_FixedP!$EA$8:$EA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EA$9:$EA$99)-(MxMy_FixedP!$EA$8:$EA$98)))*SIN(RADIANS(theta_L)))&lt;0),((MxMy_FixedP!$CI$8:$CI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CI$9:$CI$99)-(MxMy_FixedP!$CI$8:$CI$98))))/G25))</f>
      </c>
      <c r="I25" s="10">
        <f>IF($K25&lt;=Mtol,0,IF(G25=0,"",SUMPRODUCT(((((MxMy_FixedP!$DE$8:$DE$98)*SIN(RADIANS(theta_L))-(MxMy_FixedP!$EA$8:$EA$98)*COS(RADIANS(theta_L))))*(((MxMy_FixedP!$DE$9:$DE$99)*SIN(RADIANS(theta_L))-(MxMy_FixedP!$EA$9:$EA$99)*COS(RADIANS(theta_L))))&lt;=0)*((((MxMy_FixedP!$DE$8:$DE$98)*SIN(RADIANS(theta_L))-(MxMy_FixedP!$EA$8:$EA$98)*COS(RADIANS(theta_L))))&lt;&gt;(((MxMy_FixedP!$DE$9:$DE$99)*SIN(RADIANS(theta_L))-(MxMy_FixedP!$EA$9:$EA$99)*COS(RADIANS(theta_L)))))*((((MxMy_FixedP!$DE$8:$DE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DE$9:$DE$99)-(MxMy_FixedP!$DE$8:$DE$98)))*COS(RADIANS(theta_L))+((MxMy_FixedP!$EA$8:$EA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EA$9:$EA$99)-(MxMy_FixedP!$EA$8:$EA$98)))*SIN(RADIANS(theta_L)))&lt;0),(((MxMy_FixedP!$DE$8:$DE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DE$9:$DE$99)-(MxMy_FixedP!$DE$8:$DE$98)))*COS(RADIANS(theta_L))+((MxMy_FixedP!$EA$8:$EA$98)+(((MxMy_FixedP!$DE$8:$DE$98)*SIN(RADIANS(theta_L))-(MxMy_FixedP!$EA$8:$EA$98)*COS(RADIANS(theta_L)))/((((MxMy_FixedP!$DE$8:$DE$98)*SIN(RADIANS(theta_L))-(MxMy_FixedP!$EA$8:$EA$98)*COS(RADIANS(theta_L))))-(((MxMy_FixedP!$DE$9:$DE$99)*SIN(RADIANS(theta_L))-(MxMy_FixedP!$EA$9:$EA$99)*COS(RADIANS(theta_L))))+((((MxMy_FixedP!$DE$8:$DE$98)*SIN(RADIANS(theta_L))-(MxMy_FixedP!$EA$8:$EA$98)*COS(RADIANS(theta_L))))=(((MxMy_FixedP!$DE$9:$DE$99)*SIN(RADIANS(theta_L))-(MxMy_FixedP!$EA$9:$EA$99)*COS(RADIANS(theta_L)))))))*((MxMy_FixedP!$EA$9:$EA$99)-(MxMy_FixedP!$EA$8:$EA$98)))*SIN(RADIANS(theta_L))))/G25))</f>
      </c>
      <c r="J25">
        <f>IF($K25&lt;=Mtol,"pole",IF(AND(D25&gt;=1,G25&gt;=1),"ok","CHECK: "&amp;D25&amp;"/"&amp;G25&amp;" cuts"))</f>
      </c>
      <c r="K25" s="18">
        <v>6501.570599436843</v>
      </c>
    </row>
    <row r="26" spans="2:11" x14ac:dyDescent="0.25">
      <c r="B26" s="35" t="s">
        <v>230</v>
      </c>
      <c r="C26" s="54" t="s">
        <v>345</v>
      </c>
      <c r="D26" s="46">
        <f>IF($K26&lt;=Mtol,0,SUMPRODUCT(((((MxMy_FixedP!$DF$8:$DF$98)*SIN(RADIANS(theta_L))-(MxMy_FixedP!$EB$8:$EB$98)*COS(RADIANS(theta_L))))*(((MxMy_FixedP!$DF$9:$DF$99)*SIN(RADIANS(theta_L))-(MxMy_FixedP!$EB$9:$EB$99)*COS(RADIANS(theta_L))))&lt;=0)*((((MxMy_FixedP!$DF$8:$DF$98)*SIN(RADIANS(theta_L))-(MxMy_FixedP!$EB$8:$EB$98)*COS(RADIANS(theta_L))))&lt;&gt;(((MxMy_FixedP!$DF$9:$DF$99)*SIN(RADIANS(theta_L))-(MxMy_FixedP!$EB$9:$EB$99)*COS(RADIANS(theta_L)))))*((((MxMy_FixedP!$DF$8:$DF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DF$9:$DF$99)-(MxMy_FixedP!$DF$8:$DF$98)))*COS(RADIANS(theta_L))+((MxMy_FixedP!$EB$8:$EB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EB$9:$EB$99)-(MxMy_FixedP!$EB$8:$EB$98)))*SIN(RADIANS(theta_L)))&gt;0)))</f>
      </c>
      <c r="E26" s="10">
        <f>IF($K26&lt;=Mtol,MxMy_FixedP!$CJ$8,IF(D26=0,"",SUMPRODUCT(((((MxMy_FixedP!$DF$8:$DF$98)*SIN(RADIANS(theta_L))-(MxMy_FixedP!$EB$8:$EB$98)*COS(RADIANS(theta_L))))*(((MxMy_FixedP!$DF$9:$DF$99)*SIN(RADIANS(theta_L))-(MxMy_FixedP!$EB$9:$EB$99)*COS(RADIANS(theta_L))))&lt;=0)*((((MxMy_FixedP!$DF$8:$DF$98)*SIN(RADIANS(theta_L))-(MxMy_FixedP!$EB$8:$EB$98)*COS(RADIANS(theta_L))))&lt;&gt;(((MxMy_FixedP!$DF$9:$DF$99)*SIN(RADIANS(theta_L))-(MxMy_FixedP!$EB$9:$EB$99)*COS(RADIANS(theta_L)))))*((((MxMy_FixedP!$DF$8:$DF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DF$9:$DF$99)-(MxMy_FixedP!$DF$8:$DF$98)))*COS(RADIANS(theta_L))+((MxMy_FixedP!$EB$8:$EB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EB$9:$EB$99)-(MxMy_FixedP!$EB$8:$EB$98)))*SIN(RADIANS(theta_L)))&gt;0),((MxMy_FixedP!$CJ$8:$CJ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CJ$9:$CJ$99)-(MxMy_FixedP!$CJ$8:$CJ$98))))/D26))</f>
      </c>
      <c r="F26" s="10">
        <f>IF($K26&lt;=Mtol,0,IF(D26=0,"",SUMPRODUCT(((((MxMy_FixedP!$DF$8:$DF$98)*SIN(RADIANS(theta_L))-(MxMy_FixedP!$EB$8:$EB$98)*COS(RADIANS(theta_L))))*(((MxMy_FixedP!$DF$9:$DF$99)*SIN(RADIANS(theta_L))-(MxMy_FixedP!$EB$9:$EB$99)*COS(RADIANS(theta_L))))&lt;=0)*((((MxMy_FixedP!$DF$8:$DF$98)*SIN(RADIANS(theta_L))-(MxMy_FixedP!$EB$8:$EB$98)*COS(RADIANS(theta_L))))&lt;&gt;(((MxMy_FixedP!$DF$9:$DF$99)*SIN(RADIANS(theta_L))-(MxMy_FixedP!$EB$9:$EB$99)*COS(RADIANS(theta_L)))))*((((MxMy_FixedP!$DF$8:$DF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DF$9:$DF$99)-(MxMy_FixedP!$DF$8:$DF$98)))*COS(RADIANS(theta_L))+((MxMy_FixedP!$EB$8:$EB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EB$9:$EB$99)-(MxMy_FixedP!$EB$8:$EB$98)))*SIN(RADIANS(theta_L)))&gt;0),(((MxMy_FixedP!$DF$8:$DF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DF$9:$DF$99)-(MxMy_FixedP!$DF$8:$DF$98)))*COS(RADIANS(theta_L))+((MxMy_FixedP!$EB$8:$EB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EB$9:$EB$99)-(MxMy_FixedP!$EB$8:$EB$98)))*SIN(RADIANS(theta_L))))/D26))</f>
      </c>
      <c r="G26" s="46">
        <f>IF($K26&lt;=Mtol,0,SUMPRODUCT(((((MxMy_FixedP!$DF$8:$DF$98)*SIN(RADIANS(theta_L))-(MxMy_FixedP!$EB$8:$EB$98)*COS(RADIANS(theta_L))))*(((MxMy_FixedP!$DF$9:$DF$99)*SIN(RADIANS(theta_L))-(MxMy_FixedP!$EB$9:$EB$99)*COS(RADIANS(theta_L))))&lt;=0)*((((MxMy_FixedP!$DF$8:$DF$98)*SIN(RADIANS(theta_L))-(MxMy_FixedP!$EB$8:$EB$98)*COS(RADIANS(theta_L))))&lt;&gt;(((MxMy_FixedP!$DF$9:$DF$99)*SIN(RADIANS(theta_L))-(MxMy_FixedP!$EB$9:$EB$99)*COS(RADIANS(theta_L)))))*((((MxMy_FixedP!$DF$8:$DF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DF$9:$DF$99)-(MxMy_FixedP!$DF$8:$DF$98)))*COS(RADIANS(theta_L))+((MxMy_FixedP!$EB$8:$EB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EB$9:$EB$99)-(MxMy_FixedP!$EB$8:$EB$98)))*SIN(RADIANS(theta_L)))&lt;0)))</f>
      </c>
      <c r="H26" s="10">
        <f>IF($K26&lt;=Mtol,MxMy_FixedP!$CJ$8,IF(G26=0,"",SUMPRODUCT(((((MxMy_FixedP!$DF$8:$DF$98)*SIN(RADIANS(theta_L))-(MxMy_FixedP!$EB$8:$EB$98)*COS(RADIANS(theta_L))))*(((MxMy_FixedP!$DF$9:$DF$99)*SIN(RADIANS(theta_L))-(MxMy_FixedP!$EB$9:$EB$99)*COS(RADIANS(theta_L))))&lt;=0)*((((MxMy_FixedP!$DF$8:$DF$98)*SIN(RADIANS(theta_L))-(MxMy_FixedP!$EB$8:$EB$98)*COS(RADIANS(theta_L))))&lt;&gt;(((MxMy_FixedP!$DF$9:$DF$99)*SIN(RADIANS(theta_L))-(MxMy_FixedP!$EB$9:$EB$99)*COS(RADIANS(theta_L)))))*((((MxMy_FixedP!$DF$8:$DF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DF$9:$DF$99)-(MxMy_FixedP!$DF$8:$DF$98)))*COS(RADIANS(theta_L))+((MxMy_FixedP!$EB$8:$EB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EB$9:$EB$99)-(MxMy_FixedP!$EB$8:$EB$98)))*SIN(RADIANS(theta_L)))&lt;0),((MxMy_FixedP!$CJ$8:$CJ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CJ$9:$CJ$99)-(MxMy_FixedP!$CJ$8:$CJ$98))))/G26))</f>
      </c>
      <c r="I26" s="10">
        <f>IF($K26&lt;=Mtol,0,IF(G26=0,"",SUMPRODUCT(((((MxMy_FixedP!$DF$8:$DF$98)*SIN(RADIANS(theta_L))-(MxMy_FixedP!$EB$8:$EB$98)*COS(RADIANS(theta_L))))*(((MxMy_FixedP!$DF$9:$DF$99)*SIN(RADIANS(theta_L))-(MxMy_FixedP!$EB$9:$EB$99)*COS(RADIANS(theta_L))))&lt;=0)*((((MxMy_FixedP!$DF$8:$DF$98)*SIN(RADIANS(theta_L))-(MxMy_FixedP!$EB$8:$EB$98)*COS(RADIANS(theta_L))))&lt;&gt;(((MxMy_FixedP!$DF$9:$DF$99)*SIN(RADIANS(theta_L))-(MxMy_FixedP!$EB$9:$EB$99)*COS(RADIANS(theta_L)))))*((((MxMy_FixedP!$DF$8:$DF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DF$9:$DF$99)-(MxMy_FixedP!$DF$8:$DF$98)))*COS(RADIANS(theta_L))+((MxMy_FixedP!$EB$8:$EB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EB$9:$EB$99)-(MxMy_FixedP!$EB$8:$EB$98)))*SIN(RADIANS(theta_L)))&lt;0),(((MxMy_FixedP!$DF$8:$DF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DF$9:$DF$99)-(MxMy_FixedP!$DF$8:$DF$98)))*COS(RADIANS(theta_L))+((MxMy_FixedP!$EB$8:$EB$98)+(((MxMy_FixedP!$DF$8:$DF$98)*SIN(RADIANS(theta_L))-(MxMy_FixedP!$EB$8:$EB$98)*COS(RADIANS(theta_L)))/((((MxMy_FixedP!$DF$8:$DF$98)*SIN(RADIANS(theta_L))-(MxMy_FixedP!$EB$8:$EB$98)*COS(RADIANS(theta_L))))-(((MxMy_FixedP!$DF$9:$DF$99)*SIN(RADIANS(theta_L))-(MxMy_FixedP!$EB$9:$EB$99)*COS(RADIANS(theta_L))))+((((MxMy_FixedP!$DF$8:$DF$98)*SIN(RADIANS(theta_L))-(MxMy_FixedP!$EB$8:$EB$98)*COS(RADIANS(theta_L))))=(((MxMy_FixedP!$DF$9:$DF$99)*SIN(RADIANS(theta_L))-(MxMy_FixedP!$EB$9:$EB$99)*COS(RADIANS(theta_L)))))))*((MxMy_FixedP!$EB$9:$EB$99)-(MxMy_FixedP!$EB$8:$EB$98)))*SIN(RADIANS(theta_L))))/G26))</f>
      </c>
      <c r="J26">
        <f>IF($K26&lt;=Mtol,"pole",IF(AND(D26&gt;=1,G26&gt;=1),"ok","CHECK: "&amp;D26&amp;"/"&amp;G26&amp;" cuts"))</f>
      </c>
      <c r="K26" s="18">
        <v>6115.04004208596</v>
      </c>
    </row>
    <row r="27" spans="2:11" x14ac:dyDescent="0.25">
      <c r="B27" s="35" t="s">
        <v>231</v>
      </c>
      <c r="C27" s="54" t="s">
        <v>346</v>
      </c>
      <c r="D27" s="46">
        <f>IF($K27&lt;=Mtol,0,SUMPRODUCT(((((MxMy_FixedP!$DG$8:$DG$98)*SIN(RADIANS(theta_L))-(MxMy_FixedP!$EC$8:$EC$98)*COS(RADIANS(theta_L))))*(((MxMy_FixedP!$DG$9:$DG$99)*SIN(RADIANS(theta_L))-(MxMy_FixedP!$EC$9:$EC$99)*COS(RADIANS(theta_L))))&lt;=0)*((((MxMy_FixedP!$DG$8:$DG$98)*SIN(RADIANS(theta_L))-(MxMy_FixedP!$EC$8:$EC$98)*COS(RADIANS(theta_L))))&lt;&gt;(((MxMy_FixedP!$DG$9:$DG$99)*SIN(RADIANS(theta_L))-(MxMy_FixedP!$EC$9:$EC$99)*COS(RADIANS(theta_L)))))*((((MxMy_FixedP!$DG$8:$DG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DG$9:$DG$99)-(MxMy_FixedP!$DG$8:$DG$98)))*COS(RADIANS(theta_L))+((MxMy_FixedP!$EC$8:$EC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EC$9:$EC$99)-(MxMy_FixedP!$EC$8:$EC$98)))*SIN(RADIANS(theta_L)))&gt;0)))</f>
      </c>
      <c r="E27" s="10">
        <f>IF($K27&lt;=Mtol,MxMy_FixedP!$CK$8,IF(D27=0,"",SUMPRODUCT(((((MxMy_FixedP!$DG$8:$DG$98)*SIN(RADIANS(theta_L))-(MxMy_FixedP!$EC$8:$EC$98)*COS(RADIANS(theta_L))))*(((MxMy_FixedP!$DG$9:$DG$99)*SIN(RADIANS(theta_L))-(MxMy_FixedP!$EC$9:$EC$99)*COS(RADIANS(theta_L))))&lt;=0)*((((MxMy_FixedP!$DG$8:$DG$98)*SIN(RADIANS(theta_L))-(MxMy_FixedP!$EC$8:$EC$98)*COS(RADIANS(theta_L))))&lt;&gt;(((MxMy_FixedP!$DG$9:$DG$99)*SIN(RADIANS(theta_L))-(MxMy_FixedP!$EC$9:$EC$99)*COS(RADIANS(theta_L)))))*((((MxMy_FixedP!$DG$8:$DG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DG$9:$DG$99)-(MxMy_FixedP!$DG$8:$DG$98)))*COS(RADIANS(theta_L))+((MxMy_FixedP!$EC$8:$EC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EC$9:$EC$99)-(MxMy_FixedP!$EC$8:$EC$98)))*SIN(RADIANS(theta_L)))&gt;0),((MxMy_FixedP!$CK$8:$CK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CK$9:$CK$99)-(MxMy_FixedP!$CK$8:$CK$98))))/D27))</f>
      </c>
      <c r="F27" s="10">
        <f>IF($K27&lt;=Mtol,0,IF(D27=0,"",SUMPRODUCT(((((MxMy_FixedP!$DG$8:$DG$98)*SIN(RADIANS(theta_L))-(MxMy_FixedP!$EC$8:$EC$98)*COS(RADIANS(theta_L))))*(((MxMy_FixedP!$DG$9:$DG$99)*SIN(RADIANS(theta_L))-(MxMy_FixedP!$EC$9:$EC$99)*COS(RADIANS(theta_L))))&lt;=0)*((((MxMy_FixedP!$DG$8:$DG$98)*SIN(RADIANS(theta_L))-(MxMy_FixedP!$EC$8:$EC$98)*COS(RADIANS(theta_L))))&lt;&gt;(((MxMy_FixedP!$DG$9:$DG$99)*SIN(RADIANS(theta_L))-(MxMy_FixedP!$EC$9:$EC$99)*COS(RADIANS(theta_L)))))*((((MxMy_FixedP!$DG$8:$DG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DG$9:$DG$99)-(MxMy_FixedP!$DG$8:$DG$98)))*COS(RADIANS(theta_L))+((MxMy_FixedP!$EC$8:$EC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EC$9:$EC$99)-(MxMy_FixedP!$EC$8:$EC$98)))*SIN(RADIANS(theta_L)))&gt;0),(((MxMy_FixedP!$DG$8:$DG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DG$9:$DG$99)-(MxMy_FixedP!$DG$8:$DG$98)))*COS(RADIANS(theta_L))+((MxMy_FixedP!$EC$8:$EC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EC$9:$EC$99)-(MxMy_FixedP!$EC$8:$EC$98)))*SIN(RADIANS(theta_L))))/D27))</f>
      </c>
      <c r="G27" s="46">
        <f>IF($K27&lt;=Mtol,0,SUMPRODUCT(((((MxMy_FixedP!$DG$8:$DG$98)*SIN(RADIANS(theta_L))-(MxMy_FixedP!$EC$8:$EC$98)*COS(RADIANS(theta_L))))*(((MxMy_FixedP!$DG$9:$DG$99)*SIN(RADIANS(theta_L))-(MxMy_FixedP!$EC$9:$EC$99)*COS(RADIANS(theta_L))))&lt;=0)*((((MxMy_FixedP!$DG$8:$DG$98)*SIN(RADIANS(theta_L))-(MxMy_FixedP!$EC$8:$EC$98)*COS(RADIANS(theta_L))))&lt;&gt;(((MxMy_FixedP!$DG$9:$DG$99)*SIN(RADIANS(theta_L))-(MxMy_FixedP!$EC$9:$EC$99)*COS(RADIANS(theta_L)))))*((((MxMy_FixedP!$DG$8:$DG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DG$9:$DG$99)-(MxMy_FixedP!$DG$8:$DG$98)))*COS(RADIANS(theta_L))+((MxMy_FixedP!$EC$8:$EC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EC$9:$EC$99)-(MxMy_FixedP!$EC$8:$EC$98)))*SIN(RADIANS(theta_L)))&lt;0)))</f>
      </c>
      <c r="H27" s="10">
        <f>IF($K27&lt;=Mtol,MxMy_FixedP!$CK$8,IF(G27=0,"",SUMPRODUCT(((((MxMy_FixedP!$DG$8:$DG$98)*SIN(RADIANS(theta_L))-(MxMy_FixedP!$EC$8:$EC$98)*COS(RADIANS(theta_L))))*(((MxMy_FixedP!$DG$9:$DG$99)*SIN(RADIANS(theta_L))-(MxMy_FixedP!$EC$9:$EC$99)*COS(RADIANS(theta_L))))&lt;=0)*((((MxMy_FixedP!$DG$8:$DG$98)*SIN(RADIANS(theta_L))-(MxMy_FixedP!$EC$8:$EC$98)*COS(RADIANS(theta_L))))&lt;&gt;(((MxMy_FixedP!$DG$9:$DG$99)*SIN(RADIANS(theta_L))-(MxMy_FixedP!$EC$9:$EC$99)*COS(RADIANS(theta_L)))))*((((MxMy_FixedP!$DG$8:$DG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DG$9:$DG$99)-(MxMy_FixedP!$DG$8:$DG$98)))*COS(RADIANS(theta_L))+((MxMy_FixedP!$EC$8:$EC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EC$9:$EC$99)-(MxMy_FixedP!$EC$8:$EC$98)))*SIN(RADIANS(theta_L)))&lt;0),((MxMy_FixedP!$CK$8:$CK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CK$9:$CK$99)-(MxMy_FixedP!$CK$8:$CK$98))))/G27))</f>
      </c>
      <c r="I27" s="10">
        <f>IF($K27&lt;=Mtol,0,IF(G27=0,"",SUMPRODUCT(((((MxMy_FixedP!$DG$8:$DG$98)*SIN(RADIANS(theta_L))-(MxMy_FixedP!$EC$8:$EC$98)*COS(RADIANS(theta_L))))*(((MxMy_FixedP!$DG$9:$DG$99)*SIN(RADIANS(theta_L))-(MxMy_FixedP!$EC$9:$EC$99)*COS(RADIANS(theta_L))))&lt;=0)*((((MxMy_FixedP!$DG$8:$DG$98)*SIN(RADIANS(theta_L))-(MxMy_FixedP!$EC$8:$EC$98)*COS(RADIANS(theta_L))))&lt;&gt;(((MxMy_FixedP!$DG$9:$DG$99)*SIN(RADIANS(theta_L))-(MxMy_FixedP!$EC$9:$EC$99)*COS(RADIANS(theta_L)))))*((((MxMy_FixedP!$DG$8:$DG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DG$9:$DG$99)-(MxMy_FixedP!$DG$8:$DG$98)))*COS(RADIANS(theta_L))+((MxMy_FixedP!$EC$8:$EC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EC$9:$EC$99)-(MxMy_FixedP!$EC$8:$EC$98)))*SIN(RADIANS(theta_L)))&lt;0),(((MxMy_FixedP!$DG$8:$DG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DG$9:$DG$99)-(MxMy_FixedP!$DG$8:$DG$98)))*COS(RADIANS(theta_L))+((MxMy_FixedP!$EC$8:$EC$98)+(((MxMy_FixedP!$DG$8:$DG$98)*SIN(RADIANS(theta_L))-(MxMy_FixedP!$EC$8:$EC$98)*COS(RADIANS(theta_L)))/((((MxMy_FixedP!$DG$8:$DG$98)*SIN(RADIANS(theta_L))-(MxMy_FixedP!$EC$8:$EC$98)*COS(RADIANS(theta_L))))-(((MxMy_FixedP!$DG$9:$DG$99)*SIN(RADIANS(theta_L))-(MxMy_FixedP!$EC$9:$EC$99)*COS(RADIANS(theta_L))))+((((MxMy_FixedP!$DG$8:$DG$98)*SIN(RADIANS(theta_L))-(MxMy_FixedP!$EC$8:$EC$98)*COS(RADIANS(theta_L))))=(((MxMy_FixedP!$DG$9:$DG$99)*SIN(RADIANS(theta_L))-(MxMy_FixedP!$EC$9:$EC$99)*COS(RADIANS(theta_L)))))))*((MxMy_FixedP!$EC$9:$EC$99)-(MxMy_FixedP!$EC$8:$EC$98)))*SIN(RADIANS(theta_L))))/G27))</f>
      </c>
      <c r="J27">
        <f>IF($K27&lt;=Mtol,"pole",IF(AND(D27&gt;=1,G27&gt;=1),"ok","CHECK: "&amp;D27&amp;"/"&amp;G27&amp;" cuts"))</f>
      </c>
      <c r="K27" s="18">
        <v>5755.775289101642</v>
      </c>
    </row>
    <row r="28" spans="2:11" x14ac:dyDescent="0.25">
      <c r="B28" s="35" t="s">
        <v>232</v>
      </c>
      <c r="C28" s="54" t="s">
        <v>347</v>
      </c>
      <c r="D28" s="46">
        <f>IF($K28&lt;=Mtol,0,SUMPRODUCT(((((MxMy_FixedP!$DH$8:$DH$98)*SIN(RADIANS(theta_L))-(MxMy_FixedP!$ED$8:$ED$98)*COS(RADIANS(theta_L))))*(((MxMy_FixedP!$DH$9:$DH$99)*SIN(RADIANS(theta_L))-(MxMy_FixedP!$ED$9:$ED$99)*COS(RADIANS(theta_L))))&lt;=0)*((((MxMy_FixedP!$DH$8:$DH$98)*SIN(RADIANS(theta_L))-(MxMy_FixedP!$ED$8:$ED$98)*COS(RADIANS(theta_L))))&lt;&gt;(((MxMy_FixedP!$DH$9:$DH$99)*SIN(RADIANS(theta_L))-(MxMy_FixedP!$ED$9:$ED$99)*COS(RADIANS(theta_L)))))*((((MxMy_FixedP!$DH$8:$DH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DH$9:$DH$99)-(MxMy_FixedP!$DH$8:$DH$98)))*COS(RADIANS(theta_L))+((MxMy_FixedP!$ED$8:$ED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ED$9:$ED$99)-(MxMy_FixedP!$ED$8:$ED$98)))*SIN(RADIANS(theta_L)))&gt;0)))</f>
      </c>
      <c r="E28" s="10">
        <f>IF($K28&lt;=Mtol,MxMy_FixedP!$CL$8,IF(D28=0,"",SUMPRODUCT(((((MxMy_FixedP!$DH$8:$DH$98)*SIN(RADIANS(theta_L))-(MxMy_FixedP!$ED$8:$ED$98)*COS(RADIANS(theta_L))))*(((MxMy_FixedP!$DH$9:$DH$99)*SIN(RADIANS(theta_L))-(MxMy_FixedP!$ED$9:$ED$99)*COS(RADIANS(theta_L))))&lt;=0)*((((MxMy_FixedP!$DH$8:$DH$98)*SIN(RADIANS(theta_L))-(MxMy_FixedP!$ED$8:$ED$98)*COS(RADIANS(theta_L))))&lt;&gt;(((MxMy_FixedP!$DH$9:$DH$99)*SIN(RADIANS(theta_L))-(MxMy_FixedP!$ED$9:$ED$99)*COS(RADIANS(theta_L)))))*((((MxMy_FixedP!$DH$8:$DH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DH$9:$DH$99)-(MxMy_FixedP!$DH$8:$DH$98)))*COS(RADIANS(theta_L))+((MxMy_FixedP!$ED$8:$ED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ED$9:$ED$99)-(MxMy_FixedP!$ED$8:$ED$98)))*SIN(RADIANS(theta_L)))&gt;0),((MxMy_FixedP!$CL$8:$CL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CL$9:$CL$99)-(MxMy_FixedP!$CL$8:$CL$98))))/D28))</f>
      </c>
      <c r="F28" s="10">
        <f>IF($K28&lt;=Mtol,0,IF(D28=0,"",SUMPRODUCT(((((MxMy_FixedP!$DH$8:$DH$98)*SIN(RADIANS(theta_L))-(MxMy_FixedP!$ED$8:$ED$98)*COS(RADIANS(theta_L))))*(((MxMy_FixedP!$DH$9:$DH$99)*SIN(RADIANS(theta_L))-(MxMy_FixedP!$ED$9:$ED$99)*COS(RADIANS(theta_L))))&lt;=0)*((((MxMy_FixedP!$DH$8:$DH$98)*SIN(RADIANS(theta_L))-(MxMy_FixedP!$ED$8:$ED$98)*COS(RADIANS(theta_L))))&lt;&gt;(((MxMy_FixedP!$DH$9:$DH$99)*SIN(RADIANS(theta_L))-(MxMy_FixedP!$ED$9:$ED$99)*COS(RADIANS(theta_L)))))*((((MxMy_FixedP!$DH$8:$DH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DH$9:$DH$99)-(MxMy_FixedP!$DH$8:$DH$98)))*COS(RADIANS(theta_L))+((MxMy_FixedP!$ED$8:$ED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ED$9:$ED$99)-(MxMy_FixedP!$ED$8:$ED$98)))*SIN(RADIANS(theta_L)))&gt;0),(((MxMy_FixedP!$DH$8:$DH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DH$9:$DH$99)-(MxMy_FixedP!$DH$8:$DH$98)))*COS(RADIANS(theta_L))+((MxMy_FixedP!$ED$8:$ED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ED$9:$ED$99)-(MxMy_FixedP!$ED$8:$ED$98)))*SIN(RADIANS(theta_L))))/D28))</f>
      </c>
      <c r="G28" s="46">
        <f>IF($K28&lt;=Mtol,0,SUMPRODUCT(((((MxMy_FixedP!$DH$8:$DH$98)*SIN(RADIANS(theta_L))-(MxMy_FixedP!$ED$8:$ED$98)*COS(RADIANS(theta_L))))*(((MxMy_FixedP!$DH$9:$DH$99)*SIN(RADIANS(theta_L))-(MxMy_FixedP!$ED$9:$ED$99)*COS(RADIANS(theta_L))))&lt;=0)*((((MxMy_FixedP!$DH$8:$DH$98)*SIN(RADIANS(theta_L))-(MxMy_FixedP!$ED$8:$ED$98)*COS(RADIANS(theta_L))))&lt;&gt;(((MxMy_FixedP!$DH$9:$DH$99)*SIN(RADIANS(theta_L))-(MxMy_FixedP!$ED$9:$ED$99)*COS(RADIANS(theta_L)))))*((((MxMy_FixedP!$DH$8:$DH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DH$9:$DH$99)-(MxMy_FixedP!$DH$8:$DH$98)))*COS(RADIANS(theta_L))+((MxMy_FixedP!$ED$8:$ED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ED$9:$ED$99)-(MxMy_FixedP!$ED$8:$ED$98)))*SIN(RADIANS(theta_L)))&lt;0)))</f>
      </c>
      <c r="H28" s="10">
        <f>IF($K28&lt;=Mtol,MxMy_FixedP!$CL$8,IF(G28=0,"",SUMPRODUCT(((((MxMy_FixedP!$DH$8:$DH$98)*SIN(RADIANS(theta_L))-(MxMy_FixedP!$ED$8:$ED$98)*COS(RADIANS(theta_L))))*(((MxMy_FixedP!$DH$9:$DH$99)*SIN(RADIANS(theta_L))-(MxMy_FixedP!$ED$9:$ED$99)*COS(RADIANS(theta_L))))&lt;=0)*((((MxMy_FixedP!$DH$8:$DH$98)*SIN(RADIANS(theta_L))-(MxMy_FixedP!$ED$8:$ED$98)*COS(RADIANS(theta_L))))&lt;&gt;(((MxMy_FixedP!$DH$9:$DH$99)*SIN(RADIANS(theta_L))-(MxMy_FixedP!$ED$9:$ED$99)*COS(RADIANS(theta_L)))))*((((MxMy_FixedP!$DH$8:$DH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DH$9:$DH$99)-(MxMy_FixedP!$DH$8:$DH$98)))*COS(RADIANS(theta_L))+((MxMy_FixedP!$ED$8:$ED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ED$9:$ED$99)-(MxMy_FixedP!$ED$8:$ED$98)))*SIN(RADIANS(theta_L)))&lt;0),((MxMy_FixedP!$CL$8:$CL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CL$9:$CL$99)-(MxMy_FixedP!$CL$8:$CL$98))))/G28))</f>
      </c>
      <c r="I28" s="10">
        <f>IF($K28&lt;=Mtol,0,IF(G28=0,"",SUMPRODUCT(((((MxMy_FixedP!$DH$8:$DH$98)*SIN(RADIANS(theta_L))-(MxMy_FixedP!$ED$8:$ED$98)*COS(RADIANS(theta_L))))*(((MxMy_FixedP!$DH$9:$DH$99)*SIN(RADIANS(theta_L))-(MxMy_FixedP!$ED$9:$ED$99)*COS(RADIANS(theta_L))))&lt;=0)*((((MxMy_FixedP!$DH$8:$DH$98)*SIN(RADIANS(theta_L))-(MxMy_FixedP!$ED$8:$ED$98)*COS(RADIANS(theta_L))))&lt;&gt;(((MxMy_FixedP!$DH$9:$DH$99)*SIN(RADIANS(theta_L))-(MxMy_FixedP!$ED$9:$ED$99)*COS(RADIANS(theta_L)))))*((((MxMy_FixedP!$DH$8:$DH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DH$9:$DH$99)-(MxMy_FixedP!$DH$8:$DH$98)))*COS(RADIANS(theta_L))+((MxMy_FixedP!$ED$8:$ED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ED$9:$ED$99)-(MxMy_FixedP!$ED$8:$ED$98)))*SIN(RADIANS(theta_L)))&lt;0),(((MxMy_FixedP!$DH$8:$DH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DH$9:$DH$99)-(MxMy_FixedP!$DH$8:$DH$98)))*COS(RADIANS(theta_L))+((MxMy_FixedP!$ED$8:$ED$98)+(((MxMy_FixedP!$DH$8:$DH$98)*SIN(RADIANS(theta_L))-(MxMy_FixedP!$ED$8:$ED$98)*COS(RADIANS(theta_L)))/((((MxMy_FixedP!$DH$8:$DH$98)*SIN(RADIANS(theta_L))-(MxMy_FixedP!$ED$8:$ED$98)*COS(RADIANS(theta_L))))-(((MxMy_FixedP!$DH$9:$DH$99)*SIN(RADIANS(theta_L))-(MxMy_FixedP!$ED$9:$ED$99)*COS(RADIANS(theta_L))))+((((MxMy_FixedP!$DH$8:$DH$98)*SIN(RADIANS(theta_L))-(MxMy_FixedP!$ED$8:$ED$98)*COS(RADIANS(theta_L))))=(((MxMy_FixedP!$DH$9:$DH$99)*SIN(RADIANS(theta_L))-(MxMy_FixedP!$ED$9:$ED$99)*COS(RADIANS(theta_L)))))))*((MxMy_FixedP!$ED$9:$ED$99)-(MxMy_FixedP!$ED$8:$ED$98)))*SIN(RADIANS(theta_L))))/G28))</f>
      </c>
      <c r="J28">
        <f>IF($K28&lt;=Mtol,"pole",IF(AND(D28&gt;=1,G28&gt;=1),"ok","CHECK: "&amp;D28&amp;"/"&amp;G28&amp;" cuts"))</f>
      </c>
      <c r="K28" s="18">
        <v>5002.944206054378</v>
      </c>
    </row>
    <row r="29" spans="2:11" x14ac:dyDescent="0.25">
      <c r="B29" s="35" t="s">
        <v>233</v>
      </c>
      <c r="C29" s="54" t="s">
        <v>348</v>
      </c>
      <c r="D29" s="46">
        <f>IF($K29&lt;=Mtol,0,SUMPRODUCT(((((MxMy_FixedP!$DI$8:$DI$98)*SIN(RADIANS(theta_L))-(MxMy_FixedP!$EE$8:$EE$98)*COS(RADIANS(theta_L))))*(((MxMy_FixedP!$DI$9:$DI$99)*SIN(RADIANS(theta_L))-(MxMy_FixedP!$EE$9:$EE$99)*COS(RADIANS(theta_L))))&lt;=0)*((((MxMy_FixedP!$DI$8:$DI$98)*SIN(RADIANS(theta_L))-(MxMy_FixedP!$EE$8:$EE$98)*COS(RADIANS(theta_L))))&lt;&gt;(((MxMy_FixedP!$DI$9:$DI$99)*SIN(RADIANS(theta_L))-(MxMy_FixedP!$EE$9:$EE$99)*COS(RADIANS(theta_L)))))*((((MxMy_FixedP!$DI$8:$DI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DI$9:$DI$99)-(MxMy_FixedP!$DI$8:$DI$98)))*COS(RADIANS(theta_L))+((MxMy_FixedP!$EE$8:$EE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EE$9:$EE$99)-(MxMy_FixedP!$EE$8:$EE$98)))*SIN(RADIANS(theta_L)))&gt;0)))</f>
      </c>
      <c r="E29" s="10">
        <f>IF($K29&lt;=Mtol,MxMy_FixedP!$CM$8,IF(D29=0,"",SUMPRODUCT(((((MxMy_FixedP!$DI$8:$DI$98)*SIN(RADIANS(theta_L))-(MxMy_FixedP!$EE$8:$EE$98)*COS(RADIANS(theta_L))))*(((MxMy_FixedP!$DI$9:$DI$99)*SIN(RADIANS(theta_L))-(MxMy_FixedP!$EE$9:$EE$99)*COS(RADIANS(theta_L))))&lt;=0)*((((MxMy_FixedP!$DI$8:$DI$98)*SIN(RADIANS(theta_L))-(MxMy_FixedP!$EE$8:$EE$98)*COS(RADIANS(theta_L))))&lt;&gt;(((MxMy_FixedP!$DI$9:$DI$99)*SIN(RADIANS(theta_L))-(MxMy_FixedP!$EE$9:$EE$99)*COS(RADIANS(theta_L)))))*((((MxMy_FixedP!$DI$8:$DI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DI$9:$DI$99)-(MxMy_FixedP!$DI$8:$DI$98)))*COS(RADIANS(theta_L))+((MxMy_FixedP!$EE$8:$EE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EE$9:$EE$99)-(MxMy_FixedP!$EE$8:$EE$98)))*SIN(RADIANS(theta_L)))&gt;0),((MxMy_FixedP!$CM$8:$CM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CM$9:$CM$99)-(MxMy_FixedP!$CM$8:$CM$98))))/D29))</f>
      </c>
      <c r="F29" s="10">
        <f>IF($K29&lt;=Mtol,0,IF(D29=0,"",SUMPRODUCT(((((MxMy_FixedP!$DI$8:$DI$98)*SIN(RADIANS(theta_L))-(MxMy_FixedP!$EE$8:$EE$98)*COS(RADIANS(theta_L))))*(((MxMy_FixedP!$DI$9:$DI$99)*SIN(RADIANS(theta_L))-(MxMy_FixedP!$EE$9:$EE$99)*COS(RADIANS(theta_L))))&lt;=0)*((((MxMy_FixedP!$DI$8:$DI$98)*SIN(RADIANS(theta_L))-(MxMy_FixedP!$EE$8:$EE$98)*COS(RADIANS(theta_L))))&lt;&gt;(((MxMy_FixedP!$DI$9:$DI$99)*SIN(RADIANS(theta_L))-(MxMy_FixedP!$EE$9:$EE$99)*COS(RADIANS(theta_L)))))*((((MxMy_FixedP!$DI$8:$DI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DI$9:$DI$99)-(MxMy_FixedP!$DI$8:$DI$98)))*COS(RADIANS(theta_L))+((MxMy_FixedP!$EE$8:$EE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EE$9:$EE$99)-(MxMy_FixedP!$EE$8:$EE$98)))*SIN(RADIANS(theta_L)))&gt;0),(((MxMy_FixedP!$DI$8:$DI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DI$9:$DI$99)-(MxMy_FixedP!$DI$8:$DI$98)))*COS(RADIANS(theta_L))+((MxMy_FixedP!$EE$8:$EE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EE$9:$EE$99)-(MxMy_FixedP!$EE$8:$EE$98)))*SIN(RADIANS(theta_L))))/D29))</f>
      </c>
      <c r="G29" s="46">
        <f>IF($K29&lt;=Mtol,0,SUMPRODUCT(((((MxMy_FixedP!$DI$8:$DI$98)*SIN(RADIANS(theta_L))-(MxMy_FixedP!$EE$8:$EE$98)*COS(RADIANS(theta_L))))*(((MxMy_FixedP!$DI$9:$DI$99)*SIN(RADIANS(theta_L))-(MxMy_FixedP!$EE$9:$EE$99)*COS(RADIANS(theta_L))))&lt;=0)*((((MxMy_FixedP!$DI$8:$DI$98)*SIN(RADIANS(theta_L))-(MxMy_FixedP!$EE$8:$EE$98)*COS(RADIANS(theta_L))))&lt;&gt;(((MxMy_FixedP!$DI$9:$DI$99)*SIN(RADIANS(theta_L))-(MxMy_FixedP!$EE$9:$EE$99)*COS(RADIANS(theta_L)))))*((((MxMy_FixedP!$DI$8:$DI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DI$9:$DI$99)-(MxMy_FixedP!$DI$8:$DI$98)))*COS(RADIANS(theta_L))+((MxMy_FixedP!$EE$8:$EE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EE$9:$EE$99)-(MxMy_FixedP!$EE$8:$EE$98)))*SIN(RADIANS(theta_L)))&lt;0)))</f>
      </c>
      <c r="H29" s="10">
        <f>IF($K29&lt;=Mtol,MxMy_FixedP!$CM$8,IF(G29=0,"",SUMPRODUCT(((((MxMy_FixedP!$DI$8:$DI$98)*SIN(RADIANS(theta_L))-(MxMy_FixedP!$EE$8:$EE$98)*COS(RADIANS(theta_L))))*(((MxMy_FixedP!$DI$9:$DI$99)*SIN(RADIANS(theta_L))-(MxMy_FixedP!$EE$9:$EE$99)*COS(RADIANS(theta_L))))&lt;=0)*((((MxMy_FixedP!$DI$8:$DI$98)*SIN(RADIANS(theta_L))-(MxMy_FixedP!$EE$8:$EE$98)*COS(RADIANS(theta_L))))&lt;&gt;(((MxMy_FixedP!$DI$9:$DI$99)*SIN(RADIANS(theta_L))-(MxMy_FixedP!$EE$9:$EE$99)*COS(RADIANS(theta_L)))))*((((MxMy_FixedP!$DI$8:$DI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DI$9:$DI$99)-(MxMy_FixedP!$DI$8:$DI$98)))*COS(RADIANS(theta_L))+((MxMy_FixedP!$EE$8:$EE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EE$9:$EE$99)-(MxMy_FixedP!$EE$8:$EE$98)))*SIN(RADIANS(theta_L)))&lt;0),((MxMy_FixedP!$CM$8:$CM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CM$9:$CM$99)-(MxMy_FixedP!$CM$8:$CM$98))))/G29))</f>
      </c>
      <c r="I29" s="10">
        <f>IF($K29&lt;=Mtol,0,IF(G29=0,"",SUMPRODUCT(((((MxMy_FixedP!$DI$8:$DI$98)*SIN(RADIANS(theta_L))-(MxMy_FixedP!$EE$8:$EE$98)*COS(RADIANS(theta_L))))*(((MxMy_FixedP!$DI$9:$DI$99)*SIN(RADIANS(theta_L))-(MxMy_FixedP!$EE$9:$EE$99)*COS(RADIANS(theta_L))))&lt;=0)*((((MxMy_FixedP!$DI$8:$DI$98)*SIN(RADIANS(theta_L))-(MxMy_FixedP!$EE$8:$EE$98)*COS(RADIANS(theta_L))))&lt;&gt;(((MxMy_FixedP!$DI$9:$DI$99)*SIN(RADIANS(theta_L))-(MxMy_FixedP!$EE$9:$EE$99)*COS(RADIANS(theta_L)))))*((((MxMy_FixedP!$DI$8:$DI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DI$9:$DI$99)-(MxMy_FixedP!$DI$8:$DI$98)))*COS(RADIANS(theta_L))+((MxMy_FixedP!$EE$8:$EE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EE$9:$EE$99)-(MxMy_FixedP!$EE$8:$EE$98)))*SIN(RADIANS(theta_L)))&lt;0),(((MxMy_FixedP!$DI$8:$DI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DI$9:$DI$99)-(MxMy_FixedP!$DI$8:$DI$98)))*COS(RADIANS(theta_L))+((MxMy_FixedP!$EE$8:$EE$98)+(((MxMy_FixedP!$DI$8:$DI$98)*SIN(RADIANS(theta_L))-(MxMy_FixedP!$EE$8:$EE$98)*COS(RADIANS(theta_L)))/((((MxMy_FixedP!$DI$8:$DI$98)*SIN(RADIANS(theta_L))-(MxMy_FixedP!$EE$8:$EE$98)*COS(RADIANS(theta_L))))-(((MxMy_FixedP!$DI$9:$DI$99)*SIN(RADIANS(theta_L))-(MxMy_FixedP!$EE$9:$EE$99)*COS(RADIANS(theta_L))))+((((MxMy_FixedP!$DI$8:$DI$98)*SIN(RADIANS(theta_L))-(MxMy_FixedP!$EE$8:$EE$98)*COS(RADIANS(theta_L))))=(((MxMy_FixedP!$DI$9:$DI$99)*SIN(RADIANS(theta_L))-(MxMy_FixedP!$EE$9:$EE$99)*COS(RADIANS(theta_L)))))))*((MxMy_FixedP!$EE$9:$EE$99)-(MxMy_FixedP!$EE$8:$EE$98)))*SIN(RADIANS(theta_L))))/G29))</f>
      </c>
      <c r="J29">
        <f>IF($K29&lt;=Mtol,"pole",IF(AND(D29&gt;=1,G29&gt;=1),"ok","CHECK: "&amp;D29&amp;"/"&amp;G29&amp;" cuts"))</f>
      </c>
      <c r="K29" s="18">
        <v>4328.180460907183</v>
      </c>
    </row>
    <row r="30" spans="2:11" x14ac:dyDescent="0.25">
      <c r="B30" s="35" t="s">
        <v>234</v>
      </c>
      <c r="C30" s="54" t="s">
        <v>349</v>
      </c>
      <c r="D30" s="46">
        <f>IF($K30&lt;=Mtol,0,SUMPRODUCT(((((MxMy_FixedP!$DJ$8:$DJ$98)*SIN(RADIANS(theta_L))-(MxMy_FixedP!$EF$8:$EF$98)*COS(RADIANS(theta_L))))*(((MxMy_FixedP!$DJ$9:$DJ$99)*SIN(RADIANS(theta_L))-(MxMy_FixedP!$EF$9:$EF$99)*COS(RADIANS(theta_L))))&lt;=0)*((((MxMy_FixedP!$DJ$8:$DJ$98)*SIN(RADIANS(theta_L))-(MxMy_FixedP!$EF$8:$EF$98)*COS(RADIANS(theta_L))))&lt;&gt;(((MxMy_FixedP!$DJ$9:$DJ$99)*SIN(RADIANS(theta_L))-(MxMy_FixedP!$EF$9:$EF$99)*COS(RADIANS(theta_L)))))*((((MxMy_FixedP!$DJ$8:$DJ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DJ$9:$DJ$99)-(MxMy_FixedP!$DJ$8:$DJ$98)))*COS(RADIANS(theta_L))+((MxMy_FixedP!$EF$8:$EF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EF$9:$EF$99)-(MxMy_FixedP!$EF$8:$EF$98)))*SIN(RADIANS(theta_L)))&gt;0)))</f>
      </c>
      <c r="E30" s="10">
        <f>IF($K30&lt;=Mtol,MxMy_FixedP!$CN$8,IF(D30=0,"",SUMPRODUCT(((((MxMy_FixedP!$DJ$8:$DJ$98)*SIN(RADIANS(theta_L))-(MxMy_FixedP!$EF$8:$EF$98)*COS(RADIANS(theta_L))))*(((MxMy_FixedP!$DJ$9:$DJ$99)*SIN(RADIANS(theta_L))-(MxMy_FixedP!$EF$9:$EF$99)*COS(RADIANS(theta_L))))&lt;=0)*((((MxMy_FixedP!$DJ$8:$DJ$98)*SIN(RADIANS(theta_L))-(MxMy_FixedP!$EF$8:$EF$98)*COS(RADIANS(theta_L))))&lt;&gt;(((MxMy_FixedP!$DJ$9:$DJ$99)*SIN(RADIANS(theta_L))-(MxMy_FixedP!$EF$9:$EF$99)*COS(RADIANS(theta_L)))))*((((MxMy_FixedP!$DJ$8:$DJ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DJ$9:$DJ$99)-(MxMy_FixedP!$DJ$8:$DJ$98)))*COS(RADIANS(theta_L))+((MxMy_FixedP!$EF$8:$EF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EF$9:$EF$99)-(MxMy_FixedP!$EF$8:$EF$98)))*SIN(RADIANS(theta_L)))&gt;0),((MxMy_FixedP!$CN$8:$CN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CN$9:$CN$99)-(MxMy_FixedP!$CN$8:$CN$98))))/D30))</f>
      </c>
      <c r="F30" s="10">
        <f>IF($K30&lt;=Mtol,0,IF(D30=0,"",SUMPRODUCT(((((MxMy_FixedP!$DJ$8:$DJ$98)*SIN(RADIANS(theta_L))-(MxMy_FixedP!$EF$8:$EF$98)*COS(RADIANS(theta_L))))*(((MxMy_FixedP!$DJ$9:$DJ$99)*SIN(RADIANS(theta_L))-(MxMy_FixedP!$EF$9:$EF$99)*COS(RADIANS(theta_L))))&lt;=0)*((((MxMy_FixedP!$DJ$8:$DJ$98)*SIN(RADIANS(theta_L))-(MxMy_FixedP!$EF$8:$EF$98)*COS(RADIANS(theta_L))))&lt;&gt;(((MxMy_FixedP!$DJ$9:$DJ$99)*SIN(RADIANS(theta_L))-(MxMy_FixedP!$EF$9:$EF$99)*COS(RADIANS(theta_L)))))*((((MxMy_FixedP!$DJ$8:$DJ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DJ$9:$DJ$99)-(MxMy_FixedP!$DJ$8:$DJ$98)))*COS(RADIANS(theta_L))+((MxMy_FixedP!$EF$8:$EF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EF$9:$EF$99)-(MxMy_FixedP!$EF$8:$EF$98)))*SIN(RADIANS(theta_L)))&gt;0),(((MxMy_FixedP!$DJ$8:$DJ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DJ$9:$DJ$99)-(MxMy_FixedP!$DJ$8:$DJ$98)))*COS(RADIANS(theta_L))+((MxMy_FixedP!$EF$8:$EF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EF$9:$EF$99)-(MxMy_FixedP!$EF$8:$EF$98)))*SIN(RADIANS(theta_L))))/D30))</f>
      </c>
      <c r="G30" s="46">
        <f>IF($K30&lt;=Mtol,0,SUMPRODUCT(((((MxMy_FixedP!$DJ$8:$DJ$98)*SIN(RADIANS(theta_L))-(MxMy_FixedP!$EF$8:$EF$98)*COS(RADIANS(theta_L))))*(((MxMy_FixedP!$DJ$9:$DJ$99)*SIN(RADIANS(theta_L))-(MxMy_FixedP!$EF$9:$EF$99)*COS(RADIANS(theta_L))))&lt;=0)*((((MxMy_FixedP!$DJ$8:$DJ$98)*SIN(RADIANS(theta_L))-(MxMy_FixedP!$EF$8:$EF$98)*COS(RADIANS(theta_L))))&lt;&gt;(((MxMy_FixedP!$DJ$9:$DJ$99)*SIN(RADIANS(theta_L))-(MxMy_FixedP!$EF$9:$EF$99)*COS(RADIANS(theta_L)))))*((((MxMy_FixedP!$DJ$8:$DJ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DJ$9:$DJ$99)-(MxMy_FixedP!$DJ$8:$DJ$98)))*COS(RADIANS(theta_L))+((MxMy_FixedP!$EF$8:$EF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EF$9:$EF$99)-(MxMy_FixedP!$EF$8:$EF$98)))*SIN(RADIANS(theta_L)))&lt;0)))</f>
      </c>
      <c r="H30" s="10">
        <f>IF($K30&lt;=Mtol,MxMy_FixedP!$CN$8,IF(G30=0,"",SUMPRODUCT(((((MxMy_FixedP!$DJ$8:$DJ$98)*SIN(RADIANS(theta_L))-(MxMy_FixedP!$EF$8:$EF$98)*COS(RADIANS(theta_L))))*(((MxMy_FixedP!$DJ$9:$DJ$99)*SIN(RADIANS(theta_L))-(MxMy_FixedP!$EF$9:$EF$99)*COS(RADIANS(theta_L))))&lt;=0)*((((MxMy_FixedP!$DJ$8:$DJ$98)*SIN(RADIANS(theta_L))-(MxMy_FixedP!$EF$8:$EF$98)*COS(RADIANS(theta_L))))&lt;&gt;(((MxMy_FixedP!$DJ$9:$DJ$99)*SIN(RADIANS(theta_L))-(MxMy_FixedP!$EF$9:$EF$99)*COS(RADIANS(theta_L)))))*((((MxMy_FixedP!$DJ$8:$DJ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DJ$9:$DJ$99)-(MxMy_FixedP!$DJ$8:$DJ$98)))*COS(RADIANS(theta_L))+((MxMy_FixedP!$EF$8:$EF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EF$9:$EF$99)-(MxMy_FixedP!$EF$8:$EF$98)))*SIN(RADIANS(theta_L)))&lt;0),((MxMy_FixedP!$CN$8:$CN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CN$9:$CN$99)-(MxMy_FixedP!$CN$8:$CN$98))))/G30))</f>
      </c>
      <c r="I30" s="10">
        <f>IF($K30&lt;=Mtol,0,IF(G30=0,"",SUMPRODUCT(((((MxMy_FixedP!$DJ$8:$DJ$98)*SIN(RADIANS(theta_L))-(MxMy_FixedP!$EF$8:$EF$98)*COS(RADIANS(theta_L))))*(((MxMy_FixedP!$DJ$9:$DJ$99)*SIN(RADIANS(theta_L))-(MxMy_FixedP!$EF$9:$EF$99)*COS(RADIANS(theta_L))))&lt;=0)*((((MxMy_FixedP!$DJ$8:$DJ$98)*SIN(RADIANS(theta_L))-(MxMy_FixedP!$EF$8:$EF$98)*COS(RADIANS(theta_L))))&lt;&gt;(((MxMy_FixedP!$DJ$9:$DJ$99)*SIN(RADIANS(theta_L))-(MxMy_FixedP!$EF$9:$EF$99)*COS(RADIANS(theta_L)))))*((((MxMy_FixedP!$DJ$8:$DJ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DJ$9:$DJ$99)-(MxMy_FixedP!$DJ$8:$DJ$98)))*COS(RADIANS(theta_L))+((MxMy_FixedP!$EF$8:$EF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EF$9:$EF$99)-(MxMy_FixedP!$EF$8:$EF$98)))*SIN(RADIANS(theta_L)))&lt;0),(((MxMy_FixedP!$DJ$8:$DJ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DJ$9:$DJ$99)-(MxMy_FixedP!$DJ$8:$DJ$98)))*COS(RADIANS(theta_L))+((MxMy_FixedP!$EF$8:$EF$98)+(((MxMy_FixedP!$DJ$8:$DJ$98)*SIN(RADIANS(theta_L))-(MxMy_FixedP!$EF$8:$EF$98)*COS(RADIANS(theta_L)))/((((MxMy_FixedP!$DJ$8:$DJ$98)*SIN(RADIANS(theta_L))-(MxMy_FixedP!$EF$8:$EF$98)*COS(RADIANS(theta_L))))-(((MxMy_FixedP!$DJ$9:$DJ$99)*SIN(RADIANS(theta_L))-(MxMy_FixedP!$EF$9:$EF$99)*COS(RADIANS(theta_L))))+((((MxMy_FixedP!$DJ$8:$DJ$98)*SIN(RADIANS(theta_L))-(MxMy_FixedP!$EF$8:$EF$98)*COS(RADIANS(theta_L))))=(((MxMy_FixedP!$DJ$9:$DJ$99)*SIN(RADIANS(theta_L))-(MxMy_FixedP!$EF$9:$EF$99)*COS(RADIANS(theta_L)))))))*((MxMy_FixedP!$EF$9:$EF$99)-(MxMy_FixedP!$EF$8:$EF$98)))*SIN(RADIANS(theta_L))))/G30))</f>
      </c>
      <c r="J30">
        <f>IF($K30&lt;=Mtol,"pole",IF(AND(D30&gt;=1,G30&gt;=1),"ok","CHECK: "&amp;D30&amp;"/"&amp;G30&amp;" cuts"))</f>
      </c>
      <c r="K30" s="18">
        <v>2722.625979221912</v>
      </c>
    </row>
    <row r="31" spans="2:11" x14ac:dyDescent="0.25">
      <c r="B31" s="35" t="s">
        <v>235</v>
      </c>
      <c r="C31" s="54" t="s">
        <v>350</v>
      </c>
      <c r="D31" s="46">
        <f>IF($K31&lt;=Mtol,0,SUMPRODUCT(((((MxMy_FixedP!$DK$8:$DK$98)*SIN(RADIANS(theta_L))-(MxMy_FixedP!$EG$8:$EG$98)*COS(RADIANS(theta_L))))*(((MxMy_FixedP!$DK$9:$DK$99)*SIN(RADIANS(theta_L))-(MxMy_FixedP!$EG$9:$EG$99)*COS(RADIANS(theta_L))))&lt;=0)*((((MxMy_FixedP!$DK$8:$DK$98)*SIN(RADIANS(theta_L))-(MxMy_FixedP!$EG$8:$EG$98)*COS(RADIANS(theta_L))))&lt;&gt;(((MxMy_FixedP!$DK$9:$DK$99)*SIN(RADIANS(theta_L))-(MxMy_FixedP!$EG$9:$EG$99)*COS(RADIANS(theta_L)))))*((((MxMy_FixedP!$DK$8:$DK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DK$9:$DK$99)-(MxMy_FixedP!$DK$8:$DK$98)))*COS(RADIANS(theta_L))+((MxMy_FixedP!$EG$8:$EG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EG$9:$EG$99)-(MxMy_FixedP!$EG$8:$EG$98)))*SIN(RADIANS(theta_L)))&gt;0)))</f>
      </c>
      <c r="E31" s="10">
        <f>IF($K31&lt;=Mtol,MxMy_FixedP!$CO$8,IF(D31=0,"",SUMPRODUCT(((((MxMy_FixedP!$DK$8:$DK$98)*SIN(RADIANS(theta_L))-(MxMy_FixedP!$EG$8:$EG$98)*COS(RADIANS(theta_L))))*(((MxMy_FixedP!$DK$9:$DK$99)*SIN(RADIANS(theta_L))-(MxMy_FixedP!$EG$9:$EG$99)*COS(RADIANS(theta_L))))&lt;=0)*((((MxMy_FixedP!$DK$8:$DK$98)*SIN(RADIANS(theta_L))-(MxMy_FixedP!$EG$8:$EG$98)*COS(RADIANS(theta_L))))&lt;&gt;(((MxMy_FixedP!$DK$9:$DK$99)*SIN(RADIANS(theta_L))-(MxMy_FixedP!$EG$9:$EG$99)*COS(RADIANS(theta_L)))))*((((MxMy_FixedP!$DK$8:$DK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DK$9:$DK$99)-(MxMy_FixedP!$DK$8:$DK$98)))*COS(RADIANS(theta_L))+((MxMy_FixedP!$EG$8:$EG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EG$9:$EG$99)-(MxMy_FixedP!$EG$8:$EG$98)))*SIN(RADIANS(theta_L)))&gt;0),((MxMy_FixedP!$CO$8:$CO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CO$9:$CO$99)-(MxMy_FixedP!$CO$8:$CO$98))))/D31))</f>
      </c>
      <c r="F31" s="10">
        <f>IF($K31&lt;=Mtol,0,IF(D31=0,"",SUMPRODUCT(((((MxMy_FixedP!$DK$8:$DK$98)*SIN(RADIANS(theta_L))-(MxMy_FixedP!$EG$8:$EG$98)*COS(RADIANS(theta_L))))*(((MxMy_FixedP!$DK$9:$DK$99)*SIN(RADIANS(theta_L))-(MxMy_FixedP!$EG$9:$EG$99)*COS(RADIANS(theta_L))))&lt;=0)*((((MxMy_FixedP!$DK$8:$DK$98)*SIN(RADIANS(theta_L))-(MxMy_FixedP!$EG$8:$EG$98)*COS(RADIANS(theta_L))))&lt;&gt;(((MxMy_FixedP!$DK$9:$DK$99)*SIN(RADIANS(theta_L))-(MxMy_FixedP!$EG$9:$EG$99)*COS(RADIANS(theta_L)))))*((((MxMy_FixedP!$DK$8:$DK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DK$9:$DK$99)-(MxMy_FixedP!$DK$8:$DK$98)))*COS(RADIANS(theta_L))+((MxMy_FixedP!$EG$8:$EG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EG$9:$EG$99)-(MxMy_FixedP!$EG$8:$EG$98)))*SIN(RADIANS(theta_L)))&gt;0),(((MxMy_FixedP!$DK$8:$DK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DK$9:$DK$99)-(MxMy_FixedP!$DK$8:$DK$98)))*COS(RADIANS(theta_L))+((MxMy_FixedP!$EG$8:$EG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EG$9:$EG$99)-(MxMy_FixedP!$EG$8:$EG$98)))*SIN(RADIANS(theta_L))))/D31))</f>
      </c>
      <c r="G31" s="46">
        <f>IF($K31&lt;=Mtol,0,SUMPRODUCT(((((MxMy_FixedP!$DK$8:$DK$98)*SIN(RADIANS(theta_L))-(MxMy_FixedP!$EG$8:$EG$98)*COS(RADIANS(theta_L))))*(((MxMy_FixedP!$DK$9:$DK$99)*SIN(RADIANS(theta_L))-(MxMy_FixedP!$EG$9:$EG$99)*COS(RADIANS(theta_L))))&lt;=0)*((((MxMy_FixedP!$DK$8:$DK$98)*SIN(RADIANS(theta_L))-(MxMy_FixedP!$EG$8:$EG$98)*COS(RADIANS(theta_L))))&lt;&gt;(((MxMy_FixedP!$DK$9:$DK$99)*SIN(RADIANS(theta_L))-(MxMy_FixedP!$EG$9:$EG$99)*COS(RADIANS(theta_L)))))*((((MxMy_FixedP!$DK$8:$DK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DK$9:$DK$99)-(MxMy_FixedP!$DK$8:$DK$98)))*COS(RADIANS(theta_L))+((MxMy_FixedP!$EG$8:$EG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EG$9:$EG$99)-(MxMy_FixedP!$EG$8:$EG$98)))*SIN(RADIANS(theta_L)))&lt;0)))</f>
      </c>
      <c r="H31" s="10">
        <f>IF($K31&lt;=Mtol,MxMy_FixedP!$CO$8,IF(G31=0,"",SUMPRODUCT(((((MxMy_FixedP!$DK$8:$DK$98)*SIN(RADIANS(theta_L))-(MxMy_FixedP!$EG$8:$EG$98)*COS(RADIANS(theta_L))))*(((MxMy_FixedP!$DK$9:$DK$99)*SIN(RADIANS(theta_L))-(MxMy_FixedP!$EG$9:$EG$99)*COS(RADIANS(theta_L))))&lt;=0)*((((MxMy_FixedP!$DK$8:$DK$98)*SIN(RADIANS(theta_L))-(MxMy_FixedP!$EG$8:$EG$98)*COS(RADIANS(theta_L))))&lt;&gt;(((MxMy_FixedP!$DK$9:$DK$99)*SIN(RADIANS(theta_L))-(MxMy_FixedP!$EG$9:$EG$99)*COS(RADIANS(theta_L)))))*((((MxMy_FixedP!$DK$8:$DK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DK$9:$DK$99)-(MxMy_FixedP!$DK$8:$DK$98)))*COS(RADIANS(theta_L))+((MxMy_FixedP!$EG$8:$EG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EG$9:$EG$99)-(MxMy_FixedP!$EG$8:$EG$98)))*SIN(RADIANS(theta_L)))&lt;0),((MxMy_FixedP!$CO$8:$CO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CO$9:$CO$99)-(MxMy_FixedP!$CO$8:$CO$98))))/G31))</f>
      </c>
      <c r="I31" s="10">
        <f>IF($K31&lt;=Mtol,0,IF(G31=0,"",SUMPRODUCT(((((MxMy_FixedP!$DK$8:$DK$98)*SIN(RADIANS(theta_L))-(MxMy_FixedP!$EG$8:$EG$98)*COS(RADIANS(theta_L))))*(((MxMy_FixedP!$DK$9:$DK$99)*SIN(RADIANS(theta_L))-(MxMy_FixedP!$EG$9:$EG$99)*COS(RADIANS(theta_L))))&lt;=0)*((((MxMy_FixedP!$DK$8:$DK$98)*SIN(RADIANS(theta_L))-(MxMy_FixedP!$EG$8:$EG$98)*COS(RADIANS(theta_L))))&lt;&gt;(((MxMy_FixedP!$DK$9:$DK$99)*SIN(RADIANS(theta_L))-(MxMy_FixedP!$EG$9:$EG$99)*COS(RADIANS(theta_L)))))*((((MxMy_FixedP!$DK$8:$DK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DK$9:$DK$99)-(MxMy_FixedP!$DK$8:$DK$98)))*COS(RADIANS(theta_L))+((MxMy_FixedP!$EG$8:$EG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EG$9:$EG$99)-(MxMy_FixedP!$EG$8:$EG$98)))*SIN(RADIANS(theta_L)))&lt;0),(((MxMy_FixedP!$DK$8:$DK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DK$9:$DK$99)-(MxMy_FixedP!$DK$8:$DK$98)))*COS(RADIANS(theta_L))+((MxMy_FixedP!$EG$8:$EG$98)+(((MxMy_FixedP!$DK$8:$DK$98)*SIN(RADIANS(theta_L))-(MxMy_FixedP!$EG$8:$EG$98)*COS(RADIANS(theta_L)))/((((MxMy_FixedP!$DK$8:$DK$98)*SIN(RADIANS(theta_L))-(MxMy_FixedP!$EG$8:$EG$98)*COS(RADIANS(theta_L))))-(((MxMy_FixedP!$DK$9:$DK$99)*SIN(RADIANS(theta_L))-(MxMy_FixedP!$EG$9:$EG$99)*COS(RADIANS(theta_L))))+((((MxMy_FixedP!$DK$8:$DK$98)*SIN(RADIANS(theta_L))-(MxMy_FixedP!$EG$8:$EG$98)*COS(RADIANS(theta_L))))=(((MxMy_FixedP!$DK$9:$DK$99)*SIN(RADIANS(theta_L))-(MxMy_FixedP!$EG$9:$EG$99)*COS(RADIANS(theta_L)))))))*((MxMy_FixedP!$EG$9:$EG$99)-(MxMy_FixedP!$EG$8:$EG$98)))*SIN(RADIANS(theta_L))))/G31))</f>
      </c>
      <c r="J31">
        <f>IF($K31&lt;=Mtol,"pole",IF(AND(D31&gt;=1,G31&gt;=1),"ok","CHECK: "&amp;D31&amp;"/"&amp;G31&amp;" cuts"))</f>
      </c>
      <c r="K31" s="18">
        <v>5.960464477539062e-14</v>
      </c>
    </row>
    <row r="33" spans="2:9" x14ac:dyDescent="0.25">
      <c r="B33" s="3" t="s">
        <v>351</v>
      </c>
      <c r="C33" s="3"/>
      <c r="D33" s="3"/>
      <c r="E33" s="3"/>
      <c r="F33" s="3"/>
      <c r="G33" s="3"/>
      <c r="H33" s="3"/>
      <c r="I33" s="3"/>
    </row>
    <row r="34" spans="2:3" x14ac:dyDescent="0.25">
      <c r="B34" t="s">
        <v>352</v>
      </c>
      <c r="C34" s="51">
        <f>Pu</f>
      </c>
    </row>
    <row r="35" spans="2:3" x14ac:dyDescent="0.25">
      <c r="B35" t="s">
        <v>353</v>
      </c>
      <c r="C35" s="51">
        <f>Mu</f>
      </c>
    </row>
    <row r="36" spans="2:3" x14ac:dyDescent="0.25">
      <c r="B36" t="s">
        <v>354</v>
      </c>
      <c r="C36" s="50">
        <f>MAX(1,MIN(21,SUMPRODUCT(--($E$10:$E$31&gt;=Pu))))</f>
      </c>
    </row>
    <row r="37" spans="2:3" x14ac:dyDescent="0.25">
      <c r="B37" t="s">
        <v>295</v>
      </c>
      <c r="C37" s="55">
        <f>IF((INDEX($E$10:$E$31,C36+1,1)-INDEX($E$10:$E$31,C36,1))=0,0,(Pu-INDEX($E$10:$E$31,C36,1))/(INDEX($E$10:$E$31,C36+1,1)-INDEX($E$10:$E$31,C36,1)))</f>
      </c>
    </row>
    <row r="38" spans="2:3" x14ac:dyDescent="0.25">
      <c r="B38" t="s">
        <v>355</v>
      </c>
      <c r="C38" s="51">
        <f>INDEX($F$10:$F$31,C36,1)+C37*(INDEX($F$10:$F$31,C36+1,1)-INDEX($F$10:$F$31,C36,1))</f>
      </c>
    </row>
    <row r="39" spans="2:3" x14ac:dyDescent="0.25">
      <c r="B39" t="s">
        <v>356</v>
      </c>
      <c r="C39" s="51">
        <f>Mb</f>
      </c>
    </row>
    <row r="40" spans="2:3" x14ac:dyDescent="0.25">
      <c r="B40" t="s">
        <v>357</v>
      </c>
      <c r="C40" s="51">
        <f>3983.425147187766</f>
      </c>
    </row>
    <row r="41" spans="2:3" x14ac:dyDescent="0.25">
      <c r="B41" t="s">
        <v>358</v>
      </c>
      <c r="C41" s="55">
        <f>IF(NOT(ISNUMBER(Mb)),"n/a",(MAX(C38,Mb,C40)-MIN(C38,Mb,C40))/MAX(C38,Mb,C40)*100)</f>
      </c>
    </row>
    <row r="42" spans="2:3" x14ac:dyDescent="0.25">
      <c r="B42" t="s">
        <v>359</v>
      </c>
      <c r="C42" s="56">
        <f>IF(NOT(ISNUMBER(C41)),"n/a",IF(C41&lt;=0.5,"ok - within the configured direction-grid spread","CHECK - routes disagree beyond the sampling spread"))</f>
      </c>
    </row>
    <row r="43" spans="2:3" x14ac:dyDescent="0.25">
      <c r="B43" t="s">
        <v>313</v>
      </c>
      <c r="C43" s="52">
        <f>IF(C38&lt;=0,"n/a",Mu/C38)</f>
      </c>
    </row>
    <row r="45" spans="2:10" x14ac:dyDescent="0.25">
      <c r="B45" s="5" t="s">
        <v>360</v>
      </c>
      <c r="C45" s="5"/>
      <c r="D45" s="5"/>
      <c r="E45" s="5"/>
      <c r="F45" s="5"/>
      <c r="G45" s="5"/>
      <c r="H45" s="5"/>
      <c r="I45" s="5"/>
      <c r="J45" s="5"/>
    </row>
  </sheetData>
  <mergeCells count="7">
    <mergeCell ref="B1:M1"/>
    <mergeCell ref="B2:M3"/>
    <mergeCell ref="B8:C8"/>
    <mergeCell ref="D8:F8"/>
    <mergeCell ref="G8:I8"/>
    <mergeCell ref="B33:I33"/>
    <mergeCell ref="B45:J4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361</v>
      </c>
      <c r="C1" s="1"/>
      <c r="D1" s="1"/>
      <c r="E1" s="1"/>
    </row>
    <row r="2" ht="16" customHeight="1" spans="2:5" x14ac:dyDescent="0.25">
      <c r="B2" s="2" t="s">
        <v>362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363</v>
      </c>
      <c r="C6" s="3"/>
      <c r="D6" s="3"/>
      <c r="E6" s="3"/>
    </row>
    <row r="7" spans="2:5" x14ac:dyDescent="0.25">
      <c r="B7" t="s">
        <v>204</v>
      </c>
      <c r="C7" s="57">
        <v>0.001516186005200579</v>
      </c>
      <c r="D7" t="s">
        <v>17</v>
      </c>
      <c r="E7" s="5" t="s">
        <v>364</v>
      </c>
    </row>
    <row r="8" spans="2:5" x14ac:dyDescent="0.25">
      <c r="B8" t="s">
        <v>292</v>
      </c>
      <c r="C8" s="57">
        <v>0.000002375892659229933</v>
      </c>
      <c r="D8" t="s">
        <v>365</v>
      </c>
      <c r="E8" s="5" t="s">
        <v>366</v>
      </c>
    </row>
    <row r="9" spans="2:5" x14ac:dyDescent="0.25">
      <c r="B9" t="s">
        <v>293</v>
      </c>
      <c r="C9" s="57">
        <v>6.374808514492822e-7</v>
      </c>
      <c r="D9" t="s">
        <v>365</v>
      </c>
      <c r="E9" s="5" t="s">
        <v>367</v>
      </c>
    </row>
    <row r="11" spans="2:5" x14ac:dyDescent="0.25">
      <c r="B11" t="s">
        <v>368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369</v>
      </c>
      <c r="C12" s="11">
        <f>MOD(DEGREES(ATAN2(-Eq_kx,Eq_ky)),180)</f>
      </c>
      <c r="D12" t="s">
        <v>41</v>
      </c>
      <c r="E12" s="5" t="s">
        <v>370</v>
      </c>
    </row>
    <row r="13" spans="2:5" x14ac:dyDescent="0.25">
      <c r="B13" t="s">
        <v>371</v>
      </c>
      <c r="C13" s="11">
        <f>IF(AND(Mux=0,Muy=0),0,MOD(DEGREES(ATAN2(-Mux,Muy)),180))</f>
      </c>
      <c r="D13" t="s">
        <v>41</v>
      </c>
      <c r="E13" s="5" t="s">
        <v>372</v>
      </c>
    </row>
    <row r="14" spans="2:5" x14ac:dyDescent="0.25">
      <c r="B14" t="s">
        <v>373</v>
      </c>
      <c r="C14" s="11">
        <f>MIN(ABS(C12-C13),180-ABS(C12-C13))</f>
      </c>
      <c r="D14" t="s">
        <v>41</v>
      </c>
      <c r="E14" s="5" t="s">
        <v>374</v>
      </c>
    </row>
    <row r="16" spans="2:5" x14ac:dyDescent="0.25">
      <c r="B16" s="3" t="s">
        <v>375</v>
      </c>
      <c r="C16" s="3"/>
      <c r="D16" s="3"/>
      <c r="E16" s="3"/>
    </row>
    <row r="17" spans="2:3" x14ac:dyDescent="0.25">
      <c r="B17" t="s">
        <v>376</v>
      </c>
      <c r="C17" s="10">
        <f>SUMPRODUCT(Concrete!$L$8:$L$1264,Mesh_A)/1000</f>
      </c>
    </row>
    <row r="18" spans="2:3" x14ac:dyDescent="0.25">
      <c r="B18" t="s">
        <v>377</v>
      </c>
      <c r="C18" s="10">
        <f>SUMPRODUCT(Concrete!$L$8:$L$1264,Mesh_A,Mesh_Y)/1000000</f>
      </c>
    </row>
    <row r="19" spans="2:3" x14ac:dyDescent="0.25">
      <c r="B19" t="s">
        <v>378</v>
      </c>
      <c r="C19" s="10">
        <f>SUMPRODUCT(Concrete!$L$8:$L$1264,Mesh_A,Mesh_X)/1000000</f>
      </c>
    </row>
    <row r="20" spans="2:3" x14ac:dyDescent="0.25">
      <c r="B20" t="s">
        <v>379</v>
      </c>
      <c r="C20" s="10">
        <f>Steel!FH6/1000</f>
      </c>
    </row>
    <row r="21" spans="2:3" x14ac:dyDescent="0.25">
      <c r="B21" t="s">
        <v>380</v>
      </c>
      <c r="C21" s="10">
        <f>Steel!FI6/1000000</f>
      </c>
    </row>
    <row r="22" spans="2:3" x14ac:dyDescent="0.25">
      <c r="B22" t="s">
        <v>381</v>
      </c>
      <c r="C22" s="10">
        <f>Steel!FJ6/1000000</f>
      </c>
    </row>
    <row r="24" spans="2:5" x14ac:dyDescent="0.25">
      <c r="B24" s="3" t="s">
        <v>382</v>
      </c>
      <c r="C24" s="3"/>
      <c r="D24" s="3"/>
      <c r="E24" s="3"/>
    </row>
    <row r="25" spans="2:3" x14ac:dyDescent="0.25">
      <c r="B25" t="s">
        <v>383</v>
      </c>
      <c r="C25" s="39">
        <f>C17+C20</f>
      </c>
    </row>
    <row r="26" spans="2:3" x14ac:dyDescent="0.25">
      <c r="B26" t="s">
        <v>384</v>
      </c>
      <c r="C26" s="39">
        <f>C18+C21</f>
      </c>
    </row>
    <row r="27" spans="2:3" x14ac:dyDescent="0.25">
      <c r="B27" t="s">
        <v>385</v>
      </c>
      <c r="C27" s="39">
        <f>C19+C22</f>
      </c>
    </row>
    <row r="28" spans="2:3" x14ac:dyDescent="0.25">
      <c r="B28" t="s">
        <v>386</v>
      </c>
      <c r="C28" s="51">
        <f>Pu</f>
      </c>
    </row>
    <row r="29" spans="2:3" x14ac:dyDescent="0.25">
      <c r="B29" t="s">
        <v>387</v>
      </c>
      <c r="C29" s="51">
        <f>Mux</f>
      </c>
    </row>
    <row r="30" spans="2:3" x14ac:dyDescent="0.25">
      <c r="B30" t="s">
        <v>388</v>
      </c>
      <c r="C30" s="51">
        <f>Muy</f>
      </c>
    </row>
    <row r="32" spans="2:3" x14ac:dyDescent="0.25">
      <c r="B32" t="s">
        <v>389</v>
      </c>
      <c r="C32" s="11">
        <f>C25-C28</f>
      </c>
    </row>
    <row r="33" spans="2:3" x14ac:dyDescent="0.25">
      <c r="B33" t="s">
        <v>390</v>
      </c>
      <c r="C33" s="11">
        <f>C26-C29</f>
      </c>
    </row>
    <row r="34" spans="2:3" x14ac:dyDescent="0.25">
      <c r="B34" t="s">
        <v>391</v>
      </c>
      <c r="C34" s="11">
        <f>C27-C30</f>
      </c>
    </row>
    <row r="35" spans="2:3" x14ac:dyDescent="0.25">
      <c r="B35" t="s">
        <v>392</v>
      </c>
      <c r="C35" s="53">
        <f>MAX(ABS(C32)/MAX(ABS(Pu),1),ABS(C33)/MAX(ABS(Mux),1),ABS(C34)/MAX(ABS(Muy),1))</f>
      </c>
    </row>
    <row r="36" spans="2:5" x14ac:dyDescent="0.25">
      <c r="B36" t="s">
        <v>359</v>
      </c>
      <c r="C36" s="35">
        <f>IF(C35&lt;=0.0001,"in equilibrium","CHECK - the stored plane does not balance the demand")</f>
      </c>
      <c r="E36" s="5" t="s">
        <v>393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2026-08-06T11:43:11Z</dcterms:created>
  <dcterms:modified xsi:type="dcterms:W3CDTF">2026-08-06T11:43:11Z</dcterms:modified>
</cp:coreProperties>
</file>